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threadedComments/threadedComment8.xml" ContentType="application/vnd.ms-excel.threadedcomments+xml"/>
  <Override PartName="/xl/comments11.xml" ContentType="application/vnd.openxmlformats-officedocument.spreadsheetml.comments+xml"/>
  <Override PartName="/xl/threadedComments/threadedComment9.xml" ContentType="application/vnd.ms-excel.threadedcomments+xml"/>
  <Override PartName="/xl/comments12.xml" ContentType="application/vnd.openxmlformats-officedocument.spreadsheetml.comments+xml"/>
  <Override PartName="/xl/threadedComments/threadedComment10.xml" ContentType="application/vnd.ms-excel.threadedcomments+xml"/>
  <Override PartName="/xl/comments13.xml" ContentType="application/vnd.openxmlformats-officedocument.spreadsheetml.comments+xml"/>
  <Override PartName="/xl/threadedComments/threadedComment11.xml" ContentType="application/vnd.ms-excel.threadedcomments+xml"/>
  <Override PartName="/xl/comments14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nba1-my.sharepoint.com/personal/etucker_nba_com/Documents/Elle Tucker's Personal Folder/Customer Support/FY27 CS Documents/"/>
    </mc:Choice>
  </mc:AlternateContent>
  <xr:revisionPtr revIDLastSave="0" documentId="8_{D64E77E9-93DE-4BFA-B870-6CCB1E2B3076}" xr6:coauthVersionLast="47" xr6:coauthVersionMax="47" xr10:uidLastSave="{00000000-0000-0000-0000-000000000000}"/>
  <bookViews>
    <workbookView xWindow="-110" yWindow="-110" windowWidth="19420" windowHeight="11500" firstSheet="25" activeTab="27" xr2:uid="{41B75487-C74B-4575-909A-A6FE6AAF28B0}"/>
  </bookViews>
  <sheets>
    <sheet name="Version-Level Changes" sheetId="26" r:id="rId1"/>
    <sheet name="SKU &amp; Platform Availability -&gt;" sheetId="22" r:id="rId2"/>
    <sheet name="DOM" sheetId="2" r:id="rId3"/>
    <sheet name="INT" sheetId="3" r:id="rId4"/>
    <sheet name="Pricing by Platform -&gt;" sheetId="6" r:id="rId5"/>
    <sheet name="DOM Web" sheetId="4" r:id="rId6"/>
    <sheet name="INT Web" sheetId="1" r:id="rId7"/>
    <sheet name="Student Plan Web" sheetId="28" r:id="rId8"/>
    <sheet name="Gifting Web" sheetId="29" r:id="rId9"/>
    <sheet name="Apple" sheetId="7" r:id="rId10"/>
    <sheet name="Google" sheetId="8" r:id="rId11"/>
    <sheet name="AMZN Fire TV" sheetId="9" r:id="rId12"/>
    <sheet name="Roku" sheetId="10" r:id="rId13"/>
    <sheet name="Samsung" sheetId="43" r:id="rId14"/>
    <sheet name="Internal Only -&gt;" sheetId="11" r:id="rId15"/>
    <sheet name="Country-Level Tactics" sheetId="44" r:id="rId16"/>
    <sheet name="INT Tax" sheetId="40" r:id="rId17"/>
    <sheet name="Addt'l Payment Methods" sheetId="31" r:id="rId18"/>
    <sheet name="Intro Offer Details" sheetId="12" r:id="rId19"/>
    <sheet name="Web FT Deflection" sheetId="39" state="hidden" r:id="rId20"/>
    <sheet name="Web Upsell Mapping" sheetId="21" r:id="rId21"/>
    <sheet name="Pre-AR Web Cancel Deflection" sheetId="25" r:id="rId22"/>
    <sheet name="Post-AR Web Cancel Deflection" sheetId="34" r:id="rId23"/>
    <sheet name="Cancel Deflection - Apple" sheetId="41" r:id="rId24"/>
    <sheet name="Winback - Apple" sheetId="42" r:id="rId25"/>
    <sheet name="Winback - Google" sheetId="36" r:id="rId26"/>
    <sheet name="Markets w &amp; wo Commercials" sheetId="30" state="hidden" r:id="rId27"/>
    <sheet name="Markets Not Selling LP" sheetId="15" r:id="rId28"/>
    <sheet name="Platform Avail by Country" sheetId="23" state="hidden" r:id="rId29"/>
    <sheet name="Platform Sales Avail by Country" sheetId="24" state="hidden" r:id="rId30"/>
    <sheet name="Country &amp; Code Abbreviation" sheetId="16" r:id="rId31"/>
    <sheet name="FX Rates" sheetId="17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bdm.001e865b73f94240b91fdb705a641380.edm" hidden="1" xml:space="preserve">  '[1]RT - Distributors'!$1:$1048576</definedName>
    <definedName name="_bdm.024a09c48c8849c08cb1e66c25d5957d.edm" hidden="1" xml:space="preserve">  '[1]RT - Distributors'!$1:$1048576</definedName>
    <definedName name="_bdm.031ceab49f294558aa31dfcd675d8e38.edm" hidden="1" xml:space="preserve">  '[1]RT - Distributors'!$1:$1048576</definedName>
    <definedName name="_bdm.03c2dcffc2cb4be98824228d773d623b.edm" hidden="1" xml:space="preserve">  '[1]RT - Distributors'!$1:$1048576</definedName>
    <definedName name="_bdm.045be4c51e574b14b3efb121e0f721f6.edm" hidden="1" xml:space="preserve">  '[1]RT - Distributors'!$1:$1048576</definedName>
    <definedName name="_bdm.05c2f24bcb0b4238ab88990837a908ff.edm" hidden="1" xml:space="preserve">  '[1]RT - Distributors'!$1:$1048576</definedName>
    <definedName name="_bdm.07aceaf47b484cc5978f9431e3dd699c.edm" hidden="1" xml:space="preserve">  '[1]RT - Distributors'!$1:$1048576</definedName>
    <definedName name="_bdm.1104b212482a4d9b8b537f0681108094.edm" hidden="1" xml:space="preserve">  '[1]RT - Distributors'!$1:$1048576</definedName>
    <definedName name="_bdm.1426a5a24d2d4ba8bc33850fbe232212.edm" hidden="1" xml:space="preserve">  '[1]RT - Distributors'!$1:$1048576</definedName>
    <definedName name="_bdm.16bb5ad267e745cdb1eb365477716084.edm" hidden="1" xml:space="preserve">  '[1]RT - Distributors'!$1:$1048576</definedName>
    <definedName name="_bdm.17255a6451084a528d0020cb3fc952c9.edm" hidden="1" xml:space="preserve">  '[1]RT - Distributors'!$1:$1048576</definedName>
    <definedName name="_bdm.17cfb29b2e9c4ff19a6ccce2b3fd66ba.edm" hidden="1" xml:space="preserve">  '[1]RT - Distributors'!$1:$1048576</definedName>
    <definedName name="_bdm.1be64629be9d47bb878d946d0d694a1c.edm" hidden="1" xml:space="preserve">  '[1]RT - Distributors'!$1:$1048576</definedName>
    <definedName name="_bdm.1c34b66c4b1c444a858b0e903b308e2e.edm" hidden="1" xml:space="preserve">  '[1]RT - Distributors'!$1:$1048576</definedName>
    <definedName name="_bdm.1e056481bfca4b04a7b4b8c63e67ff87.edm" localSheetId="9" hidden="1">Apple!$G$80</definedName>
    <definedName name="_bdm.221546ff95a748f18ae762b18856fd08.edm" hidden="1" xml:space="preserve">  '[1]INT Web'!$1:$1048576</definedName>
    <definedName name="_bdm.233984da8d02495fbebfedde4d8193a6.edm" hidden="1" xml:space="preserve">  '[1]RT - Distributors'!$1:$1048576</definedName>
    <definedName name="_bdm.235d3fafa8fc41538791501d3f328ab0.edm" hidden="1" xml:space="preserve">  '[1]RT - Distributors'!$1:$1048576</definedName>
    <definedName name="_bdm.28790997f09f496c98a14ca5a970fc16.edm" hidden="1" xml:space="preserve">  '[1]RT - Distributors'!$1:$1048576</definedName>
    <definedName name="_bdm.298ffa04298841dcbeb3e09acb95c56e.edm" hidden="1" xml:space="preserve">  '[1]RT - Distributors'!$1:$1048576</definedName>
    <definedName name="_bdm.2bb30cde736b46cc987d800f515b82c1.edm" hidden="1" xml:space="preserve">  '[1]RT - Distributors'!$1:$1048576</definedName>
    <definedName name="_bdm.2bc3a562a96f4e0ba01e5333d3435cf4.edm" hidden="1" xml:space="preserve">  '[1]RT - Distributors'!$1:$1048576</definedName>
    <definedName name="_bdm.2f99f5fd504740b6be44ae8028854e7f.edm" hidden="1" xml:space="preserve">  '[1]RT - Distributors'!$1:$1048576</definedName>
    <definedName name="_bdm.34534f58c7744bbcb0c13e8b61d2745f.edm" hidden="1" xml:space="preserve">  '[1]RT - Distributors'!$1:$1048576</definedName>
    <definedName name="_bdm.3976bfc9e38a4947bdd62d3f344242a6.edm" hidden="1" xml:space="preserve">  '[1]RT - Distributors'!$1:$1048576</definedName>
    <definedName name="_bdm.3c52f1f5a19d4433a615f8bda82380cf.edm" hidden="1" xml:space="preserve">  '[1]RT - Distributors'!$1:$1048576</definedName>
    <definedName name="_bdm.3c6e9d6fa6b845b0bc0439698e0abb60.edm" hidden="1" xml:space="preserve">  '[1]RT - Distributors'!$1:$1048576</definedName>
    <definedName name="_bdm.3d0deb3fa18f42bc934e771c9f577027.edm" hidden="1" xml:space="preserve">  '[1]RT - Distributors'!$1:$1048576</definedName>
    <definedName name="_bdm.3e4c48c36eec45da9f80c3d536b14198.edm" hidden="1" xml:space="preserve">  '[1]RT - Distributors'!$1:$1048576</definedName>
    <definedName name="_bdm.40a6b85fbf424987afb8d56dba2f1106.edm" hidden="1" xml:space="preserve">  '[1]RT - Distributors'!$1:$1048576</definedName>
    <definedName name="_bdm.4432a6be99c645989f8bea533eb83a7d.edm" hidden="1" xml:space="preserve">  '[1]RT - Distributors'!$1:$1048576</definedName>
    <definedName name="_bdm.4e94595ef86446928c8879c53a815721.edm" hidden="1" xml:space="preserve">  '[1]RT - Distributors'!$1:$1048576</definedName>
    <definedName name="_bdm.511e03944edc46049a1ab0d2b92b3c6f.edm" hidden="1" xml:space="preserve">  '[1]RT - Distributors'!$1:$1048576</definedName>
    <definedName name="_bdm.5197d49914df407dacb31b77bde92a79.edm" hidden="1" xml:space="preserve">  '[1]RT - Distributors'!$1:$1048576</definedName>
    <definedName name="_bdm.54ff8cb51f3048529c6b4b87247fdd30.edm" hidden="1" xml:space="preserve">  '[1]RT - Distributors'!$1:$1048576</definedName>
    <definedName name="_bdm.55f31ae90c6a4665b8e34d10e2eafec5.edm" hidden="1" xml:space="preserve">  '[1]RT - Distributors'!$1:$1048576</definedName>
    <definedName name="_bdm.5814a6b516e94fb0bd2b8aae8c9ceb7f.edm" hidden="1" xml:space="preserve">  '[1]RT - Distributors'!$1:$1048576</definedName>
    <definedName name="_bdm.5ac8fcc1f64245a8bba978580edf183f.edm" hidden="1" xml:space="preserve">  '[1]RT - Distributors'!$1:$1048576</definedName>
    <definedName name="_bdm.5ba5c58bca6444f7b2f8306d53d20dfc.edm" hidden="1" xml:space="preserve">  '[1]RT - Distributors'!$1:$1048576</definedName>
    <definedName name="_bdm.616856175b004154aefa3faea8a4821e.edm" hidden="1" xml:space="preserve">  '[1]RT - Distributors'!$1:$1048576</definedName>
    <definedName name="_bdm.66ae86e9b2494792867a6681e9664cf5.edm" hidden="1" xml:space="preserve">  '[1]RT - Distributors'!$1:$1048576</definedName>
    <definedName name="_bdm.6716e402a30d4822898169d0ba467660.edm" hidden="1" xml:space="preserve">  '[1]RT - Distributors'!$1:$1048576</definedName>
    <definedName name="_bdm.6ce416686ab849c1beb6ab4661741287.edm" hidden="1">Google!$1:$1048576</definedName>
    <definedName name="_bdm.6d73440cb8774348a7eeea13bcff914b.edm" hidden="1" xml:space="preserve">  '[1]INT Web'!$1:$1048576</definedName>
    <definedName name="_bdm.70183519af954f55a82365e140a9c66d.edm" hidden="1" xml:space="preserve">  '[1]RT - Distributors'!$1:$1048576</definedName>
    <definedName name="_bdm.721c09d025c641529d406711a195b118.edm" hidden="1" xml:space="preserve">  '[1]RT - Distributors'!$1:$1048576</definedName>
    <definedName name="_bdm.76e5f91cf0aa449b9f000268a67b0278.edm" hidden="1" xml:space="preserve">  '[1]RT - Distributors'!$1:$1048576</definedName>
    <definedName name="_bdm.7a82c6bd45024597b5fbe10981463b8e.edm" hidden="1" xml:space="preserve">  '[1]RT - Distributors'!$1:$1048576</definedName>
    <definedName name="_bdm.7ad4aed44e404c6e97d35c390ddb0910.edm" hidden="1" xml:space="preserve">  '[1]RT - Distributors'!$1:$1048576</definedName>
    <definedName name="_bdm.7c634b68d0a94b36b72ddd783aceb175.edm" hidden="1" xml:space="preserve">  '[1]RT - Distributors'!$1:$1048576</definedName>
    <definedName name="_bdm.7d6de09a24074904b3ab212122df83c9.edm" hidden="1" xml:space="preserve">  '[1]RT - Distributors'!$1:$1048576</definedName>
    <definedName name="_bdm.7e3e370612a64dca87a9e86cab3ef2ab.edm" hidden="1" xml:space="preserve">  '[1]RT - Distributors'!$1:$1048576</definedName>
    <definedName name="_bdm.7f15f323e2c1433fbf3d8aa116a0246c.edm" hidden="1" xml:space="preserve">  '[1]RT - Distributors'!$1:$1048576</definedName>
    <definedName name="_bdm.8340307ce2ea4dc0857d57aed4ca6c5b.edm" hidden="1" xml:space="preserve">  '[1]RT - Distributors'!$1:$1048576</definedName>
    <definedName name="_bdm.83f960cb6471477da0ba269d291e7f65.edm" hidden="1" xml:space="preserve">  '[1]RT - Distributors'!$1:$1048576</definedName>
    <definedName name="_bdm.851fd0b408234c06ad2573590f4cf0c4.edm" hidden="1" xml:space="preserve">  '[1]RT - Distributors'!$1:$1048576</definedName>
    <definedName name="_bdm.85372399954449f0bd2d3b5c26807a96.edm" hidden="1" xml:space="preserve">  '[1]RT - Distributors'!$1:$1048576</definedName>
    <definedName name="_bdm.8654fb987abe4727a0bdf9de4a354272.edm" hidden="1" xml:space="preserve">  '[1]RT - Distributors'!$1:$1048576</definedName>
    <definedName name="_bdm.87112c8a8f5142c180d15296f90bcbf8.edm" hidden="1" xml:space="preserve">  '[1]RT - Distributors'!$1:$1048576</definedName>
    <definedName name="_bdm.88f02207810a4e55996635b1f2f6d266.edm" hidden="1" xml:space="preserve">  '[1]RT - Distributors'!$1:$1048576</definedName>
    <definedName name="_bdm.9259500385c4467bb4e2c1366dac4b09.edm" hidden="1" xml:space="preserve">  '[1]RT - Distributors'!$1:$1048576</definedName>
    <definedName name="_bdm.95b8265ebf214499bf1607f31908fa2c.edm" hidden="1" xml:space="preserve">  '[1]RT - Distributors'!$1:$1048576</definedName>
    <definedName name="_bdm.a0086216a476437194a7b2b4b59bec17.edm" hidden="1" xml:space="preserve">  '[1]RT - Distributors'!$1:$1048576</definedName>
    <definedName name="_bdm.a487ec25701243a9a39b3045f05c5656.edm" hidden="1" xml:space="preserve">  '[1]RT - Distributors'!$1:$1048576</definedName>
    <definedName name="_bdm.ac9e27cb4b4040669353d39c9a33b249.edm" hidden="1" xml:space="preserve">  '[1]RT - Distributors'!$1:$1048576</definedName>
    <definedName name="_bdm.b208039cbdad421b9892d3127ffeb22d.edm" hidden="1" xml:space="preserve">  '[1]RT - Distributors'!$1:$1048576</definedName>
    <definedName name="_bdm.b3e822cf796140ad84819ed645293f2f.edm" hidden="1" xml:space="preserve">  '[1]RT - Distributors'!$1:$1048576</definedName>
    <definedName name="_bdm.b4b9f771f0434bbc97a29f474b3979ef.edm" hidden="1" xml:space="preserve">  '[1]RT - Distributors'!$1:$1048576</definedName>
    <definedName name="_bdm.ba31c30b41ca4c0fb3fd4d7588503fb9.edm" hidden="1" xml:space="preserve">  '[1]RT - Distributors'!$1:$1048576</definedName>
    <definedName name="_bdm.ba7d86725243426cbe9b83018f2f7a3b.edm" hidden="1" xml:space="preserve">  '[1]RT - Distributors'!$1:$1048576</definedName>
    <definedName name="_bdm.c0f7cd7796b24c3e86c322fd2f8e820d.edm" hidden="1" xml:space="preserve">  '[1]RT - Distributors'!$1:$1048576</definedName>
    <definedName name="_bdm.c25ef81137ee4e11a9128b27e01ccba7.edm" hidden="1" xml:space="preserve">  '[1]RT - Distributors'!$1:$1048576</definedName>
    <definedName name="_bdm.c4fbbf5d81eb4373a9bd2faadaf2a629.edm" hidden="1" xml:space="preserve">  '[1]RT - Distributors'!$1:$1048576</definedName>
    <definedName name="_bdm.c5449c4232c44554ae83509549fbfea0.edm" hidden="1" xml:space="preserve">  '[1]RT - Distributors'!$1:$1048576</definedName>
    <definedName name="_bdm.c6f2d96ef60e45f7bd839b6c689225b7.edm" hidden="1" xml:space="preserve">  '[1]RT - Distributors'!$1:$1048576</definedName>
    <definedName name="_bdm.c7659515b437499da74ee7becc12afa6.edm" hidden="1" xml:space="preserve">  '[1]RT - Distributors'!$1:$1048576</definedName>
    <definedName name="_bdm.c9aa5505c6d743b4852b37e7dff0c287.edm" hidden="1" xml:space="preserve">  '[1]RT - Distributors'!$1:$1048576</definedName>
    <definedName name="_bdm.cd77aa05978b460e8eeca20d8cf13157.edm" hidden="1" xml:space="preserve">  '[1]RT - Distributors'!$1:$1048576</definedName>
    <definedName name="_bdm.d1e4d7747dcc42b5862821f2544dd6c6.edm" hidden="1" xml:space="preserve">  '[1]RT - Distributors'!$1:$1048576</definedName>
    <definedName name="_bdm.d21016d56eb94927b55157a9b31a3f38.edm" hidden="1" xml:space="preserve">  '[1]RT - Distributors'!$1:$1048576</definedName>
    <definedName name="_bdm.d394add5995843f4b2ccecd90b9e4ffb.edm" hidden="1" xml:space="preserve">  '[1]RT - Distributors'!$1:$1048576</definedName>
    <definedName name="_bdm.d510919d537249959e297f54cae48a94.edm" hidden="1" xml:space="preserve">  '[1]RT - Distributors'!$1:$1048576</definedName>
    <definedName name="_bdm.d5908e96f0104718a65d0f0433361e30.edm" hidden="1" xml:space="preserve">  '[1]RT - Distributors'!$1:$1048576</definedName>
    <definedName name="_bdm.d719e629811d4633ad0ca81ee0fa7d8b.edm" hidden="1" xml:space="preserve">  '[1]RT - Distributors'!$1:$1048576</definedName>
    <definedName name="_bdm.d71d00c3d03a41afa7ba1169bd5fd6a8.edm" hidden="1" xml:space="preserve">  '[1]RT - Distributors'!$1:$1048576</definedName>
    <definedName name="_bdm.d8333fed75b24d96a1bbdac3918e5fbe.edm" hidden="1" xml:space="preserve">  '[1]RT - Distributors'!$1:$1048576</definedName>
    <definedName name="_bdm.d862043af9dd4f3bbca8b35a23301957.edm" hidden="1" xml:space="preserve">  '[1]RT - Distributors'!$1:$1048576</definedName>
    <definedName name="_bdm.dca6bef58a2742218796952667949976.edm" hidden="1" xml:space="preserve">  '[1]RT - Distributors'!$1:$1048576</definedName>
    <definedName name="_bdm.dfd388eb900b4055963e509453d1a11a.edm" hidden="1" xml:space="preserve">  '[1]RT - Distributors'!$1:$1048576</definedName>
    <definedName name="_bdm.e27b2c4dc9f143e0a106b9f5473639ef.edm" hidden="1" xml:space="preserve">  '[1]RT - Distributors'!$1:$1048576</definedName>
    <definedName name="_bdm.e503dd15b96941c59c3cc9742eabe07d.edm" hidden="1" xml:space="preserve">  '[1]RT - Distributors'!$1:$1048576</definedName>
    <definedName name="_bdm.e5c3bfa5d4dd473ca34276dcd8bd0856.edm" localSheetId="10" hidden="1">Google!$F$140</definedName>
    <definedName name="_bdm.e81fe93ecbe244b4a5f1d4f57ee6b4ef.edm" hidden="1" xml:space="preserve">  '[1]RT - Distributors'!$1:$1048576</definedName>
    <definedName name="_bdm.ea2f7fd3443c46948161ee0dd1d97381.edm" hidden="1" xml:space="preserve">  '[1]RT - Distributors'!$1:$1048576</definedName>
    <definedName name="_bdm.ecc317fef4c1488a852eb1c9dfe82c85.edm" hidden="1" xml:space="preserve">  '[1]RT - Distributors'!$1:$1048576</definedName>
    <definedName name="_bdm.ed354b111c1f420789ef3cb28ca872c0.edm" hidden="1" xml:space="preserve">  '[1]RT - Distributors'!$1:$1048576</definedName>
    <definedName name="_bdm.edd4d47df1b5428ebdc1d26d45aeb3fc.edm" hidden="1" xml:space="preserve">  '[1]RT - Distributors'!$1:$1048576</definedName>
    <definedName name="_bdm.ee514f5995554a9189afc260e85e830b.edm" hidden="1" xml:space="preserve">  '[1]RT - Distributors'!$1:$1048576</definedName>
    <definedName name="_bdm.f2dc6567c2d4489b8ca8e44dee63f2e9.edm" hidden="1">Apple!$1:$1048576</definedName>
    <definedName name="_bdm.f3c352643b1c43a598d2edf9eaf615c7.edm" hidden="1" xml:space="preserve">  '[1]RT - Distributors'!$1:$1048576</definedName>
    <definedName name="_bdm.f690620a1de5476380332818c2790a29.edm" hidden="1" xml:space="preserve">  '[1]RT - Distributors'!$1:$1048576</definedName>
    <definedName name="_bdm.fa34e81413a747bf899f58735c747e97.edm" hidden="1" xml:space="preserve">  '[1]RT - Distributors'!$1:$1048576</definedName>
    <definedName name="_xlnm._FilterDatabase" localSheetId="17" hidden="1">'Addt''l Payment Methods'!$B$4:$R$4</definedName>
    <definedName name="_xlnm._FilterDatabase" localSheetId="11" hidden="1">'AMZN Fire TV'!$B$2:$I$2</definedName>
    <definedName name="_xlnm._FilterDatabase" localSheetId="9" hidden="1">Apple!$B$2:$Y$2</definedName>
    <definedName name="_xlnm._FilterDatabase" localSheetId="23" hidden="1">'Cancel Deflection - Apple'!$B$2:$I$174</definedName>
    <definedName name="_xlnm._FilterDatabase" localSheetId="15" hidden="1">'Country-Level Tactics'!$B$4:$AB$248</definedName>
    <definedName name="_xlnm._FilterDatabase" localSheetId="31">'FX Rates'!$B$2:$F$2</definedName>
    <definedName name="_xlnm._FilterDatabase" localSheetId="10" hidden="1">Google!$B$2:$N$2</definedName>
    <definedName name="_xlnm._FilterDatabase" localSheetId="3" hidden="1">INT!$B$2:$R$245</definedName>
    <definedName name="_xlnm._FilterDatabase" localSheetId="16" hidden="1">'INT Tax'!$B$4:$H$4</definedName>
    <definedName name="_xlnm._FilterDatabase" localSheetId="6" hidden="1">'INT Web'!$B$4:$AS$247</definedName>
    <definedName name="_xlnm._FilterDatabase" localSheetId="18" hidden="1">'Intro Offer Details'!$B$3:$N$3</definedName>
    <definedName name="_xlnm._FilterDatabase" localSheetId="27" hidden="1">'Markets Not Selling LP'!#REF!</definedName>
    <definedName name="_xlnm._FilterDatabase" localSheetId="28" hidden="1">'Platform Avail by Country'!$A$1:$M$249</definedName>
    <definedName name="_xlnm._FilterDatabase" localSheetId="29" hidden="1">'Platform Sales Avail by Country'!$A$1:$L$249</definedName>
    <definedName name="_xlnm._FilterDatabase" localSheetId="22" hidden="1">'Post-AR Web Cancel Deflection'!$B$2:$E$2</definedName>
    <definedName name="_xlnm._FilterDatabase" localSheetId="12" hidden="1">Roku!$B$2:$I$2</definedName>
    <definedName name="_xlnm._FilterDatabase" localSheetId="13" hidden="1">Samsung!$B$2:$I$122</definedName>
    <definedName name="_xlnm._FilterDatabase" localSheetId="7" hidden="1">'Student Plan Web'!$B$4:$H$45</definedName>
    <definedName name="_xlnm._FilterDatabase" localSheetId="24" hidden="1">'Winback - Apple'!$B$7:$I$179</definedName>
    <definedName name="_xlnm._FilterDatabase" localSheetId="25" hidden="1">'Winback - Google'!$B$8:$H$180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41129.7769907407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Titles" localSheetId="28">'Platform Avail by Country'!$1:$1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4" i="7" l="1"/>
  <c r="AD48" i="7"/>
  <c r="AC48" i="7"/>
  <c r="AB48" i="7"/>
  <c r="AA48" i="7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3" i="41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8" i="42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2" i="34"/>
  <c r="C203" i="34"/>
  <c r="C204" i="34"/>
  <c r="C205" i="34"/>
  <c r="C206" i="34"/>
  <c r="C20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22" i="34"/>
  <c r="C223" i="34"/>
  <c r="C224" i="34"/>
  <c r="C225" i="34"/>
  <c r="C226" i="34"/>
  <c r="C227" i="34"/>
  <c r="C228" i="34"/>
  <c r="C229" i="34"/>
  <c r="C230" i="34"/>
  <c r="C231" i="34"/>
  <c r="C232" i="34"/>
  <c r="C233" i="34"/>
  <c r="C234" i="34"/>
  <c r="C235" i="34"/>
  <c r="C236" i="34"/>
  <c r="C237" i="34"/>
  <c r="C238" i="34"/>
  <c r="C239" i="34"/>
  <c r="C240" i="34"/>
  <c r="C241" i="34"/>
  <c r="C3" i="34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3" i="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3" i="16"/>
  <c r="K1" i="31"/>
  <c r="L1" i="31" s="1"/>
  <c r="M1" i="31" s="1"/>
  <c r="N1" i="31" s="1"/>
  <c r="O1" i="31" s="1"/>
  <c r="P1" i="31" s="1"/>
  <c r="Q1" i="31" s="1"/>
  <c r="R1" i="31" s="1"/>
  <c r="D20" i="28"/>
  <c r="C20" i="28"/>
  <c r="H331" i="12"/>
  <c r="H18" i="12" l="1"/>
  <c r="J18" i="12" s="1"/>
  <c r="L18" i="12" s="1"/>
  <c r="H41" i="12"/>
  <c r="J41" i="12" s="1"/>
  <c r="L41" i="12" s="1"/>
  <c r="H50" i="12"/>
  <c r="J50" i="12" s="1"/>
  <c r="L50" i="12" s="1"/>
  <c r="H67" i="12"/>
  <c r="H68" i="12"/>
  <c r="J68" i="12" s="1"/>
  <c r="L68" i="12" s="1"/>
  <c r="H93" i="12"/>
  <c r="H123" i="12"/>
  <c r="J123" i="12" s="1"/>
  <c r="L123" i="12" s="1"/>
  <c r="H127" i="12"/>
  <c r="J127" i="12" s="1"/>
  <c r="L127" i="12" s="1"/>
  <c r="H135" i="12"/>
  <c r="H141" i="12"/>
  <c r="H151" i="12"/>
  <c r="H240" i="12"/>
  <c r="L240" i="12" s="1"/>
  <c r="H274" i="12"/>
  <c r="J274" i="12" s="1"/>
  <c r="L274" i="12" s="1"/>
  <c r="H14" i="12"/>
  <c r="J14" i="12" s="1"/>
  <c r="L14" i="12" s="1"/>
  <c r="H21" i="12"/>
  <c r="J21" i="12" s="1"/>
  <c r="L21" i="12" s="1"/>
  <c r="H33" i="12"/>
  <c r="J33" i="12" s="1"/>
  <c r="L33" i="12" s="1"/>
  <c r="H38" i="12"/>
  <c r="J38" i="12" s="1"/>
  <c r="L38" i="12" s="1"/>
  <c r="H40" i="12"/>
  <c r="J40" i="12" s="1"/>
  <c r="L40" i="12" s="1"/>
  <c r="H42" i="12"/>
  <c r="J42" i="12" s="1"/>
  <c r="L42" i="12" s="1"/>
  <c r="H44" i="12"/>
  <c r="H49" i="12"/>
  <c r="J49" i="12" s="1"/>
  <c r="L49" i="12" s="1"/>
  <c r="H51" i="12"/>
  <c r="J51" i="12" s="1"/>
  <c r="L51" i="12" s="1"/>
  <c r="H53" i="12"/>
  <c r="J53" i="12" s="1"/>
  <c r="L53" i="12" s="1"/>
  <c r="H55" i="12"/>
  <c r="J55" i="12" s="1"/>
  <c r="L55" i="12" s="1"/>
  <c r="H57" i="12"/>
  <c r="J57" i="12" s="1"/>
  <c r="L57" i="12" s="1"/>
  <c r="H62" i="12"/>
  <c r="J62" i="12" s="1"/>
  <c r="L62" i="12" s="1"/>
  <c r="H64" i="12"/>
  <c r="H66" i="12"/>
  <c r="H69" i="12"/>
  <c r="J69" i="12" s="1"/>
  <c r="L69" i="12" s="1"/>
  <c r="H73" i="12"/>
  <c r="J73" i="12" s="1"/>
  <c r="L73" i="12" s="1"/>
  <c r="H79" i="12"/>
  <c r="H83" i="12"/>
  <c r="H88" i="12"/>
  <c r="J88" i="12" s="1"/>
  <c r="L88" i="12" s="1"/>
  <c r="H92" i="12"/>
  <c r="H100" i="12"/>
  <c r="J100" i="12" s="1"/>
  <c r="L100" i="12" s="1"/>
  <c r="H108" i="12"/>
  <c r="J108" i="12" s="1"/>
  <c r="L108" i="12" s="1"/>
  <c r="H110" i="12"/>
  <c r="J110" i="12" s="1"/>
  <c r="L110" i="12" s="1"/>
  <c r="H114" i="12"/>
  <c r="J114" i="12" s="1"/>
  <c r="L114" i="12" s="1"/>
  <c r="H121" i="12"/>
  <c r="J121" i="12" s="1"/>
  <c r="L121" i="12" s="1"/>
  <c r="H124" i="12"/>
  <c r="J124" i="12" s="1"/>
  <c r="L124" i="12" s="1"/>
  <c r="H128" i="12"/>
  <c r="J128" i="12" s="1"/>
  <c r="L128" i="12" s="1"/>
  <c r="H134" i="12"/>
  <c r="H144" i="12"/>
  <c r="H150" i="12"/>
  <c r="H156" i="12"/>
  <c r="J156" i="12" s="1"/>
  <c r="L156" i="12" s="1"/>
  <c r="H277" i="12"/>
  <c r="J277" i="12" s="1"/>
  <c r="L277" i="12" s="1"/>
  <c r="H161" i="12"/>
  <c r="J161" i="12" s="1"/>
  <c r="L161" i="12" s="1"/>
  <c r="H163" i="12"/>
  <c r="L163" i="12" s="1"/>
  <c r="H167" i="12"/>
  <c r="J167" i="12" s="1"/>
  <c r="L167" i="12" s="1"/>
  <c r="H180" i="12"/>
  <c r="J180" i="12" s="1"/>
  <c r="L180" i="12" s="1"/>
  <c r="H184" i="12"/>
  <c r="H188" i="12"/>
  <c r="J188" i="12" s="1"/>
  <c r="L188" i="12" s="1"/>
  <c r="H193" i="12"/>
  <c r="J193" i="12" s="1"/>
  <c r="L193" i="12" s="1"/>
  <c r="H202" i="12"/>
  <c r="J202" i="12" s="1"/>
  <c r="L202" i="12" s="1"/>
  <c r="H209" i="12"/>
  <c r="J209" i="12" s="1"/>
  <c r="L209" i="12" s="1"/>
  <c r="H211" i="12"/>
  <c r="J211" i="12" s="1"/>
  <c r="L211" i="12" s="1"/>
  <c r="H214" i="12"/>
  <c r="L214" i="12" s="1"/>
  <c r="H220" i="12"/>
  <c r="J220" i="12" s="1"/>
  <c r="L220" i="12" s="1"/>
  <c r="H222" i="12"/>
  <c r="J222" i="12" s="1"/>
  <c r="L222" i="12" s="1"/>
  <c r="H224" i="12"/>
  <c r="H226" i="12"/>
  <c r="J226" i="12" s="1"/>
  <c r="L226" i="12" s="1"/>
  <c r="H235" i="12"/>
  <c r="L235" i="12" s="1"/>
  <c r="H237" i="12"/>
  <c r="J237" i="12" s="1"/>
  <c r="L237" i="12" s="1"/>
  <c r="H239" i="12"/>
  <c r="L239" i="12" s="1"/>
  <c r="H241" i="12"/>
  <c r="H247" i="12"/>
  <c r="J247" i="12" s="1"/>
  <c r="L247" i="12" s="1"/>
  <c r="H251" i="12"/>
  <c r="L251" i="12" s="1"/>
  <c r="H258" i="12"/>
  <c r="J258" i="12" s="1"/>
  <c r="L258" i="12" s="1"/>
  <c r="H262" i="12"/>
  <c r="J262" i="12" s="1"/>
  <c r="L262" i="12" s="1"/>
  <c r="H264" i="12"/>
  <c r="J264" i="12" s="1"/>
  <c r="L264" i="12" s="1"/>
  <c r="H266" i="12"/>
  <c r="J266" i="12" s="1"/>
  <c r="L266" i="12" s="1"/>
  <c r="H272" i="12"/>
  <c r="J272" i="12" s="1"/>
  <c r="L272" i="12" s="1"/>
  <c r="H275" i="12"/>
  <c r="L275" i="12" s="1"/>
  <c r="H281" i="12"/>
  <c r="J281" i="12" s="1"/>
  <c r="L281" i="12" s="1"/>
  <c r="H288" i="12"/>
  <c r="J288" i="12" s="1"/>
  <c r="L288" i="12" s="1"/>
  <c r="H290" i="12"/>
  <c r="H292" i="12"/>
  <c r="H294" i="12"/>
  <c r="J294" i="12" s="1"/>
  <c r="H298" i="12"/>
  <c r="H303" i="12"/>
  <c r="H309" i="12"/>
  <c r="H315" i="12"/>
  <c r="J315" i="12" s="1"/>
  <c r="L315" i="12" s="1"/>
  <c r="H321" i="12"/>
  <c r="J321" i="12" s="1"/>
  <c r="L321" i="12" s="1"/>
  <c r="H323" i="12"/>
  <c r="H330" i="12"/>
  <c r="H334" i="12"/>
  <c r="E4" i="12"/>
  <c r="G50" i="12"/>
  <c r="I50" i="12" s="1"/>
  <c r="K50" i="12" s="1"/>
  <c r="G68" i="12"/>
  <c r="I68" i="12" s="1"/>
  <c r="K68" i="12" s="1"/>
  <c r="G85" i="12"/>
  <c r="I85" i="12" s="1"/>
  <c r="K85" i="12" s="1"/>
  <c r="G93" i="12"/>
  <c r="G123" i="12"/>
  <c r="I123" i="12" s="1"/>
  <c r="K123" i="12" s="1"/>
  <c r="G127" i="12"/>
  <c r="I127" i="12" s="1"/>
  <c r="K127" i="12" s="1"/>
  <c r="G135" i="12"/>
  <c r="G139" i="12"/>
  <c r="G141" i="12"/>
  <c r="G151" i="12"/>
  <c r="G253" i="12"/>
  <c r="I253" i="12" s="1"/>
  <c r="K253" i="12" s="1"/>
  <c r="G274" i="12"/>
  <c r="I274" i="12" s="1"/>
  <c r="K274" i="12" s="1"/>
  <c r="G18" i="12"/>
  <c r="I18" i="12" s="1"/>
  <c r="K18" i="12" s="1"/>
  <c r="G330" i="12"/>
  <c r="G334" i="12"/>
  <c r="G14" i="12"/>
  <c r="I14" i="12" s="1"/>
  <c r="K14" i="12" s="1"/>
  <c r="G25" i="12"/>
  <c r="I25" i="12" s="1"/>
  <c r="K25" i="12" s="1"/>
  <c r="G33" i="12"/>
  <c r="I33" i="12" s="1"/>
  <c r="K33" i="12" s="1"/>
  <c r="G42" i="12"/>
  <c r="I42" i="12" s="1"/>
  <c r="K42" i="12" s="1"/>
  <c r="G44" i="12"/>
  <c r="G49" i="12"/>
  <c r="I49" i="12" s="1"/>
  <c r="K49" i="12" s="1"/>
  <c r="G51" i="12"/>
  <c r="I51" i="12" s="1"/>
  <c r="K51" i="12" s="1"/>
  <c r="G57" i="12"/>
  <c r="I57" i="12" s="1"/>
  <c r="K57" i="12" s="1"/>
  <c r="G62" i="12"/>
  <c r="K62" i="12" s="1"/>
  <c r="G64" i="12"/>
  <c r="G66" i="12"/>
  <c r="G69" i="12"/>
  <c r="I69" i="12" s="1"/>
  <c r="K69" i="12" s="1"/>
  <c r="G79" i="12"/>
  <c r="G83" i="12"/>
  <c r="G92" i="12"/>
  <c r="G100" i="12"/>
  <c r="I100" i="12" s="1"/>
  <c r="K100" i="12" s="1"/>
  <c r="G106" i="12"/>
  <c r="I106" i="12" s="1"/>
  <c r="K106" i="12" s="1"/>
  <c r="G108" i="12"/>
  <c r="I108" i="12" s="1"/>
  <c r="K108" i="12" s="1"/>
  <c r="G110" i="12"/>
  <c r="I110" i="12" s="1"/>
  <c r="K110" i="12" s="1"/>
  <c r="G114" i="12"/>
  <c r="I114" i="12" s="1"/>
  <c r="K114" i="12" s="1"/>
  <c r="G124" i="12"/>
  <c r="I124" i="12" s="1"/>
  <c r="K124" i="12" s="1"/>
  <c r="G126" i="12"/>
  <c r="I126" i="12" s="1"/>
  <c r="K126" i="12" s="1"/>
  <c r="G138" i="12"/>
  <c r="G144" i="12"/>
  <c r="G150" i="12"/>
  <c r="G154" i="12"/>
  <c r="G156" i="12"/>
  <c r="I156" i="12" s="1"/>
  <c r="K156" i="12" s="1"/>
  <c r="G277" i="12"/>
  <c r="I277" i="12" s="1"/>
  <c r="K277" i="12" s="1"/>
  <c r="G159" i="12"/>
  <c r="I159" i="12" s="1"/>
  <c r="K159" i="12" s="1"/>
  <c r="G161" i="12"/>
  <c r="I161" i="12" s="1"/>
  <c r="K161" i="12" s="1"/>
  <c r="G163" i="12"/>
  <c r="I163" i="12" s="1"/>
  <c r="K163" i="12" s="1"/>
  <c r="G167" i="12"/>
  <c r="I167" i="12" s="1"/>
  <c r="K167" i="12" s="1"/>
  <c r="G184" i="12"/>
  <c r="G188" i="12"/>
  <c r="I188" i="12" s="1"/>
  <c r="K188" i="12" s="1"/>
  <c r="G193" i="12"/>
  <c r="I193" i="12" s="1"/>
  <c r="K193" i="12" s="1"/>
  <c r="G202" i="12"/>
  <c r="I202" i="12" s="1"/>
  <c r="K202" i="12" s="1"/>
  <c r="G209" i="12"/>
  <c r="I209" i="12" s="1"/>
  <c r="K209" i="12" s="1"/>
  <c r="G211" i="12"/>
  <c r="I211" i="12" s="1"/>
  <c r="K211" i="12" s="1"/>
  <c r="G213" i="12"/>
  <c r="I213" i="12" s="1"/>
  <c r="K213" i="12" s="1"/>
  <c r="G214" i="12"/>
  <c r="I214" i="12" s="1"/>
  <c r="K214" i="12" s="1"/>
  <c r="G222" i="12"/>
  <c r="K222" i="12" s="1"/>
  <c r="G224" i="12"/>
  <c r="G226" i="12"/>
  <c r="I226" i="12" s="1"/>
  <c r="K226" i="12" s="1"/>
  <c r="G230" i="12"/>
  <c r="G235" i="12"/>
  <c r="I235" i="12" s="1"/>
  <c r="K235" i="12" s="1"/>
  <c r="G237" i="12"/>
  <c r="K237" i="12" s="1"/>
  <c r="G239" i="12"/>
  <c r="K239" i="12" s="1"/>
  <c r="G241" i="12"/>
  <c r="G251" i="12"/>
  <c r="I251" i="12" s="1"/>
  <c r="K251" i="12" s="1"/>
  <c r="G256" i="12"/>
  <c r="K256" i="12" s="1"/>
  <c r="G258" i="12"/>
  <c r="I258" i="12" s="1"/>
  <c r="K258" i="12" s="1"/>
  <c r="G262" i="12"/>
  <c r="K262" i="12" s="1"/>
  <c r="G264" i="12"/>
  <c r="I264" i="12" s="1"/>
  <c r="K264" i="12" s="1"/>
  <c r="G266" i="12"/>
  <c r="K266" i="12" s="1"/>
  <c r="G272" i="12"/>
  <c r="I272" i="12" s="1"/>
  <c r="K272" i="12" s="1"/>
  <c r="G275" i="12"/>
  <c r="K275" i="12" s="1"/>
  <c r="G281" i="12"/>
  <c r="I281" i="12" s="1"/>
  <c r="K281" i="12" s="1"/>
  <c r="G287" i="12"/>
  <c r="I287" i="12" s="1"/>
  <c r="K287" i="12" s="1"/>
  <c r="G288" i="12"/>
  <c r="I288" i="12" s="1"/>
  <c r="K288" i="12" s="1"/>
  <c r="G290" i="12"/>
  <c r="G292" i="12"/>
  <c r="I292" i="12" s="1"/>
  <c r="G298" i="12"/>
  <c r="G300" i="12"/>
  <c r="G303" i="12"/>
  <c r="I303" i="12" s="1"/>
  <c r="K303" i="12" s="1"/>
  <c r="G305" i="12"/>
  <c r="G307" i="12"/>
  <c r="I307" i="12" s="1"/>
  <c r="K307" i="12" s="1"/>
  <c r="G309" i="12"/>
  <c r="I309" i="12" s="1"/>
  <c r="G315" i="12"/>
  <c r="G321" i="12"/>
  <c r="I321" i="12" s="1"/>
  <c r="K321" i="12" s="1"/>
  <c r="G323" i="12"/>
  <c r="G325" i="12"/>
  <c r="I325" i="12" s="1"/>
  <c r="K325" i="12" s="1"/>
  <c r="E8" i="12"/>
  <c r="E10" i="12"/>
  <c r="E13" i="12"/>
  <c r="E15" i="12"/>
  <c r="E17" i="12"/>
  <c r="E18" i="12"/>
  <c r="E20" i="12"/>
  <c r="E22" i="12"/>
  <c r="E24" i="12"/>
  <c r="E26" i="12"/>
  <c r="E27" i="12"/>
  <c r="E30" i="12"/>
  <c r="E32" i="12"/>
  <c r="E34" i="12"/>
  <c r="E36" i="12"/>
  <c r="E39" i="12"/>
  <c r="E41" i="12"/>
  <c r="E43" i="12"/>
  <c r="E45" i="12"/>
  <c r="E47" i="12"/>
  <c r="E50" i="12"/>
  <c r="E52" i="12"/>
  <c r="E54" i="12"/>
  <c r="E56" i="12"/>
  <c r="E58" i="12"/>
  <c r="E60" i="12"/>
  <c r="E61" i="12"/>
  <c r="E63" i="12"/>
  <c r="E65" i="12"/>
  <c r="E67" i="12"/>
  <c r="E68" i="12"/>
  <c r="E70" i="12"/>
  <c r="E72" i="12"/>
  <c r="E74" i="12"/>
  <c r="E76" i="12"/>
  <c r="E78" i="12"/>
  <c r="E80" i="12"/>
  <c r="E82" i="12"/>
  <c r="E84" i="12"/>
  <c r="E85" i="12"/>
  <c r="E87" i="12"/>
  <c r="E89" i="12"/>
  <c r="E91" i="12"/>
  <c r="E93" i="12"/>
  <c r="E95" i="12"/>
  <c r="E96" i="12"/>
  <c r="E98" i="12"/>
  <c r="E101" i="12"/>
  <c r="E103" i="12"/>
  <c r="E105" i="12"/>
  <c r="E107" i="12"/>
  <c r="E109" i="12"/>
  <c r="E111" i="12"/>
  <c r="E113" i="12"/>
  <c r="E115" i="12"/>
  <c r="E116" i="12"/>
  <c r="E118" i="12"/>
  <c r="E120" i="12"/>
  <c r="E122" i="12"/>
  <c r="E123" i="12"/>
  <c r="E125" i="12"/>
  <c r="E127" i="12"/>
  <c r="E129" i="12"/>
  <c r="E131" i="12"/>
  <c r="E133" i="12"/>
  <c r="E135" i="12"/>
  <c r="E137" i="12"/>
  <c r="E139" i="12"/>
  <c r="E141" i="12"/>
  <c r="E143" i="12"/>
  <c r="E145" i="12"/>
  <c r="E147" i="12"/>
  <c r="E149" i="12"/>
  <c r="E151" i="12"/>
  <c r="E153" i="12"/>
  <c r="E155" i="12"/>
  <c r="E157" i="12"/>
  <c r="E160" i="12"/>
  <c r="E162" i="12"/>
  <c r="E164" i="12"/>
  <c r="E166" i="12"/>
  <c r="E168" i="12"/>
  <c r="E170" i="12"/>
  <c r="E172" i="12"/>
  <c r="E173" i="12"/>
  <c r="E175" i="12"/>
  <c r="E177" i="12"/>
  <c r="E179" i="12"/>
  <c r="E185" i="12"/>
  <c r="E187" i="12"/>
  <c r="E189" i="12"/>
  <c r="E191" i="12"/>
  <c r="E194" i="12"/>
  <c r="E196" i="12"/>
  <c r="E198" i="12"/>
  <c r="E200" i="12"/>
  <c r="E201" i="12"/>
  <c r="E206" i="12"/>
  <c r="E208" i="12"/>
  <c r="E210" i="12"/>
  <c r="E212" i="12"/>
  <c r="E215" i="12"/>
  <c r="E217" i="12"/>
  <c r="E219" i="12"/>
  <c r="E221" i="12"/>
  <c r="E223" i="12"/>
  <c r="E225" i="12"/>
  <c r="E181" i="12"/>
  <c r="E227" i="12"/>
  <c r="E229" i="12"/>
  <c r="E231" i="12"/>
  <c r="E234" i="12"/>
  <c r="E236" i="12"/>
  <c r="E238" i="12"/>
  <c r="E240" i="12"/>
  <c r="E242" i="12"/>
  <c r="E244" i="12"/>
  <c r="E246" i="12"/>
  <c r="E248" i="12"/>
  <c r="E250" i="12"/>
  <c r="E252" i="12"/>
  <c r="E253" i="12"/>
  <c r="E254" i="12"/>
  <c r="E257" i="12"/>
  <c r="E259" i="12"/>
  <c r="E261" i="12"/>
  <c r="E263" i="12"/>
  <c r="E265" i="12"/>
  <c r="E267" i="12"/>
  <c r="E269" i="12"/>
  <c r="E271" i="12"/>
  <c r="E273" i="12"/>
  <c r="E274" i="12"/>
  <c r="E276" i="12"/>
  <c r="E278" i="12"/>
  <c r="E280" i="12"/>
  <c r="E282" i="12"/>
  <c r="E284" i="12"/>
  <c r="E286" i="12"/>
  <c r="E289" i="12"/>
  <c r="E291" i="12"/>
  <c r="E293" i="12"/>
  <c r="E295" i="12"/>
  <c r="E297" i="12"/>
  <c r="E299" i="12"/>
  <c r="E301" i="12"/>
  <c r="E302" i="12"/>
  <c r="E304" i="12"/>
  <c r="E306" i="12"/>
  <c r="E308" i="12"/>
  <c r="E310" i="12"/>
  <c r="E312" i="12"/>
  <c r="E314" i="12"/>
  <c r="E316" i="12"/>
  <c r="E318" i="12"/>
  <c r="E320" i="12"/>
  <c r="E322" i="12"/>
  <c r="E324" i="12"/>
  <c r="E326" i="12"/>
  <c r="E327" i="12"/>
  <c r="E329" i="12"/>
  <c r="E331" i="12"/>
  <c r="E333" i="12"/>
  <c r="E335" i="12"/>
  <c r="E337" i="12"/>
  <c r="E6" i="12"/>
  <c r="C151" i="12"/>
  <c r="N151" i="12" s="1"/>
  <c r="E7" i="12"/>
  <c r="E9" i="12"/>
  <c r="E11" i="12"/>
  <c r="E12" i="12"/>
  <c r="E14" i="12"/>
  <c r="E16" i="12"/>
  <c r="E19" i="12"/>
  <c r="E21" i="12"/>
  <c r="E23" i="12"/>
  <c r="E25" i="12"/>
  <c r="E28" i="12"/>
  <c r="E29" i="12"/>
  <c r="E31" i="12"/>
  <c r="E33" i="12"/>
  <c r="E35" i="12"/>
  <c r="E37" i="12"/>
  <c r="E38" i="12"/>
  <c r="E40" i="12"/>
  <c r="E42" i="12"/>
  <c r="E44" i="12"/>
  <c r="E46" i="12"/>
  <c r="E48" i="12"/>
  <c r="E49" i="12"/>
  <c r="E51" i="12"/>
  <c r="E53" i="12"/>
  <c r="E55" i="12"/>
  <c r="E57" i="12"/>
  <c r="E59" i="12"/>
  <c r="E62" i="12"/>
  <c r="E64" i="12"/>
  <c r="E66" i="12"/>
  <c r="E69" i="12"/>
  <c r="E71" i="12"/>
  <c r="E73" i="12"/>
  <c r="E75" i="12"/>
  <c r="E77" i="12"/>
  <c r="E79" i="12"/>
  <c r="E81" i="12"/>
  <c r="E83" i="12"/>
  <c r="E86" i="12"/>
  <c r="E88" i="12"/>
  <c r="E90" i="12"/>
  <c r="E92" i="12"/>
  <c r="E94" i="12"/>
  <c r="E97" i="12"/>
  <c r="E99" i="12"/>
  <c r="E100" i="12"/>
  <c r="E102" i="12"/>
  <c r="E104" i="12"/>
  <c r="E106" i="12"/>
  <c r="E108" i="12"/>
  <c r="E110" i="12"/>
  <c r="E112" i="12"/>
  <c r="E114" i="12"/>
  <c r="E117" i="12"/>
  <c r="E119" i="12"/>
  <c r="E121" i="12"/>
  <c r="E124" i="12"/>
  <c r="E126" i="12"/>
  <c r="E128" i="12"/>
  <c r="E130" i="12"/>
  <c r="E132" i="12"/>
  <c r="E134" i="12"/>
  <c r="E136" i="12"/>
  <c r="E138" i="12"/>
  <c r="E140" i="12"/>
  <c r="E142" i="12"/>
  <c r="E144" i="12"/>
  <c r="E146" i="12"/>
  <c r="E148" i="12"/>
  <c r="E150" i="12"/>
  <c r="E152" i="12"/>
  <c r="E154" i="12"/>
  <c r="E156" i="12"/>
  <c r="E277" i="12"/>
  <c r="E158" i="12"/>
  <c r="E159" i="12"/>
  <c r="E161" i="12"/>
  <c r="E163" i="12"/>
  <c r="E165" i="12"/>
  <c r="E167" i="12"/>
  <c r="E169" i="12"/>
  <c r="E171" i="12"/>
  <c r="E174" i="12"/>
  <c r="E176" i="12"/>
  <c r="E178" i="12"/>
  <c r="E180" i="12"/>
  <c r="E182" i="12"/>
  <c r="E183" i="12"/>
  <c r="E184" i="12"/>
  <c r="E186" i="12"/>
  <c r="E188" i="12"/>
  <c r="E190" i="12"/>
  <c r="E192" i="12"/>
  <c r="E193" i="12"/>
  <c r="E195" i="12"/>
  <c r="E197" i="12"/>
  <c r="E199" i="12"/>
  <c r="E202" i="12"/>
  <c r="E203" i="12"/>
  <c r="E204" i="12"/>
  <c r="E205" i="12"/>
  <c r="E207" i="12"/>
  <c r="E209" i="12"/>
  <c r="E211" i="12"/>
  <c r="E213" i="12"/>
  <c r="E214" i="12"/>
  <c r="E216" i="12"/>
  <c r="E218" i="12"/>
  <c r="E220" i="12"/>
  <c r="E222" i="12"/>
  <c r="E224" i="12"/>
  <c r="E226" i="12"/>
  <c r="E228" i="12"/>
  <c r="E230" i="12"/>
  <c r="E232" i="12"/>
  <c r="E233" i="12"/>
  <c r="E235" i="12"/>
  <c r="E237" i="12"/>
  <c r="E239" i="12"/>
  <c r="E241" i="12"/>
  <c r="E243" i="12"/>
  <c r="E245" i="12"/>
  <c r="E247" i="12"/>
  <c r="E249" i="12"/>
  <c r="E251" i="12"/>
  <c r="E255" i="12"/>
  <c r="E256" i="12"/>
  <c r="E258" i="12"/>
  <c r="E260" i="12"/>
  <c r="E262" i="12"/>
  <c r="E264" i="12"/>
  <c r="E266" i="12"/>
  <c r="E268" i="12"/>
  <c r="E270" i="12"/>
  <c r="E272" i="12"/>
  <c r="E275" i="12"/>
  <c r="E279" i="12"/>
  <c r="E281" i="12"/>
  <c r="E283" i="12"/>
  <c r="E285" i="12"/>
  <c r="E287" i="12"/>
  <c r="E288" i="12"/>
  <c r="E290" i="12"/>
  <c r="E292" i="12"/>
  <c r="E294" i="12"/>
  <c r="E296" i="12"/>
  <c r="E298" i="12"/>
  <c r="E300" i="12"/>
  <c r="E303" i="12"/>
  <c r="E305" i="12"/>
  <c r="E307" i="12"/>
  <c r="E309" i="12"/>
  <c r="E311" i="12"/>
  <c r="E313" i="12"/>
  <c r="E315" i="12"/>
  <c r="E317" i="12"/>
  <c r="E319" i="12"/>
  <c r="E321" i="12"/>
  <c r="E323" i="12"/>
  <c r="E325" i="12"/>
  <c r="E328" i="12"/>
  <c r="E330" i="12"/>
  <c r="E332" i="12"/>
  <c r="E334" i="12"/>
  <c r="E336" i="12"/>
  <c r="E5" i="12"/>
  <c r="L14" i="9"/>
  <c r="M10" i="9"/>
  <c r="M14" i="9"/>
  <c r="N14" i="9"/>
  <c r="P10" i="9"/>
  <c r="R10" i="9"/>
  <c r="P14" i="9"/>
  <c r="Q14" i="9"/>
  <c r="R14" i="9"/>
  <c r="S14" i="9"/>
  <c r="N19" i="43"/>
  <c r="N73" i="43"/>
  <c r="M19" i="43"/>
  <c r="M73" i="43"/>
  <c r="L19" i="43"/>
  <c r="K19" i="43"/>
  <c r="K73" i="43"/>
  <c r="K10" i="9"/>
  <c r="O9" i="8"/>
  <c r="Q9" i="8"/>
  <c r="S9" i="8"/>
  <c r="T9" i="8"/>
  <c r="U9" i="8"/>
  <c r="V9" i="8"/>
  <c r="O16" i="8"/>
  <c r="P16" i="8"/>
  <c r="Q16" i="8"/>
  <c r="R16" i="8"/>
  <c r="S16" i="8"/>
  <c r="T16" i="8"/>
  <c r="U16" i="8"/>
  <c r="V16" i="8"/>
  <c r="S19" i="8"/>
  <c r="T19" i="8"/>
  <c r="U19" i="8"/>
  <c r="V19" i="8"/>
  <c r="Q22" i="8"/>
  <c r="O26" i="8"/>
  <c r="Q26" i="8"/>
  <c r="S26" i="8"/>
  <c r="T26" i="8"/>
  <c r="U26" i="8"/>
  <c r="V26" i="8"/>
  <c r="S27" i="8"/>
  <c r="T27" i="8"/>
  <c r="U27" i="8"/>
  <c r="V27" i="8"/>
  <c r="S33" i="8"/>
  <c r="T33" i="8"/>
  <c r="U33" i="8"/>
  <c r="V33" i="8"/>
  <c r="Q36" i="8"/>
  <c r="O37" i="8"/>
  <c r="Q37" i="8"/>
  <c r="S37" i="8"/>
  <c r="T37" i="8"/>
  <c r="U37" i="8"/>
  <c r="V37" i="8"/>
  <c r="S44" i="8"/>
  <c r="T44" i="8"/>
  <c r="U44" i="8"/>
  <c r="V44" i="8"/>
  <c r="O46" i="8"/>
  <c r="R46" i="8"/>
  <c r="S46" i="8"/>
  <c r="T46" i="8"/>
  <c r="U46" i="8"/>
  <c r="V46" i="8"/>
  <c r="O50" i="8"/>
  <c r="Q50" i="8"/>
  <c r="S57" i="8"/>
  <c r="T57" i="8"/>
  <c r="U57" i="8"/>
  <c r="V57" i="8"/>
  <c r="S61" i="8"/>
  <c r="S62" i="8"/>
  <c r="T62" i="8"/>
  <c r="U62" i="8"/>
  <c r="V62" i="8"/>
  <c r="O66" i="8"/>
  <c r="P66" i="8"/>
  <c r="Q66" i="8"/>
  <c r="S67" i="8"/>
  <c r="T67" i="8"/>
  <c r="U67" i="8"/>
  <c r="V67" i="8"/>
  <c r="O68" i="8"/>
  <c r="Q68" i="8"/>
  <c r="S68" i="8"/>
  <c r="T68" i="8"/>
  <c r="U68" i="8"/>
  <c r="V68" i="8"/>
  <c r="O72" i="8"/>
  <c r="P72" i="8"/>
  <c r="Q72" i="8"/>
  <c r="S72" i="8"/>
  <c r="T72" i="8"/>
  <c r="U72" i="8"/>
  <c r="V72" i="8"/>
  <c r="O74" i="8"/>
  <c r="O75" i="8"/>
  <c r="P75" i="8"/>
  <c r="Q75" i="8"/>
  <c r="R75" i="8"/>
  <c r="S75" i="8"/>
  <c r="T75" i="8"/>
  <c r="U75" i="8"/>
  <c r="V75" i="8"/>
  <c r="O80" i="8"/>
  <c r="Q80" i="8"/>
  <c r="S80" i="8"/>
  <c r="T80" i="8"/>
  <c r="U80" i="8"/>
  <c r="V80" i="8"/>
  <c r="S83" i="8"/>
  <c r="T83" i="8"/>
  <c r="U83" i="8"/>
  <c r="V83" i="8"/>
  <c r="S90" i="8"/>
  <c r="T90" i="8"/>
  <c r="U90" i="8"/>
  <c r="V90" i="8"/>
  <c r="S97" i="8"/>
  <c r="T97" i="8"/>
  <c r="U97" i="8"/>
  <c r="V97" i="8"/>
  <c r="S111" i="8"/>
  <c r="T111" i="8"/>
  <c r="U111" i="8"/>
  <c r="V111" i="8"/>
  <c r="S112" i="8"/>
  <c r="T112" i="8"/>
  <c r="U112" i="8"/>
  <c r="V112" i="8"/>
  <c r="Q121" i="8"/>
  <c r="O127" i="8"/>
  <c r="P127" i="8"/>
  <c r="Q127" i="8"/>
  <c r="R127" i="8"/>
  <c r="S127" i="8"/>
  <c r="T127" i="8"/>
  <c r="U127" i="8"/>
  <c r="V127" i="8"/>
  <c r="O129" i="8"/>
  <c r="O140" i="8"/>
  <c r="Q140" i="8"/>
  <c r="R140" i="8"/>
  <c r="S140" i="8"/>
  <c r="T140" i="8"/>
  <c r="U140" i="8"/>
  <c r="V140" i="8"/>
  <c r="P141" i="8"/>
  <c r="S154" i="8"/>
  <c r="T154" i="8"/>
  <c r="U154" i="8"/>
  <c r="V154" i="8"/>
  <c r="O162" i="8"/>
  <c r="P162" i="8"/>
  <c r="Q162" i="8"/>
  <c r="R162" i="8"/>
  <c r="S162" i="8"/>
  <c r="T162" i="8"/>
  <c r="U162" i="8"/>
  <c r="V162" i="8"/>
  <c r="S165" i="8"/>
  <c r="T165" i="8"/>
  <c r="U165" i="8"/>
  <c r="V165" i="8"/>
  <c r="S174" i="8"/>
  <c r="T174" i="8"/>
  <c r="U174" i="8"/>
  <c r="V174" i="8"/>
  <c r="H132" i="8"/>
  <c r="H259" i="12" s="1"/>
  <c r="F132" i="8"/>
  <c r="G259" i="12" s="1"/>
  <c r="J113" i="8"/>
  <c r="S113" i="8" s="1"/>
  <c r="X176" i="7"/>
  <c r="W176" i="7"/>
  <c r="V176" i="7"/>
  <c r="U176" i="7"/>
  <c r="X175" i="7"/>
  <c r="W175" i="7"/>
  <c r="V175" i="7"/>
  <c r="U175" i="7"/>
  <c r="T175" i="7"/>
  <c r="S175" i="7"/>
  <c r="Q175" i="7"/>
  <c r="X174" i="7"/>
  <c r="W174" i="7"/>
  <c r="V174" i="7"/>
  <c r="U174" i="7"/>
  <c r="R174" i="7"/>
  <c r="X173" i="7"/>
  <c r="W173" i="7"/>
  <c r="V173" i="7"/>
  <c r="U173" i="7"/>
  <c r="S173" i="7"/>
  <c r="Q173" i="7"/>
  <c r="X172" i="7"/>
  <c r="W172" i="7"/>
  <c r="V172" i="7"/>
  <c r="U172" i="7"/>
  <c r="X171" i="7"/>
  <c r="W171" i="7"/>
  <c r="V171" i="7"/>
  <c r="U171" i="7"/>
  <c r="R171" i="7"/>
  <c r="Q171" i="7"/>
  <c r="X170" i="7"/>
  <c r="W170" i="7"/>
  <c r="V170" i="7"/>
  <c r="U170" i="7"/>
  <c r="S170" i="7"/>
  <c r="R170" i="7"/>
  <c r="Q170" i="7"/>
  <c r="X169" i="7"/>
  <c r="W169" i="7"/>
  <c r="V169" i="7"/>
  <c r="U169" i="7"/>
  <c r="T169" i="7"/>
  <c r="S169" i="7"/>
  <c r="R169" i="7"/>
  <c r="Q169" i="7"/>
  <c r="X168" i="7"/>
  <c r="W168" i="7"/>
  <c r="V168" i="7"/>
  <c r="U168" i="7"/>
  <c r="T168" i="7"/>
  <c r="S168" i="7"/>
  <c r="R168" i="7"/>
  <c r="Q168" i="7"/>
  <c r="X167" i="7"/>
  <c r="W167" i="7"/>
  <c r="V167" i="7"/>
  <c r="U167" i="7"/>
  <c r="X166" i="7"/>
  <c r="W166" i="7"/>
  <c r="V166" i="7"/>
  <c r="U166" i="7"/>
  <c r="X165" i="7"/>
  <c r="W165" i="7"/>
  <c r="V165" i="7"/>
  <c r="U165" i="7"/>
  <c r="T165" i="7"/>
  <c r="S165" i="7"/>
  <c r="R165" i="7"/>
  <c r="Q165" i="7"/>
  <c r="X164" i="7"/>
  <c r="W164" i="7"/>
  <c r="V164" i="7"/>
  <c r="U164" i="7"/>
  <c r="S164" i="7"/>
  <c r="Q164" i="7"/>
  <c r="X163" i="7"/>
  <c r="W163" i="7"/>
  <c r="V163" i="7"/>
  <c r="U163" i="7"/>
  <c r="X162" i="7"/>
  <c r="W162" i="7"/>
  <c r="V162" i="7"/>
  <c r="U162" i="7"/>
  <c r="X161" i="7"/>
  <c r="W161" i="7"/>
  <c r="V161" i="7"/>
  <c r="U161" i="7"/>
  <c r="X160" i="7"/>
  <c r="W160" i="7"/>
  <c r="V160" i="7"/>
  <c r="U160" i="7"/>
  <c r="Q160" i="7"/>
  <c r="X159" i="7"/>
  <c r="W159" i="7"/>
  <c r="V159" i="7"/>
  <c r="U159" i="7"/>
  <c r="Q159" i="7"/>
  <c r="X158" i="7"/>
  <c r="W158" i="7"/>
  <c r="V158" i="7"/>
  <c r="U158" i="7"/>
  <c r="S158" i="7"/>
  <c r="Q158" i="7"/>
  <c r="X157" i="7"/>
  <c r="W157" i="7"/>
  <c r="V157" i="7"/>
  <c r="U157" i="7"/>
  <c r="Q157" i="7"/>
  <c r="X156" i="7"/>
  <c r="W156" i="7"/>
  <c r="V156" i="7"/>
  <c r="U156" i="7"/>
  <c r="S156" i="7"/>
  <c r="R156" i="7"/>
  <c r="Q156" i="7"/>
  <c r="X155" i="7"/>
  <c r="W155" i="7"/>
  <c r="V155" i="7"/>
  <c r="U155" i="7"/>
  <c r="X154" i="7"/>
  <c r="W154" i="7"/>
  <c r="V154" i="7"/>
  <c r="U154" i="7"/>
  <c r="S154" i="7"/>
  <c r="X153" i="7"/>
  <c r="W153" i="7"/>
  <c r="V153" i="7"/>
  <c r="U153" i="7"/>
  <c r="T153" i="7"/>
  <c r="S153" i="7"/>
  <c r="R153" i="7"/>
  <c r="Q153" i="7"/>
  <c r="X152" i="7"/>
  <c r="W152" i="7"/>
  <c r="V152" i="7"/>
  <c r="U152" i="7"/>
  <c r="T152" i="7"/>
  <c r="S152" i="7"/>
  <c r="R152" i="7"/>
  <c r="Q152" i="7"/>
  <c r="X151" i="7"/>
  <c r="W151" i="7"/>
  <c r="V151" i="7"/>
  <c r="U151" i="7"/>
  <c r="T151" i="7"/>
  <c r="S151" i="7"/>
  <c r="Q151" i="7"/>
  <c r="X150" i="7"/>
  <c r="W150" i="7"/>
  <c r="V150" i="7"/>
  <c r="U150" i="7"/>
  <c r="Q150" i="7"/>
  <c r="X149" i="7"/>
  <c r="W149" i="7"/>
  <c r="V149" i="7"/>
  <c r="U149" i="7"/>
  <c r="X148" i="7"/>
  <c r="W148" i="7"/>
  <c r="V148" i="7"/>
  <c r="U148" i="7"/>
  <c r="X147" i="7"/>
  <c r="W147" i="7"/>
  <c r="V147" i="7"/>
  <c r="U147" i="7"/>
  <c r="S147" i="7"/>
  <c r="Q147" i="7"/>
  <c r="X146" i="7"/>
  <c r="W146" i="7"/>
  <c r="V146" i="7"/>
  <c r="U146" i="7"/>
  <c r="X145" i="7"/>
  <c r="W145" i="7"/>
  <c r="V145" i="7"/>
  <c r="U145" i="7"/>
  <c r="T145" i="7"/>
  <c r="S145" i="7"/>
  <c r="R145" i="7"/>
  <c r="Q145" i="7"/>
  <c r="X144" i="7"/>
  <c r="W144" i="7"/>
  <c r="V144" i="7"/>
  <c r="U144" i="7"/>
  <c r="T144" i="7"/>
  <c r="S144" i="7"/>
  <c r="R144" i="7"/>
  <c r="Q144" i="7"/>
  <c r="X143" i="7"/>
  <c r="W143" i="7"/>
  <c r="V143" i="7"/>
  <c r="U143" i="7"/>
  <c r="X142" i="7"/>
  <c r="W142" i="7"/>
  <c r="V142" i="7"/>
  <c r="U142" i="7"/>
  <c r="X141" i="7"/>
  <c r="W141" i="7"/>
  <c r="V141" i="7"/>
  <c r="U141" i="7"/>
  <c r="T141" i="7"/>
  <c r="S141" i="7"/>
  <c r="Q141" i="7"/>
  <c r="X140" i="7"/>
  <c r="W140" i="7"/>
  <c r="V140" i="7"/>
  <c r="U140" i="7"/>
  <c r="T140" i="7"/>
  <c r="S140" i="7"/>
  <c r="R140" i="7"/>
  <c r="Q140" i="7"/>
  <c r="X139" i="7"/>
  <c r="W139" i="7"/>
  <c r="V139" i="7"/>
  <c r="U139" i="7"/>
  <c r="S139" i="7"/>
  <c r="R139" i="7"/>
  <c r="Q139" i="7"/>
  <c r="X138" i="7"/>
  <c r="W138" i="7"/>
  <c r="V138" i="7"/>
  <c r="U138" i="7"/>
  <c r="X137" i="7"/>
  <c r="W137" i="7"/>
  <c r="V137" i="7"/>
  <c r="U137" i="7"/>
  <c r="S137" i="7"/>
  <c r="Q137" i="7"/>
  <c r="X136" i="7"/>
  <c r="W136" i="7"/>
  <c r="V136" i="7"/>
  <c r="U136" i="7"/>
  <c r="Q136" i="7"/>
  <c r="X135" i="7"/>
  <c r="W135" i="7"/>
  <c r="V135" i="7"/>
  <c r="U135" i="7"/>
  <c r="X134" i="7"/>
  <c r="W134" i="7"/>
  <c r="V134" i="7"/>
  <c r="U134" i="7"/>
  <c r="T134" i="7"/>
  <c r="S134" i="7"/>
  <c r="R134" i="7"/>
  <c r="Q134" i="7"/>
  <c r="X133" i="7"/>
  <c r="W133" i="7"/>
  <c r="V133" i="7"/>
  <c r="U133" i="7"/>
  <c r="X132" i="7"/>
  <c r="W132" i="7"/>
  <c r="V132" i="7"/>
  <c r="U132" i="7"/>
  <c r="X131" i="7"/>
  <c r="W131" i="7"/>
  <c r="V131" i="7"/>
  <c r="U131" i="7"/>
  <c r="S131" i="7"/>
  <c r="X130" i="7"/>
  <c r="W130" i="7"/>
  <c r="V130" i="7"/>
  <c r="U130" i="7"/>
  <c r="X129" i="7"/>
  <c r="W129" i="7"/>
  <c r="V129" i="7"/>
  <c r="U129" i="7"/>
  <c r="X128" i="7"/>
  <c r="W128" i="7"/>
  <c r="V128" i="7"/>
  <c r="U128" i="7"/>
  <c r="S128" i="7"/>
  <c r="Q128" i="7"/>
  <c r="X127" i="7"/>
  <c r="W127" i="7"/>
  <c r="V127" i="7"/>
  <c r="U127" i="7"/>
  <c r="S127" i="7"/>
  <c r="R127" i="7"/>
  <c r="Q127" i="7"/>
  <c r="X126" i="7"/>
  <c r="W126" i="7"/>
  <c r="V126" i="7"/>
  <c r="U126" i="7"/>
  <c r="T126" i="7"/>
  <c r="S126" i="7"/>
  <c r="R126" i="7"/>
  <c r="Q126" i="7"/>
  <c r="X125" i="7"/>
  <c r="W125" i="7"/>
  <c r="V125" i="7"/>
  <c r="U125" i="7"/>
  <c r="S125" i="7"/>
  <c r="R125" i="7"/>
  <c r="Q125" i="7"/>
  <c r="X124" i="7"/>
  <c r="W124" i="7"/>
  <c r="V124" i="7"/>
  <c r="U124" i="7"/>
  <c r="X123" i="7"/>
  <c r="W123" i="7"/>
  <c r="V123" i="7"/>
  <c r="U123" i="7"/>
  <c r="X122" i="7"/>
  <c r="W122" i="7"/>
  <c r="V122" i="7"/>
  <c r="U122" i="7"/>
  <c r="R122" i="7"/>
  <c r="Q122" i="7"/>
  <c r="X121" i="7"/>
  <c r="W121" i="7"/>
  <c r="V121" i="7"/>
  <c r="U121" i="7"/>
  <c r="X120" i="7"/>
  <c r="W120" i="7"/>
  <c r="V120" i="7"/>
  <c r="U120" i="7"/>
  <c r="T120" i="7"/>
  <c r="S120" i="7"/>
  <c r="R120" i="7"/>
  <c r="Q120" i="7"/>
  <c r="X119" i="7"/>
  <c r="W119" i="7"/>
  <c r="V119" i="7"/>
  <c r="U119" i="7"/>
  <c r="X118" i="7"/>
  <c r="W118" i="7"/>
  <c r="V118" i="7"/>
  <c r="U118" i="7"/>
  <c r="S118" i="7"/>
  <c r="Q118" i="7"/>
  <c r="X117" i="7"/>
  <c r="W117" i="7"/>
  <c r="V117" i="7"/>
  <c r="U117" i="7"/>
  <c r="S117" i="7"/>
  <c r="X116" i="7"/>
  <c r="W116" i="7"/>
  <c r="V116" i="7"/>
  <c r="U116" i="7"/>
  <c r="X115" i="7"/>
  <c r="W115" i="7"/>
  <c r="V115" i="7"/>
  <c r="U115" i="7"/>
  <c r="X114" i="7"/>
  <c r="W114" i="7"/>
  <c r="V114" i="7"/>
  <c r="U114" i="7"/>
  <c r="T114" i="7"/>
  <c r="S114" i="7"/>
  <c r="R114" i="7"/>
  <c r="Q114" i="7"/>
  <c r="X113" i="7"/>
  <c r="W113" i="7"/>
  <c r="V113" i="7"/>
  <c r="U113" i="7"/>
  <c r="Q113" i="7"/>
  <c r="X112" i="7"/>
  <c r="W112" i="7"/>
  <c r="V112" i="7"/>
  <c r="U112" i="7"/>
  <c r="S112" i="7"/>
  <c r="R112" i="7"/>
  <c r="Q112" i="7"/>
  <c r="X111" i="7"/>
  <c r="W111" i="7"/>
  <c r="V111" i="7"/>
  <c r="U111" i="7"/>
  <c r="S111" i="7"/>
  <c r="R111" i="7"/>
  <c r="Q111" i="7"/>
  <c r="X110" i="7"/>
  <c r="W110" i="7"/>
  <c r="V110" i="7"/>
  <c r="U110" i="7"/>
  <c r="X109" i="7"/>
  <c r="W109" i="7"/>
  <c r="V109" i="7"/>
  <c r="U109" i="7"/>
  <c r="X108" i="7"/>
  <c r="W108" i="7"/>
  <c r="V108" i="7"/>
  <c r="U108" i="7"/>
  <c r="X107" i="7"/>
  <c r="W107" i="7"/>
  <c r="V107" i="7"/>
  <c r="U107" i="7"/>
  <c r="X106" i="7"/>
  <c r="W106" i="7"/>
  <c r="V106" i="7"/>
  <c r="U106" i="7"/>
  <c r="S106" i="7"/>
  <c r="Q106" i="7"/>
  <c r="X105" i="7"/>
  <c r="W105" i="7"/>
  <c r="V105" i="7"/>
  <c r="U105" i="7"/>
  <c r="X104" i="7"/>
  <c r="W104" i="7"/>
  <c r="V104" i="7"/>
  <c r="U104" i="7"/>
  <c r="X103" i="7"/>
  <c r="W103" i="7"/>
  <c r="V103" i="7"/>
  <c r="U103" i="7"/>
  <c r="X102" i="7"/>
  <c r="W102" i="7"/>
  <c r="V102" i="7"/>
  <c r="U102" i="7"/>
  <c r="S102" i="7"/>
  <c r="R102" i="7"/>
  <c r="Q102" i="7"/>
  <c r="X101" i="7"/>
  <c r="W101" i="7"/>
  <c r="V101" i="7"/>
  <c r="U101" i="7"/>
  <c r="X100" i="7"/>
  <c r="W100" i="7"/>
  <c r="V100" i="7"/>
  <c r="U100" i="7"/>
  <c r="X99" i="7"/>
  <c r="W99" i="7"/>
  <c r="V99" i="7"/>
  <c r="U99" i="7"/>
  <c r="S99" i="7"/>
  <c r="Q99" i="7"/>
  <c r="X98" i="7"/>
  <c r="W98" i="7"/>
  <c r="V98" i="7"/>
  <c r="U98" i="7"/>
  <c r="X97" i="7"/>
  <c r="W97" i="7"/>
  <c r="V97" i="7"/>
  <c r="U97" i="7"/>
  <c r="S97" i="7"/>
  <c r="R97" i="7"/>
  <c r="Q97" i="7"/>
  <c r="X96" i="7"/>
  <c r="W96" i="7"/>
  <c r="V96" i="7"/>
  <c r="U96" i="7"/>
  <c r="X95" i="7"/>
  <c r="W95" i="7"/>
  <c r="V95" i="7"/>
  <c r="U95" i="7"/>
  <c r="X94" i="7"/>
  <c r="W94" i="7"/>
  <c r="V94" i="7"/>
  <c r="U94" i="7"/>
  <c r="S94" i="7"/>
  <c r="X93" i="7"/>
  <c r="W93" i="7"/>
  <c r="V93" i="7"/>
  <c r="U93" i="7"/>
  <c r="X92" i="7"/>
  <c r="W92" i="7"/>
  <c r="V92" i="7"/>
  <c r="U92" i="7"/>
  <c r="X91" i="7"/>
  <c r="W91" i="7"/>
  <c r="V91" i="7"/>
  <c r="U91" i="7"/>
  <c r="X90" i="7"/>
  <c r="W90" i="7"/>
  <c r="V90" i="7"/>
  <c r="U90" i="7"/>
  <c r="X89" i="7"/>
  <c r="W89" i="7"/>
  <c r="V89" i="7"/>
  <c r="U89" i="7"/>
  <c r="X88" i="7"/>
  <c r="W88" i="7"/>
  <c r="V88" i="7"/>
  <c r="U88" i="7"/>
  <c r="T88" i="7"/>
  <c r="S88" i="7"/>
  <c r="R88" i="7"/>
  <c r="Q88" i="7"/>
  <c r="X87" i="7"/>
  <c r="W87" i="7"/>
  <c r="V87" i="7"/>
  <c r="U87" i="7"/>
  <c r="X86" i="7"/>
  <c r="W86" i="7"/>
  <c r="V86" i="7"/>
  <c r="U86" i="7"/>
  <c r="T86" i="7"/>
  <c r="S86" i="7"/>
  <c r="R86" i="7"/>
  <c r="Q86" i="7"/>
  <c r="X85" i="7"/>
  <c r="W85" i="7"/>
  <c r="V85" i="7"/>
  <c r="U85" i="7"/>
  <c r="T85" i="7"/>
  <c r="S85" i="7"/>
  <c r="R85" i="7"/>
  <c r="Q85" i="7"/>
  <c r="X84" i="7"/>
  <c r="W84" i="7"/>
  <c r="V84" i="7"/>
  <c r="U84" i="7"/>
  <c r="R84" i="7"/>
  <c r="Q84" i="7"/>
  <c r="X83" i="7"/>
  <c r="W83" i="7"/>
  <c r="V83" i="7"/>
  <c r="U83" i="7"/>
  <c r="X82" i="7"/>
  <c r="W82" i="7"/>
  <c r="V82" i="7"/>
  <c r="U82" i="7"/>
  <c r="S82" i="7"/>
  <c r="R82" i="7"/>
  <c r="Q82" i="7"/>
  <c r="X81" i="7"/>
  <c r="W81" i="7"/>
  <c r="V81" i="7"/>
  <c r="U81" i="7"/>
  <c r="S81" i="7"/>
  <c r="R81" i="7"/>
  <c r="Q81" i="7"/>
  <c r="X80" i="7"/>
  <c r="W80" i="7"/>
  <c r="V80" i="7"/>
  <c r="U80" i="7"/>
  <c r="R80" i="7"/>
  <c r="Q80" i="7"/>
  <c r="X79" i="7"/>
  <c r="W79" i="7"/>
  <c r="V79" i="7"/>
  <c r="U79" i="7"/>
  <c r="X78" i="7"/>
  <c r="W78" i="7"/>
  <c r="V78" i="7"/>
  <c r="U78" i="7"/>
  <c r="S78" i="7"/>
  <c r="Q78" i="7"/>
  <c r="X77" i="7"/>
  <c r="W77" i="7"/>
  <c r="V77" i="7"/>
  <c r="U77" i="7"/>
  <c r="X76" i="7"/>
  <c r="W76" i="7"/>
  <c r="V76" i="7"/>
  <c r="U76" i="7"/>
  <c r="X75" i="7"/>
  <c r="W75" i="7"/>
  <c r="V75" i="7"/>
  <c r="U75" i="7"/>
  <c r="T75" i="7"/>
  <c r="S75" i="7"/>
  <c r="R75" i="7"/>
  <c r="Q75" i="7"/>
  <c r="X74" i="7"/>
  <c r="W74" i="7"/>
  <c r="V74" i="7"/>
  <c r="U74" i="7"/>
  <c r="X73" i="7"/>
  <c r="W73" i="7"/>
  <c r="V73" i="7"/>
  <c r="U73" i="7"/>
  <c r="X72" i="7"/>
  <c r="W72" i="7"/>
  <c r="V72" i="7"/>
  <c r="U72" i="7"/>
  <c r="Q72" i="7"/>
  <c r="X71" i="7"/>
  <c r="W71" i="7"/>
  <c r="V71" i="7"/>
  <c r="U71" i="7"/>
  <c r="X70" i="7"/>
  <c r="W70" i="7"/>
  <c r="V70" i="7"/>
  <c r="U70" i="7"/>
  <c r="S70" i="7"/>
  <c r="X69" i="7"/>
  <c r="W69" i="7"/>
  <c r="V69" i="7"/>
  <c r="U69" i="7"/>
  <c r="T69" i="7"/>
  <c r="R69" i="7"/>
  <c r="X68" i="7"/>
  <c r="W68" i="7"/>
  <c r="V68" i="7"/>
  <c r="U68" i="7"/>
  <c r="R68" i="7"/>
  <c r="X67" i="7"/>
  <c r="W67" i="7"/>
  <c r="V67" i="7"/>
  <c r="U67" i="7"/>
  <c r="S67" i="7"/>
  <c r="X66" i="7"/>
  <c r="W66" i="7"/>
  <c r="V66" i="7"/>
  <c r="U66" i="7"/>
  <c r="Q66" i="7"/>
  <c r="X65" i="7"/>
  <c r="W65" i="7"/>
  <c r="V65" i="7"/>
  <c r="U65" i="7"/>
  <c r="S65" i="7"/>
  <c r="Q65" i="7"/>
  <c r="X64" i="7"/>
  <c r="W64" i="7"/>
  <c r="V64" i="7"/>
  <c r="U64" i="7"/>
  <c r="S64" i="7"/>
  <c r="X63" i="7"/>
  <c r="W63" i="7"/>
  <c r="V63" i="7"/>
  <c r="U63" i="7"/>
  <c r="X62" i="7"/>
  <c r="W62" i="7"/>
  <c r="V62" i="7"/>
  <c r="U62" i="7"/>
  <c r="X61" i="7"/>
  <c r="W61" i="7"/>
  <c r="V61" i="7"/>
  <c r="U61" i="7"/>
  <c r="T61" i="7"/>
  <c r="S61" i="7"/>
  <c r="R61" i="7"/>
  <c r="Q61" i="7"/>
  <c r="X60" i="7"/>
  <c r="W60" i="7"/>
  <c r="V60" i="7"/>
  <c r="U60" i="7"/>
  <c r="X59" i="7"/>
  <c r="W59" i="7"/>
  <c r="V59" i="7"/>
  <c r="U59" i="7"/>
  <c r="S59" i="7"/>
  <c r="R59" i="7"/>
  <c r="Q59" i="7"/>
  <c r="X58" i="7"/>
  <c r="W58" i="7"/>
  <c r="V58" i="7"/>
  <c r="U58" i="7"/>
  <c r="T58" i="7"/>
  <c r="S58" i="7"/>
  <c r="R58" i="7"/>
  <c r="Q58" i="7"/>
  <c r="X57" i="7"/>
  <c r="W57" i="7"/>
  <c r="V57" i="7"/>
  <c r="U57" i="7"/>
  <c r="Q57" i="7"/>
  <c r="X56" i="7"/>
  <c r="W56" i="7"/>
  <c r="V56" i="7"/>
  <c r="U56" i="7"/>
  <c r="X55" i="7"/>
  <c r="W55" i="7"/>
  <c r="V55" i="7"/>
  <c r="U55" i="7"/>
  <c r="X54" i="7"/>
  <c r="W54" i="7"/>
  <c r="V54" i="7"/>
  <c r="U54" i="7"/>
  <c r="S54" i="7"/>
  <c r="R54" i="7"/>
  <c r="Q54" i="7"/>
  <c r="X53" i="7"/>
  <c r="W53" i="7"/>
  <c r="V53" i="7"/>
  <c r="U53" i="7"/>
  <c r="T53" i="7"/>
  <c r="R53" i="7"/>
  <c r="X52" i="7"/>
  <c r="W52" i="7"/>
  <c r="V52" i="7"/>
  <c r="U52" i="7"/>
  <c r="X51" i="7"/>
  <c r="W51" i="7"/>
  <c r="V51" i="7"/>
  <c r="U51" i="7"/>
  <c r="X50" i="7"/>
  <c r="W50" i="7"/>
  <c r="V50" i="7"/>
  <c r="U50" i="7"/>
  <c r="S50" i="7"/>
  <c r="Q50" i="7"/>
  <c r="X49" i="7"/>
  <c r="W49" i="7"/>
  <c r="V49" i="7"/>
  <c r="U49" i="7"/>
  <c r="X48" i="7"/>
  <c r="W48" i="7"/>
  <c r="V48" i="7"/>
  <c r="U48" i="7"/>
  <c r="T48" i="7"/>
  <c r="S48" i="7"/>
  <c r="R48" i="7"/>
  <c r="X47" i="7"/>
  <c r="W47" i="7"/>
  <c r="V47" i="7"/>
  <c r="U47" i="7"/>
  <c r="X46" i="7"/>
  <c r="W46" i="7"/>
  <c r="V46" i="7"/>
  <c r="U46" i="7"/>
  <c r="T46" i="7"/>
  <c r="S46" i="7"/>
  <c r="R46" i="7"/>
  <c r="Q46" i="7"/>
  <c r="X45" i="7"/>
  <c r="W45" i="7"/>
  <c r="V45" i="7"/>
  <c r="U45" i="7"/>
  <c r="X44" i="7"/>
  <c r="W44" i="7"/>
  <c r="V44" i="7"/>
  <c r="U44" i="7"/>
  <c r="S44" i="7"/>
  <c r="Q44" i="7"/>
  <c r="X43" i="7"/>
  <c r="W43" i="7"/>
  <c r="V43" i="7"/>
  <c r="U43" i="7"/>
  <c r="X42" i="7"/>
  <c r="W42" i="7"/>
  <c r="V42" i="7"/>
  <c r="U42" i="7"/>
  <c r="X41" i="7"/>
  <c r="W41" i="7"/>
  <c r="V41" i="7"/>
  <c r="U41" i="7"/>
  <c r="S41" i="7"/>
  <c r="X40" i="7"/>
  <c r="W40" i="7"/>
  <c r="V40" i="7"/>
  <c r="U40" i="7"/>
  <c r="X39" i="7"/>
  <c r="W39" i="7"/>
  <c r="V39" i="7"/>
  <c r="U39" i="7"/>
  <c r="S39" i="7"/>
  <c r="Q39" i="7"/>
  <c r="X38" i="7"/>
  <c r="W38" i="7"/>
  <c r="V38" i="7"/>
  <c r="U38" i="7"/>
  <c r="T38" i="7"/>
  <c r="S38" i="7"/>
  <c r="Q38" i="7"/>
  <c r="X37" i="7"/>
  <c r="W37" i="7"/>
  <c r="V37" i="7"/>
  <c r="U37" i="7"/>
  <c r="S37" i="7"/>
  <c r="Q37" i="7"/>
  <c r="X36" i="7"/>
  <c r="W36" i="7"/>
  <c r="V36" i="7"/>
  <c r="U36" i="7"/>
  <c r="S36" i="7"/>
  <c r="Q36" i="7"/>
  <c r="X35" i="7"/>
  <c r="W35" i="7"/>
  <c r="V35" i="7"/>
  <c r="U35" i="7"/>
  <c r="X34" i="7"/>
  <c r="W34" i="7"/>
  <c r="V34" i="7"/>
  <c r="U34" i="7"/>
  <c r="S34" i="7"/>
  <c r="Q34" i="7"/>
  <c r="X33" i="7"/>
  <c r="W33" i="7"/>
  <c r="V33" i="7"/>
  <c r="U33" i="7"/>
  <c r="X32" i="7"/>
  <c r="W32" i="7"/>
  <c r="V32" i="7"/>
  <c r="U32" i="7"/>
  <c r="S32" i="7"/>
  <c r="X31" i="7"/>
  <c r="W31" i="7"/>
  <c r="V31" i="7"/>
  <c r="U31" i="7"/>
  <c r="S31" i="7"/>
  <c r="X30" i="7"/>
  <c r="W30" i="7"/>
  <c r="V30" i="7"/>
  <c r="U30" i="7"/>
  <c r="S30" i="7"/>
  <c r="Q30" i="7"/>
  <c r="X29" i="7"/>
  <c r="W29" i="7"/>
  <c r="V29" i="7"/>
  <c r="U29" i="7"/>
  <c r="T29" i="7"/>
  <c r="S29" i="7"/>
  <c r="Q29" i="7"/>
  <c r="X28" i="7"/>
  <c r="W28" i="7"/>
  <c r="V28" i="7"/>
  <c r="U28" i="7"/>
  <c r="X27" i="7"/>
  <c r="W27" i="7"/>
  <c r="V27" i="7"/>
  <c r="U27" i="7"/>
  <c r="X26" i="7"/>
  <c r="W26" i="7"/>
  <c r="V26" i="7"/>
  <c r="U26" i="7"/>
  <c r="S26" i="7"/>
  <c r="R26" i="7"/>
  <c r="Q26" i="7"/>
  <c r="X25" i="7"/>
  <c r="W25" i="7"/>
  <c r="V25" i="7"/>
  <c r="U25" i="7"/>
  <c r="S25" i="7"/>
  <c r="R25" i="7"/>
  <c r="Q25" i="7"/>
  <c r="X24" i="7"/>
  <c r="W24" i="7"/>
  <c r="V24" i="7"/>
  <c r="U24" i="7"/>
  <c r="S24" i="7"/>
  <c r="X23" i="7"/>
  <c r="W23" i="7"/>
  <c r="V23" i="7"/>
  <c r="U23" i="7"/>
  <c r="S23" i="7"/>
  <c r="X22" i="7"/>
  <c r="W22" i="7"/>
  <c r="V22" i="7"/>
  <c r="U22" i="7"/>
  <c r="X21" i="7"/>
  <c r="W21" i="7"/>
  <c r="V21" i="7"/>
  <c r="U21" i="7"/>
  <c r="X20" i="7"/>
  <c r="W20" i="7"/>
  <c r="V20" i="7"/>
  <c r="U20" i="7"/>
  <c r="S20" i="7"/>
  <c r="Q20" i="7"/>
  <c r="X19" i="7"/>
  <c r="W19" i="7"/>
  <c r="V19" i="7"/>
  <c r="U19" i="7"/>
  <c r="X18" i="7"/>
  <c r="W18" i="7"/>
  <c r="V18" i="7"/>
  <c r="U18" i="7"/>
  <c r="X17" i="7"/>
  <c r="W17" i="7"/>
  <c r="V17" i="7"/>
  <c r="U17" i="7"/>
  <c r="X16" i="7"/>
  <c r="W16" i="7"/>
  <c r="V16" i="7"/>
  <c r="U16" i="7"/>
  <c r="R16" i="7"/>
  <c r="X15" i="7"/>
  <c r="W15" i="7"/>
  <c r="V15" i="7"/>
  <c r="U15" i="7"/>
  <c r="Q15" i="7"/>
  <c r="X14" i="7"/>
  <c r="W14" i="7"/>
  <c r="V14" i="7"/>
  <c r="U14" i="7"/>
  <c r="X13" i="7"/>
  <c r="W13" i="7"/>
  <c r="V13" i="7"/>
  <c r="U13" i="7"/>
  <c r="S13" i="7"/>
  <c r="X12" i="7"/>
  <c r="W12" i="7"/>
  <c r="V12" i="7"/>
  <c r="U12" i="7"/>
  <c r="X11" i="7"/>
  <c r="W11" i="7"/>
  <c r="V11" i="7"/>
  <c r="U11" i="7"/>
  <c r="X10" i="7"/>
  <c r="W10" i="7"/>
  <c r="V10" i="7"/>
  <c r="U10" i="7"/>
  <c r="T10" i="7"/>
  <c r="X9" i="7"/>
  <c r="W9" i="7"/>
  <c r="V9" i="7"/>
  <c r="U9" i="7"/>
  <c r="T9" i="7"/>
  <c r="S9" i="7"/>
  <c r="R9" i="7"/>
  <c r="Q9" i="7"/>
  <c r="X8" i="7"/>
  <c r="W8" i="7"/>
  <c r="V8" i="7"/>
  <c r="U8" i="7"/>
  <c r="X7" i="7"/>
  <c r="W7" i="7"/>
  <c r="V7" i="7"/>
  <c r="U7" i="7"/>
  <c r="X6" i="7"/>
  <c r="W6" i="7"/>
  <c r="V6" i="7"/>
  <c r="U6" i="7"/>
  <c r="X5" i="7"/>
  <c r="W5" i="7"/>
  <c r="V5" i="7"/>
  <c r="U5" i="7"/>
  <c r="X4" i="7"/>
  <c r="W4" i="7"/>
  <c r="V4" i="7"/>
  <c r="U4" i="7"/>
  <c r="F174" i="7"/>
  <c r="Q174" i="7" s="1"/>
  <c r="G175" i="7"/>
  <c r="R175" i="7" s="1"/>
  <c r="H174" i="7"/>
  <c r="S174" i="7" s="1"/>
  <c r="H160" i="7"/>
  <c r="S160" i="7" s="1"/>
  <c r="G160" i="7"/>
  <c r="R160" i="7" s="1"/>
  <c r="G151" i="7"/>
  <c r="R151" i="7" s="1"/>
  <c r="G147" i="7"/>
  <c r="R147" i="7" s="1"/>
  <c r="I137" i="7"/>
  <c r="T137" i="7" s="1"/>
  <c r="G137" i="7"/>
  <c r="R137" i="7" s="1"/>
  <c r="I125" i="7"/>
  <c r="T125" i="7" s="1"/>
  <c r="G118" i="7"/>
  <c r="R118" i="7" s="1"/>
  <c r="I118" i="7"/>
  <c r="T118" i="7" s="1"/>
  <c r="H113" i="7"/>
  <c r="S113" i="7" s="1"/>
  <c r="H109" i="7"/>
  <c r="S109" i="7" s="1"/>
  <c r="G109" i="7"/>
  <c r="R109" i="7" s="1"/>
  <c r="F109" i="7"/>
  <c r="Q109" i="7" s="1"/>
  <c r="I109" i="7"/>
  <c r="T109" i="7" s="1"/>
  <c r="I106" i="7"/>
  <c r="T106" i="7" s="1"/>
  <c r="G106" i="7"/>
  <c r="R106" i="7" s="1"/>
  <c r="I105" i="7"/>
  <c r="T105" i="7" s="1"/>
  <c r="H105" i="7"/>
  <c r="S105" i="7" s="1"/>
  <c r="G105" i="7"/>
  <c r="R105" i="7" s="1"/>
  <c r="F105" i="7"/>
  <c r="Q105" i="7" s="1"/>
  <c r="G99" i="7"/>
  <c r="R99" i="7" s="1"/>
  <c r="I99" i="7"/>
  <c r="T99" i="7" s="1"/>
  <c r="I94" i="7"/>
  <c r="T94" i="7" s="1"/>
  <c r="F94" i="7"/>
  <c r="Q94" i="7" s="1"/>
  <c r="G94" i="7"/>
  <c r="R94" i="7" s="1"/>
  <c r="G93" i="7"/>
  <c r="R93" i="7" s="1"/>
  <c r="H84" i="7"/>
  <c r="H159" i="12" s="1"/>
  <c r="J159" i="12" s="1"/>
  <c r="L159" i="12" s="1"/>
  <c r="H80" i="7"/>
  <c r="S80" i="7" s="1"/>
  <c r="F77" i="7"/>
  <c r="Q77" i="7" s="1"/>
  <c r="H77" i="7"/>
  <c r="S77" i="7" s="1"/>
  <c r="G70" i="7"/>
  <c r="R70" i="7" s="1"/>
  <c r="F70" i="7"/>
  <c r="Q70" i="7" s="1"/>
  <c r="I70" i="7"/>
  <c r="T70" i="7" s="1"/>
  <c r="I67" i="7"/>
  <c r="T67" i="7" s="1"/>
  <c r="G67" i="7"/>
  <c r="R67" i="7" s="1"/>
  <c r="F67" i="7"/>
  <c r="Q67" i="7" s="1"/>
  <c r="I65" i="7"/>
  <c r="T65" i="7" s="1"/>
  <c r="G65" i="7"/>
  <c r="R65" i="7" s="1"/>
  <c r="F64" i="7"/>
  <c r="Q64" i="7" s="1"/>
  <c r="I57" i="7"/>
  <c r="T57" i="7" s="1"/>
  <c r="H57" i="7"/>
  <c r="S57" i="7" s="1"/>
  <c r="G57" i="7"/>
  <c r="R57" i="7" s="1"/>
  <c r="F53" i="7"/>
  <c r="Q53" i="7" s="1"/>
  <c r="H53" i="7"/>
  <c r="S53" i="7" s="1"/>
  <c r="F48" i="7"/>
  <c r="G88" i="12" s="1"/>
  <c r="I88" i="12" s="1"/>
  <c r="K88" i="12" s="1"/>
  <c r="F41" i="7"/>
  <c r="Q41" i="7" s="1"/>
  <c r="F40" i="7"/>
  <c r="Q40" i="7" s="1"/>
  <c r="I41" i="7"/>
  <c r="T41" i="7" s="1"/>
  <c r="I40" i="7"/>
  <c r="T40" i="7" s="1"/>
  <c r="I39" i="7"/>
  <c r="T39" i="7" s="1"/>
  <c r="H40" i="7"/>
  <c r="S40" i="7" s="1"/>
  <c r="G41" i="7"/>
  <c r="R41" i="7" s="1"/>
  <c r="G40" i="7"/>
  <c r="R40" i="7" s="1"/>
  <c r="G39" i="7"/>
  <c r="R39" i="7" s="1"/>
  <c r="I36" i="7"/>
  <c r="T36" i="7" s="1"/>
  <c r="G36" i="7"/>
  <c r="R36" i="7" s="1"/>
  <c r="I34" i="7"/>
  <c r="T34" i="7" s="1"/>
  <c r="G34" i="7"/>
  <c r="R34" i="7" s="1"/>
  <c r="I32" i="7"/>
  <c r="T32" i="7" s="1"/>
  <c r="G32" i="7"/>
  <c r="R32" i="7" s="1"/>
  <c r="F32" i="7"/>
  <c r="Q32" i="7" s="1"/>
  <c r="F31" i="7"/>
  <c r="Q31" i="7" s="1"/>
  <c r="I30" i="7"/>
  <c r="T30" i="7" s="1"/>
  <c r="G30" i="7"/>
  <c r="R30" i="7" s="1"/>
  <c r="H28" i="7"/>
  <c r="S28" i="7" s="1"/>
  <c r="G28" i="7"/>
  <c r="R28" i="7" s="1"/>
  <c r="F28" i="7"/>
  <c r="Q28" i="7" s="1"/>
  <c r="I20" i="7"/>
  <c r="T20" i="7" s="1"/>
  <c r="G20" i="7"/>
  <c r="R20" i="7" s="1"/>
  <c r="H10" i="7"/>
  <c r="S10" i="7" s="1"/>
  <c r="G10" i="7"/>
  <c r="R10" i="7" s="1"/>
  <c r="F10" i="7"/>
  <c r="Q10" i="7" s="1"/>
  <c r="I5" i="7"/>
  <c r="T5" i="7" s="1"/>
  <c r="H5" i="7"/>
  <c r="S5" i="7" s="1"/>
  <c r="G5" i="7"/>
  <c r="R5" i="7" s="1"/>
  <c r="F5" i="7"/>
  <c r="Q5" i="7" s="1"/>
  <c r="I4" i="7"/>
  <c r="T4" i="7" s="1"/>
  <c r="H4" i="7"/>
  <c r="S4" i="7" s="1"/>
  <c r="G4" i="7"/>
  <c r="R4" i="7" s="1"/>
  <c r="F4" i="7"/>
  <c r="Q4" i="7" s="1"/>
  <c r="I323" i="12" l="1"/>
  <c r="K323" i="12" s="1"/>
  <c r="I334" i="12"/>
  <c r="K334" i="12" s="1"/>
  <c r="J334" i="12"/>
  <c r="L334" i="12" s="1"/>
  <c r="J323" i="12"/>
  <c r="L323" i="12" s="1"/>
  <c r="J309" i="12"/>
  <c r="L309" i="12" s="1"/>
  <c r="I330" i="12"/>
  <c r="K330" i="12" s="1"/>
  <c r="I315" i="12"/>
  <c r="K315" i="12" s="1"/>
  <c r="J330" i="12"/>
  <c r="L330" i="12" s="1"/>
  <c r="I305" i="12"/>
  <c r="K305" i="12" s="1"/>
  <c r="I300" i="12"/>
  <c r="K300" i="12" s="1"/>
  <c r="I298" i="12"/>
  <c r="K298" i="12" s="1"/>
  <c r="J303" i="12"/>
  <c r="L303" i="12" s="1"/>
  <c r="J298" i="12"/>
  <c r="L298" i="12" s="1"/>
  <c r="L294" i="12"/>
  <c r="J292" i="12"/>
  <c r="L292" i="12" s="1"/>
  <c r="K309" i="12"/>
  <c r="AL40" i="1"/>
  <c r="K292" i="12"/>
  <c r="I141" i="12"/>
  <c r="K141" i="12" s="1"/>
  <c r="J64" i="12"/>
  <c r="L64" i="12" s="1"/>
  <c r="I139" i="12"/>
  <c r="K139" i="12" s="1"/>
  <c r="I241" i="12"/>
  <c r="K241" i="12" s="1"/>
  <c r="I135" i="12"/>
  <c r="K135" i="12" s="1"/>
  <c r="J151" i="12"/>
  <c r="L151" i="12" s="1"/>
  <c r="I184" i="12"/>
  <c r="K184" i="12" s="1"/>
  <c r="I44" i="12"/>
  <c r="K44" i="12" s="1"/>
  <c r="J141" i="12"/>
  <c r="L141" i="12" s="1"/>
  <c r="I290" i="12"/>
  <c r="K290" i="12" s="1"/>
  <c r="J241" i="12"/>
  <c r="L241" i="12" s="1"/>
  <c r="J184" i="12"/>
  <c r="L184" i="12" s="1"/>
  <c r="J135" i="12"/>
  <c r="L135" i="12" s="1"/>
  <c r="I93" i="12"/>
  <c r="K93" i="12" s="1"/>
  <c r="I230" i="12"/>
  <c r="K230" i="12" s="1"/>
  <c r="I259" i="12"/>
  <c r="K259" i="12" s="1"/>
  <c r="I92" i="12"/>
  <c r="K92" i="12" s="1"/>
  <c r="J290" i="12"/>
  <c r="L290" i="12" s="1"/>
  <c r="J92" i="12"/>
  <c r="L92" i="12" s="1"/>
  <c r="J44" i="12"/>
  <c r="L44" i="12" s="1"/>
  <c r="J93" i="12"/>
  <c r="L93" i="12" s="1"/>
  <c r="J259" i="12"/>
  <c r="L259" i="12" s="1"/>
  <c r="I224" i="12"/>
  <c r="K224" i="12" s="1"/>
  <c r="I83" i="12"/>
  <c r="K83" i="12" s="1"/>
  <c r="I79" i="12"/>
  <c r="K79" i="12" s="1"/>
  <c r="J224" i="12"/>
  <c r="L224" i="12" s="1"/>
  <c r="J83" i="12"/>
  <c r="L83" i="12" s="1"/>
  <c r="J67" i="12"/>
  <c r="L67" i="12" s="1"/>
  <c r="I154" i="12"/>
  <c r="K154" i="12" s="1"/>
  <c r="J79" i="12"/>
  <c r="L79" i="12" s="1"/>
  <c r="I150" i="12"/>
  <c r="K150" i="12" s="1"/>
  <c r="I66" i="12"/>
  <c r="K66" i="12" s="1"/>
  <c r="J150" i="12"/>
  <c r="L150" i="12" s="1"/>
  <c r="I144" i="12"/>
  <c r="K144" i="12" s="1"/>
  <c r="I64" i="12"/>
  <c r="K64" i="12" s="1"/>
  <c r="J144" i="12"/>
  <c r="L144" i="12" s="1"/>
  <c r="I138" i="12"/>
  <c r="K138" i="12" s="1"/>
  <c r="I151" i="12"/>
  <c r="K151" i="12" s="1"/>
  <c r="J134" i="12"/>
  <c r="L134" i="12" s="1"/>
  <c r="J66" i="12"/>
  <c r="L66" i="12" s="1"/>
  <c r="Q48" i="7"/>
  <c r="G99" i="12"/>
  <c r="I99" i="12" s="1"/>
  <c r="K99" i="12" s="1"/>
  <c r="Q132" i="8"/>
  <c r="G48" i="12"/>
  <c r="I48" i="12" s="1"/>
  <c r="K48" i="12" s="1"/>
  <c r="H199" i="12"/>
  <c r="J199" i="12" s="1"/>
  <c r="L199" i="12" s="1"/>
  <c r="G199" i="12"/>
  <c r="I199" i="12" s="1"/>
  <c r="K199" i="12" s="1"/>
  <c r="G53" i="12"/>
  <c r="I53" i="12" s="1"/>
  <c r="K53" i="12" s="1"/>
  <c r="H154" i="12"/>
  <c r="O132" i="8"/>
  <c r="G332" i="12"/>
  <c r="I332" i="12" s="1"/>
  <c r="K332" i="12" s="1"/>
  <c r="H307" i="12"/>
  <c r="J307" i="12" s="1"/>
  <c r="L307" i="12" s="1"/>
  <c r="H205" i="12"/>
  <c r="J205" i="12" s="1"/>
  <c r="L205" i="12" s="1"/>
  <c r="H48" i="12"/>
  <c r="L48" i="12" s="1"/>
  <c r="G55" i="12"/>
  <c r="I55" i="12" s="1"/>
  <c r="K55" i="12" s="1"/>
  <c r="H148" i="12"/>
  <c r="J148" i="12" s="1"/>
  <c r="L148" i="12" s="1"/>
  <c r="G205" i="12"/>
  <c r="K205" i="12" s="1"/>
  <c r="G148" i="12"/>
  <c r="I148" i="12" s="1"/>
  <c r="K148" i="12" s="1"/>
  <c r="H71" i="12"/>
  <c r="J71" i="12" s="1"/>
  <c r="L71" i="12" s="1"/>
  <c r="G134" i="12"/>
  <c r="H16" i="12"/>
  <c r="J16" i="12" s="1"/>
  <c r="L16" i="12" s="1"/>
  <c r="G128" i="12"/>
  <c r="I128" i="12" s="1"/>
  <c r="K128" i="12" s="1"/>
  <c r="G73" i="12"/>
  <c r="I73" i="12" s="1"/>
  <c r="K73" i="12" s="1"/>
  <c r="H332" i="12"/>
  <c r="G5" i="12"/>
  <c r="I5" i="12" s="1"/>
  <c r="K5" i="12" s="1"/>
  <c r="G180" i="12"/>
  <c r="I180" i="12" s="1"/>
  <c r="K180" i="12" s="1"/>
  <c r="G71" i="12"/>
  <c r="I71" i="12" s="1"/>
  <c r="K71" i="12" s="1"/>
  <c r="H7" i="12"/>
  <c r="L7" i="12" s="1"/>
  <c r="S84" i="7"/>
  <c r="G16" i="12"/>
  <c r="I16" i="12" s="1"/>
  <c r="K16" i="12" s="1"/>
  <c r="H106" i="12"/>
  <c r="J106" i="12" s="1"/>
  <c r="L106" i="12" s="1"/>
  <c r="H5" i="12"/>
  <c r="J5" i="12" s="1"/>
  <c r="L5" i="12" s="1"/>
  <c r="G121" i="12"/>
  <c r="I121" i="12" s="1"/>
  <c r="K121" i="12" s="1"/>
  <c r="H213" i="12"/>
  <c r="J213" i="12" s="1"/>
  <c r="L213" i="12" s="1"/>
  <c r="G7" i="12"/>
  <c r="I7" i="12" s="1"/>
  <c r="K7" i="12" s="1"/>
  <c r="H99" i="12"/>
  <c r="J99" i="12" s="1"/>
  <c r="L99" i="12" s="1"/>
  <c r="G68" i="8"/>
  <c r="P68" i="8" s="1"/>
  <c r="H40" i="8"/>
  <c r="F40" i="8"/>
  <c r="I37" i="8"/>
  <c r="R37" i="8" s="1"/>
  <c r="G37" i="8"/>
  <c r="P37" i="8" s="1"/>
  <c r="H29" i="8"/>
  <c r="F29" i="8"/>
  <c r="I22" i="8"/>
  <c r="R22" i="8" s="1"/>
  <c r="G22" i="8"/>
  <c r="P22" i="8" s="1"/>
  <c r="F22" i="8"/>
  <c r="J332" i="12" l="1"/>
  <c r="L332" i="12" s="1"/>
  <c r="J154" i="12"/>
  <c r="L154" i="12" s="1"/>
  <c r="I134" i="12"/>
  <c r="K134" i="12" s="1"/>
  <c r="O22" i="8"/>
  <c r="G41" i="12"/>
  <c r="I41" i="12" s="1"/>
  <c r="K41" i="12" s="1"/>
  <c r="G56" i="12"/>
  <c r="O29" i="8"/>
  <c r="H56" i="12"/>
  <c r="Q29" i="8"/>
  <c r="O40" i="8"/>
  <c r="G74" i="12"/>
  <c r="H74" i="12"/>
  <c r="Q40" i="8"/>
  <c r="E164" i="1"/>
  <c r="F164" i="1"/>
  <c r="G164" i="1"/>
  <c r="H164" i="1"/>
  <c r="I164" i="1"/>
  <c r="J164" i="1"/>
  <c r="K164" i="1"/>
  <c r="E165" i="1"/>
  <c r="F165" i="1"/>
  <c r="G165" i="1"/>
  <c r="H165" i="1"/>
  <c r="I165" i="1"/>
  <c r="J165" i="1"/>
  <c r="K165" i="1"/>
  <c r="E166" i="1"/>
  <c r="F166" i="1"/>
  <c r="G166" i="1"/>
  <c r="H166" i="1"/>
  <c r="I166" i="1"/>
  <c r="J166" i="1"/>
  <c r="K166" i="1"/>
  <c r="E167" i="1"/>
  <c r="F167" i="1"/>
  <c r="G167" i="1"/>
  <c r="H167" i="1"/>
  <c r="I167" i="1"/>
  <c r="J167" i="1"/>
  <c r="K167" i="1"/>
  <c r="E168" i="1"/>
  <c r="F168" i="1"/>
  <c r="G168" i="1"/>
  <c r="H168" i="1"/>
  <c r="I168" i="1"/>
  <c r="J168" i="1"/>
  <c r="K168" i="1"/>
  <c r="E169" i="1"/>
  <c r="F169" i="1"/>
  <c r="G169" i="1"/>
  <c r="H169" i="1"/>
  <c r="I169" i="1"/>
  <c r="J169" i="1"/>
  <c r="K169" i="1"/>
  <c r="E170" i="1"/>
  <c r="F170" i="1"/>
  <c r="G170" i="1"/>
  <c r="H170" i="1"/>
  <c r="I170" i="1"/>
  <c r="J170" i="1"/>
  <c r="K170" i="1"/>
  <c r="E171" i="1"/>
  <c r="F171" i="1"/>
  <c r="G171" i="1"/>
  <c r="H171" i="1"/>
  <c r="I171" i="1"/>
  <c r="J171" i="1"/>
  <c r="K171" i="1"/>
  <c r="E172" i="1"/>
  <c r="F172" i="1"/>
  <c r="G172" i="1"/>
  <c r="H172" i="1"/>
  <c r="I172" i="1"/>
  <c r="J172" i="1"/>
  <c r="K172" i="1"/>
  <c r="E173" i="1"/>
  <c r="F173" i="1"/>
  <c r="G173" i="1"/>
  <c r="H173" i="1"/>
  <c r="I173" i="1"/>
  <c r="J173" i="1"/>
  <c r="K173" i="1"/>
  <c r="E174" i="1"/>
  <c r="F174" i="1"/>
  <c r="G174" i="1"/>
  <c r="H174" i="1"/>
  <c r="I174" i="1"/>
  <c r="J174" i="1"/>
  <c r="K174" i="1"/>
  <c r="E175" i="1"/>
  <c r="F175" i="1"/>
  <c r="G175" i="1"/>
  <c r="H175" i="1"/>
  <c r="I175" i="1"/>
  <c r="J175" i="1"/>
  <c r="K175" i="1"/>
  <c r="E176" i="1"/>
  <c r="F176" i="1"/>
  <c r="G176" i="1"/>
  <c r="H176" i="1"/>
  <c r="I176" i="1"/>
  <c r="J176" i="1"/>
  <c r="K176" i="1"/>
  <c r="E177" i="1"/>
  <c r="F177" i="1"/>
  <c r="G177" i="1"/>
  <c r="H177" i="1"/>
  <c r="I177" i="1"/>
  <c r="J177" i="1"/>
  <c r="V177" i="1" s="1"/>
  <c r="K177" i="1"/>
  <c r="W177" i="1" s="1"/>
  <c r="E178" i="1"/>
  <c r="F178" i="1"/>
  <c r="G178" i="1"/>
  <c r="H178" i="1"/>
  <c r="I178" i="1"/>
  <c r="J178" i="1"/>
  <c r="K178" i="1"/>
  <c r="E179" i="1"/>
  <c r="F179" i="1"/>
  <c r="G179" i="1"/>
  <c r="H179" i="1"/>
  <c r="I179" i="1"/>
  <c r="J179" i="1"/>
  <c r="K179" i="1"/>
  <c r="E180" i="1"/>
  <c r="F180" i="1"/>
  <c r="G180" i="1"/>
  <c r="H180" i="1"/>
  <c r="I180" i="1"/>
  <c r="J180" i="1"/>
  <c r="K180" i="1"/>
  <c r="E181" i="1"/>
  <c r="F181" i="1"/>
  <c r="G181" i="1"/>
  <c r="H181" i="1"/>
  <c r="I181" i="1"/>
  <c r="J181" i="1"/>
  <c r="K181" i="1"/>
  <c r="E182" i="1"/>
  <c r="F182" i="1"/>
  <c r="G182" i="1"/>
  <c r="H182" i="1"/>
  <c r="I182" i="1"/>
  <c r="J182" i="1"/>
  <c r="K182" i="1"/>
  <c r="E183" i="1"/>
  <c r="F183" i="1"/>
  <c r="G183" i="1"/>
  <c r="H183" i="1"/>
  <c r="I183" i="1"/>
  <c r="J183" i="1"/>
  <c r="K183" i="1"/>
  <c r="E184" i="1"/>
  <c r="F184" i="1"/>
  <c r="G184" i="1"/>
  <c r="H184" i="1"/>
  <c r="I184" i="1"/>
  <c r="J184" i="1"/>
  <c r="K184" i="1"/>
  <c r="E185" i="1"/>
  <c r="F185" i="1"/>
  <c r="G185" i="1"/>
  <c r="H185" i="1"/>
  <c r="I185" i="1"/>
  <c r="J185" i="1"/>
  <c r="K185" i="1"/>
  <c r="E186" i="1"/>
  <c r="F186" i="1"/>
  <c r="G186" i="1"/>
  <c r="H186" i="1"/>
  <c r="I186" i="1"/>
  <c r="J186" i="1"/>
  <c r="K186" i="1"/>
  <c r="E187" i="1"/>
  <c r="F187" i="1"/>
  <c r="G187" i="1"/>
  <c r="H187" i="1"/>
  <c r="I187" i="1"/>
  <c r="J187" i="1"/>
  <c r="K187" i="1"/>
  <c r="E188" i="1"/>
  <c r="F188" i="1"/>
  <c r="G188" i="1"/>
  <c r="H188" i="1"/>
  <c r="I188" i="1"/>
  <c r="J188" i="1"/>
  <c r="K188" i="1"/>
  <c r="E189" i="1"/>
  <c r="F189" i="1"/>
  <c r="G189" i="1"/>
  <c r="H189" i="1"/>
  <c r="I189" i="1"/>
  <c r="J189" i="1"/>
  <c r="K189" i="1"/>
  <c r="E190" i="1"/>
  <c r="F190" i="1"/>
  <c r="G190" i="1"/>
  <c r="H190" i="1"/>
  <c r="I190" i="1"/>
  <c r="J190" i="1"/>
  <c r="K190" i="1"/>
  <c r="E191" i="1"/>
  <c r="F191" i="1"/>
  <c r="G191" i="1"/>
  <c r="H191" i="1"/>
  <c r="I191" i="1"/>
  <c r="J191" i="1"/>
  <c r="K191" i="1"/>
  <c r="E192" i="1"/>
  <c r="F192" i="1"/>
  <c r="G192" i="1"/>
  <c r="H192" i="1"/>
  <c r="I192" i="1"/>
  <c r="J192" i="1"/>
  <c r="K192" i="1"/>
  <c r="E193" i="1"/>
  <c r="F193" i="1"/>
  <c r="G193" i="1"/>
  <c r="H193" i="1"/>
  <c r="I193" i="1"/>
  <c r="J193" i="1"/>
  <c r="K193" i="1"/>
  <c r="E194" i="1"/>
  <c r="F194" i="1"/>
  <c r="G194" i="1"/>
  <c r="H194" i="1"/>
  <c r="I194" i="1"/>
  <c r="J194" i="1"/>
  <c r="K194" i="1"/>
  <c r="E195" i="1"/>
  <c r="F195" i="1"/>
  <c r="G195" i="1"/>
  <c r="H195" i="1"/>
  <c r="I195" i="1"/>
  <c r="J195" i="1"/>
  <c r="K195" i="1"/>
  <c r="E196" i="1"/>
  <c r="F196" i="1"/>
  <c r="G196" i="1"/>
  <c r="H196" i="1"/>
  <c r="I196" i="1"/>
  <c r="J196" i="1"/>
  <c r="K196" i="1"/>
  <c r="E197" i="1"/>
  <c r="F197" i="1"/>
  <c r="G197" i="1"/>
  <c r="H197" i="1"/>
  <c r="I197" i="1"/>
  <c r="J197" i="1"/>
  <c r="K197" i="1"/>
  <c r="E198" i="1"/>
  <c r="F198" i="1"/>
  <c r="G198" i="1"/>
  <c r="H198" i="1"/>
  <c r="I198" i="1"/>
  <c r="J198" i="1"/>
  <c r="K198" i="1"/>
  <c r="E199" i="1"/>
  <c r="F199" i="1"/>
  <c r="G199" i="1"/>
  <c r="H199" i="1"/>
  <c r="I199" i="1"/>
  <c r="J199" i="1"/>
  <c r="K199" i="1"/>
  <c r="E200" i="1"/>
  <c r="F200" i="1"/>
  <c r="G200" i="1"/>
  <c r="H200" i="1"/>
  <c r="I200" i="1"/>
  <c r="J200" i="1"/>
  <c r="K200" i="1"/>
  <c r="E201" i="1"/>
  <c r="F201" i="1"/>
  <c r="G201" i="1"/>
  <c r="H201" i="1"/>
  <c r="I201" i="1"/>
  <c r="J201" i="1"/>
  <c r="K201" i="1"/>
  <c r="E202" i="1"/>
  <c r="F202" i="1"/>
  <c r="G202" i="1"/>
  <c r="H202" i="1"/>
  <c r="I202" i="1"/>
  <c r="J202" i="1"/>
  <c r="K202" i="1"/>
  <c r="E203" i="1"/>
  <c r="F203" i="1"/>
  <c r="G203" i="1"/>
  <c r="H203" i="1"/>
  <c r="I203" i="1"/>
  <c r="J203" i="1"/>
  <c r="K203" i="1"/>
  <c r="E204" i="1"/>
  <c r="F204" i="1"/>
  <c r="G204" i="1"/>
  <c r="H204" i="1"/>
  <c r="I204" i="1"/>
  <c r="J204" i="1"/>
  <c r="K204" i="1"/>
  <c r="E205" i="1"/>
  <c r="F205" i="1"/>
  <c r="G205" i="1"/>
  <c r="H205" i="1"/>
  <c r="I205" i="1"/>
  <c r="J205" i="1"/>
  <c r="K205" i="1"/>
  <c r="E206" i="1"/>
  <c r="F206" i="1"/>
  <c r="G206" i="1"/>
  <c r="H206" i="1"/>
  <c r="I206" i="1"/>
  <c r="J206" i="1"/>
  <c r="K206" i="1"/>
  <c r="E207" i="1"/>
  <c r="F207" i="1"/>
  <c r="G207" i="1"/>
  <c r="H207" i="1"/>
  <c r="I207" i="1"/>
  <c r="J207" i="1"/>
  <c r="K207" i="1"/>
  <c r="E208" i="1"/>
  <c r="F208" i="1"/>
  <c r="G208" i="1"/>
  <c r="H208" i="1"/>
  <c r="I208" i="1"/>
  <c r="J208" i="1"/>
  <c r="K208" i="1"/>
  <c r="E209" i="1"/>
  <c r="F209" i="1"/>
  <c r="G209" i="1"/>
  <c r="H209" i="1"/>
  <c r="I209" i="1"/>
  <c r="J209" i="1"/>
  <c r="K209" i="1"/>
  <c r="E210" i="1"/>
  <c r="F210" i="1"/>
  <c r="G210" i="1"/>
  <c r="H210" i="1"/>
  <c r="I210" i="1"/>
  <c r="J210" i="1"/>
  <c r="K210" i="1"/>
  <c r="E211" i="1"/>
  <c r="F211" i="1"/>
  <c r="G211" i="1"/>
  <c r="H211" i="1"/>
  <c r="I211" i="1"/>
  <c r="J211" i="1"/>
  <c r="K211" i="1"/>
  <c r="E212" i="1"/>
  <c r="F212" i="1"/>
  <c r="G212" i="1"/>
  <c r="H212" i="1"/>
  <c r="I212" i="1"/>
  <c r="J212" i="1"/>
  <c r="K212" i="1"/>
  <c r="E213" i="1"/>
  <c r="F213" i="1"/>
  <c r="G213" i="1"/>
  <c r="H213" i="1"/>
  <c r="I213" i="1"/>
  <c r="J213" i="1"/>
  <c r="K213" i="1"/>
  <c r="E214" i="1"/>
  <c r="F214" i="1"/>
  <c r="G214" i="1"/>
  <c r="H214" i="1"/>
  <c r="I214" i="1"/>
  <c r="J214" i="1"/>
  <c r="K214" i="1"/>
  <c r="E215" i="1"/>
  <c r="F215" i="1"/>
  <c r="G215" i="1"/>
  <c r="H215" i="1"/>
  <c r="I215" i="1"/>
  <c r="J215" i="1"/>
  <c r="K215" i="1"/>
  <c r="E216" i="1"/>
  <c r="F216" i="1"/>
  <c r="G216" i="1"/>
  <c r="H216" i="1"/>
  <c r="I216" i="1"/>
  <c r="J216" i="1"/>
  <c r="K216" i="1"/>
  <c r="E217" i="1"/>
  <c r="F217" i="1"/>
  <c r="G217" i="1"/>
  <c r="H217" i="1"/>
  <c r="I217" i="1"/>
  <c r="J217" i="1"/>
  <c r="K217" i="1"/>
  <c r="E218" i="1"/>
  <c r="F218" i="1"/>
  <c r="G218" i="1"/>
  <c r="H218" i="1"/>
  <c r="I218" i="1"/>
  <c r="J218" i="1"/>
  <c r="K218" i="1"/>
  <c r="E219" i="1"/>
  <c r="F219" i="1"/>
  <c r="G219" i="1"/>
  <c r="H219" i="1"/>
  <c r="I219" i="1"/>
  <c r="J219" i="1"/>
  <c r="K219" i="1"/>
  <c r="E220" i="1"/>
  <c r="F220" i="1"/>
  <c r="G220" i="1"/>
  <c r="H220" i="1"/>
  <c r="I220" i="1"/>
  <c r="J220" i="1"/>
  <c r="K220" i="1"/>
  <c r="E221" i="1"/>
  <c r="F221" i="1"/>
  <c r="G221" i="1"/>
  <c r="H221" i="1"/>
  <c r="I221" i="1"/>
  <c r="J221" i="1"/>
  <c r="K221" i="1"/>
  <c r="E222" i="1"/>
  <c r="F222" i="1"/>
  <c r="G222" i="1"/>
  <c r="H222" i="1"/>
  <c r="I222" i="1"/>
  <c r="J222" i="1"/>
  <c r="K222" i="1"/>
  <c r="E223" i="1"/>
  <c r="F223" i="1"/>
  <c r="G223" i="1"/>
  <c r="H223" i="1"/>
  <c r="I223" i="1"/>
  <c r="J223" i="1"/>
  <c r="K223" i="1"/>
  <c r="E224" i="1"/>
  <c r="F224" i="1"/>
  <c r="G224" i="1"/>
  <c r="H224" i="1"/>
  <c r="I224" i="1"/>
  <c r="J224" i="1"/>
  <c r="K224" i="1"/>
  <c r="E225" i="1"/>
  <c r="F225" i="1"/>
  <c r="G225" i="1"/>
  <c r="H225" i="1"/>
  <c r="I225" i="1"/>
  <c r="J225" i="1"/>
  <c r="K225" i="1"/>
  <c r="E226" i="1"/>
  <c r="F226" i="1"/>
  <c r="G226" i="1"/>
  <c r="H226" i="1"/>
  <c r="I226" i="1"/>
  <c r="J226" i="1"/>
  <c r="K226" i="1"/>
  <c r="E227" i="1"/>
  <c r="F227" i="1"/>
  <c r="G227" i="1"/>
  <c r="H227" i="1"/>
  <c r="I227" i="1"/>
  <c r="J227" i="1"/>
  <c r="K227" i="1"/>
  <c r="E228" i="1"/>
  <c r="F228" i="1"/>
  <c r="G228" i="1"/>
  <c r="H228" i="1"/>
  <c r="I228" i="1"/>
  <c r="J228" i="1"/>
  <c r="K228" i="1"/>
  <c r="E229" i="1"/>
  <c r="F229" i="1"/>
  <c r="G229" i="1"/>
  <c r="H229" i="1"/>
  <c r="I229" i="1"/>
  <c r="J229" i="1"/>
  <c r="K229" i="1"/>
  <c r="E230" i="1"/>
  <c r="F230" i="1"/>
  <c r="G230" i="1"/>
  <c r="H230" i="1"/>
  <c r="I230" i="1"/>
  <c r="J230" i="1"/>
  <c r="K230" i="1"/>
  <c r="E231" i="1"/>
  <c r="F231" i="1"/>
  <c r="G231" i="1"/>
  <c r="H231" i="1"/>
  <c r="I231" i="1"/>
  <c r="J231" i="1"/>
  <c r="K231" i="1"/>
  <c r="E232" i="1"/>
  <c r="F232" i="1"/>
  <c r="G232" i="1"/>
  <c r="H232" i="1"/>
  <c r="I232" i="1"/>
  <c r="J232" i="1"/>
  <c r="K232" i="1"/>
  <c r="E233" i="1"/>
  <c r="F233" i="1"/>
  <c r="G233" i="1"/>
  <c r="H233" i="1"/>
  <c r="I233" i="1"/>
  <c r="J233" i="1"/>
  <c r="K233" i="1"/>
  <c r="E234" i="1"/>
  <c r="F234" i="1"/>
  <c r="G234" i="1"/>
  <c r="H234" i="1"/>
  <c r="I234" i="1"/>
  <c r="J234" i="1"/>
  <c r="K234" i="1"/>
  <c r="E235" i="1"/>
  <c r="F235" i="1"/>
  <c r="G235" i="1"/>
  <c r="H235" i="1"/>
  <c r="I235" i="1"/>
  <c r="J235" i="1"/>
  <c r="K235" i="1"/>
  <c r="E236" i="1"/>
  <c r="F236" i="1"/>
  <c r="G236" i="1"/>
  <c r="H236" i="1"/>
  <c r="I236" i="1"/>
  <c r="J236" i="1"/>
  <c r="K236" i="1"/>
  <c r="E237" i="1"/>
  <c r="F237" i="1"/>
  <c r="G237" i="1"/>
  <c r="H237" i="1"/>
  <c r="I237" i="1"/>
  <c r="J237" i="1"/>
  <c r="K237" i="1"/>
  <c r="E238" i="1"/>
  <c r="F238" i="1"/>
  <c r="G238" i="1"/>
  <c r="H238" i="1"/>
  <c r="I238" i="1"/>
  <c r="J238" i="1"/>
  <c r="K238" i="1"/>
  <c r="E239" i="1"/>
  <c r="F239" i="1"/>
  <c r="G239" i="1"/>
  <c r="H239" i="1"/>
  <c r="I239" i="1"/>
  <c r="J239" i="1"/>
  <c r="K239" i="1"/>
  <c r="E240" i="1"/>
  <c r="F240" i="1"/>
  <c r="G240" i="1"/>
  <c r="H240" i="1"/>
  <c r="I240" i="1"/>
  <c r="J240" i="1"/>
  <c r="K240" i="1"/>
  <c r="E241" i="1"/>
  <c r="F241" i="1"/>
  <c r="G241" i="1"/>
  <c r="H241" i="1"/>
  <c r="I241" i="1"/>
  <c r="J241" i="1"/>
  <c r="K241" i="1"/>
  <c r="E242" i="1"/>
  <c r="F242" i="1"/>
  <c r="G242" i="1"/>
  <c r="H242" i="1"/>
  <c r="I242" i="1"/>
  <c r="J242" i="1"/>
  <c r="K242" i="1"/>
  <c r="E243" i="1"/>
  <c r="F243" i="1"/>
  <c r="G243" i="1"/>
  <c r="H243" i="1"/>
  <c r="I243" i="1"/>
  <c r="J243" i="1"/>
  <c r="K243" i="1"/>
  <c r="E244" i="1"/>
  <c r="F244" i="1"/>
  <c r="G244" i="1"/>
  <c r="H244" i="1"/>
  <c r="I244" i="1"/>
  <c r="J244" i="1"/>
  <c r="K244" i="1"/>
  <c r="E245" i="1"/>
  <c r="F245" i="1"/>
  <c r="G245" i="1"/>
  <c r="H245" i="1"/>
  <c r="I245" i="1"/>
  <c r="J245" i="1"/>
  <c r="K245" i="1"/>
  <c r="E246" i="1"/>
  <c r="F246" i="1"/>
  <c r="G246" i="1"/>
  <c r="H246" i="1"/>
  <c r="I246" i="1"/>
  <c r="J246" i="1"/>
  <c r="K246" i="1"/>
  <c r="E247" i="1"/>
  <c r="F247" i="1"/>
  <c r="G247" i="1"/>
  <c r="H247" i="1"/>
  <c r="I247" i="1"/>
  <c r="J247" i="1"/>
  <c r="K247" i="1"/>
  <c r="E121" i="1"/>
  <c r="F121" i="1"/>
  <c r="G121" i="1"/>
  <c r="H121" i="1"/>
  <c r="I121" i="1"/>
  <c r="J121" i="1"/>
  <c r="K121" i="1"/>
  <c r="E122" i="1"/>
  <c r="F122" i="1"/>
  <c r="G122" i="1"/>
  <c r="H122" i="1"/>
  <c r="I122" i="1"/>
  <c r="J122" i="1"/>
  <c r="K122" i="1"/>
  <c r="E123" i="1"/>
  <c r="F123" i="1"/>
  <c r="G123" i="1"/>
  <c r="H123" i="1"/>
  <c r="I123" i="1"/>
  <c r="J123" i="1"/>
  <c r="K123" i="1"/>
  <c r="E124" i="1"/>
  <c r="F124" i="1"/>
  <c r="G124" i="1"/>
  <c r="H124" i="1"/>
  <c r="I124" i="1"/>
  <c r="J124" i="1"/>
  <c r="K124" i="1"/>
  <c r="E125" i="1"/>
  <c r="F125" i="1"/>
  <c r="G125" i="1"/>
  <c r="H125" i="1"/>
  <c r="I125" i="1"/>
  <c r="J125" i="1"/>
  <c r="K125" i="1"/>
  <c r="E126" i="1"/>
  <c r="F126" i="1"/>
  <c r="G126" i="1"/>
  <c r="H126" i="1"/>
  <c r="I126" i="1"/>
  <c r="J126" i="1"/>
  <c r="K126" i="1"/>
  <c r="E127" i="1"/>
  <c r="F127" i="1"/>
  <c r="G127" i="1"/>
  <c r="H127" i="1"/>
  <c r="I127" i="1"/>
  <c r="J127" i="1"/>
  <c r="K127" i="1"/>
  <c r="E128" i="1"/>
  <c r="F128" i="1"/>
  <c r="G128" i="1"/>
  <c r="H128" i="1"/>
  <c r="I128" i="1"/>
  <c r="J128" i="1"/>
  <c r="K128" i="1"/>
  <c r="E129" i="1"/>
  <c r="F129" i="1"/>
  <c r="G129" i="1"/>
  <c r="H129" i="1"/>
  <c r="I129" i="1"/>
  <c r="J129" i="1"/>
  <c r="K129" i="1"/>
  <c r="E130" i="1"/>
  <c r="F130" i="1"/>
  <c r="G130" i="1"/>
  <c r="H130" i="1"/>
  <c r="I130" i="1"/>
  <c r="J130" i="1"/>
  <c r="K130" i="1"/>
  <c r="E131" i="1"/>
  <c r="F131" i="1"/>
  <c r="G131" i="1"/>
  <c r="H131" i="1"/>
  <c r="I131" i="1"/>
  <c r="J131" i="1"/>
  <c r="K131" i="1"/>
  <c r="E132" i="1"/>
  <c r="F132" i="1"/>
  <c r="G132" i="1"/>
  <c r="H132" i="1"/>
  <c r="I132" i="1"/>
  <c r="J132" i="1"/>
  <c r="K132" i="1"/>
  <c r="E133" i="1"/>
  <c r="F133" i="1"/>
  <c r="G133" i="1"/>
  <c r="H133" i="1"/>
  <c r="I133" i="1"/>
  <c r="J133" i="1"/>
  <c r="K133" i="1"/>
  <c r="E134" i="1"/>
  <c r="F134" i="1"/>
  <c r="G134" i="1"/>
  <c r="H134" i="1"/>
  <c r="I134" i="1"/>
  <c r="J134" i="1"/>
  <c r="K134" i="1"/>
  <c r="E135" i="1"/>
  <c r="F135" i="1"/>
  <c r="G135" i="1"/>
  <c r="H135" i="1"/>
  <c r="I135" i="1"/>
  <c r="J135" i="1"/>
  <c r="K135" i="1"/>
  <c r="E136" i="1"/>
  <c r="F136" i="1"/>
  <c r="G136" i="1"/>
  <c r="H136" i="1"/>
  <c r="I136" i="1"/>
  <c r="J136" i="1"/>
  <c r="K136" i="1"/>
  <c r="E137" i="1"/>
  <c r="F137" i="1"/>
  <c r="G137" i="1"/>
  <c r="H137" i="1"/>
  <c r="I137" i="1"/>
  <c r="J137" i="1"/>
  <c r="K137" i="1"/>
  <c r="E138" i="1"/>
  <c r="F138" i="1"/>
  <c r="G138" i="1"/>
  <c r="H138" i="1"/>
  <c r="I138" i="1"/>
  <c r="J138" i="1"/>
  <c r="K138" i="1"/>
  <c r="E139" i="1"/>
  <c r="F139" i="1"/>
  <c r="G139" i="1"/>
  <c r="H139" i="1"/>
  <c r="I139" i="1"/>
  <c r="J139" i="1"/>
  <c r="K139" i="1"/>
  <c r="E140" i="1"/>
  <c r="F140" i="1"/>
  <c r="G140" i="1"/>
  <c r="H140" i="1"/>
  <c r="I140" i="1"/>
  <c r="J140" i="1"/>
  <c r="K140" i="1"/>
  <c r="E141" i="1"/>
  <c r="F141" i="1"/>
  <c r="G141" i="1"/>
  <c r="H141" i="1"/>
  <c r="I141" i="1"/>
  <c r="J141" i="1"/>
  <c r="K141" i="1"/>
  <c r="E142" i="1"/>
  <c r="F142" i="1"/>
  <c r="G142" i="1"/>
  <c r="H142" i="1"/>
  <c r="I142" i="1"/>
  <c r="J142" i="1"/>
  <c r="K142" i="1"/>
  <c r="E143" i="1"/>
  <c r="F143" i="1"/>
  <c r="G143" i="1"/>
  <c r="H143" i="1"/>
  <c r="I143" i="1"/>
  <c r="J143" i="1"/>
  <c r="K143" i="1"/>
  <c r="E144" i="1"/>
  <c r="F144" i="1"/>
  <c r="G144" i="1"/>
  <c r="H144" i="1"/>
  <c r="I144" i="1"/>
  <c r="J144" i="1"/>
  <c r="K144" i="1"/>
  <c r="E145" i="1"/>
  <c r="F145" i="1"/>
  <c r="G145" i="1"/>
  <c r="H145" i="1"/>
  <c r="I145" i="1"/>
  <c r="J145" i="1"/>
  <c r="K145" i="1"/>
  <c r="E146" i="1"/>
  <c r="F146" i="1"/>
  <c r="G146" i="1"/>
  <c r="H146" i="1"/>
  <c r="I146" i="1"/>
  <c r="J146" i="1"/>
  <c r="K146" i="1"/>
  <c r="E147" i="1"/>
  <c r="F147" i="1"/>
  <c r="G147" i="1"/>
  <c r="H147" i="1"/>
  <c r="I147" i="1"/>
  <c r="J147" i="1"/>
  <c r="K147" i="1"/>
  <c r="E148" i="1"/>
  <c r="F148" i="1"/>
  <c r="G148" i="1"/>
  <c r="H148" i="1"/>
  <c r="I148" i="1"/>
  <c r="J148" i="1"/>
  <c r="K148" i="1"/>
  <c r="E149" i="1"/>
  <c r="F149" i="1"/>
  <c r="G149" i="1"/>
  <c r="H149" i="1"/>
  <c r="I149" i="1"/>
  <c r="J149" i="1"/>
  <c r="K149" i="1"/>
  <c r="E150" i="1"/>
  <c r="F150" i="1"/>
  <c r="G150" i="1"/>
  <c r="H150" i="1"/>
  <c r="I150" i="1"/>
  <c r="J150" i="1"/>
  <c r="K150" i="1"/>
  <c r="E151" i="1"/>
  <c r="F151" i="1"/>
  <c r="G151" i="1"/>
  <c r="H151" i="1"/>
  <c r="I151" i="1"/>
  <c r="J151" i="1"/>
  <c r="K151" i="1"/>
  <c r="E152" i="1"/>
  <c r="F152" i="1"/>
  <c r="G152" i="1"/>
  <c r="H152" i="1"/>
  <c r="I152" i="1"/>
  <c r="J152" i="1"/>
  <c r="K152" i="1"/>
  <c r="E153" i="1"/>
  <c r="F153" i="1"/>
  <c r="G153" i="1"/>
  <c r="H153" i="1"/>
  <c r="I153" i="1"/>
  <c r="J153" i="1"/>
  <c r="K153" i="1"/>
  <c r="E154" i="1"/>
  <c r="F154" i="1"/>
  <c r="G154" i="1"/>
  <c r="H154" i="1"/>
  <c r="I154" i="1"/>
  <c r="J154" i="1"/>
  <c r="K154" i="1"/>
  <c r="E155" i="1"/>
  <c r="F155" i="1"/>
  <c r="G155" i="1"/>
  <c r="H155" i="1"/>
  <c r="I155" i="1"/>
  <c r="J155" i="1"/>
  <c r="K155" i="1"/>
  <c r="E156" i="1"/>
  <c r="F156" i="1"/>
  <c r="G156" i="1"/>
  <c r="H156" i="1"/>
  <c r="I156" i="1"/>
  <c r="J156" i="1"/>
  <c r="K156" i="1"/>
  <c r="E157" i="1"/>
  <c r="F157" i="1"/>
  <c r="G157" i="1"/>
  <c r="H157" i="1"/>
  <c r="I157" i="1"/>
  <c r="J157" i="1"/>
  <c r="K157" i="1"/>
  <c r="E158" i="1"/>
  <c r="F158" i="1"/>
  <c r="G158" i="1"/>
  <c r="H158" i="1"/>
  <c r="I158" i="1"/>
  <c r="J158" i="1"/>
  <c r="K158" i="1"/>
  <c r="E159" i="1"/>
  <c r="F159" i="1"/>
  <c r="G159" i="1"/>
  <c r="H159" i="1"/>
  <c r="I159" i="1"/>
  <c r="J159" i="1"/>
  <c r="K159" i="1"/>
  <c r="E160" i="1"/>
  <c r="F160" i="1"/>
  <c r="G160" i="1"/>
  <c r="H160" i="1"/>
  <c r="I160" i="1"/>
  <c r="J160" i="1"/>
  <c r="K160" i="1"/>
  <c r="E161" i="1"/>
  <c r="F161" i="1"/>
  <c r="G161" i="1"/>
  <c r="H161" i="1"/>
  <c r="I161" i="1"/>
  <c r="J161" i="1"/>
  <c r="K161" i="1"/>
  <c r="E162" i="1"/>
  <c r="F162" i="1"/>
  <c r="G162" i="1"/>
  <c r="H162" i="1"/>
  <c r="I162" i="1"/>
  <c r="J162" i="1"/>
  <c r="K162" i="1"/>
  <c r="E163" i="1"/>
  <c r="F163" i="1"/>
  <c r="G163" i="1"/>
  <c r="H163" i="1"/>
  <c r="I163" i="1"/>
  <c r="J163" i="1"/>
  <c r="K163" i="1"/>
  <c r="E115" i="1"/>
  <c r="F115" i="1"/>
  <c r="G115" i="1"/>
  <c r="H115" i="1"/>
  <c r="I115" i="1"/>
  <c r="J115" i="1"/>
  <c r="K115" i="1"/>
  <c r="E116" i="1"/>
  <c r="F116" i="1"/>
  <c r="G116" i="1"/>
  <c r="H116" i="1"/>
  <c r="I116" i="1"/>
  <c r="J116" i="1"/>
  <c r="K116" i="1"/>
  <c r="E117" i="1"/>
  <c r="F117" i="1"/>
  <c r="G117" i="1"/>
  <c r="H117" i="1"/>
  <c r="I117" i="1"/>
  <c r="J117" i="1"/>
  <c r="K117" i="1"/>
  <c r="E118" i="1"/>
  <c r="F118" i="1"/>
  <c r="G118" i="1"/>
  <c r="H118" i="1"/>
  <c r="I118" i="1"/>
  <c r="J118" i="1"/>
  <c r="K118" i="1"/>
  <c r="E119" i="1"/>
  <c r="F119" i="1"/>
  <c r="G119" i="1"/>
  <c r="H119" i="1"/>
  <c r="I119" i="1"/>
  <c r="J119" i="1"/>
  <c r="K119" i="1"/>
  <c r="E120" i="1"/>
  <c r="F120" i="1"/>
  <c r="G120" i="1"/>
  <c r="H120" i="1"/>
  <c r="I120" i="1"/>
  <c r="J120" i="1"/>
  <c r="V120" i="1" s="1"/>
  <c r="K120" i="1"/>
  <c r="W120" i="1" s="1"/>
  <c r="E6" i="1"/>
  <c r="F6" i="1"/>
  <c r="G6" i="1"/>
  <c r="H6" i="1"/>
  <c r="I6" i="1"/>
  <c r="J6" i="1"/>
  <c r="K6" i="1"/>
  <c r="E7" i="1"/>
  <c r="F7" i="1"/>
  <c r="G7" i="1"/>
  <c r="H7" i="1"/>
  <c r="I7" i="1"/>
  <c r="J7" i="1"/>
  <c r="K7" i="1"/>
  <c r="E8" i="1"/>
  <c r="F8" i="1"/>
  <c r="G8" i="1"/>
  <c r="H8" i="1"/>
  <c r="I8" i="1"/>
  <c r="J8" i="1"/>
  <c r="K8" i="1"/>
  <c r="E9" i="1"/>
  <c r="F9" i="1"/>
  <c r="G9" i="1"/>
  <c r="H9" i="1"/>
  <c r="I9" i="1"/>
  <c r="J9" i="1"/>
  <c r="K9" i="1"/>
  <c r="E10" i="1"/>
  <c r="F10" i="1"/>
  <c r="G10" i="1"/>
  <c r="H10" i="1"/>
  <c r="I10" i="1"/>
  <c r="J10" i="1"/>
  <c r="K10" i="1"/>
  <c r="E11" i="1"/>
  <c r="F11" i="1"/>
  <c r="G11" i="1"/>
  <c r="H11" i="1"/>
  <c r="I11" i="1"/>
  <c r="J11" i="1"/>
  <c r="K11" i="1"/>
  <c r="E12" i="1"/>
  <c r="F12" i="1"/>
  <c r="G12" i="1"/>
  <c r="H12" i="1"/>
  <c r="I12" i="1"/>
  <c r="J12" i="1"/>
  <c r="K12" i="1"/>
  <c r="E13" i="1"/>
  <c r="F13" i="1"/>
  <c r="G13" i="1"/>
  <c r="H13" i="1"/>
  <c r="I13" i="1"/>
  <c r="J13" i="1"/>
  <c r="K13" i="1"/>
  <c r="E14" i="1"/>
  <c r="F14" i="1"/>
  <c r="G14" i="1"/>
  <c r="H14" i="1"/>
  <c r="I14" i="1"/>
  <c r="J14" i="1"/>
  <c r="K14" i="1"/>
  <c r="E15" i="1"/>
  <c r="F15" i="1"/>
  <c r="G15" i="1"/>
  <c r="H15" i="1"/>
  <c r="I15" i="1"/>
  <c r="J15" i="1"/>
  <c r="K15" i="1"/>
  <c r="E16" i="1"/>
  <c r="F16" i="1"/>
  <c r="G16" i="1"/>
  <c r="H16" i="1"/>
  <c r="I16" i="1"/>
  <c r="J16" i="1"/>
  <c r="K16" i="1"/>
  <c r="E17" i="1"/>
  <c r="F17" i="1"/>
  <c r="G17" i="1"/>
  <c r="H17" i="1"/>
  <c r="I17" i="1"/>
  <c r="J17" i="1"/>
  <c r="K17" i="1"/>
  <c r="E18" i="1"/>
  <c r="F18" i="1"/>
  <c r="G18" i="1"/>
  <c r="H18" i="1"/>
  <c r="I18" i="1"/>
  <c r="J18" i="1"/>
  <c r="K18" i="1"/>
  <c r="E19" i="1"/>
  <c r="F19" i="1"/>
  <c r="G19" i="1"/>
  <c r="H19" i="1"/>
  <c r="I19" i="1"/>
  <c r="J19" i="1"/>
  <c r="K19" i="1"/>
  <c r="E20" i="1"/>
  <c r="F20" i="1"/>
  <c r="G20" i="1"/>
  <c r="H20" i="1"/>
  <c r="I20" i="1"/>
  <c r="J20" i="1"/>
  <c r="K20" i="1"/>
  <c r="E21" i="1"/>
  <c r="F21" i="1"/>
  <c r="G21" i="1"/>
  <c r="H21" i="1"/>
  <c r="I21" i="1"/>
  <c r="J21" i="1"/>
  <c r="K21" i="1"/>
  <c r="E22" i="1"/>
  <c r="F22" i="1"/>
  <c r="G22" i="1"/>
  <c r="H22" i="1"/>
  <c r="I22" i="1"/>
  <c r="J22" i="1"/>
  <c r="K22" i="1"/>
  <c r="E23" i="1"/>
  <c r="F23" i="1"/>
  <c r="G23" i="1"/>
  <c r="H23" i="1"/>
  <c r="I23" i="1"/>
  <c r="J23" i="1"/>
  <c r="K23" i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E26" i="1"/>
  <c r="F26" i="1"/>
  <c r="G26" i="1"/>
  <c r="H26" i="1"/>
  <c r="I26" i="1"/>
  <c r="J26" i="1"/>
  <c r="K26" i="1"/>
  <c r="E27" i="1"/>
  <c r="F27" i="1"/>
  <c r="G27" i="1"/>
  <c r="H27" i="1"/>
  <c r="I27" i="1"/>
  <c r="J27" i="1"/>
  <c r="K27" i="1"/>
  <c r="E28" i="1"/>
  <c r="F28" i="1"/>
  <c r="G28" i="1"/>
  <c r="H28" i="1"/>
  <c r="I28" i="1"/>
  <c r="J28" i="1"/>
  <c r="K28" i="1"/>
  <c r="E29" i="1"/>
  <c r="F29" i="1"/>
  <c r="G29" i="1"/>
  <c r="H29" i="1"/>
  <c r="I29" i="1"/>
  <c r="J29" i="1"/>
  <c r="K29" i="1"/>
  <c r="E30" i="1"/>
  <c r="F30" i="1"/>
  <c r="G30" i="1"/>
  <c r="H30" i="1"/>
  <c r="I30" i="1"/>
  <c r="J30" i="1"/>
  <c r="K30" i="1"/>
  <c r="E31" i="1"/>
  <c r="F31" i="1"/>
  <c r="G31" i="1"/>
  <c r="H31" i="1"/>
  <c r="I31" i="1"/>
  <c r="J31" i="1"/>
  <c r="K31" i="1"/>
  <c r="E32" i="1"/>
  <c r="F32" i="1"/>
  <c r="G32" i="1"/>
  <c r="H32" i="1"/>
  <c r="I32" i="1"/>
  <c r="J32" i="1"/>
  <c r="K32" i="1"/>
  <c r="E33" i="1"/>
  <c r="F33" i="1"/>
  <c r="G33" i="1"/>
  <c r="H33" i="1"/>
  <c r="I33" i="1"/>
  <c r="J33" i="1"/>
  <c r="K33" i="1"/>
  <c r="E34" i="1"/>
  <c r="F34" i="1"/>
  <c r="G34" i="1"/>
  <c r="H34" i="1"/>
  <c r="I34" i="1"/>
  <c r="J34" i="1"/>
  <c r="K34" i="1"/>
  <c r="E35" i="1"/>
  <c r="F35" i="1"/>
  <c r="G35" i="1"/>
  <c r="H35" i="1"/>
  <c r="I35" i="1"/>
  <c r="J35" i="1"/>
  <c r="K35" i="1"/>
  <c r="E36" i="1"/>
  <c r="F36" i="1"/>
  <c r="G36" i="1"/>
  <c r="H36" i="1"/>
  <c r="I36" i="1"/>
  <c r="J36" i="1"/>
  <c r="K36" i="1"/>
  <c r="E37" i="1"/>
  <c r="F37" i="1"/>
  <c r="G37" i="1"/>
  <c r="H37" i="1"/>
  <c r="I37" i="1"/>
  <c r="J37" i="1"/>
  <c r="K37" i="1"/>
  <c r="E38" i="1"/>
  <c r="F38" i="1"/>
  <c r="G38" i="1"/>
  <c r="H38" i="1"/>
  <c r="I38" i="1"/>
  <c r="J38" i="1"/>
  <c r="K38" i="1"/>
  <c r="E39" i="1"/>
  <c r="F39" i="1"/>
  <c r="G39" i="1"/>
  <c r="H39" i="1"/>
  <c r="I39" i="1"/>
  <c r="J39" i="1"/>
  <c r="K39" i="1"/>
  <c r="E40" i="1"/>
  <c r="F40" i="1"/>
  <c r="G40" i="1"/>
  <c r="H40" i="1"/>
  <c r="I40" i="1"/>
  <c r="J40" i="1"/>
  <c r="K40" i="1"/>
  <c r="E41" i="1"/>
  <c r="F41" i="1"/>
  <c r="G41" i="1"/>
  <c r="H41" i="1"/>
  <c r="I41" i="1"/>
  <c r="J41" i="1"/>
  <c r="K41" i="1"/>
  <c r="E42" i="1"/>
  <c r="F42" i="1"/>
  <c r="G42" i="1"/>
  <c r="H42" i="1"/>
  <c r="I42" i="1"/>
  <c r="J42" i="1"/>
  <c r="K42" i="1"/>
  <c r="E43" i="1"/>
  <c r="F43" i="1"/>
  <c r="G43" i="1"/>
  <c r="H43" i="1"/>
  <c r="I43" i="1"/>
  <c r="J43" i="1"/>
  <c r="K43" i="1"/>
  <c r="E44" i="1"/>
  <c r="F44" i="1"/>
  <c r="G44" i="1"/>
  <c r="H44" i="1"/>
  <c r="I44" i="1"/>
  <c r="J44" i="1"/>
  <c r="K44" i="1"/>
  <c r="E45" i="1"/>
  <c r="F45" i="1"/>
  <c r="G45" i="1"/>
  <c r="H45" i="1"/>
  <c r="I45" i="1"/>
  <c r="J45" i="1"/>
  <c r="K45" i="1"/>
  <c r="E46" i="1"/>
  <c r="F46" i="1"/>
  <c r="G46" i="1"/>
  <c r="H46" i="1"/>
  <c r="I46" i="1"/>
  <c r="J46" i="1"/>
  <c r="K46" i="1"/>
  <c r="E47" i="1"/>
  <c r="F47" i="1"/>
  <c r="G47" i="1"/>
  <c r="H47" i="1"/>
  <c r="I47" i="1"/>
  <c r="J47" i="1"/>
  <c r="K47" i="1"/>
  <c r="E48" i="1"/>
  <c r="F48" i="1"/>
  <c r="G48" i="1"/>
  <c r="H48" i="1"/>
  <c r="I48" i="1"/>
  <c r="J48" i="1"/>
  <c r="K48" i="1"/>
  <c r="E49" i="1"/>
  <c r="F49" i="1"/>
  <c r="G49" i="1"/>
  <c r="H49" i="1"/>
  <c r="I49" i="1"/>
  <c r="J49" i="1"/>
  <c r="K49" i="1"/>
  <c r="E50" i="1"/>
  <c r="F50" i="1"/>
  <c r="G50" i="1"/>
  <c r="H50" i="1"/>
  <c r="I50" i="1"/>
  <c r="J50" i="1"/>
  <c r="K50" i="1"/>
  <c r="E51" i="1"/>
  <c r="F51" i="1"/>
  <c r="G51" i="1"/>
  <c r="H51" i="1"/>
  <c r="I51" i="1"/>
  <c r="J51" i="1"/>
  <c r="K51" i="1"/>
  <c r="E52" i="1"/>
  <c r="F52" i="1"/>
  <c r="G52" i="1"/>
  <c r="H52" i="1"/>
  <c r="I52" i="1"/>
  <c r="J52" i="1"/>
  <c r="K52" i="1"/>
  <c r="E53" i="1"/>
  <c r="F53" i="1"/>
  <c r="G53" i="1"/>
  <c r="H53" i="1"/>
  <c r="I53" i="1"/>
  <c r="J53" i="1"/>
  <c r="K53" i="1"/>
  <c r="E54" i="1"/>
  <c r="F54" i="1"/>
  <c r="G54" i="1"/>
  <c r="H54" i="1"/>
  <c r="I54" i="1"/>
  <c r="J54" i="1"/>
  <c r="K54" i="1"/>
  <c r="E55" i="1"/>
  <c r="F55" i="1"/>
  <c r="G55" i="1"/>
  <c r="H55" i="1"/>
  <c r="I55" i="1"/>
  <c r="J55" i="1"/>
  <c r="K55" i="1"/>
  <c r="E56" i="1"/>
  <c r="F56" i="1"/>
  <c r="G56" i="1"/>
  <c r="H56" i="1"/>
  <c r="I56" i="1"/>
  <c r="J56" i="1"/>
  <c r="K56" i="1"/>
  <c r="E57" i="1"/>
  <c r="F57" i="1"/>
  <c r="G57" i="1"/>
  <c r="H57" i="1"/>
  <c r="I57" i="1"/>
  <c r="J57" i="1"/>
  <c r="K57" i="1"/>
  <c r="E58" i="1"/>
  <c r="F58" i="1"/>
  <c r="G58" i="1"/>
  <c r="H58" i="1"/>
  <c r="I58" i="1"/>
  <c r="J58" i="1"/>
  <c r="K58" i="1"/>
  <c r="E59" i="1"/>
  <c r="F59" i="1"/>
  <c r="G59" i="1"/>
  <c r="H59" i="1"/>
  <c r="I59" i="1"/>
  <c r="J59" i="1"/>
  <c r="K59" i="1"/>
  <c r="E60" i="1"/>
  <c r="F60" i="1"/>
  <c r="G60" i="1"/>
  <c r="H60" i="1"/>
  <c r="I60" i="1"/>
  <c r="J60" i="1"/>
  <c r="K60" i="1"/>
  <c r="E61" i="1"/>
  <c r="F61" i="1"/>
  <c r="G61" i="1"/>
  <c r="H61" i="1"/>
  <c r="I61" i="1"/>
  <c r="J61" i="1"/>
  <c r="K61" i="1"/>
  <c r="E62" i="1"/>
  <c r="F62" i="1"/>
  <c r="G62" i="1"/>
  <c r="H62" i="1"/>
  <c r="I62" i="1"/>
  <c r="J62" i="1"/>
  <c r="K62" i="1"/>
  <c r="E63" i="1"/>
  <c r="F63" i="1"/>
  <c r="G63" i="1"/>
  <c r="H63" i="1"/>
  <c r="I63" i="1"/>
  <c r="J63" i="1"/>
  <c r="K63" i="1"/>
  <c r="E64" i="1"/>
  <c r="F64" i="1"/>
  <c r="G64" i="1"/>
  <c r="H64" i="1"/>
  <c r="I64" i="1"/>
  <c r="J64" i="1"/>
  <c r="K64" i="1"/>
  <c r="E65" i="1"/>
  <c r="F65" i="1"/>
  <c r="G65" i="1"/>
  <c r="H65" i="1"/>
  <c r="I65" i="1"/>
  <c r="J65" i="1"/>
  <c r="K65" i="1"/>
  <c r="E66" i="1"/>
  <c r="F66" i="1"/>
  <c r="G66" i="1"/>
  <c r="H66" i="1"/>
  <c r="I66" i="1"/>
  <c r="J66" i="1"/>
  <c r="K66" i="1"/>
  <c r="E67" i="1"/>
  <c r="F67" i="1"/>
  <c r="G67" i="1"/>
  <c r="H67" i="1"/>
  <c r="I67" i="1"/>
  <c r="J67" i="1"/>
  <c r="K67" i="1"/>
  <c r="E68" i="1"/>
  <c r="F68" i="1"/>
  <c r="G68" i="1"/>
  <c r="H68" i="1"/>
  <c r="I68" i="1"/>
  <c r="J68" i="1"/>
  <c r="K68" i="1"/>
  <c r="E69" i="1"/>
  <c r="F69" i="1"/>
  <c r="G69" i="1"/>
  <c r="H69" i="1"/>
  <c r="I69" i="1"/>
  <c r="J69" i="1"/>
  <c r="V69" i="1" s="1"/>
  <c r="K69" i="1"/>
  <c r="W69" i="1" s="1"/>
  <c r="E70" i="1"/>
  <c r="F70" i="1"/>
  <c r="G70" i="1"/>
  <c r="H70" i="1"/>
  <c r="I70" i="1"/>
  <c r="J70" i="1"/>
  <c r="K70" i="1"/>
  <c r="E71" i="1"/>
  <c r="F71" i="1"/>
  <c r="G71" i="1"/>
  <c r="H71" i="1"/>
  <c r="I71" i="1"/>
  <c r="J71" i="1"/>
  <c r="K71" i="1"/>
  <c r="E72" i="1"/>
  <c r="F72" i="1"/>
  <c r="G72" i="1"/>
  <c r="H72" i="1"/>
  <c r="I72" i="1"/>
  <c r="J72" i="1"/>
  <c r="K72" i="1"/>
  <c r="E73" i="1"/>
  <c r="F73" i="1"/>
  <c r="G73" i="1"/>
  <c r="H73" i="1"/>
  <c r="I73" i="1"/>
  <c r="J73" i="1"/>
  <c r="K73" i="1"/>
  <c r="E74" i="1"/>
  <c r="F74" i="1"/>
  <c r="G74" i="1"/>
  <c r="H74" i="1"/>
  <c r="I74" i="1"/>
  <c r="J74" i="1"/>
  <c r="K74" i="1"/>
  <c r="E75" i="1"/>
  <c r="F75" i="1"/>
  <c r="G75" i="1"/>
  <c r="H75" i="1"/>
  <c r="I75" i="1"/>
  <c r="J75" i="1"/>
  <c r="K75" i="1"/>
  <c r="E76" i="1"/>
  <c r="F76" i="1"/>
  <c r="G76" i="1"/>
  <c r="H76" i="1"/>
  <c r="I76" i="1"/>
  <c r="J76" i="1"/>
  <c r="K76" i="1"/>
  <c r="E77" i="1"/>
  <c r="F77" i="1"/>
  <c r="G77" i="1"/>
  <c r="H77" i="1"/>
  <c r="I77" i="1"/>
  <c r="J77" i="1"/>
  <c r="K77" i="1"/>
  <c r="E78" i="1"/>
  <c r="F78" i="1"/>
  <c r="G78" i="1"/>
  <c r="H78" i="1"/>
  <c r="I78" i="1"/>
  <c r="J78" i="1"/>
  <c r="K78" i="1"/>
  <c r="E79" i="1"/>
  <c r="F79" i="1"/>
  <c r="G79" i="1"/>
  <c r="H79" i="1"/>
  <c r="I79" i="1"/>
  <c r="J79" i="1"/>
  <c r="K79" i="1"/>
  <c r="E80" i="1"/>
  <c r="F80" i="1"/>
  <c r="G80" i="1"/>
  <c r="H80" i="1"/>
  <c r="I80" i="1"/>
  <c r="J80" i="1"/>
  <c r="K80" i="1"/>
  <c r="E81" i="1"/>
  <c r="F81" i="1"/>
  <c r="G81" i="1"/>
  <c r="H81" i="1"/>
  <c r="I81" i="1"/>
  <c r="J81" i="1"/>
  <c r="K81" i="1"/>
  <c r="E82" i="1"/>
  <c r="F82" i="1"/>
  <c r="G82" i="1"/>
  <c r="H82" i="1"/>
  <c r="I82" i="1"/>
  <c r="J82" i="1"/>
  <c r="K82" i="1"/>
  <c r="E83" i="1"/>
  <c r="F83" i="1"/>
  <c r="G83" i="1"/>
  <c r="H83" i="1"/>
  <c r="I83" i="1"/>
  <c r="J83" i="1"/>
  <c r="K83" i="1"/>
  <c r="E84" i="1"/>
  <c r="F84" i="1"/>
  <c r="G84" i="1"/>
  <c r="H84" i="1"/>
  <c r="I84" i="1"/>
  <c r="J84" i="1"/>
  <c r="K84" i="1"/>
  <c r="E85" i="1"/>
  <c r="F85" i="1"/>
  <c r="G85" i="1"/>
  <c r="H85" i="1"/>
  <c r="I85" i="1"/>
  <c r="J85" i="1"/>
  <c r="K85" i="1"/>
  <c r="E86" i="1"/>
  <c r="F86" i="1"/>
  <c r="G86" i="1"/>
  <c r="H86" i="1"/>
  <c r="I86" i="1"/>
  <c r="J86" i="1"/>
  <c r="K86" i="1"/>
  <c r="E87" i="1"/>
  <c r="F87" i="1"/>
  <c r="G87" i="1"/>
  <c r="H87" i="1"/>
  <c r="I87" i="1"/>
  <c r="J87" i="1"/>
  <c r="K87" i="1"/>
  <c r="E88" i="1"/>
  <c r="F88" i="1"/>
  <c r="G88" i="1"/>
  <c r="H88" i="1"/>
  <c r="I88" i="1"/>
  <c r="J88" i="1"/>
  <c r="V88" i="1" s="1"/>
  <c r="K88" i="1"/>
  <c r="W88" i="1" s="1"/>
  <c r="E89" i="1"/>
  <c r="F89" i="1"/>
  <c r="G89" i="1"/>
  <c r="H89" i="1"/>
  <c r="I89" i="1"/>
  <c r="J89" i="1"/>
  <c r="K89" i="1"/>
  <c r="E90" i="1"/>
  <c r="F90" i="1"/>
  <c r="G90" i="1"/>
  <c r="H90" i="1"/>
  <c r="I90" i="1"/>
  <c r="J90" i="1"/>
  <c r="K90" i="1"/>
  <c r="E91" i="1"/>
  <c r="F91" i="1"/>
  <c r="G91" i="1"/>
  <c r="H91" i="1"/>
  <c r="I91" i="1"/>
  <c r="J91" i="1"/>
  <c r="K91" i="1"/>
  <c r="E92" i="1"/>
  <c r="F92" i="1"/>
  <c r="G92" i="1"/>
  <c r="H92" i="1"/>
  <c r="I92" i="1"/>
  <c r="J92" i="1"/>
  <c r="K92" i="1"/>
  <c r="E93" i="1"/>
  <c r="F93" i="1"/>
  <c r="G93" i="1"/>
  <c r="H93" i="1"/>
  <c r="I93" i="1"/>
  <c r="J93" i="1"/>
  <c r="K93" i="1"/>
  <c r="E94" i="1"/>
  <c r="F94" i="1"/>
  <c r="G94" i="1"/>
  <c r="H94" i="1"/>
  <c r="I94" i="1"/>
  <c r="J94" i="1"/>
  <c r="K94" i="1"/>
  <c r="E95" i="1"/>
  <c r="F95" i="1"/>
  <c r="G95" i="1"/>
  <c r="H95" i="1"/>
  <c r="I95" i="1"/>
  <c r="J95" i="1"/>
  <c r="K95" i="1"/>
  <c r="E96" i="1"/>
  <c r="F96" i="1"/>
  <c r="G96" i="1"/>
  <c r="H96" i="1"/>
  <c r="I96" i="1"/>
  <c r="J96" i="1"/>
  <c r="K96" i="1"/>
  <c r="E97" i="1"/>
  <c r="F97" i="1"/>
  <c r="G97" i="1"/>
  <c r="H97" i="1"/>
  <c r="I97" i="1"/>
  <c r="J97" i="1"/>
  <c r="K97" i="1"/>
  <c r="E98" i="1"/>
  <c r="F98" i="1"/>
  <c r="G98" i="1"/>
  <c r="H98" i="1"/>
  <c r="I98" i="1"/>
  <c r="J98" i="1"/>
  <c r="K98" i="1"/>
  <c r="E99" i="1"/>
  <c r="F99" i="1"/>
  <c r="G99" i="1"/>
  <c r="H99" i="1"/>
  <c r="I99" i="1"/>
  <c r="J99" i="1"/>
  <c r="K99" i="1"/>
  <c r="E100" i="1"/>
  <c r="F100" i="1"/>
  <c r="G100" i="1"/>
  <c r="H100" i="1"/>
  <c r="I100" i="1"/>
  <c r="J100" i="1"/>
  <c r="K100" i="1"/>
  <c r="E101" i="1"/>
  <c r="F101" i="1"/>
  <c r="G101" i="1"/>
  <c r="H101" i="1"/>
  <c r="I101" i="1"/>
  <c r="J101" i="1"/>
  <c r="K101" i="1"/>
  <c r="E102" i="1"/>
  <c r="F102" i="1"/>
  <c r="G102" i="1"/>
  <c r="H102" i="1"/>
  <c r="I102" i="1"/>
  <c r="J102" i="1"/>
  <c r="K102" i="1"/>
  <c r="E103" i="1"/>
  <c r="F103" i="1"/>
  <c r="G103" i="1"/>
  <c r="H103" i="1"/>
  <c r="I103" i="1"/>
  <c r="J103" i="1"/>
  <c r="K103" i="1"/>
  <c r="E104" i="1"/>
  <c r="F104" i="1"/>
  <c r="G104" i="1"/>
  <c r="H104" i="1"/>
  <c r="I104" i="1"/>
  <c r="J104" i="1"/>
  <c r="K104" i="1"/>
  <c r="E105" i="1"/>
  <c r="F105" i="1"/>
  <c r="G105" i="1"/>
  <c r="H105" i="1"/>
  <c r="I105" i="1"/>
  <c r="J105" i="1"/>
  <c r="K105" i="1"/>
  <c r="W105" i="1" s="1"/>
  <c r="E106" i="1"/>
  <c r="F106" i="1"/>
  <c r="G106" i="1"/>
  <c r="H106" i="1"/>
  <c r="I106" i="1"/>
  <c r="J106" i="1"/>
  <c r="K106" i="1"/>
  <c r="E107" i="1"/>
  <c r="F107" i="1"/>
  <c r="G107" i="1"/>
  <c r="H107" i="1"/>
  <c r="I107" i="1"/>
  <c r="J107" i="1"/>
  <c r="V107" i="1" s="1"/>
  <c r="K107" i="1"/>
  <c r="W107" i="1" s="1"/>
  <c r="E108" i="1"/>
  <c r="F108" i="1"/>
  <c r="G108" i="1"/>
  <c r="H108" i="1"/>
  <c r="I108" i="1"/>
  <c r="J108" i="1"/>
  <c r="K108" i="1"/>
  <c r="E109" i="1"/>
  <c r="F109" i="1"/>
  <c r="G109" i="1"/>
  <c r="H109" i="1"/>
  <c r="I109" i="1"/>
  <c r="J109" i="1"/>
  <c r="K109" i="1"/>
  <c r="E110" i="1"/>
  <c r="F110" i="1"/>
  <c r="G110" i="1"/>
  <c r="H110" i="1"/>
  <c r="I110" i="1"/>
  <c r="J110" i="1"/>
  <c r="K110" i="1"/>
  <c r="E111" i="1"/>
  <c r="F111" i="1"/>
  <c r="G111" i="1"/>
  <c r="H111" i="1"/>
  <c r="I111" i="1"/>
  <c r="J111" i="1"/>
  <c r="K111" i="1"/>
  <c r="E112" i="1"/>
  <c r="F112" i="1"/>
  <c r="G112" i="1"/>
  <c r="H112" i="1"/>
  <c r="I112" i="1"/>
  <c r="J112" i="1"/>
  <c r="K112" i="1"/>
  <c r="E113" i="1"/>
  <c r="F113" i="1"/>
  <c r="G113" i="1"/>
  <c r="H113" i="1"/>
  <c r="I113" i="1"/>
  <c r="J113" i="1"/>
  <c r="V113" i="1" s="1"/>
  <c r="AP113" i="1" s="1"/>
  <c r="K113" i="1"/>
  <c r="W113" i="1" s="1"/>
  <c r="AQ113" i="1" s="1"/>
  <c r="E114" i="1"/>
  <c r="F114" i="1"/>
  <c r="G114" i="1"/>
  <c r="H114" i="1"/>
  <c r="I114" i="1"/>
  <c r="J114" i="1"/>
  <c r="K114" i="1"/>
  <c r="F5" i="1"/>
  <c r="G5" i="1"/>
  <c r="H5" i="1"/>
  <c r="I5" i="1"/>
  <c r="J5" i="1"/>
  <c r="K5" i="1"/>
  <c r="E5" i="1"/>
  <c r="R183" i="1"/>
  <c r="R18" i="1"/>
  <c r="R15" i="1"/>
  <c r="S18" i="1"/>
  <c r="S15" i="1"/>
  <c r="T183" i="1"/>
  <c r="T15" i="1"/>
  <c r="U15" i="1"/>
  <c r="AO6" i="44"/>
  <c r="AO7" i="44"/>
  <c r="AO8" i="44"/>
  <c r="AO9" i="44"/>
  <c r="AO10" i="44"/>
  <c r="AO11" i="44"/>
  <c r="AO12" i="44"/>
  <c r="AO13" i="44"/>
  <c r="AO14" i="44"/>
  <c r="AO15" i="44"/>
  <c r="AO16" i="44"/>
  <c r="AO17" i="44"/>
  <c r="AO18" i="44"/>
  <c r="AO19" i="44"/>
  <c r="AO20" i="44"/>
  <c r="AO21" i="44"/>
  <c r="AO22" i="44"/>
  <c r="AO23" i="44"/>
  <c r="AO24" i="44"/>
  <c r="AO25" i="44"/>
  <c r="AO26" i="44"/>
  <c r="AO27" i="44"/>
  <c r="AO28" i="44"/>
  <c r="AO29" i="44"/>
  <c r="AO30" i="44"/>
  <c r="AO31" i="44"/>
  <c r="AO32" i="44"/>
  <c r="AO33" i="44"/>
  <c r="AO34" i="44"/>
  <c r="AO35" i="44"/>
  <c r="AO36" i="44"/>
  <c r="AO37" i="44"/>
  <c r="AO38" i="44"/>
  <c r="AO39" i="44"/>
  <c r="AO40" i="44"/>
  <c r="AO41" i="44"/>
  <c r="AO42" i="44"/>
  <c r="AO43" i="44"/>
  <c r="AO44" i="44"/>
  <c r="AO45" i="44"/>
  <c r="AO46" i="44"/>
  <c r="AO47" i="44"/>
  <c r="AO48" i="44"/>
  <c r="AO49" i="44"/>
  <c r="AO50" i="44"/>
  <c r="AO51" i="44"/>
  <c r="AO52" i="44"/>
  <c r="AO53" i="44"/>
  <c r="AO54" i="44"/>
  <c r="AO55" i="44"/>
  <c r="AO56" i="44"/>
  <c r="AO57" i="44"/>
  <c r="AO58" i="44"/>
  <c r="AO59" i="44"/>
  <c r="AO60" i="44"/>
  <c r="AO61" i="44"/>
  <c r="AO62" i="44"/>
  <c r="AO63" i="44"/>
  <c r="AO64" i="44"/>
  <c r="AO65" i="44"/>
  <c r="AO66" i="44"/>
  <c r="AO67" i="44"/>
  <c r="AO68" i="44"/>
  <c r="AO69" i="44"/>
  <c r="AO70" i="44"/>
  <c r="AO71" i="44"/>
  <c r="AO72" i="44"/>
  <c r="AO73" i="44"/>
  <c r="AO74" i="44"/>
  <c r="AO75" i="44"/>
  <c r="AO76" i="44"/>
  <c r="AO77" i="44"/>
  <c r="AO78" i="44"/>
  <c r="AO79" i="44"/>
  <c r="AO80" i="44"/>
  <c r="AO81" i="44"/>
  <c r="AO82" i="44"/>
  <c r="AO83" i="44"/>
  <c r="AO84" i="44"/>
  <c r="AO85" i="44"/>
  <c r="AO86" i="44"/>
  <c r="AO87" i="44"/>
  <c r="AO88" i="44"/>
  <c r="AO89" i="44"/>
  <c r="AO90" i="44"/>
  <c r="AO91" i="44"/>
  <c r="AO92" i="44"/>
  <c r="AO93" i="44"/>
  <c r="AO94" i="44"/>
  <c r="AO95" i="44"/>
  <c r="AO96" i="44"/>
  <c r="AO97" i="44"/>
  <c r="AO98" i="44"/>
  <c r="AO99" i="44"/>
  <c r="AO100" i="44"/>
  <c r="AO101" i="44"/>
  <c r="AO102" i="44"/>
  <c r="AO103" i="44"/>
  <c r="AO104" i="44"/>
  <c r="AO105" i="44"/>
  <c r="AO106" i="44"/>
  <c r="AO107" i="44"/>
  <c r="AO108" i="44"/>
  <c r="AO109" i="44"/>
  <c r="AO110" i="44"/>
  <c r="AO111" i="44"/>
  <c r="AO112" i="44"/>
  <c r="AO113" i="44"/>
  <c r="AO114" i="44"/>
  <c r="AO115" i="44"/>
  <c r="AO116" i="44"/>
  <c r="AO117" i="44"/>
  <c r="AO118" i="44"/>
  <c r="AO119" i="44"/>
  <c r="AO120" i="44"/>
  <c r="AO121" i="44"/>
  <c r="AO122" i="44"/>
  <c r="AO123" i="44"/>
  <c r="AO124" i="44"/>
  <c r="AO125" i="44"/>
  <c r="AO126" i="44"/>
  <c r="AO127" i="44"/>
  <c r="AO128" i="44"/>
  <c r="AO129" i="44"/>
  <c r="AO130" i="44"/>
  <c r="AO131" i="44"/>
  <c r="AO132" i="44"/>
  <c r="AO133" i="44"/>
  <c r="AO134" i="44"/>
  <c r="AO135" i="44"/>
  <c r="AO136" i="44"/>
  <c r="AO137" i="44"/>
  <c r="AO138" i="44"/>
  <c r="AO139" i="44"/>
  <c r="AO140" i="44"/>
  <c r="AO141" i="44"/>
  <c r="AO142" i="44"/>
  <c r="AO143" i="44"/>
  <c r="AO144" i="44"/>
  <c r="AO145" i="44"/>
  <c r="AO146" i="44"/>
  <c r="AO147" i="44"/>
  <c r="AO148" i="44"/>
  <c r="AO149" i="44"/>
  <c r="AO150" i="44"/>
  <c r="AO151" i="44"/>
  <c r="AO152" i="44"/>
  <c r="AO153" i="44"/>
  <c r="AO154" i="44"/>
  <c r="AO155" i="44"/>
  <c r="AO156" i="44"/>
  <c r="AO157" i="44"/>
  <c r="AO158" i="44"/>
  <c r="AO159" i="44"/>
  <c r="AO160" i="44"/>
  <c r="AO161" i="44"/>
  <c r="AO162" i="44"/>
  <c r="AO163" i="44"/>
  <c r="AO164" i="44"/>
  <c r="AO165" i="44"/>
  <c r="AO166" i="44"/>
  <c r="AO167" i="44"/>
  <c r="AO168" i="44"/>
  <c r="AO169" i="44"/>
  <c r="AO170" i="44"/>
  <c r="AO171" i="44"/>
  <c r="AO172" i="44"/>
  <c r="AO173" i="44"/>
  <c r="AO174" i="44"/>
  <c r="AO175" i="44"/>
  <c r="AO176" i="44"/>
  <c r="AO177" i="44"/>
  <c r="AO178" i="44"/>
  <c r="AO179" i="44"/>
  <c r="AO180" i="44"/>
  <c r="AO181" i="44"/>
  <c r="AO182" i="44"/>
  <c r="AO183" i="44"/>
  <c r="AO184" i="44"/>
  <c r="AO185" i="44"/>
  <c r="AO186" i="44"/>
  <c r="AO187" i="44"/>
  <c r="AO188" i="44"/>
  <c r="AO189" i="44"/>
  <c r="AO190" i="44"/>
  <c r="AO191" i="44"/>
  <c r="AO192" i="44"/>
  <c r="AO193" i="44"/>
  <c r="AO194" i="44"/>
  <c r="AO195" i="44"/>
  <c r="AO196" i="44"/>
  <c r="AO197" i="44"/>
  <c r="AO198" i="44"/>
  <c r="AO199" i="44"/>
  <c r="AO200" i="44"/>
  <c r="AO201" i="44"/>
  <c r="AO202" i="44"/>
  <c r="AO203" i="44"/>
  <c r="AO204" i="44"/>
  <c r="AO205" i="44"/>
  <c r="AO206" i="44"/>
  <c r="AO207" i="44"/>
  <c r="AO208" i="44"/>
  <c r="AO209" i="44"/>
  <c r="AO210" i="44"/>
  <c r="AO211" i="44"/>
  <c r="AO212" i="44"/>
  <c r="AO213" i="44"/>
  <c r="AO214" i="44"/>
  <c r="AO215" i="44"/>
  <c r="AO216" i="44"/>
  <c r="AO217" i="44"/>
  <c r="AO218" i="44"/>
  <c r="AO219" i="44"/>
  <c r="AO220" i="44"/>
  <c r="AO221" i="44"/>
  <c r="AO222" i="44"/>
  <c r="AO223" i="44"/>
  <c r="AO224" i="44"/>
  <c r="AO225" i="44"/>
  <c r="AO226" i="44"/>
  <c r="AO227" i="44"/>
  <c r="AO228" i="44"/>
  <c r="AO229" i="44"/>
  <c r="AO230" i="44"/>
  <c r="AO231" i="44"/>
  <c r="AO232" i="44"/>
  <c r="AO233" i="44"/>
  <c r="AO234" i="44"/>
  <c r="AO235" i="44"/>
  <c r="AO236" i="44"/>
  <c r="AO237" i="44"/>
  <c r="AO238" i="44"/>
  <c r="AO239" i="44"/>
  <c r="AO240" i="44"/>
  <c r="AO241" i="44"/>
  <c r="AO242" i="44"/>
  <c r="AO243" i="44"/>
  <c r="AO244" i="44"/>
  <c r="AO245" i="44"/>
  <c r="AO246" i="44"/>
  <c r="AO247" i="44"/>
  <c r="AO248" i="44"/>
  <c r="AO5" i="44"/>
  <c r="AO1" i="44"/>
  <c r="AP1" i="44" s="1"/>
  <c r="AI105" i="1" l="1"/>
  <c r="J74" i="12"/>
  <c r="L74" i="12" s="1"/>
  <c r="I74" i="12"/>
  <c r="K74" i="12" s="1"/>
  <c r="J56" i="12"/>
  <c r="L56" i="12" s="1"/>
  <c r="I56" i="12"/>
  <c r="K56" i="12" s="1"/>
  <c r="P105" i="1"/>
  <c r="V105" i="1"/>
  <c r="O105" i="1"/>
  <c r="AH105" i="1" l="1"/>
  <c r="AP248" i="44"/>
  <c r="AP247" i="44"/>
  <c r="AP246" i="44"/>
  <c r="AP245" i="44"/>
  <c r="AP244" i="44"/>
  <c r="AP243" i="44"/>
  <c r="AP242" i="44"/>
  <c r="AP241" i="44"/>
  <c r="AP240" i="44"/>
  <c r="AP239" i="44"/>
  <c r="AP238" i="44"/>
  <c r="AP237" i="44"/>
  <c r="AP236" i="44"/>
  <c r="AP235" i="44"/>
  <c r="AP234" i="44"/>
  <c r="AP233" i="44"/>
  <c r="AP232" i="44"/>
  <c r="AP231" i="44"/>
  <c r="AP230" i="44"/>
  <c r="AP229" i="44"/>
  <c r="AP228" i="44"/>
  <c r="AP227" i="44"/>
  <c r="AP226" i="44"/>
  <c r="AP225" i="44"/>
  <c r="AP224" i="44"/>
  <c r="AP223" i="44"/>
  <c r="AP222" i="44"/>
  <c r="AP221" i="44"/>
  <c r="AP220" i="44"/>
  <c r="AP219" i="44"/>
  <c r="AP218" i="44"/>
  <c r="AP217" i="44"/>
  <c r="AP216" i="44"/>
  <c r="AP215" i="44"/>
  <c r="AP214" i="44"/>
  <c r="AP213" i="44"/>
  <c r="AP212" i="44"/>
  <c r="AP211" i="44"/>
  <c r="AP210" i="44"/>
  <c r="AP209" i="44"/>
  <c r="AP208" i="44"/>
  <c r="AP207" i="44"/>
  <c r="AP206" i="44"/>
  <c r="AP205" i="44"/>
  <c r="AP204" i="44"/>
  <c r="AP203" i="44"/>
  <c r="AP202" i="44"/>
  <c r="AP201" i="44"/>
  <c r="AP200" i="44"/>
  <c r="AP199" i="44"/>
  <c r="AP198" i="44"/>
  <c r="AP197" i="44"/>
  <c r="AP196" i="44"/>
  <c r="AP195" i="44"/>
  <c r="AP194" i="44"/>
  <c r="AP193" i="44"/>
  <c r="AP192" i="44"/>
  <c r="AP191" i="44"/>
  <c r="AP190" i="44"/>
  <c r="AP189" i="44"/>
  <c r="AP188" i="44"/>
  <c r="AP187" i="44"/>
  <c r="AP186" i="44"/>
  <c r="AP185" i="44"/>
  <c r="AP184" i="44"/>
  <c r="AP183" i="44"/>
  <c r="AP182" i="44"/>
  <c r="AP181" i="44"/>
  <c r="AP180" i="44"/>
  <c r="AP179" i="44"/>
  <c r="AP178" i="44"/>
  <c r="AP177" i="44"/>
  <c r="AP176" i="44"/>
  <c r="AP175" i="44"/>
  <c r="AP174" i="44"/>
  <c r="AP173" i="44"/>
  <c r="AP172" i="44"/>
  <c r="AP171" i="44"/>
  <c r="AP170" i="44"/>
  <c r="AP169" i="44"/>
  <c r="AP168" i="44"/>
  <c r="AP167" i="44"/>
  <c r="AP166" i="44"/>
  <c r="AP165" i="44"/>
  <c r="AP164" i="44"/>
  <c r="AP163" i="44"/>
  <c r="AP162" i="44"/>
  <c r="AP161" i="44"/>
  <c r="AP160" i="44"/>
  <c r="AP159" i="44"/>
  <c r="AP158" i="44"/>
  <c r="AP157" i="44"/>
  <c r="AP156" i="44"/>
  <c r="AP155" i="44"/>
  <c r="AP154" i="44"/>
  <c r="AP153" i="44"/>
  <c r="AP152" i="44"/>
  <c r="AP151" i="44"/>
  <c r="AP150" i="44"/>
  <c r="AP149" i="44"/>
  <c r="AP148" i="44"/>
  <c r="AP147" i="44"/>
  <c r="AP146" i="44"/>
  <c r="AP145" i="44"/>
  <c r="AP144" i="44"/>
  <c r="AP143" i="44"/>
  <c r="AP142" i="44"/>
  <c r="AP141" i="44"/>
  <c r="AP140" i="44"/>
  <c r="AP139" i="44"/>
  <c r="AP138" i="44"/>
  <c r="AP137" i="44"/>
  <c r="AP136" i="44"/>
  <c r="AP135" i="44"/>
  <c r="AP134" i="44"/>
  <c r="AP133" i="44"/>
  <c r="AP132" i="44"/>
  <c r="AP131" i="44"/>
  <c r="AP130" i="44"/>
  <c r="AP129" i="44"/>
  <c r="AP128" i="44"/>
  <c r="AP127" i="44"/>
  <c r="AP126" i="44"/>
  <c r="AP125" i="44"/>
  <c r="AP124" i="44"/>
  <c r="AP123" i="44"/>
  <c r="AP122" i="44"/>
  <c r="AP121" i="44"/>
  <c r="AP120" i="44"/>
  <c r="AP119" i="44"/>
  <c r="AP118" i="44"/>
  <c r="AP117" i="44"/>
  <c r="AP116" i="44"/>
  <c r="AP115" i="44"/>
  <c r="AP114" i="44"/>
  <c r="AP113" i="44"/>
  <c r="AP112" i="44"/>
  <c r="AP111" i="44"/>
  <c r="AP110" i="44"/>
  <c r="AP109" i="44"/>
  <c r="AP108" i="44"/>
  <c r="AP107" i="44"/>
  <c r="AP106" i="44"/>
  <c r="AP105" i="44"/>
  <c r="AP104" i="44"/>
  <c r="AP103" i="44"/>
  <c r="AP102" i="44"/>
  <c r="AP101" i="44"/>
  <c r="AP100" i="44"/>
  <c r="AP99" i="44"/>
  <c r="AP98" i="44"/>
  <c r="AP97" i="44"/>
  <c r="AP96" i="44"/>
  <c r="AP95" i="44"/>
  <c r="AP94" i="44"/>
  <c r="AP93" i="44"/>
  <c r="AP92" i="44"/>
  <c r="AP91" i="44"/>
  <c r="AP90" i="44"/>
  <c r="AP89" i="44"/>
  <c r="AP88" i="44"/>
  <c r="AP87" i="44"/>
  <c r="AP86" i="44"/>
  <c r="AP85" i="44"/>
  <c r="AP84" i="44"/>
  <c r="AP83" i="44"/>
  <c r="AP82" i="44"/>
  <c r="AP81" i="44"/>
  <c r="AP80" i="44"/>
  <c r="AP79" i="44"/>
  <c r="AP78" i="44"/>
  <c r="AP77" i="44"/>
  <c r="AP76" i="44"/>
  <c r="AP75" i="44"/>
  <c r="AP74" i="44"/>
  <c r="AP73" i="44"/>
  <c r="AP72" i="44"/>
  <c r="AP71" i="44"/>
  <c r="AP70" i="44"/>
  <c r="AP69" i="44"/>
  <c r="AP68" i="44"/>
  <c r="AP67" i="44"/>
  <c r="AP66" i="44"/>
  <c r="AP65" i="44"/>
  <c r="AP64" i="44"/>
  <c r="AP63" i="44"/>
  <c r="AP62" i="44"/>
  <c r="AP61" i="44"/>
  <c r="AP60" i="44"/>
  <c r="AP59" i="44"/>
  <c r="AP58" i="44"/>
  <c r="AP57" i="44"/>
  <c r="AP56" i="44"/>
  <c r="AP55" i="44"/>
  <c r="AP54" i="44"/>
  <c r="AP53" i="44"/>
  <c r="AP52" i="44"/>
  <c r="AP51" i="44"/>
  <c r="AP50" i="44"/>
  <c r="AP49" i="44"/>
  <c r="AP48" i="44"/>
  <c r="AP47" i="44"/>
  <c r="AP46" i="44"/>
  <c r="AP45" i="44"/>
  <c r="AP44" i="44"/>
  <c r="AP43" i="44"/>
  <c r="AP42" i="44"/>
  <c r="AP41" i="44"/>
  <c r="AP40" i="44"/>
  <c r="AP39" i="44"/>
  <c r="AP38" i="44"/>
  <c r="AP37" i="44"/>
  <c r="AP35" i="44"/>
  <c r="AP34" i="44"/>
  <c r="AP33" i="44"/>
  <c r="AP32" i="44"/>
  <c r="AP31" i="44"/>
  <c r="AP30" i="44"/>
  <c r="AP29" i="44"/>
  <c r="AP28" i="44"/>
  <c r="AP27" i="44"/>
  <c r="AP26" i="44"/>
  <c r="AP25" i="44"/>
  <c r="AP24" i="44"/>
  <c r="AP23" i="44"/>
  <c r="AP22" i="44"/>
  <c r="AP21" i="44"/>
  <c r="AP20" i="44"/>
  <c r="AP19" i="44"/>
  <c r="AP18" i="44"/>
  <c r="AP17" i="44"/>
  <c r="AP16" i="44"/>
  <c r="AP15" i="44"/>
  <c r="AP14" i="44"/>
  <c r="AP13" i="44"/>
  <c r="AP12" i="44"/>
  <c r="AP11" i="44"/>
  <c r="AP10" i="44"/>
  <c r="AP9" i="44"/>
  <c r="AP8" i="44"/>
  <c r="AP7" i="44"/>
  <c r="AP6" i="44"/>
  <c r="AP5" i="44"/>
  <c r="AN248" i="44"/>
  <c r="AN247" i="44"/>
  <c r="AN246" i="44"/>
  <c r="AN245" i="44"/>
  <c r="AN244" i="44"/>
  <c r="AN243" i="44"/>
  <c r="AN242" i="44"/>
  <c r="AN241" i="44"/>
  <c r="AN240" i="44"/>
  <c r="AN239" i="44"/>
  <c r="AN238" i="44"/>
  <c r="AN237" i="44"/>
  <c r="AN236" i="44"/>
  <c r="AN235" i="44"/>
  <c r="AN234" i="44"/>
  <c r="AN233" i="44"/>
  <c r="AN232" i="44"/>
  <c r="AN231" i="44"/>
  <c r="AN230" i="44"/>
  <c r="AN229" i="44"/>
  <c r="AN228" i="44"/>
  <c r="AN227" i="44"/>
  <c r="AN226" i="44"/>
  <c r="AN225" i="44"/>
  <c r="AN224" i="44"/>
  <c r="AN223" i="44"/>
  <c r="AN222" i="44"/>
  <c r="AN221" i="44"/>
  <c r="AN220" i="44"/>
  <c r="AN217" i="44"/>
  <c r="AN216" i="44"/>
  <c r="AN215" i="44"/>
  <c r="AN214" i="44"/>
  <c r="AN213" i="44"/>
  <c r="AN212" i="44"/>
  <c r="AN211" i="44"/>
  <c r="AN210" i="44"/>
  <c r="AN209" i="44"/>
  <c r="AN208" i="44"/>
  <c r="AN207" i="44"/>
  <c r="AN206" i="44"/>
  <c r="AN205" i="44"/>
  <c r="AN204" i="44"/>
  <c r="AN203" i="44"/>
  <c r="AN202" i="44"/>
  <c r="AN201" i="44"/>
  <c r="AN200" i="44"/>
  <c r="AN199" i="44"/>
  <c r="AN198" i="44"/>
  <c r="AN197" i="44"/>
  <c r="AN196" i="44"/>
  <c r="AN195" i="44"/>
  <c r="AN194" i="44"/>
  <c r="AN193" i="44"/>
  <c r="AN192" i="44"/>
  <c r="AN191" i="44"/>
  <c r="AN190" i="44"/>
  <c r="AN189" i="44"/>
  <c r="AN188" i="44"/>
  <c r="AN187" i="44"/>
  <c r="AN186" i="44"/>
  <c r="AN185" i="44"/>
  <c r="AN184" i="44"/>
  <c r="AN183" i="44"/>
  <c r="AN182" i="44"/>
  <c r="AN181" i="44"/>
  <c r="AN180" i="44"/>
  <c r="AN179" i="44"/>
  <c r="AN178" i="44"/>
  <c r="AN177" i="44"/>
  <c r="AN176" i="44"/>
  <c r="AN175" i="44"/>
  <c r="AN174" i="44"/>
  <c r="AN173" i="44"/>
  <c r="AN172" i="44"/>
  <c r="AN171" i="44"/>
  <c r="AN170" i="44"/>
  <c r="AN169" i="44"/>
  <c r="AN168" i="44"/>
  <c r="AN167" i="44"/>
  <c r="AN166" i="44"/>
  <c r="AN165" i="44"/>
  <c r="AN164" i="44"/>
  <c r="AN163" i="44"/>
  <c r="AN162" i="44"/>
  <c r="AN161" i="44"/>
  <c r="AN160" i="44"/>
  <c r="AN159" i="44"/>
  <c r="AN158" i="44"/>
  <c r="AN157" i="44"/>
  <c r="AN156" i="44"/>
  <c r="AN155" i="44"/>
  <c r="AN154" i="44"/>
  <c r="AN153" i="44"/>
  <c r="AN152" i="44"/>
  <c r="AN151" i="44"/>
  <c r="AN150" i="44"/>
  <c r="AN149" i="44"/>
  <c r="AN148" i="44"/>
  <c r="AN147" i="44"/>
  <c r="AN146" i="44"/>
  <c r="AN145" i="44"/>
  <c r="AN144" i="44"/>
  <c r="AN143" i="44"/>
  <c r="AN142" i="44"/>
  <c r="AN141" i="44"/>
  <c r="AN140" i="44"/>
  <c r="AN139" i="44"/>
  <c r="AN138" i="44"/>
  <c r="AN137" i="44"/>
  <c r="AN136" i="44"/>
  <c r="AN135" i="44"/>
  <c r="AN134" i="44"/>
  <c r="AN133" i="44"/>
  <c r="AN132" i="44"/>
  <c r="AN131" i="44"/>
  <c r="AN130" i="44"/>
  <c r="AN129" i="44"/>
  <c r="AN128" i="44"/>
  <c r="AN127" i="44"/>
  <c r="AN126" i="44"/>
  <c r="AN125" i="44"/>
  <c r="AN124" i="44"/>
  <c r="AN123" i="44"/>
  <c r="AN122" i="44"/>
  <c r="AN121" i="44"/>
  <c r="AN120" i="44"/>
  <c r="AN119" i="44"/>
  <c r="AN118" i="44"/>
  <c r="AN117" i="44"/>
  <c r="AN116" i="44"/>
  <c r="AN115" i="44"/>
  <c r="AN114" i="44"/>
  <c r="AN113" i="44"/>
  <c r="AN112" i="44"/>
  <c r="AN110" i="44"/>
  <c r="AN109" i="44"/>
  <c r="AN108" i="44"/>
  <c r="AN107" i="44"/>
  <c r="AN106" i="44"/>
  <c r="AN105" i="44"/>
  <c r="AN104" i="44"/>
  <c r="AN103" i="44"/>
  <c r="AN102" i="44"/>
  <c r="AN101" i="44"/>
  <c r="AN100" i="44"/>
  <c r="AN99" i="44"/>
  <c r="AN98" i="44"/>
  <c r="AN97" i="44"/>
  <c r="AN96" i="44"/>
  <c r="AN95" i="44"/>
  <c r="AN94" i="44"/>
  <c r="AN93" i="44"/>
  <c r="AN92" i="44"/>
  <c r="AN91" i="44"/>
  <c r="AN90" i="44"/>
  <c r="AN89" i="44"/>
  <c r="AN88" i="44"/>
  <c r="AN87" i="44"/>
  <c r="AN86" i="44"/>
  <c r="AN85" i="44"/>
  <c r="AN84" i="44"/>
  <c r="AN83" i="44"/>
  <c r="AN82" i="44"/>
  <c r="AN81" i="44"/>
  <c r="AN80" i="44"/>
  <c r="AN79" i="44"/>
  <c r="AN78" i="44"/>
  <c r="AN77" i="44"/>
  <c r="AN76" i="44"/>
  <c r="AN75" i="44"/>
  <c r="AN74" i="44"/>
  <c r="AN73" i="44"/>
  <c r="AN72" i="44"/>
  <c r="AN71" i="44"/>
  <c r="AN70" i="44"/>
  <c r="AN69" i="44"/>
  <c r="AN68" i="44"/>
  <c r="AN67" i="44"/>
  <c r="AN66" i="44"/>
  <c r="AN65" i="44"/>
  <c r="AN64" i="44"/>
  <c r="AN63" i="44"/>
  <c r="AN62" i="44"/>
  <c r="AN61" i="44"/>
  <c r="AN60" i="44"/>
  <c r="AN59" i="44"/>
  <c r="AN58" i="44"/>
  <c r="AN57" i="44"/>
  <c r="AN56" i="44"/>
  <c r="AN55" i="44"/>
  <c r="AN54" i="44"/>
  <c r="AN53" i="44"/>
  <c r="AN52" i="44"/>
  <c r="AN51" i="44"/>
  <c r="AN50" i="44"/>
  <c r="AN49" i="44"/>
  <c r="AN48" i="44"/>
  <c r="AN47" i="44"/>
  <c r="AN46" i="44"/>
  <c r="AN45" i="44"/>
  <c r="AN44" i="44"/>
  <c r="AN43" i="44"/>
  <c r="AN42" i="44"/>
  <c r="AN41" i="44"/>
  <c r="AN40" i="44"/>
  <c r="AN39" i="44"/>
  <c r="AN38" i="44"/>
  <c r="AN37" i="44"/>
  <c r="AN36" i="44"/>
  <c r="AN35" i="44"/>
  <c r="AN34" i="44"/>
  <c r="AN33" i="44"/>
  <c r="AN32" i="44"/>
  <c r="AN31" i="44"/>
  <c r="AN30" i="44"/>
  <c r="AN29" i="44"/>
  <c r="AN28" i="44"/>
  <c r="AN27" i="44"/>
  <c r="AN26" i="44"/>
  <c r="AN25" i="44"/>
  <c r="AN24" i="44"/>
  <c r="AN23" i="44"/>
  <c r="AN22" i="44"/>
  <c r="AN21" i="44"/>
  <c r="AN20" i="44"/>
  <c r="AN19" i="44"/>
  <c r="AN18" i="44"/>
  <c r="AN17" i="44"/>
  <c r="AN16" i="44"/>
  <c r="AN15" i="44"/>
  <c r="AN14" i="44"/>
  <c r="AN13" i="44"/>
  <c r="AN12" i="44"/>
  <c r="AN11" i="44"/>
  <c r="AN10" i="44"/>
  <c r="AN9" i="44"/>
  <c r="AN8" i="44"/>
  <c r="AN7" i="44"/>
  <c r="AN6" i="44"/>
  <c r="AN5" i="44"/>
  <c r="AN218" i="44"/>
  <c r="AM248" i="44"/>
  <c r="AM247" i="44"/>
  <c r="AM246" i="44"/>
  <c r="AM245" i="44"/>
  <c r="AM244" i="44"/>
  <c r="AM243" i="44"/>
  <c r="AM242" i="44"/>
  <c r="AM241" i="44"/>
  <c r="AM240" i="44"/>
  <c r="AM239" i="44"/>
  <c r="AM238" i="44"/>
  <c r="AM237" i="44"/>
  <c r="AM236" i="44"/>
  <c r="AM235" i="44"/>
  <c r="AM234" i="44"/>
  <c r="AM233" i="44"/>
  <c r="AM232" i="44"/>
  <c r="AM231" i="44"/>
  <c r="AM230" i="44"/>
  <c r="AM229" i="44"/>
  <c r="AM228" i="44"/>
  <c r="AM227" i="44"/>
  <c r="AM226" i="44"/>
  <c r="AM225" i="44"/>
  <c r="AM224" i="44"/>
  <c r="AM223" i="44"/>
  <c r="AM222" i="44"/>
  <c r="AM221" i="44"/>
  <c r="AM220" i="44"/>
  <c r="AM219" i="44"/>
  <c r="AM218" i="44"/>
  <c r="AM217" i="44"/>
  <c r="AM216" i="44"/>
  <c r="AM215" i="44"/>
  <c r="AM214" i="44"/>
  <c r="AM213" i="44"/>
  <c r="AM212" i="44"/>
  <c r="AM211" i="44"/>
  <c r="AM210" i="44"/>
  <c r="AM209" i="44"/>
  <c r="AM208" i="44"/>
  <c r="AM207" i="44"/>
  <c r="AM206" i="44"/>
  <c r="AM205" i="44"/>
  <c r="AM204" i="44"/>
  <c r="AM203" i="44"/>
  <c r="AM202" i="44"/>
  <c r="AM201" i="44"/>
  <c r="AM200" i="44"/>
  <c r="AM199" i="44"/>
  <c r="AM198" i="44"/>
  <c r="AM197" i="44"/>
  <c r="AM196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M166" i="44"/>
  <c r="AM165" i="44"/>
  <c r="AM164" i="44"/>
  <c r="AM163" i="44"/>
  <c r="AM162" i="44"/>
  <c r="AM161" i="44"/>
  <c r="AM160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M126" i="44"/>
  <c r="AM125" i="44"/>
  <c r="AM124" i="44"/>
  <c r="AM123" i="44"/>
  <c r="AM122" i="44"/>
  <c r="AM121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M82" i="44"/>
  <c r="AM81" i="44"/>
  <c r="AM80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M44" i="44"/>
  <c r="AM43" i="44"/>
  <c r="AM42" i="44"/>
  <c r="AM41" i="44"/>
  <c r="AM40" i="44"/>
  <c r="AM39" i="44"/>
  <c r="AM38" i="44"/>
  <c r="AM37" i="44"/>
  <c r="AM36" i="44"/>
  <c r="AM35" i="44"/>
  <c r="AM34" i="44"/>
  <c r="AM33" i="44"/>
  <c r="AM32" i="44"/>
  <c r="AM31" i="44"/>
  <c r="AM30" i="44"/>
  <c r="AM29" i="44"/>
  <c r="AM28" i="44"/>
  <c r="AM27" i="44"/>
  <c r="AM26" i="44"/>
  <c r="AM25" i="44"/>
  <c r="AM24" i="44"/>
  <c r="AM23" i="44"/>
  <c r="AM22" i="44"/>
  <c r="AM21" i="44"/>
  <c r="AM20" i="44"/>
  <c r="AM19" i="44"/>
  <c r="AM18" i="44"/>
  <c r="AM17" i="44"/>
  <c r="AM16" i="44"/>
  <c r="AM15" i="44"/>
  <c r="AM14" i="44"/>
  <c r="AM13" i="44"/>
  <c r="AM12" i="44"/>
  <c r="AM11" i="44"/>
  <c r="AM10" i="44"/>
  <c r="AM9" i="44"/>
  <c r="AM8" i="44"/>
  <c r="AM7" i="44"/>
  <c r="AM6" i="44"/>
  <c r="AM5" i="44"/>
  <c r="AI113" i="1"/>
  <c r="AH113" i="1"/>
  <c r="P113" i="1"/>
  <c r="O113" i="1"/>
  <c r="N113" i="1"/>
  <c r="M113" i="1"/>
  <c r="L113" i="1"/>
  <c r="AH246" i="44" l="1"/>
  <c r="R245" i="1" s="1"/>
  <c r="AL245" i="1" s="1"/>
  <c r="AC246" i="44"/>
  <c r="T245" i="1" s="1"/>
  <c r="AN245" i="1" s="1"/>
  <c r="X246" i="44" l="1"/>
  <c r="S245" i="1" s="1"/>
  <c r="AM245" i="1" s="1"/>
  <c r="T246" i="44"/>
  <c r="J248" i="44"/>
  <c r="I248" i="44"/>
  <c r="H248" i="44"/>
  <c r="P248" i="44" s="1"/>
  <c r="G248" i="44"/>
  <c r="O248" i="44" s="1"/>
  <c r="F248" i="44"/>
  <c r="E248" i="44"/>
  <c r="J247" i="44"/>
  <c r="AH247" i="44" s="1"/>
  <c r="R246" i="1" s="1"/>
  <c r="I247" i="44"/>
  <c r="AC247" i="44" s="1"/>
  <c r="T246" i="1" s="1"/>
  <c r="H247" i="44"/>
  <c r="P247" i="44" s="1"/>
  <c r="G247" i="44"/>
  <c r="O247" i="44" s="1"/>
  <c r="F247" i="44"/>
  <c r="E247" i="44"/>
  <c r="AK246" i="44"/>
  <c r="AJ246" i="44"/>
  <c r="AI246" i="44"/>
  <c r="AF246" i="44"/>
  <c r="AE246" i="44"/>
  <c r="AD246" i="44"/>
  <c r="R246" i="44"/>
  <c r="Q246" i="44"/>
  <c r="P246" i="44"/>
  <c r="O246" i="44"/>
  <c r="M246" i="44"/>
  <c r="L246" i="44"/>
  <c r="K246" i="44"/>
  <c r="E246" i="44"/>
  <c r="J245" i="44"/>
  <c r="I245" i="44"/>
  <c r="AC245" i="44" s="1"/>
  <c r="T244" i="1" s="1"/>
  <c r="H245" i="44"/>
  <c r="X245" i="44" s="1"/>
  <c r="S244" i="1" s="1"/>
  <c r="G245" i="44"/>
  <c r="O245" i="44" s="1"/>
  <c r="F245" i="44"/>
  <c r="E245" i="44"/>
  <c r="J244" i="44"/>
  <c r="I244" i="44"/>
  <c r="H244" i="44"/>
  <c r="P244" i="44" s="1"/>
  <c r="G244" i="44"/>
  <c r="T244" i="44" s="1"/>
  <c r="U243" i="1" s="1"/>
  <c r="F244" i="44"/>
  <c r="E244" i="44"/>
  <c r="J243" i="44"/>
  <c r="AH243" i="44" s="1"/>
  <c r="R242" i="1" s="1"/>
  <c r="I243" i="44"/>
  <c r="AC243" i="44" s="1"/>
  <c r="T242" i="1" s="1"/>
  <c r="H243" i="44"/>
  <c r="P243" i="44" s="1"/>
  <c r="G243" i="44"/>
  <c r="F243" i="44"/>
  <c r="E243" i="44"/>
  <c r="J242" i="44"/>
  <c r="I242" i="44"/>
  <c r="AC242" i="44" s="1"/>
  <c r="T241" i="1" s="1"/>
  <c r="H242" i="44"/>
  <c r="X242" i="44" s="1"/>
  <c r="S241" i="1" s="1"/>
  <c r="G242" i="44"/>
  <c r="O242" i="44" s="1"/>
  <c r="F242" i="44"/>
  <c r="E242" i="44"/>
  <c r="J241" i="44"/>
  <c r="I241" i="44"/>
  <c r="H241" i="44"/>
  <c r="G241" i="44"/>
  <c r="O241" i="44" s="1"/>
  <c r="F241" i="44"/>
  <c r="E241" i="44"/>
  <c r="J240" i="44"/>
  <c r="I240" i="44"/>
  <c r="H240" i="44"/>
  <c r="G240" i="44"/>
  <c r="O240" i="44" s="1"/>
  <c r="F240" i="44"/>
  <c r="E240" i="44"/>
  <c r="J239" i="44"/>
  <c r="I239" i="44"/>
  <c r="AC239" i="44" s="1"/>
  <c r="T238" i="1" s="1"/>
  <c r="H239" i="44"/>
  <c r="X239" i="44" s="1"/>
  <c r="S238" i="1" s="1"/>
  <c r="G239" i="44"/>
  <c r="O239" i="44" s="1"/>
  <c r="F239" i="44"/>
  <c r="E239" i="44"/>
  <c r="J238" i="44"/>
  <c r="AH238" i="44" s="1"/>
  <c r="R237" i="1" s="1"/>
  <c r="I238" i="44"/>
  <c r="H238" i="44"/>
  <c r="P238" i="44" s="1"/>
  <c r="G238" i="44"/>
  <c r="O238" i="44" s="1"/>
  <c r="F238" i="44"/>
  <c r="E238" i="44"/>
  <c r="J237" i="44"/>
  <c r="I237" i="44"/>
  <c r="AC237" i="44" s="1"/>
  <c r="AF237" i="44" s="1"/>
  <c r="H237" i="44"/>
  <c r="G237" i="44"/>
  <c r="J236" i="44"/>
  <c r="I236" i="44"/>
  <c r="H236" i="44"/>
  <c r="X236" i="44" s="1"/>
  <c r="S236" i="1" s="1"/>
  <c r="G236" i="44"/>
  <c r="T236" i="44" s="1"/>
  <c r="U236" i="1" s="1"/>
  <c r="F236" i="44"/>
  <c r="J235" i="44"/>
  <c r="AH235" i="44" s="1"/>
  <c r="R235" i="1" s="1"/>
  <c r="I235" i="44"/>
  <c r="AC235" i="44" s="1"/>
  <c r="T235" i="1" s="1"/>
  <c r="H235" i="44"/>
  <c r="P235" i="44" s="1"/>
  <c r="G235" i="44"/>
  <c r="O235" i="44" s="1"/>
  <c r="F235" i="44"/>
  <c r="J234" i="44"/>
  <c r="AH234" i="44" s="1"/>
  <c r="R234" i="1" s="1"/>
  <c r="I234" i="44"/>
  <c r="AC234" i="44" s="1"/>
  <c r="T234" i="1" s="1"/>
  <c r="H234" i="44"/>
  <c r="P234" i="44" s="1"/>
  <c r="G234" i="44"/>
  <c r="O234" i="44" s="1"/>
  <c r="F234" i="44"/>
  <c r="E234" i="44"/>
  <c r="J233" i="44"/>
  <c r="I233" i="44"/>
  <c r="H233" i="44"/>
  <c r="P233" i="44" s="1"/>
  <c r="G233" i="44"/>
  <c r="O233" i="44" s="1"/>
  <c r="F233" i="44"/>
  <c r="E233" i="44"/>
  <c r="J232" i="44"/>
  <c r="I232" i="44"/>
  <c r="AC232" i="44" s="1"/>
  <c r="T232" i="1" s="1"/>
  <c r="H232" i="44"/>
  <c r="X232" i="44" s="1"/>
  <c r="S232" i="1" s="1"/>
  <c r="G232" i="44"/>
  <c r="O232" i="44" s="1"/>
  <c r="F232" i="44"/>
  <c r="E232" i="44"/>
  <c r="J231" i="44"/>
  <c r="AH231" i="44" s="1"/>
  <c r="R231" i="1" s="1"/>
  <c r="I231" i="44"/>
  <c r="AC231" i="44" s="1"/>
  <c r="T231" i="1" s="1"/>
  <c r="H231" i="44"/>
  <c r="P231" i="44" s="1"/>
  <c r="G231" i="44"/>
  <c r="O231" i="44" s="1"/>
  <c r="F231" i="44"/>
  <c r="E231" i="44"/>
  <c r="J230" i="44"/>
  <c r="I230" i="44"/>
  <c r="H230" i="44"/>
  <c r="G230" i="44"/>
  <c r="F230" i="44"/>
  <c r="E230" i="44"/>
  <c r="J229" i="44"/>
  <c r="I229" i="44"/>
  <c r="H229" i="44"/>
  <c r="G229" i="44"/>
  <c r="T229" i="44" s="1"/>
  <c r="AC229" i="44" s="1"/>
  <c r="F229" i="44"/>
  <c r="E229" i="44"/>
  <c r="J228" i="44"/>
  <c r="AH228" i="44" s="1"/>
  <c r="R228" i="1" s="1"/>
  <c r="I228" i="44"/>
  <c r="AC228" i="44" s="1"/>
  <c r="T228" i="1" s="1"/>
  <c r="H228" i="44"/>
  <c r="G228" i="44"/>
  <c r="T228" i="44" s="1"/>
  <c r="U228" i="1" s="1"/>
  <c r="F228" i="44"/>
  <c r="E228" i="44"/>
  <c r="J227" i="44"/>
  <c r="AH227" i="44" s="1"/>
  <c r="R227" i="1" s="1"/>
  <c r="I227" i="44"/>
  <c r="AC227" i="44" s="1"/>
  <c r="T227" i="1" s="1"/>
  <c r="H227" i="44"/>
  <c r="G227" i="44"/>
  <c r="O227" i="44" s="1"/>
  <c r="F227" i="44"/>
  <c r="E227" i="44"/>
  <c r="J226" i="44"/>
  <c r="I226" i="44"/>
  <c r="AC226" i="44" s="1"/>
  <c r="T226" i="1" s="1"/>
  <c r="H226" i="44"/>
  <c r="X226" i="44" s="1"/>
  <c r="S226" i="1" s="1"/>
  <c r="G226" i="44"/>
  <c r="F226" i="44"/>
  <c r="E226" i="44"/>
  <c r="J225" i="44"/>
  <c r="I225" i="44"/>
  <c r="AC225" i="44" s="1"/>
  <c r="T225" i="1" s="1"/>
  <c r="H225" i="44"/>
  <c r="G225" i="44"/>
  <c r="F225" i="44"/>
  <c r="E225" i="44"/>
  <c r="J224" i="44"/>
  <c r="AH224" i="44" s="1"/>
  <c r="R224" i="1" s="1"/>
  <c r="I224" i="44"/>
  <c r="H224" i="44"/>
  <c r="P224" i="44" s="1"/>
  <c r="G224" i="44"/>
  <c r="T224" i="44" s="1"/>
  <c r="U224" i="1" s="1"/>
  <c r="F224" i="44"/>
  <c r="E224" i="44"/>
  <c r="J223" i="44"/>
  <c r="I223" i="44"/>
  <c r="AC223" i="44" s="1"/>
  <c r="T223" i="1" s="1"/>
  <c r="H223" i="44"/>
  <c r="X223" i="44" s="1"/>
  <c r="S223" i="1" s="1"/>
  <c r="G223" i="44"/>
  <c r="F223" i="44"/>
  <c r="E223" i="44"/>
  <c r="J222" i="44"/>
  <c r="I222" i="44"/>
  <c r="H222" i="44"/>
  <c r="G222" i="44"/>
  <c r="F222" i="44"/>
  <c r="E222" i="44"/>
  <c r="J221" i="44"/>
  <c r="I221" i="44"/>
  <c r="H221" i="44"/>
  <c r="G221" i="44"/>
  <c r="T221" i="44" s="1"/>
  <c r="U221" i="1" s="1"/>
  <c r="F221" i="44"/>
  <c r="E221" i="44"/>
  <c r="J220" i="44"/>
  <c r="I220" i="44"/>
  <c r="AC220" i="44" s="1"/>
  <c r="T220" i="1" s="1"/>
  <c r="H220" i="44"/>
  <c r="X220" i="44" s="1"/>
  <c r="S220" i="1" s="1"/>
  <c r="G220" i="44"/>
  <c r="F220" i="44"/>
  <c r="E220" i="44"/>
  <c r="J219" i="44"/>
  <c r="AH219" i="44" s="1"/>
  <c r="R219" i="1" s="1"/>
  <c r="I219" i="44"/>
  <c r="AC219" i="44" s="1"/>
  <c r="T219" i="1" s="1"/>
  <c r="H219" i="44"/>
  <c r="P219" i="44" s="1"/>
  <c r="G219" i="44"/>
  <c r="F219" i="44"/>
  <c r="J218" i="44"/>
  <c r="I218" i="44"/>
  <c r="AC218" i="44" s="1"/>
  <c r="T218" i="1" s="1"/>
  <c r="H218" i="44"/>
  <c r="P218" i="44" s="1"/>
  <c r="G218" i="44"/>
  <c r="F218" i="44"/>
  <c r="E218" i="44"/>
  <c r="J217" i="44"/>
  <c r="I217" i="44"/>
  <c r="H217" i="44"/>
  <c r="X217" i="44" s="1"/>
  <c r="S217" i="1" s="1"/>
  <c r="G217" i="44"/>
  <c r="T217" i="44" s="1"/>
  <c r="U217" i="1" s="1"/>
  <c r="F217" i="44"/>
  <c r="J216" i="44"/>
  <c r="AH216" i="44" s="1"/>
  <c r="R216" i="1" s="1"/>
  <c r="I216" i="44"/>
  <c r="AC216" i="44" s="1"/>
  <c r="T216" i="1" s="1"/>
  <c r="H216" i="44"/>
  <c r="G216" i="44"/>
  <c r="F216" i="44"/>
  <c r="J215" i="44"/>
  <c r="I215" i="44"/>
  <c r="H215" i="44"/>
  <c r="G215" i="44"/>
  <c r="F215" i="44"/>
  <c r="E215" i="44"/>
  <c r="J214" i="44"/>
  <c r="I214" i="44"/>
  <c r="H214" i="44"/>
  <c r="X214" i="44" s="1"/>
  <c r="S214" i="1" s="1"/>
  <c r="G214" i="44"/>
  <c r="F214" i="44"/>
  <c r="E214" i="44"/>
  <c r="J213" i="44"/>
  <c r="AH213" i="44" s="1"/>
  <c r="R213" i="1" s="1"/>
  <c r="I213" i="44"/>
  <c r="AC213" i="44" s="1"/>
  <c r="T213" i="1" s="1"/>
  <c r="H213" i="44"/>
  <c r="G213" i="44"/>
  <c r="F213" i="44"/>
  <c r="E213" i="44"/>
  <c r="J212" i="44"/>
  <c r="AH212" i="44" s="1"/>
  <c r="R212" i="1" s="1"/>
  <c r="I212" i="44"/>
  <c r="H212" i="44"/>
  <c r="G212" i="44"/>
  <c r="F212" i="44"/>
  <c r="E212" i="44"/>
  <c r="J211" i="44"/>
  <c r="AH211" i="44" s="1"/>
  <c r="R211" i="1" s="1"/>
  <c r="I211" i="44"/>
  <c r="AC211" i="44" s="1"/>
  <c r="T211" i="1" s="1"/>
  <c r="H211" i="44"/>
  <c r="P211" i="44" s="1"/>
  <c r="G211" i="44"/>
  <c r="T211" i="44" s="1"/>
  <c r="U211" i="1" s="1"/>
  <c r="F211" i="44"/>
  <c r="E211" i="44"/>
  <c r="J210" i="44"/>
  <c r="AH210" i="44" s="1"/>
  <c r="R210" i="1" s="1"/>
  <c r="I210" i="44"/>
  <c r="AC210" i="44" s="1"/>
  <c r="T210" i="1" s="1"/>
  <c r="H210" i="44"/>
  <c r="X210" i="44" s="1"/>
  <c r="S210" i="1" s="1"/>
  <c r="G210" i="44"/>
  <c r="O210" i="44" s="1"/>
  <c r="F210" i="44"/>
  <c r="E210" i="44"/>
  <c r="J209" i="44"/>
  <c r="AH209" i="44" s="1"/>
  <c r="R209" i="1" s="1"/>
  <c r="I209" i="44"/>
  <c r="H209" i="44"/>
  <c r="P209" i="44" s="1"/>
  <c r="G209" i="44"/>
  <c r="O209" i="44" s="1"/>
  <c r="F209" i="44"/>
  <c r="E209" i="44"/>
  <c r="J208" i="44"/>
  <c r="AH208" i="44" s="1"/>
  <c r="R208" i="1" s="1"/>
  <c r="I208" i="44"/>
  <c r="AC208" i="44" s="1"/>
  <c r="T208" i="1" s="1"/>
  <c r="H208" i="44"/>
  <c r="G208" i="44"/>
  <c r="O208" i="44" s="1"/>
  <c r="F208" i="44"/>
  <c r="E208" i="44"/>
  <c r="J207" i="44"/>
  <c r="AH207" i="44" s="1"/>
  <c r="R207" i="1" s="1"/>
  <c r="I207" i="44"/>
  <c r="AC207" i="44" s="1"/>
  <c r="T207" i="1" s="1"/>
  <c r="H207" i="44"/>
  <c r="X207" i="44" s="1"/>
  <c r="S207" i="1" s="1"/>
  <c r="G207" i="44"/>
  <c r="F207" i="44"/>
  <c r="E207" i="44"/>
  <c r="J206" i="44"/>
  <c r="AH206" i="44" s="1"/>
  <c r="R206" i="1" s="1"/>
  <c r="I206" i="44"/>
  <c r="H206" i="44"/>
  <c r="G206" i="44"/>
  <c r="F206" i="44"/>
  <c r="E206" i="44"/>
  <c r="J205" i="44"/>
  <c r="I205" i="44"/>
  <c r="AC205" i="44" s="1"/>
  <c r="T205" i="1" s="1"/>
  <c r="H205" i="44"/>
  <c r="G205" i="44"/>
  <c r="F205" i="44"/>
  <c r="J204" i="44"/>
  <c r="AH204" i="44" s="1"/>
  <c r="R204" i="1" s="1"/>
  <c r="I204" i="44"/>
  <c r="AC204" i="44" s="1"/>
  <c r="T204" i="1" s="1"/>
  <c r="H204" i="44"/>
  <c r="X204" i="44" s="1"/>
  <c r="S204" i="1" s="1"/>
  <c r="G204" i="44"/>
  <c r="O204" i="44" s="1"/>
  <c r="F204" i="44"/>
  <c r="E204" i="44"/>
  <c r="J203" i="44"/>
  <c r="I203" i="44"/>
  <c r="H203" i="44"/>
  <c r="G203" i="44"/>
  <c r="T203" i="44" s="1"/>
  <c r="U203" i="1" s="1"/>
  <c r="F203" i="44"/>
  <c r="J202" i="44"/>
  <c r="I202" i="44"/>
  <c r="H202" i="44"/>
  <c r="G202" i="44"/>
  <c r="F202" i="44"/>
  <c r="E202" i="44"/>
  <c r="J201" i="44"/>
  <c r="I201" i="44"/>
  <c r="H201" i="44"/>
  <c r="X201" i="44" s="1"/>
  <c r="S201" i="1" s="1"/>
  <c r="G201" i="44"/>
  <c r="T201" i="44" s="1"/>
  <c r="U201" i="1" s="1"/>
  <c r="F201" i="44"/>
  <c r="E201" i="44"/>
  <c r="J200" i="44"/>
  <c r="I200" i="44"/>
  <c r="AC200" i="44" s="1"/>
  <c r="T200" i="1" s="1"/>
  <c r="H200" i="44"/>
  <c r="G200" i="44"/>
  <c r="F200" i="44"/>
  <c r="E200" i="44"/>
  <c r="J199" i="44"/>
  <c r="I199" i="44"/>
  <c r="H199" i="44"/>
  <c r="X199" i="44" s="1"/>
  <c r="S199" i="1" s="1"/>
  <c r="G199" i="44"/>
  <c r="T199" i="44" s="1"/>
  <c r="U199" i="1" s="1"/>
  <c r="F199" i="44"/>
  <c r="E199" i="44"/>
  <c r="J198" i="44"/>
  <c r="AH198" i="44" s="1"/>
  <c r="R198" i="1" s="1"/>
  <c r="I198" i="44"/>
  <c r="H198" i="44"/>
  <c r="X198" i="44" s="1"/>
  <c r="S198" i="1" s="1"/>
  <c r="G198" i="44"/>
  <c r="O198" i="44" s="1"/>
  <c r="F198" i="44"/>
  <c r="E198" i="44"/>
  <c r="J197" i="44"/>
  <c r="I197" i="44"/>
  <c r="H197" i="44"/>
  <c r="P197" i="44" s="1"/>
  <c r="G197" i="44"/>
  <c r="F197" i="44"/>
  <c r="E197" i="44"/>
  <c r="J196" i="44"/>
  <c r="I196" i="44"/>
  <c r="H196" i="44"/>
  <c r="G196" i="44"/>
  <c r="T196" i="44" s="1"/>
  <c r="U196" i="1" s="1"/>
  <c r="F196" i="44"/>
  <c r="E196" i="44"/>
  <c r="J195" i="44"/>
  <c r="I195" i="44"/>
  <c r="H195" i="44"/>
  <c r="X195" i="44" s="1"/>
  <c r="S195" i="1" s="1"/>
  <c r="G195" i="44"/>
  <c r="F195" i="44"/>
  <c r="E195" i="44"/>
  <c r="J194" i="44"/>
  <c r="I194" i="44"/>
  <c r="H194" i="44"/>
  <c r="X194" i="44" s="1"/>
  <c r="S194" i="1" s="1"/>
  <c r="G194" i="44"/>
  <c r="F194" i="44"/>
  <c r="E194" i="44"/>
  <c r="J193" i="44"/>
  <c r="I193" i="44"/>
  <c r="H193" i="44"/>
  <c r="P193" i="44" s="1"/>
  <c r="G193" i="44"/>
  <c r="T193" i="44" s="1"/>
  <c r="U193" i="1" s="1"/>
  <c r="F193" i="44"/>
  <c r="E193" i="44"/>
  <c r="J192" i="44"/>
  <c r="I192" i="44"/>
  <c r="AC192" i="44" s="1"/>
  <c r="T192" i="1" s="1"/>
  <c r="H192" i="44"/>
  <c r="X192" i="44" s="1"/>
  <c r="S192" i="1" s="1"/>
  <c r="G192" i="44"/>
  <c r="F192" i="44"/>
  <c r="E192" i="44"/>
  <c r="J191" i="44"/>
  <c r="I191" i="44"/>
  <c r="AC191" i="44" s="1"/>
  <c r="T191" i="1" s="1"/>
  <c r="H191" i="44"/>
  <c r="G191" i="44"/>
  <c r="F191" i="44"/>
  <c r="E191" i="44"/>
  <c r="J190" i="44"/>
  <c r="I190" i="44"/>
  <c r="H190" i="44"/>
  <c r="G190" i="44"/>
  <c r="T190" i="44" s="1"/>
  <c r="U190" i="1" s="1"/>
  <c r="F190" i="44"/>
  <c r="J189" i="44"/>
  <c r="AH189" i="44" s="1"/>
  <c r="R189" i="1" s="1"/>
  <c r="I189" i="44"/>
  <c r="H189" i="44"/>
  <c r="G189" i="44"/>
  <c r="F189" i="44"/>
  <c r="E189" i="44"/>
  <c r="J188" i="44"/>
  <c r="AH188" i="44" s="1"/>
  <c r="R188" i="1" s="1"/>
  <c r="I188" i="44"/>
  <c r="AC188" i="44" s="1"/>
  <c r="T188" i="1" s="1"/>
  <c r="H188" i="44"/>
  <c r="X188" i="44" s="1"/>
  <c r="S188" i="1" s="1"/>
  <c r="G188" i="44"/>
  <c r="F188" i="44"/>
  <c r="E188" i="44"/>
  <c r="J187" i="44"/>
  <c r="I187" i="44"/>
  <c r="H187" i="44"/>
  <c r="X187" i="44" s="1"/>
  <c r="S187" i="1" s="1"/>
  <c r="G187" i="44"/>
  <c r="T187" i="44" s="1"/>
  <c r="U187" i="1" s="1"/>
  <c r="F187" i="44"/>
  <c r="E187" i="44"/>
  <c r="J186" i="44"/>
  <c r="AH186" i="44" s="1"/>
  <c r="R186" i="1" s="1"/>
  <c r="I186" i="44"/>
  <c r="H186" i="44"/>
  <c r="X186" i="44" s="1"/>
  <c r="S186" i="1" s="1"/>
  <c r="G186" i="44"/>
  <c r="O186" i="44" s="1"/>
  <c r="F186" i="44"/>
  <c r="E186" i="44"/>
  <c r="J185" i="44"/>
  <c r="AH185" i="44" s="1"/>
  <c r="R185" i="1" s="1"/>
  <c r="I185" i="44"/>
  <c r="AC185" i="44" s="1"/>
  <c r="T185" i="1" s="1"/>
  <c r="H185" i="44"/>
  <c r="X185" i="44" s="1"/>
  <c r="S185" i="1" s="1"/>
  <c r="G185" i="44"/>
  <c r="F185" i="44"/>
  <c r="E185" i="44"/>
  <c r="J184" i="44"/>
  <c r="I184" i="44"/>
  <c r="H184" i="44"/>
  <c r="G184" i="44"/>
  <c r="T184" i="44" s="1"/>
  <c r="U184" i="1" s="1"/>
  <c r="F184" i="44"/>
  <c r="E184" i="44"/>
  <c r="AI183" i="44"/>
  <c r="AD183" i="44"/>
  <c r="J183" i="44"/>
  <c r="AK183" i="44" s="1"/>
  <c r="I183" i="44"/>
  <c r="Q183" i="44" s="1"/>
  <c r="H183" i="44"/>
  <c r="G183" i="44"/>
  <c r="F183" i="44"/>
  <c r="E183" i="44"/>
  <c r="J182" i="44"/>
  <c r="AH182" i="44" s="1"/>
  <c r="R182" i="1" s="1"/>
  <c r="I182" i="44"/>
  <c r="H182" i="44"/>
  <c r="X182" i="44" s="1"/>
  <c r="S182" i="1" s="1"/>
  <c r="G182" i="44"/>
  <c r="F182" i="44"/>
  <c r="E182" i="44"/>
  <c r="J181" i="44"/>
  <c r="I181" i="44"/>
  <c r="H181" i="44"/>
  <c r="P181" i="44" s="1"/>
  <c r="G181" i="44"/>
  <c r="T181" i="44" s="1"/>
  <c r="U181" i="1" s="1"/>
  <c r="F181" i="44"/>
  <c r="E181" i="44"/>
  <c r="J180" i="44"/>
  <c r="AH180" i="44" s="1"/>
  <c r="R180" i="1" s="1"/>
  <c r="I180" i="44"/>
  <c r="H180" i="44"/>
  <c r="X180" i="44" s="1"/>
  <c r="S180" i="1" s="1"/>
  <c r="G180" i="44"/>
  <c r="T180" i="44" s="1"/>
  <c r="U180" i="1" s="1"/>
  <c r="F180" i="44"/>
  <c r="E180" i="44"/>
  <c r="J179" i="44"/>
  <c r="AH179" i="44" s="1"/>
  <c r="R179" i="1" s="1"/>
  <c r="I179" i="44"/>
  <c r="H179" i="44"/>
  <c r="G179" i="44"/>
  <c r="F179" i="44"/>
  <c r="J178" i="44"/>
  <c r="I178" i="44"/>
  <c r="H178" i="44"/>
  <c r="G178" i="44"/>
  <c r="T178" i="44" s="1"/>
  <c r="U178" i="1" s="1"/>
  <c r="F178" i="44"/>
  <c r="E178" i="44"/>
  <c r="J177" i="44"/>
  <c r="AH177" i="44" s="1"/>
  <c r="R177" i="1" s="1"/>
  <c r="I177" i="44"/>
  <c r="AC177" i="44" s="1"/>
  <c r="T177" i="1" s="1"/>
  <c r="H177" i="44"/>
  <c r="G177" i="44"/>
  <c r="T177" i="44" s="1"/>
  <c r="U177" i="1" s="1"/>
  <c r="F177" i="44"/>
  <c r="J176" i="44"/>
  <c r="I176" i="44"/>
  <c r="AC176" i="44" s="1"/>
  <c r="T176" i="1" s="1"/>
  <c r="H176" i="44"/>
  <c r="X176" i="44" s="1"/>
  <c r="S176" i="1" s="1"/>
  <c r="G176" i="44"/>
  <c r="F176" i="44"/>
  <c r="J175" i="44"/>
  <c r="I175" i="44"/>
  <c r="H175" i="44"/>
  <c r="X175" i="44" s="1"/>
  <c r="S175" i="1" s="1"/>
  <c r="G175" i="44"/>
  <c r="F175" i="44"/>
  <c r="J174" i="44"/>
  <c r="I174" i="44"/>
  <c r="AC174" i="44" s="1"/>
  <c r="T174" i="1" s="1"/>
  <c r="H174" i="44"/>
  <c r="X174" i="44" s="1"/>
  <c r="S174" i="1" s="1"/>
  <c r="G174" i="44"/>
  <c r="F174" i="44"/>
  <c r="J173" i="44"/>
  <c r="I173" i="44"/>
  <c r="AC173" i="44" s="1"/>
  <c r="T173" i="1" s="1"/>
  <c r="H173" i="44"/>
  <c r="G173" i="44"/>
  <c r="O173" i="44" s="1"/>
  <c r="F173" i="44"/>
  <c r="J172" i="44"/>
  <c r="I172" i="44"/>
  <c r="AC172" i="44" s="1"/>
  <c r="T172" i="1" s="1"/>
  <c r="H172" i="44"/>
  <c r="X172" i="44" s="1"/>
  <c r="S172" i="1" s="1"/>
  <c r="G172" i="44"/>
  <c r="O172" i="44" s="1"/>
  <c r="F172" i="44"/>
  <c r="J171" i="44"/>
  <c r="AH171" i="44" s="1"/>
  <c r="I171" i="44"/>
  <c r="Q171" i="44" s="1"/>
  <c r="H171" i="44"/>
  <c r="G171" i="44"/>
  <c r="F171" i="44"/>
  <c r="J170" i="44"/>
  <c r="I170" i="44"/>
  <c r="H170" i="44"/>
  <c r="X170" i="44" s="1"/>
  <c r="S170" i="1" s="1"/>
  <c r="G170" i="44"/>
  <c r="T170" i="44" s="1"/>
  <c r="U170" i="1" s="1"/>
  <c r="F170" i="44"/>
  <c r="J169" i="44"/>
  <c r="AH169" i="44" s="1"/>
  <c r="R169" i="1" s="1"/>
  <c r="I169" i="44"/>
  <c r="AC169" i="44" s="1"/>
  <c r="T169" i="1" s="1"/>
  <c r="H169" i="44"/>
  <c r="G169" i="44"/>
  <c r="T169" i="44" s="1"/>
  <c r="U169" i="1" s="1"/>
  <c r="F169" i="44"/>
  <c r="J168" i="44"/>
  <c r="AH168" i="44" s="1"/>
  <c r="R168" i="1" s="1"/>
  <c r="I168" i="44"/>
  <c r="AC168" i="44" s="1"/>
  <c r="T168" i="1" s="1"/>
  <c r="H168" i="44"/>
  <c r="G168" i="44"/>
  <c r="T168" i="44" s="1"/>
  <c r="U168" i="1" s="1"/>
  <c r="F168" i="44"/>
  <c r="J167" i="44"/>
  <c r="I167" i="44"/>
  <c r="AC167" i="44" s="1"/>
  <c r="T166" i="1" s="1"/>
  <c r="H167" i="44"/>
  <c r="X167" i="44" s="1"/>
  <c r="S166" i="1" s="1"/>
  <c r="G167" i="44"/>
  <c r="F167" i="44"/>
  <c r="E167" i="44"/>
  <c r="J166" i="44"/>
  <c r="I166" i="44"/>
  <c r="H166" i="44"/>
  <c r="X166" i="44" s="1"/>
  <c r="S167" i="1" s="1"/>
  <c r="G166" i="44"/>
  <c r="T166" i="44" s="1"/>
  <c r="U167" i="1" s="1"/>
  <c r="F166" i="44"/>
  <c r="E166" i="44"/>
  <c r="J165" i="44"/>
  <c r="I165" i="44"/>
  <c r="H165" i="44"/>
  <c r="X165" i="44" s="1"/>
  <c r="S165" i="1" s="1"/>
  <c r="G165" i="44"/>
  <c r="T165" i="44" s="1"/>
  <c r="U165" i="1" s="1"/>
  <c r="F165" i="44"/>
  <c r="E165" i="44"/>
  <c r="J164" i="44"/>
  <c r="I164" i="44"/>
  <c r="H164" i="44"/>
  <c r="X164" i="44" s="1"/>
  <c r="S164" i="1" s="1"/>
  <c r="G164" i="44"/>
  <c r="F164" i="44"/>
  <c r="E164" i="44"/>
  <c r="J163" i="44"/>
  <c r="I163" i="44"/>
  <c r="H163" i="44"/>
  <c r="G163" i="44"/>
  <c r="F163" i="44"/>
  <c r="E163" i="44"/>
  <c r="J162" i="44"/>
  <c r="I162" i="44"/>
  <c r="AC162" i="44" s="1"/>
  <c r="T162" i="1" s="1"/>
  <c r="H162" i="44"/>
  <c r="G162" i="44"/>
  <c r="F162" i="44"/>
  <c r="E162" i="44"/>
  <c r="J161" i="44"/>
  <c r="AH161" i="44" s="1"/>
  <c r="R161" i="1" s="1"/>
  <c r="I161" i="44"/>
  <c r="Q161" i="44" s="1"/>
  <c r="H161" i="44"/>
  <c r="G161" i="44"/>
  <c r="O161" i="44" s="1"/>
  <c r="F161" i="44"/>
  <c r="E161" i="44"/>
  <c r="J160" i="44"/>
  <c r="I160" i="44"/>
  <c r="H160" i="44"/>
  <c r="G160" i="44"/>
  <c r="O160" i="44" s="1"/>
  <c r="F160" i="44"/>
  <c r="J159" i="44"/>
  <c r="AH159" i="44" s="1"/>
  <c r="R159" i="1" s="1"/>
  <c r="I159" i="44"/>
  <c r="AC159" i="44" s="1"/>
  <c r="T159" i="1" s="1"/>
  <c r="H159" i="44"/>
  <c r="G159" i="44"/>
  <c r="F159" i="44"/>
  <c r="E159" i="44"/>
  <c r="J158" i="44"/>
  <c r="AH158" i="44" s="1"/>
  <c r="R158" i="1" s="1"/>
  <c r="I158" i="44"/>
  <c r="AC158" i="44" s="1"/>
  <c r="T158" i="1" s="1"/>
  <c r="H158" i="44"/>
  <c r="G158" i="44"/>
  <c r="F158" i="44"/>
  <c r="E158" i="44"/>
  <c r="J157" i="44"/>
  <c r="I157" i="44"/>
  <c r="H157" i="44"/>
  <c r="G157" i="44"/>
  <c r="F157" i="44"/>
  <c r="J156" i="44"/>
  <c r="AH156" i="44" s="1"/>
  <c r="R156" i="1" s="1"/>
  <c r="I156" i="44"/>
  <c r="AC156" i="44" s="1"/>
  <c r="T156" i="1" s="1"/>
  <c r="H156" i="44"/>
  <c r="G156" i="44"/>
  <c r="F156" i="44"/>
  <c r="E156" i="44"/>
  <c r="J155" i="44"/>
  <c r="AH155" i="44" s="1"/>
  <c r="R155" i="1" s="1"/>
  <c r="I155" i="44"/>
  <c r="AC155" i="44" s="1"/>
  <c r="T155" i="1" s="1"/>
  <c r="H155" i="44"/>
  <c r="X155" i="44" s="1"/>
  <c r="S155" i="1" s="1"/>
  <c r="G155" i="44"/>
  <c r="F155" i="44"/>
  <c r="E155" i="44"/>
  <c r="J154" i="44"/>
  <c r="I154" i="44"/>
  <c r="H154" i="44"/>
  <c r="G154" i="44"/>
  <c r="F154" i="44"/>
  <c r="E154" i="44"/>
  <c r="J153" i="44"/>
  <c r="AH153" i="44" s="1"/>
  <c r="R153" i="1" s="1"/>
  <c r="I153" i="44"/>
  <c r="AC153" i="44" s="1"/>
  <c r="T153" i="1" s="1"/>
  <c r="H153" i="44"/>
  <c r="G153" i="44"/>
  <c r="F153" i="44"/>
  <c r="E153" i="44"/>
  <c r="J152" i="44"/>
  <c r="AH152" i="44" s="1"/>
  <c r="R152" i="1" s="1"/>
  <c r="I152" i="44"/>
  <c r="AC152" i="44" s="1"/>
  <c r="T152" i="1" s="1"/>
  <c r="H152" i="44"/>
  <c r="G152" i="44"/>
  <c r="F152" i="44"/>
  <c r="E152" i="44"/>
  <c r="J151" i="44"/>
  <c r="I151" i="44"/>
  <c r="H151" i="44"/>
  <c r="G151" i="44"/>
  <c r="T151" i="44" s="1"/>
  <c r="U151" i="1" s="1"/>
  <c r="F151" i="44"/>
  <c r="E151" i="44"/>
  <c r="J150" i="44"/>
  <c r="I150" i="44"/>
  <c r="AC150" i="44" s="1"/>
  <c r="T150" i="1" s="1"/>
  <c r="H150" i="44"/>
  <c r="P150" i="44" s="1"/>
  <c r="G150" i="44"/>
  <c r="T150" i="44" s="1"/>
  <c r="U150" i="1" s="1"/>
  <c r="F150" i="44"/>
  <c r="E150" i="44"/>
  <c r="J149" i="44"/>
  <c r="AH149" i="44" s="1"/>
  <c r="R149" i="1" s="1"/>
  <c r="I149" i="44"/>
  <c r="AC149" i="44" s="1"/>
  <c r="T149" i="1" s="1"/>
  <c r="H149" i="44"/>
  <c r="G149" i="44"/>
  <c r="F149" i="44"/>
  <c r="E149" i="44"/>
  <c r="J148" i="44"/>
  <c r="I148" i="44"/>
  <c r="H148" i="44"/>
  <c r="G148" i="44"/>
  <c r="F148" i="44"/>
  <c r="E148" i="44"/>
  <c r="J147" i="44"/>
  <c r="I147" i="44"/>
  <c r="AC147" i="44" s="1"/>
  <c r="T147" i="1" s="1"/>
  <c r="H147" i="44"/>
  <c r="G147" i="44"/>
  <c r="T147" i="44" s="1"/>
  <c r="U147" i="1" s="1"/>
  <c r="F147" i="44"/>
  <c r="E147" i="44"/>
  <c r="J146" i="44"/>
  <c r="AH146" i="44" s="1"/>
  <c r="R146" i="1" s="1"/>
  <c r="I146" i="44"/>
  <c r="AC146" i="44" s="1"/>
  <c r="T146" i="1" s="1"/>
  <c r="H146" i="44"/>
  <c r="X146" i="44" s="1"/>
  <c r="S146" i="1" s="1"/>
  <c r="G146" i="44"/>
  <c r="F146" i="44"/>
  <c r="E146" i="44"/>
  <c r="J145" i="44"/>
  <c r="I145" i="44"/>
  <c r="H145" i="44"/>
  <c r="P145" i="44" s="1"/>
  <c r="G145" i="44"/>
  <c r="F145" i="44"/>
  <c r="E145" i="44"/>
  <c r="J144" i="44"/>
  <c r="AH144" i="44" s="1"/>
  <c r="R144" i="1" s="1"/>
  <c r="I144" i="44"/>
  <c r="AC144" i="44" s="1"/>
  <c r="T144" i="1" s="1"/>
  <c r="H144" i="44"/>
  <c r="G144" i="44"/>
  <c r="T144" i="44" s="1"/>
  <c r="U144" i="1" s="1"/>
  <c r="F144" i="44"/>
  <c r="J143" i="44"/>
  <c r="I143" i="44"/>
  <c r="AC143" i="44" s="1"/>
  <c r="T143" i="1" s="1"/>
  <c r="H143" i="44"/>
  <c r="G143" i="44"/>
  <c r="F143" i="44"/>
  <c r="E143" i="44"/>
  <c r="J142" i="44"/>
  <c r="AH142" i="44" s="1"/>
  <c r="R142" i="1" s="1"/>
  <c r="I142" i="44"/>
  <c r="H142" i="44"/>
  <c r="X142" i="44" s="1"/>
  <c r="S142" i="1" s="1"/>
  <c r="G142" i="44"/>
  <c r="F142" i="44"/>
  <c r="E142" i="44"/>
  <c r="J141" i="44"/>
  <c r="I141" i="44"/>
  <c r="AC141" i="44" s="1"/>
  <c r="T141" i="1" s="1"/>
  <c r="H141" i="44"/>
  <c r="X141" i="44" s="1"/>
  <c r="S141" i="1" s="1"/>
  <c r="G141" i="44"/>
  <c r="F141" i="44"/>
  <c r="E141" i="44"/>
  <c r="J140" i="44"/>
  <c r="I140" i="44"/>
  <c r="AC140" i="44" s="1"/>
  <c r="T140" i="1" s="1"/>
  <c r="H140" i="44"/>
  <c r="X140" i="44" s="1"/>
  <c r="S140" i="1" s="1"/>
  <c r="G140" i="44"/>
  <c r="F140" i="44"/>
  <c r="E140" i="44"/>
  <c r="J139" i="44"/>
  <c r="AH139" i="44" s="1"/>
  <c r="R139" i="1" s="1"/>
  <c r="I139" i="44"/>
  <c r="AC139" i="44" s="1"/>
  <c r="T139" i="1" s="1"/>
  <c r="H139" i="44"/>
  <c r="X139" i="44" s="1"/>
  <c r="S139" i="1" s="1"/>
  <c r="G139" i="44"/>
  <c r="F139" i="44"/>
  <c r="E139" i="44"/>
  <c r="J138" i="44"/>
  <c r="I138" i="44"/>
  <c r="AC138" i="44" s="1"/>
  <c r="T138" i="1" s="1"/>
  <c r="H138" i="44"/>
  <c r="P138" i="44" s="1"/>
  <c r="G138" i="44"/>
  <c r="T138" i="44" s="1"/>
  <c r="U138" i="1" s="1"/>
  <c r="F138" i="44"/>
  <c r="E138" i="44"/>
  <c r="J137" i="44"/>
  <c r="AH137" i="44" s="1"/>
  <c r="R137" i="1" s="1"/>
  <c r="I137" i="44"/>
  <c r="H137" i="44"/>
  <c r="G137" i="44"/>
  <c r="F137" i="44"/>
  <c r="E137" i="44"/>
  <c r="J136" i="44"/>
  <c r="I136" i="44"/>
  <c r="AC136" i="44" s="1"/>
  <c r="T136" i="1" s="1"/>
  <c r="H136" i="44"/>
  <c r="X136" i="44" s="1"/>
  <c r="S136" i="1" s="1"/>
  <c r="G136" i="44"/>
  <c r="F136" i="44"/>
  <c r="E136" i="44"/>
  <c r="J135" i="44"/>
  <c r="AH135" i="44" s="1"/>
  <c r="R135" i="1" s="1"/>
  <c r="I135" i="44"/>
  <c r="AC135" i="44" s="1"/>
  <c r="T135" i="1" s="1"/>
  <c r="H135" i="44"/>
  <c r="X135" i="44" s="1"/>
  <c r="S135" i="1" s="1"/>
  <c r="G135" i="44"/>
  <c r="F135" i="44"/>
  <c r="E135" i="44"/>
  <c r="J134" i="44"/>
  <c r="I134" i="44"/>
  <c r="AC134" i="44" s="1"/>
  <c r="T134" i="1" s="1"/>
  <c r="H134" i="44"/>
  <c r="X134" i="44" s="1"/>
  <c r="S134" i="1" s="1"/>
  <c r="G134" i="44"/>
  <c r="F134" i="44"/>
  <c r="E134" i="44"/>
  <c r="J133" i="44"/>
  <c r="I133" i="44"/>
  <c r="AC133" i="44" s="1"/>
  <c r="T133" i="1" s="1"/>
  <c r="H133" i="44"/>
  <c r="X133" i="44" s="1"/>
  <c r="S133" i="1" s="1"/>
  <c r="G133" i="44"/>
  <c r="F133" i="44"/>
  <c r="E133" i="44"/>
  <c r="J132" i="44"/>
  <c r="I132" i="44"/>
  <c r="AC132" i="44" s="1"/>
  <c r="T132" i="1" s="1"/>
  <c r="H132" i="44"/>
  <c r="X132" i="44" s="1"/>
  <c r="S132" i="1" s="1"/>
  <c r="G132" i="44"/>
  <c r="O132" i="44" s="1"/>
  <c r="F132" i="44"/>
  <c r="E132" i="44"/>
  <c r="J131" i="44"/>
  <c r="AH131" i="44" s="1"/>
  <c r="R131" i="1" s="1"/>
  <c r="I131" i="44"/>
  <c r="H131" i="44"/>
  <c r="G131" i="44"/>
  <c r="F131" i="44"/>
  <c r="E131" i="44"/>
  <c r="J130" i="44"/>
  <c r="I130" i="44"/>
  <c r="AC130" i="44" s="1"/>
  <c r="T130" i="1" s="1"/>
  <c r="H130" i="44"/>
  <c r="X130" i="44" s="1"/>
  <c r="S130" i="1" s="1"/>
  <c r="G130" i="44"/>
  <c r="F130" i="44"/>
  <c r="E130" i="44"/>
  <c r="J129" i="44"/>
  <c r="AH129" i="44" s="1"/>
  <c r="R129" i="1" s="1"/>
  <c r="I129" i="44"/>
  <c r="AC129" i="44" s="1"/>
  <c r="T129" i="1" s="1"/>
  <c r="H129" i="44"/>
  <c r="G129" i="44"/>
  <c r="F129" i="44"/>
  <c r="E129" i="44"/>
  <c r="J128" i="44"/>
  <c r="I128" i="44"/>
  <c r="AC128" i="44" s="1"/>
  <c r="T128" i="1" s="1"/>
  <c r="H128" i="44"/>
  <c r="X128" i="44" s="1"/>
  <c r="S128" i="1" s="1"/>
  <c r="G128" i="44"/>
  <c r="F128" i="44"/>
  <c r="E128" i="44"/>
  <c r="J127" i="44"/>
  <c r="I127" i="44"/>
  <c r="AC127" i="44" s="1"/>
  <c r="T127" i="1" s="1"/>
  <c r="H127" i="44"/>
  <c r="X127" i="44" s="1"/>
  <c r="S127" i="1" s="1"/>
  <c r="G127" i="44"/>
  <c r="T127" i="44" s="1"/>
  <c r="U127" i="1" s="1"/>
  <c r="F127" i="44"/>
  <c r="E127" i="44"/>
  <c r="J126" i="44"/>
  <c r="I126" i="44"/>
  <c r="AC126" i="44" s="1"/>
  <c r="T126" i="1" s="1"/>
  <c r="H126" i="44"/>
  <c r="X126" i="44" s="1"/>
  <c r="S126" i="1" s="1"/>
  <c r="G126" i="44"/>
  <c r="F126" i="44"/>
  <c r="E126" i="44"/>
  <c r="J125" i="44"/>
  <c r="AH125" i="44" s="1"/>
  <c r="R125" i="1" s="1"/>
  <c r="I125" i="44"/>
  <c r="AC125" i="44" s="1"/>
  <c r="T125" i="1" s="1"/>
  <c r="H125" i="44"/>
  <c r="G125" i="44"/>
  <c r="F125" i="44"/>
  <c r="E125" i="44"/>
  <c r="J124" i="44"/>
  <c r="AH124" i="44" s="1"/>
  <c r="R124" i="1" s="1"/>
  <c r="I124" i="44"/>
  <c r="H124" i="44"/>
  <c r="G124" i="44"/>
  <c r="F124" i="44"/>
  <c r="E124" i="44"/>
  <c r="J123" i="44"/>
  <c r="I123" i="44"/>
  <c r="AC123" i="44" s="1"/>
  <c r="T123" i="1" s="1"/>
  <c r="H123" i="44"/>
  <c r="X123" i="44" s="1"/>
  <c r="S123" i="1" s="1"/>
  <c r="G123" i="44"/>
  <c r="F123" i="44"/>
  <c r="E123" i="44"/>
  <c r="J122" i="44"/>
  <c r="I122" i="44"/>
  <c r="AC122" i="44" s="1"/>
  <c r="T122" i="1" s="1"/>
  <c r="H122" i="44"/>
  <c r="X122" i="44" s="1"/>
  <c r="S122" i="1" s="1"/>
  <c r="G122" i="44"/>
  <c r="F122" i="44"/>
  <c r="E122" i="44"/>
  <c r="J121" i="44"/>
  <c r="AH121" i="44" s="1"/>
  <c r="R121" i="1" s="1"/>
  <c r="I121" i="44"/>
  <c r="AC121" i="44" s="1"/>
  <c r="T121" i="1" s="1"/>
  <c r="H121" i="44"/>
  <c r="G121" i="44"/>
  <c r="F121" i="44"/>
  <c r="E121" i="44"/>
  <c r="J120" i="44"/>
  <c r="AH120" i="44" s="1"/>
  <c r="R120" i="1" s="1"/>
  <c r="I120" i="44"/>
  <c r="H120" i="44"/>
  <c r="G120" i="44"/>
  <c r="F120" i="44"/>
  <c r="E120" i="44"/>
  <c r="J119" i="44"/>
  <c r="AH119" i="44" s="1"/>
  <c r="R119" i="1" s="1"/>
  <c r="I119" i="44"/>
  <c r="AC119" i="44" s="1"/>
  <c r="T119" i="1" s="1"/>
  <c r="H119" i="44"/>
  <c r="G119" i="44"/>
  <c r="T119" i="44" s="1"/>
  <c r="U119" i="1" s="1"/>
  <c r="F119" i="44"/>
  <c r="E119" i="44"/>
  <c r="J118" i="44"/>
  <c r="AH118" i="44" s="1"/>
  <c r="R118" i="1" s="1"/>
  <c r="I118" i="44"/>
  <c r="AC118" i="44" s="1"/>
  <c r="T118" i="1" s="1"/>
  <c r="H118" i="44"/>
  <c r="X118" i="44" s="1"/>
  <c r="S118" i="1" s="1"/>
  <c r="G118" i="44"/>
  <c r="F118" i="44"/>
  <c r="E118" i="44"/>
  <c r="J117" i="44"/>
  <c r="I117" i="44"/>
  <c r="AC117" i="44" s="1"/>
  <c r="T117" i="1" s="1"/>
  <c r="H117" i="44"/>
  <c r="G117" i="44"/>
  <c r="F117" i="44"/>
  <c r="E117" i="44"/>
  <c r="J116" i="44"/>
  <c r="AH116" i="44" s="1"/>
  <c r="R116" i="1" s="1"/>
  <c r="I116" i="44"/>
  <c r="H116" i="44"/>
  <c r="G116" i="44"/>
  <c r="F116" i="44"/>
  <c r="E116" i="44"/>
  <c r="J115" i="44"/>
  <c r="I115" i="44"/>
  <c r="H115" i="44"/>
  <c r="X115" i="44" s="1"/>
  <c r="S115" i="1" s="1"/>
  <c r="G115" i="44"/>
  <c r="T115" i="44" s="1"/>
  <c r="U115" i="1" s="1"/>
  <c r="F115" i="44"/>
  <c r="E115" i="44"/>
  <c r="J114" i="44"/>
  <c r="I114" i="44"/>
  <c r="AC114" i="44" s="1"/>
  <c r="T114" i="1" s="1"/>
  <c r="H114" i="44"/>
  <c r="X114" i="44" s="1"/>
  <c r="S114" i="1" s="1"/>
  <c r="G114" i="44"/>
  <c r="F114" i="44"/>
  <c r="E114" i="44"/>
  <c r="J113" i="44"/>
  <c r="AH113" i="44" s="1"/>
  <c r="R113" i="1" s="1"/>
  <c r="AL113" i="1" s="1"/>
  <c r="I113" i="44"/>
  <c r="H113" i="44"/>
  <c r="G113" i="44"/>
  <c r="F113" i="44"/>
  <c r="J112" i="44"/>
  <c r="I112" i="44"/>
  <c r="AC112" i="44" s="1"/>
  <c r="T112" i="1" s="1"/>
  <c r="H112" i="44"/>
  <c r="X112" i="44" s="1"/>
  <c r="S112" i="1" s="1"/>
  <c r="G112" i="44"/>
  <c r="F112" i="44"/>
  <c r="E112" i="44"/>
  <c r="J111" i="44"/>
  <c r="I111" i="44"/>
  <c r="AC111" i="44" s="1"/>
  <c r="T111" i="1" s="1"/>
  <c r="H111" i="44"/>
  <c r="G111" i="44"/>
  <c r="F111" i="44"/>
  <c r="J110" i="44"/>
  <c r="AH110" i="44" s="1"/>
  <c r="R110" i="1" s="1"/>
  <c r="I110" i="44"/>
  <c r="H110" i="44"/>
  <c r="X110" i="44" s="1"/>
  <c r="S110" i="1" s="1"/>
  <c r="G110" i="44"/>
  <c r="F110" i="44"/>
  <c r="J109" i="44"/>
  <c r="I109" i="44"/>
  <c r="H109" i="44"/>
  <c r="G109" i="44"/>
  <c r="F109" i="44"/>
  <c r="E109" i="44"/>
  <c r="J108" i="44"/>
  <c r="I108" i="44"/>
  <c r="AC108" i="44" s="1"/>
  <c r="T108" i="1" s="1"/>
  <c r="H108" i="44"/>
  <c r="X108" i="44" s="1"/>
  <c r="S108" i="1" s="1"/>
  <c r="G108" i="44"/>
  <c r="F108" i="44"/>
  <c r="E108" i="44"/>
  <c r="J107" i="44"/>
  <c r="I107" i="44"/>
  <c r="H107" i="44"/>
  <c r="G107" i="44"/>
  <c r="F107" i="44"/>
  <c r="E107" i="44"/>
  <c r="J106" i="44"/>
  <c r="I106" i="44"/>
  <c r="H106" i="44"/>
  <c r="G106" i="44"/>
  <c r="F106" i="44"/>
  <c r="E106" i="44"/>
  <c r="J105" i="44"/>
  <c r="I105" i="44"/>
  <c r="AC105" i="44" s="1"/>
  <c r="T105" i="1" s="1"/>
  <c r="H105" i="44"/>
  <c r="G105" i="44"/>
  <c r="F105" i="44"/>
  <c r="J104" i="44"/>
  <c r="I104" i="44"/>
  <c r="H104" i="44"/>
  <c r="X104" i="44" s="1"/>
  <c r="S104" i="1" s="1"/>
  <c r="G104" i="44"/>
  <c r="T104" i="44" s="1"/>
  <c r="U104" i="1" s="1"/>
  <c r="F104" i="44"/>
  <c r="E104" i="44"/>
  <c r="J103" i="44"/>
  <c r="I103" i="44"/>
  <c r="AC103" i="44" s="1"/>
  <c r="T103" i="1" s="1"/>
  <c r="H103" i="44"/>
  <c r="X103" i="44" s="1"/>
  <c r="S103" i="1" s="1"/>
  <c r="G103" i="44"/>
  <c r="F103" i="44"/>
  <c r="E103" i="44"/>
  <c r="J102" i="44"/>
  <c r="I102" i="44"/>
  <c r="H102" i="44"/>
  <c r="X102" i="44" s="1"/>
  <c r="S102" i="1" s="1"/>
  <c r="G102" i="44"/>
  <c r="T102" i="44" s="1"/>
  <c r="U102" i="1" s="1"/>
  <c r="F102" i="44"/>
  <c r="J101" i="44"/>
  <c r="I101" i="44"/>
  <c r="AC101" i="44" s="1"/>
  <c r="T101" i="1" s="1"/>
  <c r="H101" i="44"/>
  <c r="G101" i="44"/>
  <c r="F101" i="44"/>
  <c r="E101" i="44"/>
  <c r="J100" i="44"/>
  <c r="AH100" i="44" s="1"/>
  <c r="R100" i="1" s="1"/>
  <c r="I100" i="44"/>
  <c r="H100" i="44"/>
  <c r="X100" i="44" s="1"/>
  <c r="S100" i="1" s="1"/>
  <c r="G100" i="44"/>
  <c r="F100" i="44"/>
  <c r="E100" i="44"/>
  <c r="J99" i="44"/>
  <c r="I99" i="44"/>
  <c r="H99" i="44"/>
  <c r="G99" i="44"/>
  <c r="F99" i="44"/>
  <c r="E99" i="44"/>
  <c r="J98" i="44"/>
  <c r="AH98" i="44" s="1"/>
  <c r="R98" i="1" s="1"/>
  <c r="I98" i="44"/>
  <c r="H98" i="44"/>
  <c r="G98" i="44"/>
  <c r="F98" i="44"/>
  <c r="E98" i="44"/>
  <c r="J97" i="44"/>
  <c r="AH97" i="44" s="1"/>
  <c r="R97" i="1" s="1"/>
  <c r="I97" i="44"/>
  <c r="H97" i="44"/>
  <c r="G97" i="44"/>
  <c r="F97" i="44"/>
  <c r="E97" i="44"/>
  <c r="J96" i="44"/>
  <c r="I96" i="44"/>
  <c r="H96" i="44"/>
  <c r="G96" i="44"/>
  <c r="F96" i="44"/>
  <c r="E96" i="44"/>
  <c r="J95" i="44"/>
  <c r="AH95" i="44" s="1"/>
  <c r="R95" i="1" s="1"/>
  <c r="I95" i="44"/>
  <c r="H95" i="44"/>
  <c r="G95" i="44"/>
  <c r="T95" i="44" s="1"/>
  <c r="U95" i="1" s="1"/>
  <c r="F95" i="44"/>
  <c r="E95" i="44"/>
  <c r="J94" i="44"/>
  <c r="AH94" i="44" s="1"/>
  <c r="R94" i="1" s="1"/>
  <c r="I94" i="44"/>
  <c r="H94" i="44"/>
  <c r="G94" i="44"/>
  <c r="F94" i="44"/>
  <c r="E94" i="44"/>
  <c r="J93" i="44"/>
  <c r="I93" i="44"/>
  <c r="H93" i="44"/>
  <c r="G93" i="44"/>
  <c r="T93" i="44" s="1"/>
  <c r="U93" i="1" s="1"/>
  <c r="F93" i="44"/>
  <c r="E93" i="44"/>
  <c r="J92" i="44"/>
  <c r="AH92" i="44" s="1"/>
  <c r="R92" i="1" s="1"/>
  <c r="I92" i="44"/>
  <c r="H92" i="44"/>
  <c r="G92" i="44"/>
  <c r="T92" i="44" s="1"/>
  <c r="U92" i="1" s="1"/>
  <c r="F92" i="44"/>
  <c r="E92" i="44"/>
  <c r="J91" i="44"/>
  <c r="AH91" i="44" s="1"/>
  <c r="R91" i="1" s="1"/>
  <c r="I91" i="44"/>
  <c r="H91" i="44"/>
  <c r="X91" i="44" s="1"/>
  <c r="S91" i="1" s="1"/>
  <c r="G91" i="44"/>
  <c r="T91" i="44" s="1"/>
  <c r="U91" i="1" s="1"/>
  <c r="F91" i="44"/>
  <c r="E91" i="44"/>
  <c r="J90" i="44"/>
  <c r="I90" i="44"/>
  <c r="H90" i="44"/>
  <c r="P90" i="44" s="1"/>
  <c r="G90" i="44"/>
  <c r="T90" i="44" s="1"/>
  <c r="U90" i="1" s="1"/>
  <c r="F90" i="44"/>
  <c r="E90" i="44"/>
  <c r="J89" i="44"/>
  <c r="AH89" i="44" s="1"/>
  <c r="R89" i="1" s="1"/>
  <c r="I89" i="44"/>
  <c r="H89" i="44"/>
  <c r="G89" i="44"/>
  <c r="F89" i="44"/>
  <c r="E89" i="44"/>
  <c r="J88" i="44"/>
  <c r="AH88" i="44" s="1"/>
  <c r="R88" i="1" s="1"/>
  <c r="I88" i="44"/>
  <c r="H88" i="44"/>
  <c r="X88" i="44" s="1"/>
  <c r="S88" i="1" s="1"/>
  <c r="G88" i="44"/>
  <c r="F88" i="44"/>
  <c r="E88" i="44"/>
  <c r="J87" i="44"/>
  <c r="I87" i="44"/>
  <c r="H87" i="44"/>
  <c r="G87" i="44"/>
  <c r="F87" i="44"/>
  <c r="J86" i="44"/>
  <c r="AH86" i="44" s="1"/>
  <c r="R86" i="1" s="1"/>
  <c r="I86" i="44"/>
  <c r="AC86" i="44" s="1"/>
  <c r="T86" i="1" s="1"/>
  <c r="H86" i="44"/>
  <c r="X86" i="44" s="1"/>
  <c r="S86" i="1" s="1"/>
  <c r="G86" i="44"/>
  <c r="F86" i="44"/>
  <c r="E86" i="44"/>
  <c r="J85" i="44"/>
  <c r="I85" i="44"/>
  <c r="AC85" i="44" s="1"/>
  <c r="T85" i="1" s="1"/>
  <c r="H85" i="44"/>
  <c r="X85" i="44" s="1"/>
  <c r="S85" i="1" s="1"/>
  <c r="G85" i="44"/>
  <c r="F85" i="44"/>
  <c r="E85" i="44"/>
  <c r="J84" i="44"/>
  <c r="AH84" i="44" s="1"/>
  <c r="R84" i="1" s="1"/>
  <c r="I84" i="44"/>
  <c r="AC84" i="44" s="1"/>
  <c r="T84" i="1" s="1"/>
  <c r="H84" i="44"/>
  <c r="G84" i="44"/>
  <c r="F84" i="44"/>
  <c r="E84" i="44"/>
  <c r="J83" i="44"/>
  <c r="AH83" i="44" s="1"/>
  <c r="R83" i="1" s="1"/>
  <c r="I83" i="44"/>
  <c r="H83" i="44"/>
  <c r="G83" i="44"/>
  <c r="F83" i="44"/>
  <c r="E83" i="44"/>
  <c r="J82" i="44"/>
  <c r="I82" i="44"/>
  <c r="AC82" i="44" s="1"/>
  <c r="T82" i="1" s="1"/>
  <c r="H82" i="44"/>
  <c r="X82" i="44" s="1"/>
  <c r="S82" i="1" s="1"/>
  <c r="G82" i="44"/>
  <c r="F82" i="44"/>
  <c r="E82" i="44"/>
  <c r="J81" i="44"/>
  <c r="I81" i="44"/>
  <c r="H81" i="44"/>
  <c r="X81" i="44" s="1"/>
  <c r="S81" i="1" s="1"/>
  <c r="G81" i="44"/>
  <c r="F81" i="44"/>
  <c r="E81" i="44"/>
  <c r="J80" i="44"/>
  <c r="AH80" i="44" s="1"/>
  <c r="R80" i="1" s="1"/>
  <c r="I80" i="44"/>
  <c r="AC80" i="44" s="1"/>
  <c r="T80" i="1" s="1"/>
  <c r="H80" i="44"/>
  <c r="G80" i="44"/>
  <c r="F80" i="44"/>
  <c r="J79" i="44"/>
  <c r="I79" i="44"/>
  <c r="H79" i="44"/>
  <c r="X79" i="44" s="1"/>
  <c r="S79" i="1" s="1"/>
  <c r="G79" i="44"/>
  <c r="F79" i="44"/>
  <c r="J78" i="44"/>
  <c r="AH78" i="44" s="1"/>
  <c r="R78" i="1" s="1"/>
  <c r="I78" i="44"/>
  <c r="AC78" i="44" s="1"/>
  <c r="T78" i="1" s="1"/>
  <c r="H78" i="44"/>
  <c r="X78" i="44" s="1"/>
  <c r="S78" i="1" s="1"/>
  <c r="G78" i="44"/>
  <c r="F78" i="44"/>
  <c r="E78" i="44"/>
  <c r="J77" i="44"/>
  <c r="AH77" i="44" s="1"/>
  <c r="R77" i="1" s="1"/>
  <c r="I77" i="44"/>
  <c r="H77" i="44"/>
  <c r="G77" i="44"/>
  <c r="T77" i="44" s="1"/>
  <c r="U77" i="1" s="1"/>
  <c r="F77" i="44"/>
  <c r="E77" i="44"/>
  <c r="J76" i="44"/>
  <c r="AH76" i="44" s="1"/>
  <c r="R76" i="1" s="1"/>
  <c r="I76" i="44"/>
  <c r="H76" i="44"/>
  <c r="X76" i="44" s="1"/>
  <c r="S76" i="1" s="1"/>
  <c r="G76" i="44"/>
  <c r="F76" i="44"/>
  <c r="E76" i="44"/>
  <c r="J75" i="44"/>
  <c r="AH75" i="44" s="1"/>
  <c r="R75" i="1" s="1"/>
  <c r="I75" i="44"/>
  <c r="AC75" i="44" s="1"/>
  <c r="T75" i="1" s="1"/>
  <c r="H75" i="44"/>
  <c r="X75" i="44" s="1"/>
  <c r="S75" i="1" s="1"/>
  <c r="G75" i="44"/>
  <c r="F75" i="44"/>
  <c r="E75" i="44"/>
  <c r="J74" i="44"/>
  <c r="I74" i="44"/>
  <c r="AC74" i="44" s="1"/>
  <c r="T74" i="1" s="1"/>
  <c r="H74" i="44"/>
  <c r="X74" i="44" s="1"/>
  <c r="S74" i="1" s="1"/>
  <c r="G74" i="44"/>
  <c r="F74" i="44"/>
  <c r="E74" i="44"/>
  <c r="J73" i="44"/>
  <c r="I73" i="44"/>
  <c r="H73" i="44"/>
  <c r="X73" i="44" s="1"/>
  <c r="S73" i="1" s="1"/>
  <c r="G73" i="44"/>
  <c r="F73" i="44"/>
  <c r="E73" i="44"/>
  <c r="J72" i="44"/>
  <c r="AH72" i="44" s="1"/>
  <c r="R72" i="1" s="1"/>
  <c r="I72" i="44"/>
  <c r="H72" i="44"/>
  <c r="X72" i="44" s="1"/>
  <c r="S72" i="1" s="1"/>
  <c r="G72" i="44"/>
  <c r="F72" i="44"/>
  <c r="E72" i="44"/>
  <c r="J71" i="44"/>
  <c r="I71" i="44"/>
  <c r="AC71" i="44" s="1"/>
  <c r="T71" i="1" s="1"/>
  <c r="H71" i="44"/>
  <c r="G71" i="44"/>
  <c r="F71" i="44"/>
  <c r="E71" i="44"/>
  <c r="J70" i="44"/>
  <c r="AH70" i="44" s="1"/>
  <c r="R70" i="1" s="1"/>
  <c r="I70" i="44"/>
  <c r="H70" i="44"/>
  <c r="X70" i="44" s="1"/>
  <c r="S70" i="1" s="1"/>
  <c r="G70" i="44"/>
  <c r="F70" i="44"/>
  <c r="E70" i="44"/>
  <c r="J69" i="44"/>
  <c r="I69" i="44"/>
  <c r="H69" i="44"/>
  <c r="G69" i="44"/>
  <c r="F69" i="44"/>
  <c r="E69" i="44"/>
  <c r="J68" i="44"/>
  <c r="AH68" i="44" s="1"/>
  <c r="R68" i="1" s="1"/>
  <c r="I68" i="44"/>
  <c r="AC68" i="44" s="1"/>
  <c r="T68" i="1" s="1"/>
  <c r="H68" i="44"/>
  <c r="G68" i="44"/>
  <c r="F68" i="44"/>
  <c r="E68" i="44"/>
  <c r="J67" i="44"/>
  <c r="AH67" i="44" s="1"/>
  <c r="R67" i="1" s="1"/>
  <c r="I67" i="44"/>
  <c r="H67" i="44"/>
  <c r="G67" i="44"/>
  <c r="T67" i="44" s="1"/>
  <c r="U67" i="1" s="1"/>
  <c r="F67" i="44"/>
  <c r="J66" i="44"/>
  <c r="I66" i="44"/>
  <c r="H66" i="44"/>
  <c r="X66" i="44" s="1"/>
  <c r="S66" i="1" s="1"/>
  <c r="G66" i="44"/>
  <c r="F66" i="44"/>
  <c r="E66" i="44"/>
  <c r="J65" i="44"/>
  <c r="AH65" i="44" s="1"/>
  <c r="R65" i="1" s="1"/>
  <c r="I65" i="44"/>
  <c r="H65" i="44"/>
  <c r="G65" i="44"/>
  <c r="F65" i="44"/>
  <c r="E65" i="44"/>
  <c r="J64" i="44"/>
  <c r="I64" i="44"/>
  <c r="AC64" i="44" s="1"/>
  <c r="T64" i="1" s="1"/>
  <c r="H64" i="44"/>
  <c r="G64" i="44"/>
  <c r="F64" i="44"/>
  <c r="J63" i="44"/>
  <c r="I63" i="44"/>
  <c r="H63" i="44"/>
  <c r="X63" i="44" s="1"/>
  <c r="S63" i="1" s="1"/>
  <c r="G63" i="44"/>
  <c r="F63" i="44"/>
  <c r="E63" i="44"/>
  <c r="J62" i="44"/>
  <c r="I62" i="44"/>
  <c r="H62" i="44"/>
  <c r="X62" i="44" s="1"/>
  <c r="S62" i="1" s="1"/>
  <c r="G62" i="44"/>
  <c r="F62" i="44"/>
  <c r="E62" i="44"/>
  <c r="J61" i="44"/>
  <c r="I61" i="44"/>
  <c r="AC61" i="44" s="1"/>
  <c r="T61" i="1" s="1"/>
  <c r="H61" i="44"/>
  <c r="X61" i="44" s="1"/>
  <c r="S61" i="1" s="1"/>
  <c r="G61" i="44"/>
  <c r="F61" i="44"/>
  <c r="E61" i="44"/>
  <c r="J60" i="44"/>
  <c r="AH60" i="44" s="1"/>
  <c r="R60" i="1" s="1"/>
  <c r="I60" i="44"/>
  <c r="AC60" i="44" s="1"/>
  <c r="T60" i="1" s="1"/>
  <c r="H60" i="44"/>
  <c r="G60" i="44"/>
  <c r="F60" i="44"/>
  <c r="E60" i="44"/>
  <c r="J59" i="44"/>
  <c r="I59" i="44"/>
  <c r="AC59" i="44" s="1"/>
  <c r="T59" i="1" s="1"/>
  <c r="H59" i="44"/>
  <c r="G59" i="44"/>
  <c r="F59" i="44"/>
  <c r="E59" i="44"/>
  <c r="J58" i="44"/>
  <c r="AH58" i="44" s="1"/>
  <c r="R58" i="1" s="1"/>
  <c r="I58" i="44"/>
  <c r="H58" i="44"/>
  <c r="G58" i="44"/>
  <c r="F58" i="44"/>
  <c r="E58" i="44"/>
  <c r="J57" i="44"/>
  <c r="I57" i="44"/>
  <c r="AC57" i="44" s="1"/>
  <c r="T57" i="1" s="1"/>
  <c r="H57" i="44"/>
  <c r="G57" i="44"/>
  <c r="T57" i="44" s="1"/>
  <c r="U57" i="1" s="1"/>
  <c r="F57" i="44"/>
  <c r="E57" i="44"/>
  <c r="J56" i="44"/>
  <c r="AH56" i="44" s="1"/>
  <c r="R56" i="1" s="1"/>
  <c r="I56" i="44"/>
  <c r="H56" i="44"/>
  <c r="G56" i="44"/>
  <c r="T56" i="44" s="1"/>
  <c r="U56" i="1" s="1"/>
  <c r="F56" i="44"/>
  <c r="E56" i="44"/>
  <c r="J55" i="44"/>
  <c r="AH55" i="44" s="1"/>
  <c r="R55" i="1" s="1"/>
  <c r="I55" i="44"/>
  <c r="H55" i="44"/>
  <c r="X55" i="44" s="1"/>
  <c r="S55" i="1" s="1"/>
  <c r="G55" i="44"/>
  <c r="T55" i="44" s="1"/>
  <c r="U55" i="1" s="1"/>
  <c r="F55" i="44"/>
  <c r="E55" i="44"/>
  <c r="J54" i="44"/>
  <c r="I54" i="44"/>
  <c r="AC54" i="44" s="1"/>
  <c r="T54" i="1" s="1"/>
  <c r="H54" i="44"/>
  <c r="G54" i="44"/>
  <c r="F54" i="44"/>
  <c r="E54" i="44"/>
  <c r="J53" i="44"/>
  <c r="AH53" i="44" s="1"/>
  <c r="R53" i="1" s="1"/>
  <c r="I53" i="44"/>
  <c r="AC53" i="44" s="1"/>
  <c r="T53" i="1" s="1"/>
  <c r="H53" i="44"/>
  <c r="G53" i="44"/>
  <c r="F53" i="44"/>
  <c r="J52" i="44"/>
  <c r="AH52" i="44" s="1"/>
  <c r="R52" i="1" s="1"/>
  <c r="I52" i="44"/>
  <c r="H52" i="44"/>
  <c r="X52" i="44" s="1"/>
  <c r="S52" i="1" s="1"/>
  <c r="G52" i="44"/>
  <c r="F52" i="44"/>
  <c r="E52" i="44"/>
  <c r="J51" i="44"/>
  <c r="I51" i="44"/>
  <c r="AC51" i="44" s="1"/>
  <c r="T51" i="1" s="1"/>
  <c r="H51" i="44"/>
  <c r="G51" i="44"/>
  <c r="F51" i="44"/>
  <c r="E51" i="44"/>
  <c r="J50" i="44"/>
  <c r="I50" i="44"/>
  <c r="AC50" i="44" s="1"/>
  <c r="T50" i="1" s="1"/>
  <c r="H50" i="44"/>
  <c r="G50" i="44"/>
  <c r="F50" i="44"/>
  <c r="J49" i="44"/>
  <c r="AH49" i="44" s="1"/>
  <c r="R49" i="1" s="1"/>
  <c r="I49" i="44"/>
  <c r="H49" i="44"/>
  <c r="X49" i="44" s="1"/>
  <c r="S49" i="1" s="1"/>
  <c r="G49" i="44"/>
  <c r="F49" i="44"/>
  <c r="E49" i="44"/>
  <c r="J48" i="44"/>
  <c r="I48" i="44"/>
  <c r="H48" i="44"/>
  <c r="G48" i="44"/>
  <c r="T48" i="44" s="1"/>
  <c r="U48" i="1" s="1"/>
  <c r="F48" i="44"/>
  <c r="E48" i="44"/>
  <c r="J47" i="44"/>
  <c r="I47" i="44"/>
  <c r="AC47" i="44" s="1"/>
  <c r="T47" i="1" s="1"/>
  <c r="H47" i="44"/>
  <c r="X47" i="44" s="1"/>
  <c r="S47" i="1" s="1"/>
  <c r="G47" i="44"/>
  <c r="F47" i="44"/>
  <c r="E47" i="44"/>
  <c r="J46" i="44"/>
  <c r="I46" i="44"/>
  <c r="H46" i="44"/>
  <c r="P46" i="44" s="1"/>
  <c r="G46" i="44"/>
  <c r="F46" i="44"/>
  <c r="E46" i="44"/>
  <c r="J45" i="44"/>
  <c r="I45" i="44"/>
  <c r="H45" i="44"/>
  <c r="G45" i="44"/>
  <c r="T45" i="44" s="1"/>
  <c r="U45" i="1" s="1"/>
  <c r="F45" i="44"/>
  <c r="J44" i="44"/>
  <c r="I44" i="44"/>
  <c r="AC44" i="44" s="1"/>
  <c r="T44" i="1" s="1"/>
  <c r="H44" i="44"/>
  <c r="X44" i="44" s="1"/>
  <c r="S44" i="1" s="1"/>
  <c r="G44" i="44"/>
  <c r="F44" i="44"/>
  <c r="E44" i="44"/>
  <c r="J43" i="44"/>
  <c r="I43" i="44"/>
  <c r="AC43" i="44" s="1"/>
  <c r="T43" i="1" s="1"/>
  <c r="H43" i="44"/>
  <c r="X43" i="44" s="1"/>
  <c r="S43" i="1" s="1"/>
  <c r="G43" i="44"/>
  <c r="F43" i="44"/>
  <c r="E43" i="44"/>
  <c r="J42" i="44"/>
  <c r="I42" i="44"/>
  <c r="H42" i="44"/>
  <c r="G42" i="44"/>
  <c r="T42" i="44" s="1"/>
  <c r="U42" i="1" s="1"/>
  <c r="F42" i="44"/>
  <c r="E42" i="44"/>
  <c r="J41" i="44"/>
  <c r="AH41" i="44" s="1"/>
  <c r="R41" i="1" s="1"/>
  <c r="I41" i="44"/>
  <c r="H41" i="44"/>
  <c r="X41" i="44" s="1"/>
  <c r="S41" i="1" s="1"/>
  <c r="G41" i="44"/>
  <c r="T41" i="44" s="1"/>
  <c r="U41" i="1" s="1"/>
  <c r="F41" i="44"/>
  <c r="E41" i="44"/>
  <c r="J40" i="44"/>
  <c r="AH40" i="44" s="1"/>
  <c r="I40" i="44"/>
  <c r="H40" i="44"/>
  <c r="X40" i="44" s="1"/>
  <c r="S40" i="1" s="1"/>
  <c r="AM40" i="1" s="1"/>
  <c r="G40" i="44"/>
  <c r="F40" i="44"/>
  <c r="E40" i="44"/>
  <c r="J39" i="44"/>
  <c r="I39" i="44"/>
  <c r="H39" i="44"/>
  <c r="X39" i="44" s="1"/>
  <c r="S39" i="1" s="1"/>
  <c r="G39" i="44"/>
  <c r="F39" i="44"/>
  <c r="E39" i="44"/>
  <c r="J38" i="44"/>
  <c r="AH38" i="44" s="1"/>
  <c r="R38" i="1" s="1"/>
  <c r="I38" i="44"/>
  <c r="H38" i="44"/>
  <c r="G38" i="44"/>
  <c r="F38" i="44"/>
  <c r="E38" i="44"/>
  <c r="J37" i="44"/>
  <c r="I37" i="44"/>
  <c r="H37" i="44"/>
  <c r="X37" i="44" s="1"/>
  <c r="S37" i="1" s="1"/>
  <c r="G37" i="44"/>
  <c r="F37" i="44"/>
  <c r="E37" i="44"/>
  <c r="J36" i="44"/>
  <c r="I36" i="44"/>
  <c r="AC36" i="44" s="1"/>
  <c r="T36" i="1" s="1"/>
  <c r="H36" i="44"/>
  <c r="G36" i="44"/>
  <c r="F36" i="44"/>
  <c r="J35" i="44"/>
  <c r="I35" i="44"/>
  <c r="AC35" i="44" s="1"/>
  <c r="T35" i="1" s="1"/>
  <c r="H35" i="44"/>
  <c r="G35" i="44"/>
  <c r="F35" i="44"/>
  <c r="E35" i="44"/>
  <c r="J34" i="44"/>
  <c r="AH34" i="44" s="1"/>
  <c r="R34" i="1" s="1"/>
  <c r="I34" i="44"/>
  <c r="H34" i="44"/>
  <c r="G34" i="44"/>
  <c r="F34" i="44"/>
  <c r="E34" i="44"/>
  <c r="J33" i="44"/>
  <c r="I33" i="44"/>
  <c r="AC33" i="44" s="1"/>
  <c r="T33" i="1" s="1"/>
  <c r="H33" i="44"/>
  <c r="X33" i="44" s="1"/>
  <c r="S33" i="1" s="1"/>
  <c r="G33" i="44"/>
  <c r="F33" i="44"/>
  <c r="E33" i="44"/>
  <c r="J32" i="44"/>
  <c r="AH32" i="44" s="1"/>
  <c r="R32" i="1" s="1"/>
  <c r="I32" i="44"/>
  <c r="AC32" i="44" s="1"/>
  <c r="T32" i="1" s="1"/>
  <c r="H32" i="44"/>
  <c r="G32" i="44"/>
  <c r="F32" i="44"/>
  <c r="E32" i="44"/>
  <c r="J31" i="44"/>
  <c r="I31" i="44"/>
  <c r="H31" i="44"/>
  <c r="G31" i="44"/>
  <c r="F31" i="44"/>
  <c r="E31" i="44"/>
  <c r="J30" i="44"/>
  <c r="I30" i="44"/>
  <c r="H30" i="44"/>
  <c r="G30" i="44"/>
  <c r="F30" i="44"/>
  <c r="E30" i="44"/>
  <c r="J29" i="44"/>
  <c r="AH29" i="44" s="1"/>
  <c r="R29" i="1" s="1"/>
  <c r="I29" i="44"/>
  <c r="H29" i="44"/>
  <c r="X29" i="44" s="1"/>
  <c r="S29" i="1" s="1"/>
  <c r="G29" i="44"/>
  <c r="F29" i="44"/>
  <c r="E29" i="44"/>
  <c r="J28" i="44"/>
  <c r="AH28" i="44" s="1"/>
  <c r="R28" i="1" s="1"/>
  <c r="I28" i="44"/>
  <c r="H28" i="44"/>
  <c r="G28" i="44"/>
  <c r="F28" i="44"/>
  <c r="E28" i="44"/>
  <c r="J27" i="44"/>
  <c r="AH27" i="44" s="1"/>
  <c r="R27" i="1" s="1"/>
  <c r="I27" i="44"/>
  <c r="H27" i="44"/>
  <c r="G27" i="44"/>
  <c r="T27" i="44" s="1"/>
  <c r="U27" i="1" s="1"/>
  <c r="F27" i="44"/>
  <c r="E27" i="44"/>
  <c r="J26" i="44"/>
  <c r="I26" i="44"/>
  <c r="AC26" i="44" s="1"/>
  <c r="T26" i="1" s="1"/>
  <c r="H26" i="44"/>
  <c r="X26" i="44" s="1"/>
  <c r="S26" i="1" s="1"/>
  <c r="G26" i="44"/>
  <c r="T26" i="44" s="1"/>
  <c r="U26" i="1" s="1"/>
  <c r="F26" i="44"/>
  <c r="J25" i="44"/>
  <c r="AH25" i="44" s="1"/>
  <c r="R25" i="1" s="1"/>
  <c r="I25" i="44"/>
  <c r="H25" i="44"/>
  <c r="X25" i="44" s="1"/>
  <c r="S25" i="1" s="1"/>
  <c r="G25" i="44"/>
  <c r="F25" i="44"/>
  <c r="E25" i="44"/>
  <c r="J24" i="44"/>
  <c r="I24" i="44"/>
  <c r="H24" i="44"/>
  <c r="G24" i="44"/>
  <c r="F24" i="44"/>
  <c r="E24" i="44"/>
  <c r="J23" i="44"/>
  <c r="I23" i="44"/>
  <c r="H23" i="44"/>
  <c r="X23" i="44" s="1"/>
  <c r="S23" i="1" s="1"/>
  <c r="G23" i="44"/>
  <c r="F23" i="44"/>
  <c r="E23" i="44"/>
  <c r="J22" i="44"/>
  <c r="I22" i="44"/>
  <c r="AC22" i="44" s="1"/>
  <c r="T22" i="1" s="1"/>
  <c r="H22" i="44"/>
  <c r="G22" i="44"/>
  <c r="F22" i="44"/>
  <c r="E22" i="44"/>
  <c r="J21" i="44"/>
  <c r="AH21" i="44" s="1"/>
  <c r="R21" i="1" s="1"/>
  <c r="I21" i="44"/>
  <c r="H21" i="44"/>
  <c r="G21" i="44"/>
  <c r="F21" i="44"/>
  <c r="E21" i="44"/>
  <c r="J20" i="44"/>
  <c r="I20" i="44"/>
  <c r="H20" i="44"/>
  <c r="G20" i="44"/>
  <c r="F20" i="44"/>
  <c r="E20" i="44"/>
  <c r="J19" i="44"/>
  <c r="I19" i="44"/>
  <c r="H19" i="44"/>
  <c r="X19" i="44" s="1"/>
  <c r="S19" i="1" s="1"/>
  <c r="G19" i="44"/>
  <c r="T19" i="44" s="1"/>
  <c r="U19" i="1" s="1"/>
  <c r="F19" i="44"/>
  <c r="AL18" i="44"/>
  <c r="AI18" i="44"/>
  <c r="Y18" i="44"/>
  <c r="J18" i="44"/>
  <c r="AK18" i="44" s="1"/>
  <c r="I18" i="44"/>
  <c r="AC18" i="44" s="1"/>
  <c r="T18" i="1" s="1"/>
  <c r="H18" i="44"/>
  <c r="Z18" i="44" s="1"/>
  <c r="G18" i="44"/>
  <c r="F18" i="44"/>
  <c r="J17" i="44"/>
  <c r="I17" i="44"/>
  <c r="H17" i="44"/>
  <c r="X17" i="44" s="1"/>
  <c r="S17" i="1" s="1"/>
  <c r="G17" i="44"/>
  <c r="F17" i="44"/>
  <c r="E17" i="44"/>
  <c r="J16" i="44"/>
  <c r="I16" i="44"/>
  <c r="AC16" i="44" s="1"/>
  <c r="T16" i="1" s="1"/>
  <c r="H16" i="44"/>
  <c r="X16" i="44" s="1"/>
  <c r="S16" i="1" s="1"/>
  <c r="G16" i="44"/>
  <c r="F16" i="44"/>
  <c r="E16" i="44"/>
  <c r="AL15" i="44"/>
  <c r="AI15" i="44"/>
  <c r="AG15" i="44"/>
  <c r="AD15" i="44"/>
  <c r="AB15" i="44"/>
  <c r="Y15" i="44"/>
  <c r="U15" i="44"/>
  <c r="J15" i="44"/>
  <c r="R15" i="44" s="1"/>
  <c r="I15" i="44"/>
  <c r="Q15" i="44" s="1"/>
  <c r="H15" i="44"/>
  <c r="AA15" i="44" s="1"/>
  <c r="G15" i="44"/>
  <c r="W15" i="44" s="1"/>
  <c r="F15" i="44"/>
  <c r="J14" i="44"/>
  <c r="AH14" i="44" s="1"/>
  <c r="R14" i="1" s="1"/>
  <c r="I14" i="44"/>
  <c r="H14" i="44"/>
  <c r="X14" i="44" s="1"/>
  <c r="S14" i="1" s="1"/>
  <c r="G14" i="44"/>
  <c r="F14" i="44"/>
  <c r="E14" i="44"/>
  <c r="J13" i="44"/>
  <c r="I13" i="44"/>
  <c r="AC13" i="44" s="1"/>
  <c r="T13" i="1" s="1"/>
  <c r="H13" i="44"/>
  <c r="G13" i="44"/>
  <c r="F13" i="44"/>
  <c r="E13" i="44"/>
  <c r="J12" i="44"/>
  <c r="I12" i="44"/>
  <c r="H12" i="44"/>
  <c r="G12" i="44"/>
  <c r="F12" i="44"/>
  <c r="E12" i="44"/>
  <c r="J11" i="44"/>
  <c r="I11" i="44"/>
  <c r="Q11" i="44" s="1"/>
  <c r="H11" i="44"/>
  <c r="X11" i="44" s="1"/>
  <c r="S11" i="1" s="1"/>
  <c r="G11" i="44"/>
  <c r="F11" i="44"/>
  <c r="E11" i="44"/>
  <c r="J10" i="44"/>
  <c r="I10" i="44"/>
  <c r="AC10" i="44" s="1"/>
  <c r="T10" i="1" s="1"/>
  <c r="H10" i="44"/>
  <c r="X10" i="44" s="1"/>
  <c r="S10" i="1" s="1"/>
  <c r="G10" i="44"/>
  <c r="F10" i="44"/>
  <c r="E10" i="44"/>
  <c r="J9" i="44"/>
  <c r="I9" i="44"/>
  <c r="H9" i="44"/>
  <c r="G9" i="44"/>
  <c r="F9" i="44"/>
  <c r="E9" i="44"/>
  <c r="J8" i="44"/>
  <c r="AH8" i="44" s="1"/>
  <c r="R8" i="1" s="1"/>
  <c r="I8" i="44"/>
  <c r="AC8" i="44" s="1"/>
  <c r="T8" i="1" s="1"/>
  <c r="H8" i="44"/>
  <c r="X8" i="44" s="1"/>
  <c r="S8" i="1" s="1"/>
  <c r="G8" i="44"/>
  <c r="F8" i="44"/>
  <c r="E8" i="44"/>
  <c r="J7" i="44"/>
  <c r="I7" i="44"/>
  <c r="AC7" i="44" s="1"/>
  <c r="T7" i="1" s="1"/>
  <c r="H7" i="44"/>
  <c r="G7" i="44"/>
  <c r="F7" i="44"/>
  <c r="E7" i="44"/>
  <c r="J6" i="44"/>
  <c r="I6" i="44"/>
  <c r="H6" i="44"/>
  <c r="X6" i="44" s="1"/>
  <c r="S6" i="1" s="1"/>
  <c r="G6" i="44"/>
  <c r="F6" i="44"/>
  <c r="E6" i="44"/>
  <c r="J5" i="44"/>
  <c r="I5" i="44"/>
  <c r="AC5" i="44" s="1"/>
  <c r="T5" i="1" s="1"/>
  <c r="H5" i="44"/>
  <c r="X5" i="44" s="1"/>
  <c r="S5" i="1" s="1"/>
  <c r="G5" i="44"/>
  <c r="F5" i="44"/>
  <c r="E5" i="44"/>
  <c r="C1" i="44"/>
  <c r="D1" i="44" s="1"/>
  <c r="E1" i="44" s="1"/>
  <c r="F1" i="44" s="1"/>
  <c r="G1" i="44" s="1"/>
  <c r="H1" i="44" s="1"/>
  <c r="I1" i="44" s="1"/>
  <c r="J1" i="44" s="1"/>
  <c r="K1" i="44" s="1"/>
  <c r="L1" i="44" s="1"/>
  <c r="M1" i="44" s="1"/>
  <c r="N1" i="44" s="1"/>
  <c r="O1" i="44" s="1"/>
  <c r="P1" i="44" s="1"/>
  <c r="Q1" i="44" s="1"/>
  <c r="R1" i="44" s="1"/>
  <c r="S1" i="44" s="1"/>
  <c r="T1" i="44" s="1"/>
  <c r="U1" i="44" s="1"/>
  <c r="V1" i="44" s="1"/>
  <c r="W1" i="44" s="1"/>
  <c r="X1" i="44" s="1"/>
  <c r="Y1" i="44" s="1"/>
  <c r="Z1" i="44" s="1"/>
  <c r="AA1" i="44" s="1"/>
  <c r="AB1" i="44" s="1"/>
  <c r="AC1" i="44" s="1"/>
  <c r="AD1" i="44" s="1"/>
  <c r="AE1" i="44" s="1"/>
  <c r="AF1" i="44" s="1"/>
  <c r="AG1" i="44" s="1"/>
  <c r="AH1" i="44" s="1"/>
  <c r="AI1" i="44" s="1"/>
  <c r="AJ1" i="44" s="1"/>
  <c r="AK1" i="44" s="1"/>
  <c r="AL1" i="44" s="1"/>
  <c r="AM1" i="44" s="1"/>
  <c r="AN1" i="44" s="1"/>
  <c r="X229" i="44" l="1"/>
  <c r="AH229" i="44" s="1"/>
  <c r="R229" i="1" s="1"/>
  <c r="Q218" i="44"/>
  <c r="AK171" i="44"/>
  <c r="R171" i="1"/>
  <c r="AE121" i="44"/>
  <c r="AD218" i="44"/>
  <c r="W246" i="44"/>
  <c r="U245" i="1"/>
  <c r="AO245" i="1" s="1"/>
  <c r="AA78" i="44"/>
  <c r="AK121" i="44"/>
  <c r="AI97" i="44"/>
  <c r="AD119" i="44"/>
  <c r="AK135" i="44"/>
  <c r="AI142" i="44"/>
  <c r="AD174" i="44"/>
  <c r="Y236" i="44"/>
  <c r="AA19" i="44"/>
  <c r="AF26" i="44"/>
  <c r="AD57" i="44"/>
  <c r="AA76" i="44"/>
  <c r="AJ83" i="44"/>
  <c r="AF126" i="44"/>
  <c r="AF140" i="44"/>
  <c r="AA164" i="44"/>
  <c r="V196" i="44"/>
  <c r="AA11" i="44"/>
  <c r="AD50" i="44"/>
  <c r="AA55" i="44"/>
  <c r="AI95" i="44"/>
  <c r="AF117" i="44"/>
  <c r="W150" i="44"/>
  <c r="AF152" i="44"/>
  <c r="AF169" i="44"/>
  <c r="AI177" i="44"/>
  <c r="AK210" i="44"/>
  <c r="R231" i="44"/>
  <c r="AD8" i="44"/>
  <c r="AI219" i="44"/>
  <c r="AA6" i="44"/>
  <c r="W19" i="44"/>
  <c r="Y26" i="44"/>
  <c r="AA33" i="44"/>
  <c r="AF64" i="44"/>
  <c r="AA88" i="44"/>
  <c r="Y126" i="44"/>
  <c r="AG147" i="44"/>
  <c r="W169" i="44"/>
  <c r="AA198" i="44"/>
  <c r="AJ21" i="44"/>
  <c r="AJ119" i="44"/>
  <c r="U138" i="44"/>
  <c r="AK186" i="44"/>
  <c r="Z17" i="44"/>
  <c r="Y62" i="44"/>
  <c r="AK38" i="44"/>
  <c r="AA43" i="44"/>
  <c r="V48" i="44"/>
  <c r="AK76" i="44"/>
  <c r="V91" i="44"/>
  <c r="AE105" i="44"/>
  <c r="AD138" i="44"/>
  <c r="AK152" i="44"/>
  <c r="AK169" i="44"/>
  <c r="AA172" i="44"/>
  <c r="U201" i="44"/>
  <c r="AL229" i="44"/>
  <c r="Y210" i="44"/>
  <c r="AF231" i="44"/>
  <c r="AK243" i="44"/>
  <c r="W55" i="44"/>
  <c r="AE133" i="44"/>
  <c r="AK224" i="44"/>
  <c r="Y29" i="44"/>
  <c r="AF36" i="44"/>
  <c r="U41" i="44"/>
  <c r="AI55" i="44"/>
  <c r="AK67" i="44"/>
  <c r="AL72" i="44"/>
  <c r="AF74" i="44"/>
  <c r="AF86" i="44"/>
  <c r="Y122" i="44"/>
  <c r="AK131" i="44"/>
  <c r="AF150" i="44"/>
  <c r="AF162" i="44"/>
  <c r="AF172" i="44"/>
  <c r="W187" i="44"/>
  <c r="AK208" i="44"/>
  <c r="AF227" i="44"/>
  <c r="V26" i="44"/>
  <c r="AK179" i="44"/>
  <c r="AK8" i="44"/>
  <c r="AJ28" i="44"/>
  <c r="Y133" i="44"/>
  <c r="AA140" i="44"/>
  <c r="V203" i="44"/>
  <c r="AI212" i="44"/>
  <c r="AJ52" i="44"/>
  <c r="V67" i="44"/>
  <c r="AK78" i="44"/>
  <c r="W93" i="44"/>
  <c r="V27" i="44"/>
  <c r="AA41" i="44"/>
  <c r="AD53" i="44"/>
  <c r="AF60" i="44"/>
  <c r="Y103" i="44"/>
  <c r="AI110" i="44"/>
  <c r="AF122" i="44"/>
  <c r="W127" i="44"/>
  <c r="AF129" i="44"/>
  <c r="AE136" i="44"/>
  <c r="Z155" i="44"/>
  <c r="AA167" i="44"/>
  <c r="V170" i="44"/>
  <c r="U178" i="44"/>
  <c r="AK189" i="44"/>
  <c r="V199" i="44"/>
  <c r="AD213" i="44"/>
  <c r="AF218" i="44"/>
  <c r="AI227" i="44"/>
  <c r="AD234" i="44"/>
  <c r="AI206" i="44"/>
  <c r="AK213" i="44"/>
  <c r="AF225" i="44"/>
  <c r="AI234" i="44"/>
  <c r="AK156" i="44"/>
  <c r="AI171" i="44"/>
  <c r="AI188" i="44"/>
  <c r="AJ72" i="44"/>
  <c r="Y108" i="44"/>
  <c r="AK129" i="44"/>
  <c r="AF167" i="44"/>
  <c r="AE7" i="44"/>
  <c r="AA39" i="44"/>
  <c r="AJ41" i="44"/>
  <c r="U56" i="44"/>
  <c r="AI65" i="44"/>
  <c r="AK72" i="44"/>
  <c r="AI84" i="44"/>
  <c r="AK113" i="44"/>
  <c r="AD113" i="1"/>
  <c r="AK120" i="44"/>
  <c r="AD134" i="44"/>
  <c r="AJ155" i="44"/>
  <c r="AF192" i="44"/>
  <c r="AA204" i="44"/>
  <c r="AD232" i="44"/>
  <c r="AF242" i="44"/>
  <c r="AK60" i="44"/>
  <c r="AK58" i="44"/>
  <c r="AK89" i="44"/>
  <c r="AE118" i="44"/>
  <c r="AA132" i="44"/>
  <c r="V144" i="44"/>
  <c r="V151" i="44"/>
  <c r="AD153" i="44"/>
  <c r="U181" i="44"/>
  <c r="AE185" i="44"/>
  <c r="AF204" i="44"/>
  <c r="AK211" i="44"/>
  <c r="AF216" i="44"/>
  <c r="V221" i="44"/>
  <c r="AF223" i="44"/>
  <c r="W228" i="44"/>
  <c r="U177" i="44"/>
  <c r="AE155" i="44"/>
  <c r="AK34" i="44"/>
  <c r="AF68" i="44"/>
  <c r="AK77" i="44"/>
  <c r="V92" i="44"/>
  <c r="AE101" i="44"/>
  <c r="AF111" i="44"/>
  <c r="AK118" i="44"/>
  <c r="AE125" i="44"/>
  <c r="AF132" i="44"/>
  <c r="AK146" i="44"/>
  <c r="AK153" i="44"/>
  <c r="AF158" i="44"/>
  <c r="W168" i="44"/>
  <c r="AD173" i="44"/>
  <c r="Y176" i="44"/>
  <c r="AK185" i="44"/>
  <c r="AJ204" i="44"/>
  <c r="AJ216" i="44"/>
  <c r="Z40" i="44"/>
  <c r="U77" i="44"/>
  <c r="AJ98" i="44"/>
  <c r="Y123" i="44"/>
  <c r="AK125" i="44"/>
  <c r="AK139" i="44"/>
  <c r="AI158" i="44"/>
  <c r="AE176" i="44"/>
  <c r="Y195" i="44"/>
  <c r="Z207" i="44"/>
  <c r="AK209" i="44"/>
  <c r="AF228" i="44"/>
  <c r="AD235" i="44"/>
  <c r="Y245" i="44"/>
  <c r="AF47" i="44"/>
  <c r="AF71" i="44"/>
  <c r="AE243" i="44"/>
  <c r="Y14" i="44"/>
  <c r="AK91" i="44"/>
  <c r="AA5" i="44"/>
  <c r="AD51" i="44"/>
  <c r="AA63" i="44"/>
  <c r="AD82" i="44"/>
  <c r="AA44" i="44"/>
  <c r="AK32" i="44"/>
  <c r="AE44" i="44"/>
  <c r="AI68" i="44"/>
  <c r="AF80" i="44"/>
  <c r="AB104" i="44"/>
  <c r="AE10" i="44"/>
  <c r="AE16" i="44"/>
  <c r="Z23" i="44"/>
  <c r="AD54" i="44"/>
  <c r="AA66" i="44"/>
  <c r="Z73" i="44"/>
  <c r="AI75" i="44"/>
  <c r="AK80" i="44"/>
  <c r="V90" i="44"/>
  <c r="AA104" i="44"/>
  <c r="Z114" i="44"/>
  <c r="AF130" i="44"/>
  <c r="W193" i="44"/>
  <c r="AD207" i="44"/>
  <c r="AA226" i="44"/>
  <c r="AJ228" i="44"/>
  <c r="AJ235" i="44"/>
  <c r="AF245" i="44"/>
  <c r="AE35" i="44"/>
  <c r="AF59" i="44"/>
  <c r="AE205" i="44"/>
  <c r="AD22" i="44"/>
  <c r="AI53" i="44"/>
  <c r="AF103" i="44"/>
  <c r="AJ14" i="44"/>
  <c r="AD18" i="44"/>
  <c r="AJ27" i="44"/>
  <c r="AK70" i="44"/>
  <c r="AF32" i="44"/>
  <c r="AK56" i="44"/>
  <c r="Z8" i="44"/>
  <c r="Y47" i="44"/>
  <c r="AI49" i="44"/>
  <c r="AK92" i="44"/>
  <c r="V102" i="44"/>
  <c r="AD121" i="44"/>
  <c r="AA128" i="44"/>
  <c r="Y135" i="44"/>
  <c r="AI137" i="44"/>
  <c r="AA142" i="44"/>
  <c r="W147" i="44"/>
  <c r="AE156" i="44"/>
  <c r="AI168" i="44"/>
  <c r="AD188" i="44"/>
  <c r="AF219" i="44"/>
  <c r="W224" i="44"/>
  <c r="AI238" i="44"/>
  <c r="AK204" i="44"/>
  <c r="AL52" i="44"/>
  <c r="AE207" i="44"/>
  <c r="AJ177" i="44"/>
  <c r="AK177" i="44"/>
  <c r="R8" i="44"/>
  <c r="AJ34" i="44"/>
  <c r="Z62" i="44"/>
  <c r="Y66" i="44"/>
  <c r="Y104" i="44"/>
  <c r="O138" i="44"/>
  <c r="U150" i="44"/>
  <c r="AI209" i="44"/>
  <c r="Q237" i="44"/>
  <c r="AF15" i="44"/>
  <c r="AE213" i="44"/>
  <c r="AD237" i="44"/>
  <c r="AI8" i="44"/>
  <c r="Z66" i="44"/>
  <c r="AJ8" i="44"/>
  <c r="AF213" i="44"/>
  <c r="AE223" i="44"/>
  <c r="AJ131" i="44"/>
  <c r="Q174" i="44"/>
  <c r="AD192" i="44"/>
  <c r="AE51" i="44"/>
  <c r="AL91" i="44"/>
  <c r="AE103" i="44"/>
  <c r="AI21" i="44"/>
  <c r="Y41" i="44"/>
  <c r="AF51" i="44"/>
  <c r="AJ189" i="44"/>
  <c r="AD225" i="44"/>
  <c r="Y8" i="44"/>
  <c r="Y76" i="44"/>
  <c r="AA103" i="44"/>
  <c r="AA126" i="44"/>
  <c r="AC163" i="44"/>
  <c r="T163" i="1" s="1"/>
  <c r="AK155" i="44"/>
  <c r="P163" i="44"/>
  <c r="X163" i="44"/>
  <c r="S163" i="1" s="1"/>
  <c r="P183" i="44"/>
  <c r="X183" i="44"/>
  <c r="S183" i="1" s="1"/>
  <c r="AA8" i="44"/>
  <c r="Z76" i="44"/>
  <c r="AE119" i="44"/>
  <c r="AD133" i="44"/>
  <c r="R163" i="44"/>
  <c r="AH163" i="44"/>
  <c r="R163" i="1" s="1"/>
  <c r="W199" i="44"/>
  <c r="AI229" i="44"/>
  <c r="P146" i="44"/>
  <c r="AF119" i="44"/>
  <c r="AD16" i="44"/>
  <c r="AD152" i="44"/>
  <c r="AA207" i="44"/>
  <c r="AJ97" i="44"/>
  <c r="AD132" i="44"/>
  <c r="R139" i="44"/>
  <c r="AL76" i="44"/>
  <c r="Y207" i="44"/>
  <c r="AF7" i="44"/>
  <c r="AI98" i="44"/>
  <c r="AF118" i="44"/>
  <c r="AE132" i="44"/>
  <c r="AJ139" i="44"/>
  <c r="Y44" i="44"/>
  <c r="Z126" i="44"/>
  <c r="AF35" i="44"/>
  <c r="R67" i="44"/>
  <c r="R52" i="44"/>
  <c r="AD10" i="44"/>
  <c r="AF18" i="44"/>
  <c r="AF10" i="44"/>
  <c r="AJ49" i="44"/>
  <c r="AJ56" i="44"/>
  <c r="AI91" i="44"/>
  <c r="AK98" i="44"/>
  <c r="AI118" i="44"/>
  <c r="AE147" i="44"/>
  <c r="AI156" i="44"/>
  <c r="AE183" i="44"/>
  <c r="AE192" i="44"/>
  <c r="AJ209" i="44"/>
  <c r="O229" i="44"/>
  <c r="U229" i="1"/>
  <c r="V41" i="44"/>
  <c r="AE18" i="44"/>
  <c r="AI56" i="44"/>
  <c r="AA26" i="44"/>
  <c r="AK49" i="44"/>
  <c r="AJ91" i="44"/>
  <c r="AI131" i="44"/>
  <c r="AJ156" i="44"/>
  <c r="Q158" i="44"/>
  <c r="AD162" i="44"/>
  <c r="Q167" i="44"/>
  <c r="AI204" i="44"/>
  <c r="AL8" i="44"/>
  <c r="AK97" i="44"/>
  <c r="AD122" i="44"/>
  <c r="AI155" i="44"/>
  <c r="O163" i="44"/>
  <c r="T163" i="44"/>
  <c r="U163" i="1" s="1"/>
  <c r="T183" i="44"/>
  <c r="U183" i="1" s="1"/>
  <c r="AI189" i="44"/>
  <c r="M207" i="44"/>
  <c r="Q225" i="44"/>
  <c r="T229" i="1"/>
  <c r="M17" i="44"/>
  <c r="AE32" i="44"/>
  <c r="AI89" i="44"/>
  <c r="AI129" i="44"/>
  <c r="AI146" i="44"/>
  <c r="AD169" i="44"/>
  <c r="AJ183" i="44"/>
  <c r="AE218" i="44"/>
  <c r="AD227" i="44"/>
  <c r="AI235" i="44"/>
  <c r="AA23" i="44"/>
  <c r="P17" i="44"/>
  <c r="Q7" i="44"/>
  <c r="AA17" i="44"/>
  <c r="AI32" i="44"/>
  <c r="K34" i="44"/>
  <c r="U48" i="44"/>
  <c r="AE53" i="44"/>
  <c r="AJ58" i="44"/>
  <c r="AI77" i="44"/>
  <c r="AJ89" i="44"/>
  <c r="AJ92" i="44"/>
  <c r="Q101" i="44"/>
  <c r="Z104" i="44"/>
  <c r="AI119" i="44"/>
  <c r="AJ129" i="44"/>
  <c r="AJ146" i="44"/>
  <c r="AE169" i="44"/>
  <c r="AL198" i="44"/>
  <c r="AL207" i="44"/>
  <c r="AJ227" i="44"/>
  <c r="AE237" i="44"/>
  <c r="T232" i="44"/>
  <c r="U232" i="1" s="1"/>
  <c r="AJ18" i="44"/>
  <c r="AD7" i="44"/>
  <c r="AJ32" i="44"/>
  <c r="AD71" i="44"/>
  <c r="Q74" i="44"/>
  <c r="AJ77" i="44"/>
  <c r="Z103" i="44"/>
  <c r="AK119" i="44"/>
  <c r="AJ171" i="44"/>
  <c r="P185" i="44"/>
  <c r="Z198" i="44"/>
  <c r="P207" i="44"/>
  <c r="AK227" i="44"/>
  <c r="T241" i="44"/>
  <c r="U240" i="1" s="1"/>
  <c r="T245" i="44"/>
  <c r="U244" i="1" s="1"/>
  <c r="AI38" i="44"/>
  <c r="O26" i="44"/>
  <c r="W27" i="44"/>
  <c r="AJ38" i="44"/>
  <c r="Z41" i="44"/>
  <c r="AD126" i="44"/>
  <c r="O150" i="44"/>
  <c r="AE153" i="44"/>
  <c r="K158" i="44"/>
  <c r="AJ168" i="44"/>
  <c r="AD68" i="44"/>
  <c r="P73" i="44"/>
  <c r="AD117" i="44"/>
  <c r="AK168" i="44"/>
  <c r="AJ234" i="44"/>
  <c r="AI14" i="44"/>
  <c r="Y19" i="44"/>
  <c r="P40" i="44"/>
  <c r="AK52" i="44"/>
  <c r="AE68" i="44"/>
  <c r="AE117" i="44"/>
  <c r="AI125" i="44"/>
  <c r="AD150" i="44"/>
  <c r="AD158" i="44"/>
  <c r="K167" i="44"/>
  <c r="AI207" i="44"/>
  <c r="AI210" i="44"/>
  <c r="AD223" i="44"/>
  <c r="AD231" i="44"/>
  <c r="X181" i="44"/>
  <c r="S181" i="1" s="1"/>
  <c r="Z19" i="44"/>
  <c r="Y40" i="44"/>
  <c r="AE54" i="44"/>
  <c r="W90" i="44"/>
  <c r="AE138" i="44"/>
  <c r="AE150" i="44"/>
  <c r="AE158" i="44"/>
  <c r="AJ207" i="44"/>
  <c r="AJ210" i="44"/>
  <c r="AE231" i="44"/>
  <c r="Q26" i="44"/>
  <c r="AA18" i="44"/>
  <c r="AD26" i="44"/>
  <c r="M28" i="44"/>
  <c r="AI72" i="44"/>
  <c r="Z133" i="44"/>
  <c r="Y172" i="44"/>
  <c r="AF183" i="44"/>
  <c r="U199" i="44"/>
  <c r="AK207" i="44"/>
  <c r="AJ238" i="44"/>
  <c r="Z172" i="44"/>
  <c r="O203" i="44"/>
  <c r="AK238" i="44"/>
  <c r="AE26" i="44"/>
  <c r="U203" i="44"/>
  <c r="T153" i="44"/>
  <c r="U153" i="1" s="1"/>
  <c r="O153" i="44"/>
  <c r="AD61" i="44"/>
  <c r="AF61" i="44"/>
  <c r="AE143" i="44"/>
  <c r="AF143" i="44"/>
  <c r="AD143" i="44"/>
  <c r="AF226" i="44"/>
  <c r="AE226" i="44"/>
  <c r="AD226" i="44"/>
  <c r="X160" i="44"/>
  <c r="S160" i="1" s="1"/>
  <c r="P160" i="44"/>
  <c r="AA174" i="44"/>
  <c r="Z174" i="44"/>
  <c r="Y174" i="44"/>
  <c r="AL40" i="44"/>
  <c r="AI40" i="44"/>
  <c r="T11" i="44"/>
  <c r="U11" i="1" s="1"/>
  <c r="O11" i="44"/>
  <c r="AF5" i="44"/>
  <c r="AE5" i="44"/>
  <c r="T121" i="44"/>
  <c r="U121" i="1" s="1"/>
  <c r="O121" i="44"/>
  <c r="AD135" i="44"/>
  <c r="AE135" i="44"/>
  <c r="AF135" i="44"/>
  <c r="AH66" i="44"/>
  <c r="R66" i="1" s="1"/>
  <c r="R66" i="44"/>
  <c r="AJ110" i="44"/>
  <c r="O222" i="44"/>
  <c r="T222" i="44"/>
  <c r="U222" i="1" s="1"/>
  <c r="T128" i="44"/>
  <c r="U128" i="1" s="1"/>
  <c r="O128" i="44"/>
  <c r="AK149" i="44"/>
  <c r="AJ149" i="44"/>
  <c r="AI149" i="44"/>
  <c r="AE43" i="44"/>
  <c r="AD43" i="44"/>
  <c r="AD123" i="44"/>
  <c r="AE123" i="44"/>
  <c r="AI25" i="44"/>
  <c r="AJ25" i="44"/>
  <c r="AK137" i="44"/>
  <c r="AJ137" i="44"/>
  <c r="T8" i="44"/>
  <c r="U8" i="1" s="1"/>
  <c r="O8" i="44"/>
  <c r="AJ29" i="44"/>
  <c r="AI29" i="44"/>
  <c r="T33" i="44"/>
  <c r="U33" i="1" s="1"/>
  <c r="O33" i="44"/>
  <c r="AF84" i="44"/>
  <c r="AE84" i="44"/>
  <c r="AD84" i="44"/>
  <c r="Z136" i="44"/>
  <c r="Y136" i="44"/>
  <c r="AA136" i="44"/>
  <c r="T233" i="44"/>
  <c r="U233" i="1" s="1"/>
  <c r="AI34" i="44"/>
  <c r="AI58" i="44"/>
  <c r="R75" i="44"/>
  <c r="AL186" i="44"/>
  <c r="AK234" i="44"/>
  <c r="T234" i="44"/>
  <c r="U234" i="1" s="1"/>
  <c r="X209" i="44"/>
  <c r="S209" i="1" s="1"/>
  <c r="AD36" i="44"/>
  <c r="AB170" i="44"/>
  <c r="O244" i="44"/>
  <c r="P5" i="44"/>
  <c r="AL14" i="44"/>
  <c r="AF16" i="44"/>
  <c r="AB19" i="44"/>
  <c r="AE47" i="44"/>
  <c r="AI60" i="44"/>
  <c r="Y63" i="44"/>
  <c r="Y78" i="44"/>
  <c r="AJ179" i="44"/>
  <c r="AI186" i="44"/>
  <c r="AI198" i="44"/>
  <c r="Q216" i="44"/>
  <c r="AE225" i="44"/>
  <c r="T172" i="44"/>
  <c r="U172" i="1" s="1"/>
  <c r="X233" i="44"/>
  <c r="S233" i="1" s="1"/>
  <c r="AD47" i="44"/>
  <c r="R60" i="44"/>
  <c r="AE71" i="44"/>
  <c r="AI179" i="44"/>
  <c r="AE36" i="44"/>
  <c r="Y39" i="44"/>
  <c r="AD74" i="44"/>
  <c r="AI83" i="44"/>
  <c r="AD86" i="44"/>
  <c r="AL88" i="44"/>
  <c r="AF105" i="44"/>
  <c r="Y114" i="44"/>
  <c r="R120" i="44"/>
  <c r="AF121" i="44"/>
  <c r="AE122" i="44"/>
  <c r="AJ125" i="44"/>
  <c r="AE152" i="44"/>
  <c r="AF153" i="44"/>
  <c r="AE162" i="44"/>
  <c r="Z176" i="44"/>
  <c r="Z5" i="44"/>
  <c r="AE22" i="44"/>
  <c r="AK28" i="44"/>
  <c r="AL55" i="44"/>
  <c r="R56" i="44"/>
  <c r="O57" i="44"/>
  <c r="AJ60" i="44"/>
  <c r="Z63" i="44"/>
  <c r="AE74" i="44"/>
  <c r="Z78" i="44"/>
  <c r="AK83" i="44"/>
  <c r="AE86" i="44"/>
  <c r="Y88" i="44"/>
  <c r="O91" i="44"/>
  <c r="W92" i="44"/>
  <c r="AD111" i="44"/>
  <c r="AI120" i="44"/>
  <c r="AI121" i="44"/>
  <c r="AD129" i="44"/>
  <c r="AD130" i="44"/>
  <c r="AI135" i="44"/>
  <c r="AD140" i="44"/>
  <c r="AI153" i="44"/>
  <c r="AD167" i="44"/>
  <c r="AF174" i="44"/>
  <c r="AA176" i="44"/>
  <c r="AD185" i="44"/>
  <c r="AE188" i="44"/>
  <c r="AL210" i="44"/>
  <c r="AI211" i="44"/>
  <c r="AD216" i="44"/>
  <c r="AE219" i="44"/>
  <c r="T173" i="44"/>
  <c r="U173" i="1" s="1"/>
  <c r="T247" i="44"/>
  <c r="U246" i="1" s="1"/>
  <c r="X234" i="44"/>
  <c r="S234" i="1" s="1"/>
  <c r="V56" i="44"/>
  <c r="V77" i="44"/>
  <c r="AI78" i="44"/>
  <c r="Z88" i="44"/>
  <c r="U91" i="44"/>
  <c r="AE111" i="44"/>
  <c r="AJ120" i="44"/>
  <c r="AJ121" i="44"/>
  <c r="AE129" i="44"/>
  <c r="AE130" i="44"/>
  <c r="AJ135" i="44"/>
  <c r="AI152" i="44"/>
  <c r="P155" i="44"/>
  <c r="AD156" i="44"/>
  <c r="Z164" i="44"/>
  <c r="AE167" i="44"/>
  <c r="W170" i="44"/>
  <c r="AD176" i="44"/>
  <c r="AF185" i="44"/>
  <c r="AJ188" i="44"/>
  <c r="U193" i="44"/>
  <c r="AF205" i="44"/>
  <c r="Z210" i="44"/>
  <c r="AJ211" i="44"/>
  <c r="AE216" i="44"/>
  <c r="AJ219" i="44"/>
  <c r="O224" i="44"/>
  <c r="O228" i="44"/>
  <c r="Q243" i="44"/>
  <c r="X138" i="44"/>
  <c r="S138" i="1" s="1"/>
  <c r="P39" i="44"/>
  <c r="AF53" i="44"/>
  <c r="L8" i="44"/>
  <c r="AF22" i="44"/>
  <c r="M49" i="44"/>
  <c r="V55" i="44"/>
  <c r="AF57" i="44"/>
  <c r="M8" i="44"/>
  <c r="P49" i="44"/>
  <c r="Y55" i="44"/>
  <c r="W56" i="44"/>
  <c r="W77" i="44"/>
  <c r="AJ78" i="44"/>
  <c r="AI80" i="44"/>
  <c r="AI113" i="44"/>
  <c r="Y128" i="44"/>
  <c r="U147" i="44"/>
  <c r="AJ152" i="44"/>
  <c r="Y170" i="44"/>
  <c r="AI185" i="44"/>
  <c r="AK188" i="44"/>
  <c r="V193" i="44"/>
  <c r="AA210" i="44"/>
  <c r="AK219" i="44"/>
  <c r="U224" i="44"/>
  <c r="R238" i="44"/>
  <c r="AD243" i="44"/>
  <c r="T208" i="44"/>
  <c r="U208" i="1" s="1"/>
  <c r="AK14" i="44"/>
  <c r="AK15" i="44"/>
  <c r="AD32" i="44"/>
  <c r="Z55" i="44"/>
  <c r="AE82" i="44"/>
  <c r="AJ113" i="44"/>
  <c r="AD118" i="44"/>
  <c r="Z128" i="44"/>
  <c r="V147" i="44"/>
  <c r="AD155" i="44"/>
  <c r="AJ185" i="44"/>
  <c r="AB199" i="44"/>
  <c r="R204" i="44"/>
  <c r="W221" i="44"/>
  <c r="AD228" i="44"/>
  <c r="X247" i="44"/>
  <c r="S246" i="1" s="1"/>
  <c r="P8" i="44"/>
  <c r="P41" i="44"/>
  <c r="AF82" i="44"/>
  <c r="AE204" i="44"/>
  <c r="AE228" i="44"/>
  <c r="X248" i="44"/>
  <c r="S247" i="1" s="1"/>
  <c r="R17" i="44"/>
  <c r="AH17" i="44"/>
  <c r="R17" i="1" s="1"/>
  <c r="AF33" i="44"/>
  <c r="AE33" i="44"/>
  <c r="AD33" i="44"/>
  <c r="O16" i="44"/>
  <c r="T16" i="44"/>
  <c r="U16" i="1" s="1"/>
  <c r="K12" i="44"/>
  <c r="AC12" i="44"/>
  <c r="T12" i="1" s="1"/>
  <c r="M20" i="44"/>
  <c r="T20" i="44"/>
  <c r="U20" i="1" s="1"/>
  <c r="AF13" i="44"/>
  <c r="AE13" i="44"/>
  <c r="AD13" i="44"/>
  <c r="T14" i="44"/>
  <c r="U14" i="1" s="1"/>
  <c r="O14" i="44"/>
  <c r="O6" i="44"/>
  <c r="T6" i="44"/>
  <c r="U6" i="1" s="1"/>
  <c r="O35" i="44"/>
  <c r="T35" i="44"/>
  <c r="U35" i="1" s="1"/>
  <c r="P64" i="44"/>
  <c r="X64" i="44"/>
  <c r="S64" i="1" s="1"/>
  <c r="AK68" i="44"/>
  <c r="R82" i="44"/>
  <c r="AH82" i="44"/>
  <c r="R82" i="1" s="1"/>
  <c r="R9" i="44"/>
  <c r="AH9" i="44"/>
  <c r="R9" i="1" s="1"/>
  <c r="Y16" i="44"/>
  <c r="P21" i="44"/>
  <c r="X21" i="44"/>
  <c r="S21" i="1" s="1"/>
  <c r="Q23" i="44"/>
  <c r="AC23" i="44"/>
  <c r="T23" i="1" s="1"/>
  <c r="P24" i="44"/>
  <c r="X24" i="44"/>
  <c r="S24" i="1" s="1"/>
  <c r="O25" i="44"/>
  <c r="T25" i="44"/>
  <c r="U25" i="1" s="1"/>
  <c r="AG26" i="44"/>
  <c r="O28" i="44"/>
  <c r="T28" i="44"/>
  <c r="U28" i="1" s="1"/>
  <c r="R39" i="44"/>
  <c r="AH39" i="44"/>
  <c r="R39" i="1" s="1"/>
  <c r="Q41" i="44"/>
  <c r="AC41" i="44"/>
  <c r="T41" i="1" s="1"/>
  <c r="AK41" i="44"/>
  <c r="AH48" i="44"/>
  <c r="R48" i="1" s="1"/>
  <c r="R48" i="44"/>
  <c r="AF50" i="44"/>
  <c r="O52" i="44"/>
  <c r="T52" i="44"/>
  <c r="U52" i="1" s="1"/>
  <c r="P56" i="44"/>
  <c r="X56" i="44"/>
  <c r="S56" i="1" s="1"/>
  <c r="AE57" i="44"/>
  <c r="Q63" i="44"/>
  <c r="AC63" i="44"/>
  <c r="T63" i="1" s="1"/>
  <c r="Q65" i="44"/>
  <c r="AC65" i="44"/>
  <c r="T65" i="1" s="1"/>
  <c r="O66" i="44"/>
  <c r="T66" i="44"/>
  <c r="U66" i="1" s="1"/>
  <c r="W67" i="44"/>
  <c r="Q83" i="44"/>
  <c r="AC83" i="44"/>
  <c r="T83" i="1" s="1"/>
  <c r="AK88" i="44"/>
  <c r="AK94" i="44"/>
  <c r="AJ94" i="44"/>
  <c r="AI94" i="44"/>
  <c r="L109" i="44"/>
  <c r="AH109" i="44"/>
  <c r="R109" i="1" s="1"/>
  <c r="O143" i="44"/>
  <c r="T143" i="44"/>
  <c r="U143" i="1" s="1"/>
  <c r="R12" i="44"/>
  <c r="AH12" i="44"/>
  <c r="R12" i="1" s="1"/>
  <c r="R10" i="44"/>
  <c r="AH10" i="44"/>
  <c r="R10" i="1" s="1"/>
  <c r="O17" i="44"/>
  <c r="T17" i="44"/>
  <c r="U17" i="1" s="1"/>
  <c r="R22" i="44"/>
  <c r="AH22" i="44"/>
  <c r="R22" i="1" s="1"/>
  <c r="Q24" i="44"/>
  <c r="AC24" i="44"/>
  <c r="T24" i="1" s="1"/>
  <c r="P28" i="44"/>
  <c r="X28" i="44"/>
  <c r="S28" i="1" s="1"/>
  <c r="AA52" i="44"/>
  <c r="Y52" i="44"/>
  <c r="R54" i="44"/>
  <c r="AH54" i="44"/>
  <c r="R54" i="1" s="1"/>
  <c r="Q56" i="44"/>
  <c r="AC56" i="44"/>
  <c r="T56" i="1" s="1"/>
  <c r="R63" i="44"/>
  <c r="AH63" i="44"/>
  <c r="R63" i="1" s="1"/>
  <c r="AD64" i="44"/>
  <c r="O68" i="44"/>
  <c r="T68" i="44"/>
  <c r="U68" i="1" s="1"/>
  <c r="AF78" i="44"/>
  <c r="AE78" i="44"/>
  <c r="O88" i="44"/>
  <c r="T88" i="44"/>
  <c r="U88" i="1" s="1"/>
  <c r="AI116" i="44"/>
  <c r="AJ116" i="44"/>
  <c r="AK116" i="44"/>
  <c r="AF141" i="44"/>
  <c r="AE141" i="44"/>
  <c r="AD141" i="44"/>
  <c r="P143" i="44"/>
  <c r="X143" i="44"/>
  <c r="S143" i="1" s="1"/>
  <c r="AK159" i="44"/>
  <c r="AJ159" i="44"/>
  <c r="AI159" i="44"/>
  <c r="R79" i="44"/>
  <c r="AH79" i="44"/>
  <c r="R79" i="1" s="1"/>
  <c r="AJ40" i="44"/>
  <c r="AF8" i="44"/>
  <c r="V15" i="44"/>
  <c r="Z16" i="44"/>
  <c r="U19" i="44"/>
  <c r="Q21" i="44"/>
  <c r="AC21" i="44"/>
  <c r="T21" i="1" s="1"/>
  <c r="R23" i="44"/>
  <c r="AH23" i="44"/>
  <c r="R23" i="1" s="1"/>
  <c r="O31" i="44"/>
  <c r="T31" i="44"/>
  <c r="U31" i="1" s="1"/>
  <c r="AD44" i="44"/>
  <c r="O12" i="44"/>
  <c r="T12" i="44"/>
  <c r="U12" i="1" s="1"/>
  <c r="O13" i="44"/>
  <c r="T13" i="44"/>
  <c r="U13" i="1" s="1"/>
  <c r="AA16" i="44"/>
  <c r="V19" i="44"/>
  <c r="R24" i="44"/>
  <c r="AH24" i="44"/>
  <c r="R24" i="1" s="1"/>
  <c r="Q28" i="44"/>
  <c r="AC28" i="44"/>
  <c r="T28" i="1" s="1"/>
  <c r="AI28" i="44"/>
  <c r="P31" i="44"/>
  <c r="X31" i="44"/>
  <c r="S31" i="1" s="1"/>
  <c r="O40" i="44"/>
  <c r="T40" i="44"/>
  <c r="U40" i="1" s="1"/>
  <c r="AO40" i="1" s="1"/>
  <c r="Y43" i="44"/>
  <c r="AF44" i="44"/>
  <c r="Q49" i="44"/>
  <c r="AC49" i="44"/>
  <c r="T49" i="1" s="1"/>
  <c r="Q52" i="44"/>
  <c r="AC52" i="44"/>
  <c r="T52" i="1" s="1"/>
  <c r="AI52" i="44"/>
  <c r="AB55" i="44"/>
  <c r="AE64" i="44"/>
  <c r="Q66" i="44"/>
  <c r="AC66" i="44"/>
  <c r="T66" i="1" s="1"/>
  <c r="AI70" i="44"/>
  <c r="AF75" i="44"/>
  <c r="AE75" i="44"/>
  <c r="O76" i="44"/>
  <c r="T76" i="44"/>
  <c r="U76" i="1" s="1"/>
  <c r="AI76" i="44"/>
  <c r="AL78" i="44"/>
  <c r="Y79" i="44"/>
  <c r="P87" i="44"/>
  <c r="X87" i="44"/>
  <c r="S87" i="1" s="1"/>
  <c r="Z91" i="44"/>
  <c r="Y91" i="44"/>
  <c r="AA91" i="44"/>
  <c r="AK100" i="44"/>
  <c r="AI100" i="44"/>
  <c r="AL100" i="44"/>
  <c r="AJ100" i="44"/>
  <c r="O108" i="44"/>
  <c r="T108" i="44"/>
  <c r="U108" i="1" s="1"/>
  <c r="P95" i="44"/>
  <c r="X95" i="44"/>
  <c r="S95" i="1" s="1"/>
  <c r="R13" i="44"/>
  <c r="AH13" i="44"/>
  <c r="R13" i="1" s="1"/>
  <c r="R7" i="44"/>
  <c r="AH7" i="44"/>
  <c r="R7" i="1" s="1"/>
  <c r="AE8" i="44"/>
  <c r="R11" i="44"/>
  <c r="AH11" i="44"/>
  <c r="R11" i="1" s="1"/>
  <c r="Y5" i="44"/>
  <c r="Q8" i="44"/>
  <c r="P12" i="44"/>
  <c r="X12" i="44"/>
  <c r="S12" i="1" s="1"/>
  <c r="P13" i="44"/>
  <c r="X13" i="44"/>
  <c r="S13" i="1" s="1"/>
  <c r="Q17" i="44"/>
  <c r="AC17" i="44"/>
  <c r="T17" i="1" s="1"/>
  <c r="R26" i="44"/>
  <c r="AH26" i="44"/>
  <c r="R26" i="1" s="1"/>
  <c r="O34" i="44"/>
  <c r="T34" i="44"/>
  <c r="U34" i="1" s="1"/>
  <c r="R41" i="44"/>
  <c r="U42" i="44"/>
  <c r="V42" i="44"/>
  <c r="Z43" i="44"/>
  <c r="O60" i="44"/>
  <c r="T60" i="44"/>
  <c r="U60" i="1" s="1"/>
  <c r="K64" i="44"/>
  <c r="T64" i="44"/>
  <c r="U64" i="1" s="1"/>
  <c r="AJ68" i="44"/>
  <c r="AJ70" i="44"/>
  <c r="AJ76" i="44"/>
  <c r="P80" i="44"/>
  <c r="X80" i="44"/>
  <c r="S80" i="1" s="1"/>
  <c r="O86" i="44"/>
  <c r="T86" i="44"/>
  <c r="U86" i="1" s="1"/>
  <c r="Q87" i="44"/>
  <c r="AC87" i="44"/>
  <c r="T87" i="1" s="1"/>
  <c r="Q91" i="44"/>
  <c r="AC91" i="44"/>
  <c r="T91" i="1" s="1"/>
  <c r="Y102" i="44"/>
  <c r="AB102" i="44"/>
  <c r="AA102" i="44"/>
  <c r="Z102" i="44"/>
  <c r="Q40" i="44"/>
  <c r="AC40" i="44"/>
  <c r="AJ88" i="44"/>
  <c r="AI88" i="44"/>
  <c r="Q93" i="44"/>
  <c r="AC93" i="44"/>
  <c r="T93" i="1" s="1"/>
  <c r="Q102" i="44"/>
  <c r="AC102" i="44"/>
  <c r="T102" i="1" s="1"/>
  <c r="P20" i="44"/>
  <c r="X20" i="44"/>
  <c r="S20" i="1" s="1"/>
  <c r="P35" i="44"/>
  <c r="X35" i="44"/>
  <c r="S35" i="1" s="1"/>
  <c r="Q42" i="44"/>
  <c r="AC42" i="44"/>
  <c r="T42" i="1" s="1"/>
  <c r="P59" i="44"/>
  <c r="X59" i="44"/>
  <c r="S59" i="1" s="1"/>
  <c r="R93" i="44"/>
  <c r="AH93" i="44"/>
  <c r="R93" i="1" s="1"/>
  <c r="Q95" i="44"/>
  <c r="AC95" i="44"/>
  <c r="T95" i="1" s="1"/>
  <c r="L108" i="44"/>
  <c r="AH108" i="44"/>
  <c r="R108" i="1" s="1"/>
  <c r="AA115" i="44"/>
  <c r="Z115" i="44"/>
  <c r="Y115" i="44"/>
  <c r="AB115" i="44"/>
  <c r="Q6" i="44"/>
  <c r="AC6" i="44"/>
  <c r="T6" i="1" s="1"/>
  <c r="K14" i="44"/>
  <c r="AC14" i="44"/>
  <c r="T14" i="1" s="1"/>
  <c r="Q20" i="44"/>
  <c r="AC20" i="44"/>
  <c r="T20" i="1" s="1"/>
  <c r="W26" i="44"/>
  <c r="Z37" i="44"/>
  <c r="AA37" i="44"/>
  <c r="AK40" i="44"/>
  <c r="R42" i="44"/>
  <c r="AH42" i="44"/>
  <c r="R42" i="1" s="1"/>
  <c r="AF43" i="44"/>
  <c r="O46" i="44"/>
  <c r="T46" i="44"/>
  <c r="U46" i="1" s="1"/>
  <c r="R50" i="44"/>
  <c r="AH50" i="44"/>
  <c r="R50" i="1" s="1"/>
  <c r="O51" i="44"/>
  <c r="T51" i="44"/>
  <c r="U51" i="1" s="1"/>
  <c r="AJ55" i="44"/>
  <c r="O58" i="44"/>
  <c r="T58" i="44"/>
  <c r="U58" i="1" s="1"/>
  <c r="O61" i="44"/>
  <c r="T61" i="44"/>
  <c r="U61" i="1" s="1"/>
  <c r="O62" i="44"/>
  <c r="T62" i="44"/>
  <c r="U62" i="1" s="1"/>
  <c r="R64" i="44"/>
  <c r="AH64" i="44"/>
  <c r="R64" i="1" s="1"/>
  <c r="P67" i="44"/>
  <c r="X67" i="44"/>
  <c r="S67" i="1" s="1"/>
  <c r="O70" i="44"/>
  <c r="T70" i="44"/>
  <c r="U70" i="1" s="1"/>
  <c r="O71" i="44"/>
  <c r="T71" i="44"/>
  <c r="U71" i="1" s="1"/>
  <c r="Q81" i="44"/>
  <c r="AC81" i="44"/>
  <c r="T81" i="1" s="1"/>
  <c r="AJ86" i="44"/>
  <c r="AI86" i="44"/>
  <c r="O112" i="44"/>
  <c r="T112" i="44"/>
  <c r="U112" i="1" s="1"/>
  <c r="AD5" i="44"/>
  <c r="R6" i="44"/>
  <c r="AH6" i="44"/>
  <c r="R6" i="1" s="1"/>
  <c r="AE15" i="44"/>
  <c r="L16" i="44"/>
  <c r="AH16" i="44"/>
  <c r="R16" i="1" s="1"/>
  <c r="R20" i="44"/>
  <c r="AH20" i="44"/>
  <c r="R20" i="1" s="1"/>
  <c r="AK21" i="44"/>
  <c r="P27" i="44"/>
  <c r="X27" i="44"/>
  <c r="S27" i="1" s="1"/>
  <c r="P33" i="44"/>
  <c r="Q37" i="44"/>
  <c r="AC37" i="44"/>
  <c r="T37" i="1" s="1"/>
  <c r="O38" i="44"/>
  <c r="T38" i="44"/>
  <c r="U38" i="1" s="1"/>
  <c r="O43" i="44"/>
  <c r="T43" i="44"/>
  <c r="U43" i="1" s="1"/>
  <c r="X46" i="44"/>
  <c r="S46" i="1" s="1"/>
  <c r="M46" i="44"/>
  <c r="Q50" i="44"/>
  <c r="L51" i="44"/>
  <c r="X51" i="44"/>
  <c r="S51" i="1" s="1"/>
  <c r="AF54" i="44"/>
  <c r="O55" i="44"/>
  <c r="AK55" i="44"/>
  <c r="P58" i="44"/>
  <c r="X58" i="44"/>
  <c r="S58" i="1" s="1"/>
  <c r="R59" i="44"/>
  <c r="AH59" i="44"/>
  <c r="R59" i="1" s="1"/>
  <c r="Q60" i="44"/>
  <c r="Q64" i="44"/>
  <c r="AJ65" i="44"/>
  <c r="Q67" i="44"/>
  <c r="AC67" i="44"/>
  <c r="T67" i="1" s="1"/>
  <c r="AI67" i="44"/>
  <c r="O72" i="44"/>
  <c r="T72" i="44"/>
  <c r="U72" i="1" s="1"/>
  <c r="K73" i="44"/>
  <c r="T73" i="44"/>
  <c r="U73" i="1" s="1"/>
  <c r="Y75" i="44"/>
  <c r="Z79" i="44"/>
  <c r="R81" i="44"/>
  <c r="AH81" i="44"/>
  <c r="R81" i="1" s="1"/>
  <c r="O85" i="44"/>
  <c r="T85" i="44"/>
  <c r="U85" i="1" s="1"/>
  <c r="P86" i="44"/>
  <c r="AB91" i="44"/>
  <c r="AC194" i="44"/>
  <c r="T194" i="1" s="1"/>
  <c r="Q194" i="44"/>
  <c r="K194" i="44"/>
  <c r="P34" i="44"/>
  <c r="X34" i="44"/>
  <c r="S34" i="1" s="1"/>
  <c r="O59" i="44"/>
  <c r="T59" i="44"/>
  <c r="U59" i="1" s="1"/>
  <c r="Q92" i="44"/>
  <c r="AC92" i="44"/>
  <c r="T92" i="1" s="1"/>
  <c r="L20" i="44"/>
  <c r="O29" i="44"/>
  <c r="T29" i="44"/>
  <c r="U29" i="1" s="1"/>
  <c r="O30" i="44"/>
  <c r="T30" i="44"/>
  <c r="U30" i="1" s="1"/>
  <c r="O32" i="44"/>
  <c r="T32" i="44"/>
  <c r="U32" i="1" s="1"/>
  <c r="M34" i="44"/>
  <c r="M35" i="44"/>
  <c r="R36" i="44"/>
  <c r="AH36" i="44"/>
  <c r="R36" i="1" s="1"/>
  <c r="R37" i="44"/>
  <c r="AH37" i="44"/>
  <c r="R37" i="1" s="1"/>
  <c r="M38" i="44"/>
  <c r="X38" i="44"/>
  <c r="S38" i="1" s="1"/>
  <c r="Q46" i="44"/>
  <c r="AC46" i="44"/>
  <c r="T46" i="1" s="1"/>
  <c r="Z52" i="44"/>
  <c r="U55" i="44"/>
  <c r="P57" i="44"/>
  <c r="X57" i="44"/>
  <c r="S57" i="1" s="1"/>
  <c r="Q58" i="44"/>
  <c r="AC58" i="44"/>
  <c r="T58" i="1" s="1"/>
  <c r="AD59" i="44"/>
  <c r="Q62" i="44"/>
  <c r="AC62" i="44"/>
  <c r="T62" i="1" s="1"/>
  <c r="AK65" i="44"/>
  <c r="AJ67" i="44"/>
  <c r="O69" i="44"/>
  <c r="T69" i="44"/>
  <c r="U69" i="1" s="1"/>
  <c r="K70" i="44"/>
  <c r="AC70" i="44"/>
  <c r="T70" i="1" s="1"/>
  <c r="Q70" i="44"/>
  <c r="AD75" i="44"/>
  <c r="P77" i="44"/>
  <c r="X77" i="44"/>
  <c r="S77" i="1" s="1"/>
  <c r="AD78" i="44"/>
  <c r="AA79" i="44"/>
  <c r="O84" i="44"/>
  <c r="T84" i="44"/>
  <c r="U84" i="1" s="1"/>
  <c r="P101" i="44"/>
  <c r="X101" i="44"/>
  <c r="S101" i="1" s="1"/>
  <c r="AD112" i="44"/>
  <c r="AE112" i="44"/>
  <c r="AF112" i="44"/>
  <c r="AD191" i="44"/>
  <c r="AF191" i="44"/>
  <c r="AE191" i="44"/>
  <c r="P42" i="44"/>
  <c r="X42" i="44"/>
  <c r="S42" i="1" s="1"/>
  <c r="P60" i="44"/>
  <c r="X60" i="44"/>
  <c r="S60" i="1" s="1"/>
  <c r="R33" i="44"/>
  <c r="AH33" i="44"/>
  <c r="R33" i="1" s="1"/>
  <c r="O5" i="44"/>
  <c r="T5" i="44"/>
  <c r="U5" i="1" s="1"/>
  <c r="P16" i="44"/>
  <c r="O7" i="44"/>
  <c r="T7" i="44"/>
  <c r="U7" i="1" s="1"/>
  <c r="AI27" i="44"/>
  <c r="P32" i="44"/>
  <c r="X32" i="44"/>
  <c r="S32" i="1" s="1"/>
  <c r="R46" i="44"/>
  <c r="AH46" i="44"/>
  <c r="R46" i="1" s="1"/>
  <c r="AH51" i="44"/>
  <c r="R51" i="1" s="1"/>
  <c r="R51" i="44"/>
  <c r="AE59" i="44"/>
  <c r="R61" i="44"/>
  <c r="AH61" i="44"/>
  <c r="R61" i="1" s="1"/>
  <c r="R62" i="44"/>
  <c r="AH62" i="44"/>
  <c r="R62" i="1" s="1"/>
  <c r="P69" i="44"/>
  <c r="X69" i="44"/>
  <c r="S69" i="1" s="1"/>
  <c r="R71" i="44"/>
  <c r="AH71" i="44"/>
  <c r="R71" i="1" s="1"/>
  <c r="AC73" i="44"/>
  <c r="T73" i="1" s="1"/>
  <c r="Q73" i="44"/>
  <c r="O74" i="44"/>
  <c r="T74" i="44"/>
  <c r="U74" i="1" s="1"/>
  <c r="Q77" i="44"/>
  <c r="AC77" i="44"/>
  <c r="T77" i="1" s="1"/>
  <c r="AD80" i="44"/>
  <c r="P84" i="44"/>
  <c r="X84" i="44"/>
  <c r="S84" i="1" s="1"/>
  <c r="AE85" i="44"/>
  <c r="AD85" i="44"/>
  <c r="O94" i="44"/>
  <c r="T94" i="44"/>
  <c r="U94" i="1" s="1"/>
  <c r="X107" i="44"/>
  <c r="S107" i="1" s="1"/>
  <c r="M107" i="44"/>
  <c r="O111" i="44"/>
  <c r="T111" i="44"/>
  <c r="U111" i="1" s="1"/>
  <c r="Q76" i="44"/>
  <c r="AC76" i="44"/>
  <c r="T76" i="1" s="1"/>
  <c r="Q34" i="44"/>
  <c r="AC34" i="44"/>
  <c r="T34" i="1" s="1"/>
  <c r="Y6" i="44"/>
  <c r="O9" i="44"/>
  <c r="T9" i="44"/>
  <c r="U9" i="1" s="1"/>
  <c r="P15" i="44"/>
  <c r="Z15" i="44"/>
  <c r="AK27" i="44"/>
  <c r="P30" i="44"/>
  <c r="X30" i="44"/>
  <c r="S30" i="1" s="1"/>
  <c r="M39" i="44"/>
  <c r="T39" i="44"/>
  <c r="U39" i="1" s="1"/>
  <c r="P45" i="44"/>
  <c r="X45" i="44"/>
  <c r="S45" i="1" s="1"/>
  <c r="P9" i="44"/>
  <c r="X9" i="44"/>
  <c r="S9" i="1" s="1"/>
  <c r="AK25" i="44"/>
  <c r="O27" i="44"/>
  <c r="Q29" i="44"/>
  <c r="AC29" i="44"/>
  <c r="T29" i="1" s="1"/>
  <c r="Q30" i="44"/>
  <c r="AC30" i="44"/>
  <c r="T30" i="1" s="1"/>
  <c r="AD35" i="44"/>
  <c r="AA40" i="44"/>
  <c r="AI41" i="44"/>
  <c r="R43" i="44"/>
  <c r="AH43" i="44"/>
  <c r="R43" i="1" s="1"/>
  <c r="Z44" i="44"/>
  <c r="Q45" i="44"/>
  <c r="AC45" i="44"/>
  <c r="T45" i="1" s="1"/>
  <c r="P48" i="44"/>
  <c r="X48" i="44"/>
  <c r="S48" i="1" s="1"/>
  <c r="AK53" i="44"/>
  <c r="AJ53" i="44"/>
  <c r="O54" i="44"/>
  <c r="T54" i="44"/>
  <c r="U54" i="1" s="1"/>
  <c r="L57" i="44"/>
  <c r="AH57" i="44"/>
  <c r="R57" i="1" s="1"/>
  <c r="AD60" i="44"/>
  <c r="O63" i="44"/>
  <c r="T63" i="44"/>
  <c r="U63" i="1" s="1"/>
  <c r="O65" i="44"/>
  <c r="T65" i="44"/>
  <c r="U65" i="1" s="1"/>
  <c r="U67" i="44"/>
  <c r="Q69" i="44"/>
  <c r="AC69" i="44"/>
  <c r="T69" i="1" s="1"/>
  <c r="R70" i="44"/>
  <c r="Q71" i="44"/>
  <c r="R73" i="44"/>
  <c r="AH73" i="44"/>
  <c r="R73" i="1" s="1"/>
  <c r="AJ75" i="44"/>
  <c r="AE80" i="44"/>
  <c r="R85" i="44"/>
  <c r="AH85" i="44"/>
  <c r="R85" i="1" s="1"/>
  <c r="L101" i="44"/>
  <c r="AH101" i="44"/>
  <c r="R101" i="1" s="1"/>
  <c r="M111" i="44"/>
  <c r="X111" i="44"/>
  <c r="S111" i="1" s="1"/>
  <c r="P50" i="44"/>
  <c r="X50" i="44"/>
  <c r="S50" i="1" s="1"/>
  <c r="M89" i="44"/>
  <c r="T89" i="44"/>
  <c r="U89" i="1" s="1"/>
  <c r="AA139" i="44"/>
  <c r="Z139" i="44"/>
  <c r="Y139" i="44"/>
  <c r="AL139" i="44"/>
  <c r="O18" i="44"/>
  <c r="T18" i="44"/>
  <c r="U18" i="1" s="1"/>
  <c r="O36" i="44"/>
  <c r="T36" i="44"/>
  <c r="U36" i="1" s="1"/>
  <c r="R90" i="44"/>
  <c r="AH90" i="44"/>
  <c r="R90" i="1" s="1"/>
  <c r="O10" i="44"/>
  <c r="T10" i="44"/>
  <c r="U10" i="1" s="1"/>
  <c r="Q38" i="44"/>
  <c r="AC38" i="44"/>
  <c r="T38" i="1" s="1"/>
  <c r="Z6" i="44"/>
  <c r="K8" i="44"/>
  <c r="R5" i="44"/>
  <c r="AH5" i="44"/>
  <c r="R5" i="1" s="1"/>
  <c r="Q9" i="44"/>
  <c r="AC9" i="44"/>
  <c r="T9" i="1" s="1"/>
  <c r="K11" i="44"/>
  <c r="AC11" i="44"/>
  <c r="T11" i="1" s="1"/>
  <c r="AJ15" i="44"/>
  <c r="Q19" i="44"/>
  <c r="AC19" i="44"/>
  <c r="T19" i="1" s="1"/>
  <c r="O21" i="44"/>
  <c r="T21" i="44"/>
  <c r="U21" i="1" s="1"/>
  <c r="P22" i="44"/>
  <c r="X22" i="44"/>
  <c r="S22" i="1" s="1"/>
  <c r="O24" i="44"/>
  <c r="T24" i="44"/>
  <c r="U24" i="1" s="1"/>
  <c r="U27" i="44"/>
  <c r="AL29" i="44"/>
  <c r="AK29" i="44"/>
  <c r="R30" i="44"/>
  <c r="AH30" i="44"/>
  <c r="R30" i="1" s="1"/>
  <c r="Q39" i="44"/>
  <c r="AC39" i="44"/>
  <c r="T39" i="1" s="1"/>
  <c r="AL41" i="44"/>
  <c r="R45" i="44"/>
  <c r="AH45" i="44"/>
  <c r="R45" i="1" s="1"/>
  <c r="R47" i="44"/>
  <c r="AH47" i="44"/>
  <c r="R47" i="1" s="1"/>
  <c r="Q48" i="44"/>
  <c r="AC48" i="44"/>
  <c r="T48" i="1" s="1"/>
  <c r="AE50" i="44"/>
  <c r="P54" i="44"/>
  <c r="X54" i="44"/>
  <c r="S54" i="1" s="1"/>
  <c r="AE60" i="44"/>
  <c r="AE61" i="44"/>
  <c r="P65" i="44"/>
  <c r="X65" i="44"/>
  <c r="S65" i="1" s="1"/>
  <c r="R69" i="44"/>
  <c r="AH69" i="44"/>
  <c r="R69" i="1" s="1"/>
  <c r="P72" i="44"/>
  <c r="AK75" i="44"/>
  <c r="AK84" i="44"/>
  <c r="AJ84" i="44"/>
  <c r="AF85" i="44"/>
  <c r="AK86" i="44"/>
  <c r="Q94" i="44"/>
  <c r="AC94" i="44"/>
  <c r="T94" i="1" s="1"/>
  <c r="O75" i="44"/>
  <c r="T75" i="44"/>
  <c r="U75" i="1" s="1"/>
  <c r="O79" i="44"/>
  <c r="T79" i="44"/>
  <c r="U79" i="1" s="1"/>
  <c r="Q90" i="44"/>
  <c r="AC90" i="44"/>
  <c r="T90" i="1" s="1"/>
  <c r="P92" i="44"/>
  <c r="X92" i="44"/>
  <c r="S92" i="1" s="1"/>
  <c r="AI92" i="44"/>
  <c r="K96" i="44"/>
  <c r="T96" i="44"/>
  <c r="U96" i="1" s="1"/>
  <c r="Q97" i="44"/>
  <c r="AC97" i="44"/>
  <c r="T97" i="1" s="1"/>
  <c r="M105" i="44"/>
  <c r="X105" i="44"/>
  <c r="S105" i="1" s="1"/>
  <c r="I20" i="28" s="1"/>
  <c r="L20" i="28" s="1"/>
  <c r="T118" i="44"/>
  <c r="U118" i="1" s="1"/>
  <c r="O118" i="44"/>
  <c r="AF127" i="44"/>
  <c r="AE127" i="44"/>
  <c r="AD127" i="44"/>
  <c r="P137" i="44"/>
  <c r="X137" i="44"/>
  <c r="S137" i="1" s="1"/>
  <c r="O146" i="44"/>
  <c r="T146" i="44"/>
  <c r="O152" i="44"/>
  <c r="T152" i="44"/>
  <c r="U152" i="1" s="1"/>
  <c r="P96" i="44"/>
  <c r="X96" i="44"/>
  <c r="S96" i="1" s="1"/>
  <c r="O100" i="44"/>
  <c r="T100" i="44"/>
  <c r="U100" i="1" s="1"/>
  <c r="O109" i="44"/>
  <c r="T109" i="44"/>
  <c r="U109" i="1" s="1"/>
  <c r="AL118" i="44"/>
  <c r="Y118" i="44"/>
  <c r="R127" i="44"/>
  <c r="AH127" i="44"/>
  <c r="R127" i="1" s="1"/>
  <c r="O135" i="44"/>
  <c r="T135" i="44"/>
  <c r="U135" i="1" s="1"/>
  <c r="Q137" i="44"/>
  <c r="AC137" i="44"/>
  <c r="T137" i="1" s="1"/>
  <c r="P144" i="44"/>
  <c r="X144" i="44"/>
  <c r="S144" i="1" s="1"/>
  <c r="P152" i="44"/>
  <c r="X152" i="44"/>
  <c r="S152" i="1" s="1"/>
  <c r="M152" i="44"/>
  <c r="P179" i="44"/>
  <c r="X179" i="44"/>
  <c r="S179" i="1" s="1"/>
  <c r="Q79" i="44"/>
  <c r="AC79" i="44"/>
  <c r="T79" i="1" s="1"/>
  <c r="O81" i="44"/>
  <c r="T81" i="44"/>
  <c r="U81" i="1" s="1"/>
  <c r="O82" i="44"/>
  <c r="T82" i="44"/>
  <c r="U82" i="1" s="1"/>
  <c r="O83" i="44"/>
  <c r="T83" i="44"/>
  <c r="U83" i="1" s="1"/>
  <c r="Q96" i="44"/>
  <c r="AC96" i="44"/>
  <c r="T96" i="1" s="1"/>
  <c r="Y100" i="44"/>
  <c r="AA100" i="44"/>
  <c r="Z100" i="44"/>
  <c r="R105" i="44"/>
  <c r="AH105" i="44"/>
  <c r="R105" i="1" s="1"/>
  <c r="X109" i="44"/>
  <c r="S109" i="1" s="1"/>
  <c r="P109" i="44"/>
  <c r="AK110" i="44"/>
  <c r="O117" i="44"/>
  <c r="T117" i="44"/>
  <c r="U117" i="1" s="1"/>
  <c r="AG127" i="44"/>
  <c r="AD144" i="44"/>
  <c r="AE144" i="44"/>
  <c r="AF144" i="44"/>
  <c r="AD146" i="44"/>
  <c r="AF146" i="44"/>
  <c r="AE146" i="44"/>
  <c r="Q88" i="44"/>
  <c r="AC88" i="44"/>
  <c r="T88" i="1" s="1"/>
  <c r="U92" i="44"/>
  <c r="R96" i="44"/>
  <c r="AH96" i="44"/>
  <c r="R96" i="1" s="1"/>
  <c r="Q100" i="44"/>
  <c r="AC100" i="44"/>
  <c r="T100" i="1" s="1"/>
  <c r="U102" i="44"/>
  <c r="W102" i="44"/>
  <c r="AD105" i="44"/>
  <c r="Q109" i="44"/>
  <c r="AC109" i="44"/>
  <c r="T109" i="1" s="1"/>
  <c r="P117" i="44"/>
  <c r="X117" i="44"/>
  <c r="S117" i="1" s="1"/>
  <c r="O141" i="44"/>
  <c r="T141" i="44"/>
  <c r="U141" i="1" s="1"/>
  <c r="AI144" i="44"/>
  <c r="AK144" i="44"/>
  <c r="AJ144" i="44"/>
  <c r="O22" i="44"/>
  <c r="T22" i="44"/>
  <c r="U22" i="1" s="1"/>
  <c r="O23" i="44"/>
  <c r="T23" i="44"/>
  <c r="U23" i="1" s="1"/>
  <c r="Q27" i="44"/>
  <c r="AC27" i="44"/>
  <c r="T27" i="1" s="1"/>
  <c r="R31" i="44"/>
  <c r="AH31" i="44"/>
  <c r="R31" i="1" s="1"/>
  <c r="R44" i="44"/>
  <c r="AH44" i="44"/>
  <c r="R44" i="1" s="1"/>
  <c r="T49" i="44"/>
  <c r="U49" i="1" s="1"/>
  <c r="O49" i="44"/>
  <c r="O53" i="44"/>
  <c r="T53" i="44"/>
  <c r="U53" i="1" s="1"/>
  <c r="Q55" i="44"/>
  <c r="AC55" i="44"/>
  <c r="T55" i="1" s="1"/>
  <c r="Q72" i="44"/>
  <c r="AC72" i="44"/>
  <c r="T72" i="1" s="1"/>
  <c r="Y73" i="44"/>
  <c r="AA73" i="44"/>
  <c r="M80" i="44"/>
  <c r="T80" i="44"/>
  <c r="U80" i="1" s="1"/>
  <c r="K87" i="44"/>
  <c r="T87" i="44"/>
  <c r="U87" i="1" s="1"/>
  <c r="P93" i="44"/>
  <c r="X93" i="44"/>
  <c r="S93" i="1" s="1"/>
  <c r="P94" i="44"/>
  <c r="X94" i="44"/>
  <c r="S94" i="1" s="1"/>
  <c r="AK95" i="44"/>
  <c r="AJ95" i="44"/>
  <c r="AF101" i="44"/>
  <c r="AD101" i="44"/>
  <c r="R102" i="44"/>
  <c r="AH102" i="44"/>
  <c r="R102" i="1" s="1"/>
  <c r="AF108" i="44"/>
  <c r="AE108" i="44"/>
  <c r="AD108" i="44"/>
  <c r="AA112" i="44"/>
  <c r="Z112" i="44"/>
  <c r="Y112" i="44"/>
  <c r="V115" i="44"/>
  <c r="W115" i="44"/>
  <c r="U115" i="44"/>
  <c r="O145" i="44"/>
  <c r="T145" i="44"/>
  <c r="U145" i="1" s="1"/>
  <c r="R173" i="44"/>
  <c r="AH173" i="44"/>
  <c r="R173" i="1" s="1"/>
  <c r="M98" i="44"/>
  <c r="T98" i="44"/>
  <c r="U98" i="1" s="1"/>
  <c r="K107" i="44"/>
  <c r="AC107" i="44"/>
  <c r="T107" i="1" s="1"/>
  <c r="O110" i="44"/>
  <c r="T110" i="44"/>
  <c r="U110" i="1" s="1"/>
  <c r="R112" i="44"/>
  <c r="AH112" i="44"/>
  <c r="R112" i="1" s="1"/>
  <c r="Q115" i="44"/>
  <c r="AC115" i="44"/>
  <c r="T115" i="1" s="1"/>
  <c r="AK124" i="44"/>
  <c r="AJ124" i="44"/>
  <c r="AI124" i="44"/>
  <c r="R134" i="44"/>
  <c r="AH134" i="44"/>
  <c r="R134" i="1" s="1"/>
  <c r="P149" i="44"/>
  <c r="X149" i="44"/>
  <c r="S149" i="1" s="1"/>
  <c r="R172" i="44"/>
  <c r="AH172" i="44"/>
  <c r="R172" i="1" s="1"/>
  <c r="AJ80" i="44"/>
  <c r="R87" i="44"/>
  <c r="AH87" i="44"/>
  <c r="R87" i="1" s="1"/>
  <c r="W91" i="44"/>
  <c r="P98" i="44"/>
  <c r="X98" i="44"/>
  <c r="S98" i="1" s="1"/>
  <c r="R103" i="44"/>
  <c r="AH103" i="44"/>
  <c r="R103" i="1" s="1"/>
  <c r="P106" i="44"/>
  <c r="X106" i="44"/>
  <c r="S106" i="1" s="1"/>
  <c r="R107" i="44"/>
  <c r="AH107" i="44"/>
  <c r="R107" i="1" s="1"/>
  <c r="AA114" i="44"/>
  <c r="T142" i="44"/>
  <c r="U142" i="1" s="1"/>
  <c r="O142" i="44"/>
  <c r="AE149" i="44"/>
  <c r="AD149" i="44"/>
  <c r="AF149" i="44"/>
  <c r="Q89" i="44"/>
  <c r="AC89" i="44"/>
  <c r="T89" i="1" s="1"/>
  <c r="O97" i="44"/>
  <c r="T97" i="44"/>
  <c r="U97" i="1" s="1"/>
  <c r="Q98" i="44"/>
  <c r="AC98" i="44"/>
  <c r="T98" i="1" s="1"/>
  <c r="O99" i="44"/>
  <c r="T99" i="44"/>
  <c r="U99" i="1" s="1"/>
  <c r="Q106" i="44"/>
  <c r="AC106" i="44"/>
  <c r="T106" i="1" s="1"/>
  <c r="Q110" i="44"/>
  <c r="AC110" i="44"/>
  <c r="T110" i="1" s="1"/>
  <c r="AF139" i="44"/>
  <c r="AE139" i="44"/>
  <c r="AD139" i="44"/>
  <c r="L162" i="44"/>
  <c r="X162" i="44"/>
  <c r="S162" i="1" s="1"/>
  <c r="P97" i="44"/>
  <c r="X97" i="44"/>
  <c r="S97" i="1" s="1"/>
  <c r="W104" i="44"/>
  <c r="V104" i="44"/>
  <c r="U104" i="44"/>
  <c r="O105" i="44"/>
  <c r="T105" i="44"/>
  <c r="U105" i="1" s="1"/>
  <c r="H20" i="28" s="1"/>
  <c r="K20" i="28" s="1"/>
  <c r="R106" i="44"/>
  <c r="AH106" i="44"/>
  <c r="R106" i="1" s="1"/>
  <c r="AA127" i="44"/>
  <c r="AB127" i="44"/>
  <c r="Y127" i="44"/>
  <c r="Z127" i="44"/>
  <c r="O137" i="44"/>
  <c r="T137" i="44"/>
  <c r="U137" i="1" s="1"/>
  <c r="Q142" i="44"/>
  <c r="AC142" i="44"/>
  <c r="T142" i="1" s="1"/>
  <c r="AE239" i="44"/>
  <c r="AD239" i="44"/>
  <c r="AF239" i="44"/>
  <c r="O114" i="44"/>
  <c r="T114" i="44"/>
  <c r="U114" i="1" s="1"/>
  <c r="Q116" i="44"/>
  <c r="AC116" i="44"/>
  <c r="T116" i="1" s="1"/>
  <c r="R132" i="44"/>
  <c r="AH132" i="44"/>
  <c r="R132" i="1" s="1"/>
  <c r="R138" i="44"/>
  <c r="AH138" i="44"/>
  <c r="R138" i="1" s="1"/>
  <c r="R140" i="44"/>
  <c r="AH140" i="44"/>
  <c r="R140" i="1" s="1"/>
  <c r="P148" i="44"/>
  <c r="X148" i="44"/>
  <c r="S148" i="1" s="1"/>
  <c r="P151" i="44"/>
  <c r="X151" i="44"/>
  <c r="S151" i="1" s="1"/>
  <c r="P153" i="44"/>
  <c r="X153" i="44"/>
  <c r="S153" i="1" s="1"/>
  <c r="P154" i="44"/>
  <c r="X154" i="44"/>
  <c r="S154" i="1" s="1"/>
  <c r="M154" i="44"/>
  <c r="T157" i="44"/>
  <c r="U157" i="1" s="1"/>
  <c r="O157" i="44"/>
  <c r="Q164" i="44"/>
  <c r="AC164" i="44"/>
  <c r="T164" i="1" s="1"/>
  <c r="AJ169" i="44"/>
  <c r="AI169" i="44"/>
  <c r="R123" i="44"/>
  <c r="AH123" i="44"/>
  <c r="R123" i="1" s="1"/>
  <c r="O124" i="44"/>
  <c r="T124" i="44"/>
  <c r="U124" i="1" s="1"/>
  <c r="R126" i="44"/>
  <c r="AH126" i="44"/>
  <c r="R126" i="1" s="1"/>
  <c r="AD128" i="44"/>
  <c r="AF128" i="44"/>
  <c r="O134" i="44"/>
  <c r="T134" i="44"/>
  <c r="U134" i="1" s="1"/>
  <c r="R136" i="44"/>
  <c r="AH136" i="44"/>
  <c r="R136" i="1" s="1"/>
  <c r="Q148" i="44"/>
  <c r="AC148" i="44"/>
  <c r="T148" i="1" s="1"/>
  <c r="Q151" i="44"/>
  <c r="AC151" i="44"/>
  <c r="T151" i="1" s="1"/>
  <c r="Q154" i="44"/>
  <c r="AC154" i="44"/>
  <c r="T154" i="1" s="1"/>
  <c r="M156" i="44"/>
  <c r="T156" i="44"/>
  <c r="U156" i="1" s="1"/>
  <c r="P157" i="44"/>
  <c r="X157" i="44"/>
  <c r="S157" i="1" s="1"/>
  <c r="R164" i="44"/>
  <c r="AH164" i="44"/>
  <c r="R164" i="1" s="1"/>
  <c r="R165" i="44"/>
  <c r="AH165" i="44"/>
  <c r="R165" i="1" s="1"/>
  <c r="AF114" i="44"/>
  <c r="AE114" i="44"/>
  <c r="P124" i="44"/>
  <c r="X124" i="44"/>
  <c r="S124" i="1" s="1"/>
  <c r="R128" i="44"/>
  <c r="AH128" i="44"/>
  <c r="R128" i="1" s="1"/>
  <c r="R133" i="44"/>
  <c r="AH133" i="44"/>
  <c r="R133" i="1" s="1"/>
  <c r="O139" i="44"/>
  <c r="T139" i="44"/>
  <c r="U139" i="1" s="1"/>
  <c r="R148" i="44"/>
  <c r="AH148" i="44"/>
  <c r="R148" i="1" s="1"/>
  <c r="L154" i="44"/>
  <c r="AH154" i="44"/>
  <c r="R154" i="1" s="1"/>
  <c r="P156" i="44"/>
  <c r="X156" i="44"/>
  <c r="S156" i="1" s="1"/>
  <c r="P159" i="44"/>
  <c r="X159" i="44"/>
  <c r="S159" i="1" s="1"/>
  <c r="AF168" i="44"/>
  <c r="AE168" i="44"/>
  <c r="AD168" i="44"/>
  <c r="K186" i="44"/>
  <c r="AC186" i="44"/>
  <c r="T186" i="1" s="1"/>
  <c r="Q186" i="44"/>
  <c r="AH195" i="44"/>
  <c r="R195" i="1" s="1"/>
  <c r="R195" i="44"/>
  <c r="X90" i="44"/>
  <c r="S90" i="1" s="1"/>
  <c r="R114" i="44"/>
  <c r="AH114" i="44"/>
  <c r="R114" i="1" s="1"/>
  <c r="AJ118" i="44"/>
  <c r="Q124" i="44"/>
  <c r="AC124" i="44"/>
  <c r="T124" i="1" s="1"/>
  <c r="O149" i="44"/>
  <c r="T149" i="44"/>
  <c r="U149" i="1" s="1"/>
  <c r="M151" i="44"/>
  <c r="R157" i="44"/>
  <c r="AH157" i="44"/>
  <c r="R157" i="1" s="1"/>
  <c r="AF159" i="44"/>
  <c r="AD159" i="44"/>
  <c r="AC160" i="44"/>
  <c r="T160" i="1" s="1"/>
  <c r="Q160" i="44"/>
  <c r="AH167" i="44"/>
  <c r="R166" i="1" s="1"/>
  <c r="R167" i="44"/>
  <c r="AF177" i="44"/>
  <c r="AE177" i="44"/>
  <c r="AD177" i="44"/>
  <c r="V184" i="44"/>
  <c r="U184" i="44"/>
  <c r="W184" i="44"/>
  <c r="AK161" i="44"/>
  <c r="AI161" i="44"/>
  <c r="R162" i="44"/>
  <c r="AH162" i="44"/>
  <c r="R162" i="1" s="1"/>
  <c r="Q179" i="44"/>
  <c r="AC179" i="44"/>
  <c r="T179" i="1" s="1"/>
  <c r="P7" i="44"/>
  <c r="X7" i="44"/>
  <c r="S7" i="1" s="1"/>
  <c r="R19" i="44"/>
  <c r="AH19" i="44"/>
  <c r="R19" i="1" s="1"/>
  <c r="Q25" i="44"/>
  <c r="AC25" i="44"/>
  <c r="T25" i="1" s="1"/>
  <c r="Q31" i="44"/>
  <c r="AC31" i="44"/>
  <c r="T31" i="1" s="1"/>
  <c r="R35" i="44"/>
  <c r="AH35" i="44"/>
  <c r="R35" i="1" s="1"/>
  <c r="P36" i="44"/>
  <c r="X36" i="44"/>
  <c r="S36" i="1" s="1"/>
  <c r="O37" i="44"/>
  <c r="T37" i="44"/>
  <c r="U37" i="1" s="1"/>
  <c r="O44" i="44"/>
  <c r="T44" i="44"/>
  <c r="U44" i="1" s="1"/>
  <c r="O47" i="44"/>
  <c r="T47" i="44"/>
  <c r="U47" i="1" s="1"/>
  <c r="O50" i="44"/>
  <c r="T50" i="44"/>
  <c r="U50" i="1" s="1"/>
  <c r="P53" i="44"/>
  <c r="X53" i="44"/>
  <c r="S53" i="1" s="1"/>
  <c r="P68" i="44"/>
  <c r="X68" i="44"/>
  <c r="S68" i="1" s="1"/>
  <c r="M71" i="44"/>
  <c r="X71" i="44"/>
  <c r="S71" i="1" s="1"/>
  <c r="R74" i="44"/>
  <c r="AH74" i="44"/>
  <c r="R74" i="1" s="1"/>
  <c r="O78" i="44"/>
  <c r="T78" i="44"/>
  <c r="U78" i="1" s="1"/>
  <c r="P83" i="44"/>
  <c r="X83" i="44"/>
  <c r="S83" i="1" s="1"/>
  <c r="P89" i="44"/>
  <c r="X89" i="44"/>
  <c r="S89" i="1" s="1"/>
  <c r="AD103" i="44"/>
  <c r="Q104" i="44"/>
  <c r="AC104" i="44"/>
  <c r="T104" i="1" s="1"/>
  <c r="R111" i="44"/>
  <c r="AH111" i="44"/>
  <c r="R111" i="1" s="1"/>
  <c r="M113" i="44"/>
  <c r="T113" i="44"/>
  <c r="L115" i="44"/>
  <c r="AH115" i="44"/>
  <c r="R115" i="1" s="1"/>
  <c r="AF123" i="44"/>
  <c r="O125" i="44"/>
  <c r="T125" i="44"/>
  <c r="U125" i="1" s="1"/>
  <c r="AE126" i="44"/>
  <c r="O127" i="44"/>
  <c r="O129" i="44"/>
  <c r="T129" i="44"/>
  <c r="U129" i="1" s="1"/>
  <c r="AF133" i="44"/>
  <c r="Z134" i="44"/>
  <c r="AF138" i="44"/>
  <c r="AE140" i="44"/>
  <c r="R141" i="44"/>
  <c r="AH141" i="44"/>
  <c r="R141" i="1" s="1"/>
  <c r="AJ142" i="44"/>
  <c r="AK142" i="44"/>
  <c r="U144" i="44"/>
  <c r="Q145" i="44"/>
  <c r="AC145" i="44"/>
  <c r="T145" i="1" s="1"/>
  <c r="AJ153" i="44"/>
  <c r="AF155" i="44"/>
  <c r="AF156" i="44"/>
  <c r="AL182" i="44"/>
  <c r="AK182" i="44"/>
  <c r="AJ182" i="44"/>
  <c r="AI182" i="44"/>
  <c r="Q193" i="44"/>
  <c r="AC193" i="44"/>
  <c r="T193" i="1" s="1"/>
  <c r="AA175" i="44"/>
  <c r="Z175" i="44"/>
  <c r="Y175" i="44"/>
  <c r="R104" i="44"/>
  <c r="AH104" i="44"/>
  <c r="R104" i="1" s="1"/>
  <c r="P113" i="44"/>
  <c r="X113" i="44"/>
  <c r="R117" i="44"/>
  <c r="AH117" i="44"/>
  <c r="R117" i="1" s="1"/>
  <c r="P120" i="44"/>
  <c r="X120" i="44"/>
  <c r="S120" i="1" s="1"/>
  <c r="O122" i="44"/>
  <c r="T122" i="44"/>
  <c r="U122" i="1" s="1"/>
  <c r="P125" i="44"/>
  <c r="X125" i="44"/>
  <c r="S125" i="1" s="1"/>
  <c r="U127" i="44"/>
  <c r="P129" i="44"/>
  <c r="X129" i="44"/>
  <c r="S129" i="1" s="1"/>
  <c r="O130" i="44"/>
  <c r="T130" i="44"/>
  <c r="U130" i="1" s="1"/>
  <c r="AA134" i="44"/>
  <c r="AD136" i="44"/>
  <c r="AG138" i="44"/>
  <c r="R145" i="44"/>
  <c r="AH145" i="44"/>
  <c r="R145" i="1" s="1"/>
  <c r="P147" i="44"/>
  <c r="X147" i="44"/>
  <c r="S147" i="1" s="1"/>
  <c r="AE159" i="44"/>
  <c r="Z187" i="44"/>
  <c r="Y187" i="44"/>
  <c r="AA187" i="44"/>
  <c r="O192" i="44"/>
  <c r="T192" i="44"/>
  <c r="U192" i="1" s="1"/>
  <c r="AE211" i="44"/>
  <c r="AD211" i="44"/>
  <c r="AF211" i="44"/>
  <c r="AE220" i="44"/>
  <c r="AD220" i="44"/>
  <c r="AF220" i="44"/>
  <c r="P99" i="44"/>
  <c r="X99" i="44"/>
  <c r="S99" i="1" s="1"/>
  <c r="O103" i="44"/>
  <c r="T103" i="44"/>
  <c r="U103" i="1" s="1"/>
  <c r="Q113" i="44"/>
  <c r="AC113" i="44"/>
  <c r="AD114" i="44"/>
  <c r="K120" i="44"/>
  <c r="AC120" i="44"/>
  <c r="T120" i="1" s="1"/>
  <c r="P121" i="44"/>
  <c r="X121" i="44"/>
  <c r="S121" i="1" s="1"/>
  <c r="AF125" i="44"/>
  <c r="AD125" i="44"/>
  <c r="V127" i="44"/>
  <c r="AF136" i="44"/>
  <c r="O140" i="44"/>
  <c r="T140" i="44"/>
  <c r="U140" i="1" s="1"/>
  <c r="AF147" i="44"/>
  <c r="AD147" i="44"/>
  <c r="AJ158" i="44"/>
  <c r="K174" i="44"/>
  <c r="T174" i="44"/>
  <c r="U174" i="1" s="1"/>
  <c r="AE210" i="44"/>
  <c r="AF210" i="44"/>
  <c r="AD210" i="44"/>
  <c r="P222" i="44"/>
  <c r="X222" i="44"/>
  <c r="S222" i="1" s="1"/>
  <c r="M222" i="44"/>
  <c r="P240" i="44"/>
  <c r="X240" i="44"/>
  <c r="S239" i="1" s="1"/>
  <c r="Q99" i="44"/>
  <c r="AC99" i="44"/>
  <c r="T99" i="1" s="1"/>
  <c r="O116" i="44"/>
  <c r="T116" i="44"/>
  <c r="U116" i="1" s="1"/>
  <c r="Q119" i="44"/>
  <c r="O126" i="44"/>
  <c r="T126" i="44"/>
  <c r="U126" i="1" s="1"/>
  <c r="P131" i="44"/>
  <c r="X131" i="44"/>
  <c r="S131" i="1" s="1"/>
  <c r="AE134" i="44"/>
  <c r="O136" i="44"/>
  <c r="T136" i="44"/>
  <c r="U136" i="1" s="1"/>
  <c r="Z140" i="44"/>
  <c r="Y140" i="44"/>
  <c r="O155" i="44"/>
  <c r="T155" i="44"/>
  <c r="U155" i="1" s="1"/>
  <c r="AK158" i="44"/>
  <c r="P169" i="44"/>
  <c r="X169" i="44"/>
  <c r="S169" i="1" s="1"/>
  <c r="R99" i="44"/>
  <c r="AH99" i="44"/>
  <c r="R99" i="1" s="1"/>
  <c r="M101" i="44"/>
  <c r="T101" i="44"/>
  <c r="U101" i="1" s="1"/>
  <c r="O106" i="44"/>
  <c r="T106" i="44"/>
  <c r="V106" i="44" s="1"/>
  <c r="O107" i="44"/>
  <c r="T107" i="44"/>
  <c r="U107" i="1" s="1"/>
  <c r="P116" i="44"/>
  <c r="X116" i="44"/>
  <c r="S116" i="1" s="1"/>
  <c r="R122" i="44"/>
  <c r="AH122" i="44"/>
  <c r="R122" i="1" s="1"/>
  <c r="AE128" i="44"/>
  <c r="AF134" i="44"/>
  <c r="O148" i="44"/>
  <c r="T148" i="44"/>
  <c r="U148" i="1" s="1"/>
  <c r="U151" i="44"/>
  <c r="W151" i="44"/>
  <c r="AL155" i="44"/>
  <c r="AA155" i="44"/>
  <c r="P158" i="44"/>
  <c r="X158" i="44"/>
  <c r="S158" i="1" s="1"/>
  <c r="AJ161" i="44"/>
  <c r="AB187" i="44"/>
  <c r="R196" i="44"/>
  <c r="AH196" i="44"/>
  <c r="R196" i="1" s="1"/>
  <c r="R143" i="44"/>
  <c r="AH143" i="44"/>
  <c r="R143" i="1" s="1"/>
  <c r="R150" i="44"/>
  <c r="AH150" i="44"/>
  <c r="R150" i="1" s="1"/>
  <c r="P161" i="44"/>
  <c r="X161" i="44"/>
  <c r="S161" i="1" s="1"/>
  <c r="Z170" i="44"/>
  <c r="AD172" i="44"/>
  <c r="AB180" i="44"/>
  <c r="W180" i="44"/>
  <c r="P184" i="44"/>
  <c r="X184" i="44"/>
  <c r="S184" i="1" s="1"/>
  <c r="O185" i="44"/>
  <c r="T185" i="44"/>
  <c r="U185" i="1" s="1"/>
  <c r="R193" i="44"/>
  <c r="AH193" i="44"/>
  <c r="R193" i="1" s="1"/>
  <c r="Y198" i="44"/>
  <c r="O207" i="44"/>
  <c r="T207" i="44"/>
  <c r="U207" i="1" s="1"/>
  <c r="O237" i="44"/>
  <c r="T237" i="44"/>
  <c r="U237" i="44" s="1"/>
  <c r="X145" i="44"/>
  <c r="S145" i="1" s="1"/>
  <c r="K161" i="44"/>
  <c r="AC161" i="44"/>
  <c r="T161" i="1" s="1"/>
  <c r="O162" i="44"/>
  <c r="T162" i="44"/>
  <c r="U162" i="1" s="1"/>
  <c r="AA170" i="44"/>
  <c r="AE172" i="44"/>
  <c r="Q184" i="44"/>
  <c r="AC184" i="44"/>
  <c r="T184" i="1" s="1"/>
  <c r="AL185" i="44"/>
  <c r="AA188" i="44"/>
  <c r="P221" i="44"/>
  <c r="X221" i="44"/>
  <c r="S221" i="1" s="1"/>
  <c r="R244" i="44"/>
  <c r="AH244" i="44"/>
  <c r="R243" i="1" s="1"/>
  <c r="T160" i="44"/>
  <c r="U160" i="1" s="1"/>
  <c r="O164" i="44"/>
  <c r="T164" i="44"/>
  <c r="U164" i="1" s="1"/>
  <c r="R174" i="44"/>
  <c r="AH174" i="44"/>
  <c r="R174" i="1" s="1"/>
  <c r="O175" i="44"/>
  <c r="T175" i="44"/>
  <c r="U175" i="1" s="1"/>
  <c r="Q180" i="44"/>
  <c r="AC180" i="44"/>
  <c r="T180" i="1" s="1"/>
  <c r="R184" i="44"/>
  <c r="AH184" i="44"/>
  <c r="R184" i="1" s="1"/>
  <c r="O191" i="44"/>
  <c r="T191" i="44"/>
  <c r="U191" i="1" s="1"/>
  <c r="K203" i="44"/>
  <c r="AC203" i="44"/>
  <c r="T203" i="1" s="1"/>
  <c r="Q203" i="44"/>
  <c r="O206" i="44"/>
  <c r="T206" i="44"/>
  <c r="U206" i="1" s="1"/>
  <c r="M206" i="44"/>
  <c r="AG211" i="44"/>
  <c r="W211" i="44"/>
  <c r="V211" i="44"/>
  <c r="U211" i="44"/>
  <c r="Q212" i="44"/>
  <c r="AC212" i="44"/>
  <c r="T212" i="1" s="1"/>
  <c r="O220" i="44"/>
  <c r="T220" i="44"/>
  <c r="U220" i="1" s="1"/>
  <c r="O179" i="44"/>
  <c r="T179" i="44"/>
  <c r="U179" i="1" s="1"/>
  <c r="AK180" i="44"/>
  <c r="AJ180" i="44"/>
  <c r="Z186" i="44"/>
  <c r="O202" i="44"/>
  <c r="T202" i="44"/>
  <c r="U202" i="1" s="1"/>
  <c r="L203" i="44"/>
  <c r="AH203" i="44"/>
  <c r="R203" i="1" s="1"/>
  <c r="R203" i="44"/>
  <c r="O218" i="44"/>
  <c r="T218" i="44"/>
  <c r="U218" i="1" s="1"/>
  <c r="Y220" i="44"/>
  <c r="Z220" i="44"/>
  <c r="AJ229" i="44"/>
  <c r="R229" i="44"/>
  <c r="AA246" i="44"/>
  <c r="Z246" i="44"/>
  <c r="Y246" i="44"/>
  <c r="AL246" i="44"/>
  <c r="P119" i="44"/>
  <c r="X119" i="44"/>
  <c r="S119" i="1" s="1"/>
  <c r="O120" i="44"/>
  <c r="T120" i="44"/>
  <c r="U120" i="1" s="1"/>
  <c r="R130" i="44"/>
  <c r="AH130" i="44"/>
  <c r="R130" i="1" s="1"/>
  <c r="Q131" i="44"/>
  <c r="AC131" i="44"/>
  <c r="T131" i="1" s="1"/>
  <c r="O133" i="44"/>
  <c r="T133" i="44"/>
  <c r="U133" i="1" s="1"/>
  <c r="AI139" i="44"/>
  <c r="Y146" i="44"/>
  <c r="R147" i="44"/>
  <c r="AH147" i="44"/>
  <c r="R147" i="1" s="1"/>
  <c r="R151" i="44"/>
  <c r="AH151" i="44"/>
  <c r="R151" i="1" s="1"/>
  <c r="R160" i="44"/>
  <c r="AH160" i="44"/>
  <c r="R160" i="1" s="1"/>
  <c r="O167" i="44"/>
  <c r="T167" i="44"/>
  <c r="U166" i="1" s="1"/>
  <c r="O176" i="44"/>
  <c r="T176" i="44"/>
  <c r="U176" i="1" s="1"/>
  <c r="AI180" i="44"/>
  <c r="Z185" i="44"/>
  <c r="T188" i="44"/>
  <c r="U188" i="1" s="1"/>
  <c r="O188" i="44"/>
  <c r="AL188" i="44"/>
  <c r="P190" i="44"/>
  <c r="X190" i="44"/>
  <c r="S190" i="1" s="1"/>
  <c r="AA220" i="44"/>
  <c r="Y186" i="44"/>
  <c r="O187" i="44"/>
  <c r="Z188" i="44"/>
  <c r="Y188" i="44"/>
  <c r="AA199" i="44"/>
  <c r="Z199" i="44"/>
  <c r="Y199" i="44"/>
  <c r="T205" i="44"/>
  <c r="U205" i="1" s="1"/>
  <c r="O205" i="44"/>
  <c r="AF208" i="44"/>
  <c r="AE208" i="44"/>
  <c r="AD208" i="44"/>
  <c r="T214" i="44"/>
  <c r="O214" i="44"/>
  <c r="AK229" i="44"/>
  <c r="U236" i="44"/>
  <c r="W236" i="44"/>
  <c r="V236" i="44"/>
  <c r="T186" i="44"/>
  <c r="U186" i="1" s="1"/>
  <c r="X197" i="44"/>
  <c r="S197" i="1" s="1"/>
  <c r="K154" i="44"/>
  <c r="T154" i="44"/>
  <c r="U154" i="1" s="1"/>
  <c r="O159" i="44"/>
  <c r="T159" i="44"/>
  <c r="U159" i="1" s="1"/>
  <c r="Y164" i="44"/>
  <c r="P168" i="44"/>
  <c r="X168" i="44"/>
  <c r="S168" i="1" s="1"/>
  <c r="O171" i="44"/>
  <c r="T171" i="44"/>
  <c r="U171" i="1" s="1"/>
  <c r="AE174" i="44"/>
  <c r="X178" i="44"/>
  <c r="S178" i="1" s="1"/>
  <c r="P178" i="44"/>
  <c r="AA186" i="44"/>
  <c r="U187" i="44"/>
  <c r="R190" i="44"/>
  <c r="AH190" i="44"/>
  <c r="R190" i="1" s="1"/>
  <c r="U196" i="44"/>
  <c r="W196" i="44"/>
  <c r="O197" i="44"/>
  <c r="T197" i="44"/>
  <c r="U197" i="1" s="1"/>
  <c r="P200" i="44"/>
  <c r="X200" i="44"/>
  <c r="S200" i="1" s="1"/>
  <c r="P205" i="44"/>
  <c r="M205" i="44"/>
  <c r="X205" i="44"/>
  <c r="S205" i="1" s="1"/>
  <c r="AJ224" i="44"/>
  <c r="AI224" i="44"/>
  <c r="T198" i="44"/>
  <c r="U198" i="1" s="1"/>
  <c r="R170" i="44"/>
  <c r="AH170" i="44"/>
  <c r="R170" i="1" s="1"/>
  <c r="P171" i="44"/>
  <c r="X171" i="44"/>
  <c r="S171" i="1" s="1"/>
  <c r="P173" i="44"/>
  <c r="X173" i="44"/>
  <c r="S173" i="1" s="1"/>
  <c r="R176" i="44"/>
  <c r="AH176" i="44"/>
  <c r="R176" i="1" s="1"/>
  <c r="Q178" i="44"/>
  <c r="AC178" i="44"/>
  <c r="T178" i="1" s="1"/>
  <c r="V187" i="44"/>
  <c r="AC198" i="44"/>
  <c r="T198" i="1" s="1"/>
  <c r="Q198" i="44"/>
  <c r="AE200" i="44"/>
  <c r="AF200" i="44"/>
  <c r="AD200" i="44"/>
  <c r="AA223" i="44"/>
  <c r="Z223" i="44"/>
  <c r="Y223" i="44"/>
  <c r="AF247" i="44"/>
  <c r="AE247" i="44"/>
  <c r="AD247" i="44"/>
  <c r="T204" i="44"/>
  <c r="U204" i="1" s="1"/>
  <c r="Q165" i="44"/>
  <c r="AC165" i="44"/>
  <c r="T165" i="1" s="1"/>
  <c r="R166" i="44"/>
  <c r="AH166" i="44"/>
  <c r="R167" i="1" s="1"/>
  <c r="AC171" i="44"/>
  <c r="T171" i="1" s="1"/>
  <c r="K171" i="44"/>
  <c r="AF173" i="44"/>
  <c r="AE173" i="44"/>
  <c r="P177" i="44"/>
  <c r="X177" i="44"/>
  <c r="S177" i="1" s="1"/>
  <c r="L178" i="44"/>
  <c r="AH178" i="44"/>
  <c r="R178" i="1" s="1"/>
  <c r="Q182" i="44"/>
  <c r="AC182" i="44"/>
  <c r="T182" i="1" s="1"/>
  <c r="X189" i="44"/>
  <c r="S189" i="1" s="1"/>
  <c r="P189" i="44"/>
  <c r="AC197" i="44"/>
  <c r="T197" i="1" s="1"/>
  <c r="Q197" i="44"/>
  <c r="R200" i="44"/>
  <c r="AH200" i="44"/>
  <c r="R200" i="1" s="1"/>
  <c r="O213" i="44"/>
  <c r="T213" i="44"/>
  <c r="U213" i="1" s="1"/>
  <c r="O216" i="44"/>
  <c r="T216" i="44"/>
  <c r="U216" i="1" s="1"/>
  <c r="AB246" i="44"/>
  <c r="AK247" i="44"/>
  <c r="AJ247" i="44"/>
  <c r="AI247" i="44"/>
  <c r="X211" i="44"/>
  <c r="S211" i="1" s="1"/>
  <c r="Q181" i="44"/>
  <c r="AC181" i="44"/>
  <c r="T181" i="1" s="1"/>
  <c r="K188" i="44"/>
  <c r="AF188" i="44"/>
  <c r="R191" i="44"/>
  <c r="AH191" i="44"/>
  <c r="R191" i="1" s="1"/>
  <c r="O195" i="44"/>
  <c r="T195" i="44"/>
  <c r="U195" i="1" s="1"/>
  <c r="AJ198" i="44"/>
  <c r="Q201" i="44"/>
  <c r="AC201" i="44"/>
  <c r="T201" i="1" s="1"/>
  <c r="P202" i="44"/>
  <c r="X202" i="44"/>
  <c r="S202" i="1" s="1"/>
  <c r="AI208" i="44"/>
  <c r="AJ212" i="44"/>
  <c r="AI213" i="44"/>
  <c r="K221" i="44"/>
  <c r="AC221" i="44"/>
  <c r="T221" i="1" s="1"/>
  <c r="W244" i="44"/>
  <c r="V244" i="44"/>
  <c r="U244" i="44"/>
  <c r="AA245" i="44"/>
  <c r="Z245" i="44"/>
  <c r="T161" i="44"/>
  <c r="U161" i="1" s="1"/>
  <c r="AF176" i="44"/>
  <c r="R181" i="44"/>
  <c r="AH181" i="44"/>
  <c r="R181" i="1" s="1"/>
  <c r="O182" i="44"/>
  <c r="T182" i="44"/>
  <c r="U182" i="1" s="1"/>
  <c r="Z183" i="44"/>
  <c r="Q187" i="44"/>
  <c r="AC187" i="44"/>
  <c r="T187" i="1" s="1"/>
  <c r="AK198" i="44"/>
  <c r="AF207" i="44"/>
  <c r="R208" i="44"/>
  <c r="AJ208" i="44"/>
  <c r="AK212" i="44"/>
  <c r="AJ213" i="44"/>
  <c r="AI216" i="44"/>
  <c r="R221" i="44"/>
  <c r="AH221" i="44"/>
  <c r="R221" i="1" s="1"/>
  <c r="AE227" i="44"/>
  <c r="O243" i="44"/>
  <c r="T243" i="44"/>
  <c r="U242" i="1" s="1"/>
  <c r="X235" i="44"/>
  <c r="S235" i="1" s="1"/>
  <c r="Q166" i="44"/>
  <c r="AC166" i="44"/>
  <c r="T167" i="1" s="1"/>
  <c r="M173" i="44"/>
  <c r="R187" i="44"/>
  <c r="AH187" i="44"/>
  <c r="R187" i="1" s="1"/>
  <c r="Q188" i="44"/>
  <c r="R192" i="44"/>
  <c r="AH192" i="44"/>
  <c r="R192" i="1" s="1"/>
  <c r="Q195" i="44"/>
  <c r="AC195" i="44"/>
  <c r="T195" i="1" s="1"/>
  <c r="R198" i="44"/>
  <c r="O200" i="44"/>
  <c r="T200" i="44"/>
  <c r="U200" i="1" s="1"/>
  <c r="R202" i="44"/>
  <c r="AH202" i="44"/>
  <c r="R202" i="1" s="1"/>
  <c r="P203" i="44"/>
  <c r="X203" i="44"/>
  <c r="S203" i="1" s="1"/>
  <c r="AK216" i="44"/>
  <c r="O221" i="44"/>
  <c r="Q224" i="44"/>
  <c r="AC224" i="44"/>
  <c r="T224" i="1" s="1"/>
  <c r="AC244" i="44"/>
  <c r="T243" i="1" s="1"/>
  <c r="Q244" i="44"/>
  <c r="R245" i="44"/>
  <c r="AH245" i="44"/>
  <c r="R244" i="1" s="1"/>
  <c r="T132" i="44"/>
  <c r="U132" i="1" s="1"/>
  <c r="Z242" i="44"/>
  <c r="Y242" i="44"/>
  <c r="K175" i="44"/>
  <c r="AC175" i="44"/>
  <c r="T175" i="1" s="1"/>
  <c r="AJ186" i="44"/>
  <c r="L197" i="44"/>
  <c r="AH197" i="44"/>
  <c r="R197" i="1" s="1"/>
  <c r="P206" i="44"/>
  <c r="X206" i="44"/>
  <c r="S206" i="1" s="1"/>
  <c r="AJ206" i="44"/>
  <c r="P213" i="44"/>
  <c r="X213" i="44"/>
  <c r="S213" i="1" s="1"/>
  <c r="O215" i="44"/>
  <c r="T215" i="44"/>
  <c r="U215" i="1" s="1"/>
  <c r="P216" i="44"/>
  <c r="X216" i="44"/>
  <c r="S216" i="1" s="1"/>
  <c r="M218" i="44"/>
  <c r="X218" i="44"/>
  <c r="S218" i="1" s="1"/>
  <c r="R220" i="44"/>
  <c r="AH220" i="44"/>
  <c r="R220" i="1" s="1"/>
  <c r="V224" i="44"/>
  <c r="AB236" i="44"/>
  <c r="AA236" i="44"/>
  <c r="Z236" i="44"/>
  <c r="T209" i="44"/>
  <c r="U209" i="1" s="1"/>
  <c r="O123" i="44"/>
  <c r="T123" i="44"/>
  <c r="U123" i="1" s="1"/>
  <c r="O131" i="44"/>
  <c r="T131" i="44"/>
  <c r="U131" i="1" s="1"/>
  <c r="Q157" i="44"/>
  <c r="AC157" i="44"/>
  <c r="T157" i="1" s="1"/>
  <c r="O158" i="44"/>
  <c r="T158" i="44"/>
  <c r="U158" i="1" s="1"/>
  <c r="Q170" i="44"/>
  <c r="AC170" i="44"/>
  <c r="T170" i="1" s="1"/>
  <c r="L175" i="44"/>
  <c r="AH175" i="44"/>
  <c r="R175" i="1" s="1"/>
  <c r="O194" i="44"/>
  <c r="T194" i="44"/>
  <c r="U194" i="1" s="1"/>
  <c r="P196" i="44"/>
  <c r="X196" i="44"/>
  <c r="S196" i="1" s="1"/>
  <c r="Q199" i="44"/>
  <c r="AC199" i="44"/>
  <c r="T199" i="1" s="1"/>
  <c r="L205" i="44"/>
  <c r="AH205" i="44"/>
  <c r="R205" i="1" s="1"/>
  <c r="Q206" i="44"/>
  <c r="AC206" i="44"/>
  <c r="T206" i="1" s="1"/>
  <c r="AK206" i="44"/>
  <c r="K214" i="44"/>
  <c r="AC214" i="44"/>
  <c r="T214" i="1" s="1"/>
  <c r="P215" i="44"/>
  <c r="X215" i="44"/>
  <c r="S215" i="1" s="1"/>
  <c r="Q217" i="44"/>
  <c r="AC217" i="44"/>
  <c r="T217" i="1" s="1"/>
  <c r="AD219" i="44"/>
  <c r="O225" i="44"/>
  <c r="T225" i="44"/>
  <c r="U225" i="1" s="1"/>
  <c r="O226" i="44"/>
  <c r="T226" i="44"/>
  <c r="U226" i="1" s="1"/>
  <c r="AA232" i="44"/>
  <c r="Z232" i="44"/>
  <c r="Y232" i="44"/>
  <c r="Q236" i="44"/>
  <c r="AC236" i="44"/>
  <c r="T236" i="1" s="1"/>
  <c r="R242" i="44"/>
  <c r="AH242" i="44"/>
  <c r="R241" i="1" s="1"/>
  <c r="T210" i="44"/>
  <c r="U210" i="1" s="1"/>
  <c r="V246" i="44"/>
  <c r="AG246" i="44"/>
  <c r="X150" i="44"/>
  <c r="S150" i="1" s="1"/>
  <c r="O189" i="44"/>
  <c r="T189" i="44"/>
  <c r="U189" i="1" s="1"/>
  <c r="Q196" i="44"/>
  <c r="AC196" i="44"/>
  <c r="T196" i="1" s="1"/>
  <c r="R199" i="44"/>
  <c r="AH199" i="44"/>
  <c r="R199" i="1" s="1"/>
  <c r="Q209" i="44"/>
  <c r="AC209" i="44"/>
  <c r="T209" i="1" s="1"/>
  <c r="R214" i="44"/>
  <c r="AH214" i="44"/>
  <c r="R214" i="1" s="1"/>
  <c r="Q215" i="44"/>
  <c r="AC215" i="44"/>
  <c r="T215" i="1" s="1"/>
  <c r="R217" i="44"/>
  <c r="AH217" i="44"/>
  <c r="R217" i="1" s="1"/>
  <c r="R218" i="44"/>
  <c r="AH218" i="44"/>
  <c r="R218" i="1" s="1"/>
  <c r="O223" i="44"/>
  <c r="T223" i="44"/>
  <c r="U223" i="1" s="1"/>
  <c r="P225" i="44"/>
  <c r="X225" i="44"/>
  <c r="S225" i="1" s="1"/>
  <c r="P228" i="44"/>
  <c r="X228" i="44"/>
  <c r="S228" i="1" s="1"/>
  <c r="O230" i="44"/>
  <c r="T230" i="44"/>
  <c r="U230" i="1" s="1"/>
  <c r="AF232" i="44"/>
  <c r="AE232" i="44"/>
  <c r="K233" i="44"/>
  <c r="AC233" i="44"/>
  <c r="T233" i="1" s="1"/>
  <c r="P241" i="44"/>
  <c r="X241" i="44"/>
  <c r="S240" i="1" s="1"/>
  <c r="M241" i="44"/>
  <c r="O212" i="44"/>
  <c r="T212" i="44"/>
  <c r="U212" i="1" s="1"/>
  <c r="R215" i="44"/>
  <c r="AH215" i="44"/>
  <c r="R215" i="1" s="1"/>
  <c r="P227" i="44"/>
  <c r="X227" i="44"/>
  <c r="S227" i="1" s="1"/>
  <c r="P230" i="44"/>
  <c r="X230" i="44"/>
  <c r="S230" i="1" s="1"/>
  <c r="R232" i="44"/>
  <c r="AH232" i="44"/>
  <c r="R232" i="1" s="1"/>
  <c r="AF235" i="44"/>
  <c r="AE235" i="44"/>
  <c r="Q189" i="44"/>
  <c r="AC189" i="44"/>
  <c r="T189" i="1" s="1"/>
  <c r="Q190" i="44"/>
  <c r="AC190" i="44"/>
  <c r="T190" i="1" s="1"/>
  <c r="P191" i="44"/>
  <c r="X191" i="44"/>
  <c r="S191" i="1" s="1"/>
  <c r="R194" i="44"/>
  <c r="AH194" i="44"/>
  <c r="R194" i="1" s="1"/>
  <c r="AD204" i="44"/>
  <c r="AD205" i="44"/>
  <c r="R206" i="44"/>
  <c r="P208" i="44"/>
  <c r="X208" i="44"/>
  <c r="S208" i="1" s="1"/>
  <c r="R209" i="44"/>
  <c r="P212" i="44"/>
  <c r="X212" i="44"/>
  <c r="S212" i="1" s="1"/>
  <c r="P214" i="44"/>
  <c r="K215" i="44"/>
  <c r="O219" i="44"/>
  <c r="T219" i="44"/>
  <c r="U219" i="1" s="1"/>
  <c r="R226" i="44"/>
  <c r="AH226" i="44"/>
  <c r="R226" i="1" s="1"/>
  <c r="AK228" i="44"/>
  <c r="AI228" i="44"/>
  <c r="K230" i="44"/>
  <c r="AC230" i="44"/>
  <c r="T230" i="1" s="1"/>
  <c r="AK235" i="44"/>
  <c r="X193" i="44"/>
  <c r="S193" i="1" s="1"/>
  <c r="L236" i="44"/>
  <c r="AH236" i="44"/>
  <c r="R236" i="1" s="1"/>
  <c r="R239" i="44"/>
  <c r="AH239" i="44"/>
  <c r="R238" i="1" s="1"/>
  <c r="Q240" i="44"/>
  <c r="AC240" i="44"/>
  <c r="T239" i="1" s="1"/>
  <c r="Q241" i="44"/>
  <c r="AC241" i="44"/>
  <c r="T240" i="1" s="1"/>
  <c r="Q248" i="44"/>
  <c r="AC248" i="44"/>
  <c r="T247" i="1" s="1"/>
  <c r="T242" i="44"/>
  <c r="U241" i="1" s="1"/>
  <c r="X243" i="44"/>
  <c r="S242" i="1" s="1"/>
  <c r="R233" i="44"/>
  <c r="AH233" i="44"/>
  <c r="R233" i="1" s="1"/>
  <c r="P236" i="44"/>
  <c r="R240" i="44"/>
  <c r="AH240" i="44"/>
  <c r="R239" i="1" s="1"/>
  <c r="L241" i="44"/>
  <c r="AH241" i="44"/>
  <c r="R240" i="1" s="1"/>
  <c r="R248" i="44"/>
  <c r="AH248" i="44"/>
  <c r="R247" i="1" s="1"/>
  <c r="X219" i="44"/>
  <c r="S219" i="1" s="1"/>
  <c r="X231" i="44"/>
  <c r="S231" i="1" s="1"/>
  <c r="X244" i="44"/>
  <c r="S243" i="1" s="1"/>
  <c r="R223" i="44"/>
  <c r="AH223" i="44"/>
  <c r="R223" i="1" s="1"/>
  <c r="T231" i="44"/>
  <c r="U231" i="1" s="1"/>
  <c r="K222" i="44"/>
  <c r="AC222" i="44"/>
  <c r="T222" i="1" s="1"/>
  <c r="R230" i="44"/>
  <c r="AH230" i="44"/>
  <c r="R230" i="1" s="1"/>
  <c r="AE234" i="44"/>
  <c r="P237" i="44"/>
  <c r="X237" i="44"/>
  <c r="Y237" i="44" s="1"/>
  <c r="AF243" i="44"/>
  <c r="T235" i="44"/>
  <c r="U235" i="1" s="1"/>
  <c r="T248" i="44"/>
  <c r="U247" i="1" s="1"/>
  <c r="X224" i="44"/>
  <c r="S224" i="1" s="1"/>
  <c r="R201" i="44"/>
  <c r="AH201" i="44"/>
  <c r="R201" i="1" s="1"/>
  <c r="Q202" i="44"/>
  <c r="AC202" i="44"/>
  <c r="T202" i="1" s="1"/>
  <c r="L222" i="44"/>
  <c r="AH222" i="44"/>
  <c r="R222" i="1" s="1"/>
  <c r="R225" i="44"/>
  <c r="AH225" i="44"/>
  <c r="R225" i="1" s="1"/>
  <c r="AI231" i="44"/>
  <c r="AF234" i="44"/>
  <c r="X238" i="44"/>
  <c r="S237" i="1" s="1"/>
  <c r="AJ231" i="44"/>
  <c r="R237" i="44"/>
  <c r="AH237" i="44"/>
  <c r="AD242" i="44"/>
  <c r="AI243" i="44"/>
  <c r="AD245" i="44"/>
  <c r="T238" i="44"/>
  <c r="U237" i="1" s="1"/>
  <c r="AK231" i="44"/>
  <c r="Q238" i="44"/>
  <c r="AC238" i="44"/>
  <c r="T237" i="1" s="1"/>
  <c r="AE242" i="44"/>
  <c r="AJ243" i="44"/>
  <c r="AE245" i="44"/>
  <c r="T239" i="44"/>
  <c r="U238" i="1" s="1"/>
  <c r="R243" i="44"/>
  <c r="T227" i="44"/>
  <c r="U227" i="1" s="1"/>
  <c r="T240" i="44"/>
  <c r="U239" i="1" s="1"/>
  <c r="AA81" i="44"/>
  <c r="Z81" i="44"/>
  <c r="AA141" i="44"/>
  <c r="Z141" i="44"/>
  <c r="Y141" i="44"/>
  <c r="AA201" i="44"/>
  <c r="Z201" i="44"/>
  <c r="Y201" i="44"/>
  <c r="AA10" i="44"/>
  <c r="Y10" i="44"/>
  <c r="Z70" i="44"/>
  <c r="AA70" i="44"/>
  <c r="Y70" i="44"/>
  <c r="Z82" i="44"/>
  <c r="Y82" i="44"/>
  <c r="AA166" i="44"/>
  <c r="Z166" i="44"/>
  <c r="Z118" i="44"/>
  <c r="Z165" i="44"/>
  <c r="Y23" i="44"/>
  <c r="Z239" i="44"/>
  <c r="AA239" i="44"/>
  <c r="Y239" i="44"/>
  <c r="AA118" i="44"/>
  <c r="AA72" i="44"/>
  <c r="Y72" i="44"/>
  <c r="Z72" i="44"/>
  <c r="AA108" i="44"/>
  <c r="Z108" i="44"/>
  <c r="Z132" i="44"/>
  <c r="Y132" i="44"/>
  <c r="Z180" i="44"/>
  <c r="AA180" i="44"/>
  <c r="Y180" i="44"/>
  <c r="Z192" i="44"/>
  <c r="AA192" i="44"/>
  <c r="Y192" i="44"/>
  <c r="Y11" i="44"/>
  <c r="Z47" i="44"/>
  <c r="Y166" i="44"/>
  <c r="Y25" i="44"/>
  <c r="AL25" i="44"/>
  <c r="Z49" i="44"/>
  <c r="Y49" i="44"/>
  <c r="AL49" i="44"/>
  <c r="AA61" i="44"/>
  <c r="Z61" i="44"/>
  <c r="Y61" i="44"/>
  <c r="Z11" i="44"/>
  <c r="AA47" i="44"/>
  <c r="AL70" i="44"/>
  <c r="Y95" i="44"/>
  <c r="AA133" i="44"/>
  <c r="AA14" i="44"/>
  <c r="Z14" i="44"/>
  <c r="AB26" i="44"/>
  <c r="Z26" i="44"/>
  <c r="AA62" i="44"/>
  <c r="Z74" i="44"/>
  <c r="Y74" i="44"/>
  <c r="Y86" i="44"/>
  <c r="AA86" i="44"/>
  <c r="Z86" i="44"/>
  <c r="AL86" i="44"/>
  <c r="AA110" i="44"/>
  <c r="Z110" i="44"/>
  <c r="Y134" i="44"/>
  <c r="AA182" i="44"/>
  <c r="Z182" i="44"/>
  <c r="Y182" i="44"/>
  <c r="AA74" i="44"/>
  <c r="Y85" i="44"/>
  <c r="Z95" i="44"/>
  <c r="Z122" i="44"/>
  <c r="AL146" i="44"/>
  <c r="AL204" i="44"/>
  <c r="Y226" i="44"/>
  <c r="AA242" i="44"/>
  <c r="Y33" i="44"/>
  <c r="Y81" i="44"/>
  <c r="Z85" i="44"/>
  <c r="AA95" i="44"/>
  <c r="AL110" i="44"/>
  <c r="AA122" i="44"/>
  <c r="Y142" i="44"/>
  <c r="AL180" i="44"/>
  <c r="Z226" i="44"/>
  <c r="Y165" i="44"/>
  <c r="AA214" i="44"/>
  <c r="Z214" i="44"/>
  <c r="Y214" i="44"/>
  <c r="AL142" i="44"/>
  <c r="AA165" i="44"/>
  <c r="AA229" i="44"/>
  <c r="Z229" i="44"/>
  <c r="Y229" i="44"/>
  <c r="Z25" i="44"/>
  <c r="Y37" i="44"/>
  <c r="AA130" i="44"/>
  <c r="AA146" i="44"/>
  <c r="Y167" i="44"/>
  <c r="Z194" i="44"/>
  <c r="Z204" i="44"/>
  <c r="Z12" i="44"/>
  <c r="AA217" i="44"/>
  <c r="AB217" i="44"/>
  <c r="Z217" i="44"/>
  <c r="Y217" i="44"/>
  <c r="Z33" i="44"/>
  <c r="AA49" i="44"/>
  <c r="AA85" i="44"/>
  <c r="AB95" i="44"/>
  <c r="Y130" i="44"/>
  <c r="Z142" i="44"/>
  <c r="Z10" i="44"/>
  <c r="AA82" i="44"/>
  <c r="Z130" i="44"/>
  <c r="Z146" i="44"/>
  <c r="Y194" i="44"/>
  <c r="Y204" i="44"/>
  <c r="AA25" i="44"/>
  <c r="Y110" i="44"/>
  <c r="Y155" i="44"/>
  <c r="Z167" i="44"/>
  <c r="AA194" i="44"/>
  <c r="Z39" i="44"/>
  <c r="AL75" i="44"/>
  <c r="AL135" i="44"/>
  <c r="Y185" i="44"/>
  <c r="Z29" i="44"/>
  <c r="Z75" i="44"/>
  <c r="Z123" i="44"/>
  <c r="Z135" i="44"/>
  <c r="AA185" i="44"/>
  <c r="Z195" i="44"/>
  <c r="AB201" i="44"/>
  <c r="Y17" i="44"/>
  <c r="AA29" i="44"/>
  <c r="AA75" i="44"/>
  <c r="AA123" i="44"/>
  <c r="AA135" i="44"/>
  <c r="AA195" i="44"/>
  <c r="W57" i="44"/>
  <c r="W45" i="44"/>
  <c r="U93" i="44"/>
  <c r="AG177" i="44"/>
  <c r="W95" i="44"/>
  <c r="W119" i="44"/>
  <c r="AG119" i="44"/>
  <c r="W190" i="44"/>
  <c r="V145" i="44"/>
  <c r="V169" i="44"/>
  <c r="U169" i="44"/>
  <c r="U119" i="44"/>
  <c r="W41" i="44"/>
  <c r="V119" i="44"/>
  <c r="W177" i="44"/>
  <c r="V45" i="44"/>
  <c r="U45" i="44"/>
  <c r="W165" i="44"/>
  <c r="V165" i="44"/>
  <c r="V166" i="44"/>
  <c r="U166" i="44"/>
  <c r="AG144" i="44"/>
  <c r="V228" i="44"/>
  <c r="U228" i="44"/>
  <c r="AG168" i="44"/>
  <c r="V177" i="44"/>
  <c r="U57" i="44"/>
  <c r="U95" i="44"/>
  <c r="AB166" i="44"/>
  <c r="U168" i="44"/>
  <c r="W178" i="44"/>
  <c r="V178" i="44"/>
  <c r="W203" i="44"/>
  <c r="V93" i="44"/>
  <c r="V180" i="44"/>
  <c r="U180" i="44"/>
  <c r="W144" i="44"/>
  <c r="V57" i="44"/>
  <c r="V95" i="44"/>
  <c r="V168" i="44"/>
  <c r="U221" i="44"/>
  <c r="V190" i="44"/>
  <c r="U190" i="44"/>
  <c r="W217" i="44"/>
  <c r="U217" i="44"/>
  <c r="V217" i="44"/>
  <c r="U121" i="44"/>
  <c r="U165" i="44"/>
  <c r="AG228" i="44"/>
  <c r="AB165" i="44"/>
  <c r="AB41" i="44"/>
  <c r="U46" i="44"/>
  <c r="W181" i="44"/>
  <c r="W201" i="44"/>
  <c r="V201" i="44"/>
  <c r="AG57" i="44"/>
  <c r="W166" i="44"/>
  <c r="W48" i="44"/>
  <c r="V181" i="44"/>
  <c r="AG169" i="44"/>
  <c r="U26" i="44"/>
  <c r="W42" i="44"/>
  <c r="V138" i="44"/>
  <c r="U170" i="44"/>
  <c r="W138" i="44"/>
  <c r="AG150" i="44"/>
  <c r="U90" i="44"/>
  <c r="V150" i="44"/>
  <c r="U246" i="44"/>
  <c r="M204" i="44"/>
  <c r="L73" i="44"/>
  <c r="M114" i="44"/>
  <c r="R16" i="44"/>
  <c r="L42" i="44"/>
  <c r="K151" i="44"/>
  <c r="R154" i="44"/>
  <c r="K159" i="44"/>
  <c r="Q175" i="44"/>
  <c r="M5" i="44"/>
  <c r="M109" i="44"/>
  <c r="K5" i="44"/>
  <c r="M14" i="44"/>
  <c r="L56" i="44"/>
  <c r="R57" i="44"/>
  <c r="M120" i="44"/>
  <c r="M121" i="44"/>
  <c r="K126" i="44"/>
  <c r="K136" i="44"/>
  <c r="M137" i="44"/>
  <c r="M150" i="44"/>
  <c r="K157" i="44"/>
  <c r="R175" i="44"/>
  <c r="L195" i="44"/>
  <c r="M244" i="44"/>
  <c r="M23" i="44"/>
  <c r="K125" i="44"/>
  <c r="M11" i="44"/>
  <c r="M44" i="44"/>
  <c r="M52" i="44"/>
  <c r="K53" i="44"/>
  <c r="K60" i="44"/>
  <c r="M68" i="44"/>
  <c r="K80" i="44"/>
  <c r="K83" i="44"/>
  <c r="L95" i="44"/>
  <c r="L98" i="44"/>
  <c r="L105" i="44"/>
  <c r="K106" i="44"/>
  <c r="Q107" i="44"/>
  <c r="R108" i="44"/>
  <c r="L124" i="44"/>
  <c r="L125" i="44"/>
  <c r="O151" i="44"/>
  <c r="L177" i="44"/>
  <c r="K192" i="44"/>
  <c r="K200" i="44"/>
  <c r="M210" i="44"/>
  <c r="K211" i="44"/>
  <c r="L212" i="44"/>
  <c r="M213" i="44"/>
  <c r="M234" i="44"/>
  <c r="O64" i="44"/>
  <c r="K195" i="44"/>
  <c r="K216" i="44"/>
  <c r="M37" i="44"/>
  <c r="K39" i="44"/>
  <c r="M100" i="44"/>
  <c r="K101" i="44"/>
  <c r="L169" i="44"/>
  <c r="L234" i="44"/>
  <c r="L60" i="44"/>
  <c r="L81" i="44"/>
  <c r="K88" i="44"/>
  <c r="K94" i="44"/>
  <c r="L96" i="44"/>
  <c r="K97" i="44"/>
  <c r="K98" i="44"/>
  <c r="M99" i="44"/>
  <c r="M106" i="44"/>
  <c r="M124" i="44"/>
  <c r="M149" i="44"/>
  <c r="K182" i="44"/>
  <c r="L211" i="44"/>
  <c r="K219" i="44"/>
  <c r="Q221" i="44"/>
  <c r="R222" i="44"/>
  <c r="L227" i="44"/>
  <c r="Q233" i="44"/>
  <c r="L238" i="44"/>
  <c r="M143" i="44"/>
  <c r="L47" i="44"/>
  <c r="K23" i="44"/>
  <c r="M60" i="44"/>
  <c r="K76" i="44"/>
  <c r="O80" i="44"/>
  <c r="M96" i="44"/>
  <c r="O98" i="44"/>
  <c r="P105" i="44"/>
  <c r="L117" i="44"/>
  <c r="L156" i="44"/>
  <c r="L191" i="44"/>
  <c r="Q192" i="44"/>
  <c r="K208" i="44"/>
  <c r="L209" i="44"/>
  <c r="L219" i="44"/>
  <c r="R234" i="44"/>
  <c r="M238" i="44"/>
  <c r="R241" i="44"/>
  <c r="M88" i="44"/>
  <c r="M212" i="44"/>
  <c r="M112" i="44"/>
  <c r="O113" i="44"/>
  <c r="M42" i="44"/>
  <c r="Q53" i="44"/>
  <c r="R95" i="44"/>
  <c r="O96" i="44"/>
  <c r="K111" i="44"/>
  <c r="M145" i="44"/>
  <c r="R156" i="44"/>
  <c r="M180" i="44"/>
  <c r="Q200" i="44"/>
  <c r="L208" i="44"/>
  <c r="M209" i="44"/>
  <c r="R211" i="44"/>
  <c r="K218" i="44"/>
  <c r="M219" i="44"/>
  <c r="L247" i="44"/>
  <c r="M82" i="44"/>
  <c r="M94" i="44"/>
  <c r="M76" i="44"/>
  <c r="K135" i="44"/>
  <c r="M148" i="44"/>
  <c r="M215" i="44"/>
  <c r="M30" i="44"/>
  <c r="P23" i="44"/>
  <c r="K28" i="44"/>
  <c r="K50" i="44"/>
  <c r="K102" i="44"/>
  <c r="M153" i="44"/>
  <c r="M175" i="44"/>
  <c r="K197" i="44"/>
  <c r="K205" i="44"/>
  <c r="L206" i="44"/>
  <c r="P210" i="44"/>
  <c r="L45" i="44"/>
  <c r="M72" i="44"/>
  <c r="L80" i="44"/>
  <c r="R80" i="44"/>
  <c r="L102" i="44"/>
  <c r="M102" i="44"/>
  <c r="M103" i="44"/>
  <c r="P103" i="44"/>
  <c r="R135" i="44"/>
  <c r="L135" i="44"/>
  <c r="P142" i="44"/>
  <c r="M142" i="44"/>
  <c r="L153" i="44"/>
  <c r="R153" i="44"/>
  <c r="R168" i="44"/>
  <c r="L168" i="44"/>
  <c r="K6" i="44"/>
  <c r="L13" i="44"/>
  <c r="L27" i="44"/>
  <c r="K30" i="44"/>
  <c r="M33" i="44"/>
  <c r="K42" i="44"/>
  <c r="K46" i="44"/>
  <c r="K49" i="44"/>
  <c r="L55" i="44"/>
  <c r="M57" i="44"/>
  <c r="M58" i="44"/>
  <c r="K67" i="44"/>
  <c r="K72" i="44"/>
  <c r="K74" i="44"/>
  <c r="P76" i="44"/>
  <c r="K81" i="44"/>
  <c r="L82" i="44"/>
  <c r="K116" i="44"/>
  <c r="Q136" i="44"/>
  <c r="K142" i="44"/>
  <c r="L167" i="44"/>
  <c r="M188" i="44"/>
  <c r="P188" i="44"/>
  <c r="R227" i="44"/>
  <c r="K234" i="44"/>
  <c r="Q234" i="44"/>
  <c r="R119" i="44"/>
  <c r="L119" i="44"/>
  <c r="R129" i="44"/>
  <c r="L129" i="44"/>
  <c r="M167" i="44"/>
  <c r="P167" i="44"/>
  <c r="K227" i="44"/>
  <c r="Q227" i="44"/>
  <c r="L5" i="44"/>
  <c r="K9" i="44"/>
  <c r="M12" i="44"/>
  <c r="K27" i="44"/>
  <c r="L30" i="44"/>
  <c r="L36" i="44"/>
  <c r="K38" i="44"/>
  <c r="L41" i="44"/>
  <c r="P44" i="44"/>
  <c r="L46" i="44"/>
  <c r="K55" i="44"/>
  <c r="K68" i="44"/>
  <c r="K71" i="44"/>
  <c r="L116" i="44"/>
  <c r="R116" i="44"/>
  <c r="Q135" i="44"/>
  <c r="L142" i="44"/>
  <c r="Q159" i="44"/>
  <c r="R171" i="44"/>
  <c r="L171" i="44"/>
  <c r="M187" i="44"/>
  <c r="P187" i="44"/>
  <c r="M235" i="44"/>
  <c r="Q61" i="44"/>
  <c r="K61" i="44"/>
  <c r="R77" i="44"/>
  <c r="L77" i="44"/>
  <c r="M50" i="44"/>
  <c r="M147" i="44"/>
  <c r="O147" i="44"/>
  <c r="M164" i="44"/>
  <c r="P164" i="44"/>
  <c r="L225" i="44"/>
  <c r="K231" i="44"/>
  <c r="Q231" i="44"/>
  <c r="L50" i="44"/>
  <c r="M54" i="44"/>
  <c r="M91" i="44"/>
  <c r="P91" i="44"/>
  <c r="O102" i="44"/>
  <c r="M27" i="44"/>
  <c r="M186" i="44"/>
  <c r="P186" i="44"/>
  <c r="M9" i="44"/>
  <c r="L99" i="44"/>
  <c r="K112" i="44"/>
  <c r="Q112" i="44"/>
  <c r="K31" i="44"/>
  <c r="P38" i="44"/>
  <c r="L39" i="44"/>
  <c r="O42" i="44"/>
  <c r="L69" i="44"/>
  <c r="K100" i="44"/>
  <c r="L114" i="44"/>
  <c r="R115" i="44"/>
  <c r="P139" i="44"/>
  <c r="M139" i="44"/>
  <c r="M169" i="44"/>
  <c r="O169" i="44"/>
  <c r="O178" i="44"/>
  <c r="M178" i="44"/>
  <c r="Q185" i="44"/>
  <c r="K185" i="44"/>
  <c r="M194" i="44"/>
  <c r="P194" i="44"/>
  <c r="L194" i="44"/>
  <c r="L224" i="44"/>
  <c r="R224" i="44"/>
  <c r="L231" i="44"/>
  <c r="O20" i="44"/>
  <c r="M31" i="44"/>
  <c r="M32" i="44"/>
  <c r="O39" i="44"/>
  <c r="K92" i="44"/>
  <c r="P100" i="44"/>
  <c r="R101" i="44"/>
  <c r="M110" i="44"/>
  <c r="P110" i="44"/>
  <c r="L112" i="44"/>
  <c r="P114" i="44"/>
  <c r="M125" i="44"/>
  <c r="M146" i="44"/>
  <c r="L164" i="44"/>
  <c r="M231" i="44"/>
  <c r="L9" i="44"/>
  <c r="K20" i="44"/>
  <c r="M83" i="44"/>
  <c r="K16" i="44"/>
  <c r="M21" i="44"/>
  <c r="Q68" i="44"/>
  <c r="K86" i="44"/>
  <c r="K91" i="44"/>
  <c r="M108" i="44"/>
  <c r="P108" i="44"/>
  <c r="P112" i="44"/>
  <c r="P130" i="44"/>
  <c r="M130" i="44"/>
  <c r="L139" i="44"/>
  <c r="Q162" i="44"/>
  <c r="K162" i="44"/>
  <c r="K164" i="44"/>
  <c r="M177" i="44"/>
  <c r="O177" i="44"/>
  <c r="K75" i="44"/>
  <c r="Q75" i="44"/>
  <c r="M116" i="44"/>
  <c r="K141" i="44"/>
  <c r="Q141" i="44"/>
  <c r="M170" i="44"/>
  <c r="P170" i="44"/>
  <c r="L15" i="44"/>
  <c r="K77" i="44"/>
  <c r="L86" i="44"/>
  <c r="R86" i="44"/>
  <c r="M87" i="44"/>
  <c r="K89" i="44"/>
  <c r="L90" i="44"/>
  <c r="Q111" i="44"/>
  <c r="R124" i="44"/>
  <c r="Q125" i="44"/>
  <c r="K130" i="44"/>
  <c r="Q130" i="44"/>
  <c r="M144" i="44"/>
  <c r="O144" i="44"/>
  <c r="M182" i="44"/>
  <c r="P182" i="44"/>
  <c r="Q230" i="44"/>
  <c r="M53" i="44"/>
  <c r="P82" i="44"/>
  <c r="M15" i="44"/>
  <c r="M16" i="44"/>
  <c r="L64" i="44"/>
  <c r="M86" i="44"/>
  <c r="P88" i="44"/>
  <c r="O89" i="44"/>
  <c r="M90" i="44"/>
  <c r="K110" i="44"/>
  <c r="L120" i="44"/>
  <c r="R121" i="44"/>
  <c r="L121" i="44"/>
  <c r="M131" i="44"/>
  <c r="P136" i="44"/>
  <c r="M136" i="44"/>
  <c r="R161" i="44"/>
  <c r="L161" i="44"/>
  <c r="O168" i="44"/>
  <c r="M168" i="44"/>
  <c r="K228" i="44"/>
  <c r="Q228" i="44"/>
  <c r="M117" i="44"/>
  <c r="L23" i="44"/>
  <c r="K37" i="44"/>
  <c r="K52" i="44"/>
  <c r="L61" i="44"/>
  <c r="M64" i="44"/>
  <c r="R65" i="44"/>
  <c r="L65" i="44"/>
  <c r="M75" i="44"/>
  <c r="P81" i="44"/>
  <c r="M81" i="44"/>
  <c r="K109" i="44"/>
  <c r="K129" i="44"/>
  <c r="Q129" i="44"/>
  <c r="P135" i="44"/>
  <c r="M135" i="44"/>
  <c r="Q191" i="44"/>
  <c r="K191" i="44"/>
  <c r="R228" i="44"/>
  <c r="L228" i="44"/>
  <c r="L130" i="44"/>
  <c r="K131" i="44"/>
  <c r="K132" i="44"/>
  <c r="R142" i="44"/>
  <c r="O154" i="44"/>
  <c r="M155" i="44"/>
  <c r="O156" i="44"/>
  <c r="K163" i="44"/>
  <c r="R197" i="44"/>
  <c r="R212" i="44"/>
  <c r="Q219" i="44"/>
  <c r="M225" i="44"/>
  <c r="L233" i="44"/>
  <c r="M95" i="44"/>
  <c r="M129" i="44"/>
  <c r="L131" i="44"/>
  <c r="M185" i="44"/>
  <c r="K187" i="44"/>
  <c r="M191" i="44"/>
  <c r="R219" i="44"/>
  <c r="Q222" i="44"/>
  <c r="M228" i="44"/>
  <c r="K48" i="44"/>
  <c r="L67" i="44"/>
  <c r="L70" i="44"/>
  <c r="M92" i="44"/>
  <c r="M97" i="44"/>
  <c r="K99" i="44"/>
  <c r="K105" i="44"/>
  <c r="K124" i="44"/>
  <c r="Q163" i="44"/>
  <c r="M179" i="44"/>
  <c r="M181" i="44"/>
  <c r="M189" i="44"/>
  <c r="L192" i="44"/>
  <c r="M208" i="44"/>
  <c r="K247" i="44"/>
  <c r="M197" i="44"/>
  <c r="M200" i="44"/>
  <c r="M211" i="44"/>
  <c r="M174" i="44"/>
  <c r="K179" i="44"/>
  <c r="M214" i="44"/>
  <c r="L145" i="44"/>
  <c r="P180" i="44"/>
  <c r="K237" i="44"/>
  <c r="K238" i="44"/>
  <c r="K240" i="44"/>
  <c r="K241" i="44"/>
  <c r="K243" i="44"/>
  <c r="K244" i="44"/>
  <c r="R247" i="44"/>
  <c r="L136" i="44"/>
  <c r="K137" i="44"/>
  <c r="K138" i="44"/>
  <c r="L144" i="44"/>
  <c r="L147" i="44"/>
  <c r="L148" i="44"/>
  <c r="M158" i="44"/>
  <c r="M161" i="44"/>
  <c r="M171" i="44"/>
  <c r="R177" i="44"/>
  <c r="M203" i="44"/>
  <c r="M216" i="44"/>
  <c r="L83" i="44"/>
  <c r="L137" i="44"/>
  <c r="L150" i="44"/>
  <c r="L151" i="44"/>
  <c r="M159" i="44"/>
  <c r="K160" i="44"/>
  <c r="L173" i="44"/>
  <c r="P174" i="44"/>
  <c r="P175" i="44"/>
  <c r="R178" i="44"/>
  <c r="L200" i="44"/>
  <c r="O211" i="44"/>
  <c r="L214" i="44"/>
  <c r="L215" i="44"/>
  <c r="L221" i="44"/>
  <c r="K224" i="44"/>
  <c r="K225" i="44"/>
  <c r="L244" i="44"/>
  <c r="P79" i="44"/>
  <c r="M79" i="44"/>
  <c r="L79" i="44"/>
  <c r="R91" i="44"/>
  <c r="L91" i="44"/>
  <c r="L12" i="44"/>
  <c r="K18" i="44"/>
  <c r="Q18" i="44"/>
  <c r="K103" i="44"/>
  <c r="Q103" i="44"/>
  <c r="L7" i="44"/>
  <c r="Q16" i="44"/>
  <c r="L17" i="44"/>
  <c r="K21" i="44"/>
  <c r="K25" i="44"/>
  <c r="L29" i="44"/>
  <c r="R29" i="44"/>
  <c r="P37" i="44"/>
  <c r="L37" i="44"/>
  <c r="O41" i="44"/>
  <c r="K41" i="44"/>
  <c r="M61" i="44"/>
  <c r="K62" i="44"/>
  <c r="O67" i="44"/>
  <c r="R72" i="44"/>
  <c r="L72" i="44"/>
  <c r="M74" i="44"/>
  <c r="L74" i="44"/>
  <c r="P74" i="44"/>
  <c r="R76" i="44"/>
  <c r="L76" i="44"/>
  <c r="L78" i="44"/>
  <c r="M104" i="44"/>
  <c r="P104" i="44"/>
  <c r="L104" i="44"/>
  <c r="L43" i="44"/>
  <c r="L58" i="44"/>
  <c r="R58" i="44"/>
  <c r="K22" i="44"/>
  <c r="Q22" i="44"/>
  <c r="L25" i="44"/>
  <c r="R25" i="44"/>
  <c r="L28" i="44"/>
  <c r="R28" i="44"/>
  <c r="K33" i="44"/>
  <c r="Q33" i="44"/>
  <c r="K36" i="44"/>
  <c r="Q36" i="44"/>
  <c r="M48" i="44"/>
  <c r="P128" i="44"/>
  <c r="M128" i="44"/>
  <c r="L128" i="44"/>
  <c r="P132" i="44"/>
  <c r="M132" i="44"/>
  <c r="Q121" i="44"/>
  <c r="K121" i="44"/>
  <c r="Q12" i="44"/>
  <c r="R18" i="44"/>
  <c r="L18" i="44"/>
  <c r="P11" i="44"/>
  <c r="L11" i="44"/>
  <c r="K24" i="44"/>
  <c r="R34" i="44"/>
  <c r="L34" i="44"/>
  <c r="L38" i="44"/>
  <c r="R38" i="44"/>
  <c r="P61" i="44"/>
  <c r="K65" i="44"/>
  <c r="K66" i="44"/>
  <c r="K69" i="44"/>
  <c r="K128" i="44"/>
  <c r="Q128" i="44"/>
  <c r="K32" i="44"/>
  <c r="Q32" i="44"/>
  <c r="M47" i="44"/>
  <c r="P47" i="44"/>
  <c r="K90" i="44"/>
  <c r="O90" i="44"/>
  <c r="K93" i="44"/>
  <c r="O93" i="44"/>
  <c r="M93" i="44"/>
  <c r="P127" i="44"/>
  <c r="M127" i="44"/>
  <c r="O115" i="44"/>
  <c r="K115" i="44"/>
  <c r="P62" i="44"/>
  <c r="M62" i="44"/>
  <c r="L6" i="44"/>
  <c r="M10" i="44"/>
  <c r="P10" i="44"/>
  <c r="L24" i="44"/>
  <c r="M40" i="44"/>
  <c r="K44" i="44"/>
  <c r="Q44" i="44"/>
  <c r="P52" i="44"/>
  <c r="L52" i="44"/>
  <c r="O56" i="44"/>
  <c r="M56" i="44"/>
  <c r="K56" i="44"/>
  <c r="Q5" i="44"/>
  <c r="K10" i="44"/>
  <c r="Q10" i="44"/>
  <c r="O15" i="44"/>
  <c r="K15" i="44"/>
  <c r="O19" i="44"/>
  <c r="K19" i="44"/>
  <c r="R27" i="44"/>
  <c r="L31" i="44"/>
  <c r="L32" i="44"/>
  <c r="R32" i="44"/>
  <c r="L35" i="44"/>
  <c r="M41" i="44"/>
  <c r="M43" i="44"/>
  <c r="P43" i="44"/>
  <c r="K47" i="44"/>
  <c r="Q47" i="44"/>
  <c r="O48" i="44"/>
  <c r="R49" i="44"/>
  <c r="L49" i="44"/>
  <c r="M51" i="44"/>
  <c r="P51" i="44"/>
  <c r="M55" i="44"/>
  <c r="P55" i="44"/>
  <c r="P19" i="44"/>
  <c r="L19" i="44"/>
  <c r="L40" i="44"/>
  <c r="R40" i="44"/>
  <c r="Q43" i="44"/>
  <c r="K43" i="44"/>
  <c r="K51" i="44"/>
  <c r="Q51" i="44"/>
  <c r="R53" i="44"/>
  <c r="L53" i="44"/>
  <c r="K57" i="44"/>
  <c r="Q57" i="44"/>
  <c r="R89" i="44"/>
  <c r="L89" i="44"/>
  <c r="R97" i="44"/>
  <c r="L97" i="44"/>
  <c r="O104" i="44"/>
  <c r="K104" i="44"/>
  <c r="P123" i="44"/>
  <c r="M123" i="44"/>
  <c r="L123" i="44"/>
  <c r="P126" i="44"/>
  <c r="M126" i="44"/>
  <c r="K123" i="44"/>
  <c r="Q123" i="44"/>
  <c r="Q82" i="44"/>
  <c r="K82" i="44"/>
  <c r="L10" i="44"/>
  <c r="K13" i="44"/>
  <c r="Q13" i="44"/>
  <c r="L14" i="44"/>
  <c r="R14" i="44"/>
  <c r="M18" i="44"/>
  <c r="M19" i="44"/>
  <c r="M22" i="44"/>
  <c r="P26" i="44"/>
  <c r="M26" i="44"/>
  <c r="L26" i="44"/>
  <c r="K58" i="44"/>
  <c r="P63" i="44"/>
  <c r="M63" i="44"/>
  <c r="L63" i="44"/>
  <c r="R113" i="44"/>
  <c r="L113" i="44"/>
  <c r="Q114" i="44"/>
  <c r="K114" i="44"/>
  <c r="P122" i="44"/>
  <c r="M122" i="44"/>
  <c r="P134" i="44"/>
  <c r="M134" i="44"/>
  <c r="L134" i="44"/>
  <c r="K134" i="44"/>
  <c r="Q134" i="44"/>
  <c r="K59" i="44"/>
  <c r="Q59" i="44"/>
  <c r="M85" i="44"/>
  <c r="P85" i="44"/>
  <c r="R92" i="44"/>
  <c r="L92" i="44"/>
  <c r="L54" i="44"/>
  <c r="R110" i="44"/>
  <c r="L110" i="44"/>
  <c r="M7" i="44"/>
  <c r="M13" i="44"/>
  <c r="P14" i="44"/>
  <c r="M29" i="44"/>
  <c r="P29" i="44"/>
  <c r="O73" i="44"/>
  <c r="M73" i="44"/>
  <c r="O77" i="44"/>
  <c r="M77" i="44"/>
  <c r="M78" i="44"/>
  <c r="P78" i="44"/>
  <c r="Q84" i="44"/>
  <c r="K84" i="44"/>
  <c r="R98" i="44"/>
  <c r="O101" i="44"/>
  <c r="Q117" i="44"/>
  <c r="K117" i="44"/>
  <c r="P118" i="44"/>
  <c r="M118" i="44"/>
  <c r="P6" i="44"/>
  <c r="M6" i="44"/>
  <c r="K7" i="44"/>
  <c r="Q14" i="44"/>
  <c r="K17" i="44"/>
  <c r="P18" i="44"/>
  <c r="L21" i="44"/>
  <c r="R21" i="44"/>
  <c r="P25" i="44"/>
  <c r="M25" i="44"/>
  <c r="O45" i="44"/>
  <c r="M45" i="44"/>
  <c r="K45" i="44"/>
  <c r="L62" i="44"/>
  <c r="M66" i="44"/>
  <c r="P66" i="44"/>
  <c r="R68" i="44"/>
  <c r="L68" i="44"/>
  <c r="M70" i="44"/>
  <c r="P70" i="44"/>
  <c r="P71" i="44"/>
  <c r="L71" i="44"/>
  <c r="K78" i="44"/>
  <c r="Q78" i="44"/>
  <c r="L84" i="44"/>
  <c r="R84" i="44"/>
  <c r="P133" i="44"/>
  <c r="M133" i="44"/>
  <c r="R118" i="44"/>
  <c r="L118" i="44"/>
  <c r="L33" i="44"/>
  <c r="L48" i="44"/>
  <c r="L59" i="44"/>
  <c r="K95" i="44"/>
  <c r="Q108" i="44"/>
  <c r="K108" i="44"/>
  <c r="P111" i="44"/>
  <c r="L111" i="44"/>
  <c r="R125" i="44"/>
  <c r="R131" i="44"/>
  <c r="R137" i="44"/>
  <c r="L22" i="44"/>
  <c r="M59" i="44"/>
  <c r="M67" i="44"/>
  <c r="L75" i="44"/>
  <c r="R78" i="44"/>
  <c r="L87" i="44"/>
  <c r="R88" i="44"/>
  <c r="L88" i="44"/>
  <c r="O95" i="44"/>
  <c r="Q105" i="44"/>
  <c r="L106" i="44"/>
  <c r="L155" i="44"/>
  <c r="R155" i="44"/>
  <c r="O166" i="44"/>
  <c r="K166" i="44"/>
  <c r="O165" i="44"/>
  <c r="K165" i="44"/>
  <c r="M166" i="44"/>
  <c r="L166" i="44"/>
  <c r="P166" i="44"/>
  <c r="R55" i="44"/>
  <c r="M69" i="44"/>
  <c r="P75" i="44"/>
  <c r="Q80" i="44"/>
  <c r="Q86" i="44"/>
  <c r="O87" i="44"/>
  <c r="P115" i="44"/>
  <c r="M115" i="44"/>
  <c r="M165" i="44"/>
  <c r="P165" i="44"/>
  <c r="L165" i="44"/>
  <c r="K184" i="44"/>
  <c r="O184" i="44"/>
  <c r="K35" i="44"/>
  <c r="K54" i="44"/>
  <c r="O119" i="44"/>
  <c r="M119" i="44"/>
  <c r="K181" i="44"/>
  <c r="O181" i="44"/>
  <c r="O183" i="44"/>
  <c r="K183" i="44"/>
  <c r="R100" i="44"/>
  <c r="L100" i="44"/>
  <c r="O180" i="44"/>
  <c r="K180" i="44"/>
  <c r="K177" i="44"/>
  <c r="Q177" i="44"/>
  <c r="P141" i="44"/>
  <c r="L141" i="44"/>
  <c r="M141" i="44"/>
  <c r="P176" i="44"/>
  <c r="M176" i="44"/>
  <c r="L176" i="44"/>
  <c r="O201" i="44"/>
  <c r="K201" i="44"/>
  <c r="M24" i="44"/>
  <c r="K29" i="44"/>
  <c r="M65" i="44"/>
  <c r="L66" i="44"/>
  <c r="K79" i="44"/>
  <c r="Q85" i="44"/>
  <c r="K85" i="44"/>
  <c r="Q118" i="44"/>
  <c r="K118" i="44"/>
  <c r="K122" i="44"/>
  <c r="Q122" i="44"/>
  <c r="K127" i="44"/>
  <c r="Q127" i="44"/>
  <c r="K133" i="44"/>
  <c r="Q133" i="44"/>
  <c r="K139" i="44"/>
  <c r="Q139" i="44"/>
  <c r="P140" i="44"/>
  <c r="M140" i="44"/>
  <c r="L140" i="44"/>
  <c r="K176" i="44"/>
  <c r="Q176" i="44"/>
  <c r="M199" i="44"/>
  <c r="L199" i="44"/>
  <c r="P199" i="44"/>
  <c r="M201" i="44"/>
  <c r="P201" i="44"/>
  <c r="L201" i="44"/>
  <c r="K140" i="44"/>
  <c r="Q140" i="44"/>
  <c r="K26" i="44"/>
  <c r="K40" i="44"/>
  <c r="L44" i="44"/>
  <c r="K63" i="44"/>
  <c r="R83" i="44"/>
  <c r="M84" i="44"/>
  <c r="O92" i="44"/>
  <c r="P102" i="44"/>
  <c r="L103" i="44"/>
  <c r="Q120" i="44"/>
  <c r="L122" i="44"/>
  <c r="L126" i="44"/>
  <c r="L127" i="44"/>
  <c r="L132" i="44"/>
  <c r="L133" i="44"/>
  <c r="L138" i="44"/>
  <c r="L85" i="44"/>
  <c r="Q35" i="44"/>
  <c r="M36" i="44"/>
  <c r="Q54" i="44"/>
  <c r="L93" i="44"/>
  <c r="R94" i="44"/>
  <c r="L94" i="44"/>
  <c r="P107" i="44"/>
  <c r="L107" i="44"/>
  <c r="M138" i="44"/>
  <c r="L149" i="44"/>
  <c r="R149" i="44"/>
  <c r="K170" i="44"/>
  <c r="O170" i="44"/>
  <c r="P172" i="44"/>
  <c r="M172" i="44"/>
  <c r="L172" i="44"/>
  <c r="Q152" i="44"/>
  <c r="K152" i="44"/>
  <c r="K153" i="44"/>
  <c r="Q153" i="44"/>
  <c r="M195" i="44"/>
  <c r="P195" i="44"/>
  <c r="O196" i="44"/>
  <c r="K196" i="44"/>
  <c r="R216" i="44"/>
  <c r="L216" i="44"/>
  <c r="K223" i="44"/>
  <c r="Q223" i="44"/>
  <c r="P226" i="44"/>
  <c r="M226" i="44"/>
  <c r="L226" i="44"/>
  <c r="R144" i="44"/>
  <c r="L152" i="44"/>
  <c r="R152" i="44"/>
  <c r="Q155" i="44"/>
  <c r="K155" i="44"/>
  <c r="K156" i="44"/>
  <c r="Q156" i="44"/>
  <c r="R158" i="44"/>
  <c r="L158" i="44"/>
  <c r="M162" i="44"/>
  <c r="P162" i="44"/>
  <c r="M196" i="44"/>
  <c r="L196" i="44"/>
  <c r="K226" i="44"/>
  <c r="Q226" i="44"/>
  <c r="P229" i="44"/>
  <c r="M229" i="44"/>
  <c r="L229" i="44"/>
  <c r="L159" i="44"/>
  <c r="R159" i="44"/>
  <c r="M163" i="44"/>
  <c r="L163" i="44"/>
  <c r="K229" i="44"/>
  <c r="Q229" i="44"/>
  <c r="P232" i="44"/>
  <c r="M232" i="44"/>
  <c r="L232" i="44"/>
  <c r="Q235" i="44"/>
  <c r="K235" i="44"/>
  <c r="M198" i="44"/>
  <c r="P198" i="44"/>
  <c r="O199" i="44"/>
  <c r="K199" i="44"/>
  <c r="K232" i="44"/>
  <c r="Q232" i="44"/>
  <c r="L235" i="44"/>
  <c r="R235" i="44"/>
  <c r="Q126" i="44"/>
  <c r="Q132" i="44"/>
  <c r="Q138" i="44"/>
  <c r="K172" i="44"/>
  <c r="Q172" i="44"/>
  <c r="K173" i="44"/>
  <c r="Q173" i="44"/>
  <c r="R179" i="44"/>
  <c r="L179" i="44"/>
  <c r="M183" i="44"/>
  <c r="M184" i="44"/>
  <c r="O190" i="44"/>
  <c r="K190" i="44"/>
  <c r="K198" i="44"/>
  <c r="M202" i="44"/>
  <c r="L202" i="44"/>
  <c r="R109" i="44"/>
  <c r="K119" i="44"/>
  <c r="K168" i="44"/>
  <c r="Q168" i="44"/>
  <c r="K169" i="44"/>
  <c r="Q169" i="44"/>
  <c r="O174" i="44"/>
  <c r="L180" i="44"/>
  <c r="R180" i="44"/>
  <c r="R182" i="44"/>
  <c r="L182" i="44"/>
  <c r="M190" i="44"/>
  <c r="L190" i="44"/>
  <c r="L198" i="44"/>
  <c r="P204" i="44"/>
  <c r="L204" i="44"/>
  <c r="L183" i="44"/>
  <c r="R183" i="44"/>
  <c r="R185" i="44"/>
  <c r="L185" i="44"/>
  <c r="K204" i="44"/>
  <c r="Q204" i="44"/>
  <c r="Q207" i="44"/>
  <c r="K207" i="44"/>
  <c r="K143" i="44"/>
  <c r="Q143" i="44"/>
  <c r="K144" i="44"/>
  <c r="Q144" i="44"/>
  <c r="L186" i="44"/>
  <c r="R186" i="44"/>
  <c r="R188" i="44"/>
  <c r="L188" i="44"/>
  <c r="M192" i="44"/>
  <c r="P192" i="44"/>
  <c r="O193" i="44"/>
  <c r="K193" i="44"/>
  <c r="L207" i="44"/>
  <c r="R207" i="44"/>
  <c r="Q210" i="44"/>
  <c r="K210" i="44"/>
  <c r="O217" i="44"/>
  <c r="K217" i="44"/>
  <c r="P245" i="44"/>
  <c r="M245" i="44"/>
  <c r="L245" i="44"/>
  <c r="Q146" i="44"/>
  <c r="K146" i="44"/>
  <c r="K147" i="44"/>
  <c r="Q147" i="44"/>
  <c r="L189" i="44"/>
  <c r="R189" i="44"/>
  <c r="M193" i="44"/>
  <c r="L193" i="44"/>
  <c r="L210" i="44"/>
  <c r="R210" i="44"/>
  <c r="Q213" i="44"/>
  <c r="K213" i="44"/>
  <c r="M217" i="44"/>
  <c r="L217" i="44"/>
  <c r="P217" i="44"/>
  <c r="P220" i="44"/>
  <c r="M220" i="44"/>
  <c r="L220" i="44"/>
  <c r="K236" i="44"/>
  <c r="O236" i="44"/>
  <c r="P239" i="44"/>
  <c r="M239" i="44"/>
  <c r="L239" i="44"/>
  <c r="P242" i="44"/>
  <c r="M242" i="44"/>
  <c r="L242" i="44"/>
  <c r="K245" i="44"/>
  <c r="Q245" i="44"/>
  <c r="K113" i="44"/>
  <c r="L143" i="44"/>
  <c r="L146" i="44"/>
  <c r="R146" i="44"/>
  <c r="Q149" i="44"/>
  <c r="K149" i="44"/>
  <c r="K150" i="44"/>
  <c r="Q150" i="44"/>
  <c r="M157" i="44"/>
  <c r="M160" i="44"/>
  <c r="L160" i="44"/>
  <c r="R169" i="44"/>
  <c r="K189" i="44"/>
  <c r="R205" i="44"/>
  <c r="L213" i="44"/>
  <c r="R213" i="44"/>
  <c r="K220" i="44"/>
  <c r="Q220" i="44"/>
  <c r="P223" i="44"/>
  <c r="M223" i="44"/>
  <c r="L223" i="44"/>
  <c r="M236" i="44"/>
  <c r="K239" i="44"/>
  <c r="Q239" i="44"/>
  <c r="K242" i="44"/>
  <c r="Q242" i="44"/>
  <c r="K202" i="44"/>
  <c r="L230" i="44"/>
  <c r="L237" i="44"/>
  <c r="L240" i="44"/>
  <c r="L243" i="44"/>
  <c r="M247" i="44"/>
  <c r="L218" i="44"/>
  <c r="M221" i="44"/>
  <c r="M224" i="44"/>
  <c r="M227" i="44"/>
  <c r="M230" i="44"/>
  <c r="M233" i="44"/>
  <c r="M237" i="44"/>
  <c r="M240" i="44"/>
  <c r="M243" i="44"/>
  <c r="K145" i="44"/>
  <c r="K148" i="44"/>
  <c r="L157" i="44"/>
  <c r="L170" i="44"/>
  <c r="L174" i="44"/>
  <c r="K178" i="44"/>
  <c r="L181" i="44"/>
  <c r="L184" i="44"/>
  <c r="L187" i="44"/>
  <c r="K206" i="44"/>
  <c r="K209" i="44"/>
  <c r="K212" i="44"/>
  <c r="K248" i="44"/>
  <c r="M248" i="44" s="1"/>
  <c r="Q205" i="44"/>
  <c r="Q208" i="44"/>
  <c r="Q211" i="44"/>
  <c r="Q214" i="44"/>
  <c r="R236" i="44"/>
  <c r="Q247" i="44"/>
  <c r="L248" i="44"/>
  <c r="S229" i="1" l="1"/>
  <c r="Z21" i="44"/>
  <c r="AA120" i="44"/>
  <c r="AB21" i="44"/>
  <c r="AB93" i="44"/>
  <c r="U21" i="44"/>
  <c r="V9" i="44"/>
  <c r="Y12" i="44"/>
  <c r="W21" i="44"/>
  <c r="U233" i="44"/>
  <c r="V233" i="44"/>
  <c r="AA131" i="44"/>
  <c r="V232" i="44"/>
  <c r="Y181" i="44"/>
  <c r="AG45" i="44"/>
  <c r="AL108" i="44"/>
  <c r="Z9" i="44"/>
  <c r="AL247" i="44"/>
  <c r="W183" i="44"/>
  <c r="AG50" i="44"/>
  <c r="W105" i="44"/>
  <c r="AB39" i="44"/>
  <c r="Y179" i="44"/>
  <c r="AG105" i="44"/>
  <c r="U105" i="44"/>
  <c r="W145" i="44"/>
  <c r="W85" i="44"/>
  <c r="AB220" i="44"/>
  <c r="W247" i="44"/>
  <c r="AL219" i="44"/>
  <c r="W81" i="44"/>
  <c r="W14" i="44"/>
  <c r="AB194" i="44"/>
  <c r="AG203" i="44"/>
  <c r="AA96" i="44"/>
  <c r="V240" i="44"/>
  <c r="AL189" i="44"/>
  <c r="Z189" i="44"/>
  <c r="AG217" i="44"/>
  <c r="AL134" i="44"/>
  <c r="AA247" i="44"/>
  <c r="W214" i="44"/>
  <c r="U214" i="1"/>
  <c r="T113" i="1"/>
  <c r="U109" i="44"/>
  <c r="AL141" i="44"/>
  <c r="U113" i="1"/>
  <c r="W222" i="44"/>
  <c r="AG106" i="44"/>
  <c r="U106" i="1"/>
  <c r="AA12" i="44"/>
  <c r="AG146" i="44"/>
  <c r="U146" i="1"/>
  <c r="AG221" i="44"/>
  <c r="U131" i="44"/>
  <c r="U133" i="44"/>
  <c r="S113" i="1"/>
  <c r="Z247" i="44"/>
  <c r="Z225" i="44"/>
  <c r="AB112" i="44"/>
  <c r="W238" i="44"/>
  <c r="AB193" i="44"/>
  <c r="U226" i="44"/>
  <c r="V213" i="44"/>
  <c r="AG188" i="44"/>
  <c r="Y240" i="44"/>
  <c r="Y147" i="44"/>
  <c r="AB122" i="44"/>
  <c r="U145" i="44"/>
  <c r="Y96" i="44"/>
  <c r="AG9" i="44"/>
  <c r="AB52" i="44"/>
  <c r="AB16" i="44"/>
  <c r="Z181" i="44"/>
  <c r="U163" i="44"/>
  <c r="W6" i="44"/>
  <c r="AG231" i="44"/>
  <c r="AA241" i="44"/>
  <c r="W189" i="44"/>
  <c r="AG166" i="44"/>
  <c r="W154" i="44"/>
  <c r="W205" i="44"/>
  <c r="AG133" i="44"/>
  <c r="AL158" i="44"/>
  <c r="V107" i="44"/>
  <c r="AA71" i="44"/>
  <c r="Y36" i="44"/>
  <c r="AG134" i="44"/>
  <c r="Y98" i="44"/>
  <c r="W23" i="44"/>
  <c r="U83" i="44"/>
  <c r="AB57" i="44"/>
  <c r="W71" i="44"/>
  <c r="AG95" i="44"/>
  <c r="AB86" i="44"/>
  <c r="AL23" i="44"/>
  <c r="AA143" i="44"/>
  <c r="AA24" i="44"/>
  <c r="W35" i="44"/>
  <c r="AG208" i="44"/>
  <c r="W233" i="44"/>
  <c r="W153" i="44"/>
  <c r="W242" i="44"/>
  <c r="U204" i="44"/>
  <c r="AG145" i="44"/>
  <c r="AL10" i="44"/>
  <c r="AL201" i="44"/>
  <c r="Y243" i="44"/>
  <c r="U225" i="44"/>
  <c r="W131" i="44"/>
  <c r="W179" i="44"/>
  <c r="AB136" i="44"/>
  <c r="AL120" i="44"/>
  <c r="AL195" i="44"/>
  <c r="U157" i="44"/>
  <c r="AG152" i="44"/>
  <c r="AL32" i="44"/>
  <c r="U34" i="44"/>
  <c r="AL235" i="44"/>
  <c r="AL68" i="44"/>
  <c r="AB139" i="44"/>
  <c r="U22" i="44"/>
  <c r="AG117" i="44"/>
  <c r="Z107" i="44"/>
  <c r="AL67" i="44"/>
  <c r="AG176" i="44"/>
  <c r="AA145" i="44"/>
  <c r="W106" i="44"/>
  <c r="AL157" i="44"/>
  <c r="Y157" i="44"/>
  <c r="AG82" i="44"/>
  <c r="U96" i="44"/>
  <c r="AG48" i="44"/>
  <c r="W24" i="44"/>
  <c r="W70" i="44"/>
  <c r="AA233" i="44"/>
  <c r="AK66" i="44"/>
  <c r="AB245" i="44"/>
  <c r="AG123" i="44"/>
  <c r="AG243" i="44"/>
  <c r="AG181" i="44"/>
  <c r="AG220" i="44"/>
  <c r="AB146" i="44"/>
  <c r="W172" i="44"/>
  <c r="W241" i="44"/>
  <c r="V191" i="44"/>
  <c r="AL231" i="44"/>
  <c r="W182" i="44"/>
  <c r="Z131" i="44"/>
  <c r="V156" i="44"/>
  <c r="AG7" i="44"/>
  <c r="Z59" i="44"/>
  <c r="W66" i="44"/>
  <c r="AG247" i="44"/>
  <c r="Y160" i="44"/>
  <c r="Y57" i="44"/>
  <c r="AB211" i="44"/>
  <c r="AG165" i="44"/>
  <c r="Y205" i="44"/>
  <c r="Y178" i="44"/>
  <c r="AG149" i="44"/>
  <c r="Y153" i="44"/>
  <c r="V114" i="44"/>
  <c r="AB110" i="44"/>
  <c r="Y93" i="44"/>
  <c r="AL92" i="44"/>
  <c r="U69" i="44"/>
  <c r="W46" i="44"/>
  <c r="AG173" i="44"/>
  <c r="U240" i="44"/>
  <c r="U132" i="44"/>
  <c r="AB186" i="44"/>
  <c r="Y154" i="44"/>
  <c r="Z94" i="44"/>
  <c r="AB135" i="44"/>
  <c r="AL73" i="44"/>
  <c r="AG54" i="44"/>
  <c r="Y234" i="44"/>
  <c r="U232" i="44"/>
  <c r="AB229" i="44"/>
  <c r="W53" i="44"/>
  <c r="U227" i="44"/>
  <c r="AL213" i="44"/>
  <c r="W167" i="44"/>
  <c r="AG101" i="44"/>
  <c r="AA121" i="44"/>
  <c r="V129" i="44"/>
  <c r="AB53" i="44"/>
  <c r="V81" i="44"/>
  <c r="Y22" i="44"/>
  <c r="AG46" i="44"/>
  <c r="U29" i="44"/>
  <c r="U85" i="44"/>
  <c r="AG43" i="44"/>
  <c r="AL21" i="44"/>
  <c r="U54" i="44"/>
  <c r="Z230" i="44"/>
  <c r="Y219" i="44"/>
  <c r="AL194" i="44"/>
  <c r="AL227" i="44"/>
  <c r="AG210" i="44"/>
  <c r="V209" i="44"/>
  <c r="AG218" i="44"/>
  <c r="V94" i="44"/>
  <c r="AG23" i="44"/>
  <c r="W240" i="44"/>
  <c r="AL218" i="44"/>
  <c r="AA21" i="44"/>
  <c r="Z24" i="44"/>
  <c r="W239" i="44"/>
  <c r="Y238" i="44"/>
  <c r="AL242" i="44"/>
  <c r="AA215" i="44"/>
  <c r="AA202" i="44"/>
  <c r="AA189" i="44"/>
  <c r="AG178" i="44"/>
  <c r="V120" i="44"/>
  <c r="AB126" i="44"/>
  <c r="U130" i="44"/>
  <c r="Z89" i="44"/>
  <c r="V105" i="44"/>
  <c r="AB49" i="44"/>
  <c r="Y109" i="44"/>
  <c r="V21" i="44"/>
  <c r="U9" i="44"/>
  <c r="AL62" i="44"/>
  <c r="Z38" i="44"/>
  <c r="AL81" i="44"/>
  <c r="AL95" i="44"/>
  <c r="AA248" i="44"/>
  <c r="Y209" i="44"/>
  <c r="W163" i="44"/>
  <c r="Y163" i="44"/>
  <c r="Y50" i="44"/>
  <c r="AB48" i="44"/>
  <c r="AB84" i="44"/>
  <c r="AA101" i="44"/>
  <c r="Y13" i="44"/>
  <c r="W13" i="44"/>
  <c r="W143" i="44"/>
  <c r="U234" i="44"/>
  <c r="AG121" i="44"/>
  <c r="AA191" i="44"/>
  <c r="AL241" i="44"/>
  <c r="AB228" i="44"/>
  <c r="AG214" i="44"/>
  <c r="AG201" i="44"/>
  <c r="AL119" i="44"/>
  <c r="AL143" i="44"/>
  <c r="AA169" i="44"/>
  <c r="AL129" i="44"/>
  <c r="W125" i="44"/>
  <c r="AL83" i="44"/>
  <c r="V47" i="44"/>
  <c r="AL159" i="44"/>
  <c r="AL123" i="44"/>
  <c r="AL149" i="44"/>
  <c r="AL179" i="44"/>
  <c r="AL61" i="44"/>
  <c r="AA58" i="44"/>
  <c r="AB62" i="44"/>
  <c r="AA35" i="44"/>
  <c r="U108" i="44"/>
  <c r="AB88" i="44"/>
  <c r="U33" i="44"/>
  <c r="AE229" i="44"/>
  <c r="V141" i="44"/>
  <c r="AG10" i="44"/>
  <c r="Y230" i="44"/>
  <c r="W161" i="44"/>
  <c r="AB214" i="44"/>
  <c r="AB175" i="44"/>
  <c r="W215" i="44"/>
  <c r="AL206" i="44"/>
  <c r="AB192" i="44"/>
  <c r="AL166" i="44"/>
  <c r="AL168" i="44"/>
  <c r="AA190" i="44"/>
  <c r="AG80" i="44"/>
  <c r="AL65" i="44"/>
  <c r="AA9" i="44"/>
  <c r="AG84" i="44"/>
  <c r="W59" i="44"/>
  <c r="V96" i="44"/>
  <c r="Y21" i="44"/>
  <c r="AA225" i="44"/>
  <c r="V197" i="44"/>
  <c r="AL147" i="44"/>
  <c r="U202" i="44"/>
  <c r="AB78" i="44"/>
  <c r="AG44" i="44"/>
  <c r="AL156" i="44"/>
  <c r="AA106" i="44"/>
  <c r="U65" i="44"/>
  <c r="U73" i="44"/>
  <c r="W61" i="44"/>
  <c r="AB40" i="44"/>
  <c r="V163" i="44"/>
  <c r="V6" i="44"/>
  <c r="AG53" i="44"/>
  <c r="W96" i="44"/>
  <c r="AL93" i="44"/>
  <c r="AA46" i="44"/>
  <c r="AL212" i="44"/>
  <c r="W216" i="44"/>
  <c r="AL167" i="44"/>
  <c r="AB100" i="44"/>
  <c r="AG118" i="44"/>
  <c r="AB75" i="44"/>
  <c r="AG11" i="44"/>
  <c r="W36" i="44"/>
  <c r="AA45" i="44"/>
  <c r="Z60" i="44"/>
  <c r="AA34" i="44"/>
  <c r="AB195" i="44"/>
  <c r="AL177" i="44"/>
  <c r="AB155" i="44"/>
  <c r="AB103" i="44"/>
  <c r="AG109" i="44"/>
  <c r="V85" i="44"/>
  <c r="AG204" i="44"/>
  <c r="AG131" i="44"/>
  <c r="Z96" i="44"/>
  <c r="U247" i="44"/>
  <c r="AB223" i="44"/>
  <c r="Y203" i="44"/>
  <c r="AA183" i="44"/>
  <c r="AL171" i="44"/>
  <c r="U162" i="44"/>
  <c r="AL116" i="44"/>
  <c r="AG193" i="44"/>
  <c r="AL74" i="44"/>
  <c r="W37" i="44"/>
  <c r="W97" i="44"/>
  <c r="AA105" i="44"/>
  <c r="AB63" i="44"/>
  <c r="W72" i="44"/>
  <c r="V58" i="44"/>
  <c r="Y247" i="44"/>
  <c r="W8" i="44"/>
  <c r="U222" i="44"/>
  <c r="AJ163" i="44"/>
  <c r="W73" i="44"/>
  <c r="V216" i="44"/>
  <c r="Y83" i="44"/>
  <c r="AB12" i="44"/>
  <c r="AG216" i="44"/>
  <c r="W227" i="44"/>
  <c r="U214" i="44"/>
  <c r="Z209" i="44"/>
  <c r="AG96" i="44"/>
  <c r="V214" i="44"/>
  <c r="AA179" i="44"/>
  <c r="U118" i="44"/>
  <c r="AB204" i="44"/>
  <c r="AG143" i="44"/>
  <c r="Z231" i="44"/>
  <c r="Z101" i="44"/>
  <c r="AL45" i="44"/>
  <c r="W118" i="44"/>
  <c r="AB163" i="44"/>
  <c r="V65" i="44"/>
  <c r="AA168" i="44"/>
  <c r="AG17" i="44"/>
  <c r="AB168" i="44"/>
  <c r="AL209" i="44"/>
  <c r="U215" i="44"/>
  <c r="U205" i="44"/>
  <c r="AB130" i="44"/>
  <c r="Y59" i="44"/>
  <c r="AA59" i="44"/>
  <c r="V33" i="44"/>
  <c r="AG245" i="44"/>
  <c r="V118" i="44"/>
  <c r="AA57" i="44"/>
  <c r="Z129" i="44"/>
  <c r="U186" i="44"/>
  <c r="AB70" i="44"/>
  <c r="U245" i="44"/>
  <c r="W133" i="44"/>
  <c r="V69" i="44"/>
  <c r="AG156" i="44"/>
  <c r="U70" i="44"/>
  <c r="AB109" i="44"/>
  <c r="Z157" i="44"/>
  <c r="AA36" i="44"/>
  <c r="Y129" i="44"/>
  <c r="AG73" i="44"/>
  <c r="Z57" i="44"/>
  <c r="AB191" i="44"/>
  <c r="W173" i="44"/>
  <c r="AF229" i="44"/>
  <c r="AG71" i="44"/>
  <c r="AG205" i="44"/>
  <c r="U81" i="44"/>
  <c r="V131" i="44"/>
  <c r="U106" i="44"/>
  <c r="AG132" i="44"/>
  <c r="V70" i="44"/>
  <c r="Y131" i="44"/>
  <c r="Z179" i="44"/>
  <c r="Y145" i="44"/>
  <c r="AB118" i="44"/>
  <c r="Z36" i="44"/>
  <c r="Z237" i="44"/>
  <c r="Y24" i="44"/>
  <c r="AB226" i="44"/>
  <c r="AG130" i="44"/>
  <c r="AB189" i="44"/>
  <c r="V132" i="44"/>
  <c r="Z145" i="44"/>
  <c r="Y191" i="44"/>
  <c r="AG241" i="44"/>
  <c r="AB82" i="44"/>
  <c r="W132" i="44"/>
  <c r="AG141" i="44"/>
  <c r="AB145" i="44"/>
  <c r="AL145" i="44"/>
  <c r="AB69" i="44"/>
  <c r="V8" i="44"/>
  <c r="AL9" i="44"/>
  <c r="Y48" i="44"/>
  <c r="Z227" i="44"/>
  <c r="AK163" i="44"/>
  <c r="W108" i="44"/>
  <c r="AG58" i="44"/>
  <c r="AB96" i="44"/>
  <c r="Z240" i="44"/>
  <c r="AG108" i="44"/>
  <c r="U173" i="44"/>
  <c r="AB73" i="44"/>
  <c r="Z154" i="44"/>
  <c r="V205" i="44"/>
  <c r="V173" i="44"/>
  <c r="W69" i="44"/>
  <c r="U192" i="44"/>
  <c r="AB9" i="44"/>
  <c r="AB230" i="44"/>
  <c r="AG136" i="44"/>
  <c r="AG72" i="44"/>
  <c r="AB143" i="44"/>
  <c r="AA22" i="44"/>
  <c r="U72" i="44"/>
  <c r="AB206" i="44"/>
  <c r="W65" i="44"/>
  <c r="W156" i="44"/>
  <c r="Z22" i="44"/>
  <c r="Y84" i="44"/>
  <c r="W232" i="44"/>
  <c r="AG120" i="44"/>
  <c r="W234" i="44"/>
  <c r="AG94" i="44"/>
  <c r="AG129" i="44"/>
  <c r="U229" i="44"/>
  <c r="W107" i="44"/>
  <c r="V234" i="44"/>
  <c r="AG229" i="44"/>
  <c r="AD229" i="44"/>
  <c r="AG163" i="44"/>
  <c r="AD163" i="44"/>
  <c r="AF163" i="44"/>
  <c r="AB60" i="44"/>
  <c r="Y121" i="44"/>
  <c r="Z71" i="44"/>
  <c r="Z143" i="44"/>
  <c r="V179" i="44"/>
  <c r="U179" i="44"/>
  <c r="V46" i="44"/>
  <c r="AL163" i="44"/>
  <c r="AI163" i="44"/>
  <c r="V189" i="44"/>
  <c r="AB156" i="44"/>
  <c r="AB72" i="44"/>
  <c r="AL107" i="44"/>
  <c r="Y94" i="44"/>
  <c r="Y233" i="44"/>
  <c r="U156" i="44"/>
  <c r="W229" i="44"/>
  <c r="AB132" i="44"/>
  <c r="W84" i="44"/>
  <c r="Y35" i="44"/>
  <c r="Y107" i="44"/>
  <c r="AA94" i="44"/>
  <c r="AG240" i="44"/>
  <c r="Z233" i="44"/>
  <c r="AB46" i="44"/>
  <c r="AB232" i="44"/>
  <c r="AL203" i="44"/>
  <c r="U209" i="44"/>
  <c r="V149" i="44"/>
  <c r="V229" i="44"/>
  <c r="Z35" i="44"/>
  <c r="AA163" i="44"/>
  <c r="AG183" i="44"/>
  <c r="U183" i="44"/>
  <c r="U197" i="44"/>
  <c r="AB45" i="44"/>
  <c r="AB36" i="44"/>
  <c r="AG69" i="44"/>
  <c r="Z163" i="44"/>
  <c r="V183" i="44"/>
  <c r="AB129" i="44"/>
  <c r="AG234" i="44"/>
  <c r="AE163" i="44"/>
  <c r="AG232" i="44"/>
  <c r="AG179" i="44"/>
  <c r="U23" i="44"/>
  <c r="AB125" i="44"/>
  <c r="AL183" i="44"/>
  <c r="AB183" i="44"/>
  <c r="Y183" i="44"/>
  <c r="V117" i="44"/>
  <c r="W209" i="44"/>
  <c r="AB33" i="44"/>
  <c r="AL181" i="44"/>
  <c r="AA181" i="44"/>
  <c r="AB202" i="44"/>
  <c r="AG237" i="44"/>
  <c r="AG12" i="44"/>
  <c r="AG33" i="44"/>
  <c r="Y105" i="44"/>
  <c r="AA237" i="44"/>
  <c r="AB181" i="44"/>
  <c r="AB113" i="44"/>
  <c r="AG8" i="44"/>
  <c r="V12" i="44"/>
  <c r="V241" i="44"/>
  <c r="V108" i="44"/>
  <c r="Y206" i="44"/>
  <c r="AG189" i="44"/>
  <c r="AL117" i="44"/>
  <c r="AG30" i="44"/>
  <c r="W33" i="44"/>
  <c r="U117" i="44"/>
  <c r="AG153" i="44"/>
  <c r="U12" i="44"/>
  <c r="W12" i="44"/>
  <c r="AB241" i="44"/>
  <c r="AB179" i="44"/>
  <c r="U216" i="44"/>
  <c r="W117" i="44"/>
  <c r="AB58" i="44"/>
  <c r="V83" i="44"/>
  <c r="V133" i="44"/>
  <c r="AB108" i="44"/>
  <c r="Y120" i="44"/>
  <c r="Z120" i="44"/>
  <c r="AL58" i="44"/>
  <c r="AA238" i="44"/>
  <c r="AG154" i="44"/>
  <c r="W237" i="44"/>
  <c r="AL106" i="44"/>
  <c r="AB227" i="44"/>
  <c r="V72" i="44"/>
  <c r="U58" i="44"/>
  <c r="U107" i="44"/>
  <c r="V153" i="44"/>
  <c r="V237" i="44"/>
  <c r="U153" i="44"/>
  <c r="Y215" i="44"/>
  <c r="AL121" i="44"/>
  <c r="Y158" i="44"/>
  <c r="Z121" i="44"/>
  <c r="AB23" i="44"/>
  <c r="Y189" i="44"/>
  <c r="AB225" i="44"/>
  <c r="AG113" i="44"/>
  <c r="AG49" i="44"/>
  <c r="Z105" i="44"/>
  <c r="AL109" i="44"/>
  <c r="W58" i="44"/>
  <c r="Y58" i="44"/>
  <c r="Z58" i="44"/>
  <c r="AB105" i="44"/>
  <c r="U241" i="44"/>
  <c r="AB81" i="44"/>
  <c r="Y241" i="44"/>
  <c r="AB233" i="44"/>
  <c r="AG142" i="44"/>
  <c r="AB29" i="44"/>
  <c r="V73" i="44"/>
  <c r="V227" i="44"/>
  <c r="W83" i="44"/>
  <c r="Y213" i="44"/>
  <c r="Z241" i="44"/>
  <c r="AA156" i="44"/>
  <c r="AG89" i="44"/>
  <c r="W245" i="44"/>
  <c r="V245" i="44"/>
  <c r="W34" i="44"/>
  <c r="AB131" i="44"/>
  <c r="Y69" i="44"/>
  <c r="Z119" i="44"/>
  <c r="Z160" i="44"/>
  <c r="V222" i="44"/>
  <c r="W82" i="44"/>
  <c r="AG13" i="44"/>
  <c r="AB24" i="44"/>
  <c r="AB13" i="44"/>
  <c r="U36" i="44"/>
  <c r="V22" i="44"/>
  <c r="U113" i="44"/>
  <c r="AA209" i="44"/>
  <c r="AL243" i="44"/>
  <c r="AA240" i="44"/>
  <c r="Y45" i="44"/>
  <c r="AB240" i="44"/>
  <c r="AL94" i="44"/>
  <c r="Y227" i="44"/>
  <c r="Z158" i="44"/>
  <c r="Z84" i="44"/>
  <c r="Y190" i="44"/>
  <c r="Z117" i="44"/>
  <c r="AB248" i="44"/>
  <c r="AA160" i="44"/>
  <c r="AG47" i="44"/>
  <c r="AB8" i="44"/>
  <c r="U8" i="44"/>
  <c r="AL234" i="44"/>
  <c r="AA234" i="44"/>
  <c r="AG114" i="44"/>
  <c r="AB117" i="44"/>
  <c r="V97" i="44"/>
  <c r="W10" i="44"/>
  <c r="AB106" i="44"/>
  <c r="V36" i="44"/>
  <c r="W22" i="44"/>
  <c r="Y231" i="44"/>
  <c r="AA227" i="44"/>
  <c r="AA69" i="44"/>
  <c r="AA158" i="44"/>
  <c r="AA84" i="44"/>
  <c r="Y71" i="44"/>
  <c r="Z190" i="44"/>
  <c r="AA117" i="44"/>
  <c r="Z234" i="44"/>
  <c r="V172" i="44"/>
  <c r="W128" i="44"/>
  <c r="V128" i="44"/>
  <c r="U128" i="44"/>
  <c r="AB128" i="44"/>
  <c r="AG97" i="44"/>
  <c r="Y117" i="44"/>
  <c r="AA138" i="44"/>
  <c r="Z138" i="44"/>
  <c r="Y138" i="44"/>
  <c r="AB94" i="44"/>
  <c r="V161" i="44"/>
  <c r="V10" i="44"/>
  <c r="V89" i="44"/>
  <c r="AB234" i="44"/>
  <c r="U172" i="44"/>
  <c r="AB172" i="44"/>
  <c r="U11" i="44"/>
  <c r="W11" i="44"/>
  <c r="V11" i="44"/>
  <c r="AG29" i="44"/>
  <c r="AG59" i="44"/>
  <c r="AG135" i="44"/>
  <c r="Y248" i="44"/>
  <c r="AB138" i="44"/>
  <c r="AB71" i="44"/>
  <c r="AA38" i="44"/>
  <c r="AA205" i="44"/>
  <c r="AG172" i="44"/>
  <c r="U10" i="44"/>
  <c r="AG36" i="44"/>
  <c r="AB169" i="44"/>
  <c r="W121" i="44"/>
  <c r="AB237" i="44"/>
  <c r="U13" i="44"/>
  <c r="U59" i="44"/>
  <c r="W29" i="44"/>
  <c r="W202" i="44"/>
  <c r="U189" i="44"/>
  <c r="V23" i="44"/>
  <c r="AB121" i="44"/>
  <c r="W129" i="44"/>
  <c r="U60" i="44"/>
  <c r="V13" i="44"/>
  <c r="V59" i="44"/>
  <c r="AA157" i="44"/>
  <c r="AL22" i="44"/>
  <c r="AL169" i="44"/>
  <c r="Z215" i="44"/>
  <c r="AA154" i="44"/>
  <c r="Z45" i="44"/>
  <c r="Z248" i="44"/>
  <c r="AB133" i="44"/>
  <c r="AB247" i="44"/>
  <c r="AB38" i="44"/>
  <c r="U223" i="44"/>
  <c r="W192" i="44"/>
  <c r="AG22" i="44"/>
  <c r="U35" i="44"/>
  <c r="AL98" i="44"/>
  <c r="Y169" i="44"/>
  <c r="Z191" i="44"/>
  <c r="Y106" i="44"/>
  <c r="AB97" i="44"/>
  <c r="AG65" i="44"/>
  <c r="AL66" i="44"/>
  <c r="AI66" i="44"/>
  <c r="AJ66" i="44"/>
  <c r="V121" i="44"/>
  <c r="AG35" i="44"/>
  <c r="V143" i="44"/>
  <c r="AB35" i="44"/>
  <c r="U154" i="44"/>
  <c r="V35" i="44"/>
  <c r="AB10" i="44"/>
  <c r="AB47" i="44"/>
  <c r="AL84" i="44"/>
  <c r="AL131" i="44"/>
  <c r="Z98" i="44"/>
  <c r="AL38" i="44"/>
  <c r="Z69" i="44"/>
  <c r="Z169" i="44"/>
  <c r="Z106" i="44"/>
  <c r="AB59" i="44"/>
  <c r="W210" i="44"/>
  <c r="AB119" i="44"/>
  <c r="AB215" i="44"/>
  <c r="U129" i="44"/>
  <c r="AB11" i="44"/>
  <c r="AB190" i="44"/>
  <c r="AA98" i="44"/>
  <c r="Y38" i="44"/>
  <c r="AG128" i="44"/>
  <c r="AB205" i="44"/>
  <c r="V29" i="44"/>
  <c r="U143" i="44"/>
  <c r="V154" i="44"/>
  <c r="AB239" i="44"/>
  <c r="AB98" i="44"/>
  <c r="AL237" i="44"/>
  <c r="AG222" i="44"/>
  <c r="V247" i="44"/>
  <c r="U208" i="44"/>
  <c r="W208" i="44"/>
  <c r="V208" i="44"/>
  <c r="AJ248" i="44"/>
  <c r="AI248" i="44"/>
  <c r="AL248" i="44"/>
  <c r="AK248" i="44"/>
  <c r="AJ215" i="44"/>
  <c r="AI215" i="44"/>
  <c r="AK215" i="44"/>
  <c r="AG175" i="44"/>
  <c r="AF175" i="44"/>
  <c r="AE175" i="44"/>
  <c r="AD175" i="44"/>
  <c r="AK222" i="44"/>
  <c r="AJ222" i="44"/>
  <c r="AL222" i="44"/>
  <c r="AI222" i="44"/>
  <c r="AA216" i="44"/>
  <c r="AL216" i="44"/>
  <c r="U74" i="44"/>
  <c r="W74" i="44"/>
  <c r="V74" i="44"/>
  <c r="AA77" i="44"/>
  <c r="Y77" i="44"/>
  <c r="AL77" i="44"/>
  <c r="AB77" i="44"/>
  <c r="Z77" i="44"/>
  <c r="AJ37" i="44"/>
  <c r="AI37" i="44"/>
  <c r="AK37" i="44"/>
  <c r="AB27" i="44"/>
  <c r="AA27" i="44"/>
  <c r="Z27" i="44"/>
  <c r="Y27" i="44"/>
  <c r="AK64" i="44"/>
  <c r="AL64" i="44"/>
  <c r="AJ64" i="44"/>
  <c r="AI64" i="44"/>
  <c r="AG14" i="44"/>
  <c r="AF14" i="44"/>
  <c r="AE14" i="44"/>
  <c r="AD14" i="44"/>
  <c r="AL11" i="44"/>
  <c r="AK11" i="44"/>
  <c r="AJ11" i="44"/>
  <c r="AI11" i="44"/>
  <c r="AE52" i="44"/>
  <c r="AD52" i="44"/>
  <c r="AG52" i="44"/>
  <c r="AF52" i="44"/>
  <c r="AE28" i="44"/>
  <c r="AD28" i="44"/>
  <c r="AG28" i="44"/>
  <c r="AF28" i="44"/>
  <c r="W31" i="44"/>
  <c r="V31" i="44"/>
  <c r="U31" i="44"/>
  <c r="AG56" i="44"/>
  <c r="AE56" i="44"/>
  <c r="AD56" i="44"/>
  <c r="AF56" i="44"/>
  <c r="AB17" i="44"/>
  <c r="U17" i="44"/>
  <c r="AB216" i="44"/>
  <c r="V17" i="44"/>
  <c r="AG61" i="44"/>
  <c r="U120" i="44"/>
  <c r="W47" i="44"/>
  <c r="AG239" i="44"/>
  <c r="AA109" i="44"/>
  <c r="AA153" i="44"/>
  <c r="AL225" i="44"/>
  <c r="Y119" i="44"/>
  <c r="Z153" i="44"/>
  <c r="AI230" i="44"/>
  <c r="AJ230" i="44"/>
  <c r="AK230" i="44"/>
  <c r="AF241" i="44"/>
  <c r="AE241" i="44"/>
  <c r="AD241" i="44"/>
  <c r="AF230" i="44"/>
  <c r="AE230" i="44"/>
  <c r="AD230" i="44"/>
  <c r="AE189" i="44"/>
  <c r="AD189" i="44"/>
  <c r="AF189" i="44"/>
  <c r="AJ217" i="44"/>
  <c r="AL217" i="44"/>
  <c r="AK217" i="44"/>
  <c r="AI217" i="44"/>
  <c r="AI175" i="44"/>
  <c r="AK175" i="44"/>
  <c r="AJ175" i="44"/>
  <c r="AL175" i="44"/>
  <c r="AL192" i="44"/>
  <c r="AJ192" i="44"/>
  <c r="AI192" i="44"/>
  <c r="AK192" i="44"/>
  <c r="AF181" i="44"/>
  <c r="AE181" i="44"/>
  <c r="AD181" i="44"/>
  <c r="AD178" i="44"/>
  <c r="AF178" i="44"/>
  <c r="AE178" i="44"/>
  <c r="V159" i="44"/>
  <c r="U159" i="44"/>
  <c r="W159" i="44"/>
  <c r="AF131" i="44"/>
  <c r="AE131" i="44"/>
  <c r="AD131" i="44"/>
  <c r="U191" i="44"/>
  <c r="W191" i="44"/>
  <c r="Z147" i="44"/>
  <c r="AB147" i="44"/>
  <c r="AA147" i="44"/>
  <c r="AL104" i="44"/>
  <c r="AK104" i="44"/>
  <c r="AJ104" i="44"/>
  <c r="AI104" i="44"/>
  <c r="AI141" i="44"/>
  <c r="AK141" i="44"/>
  <c r="AJ141" i="44"/>
  <c r="V125" i="44"/>
  <c r="U125" i="44"/>
  <c r="AG125" i="44"/>
  <c r="AA89" i="44"/>
  <c r="Y89" i="44"/>
  <c r="AL89" i="44"/>
  <c r="AA53" i="44"/>
  <c r="Z53" i="44"/>
  <c r="Y53" i="44"/>
  <c r="AI35" i="44"/>
  <c r="AL35" i="44"/>
  <c r="AK35" i="44"/>
  <c r="AJ35" i="44"/>
  <c r="AJ195" i="44"/>
  <c r="AI195" i="44"/>
  <c r="AK195" i="44"/>
  <c r="Z156" i="44"/>
  <c r="Y156" i="44"/>
  <c r="Y124" i="44"/>
  <c r="AB124" i="44"/>
  <c r="AA124" i="44"/>
  <c r="Z124" i="44"/>
  <c r="AL124" i="44"/>
  <c r="AD154" i="44"/>
  <c r="AF154" i="44"/>
  <c r="AE154" i="44"/>
  <c r="AK126" i="44"/>
  <c r="AJ126" i="44"/>
  <c r="AI126" i="44"/>
  <c r="AL126" i="44"/>
  <c r="AD142" i="44"/>
  <c r="AF142" i="44"/>
  <c r="AE142" i="44"/>
  <c r="AI103" i="44"/>
  <c r="AL103" i="44"/>
  <c r="AJ103" i="44"/>
  <c r="AK103" i="44"/>
  <c r="AK134" i="44"/>
  <c r="AJ134" i="44"/>
  <c r="AI134" i="44"/>
  <c r="AJ31" i="44"/>
  <c r="AK31" i="44"/>
  <c r="AI31" i="44"/>
  <c r="AL31" i="44"/>
  <c r="AG39" i="44"/>
  <c r="AF39" i="44"/>
  <c r="AE39" i="44"/>
  <c r="AD39" i="44"/>
  <c r="AK101" i="44"/>
  <c r="AJ101" i="44"/>
  <c r="AI101" i="44"/>
  <c r="AL101" i="44"/>
  <c r="AL48" i="44"/>
  <c r="Z48" i="44"/>
  <c r="AA48" i="44"/>
  <c r="AF29" i="44"/>
  <c r="AE29" i="44"/>
  <c r="AD29" i="44"/>
  <c r="AD58" i="44"/>
  <c r="AF58" i="44"/>
  <c r="AE58" i="44"/>
  <c r="AG92" i="44"/>
  <c r="AF92" i="44"/>
  <c r="AE92" i="44"/>
  <c r="AD92" i="44"/>
  <c r="AJ108" i="44"/>
  <c r="AI108" i="44"/>
  <c r="AK108" i="44"/>
  <c r="Y20" i="44"/>
  <c r="Z20" i="44"/>
  <c r="AB20" i="44"/>
  <c r="AA20" i="44"/>
  <c r="V76" i="44"/>
  <c r="W76" i="44"/>
  <c r="AB76" i="44"/>
  <c r="U76" i="44"/>
  <c r="AB56" i="44"/>
  <c r="AA56" i="44"/>
  <c r="Z56" i="44"/>
  <c r="Y56" i="44"/>
  <c r="AL56" i="44"/>
  <c r="W28" i="44"/>
  <c r="V28" i="44"/>
  <c r="U28" i="44"/>
  <c r="AJ9" i="44"/>
  <c r="AK9" i="44"/>
  <c r="AI9" i="44"/>
  <c r="AL53" i="44"/>
  <c r="AG16" i="44"/>
  <c r="AF214" i="44"/>
  <c r="AE214" i="44"/>
  <c r="AD214" i="44"/>
  <c r="V123" i="44"/>
  <c r="U123" i="44"/>
  <c r="W123" i="44"/>
  <c r="AK190" i="44"/>
  <c r="AI190" i="44"/>
  <c r="AJ190" i="44"/>
  <c r="AG212" i="44"/>
  <c r="AF212" i="44"/>
  <c r="AE212" i="44"/>
  <c r="AD212" i="44"/>
  <c r="U164" i="44"/>
  <c r="V164" i="44"/>
  <c r="W164" i="44"/>
  <c r="AB207" i="44"/>
  <c r="W207" i="44"/>
  <c r="V207" i="44"/>
  <c r="U207" i="44"/>
  <c r="AI138" i="44"/>
  <c r="AL138" i="44"/>
  <c r="AK138" i="44"/>
  <c r="AJ138" i="44"/>
  <c r="AF110" i="44"/>
  <c r="AE110" i="44"/>
  <c r="AD110" i="44"/>
  <c r="AG110" i="44"/>
  <c r="AF107" i="44"/>
  <c r="AE107" i="44"/>
  <c r="AD107" i="44"/>
  <c r="AJ96" i="44"/>
  <c r="AI96" i="44"/>
  <c r="AK96" i="44"/>
  <c r="AB137" i="44"/>
  <c r="AA137" i="44"/>
  <c r="Z137" i="44"/>
  <c r="Y137" i="44"/>
  <c r="W112" i="44"/>
  <c r="V112" i="44"/>
  <c r="U112" i="44"/>
  <c r="W17" i="44"/>
  <c r="V34" i="44"/>
  <c r="AB34" i="44"/>
  <c r="V239" i="44"/>
  <c r="U239" i="44"/>
  <c r="AG213" i="44"/>
  <c r="Y225" i="44"/>
  <c r="Z109" i="44"/>
  <c r="Y216" i="44"/>
  <c r="AL96" i="44"/>
  <c r="AA119" i="44"/>
  <c r="AG202" i="44"/>
  <c r="AF202" i="44"/>
  <c r="AE202" i="44"/>
  <c r="AD202" i="44"/>
  <c r="AK241" i="44"/>
  <c r="AJ241" i="44"/>
  <c r="AI241" i="44"/>
  <c r="AB208" i="44"/>
  <c r="AA208" i="44"/>
  <c r="Z208" i="44"/>
  <c r="AL208" i="44"/>
  <c r="Y208" i="44"/>
  <c r="V212" i="44"/>
  <c r="U212" i="44"/>
  <c r="W212" i="44"/>
  <c r="AG209" i="44"/>
  <c r="AG215" i="44"/>
  <c r="AD187" i="44"/>
  <c r="AG187" i="44"/>
  <c r="AF187" i="44"/>
  <c r="AE187" i="44"/>
  <c r="AL202" i="44"/>
  <c r="Z202" i="44"/>
  <c r="Y202" i="44"/>
  <c r="AL200" i="44"/>
  <c r="AK200" i="44"/>
  <c r="AJ200" i="44"/>
  <c r="AI200" i="44"/>
  <c r="U160" i="44"/>
  <c r="W160" i="44"/>
  <c r="V160" i="44"/>
  <c r="V162" i="44"/>
  <c r="AG162" i="44"/>
  <c r="W162" i="44"/>
  <c r="AA161" i="44"/>
  <c r="Y161" i="44"/>
  <c r="Z116" i="44"/>
  <c r="AB116" i="44"/>
  <c r="AA116" i="44"/>
  <c r="Y116" i="44"/>
  <c r="Z222" i="44"/>
  <c r="Y222" i="44"/>
  <c r="AB222" i="44"/>
  <c r="AA222" i="44"/>
  <c r="AG140" i="44"/>
  <c r="W140" i="44"/>
  <c r="V140" i="44"/>
  <c r="U140" i="44"/>
  <c r="AB140" i="44"/>
  <c r="AF113" i="44"/>
  <c r="AE113" i="44"/>
  <c r="AD113" i="44"/>
  <c r="AL125" i="44"/>
  <c r="AA125" i="44"/>
  <c r="Z125" i="44"/>
  <c r="Y125" i="44"/>
  <c r="U149" i="44"/>
  <c r="W149" i="44"/>
  <c r="AD106" i="44"/>
  <c r="AF106" i="44"/>
  <c r="AE106" i="44"/>
  <c r="AG103" i="44"/>
  <c r="AE72" i="44"/>
  <c r="AF72" i="44"/>
  <c r="AD72" i="44"/>
  <c r="Z152" i="44"/>
  <c r="Y152" i="44"/>
  <c r="AL152" i="44"/>
  <c r="AB152" i="44"/>
  <c r="AA152" i="44"/>
  <c r="V109" i="44"/>
  <c r="W109" i="44"/>
  <c r="Z92" i="44"/>
  <c r="AA92" i="44"/>
  <c r="AB92" i="44"/>
  <c r="Y92" i="44"/>
  <c r="AB54" i="44"/>
  <c r="Y54" i="44"/>
  <c r="AA54" i="44"/>
  <c r="Z54" i="44"/>
  <c r="AB107" i="44"/>
  <c r="AA107" i="44"/>
  <c r="U5" i="44"/>
  <c r="V5" i="44"/>
  <c r="W5" i="44"/>
  <c r="AI36" i="44"/>
  <c r="AL36" i="44"/>
  <c r="AK36" i="44"/>
  <c r="AJ36" i="44"/>
  <c r="AJ81" i="44"/>
  <c r="AI81" i="44"/>
  <c r="AK81" i="44"/>
  <c r="U62" i="44"/>
  <c r="W62" i="44"/>
  <c r="V62" i="44"/>
  <c r="U64" i="44"/>
  <c r="W64" i="44"/>
  <c r="V64" i="44"/>
  <c r="AG64" i="44"/>
  <c r="AI26" i="44"/>
  <c r="AL26" i="44"/>
  <c r="AK26" i="44"/>
  <c r="AJ26" i="44"/>
  <c r="AF49" i="44"/>
  <c r="AE49" i="44"/>
  <c r="AD49" i="44"/>
  <c r="AL24" i="44"/>
  <c r="AK24" i="44"/>
  <c r="AJ24" i="44"/>
  <c r="AI24" i="44"/>
  <c r="AK23" i="44"/>
  <c r="AJ23" i="44"/>
  <c r="AI23" i="44"/>
  <c r="V88" i="44"/>
  <c r="W88" i="44"/>
  <c r="U88" i="44"/>
  <c r="AK54" i="44"/>
  <c r="AJ54" i="44"/>
  <c r="AI54" i="44"/>
  <c r="AL54" i="44"/>
  <c r="AK10" i="44"/>
  <c r="AJ10" i="44"/>
  <c r="AI10" i="44"/>
  <c r="AB6" i="44"/>
  <c r="U6" i="44"/>
  <c r="AE12" i="44"/>
  <c r="AF12" i="44"/>
  <c r="AD12" i="44"/>
  <c r="AE224" i="44"/>
  <c r="AD224" i="44"/>
  <c r="AG224" i="44"/>
  <c r="AF224" i="44"/>
  <c r="AB198" i="44"/>
  <c r="U198" i="44"/>
  <c r="AJ122" i="44"/>
  <c r="AK122" i="44"/>
  <c r="AI122" i="44"/>
  <c r="AB18" i="44"/>
  <c r="U18" i="44"/>
  <c r="AG18" i="44"/>
  <c r="V198" i="44"/>
  <c r="AG167" i="44"/>
  <c r="V238" i="44"/>
  <c r="AB203" i="44"/>
  <c r="AG34" i="44"/>
  <c r="V225" i="44"/>
  <c r="W9" i="44"/>
  <c r="Z213" i="44"/>
  <c r="AD240" i="44"/>
  <c r="AE240" i="44"/>
  <c r="AF240" i="44"/>
  <c r="AG230" i="44"/>
  <c r="W230" i="44"/>
  <c r="U230" i="44"/>
  <c r="V230" i="44"/>
  <c r="AF215" i="44"/>
  <c r="AE215" i="44"/>
  <c r="AD215" i="44"/>
  <c r="W226" i="44"/>
  <c r="V226" i="44"/>
  <c r="AD206" i="44"/>
  <c r="AF206" i="44"/>
  <c r="AE206" i="44"/>
  <c r="AE170" i="44"/>
  <c r="AD170" i="44"/>
  <c r="AG170" i="44"/>
  <c r="AF170" i="44"/>
  <c r="AL238" i="44"/>
  <c r="AJ221" i="44"/>
  <c r="AI221" i="44"/>
  <c r="AL221" i="44"/>
  <c r="AK221" i="44"/>
  <c r="AB161" i="44"/>
  <c r="U161" i="44"/>
  <c r="Y211" i="44"/>
  <c r="AL211" i="44"/>
  <c r="AA211" i="44"/>
  <c r="Z211" i="44"/>
  <c r="AL176" i="44"/>
  <c r="AK176" i="44"/>
  <c r="AJ176" i="44"/>
  <c r="AI176" i="44"/>
  <c r="AI160" i="44"/>
  <c r="AL160" i="44"/>
  <c r="AJ160" i="44"/>
  <c r="AK160" i="44"/>
  <c r="AK130" i="44"/>
  <c r="AI130" i="44"/>
  <c r="AJ130" i="44"/>
  <c r="AK184" i="44"/>
  <c r="AJ184" i="44"/>
  <c r="AL184" i="44"/>
  <c r="AI184" i="44"/>
  <c r="AL244" i="44"/>
  <c r="AK244" i="44"/>
  <c r="AJ244" i="44"/>
  <c r="AI244" i="44"/>
  <c r="AI193" i="44"/>
  <c r="AK193" i="44"/>
  <c r="AJ193" i="44"/>
  <c r="AG126" i="44"/>
  <c r="V126" i="44"/>
  <c r="U126" i="44"/>
  <c r="W126" i="44"/>
  <c r="AI145" i="44"/>
  <c r="AK145" i="44"/>
  <c r="AJ145" i="44"/>
  <c r="Z83" i="44"/>
  <c r="AA83" i="44"/>
  <c r="W50" i="44"/>
  <c r="U50" i="44"/>
  <c r="AG31" i="44"/>
  <c r="AF31" i="44"/>
  <c r="AE31" i="44"/>
  <c r="AD31" i="44"/>
  <c r="AE179" i="44"/>
  <c r="AD179" i="44"/>
  <c r="AF179" i="44"/>
  <c r="AE186" i="44"/>
  <c r="AD186" i="44"/>
  <c r="AG186" i="44"/>
  <c r="AF186" i="44"/>
  <c r="AK154" i="44"/>
  <c r="AL154" i="44"/>
  <c r="AJ154" i="44"/>
  <c r="AI154" i="44"/>
  <c r="AG151" i="44"/>
  <c r="AF151" i="44"/>
  <c r="AE151" i="44"/>
  <c r="AD151" i="44"/>
  <c r="U124" i="44"/>
  <c r="W124" i="44"/>
  <c r="V124" i="44"/>
  <c r="U137" i="44"/>
  <c r="W137" i="44"/>
  <c r="U98" i="44"/>
  <c r="W98" i="44"/>
  <c r="V98" i="44"/>
  <c r="AG27" i="44"/>
  <c r="AF27" i="44"/>
  <c r="AE27" i="44"/>
  <c r="AD27" i="44"/>
  <c r="AF88" i="44"/>
  <c r="AE88" i="44"/>
  <c r="AG88" i="44"/>
  <c r="AD88" i="44"/>
  <c r="AG19" i="44"/>
  <c r="AE19" i="44"/>
  <c r="AF19" i="44"/>
  <c r="AD19" i="44"/>
  <c r="AE38" i="44"/>
  <c r="AF38" i="44"/>
  <c r="AD38" i="44"/>
  <c r="AK85" i="44"/>
  <c r="AI85" i="44"/>
  <c r="AJ85" i="44"/>
  <c r="AD45" i="44"/>
  <c r="AF45" i="44"/>
  <c r="AE45" i="44"/>
  <c r="U94" i="44"/>
  <c r="W94" i="44"/>
  <c r="AF73" i="44"/>
  <c r="AE73" i="44"/>
  <c r="AD73" i="44"/>
  <c r="AG112" i="44"/>
  <c r="AL57" i="44"/>
  <c r="AL46" i="44"/>
  <c r="Y46" i="44"/>
  <c r="Z46" i="44"/>
  <c r="AK20" i="44"/>
  <c r="AL20" i="44"/>
  <c r="AJ20" i="44"/>
  <c r="AI20" i="44"/>
  <c r="AD6" i="44"/>
  <c r="AG6" i="44"/>
  <c r="AF6" i="44"/>
  <c r="AE6" i="44"/>
  <c r="AE95" i="44"/>
  <c r="AF95" i="44"/>
  <c r="AD95" i="44"/>
  <c r="AD102" i="44"/>
  <c r="AG102" i="44"/>
  <c r="AF102" i="44"/>
  <c r="AE102" i="44"/>
  <c r="AG91" i="44"/>
  <c r="AE91" i="44"/>
  <c r="AD91" i="44"/>
  <c r="AF91" i="44"/>
  <c r="AL7" i="44"/>
  <c r="AK7" i="44"/>
  <c r="AJ7" i="44"/>
  <c r="AI7" i="44"/>
  <c r="AG83" i="44"/>
  <c r="AF83" i="44"/>
  <c r="AE83" i="44"/>
  <c r="AD83" i="44"/>
  <c r="W52" i="44"/>
  <c r="V52" i="44"/>
  <c r="U52" i="44"/>
  <c r="AK115" i="44"/>
  <c r="AL115" i="44"/>
  <c r="AJ115" i="44"/>
  <c r="AI115" i="44"/>
  <c r="AE124" i="44"/>
  <c r="AD124" i="44"/>
  <c r="AG124" i="44"/>
  <c r="AF124" i="44"/>
  <c r="AK132" i="44"/>
  <c r="AJ132" i="44"/>
  <c r="AI132" i="44"/>
  <c r="U99" i="44"/>
  <c r="W99" i="44"/>
  <c r="V99" i="44"/>
  <c r="AE55" i="44"/>
  <c r="AG55" i="44"/>
  <c r="AD55" i="44"/>
  <c r="AF55" i="44"/>
  <c r="AL144" i="44"/>
  <c r="AA144" i="44"/>
  <c r="Z144" i="44"/>
  <c r="Y144" i="44"/>
  <c r="W100" i="44"/>
  <c r="U100" i="44"/>
  <c r="V100" i="44"/>
  <c r="AE90" i="44"/>
  <c r="AG90" i="44"/>
  <c r="AF90" i="44"/>
  <c r="AD90" i="44"/>
  <c r="AL30" i="44"/>
  <c r="AK30" i="44"/>
  <c r="AJ30" i="44"/>
  <c r="AI30" i="44"/>
  <c r="U63" i="44"/>
  <c r="W63" i="44"/>
  <c r="V63" i="44"/>
  <c r="AL71" i="44"/>
  <c r="AK71" i="44"/>
  <c r="AJ71" i="44"/>
  <c r="AI71" i="44"/>
  <c r="AJ51" i="44"/>
  <c r="AK51" i="44"/>
  <c r="AI51" i="44"/>
  <c r="AJ33" i="44"/>
  <c r="AI33" i="44"/>
  <c r="AK33" i="44"/>
  <c r="AF70" i="44"/>
  <c r="AD70" i="44"/>
  <c r="AG70" i="44"/>
  <c r="AE70" i="44"/>
  <c r="AK59" i="44"/>
  <c r="AI59" i="44"/>
  <c r="AJ59" i="44"/>
  <c r="AD81" i="44"/>
  <c r="AF81" i="44"/>
  <c r="AE81" i="44"/>
  <c r="AL42" i="44"/>
  <c r="AJ42" i="44"/>
  <c r="AI42" i="44"/>
  <c r="AK42" i="44"/>
  <c r="AE17" i="44"/>
  <c r="AD17" i="44"/>
  <c r="AF17" i="44"/>
  <c r="AF21" i="44"/>
  <c r="AD21" i="44"/>
  <c r="AE21" i="44"/>
  <c r="W16" i="44"/>
  <c r="V16" i="44"/>
  <c r="U16" i="44"/>
  <c r="W18" i="44"/>
  <c r="V157" i="44"/>
  <c r="AL228" i="44"/>
  <c r="Z228" i="44"/>
  <c r="AA228" i="44"/>
  <c r="Y228" i="44"/>
  <c r="AB158" i="44"/>
  <c r="AG158" i="44"/>
  <c r="U158" i="44"/>
  <c r="V158" i="44"/>
  <c r="AE197" i="44"/>
  <c r="AD197" i="44"/>
  <c r="AF197" i="44"/>
  <c r="AD180" i="44"/>
  <c r="AF180" i="44"/>
  <c r="AE180" i="44"/>
  <c r="AG122" i="44"/>
  <c r="U122" i="44"/>
  <c r="V122" i="44"/>
  <c r="W122" i="44"/>
  <c r="AL137" i="44"/>
  <c r="AG78" i="44"/>
  <c r="V78" i="44"/>
  <c r="W78" i="44"/>
  <c r="U78" i="44"/>
  <c r="AF25" i="44"/>
  <c r="AE25" i="44"/>
  <c r="AD25" i="44"/>
  <c r="AK148" i="44"/>
  <c r="AL148" i="44"/>
  <c r="AI148" i="44"/>
  <c r="AJ148" i="44"/>
  <c r="AI165" i="44"/>
  <c r="AJ165" i="44"/>
  <c r="AK165" i="44"/>
  <c r="AD148" i="44"/>
  <c r="AG148" i="44"/>
  <c r="AF148" i="44"/>
  <c r="AE148" i="44"/>
  <c r="AI123" i="44"/>
  <c r="AK123" i="44"/>
  <c r="AJ123" i="44"/>
  <c r="U142" i="44"/>
  <c r="W142" i="44"/>
  <c r="V142" i="44"/>
  <c r="AL173" i="44"/>
  <c r="AK173" i="44"/>
  <c r="AJ173" i="44"/>
  <c r="AI173" i="44"/>
  <c r="Z93" i="44"/>
  <c r="AA93" i="44"/>
  <c r="AF109" i="44"/>
  <c r="AE109" i="44"/>
  <c r="AD109" i="44"/>
  <c r="AE48" i="44"/>
  <c r="AF48" i="44"/>
  <c r="AD48" i="44"/>
  <c r="AK46" i="44"/>
  <c r="AJ46" i="44"/>
  <c r="AI46" i="44"/>
  <c r="U43" i="44"/>
  <c r="W43" i="44"/>
  <c r="V43" i="44"/>
  <c r="AB43" i="44"/>
  <c r="AL16" i="44"/>
  <c r="AK16" i="44"/>
  <c r="AJ16" i="44"/>
  <c r="AI16" i="44"/>
  <c r="AK93" i="44"/>
  <c r="AJ93" i="44"/>
  <c r="AI93" i="44"/>
  <c r="AG93" i="44"/>
  <c r="AE93" i="44"/>
  <c r="AD93" i="44"/>
  <c r="AF93" i="44"/>
  <c r="AG87" i="44"/>
  <c r="AD87" i="44"/>
  <c r="AF87" i="44"/>
  <c r="AE87" i="44"/>
  <c r="AI13" i="44"/>
  <c r="AK13" i="44"/>
  <c r="AJ13" i="44"/>
  <c r="AL12" i="44"/>
  <c r="AK12" i="44"/>
  <c r="AJ12" i="44"/>
  <c r="AI12" i="44"/>
  <c r="AB14" i="44"/>
  <c r="V14" i="44"/>
  <c r="U14" i="44"/>
  <c r="V50" i="44"/>
  <c r="V215" i="44"/>
  <c r="V202" i="44"/>
  <c r="AB83" i="44"/>
  <c r="AG226" i="44"/>
  <c r="AG155" i="44"/>
  <c r="U213" i="44"/>
  <c r="AB89" i="44"/>
  <c r="AG191" i="44"/>
  <c r="U97" i="44"/>
  <c r="V137" i="44"/>
  <c r="W157" i="44"/>
  <c r="U47" i="44"/>
  <c r="V167" i="44"/>
  <c r="AB154" i="44"/>
  <c r="AB22" i="44"/>
  <c r="W225" i="44"/>
  <c r="AB85" i="44"/>
  <c r="W141" i="44"/>
  <c r="Z161" i="44"/>
  <c r="AB238" i="44"/>
  <c r="Y9" i="44"/>
  <c r="Z238" i="44"/>
  <c r="Z203" i="44"/>
  <c r="AL59" i="44"/>
  <c r="AL190" i="44"/>
  <c r="AA129" i="44"/>
  <c r="Y224" i="44"/>
  <c r="AB224" i="44"/>
  <c r="AA224" i="44"/>
  <c r="Z224" i="44"/>
  <c r="AL224" i="44"/>
  <c r="U231" i="44"/>
  <c r="W231" i="44"/>
  <c r="V231" i="44"/>
  <c r="AJ202" i="44"/>
  <c r="AI202" i="44"/>
  <c r="AK202" i="44"/>
  <c r="AI166" i="44"/>
  <c r="AK166" i="44"/>
  <c r="AJ166" i="44"/>
  <c r="Z200" i="44"/>
  <c r="AB200" i="44"/>
  <c r="AA200" i="44"/>
  <c r="Y200" i="44"/>
  <c r="V186" i="44"/>
  <c r="W186" i="44"/>
  <c r="AG207" i="44"/>
  <c r="V116" i="44"/>
  <c r="U116" i="44"/>
  <c r="W116" i="44"/>
  <c r="AA99" i="44"/>
  <c r="AB99" i="44"/>
  <c r="Z99" i="44"/>
  <c r="Y99" i="44"/>
  <c r="V192" i="44"/>
  <c r="AG192" i="44"/>
  <c r="V113" i="44"/>
  <c r="W113" i="44"/>
  <c r="AJ162" i="44"/>
  <c r="AL162" i="44"/>
  <c r="AI162" i="44"/>
  <c r="AK162" i="44"/>
  <c r="AK167" i="44"/>
  <c r="AJ167" i="44"/>
  <c r="AI167" i="44"/>
  <c r="AB151" i="44"/>
  <c r="AA151" i="44"/>
  <c r="Z151" i="44"/>
  <c r="Y151" i="44"/>
  <c r="AD116" i="44"/>
  <c r="AG116" i="44"/>
  <c r="AF116" i="44"/>
  <c r="AE116" i="44"/>
  <c r="AB162" i="44"/>
  <c r="AA162" i="44"/>
  <c r="Y162" i="44"/>
  <c r="Z162" i="44"/>
  <c r="AD98" i="44"/>
  <c r="AF98" i="44"/>
  <c r="AE98" i="44"/>
  <c r="AG98" i="44"/>
  <c r="AL87" i="44"/>
  <c r="AK87" i="44"/>
  <c r="AJ87" i="44"/>
  <c r="AI87" i="44"/>
  <c r="AF115" i="44"/>
  <c r="AE115" i="44"/>
  <c r="AG115" i="44"/>
  <c r="AD115" i="44"/>
  <c r="U53" i="44"/>
  <c r="V53" i="44"/>
  <c r="AL105" i="44"/>
  <c r="AK105" i="44"/>
  <c r="AJ105" i="44"/>
  <c r="AI105" i="44"/>
  <c r="AG137" i="44"/>
  <c r="AF137" i="44"/>
  <c r="AE137" i="44"/>
  <c r="AD137" i="44"/>
  <c r="W79" i="44"/>
  <c r="V79" i="44"/>
  <c r="U79" i="44"/>
  <c r="AG74" i="44"/>
  <c r="AF11" i="44"/>
  <c r="AE11" i="44"/>
  <c r="AD11" i="44"/>
  <c r="AL43" i="44"/>
  <c r="AK43" i="44"/>
  <c r="AJ43" i="44"/>
  <c r="AI43" i="44"/>
  <c r="AL69" i="44"/>
  <c r="AA60" i="44"/>
  <c r="Y60" i="44"/>
  <c r="AL60" i="44"/>
  <c r="AB101" i="44"/>
  <c r="Y101" i="44"/>
  <c r="V32" i="44"/>
  <c r="AG32" i="44"/>
  <c r="W32" i="44"/>
  <c r="U32" i="44"/>
  <c r="U71" i="44"/>
  <c r="V71" i="44"/>
  <c r="AL13" i="44"/>
  <c r="AA13" i="44"/>
  <c r="Z13" i="44"/>
  <c r="Z28" i="44"/>
  <c r="AB28" i="44"/>
  <c r="AA28" i="44"/>
  <c r="Y28" i="44"/>
  <c r="AL28" i="44"/>
  <c r="AB66" i="44"/>
  <c r="V66" i="44"/>
  <c r="U66" i="44"/>
  <c r="AI226" i="44"/>
  <c r="AK226" i="44"/>
  <c r="AJ226" i="44"/>
  <c r="AK214" i="44"/>
  <c r="AI214" i="44"/>
  <c r="AJ214" i="44"/>
  <c r="AK205" i="44"/>
  <c r="AJ205" i="44"/>
  <c r="AI205" i="44"/>
  <c r="AB182" i="44"/>
  <c r="V182" i="44"/>
  <c r="U182" i="44"/>
  <c r="AG171" i="44"/>
  <c r="AF171" i="44"/>
  <c r="AE171" i="44"/>
  <c r="AD171" i="44"/>
  <c r="AA173" i="44"/>
  <c r="Z173" i="44"/>
  <c r="Y173" i="44"/>
  <c r="AB173" i="44"/>
  <c r="AL197" i="44"/>
  <c r="Y197" i="44"/>
  <c r="AA197" i="44"/>
  <c r="Z197" i="44"/>
  <c r="AL151" i="44"/>
  <c r="AJ151" i="44"/>
  <c r="AK151" i="44"/>
  <c r="AI151" i="44"/>
  <c r="AB120" i="44"/>
  <c r="W120" i="44"/>
  <c r="AB221" i="44"/>
  <c r="AA221" i="44"/>
  <c r="Z221" i="44"/>
  <c r="Y221" i="44"/>
  <c r="U185" i="44"/>
  <c r="V185" i="44"/>
  <c r="W213" i="44"/>
  <c r="AG185" i="44"/>
  <c r="AB157" i="44"/>
  <c r="AG225" i="44"/>
  <c r="AG85" i="44"/>
  <c r="AL214" i="44"/>
  <c r="AB61" i="44"/>
  <c r="Z216" i="44"/>
  <c r="AB74" i="44"/>
  <c r="AL97" i="44"/>
  <c r="AA203" i="44"/>
  <c r="Y177" i="44"/>
  <c r="U248" i="44"/>
  <c r="W248" i="44"/>
  <c r="V248" i="44"/>
  <c r="AK223" i="44"/>
  <c r="AL223" i="44"/>
  <c r="AJ223" i="44"/>
  <c r="AI223" i="44"/>
  <c r="AK233" i="44"/>
  <c r="AJ233" i="44"/>
  <c r="AI233" i="44"/>
  <c r="AL233" i="44"/>
  <c r="AJ236" i="44"/>
  <c r="AI236" i="44"/>
  <c r="AL236" i="44"/>
  <c r="AK236" i="44"/>
  <c r="AG219" i="44"/>
  <c r="U219" i="44"/>
  <c r="W219" i="44"/>
  <c r="V219" i="44"/>
  <c r="AJ194" i="44"/>
  <c r="AI194" i="44"/>
  <c r="AK194" i="44"/>
  <c r="AF209" i="44"/>
  <c r="AE209" i="44"/>
  <c r="AD209" i="44"/>
  <c r="AB210" i="44"/>
  <c r="V210" i="44"/>
  <c r="U210" i="44"/>
  <c r="AG199" i="44"/>
  <c r="AF199" i="44"/>
  <c r="AE199" i="44"/>
  <c r="AD199" i="44"/>
  <c r="AD157" i="44"/>
  <c r="AF157" i="44"/>
  <c r="AE157" i="44"/>
  <c r="AK181" i="44"/>
  <c r="AJ181" i="44"/>
  <c r="AI181" i="44"/>
  <c r="W195" i="44"/>
  <c r="V195" i="44"/>
  <c r="U195" i="44"/>
  <c r="Y171" i="44"/>
  <c r="Z171" i="44"/>
  <c r="AB171" i="44"/>
  <c r="AA171" i="44"/>
  <c r="U188" i="44"/>
  <c r="W188" i="44"/>
  <c r="V188" i="44"/>
  <c r="AK147" i="44"/>
  <c r="AJ147" i="44"/>
  <c r="AI147" i="44"/>
  <c r="W218" i="44"/>
  <c r="V218" i="44"/>
  <c r="U218" i="44"/>
  <c r="W175" i="44"/>
  <c r="V175" i="44"/>
  <c r="U175" i="44"/>
  <c r="Z184" i="44"/>
  <c r="AB184" i="44"/>
  <c r="AA184" i="44"/>
  <c r="Y184" i="44"/>
  <c r="AJ143" i="44"/>
  <c r="AK143" i="44"/>
  <c r="AI143" i="44"/>
  <c r="V148" i="44"/>
  <c r="U148" i="44"/>
  <c r="W148" i="44"/>
  <c r="AK74" i="44"/>
  <c r="AJ74" i="44"/>
  <c r="AI74" i="44"/>
  <c r="W44" i="44"/>
  <c r="V44" i="44"/>
  <c r="U44" i="44"/>
  <c r="AB44" i="44"/>
  <c r="AI19" i="44"/>
  <c r="AJ19" i="44"/>
  <c r="AL19" i="44"/>
  <c r="AK19" i="44"/>
  <c r="AJ114" i="44"/>
  <c r="AI114" i="44"/>
  <c r="AK114" i="44"/>
  <c r="AL114" i="44"/>
  <c r="V139" i="44"/>
  <c r="W139" i="44"/>
  <c r="U139" i="44"/>
  <c r="AG139" i="44"/>
  <c r="AJ164" i="44"/>
  <c r="AI164" i="44"/>
  <c r="AL164" i="44"/>
  <c r="AK164" i="44"/>
  <c r="AL136" i="44"/>
  <c r="AI136" i="44"/>
  <c r="AK136" i="44"/>
  <c r="AJ136" i="44"/>
  <c r="W87" i="44"/>
  <c r="U87" i="44"/>
  <c r="V87" i="44"/>
  <c r="AL47" i="44"/>
  <c r="AI47" i="44"/>
  <c r="AK47" i="44"/>
  <c r="AJ47" i="44"/>
  <c r="W89" i="44"/>
  <c r="U89" i="44"/>
  <c r="AI73" i="44"/>
  <c r="AK73" i="44"/>
  <c r="AJ73" i="44"/>
  <c r="AJ57" i="44"/>
  <c r="AK57" i="44"/>
  <c r="AI57" i="44"/>
  <c r="AF34" i="44"/>
  <c r="AE34" i="44"/>
  <c r="AD34" i="44"/>
  <c r="Z32" i="44"/>
  <c r="AA32" i="44"/>
  <c r="Y32" i="44"/>
  <c r="AB32" i="44"/>
  <c r="AG38" i="44"/>
  <c r="U38" i="44"/>
  <c r="W38" i="44"/>
  <c r="V38" i="44"/>
  <c r="U86" i="44"/>
  <c r="W86" i="44"/>
  <c r="V86" i="44"/>
  <c r="AG86" i="44"/>
  <c r="AB87" i="44"/>
  <c r="AA87" i="44"/>
  <c r="Y87" i="44"/>
  <c r="Z87" i="44"/>
  <c r="AG66" i="44"/>
  <c r="AF66" i="44"/>
  <c r="AE66" i="44"/>
  <c r="AD66" i="44"/>
  <c r="W40" i="44"/>
  <c r="V40" i="44"/>
  <c r="U40" i="44"/>
  <c r="W68" i="44"/>
  <c r="V68" i="44"/>
  <c r="U68" i="44"/>
  <c r="AG68" i="44"/>
  <c r="AK48" i="44"/>
  <c r="AJ48" i="44"/>
  <c r="AI48" i="44"/>
  <c r="Y64" i="44"/>
  <c r="AA64" i="44"/>
  <c r="Z64" i="44"/>
  <c r="AB64" i="44"/>
  <c r="AK201" i="44"/>
  <c r="AJ201" i="44"/>
  <c r="AI201" i="44"/>
  <c r="AE161" i="44"/>
  <c r="AF161" i="44"/>
  <c r="AD161" i="44"/>
  <c r="AJ82" i="44"/>
  <c r="AI82" i="44"/>
  <c r="AK82" i="44"/>
  <c r="U167" i="44"/>
  <c r="AG197" i="44"/>
  <c r="AG180" i="44"/>
  <c r="W185" i="44"/>
  <c r="AB178" i="44"/>
  <c r="AG21" i="44"/>
  <c r="U61" i="44"/>
  <c r="AG60" i="44"/>
  <c r="AA178" i="44"/>
  <c r="AL205" i="44"/>
  <c r="Y97" i="44"/>
  <c r="AL33" i="44"/>
  <c r="Z177" i="44"/>
  <c r="U235" i="44"/>
  <c r="W235" i="44"/>
  <c r="V235" i="44"/>
  <c r="AG235" i="44"/>
  <c r="AL230" i="44"/>
  <c r="AA230" i="44"/>
  <c r="AK242" i="44"/>
  <c r="AJ242" i="44"/>
  <c r="AI242" i="44"/>
  <c r="AE217" i="44"/>
  <c r="AD217" i="44"/>
  <c r="AF217" i="44"/>
  <c r="AL220" i="44"/>
  <c r="AK220" i="44"/>
  <c r="AJ220" i="44"/>
  <c r="AI220" i="44"/>
  <c r="AL245" i="44"/>
  <c r="AK245" i="44"/>
  <c r="AJ245" i="44"/>
  <c r="AI245" i="44"/>
  <c r="W200" i="44"/>
  <c r="V200" i="44"/>
  <c r="U200" i="44"/>
  <c r="AF166" i="44"/>
  <c r="AE166" i="44"/>
  <c r="AD166" i="44"/>
  <c r="AG182" i="44"/>
  <c r="AD182" i="44"/>
  <c r="AF182" i="44"/>
  <c r="AE182" i="44"/>
  <c r="AF165" i="44"/>
  <c r="AE165" i="44"/>
  <c r="AD165" i="44"/>
  <c r="AB197" i="44"/>
  <c r="W197" i="44"/>
  <c r="W171" i="44"/>
  <c r="V171" i="44"/>
  <c r="U171" i="44"/>
  <c r="AG206" i="44"/>
  <c r="W206" i="44"/>
  <c r="V206" i="44"/>
  <c r="U206" i="44"/>
  <c r="W101" i="44"/>
  <c r="V101" i="44"/>
  <c r="U101" i="44"/>
  <c r="U174" i="44"/>
  <c r="W174" i="44"/>
  <c r="V174" i="44"/>
  <c r="AG174" i="44"/>
  <c r="AB174" i="44"/>
  <c r="AL122" i="44"/>
  <c r="AF145" i="44"/>
  <c r="AE145" i="44"/>
  <c r="AD145" i="44"/>
  <c r="AL111" i="44"/>
  <c r="AK111" i="44"/>
  <c r="AJ111" i="44"/>
  <c r="AI111" i="44"/>
  <c r="AE160" i="44"/>
  <c r="AG160" i="44"/>
  <c r="AF160" i="44"/>
  <c r="AD160" i="44"/>
  <c r="AB148" i="44"/>
  <c r="Z148" i="44"/>
  <c r="Y148" i="44"/>
  <c r="AA148" i="44"/>
  <c r="W114" i="44"/>
  <c r="U114" i="44"/>
  <c r="AB114" i="44"/>
  <c r="AI112" i="44"/>
  <c r="AK112" i="44"/>
  <c r="AJ112" i="44"/>
  <c r="AL112" i="44"/>
  <c r="AL102" i="44"/>
  <c r="AK102" i="44"/>
  <c r="AJ102" i="44"/>
  <c r="AI102" i="44"/>
  <c r="V135" i="44"/>
  <c r="U135" i="44"/>
  <c r="W135" i="44"/>
  <c r="W152" i="44"/>
  <c r="V152" i="44"/>
  <c r="U152" i="44"/>
  <c r="V75" i="44"/>
  <c r="AG75" i="44"/>
  <c r="W75" i="44"/>
  <c r="U75" i="44"/>
  <c r="AI69" i="44"/>
  <c r="AK69" i="44"/>
  <c r="AJ69" i="44"/>
  <c r="AF9" i="44"/>
  <c r="AD9" i="44"/>
  <c r="AE9" i="44"/>
  <c r="AI90" i="44"/>
  <c r="AK90" i="44"/>
  <c r="AJ90" i="44"/>
  <c r="AL90" i="44"/>
  <c r="AA42" i="44"/>
  <c r="Z42" i="44"/>
  <c r="Y42" i="44"/>
  <c r="V84" i="44"/>
  <c r="U84" i="44"/>
  <c r="AF46" i="44"/>
  <c r="AE46" i="44"/>
  <c r="AD46" i="44"/>
  <c r="W30" i="44"/>
  <c r="V30" i="44"/>
  <c r="U30" i="44"/>
  <c r="AD24" i="44"/>
  <c r="AF24" i="44"/>
  <c r="AG24" i="44"/>
  <c r="AE24" i="44"/>
  <c r="AE65" i="44"/>
  <c r="AF65" i="44"/>
  <c r="AD65" i="44"/>
  <c r="AE23" i="44"/>
  <c r="AF23" i="44"/>
  <c r="AD23" i="44"/>
  <c r="AE222" i="44"/>
  <c r="AD222" i="44"/>
  <c r="AF222" i="44"/>
  <c r="AI187" i="44"/>
  <c r="AL187" i="44"/>
  <c r="AK187" i="44"/>
  <c r="AJ187" i="44"/>
  <c r="W158" i="44"/>
  <c r="AB177" i="44"/>
  <c r="AB141" i="44"/>
  <c r="U238" i="44"/>
  <c r="AB142" i="44"/>
  <c r="V61" i="44"/>
  <c r="V60" i="44"/>
  <c r="AA97" i="44"/>
  <c r="Z178" i="44"/>
  <c r="AL226" i="44"/>
  <c r="AL34" i="44"/>
  <c r="Z206" i="44"/>
  <c r="Z97" i="44"/>
  <c r="Y143" i="44"/>
  <c r="AA177" i="44"/>
  <c r="AF238" i="44"/>
  <c r="AE238" i="44"/>
  <c r="AD238" i="44"/>
  <c r="Y244" i="44"/>
  <c r="AB244" i="44"/>
  <c r="AA244" i="44"/>
  <c r="Z244" i="44"/>
  <c r="Z243" i="44"/>
  <c r="AA243" i="44"/>
  <c r="AB243" i="44"/>
  <c r="AL193" i="44"/>
  <c r="AA193" i="44"/>
  <c r="Y193" i="44"/>
  <c r="Z193" i="44"/>
  <c r="V223" i="44"/>
  <c r="W223" i="44"/>
  <c r="AK199" i="44"/>
  <c r="AI199" i="44"/>
  <c r="AJ199" i="44"/>
  <c r="AL199" i="44"/>
  <c r="Z196" i="44"/>
  <c r="Y196" i="44"/>
  <c r="AB196" i="44"/>
  <c r="AA196" i="44"/>
  <c r="AK197" i="44"/>
  <c r="AI197" i="44"/>
  <c r="AJ197" i="44"/>
  <c r="AD221" i="44"/>
  <c r="AF221" i="44"/>
  <c r="AE221" i="44"/>
  <c r="AL191" i="44"/>
  <c r="AK191" i="44"/>
  <c r="AJ191" i="44"/>
  <c r="AI191" i="44"/>
  <c r="AG223" i="44"/>
  <c r="AK170" i="44"/>
  <c r="AL170" i="44"/>
  <c r="AJ170" i="44"/>
  <c r="AI170" i="44"/>
  <c r="AB164" i="44"/>
  <c r="AL174" i="44"/>
  <c r="AK174" i="44"/>
  <c r="AJ174" i="44"/>
  <c r="AI174" i="44"/>
  <c r="AB185" i="44"/>
  <c r="AJ196" i="44"/>
  <c r="AL196" i="44"/>
  <c r="AK196" i="44"/>
  <c r="AI196" i="44"/>
  <c r="AG99" i="44"/>
  <c r="AE99" i="44"/>
  <c r="AF99" i="44"/>
  <c r="AD99" i="44"/>
  <c r="V130" i="44"/>
  <c r="W130" i="44"/>
  <c r="AK117" i="44"/>
  <c r="AI117" i="44"/>
  <c r="AJ117" i="44"/>
  <c r="AB37" i="44"/>
  <c r="V37" i="44"/>
  <c r="U37" i="44"/>
  <c r="AB7" i="44"/>
  <c r="AA7" i="44"/>
  <c r="Z7" i="44"/>
  <c r="Y7" i="44"/>
  <c r="AB90" i="44"/>
  <c r="Y90" i="44"/>
  <c r="AA90" i="44"/>
  <c r="Z90" i="44"/>
  <c r="AB160" i="44"/>
  <c r="AI133" i="44"/>
  <c r="AL133" i="44"/>
  <c r="AK133" i="44"/>
  <c r="AJ133" i="44"/>
  <c r="W134" i="44"/>
  <c r="V134" i="44"/>
  <c r="U134" i="44"/>
  <c r="AG164" i="44"/>
  <c r="AF164" i="44"/>
  <c r="AE164" i="44"/>
  <c r="AD164" i="44"/>
  <c r="AK106" i="44"/>
  <c r="AJ106" i="44"/>
  <c r="AI106" i="44"/>
  <c r="AK107" i="44"/>
  <c r="AJ107" i="44"/>
  <c r="AI107" i="44"/>
  <c r="AL172" i="44"/>
  <c r="AI172" i="44"/>
  <c r="AK172" i="44"/>
  <c r="AJ172" i="44"/>
  <c r="AB134" i="44"/>
  <c r="AL85" i="44"/>
  <c r="W49" i="44"/>
  <c r="V49" i="44"/>
  <c r="U49" i="44"/>
  <c r="AD79" i="44"/>
  <c r="AF79" i="44"/>
  <c r="AG79" i="44"/>
  <c r="AE79" i="44"/>
  <c r="AF97" i="44"/>
  <c r="AE97" i="44"/>
  <c r="AD97" i="44"/>
  <c r="AK45" i="44"/>
  <c r="AJ45" i="44"/>
  <c r="AI45" i="44"/>
  <c r="U24" i="44"/>
  <c r="V24" i="44"/>
  <c r="Z50" i="44"/>
  <c r="AB50" i="44"/>
  <c r="AA50" i="44"/>
  <c r="V54" i="44"/>
  <c r="W54" i="44"/>
  <c r="U39" i="44"/>
  <c r="W39" i="44"/>
  <c r="V39" i="44"/>
  <c r="AG76" i="44"/>
  <c r="AD76" i="44"/>
  <c r="AF76" i="44"/>
  <c r="AE76" i="44"/>
  <c r="AK62" i="44"/>
  <c r="AJ62" i="44"/>
  <c r="AI62" i="44"/>
  <c r="AF194" i="44"/>
  <c r="AD194" i="44"/>
  <c r="AE194" i="44"/>
  <c r="AD37" i="44"/>
  <c r="AG37" i="44"/>
  <c r="AF37" i="44"/>
  <c r="AE37" i="44"/>
  <c r="AL6" i="44"/>
  <c r="AK6" i="44"/>
  <c r="AI6" i="44"/>
  <c r="AJ6" i="44"/>
  <c r="W51" i="44"/>
  <c r="V51" i="44"/>
  <c r="U51" i="44"/>
  <c r="AE42" i="44"/>
  <c r="AD42" i="44"/>
  <c r="AG42" i="44"/>
  <c r="AF42" i="44"/>
  <c r="AG40" i="44"/>
  <c r="AF40" i="44"/>
  <c r="AE40" i="44"/>
  <c r="AD40" i="44"/>
  <c r="AB80" i="44"/>
  <c r="Z80" i="44"/>
  <c r="AA80" i="44"/>
  <c r="Y80" i="44"/>
  <c r="AL80" i="44"/>
  <c r="AL161" i="44"/>
  <c r="AB31" i="44"/>
  <c r="AA31" i="44"/>
  <c r="Z31" i="44"/>
  <c r="Y31" i="44"/>
  <c r="AK109" i="44"/>
  <c r="AJ109" i="44"/>
  <c r="AI109" i="44"/>
  <c r="AE41" i="44"/>
  <c r="AD41" i="44"/>
  <c r="AG41" i="44"/>
  <c r="AF41" i="44"/>
  <c r="AJ17" i="44"/>
  <c r="AL17" i="44"/>
  <c r="AK17" i="44"/>
  <c r="AI17" i="44"/>
  <c r="AB25" i="44"/>
  <c r="V25" i="44"/>
  <c r="V18" i="44"/>
  <c r="AL239" i="44"/>
  <c r="AK239" i="44"/>
  <c r="AJ239" i="44"/>
  <c r="AI239" i="44"/>
  <c r="W198" i="44"/>
  <c r="AG157" i="44"/>
  <c r="U82" i="44"/>
  <c r="U141" i="44"/>
  <c r="AG25" i="44"/>
  <c r="W60" i="44"/>
  <c r="AG81" i="44"/>
  <c r="AA213" i="44"/>
  <c r="AL215" i="44"/>
  <c r="Y34" i="44"/>
  <c r="AA206" i="44"/>
  <c r="Z205" i="44"/>
  <c r="AL178" i="44"/>
  <c r="AL82" i="44"/>
  <c r="AL153" i="44"/>
  <c r="AK225" i="44"/>
  <c r="AJ225" i="44"/>
  <c r="AI225" i="44"/>
  <c r="AA231" i="44"/>
  <c r="AB231" i="44"/>
  <c r="AB242" i="44"/>
  <c r="AG242" i="44"/>
  <c r="V242" i="44"/>
  <c r="U242" i="44"/>
  <c r="AE236" i="44"/>
  <c r="AD236" i="44"/>
  <c r="AG236" i="44"/>
  <c r="AF236" i="44"/>
  <c r="AB218" i="44"/>
  <c r="AA218" i="44"/>
  <c r="Z218" i="44"/>
  <c r="Y218" i="44"/>
  <c r="AA235" i="44"/>
  <c r="Z235" i="44"/>
  <c r="Y235" i="44"/>
  <c r="AB235" i="44"/>
  <c r="AK178" i="44"/>
  <c r="AJ178" i="44"/>
  <c r="AI178" i="44"/>
  <c r="V204" i="44"/>
  <c r="W204" i="44"/>
  <c r="Z168" i="44"/>
  <c r="Y168" i="44"/>
  <c r="W176" i="44"/>
  <c r="U176" i="44"/>
  <c r="AB176" i="44"/>
  <c r="V176" i="44"/>
  <c r="W220" i="44"/>
  <c r="V220" i="44"/>
  <c r="U220" i="44"/>
  <c r="AE184" i="44"/>
  <c r="AD184" i="44"/>
  <c r="AG184" i="44"/>
  <c r="AF184" i="44"/>
  <c r="AJ99" i="44"/>
  <c r="AK99" i="44"/>
  <c r="AI99" i="44"/>
  <c r="AL99" i="44"/>
  <c r="W136" i="44"/>
  <c r="V136" i="44"/>
  <c r="U136" i="44"/>
  <c r="AG159" i="44"/>
  <c r="AG200" i="44"/>
  <c r="AF104" i="44"/>
  <c r="AG104" i="44"/>
  <c r="AE104" i="44"/>
  <c r="AD104" i="44"/>
  <c r="AB188" i="44"/>
  <c r="AJ140" i="44"/>
  <c r="AI140" i="44"/>
  <c r="AL140" i="44"/>
  <c r="AK140" i="44"/>
  <c r="AF89" i="44"/>
  <c r="AE89" i="44"/>
  <c r="AD89" i="44"/>
  <c r="U110" i="44"/>
  <c r="W110" i="44"/>
  <c r="V110" i="44"/>
  <c r="U80" i="44"/>
  <c r="W80" i="44"/>
  <c r="V80" i="44"/>
  <c r="AJ44" i="44"/>
  <c r="AL44" i="44"/>
  <c r="AI44" i="44"/>
  <c r="AK44" i="44"/>
  <c r="AG100" i="44"/>
  <c r="AF100" i="44"/>
  <c r="AE100" i="44"/>
  <c r="AD100" i="44"/>
  <c r="AL127" i="44"/>
  <c r="AK127" i="44"/>
  <c r="AI127" i="44"/>
  <c r="AJ127" i="44"/>
  <c r="W146" i="44"/>
  <c r="V146" i="44"/>
  <c r="U146" i="44"/>
  <c r="AE94" i="44"/>
  <c r="AF94" i="44"/>
  <c r="AD94" i="44"/>
  <c r="AA65" i="44"/>
  <c r="Z65" i="44"/>
  <c r="AB65" i="44"/>
  <c r="Y65" i="44"/>
  <c r="AE77" i="44"/>
  <c r="AG77" i="44"/>
  <c r="AF77" i="44"/>
  <c r="AD77" i="44"/>
  <c r="AL27" i="44"/>
  <c r="AE62" i="44"/>
  <c r="AG62" i="44"/>
  <c r="AF62" i="44"/>
  <c r="AD62" i="44"/>
  <c r="AB67" i="44"/>
  <c r="AA67" i="44"/>
  <c r="Z67" i="44"/>
  <c r="Y67" i="44"/>
  <c r="AG20" i="44"/>
  <c r="AE20" i="44"/>
  <c r="AD20" i="44"/>
  <c r="AF20" i="44"/>
  <c r="AB42" i="44"/>
  <c r="AB79" i="44"/>
  <c r="AJ63" i="44"/>
  <c r="AI63" i="44"/>
  <c r="AL63" i="44"/>
  <c r="AK63" i="44"/>
  <c r="AI22" i="44"/>
  <c r="AK22" i="44"/>
  <c r="AJ22" i="44"/>
  <c r="AE63" i="44"/>
  <c r="AG63" i="44"/>
  <c r="AF63" i="44"/>
  <c r="AD63" i="44"/>
  <c r="AG51" i="44"/>
  <c r="AI237" i="44"/>
  <c r="AK237" i="44"/>
  <c r="AJ237" i="44"/>
  <c r="AK240" i="44"/>
  <c r="AJ240" i="44"/>
  <c r="AI240" i="44"/>
  <c r="AB150" i="44"/>
  <c r="AA150" i="44"/>
  <c r="Z150" i="44"/>
  <c r="Y150" i="44"/>
  <c r="AD201" i="44"/>
  <c r="AF201" i="44"/>
  <c r="AE201" i="44"/>
  <c r="AI150" i="44"/>
  <c r="AL150" i="44"/>
  <c r="AK150" i="44"/>
  <c r="AJ150" i="44"/>
  <c r="V103" i="44"/>
  <c r="U103" i="44"/>
  <c r="W103" i="44"/>
  <c r="U25" i="44"/>
  <c r="AG238" i="44"/>
  <c r="AL232" i="44"/>
  <c r="AK232" i="44"/>
  <c r="AI232" i="44"/>
  <c r="AJ232" i="44"/>
  <c r="U155" i="44"/>
  <c r="V155" i="44"/>
  <c r="W155" i="44"/>
  <c r="AB213" i="44"/>
  <c r="AG227" i="44"/>
  <c r="AG161" i="44"/>
  <c r="AB167" i="44"/>
  <c r="AB144" i="44"/>
  <c r="AG107" i="44"/>
  <c r="V82" i="44"/>
  <c r="W25" i="44"/>
  <c r="AL37" i="44"/>
  <c r="Z34" i="44"/>
  <c r="AB153" i="44"/>
  <c r="AL240" i="44"/>
  <c r="AL132" i="44"/>
  <c r="Z219" i="44"/>
  <c r="AB219" i="44"/>
  <c r="AA219" i="44"/>
  <c r="AE248" i="44"/>
  <c r="AD248" i="44"/>
  <c r="AG248" i="44"/>
  <c r="AF248" i="44"/>
  <c r="Z212" i="44"/>
  <c r="AB212" i="44"/>
  <c r="AA212" i="44"/>
  <c r="Y212" i="44"/>
  <c r="AF190" i="44"/>
  <c r="AE190" i="44"/>
  <c r="AD190" i="44"/>
  <c r="AG190" i="44"/>
  <c r="AF233" i="44"/>
  <c r="AE233" i="44"/>
  <c r="AD233" i="44"/>
  <c r="AG233" i="44"/>
  <c r="AK218" i="44"/>
  <c r="AJ218" i="44"/>
  <c r="AI218" i="44"/>
  <c r="AG196" i="44"/>
  <c r="AF196" i="44"/>
  <c r="AE196" i="44"/>
  <c r="AD196" i="44"/>
  <c r="AG194" i="44"/>
  <c r="V194" i="44"/>
  <c r="U194" i="44"/>
  <c r="W194" i="44"/>
  <c r="AL130" i="44"/>
  <c r="AD244" i="44"/>
  <c r="AG244" i="44"/>
  <c r="AF244" i="44"/>
  <c r="AE244" i="44"/>
  <c r="AE195" i="44"/>
  <c r="AG195" i="44"/>
  <c r="AD195" i="44"/>
  <c r="AF195" i="44"/>
  <c r="W243" i="44"/>
  <c r="V243" i="44"/>
  <c r="U243" i="44"/>
  <c r="AL165" i="44"/>
  <c r="AG198" i="44"/>
  <c r="AE198" i="44"/>
  <c r="AD198" i="44"/>
  <c r="AF198" i="44"/>
  <c r="AB209" i="44"/>
  <c r="AJ203" i="44"/>
  <c r="AK203" i="44"/>
  <c r="AI203" i="44"/>
  <c r="AE203" i="44"/>
  <c r="AD203" i="44"/>
  <c r="AF203" i="44"/>
  <c r="AB123" i="44"/>
  <c r="AE120" i="44"/>
  <c r="AF120" i="44"/>
  <c r="AD120" i="44"/>
  <c r="AL113" i="44"/>
  <c r="AA113" i="44"/>
  <c r="Z113" i="44"/>
  <c r="Y113" i="44"/>
  <c r="AF193" i="44"/>
  <c r="AE193" i="44"/>
  <c r="AD193" i="44"/>
  <c r="AB68" i="44"/>
  <c r="AA68" i="44"/>
  <c r="Z68" i="44"/>
  <c r="Y68" i="44"/>
  <c r="AK157" i="44"/>
  <c r="AJ157" i="44"/>
  <c r="AI157" i="44"/>
  <c r="Y159" i="44"/>
  <c r="Z159" i="44"/>
  <c r="AB159" i="44"/>
  <c r="AA159" i="44"/>
  <c r="AK128" i="44"/>
  <c r="AJ128" i="44"/>
  <c r="AI128" i="44"/>
  <c r="AL128" i="44"/>
  <c r="AB149" i="44"/>
  <c r="AA149" i="44"/>
  <c r="Z149" i="44"/>
  <c r="Y149" i="44"/>
  <c r="AD96" i="44"/>
  <c r="AF96" i="44"/>
  <c r="AE96" i="44"/>
  <c r="AJ5" i="44"/>
  <c r="AI5" i="44"/>
  <c r="AK5" i="44"/>
  <c r="AL5" i="44"/>
  <c r="Z111" i="44"/>
  <c r="Y111" i="44"/>
  <c r="AB111" i="44"/>
  <c r="AA111" i="44"/>
  <c r="AD69" i="44"/>
  <c r="AF69" i="44"/>
  <c r="AE69" i="44"/>
  <c r="AD30" i="44"/>
  <c r="AF30" i="44"/>
  <c r="AE30" i="44"/>
  <c r="AB30" i="44"/>
  <c r="Z30" i="44"/>
  <c r="Y30" i="44"/>
  <c r="AA30" i="44"/>
  <c r="W111" i="44"/>
  <c r="V111" i="44"/>
  <c r="U111" i="44"/>
  <c r="AG111" i="44"/>
  <c r="AK61" i="44"/>
  <c r="AJ61" i="44"/>
  <c r="AI61" i="44"/>
  <c r="V7" i="44"/>
  <c r="U7" i="44"/>
  <c r="W7" i="44"/>
  <c r="AD67" i="44"/>
  <c r="AE67" i="44"/>
  <c r="AF67" i="44"/>
  <c r="AG67" i="44"/>
  <c r="AL51" i="44"/>
  <c r="AB51" i="44"/>
  <c r="AA51" i="44"/>
  <c r="Z51" i="44"/>
  <c r="Y51" i="44"/>
  <c r="AJ50" i="44"/>
  <c r="AL50" i="44"/>
  <c r="AK50" i="44"/>
  <c r="AI50" i="44"/>
  <c r="AL79" i="44"/>
  <c r="AI79" i="44"/>
  <c r="AJ79" i="44"/>
  <c r="AK79" i="44"/>
  <c r="AL39" i="44"/>
  <c r="AI39" i="44"/>
  <c r="AK39" i="44"/>
  <c r="AJ39" i="44"/>
  <c r="AB5" i="44"/>
  <c r="V20" i="44"/>
  <c r="U20" i="44"/>
  <c r="W20" i="44"/>
  <c r="AG5" i="44"/>
  <c r="E16" i="17"/>
  <c r="E15" i="17"/>
  <c r="E14" i="17"/>
  <c r="E13" i="17"/>
  <c r="E12" i="17"/>
  <c r="E11" i="17"/>
  <c r="E10" i="17"/>
  <c r="E9" i="17"/>
  <c r="C121" i="43"/>
  <c r="C120" i="43"/>
  <c r="C119" i="43"/>
  <c r="C118" i="43"/>
  <c r="C117" i="43"/>
  <c r="C38" i="43"/>
  <c r="C3" i="43"/>
  <c r="C116" i="43"/>
  <c r="C111" i="43"/>
  <c r="C113" i="43"/>
  <c r="C112" i="43"/>
  <c r="C114" i="43"/>
  <c r="C109" i="43"/>
  <c r="C110" i="43"/>
  <c r="C115" i="43"/>
  <c r="C21" i="43"/>
  <c r="C104" i="43"/>
  <c r="C69" i="43"/>
  <c r="C34" i="43"/>
  <c r="C63" i="43"/>
  <c r="C122" i="43"/>
  <c r="C106" i="43"/>
  <c r="C107" i="43"/>
  <c r="C105" i="43"/>
  <c r="C101" i="43"/>
  <c r="C103" i="43"/>
  <c r="C102" i="43"/>
  <c r="C100" i="43"/>
  <c r="C16" i="17" s="1"/>
  <c r="C99" i="43"/>
  <c r="C97" i="43"/>
  <c r="C96" i="43"/>
  <c r="C94" i="43"/>
  <c r="C93" i="43"/>
  <c r="C98" i="43"/>
  <c r="C92" i="43"/>
  <c r="C95" i="43"/>
  <c r="C15" i="17" s="1"/>
  <c r="C91" i="43"/>
  <c r="C88" i="43"/>
  <c r="C77" i="43"/>
  <c r="C85" i="43"/>
  <c r="C86" i="43"/>
  <c r="C90" i="43"/>
  <c r="C87" i="43"/>
  <c r="C89" i="43"/>
  <c r="C78" i="43"/>
  <c r="C74" i="43"/>
  <c r="C76" i="43"/>
  <c r="C14" i="17" s="1"/>
  <c r="C79" i="43"/>
  <c r="C75" i="43"/>
  <c r="C83" i="43"/>
  <c r="C82" i="43"/>
  <c r="C81" i="43"/>
  <c r="C84" i="43"/>
  <c r="C80" i="43"/>
  <c r="C71" i="43"/>
  <c r="C70" i="43"/>
  <c r="C68" i="43"/>
  <c r="C73" i="43"/>
  <c r="C13" i="17" s="1"/>
  <c r="C67" i="43"/>
  <c r="C12" i="17" s="1"/>
  <c r="C72" i="43"/>
  <c r="C66" i="43"/>
  <c r="C61" i="43"/>
  <c r="C64" i="43"/>
  <c r="C60" i="43"/>
  <c r="C65" i="43"/>
  <c r="C59" i="43"/>
  <c r="C57" i="43"/>
  <c r="C11" i="17" s="1"/>
  <c r="C58" i="43"/>
  <c r="C56" i="43"/>
  <c r="C51" i="43"/>
  <c r="C52" i="43"/>
  <c r="C10" i="17" s="1"/>
  <c r="C50" i="43"/>
  <c r="C54" i="43"/>
  <c r="C49" i="43"/>
  <c r="C53" i="43"/>
  <c r="C55" i="43"/>
  <c r="C48" i="43"/>
  <c r="C45" i="43"/>
  <c r="C46" i="43"/>
  <c r="C40" i="43"/>
  <c r="C44" i="43"/>
  <c r="C42" i="43"/>
  <c r="C43" i="43"/>
  <c r="C41" i="43"/>
  <c r="C27" i="43"/>
  <c r="C39" i="43"/>
  <c r="C37" i="43"/>
  <c r="C35" i="43"/>
  <c r="C36" i="43"/>
  <c r="C32" i="43"/>
  <c r="C108" i="43"/>
  <c r="C33" i="43"/>
  <c r="C31" i="43"/>
  <c r="C29" i="43"/>
  <c r="C28" i="43"/>
  <c r="C26" i="43"/>
  <c r="C25" i="43"/>
  <c r="C47" i="43"/>
  <c r="C24" i="43"/>
  <c r="C23" i="43"/>
  <c r="C22" i="43"/>
  <c r="C20" i="43"/>
  <c r="C62" i="43"/>
  <c r="C14" i="43"/>
  <c r="C17" i="43"/>
  <c r="C11" i="43"/>
  <c r="C16" i="43"/>
  <c r="C13" i="43"/>
  <c r="C19" i="43"/>
  <c r="C12" i="43"/>
  <c r="C9" i="17" s="1"/>
  <c r="C15" i="43"/>
  <c r="C18" i="43"/>
  <c r="C10" i="43"/>
  <c r="C7" i="43"/>
  <c r="C8" i="43"/>
  <c r="C5" i="43"/>
  <c r="C6" i="43"/>
  <c r="C30" i="43"/>
  <c r="C4" i="43"/>
  <c r="C9" i="43"/>
  <c r="AG113" i="1" l="1"/>
  <c r="AO113" i="1"/>
  <c r="AF113" i="1"/>
  <c r="AN113" i="1"/>
  <c r="AE113" i="1"/>
  <c r="AM113" i="1"/>
  <c r="Y237" i="1"/>
  <c r="X237" i="1"/>
  <c r="M165" i="8" l="1"/>
  <c r="L165" i="8"/>
  <c r="K165" i="8"/>
  <c r="J165" i="8"/>
  <c r="G19" i="40" l="1"/>
  <c r="H19" i="40" s="1"/>
  <c r="G18" i="40"/>
  <c r="H18" i="40" s="1"/>
  <c r="G21" i="40"/>
  <c r="H21" i="40" s="1"/>
  <c r="G26" i="40"/>
  <c r="H26" i="40" s="1"/>
  <c r="G40" i="40"/>
  <c r="H40" i="40" s="1"/>
  <c r="G45" i="40"/>
  <c r="H45" i="40" s="1"/>
  <c r="G50" i="40"/>
  <c r="H50" i="40" s="1"/>
  <c r="G53" i="40"/>
  <c r="H53" i="40" s="1"/>
  <c r="G59" i="40"/>
  <c r="H59" i="40" s="1"/>
  <c r="G62" i="40"/>
  <c r="H62" i="40" s="1"/>
  <c r="G61" i="40"/>
  <c r="H61" i="40" s="1"/>
  <c r="G64" i="40"/>
  <c r="H64" i="40" s="1"/>
  <c r="G79" i="40"/>
  <c r="H79" i="40" s="1"/>
  <c r="G80" i="40"/>
  <c r="H80" i="40" s="1"/>
  <c r="G87" i="40"/>
  <c r="H87" i="40" s="1"/>
  <c r="G90" i="40"/>
  <c r="H90" i="40" s="1"/>
  <c r="G106" i="40"/>
  <c r="H106" i="40" s="1"/>
  <c r="G105" i="40"/>
  <c r="H105" i="40" s="1"/>
  <c r="G104" i="40"/>
  <c r="H104" i="40" s="1"/>
  <c r="G103" i="40"/>
  <c r="H103" i="40" s="1"/>
  <c r="G108" i="40"/>
  <c r="H108" i="40" s="1"/>
  <c r="G111" i="40"/>
  <c r="H111" i="40" s="1"/>
  <c r="G117" i="40"/>
  <c r="H117" i="40" s="1"/>
  <c r="G123" i="40"/>
  <c r="H123" i="40" s="1"/>
  <c r="G130" i="40"/>
  <c r="G129" i="40"/>
  <c r="H129" i="40" s="1"/>
  <c r="G138" i="40"/>
  <c r="H138" i="40" s="1"/>
  <c r="G144" i="40"/>
  <c r="H144" i="40" s="1"/>
  <c r="G157" i="40"/>
  <c r="H157" i="40" s="1"/>
  <c r="G160" i="40"/>
  <c r="H160" i="40" s="1"/>
  <c r="G163" i="40"/>
  <c r="H163" i="40" s="1"/>
  <c r="G168" i="40"/>
  <c r="H168" i="40" s="1"/>
  <c r="G177" i="40"/>
  <c r="H177" i="40" s="1"/>
  <c r="G176" i="40"/>
  <c r="H176" i="40" s="1"/>
  <c r="G180" i="40"/>
  <c r="H180" i="40" s="1"/>
  <c r="G179" i="40"/>
  <c r="H179" i="40" s="1"/>
  <c r="G190" i="40"/>
  <c r="H190" i="40" s="1"/>
  <c r="G192" i="40"/>
  <c r="H192" i="40" s="1"/>
  <c r="G195" i="40"/>
  <c r="H195" i="40" s="1"/>
  <c r="G198" i="40"/>
  <c r="H198" i="40" s="1"/>
  <c r="G197" i="40"/>
  <c r="H197" i="40" s="1"/>
  <c r="G201" i="40"/>
  <c r="H201" i="40" s="1"/>
  <c r="G203" i="40"/>
  <c r="H203" i="40" s="1"/>
  <c r="G205" i="40"/>
  <c r="H205" i="40" s="1"/>
  <c r="G219" i="40"/>
  <c r="H219" i="40" s="1"/>
  <c r="G218" i="40"/>
  <c r="H218" i="40" s="1"/>
  <c r="G217" i="40"/>
  <c r="H217" i="40" s="1"/>
  <c r="G216" i="40"/>
  <c r="H216" i="40" s="1"/>
  <c r="G222" i="40"/>
  <c r="H222" i="40" s="1"/>
  <c r="G229" i="40"/>
  <c r="H229" i="40" s="1"/>
  <c r="G236" i="40"/>
  <c r="H236" i="40" s="1"/>
  <c r="G235" i="40"/>
  <c r="H235" i="40" s="1"/>
  <c r="G237" i="40"/>
  <c r="H237" i="40" s="1"/>
  <c r="C1" i="40" l="1"/>
  <c r="D1" i="40" s="1"/>
  <c r="E1" i="40" s="1"/>
  <c r="F1" i="40" s="1"/>
  <c r="G1" i="40" s="1"/>
  <c r="D10" i="9"/>
  <c r="C10" i="9"/>
  <c r="M80" i="8"/>
  <c r="L80" i="8"/>
  <c r="K80" i="8"/>
  <c r="J80" i="8"/>
  <c r="H80" i="8"/>
  <c r="F80" i="8"/>
  <c r="D78" i="7" l="1"/>
  <c r="D150" i="12" s="1"/>
  <c r="C78" i="7"/>
  <c r="C150" i="12" s="1"/>
  <c r="N150" i="12" s="1"/>
  <c r="F25" i="28"/>
  <c r="E25" i="28"/>
  <c r="E21" i="28"/>
  <c r="F21" i="28"/>
  <c r="F12" i="28"/>
  <c r="E12" i="28"/>
  <c r="F11" i="28"/>
  <c r="E11" i="28"/>
  <c r="I44" i="28"/>
  <c r="L44" i="28" s="1"/>
  <c r="H44" i="28"/>
  <c r="F5" i="28"/>
  <c r="E5" i="28"/>
  <c r="AB113" i="1" l="1"/>
  <c r="X113" i="1"/>
  <c r="Z113" i="1"/>
  <c r="Y113" i="1"/>
  <c r="AA105" i="1"/>
  <c r="AA113" i="1" l="1"/>
  <c r="Y163" i="1" l="1"/>
  <c r="X163" i="1"/>
  <c r="Z163" i="1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F5" i="30"/>
  <c r="F4" i="30"/>
  <c r="F3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M15" i="7" l="1"/>
  <c r="K15" i="7"/>
  <c r="K37" i="7"/>
  <c r="K40" i="7"/>
  <c r="K56" i="7"/>
  <c r="K60" i="7"/>
  <c r="K70" i="7"/>
  <c r="K74" i="7"/>
  <c r="K76" i="7"/>
  <c r="K81" i="7"/>
  <c r="K84" i="7"/>
  <c r="K105" i="7"/>
  <c r="K136" i="7"/>
  <c r="K146" i="7"/>
  <c r="K167" i="7"/>
  <c r="L105" i="7" l="1"/>
  <c r="L56" i="7"/>
  <c r="L40" i="7"/>
  <c r="L167" i="7"/>
  <c r="L37" i="7"/>
  <c r="L146" i="7"/>
  <c r="L74" i="7"/>
  <c r="L60" i="7"/>
  <c r="L76" i="7"/>
  <c r="L136" i="7"/>
  <c r="M37" i="7" l="1"/>
  <c r="M167" i="7"/>
  <c r="M56" i="7"/>
  <c r="M76" i="7"/>
  <c r="M40" i="7"/>
  <c r="M105" i="7"/>
  <c r="M146" i="7"/>
  <c r="M74" i="7"/>
  <c r="M136" i="7"/>
  <c r="M60" i="7"/>
  <c r="C8" i="7" l="1"/>
  <c r="C12" i="12" s="1"/>
  <c r="N12" i="12" s="1"/>
  <c r="I8" i="10"/>
  <c r="H8" i="10"/>
  <c r="G8" i="10"/>
  <c r="F8" i="10"/>
  <c r="I14" i="9"/>
  <c r="H14" i="9"/>
  <c r="G14" i="9"/>
  <c r="F14" i="9"/>
  <c r="K14" i="9" s="1"/>
  <c r="I168" i="7" l="1"/>
  <c r="H168" i="7"/>
  <c r="G168" i="7"/>
  <c r="F168" i="7"/>
  <c r="C156" i="3" l="1"/>
  <c r="Q156" i="3"/>
  <c r="R156" i="3"/>
  <c r="D3" i="29" l="1"/>
  <c r="AB88" i="1" l="1"/>
  <c r="Z69" i="1" l="1"/>
  <c r="X88" i="1"/>
  <c r="X177" i="1"/>
  <c r="Z177" i="1"/>
  <c r="Z229" i="1"/>
  <c r="X229" i="1"/>
  <c r="Y88" i="1"/>
  <c r="Y229" i="1"/>
  <c r="Z88" i="1"/>
  <c r="AB69" i="1"/>
  <c r="Y177" i="1"/>
  <c r="X15" i="1"/>
  <c r="X69" i="1"/>
  <c r="Y69" i="1"/>
  <c r="C1" i="31"/>
  <c r="D1" i="31" s="1"/>
  <c r="E1" i="31" s="1"/>
  <c r="F1" i="31" s="1"/>
  <c r="G1" i="31" s="1"/>
  <c r="H1" i="31" s="1"/>
  <c r="I1" i="31" s="1"/>
  <c r="J1" i="31" s="1"/>
  <c r="AB177" i="1" l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C45" i="7" l="1"/>
  <c r="C81" i="12" s="1"/>
  <c r="N81" i="12" s="1"/>
  <c r="C140" i="8"/>
  <c r="C274" i="12" s="1"/>
  <c r="N274" i="12" s="1"/>
  <c r="E6" i="28" l="1"/>
  <c r="F6" i="28"/>
  <c r="E7" i="28"/>
  <c r="F7" i="28"/>
  <c r="E8" i="28"/>
  <c r="F8" i="28"/>
  <c r="E9" i="28"/>
  <c r="F9" i="28"/>
  <c r="E10" i="28"/>
  <c r="F10" i="28"/>
  <c r="E13" i="28"/>
  <c r="F13" i="28"/>
  <c r="E14" i="28"/>
  <c r="F14" i="28"/>
  <c r="E15" i="28"/>
  <c r="F15" i="28"/>
  <c r="E16" i="28"/>
  <c r="F16" i="28"/>
  <c r="E17" i="28"/>
  <c r="F17" i="28"/>
  <c r="E18" i="28"/>
  <c r="F18" i="28"/>
  <c r="E19" i="28"/>
  <c r="F19" i="28"/>
  <c r="E22" i="28"/>
  <c r="F22" i="28"/>
  <c r="E23" i="28"/>
  <c r="F23" i="28"/>
  <c r="E24" i="28"/>
  <c r="F24" i="28"/>
  <c r="E26" i="28"/>
  <c r="F26" i="28"/>
  <c r="E27" i="28"/>
  <c r="F27" i="28"/>
  <c r="E28" i="28"/>
  <c r="F28" i="28"/>
  <c r="E29" i="28"/>
  <c r="F29" i="28"/>
  <c r="E30" i="28"/>
  <c r="F30" i="28"/>
  <c r="E31" i="28"/>
  <c r="F31" i="28"/>
  <c r="E32" i="28"/>
  <c r="F32" i="28"/>
  <c r="E33" i="28"/>
  <c r="F33" i="28"/>
  <c r="E34" i="28"/>
  <c r="F34" i="28"/>
  <c r="E35" i="28"/>
  <c r="F35" i="28"/>
  <c r="E36" i="28"/>
  <c r="F36" i="28"/>
  <c r="E37" i="28"/>
  <c r="F37" i="28"/>
  <c r="E38" i="28"/>
  <c r="F38" i="28"/>
  <c r="E39" i="28"/>
  <c r="F39" i="28"/>
  <c r="E40" i="28"/>
  <c r="F40" i="28"/>
  <c r="E41" i="28"/>
  <c r="F41" i="28"/>
  <c r="E42" i="28"/>
  <c r="F42" i="28"/>
  <c r="E43" i="28"/>
  <c r="F43" i="28"/>
  <c r="E45" i="28"/>
  <c r="F45" i="28"/>
  <c r="D80" i="8" l="1"/>
  <c r="D151" i="12" s="1"/>
  <c r="L7" i="4" l="1"/>
  <c r="K7" i="4"/>
  <c r="J7" i="4"/>
  <c r="I7" i="4"/>
  <c r="H7" i="4"/>
  <c r="G7" i="4"/>
  <c r="F7" i="4"/>
  <c r="E7" i="4"/>
  <c r="D7" i="4"/>
  <c r="C1" i="8"/>
  <c r="D1" i="8" s="1"/>
  <c r="E1" i="8" s="1"/>
  <c r="F1" i="8" s="1"/>
  <c r="G1" i="8" l="1"/>
  <c r="F54" i="43"/>
  <c r="K54" i="43" s="1"/>
  <c r="F11" i="43"/>
  <c r="K11" i="43" s="1"/>
  <c r="C8" i="10"/>
  <c r="C14" i="9"/>
  <c r="C165" i="8"/>
  <c r="C168" i="7"/>
  <c r="H1" i="8" l="1"/>
  <c r="G54" i="43"/>
  <c r="L54" i="43" s="1"/>
  <c r="G11" i="43"/>
  <c r="L11" i="43" s="1"/>
  <c r="C134" i="7"/>
  <c r="C251" i="12" s="1"/>
  <c r="N251" i="12" s="1"/>
  <c r="I1" i="8" l="1"/>
  <c r="H11" i="43"/>
  <c r="M11" i="43" s="1"/>
  <c r="H54" i="43"/>
  <c r="M54" i="43" s="1"/>
  <c r="C62" i="7"/>
  <c r="C117" i="12" s="1"/>
  <c r="N117" i="12" s="1"/>
  <c r="C59" i="7"/>
  <c r="C110" i="12" s="1"/>
  <c r="N110" i="12" s="1"/>
  <c r="C58" i="7"/>
  <c r="C108" i="12" s="1"/>
  <c r="N108" i="12" s="1"/>
  <c r="C12" i="7"/>
  <c r="C19" i="12" s="1"/>
  <c r="N19" i="12" s="1"/>
  <c r="J1" i="8" l="1"/>
  <c r="K1" i="8" s="1"/>
  <c r="L1" i="8" s="1"/>
  <c r="M1" i="8" s="1"/>
  <c r="I54" i="43"/>
  <c r="N54" i="43" s="1"/>
  <c r="I11" i="43"/>
  <c r="N11" i="43" s="1"/>
  <c r="M129" i="8"/>
  <c r="V129" i="8" s="1"/>
  <c r="L129" i="8"/>
  <c r="U129" i="8" s="1"/>
  <c r="K129" i="8"/>
  <c r="T129" i="8" s="1"/>
  <c r="J129" i="8"/>
  <c r="S129" i="8" s="1"/>
  <c r="M66" i="8"/>
  <c r="V66" i="8" s="1"/>
  <c r="L66" i="8"/>
  <c r="U66" i="8" s="1"/>
  <c r="K66" i="8"/>
  <c r="T66" i="8" s="1"/>
  <c r="J66" i="8"/>
  <c r="S66" i="8" s="1"/>
  <c r="M169" i="8"/>
  <c r="V169" i="8" s="1"/>
  <c r="L169" i="8"/>
  <c r="U169" i="8" s="1"/>
  <c r="K169" i="8"/>
  <c r="T169" i="8" s="1"/>
  <c r="J169" i="8"/>
  <c r="S169" i="8" s="1"/>
  <c r="M130" i="8"/>
  <c r="V130" i="8" s="1"/>
  <c r="L130" i="8"/>
  <c r="U130" i="8" s="1"/>
  <c r="K130" i="8"/>
  <c r="T130" i="8" s="1"/>
  <c r="J130" i="8"/>
  <c r="S130" i="8" s="1"/>
  <c r="M103" i="8"/>
  <c r="V103" i="8" s="1"/>
  <c r="L103" i="8"/>
  <c r="U103" i="8" s="1"/>
  <c r="K103" i="8"/>
  <c r="T103" i="8" s="1"/>
  <c r="J103" i="8"/>
  <c r="S103" i="8" s="1"/>
  <c r="M91" i="8"/>
  <c r="V91" i="8" s="1"/>
  <c r="L91" i="8"/>
  <c r="U91" i="8" s="1"/>
  <c r="K91" i="8"/>
  <c r="T91" i="8" s="1"/>
  <c r="J91" i="8"/>
  <c r="S91" i="8" s="1"/>
  <c r="M52" i="8"/>
  <c r="V52" i="8" s="1"/>
  <c r="L52" i="8"/>
  <c r="U52" i="8" s="1"/>
  <c r="K52" i="8"/>
  <c r="T52" i="8" s="1"/>
  <c r="J52" i="8"/>
  <c r="S52" i="8" s="1"/>
  <c r="M15" i="8"/>
  <c r="V15" i="8" s="1"/>
  <c r="L15" i="8"/>
  <c r="U15" i="8" s="1"/>
  <c r="K15" i="8"/>
  <c r="T15" i="8" s="1"/>
  <c r="J15" i="8"/>
  <c r="S15" i="8" s="1"/>
  <c r="M4" i="8"/>
  <c r="V4" i="8" s="1"/>
  <c r="L4" i="8"/>
  <c r="U4" i="8" s="1"/>
  <c r="K4" i="8"/>
  <c r="T4" i="8" s="1"/>
  <c r="J4" i="8"/>
  <c r="S4" i="8" s="1"/>
  <c r="E5" i="17" l="1"/>
  <c r="E6" i="17"/>
  <c r="E8" i="17"/>
  <c r="E7" i="17"/>
  <c r="C7" i="10"/>
  <c r="C6" i="10"/>
  <c r="C5" i="10"/>
  <c r="C4" i="10"/>
  <c r="C3" i="10"/>
  <c r="C13" i="9"/>
  <c r="C12" i="9"/>
  <c r="C11" i="9"/>
  <c r="C9" i="9"/>
  <c r="C8" i="9"/>
  <c r="C7" i="9"/>
  <c r="C6" i="9"/>
  <c r="C5" i="9"/>
  <c r="C4" i="9"/>
  <c r="C3" i="9"/>
  <c r="C174" i="8"/>
  <c r="C337" i="12" s="1"/>
  <c r="N337" i="12" s="1"/>
  <c r="C173" i="8"/>
  <c r="C335" i="12" s="1"/>
  <c r="N335" i="12" s="1"/>
  <c r="C172" i="8"/>
  <c r="C333" i="12" s="1"/>
  <c r="N333" i="12" s="1"/>
  <c r="C171" i="8"/>
  <c r="C331" i="12" s="1"/>
  <c r="N331" i="12" s="1"/>
  <c r="C170" i="8"/>
  <c r="C329" i="12" s="1"/>
  <c r="N329" i="12" s="1"/>
  <c r="C169" i="8"/>
  <c r="C327" i="12" s="1"/>
  <c r="N327" i="12" s="1"/>
  <c r="C168" i="8"/>
  <c r="C326" i="12" s="1"/>
  <c r="N326" i="12" s="1"/>
  <c r="C167" i="8"/>
  <c r="C324" i="12" s="1"/>
  <c r="N324" i="12" s="1"/>
  <c r="C166" i="8"/>
  <c r="C322" i="12" s="1"/>
  <c r="N322" i="12" s="1"/>
  <c r="C164" i="8"/>
  <c r="C320" i="12" s="1"/>
  <c r="N320" i="12" s="1"/>
  <c r="C163" i="8"/>
  <c r="C318" i="12" s="1"/>
  <c r="N318" i="12" s="1"/>
  <c r="C162" i="8"/>
  <c r="C161" i="8"/>
  <c r="C316" i="12" s="1"/>
  <c r="N316" i="12" s="1"/>
  <c r="C160" i="8"/>
  <c r="C314" i="12" s="1"/>
  <c r="N314" i="12" s="1"/>
  <c r="C159" i="8"/>
  <c r="C312" i="12" s="1"/>
  <c r="N312" i="12" s="1"/>
  <c r="C158" i="8"/>
  <c r="C310" i="12" s="1"/>
  <c r="N310" i="12" s="1"/>
  <c r="C157" i="8"/>
  <c r="C308" i="12" s="1"/>
  <c r="N308" i="12" s="1"/>
  <c r="C156" i="8"/>
  <c r="C306" i="12" s="1"/>
  <c r="N306" i="12" s="1"/>
  <c r="C155" i="8"/>
  <c r="C304" i="12" s="1"/>
  <c r="N304" i="12" s="1"/>
  <c r="C154" i="8"/>
  <c r="C302" i="12" s="1"/>
  <c r="N302" i="12" s="1"/>
  <c r="C153" i="8"/>
  <c r="C301" i="12" s="1"/>
  <c r="N301" i="12" s="1"/>
  <c r="C152" i="8"/>
  <c r="C299" i="12" s="1"/>
  <c r="N299" i="12" s="1"/>
  <c r="C151" i="8"/>
  <c r="C297" i="12" s="1"/>
  <c r="N297" i="12" s="1"/>
  <c r="C150" i="8"/>
  <c r="C295" i="12" s="1"/>
  <c r="N295" i="12" s="1"/>
  <c r="C149" i="8"/>
  <c r="C293" i="12" s="1"/>
  <c r="N293" i="12" s="1"/>
  <c r="C148" i="8"/>
  <c r="C291" i="12" s="1"/>
  <c r="N291" i="12" s="1"/>
  <c r="C147" i="8"/>
  <c r="C289" i="12" s="1"/>
  <c r="N289" i="12" s="1"/>
  <c r="C146" i="8"/>
  <c r="C286" i="12" s="1"/>
  <c r="N286" i="12" s="1"/>
  <c r="C145" i="8"/>
  <c r="C284" i="12" s="1"/>
  <c r="N284" i="12" s="1"/>
  <c r="C144" i="8"/>
  <c r="C282" i="12" s="1"/>
  <c r="N282" i="12" s="1"/>
  <c r="C143" i="8"/>
  <c r="C280" i="12" s="1"/>
  <c r="N280" i="12" s="1"/>
  <c r="C142" i="8"/>
  <c r="C278" i="12" s="1"/>
  <c r="N278" i="12" s="1"/>
  <c r="C141" i="8"/>
  <c r="C276" i="12" s="1"/>
  <c r="N276" i="12" s="1"/>
  <c r="C139" i="8"/>
  <c r="C273" i="12" s="1"/>
  <c r="N273" i="12" s="1"/>
  <c r="C138" i="8"/>
  <c r="C271" i="12" s="1"/>
  <c r="N271" i="12" s="1"/>
  <c r="C137" i="8"/>
  <c r="C269" i="12" s="1"/>
  <c r="N269" i="12" s="1"/>
  <c r="C136" i="8"/>
  <c r="C267" i="12" s="1"/>
  <c r="N267" i="12" s="1"/>
  <c r="C135" i="8"/>
  <c r="C265" i="12" s="1"/>
  <c r="N265" i="12" s="1"/>
  <c r="C134" i="8"/>
  <c r="C263" i="12" s="1"/>
  <c r="N263" i="12" s="1"/>
  <c r="C133" i="8"/>
  <c r="C261" i="12" s="1"/>
  <c r="N261" i="12" s="1"/>
  <c r="C132" i="8"/>
  <c r="C259" i="12" s="1"/>
  <c r="N259" i="12" s="1"/>
  <c r="C131" i="8"/>
  <c r="C257" i="12" s="1"/>
  <c r="N257" i="12" s="1"/>
  <c r="C130" i="8"/>
  <c r="C254" i="12" s="1"/>
  <c r="N254" i="12" s="1"/>
  <c r="C129" i="8"/>
  <c r="C253" i="12" s="1"/>
  <c r="N253" i="12" s="1"/>
  <c r="C128" i="8"/>
  <c r="C252" i="12" s="1"/>
  <c r="N252" i="12" s="1"/>
  <c r="C127" i="8"/>
  <c r="C126" i="8"/>
  <c r="C250" i="12" s="1"/>
  <c r="N250" i="12" s="1"/>
  <c r="C125" i="8"/>
  <c r="C248" i="12" s="1"/>
  <c r="N248" i="12" s="1"/>
  <c r="C124" i="8"/>
  <c r="C246" i="12" s="1"/>
  <c r="N246" i="12" s="1"/>
  <c r="C123" i="8"/>
  <c r="C244" i="12" s="1"/>
  <c r="N244" i="12" s="1"/>
  <c r="C122" i="8"/>
  <c r="C242" i="12" s="1"/>
  <c r="N242" i="12" s="1"/>
  <c r="C121" i="8"/>
  <c r="C240" i="12" s="1"/>
  <c r="N240" i="12" s="1"/>
  <c r="C120" i="8"/>
  <c r="C238" i="12" s="1"/>
  <c r="N238" i="12" s="1"/>
  <c r="C119" i="8"/>
  <c r="C236" i="12" s="1"/>
  <c r="N236" i="12" s="1"/>
  <c r="C118" i="8"/>
  <c r="C234" i="12" s="1"/>
  <c r="N234" i="12" s="1"/>
  <c r="C117" i="8"/>
  <c r="C231" i="12" s="1"/>
  <c r="N231" i="12" s="1"/>
  <c r="C116" i="8"/>
  <c r="C229" i="12" s="1"/>
  <c r="N229" i="12" s="1"/>
  <c r="C115" i="8"/>
  <c r="C227" i="12" s="1"/>
  <c r="N227" i="12" s="1"/>
  <c r="C113" i="8"/>
  <c r="C225" i="12" s="1"/>
  <c r="N225" i="12" s="1"/>
  <c r="C112" i="8"/>
  <c r="C223" i="12" s="1"/>
  <c r="N223" i="12" s="1"/>
  <c r="C111" i="8"/>
  <c r="C221" i="12" s="1"/>
  <c r="N221" i="12" s="1"/>
  <c r="C110" i="8"/>
  <c r="C219" i="12" s="1"/>
  <c r="N219" i="12" s="1"/>
  <c r="C109" i="8"/>
  <c r="C217" i="12" s="1"/>
  <c r="N217" i="12" s="1"/>
  <c r="C108" i="8"/>
  <c r="C215" i="12" s="1"/>
  <c r="N215" i="12" s="1"/>
  <c r="C107" i="8"/>
  <c r="C212" i="12" s="1"/>
  <c r="N212" i="12" s="1"/>
  <c r="C106" i="8"/>
  <c r="C210" i="12" s="1"/>
  <c r="N210" i="12" s="1"/>
  <c r="C105" i="8"/>
  <c r="C208" i="12" s="1"/>
  <c r="N208" i="12" s="1"/>
  <c r="C104" i="8"/>
  <c r="C206" i="12" s="1"/>
  <c r="N206" i="12" s="1"/>
  <c r="C103" i="8"/>
  <c r="C201" i="12" s="1"/>
  <c r="N201" i="12" s="1"/>
  <c r="C102" i="8"/>
  <c r="C200" i="12" s="1"/>
  <c r="N200" i="12" s="1"/>
  <c r="C101" i="8"/>
  <c r="C198" i="12" s="1"/>
  <c r="N198" i="12" s="1"/>
  <c r="C100" i="8"/>
  <c r="C196" i="12" s="1"/>
  <c r="N196" i="12" s="1"/>
  <c r="C99" i="8"/>
  <c r="C194" i="12" s="1"/>
  <c r="N194" i="12" s="1"/>
  <c r="C98" i="8"/>
  <c r="C191" i="12" s="1"/>
  <c r="N191" i="12" s="1"/>
  <c r="C97" i="8"/>
  <c r="C189" i="12" s="1"/>
  <c r="N189" i="12" s="1"/>
  <c r="C96" i="8"/>
  <c r="C187" i="12" s="1"/>
  <c r="N187" i="12" s="1"/>
  <c r="C95" i="8"/>
  <c r="C185" i="12" s="1"/>
  <c r="N185" i="12" s="1"/>
  <c r="C114" i="8"/>
  <c r="C181" i="12" s="1"/>
  <c r="N181" i="12" s="1"/>
  <c r="C94" i="8"/>
  <c r="C179" i="12" s="1"/>
  <c r="N179" i="12" s="1"/>
  <c r="C93" i="8"/>
  <c r="C177" i="12" s="1"/>
  <c r="N177" i="12" s="1"/>
  <c r="C92" i="8"/>
  <c r="C175" i="12" s="1"/>
  <c r="N175" i="12" s="1"/>
  <c r="C91" i="8"/>
  <c r="C173" i="12" s="1"/>
  <c r="N173" i="12" s="1"/>
  <c r="C90" i="8"/>
  <c r="C172" i="12" s="1"/>
  <c r="N172" i="12" s="1"/>
  <c r="C89" i="8"/>
  <c r="C170" i="12" s="1"/>
  <c r="N170" i="12" s="1"/>
  <c r="C88" i="8"/>
  <c r="C168" i="12" s="1"/>
  <c r="N168" i="12" s="1"/>
  <c r="C87" i="8"/>
  <c r="C166" i="12" s="1"/>
  <c r="N166" i="12" s="1"/>
  <c r="C86" i="8"/>
  <c r="C164" i="12" s="1"/>
  <c r="N164" i="12" s="1"/>
  <c r="C85" i="8"/>
  <c r="C162" i="12" s="1"/>
  <c r="N162" i="12" s="1"/>
  <c r="C84" i="8"/>
  <c r="C160" i="12" s="1"/>
  <c r="N160" i="12" s="1"/>
  <c r="C83" i="8"/>
  <c r="C157" i="12" s="1"/>
  <c r="N157" i="12" s="1"/>
  <c r="C82" i="8"/>
  <c r="C155" i="12" s="1"/>
  <c r="N155" i="12" s="1"/>
  <c r="C81" i="8"/>
  <c r="C153" i="12" s="1"/>
  <c r="N153" i="12" s="1"/>
  <c r="C79" i="8"/>
  <c r="C149" i="12" s="1"/>
  <c r="N149" i="12" s="1"/>
  <c r="C78" i="8"/>
  <c r="C147" i="12" s="1"/>
  <c r="N147" i="12" s="1"/>
  <c r="C77" i="8"/>
  <c r="C145" i="12" s="1"/>
  <c r="N145" i="12" s="1"/>
  <c r="C76" i="8"/>
  <c r="C143" i="12" s="1"/>
  <c r="N143" i="12" s="1"/>
  <c r="C75" i="8"/>
  <c r="C141" i="12" s="1"/>
  <c r="N141" i="12" s="1"/>
  <c r="C74" i="8"/>
  <c r="C139" i="12" s="1"/>
  <c r="N139" i="12" s="1"/>
  <c r="C73" i="8"/>
  <c r="C137" i="12" s="1"/>
  <c r="N137" i="12" s="1"/>
  <c r="C72" i="8"/>
  <c r="C71" i="8"/>
  <c r="C133" i="12" s="1"/>
  <c r="N133" i="12" s="1"/>
  <c r="C70" i="8"/>
  <c r="C131" i="12" s="1"/>
  <c r="N131" i="12" s="1"/>
  <c r="C69" i="8"/>
  <c r="C129" i="12" s="1"/>
  <c r="N129" i="12" s="1"/>
  <c r="C68" i="8"/>
  <c r="C127" i="12" s="1"/>
  <c r="N127" i="12" s="1"/>
  <c r="C67" i="8"/>
  <c r="C125" i="12" s="1"/>
  <c r="N125" i="12" s="1"/>
  <c r="C66" i="8"/>
  <c r="C123" i="12" s="1"/>
  <c r="N123" i="12" s="1"/>
  <c r="C65" i="8"/>
  <c r="C122" i="12" s="1"/>
  <c r="N122" i="12" s="1"/>
  <c r="C64" i="8"/>
  <c r="C120" i="12" s="1"/>
  <c r="N120" i="12" s="1"/>
  <c r="C63" i="8"/>
  <c r="C118" i="12" s="1"/>
  <c r="N118" i="12" s="1"/>
  <c r="C62" i="8"/>
  <c r="C61" i="8"/>
  <c r="C115" i="12" s="1"/>
  <c r="N115" i="12" s="1"/>
  <c r="C60" i="8"/>
  <c r="C113" i="12" s="1"/>
  <c r="N113" i="12" s="1"/>
  <c r="C59" i="8"/>
  <c r="C111" i="12" s="1"/>
  <c r="N111" i="12" s="1"/>
  <c r="C58" i="8"/>
  <c r="C109" i="12" s="1"/>
  <c r="N109" i="12" s="1"/>
  <c r="C57" i="8"/>
  <c r="C107" i="12" s="1"/>
  <c r="N107" i="12" s="1"/>
  <c r="C56" i="8"/>
  <c r="C105" i="12" s="1"/>
  <c r="N105" i="12" s="1"/>
  <c r="C55" i="8"/>
  <c r="C103" i="12" s="1"/>
  <c r="N103" i="12" s="1"/>
  <c r="C54" i="8"/>
  <c r="C101" i="12" s="1"/>
  <c r="N101" i="12" s="1"/>
  <c r="C53" i="8"/>
  <c r="C98" i="12" s="1"/>
  <c r="N98" i="12" s="1"/>
  <c r="C52" i="8"/>
  <c r="C96" i="12" s="1"/>
  <c r="N96" i="12" s="1"/>
  <c r="C51" i="8"/>
  <c r="C95" i="12" s="1"/>
  <c r="N95" i="12" s="1"/>
  <c r="C50" i="8"/>
  <c r="C93" i="12" s="1"/>
  <c r="N93" i="12" s="1"/>
  <c r="C49" i="8"/>
  <c r="C91" i="12" s="1"/>
  <c r="N91" i="12" s="1"/>
  <c r="C48" i="8"/>
  <c r="C89" i="12" s="1"/>
  <c r="N89" i="12" s="1"/>
  <c r="C47" i="8"/>
  <c r="C87" i="12" s="1"/>
  <c r="N87" i="12" s="1"/>
  <c r="C46" i="8"/>
  <c r="C85" i="12" s="1"/>
  <c r="N85" i="12" s="1"/>
  <c r="C45" i="8"/>
  <c r="C84" i="12" s="1"/>
  <c r="N84" i="12" s="1"/>
  <c r="C44" i="8"/>
  <c r="C82" i="12" s="1"/>
  <c r="N82" i="12" s="1"/>
  <c r="C43" i="8"/>
  <c r="C80" i="12" s="1"/>
  <c r="N80" i="12" s="1"/>
  <c r="C42" i="8"/>
  <c r="C78" i="12" s="1"/>
  <c r="N78" i="12" s="1"/>
  <c r="C41" i="8"/>
  <c r="C76" i="12" s="1"/>
  <c r="N76" i="12" s="1"/>
  <c r="C40" i="8"/>
  <c r="C74" i="12" s="1"/>
  <c r="N74" i="12" s="1"/>
  <c r="C39" i="8"/>
  <c r="C72" i="12" s="1"/>
  <c r="N72" i="12" s="1"/>
  <c r="C38" i="8"/>
  <c r="C70" i="12" s="1"/>
  <c r="N70" i="12" s="1"/>
  <c r="C37" i="8"/>
  <c r="C68" i="12" s="1"/>
  <c r="N68" i="12" s="1"/>
  <c r="C36" i="8"/>
  <c r="C67" i="12" s="1"/>
  <c r="N67" i="12" s="1"/>
  <c r="C35" i="8"/>
  <c r="C65" i="12" s="1"/>
  <c r="N65" i="12" s="1"/>
  <c r="C34" i="8"/>
  <c r="C63" i="12" s="1"/>
  <c r="N63" i="12" s="1"/>
  <c r="C33" i="8"/>
  <c r="C32" i="8"/>
  <c r="C60" i="12" s="1"/>
  <c r="N60" i="12" s="1"/>
  <c r="C31" i="8"/>
  <c r="C58" i="12" s="1"/>
  <c r="N58" i="12" s="1"/>
  <c r="C30" i="8"/>
  <c r="C29" i="8"/>
  <c r="C56" i="12" s="1"/>
  <c r="N56" i="12" s="1"/>
  <c r="C28" i="8"/>
  <c r="C54" i="12" s="1"/>
  <c r="N54" i="12" s="1"/>
  <c r="C27" i="8"/>
  <c r="C52" i="12" s="1"/>
  <c r="N52" i="12" s="1"/>
  <c r="C26" i="8"/>
  <c r="C50" i="12" s="1"/>
  <c r="N50" i="12" s="1"/>
  <c r="C25" i="8"/>
  <c r="C47" i="12" s="1"/>
  <c r="N47" i="12" s="1"/>
  <c r="C24" i="8"/>
  <c r="C45" i="12" s="1"/>
  <c r="N45" i="12" s="1"/>
  <c r="C23" i="8"/>
  <c r="C43" i="12" s="1"/>
  <c r="N43" i="12" s="1"/>
  <c r="C22" i="8"/>
  <c r="C41" i="12" s="1"/>
  <c r="N41" i="12" s="1"/>
  <c r="C21" i="8"/>
  <c r="C39" i="12" s="1"/>
  <c r="N39" i="12" s="1"/>
  <c r="C20" i="8"/>
  <c r="C36" i="12" s="1"/>
  <c r="N36" i="12" s="1"/>
  <c r="C19" i="8"/>
  <c r="C18" i="8"/>
  <c r="C32" i="12" s="1"/>
  <c r="N32" i="12" s="1"/>
  <c r="C17" i="8"/>
  <c r="C30" i="12" s="1"/>
  <c r="N30" i="12" s="1"/>
  <c r="C16" i="8"/>
  <c r="C15" i="8"/>
  <c r="C27" i="12" s="1"/>
  <c r="N27" i="12" s="1"/>
  <c r="C14" i="8"/>
  <c r="C26" i="12" s="1"/>
  <c r="N26" i="12" s="1"/>
  <c r="C13" i="8"/>
  <c r="C24" i="12" s="1"/>
  <c r="N24" i="12" s="1"/>
  <c r="C12" i="8"/>
  <c r="C22" i="12" s="1"/>
  <c r="N22" i="12" s="1"/>
  <c r="C11" i="8"/>
  <c r="C20" i="12" s="1"/>
  <c r="N20" i="12" s="1"/>
  <c r="C10" i="8"/>
  <c r="C9" i="8"/>
  <c r="C18" i="12" s="1"/>
  <c r="N18" i="12" s="1"/>
  <c r="C8" i="8"/>
  <c r="C17" i="12" s="1"/>
  <c r="N17" i="12" s="1"/>
  <c r="C7" i="8"/>
  <c r="C15" i="12" s="1"/>
  <c r="N15" i="12" s="1"/>
  <c r="C6" i="8"/>
  <c r="C13" i="12" s="1"/>
  <c r="N13" i="12" s="1"/>
  <c r="C5" i="8"/>
  <c r="C10" i="12" s="1"/>
  <c r="N10" i="12" s="1"/>
  <c r="C4" i="8"/>
  <c r="C8" i="12" s="1"/>
  <c r="N8" i="12" s="1"/>
  <c r="C3" i="8"/>
  <c r="C6" i="12" s="1"/>
  <c r="N6" i="12" s="1"/>
  <c r="C176" i="7"/>
  <c r="C336" i="12" s="1"/>
  <c r="N336" i="12" s="1"/>
  <c r="C175" i="7"/>
  <c r="C334" i="12" s="1"/>
  <c r="N334" i="12" s="1"/>
  <c r="C174" i="7"/>
  <c r="C332" i="12" s="1"/>
  <c r="N332" i="12" s="1"/>
  <c r="C173" i="7"/>
  <c r="C330" i="12" s="1"/>
  <c r="N330" i="12" s="1"/>
  <c r="C172" i="7"/>
  <c r="C328" i="12" s="1"/>
  <c r="N328" i="12" s="1"/>
  <c r="C171" i="7"/>
  <c r="C325" i="12" s="1"/>
  <c r="N325" i="12" s="1"/>
  <c r="C170" i="7"/>
  <c r="C323" i="12" s="1"/>
  <c r="N323" i="12" s="1"/>
  <c r="C169" i="7"/>
  <c r="C321" i="12" s="1"/>
  <c r="N321" i="12" s="1"/>
  <c r="C167" i="7"/>
  <c r="C319" i="12" s="1"/>
  <c r="N319" i="12" s="1"/>
  <c r="C166" i="7"/>
  <c r="C317" i="12" s="1"/>
  <c r="N317" i="12" s="1"/>
  <c r="C165" i="7"/>
  <c r="C164" i="7"/>
  <c r="C315" i="12" s="1"/>
  <c r="N315" i="12" s="1"/>
  <c r="C163" i="7"/>
  <c r="C313" i="12" s="1"/>
  <c r="N313" i="12" s="1"/>
  <c r="C162" i="7"/>
  <c r="C311" i="12" s="1"/>
  <c r="N311" i="12" s="1"/>
  <c r="C161" i="7"/>
  <c r="C309" i="12" s="1"/>
  <c r="N309" i="12" s="1"/>
  <c r="C160" i="7"/>
  <c r="C307" i="12" s="1"/>
  <c r="N307" i="12" s="1"/>
  <c r="C159" i="7"/>
  <c r="C305" i="12" s="1"/>
  <c r="N305" i="12" s="1"/>
  <c r="C158" i="7"/>
  <c r="C303" i="12" s="1"/>
  <c r="N303" i="12" s="1"/>
  <c r="C157" i="7"/>
  <c r="C300" i="12" s="1"/>
  <c r="N300" i="12" s="1"/>
  <c r="C156" i="7"/>
  <c r="C298" i="12" s="1"/>
  <c r="N298" i="12" s="1"/>
  <c r="C155" i="7"/>
  <c r="C296" i="12" s="1"/>
  <c r="N296" i="12" s="1"/>
  <c r="C154" i="7"/>
  <c r="C294" i="12" s="1"/>
  <c r="N294" i="12" s="1"/>
  <c r="C153" i="7"/>
  <c r="C292" i="12" s="1"/>
  <c r="N292" i="12" s="1"/>
  <c r="C152" i="7"/>
  <c r="C290" i="12" s="1"/>
  <c r="N290" i="12" s="1"/>
  <c r="C151" i="7"/>
  <c r="C288" i="12" s="1"/>
  <c r="N288" i="12" s="1"/>
  <c r="C150" i="7"/>
  <c r="C287" i="12" s="1"/>
  <c r="N287" i="12" s="1"/>
  <c r="C149" i="7"/>
  <c r="C285" i="12" s="1"/>
  <c r="N285" i="12" s="1"/>
  <c r="C148" i="7"/>
  <c r="C283" i="12" s="1"/>
  <c r="N283" i="12" s="1"/>
  <c r="C147" i="7"/>
  <c r="C281" i="12" s="1"/>
  <c r="N281" i="12" s="1"/>
  <c r="C146" i="7"/>
  <c r="C279" i="12" s="1"/>
  <c r="N279" i="12" s="1"/>
  <c r="C82" i="7"/>
  <c r="C277" i="12" s="1"/>
  <c r="N277" i="12" s="1"/>
  <c r="C145" i="7"/>
  <c r="C275" i="12" s="1"/>
  <c r="N275" i="12" s="1"/>
  <c r="C144" i="7"/>
  <c r="C272" i="12" s="1"/>
  <c r="N272" i="12" s="1"/>
  <c r="C143" i="7"/>
  <c r="C270" i="12" s="1"/>
  <c r="N270" i="12" s="1"/>
  <c r="C142" i="7"/>
  <c r="C268" i="12" s="1"/>
  <c r="N268" i="12" s="1"/>
  <c r="C141" i="7"/>
  <c r="C266" i="12" s="1"/>
  <c r="N266" i="12" s="1"/>
  <c r="C140" i="7"/>
  <c r="C264" i="12" s="1"/>
  <c r="N264" i="12" s="1"/>
  <c r="C139" i="7"/>
  <c r="C262" i="12" s="1"/>
  <c r="N262" i="12" s="1"/>
  <c r="C138" i="7"/>
  <c r="C260" i="12" s="1"/>
  <c r="N260" i="12" s="1"/>
  <c r="C137" i="7"/>
  <c r="C258" i="12" s="1"/>
  <c r="N258" i="12" s="1"/>
  <c r="C136" i="7"/>
  <c r="C256" i="12" s="1"/>
  <c r="N256" i="12" s="1"/>
  <c r="C135" i="7"/>
  <c r="C255" i="12" s="1"/>
  <c r="N255" i="12" s="1"/>
  <c r="C133" i="7"/>
  <c r="C132" i="7"/>
  <c r="C249" i="12" s="1"/>
  <c r="N249" i="12" s="1"/>
  <c r="C131" i="7"/>
  <c r="C247" i="12" s="1"/>
  <c r="N247" i="12" s="1"/>
  <c r="C130" i="7"/>
  <c r="C245" i="12" s="1"/>
  <c r="N245" i="12" s="1"/>
  <c r="C129" i="7"/>
  <c r="C243" i="12" s="1"/>
  <c r="N243" i="12" s="1"/>
  <c r="C128" i="7"/>
  <c r="C241" i="12" s="1"/>
  <c r="N241" i="12" s="1"/>
  <c r="C127" i="7"/>
  <c r="C239" i="12" s="1"/>
  <c r="N239" i="12" s="1"/>
  <c r="C126" i="7"/>
  <c r="C237" i="12" s="1"/>
  <c r="N237" i="12" s="1"/>
  <c r="C125" i="7"/>
  <c r="C235" i="12" s="1"/>
  <c r="N235" i="12" s="1"/>
  <c r="C124" i="7"/>
  <c r="C233" i="12" s="1"/>
  <c r="N233" i="12" s="1"/>
  <c r="C123" i="7"/>
  <c r="C232" i="12" s="1"/>
  <c r="N232" i="12" s="1"/>
  <c r="C122" i="7"/>
  <c r="C230" i="12" s="1"/>
  <c r="N230" i="12" s="1"/>
  <c r="C121" i="7"/>
  <c r="C228" i="12" s="1"/>
  <c r="N228" i="12" s="1"/>
  <c r="C120" i="7"/>
  <c r="C226" i="12" s="1"/>
  <c r="N226" i="12" s="1"/>
  <c r="C119" i="7"/>
  <c r="C224" i="12" s="1"/>
  <c r="N224" i="12" s="1"/>
  <c r="C118" i="7"/>
  <c r="C222" i="12" s="1"/>
  <c r="N222" i="12" s="1"/>
  <c r="C117" i="7"/>
  <c r="C220" i="12" s="1"/>
  <c r="N220" i="12" s="1"/>
  <c r="C116" i="7"/>
  <c r="C218" i="12" s="1"/>
  <c r="N218" i="12" s="1"/>
  <c r="C115" i="7"/>
  <c r="C216" i="12" s="1"/>
  <c r="N216" i="12" s="1"/>
  <c r="C114" i="7"/>
  <c r="C214" i="12" s="1"/>
  <c r="N214" i="12" s="1"/>
  <c r="C113" i="7"/>
  <c r="C213" i="12" s="1"/>
  <c r="N213" i="12" s="1"/>
  <c r="C112" i="7"/>
  <c r="C211" i="12" s="1"/>
  <c r="N211" i="12" s="1"/>
  <c r="C111" i="7"/>
  <c r="C209" i="12" s="1"/>
  <c r="N209" i="12" s="1"/>
  <c r="C110" i="7"/>
  <c r="C207" i="12" s="1"/>
  <c r="N207" i="12" s="1"/>
  <c r="C109" i="7"/>
  <c r="C205" i="12" s="1"/>
  <c r="N205" i="12" s="1"/>
  <c r="C108" i="7"/>
  <c r="C204" i="12" s="1"/>
  <c r="N204" i="12" s="1"/>
  <c r="C107" i="7"/>
  <c r="C203" i="12" s="1"/>
  <c r="N203" i="12" s="1"/>
  <c r="C106" i="7"/>
  <c r="C202" i="12" s="1"/>
  <c r="N202" i="12" s="1"/>
  <c r="C105" i="7"/>
  <c r="C199" i="12" s="1"/>
  <c r="N199" i="12" s="1"/>
  <c r="C104" i="7"/>
  <c r="C197" i="12" s="1"/>
  <c r="N197" i="12" s="1"/>
  <c r="C103" i="7"/>
  <c r="C195" i="12" s="1"/>
  <c r="N195" i="12" s="1"/>
  <c r="C102" i="7"/>
  <c r="C193" i="12" s="1"/>
  <c r="N193" i="12" s="1"/>
  <c r="C101" i="7"/>
  <c r="C192" i="12" s="1"/>
  <c r="N192" i="12" s="1"/>
  <c r="C100" i="7"/>
  <c r="C190" i="12" s="1"/>
  <c r="N190" i="12" s="1"/>
  <c r="C99" i="7"/>
  <c r="C188" i="12" s="1"/>
  <c r="N188" i="12" s="1"/>
  <c r="C98" i="7"/>
  <c r="C186" i="12" s="1"/>
  <c r="N186" i="12" s="1"/>
  <c r="C97" i="7"/>
  <c r="C184" i="12" s="1"/>
  <c r="N184" i="12" s="1"/>
  <c r="C96" i="7"/>
  <c r="C183" i="12" s="1"/>
  <c r="N183" i="12" s="1"/>
  <c r="C95" i="7"/>
  <c r="C182" i="12" s="1"/>
  <c r="N182" i="12" s="1"/>
  <c r="C94" i="7"/>
  <c r="C180" i="12" s="1"/>
  <c r="N180" i="12" s="1"/>
  <c r="C93" i="7"/>
  <c r="C178" i="12" s="1"/>
  <c r="N178" i="12" s="1"/>
  <c r="C92" i="7"/>
  <c r="C176" i="12" s="1"/>
  <c r="N176" i="12" s="1"/>
  <c r="C91" i="7"/>
  <c r="C174" i="12" s="1"/>
  <c r="N174" i="12" s="1"/>
  <c r="C90" i="7"/>
  <c r="C171" i="12" s="1"/>
  <c r="N171" i="12" s="1"/>
  <c r="C89" i="7"/>
  <c r="C169" i="12" s="1"/>
  <c r="N169" i="12" s="1"/>
  <c r="C88" i="7"/>
  <c r="C167" i="12" s="1"/>
  <c r="N167" i="12" s="1"/>
  <c r="C87" i="7"/>
  <c r="C165" i="12" s="1"/>
  <c r="N165" i="12" s="1"/>
  <c r="C86" i="7"/>
  <c r="C163" i="12" s="1"/>
  <c r="N163" i="12" s="1"/>
  <c r="C85" i="7"/>
  <c r="C161" i="12" s="1"/>
  <c r="N161" i="12" s="1"/>
  <c r="C84" i="7"/>
  <c r="C159" i="12" s="1"/>
  <c r="N159" i="12" s="1"/>
  <c r="C83" i="7"/>
  <c r="C158" i="12" s="1"/>
  <c r="N158" i="12" s="1"/>
  <c r="C81" i="7"/>
  <c r="C156" i="12" s="1"/>
  <c r="N156" i="12" s="1"/>
  <c r="C80" i="7"/>
  <c r="C154" i="12" s="1"/>
  <c r="N154" i="12" s="1"/>
  <c r="C79" i="7"/>
  <c r="C152" i="12" s="1"/>
  <c r="N152" i="12" s="1"/>
  <c r="C77" i="7"/>
  <c r="C148" i="12" s="1"/>
  <c r="N148" i="12" s="1"/>
  <c r="C76" i="7"/>
  <c r="C146" i="12" s="1"/>
  <c r="N146" i="12" s="1"/>
  <c r="C75" i="7"/>
  <c r="C144" i="12" s="1"/>
  <c r="N144" i="12" s="1"/>
  <c r="C74" i="7"/>
  <c r="C142" i="12" s="1"/>
  <c r="N142" i="12" s="1"/>
  <c r="C73" i="7"/>
  <c r="C140" i="12" s="1"/>
  <c r="N140" i="12" s="1"/>
  <c r="C72" i="7"/>
  <c r="C138" i="12" s="1"/>
  <c r="N138" i="12" s="1"/>
  <c r="C71" i="7"/>
  <c r="C136" i="12" s="1"/>
  <c r="N136" i="12" s="1"/>
  <c r="C70" i="7"/>
  <c r="C134" i="12" s="1"/>
  <c r="N134" i="12" s="1"/>
  <c r="C69" i="7"/>
  <c r="C132" i="12" s="1"/>
  <c r="N132" i="12" s="1"/>
  <c r="C68" i="7"/>
  <c r="C130" i="12" s="1"/>
  <c r="N130" i="12" s="1"/>
  <c r="C67" i="7"/>
  <c r="C128" i="12" s="1"/>
  <c r="N128" i="12" s="1"/>
  <c r="C66" i="7"/>
  <c r="C126" i="12" s="1"/>
  <c r="N126" i="12" s="1"/>
  <c r="C65" i="7"/>
  <c r="C124" i="12" s="1"/>
  <c r="N124" i="12" s="1"/>
  <c r="C64" i="7"/>
  <c r="C121" i="12" s="1"/>
  <c r="N121" i="12" s="1"/>
  <c r="C63" i="7"/>
  <c r="C119" i="12" s="1"/>
  <c r="N119" i="12" s="1"/>
  <c r="C61" i="7"/>
  <c r="C114" i="12" s="1"/>
  <c r="N114" i="12" s="1"/>
  <c r="C60" i="7"/>
  <c r="C112" i="12" s="1"/>
  <c r="N112" i="12" s="1"/>
  <c r="C57" i="7"/>
  <c r="C106" i="12" s="1"/>
  <c r="N106" i="12" s="1"/>
  <c r="C56" i="7"/>
  <c r="C104" i="12" s="1"/>
  <c r="N104" i="12" s="1"/>
  <c r="C55" i="7"/>
  <c r="C102" i="12" s="1"/>
  <c r="N102" i="12" s="1"/>
  <c r="C54" i="7"/>
  <c r="C100" i="12" s="1"/>
  <c r="N100" i="12" s="1"/>
  <c r="C53" i="7"/>
  <c r="C99" i="12" s="1"/>
  <c r="N99" i="12" s="1"/>
  <c r="C52" i="7"/>
  <c r="C97" i="12" s="1"/>
  <c r="N97" i="12" s="1"/>
  <c r="C51" i="7"/>
  <c r="C94" i="12" s="1"/>
  <c r="N94" i="12" s="1"/>
  <c r="C50" i="7"/>
  <c r="C92" i="12" s="1"/>
  <c r="N92" i="12" s="1"/>
  <c r="C49" i="7"/>
  <c r="C90" i="12" s="1"/>
  <c r="N90" i="12" s="1"/>
  <c r="C48" i="7"/>
  <c r="C88" i="12" s="1"/>
  <c r="N88" i="12" s="1"/>
  <c r="C47" i="7"/>
  <c r="C86" i="12" s="1"/>
  <c r="N86" i="12" s="1"/>
  <c r="C46" i="7"/>
  <c r="C83" i="12" s="1"/>
  <c r="N83" i="12" s="1"/>
  <c r="C44" i="7"/>
  <c r="C79" i="12" s="1"/>
  <c r="N79" i="12" s="1"/>
  <c r="C43" i="7"/>
  <c r="C77" i="12" s="1"/>
  <c r="N77" i="12" s="1"/>
  <c r="C42" i="7"/>
  <c r="C75" i="12" s="1"/>
  <c r="N75" i="12" s="1"/>
  <c r="C41" i="7"/>
  <c r="C73" i="12" s="1"/>
  <c r="N73" i="12" s="1"/>
  <c r="C40" i="7"/>
  <c r="C71" i="12" s="1"/>
  <c r="N71" i="12" s="1"/>
  <c r="C39" i="7"/>
  <c r="C69" i="12" s="1"/>
  <c r="N69" i="12" s="1"/>
  <c r="C38" i="7"/>
  <c r="C66" i="12" s="1"/>
  <c r="N66" i="12" s="1"/>
  <c r="C37" i="7"/>
  <c r="C64" i="12" s="1"/>
  <c r="N64" i="12" s="1"/>
  <c r="C36" i="7"/>
  <c r="C62" i="12" s="1"/>
  <c r="N62" i="12" s="1"/>
  <c r="C35" i="7"/>
  <c r="C59" i="12" s="1"/>
  <c r="N59" i="12" s="1"/>
  <c r="C34" i="7"/>
  <c r="C57" i="12" s="1"/>
  <c r="N57" i="12" s="1"/>
  <c r="C33" i="7"/>
  <c r="C32" i="7"/>
  <c r="C55" i="12" s="1"/>
  <c r="N55" i="12" s="1"/>
  <c r="C31" i="7"/>
  <c r="C53" i="12" s="1"/>
  <c r="N53" i="12" s="1"/>
  <c r="C30" i="7"/>
  <c r="C51" i="12" s="1"/>
  <c r="N51" i="12" s="1"/>
  <c r="C29" i="7"/>
  <c r="C49" i="12" s="1"/>
  <c r="N49" i="12" s="1"/>
  <c r="C28" i="7"/>
  <c r="C48" i="12" s="1"/>
  <c r="N48" i="12" s="1"/>
  <c r="C27" i="7"/>
  <c r="C46" i="12" s="1"/>
  <c r="N46" i="12" s="1"/>
  <c r="C26" i="7"/>
  <c r="C44" i="12" s="1"/>
  <c r="N44" i="12" s="1"/>
  <c r="C25" i="7"/>
  <c r="C42" i="12" s="1"/>
  <c r="N42" i="12" s="1"/>
  <c r="C24" i="7"/>
  <c r="C40" i="12" s="1"/>
  <c r="N40" i="12" s="1"/>
  <c r="C23" i="7"/>
  <c r="C38" i="12" s="1"/>
  <c r="N38" i="12" s="1"/>
  <c r="C22" i="7"/>
  <c r="C37" i="12" s="1"/>
  <c r="N37" i="12" s="1"/>
  <c r="C21" i="7"/>
  <c r="C35" i="12" s="1"/>
  <c r="N35" i="12" s="1"/>
  <c r="C20" i="7"/>
  <c r="C33" i="12" s="1"/>
  <c r="N33" i="12" s="1"/>
  <c r="C19" i="7"/>
  <c r="C31" i="12" s="1"/>
  <c r="N31" i="12" s="1"/>
  <c r="C18" i="7"/>
  <c r="C29" i="12" s="1"/>
  <c r="N29" i="12" s="1"/>
  <c r="C17" i="7"/>
  <c r="C16" i="7"/>
  <c r="C28" i="12" s="1"/>
  <c r="N28" i="12" s="1"/>
  <c r="C15" i="7"/>
  <c r="C25" i="12" s="1"/>
  <c r="N25" i="12" s="1"/>
  <c r="C14" i="7"/>
  <c r="C23" i="12" s="1"/>
  <c r="N23" i="12" s="1"/>
  <c r="C13" i="7"/>
  <c r="C21" i="12" s="1"/>
  <c r="N21" i="12" s="1"/>
  <c r="C11" i="7"/>
  <c r="C10" i="7"/>
  <c r="C16" i="12" s="1"/>
  <c r="N16" i="12" s="1"/>
  <c r="C9" i="7"/>
  <c r="C14" i="12" s="1"/>
  <c r="N14" i="12" s="1"/>
  <c r="C7" i="7"/>
  <c r="C11" i="12" s="1"/>
  <c r="N11" i="12" s="1"/>
  <c r="C6" i="7"/>
  <c r="C9" i="12" s="1"/>
  <c r="N9" i="12" s="1"/>
  <c r="C5" i="7"/>
  <c r="C7" i="12" s="1"/>
  <c r="N7" i="12" s="1"/>
  <c r="C4" i="7"/>
  <c r="C5" i="12" s="1"/>
  <c r="N5" i="12" s="1"/>
  <c r="C3" i="7"/>
  <c r="C4" i="12" s="1"/>
  <c r="N4" i="12" s="1"/>
  <c r="C1" i="7"/>
  <c r="D1" i="7" s="1"/>
  <c r="L6" i="4"/>
  <c r="K6" i="4"/>
  <c r="J6" i="4"/>
  <c r="I6" i="4"/>
  <c r="H6" i="4"/>
  <c r="G6" i="4"/>
  <c r="F6" i="4"/>
  <c r="E6" i="4"/>
  <c r="D6" i="4"/>
  <c r="L5" i="4"/>
  <c r="K5" i="4"/>
  <c r="J5" i="4"/>
  <c r="I5" i="4"/>
  <c r="H5" i="4"/>
  <c r="G5" i="4"/>
  <c r="F5" i="4"/>
  <c r="E5" i="4"/>
  <c r="D5" i="4"/>
  <c r="L4" i="4"/>
  <c r="K4" i="4"/>
  <c r="J4" i="4"/>
  <c r="I4" i="4"/>
  <c r="H4" i="4"/>
  <c r="G4" i="4"/>
  <c r="F4" i="4"/>
  <c r="E4" i="4"/>
  <c r="D4" i="4"/>
  <c r="C8" i="17" l="1"/>
  <c r="C135" i="12"/>
  <c r="N135" i="12" s="1"/>
  <c r="C6" i="17"/>
  <c r="C61" i="12"/>
  <c r="N61" i="12" s="1"/>
  <c r="C5" i="17"/>
  <c r="C34" i="12"/>
  <c r="N34" i="12" s="1"/>
  <c r="C7" i="17"/>
  <c r="C116" i="12"/>
  <c r="N116" i="12" s="1"/>
  <c r="E1" i="7"/>
  <c r="F1" i="7" l="1"/>
  <c r="F89" i="43" l="1"/>
  <c r="K89" i="43" s="1"/>
  <c r="F98" i="43"/>
  <c r="K98" i="43" s="1"/>
  <c r="F66" i="43"/>
  <c r="K66" i="43" s="1"/>
  <c r="F117" i="43"/>
  <c r="K117" i="43" s="1"/>
  <c r="F82" i="43"/>
  <c r="K82" i="43" s="1"/>
  <c r="F79" i="43"/>
  <c r="K79" i="43" s="1"/>
  <c r="F41" i="43"/>
  <c r="K41" i="43" s="1"/>
  <c r="F6" i="43"/>
  <c r="K6" i="43" s="1"/>
  <c r="F39" i="43"/>
  <c r="K39" i="43" s="1"/>
  <c r="F114" i="43"/>
  <c r="K114" i="43" s="1"/>
  <c r="F69" i="43"/>
  <c r="K69" i="43" s="1"/>
  <c r="F78" i="43"/>
  <c r="K78" i="43" s="1"/>
  <c r="F61" i="43"/>
  <c r="K61" i="43" s="1"/>
  <c r="F46" i="43"/>
  <c r="K46" i="43" s="1"/>
  <c r="F55" i="43"/>
  <c r="K55" i="43" s="1"/>
  <c r="F58" i="43"/>
  <c r="K58" i="43" s="1"/>
  <c r="F62" i="43"/>
  <c r="K62" i="43" s="1"/>
  <c r="F29" i="43"/>
  <c r="K29" i="43" s="1"/>
  <c r="F24" i="43"/>
  <c r="K24" i="43" s="1"/>
  <c r="F77" i="43"/>
  <c r="K77" i="43" s="1"/>
  <c r="F75" i="43"/>
  <c r="K75" i="43" s="1"/>
  <c r="F4" i="43"/>
  <c r="K4" i="43" s="1"/>
  <c r="F5" i="43"/>
  <c r="K5" i="43" s="1"/>
  <c r="F23" i="8"/>
  <c r="F128" i="8"/>
  <c r="F119" i="8"/>
  <c r="F107" i="8"/>
  <c r="F135" i="8"/>
  <c r="F147" i="8"/>
  <c r="F121" i="8"/>
  <c r="F161" i="8"/>
  <c r="F165" i="8"/>
  <c r="O165" i="8" s="1"/>
  <c r="F134" i="8"/>
  <c r="F155" i="8"/>
  <c r="F157" i="8"/>
  <c r="F115" i="8"/>
  <c r="F139" i="8"/>
  <c r="F173" i="8"/>
  <c r="F166" i="8"/>
  <c r="F108" i="8"/>
  <c r="F99" i="8"/>
  <c r="F86" i="8"/>
  <c r="F14" i="8"/>
  <c r="G1" i="7"/>
  <c r="F54" i="8"/>
  <c r="F43" i="8"/>
  <c r="F58" i="8"/>
  <c r="F34" i="8"/>
  <c r="F88" i="8"/>
  <c r="F31" i="8"/>
  <c r="F38" i="8"/>
  <c r="F85" i="8"/>
  <c r="F24" i="8"/>
  <c r="F7" i="8"/>
  <c r="O31" i="8" l="1"/>
  <c r="G58" i="12"/>
  <c r="I58" i="12" s="1"/>
  <c r="K58" i="12" s="1"/>
  <c r="O115" i="8"/>
  <c r="G227" i="12"/>
  <c r="I227" i="12" s="1"/>
  <c r="K227" i="12" s="1"/>
  <c r="O88" i="8"/>
  <c r="G168" i="12"/>
  <c r="I168" i="12" s="1"/>
  <c r="K168" i="12" s="1"/>
  <c r="O157" i="8"/>
  <c r="G308" i="12"/>
  <c r="I308" i="12" s="1"/>
  <c r="K308" i="12" s="1"/>
  <c r="O121" i="8"/>
  <c r="G240" i="12"/>
  <c r="K240" i="12" s="1"/>
  <c r="O34" i="8"/>
  <c r="G63" i="12"/>
  <c r="K63" i="12" s="1"/>
  <c r="O155" i="8"/>
  <c r="G304" i="12"/>
  <c r="I304" i="12" s="1"/>
  <c r="K304" i="12" s="1"/>
  <c r="O14" i="8"/>
  <c r="G26" i="12"/>
  <c r="I26" i="12" s="1"/>
  <c r="K26" i="12" s="1"/>
  <c r="O147" i="8"/>
  <c r="G289" i="12"/>
  <c r="I289" i="12" s="1"/>
  <c r="K289" i="12" s="1"/>
  <c r="O86" i="8"/>
  <c r="G164" i="12"/>
  <c r="I164" i="12" s="1"/>
  <c r="K164" i="12" s="1"/>
  <c r="O135" i="8"/>
  <c r="G265" i="12"/>
  <c r="I265" i="12" s="1"/>
  <c r="K265" i="12" s="1"/>
  <c r="O43" i="8"/>
  <c r="G80" i="12"/>
  <c r="O54" i="8"/>
  <c r="G101" i="12"/>
  <c r="I101" i="12" s="1"/>
  <c r="K101" i="12" s="1"/>
  <c r="O99" i="8"/>
  <c r="G194" i="12"/>
  <c r="I194" i="12" s="1"/>
  <c r="K194" i="12" s="1"/>
  <c r="O107" i="8"/>
  <c r="G212" i="12"/>
  <c r="I212" i="12" s="1"/>
  <c r="K212" i="12" s="1"/>
  <c r="O7" i="8"/>
  <c r="G15" i="12"/>
  <c r="I15" i="12" s="1"/>
  <c r="K15" i="12" s="1"/>
  <c r="O108" i="8"/>
  <c r="G215" i="12"/>
  <c r="I215" i="12" s="1"/>
  <c r="K215" i="12" s="1"/>
  <c r="O119" i="8"/>
  <c r="G236" i="12"/>
  <c r="I236" i="12" s="1"/>
  <c r="K236" i="12" s="1"/>
  <c r="O24" i="8"/>
  <c r="G45" i="12"/>
  <c r="O166" i="8"/>
  <c r="G322" i="12"/>
  <c r="I322" i="12" s="1"/>
  <c r="K322" i="12" s="1"/>
  <c r="O128" i="8"/>
  <c r="G252" i="12"/>
  <c r="I252" i="12" s="1"/>
  <c r="K252" i="12" s="1"/>
  <c r="O58" i="8"/>
  <c r="G109" i="12"/>
  <c r="I109" i="12" s="1"/>
  <c r="K109" i="12" s="1"/>
  <c r="O161" i="8"/>
  <c r="G316" i="12"/>
  <c r="O85" i="8"/>
  <c r="G162" i="12"/>
  <c r="I162" i="12" s="1"/>
  <c r="K162" i="12" s="1"/>
  <c r="O173" i="8"/>
  <c r="G335" i="12"/>
  <c r="O23" i="8"/>
  <c r="G43" i="12"/>
  <c r="I43" i="12" s="1"/>
  <c r="K43" i="12" s="1"/>
  <c r="O134" i="8"/>
  <c r="G263" i="12"/>
  <c r="K263" i="12" s="1"/>
  <c r="O38" i="8"/>
  <c r="G70" i="12"/>
  <c r="I70" i="12" s="1"/>
  <c r="K70" i="12" s="1"/>
  <c r="O139" i="8"/>
  <c r="G273" i="12"/>
  <c r="I273" i="12" s="1"/>
  <c r="K273" i="12" s="1"/>
  <c r="G77" i="8"/>
  <c r="P77" i="8" s="1"/>
  <c r="G98" i="43"/>
  <c r="L98" i="43" s="1"/>
  <c r="G82" i="43"/>
  <c r="L82" i="43" s="1"/>
  <c r="G89" i="43"/>
  <c r="L89" i="43" s="1"/>
  <c r="G117" i="43"/>
  <c r="L117" i="43" s="1"/>
  <c r="G39" i="43"/>
  <c r="L39" i="43" s="1"/>
  <c r="G41" i="43"/>
  <c r="L41" i="43" s="1"/>
  <c r="G66" i="43"/>
  <c r="L66" i="43" s="1"/>
  <c r="G6" i="43"/>
  <c r="L6" i="43" s="1"/>
  <c r="G78" i="43"/>
  <c r="L78" i="43" s="1"/>
  <c r="G29" i="43"/>
  <c r="L29" i="43" s="1"/>
  <c r="G61" i="43"/>
  <c r="L61" i="43" s="1"/>
  <c r="G55" i="43"/>
  <c r="L55" i="43" s="1"/>
  <c r="G80" i="43"/>
  <c r="L80" i="43" s="1"/>
  <c r="G24" i="43"/>
  <c r="L24" i="43" s="1"/>
  <c r="G46" i="43"/>
  <c r="L46" i="43" s="1"/>
  <c r="G69" i="43"/>
  <c r="L69" i="43" s="1"/>
  <c r="G77" i="43"/>
  <c r="L77" i="43" s="1"/>
  <c r="G79" i="43"/>
  <c r="L79" i="43" s="1"/>
  <c r="G75" i="43"/>
  <c r="L75" i="43" s="1"/>
  <c r="G5" i="43"/>
  <c r="L5" i="43" s="1"/>
  <c r="G4" i="43"/>
  <c r="L4" i="43" s="1"/>
  <c r="G23" i="8"/>
  <c r="P23" i="8" s="1"/>
  <c r="G85" i="8"/>
  <c r="P85" i="8" s="1"/>
  <c r="H1" i="7"/>
  <c r="G48" i="8"/>
  <c r="P48" i="8" s="1"/>
  <c r="G54" i="8"/>
  <c r="P54" i="8" s="1"/>
  <c r="H165" i="8"/>
  <c r="Q165" i="8" s="1"/>
  <c r="H99" i="8"/>
  <c r="H114" i="8"/>
  <c r="H167" i="8"/>
  <c r="H166" i="8"/>
  <c r="H147" i="8"/>
  <c r="H139" i="8"/>
  <c r="H111" i="8"/>
  <c r="H119" i="8"/>
  <c r="H108" i="8"/>
  <c r="H122" i="8"/>
  <c r="G121" i="8"/>
  <c r="P121" i="8" s="1"/>
  <c r="G166" i="8"/>
  <c r="G134" i="8"/>
  <c r="P134" i="8" s="1"/>
  <c r="G107" i="8"/>
  <c r="P107" i="8" s="1"/>
  <c r="G168" i="8"/>
  <c r="G165" i="8"/>
  <c r="P165" i="8" s="1"/>
  <c r="G108" i="8"/>
  <c r="P108" i="8" s="1"/>
  <c r="G119" i="8"/>
  <c r="P119" i="8" s="1"/>
  <c r="G135" i="8"/>
  <c r="P135" i="8" s="1"/>
  <c r="G99" i="8"/>
  <c r="P99" i="8" s="1"/>
  <c r="G58" i="8"/>
  <c r="P58" i="8" s="1"/>
  <c r="G7" i="8"/>
  <c r="P7" i="8" s="1"/>
  <c r="G86" i="8"/>
  <c r="P86" i="8" s="1"/>
  <c r="G88" i="8"/>
  <c r="P88" i="8" s="1"/>
  <c r="H88" i="8"/>
  <c r="H65" i="8"/>
  <c r="H28" i="8"/>
  <c r="H86" i="8"/>
  <c r="H43" i="8"/>
  <c r="H38" i="8"/>
  <c r="H34" i="8"/>
  <c r="H85" i="8"/>
  <c r="H23" i="8"/>
  <c r="H48" i="8"/>
  <c r="H31" i="8"/>
  <c r="H7" i="8"/>
  <c r="H54" i="8"/>
  <c r="H45" i="8"/>
  <c r="H12" i="8"/>
  <c r="H24" i="8"/>
  <c r="I1" i="7"/>
  <c r="I335" i="12" l="1"/>
  <c r="K335" i="12" s="1"/>
  <c r="I316" i="12"/>
  <c r="K316" i="12" s="1"/>
  <c r="Q167" i="8"/>
  <c r="H324" i="12"/>
  <c r="J324" i="12" s="1"/>
  <c r="Q166" i="8"/>
  <c r="H322" i="12"/>
  <c r="J322" i="12" s="1"/>
  <c r="L322" i="12" s="1"/>
  <c r="I45" i="12"/>
  <c r="K45" i="12" s="1"/>
  <c r="I80" i="12"/>
  <c r="K80" i="12" s="1"/>
  <c r="Q88" i="8"/>
  <c r="H168" i="12"/>
  <c r="J168" i="12" s="1"/>
  <c r="L168" i="12" s="1"/>
  <c r="Q45" i="8"/>
  <c r="H84" i="12"/>
  <c r="Q122" i="8"/>
  <c r="H242" i="12"/>
  <c r="Q54" i="8"/>
  <c r="H101" i="12"/>
  <c r="J101" i="12" s="1"/>
  <c r="L101" i="12" s="1"/>
  <c r="Q108" i="8"/>
  <c r="H215" i="12"/>
  <c r="L215" i="12" s="1"/>
  <c r="Q12" i="8"/>
  <c r="H22" i="12"/>
  <c r="J22" i="12" s="1"/>
  <c r="L22" i="12" s="1"/>
  <c r="Q111" i="8"/>
  <c r="H221" i="12"/>
  <c r="J221" i="12" s="1"/>
  <c r="L221" i="12" s="1"/>
  <c r="Q139" i="8"/>
  <c r="H273" i="12"/>
  <c r="J273" i="12" s="1"/>
  <c r="L273" i="12" s="1"/>
  <c r="Q147" i="8"/>
  <c r="H289" i="12"/>
  <c r="J289" i="12" s="1"/>
  <c r="L289" i="12" s="1"/>
  <c r="Q119" i="8"/>
  <c r="H236" i="12"/>
  <c r="L236" i="12" s="1"/>
  <c r="Q31" i="8"/>
  <c r="H58" i="12"/>
  <c r="J58" i="12" s="1"/>
  <c r="L58" i="12" s="1"/>
  <c r="Q34" i="8"/>
  <c r="H63" i="12"/>
  <c r="J63" i="12" s="1"/>
  <c r="L63" i="12" s="1"/>
  <c r="Q114" i="8"/>
  <c r="H181" i="12"/>
  <c r="J181" i="12" s="1"/>
  <c r="L181" i="12" s="1"/>
  <c r="Q7" i="8"/>
  <c r="H15" i="12"/>
  <c r="J15" i="12" s="1"/>
  <c r="L15" i="12" s="1"/>
  <c r="Q38" i="8"/>
  <c r="H70" i="12"/>
  <c r="J70" i="12" s="1"/>
  <c r="L70" i="12" s="1"/>
  <c r="Q43" i="8"/>
  <c r="H80" i="12"/>
  <c r="P168" i="8"/>
  <c r="Q99" i="8"/>
  <c r="H194" i="12"/>
  <c r="J194" i="12" s="1"/>
  <c r="L194" i="12" s="1"/>
  <c r="Q48" i="8"/>
  <c r="H89" i="12"/>
  <c r="J89" i="12" s="1"/>
  <c r="L89" i="12" s="1"/>
  <c r="Q85" i="8"/>
  <c r="H162" i="12"/>
  <c r="J162" i="12" s="1"/>
  <c r="L162" i="12" s="1"/>
  <c r="Q23" i="8"/>
  <c r="H43" i="12"/>
  <c r="J43" i="12" s="1"/>
  <c r="L43" i="12" s="1"/>
  <c r="Q86" i="8"/>
  <c r="H164" i="12"/>
  <c r="L164" i="12" s="1"/>
  <c r="Q28" i="8"/>
  <c r="H54" i="12"/>
  <c r="J54" i="12" s="1"/>
  <c r="L54" i="12" s="1"/>
  <c r="Q24" i="8"/>
  <c r="H45" i="12"/>
  <c r="Q65" i="8"/>
  <c r="H122" i="12"/>
  <c r="J122" i="12" s="1"/>
  <c r="L122" i="12" s="1"/>
  <c r="P166" i="8"/>
  <c r="H82" i="43"/>
  <c r="M82" i="43" s="1"/>
  <c r="H46" i="43"/>
  <c r="M46" i="43" s="1"/>
  <c r="H16" i="43"/>
  <c r="M16" i="43" s="1"/>
  <c r="H10" i="43"/>
  <c r="M10" i="43" s="1"/>
  <c r="H6" i="43"/>
  <c r="M6" i="43" s="1"/>
  <c r="H78" i="43"/>
  <c r="M78" i="43" s="1"/>
  <c r="H98" i="43"/>
  <c r="M98" i="43" s="1"/>
  <c r="H77" i="43"/>
  <c r="M77" i="43" s="1"/>
  <c r="H41" i="43"/>
  <c r="M41" i="43" s="1"/>
  <c r="H39" i="43"/>
  <c r="M39" i="43" s="1"/>
  <c r="H118" i="43"/>
  <c r="M118" i="43" s="1"/>
  <c r="H86" i="43"/>
  <c r="M86" i="43" s="1"/>
  <c r="H89" i="43"/>
  <c r="M89" i="43" s="1"/>
  <c r="H66" i="43"/>
  <c r="M66" i="43" s="1"/>
  <c r="H62" i="43"/>
  <c r="M62" i="43" s="1"/>
  <c r="H117" i="43"/>
  <c r="M117" i="43" s="1"/>
  <c r="H61" i="43"/>
  <c r="M61" i="43" s="1"/>
  <c r="H79" i="43"/>
  <c r="M79" i="43" s="1"/>
  <c r="H29" i="43"/>
  <c r="M29" i="43" s="1"/>
  <c r="H55" i="43"/>
  <c r="M55" i="43" s="1"/>
  <c r="H58" i="43"/>
  <c r="M58" i="43" s="1"/>
  <c r="H24" i="43"/>
  <c r="M24" i="43" s="1"/>
  <c r="H75" i="43"/>
  <c r="M75" i="43" s="1"/>
  <c r="H5" i="43"/>
  <c r="M5" i="43" s="1"/>
  <c r="H4" i="43"/>
  <c r="M4" i="43" s="1"/>
  <c r="H128" i="8"/>
  <c r="H134" i="8"/>
  <c r="H155" i="8"/>
  <c r="I41" i="43"/>
  <c r="N41" i="43" s="1"/>
  <c r="I61" i="43"/>
  <c r="N61" i="43" s="1"/>
  <c r="I6" i="43"/>
  <c r="N6" i="43" s="1"/>
  <c r="I66" i="43"/>
  <c r="N66" i="43" s="1"/>
  <c r="I117" i="43"/>
  <c r="N117" i="43" s="1"/>
  <c r="I29" i="43"/>
  <c r="N29" i="43" s="1"/>
  <c r="I98" i="43"/>
  <c r="N98" i="43" s="1"/>
  <c r="I24" i="43"/>
  <c r="N24" i="43" s="1"/>
  <c r="I79" i="43"/>
  <c r="N79" i="43" s="1"/>
  <c r="I77" i="43"/>
  <c r="N77" i="43" s="1"/>
  <c r="I55" i="43"/>
  <c r="N55" i="43" s="1"/>
  <c r="I46" i="43"/>
  <c r="N46" i="43" s="1"/>
  <c r="I75" i="43"/>
  <c r="N75" i="43" s="1"/>
  <c r="I4" i="43"/>
  <c r="N4" i="43" s="1"/>
  <c r="H107" i="8"/>
  <c r="H212" i="12" s="1"/>
  <c r="J212" i="12" s="1"/>
  <c r="L212" i="12" s="1"/>
  <c r="H135" i="8"/>
  <c r="H58" i="8"/>
  <c r="H109" i="12" s="1"/>
  <c r="J109" i="12" s="1"/>
  <c r="L109" i="12" s="1"/>
  <c r="H69" i="8"/>
  <c r="H129" i="12" s="1"/>
  <c r="J129" i="12" s="1"/>
  <c r="L129" i="12" s="1"/>
  <c r="H115" i="8"/>
  <c r="H161" i="8"/>
  <c r="H95" i="8"/>
  <c r="H136" i="8"/>
  <c r="H267" i="12" s="1"/>
  <c r="J267" i="12" s="1"/>
  <c r="L267" i="12" s="1"/>
  <c r="H173" i="8"/>
  <c r="I115" i="8"/>
  <c r="R115" i="8" s="1"/>
  <c r="I165" i="8"/>
  <c r="R165" i="8" s="1"/>
  <c r="I136" i="8"/>
  <c r="R136" i="8" s="1"/>
  <c r="I149" i="8"/>
  <c r="R149" i="8" s="1"/>
  <c r="I166" i="8"/>
  <c r="R166" i="8" s="1"/>
  <c r="I135" i="8"/>
  <c r="R135" i="8" s="1"/>
  <c r="I147" i="8"/>
  <c r="R147" i="8" s="1"/>
  <c r="I173" i="8"/>
  <c r="R173" i="8" s="1"/>
  <c r="I45" i="8"/>
  <c r="R45" i="8" s="1"/>
  <c r="I88" i="8"/>
  <c r="R88" i="8" s="1"/>
  <c r="I85" i="8"/>
  <c r="R85" i="8" s="1"/>
  <c r="I86" i="8"/>
  <c r="R86" i="8" s="1"/>
  <c r="I77" i="8"/>
  <c r="R77" i="8" s="1"/>
  <c r="I7" i="8"/>
  <c r="R7" i="8" s="1"/>
  <c r="I58" i="8"/>
  <c r="R58" i="8" s="1"/>
  <c r="I48" i="8"/>
  <c r="R48" i="8" s="1"/>
  <c r="I26" i="8"/>
  <c r="R26" i="8" s="1"/>
  <c r="J1" i="7"/>
  <c r="U3" i="7" s="1"/>
  <c r="C1" i="1"/>
  <c r="R245" i="3"/>
  <c r="Q245" i="3"/>
  <c r="C245" i="3"/>
  <c r="R244" i="3"/>
  <c r="Q244" i="3"/>
  <c r="C244" i="3"/>
  <c r="R243" i="3"/>
  <c r="Q243" i="3"/>
  <c r="C243" i="3"/>
  <c r="R242" i="3"/>
  <c r="Q242" i="3"/>
  <c r="C242" i="3"/>
  <c r="R241" i="3"/>
  <c r="Q241" i="3"/>
  <c r="C241" i="3"/>
  <c r="R240" i="3"/>
  <c r="Q240" i="3"/>
  <c r="C240" i="3"/>
  <c r="R239" i="3"/>
  <c r="Q239" i="3"/>
  <c r="C239" i="3"/>
  <c r="R238" i="3"/>
  <c r="Q238" i="3"/>
  <c r="C238" i="3"/>
  <c r="R237" i="3"/>
  <c r="Q237" i="3"/>
  <c r="C237" i="3"/>
  <c r="R236" i="3"/>
  <c r="Q236" i="3"/>
  <c r="C236" i="3"/>
  <c r="R235" i="3"/>
  <c r="Q235" i="3"/>
  <c r="C235" i="3"/>
  <c r="R234" i="3"/>
  <c r="Q234" i="3"/>
  <c r="C234" i="3"/>
  <c r="R233" i="3"/>
  <c r="Q233" i="3"/>
  <c r="C233" i="3"/>
  <c r="R232" i="3"/>
  <c r="Q232" i="3"/>
  <c r="C232" i="3"/>
  <c r="R231" i="3"/>
  <c r="Q231" i="3"/>
  <c r="C231" i="3"/>
  <c r="R230" i="3"/>
  <c r="Q230" i="3"/>
  <c r="C230" i="3"/>
  <c r="R229" i="3"/>
  <c r="Q229" i="3"/>
  <c r="C229" i="3"/>
  <c r="R228" i="3"/>
  <c r="Q228" i="3"/>
  <c r="C228" i="3"/>
  <c r="R227" i="3"/>
  <c r="Q227" i="3"/>
  <c r="C227" i="3"/>
  <c r="R226" i="3"/>
  <c r="Q226" i="3"/>
  <c r="C226" i="3"/>
  <c r="R225" i="3"/>
  <c r="Q225" i="3"/>
  <c r="C225" i="3"/>
  <c r="R224" i="3"/>
  <c r="Q224" i="3"/>
  <c r="C224" i="3"/>
  <c r="R223" i="3"/>
  <c r="Q223" i="3"/>
  <c r="C223" i="3"/>
  <c r="R222" i="3"/>
  <c r="Q222" i="3"/>
  <c r="C222" i="3"/>
  <c r="R221" i="3"/>
  <c r="Q221" i="3"/>
  <c r="C221" i="3"/>
  <c r="R220" i="3"/>
  <c r="Q220" i="3"/>
  <c r="C220" i="3"/>
  <c r="R219" i="3"/>
  <c r="Q219" i="3"/>
  <c r="C219" i="3"/>
  <c r="R218" i="3"/>
  <c r="Q218" i="3"/>
  <c r="C218" i="3"/>
  <c r="R217" i="3"/>
  <c r="Q217" i="3"/>
  <c r="C217" i="3"/>
  <c r="R215" i="3"/>
  <c r="Q215" i="3"/>
  <c r="C215" i="3"/>
  <c r="R214" i="3"/>
  <c r="Q214" i="3"/>
  <c r="C214" i="3"/>
  <c r="R213" i="3"/>
  <c r="Q213" i="3"/>
  <c r="C213" i="3"/>
  <c r="R212" i="3"/>
  <c r="Q212" i="3"/>
  <c r="C212" i="3"/>
  <c r="R210" i="3"/>
  <c r="Q210" i="3"/>
  <c r="C210" i="3"/>
  <c r="R209" i="3"/>
  <c r="Q209" i="3"/>
  <c r="C209" i="3"/>
  <c r="R208" i="3"/>
  <c r="Q208" i="3"/>
  <c r="C208" i="3"/>
  <c r="R207" i="3"/>
  <c r="Q207" i="3"/>
  <c r="C207" i="3"/>
  <c r="R206" i="3"/>
  <c r="Q206" i="3"/>
  <c r="C206" i="3"/>
  <c r="R204" i="3"/>
  <c r="Q204" i="3"/>
  <c r="C204" i="3"/>
  <c r="R203" i="3"/>
  <c r="Q203" i="3"/>
  <c r="C203" i="3"/>
  <c r="R201" i="3"/>
  <c r="Q201" i="3"/>
  <c r="C201" i="3"/>
  <c r="R200" i="3"/>
  <c r="Q200" i="3"/>
  <c r="C200" i="3"/>
  <c r="R199" i="3"/>
  <c r="Q199" i="3"/>
  <c r="C199" i="3"/>
  <c r="R197" i="3"/>
  <c r="Q197" i="3"/>
  <c r="C197" i="3"/>
  <c r="R196" i="3"/>
  <c r="Q196" i="3"/>
  <c r="C196" i="3"/>
  <c r="R195" i="3"/>
  <c r="Q195" i="3"/>
  <c r="C195" i="3"/>
  <c r="R193" i="3"/>
  <c r="Q193" i="3"/>
  <c r="C193" i="3"/>
  <c r="R192" i="3"/>
  <c r="Q192" i="3"/>
  <c r="C192" i="3"/>
  <c r="R191" i="3"/>
  <c r="Q191" i="3"/>
  <c r="C191" i="3"/>
  <c r="R190" i="3"/>
  <c r="Q190" i="3"/>
  <c r="C190" i="3"/>
  <c r="R189" i="3"/>
  <c r="Q189" i="3"/>
  <c r="C189" i="3"/>
  <c r="R188" i="3"/>
  <c r="Q188" i="3"/>
  <c r="C188" i="3"/>
  <c r="R187" i="3"/>
  <c r="Q187" i="3"/>
  <c r="C187" i="3"/>
  <c r="R186" i="3"/>
  <c r="Q186" i="3"/>
  <c r="C186" i="3"/>
  <c r="R185" i="3"/>
  <c r="Q185" i="3"/>
  <c r="C185" i="3"/>
  <c r="R184" i="3"/>
  <c r="Q184" i="3"/>
  <c r="C184" i="3"/>
  <c r="R183" i="3"/>
  <c r="Q183" i="3"/>
  <c r="C183" i="3"/>
  <c r="R182" i="3"/>
  <c r="Q182" i="3"/>
  <c r="C182" i="3"/>
  <c r="R181" i="3"/>
  <c r="Q181" i="3"/>
  <c r="C181" i="3"/>
  <c r="R180" i="3"/>
  <c r="Q180" i="3"/>
  <c r="R179" i="3"/>
  <c r="Q179" i="3"/>
  <c r="C179" i="3"/>
  <c r="R178" i="3"/>
  <c r="Q178" i="3"/>
  <c r="C178" i="3"/>
  <c r="R177" i="3"/>
  <c r="Q177" i="3"/>
  <c r="C177" i="3"/>
  <c r="R176" i="3"/>
  <c r="Q176" i="3"/>
  <c r="C176" i="3"/>
  <c r="R175" i="3"/>
  <c r="Q175" i="3"/>
  <c r="C175" i="3"/>
  <c r="R174" i="3"/>
  <c r="Q174" i="3"/>
  <c r="C174" i="3"/>
  <c r="R173" i="3"/>
  <c r="Q173" i="3"/>
  <c r="C173" i="3"/>
  <c r="R172" i="3"/>
  <c r="Q172" i="3"/>
  <c r="C172" i="3"/>
  <c r="R171" i="3"/>
  <c r="Q171" i="3"/>
  <c r="C171" i="3"/>
  <c r="R170" i="3"/>
  <c r="Q170" i="3"/>
  <c r="C170" i="3"/>
  <c r="R169" i="3"/>
  <c r="Q169" i="3"/>
  <c r="C169" i="3"/>
  <c r="R168" i="3"/>
  <c r="Q168" i="3"/>
  <c r="C168" i="3"/>
  <c r="R167" i="3"/>
  <c r="Q167" i="3"/>
  <c r="C167" i="3"/>
  <c r="R166" i="3"/>
  <c r="Q166" i="3"/>
  <c r="C166" i="3"/>
  <c r="R164" i="3"/>
  <c r="Q164" i="3"/>
  <c r="C164" i="3"/>
  <c r="R163" i="3"/>
  <c r="Q163" i="3"/>
  <c r="C163" i="3"/>
  <c r="R162" i="3"/>
  <c r="Q162" i="3"/>
  <c r="C162" i="3"/>
  <c r="R161" i="3"/>
  <c r="Q161" i="3"/>
  <c r="C161" i="3"/>
  <c r="R160" i="3"/>
  <c r="Q160" i="3"/>
  <c r="C160" i="3"/>
  <c r="R159" i="3"/>
  <c r="Q159" i="3"/>
  <c r="C159" i="3"/>
  <c r="R158" i="3"/>
  <c r="Q158" i="3"/>
  <c r="C158" i="3"/>
  <c r="R157" i="3"/>
  <c r="Q157" i="3"/>
  <c r="C157" i="3"/>
  <c r="R155" i="3"/>
  <c r="Q155" i="3"/>
  <c r="C155" i="3"/>
  <c r="R154" i="3"/>
  <c r="Q154" i="3"/>
  <c r="C154" i="3"/>
  <c r="R153" i="3"/>
  <c r="Q153" i="3"/>
  <c r="C153" i="3"/>
  <c r="R152" i="3"/>
  <c r="Q152" i="3"/>
  <c r="C152" i="3"/>
  <c r="R151" i="3"/>
  <c r="Q151" i="3"/>
  <c r="C151" i="3"/>
  <c r="R150" i="3"/>
  <c r="Q150" i="3"/>
  <c r="C150" i="3"/>
  <c r="R149" i="3"/>
  <c r="Q149" i="3"/>
  <c r="C149" i="3"/>
  <c r="R148" i="3"/>
  <c r="Q148" i="3"/>
  <c r="C148" i="3"/>
  <c r="R147" i="3"/>
  <c r="Q147" i="3"/>
  <c r="C147" i="3"/>
  <c r="R146" i="3"/>
  <c r="Q146" i="3"/>
  <c r="C146" i="3"/>
  <c r="R145" i="3"/>
  <c r="Q145" i="3"/>
  <c r="C145" i="3"/>
  <c r="R144" i="3"/>
  <c r="Q144" i="3"/>
  <c r="C144" i="3"/>
  <c r="R143" i="3"/>
  <c r="Q143" i="3"/>
  <c r="C143" i="3"/>
  <c r="R142" i="3"/>
  <c r="Q142" i="3"/>
  <c r="C142" i="3"/>
  <c r="R141" i="3"/>
  <c r="Q141" i="3"/>
  <c r="R140" i="3"/>
  <c r="Q140" i="3"/>
  <c r="C140" i="3"/>
  <c r="R139" i="3"/>
  <c r="Q139" i="3"/>
  <c r="C139" i="3"/>
  <c r="R138" i="3"/>
  <c r="Q138" i="3"/>
  <c r="R137" i="3"/>
  <c r="Q137" i="3"/>
  <c r="C137" i="3"/>
  <c r="R136" i="3"/>
  <c r="Q136" i="3"/>
  <c r="C136" i="3"/>
  <c r="R135" i="3"/>
  <c r="Q135" i="3"/>
  <c r="C135" i="3"/>
  <c r="R134" i="3"/>
  <c r="Q134" i="3"/>
  <c r="C134" i="3"/>
  <c r="R133" i="3"/>
  <c r="Q133" i="3"/>
  <c r="C133" i="3"/>
  <c r="R132" i="3"/>
  <c r="Q132" i="3"/>
  <c r="C132" i="3"/>
  <c r="R131" i="3"/>
  <c r="Q131" i="3"/>
  <c r="C131" i="3"/>
  <c r="R130" i="3"/>
  <c r="Q130" i="3"/>
  <c r="C130" i="3"/>
  <c r="R129" i="3"/>
  <c r="Q129" i="3"/>
  <c r="C129" i="3"/>
  <c r="R128" i="3"/>
  <c r="Q128" i="3"/>
  <c r="C128" i="3"/>
  <c r="R127" i="3"/>
  <c r="Q127" i="3"/>
  <c r="C127" i="3"/>
  <c r="R126" i="3"/>
  <c r="Q126" i="3"/>
  <c r="C126" i="3"/>
  <c r="C125" i="3"/>
  <c r="R124" i="3"/>
  <c r="Q124" i="3"/>
  <c r="C124" i="3"/>
  <c r="R123" i="3"/>
  <c r="Q123" i="3"/>
  <c r="C123" i="3"/>
  <c r="R122" i="3"/>
  <c r="Q122" i="3"/>
  <c r="C122" i="3"/>
  <c r="R121" i="3"/>
  <c r="Q121" i="3"/>
  <c r="C121" i="3"/>
  <c r="R120" i="3"/>
  <c r="Q120" i="3"/>
  <c r="C120" i="3"/>
  <c r="R119" i="3"/>
  <c r="Q119" i="3"/>
  <c r="C119" i="3"/>
  <c r="R118" i="3"/>
  <c r="Q118" i="3"/>
  <c r="C118" i="3"/>
  <c r="R117" i="3"/>
  <c r="Q117" i="3"/>
  <c r="C117" i="3"/>
  <c r="R116" i="3"/>
  <c r="Q116" i="3"/>
  <c r="C116" i="3"/>
  <c r="R115" i="3"/>
  <c r="Q115" i="3"/>
  <c r="C115" i="3"/>
  <c r="R114" i="3"/>
  <c r="Q114" i="3"/>
  <c r="C114" i="3"/>
  <c r="R113" i="3"/>
  <c r="Q113" i="3"/>
  <c r="C113" i="3"/>
  <c r="R112" i="3"/>
  <c r="Q112" i="3"/>
  <c r="C112" i="3"/>
  <c r="R110" i="3"/>
  <c r="Q110" i="3"/>
  <c r="C110" i="3"/>
  <c r="R109" i="3"/>
  <c r="Q109" i="3"/>
  <c r="C109" i="3"/>
  <c r="R108" i="3"/>
  <c r="Q108" i="3"/>
  <c r="C108" i="3"/>
  <c r="R107" i="3"/>
  <c r="Q107" i="3"/>
  <c r="C107" i="3"/>
  <c r="R106" i="3"/>
  <c r="Q106" i="3"/>
  <c r="C106" i="3"/>
  <c r="C105" i="3"/>
  <c r="R104" i="3"/>
  <c r="Q104" i="3"/>
  <c r="C104" i="3"/>
  <c r="R103" i="3"/>
  <c r="Q103" i="3"/>
  <c r="C103" i="3"/>
  <c r="R102" i="3"/>
  <c r="Q102" i="3"/>
  <c r="C102" i="3"/>
  <c r="R101" i="3"/>
  <c r="Q101" i="3"/>
  <c r="C101" i="3"/>
  <c r="R100" i="3"/>
  <c r="Q100" i="3"/>
  <c r="C100" i="3"/>
  <c r="R99" i="3"/>
  <c r="Q99" i="3"/>
  <c r="C99" i="3"/>
  <c r="R98" i="3"/>
  <c r="Q98" i="3"/>
  <c r="C98" i="3"/>
  <c r="R97" i="3"/>
  <c r="Q97" i="3"/>
  <c r="C97" i="3"/>
  <c r="R96" i="3"/>
  <c r="Q96" i="3"/>
  <c r="C96" i="3"/>
  <c r="R95" i="3"/>
  <c r="Q95" i="3"/>
  <c r="C95" i="3"/>
  <c r="R94" i="3"/>
  <c r="Q94" i="3"/>
  <c r="C94" i="3"/>
  <c r="R93" i="3"/>
  <c r="Q93" i="3"/>
  <c r="C93" i="3"/>
  <c r="R92" i="3"/>
  <c r="Q92" i="3"/>
  <c r="C92" i="3"/>
  <c r="R91" i="3"/>
  <c r="Q91" i="3"/>
  <c r="R90" i="3"/>
  <c r="Q90" i="3"/>
  <c r="C90" i="3"/>
  <c r="R89" i="3"/>
  <c r="Q89" i="3"/>
  <c r="C89" i="3"/>
  <c r="R88" i="3"/>
  <c r="Q88" i="3"/>
  <c r="C88" i="3"/>
  <c r="R87" i="3"/>
  <c r="Q87" i="3"/>
  <c r="C87" i="3"/>
  <c r="R86" i="3"/>
  <c r="Q86" i="3"/>
  <c r="C86" i="3"/>
  <c r="R85" i="3"/>
  <c r="Q85" i="3"/>
  <c r="C85" i="3"/>
  <c r="R84" i="3"/>
  <c r="Q84" i="3"/>
  <c r="C84" i="3"/>
  <c r="R83" i="3"/>
  <c r="Q83" i="3"/>
  <c r="C83" i="3"/>
  <c r="R82" i="3"/>
  <c r="Q82" i="3"/>
  <c r="C82" i="3"/>
  <c r="R81" i="3"/>
  <c r="Q81" i="3"/>
  <c r="C81" i="3"/>
  <c r="R80" i="3"/>
  <c r="Q80" i="3"/>
  <c r="C80" i="3"/>
  <c r="R79" i="3"/>
  <c r="Q79" i="3"/>
  <c r="R78" i="3"/>
  <c r="Q78" i="3"/>
  <c r="C78" i="3"/>
  <c r="R77" i="3"/>
  <c r="Q77" i="3"/>
  <c r="C77" i="3"/>
  <c r="R76" i="3"/>
  <c r="Q76" i="3"/>
  <c r="C76" i="3"/>
  <c r="R75" i="3"/>
  <c r="Q75" i="3"/>
  <c r="C75" i="3"/>
  <c r="R74" i="3"/>
  <c r="Q74" i="3"/>
  <c r="C74" i="3"/>
  <c r="R73" i="3"/>
  <c r="Q73" i="3"/>
  <c r="C73" i="3"/>
  <c r="R72" i="3"/>
  <c r="Q72" i="3"/>
  <c r="C72" i="3"/>
  <c r="R71" i="3"/>
  <c r="Q71" i="3"/>
  <c r="C71" i="3"/>
  <c r="R70" i="3"/>
  <c r="Q70" i="3"/>
  <c r="C70" i="3"/>
  <c r="R69" i="3"/>
  <c r="Q69" i="3"/>
  <c r="C69" i="3"/>
  <c r="R68" i="3"/>
  <c r="Q68" i="3"/>
  <c r="C68" i="3"/>
  <c r="R67" i="3"/>
  <c r="Q67" i="3"/>
  <c r="C67" i="3"/>
  <c r="R66" i="3"/>
  <c r="Q66" i="3"/>
  <c r="C66" i="3"/>
  <c r="R65" i="3"/>
  <c r="Q65" i="3"/>
  <c r="C65" i="3"/>
  <c r="R64" i="3"/>
  <c r="Q64" i="3"/>
  <c r="C64" i="3"/>
  <c r="R63" i="3"/>
  <c r="Q63" i="3"/>
  <c r="C63" i="3"/>
  <c r="R62" i="3"/>
  <c r="Q62" i="3"/>
  <c r="C62" i="3"/>
  <c r="R61" i="3"/>
  <c r="Q61" i="3"/>
  <c r="C61" i="3"/>
  <c r="R60" i="3"/>
  <c r="Q60" i="3"/>
  <c r="C60" i="3"/>
  <c r="R59" i="3"/>
  <c r="Q59" i="3"/>
  <c r="C59" i="3"/>
  <c r="R58" i="3"/>
  <c r="Q58" i="3"/>
  <c r="C58" i="3"/>
  <c r="R57" i="3"/>
  <c r="Q57" i="3"/>
  <c r="C57" i="3"/>
  <c r="R56" i="3"/>
  <c r="Q56" i="3"/>
  <c r="C56" i="3"/>
  <c r="R55" i="3"/>
  <c r="Q55" i="3"/>
  <c r="C55" i="3"/>
  <c r="R54" i="3"/>
  <c r="Q54" i="3"/>
  <c r="C54" i="3"/>
  <c r="R53" i="3"/>
  <c r="Q53" i="3"/>
  <c r="C53" i="3"/>
  <c r="R52" i="3"/>
  <c r="Q52" i="3"/>
  <c r="C52" i="3"/>
  <c r="R51" i="3"/>
  <c r="Q51" i="3"/>
  <c r="C51" i="3"/>
  <c r="R50" i="3"/>
  <c r="Q50" i="3"/>
  <c r="C50" i="3"/>
  <c r="R49" i="3"/>
  <c r="Q49" i="3"/>
  <c r="C49" i="3"/>
  <c r="R48" i="3"/>
  <c r="Q48" i="3"/>
  <c r="C48" i="3"/>
  <c r="R47" i="3"/>
  <c r="Q47" i="3"/>
  <c r="C47" i="3"/>
  <c r="R46" i="3"/>
  <c r="Q46" i="3"/>
  <c r="C46" i="3"/>
  <c r="R45" i="3"/>
  <c r="Q45" i="3"/>
  <c r="C45" i="3"/>
  <c r="R44" i="3"/>
  <c r="Q44" i="3"/>
  <c r="C44" i="3"/>
  <c r="R43" i="3"/>
  <c r="Q43" i="3"/>
  <c r="C43" i="3"/>
  <c r="R42" i="3"/>
  <c r="Q42" i="3"/>
  <c r="C42" i="3"/>
  <c r="R41" i="3"/>
  <c r="Q41" i="3"/>
  <c r="C41" i="3"/>
  <c r="R40" i="3"/>
  <c r="Q40" i="3"/>
  <c r="C40" i="3"/>
  <c r="R39" i="3"/>
  <c r="Q39" i="3"/>
  <c r="C39" i="3"/>
  <c r="R38" i="3"/>
  <c r="Q38" i="3"/>
  <c r="C38" i="3"/>
  <c r="R37" i="3"/>
  <c r="Q37" i="3"/>
  <c r="C37" i="3"/>
  <c r="R36" i="3"/>
  <c r="Q36" i="3"/>
  <c r="C36" i="3"/>
  <c r="R35" i="3"/>
  <c r="Q35" i="3"/>
  <c r="C35" i="3"/>
  <c r="R34" i="3"/>
  <c r="Q34" i="3"/>
  <c r="C34" i="3"/>
  <c r="R33" i="3"/>
  <c r="Q33" i="3"/>
  <c r="C33" i="3"/>
  <c r="R32" i="3"/>
  <c r="Q32" i="3"/>
  <c r="C32" i="3"/>
  <c r="R31" i="3"/>
  <c r="Q31" i="3"/>
  <c r="C31" i="3"/>
  <c r="R30" i="3"/>
  <c r="Q30" i="3"/>
  <c r="R29" i="3"/>
  <c r="Q29" i="3"/>
  <c r="R28" i="3"/>
  <c r="Q28" i="3"/>
  <c r="C28" i="3"/>
  <c r="R27" i="3"/>
  <c r="Q27" i="3"/>
  <c r="R26" i="3"/>
  <c r="Q26" i="3"/>
  <c r="C26" i="3"/>
  <c r="R25" i="3"/>
  <c r="Q25" i="3"/>
  <c r="C25" i="3"/>
  <c r="R24" i="3"/>
  <c r="Q24" i="3"/>
  <c r="C24" i="3"/>
  <c r="R23" i="3"/>
  <c r="Q23" i="3"/>
  <c r="C23" i="3"/>
  <c r="R22" i="3"/>
  <c r="Q22" i="3"/>
  <c r="C22" i="3"/>
  <c r="R21" i="3"/>
  <c r="Q21" i="3"/>
  <c r="C21" i="3"/>
  <c r="R20" i="3"/>
  <c r="Q20" i="3"/>
  <c r="C20" i="3"/>
  <c r="R19" i="3"/>
  <c r="Q19" i="3"/>
  <c r="C19" i="3"/>
  <c r="R18" i="3"/>
  <c r="Q18" i="3"/>
  <c r="C18" i="3"/>
  <c r="R17" i="3"/>
  <c r="Q17" i="3"/>
  <c r="C17" i="3"/>
  <c r="R16" i="3"/>
  <c r="Q16" i="3"/>
  <c r="C16" i="3"/>
  <c r="R15" i="3"/>
  <c r="Q15" i="3"/>
  <c r="C15" i="3"/>
  <c r="R14" i="3"/>
  <c r="Q14" i="3"/>
  <c r="C14" i="3"/>
  <c r="R13" i="3"/>
  <c r="Q13" i="3"/>
  <c r="C13" i="3"/>
  <c r="R12" i="3"/>
  <c r="Q12" i="3"/>
  <c r="C12" i="3"/>
  <c r="R11" i="3"/>
  <c r="Q11" i="3"/>
  <c r="C11" i="3"/>
  <c r="R10" i="3"/>
  <c r="Q10" i="3"/>
  <c r="C10" i="3"/>
  <c r="R9" i="3"/>
  <c r="Q9" i="3"/>
  <c r="C9" i="3"/>
  <c r="R8" i="3"/>
  <c r="Q8" i="3"/>
  <c r="C8" i="3"/>
  <c r="R7" i="3"/>
  <c r="Q7" i="3"/>
  <c r="C7" i="3"/>
  <c r="R6" i="3"/>
  <c r="Q6" i="3"/>
  <c r="C6" i="3"/>
  <c r="R5" i="3"/>
  <c r="Q5" i="3"/>
  <c r="C5" i="3"/>
  <c r="R4" i="3"/>
  <c r="Q4" i="3"/>
  <c r="C4" i="3"/>
  <c r="R3" i="3"/>
  <c r="Q3" i="3"/>
  <c r="C3" i="3"/>
  <c r="P4" i="2"/>
  <c r="P5" i="2" s="1"/>
  <c r="P6" i="2" s="1"/>
  <c r="P7" i="2" s="1"/>
  <c r="O4" i="2"/>
  <c r="O5" i="2" s="1"/>
  <c r="O6" i="2" s="1"/>
  <c r="O7" i="2" s="1"/>
  <c r="N4" i="2"/>
  <c r="N5" i="2" s="1"/>
  <c r="N6" i="2" s="1"/>
  <c r="N7" i="2" s="1"/>
  <c r="M4" i="2"/>
  <c r="M5" i="2" s="1"/>
  <c r="M6" i="2" s="1"/>
  <c r="M7" i="2" s="1"/>
  <c r="L4" i="2"/>
  <c r="L5" i="2" s="1"/>
  <c r="L6" i="2" s="1"/>
  <c r="L7" i="2" s="1"/>
  <c r="K4" i="2"/>
  <c r="K5" i="2" s="1"/>
  <c r="K6" i="2" s="1"/>
  <c r="K7" i="2" s="1"/>
  <c r="J4" i="2"/>
  <c r="J5" i="2" s="1"/>
  <c r="J6" i="2" s="1"/>
  <c r="J7" i="2" s="1"/>
  <c r="I4" i="2"/>
  <c r="I5" i="2" s="1"/>
  <c r="I6" i="2" s="1"/>
  <c r="I7" i="2" s="1"/>
  <c r="H4" i="2"/>
  <c r="H5" i="2" s="1"/>
  <c r="H6" i="2" s="1"/>
  <c r="H7" i="2" s="1"/>
  <c r="G4" i="2"/>
  <c r="G5" i="2" s="1"/>
  <c r="G6" i="2" s="1"/>
  <c r="G7" i="2" s="1"/>
  <c r="F4" i="2"/>
  <c r="F5" i="2" s="1"/>
  <c r="F6" i="2" s="1"/>
  <c r="F7" i="2" s="1"/>
  <c r="E4" i="2"/>
  <c r="E5" i="2" s="1"/>
  <c r="E6" i="2" s="1"/>
  <c r="E7" i="2" s="1"/>
  <c r="D4" i="2"/>
  <c r="D5" i="2" s="1"/>
  <c r="D6" i="2" s="1"/>
  <c r="D7" i="2" s="1"/>
  <c r="Q173" i="8" l="1"/>
  <c r="H335" i="12"/>
  <c r="J335" i="12" s="1"/>
  <c r="J45" i="12"/>
  <c r="L45" i="12" s="1"/>
  <c r="J242" i="12"/>
  <c r="L242" i="12" s="1"/>
  <c r="J80" i="12"/>
  <c r="L80" i="12" s="1"/>
  <c r="J84" i="12"/>
  <c r="L84" i="12" s="1"/>
  <c r="Q135" i="8"/>
  <c r="H265" i="12"/>
  <c r="J265" i="12" s="1"/>
  <c r="L265" i="12" s="1"/>
  <c r="Q155" i="8"/>
  <c r="H304" i="12"/>
  <c r="Q134" i="8"/>
  <c r="H263" i="12"/>
  <c r="J263" i="12" s="1"/>
  <c r="L263" i="12" s="1"/>
  <c r="Q95" i="8"/>
  <c r="H185" i="12"/>
  <c r="Q128" i="8"/>
  <c r="H252" i="12"/>
  <c r="L252" i="12" s="1"/>
  <c r="Q161" i="8"/>
  <c r="H316" i="12"/>
  <c r="J316" i="12" s="1"/>
  <c r="L316" i="12" s="1"/>
  <c r="Q115" i="8"/>
  <c r="H227" i="12"/>
  <c r="J227" i="12" s="1"/>
  <c r="L227" i="12" s="1"/>
  <c r="Q136" i="8"/>
  <c r="Q58" i="8"/>
  <c r="Q69" i="8"/>
  <c r="Q107" i="8"/>
  <c r="D1" i="1"/>
  <c r="C35" i="28"/>
  <c r="C22" i="28"/>
  <c r="C6" i="28"/>
  <c r="C10" i="28"/>
  <c r="C37" i="28"/>
  <c r="C34" i="28"/>
  <c r="C19" i="28"/>
  <c r="C5" i="28"/>
  <c r="C32" i="28"/>
  <c r="C36" i="28"/>
  <c r="C33" i="28"/>
  <c r="C18" i="28"/>
  <c r="C17" i="28"/>
  <c r="C16" i="28"/>
  <c r="C26" i="28"/>
  <c r="C45" i="28"/>
  <c r="C31" i="28"/>
  <c r="C12" i="28"/>
  <c r="C43" i="28"/>
  <c r="C42" i="28"/>
  <c r="C30" i="28"/>
  <c r="C15" i="28"/>
  <c r="C14" i="28"/>
  <c r="C13" i="28"/>
  <c r="C7" i="28"/>
  <c r="C41" i="28"/>
  <c r="C29" i="28"/>
  <c r="C40" i="28"/>
  <c r="C27" i="28"/>
  <c r="C8" i="28"/>
  <c r="C28" i="28"/>
  <c r="C39" i="28"/>
  <c r="C25" i="28"/>
  <c r="C11" i="28"/>
  <c r="C9" i="28"/>
  <c r="C24" i="28"/>
  <c r="C23" i="28"/>
  <c r="C21" i="28"/>
  <c r="C38" i="28"/>
  <c r="J5" i="8"/>
  <c r="S5" i="8" s="1"/>
  <c r="K1" i="7"/>
  <c r="V3" i="7" s="1"/>
  <c r="J3" i="8"/>
  <c r="S3" i="8" s="1"/>
  <c r="R247" i="3"/>
  <c r="R248" i="3" s="1"/>
  <c r="Q247" i="3"/>
  <c r="Q248" i="3" s="1"/>
  <c r="J304" i="12" l="1"/>
  <c r="L304" i="12" s="1"/>
  <c r="J185" i="12"/>
  <c r="L185" i="12" s="1"/>
  <c r="E1" i="1"/>
  <c r="D36" i="28"/>
  <c r="D23" i="28"/>
  <c r="D7" i="28"/>
  <c r="D35" i="28"/>
  <c r="D22" i="28"/>
  <c r="D6" i="28"/>
  <c r="D13" i="28"/>
  <c r="D21" i="28"/>
  <c r="D34" i="28"/>
  <c r="D19" i="28"/>
  <c r="D5" i="28"/>
  <c r="D8" i="28"/>
  <c r="D12" i="28"/>
  <c r="D33" i="28"/>
  <c r="D18" i="28"/>
  <c r="D9" i="28"/>
  <c r="D24" i="28"/>
  <c r="D45" i="28"/>
  <c r="D32" i="28"/>
  <c r="D17" i="28"/>
  <c r="D38" i="28"/>
  <c r="D43" i="28"/>
  <c r="D31" i="28"/>
  <c r="D16" i="28"/>
  <c r="D28" i="28"/>
  <c r="D26" i="28"/>
  <c r="D42" i="28"/>
  <c r="D30" i="28"/>
  <c r="D15" i="28"/>
  <c r="D37" i="28"/>
  <c r="D25" i="28"/>
  <c r="D11" i="28"/>
  <c r="D41" i="28"/>
  <c r="D29" i="28"/>
  <c r="D14" i="28"/>
  <c r="D40" i="28"/>
  <c r="D39" i="28"/>
  <c r="D27" i="28"/>
  <c r="D10" i="28"/>
  <c r="G115" i="8"/>
  <c r="P115" i="8" s="1"/>
  <c r="AA177" i="1"/>
  <c r="L1" i="7"/>
  <c r="W3" i="7" s="1"/>
  <c r="K5" i="8"/>
  <c r="T5" i="8" s="1"/>
  <c r="K3" i="8"/>
  <c r="T3" i="8" s="1"/>
  <c r="F1" i="1" l="1"/>
  <c r="Q236" i="1"/>
  <c r="Q241" i="1"/>
  <c r="Q229" i="1"/>
  <c r="Q242" i="1"/>
  <c r="Q227" i="1"/>
  <c r="Q215" i="1"/>
  <c r="Q203" i="1"/>
  <c r="Q191" i="1"/>
  <c r="Q179" i="1"/>
  <c r="Q167" i="1"/>
  <c r="Q155" i="1"/>
  <c r="Q143" i="1"/>
  <c r="Q131" i="1"/>
  <c r="Q119" i="1"/>
  <c r="Q107" i="1"/>
  <c r="Q95" i="1"/>
  <c r="Q83" i="1"/>
  <c r="Q240" i="1"/>
  <c r="Q226" i="1"/>
  <c r="Q214" i="1"/>
  <c r="Q202" i="1"/>
  <c r="Q190" i="1"/>
  <c r="Q178" i="1"/>
  <c r="Q166" i="1"/>
  <c r="Q154" i="1"/>
  <c r="Q142" i="1"/>
  <c r="Q130" i="1"/>
  <c r="Q118" i="1"/>
  <c r="Q106" i="1"/>
  <c r="Q94" i="1"/>
  <c r="Q82" i="1"/>
  <c r="Q70" i="1"/>
  <c r="Q58" i="1"/>
  <c r="Q46" i="1"/>
  <c r="Q34" i="1"/>
  <c r="Q22" i="1"/>
  <c r="Q10" i="1"/>
  <c r="Q104" i="1"/>
  <c r="Q44" i="1"/>
  <c r="Q8" i="1"/>
  <c r="Q237" i="1"/>
  <c r="Q151" i="1"/>
  <c r="Q239" i="1"/>
  <c r="Q225" i="1"/>
  <c r="Q213" i="1"/>
  <c r="Q201" i="1"/>
  <c r="Q189" i="1"/>
  <c r="Q177" i="1"/>
  <c r="Q165" i="1"/>
  <c r="Q153" i="1"/>
  <c r="Q141" i="1"/>
  <c r="Q129" i="1"/>
  <c r="Q117" i="1"/>
  <c r="Q105" i="1"/>
  <c r="G20" i="28" s="1"/>
  <c r="Q93" i="1"/>
  <c r="Q81" i="1"/>
  <c r="Q69" i="1"/>
  <c r="Q57" i="1"/>
  <c r="Q45" i="1"/>
  <c r="Q33" i="1"/>
  <c r="Q21" i="1"/>
  <c r="Q9" i="1"/>
  <c r="Q80" i="1"/>
  <c r="Q56" i="1"/>
  <c r="Q20" i="1"/>
  <c r="Q211" i="1"/>
  <c r="Q175" i="1"/>
  <c r="Q238" i="1"/>
  <c r="Q224" i="1"/>
  <c r="Q212" i="1"/>
  <c r="Q200" i="1"/>
  <c r="Q188" i="1"/>
  <c r="Q176" i="1"/>
  <c r="Q164" i="1"/>
  <c r="Q152" i="1"/>
  <c r="Q140" i="1"/>
  <c r="Q128" i="1"/>
  <c r="Q116" i="1"/>
  <c r="Q92" i="1"/>
  <c r="Q68" i="1"/>
  <c r="Q32" i="1"/>
  <c r="Q223" i="1"/>
  <c r="Q163" i="1"/>
  <c r="Q199" i="1"/>
  <c r="Q187" i="1"/>
  <c r="Q139" i="1"/>
  <c r="Q232" i="1"/>
  <c r="Q209" i="1"/>
  <c r="Q192" i="1"/>
  <c r="Q170" i="1"/>
  <c r="Q148" i="1"/>
  <c r="Q127" i="1"/>
  <c r="Q111" i="1"/>
  <c r="Q91" i="1"/>
  <c r="Q75" i="1"/>
  <c r="Q60" i="1"/>
  <c r="Q42" i="1"/>
  <c r="Q27" i="1"/>
  <c r="Q12" i="1"/>
  <c r="Q110" i="1"/>
  <c r="Q59" i="1"/>
  <c r="Q26" i="1"/>
  <c r="Q125" i="1"/>
  <c r="Q7" i="1"/>
  <c r="Q206" i="1"/>
  <c r="Q145" i="1"/>
  <c r="Q108" i="1"/>
  <c r="Q54" i="1"/>
  <c r="Q24" i="1"/>
  <c r="Q6" i="1"/>
  <c r="Q231" i="1"/>
  <c r="Q208" i="1"/>
  <c r="Q186" i="1"/>
  <c r="Q169" i="1"/>
  <c r="Q147" i="1"/>
  <c r="Q126" i="1"/>
  <c r="Q90" i="1"/>
  <c r="Q74" i="1"/>
  <c r="Q41" i="1"/>
  <c r="Q11" i="1"/>
  <c r="Q109" i="1"/>
  <c r="Q55" i="1"/>
  <c r="Q228" i="1"/>
  <c r="Q124" i="1"/>
  <c r="Q88" i="1"/>
  <c r="Q72" i="1"/>
  <c r="Q39" i="1"/>
  <c r="Q230" i="1"/>
  <c r="Q207" i="1"/>
  <c r="Q185" i="1"/>
  <c r="Q168" i="1"/>
  <c r="Q146" i="1"/>
  <c r="Q89" i="1"/>
  <c r="Q73" i="1"/>
  <c r="Q25" i="1"/>
  <c r="Q184" i="1"/>
  <c r="Q162" i="1"/>
  <c r="Q247" i="1"/>
  <c r="Q222" i="1"/>
  <c r="Q205" i="1"/>
  <c r="Q183" i="1"/>
  <c r="Q161" i="1"/>
  <c r="Q144" i="1"/>
  <c r="Q123" i="1"/>
  <c r="Q103" i="1"/>
  <c r="Q87" i="1"/>
  <c r="Q71" i="1"/>
  <c r="Q53" i="1"/>
  <c r="Q38" i="1"/>
  <c r="Q23" i="1"/>
  <c r="Q5" i="1"/>
  <c r="Q246" i="1"/>
  <c r="Q221" i="1"/>
  <c r="Q204" i="1"/>
  <c r="Q182" i="1"/>
  <c r="Q160" i="1"/>
  <c r="Q138" i="1"/>
  <c r="Q122" i="1"/>
  <c r="Q102" i="1"/>
  <c r="Q86" i="1"/>
  <c r="Q67" i="1"/>
  <c r="Q52" i="1"/>
  <c r="Q37" i="1"/>
  <c r="Q19" i="1"/>
  <c r="Q217" i="1"/>
  <c r="Q173" i="1"/>
  <c r="Q134" i="1"/>
  <c r="Q98" i="1"/>
  <c r="Q63" i="1"/>
  <c r="Q30" i="1"/>
  <c r="Q133" i="1"/>
  <c r="Q29" i="1"/>
  <c r="Q132" i="1"/>
  <c r="Q96" i="1"/>
  <c r="Q120" i="1"/>
  <c r="Q50" i="1"/>
  <c r="Q157" i="1"/>
  <c r="Q79" i="1"/>
  <c r="Q235" i="1"/>
  <c r="Q48" i="1"/>
  <c r="Q137" i="1"/>
  <c r="Q100" i="1"/>
  <c r="Q35" i="1"/>
  <c r="Q218" i="1"/>
  <c r="Q216" i="1"/>
  <c r="Q172" i="1"/>
  <c r="Q97" i="1"/>
  <c r="Q62" i="1"/>
  <c r="Q171" i="1"/>
  <c r="Q61" i="1"/>
  <c r="Q51" i="1"/>
  <c r="Q158" i="1"/>
  <c r="Q17" i="1"/>
  <c r="Q196" i="1"/>
  <c r="Q49" i="1"/>
  <c r="Q156" i="1"/>
  <c r="Q78" i="1"/>
  <c r="Q101" i="1"/>
  <c r="Q36" i="1"/>
  <c r="Q180" i="1"/>
  <c r="Q135" i="1"/>
  <c r="Q210" i="1"/>
  <c r="Q28" i="1"/>
  <c r="Q18" i="1"/>
  <c r="Q244" i="1"/>
  <c r="Q198" i="1"/>
  <c r="Q159" i="1"/>
  <c r="Q121" i="1"/>
  <c r="Q85" i="1"/>
  <c r="Q197" i="1"/>
  <c r="Q84" i="1"/>
  <c r="Q243" i="1"/>
  <c r="Q115" i="1"/>
  <c r="Q16" i="1"/>
  <c r="Q195" i="1"/>
  <c r="Q114" i="1"/>
  <c r="Q220" i="1"/>
  <c r="Q136" i="1"/>
  <c r="Q65" i="1"/>
  <c r="Q99" i="1"/>
  <c r="Q64" i="1"/>
  <c r="Q66" i="1"/>
  <c r="Q219" i="1"/>
  <c r="Q174" i="1"/>
  <c r="Q31" i="1"/>
  <c r="Q234" i="1"/>
  <c r="Q194" i="1"/>
  <c r="Q150" i="1"/>
  <c r="Q77" i="1"/>
  <c r="Q47" i="1"/>
  <c r="Q14" i="1"/>
  <c r="Q233" i="1"/>
  <c r="Q193" i="1"/>
  <c r="Q149" i="1"/>
  <c r="Q112" i="1"/>
  <c r="Q76" i="1"/>
  <c r="Q43" i="1"/>
  <c r="Q13" i="1"/>
  <c r="Q181" i="1"/>
  <c r="F82" i="8"/>
  <c r="F142" i="8"/>
  <c r="F149" i="8"/>
  <c r="G142" i="8"/>
  <c r="P142" i="8" s="1"/>
  <c r="F117" i="8"/>
  <c r="G70" i="8"/>
  <c r="P70" i="8" s="1"/>
  <c r="G117" i="8"/>
  <c r="P117" i="8" s="1"/>
  <c r="G71" i="8"/>
  <c r="P71" i="8" s="1"/>
  <c r="F148" i="8"/>
  <c r="G24" i="8"/>
  <c r="P24" i="8" s="1"/>
  <c r="F77" i="8"/>
  <c r="G148" i="8"/>
  <c r="P148" i="8" s="1"/>
  <c r="F122" i="8"/>
  <c r="G45" i="8"/>
  <c r="P45" i="8" s="1"/>
  <c r="F95" i="8"/>
  <c r="F36" i="8"/>
  <c r="F45" i="8"/>
  <c r="G95" i="8"/>
  <c r="P95" i="8" s="1"/>
  <c r="F35" i="8"/>
  <c r="F136" i="8"/>
  <c r="G82" i="8"/>
  <c r="P82" i="8" s="1"/>
  <c r="F152" i="8"/>
  <c r="F171" i="8"/>
  <c r="F131" i="8"/>
  <c r="G152" i="8"/>
  <c r="P152" i="8" s="1"/>
  <c r="F153" i="8"/>
  <c r="M1" i="7"/>
  <c r="X3" i="7" s="1"/>
  <c r="L5" i="8"/>
  <c r="U5" i="8" s="1"/>
  <c r="L3" i="8"/>
  <c r="U3" i="8" s="1"/>
  <c r="AK15" i="1" a="1"/>
  <c r="AK18" i="1" a="1"/>
  <c r="AK20" i="1" a="1"/>
  <c r="AK16" i="1" a="1"/>
  <c r="AK7" i="1" a="1"/>
  <c r="AK21" i="1" a="1"/>
  <c r="AK19" i="1" a="1"/>
  <c r="AK17" i="1" a="1"/>
  <c r="AK5" i="1" a="1"/>
  <c r="AK9" i="1" a="1"/>
  <c r="AK8" i="1" a="1"/>
  <c r="AK22" i="1" a="1"/>
  <c r="AK14" i="1" a="1"/>
  <c r="AK10" i="1" a="1"/>
  <c r="AK12" i="1" a="1"/>
  <c r="AK11" i="1" a="1"/>
  <c r="AK13" i="1" a="1"/>
  <c r="AK6" i="1" a="1"/>
  <c r="AO144" i="1" l="1"/>
  <c r="AL204" i="1"/>
  <c r="AM85" i="1"/>
  <c r="AO88" i="1"/>
  <c r="AN131" i="1"/>
  <c r="AL112" i="1"/>
  <c r="AM64" i="1"/>
  <c r="AN121" i="1"/>
  <c r="AL196" i="1"/>
  <c r="AO48" i="1"/>
  <c r="AN173" i="1"/>
  <c r="AO246" i="1"/>
  <c r="AM247" i="1"/>
  <c r="AL124" i="1"/>
  <c r="AK6" i="1"/>
  <c r="AM6" i="1" s="1"/>
  <c r="AM60" i="1"/>
  <c r="AO223" i="1"/>
  <c r="AO238" i="1"/>
  <c r="AQ105" i="1"/>
  <c r="AK8" i="1"/>
  <c r="AL8" i="1" s="1"/>
  <c r="AM142" i="1"/>
  <c r="AL143" i="1"/>
  <c r="AM234" i="1"/>
  <c r="AN100" i="1"/>
  <c r="AM66" i="1"/>
  <c r="AL222" i="1"/>
  <c r="AL163" i="1"/>
  <c r="AM93" i="1"/>
  <c r="AN130" i="1"/>
  <c r="AL149" i="1"/>
  <c r="AM99" i="1"/>
  <c r="AO159" i="1"/>
  <c r="AK17" i="1"/>
  <c r="AO17" i="1" s="1"/>
  <c r="AN235" i="1"/>
  <c r="AL217" i="1"/>
  <c r="AK5" i="1"/>
  <c r="AN5" i="1" s="1"/>
  <c r="AL162" i="1"/>
  <c r="AM228" i="1"/>
  <c r="AN24" i="1"/>
  <c r="AO75" i="1"/>
  <c r="AL32" i="1"/>
  <c r="AL175" i="1"/>
  <c r="AN117" i="1"/>
  <c r="AL44" i="1"/>
  <c r="AM154" i="1"/>
  <c r="AL155" i="1"/>
  <c r="AO36" i="1"/>
  <c r="AM133" i="1"/>
  <c r="AM45" i="1"/>
  <c r="AO101" i="1"/>
  <c r="AL43" i="1"/>
  <c r="AM76" i="1"/>
  <c r="AM198" i="1"/>
  <c r="AM79" i="1"/>
  <c r="AK19" i="1"/>
  <c r="AL19" i="1" s="1"/>
  <c r="AM23" i="1"/>
  <c r="AM55" i="1"/>
  <c r="AO54" i="1"/>
  <c r="AL91" i="1"/>
  <c r="AM68" i="1"/>
  <c r="AO211" i="1"/>
  <c r="AM129" i="1"/>
  <c r="AM104" i="1"/>
  <c r="AO166" i="1"/>
  <c r="AL207" i="1"/>
  <c r="AM213" i="1"/>
  <c r="AN31" i="1"/>
  <c r="AL219" i="1"/>
  <c r="AO134" i="1"/>
  <c r="AL231" i="1"/>
  <c r="AM233" i="1"/>
  <c r="AM136" i="1"/>
  <c r="AN244" i="1"/>
  <c r="AM51" i="1"/>
  <c r="AM157" i="1"/>
  <c r="AN37" i="1"/>
  <c r="AM38" i="1"/>
  <c r="AO109" i="1"/>
  <c r="AO108" i="1"/>
  <c r="AN111" i="1"/>
  <c r="AO92" i="1"/>
  <c r="AK20" i="1"/>
  <c r="AO20" i="1" s="1"/>
  <c r="AL141" i="1"/>
  <c r="AK10" i="1"/>
  <c r="AL10" i="1" s="1"/>
  <c r="AL178" i="1"/>
  <c r="AO179" i="1"/>
  <c r="AO147" i="1"/>
  <c r="AL98" i="1"/>
  <c r="AN137" i="1"/>
  <c r="AM224" i="1"/>
  <c r="AN193" i="1"/>
  <c r="AK14" i="1"/>
  <c r="AO14" i="1" s="1"/>
  <c r="AK18" i="1"/>
  <c r="AM18" i="1" s="1"/>
  <c r="AL52" i="1"/>
  <c r="AL73" i="1"/>
  <c r="AL145" i="1"/>
  <c r="AO127" i="1"/>
  <c r="AN116" i="1"/>
  <c r="AM153" i="1"/>
  <c r="AK22" i="1"/>
  <c r="AL22" i="1" s="1"/>
  <c r="AN190" i="1"/>
  <c r="AO191" i="1"/>
  <c r="AN59" i="1"/>
  <c r="AL220" i="1"/>
  <c r="AM50" i="1"/>
  <c r="AO53" i="1"/>
  <c r="AK11" i="1"/>
  <c r="AM11" i="1" s="1"/>
  <c r="AM56" i="1"/>
  <c r="AN47" i="1"/>
  <c r="AK15" i="1"/>
  <c r="AM15" i="1" s="1"/>
  <c r="AM28" i="1"/>
  <c r="AO171" i="1"/>
  <c r="AP120" i="1"/>
  <c r="AM67" i="1"/>
  <c r="AM71" i="1"/>
  <c r="AN89" i="1"/>
  <c r="AM41" i="1"/>
  <c r="AL206" i="1"/>
  <c r="AM148" i="1"/>
  <c r="AL128" i="1"/>
  <c r="AN80" i="1"/>
  <c r="AN165" i="1"/>
  <c r="AL34" i="1"/>
  <c r="AO202" i="1"/>
  <c r="AO203" i="1"/>
  <c r="AM115" i="1"/>
  <c r="AL181" i="1"/>
  <c r="AL197" i="1"/>
  <c r="AO65" i="1"/>
  <c r="AM61" i="1"/>
  <c r="AM77" i="1"/>
  <c r="AM114" i="1"/>
  <c r="AM210" i="1"/>
  <c r="AN62" i="1"/>
  <c r="AO96" i="1"/>
  <c r="AM86" i="1"/>
  <c r="AO87" i="1"/>
  <c r="AL146" i="1"/>
  <c r="AM74" i="1"/>
  <c r="AK7" i="1"/>
  <c r="AL7" i="1" s="1"/>
  <c r="AO170" i="1"/>
  <c r="AL140" i="1"/>
  <c r="AK9" i="1"/>
  <c r="AM9" i="1" s="1"/>
  <c r="AQ177" i="1"/>
  <c r="AN46" i="1"/>
  <c r="AN214" i="1"/>
  <c r="AL215" i="1"/>
  <c r="AM138" i="1"/>
  <c r="AM82" i="1"/>
  <c r="AM243" i="1"/>
  <c r="AO30" i="1"/>
  <c r="AL221" i="1"/>
  <c r="AN150" i="1"/>
  <c r="AN195" i="1"/>
  <c r="AO135" i="1"/>
  <c r="AN97" i="1"/>
  <c r="AO132" i="1"/>
  <c r="AL102" i="1"/>
  <c r="AO103" i="1"/>
  <c r="AM168" i="1"/>
  <c r="AM90" i="1"/>
  <c r="AM125" i="1"/>
  <c r="AN192" i="1"/>
  <c r="AN152" i="1"/>
  <c r="AK21" i="1"/>
  <c r="AL21" i="1" s="1"/>
  <c r="AN189" i="1"/>
  <c r="AO58" i="1"/>
  <c r="AL226" i="1"/>
  <c r="AL227" i="1"/>
  <c r="AL216" i="1"/>
  <c r="AL176" i="1"/>
  <c r="AL156" i="1"/>
  <c r="AN205" i="1"/>
  <c r="AL49" i="1"/>
  <c r="AO42" i="1"/>
  <c r="AN194" i="1"/>
  <c r="AK16" i="1"/>
  <c r="AN16" i="1" s="1"/>
  <c r="AN180" i="1"/>
  <c r="AN172" i="1"/>
  <c r="AN29" i="1"/>
  <c r="AL122" i="1"/>
  <c r="AN123" i="1"/>
  <c r="AM185" i="1"/>
  <c r="AN126" i="1"/>
  <c r="AM26" i="1"/>
  <c r="AM209" i="1"/>
  <c r="AO164" i="1"/>
  <c r="AO33" i="1"/>
  <c r="AM201" i="1"/>
  <c r="AN70" i="1"/>
  <c r="AN240" i="1"/>
  <c r="AL242" i="1"/>
  <c r="AM83" i="1"/>
  <c r="AN229" i="1"/>
  <c r="AL169" i="1"/>
  <c r="AM110" i="1"/>
  <c r="AM139" i="1"/>
  <c r="AL188" i="1"/>
  <c r="AN57" i="1"/>
  <c r="AM225" i="1"/>
  <c r="AO94" i="1"/>
  <c r="AL95" i="1"/>
  <c r="AO241" i="1"/>
  <c r="AO232" i="1"/>
  <c r="AL160" i="1"/>
  <c r="AL161" i="1"/>
  <c r="AL230" i="1"/>
  <c r="AK13" i="1"/>
  <c r="AO13" i="1" s="1"/>
  <c r="AO174" i="1"/>
  <c r="AN84" i="1"/>
  <c r="AO78" i="1"/>
  <c r="AL35" i="1"/>
  <c r="AO63" i="1"/>
  <c r="AN182" i="1"/>
  <c r="AO183" i="1"/>
  <c r="AN39" i="1"/>
  <c r="AM186" i="1"/>
  <c r="AK12" i="1"/>
  <c r="AN12" i="1" s="1"/>
  <c r="AL187" i="1"/>
  <c r="AL200" i="1"/>
  <c r="AP69" i="1"/>
  <c r="AN239" i="1"/>
  <c r="AN106" i="1"/>
  <c r="AO107" i="1"/>
  <c r="AN236" i="1"/>
  <c r="AM72" i="1"/>
  <c r="AM208" i="1"/>
  <c r="AN27" i="1"/>
  <c r="AO199" i="1"/>
  <c r="AM212" i="1"/>
  <c r="AO81" i="1"/>
  <c r="AN151" i="1"/>
  <c r="AO118" i="1"/>
  <c r="AO119" i="1"/>
  <c r="O131" i="8"/>
  <c r="G257" i="12"/>
  <c r="K257" i="12" s="1"/>
  <c r="O171" i="8"/>
  <c r="G331" i="12"/>
  <c r="O148" i="8"/>
  <c r="G291" i="12"/>
  <c r="O117" i="8"/>
  <c r="G231" i="12"/>
  <c r="O45" i="8"/>
  <c r="G84" i="12"/>
  <c r="O149" i="8"/>
  <c r="G293" i="12"/>
  <c r="O77" i="8"/>
  <c r="G145" i="12"/>
  <c r="O136" i="8"/>
  <c r="G267" i="12"/>
  <c r="K267" i="12" s="1"/>
  <c r="O142" i="8"/>
  <c r="G278" i="12"/>
  <c r="I278" i="12" s="1"/>
  <c r="K278" i="12" s="1"/>
  <c r="O152" i="8"/>
  <c r="G299" i="12"/>
  <c r="O36" i="8"/>
  <c r="G67" i="12"/>
  <c r="O95" i="8"/>
  <c r="G185" i="12"/>
  <c r="O82" i="8"/>
  <c r="G155" i="12"/>
  <c r="O35" i="8"/>
  <c r="G65" i="12"/>
  <c r="O122" i="8"/>
  <c r="G242" i="12"/>
  <c r="O153" i="8"/>
  <c r="G301" i="12"/>
  <c r="D85" i="43"/>
  <c r="D113" i="8"/>
  <c r="D225" i="12" s="1"/>
  <c r="D119" i="7"/>
  <c r="D224" i="12" s="1"/>
  <c r="D20" i="43"/>
  <c r="D4" i="10"/>
  <c r="D5" i="9"/>
  <c r="D33" i="7"/>
  <c r="D30" i="8"/>
  <c r="D76" i="43"/>
  <c r="D14" i="17" s="1"/>
  <c r="D107" i="7"/>
  <c r="D203" i="12" s="1"/>
  <c r="D115" i="43"/>
  <c r="D154" i="7"/>
  <c r="D294" i="12" s="1"/>
  <c r="D150" i="8"/>
  <c r="D295" i="12" s="1"/>
  <c r="D84" i="43"/>
  <c r="D95" i="8"/>
  <c r="D185" i="12" s="1"/>
  <c r="D97" i="7"/>
  <c r="D184" i="12" s="1"/>
  <c r="D123" i="7"/>
  <c r="D232" i="12" s="1"/>
  <c r="D87" i="43"/>
  <c r="D109" i="8"/>
  <c r="D217" i="12" s="1"/>
  <c r="D115" i="7"/>
  <c r="D216" i="12" s="1"/>
  <c r="D21" i="43"/>
  <c r="D153" i="7"/>
  <c r="D292" i="12" s="1"/>
  <c r="D149" i="8"/>
  <c r="D293" i="12" s="1"/>
  <c r="D152" i="8"/>
  <c r="D299" i="12" s="1"/>
  <c r="D156" i="7"/>
  <c r="D298" i="12" s="1"/>
  <c r="D100" i="43"/>
  <c r="D16" i="17" s="1"/>
  <c r="D126" i="8"/>
  <c r="D250" i="12" s="1"/>
  <c r="D132" i="7"/>
  <c r="D249" i="12" s="1"/>
  <c r="D43" i="43"/>
  <c r="D62" i="7"/>
  <c r="D117" i="12" s="1"/>
  <c r="D63" i="8"/>
  <c r="D118" i="12" s="1"/>
  <c r="D69" i="43"/>
  <c r="D144" i="8"/>
  <c r="D282" i="12" s="1"/>
  <c r="D147" i="7"/>
  <c r="D281" i="12" s="1"/>
  <c r="D42" i="43"/>
  <c r="D150" i="7"/>
  <c r="D287" i="12" s="1"/>
  <c r="D24" i="43"/>
  <c r="D39" i="8"/>
  <c r="D72" i="12" s="1"/>
  <c r="D40" i="7"/>
  <c r="D71" i="12" s="1"/>
  <c r="D122" i="43"/>
  <c r="D141" i="8"/>
  <c r="D276" i="12" s="1"/>
  <c r="D145" i="7"/>
  <c r="D275" i="12" s="1"/>
  <c r="D34" i="7"/>
  <c r="D57" i="12" s="1"/>
  <c r="D31" i="8"/>
  <c r="D58" i="12" s="1"/>
  <c r="D103" i="43"/>
  <c r="D136" i="7"/>
  <c r="D256" i="12" s="1"/>
  <c r="D131" i="8"/>
  <c r="D257" i="12" s="1"/>
  <c r="D59" i="43"/>
  <c r="D79" i="7"/>
  <c r="D152" i="12" s="1"/>
  <c r="D81" i="8"/>
  <c r="D153" i="12" s="1"/>
  <c r="D25" i="43"/>
  <c r="D43" i="7"/>
  <c r="D77" i="12" s="1"/>
  <c r="D42" i="8"/>
  <c r="D78" i="12" s="1"/>
  <c r="D53" i="7"/>
  <c r="D99" i="12" s="1"/>
  <c r="D135" i="7"/>
  <c r="D255" i="12" s="1"/>
  <c r="D113" i="7"/>
  <c r="D213" i="12" s="1"/>
  <c r="D134" i="8"/>
  <c r="D263" i="12" s="1"/>
  <c r="D139" i="7"/>
  <c r="D262" i="12" s="1"/>
  <c r="D47" i="8"/>
  <c r="D87" i="12" s="1"/>
  <c r="D47" i="7"/>
  <c r="D86" i="12" s="1"/>
  <c r="D57" i="7"/>
  <c r="D106" i="12" s="1"/>
  <c r="D57" i="8"/>
  <c r="D107" i="12" s="1"/>
  <c r="D97" i="43"/>
  <c r="D130" i="7"/>
  <c r="D245" i="12" s="1"/>
  <c r="D124" i="8"/>
  <c r="D246" i="12" s="1"/>
  <c r="D26" i="43"/>
  <c r="D43" i="8"/>
  <c r="D80" i="12" s="1"/>
  <c r="D44" i="7"/>
  <c r="D79" i="12" s="1"/>
  <c r="D22" i="43"/>
  <c r="D35" i="8"/>
  <c r="D65" i="12" s="1"/>
  <c r="D37" i="7"/>
  <c r="D64" i="12" s="1"/>
  <c r="D7" i="43"/>
  <c r="D11" i="8"/>
  <c r="D20" i="12" s="1"/>
  <c r="D12" i="7"/>
  <c r="D19" i="12" s="1"/>
  <c r="D173" i="8"/>
  <c r="D335" i="12" s="1"/>
  <c r="D175" i="7"/>
  <c r="D334" i="12" s="1"/>
  <c r="D34" i="43"/>
  <c r="D146" i="7"/>
  <c r="D279" i="12" s="1"/>
  <c r="D143" i="8"/>
  <c r="D280" i="12" s="1"/>
  <c r="D12" i="9"/>
  <c r="D111" i="43"/>
  <c r="D162" i="7"/>
  <c r="D311" i="12" s="1"/>
  <c r="D159" i="8"/>
  <c r="D312" i="12" s="1"/>
  <c r="D89" i="8"/>
  <c r="D170" i="12" s="1"/>
  <c r="D89" i="7"/>
  <c r="D169" i="12" s="1"/>
  <c r="D4" i="43"/>
  <c r="D3" i="8"/>
  <c r="D6" i="12" s="1"/>
  <c r="D4" i="7"/>
  <c r="D5" i="12" s="1"/>
  <c r="D56" i="43"/>
  <c r="D76" i="7"/>
  <c r="D146" i="12" s="1"/>
  <c r="D78" i="8"/>
  <c r="D147" i="12" s="1"/>
  <c r="D9" i="9"/>
  <c r="D154" i="8"/>
  <c r="D302" i="12" s="1"/>
  <c r="D33" i="43"/>
  <c r="D50" i="8"/>
  <c r="D93" i="12" s="1"/>
  <c r="D50" i="7"/>
  <c r="D92" i="12" s="1"/>
  <c r="D40" i="8"/>
  <c r="D74" i="12" s="1"/>
  <c r="D41" i="7"/>
  <c r="D73" i="12" s="1"/>
  <c r="D96" i="43"/>
  <c r="D123" i="8"/>
  <c r="D244" i="12" s="1"/>
  <c r="D129" i="7"/>
  <c r="D243" i="12" s="1"/>
  <c r="D125" i="7"/>
  <c r="D235" i="12" s="1"/>
  <c r="D119" i="8"/>
  <c r="D236" i="12" s="1"/>
  <c r="D134" i="7"/>
  <c r="D251" i="12" s="1"/>
  <c r="D128" i="8"/>
  <c r="D252" i="12" s="1"/>
  <c r="D140" i="8"/>
  <c r="D274" i="12" s="1"/>
  <c r="D23" i="8"/>
  <c r="D43" i="12" s="1"/>
  <c r="D25" i="7"/>
  <c r="D42" i="12" s="1"/>
  <c r="D161" i="8"/>
  <c r="D316" i="12" s="1"/>
  <c r="D164" i="7"/>
  <c r="D315" i="12" s="1"/>
  <c r="D28" i="43"/>
  <c r="D46" i="7"/>
  <c r="D83" i="12" s="1"/>
  <c r="D45" i="8"/>
  <c r="D84" i="12" s="1"/>
  <c r="D107" i="43"/>
  <c r="D142" i="7"/>
  <c r="D268" i="12" s="1"/>
  <c r="D137" i="8"/>
  <c r="D269" i="12" s="1"/>
  <c r="D17" i="43"/>
  <c r="D24" i="8"/>
  <c r="D45" i="12" s="1"/>
  <c r="D26" i="7"/>
  <c r="D44" i="12" s="1"/>
  <c r="D3" i="10"/>
  <c r="D4" i="9"/>
  <c r="D65" i="7"/>
  <c r="D124" i="12" s="1"/>
  <c r="D67" i="8"/>
  <c r="D125" i="12" s="1"/>
  <c r="D64" i="43"/>
  <c r="D84" i="7"/>
  <c r="D159" i="12" s="1"/>
  <c r="D84" i="8"/>
  <c r="D160" i="12" s="1"/>
  <c r="D3" i="7"/>
  <c r="D4" i="12" s="1"/>
  <c r="D109" i="43"/>
  <c r="D157" i="7"/>
  <c r="D300" i="12" s="1"/>
  <c r="D153" i="8"/>
  <c r="D301" i="12" s="1"/>
  <c r="D28" i="7"/>
  <c r="D48" i="12" s="1"/>
  <c r="D103" i="8"/>
  <c r="D201" i="12" s="1"/>
  <c r="D14" i="43"/>
  <c r="D29" i="7"/>
  <c r="D49" i="12" s="1"/>
  <c r="D26" i="8"/>
  <c r="D50" i="12" s="1"/>
  <c r="D73" i="43"/>
  <c r="D13" i="17" s="1"/>
  <c r="D90" i="8"/>
  <c r="D172" i="12" s="1"/>
  <c r="D90" i="7"/>
  <c r="D171" i="12" s="1"/>
  <c r="D31" i="43"/>
  <c r="D49" i="8"/>
  <c r="D91" i="12" s="1"/>
  <c r="D49" i="7"/>
  <c r="D90" i="12" s="1"/>
  <c r="D118" i="43"/>
  <c r="D167" i="8"/>
  <c r="D324" i="12" s="1"/>
  <c r="D170" i="7"/>
  <c r="D323" i="12" s="1"/>
  <c r="D108" i="43"/>
  <c r="D51" i="8"/>
  <c r="D95" i="12" s="1"/>
  <c r="D51" i="7"/>
  <c r="D94" i="12" s="1"/>
  <c r="D151" i="7"/>
  <c r="D288" i="12" s="1"/>
  <c r="D147" i="8"/>
  <c r="D289" i="12" s="1"/>
  <c r="D132" i="8"/>
  <c r="D259" i="12" s="1"/>
  <c r="D137" i="7"/>
  <c r="D258" i="12" s="1"/>
  <c r="D35" i="43"/>
  <c r="D55" i="7"/>
  <c r="D102" i="12" s="1"/>
  <c r="D55" i="8"/>
  <c r="D103" i="12" s="1"/>
  <c r="D58" i="7"/>
  <c r="D108" i="12" s="1"/>
  <c r="D58" i="8"/>
  <c r="D109" i="12" s="1"/>
  <c r="D66" i="8"/>
  <c r="D123" i="12" s="1"/>
  <c r="D12" i="43"/>
  <c r="D9" i="17" s="1"/>
  <c r="D15" i="8"/>
  <c r="D27" i="12" s="1"/>
  <c r="D52" i="8"/>
  <c r="D96" i="12" s="1"/>
  <c r="D98" i="43"/>
  <c r="D126" i="7"/>
  <c r="D237" i="12" s="1"/>
  <c r="D120" i="8"/>
  <c r="D238" i="12" s="1"/>
  <c r="D155" i="8"/>
  <c r="D304" i="12" s="1"/>
  <c r="D158" i="7"/>
  <c r="D303" i="12" s="1"/>
  <c r="D35" i="7"/>
  <c r="D59" i="12" s="1"/>
  <c r="D32" i="8"/>
  <c r="D60" i="12" s="1"/>
  <c r="D46" i="8"/>
  <c r="D85" i="12" s="1"/>
  <c r="D104" i="43"/>
  <c r="D148" i="8"/>
  <c r="D291" i="12" s="1"/>
  <c r="D152" i="7"/>
  <c r="D290" i="12" s="1"/>
  <c r="D29" i="43"/>
  <c r="D48" i="8"/>
  <c r="D89" i="12" s="1"/>
  <c r="D48" i="7"/>
  <c r="D88" i="12" s="1"/>
  <c r="D25" i="8"/>
  <c r="D47" i="12" s="1"/>
  <c r="D27" i="7"/>
  <c r="D46" i="12" s="1"/>
  <c r="D13" i="43"/>
  <c r="D17" i="8"/>
  <c r="D30" i="12" s="1"/>
  <c r="D18" i="7"/>
  <c r="D29" i="12" s="1"/>
  <c r="D65" i="43"/>
  <c r="D82" i="8"/>
  <c r="D155" i="12" s="1"/>
  <c r="D80" i="7"/>
  <c r="D154" i="12" s="1"/>
  <c r="D53" i="43"/>
  <c r="D8" i="9"/>
  <c r="D73" i="8"/>
  <c r="D137" i="12" s="1"/>
  <c r="D71" i="7"/>
  <c r="D136" i="12" s="1"/>
  <c r="D169" i="8"/>
  <c r="D327" i="12" s="1"/>
  <c r="D36" i="43"/>
  <c r="D96" i="8"/>
  <c r="D187" i="12" s="1"/>
  <c r="D98" i="7"/>
  <c r="D186" i="12" s="1"/>
  <c r="D89" i="43"/>
  <c r="D108" i="8"/>
  <c r="D215" i="12" s="1"/>
  <c r="D114" i="7"/>
  <c r="D214" i="12" s="1"/>
  <c r="D21" i="7"/>
  <c r="D35" i="12" s="1"/>
  <c r="D20" i="8"/>
  <c r="D36" i="12" s="1"/>
  <c r="D39" i="43"/>
  <c r="D59" i="7"/>
  <c r="D110" i="12" s="1"/>
  <c r="D59" i="8"/>
  <c r="D111" i="12" s="1"/>
  <c r="D23" i="43"/>
  <c r="D36" i="8"/>
  <c r="D67" i="12" s="1"/>
  <c r="D38" i="7"/>
  <c r="D66" i="12" s="1"/>
  <c r="D102" i="43"/>
  <c r="D133" i="7"/>
  <c r="D127" i="8"/>
  <c r="D67" i="43"/>
  <c r="D12" i="17" s="1"/>
  <c r="D88" i="7"/>
  <c r="D167" i="12" s="1"/>
  <c r="D88" i="8"/>
  <c r="D168" i="12" s="1"/>
  <c r="D47" i="43"/>
  <c r="D41" i="8"/>
  <c r="D76" i="12" s="1"/>
  <c r="D42" i="7"/>
  <c r="D75" i="12" s="1"/>
  <c r="D101" i="43"/>
  <c r="D138" i="7"/>
  <c r="D260" i="12" s="1"/>
  <c r="D133" i="8"/>
  <c r="D261" i="12" s="1"/>
  <c r="D68" i="43"/>
  <c r="D91" i="8"/>
  <c r="D173" i="12" s="1"/>
  <c r="D10" i="43"/>
  <c r="D12" i="8"/>
  <c r="D22" i="12" s="1"/>
  <c r="D13" i="7"/>
  <c r="D21" i="12" s="1"/>
  <c r="D60" i="43"/>
  <c r="D83" i="8"/>
  <c r="D157" i="12" s="1"/>
  <c r="D81" i="7"/>
  <c r="D156" i="12" s="1"/>
  <c r="D117" i="43"/>
  <c r="D166" i="8"/>
  <c r="D322" i="12" s="1"/>
  <c r="D169" i="7"/>
  <c r="D321" i="12" s="1"/>
  <c r="D49" i="43"/>
  <c r="D74" i="8"/>
  <c r="D139" i="12" s="1"/>
  <c r="D72" i="7"/>
  <c r="D138" i="12" s="1"/>
  <c r="D114" i="43"/>
  <c r="D159" i="7"/>
  <c r="D305" i="12" s="1"/>
  <c r="D156" i="8"/>
  <c r="D306" i="12" s="1"/>
  <c r="D58" i="43"/>
  <c r="D77" i="7"/>
  <c r="D148" i="12" s="1"/>
  <c r="D79" i="8"/>
  <c r="D149" i="12" s="1"/>
  <c r="D86" i="43"/>
  <c r="D111" i="8"/>
  <c r="D221" i="12" s="1"/>
  <c r="D117" i="7"/>
  <c r="D220" i="12" s="1"/>
  <c r="D8" i="7"/>
  <c r="D12" i="12" s="1"/>
  <c r="D6" i="8"/>
  <c r="D13" i="12" s="1"/>
  <c r="D168" i="8"/>
  <c r="D326" i="12" s="1"/>
  <c r="D171" i="7"/>
  <c r="D325" i="12" s="1"/>
  <c r="D61" i="43"/>
  <c r="D85" i="8"/>
  <c r="D162" i="12" s="1"/>
  <c r="D85" i="7"/>
  <c r="D161" i="12" s="1"/>
  <c r="D54" i="8"/>
  <c r="D101" i="12" s="1"/>
  <c r="D54" i="7"/>
  <c r="D100" i="12" s="1"/>
  <c r="D77" i="43"/>
  <c r="D94" i="7"/>
  <c r="D180" i="12" s="1"/>
  <c r="D114" i="8"/>
  <c r="D181" i="12" s="1"/>
  <c r="D112" i="8"/>
  <c r="D223" i="12" s="1"/>
  <c r="D118" i="7"/>
  <c r="D222" i="12" s="1"/>
  <c r="D41" i="43"/>
  <c r="D61" i="7"/>
  <c r="D114" i="12" s="1"/>
  <c r="D61" i="8"/>
  <c r="D115" i="12" s="1"/>
  <c r="D95" i="43"/>
  <c r="D15" i="17" s="1"/>
  <c r="D117" i="8"/>
  <c r="D231" i="12" s="1"/>
  <c r="D122" i="7"/>
  <c r="D230" i="12" s="1"/>
  <c r="D74" i="43"/>
  <c r="D109" i="7"/>
  <c r="D205" i="12" s="1"/>
  <c r="D104" i="8"/>
  <c r="D206" i="12" s="1"/>
  <c r="D44" i="43"/>
  <c r="D64" i="7"/>
  <c r="D121" i="12" s="1"/>
  <c r="D65" i="8"/>
  <c r="D122" i="12" s="1"/>
  <c r="D110" i="43"/>
  <c r="D155" i="7"/>
  <c r="D296" i="12" s="1"/>
  <c r="D151" i="8"/>
  <c r="D297" i="12" s="1"/>
  <c r="D106" i="43"/>
  <c r="D138" i="8"/>
  <c r="D271" i="12" s="1"/>
  <c r="D143" i="7"/>
  <c r="D270" i="12" s="1"/>
  <c r="D36" i="7"/>
  <c r="D62" i="12" s="1"/>
  <c r="D34" i="8"/>
  <c r="D63" i="12" s="1"/>
  <c r="D95" i="7"/>
  <c r="D182" i="12" s="1"/>
  <c r="D45" i="43"/>
  <c r="D68" i="7"/>
  <c r="D130" i="12" s="1"/>
  <c r="D70" i="8"/>
  <c r="D131" i="12" s="1"/>
  <c r="D19" i="43"/>
  <c r="D16" i="8"/>
  <c r="D17" i="7"/>
  <c r="D112" i="43"/>
  <c r="D160" i="7"/>
  <c r="D307" i="12" s="1"/>
  <c r="D157" i="8"/>
  <c r="D308" i="12" s="1"/>
  <c r="D160" i="8"/>
  <c r="D314" i="12" s="1"/>
  <c r="D163" i="7"/>
  <c r="D313" i="12" s="1"/>
  <c r="D51" i="43"/>
  <c r="D75" i="7"/>
  <c r="D144" i="12" s="1"/>
  <c r="D77" i="8"/>
  <c r="D145" i="12" s="1"/>
  <c r="D148" i="7"/>
  <c r="D283" i="12" s="1"/>
  <c r="D145" i="8"/>
  <c r="D284" i="12" s="1"/>
  <c r="D70" i="43"/>
  <c r="D91" i="7"/>
  <c r="D174" i="12" s="1"/>
  <c r="D92" i="8"/>
  <c r="D175" i="12" s="1"/>
  <c r="D30" i="43"/>
  <c r="D4" i="8"/>
  <c r="D8" i="12" s="1"/>
  <c r="D5" i="7"/>
  <c r="D7" i="12" s="1"/>
  <c r="D40" i="43"/>
  <c r="D120" i="43"/>
  <c r="D171" i="8"/>
  <c r="D331" i="12" s="1"/>
  <c r="D173" i="7"/>
  <c r="D330" i="12" s="1"/>
  <c r="D146" i="8"/>
  <c r="D286" i="12" s="1"/>
  <c r="D149" i="7"/>
  <c r="D285" i="12" s="1"/>
  <c r="D46" i="43"/>
  <c r="D67" i="7"/>
  <c r="D128" i="12" s="1"/>
  <c r="D69" i="8"/>
  <c r="D129" i="12" s="1"/>
  <c r="D91" i="43"/>
  <c r="D116" i="8"/>
  <c r="D229" i="12" s="1"/>
  <c r="D121" i="7"/>
  <c r="D228" i="12" s="1"/>
  <c r="D63" i="43"/>
  <c r="D142" i="8"/>
  <c r="D278" i="12" s="1"/>
  <c r="D82" i="7"/>
  <c r="D277" i="12" s="1"/>
  <c r="D99" i="43"/>
  <c r="D131" i="7"/>
  <c r="D247" i="12" s="1"/>
  <c r="D125" i="8"/>
  <c r="D248" i="12" s="1"/>
  <c r="D108" i="7"/>
  <c r="D204" i="12" s="1"/>
  <c r="D6" i="43"/>
  <c r="D7" i="8"/>
  <c r="D15" i="12" s="1"/>
  <c r="D9" i="7"/>
  <c r="D14" i="12" s="1"/>
  <c r="D121" i="43"/>
  <c r="D172" i="8"/>
  <c r="D333" i="12" s="1"/>
  <c r="D174" i="7"/>
  <c r="D332" i="12" s="1"/>
  <c r="D22" i="7"/>
  <c r="D37" i="12" s="1"/>
  <c r="D66" i="43"/>
  <c r="D86" i="8"/>
  <c r="D164" i="12" s="1"/>
  <c r="D86" i="7"/>
  <c r="D163" i="12" s="1"/>
  <c r="D27" i="43"/>
  <c r="D60" i="7"/>
  <c r="D112" i="12" s="1"/>
  <c r="D60" i="8"/>
  <c r="D113" i="12" s="1"/>
  <c r="D5" i="10"/>
  <c r="D7" i="9"/>
  <c r="D32" i="43"/>
  <c r="D52" i="7"/>
  <c r="D97" i="12" s="1"/>
  <c r="D53" i="8"/>
  <c r="D98" i="12" s="1"/>
  <c r="D39" i="7"/>
  <c r="D69" i="12" s="1"/>
  <c r="D38" i="8"/>
  <c r="D70" i="12" s="1"/>
  <c r="D9" i="43"/>
  <c r="D7" i="7"/>
  <c r="D11" i="12" s="1"/>
  <c r="D105" i="8"/>
  <c r="D208" i="12" s="1"/>
  <c r="D110" i="7"/>
  <c r="D207" i="12" s="1"/>
  <c r="D37" i="43"/>
  <c r="D6" i="9"/>
  <c r="D56" i="8"/>
  <c r="D105" i="12" s="1"/>
  <c r="D56" i="7"/>
  <c r="D104" i="12" s="1"/>
  <c r="D101" i="7"/>
  <c r="D192" i="12" s="1"/>
  <c r="D32" i="7"/>
  <c r="D55" i="12" s="1"/>
  <c r="D29" i="8"/>
  <c r="D56" i="12" s="1"/>
  <c r="D71" i="43"/>
  <c r="D92" i="7"/>
  <c r="D176" i="12" s="1"/>
  <c r="D93" i="8"/>
  <c r="D177" i="12" s="1"/>
  <c r="D54" i="43"/>
  <c r="D75" i="8"/>
  <c r="D141" i="12" s="1"/>
  <c r="D73" i="7"/>
  <c r="D140" i="12" s="1"/>
  <c r="D113" i="43"/>
  <c r="D158" i="8"/>
  <c r="D310" i="12" s="1"/>
  <c r="D161" i="7"/>
  <c r="D309" i="12" s="1"/>
  <c r="D64" i="8"/>
  <c r="D120" i="12" s="1"/>
  <c r="D63" i="7"/>
  <c r="D119" i="12" s="1"/>
  <c r="D135" i="8"/>
  <c r="D265" i="12" s="1"/>
  <c r="D140" i="7"/>
  <c r="D264" i="12" s="1"/>
  <c r="D57" i="43"/>
  <c r="D11" i="17" s="1"/>
  <c r="D9" i="8"/>
  <c r="D18" i="12" s="1"/>
  <c r="D99" i="7"/>
  <c r="D188" i="12" s="1"/>
  <c r="D97" i="8"/>
  <c r="D189" i="12" s="1"/>
  <c r="D45" i="7"/>
  <c r="D81" i="12" s="1"/>
  <c r="D44" i="8"/>
  <c r="D82" i="12" s="1"/>
  <c r="D81" i="43"/>
  <c r="D98" i="8"/>
  <c r="D191" i="12" s="1"/>
  <c r="D100" i="7"/>
  <c r="D190" i="12" s="1"/>
  <c r="D48" i="43"/>
  <c r="D69" i="7"/>
  <c r="D132" i="12" s="1"/>
  <c r="D71" i="8"/>
  <c r="D133" i="12" s="1"/>
  <c r="D62" i="8"/>
  <c r="D52" i="43"/>
  <c r="D10" i="17" s="1"/>
  <c r="D16" i="7"/>
  <c r="D28" i="12" s="1"/>
  <c r="D18" i="8"/>
  <c r="D32" i="12" s="1"/>
  <c r="D19" i="7"/>
  <c r="D31" i="12" s="1"/>
  <c r="D78" i="43"/>
  <c r="D106" i="8"/>
  <c r="D210" i="12" s="1"/>
  <c r="D111" i="7"/>
  <c r="D209" i="12" s="1"/>
  <c r="D55" i="43"/>
  <c r="D70" i="7"/>
  <c r="D134" i="12" s="1"/>
  <c r="D72" i="8"/>
  <c r="D82" i="43"/>
  <c r="D102" i="7"/>
  <c r="D193" i="12" s="1"/>
  <c r="D99" i="8"/>
  <c r="D194" i="12" s="1"/>
  <c r="D83" i="7"/>
  <c r="D158" i="12" s="1"/>
  <c r="D119" i="43"/>
  <c r="D170" i="8"/>
  <c r="D329" i="12" s="1"/>
  <c r="D172" i="7"/>
  <c r="D328" i="12" s="1"/>
  <c r="D92" i="43"/>
  <c r="D124" i="7"/>
  <c r="D233" i="12" s="1"/>
  <c r="D118" i="8"/>
  <c r="D234" i="12" s="1"/>
  <c r="D176" i="7"/>
  <c r="D336" i="12" s="1"/>
  <c r="D174" i="8"/>
  <c r="D337" i="12" s="1"/>
  <c r="D62" i="43"/>
  <c r="D31" i="7"/>
  <c r="D53" i="12" s="1"/>
  <c r="D28" i="8"/>
  <c r="D54" i="12" s="1"/>
  <c r="D116" i="43"/>
  <c r="D165" i="7"/>
  <c r="D162" i="8"/>
  <c r="D105" i="43"/>
  <c r="D136" i="8"/>
  <c r="D267" i="12" s="1"/>
  <c r="D141" i="7"/>
  <c r="D266" i="12" s="1"/>
  <c r="D8" i="43"/>
  <c r="D10" i="8"/>
  <c r="D3" i="9"/>
  <c r="D11" i="7"/>
  <c r="D33" i="8"/>
  <c r="D66" i="7"/>
  <c r="D126" i="12" s="1"/>
  <c r="D90" i="43"/>
  <c r="D116" i="7"/>
  <c r="D218" i="12" s="1"/>
  <c r="D110" i="8"/>
  <c r="D219" i="12" s="1"/>
  <c r="D72" i="43"/>
  <c r="D87" i="7"/>
  <c r="D165" i="12" s="1"/>
  <c r="D87" i="8"/>
  <c r="D166" i="12" s="1"/>
  <c r="D75" i="43"/>
  <c r="D102" i="8"/>
  <c r="D200" i="12" s="1"/>
  <c r="D105" i="7"/>
  <c r="D199" i="12" s="1"/>
  <c r="D5" i="8"/>
  <c r="D10" i="12" s="1"/>
  <c r="D6" i="7"/>
  <c r="D9" i="12" s="1"/>
  <c r="D37" i="8"/>
  <c r="D68" i="12" s="1"/>
  <c r="D129" i="8"/>
  <c r="D253" i="12" s="1"/>
  <c r="D93" i="43"/>
  <c r="D121" i="8"/>
  <c r="D240" i="12" s="1"/>
  <c r="D127" i="7"/>
  <c r="D239" i="12" s="1"/>
  <c r="D18" i="43"/>
  <c r="D13" i="8"/>
  <c r="D24" i="12" s="1"/>
  <c r="D14" i="7"/>
  <c r="D23" i="12" s="1"/>
  <c r="D112" i="7"/>
  <c r="D211" i="12" s="1"/>
  <c r="D107" i="8"/>
  <c r="D212" i="12" s="1"/>
  <c r="D80" i="43"/>
  <c r="D93" i="7"/>
  <c r="D178" i="12" s="1"/>
  <c r="D94" i="8"/>
  <c r="D179" i="12" s="1"/>
  <c r="D38" i="43"/>
  <c r="D13" i="9"/>
  <c r="D7" i="10"/>
  <c r="D164" i="8"/>
  <c r="D320" i="12" s="1"/>
  <c r="D167" i="7"/>
  <c r="D319" i="12" s="1"/>
  <c r="D104" i="7"/>
  <c r="D197" i="12" s="1"/>
  <c r="D101" i="8"/>
  <c r="D198" i="12" s="1"/>
  <c r="D68" i="8"/>
  <c r="D127" i="12" s="1"/>
  <c r="D79" i="43"/>
  <c r="D106" i="7"/>
  <c r="D202" i="12" s="1"/>
  <c r="D16" i="43"/>
  <c r="D23" i="7"/>
  <c r="D38" i="12" s="1"/>
  <c r="D21" i="8"/>
  <c r="D39" i="12" s="1"/>
  <c r="D5" i="43"/>
  <c r="D8" i="8"/>
  <c r="D17" i="12" s="1"/>
  <c r="D10" i="7"/>
  <c r="D16" i="12" s="1"/>
  <c r="D19" i="8"/>
  <c r="D20" i="7"/>
  <c r="D33" i="12" s="1"/>
  <c r="D3" i="43"/>
  <c r="D166" i="7"/>
  <c r="D317" i="12" s="1"/>
  <c r="D163" i="8"/>
  <c r="D318" i="12" s="1"/>
  <c r="D96" i="7"/>
  <c r="D183" i="12" s="1"/>
  <c r="D83" i="43"/>
  <c r="D100" i="8"/>
  <c r="D196" i="12" s="1"/>
  <c r="D11" i="9"/>
  <c r="D6" i="10"/>
  <c r="D103" i="7"/>
  <c r="D195" i="12" s="1"/>
  <c r="D88" i="43"/>
  <c r="D120" i="7"/>
  <c r="D226" i="12" s="1"/>
  <c r="D115" i="8"/>
  <c r="D227" i="12" s="1"/>
  <c r="D27" i="8"/>
  <c r="D52" i="12" s="1"/>
  <c r="D30" i="7"/>
  <c r="D51" i="12" s="1"/>
  <c r="D50" i="43"/>
  <c r="D74" i="7"/>
  <c r="D142" i="12" s="1"/>
  <c r="D76" i="8"/>
  <c r="D143" i="12" s="1"/>
  <c r="D139" i="8"/>
  <c r="D273" i="12" s="1"/>
  <c r="D144" i="7"/>
  <c r="D272" i="12" s="1"/>
  <c r="D130" i="8"/>
  <c r="D254" i="12" s="1"/>
  <c r="D11" i="43"/>
  <c r="D22" i="8"/>
  <c r="D41" i="12" s="1"/>
  <c r="D24" i="7"/>
  <c r="D40" i="12" s="1"/>
  <c r="D94" i="43"/>
  <c r="D128" i="7"/>
  <c r="D241" i="12" s="1"/>
  <c r="D122" i="8"/>
  <c r="D242" i="12" s="1"/>
  <c r="D15" i="43"/>
  <c r="D14" i="8"/>
  <c r="D26" i="12" s="1"/>
  <c r="D15" i="7"/>
  <c r="D25" i="12" s="1"/>
  <c r="G1" i="1"/>
  <c r="H148" i="8"/>
  <c r="H142" i="8"/>
  <c r="H171" i="8"/>
  <c r="Q171" i="8" s="1"/>
  <c r="H35" i="8"/>
  <c r="H65" i="12" s="1"/>
  <c r="J65" i="12" s="1"/>
  <c r="H152" i="8"/>
  <c r="H150" i="8"/>
  <c r="H125" i="8"/>
  <c r="H77" i="8"/>
  <c r="H149" i="8"/>
  <c r="M5" i="8"/>
  <c r="V5" i="8" s="1"/>
  <c r="M3" i="8"/>
  <c r="V3" i="8" s="1"/>
  <c r="AL237" i="1" l="1"/>
  <c r="AM237" i="1"/>
  <c r="AL130" i="1"/>
  <c r="AN73" i="1"/>
  <c r="AM73" i="1"/>
  <c r="AM219" i="1"/>
  <c r="AL92" i="1"/>
  <c r="AL6" i="1"/>
  <c r="AN124" i="1"/>
  <c r="AL79" i="1"/>
  <c r="AN79" i="1"/>
  <c r="AO79" i="1"/>
  <c r="AM118" i="1"/>
  <c r="AL23" i="1"/>
  <c r="AN23" i="1"/>
  <c r="AO117" i="1"/>
  <c r="AN219" i="1"/>
  <c r="AM172" i="1"/>
  <c r="AN69" i="1"/>
  <c r="AO219" i="1"/>
  <c r="AO6" i="1"/>
  <c r="AN92" i="1"/>
  <c r="AM92" i="1"/>
  <c r="AN87" i="1"/>
  <c r="AN21" i="1"/>
  <c r="AM230" i="1"/>
  <c r="AL144" i="1"/>
  <c r="AM111" i="1"/>
  <c r="AO172" i="1"/>
  <c r="AO69" i="1"/>
  <c r="AM30" i="1"/>
  <c r="AL47" i="1"/>
  <c r="AL30" i="1"/>
  <c r="AO73" i="1"/>
  <c r="AN83" i="1"/>
  <c r="AM175" i="1"/>
  <c r="AN86" i="1"/>
  <c r="AM144" i="1"/>
  <c r="AO111" i="1"/>
  <c r="AN118" i="1"/>
  <c r="AL118" i="1"/>
  <c r="AL87" i="1"/>
  <c r="AL117" i="1"/>
  <c r="AQ69" i="1"/>
  <c r="AM69" i="1"/>
  <c r="AN204" i="1"/>
  <c r="AO34" i="1"/>
  <c r="AN32" i="1"/>
  <c r="AN6" i="1"/>
  <c r="AM160" i="1"/>
  <c r="AN160" i="1"/>
  <c r="AN30" i="1"/>
  <c r="AO23" i="1"/>
  <c r="AO165" i="1"/>
  <c r="AN175" i="1"/>
  <c r="AN19" i="1"/>
  <c r="AO93" i="1"/>
  <c r="AL111" i="1"/>
  <c r="AM87" i="1"/>
  <c r="AL69" i="1"/>
  <c r="AO204" i="1"/>
  <c r="AN230" i="1"/>
  <c r="AM204" i="1"/>
  <c r="AM131" i="1"/>
  <c r="AO83" i="1"/>
  <c r="AN34" i="1"/>
  <c r="AL83" i="1"/>
  <c r="AL172" i="1"/>
  <c r="AM34" i="1"/>
  <c r="AO44" i="1"/>
  <c r="AO230" i="1"/>
  <c r="AM21" i="1"/>
  <c r="AM47" i="1"/>
  <c r="AM117" i="1"/>
  <c r="AO21" i="1"/>
  <c r="AM192" i="1"/>
  <c r="AL213" i="1"/>
  <c r="AL192" i="1"/>
  <c r="AO131" i="1"/>
  <c r="AO237" i="1"/>
  <c r="AO213" i="1"/>
  <c r="AM240" i="1"/>
  <c r="AO192" i="1"/>
  <c r="AL11" i="1"/>
  <c r="AL247" i="1"/>
  <c r="AL86" i="1"/>
  <c r="AO247" i="1"/>
  <c r="AN247" i="1"/>
  <c r="AM96" i="1"/>
  <c r="AO11" i="1"/>
  <c r="AL82" i="1"/>
  <c r="AL108" i="1"/>
  <c r="AN82" i="1"/>
  <c r="AM108" i="1"/>
  <c r="AL96" i="1"/>
  <c r="AN213" i="1"/>
  <c r="AN108" i="1"/>
  <c r="AN96" i="1"/>
  <c r="AM32" i="1"/>
  <c r="AM238" i="1"/>
  <c r="AO163" i="1"/>
  <c r="AN163" i="1"/>
  <c r="AO15" i="1"/>
  <c r="AM36" i="1"/>
  <c r="AN105" i="1"/>
  <c r="AN181" i="1"/>
  <c r="AL154" i="1"/>
  <c r="AL105" i="1"/>
  <c r="AN88" i="1"/>
  <c r="AQ88" i="1"/>
  <c r="AL20" i="1"/>
  <c r="AL203" i="1"/>
  <c r="AN221" i="1"/>
  <c r="AO106" i="1"/>
  <c r="AN154" i="1"/>
  <c r="AL233" i="1"/>
  <c r="AM202" i="1"/>
  <c r="AL54" i="1"/>
  <c r="AO85" i="1"/>
  <c r="AO233" i="1"/>
  <c r="AN202" i="1"/>
  <c r="AL202" i="1"/>
  <c r="AN233" i="1"/>
  <c r="AO221" i="1"/>
  <c r="AM171" i="1"/>
  <c r="AL236" i="1"/>
  <c r="AM91" i="1"/>
  <c r="AM236" i="1"/>
  <c r="AO236" i="1"/>
  <c r="AO86" i="1"/>
  <c r="AN15" i="1"/>
  <c r="AO91" i="1"/>
  <c r="AL119" i="1"/>
  <c r="AO136" i="1"/>
  <c r="AN136" i="1"/>
  <c r="AL135" i="1"/>
  <c r="AM105" i="1"/>
  <c r="AL131" i="1"/>
  <c r="AO105" i="1"/>
  <c r="AM189" i="1"/>
  <c r="AL74" i="1"/>
  <c r="AN149" i="1"/>
  <c r="AM122" i="1"/>
  <c r="AO189" i="1"/>
  <c r="AN74" i="1"/>
  <c r="AL29" i="1"/>
  <c r="AL189" i="1"/>
  <c r="AN146" i="1"/>
  <c r="AO154" i="1"/>
  <c r="AO185" i="1"/>
  <c r="AM227" i="1"/>
  <c r="AN227" i="1"/>
  <c r="AL136" i="1"/>
  <c r="I331" i="12"/>
  <c r="K331" i="12" s="1"/>
  <c r="AM140" i="1"/>
  <c r="AN22" i="1"/>
  <c r="AM181" i="1"/>
  <c r="AN153" i="1"/>
  <c r="AQ120" i="1"/>
  <c r="AN139" i="1"/>
  <c r="AO181" i="1"/>
  <c r="AN36" i="1"/>
  <c r="AL120" i="1"/>
  <c r="AO139" i="1"/>
  <c r="AL36" i="1"/>
  <c r="AM120" i="1"/>
  <c r="AN135" i="1"/>
  <c r="AM29" i="1"/>
  <c r="AL229" i="1"/>
  <c r="AL15" i="1"/>
  <c r="AN112" i="1"/>
  <c r="AM221" i="1"/>
  <c r="AO229" i="1"/>
  <c r="AO146" i="1"/>
  <c r="AM13" i="1"/>
  <c r="AM229" i="1"/>
  <c r="AM146" i="1"/>
  <c r="AN13" i="1"/>
  <c r="AN44" i="1"/>
  <c r="AN134" i="1"/>
  <c r="AN20" i="1"/>
  <c r="AO60" i="1"/>
  <c r="AL85" i="1"/>
  <c r="AL239" i="1"/>
  <c r="AO239" i="1"/>
  <c r="AM231" i="1"/>
  <c r="AL58" i="1"/>
  <c r="AM150" i="1"/>
  <c r="AL150" i="1"/>
  <c r="AM223" i="1"/>
  <c r="AO150" i="1"/>
  <c r="AN223" i="1"/>
  <c r="AM141" i="1"/>
  <c r="AM106" i="1"/>
  <c r="AN127" i="1"/>
  <c r="AL106" i="1"/>
  <c r="AL223" i="1"/>
  <c r="AL153" i="1"/>
  <c r="AL84" i="1"/>
  <c r="AO116" i="1"/>
  <c r="AN170" i="1"/>
  <c r="AN185" i="1"/>
  <c r="AL185" i="1"/>
  <c r="AL13" i="1"/>
  <c r="AO68" i="1"/>
  <c r="AN217" i="1"/>
  <c r="AL68" i="1"/>
  <c r="AO188" i="1"/>
  <c r="AN188" i="1"/>
  <c r="AM188" i="1"/>
  <c r="AN169" i="1"/>
  <c r="AN226" i="1"/>
  <c r="AM170" i="1"/>
  <c r="AO120" i="1"/>
  <c r="AO220" i="1"/>
  <c r="AN58" i="1"/>
  <c r="AL168" i="1"/>
  <c r="AO74" i="1"/>
  <c r="AN179" i="1"/>
  <c r="AO95" i="1"/>
  <c r="AM58" i="1"/>
  <c r="AO97" i="1"/>
  <c r="AN120" i="1"/>
  <c r="AO22" i="1"/>
  <c r="AN68" i="1"/>
  <c r="AL174" i="1"/>
  <c r="AO243" i="1"/>
  <c r="AO180" i="1"/>
  <c r="AL165" i="1"/>
  <c r="AN56" i="1"/>
  <c r="AM200" i="1"/>
  <c r="AN243" i="1"/>
  <c r="AN144" i="1"/>
  <c r="AO240" i="1"/>
  <c r="AM180" i="1"/>
  <c r="AO80" i="1"/>
  <c r="AO56" i="1"/>
  <c r="AN52" i="1"/>
  <c r="AO32" i="1"/>
  <c r="AM242" i="1"/>
  <c r="AN200" i="1"/>
  <c r="AL243" i="1"/>
  <c r="AL240" i="1"/>
  <c r="AL180" i="1"/>
  <c r="AL152" i="1"/>
  <c r="AM197" i="1"/>
  <c r="AM80" i="1"/>
  <c r="AL56" i="1"/>
  <c r="AL18" i="1"/>
  <c r="AM165" i="1"/>
  <c r="AO175" i="1"/>
  <c r="AO52" i="1"/>
  <c r="AN187" i="1"/>
  <c r="AM31" i="1"/>
  <c r="AO133" i="1"/>
  <c r="AO16" i="1"/>
  <c r="AM152" i="1"/>
  <c r="AL80" i="1"/>
  <c r="AO18" i="1"/>
  <c r="AM235" i="1"/>
  <c r="AM187" i="1"/>
  <c r="AO31" i="1"/>
  <c r="AN133" i="1"/>
  <c r="AM16" i="1"/>
  <c r="AO152" i="1"/>
  <c r="AL67" i="1"/>
  <c r="AN18" i="1"/>
  <c r="AO19" i="1"/>
  <c r="AO235" i="1"/>
  <c r="AO242" i="1"/>
  <c r="AO200" i="1"/>
  <c r="AO38" i="1"/>
  <c r="AN119" i="1"/>
  <c r="AO187" i="1"/>
  <c r="AO160" i="1"/>
  <c r="AL31" i="1"/>
  <c r="AO82" i="1"/>
  <c r="AL16" i="1"/>
  <c r="AN67" i="1"/>
  <c r="AN11" i="1"/>
  <c r="AM19" i="1"/>
  <c r="AM124" i="1"/>
  <c r="AM52" i="1"/>
  <c r="AM119" i="1"/>
  <c r="AN220" i="1"/>
  <c r="AO124" i="1"/>
  <c r="AN93" i="1"/>
  <c r="AL93" i="1"/>
  <c r="AL114" i="1"/>
  <c r="AM239" i="1"/>
  <c r="AM169" i="1"/>
  <c r="AO141" i="1"/>
  <c r="AM97" i="1"/>
  <c r="AL214" i="1"/>
  <c r="AO114" i="1"/>
  <c r="AM20" i="1"/>
  <c r="AL99" i="1"/>
  <c r="AL60" i="1"/>
  <c r="AM173" i="1"/>
  <c r="AN231" i="1"/>
  <c r="AM134" i="1"/>
  <c r="AO168" i="1"/>
  <c r="AO169" i="1"/>
  <c r="AN141" i="1"/>
  <c r="AN122" i="1"/>
  <c r="AL38" i="1"/>
  <c r="AL97" i="1"/>
  <c r="AN140" i="1"/>
  <c r="AN114" i="1"/>
  <c r="AN99" i="1"/>
  <c r="AN60" i="1"/>
  <c r="AO112" i="1"/>
  <c r="AO231" i="1"/>
  <c r="AN85" i="1"/>
  <c r="AO99" i="1"/>
  <c r="AN35" i="1"/>
  <c r="AO122" i="1"/>
  <c r="AO140" i="1"/>
  <c r="AM203" i="1"/>
  <c r="AN28" i="1"/>
  <c r="AM127" i="1"/>
  <c r="AN55" i="1"/>
  <c r="AM35" i="1"/>
  <c r="AM244" i="1"/>
  <c r="AN203" i="1"/>
  <c r="AO28" i="1"/>
  <c r="AL127" i="1"/>
  <c r="AL55" i="1"/>
  <c r="AM174" i="1"/>
  <c r="AM149" i="1"/>
  <c r="AP88" i="1"/>
  <c r="AN95" i="1"/>
  <c r="AL244" i="1"/>
  <c r="AO29" i="1"/>
  <c r="AL28" i="1"/>
  <c r="AN145" i="1"/>
  <c r="AO55" i="1"/>
  <c r="AN174" i="1"/>
  <c r="AL88" i="1"/>
  <c r="AM95" i="1"/>
  <c r="AO197" i="1"/>
  <c r="AM22" i="1"/>
  <c r="AO145" i="1"/>
  <c r="AM88" i="1"/>
  <c r="AL116" i="1"/>
  <c r="AM217" i="1"/>
  <c r="AN237" i="1"/>
  <c r="AM195" i="1"/>
  <c r="AN54" i="1"/>
  <c r="AP107" i="1"/>
  <c r="AN115" i="1"/>
  <c r="AM123" i="1"/>
  <c r="AQ107" i="1"/>
  <c r="AO115" i="1"/>
  <c r="AM107" i="1"/>
  <c r="AO10" i="1"/>
  <c r="AL24" i="1"/>
  <c r="AN107" i="1"/>
  <c r="AL57" i="1"/>
  <c r="AM116" i="1"/>
  <c r="AO228" i="1"/>
  <c r="AN238" i="1"/>
  <c r="AO130" i="1"/>
  <c r="AL42" i="1"/>
  <c r="AN42" i="1"/>
  <c r="AO194" i="1"/>
  <c r="AM179" i="1"/>
  <c r="AL235" i="1"/>
  <c r="AL166" i="1"/>
  <c r="AO186" i="1"/>
  <c r="AM166" i="1"/>
  <c r="AL186" i="1"/>
  <c r="AN166" i="1"/>
  <c r="AO155" i="1"/>
  <c r="AN64" i="1"/>
  <c r="AN26" i="1"/>
  <c r="AO217" i="1"/>
  <c r="AM59" i="1"/>
  <c r="AM147" i="1"/>
  <c r="AN49" i="1"/>
  <c r="AO190" i="1"/>
  <c r="AN98" i="1"/>
  <c r="AN168" i="1"/>
  <c r="AO51" i="1"/>
  <c r="AN51" i="1"/>
  <c r="AL9" i="1"/>
  <c r="AL64" i="1"/>
  <c r="AL59" i="1"/>
  <c r="AM84" i="1"/>
  <c r="AO209" i="1"/>
  <c r="AL195" i="1"/>
  <c r="AL46" i="1"/>
  <c r="AM27" i="1"/>
  <c r="AO37" i="1"/>
  <c r="AN208" i="1"/>
  <c r="I301" i="12"/>
  <c r="K301" i="12" s="1"/>
  <c r="I299" i="12"/>
  <c r="K299" i="12" s="1"/>
  <c r="AO59" i="1"/>
  <c r="AO84" i="1"/>
  <c r="AN209" i="1"/>
  <c r="AL51" i="1"/>
  <c r="AO195" i="1"/>
  <c r="AM46" i="1"/>
  <c r="AM98" i="1"/>
  <c r="AL208" i="1"/>
  <c r="AM121" i="1"/>
  <c r="AO57" i="1"/>
  <c r="AO26" i="1"/>
  <c r="AN9" i="1"/>
  <c r="AO98" i="1"/>
  <c r="AL121" i="1"/>
  <c r="AL107" i="1"/>
  <c r="AL182" i="1"/>
  <c r="AN147" i="1"/>
  <c r="AL115" i="1"/>
  <c r="AL132" i="1"/>
  <c r="AL190" i="1"/>
  <c r="AM54" i="1"/>
  <c r="AM155" i="1"/>
  <c r="AN143" i="1"/>
  <c r="AL238" i="1"/>
  <c r="AO64" i="1"/>
  <c r="AM49" i="1"/>
  <c r="AM63" i="1"/>
  <c r="AL147" i="1"/>
  <c r="AM226" i="1"/>
  <c r="AN132" i="1"/>
  <c r="AN171" i="1"/>
  <c r="AN155" i="1"/>
  <c r="AO143" i="1"/>
  <c r="AO49" i="1"/>
  <c r="I293" i="12"/>
  <c r="K293" i="12" s="1"/>
  <c r="AN63" i="1"/>
  <c r="AO45" i="1"/>
  <c r="AN10" i="1"/>
  <c r="AL123" i="1"/>
  <c r="AO226" i="1"/>
  <c r="AL41" i="1"/>
  <c r="AL171" i="1"/>
  <c r="AM143" i="1"/>
  <c r="AO151" i="1"/>
  <c r="AN41" i="1"/>
  <c r="AL63" i="1"/>
  <c r="AO110" i="1"/>
  <c r="AL45" i="1"/>
  <c r="AM10" i="1"/>
  <c r="AM70" i="1"/>
  <c r="AO123" i="1"/>
  <c r="AO7" i="1"/>
  <c r="AO41" i="1"/>
  <c r="AM211" i="1"/>
  <c r="AL65" i="1"/>
  <c r="AN159" i="1"/>
  <c r="AL142" i="1"/>
  <c r="AM100" i="1"/>
  <c r="AN110" i="1"/>
  <c r="AN45" i="1"/>
  <c r="AN164" i="1"/>
  <c r="AN7" i="1"/>
  <c r="AM37" i="1"/>
  <c r="AN50" i="1"/>
  <c r="AL211" i="1"/>
  <c r="AN65" i="1"/>
  <c r="AM159" i="1"/>
  <c r="AO142" i="1"/>
  <c r="AL100" i="1"/>
  <c r="AM182" i="1"/>
  <c r="AL110" i="1"/>
  <c r="AM176" i="1"/>
  <c r="AL164" i="1"/>
  <c r="AM214" i="1"/>
  <c r="AM7" i="1"/>
  <c r="AL89" i="1"/>
  <c r="AL37" i="1"/>
  <c r="AN61" i="1"/>
  <c r="AO208" i="1"/>
  <c r="AL159" i="1"/>
  <c r="AN142" i="1"/>
  <c r="AO222" i="1"/>
  <c r="AN176" i="1"/>
  <c r="AL209" i="1"/>
  <c r="AL27" i="1"/>
  <c r="AL173" i="1"/>
  <c r="AO138" i="1"/>
  <c r="AO128" i="1"/>
  <c r="AN14" i="1"/>
  <c r="AO198" i="1"/>
  <c r="AO173" i="1"/>
  <c r="AL151" i="1"/>
  <c r="AM81" i="1"/>
  <c r="AN138" i="1"/>
  <c r="AL70" i="1"/>
  <c r="AL194" i="1"/>
  <c r="AN94" i="1"/>
  <c r="AL81" i="1"/>
  <c r="AL138" i="1"/>
  <c r="AL212" i="1"/>
  <c r="AN77" i="1"/>
  <c r="AL104" i="1"/>
  <c r="AN43" i="1"/>
  <c r="AM39" i="1"/>
  <c r="AM94" i="1"/>
  <c r="AN81" i="1"/>
  <c r="AN212" i="1"/>
  <c r="AO201" i="1"/>
  <c r="AN103" i="1"/>
  <c r="AO46" i="1"/>
  <c r="AO77" i="1"/>
  <c r="AN128" i="1"/>
  <c r="AO89" i="1"/>
  <c r="AO61" i="1"/>
  <c r="AM14" i="1"/>
  <c r="AO104" i="1"/>
  <c r="AN198" i="1"/>
  <c r="AO43" i="1"/>
  <c r="AN228" i="1"/>
  <c r="AM48" i="1"/>
  <c r="AN199" i="1"/>
  <c r="AN224" i="1"/>
  <c r="AL39" i="1"/>
  <c r="AL94" i="1"/>
  <c r="AM101" i="1"/>
  <c r="AO205" i="1"/>
  <c r="AM109" i="1"/>
  <c r="AO212" i="1"/>
  <c r="AN201" i="1"/>
  <c r="AO125" i="1"/>
  <c r="AL103" i="1"/>
  <c r="AP177" i="1"/>
  <c r="AO62" i="1"/>
  <c r="AL77" i="1"/>
  <c r="AN148" i="1"/>
  <c r="AM89" i="1"/>
  <c r="AM53" i="1"/>
  <c r="AL61" i="1"/>
  <c r="AN104" i="1"/>
  <c r="AM43" i="1"/>
  <c r="AO162" i="1"/>
  <c r="AN48" i="1"/>
  <c r="AM199" i="1"/>
  <c r="AL224" i="1"/>
  <c r="AO70" i="1"/>
  <c r="AM194" i="1"/>
  <c r="AM151" i="1"/>
  <c r="AM222" i="1"/>
  <c r="AL198" i="1"/>
  <c r="AL228" i="1"/>
  <c r="AM183" i="1"/>
  <c r="AL101" i="1"/>
  <c r="AL205" i="1"/>
  <c r="AL109" i="1"/>
  <c r="AL201" i="1"/>
  <c r="AL125" i="1"/>
  <c r="AM103" i="1"/>
  <c r="AM177" i="1"/>
  <c r="AM62" i="1"/>
  <c r="AO148" i="1"/>
  <c r="AL53" i="1"/>
  <c r="AN162" i="1"/>
  <c r="AL48" i="1"/>
  <c r="AL199" i="1"/>
  <c r="AO224" i="1"/>
  <c r="AL50" i="1"/>
  <c r="AO24" i="1"/>
  <c r="AN183" i="1"/>
  <c r="AO35" i="1"/>
  <c r="AN225" i="1"/>
  <c r="AL139" i="1"/>
  <c r="AN161" i="1"/>
  <c r="AN101" i="1"/>
  <c r="AM205" i="1"/>
  <c r="AO176" i="1"/>
  <c r="AM207" i="1"/>
  <c r="AL133" i="1"/>
  <c r="AL234" i="1"/>
  <c r="AN109" i="1"/>
  <c r="AN242" i="1"/>
  <c r="AL33" i="1"/>
  <c r="AL26" i="1"/>
  <c r="AO227" i="1"/>
  <c r="AN125" i="1"/>
  <c r="AM102" i="1"/>
  <c r="AM135" i="1"/>
  <c r="AN215" i="1"/>
  <c r="AL177" i="1"/>
  <c r="AL170" i="1"/>
  <c r="AL62" i="1"/>
  <c r="AN197" i="1"/>
  <c r="AL148" i="1"/>
  <c r="AL71" i="1"/>
  <c r="AO47" i="1"/>
  <c r="AM191" i="1"/>
  <c r="AO153" i="1"/>
  <c r="AM145" i="1"/>
  <c r="AN53" i="1"/>
  <c r="AL179" i="1"/>
  <c r="AO129" i="1"/>
  <c r="AN91" i="1"/>
  <c r="AM65" i="1"/>
  <c r="AM44" i="1"/>
  <c r="AL75" i="1"/>
  <c r="AM162" i="1"/>
  <c r="AN17" i="1"/>
  <c r="AO149" i="1"/>
  <c r="AO8" i="1"/>
  <c r="AN196" i="1"/>
  <c r="AM112" i="1"/>
  <c r="AL72" i="1"/>
  <c r="AM130" i="1"/>
  <c r="AM163" i="1"/>
  <c r="AL134" i="1"/>
  <c r="AO76" i="1"/>
  <c r="AN186" i="1"/>
  <c r="AO50" i="1"/>
  <c r="AO39" i="1"/>
  <c r="AM128" i="1"/>
  <c r="AL14" i="1"/>
  <c r="AM12" i="1"/>
  <c r="AL183" i="1"/>
  <c r="AL225" i="1"/>
  <c r="AM161" i="1"/>
  <c r="AN207" i="1"/>
  <c r="AN234" i="1"/>
  <c r="AN33" i="1"/>
  <c r="AO102" i="1"/>
  <c r="AM215" i="1"/>
  <c r="AN177" i="1"/>
  <c r="AN71" i="1"/>
  <c r="AL191" i="1"/>
  <c r="AN129" i="1"/>
  <c r="AM75" i="1"/>
  <c r="AM17" i="1"/>
  <c r="AN8" i="1"/>
  <c r="AO196" i="1"/>
  <c r="AO72" i="1"/>
  <c r="AL76" i="1"/>
  <c r="AO12" i="1"/>
  <c r="AP183" i="1"/>
  <c r="AN241" i="1"/>
  <c r="AO225" i="1"/>
  <c r="AO161" i="1"/>
  <c r="AO156" i="1"/>
  <c r="AN232" i="1"/>
  <c r="AO207" i="1"/>
  <c r="AO216" i="1"/>
  <c r="AO234" i="1"/>
  <c r="AL157" i="1"/>
  <c r="AM33" i="1"/>
  <c r="AM126" i="1"/>
  <c r="AO90" i="1"/>
  <c r="AN102" i="1"/>
  <c r="AO215" i="1"/>
  <c r="AO177" i="1"/>
  <c r="AL210" i="1"/>
  <c r="AN78" i="1"/>
  <c r="AN206" i="1"/>
  <c r="AO71" i="1"/>
  <c r="AN191" i="1"/>
  <c r="AM178" i="1"/>
  <c r="AL129" i="1"/>
  <c r="AL193" i="1"/>
  <c r="AN75" i="1"/>
  <c r="AM5" i="1"/>
  <c r="AL17" i="1"/>
  <c r="AL246" i="1"/>
  <c r="AM8" i="1"/>
  <c r="AM196" i="1"/>
  <c r="AN66" i="1"/>
  <c r="AN72" i="1"/>
  <c r="AO137" i="1"/>
  <c r="AN76" i="1"/>
  <c r="AL12" i="1"/>
  <c r="AL241" i="1"/>
  <c r="AN156" i="1"/>
  <c r="AL232" i="1"/>
  <c r="AN216" i="1"/>
  <c r="AO157" i="1"/>
  <c r="AL126" i="1"/>
  <c r="AN90" i="1"/>
  <c r="AN210" i="1"/>
  <c r="AM78" i="1"/>
  <c r="AM206" i="1"/>
  <c r="AN178" i="1"/>
  <c r="AO193" i="1"/>
  <c r="AL5" i="1"/>
  <c r="AM246" i="1"/>
  <c r="AO66" i="1"/>
  <c r="AM137" i="1"/>
  <c r="AO182" i="1"/>
  <c r="AM241" i="1"/>
  <c r="AM57" i="1"/>
  <c r="AO244" i="1"/>
  <c r="AM156" i="1"/>
  <c r="AM232" i="1"/>
  <c r="AM216" i="1"/>
  <c r="AN157" i="1"/>
  <c r="AM164" i="1"/>
  <c r="AO126" i="1"/>
  <c r="AN38" i="1"/>
  <c r="AL90" i="1"/>
  <c r="AM132" i="1"/>
  <c r="AO214" i="1"/>
  <c r="AO9" i="1"/>
  <c r="AO210" i="1"/>
  <c r="AO27" i="1"/>
  <c r="AL78" i="1"/>
  <c r="AO206" i="1"/>
  <c r="AO67" i="1"/>
  <c r="AM190" i="1"/>
  <c r="AM220" i="1"/>
  <c r="AO178" i="1"/>
  <c r="AN211" i="1"/>
  <c r="AM193" i="1"/>
  <c r="AM24" i="1"/>
  <c r="AO5" i="1"/>
  <c r="AN246" i="1"/>
  <c r="AP105" i="1"/>
  <c r="AO121" i="1"/>
  <c r="AL66" i="1"/>
  <c r="AO100" i="1"/>
  <c r="AM42" i="1"/>
  <c r="AN222" i="1"/>
  <c r="AL137" i="1"/>
  <c r="I65" i="12"/>
  <c r="K65" i="12" s="1"/>
  <c r="I145" i="12"/>
  <c r="K145" i="12" s="1"/>
  <c r="I155" i="12"/>
  <c r="K155" i="12" s="1"/>
  <c r="I185" i="12"/>
  <c r="K185" i="12" s="1"/>
  <c r="I84" i="12"/>
  <c r="K84" i="12" s="1"/>
  <c r="I67" i="12"/>
  <c r="K67" i="12" s="1"/>
  <c r="I231" i="12"/>
  <c r="K231" i="12" s="1"/>
  <c r="I291" i="12"/>
  <c r="K291" i="12" s="1"/>
  <c r="I242" i="12"/>
  <c r="K242" i="12" s="1"/>
  <c r="D5" i="17"/>
  <c r="D34" i="12"/>
  <c r="D6" i="17"/>
  <c r="D61" i="12"/>
  <c r="Q35" i="8"/>
  <c r="L65" i="12"/>
  <c r="Q148" i="8"/>
  <c r="H291" i="12"/>
  <c r="D7" i="17"/>
  <c r="D116" i="12"/>
  <c r="Q142" i="8"/>
  <c r="H278" i="12"/>
  <c r="J278" i="12" s="1"/>
  <c r="L278" i="12" s="1"/>
  <c r="D8" i="17"/>
  <c r="D135" i="12"/>
  <c r="Q149" i="8"/>
  <c r="H293" i="12"/>
  <c r="Q77" i="8"/>
  <c r="H145" i="12"/>
  <c r="Q125" i="8"/>
  <c r="H248" i="12"/>
  <c r="J248" i="12" s="1"/>
  <c r="L248" i="12" s="1"/>
  <c r="Q150" i="8"/>
  <c r="H295" i="12"/>
  <c r="J295" i="12" s="1"/>
  <c r="Q152" i="8"/>
  <c r="H299" i="12"/>
  <c r="I161" i="7"/>
  <c r="T161" i="7" s="1"/>
  <c r="Q161" i="7"/>
  <c r="S161" i="7"/>
  <c r="R161" i="7"/>
  <c r="AD145" i="1"/>
  <c r="AD177" i="1"/>
  <c r="AD120" i="1"/>
  <c r="AD109" i="1"/>
  <c r="AD181" i="1"/>
  <c r="AD22" i="1"/>
  <c r="AD10" i="1"/>
  <c r="AD131" i="1"/>
  <c r="AD114" i="1"/>
  <c r="AD139" i="1"/>
  <c r="AD171" i="1"/>
  <c r="AD62" i="1"/>
  <c r="AD215" i="1"/>
  <c r="AD89" i="1"/>
  <c r="AD108" i="1"/>
  <c r="AD95" i="1"/>
  <c r="AD104" i="1"/>
  <c r="AD9" i="1"/>
  <c r="AD13" i="1"/>
  <c r="AD15" i="1"/>
  <c r="AD19" i="1"/>
  <c r="AD25" i="1"/>
  <c r="AD35" i="1"/>
  <c r="AD61" i="1"/>
  <c r="AD229" i="1"/>
  <c r="AD166" i="1"/>
  <c r="AD168" i="1"/>
  <c r="AD188" i="1"/>
  <c r="AD202" i="1"/>
  <c r="AD234" i="1"/>
  <c r="AD240" i="1"/>
  <c r="H1" i="1"/>
  <c r="X246" i="1"/>
  <c r="X244" i="1"/>
  <c r="X242" i="1"/>
  <c r="X240" i="1"/>
  <c r="X238" i="1"/>
  <c r="L236" i="1"/>
  <c r="X234" i="1"/>
  <c r="X232" i="1"/>
  <c r="X230" i="1"/>
  <c r="X228" i="1"/>
  <c r="X226" i="1"/>
  <c r="X224" i="1"/>
  <c r="L222" i="1"/>
  <c r="X220" i="1"/>
  <c r="L216" i="1"/>
  <c r="X214" i="1"/>
  <c r="X212" i="1"/>
  <c r="X210" i="1"/>
  <c r="X208" i="1"/>
  <c r="X206" i="1"/>
  <c r="L204" i="1"/>
  <c r="X202" i="1"/>
  <c r="L200" i="1"/>
  <c r="X198" i="1"/>
  <c r="L196" i="1"/>
  <c r="X247" i="1"/>
  <c r="X241" i="1"/>
  <c r="X235" i="1"/>
  <c r="L229" i="1"/>
  <c r="X223" i="1"/>
  <c r="X183" i="1"/>
  <c r="X127" i="1"/>
  <c r="X122" i="1"/>
  <c r="L110" i="1"/>
  <c r="L105" i="1"/>
  <c r="X92" i="1"/>
  <c r="X81" i="1"/>
  <c r="X188" i="1"/>
  <c r="X174" i="1"/>
  <c r="X170" i="1"/>
  <c r="X166" i="1"/>
  <c r="X162" i="1"/>
  <c r="L158" i="1"/>
  <c r="X154" i="1"/>
  <c r="X150" i="1"/>
  <c r="X146" i="1"/>
  <c r="X142" i="1"/>
  <c r="X138" i="1"/>
  <c r="X94" i="1"/>
  <c r="X83" i="1"/>
  <c r="X187" i="1"/>
  <c r="X178" i="1"/>
  <c r="X130" i="1"/>
  <c r="L119" i="1"/>
  <c r="X112" i="1"/>
  <c r="X107" i="1"/>
  <c r="X96" i="1"/>
  <c r="X85" i="1"/>
  <c r="X243" i="1"/>
  <c r="AE237" i="1"/>
  <c r="X231" i="1"/>
  <c r="X225" i="1"/>
  <c r="L219" i="1"/>
  <c r="L213" i="1"/>
  <c r="L207" i="1"/>
  <c r="L195" i="1"/>
  <c r="X176" i="1"/>
  <c r="X172" i="1"/>
  <c r="X168" i="1"/>
  <c r="X164" i="1"/>
  <c r="L160" i="1"/>
  <c r="X156" i="1"/>
  <c r="X152" i="1"/>
  <c r="X148" i="1"/>
  <c r="L144" i="1"/>
  <c r="X140" i="1"/>
  <c r="X136" i="1"/>
  <c r="X132" i="1"/>
  <c r="X95" i="1"/>
  <c r="X82" i="1"/>
  <c r="X190" i="1"/>
  <c r="X118" i="1"/>
  <c r="L106" i="1"/>
  <c r="X97" i="1"/>
  <c r="X84" i="1"/>
  <c r="X189" i="1"/>
  <c r="X180" i="1"/>
  <c r="X175" i="1"/>
  <c r="X171" i="1"/>
  <c r="X159" i="1"/>
  <c r="X155" i="1"/>
  <c r="X151" i="1"/>
  <c r="X147" i="1"/>
  <c r="X143" i="1"/>
  <c r="X139" i="1"/>
  <c r="X135" i="1"/>
  <c r="X131" i="1"/>
  <c r="X128" i="1"/>
  <c r="X125" i="1"/>
  <c r="X99" i="1"/>
  <c r="X86" i="1"/>
  <c r="X245" i="1"/>
  <c r="X108" i="1"/>
  <c r="X63" i="1"/>
  <c r="X51" i="1"/>
  <c r="X43" i="1"/>
  <c r="X35" i="1"/>
  <c r="X23" i="1"/>
  <c r="X11" i="1"/>
  <c r="L217" i="1"/>
  <c r="L205" i="1"/>
  <c r="X193" i="1"/>
  <c r="X103" i="1"/>
  <c r="L90" i="1"/>
  <c r="X77" i="1"/>
  <c r="X73" i="1"/>
  <c r="X66" i="1"/>
  <c r="X48" i="1"/>
  <c r="X40" i="1"/>
  <c r="X30" i="1"/>
  <c r="L18" i="1"/>
  <c r="X6" i="1"/>
  <c r="X76" i="1"/>
  <c r="X215" i="1"/>
  <c r="L203" i="1"/>
  <c r="X192" i="1"/>
  <c r="X173" i="1"/>
  <c r="X165" i="1"/>
  <c r="L157" i="1"/>
  <c r="X149" i="1"/>
  <c r="X141" i="1"/>
  <c r="X133" i="1"/>
  <c r="X98" i="1"/>
  <c r="X56" i="1"/>
  <c r="X25" i="1"/>
  <c r="X13" i="1"/>
  <c r="L102" i="1"/>
  <c r="X42" i="1"/>
  <c r="L15" i="1"/>
  <c r="X227" i="1"/>
  <c r="X191" i="1"/>
  <c r="X182" i="1"/>
  <c r="X121" i="1"/>
  <c r="X89" i="1"/>
  <c r="X62" i="1"/>
  <c r="L59" i="1"/>
  <c r="X53" i="1"/>
  <c r="L45" i="1"/>
  <c r="X37" i="1"/>
  <c r="L32" i="1"/>
  <c r="X20" i="1"/>
  <c r="X8" i="1"/>
  <c r="X27" i="1"/>
  <c r="X181" i="1"/>
  <c r="X72" i="1"/>
  <c r="L50" i="1"/>
  <c r="X221" i="1"/>
  <c r="X209" i="1"/>
  <c r="X197" i="1"/>
  <c r="L177" i="1"/>
  <c r="X169" i="1"/>
  <c r="X161" i="1"/>
  <c r="X153" i="1"/>
  <c r="X145" i="1"/>
  <c r="X137" i="1"/>
  <c r="L87" i="1"/>
  <c r="X71" i="1"/>
  <c r="X64" i="1"/>
  <c r="X239" i="1"/>
  <c r="X115" i="1"/>
  <c r="X58" i="1"/>
  <c r="X49" i="1"/>
  <c r="X44" i="1"/>
  <c r="X31" i="1"/>
  <c r="X10" i="1"/>
  <c r="L179" i="1"/>
  <c r="X101" i="1"/>
  <c r="X68" i="1"/>
  <c r="X211" i="1"/>
  <c r="X79" i="1"/>
  <c r="X39" i="1"/>
  <c r="X22" i="1"/>
  <c r="X52" i="1"/>
  <c r="L26" i="1"/>
  <c r="X120" i="1"/>
  <c r="X114" i="1"/>
  <c r="X34" i="1"/>
  <c r="X14" i="1"/>
  <c r="X78" i="1"/>
  <c r="X5" i="1"/>
  <c r="X233" i="1"/>
  <c r="X186" i="1"/>
  <c r="X123" i="1"/>
  <c r="X104" i="1"/>
  <c r="X70" i="1"/>
  <c r="X47" i="1"/>
  <c r="X17" i="1"/>
  <c r="L111" i="1"/>
  <c r="X93" i="1"/>
  <c r="X57" i="1"/>
  <c r="X38" i="1"/>
  <c r="X29" i="1"/>
  <c r="X9" i="1"/>
  <c r="X109" i="1"/>
  <c r="X16" i="1"/>
  <c r="X75" i="1"/>
  <c r="X129" i="1"/>
  <c r="L67" i="1"/>
  <c r="X54" i="1"/>
  <c r="X7" i="1"/>
  <c r="X126" i="1"/>
  <c r="X12" i="1"/>
  <c r="X60" i="1"/>
  <c r="X116" i="1"/>
  <c r="X41" i="1"/>
  <c r="L80" i="1"/>
  <c r="X65" i="1"/>
  <c r="X21" i="1"/>
  <c r="X100" i="1"/>
  <c r="X61" i="1"/>
  <c r="X55" i="1"/>
  <c r="X24" i="1"/>
  <c r="X199" i="1"/>
  <c r="X91" i="1"/>
  <c r="X33" i="1"/>
  <c r="L36" i="1"/>
  <c r="X28" i="1"/>
  <c r="X74" i="1"/>
  <c r="X46" i="1"/>
  <c r="X19" i="1"/>
  <c r="G149" i="8"/>
  <c r="P149" i="8" s="1"/>
  <c r="I148" i="8"/>
  <c r="R148" i="8" s="1"/>
  <c r="I71" i="8"/>
  <c r="R71" i="8" s="1"/>
  <c r="I36" i="8"/>
  <c r="R36" i="8" s="1"/>
  <c r="AM249" i="1" l="1"/>
  <c r="AO249" i="1"/>
  <c r="J299" i="12"/>
  <c r="L299" i="12" s="1"/>
  <c r="L295" i="12"/>
  <c r="J293" i="12"/>
  <c r="L293" i="12" s="1"/>
  <c r="J145" i="12"/>
  <c r="L145" i="12" s="1"/>
  <c r="J291" i="12"/>
  <c r="L291" i="12" s="1"/>
  <c r="I158" i="8"/>
  <c r="R158" i="8" s="1"/>
  <c r="H158" i="8"/>
  <c r="G158" i="8"/>
  <c r="P158" i="8" s="1"/>
  <c r="X80" i="1"/>
  <c r="X67" i="1"/>
  <c r="X26" i="1"/>
  <c r="X179" i="1"/>
  <c r="X87" i="1"/>
  <c r="AE177" i="1"/>
  <c r="X32" i="1"/>
  <c r="X45" i="1"/>
  <c r="AE15" i="1"/>
  <c r="X102" i="1"/>
  <c r="AE25" i="1"/>
  <c r="X203" i="1"/>
  <c r="X205" i="1"/>
  <c r="X217" i="1"/>
  <c r="X106" i="1"/>
  <c r="X144" i="1"/>
  <c r="X160" i="1"/>
  <c r="X195" i="1"/>
  <c r="X213" i="1"/>
  <c r="X219" i="1"/>
  <c r="X158" i="1"/>
  <c r="X105" i="1"/>
  <c r="X110" i="1"/>
  <c r="AE229" i="1"/>
  <c r="X196" i="1"/>
  <c r="X204" i="1"/>
  <c r="X216" i="1"/>
  <c r="AE234" i="1"/>
  <c r="X236" i="1"/>
  <c r="I1" i="1"/>
  <c r="AF237" i="1"/>
  <c r="AD236" i="1"/>
  <c r="X222" i="1"/>
  <c r="AD222" i="1"/>
  <c r="AD216" i="1"/>
  <c r="AD204" i="1"/>
  <c r="X200" i="1"/>
  <c r="AD200" i="1"/>
  <c r="AD196" i="1"/>
  <c r="AD160" i="1"/>
  <c r="AD158" i="1"/>
  <c r="AD144" i="1"/>
  <c r="AD217" i="1"/>
  <c r="AD205" i="1"/>
  <c r="X90" i="1"/>
  <c r="AD90" i="1"/>
  <c r="AD67" i="1"/>
  <c r="X59" i="1"/>
  <c r="AD59" i="1"/>
  <c r="AD45" i="1"/>
  <c r="AD110" i="1"/>
  <c r="AD105" i="1"/>
  <c r="AD111" i="1"/>
  <c r="X111" i="1"/>
  <c r="AD80" i="1"/>
  <c r="AD219" i="1"/>
  <c r="AD213" i="1"/>
  <c r="X207" i="1"/>
  <c r="AD207" i="1"/>
  <c r="AD195" i="1"/>
  <c r="AD106" i="1"/>
  <c r="X18" i="1"/>
  <c r="AD18" i="1"/>
  <c r="AD32" i="1"/>
  <c r="AD203" i="1"/>
  <c r="X157" i="1"/>
  <c r="AD157" i="1"/>
  <c r="AD119" i="1"/>
  <c r="X119" i="1"/>
  <c r="AD87" i="1"/>
  <c r="AD26" i="1"/>
  <c r="AD102" i="1"/>
  <c r="AD50" i="1"/>
  <c r="X50" i="1"/>
  <c r="X36" i="1"/>
  <c r="AD36" i="1"/>
  <c r="AD179" i="1"/>
  <c r="F84" i="8"/>
  <c r="F156" i="8"/>
  <c r="Q158" i="8" l="1"/>
  <c r="H310" i="12"/>
  <c r="O156" i="8"/>
  <c r="G306" i="12"/>
  <c r="O84" i="8"/>
  <c r="G160" i="12"/>
  <c r="I160" i="12" s="1"/>
  <c r="K160" i="12" s="1"/>
  <c r="AF61" i="1"/>
  <c r="AF76" i="1"/>
  <c r="AF22" i="1"/>
  <c r="AF25" i="1"/>
  <c r="AF120" i="1"/>
  <c r="AF131" i="1"/>
  <c r="AF135" i="1"/>
  <c r="AF202" i="1"/>
  <c r="AF234" i="1"/>
  <c r="AF242" i="1"/>
  <c r="AF177" i="1"/>
  <c r="AF181" i="1"/>
  <c r="AF197" i="1"/>
  <c r="AF229" i="1"/>
  <c r="J1" i="1"/>
  <c r="Z241" i="1"/>
  <c r="Z237" i="1"/>
  <c r="Z235" i="1"/>
  <c r="Z231" i="1"/>
  <c r="N229" i="1"/>
  <c r="Z227" i="1"/>
  <c r="Z223" i="1"/>
  <c r="Z215" i="1"/>
  <c r="N213" i="1"/>
  <c r="Z211" i="1"/>
  <c r="N205" i="1"/>
  <c r="N203" i="1"/>
  <c r="Z193" i="1"/>
  <c r="Z191" i="1"/>
  <c r="Z189" i="1"/>
  <c r="Z187" i="1"/>
  <c r="N179" i="1"/>
  <c r="N177" i="1"/>
  <c r="Z175" i="1"/>
  <c r="Z173" i="1"/>
  <c r="Z165" i="1"/>
  <c r="Z161" i="1"/>
  <c r="Z159" i="1"/>
  <c r="Z153" i="1"/>
  <c r="Z151" i="1"/>
  <c r="Z149" i="1"/>
  <c r="Z141" i="1"/>
  <c r="Z139" i="1"/>
  <c r="Z137" i="1"/>
  <c r="Z135" i="1"/>
  <c r="Z127" i="1"/>
  <c r="Z125" i="1"/>
  <c r="N119" i="1"/>
  <c r="N111" i="1"/>
  <c r="N105" i="1"/>
  <c r="Z238" i="1"/>
  <c r="N236" i="1"/>
  <c r="Y234" i="1"/>
  <c r="Z230" i="1"/>
  <c r="Z228" i="1"/>
  <c r="Z226" i="1"/>
  <c r="Z224" i="1"/>
  <c r="N222" i="1"/>
  <c r="Z214" i="1"/>
  <c r="Z212" i="1"/>
  <c r="Z210" i="1"/>
  <c r="Z208" i="1"/>
  <c r="Z206" i="1"/>
  <c r="Z202" i="1"/>
  <c r="N200" i="1"/>
  <c r="Z190" i="1"/>
  <c r="Z188" i="1"/>
  <c r="Z186" i="1"/>
  <c r="Z182" i="1"/>
  <c r="Z176" i="1"/>
  <c r="Z174" i="1"/>
  <c r="Z164" i="1"/>
  <c r="Z162" i="1"/>
  <c r="N160" i="1"/>
  <c r="N158" i="1"/>
  <c r="Z152" i="1"/>
  <c r="Z150" i="1"/>
  <c r="Z140" i="1"/>
  <c r="Z138" i="1"/>
  <c r="Z136" i="1"/>
  <c r="Z132" i="1"/>
  <c r="Z112" i="1"/>
  <c r="Z85" i="1"/>
  <c r="Z98" i="1"/>
  <c r="N87" i="1"/>
  <c r="Z114" i="1"/>
  <c r="Z100" i="1"/>
  <c r="Z89" i="1"/>
  <c r="Z99" i="1"/>
  <c r="Z86" i="1"/>
  <c r="Z120" i="1"/>
  <c r="Z108" i="1"/>
  <c r="Z101" i="1"/>
  <c r="Z79" i="1"/>
  <c r="Z77" i="1"/>
  <c r="Z75" i="1"/>
  <c r="Z71" i="1"/>
  <c r="N67" i="1"/>
  <c r="Z65" i="1"/>
  <c r="Z56" i="1"/>
  <c r="Z25" i="1"/>
  <c r="Z94" i="1"/>
  <c r="Z62" i="1"/>
  <c r="N59" i="1"/>
  <c r="Z53" i="1"/>
  <c r="Z37" i="1"/>
  <c r="N32" i="1"/>
  <c r="Z68" i="1"/>
  <c r="Z39" i="1"/>
  <c r="Z29" i="1"/>
  <c r="N102" i="1"/>
  <c r="Z116" i="1"/>
  <c r="Z93" i="1"/>
  <c r="Z34" i="1"/>
  <c r="Z22" i="1"/>
  <c r="Z10" i="1"/>
  <c r="Z17" i="1"/>
  <c r="Z60" i="1"/>
  <c r="Z64" i="1"/>
  <c r="Z35" i="1"/>
  <c r="Z95" i="1"/>
  <c r="Z9" i="1"/>
  <c r="Z46" i="1"/>
  <c r="Z38" i="1"/>
  <c r="Z55" i="1"/>
  <c r="Z104" i="1"/>
  <c r="Z70" i="1"/>
  <c r="Z48" i="1"/>
  <c r="Z33" i="1"/>
  <c r="N110" i="1"/>
  <c r="Z51" i="1"/>
  <c r="Z41" i="1"/>
  <c r="Z23" i="1"/>
  <c r="Z49" i="1"/>
  <c r="Z83" i="1"/>
  <c r="N106" i="1"/>
  <c r="Z66" i="1"/>
  <c r="Z82" i="1"/>
  <c r="N36" i="1"/>
  <c r="Z54" i="1"/>
  <c r="AE236" i="1"/>
  <c r="AE222" i="1"/>
  <c r="AE216" i="1"/>
  <c r="AE204" i="1"/>
  <c r="AE200" i="1"/>
  <c r="AE196" i="1"/>
  <c r="AE110" i="1"/>
  <c r="AE105" i="1"/>
  <c r="AE158" i="1"/>
  <c r="AE119" i="1"/>
  <c r="AE219" i="1"/>
  <c r="AE213" i="1"/>
  <c r="AE207" i="1"/>
  <c r="AE195" i="1"/>
  <c r="AE160" i="1"/>
  <c r="AE144" i="1"/>
  <c r="AE106" i="1"/>
  <c r="AE217" i="1"/>
  <c r="AE205" i="1"/>
  <c r="AE90" i="1"/>
  <c r="AE18" i="1"/>
  <c r="AE203" i="1"/>
  <c r="AE157" i="1"/>
  <c r="AE102" i="1"/>
  <c r="AE59" i="1"/>
  <c r="AE45" i="1"/>
  <c r="AE32" i="1"/>
  <c r="AE50" i="1"/>
  <c r="AE87" i="1"/>
  <c r="AE179" i="1"/>
  <c r="AE26" i="1"/>
  <c r="AE111" i="1"/>
  <c r="AE67" i="1"/>
  <c r="AE80" i="1"/>
  <c r="AE36" i="1"/>
  <c r="H82" i="8"/>
  <c r="J310" i="12" l="1"/>
  <c r="L310" i="12" s="1"/>
  <c r="I306" i="12"/>
  <c r="K306" i="12" s="1"/>
  <c r="Q82" i="8"/>
  <c r="H155" i="12"/>
  <c r="Z124" i="1"/>
  <c r="Z234" i="1"/>
  <c r="Y44" i="1"/>
  <c r="Y74" i="1"/>
  <c r="Y90" i="1"/>
  <c r="M90" i="1"/>
  <c r="N90" i="1"/>
  <c r="Y142" i="1"/>
  <c r="Z142" i="1"/>
  <c r="Y238" i="1"/>
  <c r="Y143" i="1"/>
  <c r="Y239" i="1"/>
  <c r="Z239" i="1"/>
  <c r="Y33" i="1"/>
  <c r="Y5" i="1"/>
  <c r="Z5" i="1"/>
  <c r="Y20" i="1"/>
  <c r="Z20" i="1"/>
  <c r="Y103" i="1"/>
  <c r="Z103" i="1"/>
  <c r="Y98" i="1"/>
  <c r="Y168" i="1"/>
  <c r="Z168" i="1"/>
  <c r="Y240" i="1"/>
  <c r="Y121" i="1"/>
  <c r="Y145" i="1"/>
  <c r="Z145" i="1"/>
  <c r="Y169" i="1"/>
  <c r="Z169" i="1"/>
  <c r="Y193" i="1"/>
  <c r="Y217" i="1"/>
  <c r="M217" i="1"/>
  <c r="Y241" i="1"/>
  <c r="Z121" i="1"/>
  <c r="Y118" i="1"/>
  <c r="Z118" i="1"/>
  <c r="Y28" i="1"/>
  <c r="Z28" i="1"/>
  <c r="Y84" i="1"/>
  <c r="Y6" i="1"/>
  <c r="Z6" i="1"/>
  <c r="Y91" i="1"/>
  <c r="Z91" i="1"/>
  <c r="Y15" i="1"/>
  <c r="M15" i="1"/>
  <c r="N15" i="1"/>
  <c r="Y32" i="1"/>
  <c r="M32" i="1"/>
  <c r="Y61" i="1"/>
  <c r="Z61" i="1"/>
  <c r="Y146" i="1"/>
  <c r="Z146" i="1"/>
  <c r="Y170" i="1"/>
  <c r="Z170" i="1"/>
  <c r="Y242" i="1"/>
  <c r="Z242" i="1"/>
  <c r="Y123" i="1"/>
  <c r="Y147" i="1"/>
  <c r="Y171" i="1"/>
  <c r="Z171" i="1"/>
  <c r="Y195" i="1"/>
  <c r="M195" i="1"/>
  <c r="N195" i="1"/>
  <c r="Y219" i="1"/>
  <c r="M219" i="1"/>
  <c r="N219" i="1"/>
  <c r="Y243" i="1"/>
  <c r="Z243" i="1"/>
  <c r="Y11" i="1"/>
  <c r="Z11" i="1"/>
  <c r="Y40" i="1"/>
  <c r="Y21" i="1"/>
  <c r="Z21" i="1"/>
  <c r="Y26" i="1"/>
  <c r="M26" i="1"/>
  <c r="N26" i="1"/>
  <c r="Y58" i="1"/>
  <c r="Z58" i="1"/>
  <c r="Y27" i="1"/>
  <c r="Z27" i="1"/>
  <c r="Y37" i="1"/>
  <c r="Y63" i="1"/>
  <c r="Z63" i="1"/>
  <c r="Y101" i="1"/>
  <c r="Y130" i="1"/>
  <c r="Z130" i="1"/>
  <c r="Y148" i="1"/>
  <c r="Z148" i="1"/>
  <c r="Y172" i="1"/>
  <c r="Z172" i="1"/>
  <c r="Y196" i="1"/>
  <c r="M196" i="1"/>
  <c r="N196" i="1"/>
  <c r="Y220" i="1"/>
  <c r="Z220" i="1"/>
  <c r="Y244" i="1"/>
  <c r="Z244" i="1"/>
  <c r="Y125" i="1"/>
  <c r="Y149" i="1"/>
  <c r="Y173" i="1"/>
  <c r="Y197" i="1"/>
  <c r="Z197" i="1"/>
  <c r="Y221" i="1"/>
  <c r="Z221" i="1"/>
  <c r="Y245" i="1"/>
  <c r="Z245" i="1"/>
  <c r="Z147" i="1"/>
  <c r="Y126" i="1"/>
  <c r="Z126" i="1"/>
  <c r="Y166" i="1"/>
  <c r="Z166" i="1"/>
  <c r="Y215" i="1"/>
  <c r="Z74" i="1"/>
  <c r="Y144" i="1"/>
  <c r="M144" i="1"/>
  <c r="N144" i="1"/>
  <c r="Y30" i="1"/>
  <c r="Z30" i="1"/>
  <c r="Y42" i="1"/>
  <c r="Y45" i="1"/>
  <c r="M45" i="1"/>
  <c r="N45" i="1"/>
  <c r="Y108" i="1"/>
  <c r="Y150" i="1"/>
  <c r="Y174" i="1"/>
  <c r="Y198" i="1"/>
  <c r="Z198" i="1"/>
  <c r="Y246" i="1"/>
  <c r="Z246" i="1"/>
  <c r="Y175" i="1"/>
  <c r="N217" i="1"/>
  <c r="Y12" i="1"/>
  <c r="Z12" i="1"/>
  <c r="Y8" i="1"/>
  <c r="Z8" i="1"/>
  <c r="Y190" i="1"/>
  <c r="Y38" i="1"/>
  <c r="Y216" i="1"/>
  <c r="M216" i="1"/>
  <c r="N216" i="1"/>
  <c r="Y31" i="1"/>
  <c r="Z31" i="1"/>
  <c r="Y17" i="1"/>
  <c r="Y65" i="1"/>
  <c r="Z143" i="1"/>
  <c r="Z123" i="1"/>
  <c r="Z44" i="1"/>
  <c r="Y92" i="1"/>
  <c r="Z92" i="1"/>
  <c r="Y81" i="1"/>
  <c r="Z81" i="1"/>
  <c r="Y87" i="1"/>
  <c r="M87" i="1"/>
  <c r="Y214" i="1"/>
  <c r="Y119" i="1"/>
  <c r="M119" i="1"/>
  <c r="Y191" i="1"/>
  <c r="Y19" i="1"/>
  <c r="Z19" i="1"/>
  <c r="Y78" i="1"/>
  <c r="Z78" i="1"/>
  <c r="Y122" i="1"/>
  <c r="Y192" i="1"/>
  <c r="Z192" i="1"/>
  <c r="Y97" i="1"/>
  <c r="Z97" i="1"/>
  <c r="Y52" i="1"/>
  <c r="Z52" i="1"/>
  <c r="Y85" i="1"/>
  <c r="Z240" i="1"/>
  <c r="Z84" i="1"/>
  <c r="Z122" i="1"/>
  <c r="Z42" i="1"/>
  <c r="Y127" i="1"/>
  <c r="Y247" i="1"/>
  <c r="Y83" i="1"/>
  <c r="Y47" i="1"/>
  <c r="Y50" i="1"/>
  <c r="M50" i="1"/>
  <c r="Y67" i="1"/>
  <c r="M67" i="1"/>
  <c r="Y96" i="1"/>
  <c r="Y200" i="1"/>
  <c r="M200" i="1"/>
  <c r="Y129" i="1"/>
  <c r="Y225" i="1"/>
  <c r="Y57" i="1"/>
  <c r="Y9" i="1"/>
  <c r="Y72" i="1"/>
  <c r="Y59" i="1"/>
  <c r="M59" i="1"/>
  <c r="Y128" i="1"/>
  <c r="Y154" i="1"/>
  <c r="Y202" i="1"/>
  <c r="Y226" i="1"/>
  <c r="Y107" i="1"/>
  <c r="Y131" i="1"/>
  <c r="Y155" i="1"/>
  <c r="Y179" i="1"/>
  <c r="M179" i="1"/>
  <c r="Y203" i="1"/>
  <c r="M203" i="1"/>
  <c r="Y227" i="1"/>
  <c r="Z129" i="1"/>
  <c r="Y24" i="1"/>
  <c r="Y49" i="1"/>
  <c r="Y18" i="1"/>
  <c r="M18" i="1"/>
  <c r="Y95" i="1"/>
  <c r="Y22" i="1"/>
  <c r="Y76" i="1"/>
  <c r="Y62" i="1"/>
  <c r="Y71" i="1"/>
  <c r="Y86" i="1"/>
  <c r="Y132" i="1"/>
  <c r="Y156" i="1"/>
  <c r="Y180" i="1"/>
  <c r="Y204" i="1"/>
  <c r="M204" i="1"/>
  <c r="Y228" i="1"/>
  <c r="Y109" i="1"/>
  <c r="Y133" i="1"/>
  <c r="Y157" i="1"/>
  <c r="M157" i="1"/>
  <c r="Y181" i="1"/>
  <c r="Y205" i="1"/>
  <c r="M205" i="1"/>
  <c r="AG229" i="1"/>
  <c r="M229" i="1"/>
  <c r="Z247" i="1"/>
  <c r="N18" i="1"/>
  <c r="Z76" i="1"/>
  <c r="Y36" i="1"/>
  <c r="M36" i="1"/>
  <c r="Y23" i="1"/>
  <c r="Y48" i="1"/>
  <c r="Y14" i="1"/>
  <c r="Y34" i="1"/>
  <c r="Y102" i="1"/>
  <c r="M102" i="1"/>
  <c r="Y94" i="1"/>
  <c r="Y73" i="1"/>
  <c r="Y99" i="1"/>
  <c r="M158" i="1"/>
  <c r="Y182" i="1"/>
  <c r="Y206" i="1"/>
  <c r="Y230" i="1"/>
  <c r="Y111" i="1"/>
  <c r="M111" i="1"/>
  <c r="Y135" i="1"/>
  <c r="Y159" i="1"/>
  <c r="Y183" i="1"/>
  <c r="Y207" i="1"/>
  <c r="M207" i="1"/>
  <c r="Y231" i="1"/>
  <c r="Z183" i="1"/>
  <c r="Z180" i="1"/>
  <c r="Z156" i="1"/>
  <c r="Z107" i="1"/>
  <c r="Z155" i="1"/>
  <c r="Z57" i="1"/>
  <c r="Y7" i="1"/>
  <c r="Y120" i="1"/>
  <c r="Y153" i="1"/>
  <c r="Y82" i="1"/>
  <c r="Y41" i="1"/>
  <c r="Y70" i="1"/>
  <c r="Y35" i="1"/>
  <c r="Y80" i="1"/>
  <c r="M80" i="1"/>
  <c r="Y29" i="1"/>
  <c r="Y13" i="1"/>
  <c r="Y75" i="1"/>
  <c r="Y89" i="1"/>
  <c r="Y136" i="1"/>
  <c r="Y160" i="1"/>
  <c r="M160" i="1"/>
  <c r="Y208" i="1"/>
  <c r="Y232" i="1"/>
  <c r="Y137" i="1"/>
  <c r="Y161" i="1"/>
  <c r="Y209" i="1"/>
  <c r="Y233" i="1"/>
  <c r="Z233" i="1"/>
  <c r="Z209" i="1"/>
  <c r="Z232" i="1"/>
  <c r="N157" i="1"/>
  <c r="N80" i="1"/>
  <c r="Z24" i="1"/>
  <c r="Y199" i="1"/>
  <c r="Y43" i="1"/>
  <c r="Y176" i="1"/>
  <c r="AG177" i="1"/>
  <c r="M177" i="1"/>
  <c r="Z199" i="1"/>
  <c r="Z7" i="1"/>
  <c r="Y178" i="1"/>
  <c r="Y66" i="1"/>
  <c r="Y51" i="1"/>
  <c r="Y104" i="1"/>
  <c r="Y64" i="1"/>
  <c r="Y93" i="1"/>
  <c r="Y39" i="1"/>
  <c r="AG25" i="1"/>
  <c r="Y25" i="1"/>
  <c r="Y77" i="1"/>
  <c r="Y100" i="1"/>
  <c r="Y138" i="1"/>
  <c r="Y162" i="1"/>
  <c r="Y186" i="1"/>
  <c r="Y210" i="1"/>
  <c r="Y115" i="1"/>
  <c r="Y139" i="1"/>
  <c r="Y187" i="1"/>
  <c r="Y211" i="1"/>
  <c r="Y235" i="1"/>
  <c r="N207" i="1"/>
  <c r="N204" i="1"/>
  <c r="Z178" i="1"/>
  <c r="Z154" i="1"/>
  <c r="Z128" i="1"/>
  <c r="Z96" i="1"/>
  <c r="Z133" i="1"/>
  <c r="Z131" i="1"/>
  <c r="Z115" i="1"/>
  <c r="Z73" i="1"/>
  <c r="Z13" i="1"/>
  <c r="Z72" i="1"/>
  <c r="Z109" i="1"/>
  <c r="Z47" i="1"/>
  <c r="Z14" i="1"/>
  <c r="Z43" i="1"/>
  <c r="Y222" i="1"/>
  <c r="M222" i="1"/>
  <c r="Y151" i="1"/>
  <c r="Y223" i="1"/>
  <c r="Y46" i="1"/>
  <c r="Y53" i="1"/>
  <c r="Y152" i="1"/>
  <c r="Y224" i="1"/>
  <c r="Y105" i="1"/>
  <c r="M105" i="1"/>
  <c r="Z225" i="1"/>
  <c r="Y54" i="1"/>
  <c r="Y16" i="1"/>
  <c r="Y10" i="1"/>
  <c r="Y112" i="1"/>
  <c r="Y106" i="1"/>
  <c r="M106" i="1"/>
  <c r="Y110" i="1"/>
  <c r="M110" i="1"/>
  <c r="Y55" i="1"/>
  <c r="Y60" i="1"/>
  <c r="Y116" i="1"/>
  <c r="Y68" i="1"/>
  <c r="Y56" i="1"/>
  <c r="Y79" i="1"/>
  <c r="Y114" i="1"/>
  <c r="Y140" i="1"/>
  <c r="Y164" i="1"/>
  <c r="Y188" i="1"/>
  <c r="Y212" i="1"/>
  <c r="Y236" i="1"/>
  <c r="M236" i="1"/>
  <c r="Y141" i="1"/>
  <c r="Y165" i="1"/>
  <c r="Y189" i="1"/>
  <c r="Y213" i="1"/>
  <c r="M213" i="1"/>
  <c r="Z181" i="1"/>
  <c r="N50" i="1"/>
  <c r="Z16" i="1"/>
  <c r="AG204" i="1"/>
  <c r="AG234" i="1"/>
  <c r="AG205" i="1"/>
  <c r="K1" i="1"/>
  <c r="V247" i="1"/>
  <c r="AP247" i="1" s="1"/>
  <c r="V243" i="1"/>
  <c r="AP243" i="1" s="1"/>
  <c r="V241" i="1"/>
  <c r="AP241" i="1" s="1"/>
  <c r="V239" i="1"/>
  <c r="AP239" i="1" s="1"/>
  <c r="V237" i="1"/>
  <c r="AP237" i="1" s="1"/>
  <c r="V235" i="1"/>
  <c r="AP235" i="1" s="1"/>
  <c r="V233" i="1"/>
  <c r="AP233" i="1" s="1"/>
  <c r="V231" i="1"/>
  <c r="AP231" i="1" s="1"/>
  <c r="V227" i="1"/>
  <c r="AP227" i="1" s="1"/>
  <c r="V225" i="1"/>
  <c r="AP225" i="1" s="1"/>
  <c r="V223" i="1"/>
  <c r="AP223" i="1" s="1"/>
  <c r="V221" i="1"/>
  <c r="AP221" i="1" s="1"/>
  <c r="V215" i="1"/>
  <c r="AP215" i="1" s="1"/>
  <c r="V211" i="1"/>
  <c r="AP211" i="1" s="1"/>
  <c r="V209" i="1"/>
  <c r="AP209" i="1" s="1"/>
  <c r="V201" i="1"/>
  <c r="AP201" i="1" s="1"/>
  <c r="V199" i="1"/>
  <c r="AP199" i="1" s="1"/>
  <c r="V197" i="1"/>
  <c r="AP197" i="1" s="1"/>
  <c r="V193" i="1"/>
  <c r="AP193" i="1" s="1"/>
  <c r="V191" i="1"/>
  <c r="AP191" i="1" s="1"/>
  <c r="V189" i="1"/>
  <c r="AP189" i="1" s="1"/>
  <c r="V187" i="1"/>
  <c r="AP187" i="1" s="1"/>
  <c r="V185" i="1"/>
  <c r="AP185" i="1" s="1"/>
  <c r="V181" i="1"/>
  <c r="AP181" i="1" s="1"/>
  <c r="V175" i="1"/>
  <c r="AP175" i="1" s="1"/>
  <c r="V173" i="1"/>
  <c r="AP173" i="1" s="1"/>
  <c r="V171" i="1"/>
  <c r="AP171" i="1" s="1"/>
  <c r="V169" i="1"/>
  <c r="AP169" i="1" s="1"/>
  <c r="V167" i="1"/>
  <c r="V165" i="1"/>
  <c r="AP165" i="1" s="1"/>
  <c r="V161" i="1"/>
  <c r="AP161" i="1" s="1"/>
  <c r="V159" i="1"/>
  <c r="AP159" i="1" s="1"/>
  <c r="V155" i="1"/>
  <c r="AP155" i="1" s="1"/>
  <c r="V153" i="1"/>
  <c r="AP153" i="1" s="1"/>
  <c r="V151" i="1"/>
  <c r="AP151" i="1" s="1"/>
  <c r="V149" i="1"/>
  <c r="AP149" i="1" s="1"/>
  <c r="V147" i="1"/>
  <c r="AP147" i="1" s="1"/>
  <c r="V145" i="1"/>
  <c r="AP145" i="1" s="1"/>
  <c r="V143" i="1"/>
  <c r="AP143" i="1" s="1"/>
  <c r="V141" i="1"/>
  <c r="AP141" i="1" s="1"/>
  <c r="V139" i="1"/>
  <c r="AP139" i="1" s="1"/>
  <c r="V137" i="1"/>
  <c r="AP137" i="1" s="1"/>
  <c r="V135" i="1"/>
  <c r="AP135" i="1" s="1"/>
  <c r="V133" i="1"/>
  <c r="AP133" i="1" s="1"/>
  <c r="V131" i="1"/>
  <c r="AP131" i="1" s="1"/>
  <c r="V129" i="1"/>
  <c r="AP129" i="1" s="1"/>
  <c r="V127" i="1"/>
  <c r="AP127" i="1" s="1"/>
  <c r="V125" i="1"/>
  <c r="AP125" i="1" s="1"/>
  <c r="V123" i="1"/>
  <c r="AP123" i="1" s="1"/>
  <c r="V188" i="1"/>
  <c r="AP188" i="1" s="1"/>
  <c r="V174" i="1"/>
  <c r="AP174" i="1" s="1"/>
  <c r="V170" i="1"/>
  <c r="AP170" i="1" s="1"/>
  <c r="V166" i="1"/>
  <c r="AP166" i="1" s="1"/>
  <c r="V162" i="1"/>
  <c r="AP162" i="1" s="1"/>
  <c r="V154" i="1"/>
  <c r="AP154" i="1" s="1"/>
  <c r="V150" i="1"/>
  <c r="AP150" i="1" s="1"/>
  <c r="V146" i="1"/>
  <c r="AP146" i="1" s="1"/>
  <c r="V142" i="1"/>
  <c r="AP142" i="1" s="1"/>
  <c r="V138" i="1"/>
  <c r="AP138" i="1" s="1"/>
  <c r="V134" i="1"/>
  <c r="AP134" i="1" s="1"/>
  <c r="V130" i="1"/>
  <c r="AP130" i="1" s="1"/>
  <c r="V124" i="1"/>
  <c r="AP124" i="1" s="1"/>
  <c r="V98" i="1"/>
  <c r="AP98" i="1" s="1"/>
  <c r="V178" i="1"/>
  <c r="AP178" i="1" s="1"/>
  <c r="V114" i="1"/>
  <c r="AP114" i="1" s="1"/>
  <c r="V100" i="1"/>
  <c r="AP100" i="1" s="1"/>
  <c r="V89" i="1"/>
  <c r="AP89" i="1" s="1"/>
  <c r="V246" i="1"/>
  <c r="AP246" i="1" s="1"/>
  <c r="V240" i="1"/>
  <c r="AP240" i="1" s="1"/>
  <c r="V234" i="1"/>
  <c r="AP234" i="1" s="1"/>
  <c r="V228" i="1"/>
  <c r="AP228" i="1" s="1"/>
  <c r="V210" i="1"/>
  <c r="AP210" i="1" s="1"/>
  <c r="V198" i="1"/>
  <c r="AP198" i="1" s="1"/>
  <c r="V192" i="1"/>
  <c r="AP192" i="1" s="1"/>
  <c r="V121" i="1"/>
  <c r="AP121" i="1" s="1"/>
  <c r="V109" i="1"/>
  <c r="AP109" i="1" s="1"/>
  <c r="V91" i="1"/>
  <c r="AP91" i="1" s="1"/>
  <c r="V78" i="1"/>
  <c r="AP78" i="1" s="1"/>
  <c r="V74" i="1"/>
  <c r="AP74" i="1" s="1"/>
  <c r="V72" i="1"/>
  <c r="AP72" i="1" s="1"/>
  <c r="V70" i="1"/>
  <c r="AP70" i="1" s="1"/>
  <c r="V68" i="1"/>
  <c r="AP68" i="1" s="1"/>
  <c r="V66" i="1"/>
  <c r="AP66" i="1" s="1"/>
  <c r="V64" i="1"/>
  <c r="AP64" i="1" s="1"/>
  <c r="V62" i="1"/>
  <c r="AP62" i="1" s="1"/>
  <c r="V60" i="1"/>
  <c r="AP60" i="1" s="1"/>
  <c r="V58" i="1"/>
  <c r="AP58" i="1" s="1"/>
  <c r="V56" i="1"/>
  <c r="AP56" i="1" s="1"/>
  <c r="V54" i="1"/>
  <c r="AP54" i="1" s="1"/>
  <c r="V190" i="1"/>
  <c r="AP190" i="1" s="1"/>
  <c r="V128" i="1"/>
  <c r="AP128" i="1" s="1"/>
  <c r="AH120" i="1"/>
  <c r="V108" i="1"/>
  <c r="AP108" i="1" s="1"/>
  <c r="V101" i="1"/>
  <c r="AP101" i="1" s="1"/>
  <c r="V180" i="1"/>
  <c r="AP180" i="1" s="1"/>
  <c r="V115" i="1"/>
  <c r="AP115" i="1" s="1"/>
  <c r="V103" i="1"/>
  <c r="AP103" i="1" s="1"/>
  <c r="V79" i="1"/>
  <c r="AP79" i="1" s="1"/>
  <c r="V77" i="1"/>
  <c r="AP77" i="1" s="1"/>
  <c r="V75" i="1"/>
  <c r="AP75" i="1" s="1"/>
  <c r="V73" i="1"/>
  <c r="AP73" i="1" s="1"/>
  <c r="V122" i="1"/>
  <c r="AP122" i="1" s="1"/>
  <c r="V92" i="1"/>
  <c r="AP92" i="1" s="1"/>
  <c r="V81" i="1"/>
  <c r="AP81" i="1" s="1"/>
  <c r="V218" i="1"/>
  <c r="V206" i="1"/>
  <c r="AP206" i="1" s="1"/>
  <c r="V194" i="1"/>
  <c r="AP194" i="1" s="1"/>
  <c r="V184" i="1"/>
  <c r="V117" i="1"/>
  <c r="AP117" i="1" s="1"/>
  <c r="V94" i="1"/>
  <c r="AP94" i="1" s="1"/>
  <c r="V53" i="1"/>
  <c r="AP53" i="1" s="1"/>
  <c r="V37" i="1"/>
  <c r="AP37" i="1" s="1"/>
  <c r="V20" i="1"/>
  <c r="AP20" i="1" s="1"/>
  <c r="V8" i="1"/>
  <c r="AP8" i="1" s="1"/>
  <c r="V232" i="1"/>
  <c r="AP232" i="1" s="1"/>
  <c r="V112" i="1"/>
  <c r="AP112" i="1" s="1"/>
  <c r="V85" i="1"/>
  <c r="AP85" i="1" s="1"/>
  <c r="V42" i="1"/>
  <c r="AP42" i="1" s="1"/>
  <c r="V27" i="1"/>
  <c r="AP27" i="1" s="1"/>
  <c r="V55" i="1"/>
  <c r="AP55" i="1" s="1"/>
  <c r="V12" i="1"/>
  <c r="AP12" i="1" s="1"/>
  <c r="V230" i="1"/>
  <c r="AP230" i="1" s="1"/>
  <c r="V182" i="1"/>
  <c r="AP182" i="1" s="1"/>
  <c r="V126" i="1"/>
  <c r="AP126" i="1" s="1"/>
  <c r="V116" i="1"/>
  <c r="AP116" i="1" s="1"/>
  <c r="V93" i="1"/>
  <c r="AP93" i="1" s="1"/>
  <c r="V34" i="1"/>
  <c r="AP34" i="1" s="1"/>
  <c r="V22" i="1"/>
  <c r="AP22" i="1" s="1"/>
  <c r="V10" i="1"/>
  <c r="AP10" i="1" s="1"/>
  <c r="V52" i="1"/>
  <c r="AP52" i="1" s="1"/>
  <c r="V244" i="1"/>
  <c r="AP244" i="1" s="1"/>
  <c r="V65" i="1"/>
  <c r="AP65" i="1" s="1"/>
  <c r="V47" i="1"/>
  <c r="AP47" i="1" s="1"/>
  <c r="V39" i="1"/>
  <c r="AP39" i="1" s="1"/>
  <c r="V29" i="1"/>
  <c r="AP29" i="1" s="1"/>
  <c r="V17" i="1"/>
  <c r="AP17" i="1" s="1"/>
  <c r="V5" i="1"/>
  <c r="AP5" i="1" s="1"/>
  <c r="V97" i="1"/>
  <c r="AP97" i="1" s="1"/>
  <c r="V242" i="1"/>
  <c r="AP242" i="1" s="1"/>
  <c r="V84" i="1"/>
  <c r="AP84" i="1" s="1"/>
  <c r="V44" i="1"/>
  <c r="AP44" i="1" s="1"/>
  <c r="V24" i="1"/>
  <c r="AP24" i="1" s="1"/>
  <c r="V238" i="1"/>
  <c r="AP238" i="1" s="1"/>
  <c r="V104" i="1"/>
  <c r="AP104" i="1" s="1"/>
  <c r="V212" i="1"/>
  <c r="AP212" i="1" s="1"/>
  <c r="V71" i="1"/>
  <c r="AP71" i="1" s="1"/>
  <c r="V6" i="1"/>
  <c r="AP6" i="1" s="1"/>
  <c r="V21" i="1"/>
  <c r="AP21" i="1" s="1"/>
  <c r="V96" i="1"/>
  <c r="AP96" i="1" s="1"/>
  <c r="V48" i="1"/>
  <c r="AP48" i="1" s="1"/>
  <c r="V63" i="1"/>
  <c r="AP63" i="1" s="1"/>
  <c r="V95" i="1"/>
  <c r="AP95" i="1" s="1"/>
  <c r="V57" i="1"/>
  <c r="AP57" i="1" s="1"/>
  <c r="V43" i="1"/>
  <c r="AP43" i="1" s="1"/>
  <c r="V38" i="1"/>
  <c r="AP38" i="1" s="1"/>
  <c r="V30" i="1"/>
  <c r="AP30" i="1" s="1"/>
  <c r="V9" i="1"/>
  <c r="AP9" i="1" s="1"/>
  <c r="V186" i="1"/>
  <c r="AP186" i="1" s="1"/>
  <c r="V208" i="1"/>
  <c r="AP208" i="1" s="1"/>
  <c r="V168" i="1"/>
  <c r="AP168" i="1" s="1"/>
  <c r="V152" i="1"/>
  <c r="AP152" i="1" s="1"/>
  <c r="V136" i="1"/>
  <c r="AP136" i="1" s="1"/>
  <c r="V86" i="1"/>
  <c r="AP86" i="1" s="1"/>
  <c r="V33" i="1"/>
  <c r="AP33" i="1" s="1"/>
  <c r="V13" i="1"/>
  <c r="AP13" i="1" s="1"/>
  <c r="V202" i="1"/>
  <c r="AP202" i="1" s="1"/>
  <c r="V164" i="1"/>
  <c r="AP164" i="1" s="1"/>
  <c r="V148" i="1"/>
  <c r="AP148" i="1" s="1"/>
  <c r="V132" i="1"/>
  <c r="AP132" i="1" s="1"/>
  <c r="V61" i="1"/>
  <c r="AP61" i="1" s="1"/>
  <c r="V51" i="1"/>
  <c r="AP51" i="1" s="1"/>
  <c r="V46" i="1"/>
  <c r="AP46" i="1" s="1"/>
  <c r="V25" i="1"/>
  <c r="V226" i="1"/>
  <c r="AP226" i="1" s="1"/>
  <c r="V83" i="1"/>
  <c r="AP83" i="1" s="1"/>
  <c r="V41" i="1"/>
  <c r="AP41" i="1" s="1"/>
  <c r="V224" i="1"/>
  <c r="AP224" i="1" s="1"/>
  <c r="V140" i="1"/>
  <c r="AP140" i="1" s="1"/>
  <c r="V176" i="1"/>
  <c r="AP176" i="1" s="1"/>
  <c r="V31" i="1"/>
  <c r="AP31" i="1" s="1"/>
  <c r="V35" i="1"/>
  <c r="AP35" i="1" s="1"/>
  <c r="V172" i="1"/>
  <c r="AP172" i="1" s="1"/>
  <c r="V23" i="1"/>
  <c r="AP23" i="1" s="1"/>
  <c r="V14" i="1"/>
  <c r="AP14" i="1" s="1"/>
  <c r="V156" i="1"/>
  <c r="AP156" i="1" s="1"/>
  <c r="V220" i="1"/>
  <c r="AP220" i="1" s="1"/>
  <c r="V82" i="1"/>
  <c r="AP82" i="1" s="1"/>
  <c r="V49" i="1"/>
  <c r="AP49" i="1" s="1"/>
  <c r="V19" i="1"/>
  <c r="AP19" i="1" s="1"/>
  <c r="V214" i="1"/>
  <c r="AP214" i="1" s="1"/>
  <c r="V28" i="1"/>
  <c r="AP28" i="1" s="1"/>
  <c r="V99" i="1"/>
  <c r="AP99" i="1" s="1"/>
  <c r="V11" i="1"/>
  <c r="AP11" i="1" s="1"/>
  <c r="V7" i="1"/>
  <c r="AP7" i="1" s="1"/>
  <c r="V118" i="1"/>
  <c r="AP118" i="1" s="1"/>
  <c r="V16" i="1"/>
  <c r="AP16" i="1" s="1"/>
  <c r="AF219" i="1"/>
  <c r="AF217" i="1"/>
  <c r="AF213" i="1"/>
  <c r="AF207" i="1"/>
  <c r="Z205" i="1"/>
  <c r="AF205" i="1"/>
  <c r="Z203" i="1"/>
  <c r="AF203" i="1"/>
  <c r="AF195" i="1"/>
  <c r="AF179" i="1"/>
  <c r="AF236" i="1"/>
  <c r="AF222" i="1"/>
  <c r="AF216" i="1"/>
  <c r="Z204" i="1"/>
  <c r="AF204" i="1"/>
  <c r="Z200" i="1"/>
  <c r="AF200" i="1"/>
  <c r="AF196" i="1"/>
  <c r="AF160" i="1"/>
  <c r="AF158" i="1"/>
  <c r="Z158" i="1"/>
  <c r="AF144" i="1"/>
  <c r="AF119" i="1"/>
  <c r="AF157" i="1"/>
  <c r="AF87" i="1"/>
  <c r="AF106" i="1"/>
  <c r="AF90" i="1"/>
  <c r="AF18" i="1"/>
  <c r="AF59" i="1"/>
  <c r="Z59" i="1"/>
  <c r="AF45" i="1"/>
  <c r="Z32" i="1"/>
  <c r="AF32" i="1"/>
  <c r="AF80" i="1"/>
  <c r="AF102" i="1"/>
  <c r="AF50" i="1"/>
  <c r="AF15" i="1"/>
  <c r="AF111" i="1"/>
  <c r="AF105" i="1"/>
  <c r="AF26" i="1"/>
  <c r="AF67" i="1"/>
  <c r="AF110" i="1"/>
  <c r="AF36" i="1"/>
  <c r="J155" i="12" l="1"/>
  <c r="L155" i="12" s="1"/>
  <c r="AG196" i="1"/>
  <c r="Z217" i="1"/>
  <c r="Z45" i="1"/>
  <c r="AG200" i="1"/>
  <c r="Z50" i="1"/>
  <c r="AG217" i="1"/>
  <c r="AG59" i="1"/>
  <c r="Z67" i="1"/>
  <c r="AG32" i="1"/>
  <c r="Z119" i="1"/>
  <c r="AG157" i="1"/>
  <c r="AG222" i="1"/>
  <c r="Z90" i="1"/>
  <c r="AG207" i="1"/>
  <c r="AG45" i="1"/>
  <c r="AG102" i="1"/>
  <c r="Z222" i="1"/>
  <c r="Z15" i="1"/>
  <c r="AG179" i="1"/>
  <c r="AG160" i="1"/>
  <c r="AG80" i="1"/>
  <c r="AG236" i="1"/>
  <c r="AG87" i="1"/>
  <c r="AG18" i="1"/>
  <c r="Z18" i="1"/>
  <c r="AG36" i="1"/>
  <c r="AG213" i="1"/>
  <c r="Z26" i="1"/>
  <c r="AG144" i="1"/>
  <c r="AG119" i="1"/>
  <c r="Z106" i="1"/>
  <c r="Z102" i="1"/>
  <c r="AG111" i="1"/>
  <c r="Z87" i="1"/>
  <c r="Z207" i="1"/>
  <c r="AG90" i="1"/>
  <c r="AG50" i="1"/>
  <c r="AG110" i="1"/>
  <c r="Z219" i="1"/>
  <c r="AG203" i="1"/>
  <c r="AG105" i="1"/>
  <c r="Z196" i="1"/>
  <c r="AB105" i="1"/>
  <c r="AG67" i="1"/>
  <c r="AG15" i="1"/>
  <c r="AG106" i="1"/>
  <c r="AG158" i="1"/>
  <c r="Y158" i="1"/>
  <c r="AG26" i="1"/>
  <c r="Z236" i="1"/>
  <c r="Z144" i="1"/>
  <c r="AG216" i="1"/>
  <c r="Z36" i="1"/>
  <c r="Z105" i="1"/>
  <c r="Z179" i="1"/>
  <c r="Z110" i="1"/>
  <c r="Z111" i="1"/>
  <c r="Z80" i="1"/>
  <c r="Z157" i="1"/>
  <c r="Z160" i="1"/>
  <c r="Z216" i="1"/>
  <c r="Z195" i="1"/>
  <c r="Z213" i="1"/>
  <c r="AG219" i="1"/>
  <c r="AG195" i="1"/>
  <c r="V196" i="1"/>
  <c r="AP196" i="1" s="1"/>
  <c r="V160" i="1"/>
  <c r="AP160" i="1" s="1"/>
  <c r="V144" i="1"/>
  <c r="AP144" i="1" s="1"/>
  <c r="AH25" i="1"/>
  <c r="AH61" i="1"/>
  <c r="AH164" i="1"/>
  <c r="AH202" i="1"/>
  <c r="V236" i="1"/>
  <c r="AP236" i="1" s="1"/>
  <c r="V200" i="1"/>
  <c r="AP200" i="1" s="1"/>
  <c r="V18" i="1"/>
  <c r="AP18" i="1" s="1"/>
  <c r="V26" i="1"/>
  <c r="V67" i="1"/>
  <c r="AP67" i="1" s="1"/>
  <c r="V36" i="1"/>
  <c r="AP36" i="1" s="1"/>
  <c r="V111" i="1"/>
  <c r="AP111" i="1" s="1"/>
  <c r="V80" i="1"/>
  <c r="AP80" i="1" s="1"/>
  <c r="V106" i="1"/>
  <c r="AP106" i="1" s="1"/>
  <c r="V50" i="1"/>
  <c r="AP50" i="1" s="1"/>
  <c r="V32" i="1"/>
  <c r="AP32" i="1" s="1"/>
  <c r="V45" i="1"/>
  <c r="AP45" i="1" s="1"/>
  <c r="V59" i="1"/>
  <c r="AP59" i="1" s="1"/>
  <c r="V110" i="1"/>
  <c r="AP110" i="1" s="1"/>
  <c r="V90" i="1"/>
  <c r="AP90" i="1" s="1"/>
  <c r="AH56" i="1"/>
  <c r="V76" i="1"/>
  <c r="AP76" i="1" s="1"/>
  <c r="V102" i="1"/>
  <c r="AP102" i="1" s="1"/>
  <c r="V204" i="1"/>
  <c r="AP204" i="1" s="1"/>
  <c r="V216" i="1"/>
  <c r="AP216" i="1" s="1"/>
  <c r="V222" i="1"/>
  <c r="AP222" i="1" s="1"/>
  <c r="AH234" i="1"/>
  <c r="V87" i="1"/>
  <c r="AP87" i="1" s="1"/>
  <c r="V119" i="1"/>
  <c r="AP119" i="1" s="1"/>
  <c r="V158" i="1"/>
  <c r="AH131" i="1"/>
  <c r="V157" i="1"/>
  <c r="AP157" i="1" s="1"/>
  <c r="AH177" i="1"/>
  <c r="V179" i="1"/>
  <c r="AP179" i="1" s="1"/>
  <c r="AH181" i="1"/>
  <c r="V195" i="1"/>
  <c r="AP195" i="1" s="1"/>
  <c r="V203" i="1"/>
  <c r="AP203" i="1" s="1"/>
  <c r="V205" i="1"/>
  <c r="AP205" i="1" s="1"/>
  <c r="V207" i="1"/>
  <c r="AP207" i="1" s="1"/>
  <c r="V213" i="1"/>
  <c r="AP213" i="1" s="1"/>
  <c r="V217" i="1"/>
  <c r="AP217" i="1" s="1"/>
  <c r="V219" i="1"/>
  <c r="AP219" i="1" s="1"/>
  <c r="AH225" i="1"/>
  <c r="L1" i="1"/>
  <c r="M1" i="1" s="1"/>
  <c r="N1" i="1" s="1"/>
  <c r="O1" i="1" s="1"/>
  <c r="P1" i="1" s="1"/>
  <c r="Q1" i="1" s="1"/>
  <c r="W247" i="1"/>
  <c r="AQ247" i="1" s="1"/>
  <c r="W243" i="1"/>
  <c r="AQ243" i="1" s="1"/>
  <c r="W241" i="1"/>
  <c r="AQ241" i="1" s="1"/>
  <c r="W239" i="1"/>
  <c r="AQ239" i="1" s="1"/>
  <c r="W237" i="1"/>
  <c r="AQ237" i="1" s="1"/>
  <c r="W235" i="1"/>
  <c r="AQ235" i="1" s="1"/>
  <c r="W233" i="1"/>
  <c r="AQ233" i="1" s="1"/>
  <c r="W231" i="1"/>
  <c r="AQ231" i="1" s="1"/>
  <c r="O229" i="1"/>
  <c r="W227" i="1"/>
  <c r="AQ227" i="1" s="1"/>
  <c r="W225" i="1"/>
  <c r="AQ225" i="1" s="1"/>
  <c r="W223" i="1"/>
  <c r="AQ223" i="1" s="1"/>
  <c r="W221" i="1"/>
  <c r="AQ221" i="1" s="1"/>
  <c r="O219" i="1"/>
  <c r="O217" i="1"/>
  <c r="W215" i="1"/>
  <c r="AQ215" i="1" s="1"/>
  <c r="O213" i="1"/>
  <c r="W211" i="1"/>
  <c r="AQ211" i="1" s="1"/>
  <c r="W209" i="1"/>
  <c r="AQ209" i="1" s="1"/>
  <c r="O207" i="1"/>
  <c r="O205" i="1"/>
  <c r="O203" i="1"/>
  <c r="W201" i="1"/>
  <c r="AQ201" i="1" s="1"/>
  <c r="W199" i="1"/>
  <c r="AQ199" i="1" s="1"/>
  <c r="W197" i="1"/>
  <c r="AQ197" i="1" s="1"/>
  <c r="O195" i="1"/>
  <c r="W193" i="1"/>
  <c r="AQ193" i="1" s="1"/>
  <c r="W191" i="1"/>
  <c r="AQ191" i="1" s="1"/>
  <c r="W189" i="1"/>
  <c r="AQ189" i="1" s="1"/>
  <c r="W187" i="1"/>
  <c r="AQ187" i="1" s="1"/>
  <c r="W185" i="1"/>
  <c r="AQ185" i="1" s="1"/>
  <c r="W181" i="1"/>
  <c r="AQ181" i="1" s="1"/>
  <c r="O179" i="1"/>
  <c r="O177" i="1"/>
  <c r="W175" i="1"/>
  <c r="AQ175" i="1" s="1"/>
  <c r="W173" i="1"/>
  <c r="AQ173" i="1" s="1"/>
  <c r="W171" i="1"/>
  <c r="AQ171" i="1" s="1"/>
  <c r="W169" i="1"/>
  <c r="AQ169" i="1" s="1"/>
  <c r="W167" i="1"/>
  <c r="W165" i="1"/>
  <c r="AQ165" i="1" s="1"/>
  <c r="W161" i="1"/>
  <c r="AQ161" i="1" s="1"/>
  <c r="W159" i="1"/>
  <c r="AQ159" i="1" s="1"/>
  <c r="O157" i="1"/>
  <c r="W155" i="1"/>
  <c r="AQ155" i="1" s="1"/>
  <c r="W153" i="1"/>
  <c r="AQ153" i="1" s="1"/>
  <c r="W151" i="1"/>
  <c r="AQ151" i="1" s="1"/>
  <c r="W149" i="1"/>
  <c r="AQ149" i="1" s="1"/>
  <c r="W147" i="1"/>
  <c r="AQ147" i="1" s="1"/>
  <c r="W145" i="1"/>
  <c r="AQ145" i="1" s="1"/>
  <c r="W143" i="1"/>
  <c r="AQ143" i="1" s="1"/>
  <c r="W141" i="1"/>
  <c r="AQ141" i="1" s="1"/>
  <c r="W139" i="1"/>
  <c r="AQ139" i="1" s="1"/>
  <c r="W137" i="1"/>
  <c r="AQ137" i="1" s="1"/>
  <c r="W135" i="1"/>
  <c r="AQ135" i="1" s="1"/>
  <c r="W133" i="1"/>
  <c r="AQ133" i="1" s="1"/>
  <c r="W131" i="1"/>
  <c r="AQ131" i="1" s="1"/>
  <c r="W129" i="1"/>
  <c r="AQ129" i="1" s="1"/>
  <c r="W127" i="1"/>
  <c r="AQ127" i="1" s="1"/>
  <c r="W125" i="1"/>
  <c r="AQ125" i="1" s="1"/>
  <c r="W123" i="1"/>
  <c r="AQ123" i="1" s="1"/>
  <c r="W121" i="1"/>
  <c r="AQ121" i="1" s="1"/>
  <c r="O119" i="1"/>
  <c r="W117" i="1"/>
  <c r="AQ117" i="1" s="1"/>
  <c r="W115" i="1"/>
  <c r="AQ115" i="1" s="1"/>
  <c r="O111" i="1"/>
  <c r="W109" i="1"/>
  <c r="AQ109" i="1" s="1"/>
  <c r="W103" i="1"/>
  <c r="AQ103" i="1" s="1"/>
  <c r="W101" i="1"/>
  <c r="AQ101" i="1" s="1"/>
  <c r="W99" i="1"/>
  <c r="AQ99" i="1" s="1"/>
  <c r="W97" i="1"/>
  <c r="AQ97" i="1" s="1"/>
  <c r="W95" i="1"/>
  <c r="AQ95" i="1" s="1"/>
  <c r="W93" i="1"/>
  <c r="AQ93" i="1" s="1"/>
  <c r="W91" i="1"/>
  <c r="AQ91" i="1" s="1"/>
  <c r="W89" i="1"/>
  <c r="AQ89" i="1" s="1"/>
  <c r="O87" i="1"/>
  <c r="W85" i="1"/>
  <c r="AQ85" i="1" s="1"/>
  <c r="W83" i="1"/>
  <c r="AQ83" i="1" s="1"/>
  <c r="W81" i="1"/>
  <c r="AQ81" i="1" s="1"/>
  <c r="W79" i="1"/>
  <c r="AQ79" i="1" s="1"/>
  <c r="W178" i="1"/>
  <c r="AQ178" i="1" s="1"/>
  <c r="W114" i="1"/>
  <c r="AQ114" i="1" s="1"/>
  <c r="W100" i="1"/>
  <c r="AQ100" i="1" s="1"/>
  <c r="W246" i="1"/>
  <c r="AQ246" i="1" s="1"/>
  <c r="W240" i="1"/>
  <c r="AQ240" i="1" s="1"/>
  <c r="W234" i="1"/>
  <c r="W228" i="1"/>
  <c r="AQ228" i="1" s="1"/>
  <c r="O222" i="1"/>
  <c r="O216" i="1"/>
  <c r="W210" i="1"/>
  <c r="AQ210" i="1" s="1"/>
  <c r="O204" i="1"/>
  <c r="W198" i="1"/>
  <c r="AQ198" i="1" s="1"/>
  <c r="W192" i="1"/>
  <c r="AQ192" i="1" s="1"/>
  <c r="O102" i="1"/>
  <c r="W78" i="1"/>
  <c r="AQ78" i="1" s="1"/>
  <c r="W76" i="1"/>
  <c r="AQ76" i="1" s="1"/>
  <c r="W74" i="1"/>
  <c r="AQ74" i="1" s="1"/>
  <c r="W72" i="1"/>
  <c r="AQ72" i="1" s="1"/>
  <c r="W70" i="1"/>
  <c r="AQ70" i="1" s="1"/>
  <c r="W68" i="1"/>
  <c r="AQ68" i="1" s="1"/>
  <c r="W66" i="1"/>
  <c r="AQ66" i="1" s="1"/>
  <c r="W64" i="1"/>
  <c r="AQ64" i="1" s="1"/>
  <c r="W62" i="1"/>
  <c r="AQ62" i="1" s="1"/>
  <c r="W60" i="1"/>
  <c r="AQ60" i="1" s="1"/>
  <c r="W58" i="1"/>
  <c r="AQ58" i="1" s="1"/>
  <c r="W56" i="1"/>
  <c r="AQ56" i="1" s="1"/>
  <c r="W54" i="1"/>
  <c r="AQ54" i="1" s="1"/>
  <c r="W52" i="1"/>
  <c r="AQ52" i="1" s="1"/>
  <c r="O50" i="1"/>
  <c r="W48" i="1"/>
  <c r="AQ48" i="1" s="1"/>
  <c r="W46" i="1"/>
  <c r="AQ46" i="1" s="1"/>
  <c r="W44" i="1"/>
  <c r="AQ44" i="1" s="1"/>
  <c r="W42" i="1"/>
  <c r="AQ42" i="1" s="1"/>
  <c r="P40" i="1"/>
  <c r="W40" i="1" s="1"/>
  <c r="AQ40" i="1" s="1"/>
  <c r="W38" i="1"/>
  <c r="AQ38" i="1" s="1"/>
  <c r="O36" i="1"/>
  <c r="W182" i="1"/>
  <c r="AQ182" i="1" s="1"/>
  <c r="W126" i="1"/>
  <c r="AQ126" i="1" s="1"/>
  <c r="W116" i="1"/>
  <c r="AQ116" i="1" s="1"/>
  <c r="W104" i="1"/>
  <c r="AQ104" i="1" s="1"/>
  <c r="O80" i="1"/>
  <c r="W180" i="1"/>
  <c r="AQ180" i="1" s="1"/>
  <c r="O90" i="1"/>
  <c r="W77" i="1"/>
  <c r="AQ77" i="1" s="1"/>
  <c r="W75" i="1"/>
  <c r="AQ75" i="1" s="1"/>
  <c r="W73" i="1"/>
  <c r="AQ73" i="1" s="1"/>
  <c r="W71" i="1"/>
  <c r="AQ71" i="1" s="1"/>
  <c r="O67" i="1"/>
  <c r="W65" i="1"/>
  <c r="AQ65" i="1" s="1"/>
  <c r="W63" i="1"/>
  <c r="AQ63" i="1" s="1"/>
  <c r="W61" i="1"/>
  <c r="AQ61" i="1" s="1"/>
  <c r="O59" i="1"/>
  <c r="W57" i="1"/>
  <c r="AQ57" i="1" s="1"/>
  <c r="W55" i="1"/>
  <c r="AQ55" i="1" s="1"/>
  <c r="W53" i="1"/>
  <c r="AQ53" i="1" s="1"/>
  <c r="W51" i="1"/>
  <c r="AQ51" i="1" s="1"/>
  <c r="W49" i="1"/>
  <c r="AQ49" i="1" s="1"/>
  <c r="W47" i="1"/>
  <c r="AQ47" i="1" s="1"/>
  <c r="O45" i="1"/>
  <c r="W43" i="1"/>
  <c r="AQ43" i="1" s="1"/>
  <c r="W41" i="1"/>
  <c r="AQ41" i="1" s="1"/>
  <c r="W39" i="1"/>
  <c r="AQ39" i="1" s="1"/>
  <c r="W37" i="1"/>
  <c r="AQ37" i="1" s="1"/>
  <c r="W35" i="1"/>
  <c r="AQ35" i="1" s="1"/>
  <c r="W33" i="1"/>
  <c r="AQ33" i="1" s="1"/>
  <c r="W31" i="1"/>
  <c r="AQ31" i="1" s="1"/>
  <c r="W29" i="1"/>
  <c r="AQ29" i="1" s="1"/>
  <c r="W27" i="1"/>
  <c r="AQ27" i="1" s="1"/>
  <c r="W25" i="1"/>
  <c r="AA25" i="1" s="1"/>
  <c r="W23" i="1"/>
  <c r="AQ23" i="1" s="1"/>
  <c r="W21" i="1"/>
  <c r="AQ21" i="1" s="1"/>
  <c r="W19" i="1"/>
  <c r="AQ19" i="1" s="1"/>
  <c r="W17" i="1"/>
  <c r="AQ17" i="1" s="1"/>
  <c r="O15" i="1"/>
  <c r="W13" i="1"/>
  <c r="AQ13" i="1" s="1"/>
  <c r="W11" i="1"/>
  <c r="AQ11" i="1" s="1"/>
  <c r="W9" i="1"/>
  <c r="AQ9" i="1" s="1"/>
  <c r="W7" i="1"/>
  <c r="AQ7" i="1" s="1"/>
  <c r="W5" i="1"/>
  <c r="AQ5" i="1" s="1"/>
  <c r="W122" i="1"/>
  <c r="AQ122" i="1" s="1"/>
  <c r="O110" i="1"/>
  <c r="W92" i="1"/>
  <c r="AQ92" i="1" s="1"/>
  <c r="W242" i="1"/>
  <c r="AQ242" i="1" s="1"/>
  <c r="O236" i="1"/>
  <c r="W230" i="1"/>
  <c r="AQ230" i="1" s="1"/>
  <c r="W224" i="1"/>
  <c r="AQ224" i="1" s="1"/>
  <c r="W218" i="1"/>
  <c r="W212" i="1"/>
  <c r="AQ212" i="1" s="1"/>
  <c r="W206" i="1"/>
  <c r="AQ206" i="1" s="1"/>
  <c r="O200" i="1"/>
  <c r="W194" i="1"/>
  <c r="AQ194" i="1" s="1"/>
  <c r="W184" i="1"/>
  <c r="W94" i="1"/>
  <c r="AQ94" i="1" s="1"/>
  <c r="W232" i="1"/>
  <c r="AQ232" i="1" s="1"/>
  <c r="W112" i="1"/>
  <c r="AQ112" i="1" s="1"/>
  <c r="W174" i="1"/>
  <c r="AQ174" i="1" s="1"/>
  <c r="W166" i="1"/>
  <c r="AQ166" i="1" s="1"/>
  <c r="O158" i="1"/>
  <c r="W150" i="1"/>
  <c r="AQ150" i="1" s="1"/>
  <c r="W142" i="1"/>
  <c r="AQ142" i="1" s="1"/>
  <c r="W134" i="1"/>
  <c r="AQ134" i="1" s="1"/>
  <c r="W98" i="1"/>
  <c r="AQ98" i="1" s="1"/>
  <c r="W34" i="1"/>
  <c r="AQ34" i="1" s="1"/>
  <c r="W22" i="1"/>
  <c r="AQ22" i="1" s="1"/>
  <c r="W10" i="1"/>
  <c r="AQ10" i="1" s="1"/>
  <c r="W244" i="1"/>
  <c r="AQ244" i="1" s="1"/>
  <c r="O106" i="1"/>
  <c r="W84" i="1"/>
  <c r="AQ84" i="1" s="1"/>
  <c r="W24" i="1"/>
  <c r="AQ24" i="1" s="1"/>
  <c r="W12" i="1"/>
  <c r="AQ12" i="1" s="1"/>
  <c r="W214" i="1"/>
  <c r="AQ214" i="1" s="1"/>
  <c r="W202" i="1"/>
  <c r="AQ202" i="1" s="1"/>
  <c r="W172" i="1"/>
  <c r="AQ172" i="1" s="1"/>
  <c r="W164" i="1"/>
  <c r="AQ164" i="1" s="1"/>
  <c r="W156" i="1"/>
  <c r="AQ156" i="1" s="1"/>
  <c r="W148" i="1"/>
  <c r="AQ148" i="1" s="1"/>
  <c r="W140" i="1"/>
  <c r="AQ140" i="1" s="1"/>
  <c r="W132" i="1"/>
  <c r="AQ132" i="1" s="1"/>
  <c r="W238" i="1"/>
  <c r="AQ238" i="1" s="1"/>
  <c r="W82" i="1"/>
  <c r="AQ82" i="1" s="1"/>
  <c r="W96" i="1"/>
  <c r="AQ96" i="1" s="1"/>
  <c r="O18" i="1"/>
  <c r="W188" i="1"/>
  <c r="AQ188" i="1" s="1"/>
  <c r="W170" i="1"/>
  <c r="AQ170" i="1" s="1"/>
  <c r="W154" i="1"/>
  <c r="AQ154" i="1" s="1"/>
  <c r="W138" i="1"/>
  <c r="AQ138" i="1" s="1"/>
  <c r="W124" i="1"/>
  <c r="AQ124" i="1" s="1"/>
  <c r="W30" i="1"/>
  <c r="AQ30" i="1" s="1"/>
  <c r="W86" i="1"/>
  <c r="AQ86" i="1" s="1"/>
  <c r="W186" i="1"/>
  <c r="AQ186" i="1" s="1"/>
  <c r="W208" i="1"/>
  <c r="AQ208" i="1" s="1"/>
  <c r="W168" i="1"/>
  <c r="AQ168" i="1" s="1"/>
  <c r="W152" i="1"/>
  <c r="AQ152" i="1" s="1"/>
  <c r="W136" i="1"/>
  <c r="AQ136" i="1" s="1"/>
  <c r="W226" i="1"/>
  <c r="AQ226" i="1" s="1"/>
  <c r="W16" i="1"/>
  <c r="W176" i="1"/>
  <c r="AQ176" i="1" s="1"/>
  <c r="W130" i="1"/>
  <c r="AQ130" i="1" s="1"/>
  <c r="W20" i="1"/>
  <c r="AQ20" i="1" s="1"/>
  <c r="W118" i="1"/>
  <c r="AQ118" i="1" s="1"/>
  <c r="W220" i="1"/>
  <c r="AQ220" i="1" s="1"/>
  <c r="W108" i="1"/>
  <c r="AQ108" i="1" s="1"/>
  <c r="W14" i="1"/>
  <c r="AQ14" i="1" s="1"/>
  <c r="W8" i="1"/>
  <c r="AQ8" i="1" s="1"/>
  <c r="O32" i="1"/>
  <c r="W162" i="1"/>
  <c r="AQ162" i="1" s="1"/>
  <c r="W6" i="1"/>
  <c r="AQ6" i="1" s="1"/>
  <c r="O160" i="1"/>
  <c r="W128" i="1"/>
  <c r="AQ128" i="1" s="1"/>
  <c r="W28" i="1"/>
  <c r="AQ28" i="1" s="1"/>
  <c r="O196" i="1"/>
  <c r="O144" i="1"/>
  <c r="W146" i="1"/>
  <c r="AQ146" i="1" s="1"/>
  <c r="W190" i="1"/>
  <c r="AQ190" i="1" s="1"/>
  <c r="O26" i="1"/>
  <c r="G3" i="8"/>
  <c r="P3" i="8" s="1"/>
  <c r="F102" i="8"/>
  <c r="F65" i="8"/>
  <c r="F79" i="8"/>
  <c r="F114" i="8"/>
  <c r="F28" i="8"/>
  <c r="F172" i="8"/>
  <c r="F69" i="8"/>
  <c r="F8" i="8"/>
  <c r="F3" i="8"/>
  <c r="F48" i="8"/>
  <c r="AP26" i="1" l="1"/>
  <c r="AA234" i="1"/>
  <c r="AQ234" i="1"/>
  <c r="O102" i="8"/>
  <c r="G200" i="12"/>
  <c r="I200" i="12" s="1"/>
  <c r="K200" i="12" s="1"/>
  <c r="O69" i="8"/>
  <c r="G129" i="12"/>
  <c r="I129" i="12" s="1"/>
  <c r="K129" i="12" s="1"/>
  <c r="O114" i="8"/>
  <c r="G181" i="12"/>
  <c r="I181" i="12" s="1"/>
  <c r="K181" i="12" s="1"/>
  <c r="O48" i="8"/>
  <c r="G89" i="12"/>
  <c r="I89" i="12" s="1"/>
  <c r="K89" i="12" s="1"/>
  <c r="O79" i="8"/>
  <c r="G149" i="12"/>
  <c r="I149" i="12" s="1"/>
  <c r="K149" i="12" s="1"/>
  <c r="O172" i="8"/>
  <c r="G333" i="12"/>
  <c r="I333" i="12" s="1"/>
  <c r="K333" i="12" s="1"/>
  <c r="O3" i="8"/>
  <c r="G6" i="12"/>
  <c r="I6" i="12" s="1"/>
  <c r="K6" i="12" s="1"/>
  <c r="O65" i="8"/>
  <c r="G122" i="12"/>
  <c r="I122" i="12" s="1"/>
  <c r="K122" i="12" s="1"/>
  <c r="O28" i="8"/>
  <c r="G54" i="12"/>
  <c r="I54" i="12" s="1"/>
  <c r="K54" i="12" s="1"/>
  <c r="O8" i="8"/>
  <c r="G17" i="12"/>
  <c r="I17" i="12" s="1"/>
  <c r="K17" i="12" s="1"/>
  <c r="O76" i="1"/>
  <c r="W26" i="1"/>
  <c r="P26" i="1"/>
  <c r="W144" i="1"/>
  <c r="P144" i="1"/>
  <c r="W196" i="1"/>
  <c r="P196" i="1"/>
  <c r="W160" i="1"/>
  <c r="P160" i="1"/>
  <c r="W32" i="1"/>
  <c r="P32" i="1"/>
  <c r="AB108" i="1"/>
  <c r="AB124" i="1"/>
  <c r="W18" i="1"/>
  <c r="P18" i="1"/>
  <c r="AB140" i="1"/>
  <c r="W106" i="1"/>
  <c r="P106" i="1"/>
  <c r="W158" i="1"/>
  <c r="AA158" i="1" s="1"/>
  <c r="P158" i="1"/>
  <c r="AB112" i="1"/>
  <c r="W200" i="1"/>
  <c r="P200" i="1"/>
  <c r="W236" i="1"/>
  <c r="P236" i="1"/>
  <c r="AB242" i="1"/>
  <c r="W110" i="1"/>
  <c r="P110" i="1"/>
  <c r="P15" i="1"/>
  <c r="AB25" i="1"/>
  <c r="AI25" i="1"/>
  <c r="W45" i="1"/>
  <c r="P45" i="1"/>
  <c r="AB53" i="1"/>
  <c r="W59" i="1"/>
  <c r="P59" i="1"/>
  <c r="W67" i="1"/>
  <c r="P67" i="1"/>
  <c r="W90" i="1"/>
  <c r="P90" i="1"/>
  <c r="W80" i="1"/>
  <c r="P80" i="1"/>
  <c r="AB104" i="1"/>
  <c r="W36" i="1"/>
  <c r="P36" i="1"/>
  <c r="AB40" i="1"/>
  <c r="W50" i="1"/>
  <c r="P50" i="1"/>
  <c r="AI76" i="1"/>
  <c r="AB76" i="1"/>
  <c r="W102" i="1"/>
  <c r="P102" i="1"/>
  <c r="W204" i="1"/>
  <c r="P204" i="1"/>
  <c r="W216" i="1"/>
  <c r="P216" i="1"/>
  <c r="W222" i="1"/>
  <c r="P222" i="1"/>
  <c r="AI234" i="1"/>
  <c r="AB234" i="1"/>
  <c r="W87" i="1"/>
  <c r="P87" i="1"/>
  <c r="AB103" i="1"/>
  <c r="W111" i="1"/>
  <c r="P111" i="1"/>
  <c r="W119" i="1"/>
  <c r="P119" i="1"/>
  <c r="AB123" i="1"/>
  <c r="AB129" i="1"/>
  <c r="AB135" i="1"/>
  <c r="AB153" i="1"/>
  <c r="W157" i="1"/>
  <c r="P157" i="1"/>
  <c r="AI177" i="1"/>
  <c r="P177" i="1"/>
  <c r="W179" i="1"/>
  <c r="P179" i="1"/>
  <c r="W195" i="1"/>
  <c r="P195" i="1"/>
  <c r="W203" i="1"/>
  <c r="P203" i="1"/>
  <c r="W205" i="1"/>
  <c r="P205" i="1"/>
  <c r="W207" i="1"/>
  <c r="P207" i="1"/>
  <c r="W213" i="1"/>
  <c r="P213" i="1"/>
  <c r="W217" i="1"/>
  <c r="P217" i="1"/>
  <c r="W219" i="1"/>
  <c r="P219" i="1"/>
  <c r="P229" i="1"/>
  <c r="W229" i="1" s="1"/>
  <c r="AQ229" i="1" s="1"/>
  <c r="AB235" i="1"/>
  <c r="E74" i="40"/>
  <c r="E175" i="40"/>
  <c r="E192" i="40"/>
  <c r="E100" i="40"/>
  <c r="E36" i="40"/>
  <c r="E155" i="40"/>
  <c r="E34" i="40"/>
  <c r="E49" i="40"/>
  <c r="E55" i="40"/>
  <c r="E77" i="40"/>
  <c r="E95" i="40"/>
  <c r="E71" i="40"/>
  <c r="E56" i="40"/>
  <c r="E219" i="40"/>
  <c r="E98" i="40"/>
  <c r="E202" i="40"/>
  <c r="E69" i="40"/>
  <c r="E152" i="40"/>
  <c r="G39" i="28"/>
  <c r="E218" i="40"/>
  <c r="G15" i="28"/>
  <c r="E62" i="40"/>
  <c r="E79" i="40"/>
  <c r="E220" i="40"/>
  <c r="E133" i="40"/>
  <c r="E40" i="40"/>
  <c r="E169" i="40"/>
  <c r="E112" i="40"/>
  <c r="E156" i="40"/>
  <c r="E52" i="40"/>
  <c r="E86" i="40"/>
  <c r="E187" i="40"/>
  <c r="E22" i="40"/>
  <c r="E37" i="40"/>
  <c r="E216" i="40"/>
  <c r="E236" i="40"/>
  <c r="E21" i="40"/>
  <c r="E61" i="40"/>
  <c r="E195" i="40"/>
  <c r="E186" i="40"/>
  <c r="E84" i="40"/>
  <c r="E190" i="40"/>
  <c r="E147" i="40"/>
  <c r="E127" i="40"/>
  <c r="E29" i="40"/>
  <c r="E161" i="40"/>
  <c r="G11" i="28"/>
  <c r="E167" i="40"/>
  <c r="G26" i="28"/>
  <c r="E97" i="40"/>
  <c r="E176" i="40"/>
  <c r="E193" i="40"/>
  <c r="E111" i="40"/>
  <c r="E64" i="40"/>
  <c r="E39" i="40"/>
  <c r="E75" i="40"/>
  <c r="G43" i="28"/>
  <c r="E165" i="40"/>
  <c r="E200" i="40"/>
  <c r="E170" i="40"/>
  <c r="E18" i="40"/>
  <c r="E204" i="40"/>
  <c r="E188" i="40"/>
  <c r="E142" i="40"/>
  <c r="E103" i="40"/>
  <c r="E158" i="40"/>
  <c r="E58" i="40"/>
  <c r="E233" i="40"/>
  <c r="E99" i="40"/>
  <c r="E17" i="40"/>
  <c r="E115" i="40"/>
  <c r="E201" i="40"/>
  <c r="E88" i="40"/>
  <c r="E26" i="40"/>
  <c r="G32" i="28"/>
  <c r="E68" i="40"/>
  <c r="E136" i="40"/>
  <c r="G27" i="28"/>
  <c r="E93" i="40"/>
  <c r="E185" i="40"/>
  <c r="R1" i="1"/>
  <c r="E16" i="40"/>
  <c r="E110" i="40"/>
  <c r="E210" i="40"/>
  <c r="E238" i="40"/>
  <c r="E130" i="40"/>
  <c r="E209" i="40"/>
  <c r="E177" i="40"/>
  <c r="E212" i="40"/>
  <c r="E135" i="40"/>
  <c r="E199" i="40"/>
  <c r="E196" i="40"/>
  <c r="E235" i="40"/>
  <c r="E73" i="40"/>
  <c r="E230" i="40"/>
  <c r="E25" i="40"/>
  <c r="E105" i="40"/>
  <c r="E149" i="40"/>
  <c r="E76" i="40"/>
  <c r="E45" i="40"/>
  <c r="E128" i="40"/>
  <c r="E92" i="40"/>
  <c r="G18" i="28"/>
  <c r="E145" i="40"/>
  <c r="E101" i="40"/>
  <c r="G30" i="28"/>
  <c r="E118" i="40"/>
  <c r="G13" i="28"/>
  <c r="E113" i="40"/>
  <c r="E78" i="40"/>
  <c r="E67" i="40"/>
  <c r="G5" i="28"/>
  <c r="E89" i="40"/>
  <c r="E211" i="40"/>
  <c r="E189" i="40"/>
  <c r="E24" i="40"/>
  <c r="E132" i="40"/>
  <c r="E221" i="40"/>
  <c r="E168" i="40"/>
  <c r="G7" i="28"/>
  <c r="E184" i="40"/>
  <c r="E54" i="40"/>
  <c r="E191" i="40"/>
  <c r="E244" i="40"/>
  <c r="E231" i="40"/>
  <c r="E206" i="40"/>
  <c r="E91" i="40"/>
  <c r="E94" i="40"/>
  <c r="E33" i="40"/>
  <c r="E116" i="40"/>
  <c r="E10" i="40"/>
  <c r="E137" i="40"/>
  <c r="E222" i="40"/>
  <c r="G9" i="28"/>
  <c r="E126" i="40"/>
  <c r="E12" i="40"/>
  <c r="G33" i="28"/>
  <c r="E106" i="40"/>
  <c r="G38" i="28"/>
  <c r="G25" i="28"/>
  <c r="G35" i="28"/>
  <c r="E23" i="40"/>
  <c r="E122" i="40"/>
  <c r="E42" i="40"/>
  <c r="G41" i="28"/>
  <c r="E108" i="40"/>
  <c r="E215" i="40"/>
  <c r="E239" i="40"/>
  <c r="E9" i="40"/>
  <c r="E124" i="40"/>
  <c r="E5" i="40"/>
  <c r="E151" i="40"/>
  <c r="E181" i="40"/>
  <c r="E35" i="40"/>
  <c r="E146" i="40"/>
  <c r="E242" i="40"/>
  <c r="G22" i="28"/>
  <c r="E148" i="40"/>
  <c r="E15" i="40"/>
  <c r="E19" i="40"/>
  <c r="E81" i="40"/>
  <c r="E70" i="40"/>
  <c r="E213" i="40"/>
  <c r="G29" i="28"/>
  <c r="E120" i="40"/>
  <c r="E66" i="40"/>
  <c r="E144" i="40"/>
  <c r="G24" i="28"/>
  <c r="E179" i="40"/>
  <c r="E224" i="40"/>
  <c r="E232" i="40"/>
  <c r="E63" i="40"/>
  <c r="E154" i="40"/>
  <c r="E234" i="40"/>
  <c r="E32" i="40"/>
  <c r="E207" i="40"/>
  <c r="E241" i="40"/>
  <c r="E125" i="40"/>
  <c r="E7" i="40"/>
  <c r="G14" i="28"/>
  <c r="E153" i="40"/>
  <c r="G23" i="28"/>
  <c r="E140" i="40"/>
  <c r="E226" i="40"/>
  <c r="G16" i="28"/>
  <c r="E225" i="40"/>
  <c r="G36" i="28"/>
  <c r="E194" i="40"/>
  <c r="E14" i="40"/>
  <c r="E183" i="40"/>
  <c r="E72" i="40"/>
  <c r="E178" i="40"/>
  <c r="G10" i="28"/>
  <c r="E44" i="40"/>
  <c r="G19" i="28"/>
  <c r="E90" i="40"/>
  <c r="G42" i="28"/>
  <c r="G40" i="28"/>
  <c r="E46" i="40"/>
  <c r="E245" i="40"/>
  <c r="E38" i="40"/>
  <c r="E96" i="40"/>
  <c r="E180" i="40"/>
  <c r="E203" i="40"/>
  <c r="E53" i="40"/>
  <c r="E104" i="40"/>
  <c r="E163" i="40"/>
  <c r="E150" i="40"/>
  <c r="E160" i="40"/>
  <c r="E65" i="40"/>
  <c r="E205" i="40"/>
  <c r="E162" i="40"/>
  <c r="E134" i="40"/>
  <c r="G17" i="28"/>
  <c r="E59" i="40"/>
  <c r="E228" i="40"/>
  <c r="E30" i="40"/>
  <c r="E57" i="40"/>
  <c r="E31" i="40"/>
  <c r="E247" i="40"/>
  <c r="E198" i="40"/>
  <c r="G21" i="28"/>
  <c r="E141" i="40"/>
  <c r="E82" i="40"/>
  <c r="E123" i="40"/>
  <c r="G45" i="28"/>
  <c r="E83" i="40"/>
  <c r="E164" i="40"/>
  <c r="E157" i="40"/>
  <c r="E117" i="40"/>
  <c r="G28" i="28"/>
  <c r="E243" i="40"/>
  <c r="E171" i="40"/>
  <c r="E131" i="40"/>
  <c r="E8" i="40"/>
  <c r="E174" i="40"/>
  <c r="G12" i="28"/>
  <c r="E47" i="40"/>
  <c r="E48" i="40"/>
  <c r="E229" i="40"/>
  <c r="E182" i="40"/>
  <c r="E223" i="40"/>
  <c r="E172" i="40"/>
  <c r="E246" i="40"/>
  <c r="E102" i="40"/>
  <c r="E129" i="40"/>
  <c r="E20" i="40"/>
  <c r="E80" i="40"/>
  <c r="E114" i="40"/>
  <c r="E214" i="40"/>
  <c r="E28" i="40"/>
  <c r="E41" i="40"/>
  <c r="E173" i="40"/>
  <c r="E138" i="40"/>
  <c r="E43" i="40"/>
  <c r="E6" i="40"/>
  <c r="E11" i="40"/>
  <c r="E119" i="40"/>
  <c r="E27" i="40"/>
  <c r="E109" i="40"/>
  <c r="E197" i="40"/>
  <c r="E143" i="40"/>
  <c r="E107" i="40"/>
  <c r="E217" i="40"/>
  <c r="E51" i="40"/>
  <c r="E237" i="40"/>
  <c r="E208" i="40"/>
  <c r="G34" i="28"/>
  <c r="E85" i="40"/>
  <c r="E227" i="40"/>
  <c r="E13" i="40"/>
  <c r="E60" i="40"/>
  <c r="E121" i="40"/>
  <c r="E87" i="40"/>
  <c r="E159" i="40"/>
  <c r="E139" i="40"/>
  <c r="G31" i="28"/>
  <c r="E50" i="40"/>
  <c r="G37" i="28"/>
  <c r="E166" i="40"/>
  <c r="E240" i="40"/>
  <c r="G8" i="28"/>
  <c r="G6" i="28"/>
  <c r="AH219" i="1"/>
  <c r="AH217" i="1"/>
  <c r="AH213" i="1"/>
  <c r="AH207" i="1"/>
  <c r="AH205" i="1"/>
  <c r="AH203" i="1"/>
  <c r="AH195" i="1"/>
  <c r="AH179" i="1"/>
  <c r="AH157" i="1"/>
  <c r="AH158" i="1"/>
  <c r="AH119" i="1"/>
  <c r="AH87" i="1"/>
  <c r="AH222" i="1"/>
  <c r="AH216" i="1"/>
  <c r="AH204" i="1"/>
  <c r="AH102" i="1"/>
  <c r="AA76" i="1"/>
  <c r="AH76" i="1"/>
  <c r="AH90" i="1"/>
  <c r="AH110" i="1"/>
  <c r="AH59" i="1"/>
  <c r="AH45" i="1"/>
  <c r="AH32" i="1"/>
  <c r="AH50" i="1"/>
  <c r="AH106" i="1"/>
  <c r="AH80" i="1"/>
  <c r="AH111" i="1"/>
  <c r="AH36" i="1"/>
  <c r="AH67" i="1"/>
  <c r="AH26" i="1"/>
  <c r="AH18" i="1"/>
  <c r="AH200" i="1"/>
  <c r="AH236" i="1"/>
  <c r="AH144" i="1"/>
  <c r="AH160" i="1"/>
  <c r="AH196" i="1"/>
  <c r="G102" i="8"/>
  <c r="P102" i="8" s="1"/>
  <c r="G69" i="8"/>
  <c r="P69" i="8" s="1"/>
  <c r="G34" i="8"/>
  <c r="P34" i="8" s="1"/>
  <c r="G38" i="8"/>
  <c r="P38" i="8" s="1"/>
  <c r="G173" i="8"/>
  <c r="G29" i="8"/>
  <c r="P29" i="8" s="1"/>
  <c r="G40" i="8"/>
  <c r="P40" i="8" s="1"/>
  <c r="G31" i="8"/>
  <c r="P31" i="8" s="1"/>
  <c r="G147" i="8"/>
  <c r="P147" i="8" s="1"/>
  <c r="G114" i="8"/>
  <c r="P114" i="8" s="1"/>
  <c r="G132" i="8"/>
  <c r="P132" i="8" s="1"/>
  <c r="G157" i="8"/>
  <c r="P157" i="8" s="1"/>
  <c r="G8" i="8"/>
  <c r="P8" i="8" s="1"/>
  <c r="AG182" i="1"/>
  <c r="AA219" i="1" l="1"/>
  <c r="AQ219" i="1"/>
  <c r="AA179" i="1"/>
  <c r="AQ179" i="1"/>
  <c r="AA196" i="1"/>
  <c r="AQ196" i="1"/>
  <c r="AA87" i="1"/>
  <c r="AQ87" i="1"/>
  <c r="AA50" i="1"/>
  <c r="AQ50" i="1"/>
  <c r="AA217" i="1"/>
  <c r="AQ217" i="1"/>
  <c r="AA45" i="1"/>
  <c r="AQ45" i="1"/>
  <c r="AA144" i="1"/>
  <c r="AQ144" i="1"/>
  <c r="AA213" i="1"/>
  <c r="AQ213" i="1"/>
  <c r="AA157" i="1"/>
  <c r="AQ157" i="1"/>
  <c r="AA36" i="1"/>
  <c r="AQ36" i="1"/>
  <c r="AA26" i="1"/>
  <c r="AQ26" i="1"/>
  <c r="AA222" i="1"/>
  <c r="AQ222" i="1"/>
  <c r="AA207" i="1"/>
  <c r="AQ207" i="1"/>
  <c r="AA18" i="1"/>
  <c r="AQ18" i="1"/>
  <c r="AA216" i="1"/>
  <c r="AQ216" i="1"/>
  <c r="AA80" i="1"/>
  <c r="AQ80" i="1"/>
  <c r="AA110" i="1"/>
  <c r="AQ110" i="1"/>
  <c r="AA205" i="1"/>
  <c r="AQ205" i="1"/>
  <c r="AA203" i="1"/>
  <c r="AQ203" i="1"/>
  <c r="AA119" i="1"/>
  <c r="AQ119" i="1"/>
  <c r="AA236" i="1"/>
  <c r="AQ236" i="1"/>
  <c r="AA32" i="1"/>
  <c r="AQ32" i="1"/>
  <c r="AA102" i="1"/>
  <c r="AQ102" i="1"/>
  <c r="AA67" i="1"/>
  <c r="AQ67" i="1"/>
  <c r="AA204" i="1"/>
  <c r="AQ204" i="1"/>
  <c r="AA90" i="1"/>
  <c r="AQ90" i="1"/>
  <c r="AA195" i="1"/>
  <c r="AQ195" i="1"/>
  <c r="AA111" i="1"/>
  <c r="AQ111" i="1"/>
  <c r="AA200" i="1"/>
  <c r="AQ200" i="1"/>
  <c r="AA160" i="1"/>
  <c r="AQ160" i="1"/>
  <c r="AA106" i="1"/>
  <c r="AQ106" i="1"/>
  <c r="AA59" i="1"/>
  <c r="AQ59" i="1"/>
  <c r="P173" i="8"/>
  <c r="L335" i="12"/>
  <c r="V229" i="1"/>
  <c r="AP229" i="1" s="1"/>
  <c r="AB229" i="1"/>
  <c r="AI229" i="1"/>
  <c r="W15" i="1"/>
  <c r="V15" i="1"/>
  <c r="AP15" i="1" s="1"/>
  <c r="F130" i="8"/>
  <c r="F91" i="8"/>
  <c r="F4" i="8"/>
  <c r="F107" i="7"/>
  <c r="F155" i="7"/>
  <c r="F154" i="8"/>
  <c r="F120" i="8"/>
  <c r="F59" i="8"/>
  <c r="F9" i="9"/>
  <c r="F4" i="9"/>
  <c r="F8" i="9"/>
  <c r="F162" i="7"/>
  <c r="F51" i="7"/>
  <c r="F133" i="8"/>
  <c r="F6" i="9"/>
  <c r="F154" i="7"/>
  <c r="F33" i="8"/>
  <c r="F94" i="8"/>
  <c r="F163" i="7"/>
  <c r="F73" i="7"/>
  <c r="F166" i="7"/>
  <c r="F132" i="7"/>
  <c r="F101" i="7"/>
  <c r="F144" i="8"/>
  <c r="F143" i="7"/>
  <c r="F115" i="7"/>
  <c r="F131" i="7"/>
  <c r="F11" i="9"/>
  <c r="F133" i="7"/>
  <c r="Q133" i="7" s="1"/>
  <c r="F112" i="8"/>
  <c r="F60" i="7"/>
  <c r="F19" i="8"/>
  <c r="F172" i="7"/>
  <c r="F106" i="8"/>
  <c r="F103" i="7"/>
  <c r="F43" i="7"/>
  <c r="F135" i="7"/>
  <c r="F15" i="8"/>
  <c r="F35" i="7"/>
  <c r="F67" i="8"/>
  <c r="F45" i="7"/>
  <c r="F104" i="8"/>
  <c r="F27" i="8"/>
  <c r="F81" i="8"/>
  <c r="F4" i="10"/>
  <c r="F176" i="7"/>
  <c r="F21" i="8"/>
  <c r="F13" i="9"/>
  <c r="F97" i="8"/>
  <c r="F39" i="8"/>
  <c r="F12" i="9"/>
  <c r="F110" i="7"/>
  <c r="F18" i="7"/>
  <c r="F62" i="8"/>
  <c r="F3" i="9"/>
  <c r="Q119" i="7"/>
  <c r="F169" i="8"/>
  <c r="F12" i="7"/>
  <c r="F89" i="7"/>
  <c r="F104" i="7"/>
  <c r="F57" i="8"/>
  <c r="F7" i="9"/>
  <c r="F91" i="7"/>
  <c r="F103" i="8"/>
  <c r="F123" i="7"/>
  <c r="F83" i="7"/>
  <c r="F5" i="9"/>
  <c r="F76" i="7"/>
  <c r="F3" i="10"/>
  <c r="F61" i="8"/>
  <c r="F11" i="7"/>
  <c r="Q11" i="7" s="1"/>
  <c r="F87" i="7"/>
  <c r="F22" i="7"/>
  <c r="F42" i="7"/>
  <c r="F9" i="43"/>
  <c r="K9" i="43" s="1"/>
  <c r="F108" i="43"/>
  <c r="K108" i="43" s="1"/>
  <c r="F3" i="43"/>
  <c r="K3" i="43" s="1"/>
  <c r="F103" i="43"/>
  <c r="K103" i="43" s="1"/>
  <c r="F124" i="7"/>
  <c r="F95" i="7"/>
  <c r="F50" i="43"/>
  <c r="K50" i="43" s="1"/>
  <c r="F65" i="43"/>
  <c r="K65" i="43" s="1"/>
  <c r="F92" i="43"/>
  <c r="K92" i="43" s="1"/>
  <c r="F35" i="43"/>
  <c r="K35" i="43" s="1"/>
  <c r="F97" i="43"/>
  <c r="K97" i="43" s="1"/>
  <c r="F130" i="7"/>
  <c r="F3" i="7"/>
  <c r="F31" i="43"/>
  <c r="K31" i="43" s="1"/>
  <c r="F59" i="43"/>
  <c r="K59" i="43" s="1"/>
  <c r="F167" i="7"/>
  <c r="F142" i="7"/>
  <c r="F74" i="43"/>
  <c r="K74" i="43" s="1"/>
  <c r="F119" i="43"/>
  <c r="K119" i="43" s="1"/>
  <c r="F81" i="43"/>
  <c r="K81" i="43" s="1"/>
  <c r="F101" i="43"/>
  <c r="K101" i="43" s="1"/>
  <c r="F112" i="43"/>
  <c r="K112" i="43" s="1"/>
  <c r="F6" i="7"/>
  <c r="F33" i="7"/>
  <c r="Q33" i="7" s="1"/>
  <c r="F70" i="43"/>
  <c r="K70" i="43" s="1"/>
  <c r="F72" i="43"/>
  <c r="K72" i="43" s="1"/>
  <c r="F92" i="7"/>
  <c r="F52" i="7"/>
  <c r="F146" i="7"/>
  <c r="F62" i="7"/>
  <c r="F40" i="43"/>
  <c r="K40" i="43" s="1"/>
  <c r="F60" i="43"/>
  <c r="K60" i="43" s="1"/>
  <c r="F99" i="43"/>
  <c r="K99" i="43" s="1"/>
  <c r="K14" i="43"/>
  <c r="F68" i="7"/>
  <c r="F129" i="7"/>
  <c r="F107" i="43"/>
  <c r="K107" i="43" s="1"/>
  <c r="F64" i="43"/>
  <c r="K64" i="43" s="1"/>
  <c r="F68" i="43"/>
  <c r="K68" i="43" s="1"/>
  <c r="F36" i="43"/>
  <c r="K36" i="43" s="1"/>
  <c r="F71" i="43"/>
  <c r="K71" i="43" s="1"/>
  <c r="F55" i="7"/>
  <c r="F42" i="43"/>
  <c r="K42" i="43" s="1"/>
  <c r="K121" i="43"/>
  <c r="F111" i="43"/>
  <c r="K111" i="43" s="1"/>
  <c r="F49" i="7"/>
  <c r="F30" i="43"/>
  <c r="K30" i="43" s="1"/>
  <c r="F44" i="43"/>
  <c r="K44" i="43" s="1"/>
  <c r="F74" i="7"/>
  <c r="F84" i="43"/>
  <c r="K84" i="43" s="1"/>
  <c r="F23" i="43"/>
  <c r="K23" i="43" s="1"/>
  <c r="F110" i="43"/>
  <c r="K110" i="43" s="1"/>
  <c r="F120" i="43"/>
  <c r="K120" i="43" s="1"/>
  <c r="F27" i="7"/>
  <c r="F122" i="43"/>
  <c r="K122" i="43" s="1"/>
  <c r="F91" i="43"/>
  <c r="K91" i="43" s="1"/>
  <c r="F93" i="43"/>
  <c r="K93" i="43" s="1"/>
  <c r="F69" i="7"/>
  <c r="F116" i="7"/>
  <c r="F15" i="43"/>
  <c r="K15" i="43" s="1"/>
  <c r="F26" i="43"/>
  <c r="K26" i="43" s="1"/>
  <c r="F48" i="43"/>
  <c r="K48" i="43" s="1"/>
  <c r="F7" i="43"/>
  <c r="K7" i="43" s="1"/>
  <c r="F116" i="43"/>
  <c r="K116" i="43" s="1"/>
  <c r="F32" i="43"/>
  <c r="K32" i="43" s="1"/>
  <c r="F56" i="7"/>
  <c r="F88" i="43"/>
  <c r="K88" i="43" s="1"/>
  <c r="F102" i="43"/>
  <c r="K102" i="43" s="1"/>
  <c r="F28" i="43"/>
  <c r="K28" i="43" s="1"/>
  <c r="F71" i="7"/>
  <c r="F100" i="7"/>
  <c r="F25" i="43"/>
  <c r="K25" i="43" s="1"/>
  <c r="F106" i="43"/>
  <c r="K106" i="43" s="1"/>
  <c r="F21" i="43"/>
  <c r="K21" i="43" s="1"/>
  <c r="F104" i="43"/>
  <c r="K104" i="43" s="1"/>
  <c r="F105" i="43"/>
  <c r="K105" i="43" s="1"/>
  <c r="F38" i="43"/>
  <c r="K38" i="43" s="1"/>
  <c r="F20" i="43"/>
  <c r="K20" i="43" s="1"/>
  <c r="F13" i="43"/>
  <c r="K13" i="43" s="1"/>
  <c r="K95" i="43"/>
  <c r="K57" i="43"/>
  <c r="F90" i="43"/>
  <c r="K90" i="43" s="1"/>
  <c r="K67" i="43"/>
  <c r="F47" i="43"/>
  <c r="K47" i="43" s="1"/>
  <c r="F53" i="43"/>
  <c r="K53" i="43" s="1"/>
  <c r="F115" i="43"/>
  <c r="K115" i="43" s="1"/>
  <c r="F27" i="43"/>
  <c r="K27" i="43" s="1"/>
  <c r="F22" i="43"/>
  <c r="K22" i="43" s="1"/>
  <c r="F34" i="43"/>
  <c r="K34" i="43" s="1"/>
  <c r="F63" i="43"/>
  <c r="K63" i="43" s="1"/>
  <c r="F49" i="43"/>
  <c r="K49" i="43" s="1"/>
  <c r="F56" i="43"/>
  <c r="K56" i="43" s="1"/>
  <c r="F17" i="43"/>
  <c r="K17" i="43" s="1"/>
  <c r="F109" i="43"/>
  <c r="K109" i="43" s="1"/>
  <c r="F37" i="43"/>
  <c r="K37" i="43" s="1"/>
  <c r="F87" i="43"/>
  <c r="K87" i="43" s="1"/>
  <c r="F83" i="43"/>
  <c r="K83" i="43" s="1"/>
  <c r="F96" i="43"/>
  <c r="K96" i="43" s="1"/>
  <c r="F45" i="43"/>
  <c r="K45" i="43" s="1"/>
  <c r="F43" i="43"/>
  <c r="K43" i="43" s="1"/>
  <c r="F51" i="43"/>
  <c r="K51" i="43" s="1"/>
  <c r="F8" i="43"/>
  <c r="K8" i="43" s="1"/>
  <c r="F90" i="7"/>
  <c r="S1" i="1"/>
  <c r="F33" i="43"/>
  <c r="K33" i="43" s="1"/>
  <c r="F113" i="43"/>
  <c r="K113" i="43" s="1"/>
  <c r="F94" i="43"/>
  <c r="K94" i="43" s="1"/>
  <c r="F85" i="43"/>
  <c r="K85" i="43" s="1"/>
  <c r="F12" i="43"/>
  <c r="K12" i="43" s="1"/>
  <c r="K76" i="43"/>
  <c r="K100" i="43"/>
  <c r="K52" i="43"/>
  <c r="AI219" i="1"/>
  <c r="AB219" i="1"/>
  <c r="AI217" i="1"/>
  <c r="AB217" i="1"/>
  <c r="AI213" i="1"/>
  <c r="AB213" i="1"/>
  <c r="AI207" i="1"/>
  <c r="AB207" i="1"/>
  <c r="AI205" i="1"/>
  <c r="AB205" i="1"/>
  <c r="AI203" i="1"/>
  <c r="AB203" i="1"/>
  <c r="AI195" i="1"/>
  <c r="AB195" i="1"/>
  <c r="AI179" i="1"/>
  <c r="AB179" i="1"/>
  <c r="AI157" i="1"/>
  <c r="AB157" i="1"/>
  <c r="AI119" i="1"/>
  <c r="AB119" i="1"/>
  <c r="AI111" i="1"/>
  <c r="AB111" i="1"/>
  <c r="AB87" i="1"/>
  <c r="AI87" i="1"/>
  <c r="AB222" i="1"/>
  <c r="AI222" i="1"/>
  <c r="AI216" i="1"/>
  <c r="AB216" i="1"/>
  <c r="AI204" i="1"/>
  <c r="AB204" i="1"/>
  <c r="AI102" i="1"/>
  <c r="AB102" i="1"/>
  <c r="AB50" i="1"/>
  <c r="AI50" i="1"/>
  <c r="AI36" i="1"/>
  <c r="AB36" i="1"/>
  <c r="AB80" i="1"/>
  <c r="AI80" i="1"/>
  <c r="AI90" i="1"/>
  <c r="AB90" i="1"/>
  <c r="AI67" i="1"/>
  <c r="AB67" i="1"/>
  <c r="AI59" i="1"/>
  <c r="AB59" i="1"/>
  <c r="AI45" i="1"/>
  <c r="AB45" i="1"/>
  <c r="AI110" i="1"/>
  <c r="AB110" i="1"/>
  <c r="AB236" i="1"/>
  <c r="AI236" i="1"/>
  <c r="AI200" i="1"/>
  <c r="AB200" i="1"/>
  <c r="AI158" i="1"/>
  <c r="AB158" i="1"/>
  <c r="AB106" i="1"/>
  <c r="AI106" i="1"/>
  <c r="AB18" i="1"/>
  <c r="AI18" i="1"/>
  <c r="AI32" i="1"/>
  <c r="AB32" i="1"/>
  <c r="AI160" i="1"/>
  <c r="AB160" i="1"/>
  <c r="AI196" i="1"/>
  <c r="AB196" i="1"/>
  <c r="AI144" i="1"/>
  <c r="AB144" i="1"/>
  <c r="AI26" i="1"/>
  <c r="AB26" i="1"/>
  <c r="H102" i="8"/>
  <c r="H172" i="8"/>
  <c r="H3" i="8"/>
  <c r="H79" i="8"/>
  <c r="I3" i="8"/>
  <c r="R3" i="8" s="1"/>
  <c r="H8" i="8"/>
  <c r="H84" i="8"/>
  <c r="H157" i="8"/>
  <c r="AD182" i="1"/>
  <c r="AG246" i="1"/>
  <c r="AF245" i="1"/>
  <c r="AE245" i="1"/>
  <c r="AG243" i="1"/>
  <c r="AG240" i="1"/>
  <c r="AG237" i="1"/>
  <c r="AG233" i="1"/>
  <c r="AG232" i="1"/>
  <c r="AG230" i="1"/>
  <c r="AG228" i="1"/>
  <c r="AG226" i="1"/>
  <c r="AG225" i="1"/>
  <c r="AG223" i="1"/>
  <c r="AG221" i="1"/>
  <c r="AG220" i="1"/>
  <c r="AG214" i="1"/>
  <c r="AG212" i="1"/>
  <c r="AG211" i="1"/>
  <c r="AG209" i="1"/>
  <c r="AG208" i="1"/>
  <c r="AG199" i="1"/>
  <c r="AG198" i="1"/>
  <c r="AG193" i="1"/>
  <c r="AG192" i="1"/>
  <c r="AG189" i="1"/>
  <c r="AG188" i="1"/>
  <c r="AG183" i="1"/>
  <c r="AG180" i="1"/>
  <c r="AG178" i="1"/>
  <c r="AG176" i="1"/>
  <c r="AG174" i="1"/>
  <c r="AG172" i="1"/>
  <c r="AG171" i="1"/>
  <c r="AG166" i="1"/>
  <c r="AG165" i="1"/>
  <c r="AF163" i="1"/>
  <c r="AD163" i="1"/>
  <c r="AG162" i="1"/>
  <c r="AG159" i="1"/>
  <c r="AG156" i="1"/>
  <c r="AG155" i="1"/>
  <c r="AG153" i="1"/>
  <c r="AG152" i="1"/>
  <c r="AG151" i="1"/>
  <c r="AG149" i="1"/>
  <c r="AG148" i="1"/>
  <c r="AG147" i="1"/>
  <c r="AG145" i="1"/>
  <c r="AG143" i="1"/>
  <c r="AG142" i="1"/>
  <c r="AG141" i="1"/>
  <c r="AG138" i="1"/>
  <c r="AG133" i="1"/>
  <c r="AG132" i="1"/>
  <c r="AG129" i="1"/>
  <c r="AG126" i="1"/>
  <c r="AG125" i="1"/>
  <c r="AG123" i="1"/>
  <c r="AG121" i="1"/>
  <c r="AG118" i="1"/>
  <c r="AG115" i="1"/>
  <c r="AG112" i="1"/>
  <c r="AG109" i="1"/>
  <c r="AG108" i="1"/>
  <c r="AG103" i="1"/>
  <c r="AG99" i="1"/>
  <c r="AG98" i="1"/>
  <c r="AG97" i="1"/>
  <c r="AG96" i="1"/>
  <c r="AG95" i="1"/>
  <c r="AG94" i="1"/>
  <c r="AG93" i="1"/>
  <c r="AG92" i="1"/>
  <c r="AG91" i="1"/>
  <c r="AG89" i="1"/>
  <c r="AG88" i="1"/>
  <c r="AG86" i="1"/>
  <c r="AG85" i="1"/>
  <c r="AG84" i="1"/>
  <c r="AG83" i="1"/>
  <c r="AG82" i="1"/>
  <c r="AG81" i="1"/>
  <c r="AG79" i="1"/>
  <c r="AG78" i="1"/>
  <c r="AG77" i="1"/>
  <c r="AG75" i="1"/>
  <c r="AG73" i="1"/>
  <c r="AG71" i="1"/>
  <c r="AG70" i="1"/>
  <c r="AG69" i="1"/>
  <c r="AG66" i="1"/>
  <c r="AG65" i="1"/>
  <c r="AG64" i="1"/>
  <c r="AG62" i="1"/>
  <c r="AG60" i="1"/>
  <c r="AG58" i="1"/>
  <c r="AG57" i="1"/>
  <c r="AG56" i="1"/>
  <c r="AG55" i="1"/>
  <c r="AG54" i="1"/>
  <c r="AG53" i="1"/>
  <c r="AG52" i="1"/>
  <c r="AG49" i="1"/>
  <c r="AG47" i="1"/>
  <c r="AG46" i="1"/>
  <c r="AG44" i="1"/>
  <c r="AG43" i="1"/>
  <c r="AG40" i="1"/>
  <c r="AG39" i="1"/>
  <c r="AG38" i="1"/>
  <c r="AG37" i="1"/>
  <c r="AG35" i="1"/>
  <c r="AG34" i="1"/>
  <c r="AG30" i="1"/>
  <c r="AG29" i="1"/>
  <c r="AG28" i="1"/>
  <c r="AG24" i="1"/>
  <c r="AG23" i="1"/>
  <c r="AG20" i="1"/>
  <c r="AG17" i="1"/>
  <c r="AG16" i="1"/>
  <c r="AG14" i="1"/>
  <c r="AG12" i="1"/>
  <c r="AG11" i="1"/>
  <c r="AG10" i="1"/>
  <c r="AG9" i="1"/>
  <c r="AG8" i="1"/>
  <c r="AG7" i="1"/>
  <c r="AG5" i="1"/>
  <c r="Q172" i="8" l="1"/>
  <c r="H333" i="12"/>
  <c r="J333" i="12" s="1"/>
  <c r="AI15" i="1"/>
  <c r="AQ15" i="1"/>
  <c r="AQ16" i="1"/>
  <c r="Q69" i="7"/>
  <c r="G132" i="12"/>
  <c r="I132" i="12" s="1"/>
  <c r="K132" i="12" s="1"/>
  <c r="Q62" i="7"/>
  <c r="G117" i="12"/>
  <c r="I117" i="12" s="1"/>
  <c r="K117" i="12" s="1"/>
  <c r="Q167" i="7"/>
  <c r="G319" i="12"/>
  <c r="I319" i="12" s="1"/>
  <c r="K319" i="12" s="1"/>
  <c r="O106" i="8"/>
  <c r="G210" i="12"/>
  <c r="Q73" i="7"/>
  <c r="G140" i="12"/>
  <c r="I140" i="12" s="1"/>
  <c r="K140" i="12" s="1"/>
  <c r="O154" i="8"/>
  <c r="G302" i="12"/>
  <c r="I302" i="12" s="1"/>
  <c r="K302" i="12" s="1"/>
  <c r="Q155" i="7"/>
  <c r="G296" i="12"/>
  <c r="I296" i="12" s="1"/>
  <c r="K296" i="12" s="1"/>
  <c r="Q79" i="8"/>
  <c r="H149" i="12"/>
  <c r="J149" i="12" s="1"/>
  <c r="L149" i="12" s="1"/>
  <c r="Q172" i="7"/>
  <c r="G328" i="12"/>
  <c r="I328" i="12" s="1"/>
  <c r="K328" i="12" s="1"/>
  <c r="Q163" i="7"/>
  <c r="G313" i="12"/>
  <c r="I313" i="12" s="1"/>
  <c r="K313" i="12" s="1"/>
  <c r="Q71" i="7"/>
  <c r="G136" i="12"/>
  <c r="I136" i="12" s="1"/>
  <c r="K136" i="12" s="1"/>
  <c r="Q55" i="7"/>
  <c r="G102" i="12"/>
  <c r="K102" i="12" s="1"/>
  <c r="Q52" i="7"/>
  <c r="G97" i="12"/>
  <c r="I97" i="12" s="1"/>
  <c r="K97" i="12" s="1"/>
  <c r="Q42" i="7"/>
  <c r="G75" i="12"/>
  <c r="I75" i="12" s="1"/>
  <c r="K75" i="12" s="1"/>
  <c r="Q104" i="7"/>
  <c r="G197" i="12"/>
  <c r="K197" i="12" s="1"/>
  <c r="Q176" i="7"/>
  <c r="G336" i="12"/>
  <c r="I336" i="12" s="1"/>
  <c r="K336" i="12" s="1"/>
  <c r="O19" i="8"/>
  <c r="G34" i="12"/>
  <c r="I34" i="12" s="1"/>
  <c r="K34" i="12" s="1"/>
  <c r="O94" i="8"/>
  <c r="G179" i="12"/>
  <c r="I179" i="12" s="1"/>
  <c r="K179" i="12" s="1"/>
  <c r="Q107" i="7"/>
  <c r="G203" i="12"/>
  <c r="I203" i="12" s="1"/>
  <c r="K203" i="12" s="1"/>
  <c r="Q92" i="7"/>
  <c r="G176" i="12"/>
  <c r="I176" i="12" s="1"/>
  <c r="K176" i="12" s="1"/>
  <c r="Q89" i="7"/>
  <c r="G169" i="12"/>
  <c r="I169" i="12" s="1"/>
  <c r="K169" i="12" s="1"/>
  <c r="O33" i="8"/>
  <c r="G61" i="12"/>
  <c r="I61" i="12" s="1"/>
  <c r="K61" i="12" s="1"/>
  <c r="O4" i="8"/>
  <c r="G8" i="12"/>
  <c r="I8" i="12" s="1"/>
  <c r="K8" i="12" s="1"/>
  <c r="Q146" i="7"/>
  <c r="G279" i="12"/>
  <c r="I279" i="12" s="1"/>
  <c r="K279" i="12" s="1"/>
  <c r="Q3" i="7"/>
  <c r="G4" i="12"/>
  <c r="I4" i="12" s="1"/>
  <c r="K4" i="12" s="1"/>
  <c r="Q22" i="7"/>
  <c r="G37" i="12"/>
  <c r="I37" i="12" s="1"/>
  <c r="K37" i="12" s="1"/>
  <c r="Q60" i="7"/>
  <c r="G112" i="12"/>
  <c r="I112" i="12" s="1"/>
  <c r="K112" i="12" s="1"/>
  <c r="Q27" i="7"/>
  <c r="G46" i="12"/>
  <c r="I46" i="12" s="1"/>
  <c r="K46" i="12" s="1"/>
  <c r="Q130" i="7"/>
  <c r="G245" i="12"/>
  <c r="K245" i="12" s="1"/>
  <c r="Q87" i="7"/>
  <c r="G165" i="12"/>
  <c r="I165" i="12" s="1"/>
  <c r="K165" i="12" s="1"/>
  <c r="Q12" i="7"/>
  <c r="G19" i="12"/>
  <c r="I19" i="12" s="1"/>
  <c r="K19" i="12" s="1"/>
  <c r="O81" i="8"/>
  <c r="G153" i="12"/>
  <c r="K153" i="12" s="1"/>
  <c r="O112" i="8"/>
  <c r="G223" i="12"/>
  <c r="I223" i="12" s="1"/>
  <c r="K223" i="12" s="1"/>
  <c r="Q154" i="7"/>
  <c r="G294" i="12"/>
  <c r="I294" i="12" s="1"/>
  <c r="O91" i="8"/>
  <c r="G173" i="12"/>
  <c r="I173" i="12" s="1"/>
  <c r="K173" i="12" s="1"/>
  <c r="O57" i="8"/>
  <c r="G107" i="12"/>
  <c r="I107" i="12" s="1"/>
  <c r="K107" i="12" s="1"/>
  <c r="Q102" i="8"/>
  <c r="H200" i="12"/>
  <c r="J200" i="12" s="1"/>
  <c r="L200" i="12" s="1"/>
  <c r="O169" i="8"/>
  <c r="G327" i="12"/>
  <c r="O27" i="8"/>
  <c r="G52" i="12"/>
  <c r="I52" i="12" s="1"/>
  <c r="K52" i="12" s="1"/>
  <c r="O130" i="8"/>
  <c r="G254" i="12"/>
  <c r="I254" i="12" s="1"/>
  <c r="K254" i="12" s="1"/>
  <c r="O21" i="8"/>
  <c r="G39" i="12"/>
  <c r="Q56" i="7"/>
  <c r="G104" i="12"/>
  <c r="I104" i="12" s="1"/>
  <c r="K104" i="12" s="1"/>
  <c r="O61" i="8"/>
  <c r="G115" i="12"/>
  <c r="Q6" i="7"/>
  <c r="G9" i="12"/>
  <c r="I9" i="12" s="1"/>
  <c r="K9" i="12" s="1"/>
  <c r="Q45" i="7"/>
  <c r="G81" i="12"/>
  <c r="I81" i="12" s="1"/>
  <c r="K81" i="12" s="1"/>
  <c r="Q131" i="7"/>
  <c r="G247" i="12"/>
  <c r="I247" i="12" s="1"/>
  <c r="K247" i="12" s="1"/>
  <c r="Q51" i="7"/>
  <c r="G94" i="12"/>
  <c r="I94" i="12" s="1"/>
  <c r="K94" i="12" s="1"/>
  <c r="Q129" i="7"/>
  <c r="G243" i="12"/>
  <c r="I243" i="12" s="1"/>
  <c r="K243" i="12" s="1"/>
  <c r="Q76" i="7"/>
  <c r="G146" i="12"/>
  <c r="I146" i="12" s="1"/>
  <c r="K146" i="12" s="1"/>
  <c r="O62" i="8"/>
  <c r="G116" i="12"/>
  <c r="I116" i="12" s="1"/>
  <c r="K116" i="12" s="1"/>
  <c r="O67" i="8"/>
  <c r="G125" i="12"/>
  <c r="I125" i="12" s="1"/>
  <c r="K125" i="12" s="1"/>
  <c r="Q115" i="7"/>
  <c r="G216" i="12"/>
  <c r="I216" i="12" s="1"/>
  <c r="K216" i="12" s="1"/>
  <c r="Q162" i="7"/>
  <c r="G311" i="12"/>
  <c r="I311" i="12" s="1"/>
  <c r="K311" i="12" s="1"/>
  <c r="Q157" i="8"/>
  <c r="H308" i="12"/>
  <c r="J308" i="12" s="1"/>
  <c r="L308" i="12" s="1"/>
  <c r="O104" i="8"/>
  <c r="G206" i="12"/>
  <c r="Q74" i="7"/>
  <c r="G142" i="12"/>
  <c r="I142" i="12" s="1"/>
  <c r="K142" i="12" s="1"/>
  <c r="Q68" i="7"/>
  <c r="G130" i="12"/>
  <c r="Q18" i="7"/>
  <c r="G29" i="12"/>
  <c r="I29" i="12" s="1"/>
  <c r="K29" i="12" s="1"/>
  <c r="Q35" i="7"/>
  <c r="G59" i="12"/>
  <c r="I59" i="12" s="1"/>
  <c r="K59" i="12" s="1"/>
  <c r="Q143" i="7"/>
  <c r="G270" i="12"/>
  <c r="I270" i="12" s="1"/>
  <c r="K270" i="12" s="1"/>
  <c r="Q84" i="8"/>
  <c r="H160" i="12"/>
  <c r="J160" i="12" s="1"/>
  <c r="L160" i="12" s="1"/>
  <c r="Q8" i="8"/>
  <c r="H17" i="12"/>
  <c r="J17" i="12" s="1"/>
  <c r="L17" i="12" s="1"/>
  <c r="Q95" i="7"/>
  <c r="G182" i="12"/>
  <c r="I182" i="12" s="1"/>
  <c r="K182" i="12" s="1"/>
  <c r="Q83" i="7"/>
  <c r="G158" i="12"/>
  <c r="I158" i="12" s="1"/>
  <c r="K158" i="12" s="1"/>
  <c r="Q110" i="7"/>
  <c r="G207" i="12"/>
  <c r="I207" i="12" s="1"/>
  <c r="K207" i="12" s="1"/>
  <c r="O15" i="8"/>
  <c r="G27" i="12"/>
  <c r="I27" i="12" s="1"/>
  <c r="K27" i="12" s="1"/>
  <c r="O144" i="8"/>
  <c r="G282" i="12"/>
  <c r="Q3" i="8"/>
  <c r="H6" i="12"/>
  <c r="J6" i="12" s="1"/>
  <c r="L6" i="12" s="1"/>
  <c r="Q90" i="7"/>
  <c r="G171" i="12"/>
  <c r="I171" i="12" s="1"/>
  <c r="K171" i="12" s="1"/>
  <c r="Q124" i="7"/>
  <c r="G233" i="12"/>
  <c r="I233" i="12" s="1"/>
  <c r="K233" i="12" s="1"/>
  <c r="Q123" i="7"/>
  <c r="G232" i="12"/>
  <c r="K232" i="12" s="1"/>
  <c r="Q135" i="7"/>
  <c r="G255" i="12"/>
  <c r="I255" i="12" s="1"/>
  <c r="K255" i="12" s="1"/>
  <c r="Q101" i="7"/>
  <c r="G192" i="12"/>
  <c r="I192" i="12" s="1"/>
  <c r="K192" i="12" s="1"/>
  <c r="Q100" i="7"/>
  <c r="G190" i="12"/>
  <c r="K190" i="12" s="1"/>
  <c r="O133" i="8"/>
  <c r="G261" i="12"/>
  <c r="Q49" i="7"/>
  <c r="G90" i="12"/>
  <c r="I90" i="12" s="1"/>
  <c r="K90" i="12" s="1"/>
  <c r="O103" i="8"/>
  <c r="G201" i="12"/>
  <c r="I201" i="12" s="1"/>
  <c r="K201" i="12" s="1"/>
  <c r="O39" i="8"/>
  <c r="G72" i="12"/>
  <c r="Q43" i="7"/>
  <c r="G77" i="12"/>
  <c r="I77" i="12" s="1"/>
  <c r="K77" i="12" s="1"/>
  <c r="Q132" i="7"/>
  <c r="G249" i="12"/>
  <c r="I249" i="12" s="1"/>
  <c r="K249" i="12" s="1"/>
  <c r="O59" i="8"/>
  <c r="G111" i="12"/>
  <c r="I111" i="12" s="1"/>
  <c r="K111" i="12" s="1"/>
  <c r="Q116" i="7"/>
  <c r="G218" i="12"/>
  <c r="I218" i="12" s="1"/>
  <c r="K218" i="12" s="1"/>
  <c r="Q142" i="7"/>
  <c r="G268" i="12"/>
  <c r="K268" i="12" s="1"/>
  <c r="Q91" i="7"/>
  <c r="G174" i="12"/>
  <c r="I174" i="12" s="1"/>
  <c r="K174" i="12" s="1"/>
  <c r="O97" i="8"/>
  <c r="G189" i="12"/>
  <c r="I189" i="12" s="1"/>
  <c r="K189" i="12" s="1"/>
  <c r="Q103" i="7"/>
  <c r="G195" i="12"/>
  <c r="Q166" i="7"/>
  <c r="G317" i="12"/>
  <c r="O120" i="8"/>
  <c r="G238" i="12"/>
  <c r="K7" i="9"/>
  <c r="P7" i="9"/>
  <c r="K13" i="9"/>
  <c r="P13" i="9"/>
  <c r="K6" i="9"/>
  <c r="P6" i="9"/>
  <c r="K11" i="9"/>
  <c r="P11" i="9"/>
  <c r="K3" i="9"/>
  <c r="P3" i="9"/>
  <c r="K5" i="9"/>
  <c r="P5" i="9"/>
  <c r="K8" i="9"/>
  <c r="P8" i="9"/>
  <c r="K4" i="9"/>
  <c r="P4" i="9"/>
  <c r="K12" i="9"/>
  <c r="P12" i="9"/>
  <c r="K9" i="9"/>
  <c r="P9" i="9"/>
  <c r="AA229" i="1"/>
  <c r="AH229" i="1"/>
  <c r="AA15" i="1"/>
  <c r="AB15" i="1"/>
  <c r="AH15" i="1"/>
  <c r="F25" i="8"/>
  <c r="F137" i="8"/>
  <c r="F126" i="8"/>
  <c r="F164" i="8"/>
  <c r="F17" i="8"/>
  <c r="F123" i="8"/>
  <c r="F30" i="8"/>
  <c r="O30" i="8" s="1"/>
  <c r="F41" i="8"/>
  <c r="F98" i="8"/>
  <c r="F110" i="8"/>
  <c r="F70" i="8"/>
  <c r="F5" i="8"/>
  <c r="F32" i="8"/>
  <c r="F150" i="8"/>
  <c r="F151" i="8"/>
  <c r="F73" i="8"/>
  <c r="F71" i="8"/>
  <c r="F49" i="8"/>
  <c r="F87" i="8"/>
  <c r="F125" i="8"/>
  <c r="F78" i="8"/>
  <c r="F93" i="8"/>
  <c r="F10" i="8"/>
  <c r="O10" i="8" s="1"/>
  <c r="F101" i="8"/>
  <c r="F158" i="8"/>
  <c r="F109" i="8"/>
  <c r="F63" i="8"/>
  <c r="F100" i="8"/>
  <c r="F170" i="8"/>
  <c r="F60" i="8"/>
  <c r="F76" i="8"/>
  <c r="F44" i="8"/>
  <c r="G154" i="8"/>
  <c r="P154" i="8" s="1"/>
  <c r="G112" i="8"/>
  <c r="P112" i="8" s="1"/>
  <c r="G67" i="8"/>
  <c r="P67" i="8" s="1"/>
  <c r="G19" i="8"/>
  <c r="P19" i="8" s="1"/>
  <c r="G27" i="8"/>
  <c r="P27" i="8" s="1"/>
  <c r="G57" i="8"/>
  <c r="P57" i="8" s="1"/>
  <c r="G12" i="7"/>
  <c r="R12" i="7" s="1"/>
  <c r="G62" i="8"/>
  <c r="P62" i="8" s="1"/>
  <c r="G97" i="8"/>
  <c r="P97" i="8" s="1"/>
  <c r="G33" i="8"/>
  <c r="P33" i="8" s="1"/>
  <c r="G45" i="7"/>
  <c r="R45" i="7" s="1"/>
  <c r="I19" i="28"/>
  <c r="L19" i="28" s="1"/>
  <c r="I7" i="28"/>
  <c r="L7" i="28" s="1"/>
  <c r="G110" i="7"/>
  <c r="R110" i="7" s="1"/>
  <c r="G6" i="9"/>
  <c r="L6" i="9" s="1"/>
  <c r="G5" i="10"/>
  <c r="G7" i="9"/>
  <c r="L7" i="9" s="1"/>
  <c r="G18" i="7"/>
  <c r="R18" i="7" s="1"/>
  <c r="G163" i="7"/>
  <c r="R163" i="7" s="1"/>
  <c r="I17" i="28"/>
  <c r="L17" i="28" s="1"/>
  <c r="G130" i="8"/>
  <c r="P130" i="8" s="1"/>
  <c r="I14" i="28"/>
  <c r="L14" i="28" s="1"/>
  <c r="G9" i="9"/>
  <c r="L9" i="9" s="1"/>
  <c r="G116" i="7"/>
  <c r="R116" i="7" s="1"/>
  <c r="G132" i="7"/>
  <c r="R132" i="7" s="1"/>
  <c r="G166" i="7"/>
  <c r="R166" i="7" s="1"/>
  <c r="G100" i="7"/>
  <c r="R100" i="7" s="1"/>
  <c r="I10" i="28"/>
  <c r="L10" i="28" s="1"/>
  <c r="I27" i="28"/>
  <c r="L27" i="28" s="1"/>
  <c r="G49" i="7"/>
  <c r="R49" i="7" s="1"/>
  <c r="I30" i="28"/>
  <c r="L30" i="28" s="1"/>
  <c r="G169" i="8"/>
  <c r="G55" i="7"/>
  <c r="R55" i="7" s="1"/>
  <c r="G62" i="7"/>
  <c r="R62" i="7" s="1"/>
  <c r="I43" i="28"/>
  <c r="L43" i="28" s="1"/>
  <c r="I39" i="28"/>
  <c r="L39" i="28" s="1"/>
  <c r="I33" i="28"/>
  <c r="L33" i="28" s="1"/>
  <c r="G8" i="9"/>
  <c r="L8" i="9" s="1"/>
  <c r="G103" i="8"/>
  <c r="P103" i="8" s="1"/>
  <c r="G89" i="7"/>
  <c r="R89" i="7" s="1"/>
  <c r="G3" i="9"/>
  <c r="L3" i="9" s="1"/>
  <c r="G5" i="9"/>
  <c r="L5" i="9" s="1"/>
  <c r="G155" i="7"/>
  <c r="R155" i="7" s="1"/>
  <c r="G6" i="7"/>
  <c r="R6" i="7" s="1"/>
  <c r="G115" i="7"/>
  <c r="R115" i="7" s="1"/>
  <c r="I38" i="28"/>
  <c r="L38" i="28" s="1"/>
  <c r="I36" i="28"/>
  <c r="L36" i="28" s="1"/>
  <c r="I9" i="28"/>
  <c r="L9" i="28" s="1"/>
  <c r="G10" i="9"/>
  <c r="L10" i="9" s="1"/>
  <c r="G35" i="7"/>
  <c r="R35" i="7" s="1"/>
  <c r="G141" i="7"/>
  <c r="R141" i="7" s="1"/>
  <c r="G91" i="7"/>
  <c r="R91" i="7" s="1"/>
  <c r="G90" i="7"/>
  <c r="R90" i="7" s="1"/>
  <c r="G11" i="7"/>
  <c r="R11" i="7" s="1"/>
  <c r="I22" i="28"/>
  <c r="L22" i="28" s="1"/>
  <c r="G119" i="7"/>
  <c r="R119" i="7" s="1"/>
  <c r="G104" i="7"/>
  <c r="R104" i="7" s="1"/>
  <c r="G167" i="7"/>
  <c r="R167" i="7" s="1"/>
  <c r="G173" i="7"/>
  <c r="R173" i="7" s="1"/>
  <c r="G162" i="7"/>
  <c r="R162" i="7" s="1"/>
  <c r="I29" i="28"/>
  <c r="L29" i="28" s="1"/>
  <c r="G15" i="8"/>
  <c r="P15" i="8" s="1"/>
  <c r="I5" i="28"/>
  <c r="L5" i="28" s="1"/>
  <c r="G3" i="10"/>
  <c r="G131" i="7"/>
  <c r="R131" i="7" s="1"/>
  <c r="I34" i="28"/>
  <c r="L34" i="28" s="1"/>
  <c r="I31" i="28"/>
  <c r="L31" i="28" s="1"/>
  <c r="G154" i="7"/>
  <c r="R154" i="7" s="1"/>
  <c r="I8" i="28"/>
  <c r="L8" i="28" s="1"/>
  <c r="G4" i="9"/>
  <c r="L4" i="9" s="1"/>
  <c r="G12" i="9"/>
  <c r="L12" i="9" s="1"/>
  <c r="G50" i="7"/>
  <c r="R50" i="7" s="1"/>
  <c r="I18" i="28"/>
  <c r="L18" i="28" s="1"/>
  <c r="G135" i="7"/>
  <c r="R135" i="7" s="1"/>
  <c r="G133" i="7"/>
  <c r="R133" i="7" s="1"/>
  <c r="G74" i="7"/>
  <c r="R74" i="7" s="1"/>
  <c r="I16" i="28"/>
  <c r="L16" i="28" s="1"/>
  <c r="G27" i="7"/>
  <c r="R27" i="7" s="1"/>
  <c r="G129" i="7"/>
  <c r="R129" i="7" s="1"/>
  <c r="I35" i="28"/>
  <c r="L35" i="28" s="1"/>
  <c r="G176" i="7"/>
  <c r="R176" i="7" s="1"/>
  <c r="I23" i="28"/>
  <c r="L23" i="28" s="1"/>
  <c r="G44" i="7"/>
  <c r="R44" i="7" s="1"/>
  <c r="G3" i="7"/>
  <c r="R3" i="7" s="1"/>
  <c r="G128" i="7"/>
  <c r="R128" i="7" s="1"/>
  <c r="G71" i="7"/>
  <c r="R71" i="7" s="1"/>
  <c r="I25" i="28"/>
  <c r="L25" i="28" s="1"/>
  <c r="I26" i="28"/>
  <c r="L26" i="28" s="1"/>
  <c r="I42" i="28"/>
  <c r="L42" i="28" s="1"/>
  <c r="G7" i="10"/>
  <c r="G91" i="8"/>
  <c r="P91" i="8" s="1"/>
  <c r="G33" i="7"/>
  <c r="R33" i="7" s="1"/>
  <c r="G123" i="7"/>
  <c r="R123" i="7" s="1"/>
  <c r="G37" i="7"/>
  <c r="R37" i="7" s="1"/>
  <c r="I24" i="28"/>
  <c r="L24" i="28" s="1"/>
  <c r="I28" i="28"/>
  <c r="L28" i="28" s="1"/>
  <c r="G172" i="7"/>
  <c r="R172" i="7" s="1"/>
  <c r="G136" i="7"/>
  <c r="R136" i="7" s="1"/>
  <c r="G103" i="7"/>
  <c r="R103" i="7" s="1"/>
  <c r="G38" i="7"/>
  <c r="R38" i="7" s="1"/>
  <c r="G76" i="7"/>
  <c r="R76" i="7" s="1"/>
  <c r="G124" i="7"/>
  <c r="R124" i="7" s="1"/>
  <c r="I32" i="28"/>
  <c r="L32" i="28" s="1"/>
  <c r="I45" i="28"/>
  <c r="L45" i="28" s="1"/>
  <c r="G43" i="7"/>
  <c r="R43" i="7" s="1"/>
  <c r="G56" i="7"/>
  <c r="R56" i="7" s="1"/>
  <c r="G4" i="10"/>
  <c r="G73" i="7"/>
  <c r="R73" i="7" s="1"/>
  <c r="G142" i="7"/>
  <c r="R142" i="7" s="1"/>
  <c r="G22" i="7"/>
  <c r="R22" i="7" s="1"/>
  <c r="I12" i="28"/>
  <c r="L12" i="28" s="1"/>
  <c r="G107" i="7"/>
  <c r="R107" i="7" s="1"/>
  <c r="G143" i="7"/>
  <c r="R143" i="7" s="1"/>
  <c r="G60" i="7"/>
  <c r="R60" i="7" s="1"/>
  <c r="I37" i="28"/>
  <c r="L37" i="28" s="1"/>
  <c r="G130" i="7"/>
  <c r="R130" i="7" s="1"/>
  <c r="G95" i="7"/>
  <c r="R95" i="7" s="1"/>
  <c r="I40" i="28"/>
  <c r="L40" i="28" s="1"/>
  <c r="G13" i="9"/>
  <c r="L13" i="9" s="1"/>
  <c r="G52" i="7"/>
  <c r="R52" i="7" s="1"/>
  <c r="I21" i="28"/>
  <c r="L21" i="28" s="1"/>
  <c r="G92" i="7"/>
  <c r="R92" i="7" s="1"/>
  <c r="G83" i="7"/>
  <c r="R83" i="7" s="1"/>
  <c r="G133" i="8"/>
  <c r="P133" i="8" s="1"/>
  <c r="G11" i="9"/>
  <c r="L11" i="9" s="1"/>
  <c r="I6" i="28"/>
  <c r="L6" i="28" s="1"/>
  <c r="I15" i="28"/>
  <c r="L15" i="28" s="1"/>
  <c r="G29" i="7"/>
  <c r="R29" i="7" s="1"/>
  <c r="G101" i="7"/>
  <c r="R101" i="7" s="1"/>
  <c r="G78" i="7"/>
  <c r="R78" i="7" s="1"/>
  <c r="G157" i="7"/>
  <c r="R157" i="7" s="1"/>
  <c r="G87" i="7"/>
  <c r="R87" i="7" s="1"/>
  <c r="G51" i="7"/>
  <c r="R51" i="7" s="1"/>
  <c r="I11" i="28"/>
  <c r="L11" i="28" s="1"/>
  <c r="G72" i="7"/>
  <c r="R72" i="7" s="1"/>
  <c r="I41" i="28"/>
  <c r="L41" i="28" s="1"/>
  <c r="G146" i="7"/>
  <c r="R146" i="7" s="1"/>
  <c r="G42" i="7"/>
  <c r="R42" i="7" s="1"/>
  <c r="G102" i="43"/>
  <c r="L102" i="43" s="1"/>
  <c r="G70" i="43"/>
  <c r="L70" i="43" s="1"/>
  <c r="G23" i="43"/>
  <c r="L23" i="43" s="1"/>
  <c r="G44" i="43"/>
  <c r="L44" i="43" s="1"/>
  <c r="G112" i="43"/>
  <c r="L112" i="43" s="1"/>
  <c r="G88" i="43"/>
  <c r="L88" i="43" s="1"/>
  <c r="G122" i="43"/>
  <c r="L122" i="43" s="1"/>
  <c r="G15" i="43"/>
  <c r="L15" i="43" s="1"/>
  <c r="G92" i="43"/>
  <c r="L92" i="43" s="1"/>
  <c r="G106" i="43"/>
  <c r="L106" i="43" s="1"/>
  <c r="G12" i="43"/>
  <c r="L12" i="43" s="1"/>
  <c r="G99" i="43"/>
  <c r="L99" i="43" s="1"/>
  <c r="L73" i="43"/>
  <c r="G108" i="43"/>
  <c r="L108" i="43" s="1"/>
  <c r="G30" i="43"/>
  <c r="L30" i="43" s="1"/>
  <c r="G14" i="43"/>
  <c r="L14" i="43" s="1"/>
  <c r="G50" i="43"/>
  <c r="L50" i="43" s="1"/>
  <c r="G68" i="43"/>
  <c r="L68" i="43" s="1"/>
  <c r="G97" i="43"/>
  <c r="L97" i="43" s="1"/>
  <c r="G84" i="43"/>
  <c r="L84" i="43" s="1"/>
  <c r="G74" i="43"/>
  <c r="L74" i="43" s="1"/>
  <c r="G103" i="43"/>
  <c r="L103" i="43" s="1"/>
  <c r="G71" i="43"/>
  <c r="L71" i="43" s="1"/>
  <c r="G81" i="43"/>
  <c r="L81" i="43" s="1"/>
  <c r="G110" i="43"/>
  <c r="L110" i="43" s="1"/>
  <c r="G111" i="43"/>
  <c r="L111" i="43" s="1"/>
  <c r="G60" i="43"/>
  <c r="L60" i="43" s="1"/>
  <c r="G31" i="43"/>
  <c r="L31" i="43" s="1"/>
  <c r="G91" i="43"/>
  <c r="L91" i="43" s="1"/>
  <c r="G48" i="43"/>
  <c r="L48" i="43" s="1"/>
  <c r="L121" i="43"/>
  <c r="L100" i="43"/>
  <c r="G26" i="43"/>
  <c r="L26" i="43" s="1"/>
  <c r="G72" i="43"/>
  <c r="L72" i="43" s="1"/>
  <c r="G9" i="43"/>
  <c r="L9" i="43" s="1"/>
  <c r="G120" i="43"/>
  <c r="L120" i="43" s="1"/>
  <c r="G25" i="43"/>
  <c r="L25" i="43" s="1"/>
  <c r="G7" i="43"/>
  <c r="L7" i="43" s="1"/>
  <c r="G36" i="43"/>
  <c r="L36" i="43" s="1"/>
  <c r="G35" i="43"/>
  <c r="L35" i="43" s="1"/>
  <c r="G59" i="43"/>
  <c r="L59" i="43" s="1"/>
  <c r="G76" i="43"/>
  <c r="L76" i="43" s="1"/>
  <c r="G40" i="43"/>
  <c r="L40" i="43" s="1"/>
  <c r="G3" i="43"/>
  <c r="L3" i="43" s="1"/>
  <c r="G64" i="43"/>
  <c r="L64" i="43" s="1"/>
  <c r="G119" i="43"/>
  <c r="L119" i="43" s="1"/>
  <c r="G101" i="43"/>
  <c r="L101" i="43" s="1"/>
  <c r="G42" i="43"/>
  <c r="L42" i="43" s="1"/>
  <c r="G32" i="43"/>
  <c r="L32" i="43" s="1"/>
  <c r="G65" i="43"/>
  <c r="L65" i="43" s="1"/>
  <c r="G107" i="43"/>
  <c r="L107" i="43" s="1"/>
  <c r="G93" i="43"/>
  <c r="L93" i="43" s="1"/>
  <c r="G116" i="43"/>
  <c r="L116" i="43" s="1"/>
  <c r="G37" i="43"/>
  <c r="L37" i="43" s="1"/>
  <c r="G83" i="43"/>
  <c r="L83" i="43" s="1"/>
  <c r="G47" i="43"/>
  <c r="L47" i="43" s="1"/>
  <c r="G104" i="43"/>
  <c r="L104" i="43" s="1"/>
  <c r="G87" i="43"/>
  <c r="L87" i="43" s="1"/>
  <c r="G22" i="43"/>
  <c r="L22" i="43" s="1"/>
  <c r="G13" i="43"/>
  <c r="L13" i="43" s="1"/>
  <c r="G34" i="43"/>
  <c r="L34" i="43" s="1"/>
  <c r="G56" i="43"/>
  <c r="L56" i="43" s="1"/>
  <c r="G49" i="43"/>
  <c r="L49" i="43" s="1"/>
  <c r="G109" i="43"/>
  <c r="L109" i="43" s="1"/>
  <c r="G63" i="43"/>
  <c r="L63" i="43" s="1"/>
  <c r="G43" i="43"/>
  <c r="L43" i="43" s="1"/>
  <c r="G17" i="43"/>
  <c r="L17" i="43" s="1"/>
  <c r="G27" i="43"/>
  <c r="L27" i="43" s="1"/>
  <c r="G105" i="43"/>
  <c r="L105" i="43" s="1"/>
  <c r="G20" i="43"/>
  <c r="L20" i="43" s="1"/>
  <c r="G8" i="43"/>
  <c r="L8" i="43" s="1"/>
  <c r="G96" i="43"/>
  <c r="L96" i="43" s="1"/>
  <c r="G90" i="43"/>
  <c r="L90" i="43" s="1"/>
  <c r="G45" i="43"/>
  <c r="L45" i="43" s="1"/>
  <c r="G53" i="43"/>
  <c r="L53" i="43" s="1"/>
  <c r="G21" i="43"/>
  <c r="L21" i="43" s="1"/>
  <c r="G38" i="43"/>
  <c r="L38" i="43" s="1"/>
  <c r="G115" i="43"/>
  <c r="L115" i="43" s="1"/>
  <c r="G51" i="43"/>
  <c r="L51" i="43" s="1"/>
  <c r="G4" i="8"/>
  <c r="P4" i="8" s="1"/>
  <c r="G106" i="8"/>
  <c r="P106" i="8" s="1"/>
  <c r="G144" i="8"/>
  <c r="P144" i="8" s="1"/>
  <c r="G59" i="8"/>
  <c r="P59" i="8" s="1"/>
  <c r="G94" i="8"/>
  <c r="P94" i="8" s="1"/>
  <c r="G61" i="8"/>
  <c r="P61" i="8" s="1"/>
  <c r="G104" i="8"/>
  <c r="P104" i="8" s="1"/>
  <c r="G39" i="8"/>
  <c r="P39" i="8" s="1"/>
  <c r="G21" i="8"/>
  <c r="P21" i="8" s="1"/>
  <c r="G120" i="8"/>
  <c r="P120" i="8" s="1"/>
  <c r="G81" i="8"/>
  <c r="P81" i="8" s="1"/>
  <c r="F89" i="8"/>
  <c r="F138" i="8"/>
  <c r="F51" i="8"/>
  <c r="F56" i="8"/>
  <c r="F55" i="8"/>
  <c r="F174" i="8"/>
  <c r="F143" i="8"/>
  <c r="F118" i="8"/>
  <c r="F113" i="8"/>
  <c r="F53" i="8"/>
  <c r="F163" i="8"/>
  <c r="F160" i="8"/>
  <c r="F105" i="8"/>
  <c r="F124" i="8"/>
  <c r="F92" i="8"/>
  <c r="F90" i="8"/>
  <c r="F11" i="8"/>
  <c r="F42" i="8"/>
  <c r="F159" i="8"/>
  <c r="T1" i="1"/>
  <c r="G113" i="43"/>
  <c r="L113" i="43" s="1"/>
  <c r="G94" i="43"/>
  <c r="L94" i="43" s="1"/>
  <c r="G33" i="43"/>
  <c r="L33" i="43" s="1"/>
  <c r="G85" i="43"/>
  <c r="L85" i="43" s="1"/>
  <c r="I13" i="28"/>
  <c r="L13" i="28" s="1"/>
  <c r="G28" i="43"/>
  <c r="L28" i="43" s="1"/>
  <c r="G52" i="43"/>
  <c r="L52" i="43" s="1"/>
  <c r="G95" i="43"/>
  <c r="L95" i="43" s="1"/>
  <c r="G57" i="43"/>
  <c r="L57" i="43" s="1"/>
  <c r="G67" i="43"/>
  <c r="L67" i="43" s="1"/>
  <c r="I31" i="8"/>
  <c r="R31" i="8" s="1"/>
  <c r="I29" i="8"/>
  <c r="R29" i="8" s="1"/>
  <c r="I119" i="8"/>
  <c r="R119" i="8" s="1"/>
  <c r="I34" i="8"/>
  <c r="R34" i="8" s="1"/>
  <c r="I40" i="8"/>
  <c r="R40" i="8" s="1"/>
  <c r="I102" i="8"/>
  <c r="R102" i="8" s="1"/>
  <c r="I114" i="8"/>
  <c r="R114" i="8" s="1"/>
  <c r="I132" i="8"/>
  <c r="R132" i="8" s="1"/>
  <c r="I69" i="8"/>
  <c r="R69" i="8" s="1"/>
  <c r="I38" i="8"/>
  <c r="R38" i="8" s="1"/>
  <c r="X201" i="1"/>
  <c r="F141" i="8"/>
  <c r="X194" i="1"/>
  <c r="AB201" i="1"/>
  <c r="AB29" i="1"/>
  <c r="AB20" i="1"/>
  <c r="AB37" i="1"/>
  <c r="AB44" i="1"/>
  <c r="AB73" i="1"/>
  <c r="AB77" i="1"/>
  <c r="AB82" i="1"/>
  <c r="AB98" i="1"/>
  <c r="AB125" i="1"/>
  <c r="AB132" i="1"/>
  <c r="AB136" i="1"/>
  <c r="O140" i="1"/>
  <c r="AB154" i="1"/>
  <c r="AB191" i="1"/>
  <c r="AB238" i="1"/>
  <c r="AB5" i="1"/>
  <c r="AB27" i="1"/>
  <c r="AB9" i="1"/>
  <c r="AB28" i="1"/>
  <c r="AB30" i="1"/>
  <c r="AB84" i="1"/>
  <c r="AB86" i="1"/>
  <c r="AB130" i="1"/>
  <c r="AB149" i="1"/>
  <c r="AB172" i="1"/>
  <c r="AB221" i="1"/>
  <c r="AB39" i="1"/>
  <c r="AB49" i="1"/>
  <c r="AB57" i="1"/>
  <c r="AB95" i="1"/>
  <c r="AB115" i="1"/>
  <c r="AB146" i="1"/>
  <c r="AB180" i="1"/>
  <c r="AB190" i="1"/>
  <c r="AB230" i="1"/>
  <c r="AB244" i="1"/>
  <c r="AB175" i="1"/>
  <c r="AB186" i="1"/>
  <c r="AB208" i="1"/>
  <c r="AB224" i="1"/>
  <c r="AB237" i="1"/>
  <c r="AB19" i="1"/>
  <c r="AB52" i="1"/>
  <c r="AB54" i="1"/>
  <c r="AB70" i="1"/>
  <c r="AB78" i="1"/>
  <c r="AB126" i="1"/>
  <c r="AB137" i="1"/>
  <c r="AB145" i="1"/>
  <c r="AB171" i="1"/>
  <c r="AB193" i="1"/>
  <c r="AB228" i="1"/>
  <c r="AB60" i="1"/>
  <c r="AB74" i="1"/>
  <c r="AB89" i="1"/>
  <c r="AB101" i="1"/>
  <c r="AB116" i="1"/>
  <c r="AB133" i="1"/>
  <c r="AB169" i="1"/>
  <c r="AB173" i="1"/>
  <c r="AB181" i="1"/>
  <c r="AA181" i="1"/>
  <c r="AB206" i="1"/>
  <c r="AB182" i="1"/>
  <c r="AA5" i="1"/>
  <c r="AB46" i="1"/>
  <c r="AB56" i="1"/>
  <c r="AA56" i="1"/>
  <c r="AB31" i="1"/>
  <c r="AB42" i="1"/>
  <c r="AB85" i="1"/>
  <c r="AB141" i="1"/>
  <c r="AB150" i="1"/>
  <c r="AB162" i="1"/>
  <c r="AB164" i="1"/>
  <c r="AA164" i="1"/>
  <c r="AB243" i="1"/>
  <c r="AB11" i="1"/>
  <c r="AB23" i="1"/>
  <c r="AB48" i="1"/>
  <c r="AB12" i="1"/>
  <c r="AB17" i="1"/>
  <c r="AB96" i="1"/>
  <c r="AB223" i="1"/>
  <c r="AB227" i="1"/>
  <c r="AF51" i="1"/>
  <c r="O9" i="1"/>
  <c r="O12" i="1"/>
  <c r="AE22" i="1"/>
  <c r="M22" i="1"/>
  <c r="L22" i="1"/>
  <c r="AE23" i="1"/>
  <c r="M23" i="1"/>
  <c r="AE27" i="1"/>
  <c r="AE29" i="1"/>
  <c r="M29" i="1"/>
  <c r="AE31" i="1"/>
  <c r="AE38" i="1"/>
  <c r="M38" i="1"/>
  <c r="AE40" i="1"/>
  <c r="M40" i="1"/>
  <c r="AE41" i="1"/>
  <c r="AE42" i="1"/>
  <c r="AE43" i="1"/>
  <c r="M43" i="1"/>
  <c r="AE44" i="1"/>
  <c r="M44" i="1"/>
  <c r="AI52" i="1"/>
  <c r="P52" i="1"/>
  <c r="AI53" i="1"/>
  <c r="P53" i="1"/>
  <c r="AI54" i="1"/>
  <c r="P54" i="1"/>
  <c r="AI56" i="1"/>
  <c r="P56" i="1"/>
  <c r="O56" i="1"/>
  <c r="AI57" i="1"/>
  <c r="P57" i="1"/>
  <c r="AD60" i="1"/>
  <c r="AD64" i="1"/>
  <c r="AF68" i="1"/>
  <c r="AF72" i="1"/>
  <c r="AF73" i="1"/>
  <c r="N73" i="1"/>
  <c r="AF74" i="1"/>
  <c r="AE78" i="1"/>
  <c r="M78" i="1"/>
  <c r="AE79" i="1"/>
  <c r="M79" i="1"/>
  <c r="AI89" i="1"/>
  <c r="P89" i="1"/>
  <c r="AF91" i="1"/>
  <c r="N91" i="1"/>
  <c r="AF93" i="1"/>
  <c r="N93" i="1"/>
  <c r="AF95" i="1"/>
  <c r="N95" i="1"/>
  <c r="AF96" i="1"/>
  <c r="N96" i="1"/>
  <c r="AF99" i="1"/>
  <c r="N99" i="1"/>
  <c r="AF100" i="1"/>
  <c r="AD112" i="1"/>
  <c r="L112" i="1"/>
  <c r="AD116" i="1"/>
  <c r="AD146" i="1"/>
  <c r="L146" i="1"/>
  <c r="AD147" i="1"/>
  <c r="L147" i="1"/>
  <c r="AD149" i="1"/>
  <c r="AD150" i="1"/>
  <c r="AD151" i="1"/>
  <c r="AD153" i="1"/>
  <c r="AD154" i="1"/>
  <c r="AI162" i="1"/>
  <c r="P162" i="1"/>
  <c r="AI164" i="1"/>
  <c r="O164" i="1"/>
  <c r="AI169" i="1"/>
  <c r="AI171" i="1"/>
  <c r="P171" i="1"/>
  <c r="AI172" i="1"/>
  <c r="P172" i="1"/>
  <c r="AI173" i="1"/>
  <c r="AI175" i="1"/>
  <c r="AD178" i="1"/>
  <c r="AF180" i="1"/>
  <c r="N180" i="1"/>
  <c r="AF183" i="1"/>
  <c r="N183" i="1"/>
  <c r="AD185" i="1"/>
  <c r="AD191" i="1"/>
  <c r="L191" i="1"/>
  <c r="AD192" i="1"/>
  <c r="L192" i="1"/>
  <c r="AD193" i="1"/>
  <c r="L193" i="1"/>
  <c r="AD194" i="1"/>
  <c r="L194" i="1"/>
  <c r="AI201" i="1"/>
  <c r="P201" i="1"/>
  <c r="AE206" i="1"/>
  <c r="AE208" i="1"/>
  <c r="M208" i="1"/>
  <c r="AE210" i="1"/>
  <c r="AF224" i="1"/>
  <c r="AF225" i="1"/>
  <c r="N225" i="1"/>
  <c r="AF226" i="1"/>
  <c r="N226" i="1"/>
  <c r="AF228" i="1"/>
  <c r="N228" i="1"/>
  <c r="AE239" i="1"/>
  <c r="AE246" i="1"/>
  <c r="M246" i="1"/>
  <c r="AE14" i="1"/>
  <c r="M14" i="1"/>
  <c r="AF53" i="1"/>
  <c r="N53" i="1"/>
  <c r="AI9" i="1"/>
  <c r="P9" i="1"/>
  <c r="AI11" i="1"/>
  <c r="P11" i="1"/>
  <c r="AI12" i="1"/>
  <c r="P12" i="1"/>
  <c r="AF19" i="1"/>
  <c r="AF21" i="1"/>
  <c r="AF27" i="1"/>
  <c r="AF28" i="1"/>
  <c r="N28" i="1"/>
  <c r="AF30" i="1"/>
  <c r="N30" i="1"/>
  <c r="AF31" i="1"/>
  <c r="AD34" i="1"/>
  <c r="AF37" i="1"/>
  <c r="N37" i="1"/>
  <c r="AF38" i="1"/>
  <c r="N38" i="1"/>
  <c r="AF39" i="1"/>
  <c r="N39" i="1"/>
  <c r="AF41" i="1"/>
  <c r="AF43" i="1"/>
  <c r="N43" i="1"/>
  <c r="O48" i="1"/>
  <c r="AE61" i="1"/>
  <c r="L61" i="1"/>
  <c r="M61" i="1"/>
  <c r="AE62" i="1"/>
  <c r="M62" i="1"/>
  <c r="L62" i="1"/>
  <c r="AE66" i="1"/>
  <c r="M66" i="1"/>
  <c r="AF77" i="1"/>
  <c r="N77" i="1"/>
  <c r="AF79" i="1"/>
  <c r="N79" i="1"/>
  <c r="O84" i="1"/>
  <c r="O85" i="1"/>
  <c r="AI103" i="1"/>
  <c r="P103" i="1"/>
  <c r="AE112" i="1"/>
  <c r="M112" i="1"/>
  <c r="AE118" i="1"/>
  <c r="M118" i="1"/>
  <c r="AE146" i="1"/>
  <c r="AE147" i="1"/>
  <c r="M147" i="1"/>
  <c r="AE148" i="1"/>
  <c r="M148" i="1"/>
  <c r="AE152" i="1"/>
  <c r="M152" i="1"/>
  <c r="AE155" i="1"/>
  <c r="M155" i="1"/>
  <c r="AG181" i="1"/>
  <c r="N181" i="1"/>
  <c r="AE187" i="1"/>
  <c r="AE188" i="1"/>
  <c r="M188" i="1"/>
  <c r="L188" i="1"/>
  <c r="AE189" i="1"/>
  <c r="M189" i="1"/>
  <c r="AE190" i="1"/>
  <c r="AE191" i="1"/>
  <c r="AE192" i="1"/>
  <c r="M192" i="1"/>
  <c r="AE193" i="1"/>
  <c r="M193" i="1"/>
  <c r="AE194" i="1"/>
  <c r="M194" i="1"/>
  <c r="AF209" i="1"/>
  <c r="N209" i="1"/>
  <c r="AF210" i="1"/>
  <c r="AF215" i="1"/>
  <c r="AD230" i="1"/>
  <c r="AD232" i="1"/>
  <c r="L232" i="1"/>
  <c r="AD233" i="1"/>
  <c r="AF238" i="1"/>
  <c r="AF239" i="1"/>
  <c r="AF243" i="1"/>
  <c r="N243" i="1"/>
  <c r="AF244" i="1"/>
  <c r="AI182" i="1"/>
  <c r="P182" i="1"/>
  <c r="AE10" i="1"/>
  <c r="L10" i="1"/>
  <c r="M10" i="1"/>
  <c r="AH5" i="1"/>
  <c r="O5" i="1"/>
  <c r="AE17" i="1"/>
  <c r="M17" i="1"/>
  <c r="AG22" i="1"/>
  <c r="N22" i="1"/>
  <c r="AE33" i="1"/>
  <c r="AE35" i="1"/>
  <c r="M35" i="1"/>
  <c r="L35" i="1"/>
  <c r="AI46" i="1"/>
  <c r="P46" i="1"/>
  <c r="AI48" i="1"/>
  <c r="AI49" i="1"/>
  <c r="P49" i="1"/>
  <c r="AF60" i="1"/>
  <c r="N60" i="1"/>
  <c r="AF62" i="1"/>
  <c r="N62" i="1"/>
  <c r="AF64" i="1"/>
  <c r="N64" i="1"/>
  <c r="O74" i="1"/>
  <c r="AI82" i="1"/>
  <c r="P82" i="1"/>
  <c r="AI84" i="1"/>
  <c r="P84" i="1"/>
  <c r="AI85" i="1"/>
  <c r="P85" i="1"/>
  <c r="AI86" i="1"/>
  <c r="P86" i="1"/>
  <c r="O98" i="1"/>
  <c r="O101" i="1"/>
  <c r="AF114" i="1"/>
  <c r="AF118" i="1"/>
  <c r="N118" i="1"/>
  <c r="AD121" i="1"/>
  <c r="AD122" i="1"/>
  <c r="L124" i="1"/>
  <c r="AD125" i="1"/>
  <c r="AD126" i="1"/>
  <c r="AD128" i="1"/>
  <c r="L128" i="1"/>
  <c r="AD132" i="1"/>
  <c r="L132" i="1"/>
  <c r="L134" i="1"/>
  <c r="AD135" i="1"/>
  <c r="AD136" i="1"/>
  <c r="L136" i="1"/>
  <c r="AD138" i="1"/>
  <c r="AD143" i="1"/>
  <c r="L143" i="1"/>
  <c r="AF145" i="1"/>
  <c r="N145" i="1"/>
  <c r="AF146" i="1"/>
  <c r="AF147" i="1"/>
  <c r="N147" i="1"/>
  <c r="AF150" i="1"/>
  <c r="AF151" i="1"/>
  <c r="N151" i="1"/>
  <c r="AF154" i="1"/>
  <c r="AF155" i="1"/>
  <c r="N155" i="1"/>
  <c r="AF156" i="1"/>
  <c r="N156" i="1"/>
  <c r="AF185" i="1"/>
  <c r="N185" i="1"/>
  <c r="AF186" i="1"/>
  <c r="AF187" i="1"/>
  <c r="AF191" i="1"/>
  <c r="AF192" i="1"/>
  <c r="N192" i="1"/>
  <c r="AF194" i="1"/>
  <c r="N194" i="1"/>
  <c r="O223" i="1"/>
  <c r="AE232" i="1"/>
  <c r="M232" i="1"/>
  <c r="AE11" i="1"/>
  <c r="M11" i="1"/>
  <c r="AF52" i="1"/>
  <c r="N52" i="1"/>
  <c r="AI5" i="1"/>
  <c r="P5" i="1"/>
  <c r="AF16" i="1"/>
  <c r="N16" i="1"/>
  <c r="O20" i="1"/>
  <c r="O28" i="1"/>
  <c r="AF33" i="1"/>
  <c r="AF35" i="1"/>
  <c r="N35" i="1"/>
  <c r="O39" i="1"/>
  <c r="O44" i="1"/>
  <c r="AD51" i="1"/>
  <c r="L51" i="1"/>
  <c r="AD52" i="1"/>
  <c r="AD56" i="1"/>
  <c r="AD57" i="1"/>
  <c r="AD58" i="1"/>
  <c r="AG61" i="1"/>
  <c r="N61" i="1"/>
  <c r="AI70" i="1"/>
  <c r="P70" i="1"/>
  <c r="AI73" i="1"/>
  <c r="P73" i="1"/>
  <c r="AI74" i="1"/>
  <c r="AD88" i="1"/>
  <c r="L88" i="1"/>
  <c r="AI95" i="1"/>
  <c r="P95" i="1"/>
  <c r="AI96" i="1"/>
  <c r="P96" i="1"/>
  <c r="AI98" i="1"/>
  <c r="P98" i="1"/>
  <c r="AI101" i="1"/>
  <c r="AE128" i="1"/>
  <c r="AE130" i="1"/>
  <c r="AE132" i="1"/>
  <c r="M132" i="1"/>
  <c r="AE136" i="1"/>
  <c r="AE139" i="1"/>
  <c r="L139" i="1"/>
  <c r="AE141" i="1"/>
  <c r="M141" i="1"/>
  <c r="AE142" i="1"/>
  <c r="M142" i="1"/>
  <c r="AE143" i="1"/>
  <c r="M143" i="1"/>
  <c r="AD162" i="1"/>
  <c r="AD169" i="1"/>
  <c r="AD172" i="1"/>
  <c r="AD173" i="1"/>
  <c r="AD174" i="1"/>
  <c r="AD176" i="1"/>
  <c r="L176" i="1"/>
  <c r="AI180" i="1"/>
  <c r="P180" i="1"/>
  <c r="AI181" i="1"/>
  <c r="O181" i="1"/>
  <c r="P181" i="1"/>
  <c r="P183" i="1"/>
  <c r="W183" i="1" s="1"/>
  <c r="AD197" i="1"/>
  <c r="AD198" i="1"/>
  <c r="L198" i="1"/>
  <c r="AD201" i="1"/>
  <c r="L201" i="1"/>
  <c r="O208" i="1"/>
  <c r="AI223" i="1"/>
  <c r="P223" i="1"/>
  <c r="AI224" i="1"/>
  <c r="AI227" i="1"/>
  <c r="AI228" i="1"/>
  <c r="P228" i="1"/>
  <c r="AF230" i="1"/>
  <c r="N230" i="1"/>
  <c r="AF231" i="1"/>
  <c r="AF235" i="1"/>
  <c r="O237" i="1"/>
  <c r="O238" i="1"/>
  <c r="AE182" i="1"/>
  <c r="M182" i="1"/>
  <c r="O182" i="1"/>
  <c r="AE8" i="1"/>
  <c r="M8" i="1"/>
  <c r="AD46" i="1"/>
  <c r="AD12" i="1"/>
  <c r="AD14" i="1"/>
  <c r="L14" i="1"/>
  <c r="AI19" i="1"/>
  <c r="AI20" i="1"/>
  <c r="P20" i="1"/>
  <c r="AI23" i="1"/>
  <c r="P23" i="1"/>
  <c r="AI27" i="1"/>
  <c r="AI28" i="1"/>
  <c r="P28" i="1"/>
  <c r="AI29" i="1"/>
  <c r="P29" i="1"/>
  <c r="AI30" i="1"/>
  <c r="P30" i="1"/>
  <c r="AI31" i="1"/>
  <c r="AI37" i="1"/>
  <c r="P37" i="1"/>
  <c r="AI39" i="1"/>
  <c r="P39" i="1"/>
  <c r="AI40" i="1"/>
  <c r="AI42" i="1"/>
  <c r="AI44" i="1"/>
  <c r="P44" i="1"/>
  <c r="AE51" i="1"/>
  <c r="AE54" i="1"/>
  <c r="M54" i="1"/>
  <c r="AE55" i="1"/>
  <c r="M55" i="1"/>
  <c r="O60" i="1"/>
  <c r="AI77" i="1"/>
  <c r="P77" i="1"/>
  <c r="AI78" i="1"/>
  <c r="P78" i="1"/>
  <c r="AE88" i="1"/>
  <c r="M88" i="1"/>
  <c r="AF122" i="1"/>
  <c r="AF123" i="1"/>
  <c r="N123" i="1"/>
  <c r="AF124" i="1"/>
  <c r="AF125" i="1"/>
  <c r="N125" i="1"/>
  <c r="AF128" i="1"/>
  <c r="AF129" i="1"/>
  <c r="N129" i="1"/>
  <c r="AF133" i="1"/>
  <c r="N133" i="1"/>
  <c r="AF137" i="1"/>
  <c r="AF138" i="1"/>
  <c r="N138" i="1"/>
  <c r="AF139" i="1"/>
  <c r="AF140" i="1"/>
  <c r="AF141" i="1"/>
  <c r="N141" i="1"/>
  <c r="O145" i="1"/>
  <c r="O146" i="1"/>
  <c r="O149" i="1"/>
  <c r="O150" i="1"/>
  <c r="O154" i="1"/>
  <c r="AE164" i="1"/>
  <c r="AE165" i="1"/>
  <c r="M165" i="1"/>
  <c r="AE168" i="1"/>
  <c r="L168" i="1"/>
  <c r="AE176" i="1"/>
  <c r="M176" i="1"/>
  <c r="O191" i="1"/>
  <c r="O193" i="1"/>
  <c r="AE198" i="1"/>
  <c r="M198" i="1"/>
  <c r="AE199" i="1"/>
  <c r="M199" i="1"/>
  <c r="AE201" i="1"/>
  <c r="M201" i="1"/>
  <c r="AI206" i="1"/>
  <c r="AI208" i="1"/>
  <c r="P208" i="1"/>
  <c r="O221" i="1"/>
  <c r="AI237" i="1"/>
  <c r="P237" i="1"/>
  <c r="AI238" i="1"/>
  <c r="AI243" i="1"/>
  <c r="P243" i="1"/>
  <c r="AI244" i="1"/>
  <c r="AF56" i="1"/>
  <c r="N56" i="1"/>
  <c r="AI60" i="1"/>
  <c r="P60" i="1"/>
  <c r="AD84" i="1"/>
  <c r="AF88" i="1"/>
  <c r="N88" i="1"/>
  <c r="AI116" i="1"/>
  <c r="AG131" i="1"/>
  <c r="N131" i="1"/>
  <c r="AI145" i="1"/>
  <c r="P145" i="1"/>
  <c r="AI146" i="1"/>
  <c r="AI149" i="1"/>
  <c r="P149" i="1"/>
  <c r="AI150" i="1"/>
  <c r="AI154" i="1"/>
  <c r="AF162" i="1"/>
  <c r="N162" i="1"/>
  <c r="AF164" i="1"/>
  <c r="AF165" i="1"/>
  <c r="N165" i="1"/>
  <c r="AF168" i="1"/>
  <c r="AF169" i="1"/>
  <c r="AF170" i="1"/>
  <c r="AF171" i="1"/>
  <c r="N171" i="1"/>
  <c r="AF172" i="1"/>
  <c r="N172" i="1"/>
  <c r="AF173" i="1"/>
  <c r="AI185" i="1"/>
  <c r="P185" i="1"/>
  <c r="AI186" i="1"/>
  <c r="AI190" i="1"/>
  <c r="AI191" i="1"/>
  <c r="AI193" i="1"/>
  <c r="P193" i="1"/>
  <c r="AF199" i="1"/>
  <c r="N199" i="1"/>
  <c r="AI221" i="1"/>
  <c r="P221" i="1"/>
  <c r="O234" i="1"/>
  <c r="AD7" i="1"/>
  <c r="AF58" i="1"/>
  <c r="N58" i="1"/>
  <c r="AD83" i="1"/>
  <c r="AE103" i="1"/>
  <c r="M103" i="1"/>
  <c r="AI115" i="1"/>
  <c r="P115" i="1"/>
  <c r="AF8" i="1"/>
  <c r="N8" i="1"/>
  <c r="AF10" i="1"/>
  <c r="N10" i="1"/>
  <c r="AF11" i="1"/>
  <c r="N11" i="1"/>
  <c r="AF13" i="1"/>
  <c r="AF14" i="1"/>
  <c r="N14" i="1"/>
  <c r="AI17" i="1"/>
  <c r="P17" i="1"/>
  <c r="AE47" i="1"/>
  <c r="M47" i="1"/>
  <c r="AE48" i="1"/>
  <c r="AD68" i="1"/>
  <c r="L68" i="1"/>
  <c r="AD71" i="1"/>
  <c r="AD73" i="1"/>
  <c r="AD75" i="1"/>
  <c r="AD76" i="1"/>
  <c r="L76" i="1"/>
  <c r="AE82" i="1"/>
  <c r="M82" i="1"/>
  <c r="AD92" i="1"/>
  <c r="AD93" i="1"/>
  <c r="L93" i="1"/>
  <c r="AD94" i="1"/>
  <c r="L94" i="1"/>
  <c r="AD97" i="1"/>
  <c r="L97" i="1"/>
  <c r="AD99" i="1"/>
  <c r="AD100" i="1"/>
  <c r="L100" i="1"/>
  <c r="AF103" i="1"/>
  <c r="N103" i="1"/>
  <c r="AF104" i="1"/>
  <c r="AF109" i="1"/>
  <c r="N109" i="1"/>
  <c r="O125" i="1"/>
  <c r="O130" i="1"/>
  <c r="O133" i="1"/>
  <c r="O136" i="1"/>
  <c r="O137" i="1"/>
  <c r="AA140" i="1"/>
  <c r="AH140" i="1"/>
  <c r="AD159" i="1"/>
  <c r="AD180" i="1"/>
  <c r="AD183" i="1"/>
  <c r="AG197" i="1"/>
  <c r="N197" i="1"/>
  <c r="AG202" i="1"/>
  <c r="N202" i="1"/>
  <c r="AD223" i="1"/>
  <c r="AD224" i="1"/>
  <c r="AD226" i="1"/>
  <c r="L226" i="1"/>
  <c r="AI230" i="1"/>
  <c r="P230" i="1"/>
  <c r="L182" i="1"/>
  <c r="AD48" i="1"/>
  <c r="L48" i="1"/>
  <c r="AF55" i="1"/>
  <c r="N55" i="1"/>
  <c r="AF89" i="1"/>
  <c r="N89" i="1"/>
  <c r="AE104" i="1"/>
  <c r="L104" i="1"/>
  <c r="AF6" i="1"/>
  <c r="AD20" i="1"/>
  <c r="AD21" i="1"/>
  <c r="AD27" i="1"/>
  <c r="L27" i="1"/>
  <c r="AD31" i="1"/>
  <c r="L31" i="1"/>
  <c r="AD37" i="1"/>
  <c r="AD38" i="1"/>
  <c r="L38" i="1"/>
  <c r="AD42" i="1"/>
  <c r="L42" i="1"/>
  <c r="AD44" i="1"/>
  <c r="L44" i="1"/>
  <c r="AF47" i="1"/>
  <c r="N47" i="1"/>
  <c r="AF49" i="1"/>
  <c r="N49" i="1"/>
  <c r="O57" i="1"/>
  <c r="AE68" i="1"/>
  <c r="AE70" i="1"/>
  <c r="M70" i="1"/>
  <c r="AE72" i="1"/>
  <c r="AE74" i="1"/>
  <c r="AE76" i="1"/>
  <c r="AF81" i="1"/>
  <c r="N81" i="1"/>
  <c r="AF84" i="1"/>
  <c r="N84" i="1"/>
  <c r="AF85" i="1"/>
  <c r="N85" i="1"/>
  <c r="O89" i="1"/>
  <c r="AE93" i="1"/>
  <c r="M93" i="1"/>
  <c r="AE94" i="1"/>
  <c r="M94" i="1"/>
  <c r="AE96" i="1"/>
  <c r="M96" i="1"/>
  <c r="AE97" i="1"/>
  <c r="M97" i="1"/>
  <c r="AE100" i="1"/>
  <c r="AI125" i="1"/>
  <c r="P125" i="1"/>
  <c r="AI126" i="1"/>
  <c r="P126" i="1"/>
  <c r="AI130" i="1"/>
  <c r="AI132" i="1"/>
  <c r="P132" i="1"/>
  <c r="AI133" i="1"/>
  <c r="P133" i="1"/>
  <c r="AI134" i="1"/>
  <c r="AI136" i="1"/>
  <c r="AI137" i="1"/>
  <c r="AI140" i="1"/>
  <c r="AI141" i="1"/>
  <c r="P141" i="1"/>
  <c r="O171" i="1"/>
  <c r="O175" i="1"/>
  <c r="O201" i="1"/>
  <c r="AD208" i="1"/>
  <c r="L208" i="1"/>
  <c r="AD209" i="1"/>
  <c r="AD212" i="1"/>
  <c r="AE225" i="1"/>
  <c r="M225" i="1"/>
  <c r="AE226" i="1"/>
  <c r="M226" i="1"/>
  <c r="AE227" i="1"/>
  <c r="AE228" i="1"/>
  <c r="M228" i="1"/>
  <c r="AD237" i="1"/>
  <c r="AD238" i="1"/>
  <c r="AD243" i="1"/>
  <c r="AD244" i="1"/>
  <c r="AF182" i="1"/>
  <c r="N182" i="1"/>
  <c r="AG51" i="1"/>
  <c r="AG169" i="1"/>
  <c r="AG48" i="1"/>
  <c r="L7" i="1"/>
  <c r="L34" i="1"/>
  <c r="AG101" i="1"/>
  <c r="AG19" i="1"/>
  <c r="AG27" i="1"/>
  <c r="L37" i="1"/>
  <c r="AG41" i="1"/>
  <c r="L84" i="1"/>
  <c r="AG31" i="1"/>
  <c r="L159" i="1"/>
  <c r="AG190" i="1"/>
  <c r="AG206" i="1"/>
  <c r="AG114" i="1"/>
  <c r="AG124" i="1"/>
  <c r="AG210" i="1"/>
  <c r="AG122" i="1"/>
  <c r="L233" i="1"/>
  <c r="AG146" i="1"/>
  <c r="AG191" i="1"/>
  <c r="AG227" i="1"/>
  <c r="AG136" i="1"/>
  <c r="AG173" i="1"/>
  <c r="L180" i="1"/>
  <c r="AG72" i="1"/>
  <c r="L73" i="1"/>
  <c r="O103" i="1"/>
  <c r="AG13" i="1"/>
  <c r="AG42" i="1"/>
  <c r="AG74" i="1"/>
  <c r="AG6" i="1"/>
  <c r="L20" i="1"/>
  <c r="AG21" i="1"/>
  <c r="AG33" i="1"/>
  <c r="L75" i="1"/>
  <c r="O40" i="1"/>
  <c r="V40" i="1" s="1"/>
  <c r="AP40" i="1" s="1"/>
  <c r="L56" i="1"/>
  <c r="AG116" i="1"/>
  <c r="AG130" i="1"/>
  <c r="AG68" i="1"/>
  <c r="O124" i="1"/>
  <c r="L92" i="1"/>
  <c r="AG100" i="1"/>
  <c r="L99" i="1"/>
  <c r="AG104" i="1"/>
  <c r="AG137" i="1"/>
  <c r="AG154" i="1"/>
  <c r="AG139" i="1"/>
  <c r="AG128" i="1"/>
  <c r="AG140" i="1"/>
  <c r="AG163" i="1"/>
  <c r="AG164" i="1"/>
  <c r="L162" i="1"/>
  <c r="L150" i="1"/>
  <c r="AG168" i="1"/>
  <c r="L174" i="1"/>
  <c r="AG150" i="1"/>
  <c r="O190" i="1"/>
  <c r="AG175" i="1"/>
  <c r="AG170" i="1"/>
  <c r="AG187" i="1"/>
  <c r="L178" i="1"/>
  <c r="AG186" i="1"/>
  <c r="AG224" i="1"/>
  <c r="L243" i="1"/>
  <c r="L209" i="1"/>
  <c r="L223" i="1"/>
  <c r="AG244" i="1"/>
  <c r="AG231" i="1"/>
  <c r="L237" i="1"/>
  <c r="AG215" i="1"/>
  <c r="AG238" i="1"/>
  <c r="O235" i="1"/>
  <c r="L230" i="1"/>
  <c r="AG235" i="1"/>
  <c r="AD245" i="1"/>
  <c r="L238" i="1"/>
  <c r="AG239" i="1"/>
  <c r="AG245" i="1"/>
  <c r="I327" i="12" l="1"/>
  <c r="K327" i="12" s="1"/>
  <c r="I317" i="12"/>
  <c r="K317" i="12" s="1"/>
  <c r="K294" i="12"/>
  <c r="AB183" i="1"/>
  <c r="AQ183" i="1"/>
  <c r="I206" i="12"/>
  <c r="K206" i="12" s="1"/>
  <c r="I39" i="12"/>
  <c r="K39" i="12" s="1"/>
  <c r="I261" i="12"/>
  <c r="K261" i="12" s="1"/>
  <c r="I238" i="12"/>
  <c r="K238" i="12" s="1"/>
  <c r="I282" i="12"/>
  <c r="K282" i="12" s="1"/>
  <c r="I210" i="12"/>
  <c r="K210" i="12" s="1"/>
  <c r="I195" i="12"/>
  <c r="K195" i="12" s="1"/>
  <c r="I72" i="12"/>
  <c r="K72" i="12" s="1"/>
  <c r="I130" i="12"/>
  <c r="K130" i="12" s="1"/>
  <c r="I115" i="12"/>
  <c r="K115" i="12" s="1"/>
  <c r="O170" i="8"/>
  <c r="G329" i="12"/>
  <c r="I329" i="12" s="1"/>
  <c r="K329" i="12" s="1"/>
  <c r="O123" i="8"/>
  <c r="G244" i="12"/>
  <c r="I244" i="12" s="1"/>
  <c r="K244" i="12" s="1"/>
  <c r="O159" i="8"/>
  <c r="G312" i="12"/>
  <c r="I312" i="12" s="1"/>
  <c r="K312" i="12" s="1"/>
  <c r="O100" i="8"/>
  <c r="G196" i="12"/>
  <c r="O25" i="8"/>
  <c r="G47" i="12"/>
  <c r="I47" i="12" s="1"/>
  <c r="K47" i="12" s="1"/>
  <c r="O32" i="8"/>
  <c r="G60" i="12"/>
  <c r="I60" i="12" s="1"/>
  <c r="K60" i="12" s="1"/>
  <c r="O138" i="8"/>
  <c r="G271" i="12"/>
  <c r="I271" i="12" s="1"/>
  <c r="K271" i="12" s="1"/>
  <c r="O118" i="8"/>
  <c r="G234" i="12"/>
  <c r="I234" i="12" s="1"/>
  <c r="K234" i="12" s="1"/>
  <c r="O87" i="8"/>
  <c r="G166" i="12"/>
  <c r="I166" i="12" s="1"/>
  <c r="K166" i="12" s="1"/>
  <c r="O42" i="8"/>
  <c r="G78" i="12"/>
  <c r="I78" i="12" s="1"/>
  <c r="K78" i="12" s="1"/>
  <c r="O143" i="8"/>
  <c r="G280" i="12"/>
  <c r="I280" i="12" s="1"/>
  <c r="K280" i="12" s="1"/>
  <c r="O49" i="8"/>
  <c r="G91" i="12"/>
  <c r="I91" i="12" s="1"/>
  <c r="K91" i="12" s="1"/>
  <c r="O5" i="8"/>
  <c r="G10" i="12"/>
  <c r="I10" i="12" s="1"/>
  <c r="K10" i="12" s="1"/>
  <c r="O60" i="8"/>
  <c r="G113" i="12"/>
  <c r="I113" i="12" s="1"/>
  <c r="K113" i="12" s="1"/>
  <c r="O105" i="8"/>
  <c r="G208" i="12"/>
  <c r="I208" i="12" s="1"/>
  <c r="K208" i="12" s="1"/>
  <c r="O160" i="8"/>
  <c r="G314" i="12"/>
  <c r="I314" i="12" s="1"/>
  <c r="K314" i="12" s="1"/>
  <c r="P169" i="8"/>
  <c r="O63" i="8"/>
  <c r="G118" i="12"/>
  <c r="I118" i="12" s="1"/>
  <c r="K118" i="12" s="1"/>
  <c r="O93" i="8"/>
  <c r="G177" i="12"/>
  <c r="I177" i="12" s="1"/>
  <c r="K177" i="12" s="1"/>
  <c r="O70" i="8"/>
  <c r="G131" i="12"/>
  <c r="O17" i="8"/>
  <c r="G30" i="12"/>
  <c r="I30" i="12" s="1"/>
  <c r="K30" i="12" s="1"/>
  <c r="O89" i="8"/>
  <c r="G170" i="12"/>
  <c r="I170" i="12" s="1"/>
  <c r="K170" i="12" s="1"/>
  <c r="O174" i="8"/>
  <c r="G337" i="12"/>
  <c r="I337" i="12" s="1"/>
  <c r="K337" i="12" s="1"/>
  <c r="O71" i="8"/>
  <c r="G133" i="12"/>
  <c r="I133" i="12" s="1"/>
  <c r="K133" i="12" s="1"/>
  <c r="O124" i="8"/>
  <c r="G246" i="12"/>
  <c r="K246" i="12" s="1"/>
  <c r="O11" i="8"/>
  <c r="G20" i="12"/>
  <c r="I20" i="12" s="1"/>
  <c r="K20" i="12" s="1"/>
  <c r="O110" i="8"/>
  <c r="G219" i="12"/>
  <c r="I219" i="12" s="1"/>
  <c r="K219" i="12" s="1"/>
  <c r="O113" i="8"/>
  <c r="G225" i="12"/>
  <c r="O109" i="8"/>
  <c r="G217" i="12"/>
  <c r="I217" i="12" s="1"/>
  <c r="K217" i="12" s="1"/>
  <c r="O73" i="8"/>
  <c r="G137" i="12"/>
  <c r="I137" i="12" s="1"/>
  <c r="K137" i="12" s="1"/>
  <c r="O98" i="8"/>
  <c r="G191" i="12"/>
  <c r="K191" i="12" s="1"/>
  <c r="O90" i="8"/>
  <c r="G172" i="12"/>
  <c r="I172" i="12" s="1"/>
  <c r="K172" i="12" s="1"/>
  <c r="O55" i="8"/>
  <c r="G103" i="12"/>
  <c r="K103" i="12" s="1"/>
  <c r="O141" i="8"/>
  <c r="G276" i="12"/>
  <c r="K276" i="12" s="1"/>
  <c r="O56" i="8"/>
  <c r="G105" i="12"/>
  <c r="I105" i="12" s="1"/>
  <c r="K105" i="12" s="1"/>
  <c r="O78" i="8"/>
  <c r="G147" i="12"/>
  <c r="I147" i="12" s="1"/>
  <c r="K147" i="12" s="1"/>
  <c r="O151" i="8"/>
  <c r="G297" i="12"/>
  <c r="I297" i="12" s="1"/>
  <c r="K297" i="12" s="1"/>
  <c r="O164" i="8"/>
  <c r="G320" i="12"/>
  <c r="I320" i="12" s="1"/>
  <c r="K320" i="12" s="1"/>
  <c r="O44" i="8"/>
  <c r="G82" i="12"/>
  <c r="I82" i="12" s="1"/>
  <c r="K82" i="12" s="1"/>
  <c r="O158" i="8"/>
  <c r="G310" i="12"/>
  <c r="I310" i="12" s="1"/>
  <c r="K310" i="12" s="1"/>
  <c r="O126" i="8"/>
  <c r="G250" i="12"/>
  <c r="I250" i="12" s="1"/>
  <c r="K250" i="12" s="1"/>
  <c r="O76" i="8"/>
  <c r="G143" i="12"/>
  <c r="I143" i="12" s="1"/>
  <c r="K143" i="12" s="1"/>
  <c r="O125" i="8"/>
  <c r="G248" i="12"/>
  <c r="I248" i="12" s="1"/>
  <c r="K248" i="12" s="1"/>
  <c r="O150" i="8"/>
  <c r="G295" i="12"/>
  <c r="I295" i="12" s="1"/>
  <c r="O41" i="8"/>
  <c r="G76" i="12"/>
  <c r="I76" i="12" s="1"/>
  <c r="K76" i="12" s="1"/>
  <c r="O53" i="8"/>
  <c r="G98" i="12"/>
  <c r="I98" i="12" s="1"/>
  <c r="K98" i="12" s="1"/>
  <c r="O163" i="8"/>
  <c r="G318" i="12"/>
  <c r="O92" i="8"/>
  <c r="G175" i="12"/>
  <c r="I175" i="12" s="1"/>
  <c r="K175" i="12" s="1"/>
  <c r="O51" i="8"/>
  <c r="G95" i="12"/>
  <c r="I95" i="12" s="1"/>
  <c r="K95" i="12" s="1"/>
  <c r="O101" i="8"/>
  <c r="G198" i="12"/>
  <c r="K198" i="12" s="1"/>
  <c r="O137" i="8"/>
  <c r="G269" i="12"/>
  <c r="K269" i="12" s="1"/>
  <c r="Q12" i="9"/>
  <c r="Q6" i="9"/>
  <c r="Q4" i="9"/>
  <c r="Q5" i="9"/>
  <c r="Q11" i="9"/>
  <c r="Q3" i="9"/>
  <c r="Q7" i="9"/>
  <c r="Q8" i="9"/>
  <c r="Q9" i="9"/>
  <c r="Q13" i="9"/>
  <c r="Q10" i="9"/>
  <c r="AI183" i="1"/>
  <c r="G80" i="8"/>
  <c r="P80" i="8" s="1"/>
  <c r="G125" i="8"/>
  <c r="P125" i="8" s="1"/>
  <c r="G92" i="8"/>
  <c r="P92" i="8" s="1"/>
  <c r="G143" i="8"/>
  <c r="P143" i="8" s="1"/>
  <c r="G90" i="8"/>
  <c r="P90" i="8" s="1"/>
  <c r="G36" i="8"/>
  <c r="P36" i="8" s="1"/>
  <c r="G138" i="8"/>
  <c r="P138" i="8" s="1"/>
  <c r="G76" i="8"/>
  <c r="P76" i="8" s="1"/>
  <c r="G89" i="8"/>
  <c r="P89" i="8" s="1"/>
  <c r="G100" i="8"/>
  <c r="P100" i="8" s="1"/>
  <c r="G131" i="8"/>
  <c r="P131" i="8" s="1"/>
  <c r="G105" i="8"/>
  <c r="P105" i="8" s="1"/>
  <c r="G137" i="8"/>
  <c r="P137" i="8" s="1"/>
  <c r="G53" i="8"/>
  <c r="P53" i="8" s="1"/>
  <c r="G159" i="8"/>
  <c r="P159" i="8" s="1"/>
  <c r="G171" i="8"/>
  <c r="G56" i="8"/>
  <c r="P56" i="8" s="1"/>
  <c r="G35" i="8"/>
  <c r="P35" i="8" s="1"/>
  <c r="G164" i="8"/>
  <c r="P164" i="8" s="1"/>
  <c r="G63" i="8"/>
  <c r="P63" i="8" s="1"/>
  <c r="G42" i="8"/>
  <c r="P42" i="8" s="1"/>
  <c r="G174" i="8"/>
  <c r="G101" i="8"/>
  <c r="P101" i="8" s="1"/>
  <c r="G109" i="8"/>
  <c r="P109" i="8" s="1"/>
  <c r="G55" i="8"/>
  <c r="P55" i="8" s="1"/>
  <c r="G73" i="8"/>
  <c r="P73" i="8" s="1"/>
  <c r="G170" i="8"/>
  <c r="G126" i="8"/>
  <c r="P126" i="8" s="1"/>
  <c r="U1" i="1"/>
  <c r="I83" i="8" s="1"/>
  <c r="R83" i="8" s="1"/>
  <c r="H62" i="8"/>
  <c r="H115" i="43"/>
  <c r="M115" i="43" s="1"/>
  <c r="H99" i="43"/>
  <c r="M99" i="43" s="1"/>
  <c r="H83" i="43"/>
  <c r="M83" i="43" s="1"/>
  <c r="H51" i="43"/>
  <c r="M51" i="43" s="1"/>
  <c r="H35" i="43"/>
  <c r="M35" i="43" s="1"/>
  <c r="H20" i="43"/>
  <c r="M20" i="43" s="1"/>
  <c r="H12" i="43"/>
  <c r="M12" i="43" s="1"/>
  <c r="H162" i="7"/>
  <c r="H143" i="7"/>
  <c r="H18" i="7"/>
  <c r="H135" i="7"/>
  <c r="H22" i="7"/>
  <c r="H176" i="7"/>
  <c r="H87" i="7"/>
  <c r="H21" i="43"/>
  <c r="M21" i="43" s="1"/>
  <c r="H97" i="43"/>
  <c r="M97" i="43" s="1"/>
  <c r="H81" i="43"/>
  <c r="M81" i="43" s="1"/>
  <c r="H50" i="43"/>
  <c r="M50" i="43" s="1"/>
  <c r="H36" i="43"/>
  <c r="M36" i="43" s="1"/>
  <c r="M67" i="43"/>
  <c r="H4" i="9"/>
  <c r="M4" i="9" s="1"/>
  <c r="H136" i="7"/>
  <c r="H33" i="7"/>
  <c r="S33" i="7" s="1"/>
  <c r="H146" i="7"/>
  <c r="H83" i="7"/>
  <c r="H51" i="7"/>
  <c r="H120" i="43"/>
  <c r="M120" i="43" s="1"/>
  <c r="H84" i="43"/>
  <c r="M84" i="43" s="1"/>
  <c r="H49" i="43"/>
  <c r="M49" i="43" s="1"/>
  <c r="H32" i="43"/>
  <c r="M32" i="43" s="1"/>
  <c r="H17" i="43"/>
  <c r="M17" i="43" s="1"/>
  <c r="M52" i="43"/>
  <c r="H91" i="7"/>
  <c r="H163" i="7"/>
  <c r="H5" i="9"/>
  <c r="M5" i="9" s="1"/>
  <c r="H68" i="7"/>
  <c r="H9" i="9"/>
  <c r="M9" i="9" s="1"/>
  <c r="H27" i="7"/>
  <c r="H172" i="7"/>
  <c r="H45" i="7"/>
  <c r="H3" i="43"/>
  <c r="M3" i="43" s="1"/>
  <c r="H45" i="43"/>
  <c r="M45" i="43" s="1"/>
  <c r="H7" i="43"/>
  <c r="M7" i="43" s="1"/>
  <c r="H72" i="7"/>
  <c r="H71" i="7"/>
  <c r="H130" i="7"/>
  <c r="H116" i="43"/>
  <c r="M116" i="43" s="1"/>
  <c r="H40" i="43"/>
  <c r="M40" i="43" s="1"/>
  <c r="H8" i="43"/>
  <c r="M8" i="43" s="1"/>
  <c r="H100" i="7"/>
  <c r="H157" i="7"/>
  <c r="H88" i="43"/>
  <c r="M88" i="43" s="1"/>
  <c r="H26" i="43"/>
  <c r="M26" i="43" s="1"/>
  <c r="H73" i="7"/>
  <c r="H101" i="7"/>
  <c r="H3" i="10"/>
  <c r="M121" i="43"/>
  <c r="H122" i="7"/>
  <c r="H96" i="43"/>
  <c r="M96" i="43" s="1"/>
  <c r="H12" i="9"/>
  <c r="M12" i="9" s="1"/>
  <c r="H107" i="7"/>
  <c r="H68" i="43"/>
  <c r="M68" i="43" s="1"/>
  <c r="H13" i="9"/>
  <c r="M13" i="9" s="1"/>
  <c r="H72" i="43"/>
  <c r="M72" i="43" s="1"/>
  <c r="H90" i="7"/>
  <c r="H64" i="43"/>
  <c r="M64" i="43" s="1"/>
  <c r="H132" i="7"/>
  <c r="H104" i="43"/>
  <c r="M104" i="43" s="1"/>
  <c r="H8" i="9"/>
  <c r="M8" i="9" s="1"/>
  <c r="H167" i="7"/>
  <c r="H92" i="43"/>
  <c r="M92" i="43" s="1"/>
  <c r="H106" i="43"/>
  <c r="M106" i="43" s="1"/>
  <c r="S119" i="7"/>
  <c r="H107" i="43"/>
  <c r="M107" i="43" s="1"/>
  <c r="H60" i="7"/>
  <c r="H154" i="8"/>
  <c r="H119" i="43"/>
  <c r="M119" i="43" s="1"/>
  <c r="H34" i="43"/>
  <c r="M34" i="43" s="1"/>
  <c r="H94" i="43"/>
  <c r="M94" i="43" s="1"/>
  <c r="H71" i="43"/>
  <c r="M71" i="43" s="1"/>
  <c r="H53" i="43"/>
  <c r="M53" i="43" s="1"/>
  <c r="H108" i="43"/>
  <c r="M108" i="43" s="1"/>
  <c r="H13" i="43"/>
  <c r="M13" i="43" s="1"/>
  <c r="M57" i="43"/>
  <c r="H43" i="7"/>
  <c r="H104" i="7"/>
  <c r="H116" i="7"/>
  <c r="H7" i="10"/>
  <c r="H15" i="8"/>
  <c r="H6" i="7"/>
  <c r="H12" i="7"/>
  <c r="H112" i="8"/>
  <c r="H38" i="43"/>
  <c r="M38" i="43" s="1"/>
  <c r="H63" i="43"/>
  <c r="M63" i="43" s="1"/>
  <c r="H93" i="43"/>
  <c r="M93" i="43" s="1"/>
  <c r="H70" i="43"/>
  <c r="M70" i="43" s="1"/>
  <c r="H48" i="43"/>
  <c r="M48" i="43" s="1"/>
  <c r="H33" i="43"/>
  <c r="M33" i="43" s="1"/>
  <c r="H15" i="43"/>
  <c r="M15" i="43" s="1"/>
  <c r="H110" i="7"/>
  <c r="H5" i="10"/>
  <c r="H33" i="8"/>
  <c r="H122" i="43"/>
  <c r="M122" i="43" s="1"/>
  <c r="H31" i="43"/>
  <c r="M31" i="43" s="1"/>
  <c r="H3" i="7"/>
  <c r="H103" i="7"/>
  <c r="H97" i="8"/>
  <c r="H91" i="43"/>
  <c r="M91" i="43" s="1"/>
  <c r="H28" i="43"/>
  <c r="M28" i="43" s="1"/>
  <c r="H3" i="9"/>
  <c r="M3" i="9" s="1"/>
  <c r="H69" i="7"/>
  <c r="H130" i="8"/>
  <c r="H111" i="43"/>
  <c r="M111" i="43" s="1"/>
  <c r="H44" i="43"/>
  <c r="M44" i="43" s="1"/>
  <c r="H30" i="43"/>
  <c r="M30" i="43" s="1"/>
  <c r="H133" i="7"/>
  <c r="S133" i="7" s="1"/>
  <c r="H103" i="8"/>
  <c r="H102" i="43"/>
  <c r="M102" i="43" s="1"/>
  <c r="H37" i="43"/>
  <c r="M37" i="43" s="1"/>
  <c r="H11" i="7"/>
  <c r="S11" i="7" s="1"/>
  <c r="H52" i="7"/>
  <c r="H92" i="7"/>
  <c r="H67" i="8"/>
  <c r="H85" i="43"/>
  <c r="M85" i="43" s="1"/>
  <c r="H25" i="43"/>
  <c r="M25" i="43" s="1"/>
  <c r="H89" i="7"/>
  <c r="H91" i="8"/>
  <c r="H19" i="8"/>
  <c r="H74" i="7"/>
  <c r="H9" i="43"/>
  <c r="M9" i="43" s="1"/>
  <c r="H65" i="43"/>
  <c r="M65" i="43" s="1"/>
  <c r="H142" i="7"/>
  <c r="H109" i="43"/>
  <c r="M109" i="43" s="1"/>
  <c r="H56" i="43"/>
  <c r="M56" i="43" s="1"/>
  <c r="H35" i="7"/>
  <c r="H105" i="43"/>
  <c r="M105" i="43" s="1"/>
  <c r="H49" i="7"/>
  <c r="H6" i="9"/>
  <c r="M6" i="9" s="1"/>
  <c r="H103" i="43"/>
  <c r="M103" i="43" s="1"/>
  <c r="H23" i="43"/>
  <c r="M23" i="43" s="1"/>
  <c r="H124" i="7"/>
  <c r="M100" i="43"/>
  <c r="H123" i="7"/>
  <c r="H133" i="8"/>
  <c r="H55" i="7"/>
  <c r="H4" i="10"/>
  <c r="H27" i="8"/>
  <c r="H90" i="43"/>
  <c r="M90" i="43" s="1"/>
  <c r="H47" i="43"/>
  <c r="M47" i="43" s="1"/>
  <c r="H11" i="9"/>
  <c r="M11" i="9" s="1"/>
  <c r="H166" i="7"/>
  <c r="H87" i="43"/>
  <c r="M87" i="43" s="1"/>
  <c r="H95" i="7"/>
  <c r="H60" i="43"/>
  <c r="M60" i="43" s="1"/>
  <c r="H62" i="7"/>
  <c r="H112" i="43"/>
  <c r="M112" i="43" s="1"/>
  <c r="H169" i="8"/>
  <c r="H59" i="43"/>
  <c r="M59" i="43" s="1"/>
  <c r="H115" i="7"/>
  <c r="H110" i="43"/>
  <c r="M110" i="43" s="1"/>
  <c r="H42" i="43"/>
  <c r="M42" i="43" s="1"/>
  <c r="H155" i="7"/>
  <c r="H43" i="43"/>
  <c r="M43" i="43" s="1"/>
  <c r="H129" i="7"/>
  <c r="H27" i="43"/>
  <c r="M27" i="43" s="1"/>
  <c r="H42" i="7"/>
  <c r="H56" i="7"/>
  <c r="H57" i="8"/>
  <c r="H74" i="43"/>
  <c r="M74" i="43" s="1"/>
  <c r="H22" i="43"/>
  <c r="M22" i="43" s="1"/>
  <c r="H7" i="9"/>
  <c r="M7" i="9" s="1"/>
  <c r="H76" i="7"/>
  <c r="H113" i="43"/>
  <c r="M113" i="43" s="1"/>
  <c r="M76" i="43"/>
  <c r="H95" i="43"/>
  <c r="M95" i="43" s="1"/>
  <c r="H101" i="43"/>
  <c r="M101" i="43" s="1"/>
  <c r="H4" i="8"/>
  <c r="H59" i="8"/>
  <c r="H39" i="8"/>
  <c r="H104" i="8"/>
  <c r="H106" i="8"/>
  <c r="H81" i="8"/>
  <c r="H61" i="8"/>
  <c r="H144" i="8"/>
  <c r="H21" i="8"/>
  <c r="H120" i="8"/>
  <c r="H94" i="8"/>
  <c r="G26" i="8"/>
  <c r="P26" i="8" s="1"/>
  <c r="G124" i="8"/>
  <c r="P124" i="8" s="1"/>
  <c r="G30" i="8"/>
  <c r="P30" i="8" s="1"/>
  <c r="G150" i="8"/>
  <c r="P150" i="8" s="1"/>
  <c r="G113" i="8"/>
  <c r="P113" i="8" s="1"/>
  <c r="G5" i="8"/>
  <c r="P5" i="8" s="1"/>
  <c r="G78" i="8"/>
  <c r="P78" i="8" s="1"/>
  <c r="G93" i="8"/>
  <c r="P93" i="8" s="1"/>
  <c r="G122" i="8"/>
  <c r="P122" i="8" s="1"/>
  <c r="G87" i="8"/>
  <c r="P87" i="8" s="1"/>
  <c r="G153" i="8"/>
  <c r="P153" i="8" s="1"/>
  <c r="G123" i="8"/>
  <c r="P123" i="8" s="1"/>
  <c r="G151" i="8"/>
  <c r="P151" i="8" s="1"/>
  <c r="G160" i="8"/>
  <c r="P160" i="8" s="1"/>
  <c r="G11" i="8"/>
  <c r="P11" i="8" s="1"/>
  <c r="G74" i="8"/>
  <c r="P74" i="8" s="1"/>
  <c r="G136" i="8"/>
  <c r="P136" i="8" s="1"/>
  <c r="G98" i="8"/>
  <c r="P98" i="8" s="1"/>
  <c r="G32" i="8"/>
  <c r="P32" i="8" s="1"/>
  <c r="G163" i="8"/>
  <c r="P163" i="8" s="1"/>
  <c r="G51" i="8"/>
  <c r="P51" i="8" s="1"/>
  <c r="G50" i="8"/>
  <c r="P50" i="8" s="1"/>
  <c r="G110" i="8"/>
  <c r="P110" i="8" s="1"/>
  <c r="G43" i="8"/>
  <c r="P43" i="8" s="1"/>
  <c r="G44" i="8"/>
  <c r="P44" i="8" s="1"/>
  <c r="G41" i="8"/>
  <c r="P41" i="8" s="1"/>
  <c r="G60" i="8"/>
  <c r="P60" i="8" s="1"/>
  <c r="G118" i="8"/>
  <c r="P118" i="8" s="1"/>
  <c r="G25" i="8"/>
  <c r="P25" i="8" s="1"/>
  <c r="G10" i="8"/>
  <c r="P10" i="8" s="1"/>
  <c r="G49" i="8"/>
  <c r="P49" i="8" s="1"/>
  <c r="G17" i="8"/>
  <c r="P17" i="8" s="1"/>
  <c r="Y194" i="1"/>
  <c r="Z194" i="1"/>
  <c r="AG194" i="1"/>
  <c r="AG201" i="1"/>
  <c r="Y201" i="1"/>
  <c r="I128" i="8"/>
  <c r="R128" i="8" s="1"/>
  <c r="AG185" i="1"/>
  <c r="Z201" i="1"/>
  <c r="H141" i="8"/>
  <c r="Z185" i="1"/>
  <c r="AB185" i="1"/>
  <c r="L185" i="1"/>
  <c r="AE185" i="1"/>
  <c r="L163" i="1"/>
  <c r="AE163" i="1"/>
  <c r="Z134" i="1"/>
  <c r="Z117" i="1"/>
  <c r="H83" i="8"/>
  <c r="X117" i="1"/>
  <c r="F83" i="8"/>
  <c r="Y117" i="1"/>
  <c r="G83" i="8"/>
  <c r="P83" i="8" s="1"/>
  <c r="AG117" i="1"/>
  <c r="O163" i="1"/>
  <c r="AB225" i="1"/>
  <c r="AA225" i="1"/>
  <c r="O75" i="1"/>
  <c r="AI75" i="1"/>
  <c r="O239" i="1"/>
  <c r="AA239" i="1"/>
  <c r="O215" i="1"/>
  <c r="AA215" i="1"/>
  <c r="O188" i="1"/>
  <c r="AA188" i="1"/>
  <c r="O155" i="1"/>
  <c r="AA155" i="1"/>
  <c r="O156" i="1"/>
  <c r="AA156" i="1"/>
  <c r="AA192" i="1"/>
  <c r="AB192" i="1"/>
  <c r="AB118" i="1"/>
  <c r="AB128" i="1"/>
  <c r="O71" i="1"/>
  <c r="AA71" i="1"/>
  <c r="AB64" i="1"/>
  <c r="AB174" i="1"/>
  <c r="AB178" i="1"/>
  <c r="AB142" i="1"/>
  <c r="O231" i="1"/>
  <c r="AA231" i="1"/>
  <c r="AB187" i="1"/>
  <c r="AB176" i="1"/>
  <c r="AB109" i="1"/>
  <c r="AB72" i="1"/>
  <c r="AB22" i="1"/>
  <c r="AB94" i="1"/>
  <c r="O21" i="1"/>
  <c r="AI21" i="1"/>
  <c r="AB51" i="1"/>
  <c r="O147" i="1"/>
  <c r="AA147" i="1"/>
  <c r="O16" i="1"/>
  <c r="AB16" i="1"/>
  <c r="O214" i="1"/>
  <c r="AA214" i="1"/>
  <c r="AB240" i="1"/>
  <c r="O152" i="1"/>
  <c r="AA152" i="1"/>
  <c r="O148" i="1"/>
  <c r="AI148" i="1"/>
  <c r="AB114" i="1"/>
  <c r="AB97" i="1"/>
  <c r="AB47" i="1"/>
  <c r="AB62" i="1"/>
  <c r="AB24" i="1"/>
  <c r="O115" i="1"/>
  <c r="AH115" i="1"/>
  <c r="AB66" i="1"/>
  <c r="AB8" i="1"/>
  <c r="AB91" i="1"/>
  <c r="AB81" i="1"/>
  <c r="AB122" i="1"/>
  <c r="O139" i="1"/>
  <c r="AI139" i="1"/>
  <c r="O165" i="1"/>
  <c r="AI165" i="1"/>
  <c r="O166" i="1"/>
  <c r="AA166" i="1"/>
  <c r="AB121" i="1"/>
  <c r="AB189" i="1"/>
  <c r="AB131" i="1"/>
  <c r="AA131" i="1"/>
  <c r="AB202" i="1"/>
  <c r="AA202" i="1"/>
  <c r="AB209" i="1"/>
  <c r="AB197" i="1"/>
  <c r="AB93" i="1"/>
  <c r="AB33" i="1"/>
  <c r="AB68" i="1"/>
  <c r="AB10" i="1"/>
  <c r="AB58" i="1"/>
  <c r="O211" i="1"/>
  <c r="AA211" i="1"/>
  <c r="O169" i="1"/>
  <c r="AB159" i="1"/>
  <c r="AB65" i="1"/>
  <c r="AB43" i="1"/>
  <c r="AB61" i="1"/>
  <c r="AA61" i="1"/>
  <c r="AB220" i="1"/>
  <c r="AB83" i="1"/>
  <c r="O34" i="1"/>
  <c r="AA34" i="1"/>
  <c r="AB246" i="1"/>
  <c r="AB233" i="1"/>
  <c r="O210" i="1"/>
  <c r="AI210" i="1"/>
  <c r="O194" i="1"/>
  <c r="AA194" i="1"/>
  <c r="O151" i="1"/>
  <c r="AI151" i="1"/>
  <c r="O138" i="1"/>
  <c r="AA138" i="1"/>
  <c r="AB55" i="1"/>
  <c r="AB100" i="1"/>
  <c r="O46" i="1"/>
  <c r="AB13" i="1"/>
  <c r="AB117" i="1"/>
  <c r="AB212" i="1"/>
  <c r="AB38" i="1"/>
  <c r="AB14" i="1"/>
  <c r="AB143" i="1"/>
  <c r="AB92" i="1"/>
  <c r="AB226" i="1"/>
  <c r="AB232" i="1"/>
  <c r="O198" i="1"/>
  <c r="AI198" i="1"/>
  <c r="AB170" i="1"/>
  <c r="O99" i="1"/>
  <c r="AI99" i="1"/>
  <c r="AB7" i="1"/>
  <c r="O41" i="1"/>
  <c r="AA41" i="1"/>
  <c r="AB199" i="1"/>
  <c r="O135" i="1"/>
  <c r="AA135" i="1" s="1"/>
  <c r="O6" i="1"/>
  <c r="AA124" i="1"/>
  <c r="AH124" i="1"/>
  <c r="AH215" i="1"/>
  <c r="AA235" i="1"/>
  <c r="AH235" i="1"/>
  <c r="AH214" i="1"/>
  <c r="O183" i="1"/>
  <c r="O162" i="1"/>
  <c r="AD141" i="1"/>
  <c r="L141" i="1"/>
  <c r="O178" i="1"/>
  <c r="AE170" i="1"/>
  <c r="M170" i="1"/>
  <c r="O91" i="1"/>
  <c r="AE151" i="1"/>
  <c r="M151" i="1"/>
  <c r="AE114" i="1"/>
  <c r="M114" i="1"/>
  <c r="L114" i="1"/>
  <c r="AD29" i="1"/>
  <c r="L29" i="1"/>
  <c r="O38" i="1"/>
  <c r="AD82" i="1"/>
  <c r="L82" i="1"/>
  <c r="AF78" i="1"/>
  <c r="N78" i="1"/>
  <c r="AF83" i="1"/>
  <c r="N83" i="1"/>
  <c r="AE95" i="1"/>
  <c r="M95" i="1"/>
  <c r="L95" i="1"/>
  <c r="AD53" i="1"/>
  <c r="L53" i="1"/>
  <c r="AF7" i="1"/>
  <c r="N7" i="1"/>
  <c r="AI91" i="1"/>
  <c r="P91" i="1"/>
  <c r="O55" i="1"/>
  <c r="O31" i="1"/>
  <c r="AF175" i="1"/>
  <c r="N175" i="1"/>
  <c r="M227" i="1"/>
  <c r="P137" i="1"/>
  <c r="M100" i="1"/>
  <c r="AA125" i="1"/>
  <c r="AH125" i="1"/>
  <c r="M48" i="1"/>
  <c r="N13" i="1"/>
  <c r="AD5" i="1"/>
  <c r="L5" i="1"/>
  <c r="AA233" i="1"/>
  <c r="AH233" i="1"/>
  <c r="AH191" i="1"/>
  <c r="AA191" i="1"/>
  <c r="AA62" i="1"/>
  <c r="AH62" i="1"/>
  <c r="AA237" i="1"/>
  <c r="AH237" i="1"/>
  <c r="AA208" i="1"/>
  <c r="AH208" i="1"/>
  <c r="AA44" i="1"/>
  <c r="AH44" i="1"/>
  <c r="AH159" i="1"/>
  <c r="AA159" i="1"/>
  <c r="AA100" i="1"/>
  <c r="AH100" i="1"/>
  <c r="AA94" i="1"/>
  <c r="AH94" i="1"/>
  <c r="P48" i="1"/>
  <c r="N210" i="1"/>
  <c r="AA85" i="1"/>
  <c r="AH85" i="1"/>
  <c r="AA48" i="1"/>
  <c r="AH48" i="1"/>
  <c r="M245" i="1"/>
  <c r="M206" i="1"/>
  <c r="N100" i="1"/>
  <c r="N68" i="1"/>
  <c r="AE235" i="1"/>
  <c r="M235" i="1"/>
  <c r="AF221" i="1"/>
  <c r="N221" i="1"/>
  <c r="AI225" i="1"/>
  <c r="P225" i="1"/>
  <c r="O225" i="1"/>
  <c r="AF142" i="1"/>
  <c r="N142" i="1"/>
  <c r="AE137" i="1"/>
  <c r="M137" i="1"/>
  <c r="P79" i="1"/>
  <c r="AD118" i="1"/>
  <c r="L118" i="1"/>
  <c r="AG76" i="1"/>
  <c r="P76" i="1"/>
  <c r="N76" i="1"/>
  <c r="AI33" i="1"/>
  <c r="P33" i="1"/>
  <c r="AE28" i="1"/>
  <c r="M28" i="1"/>
  <c r="AF9" i="1"/>
  <c r="N9" i="1"/>
  <c r="AI174" i="1"/>
  <c r="P174" i="1"/>
  <c r="O244" i="1"/>
  <c r="AI240" i="1"/>
  <c r="P240" i="1"/>
  <c r="AD242" i="1"/>
  <c r="L242" i="1"/>
  <c r="AI226" i="1"/>
  <c r="P226" i="1"/>
  <c r="AD228" i="1"/>
  <c r="L228" i="1"/>
  <c r="AE221" i="1"/>
  <c r="M221" i="1"/>
  <c r="AF208" i="1"/>
  <c r="N208" i="1"/>
  <c r="AF212" i="1"/>
  <c r="N212" i="1"/>
  <c r="AE175" i="1"/>
  <c r="M175" i="1"/>
  <c r="O174" i="1"/>
  <c r="AD164" i="1"/>
  <c r="L164" i="1"/>
  <c r="P148" i="1"/>
  <c r="AE149" i="1"/>
  <c r="M149" i="1"/>
  <c r="AH135" i="1"/>
  <c r="AF152" i="1"/>
  <c r="N152" i="1"/>
  <c r="O117" i="1"/>
  <c r="AE125" i="1"/>
  <c r="M125" i="1"/>
  <c r="AE126" i="1"/>
  <c r="M126" i="1"/>
  <c r="AD129" i="1"/>
  <c r="L129" i="1"/>
  <c r="AI93" i="1"/>
  <c r="P93" i="1"/>
  <c r="O68" i="1"/>
  <c r="AI135" i="1"/>
  <c r="P135" i="1"/>
  <c r="O112" i="1"/>
  <c r="AI100" i="1"/>
  <c r="P100" i="1"/>
  <c r="AI97" i="1"/>
  <c r="P97" i="1"/>
  <c r="AE16" i="1"/>
  <c r="M16" i="1"/>
  <c r="AD8" i="1"/>
  <c r="L8" i="1"/>
  <c r="AI68" i="1"/>
  <c r="P68" i="1"/>
  <c r="AE75" i="1"/>
  <c r="M75" i="1"/>
  <c r="AD39" i="1"/>
  <c r="L39" i="1"/>
  <c r="AD28" i="1"/>
  <c r="L28" i="1"/>
  <c r="AI7" i="1"/>
  <c r="P7" i="1"/>
  <c r="AD79" i="1"/>
  <c r="L79" i="1"/>
  <c r="AE9" i="1"/>
  <c r="M9" i="1"/>
  <c r="L9" i="1"/>
  <c r="AF42" i="1"/>
  <c r="N42" i="1"/>
  <c r="AA103" i="1"/>
  <c r="AH103" i="1"/>
  <c r="P35" i="1"/>
  <c r="AE231" i="1"/>
  <c r="M231" i="1"/>
  <c r="AF198" i="1"/>
  <c r="N198" i="1"/>
  <c r="AE215" i="1"/>
  <c r="M215" i="1"/>
  <c r="L215" i="1"/>
  <c r="AI189" i="1"/>
  <c r="P189" i="1"/>
  <c r="AE166" i="1"/>
  <c r="M166" i="1"/>
  <c r="L166" i="1"/>
  <c r="O243" i="1"/>
  <c r="AE122" i="1"/>
  <c r="M122" i="1"/>
  <c r="AI123" i="1"/>
  <c r="P123" i="1"/>
  <c r="AE109" i="1"/>
  <c r="L109" i="1"/>
  <c r="M109" i="1"/>
  <c r="O27" i="1"/>
  <c r="AD23" i="1"/>
  <c r="L23" i="1"/>
  <c r="AF65" i="1"/>
  <c r="N65" i="1"/>
  <c r="O35" i="1"/>
  <c r="AD54" i="1"/>
  <c r="L54" i="1"/>
  <c r="AF98" i="1"/>
  <c r="N98" i="1"/>
  <c r="AF94" i="1"/>
  <c r="N94" i="1"/>
  <c r="AH198" i="1"/>
  <c r="AH166" i="1"/>
  <c r="P234" i="1"/>
  <c r="AA136" i="1"/>
  <c r="AH136" i="1"/>
  <c r="P191" i="1"/>
  <c r="N173" i="1"/>
  <c r="N169" i="1"/>
  <c r="N163" i="1"/>
  <c r="P116" i="1"/>
  <c r="P206" i="1"/>
  <c r="O189" i="1"/>
  <c r="AH156" i="1"/>
  <c r="AH152" i="1"/>
  <c r="AH148" i="1"/>
  <c r="N140" i="1"/>
  <c r="N124" i="1"/>
  <c r="P19" i="1"/>
  <c r="O240" i="1"/>
  <c r="N235" i="1"/>
  <c r="P101" i="1"/>
  <c r="N187" i="1"/>
  <c r="N150" i="1"/>
  <c r="L125" i="1"/>
  <c r="P163" i="1"/>
  <c r="W163" i="1" s="1"/>
  <c r="AQ163" i="1" s="1"/>
  <c r="L151" i="1"/>
  <c r="M27" i="1"/>
  <c r="AA12" i="1"/>
  <c r="AH12" i="1"/>
  <c r="AI246" i="1"/>
  <c r="P246" i="1"/>
  <c r="AI202" i="1"/>
  <c r="O202" i="1"/>
  <c r="P202" i="1"/>
  <c r="AI176" i="1"/>
  <c r="P176" i="1"/>
  <c r="O128" i="1"/>
  <c r="AF136" i="1"/>
  <c r="N136" i="1"/>
  <c r="AD70" i="1"/>
  <c r="L70" i="1"/>
  <c r="AE86" i="1"/>
  <c r="M86" i="1"/>
  <c r="AI104" i="1"/>
  <c r="P104" i="1"/>
  <c r="AD69" i="1"/>
  <c r="L69" i="1"/>
  <c r="AE60" i="1"/>
  <c r="M60" i="1"/>
  <c r="AI69" i="1"/>
  <c r="P69" i="1"/>
  <c r="N40" i="1"/>
  <c r="T40" i="1" s="1"/>
  <c r="AF29" i="1"/>
  <c r="N29" i="1"/>
  <c r="AE20" i="1"/>
  <c r="M20" i="1"/>
  <c r="O10" i="1"/>
  <c r="AE244" i="1"/>
  <c r="M244" i="1"/>
  <c r="AD246" i="1"/>
  <c r="L246" i="1"/>
  <c r="O226" i="1"/>
  <c r="AI233" i="1"/>
  <c r="P233" i="1"/>
  <c r="AE220" i="1"/>
  <c r="M220" i="1"/>
  <c r="AF201" i="1"/>
  <c r="N201" i="1"/>
  <c r="AI170" i="1"/>
  <c r="P170" i="1"/>
  <c r="AI209" i="1"/>
  <c r="P209" i="1"/>
  <c r="AA190" i="1"/>
  <c r="AH190" i="1"/>
  <c r="AE172" i="1"/>
  <c r="M172" i="1"/>
  <c r="AF189" i="1"/>
  <c r="N189" i="1"/>
  <c r="AD148" i="1"/>
  <c r="L148" i="1"/>
  <c r="AE154" i="1"/>
  <c r="M154" i="1"/>
  <c r="AD130" i="1"/>
  <c r="L130" i="1"/>
  <c r="AF116" i="1"/>
  <c r="N116" i="1"/>
  <c r="O122" i="1"/>
  <c r="AI114" i="1"/>
  <c r="P114" i="1"/>
  <c r="AI112" i="1"/>
  <c r="P112" i="1"/>
  <c r="AE91" i="1"/>
  <c r="M91" i="1"/>
  <c r="AE77" i="1"/>
  <c r="M77" i="1"/>
  <c r="AD66" i="1"/>
  <c r="L66" i="1"/>
  <c r="AF108" i="1"/>
  <c r="N108" i="1"/>
  <c r="O141" i="1"/>
  <c r="AI121" i="1"/>
  <c r="P121" i="1"/>
  <c r="AI124" i="1"/>
  <c r="P124" i="1"/>
  <c r="O116" i="1"/>
  <c r="O83" i="1"/>
  <c r="O47" i="1"/>
  <c r="AE71" i="1"/>
  <c r="M71" i="1"/>
  <c r="AI64" i="1"/>
  <c r="P64" i="1"/>
  <c r="AI47" i="1"/>
  <c r="P47" i="1"/>
  <c r="O29" i="1"/>
  <c r="AE52" i="1"/>
  <c r="M52" i="1"/>
  <c r="AI24" i="1"/>
  <c r="P24" i="1"/>
  <c r="AI13" i="1"/>
  <c r="P13" i="1"/>
  <c r="O51" i="1"/>
  <c r="O37" i="1"/>
  <c r="AF17" i="1"/>
  <c r="N17" i="1"/>
  <c r="O78" i="1"/>
  <c r="AE57" i="1"/>
  <c r="M57" i="1"/>
  <c r="AF48" i="1"/>
  <c r="N48" i="1"/>
  <c r="AD91" i="1"/>
  <c r="L91" i="1"/>
  <c r="O42" i="1"/>
  <c r="O49" i="1"/>
  <c r="AF240" i="1"/>
  <c r="N240" i="1"/>
  <c r="AE121" i="1"/>
  <c r="M121" i="1"/>
  <c r="O186" i="1"/>
  <c r="AD227" i="1"/>
  <c r="L227" i="1"/>
  <c r="AE171" i="1"/>
  <c r="M171" i="1"/>
  <c r="L171" i="1"/>
  <c r="AE173" i="1"/>
  <c r="M173" i="1"/>
  <c r="AE138" i="1"/>
  <c r="M138" i="1"/>
  <c r="O114" i="1"/>
  <c r="AI14" i="1"/>
  <c r="P14" i="1"/>
  <c r="AD77" i="1"/>
  <c r="L77" i="1"/>
  <c r="AF54" i="1"/>
  <c r="N54" i="1"/>
  <c r="AE21" i="1"/>
  <c r="M21" i="1"/>
  <c r="AD103" i="1"/>
  <c r="L103" i="1"/>
  <c r="AE83" i="1"/>
  <c r="M83" i="1"/>
  <c r="AE64" i="1"/>
  <c r="M64" i="1"/>
  <c r="AF34" i="1"/>
  <c r="N34" i="1"/>
  <c r="AE19" i="1"/>
  <c r="L19" i="1"/>
  <c r="M19" i="1"/>
  <c r="AD24" i="1"/>
  <c r="L24" i="1"/>
  <c r="AI81" i="1"/>
  <c r="P81" i="1"/>
  <c r="AI143" i="1"/>
  <c r="P143" i="1"/>
  <c r="O123" i="1"/>
  <c r="O52" i="1"/>
  <c r="AF220" i="1"/>
  <c r="N220" i="1"/>
  <c r="AI92" i="1"/>
  <c r="P92" i="1"/>
  <c r="O176" i="1"/>
  <c r="P136" i="1"/>
  <c r="P130" i="1"/>
  <c r="AH231" i="1"/>
  <c r="AH194" i="1"/>
  <c r="AA189" i="1"/>
  <c r="AH189" i="1"/>
  <c r="M168" i="1"/>
  <c r="AA60" i="1"/>
  <c r="AH60" i="1"/>
  <c r="AA240" i="1"/>
  <c r="AH240" i="1"/>
  <c r="L173" i="1"/>
  <c r="M139" i="1"/>
  <c r="AH41" i="1"/>
  <c r="AA28" i="1"/>
  <c r="AH28" i="1"/>
  <c r="AH223" i="1"/>
  <c r="AA223" i="1"/>
  <c r="AH99" i="1"/>
  <c r="AH75" i="1"/>
  <c r="N239" i="1"/>
  <c r="M191" i="1"/>
  <c r="AA84" i="1"/>
  <c r="AH84" i="1"/>
  <c r="M239" i="1"/>
  <c r="N224" i="1"/>
  <c r="N74" i="1"/>
  <c r="L64" i="1"/>
  <c r="AI187" i="1"/>
  <c r="P187" i="1"/>
  <c r="O173" i="1"/>
  <c r="AF134" i="1"/>
  <c r="N134" i="1"/>
  <c r="AE116" i="1"/>
  <c r="M116" i="1"/>
  <c r="AE53" i="1"/>
  <c r="M53" i="1"/>
  <c r="AE123" i="1"/>
  <c r="M123" i="1"/>
  <c r="AE49" i="1"/>
  <c r="M49" i="1"/>
  <c r="AD239" i="1"/>
  <c r="L239" i="1"/>
  <c r="AI232" i="1"/>
  <c r="P232" i="1"/>
  <c r="P215" i="1"/>
  <c r="AF206" i="1"/>
  <c r="N206" i="1"/>
  <c r="AE209" i="1"/>
  <c r="M209" i="1"/>
  <c r="AF193" i="1"/>
  <c r="N193" i="1"/>
  <c r="AD186" i="1"/>
  <c r="L186" i="1"/>
  <c r="AD175" i="1"/>
  <c r="L175" i="1"/>
  <c r="M163" i="1"/>
  <c r="AF153" i="1"/>
  <c r="N153" i="1"/>
  <c r="AE153" i="1"/>
  <c r="M153" i="1"/>
  <c r="P166" i="1"/>
  <c r="AD199" i="1"/>
  <c r="L199" i="1"/>
  <c r="AI192" i="1"/>
  <c r="P192" i="1"/>
  <c r="AE133" i="1"/>
  <c r="M133" i="1"/>
  <c r="AD115" i="1"/>
  <c r="L115" i="1"/>
  <c r="AF121" i="1"/>
  <c r="N121" i="1"/>
  <c r="AF112" i="1"/>
  <c r="N112" i="1"/>
  <c r="AI131" i="1"/>
  <c r="O131" i="1"/>
  <c r="P131" i="1"/>
  <c r="AF115" i="1"/>
  <c r="N115" i="1"/>
  <c r="AE99" i="1"/>
  <c r="M99" i="1"/>
  <c r="AE115" i="1"/>
  <c r="M115" i="1"/>
  <c r="O64" i="1"/>
  <c r="O79" i="1"/>
  <c r="AF46" i="1"/>
  <c r="N46" i="1"/>
  <c r="O104" i="1"/>
  <c r="AD96" i="1"/>
  <c r="L96" i="1"/>
  <c r="O23" i="1"/>
  <c r="AF12" i="1"/>
  <c r="N12" i="1"/>
  <c r="AF5" i="1"/>
  <c r="N5" i="1"/>
  <c r="AI117" i="1"/>
  <c r="P117" i="1"/>
  <c r="O24" i="1"/>
  <c r="AD16" i="1"/>
  <c r="L16" i="1"/>
  <c r="AD47" i="1"/>
  <c r="L47" i="1"/>
  <c r="AI72" i="1"/>
  <c r="P72" i="1"/>
  <c r="AE98" i="1"/>
  <c r="M98" i="1"/>
  <c r="O81" i="1"/>
  <c r="AI22" i="1"/>
  <c r="O22" i="1"/>
  <c r="P22" i="1"/>
  <c r="AE197" i="1"/>
  <c r="M197" i="1"/>
  <c r="AI199" i="1"/>
  <c r="P199" i="1"/>
  <c r="N237" i="1"/>
  <c r="AF174" i="1"/>
  <c r="N174" i="1"/>
  <c r="AF188" i="1"/>
  <c r="N188" i="1"/>
  <c r="AF117" i="1"/>
  <c r="N117" i="1"/>
  <c r="AD165" i="1"/>
  <c r="L165" i="1"/>
  <c r="AI142" i="1"/>
  <c r="P142" i="1"/>
  <c r="AI38" i="1"/>
  <c r="P38" i="1"/>
  <c r="AI108" i="1"/>
  <c r="P108" i="1"/>
  <c r="O14" i="1"/>
  <c r="AF97" i="1"/>
  <c r="N97" i="1"/>
  <c r="O70" i="1"/>
  <c r="AD33" i="1"/>
  <c r="L33" i="1"/>
  <c r="AD81" i="1"/>
  <c r="L81" i="1"/>
  <c r="AI61" i="1"/>
  <c r="P61" i="1"/>
  <c r="O61" i="1"/>
  <c r="AD49" i="1"/>
  <c r="L49" i="1"/>
  <c r="AI88" i="1"/>
  <c r="P88" i="1"/>
  <c r="AD40" i="1"/>
  <c r="L40" i="1"/>
  <c r="AF233" i="1"/>
  <c r="N233" i="1"/>
  <c r="O11" i="1"/>
  <c r="AA176" i="1"/>
  <c r="AH176" i="1"/>
  <c r="AH165" i="1"/>
  <c r="AA89" i="1"/>
  <c r="AH89" i="1"/>
  <c r="M76" i="1"/>
  <c r="M68" i="1"/>
  <c r="N6" i="1"/>
  <c r="AH139" i="1"/>
  <c r="AA133" i="1"/>
  <c r="AH133" i="1"/>
  <c r="P190" i="1"/>
  <c r="N168" i="1"/>
  <c r="P146" i="1"/>
  <c r="P244" i="1"/>
  <c r="AH155" i="1"/>
  <c r="AH151" i="1"/>
  <c r="AH147" i="1"/>
  <c r="N139" i="1"/>
  <c r="P42" i="1"/>
  <c r="P31" i="1"/>
  <c r="P27" i="1"/>
  <c r="N234" i="1"/>
  <c r="P227" i="1"/>
  <c r="M130" i="1"/>
  <c r="P75" i="1"/>
  <c r="L52" i="1"/>
  <c r="N186" i="1"/>
  <c r="L138" i="1"/>
  <c r="N114" i="1"/>
  <c r="M187" i="1"/>
  <c r="N41" i="1"/>
  <c r="N27" i="1"/>
  <c r="AH34" i="1"/>
  <c r="L116" i="1"/>
  <c r="AA9" i="1"/>
  <c r="AH9" i="1"/>
  <c r="AD225" i="1"/>
  <c r="L225" i="1"/>
  <c r="AI220" i="1"/>
  <c r="P220" i="1"/>
  <c r="AE224" i="1"/>
  <c r="M224" i="1"/>
  <c r="AD221" i="1"/>
  <c r="L221" i="1"/>
  <c r="AE186" i="1"/>
  <c r="M186" i="1"/>
  <c r="AE169" i="1"/>
  <c r="M169" i="1"/>
  <c r="AE131" i="1"/>
  <c r="M131" i="1"/>
  <c r="L131" i="1"/>
  <c r="AE85" i="1"/>
  <c r="M85" i="1"/>
  <c r="AD98" i="1"/>
  <c r="L98" i="1"/>
  <c r="O82" i="1"/>
  <c r="AD65" i="1"/>
  <c r="L65" i="1"/>
  <c r="O95" i="1"/>
  <c r="AI58" i="1"/>
  <c r="P58" i="1"/>
  <c r="AF176" i="1"/>
  <c r="N176" i="1"/>
  <c r="AD190" i="1"/>
  <c r="L190" i="1"/>
  <c r="AE69" i="1"/>
  <c r="M69" i="1"/>
  <c r="AE240" i="1"/>
  <c r="M240" i="1"/>
  <c r="L240" i="1"/>
  <c r="P134" i="1"/>
  <c r="O88" i="1"/>
  <c r="N104" i="1"/>
  <c r="L71" i="1"/>
  <c r="AA221" i="1"/>
  <c r="AH221" i="1"/>
  <c r="AH193" i="1"/>
  <c r="AA193" i="1"/>
  <c r="AH188" i="1"/>
  <c r="AH182" i="1"/>
  <c r="AA182" i="1"/>
  <c r="AH239" i="1"/>
  <c r="AH211" i="1"/>
  <c r="L172" i="1"/>
  <c r="AA39" i="1"/>
  <c r="AH39" i="1"/>
  <c r="AH21" i="1"/>
  <c r="AA98" i="1"/>
  <c r="AH98" i="1"/>
  <c r="AA74" i="1"/>
  <c r="AH74" i="1"/>
  <c r="N245" i="1"/>
  <c r="N238" i="1"/>
  <c r="M190" i="1"/>
  <c r="M210" i="1"/>
  <c r="P175" i="1"/>
  <c r="P169" i="1"/>
  <c r="L60" i="1"/>
  <c r="N51" i="1"/>
  <c r="AG242" i="1"/>
  <c r="N242" i="1"/>
  <c r="O232" i="1"/>
  <c r="AE214" i="1"/>
  <c r="M214" i="1"/>
  <c r="O206" i="1"/>
  <c r="P198" i="1"/>
  <c r="O170" i="1"/>
  <c r="AD155" i="1"/>
  <c r="L155" i="1"/>
  <c r="O96" i="1"/>
  <c r="AI128" i="1"/>
  <c r="P128" i="1"/>
  <c r="O77" i="1"/>
  <c r="O43" i="1"/>
  <c r="O13" i="1"/>
  <c r="AE181" i="1"/>
  <c r="M181" i="1"/>
  <c r="L181" i="1"/>
  <c r="AI129" i="1"/>
  <c r="P129" i="1"/>
  <c r="AE135" i="1"/>
  <c r="M135" i="1"/>
  <c r="O53" i="1"/>
  <c r="AI8" i="1"/>
  <c r="P8" i="1"/>
  <c r="AI153" i="1"/>
  <c r="P153" i="1"/>
  <c r="AF232" i="1"/>
  <c r="N232" i="1"/>
  <c r="AF227" i="1"/>
  <c r="N227" i="1"/>
  <c r="AE202" i="1"/>
  <c r="M202" i="1"/>
  <c r="L202" i="1"/>
  <c r="AE178" i="1"/>
  <c r="M178" i="1"/>
  <c r="P155" i="1"/>
  <c r="P151" i="1"/>
  <c r="AF130" i="1"/>
  <c r="N130" i="1"/>
  <c r="AI109" i="1"/>
  <c r="P109" i="1"/>
  <c r="AI83" i="1"/>
  <c r="P83" i="1"/>
  <c r="AD74" i="1"/>
  <c r="L74" i="1"/>
  <c r="AF57" i="1"/>
  <c r="N57" i="1"/>
  <c r="AD137" i="1"/>
  <c r="L137" i="1"/>
  <c r="AE92" i="1"/>
  <c r="M92" i="1"/>
  <c r="P99" i="1"/>
  <c r="AE12" i="1"/>
  <c r="M12" i="1"/>
  <c r="AF44" i="1"/>
  <c r="N44" i="1"/>
  <c r="P139" i="1"/>
  <c r="AE73" i="1"/>
  <c r="M73" i="1"/>
  <c r="AD43" i="1"/>
  <c r="L43" i="1"/>
  <c r="O19" i="1"/>
  <c r="O230" i="1"/>
  <c r="O227" i="1"/>
  <c r="P147" i="1"/>
  <c r="AD206" i="1"/>
  <c r="L206" i="1"/>
  <c r="AF211" i="1"/>
  <c r="N211" i="1"/>
  <c r="AF148" i="1"/>
  <c r="N148" i="1"/>
  <c r="O180" i="1"/>
  <c r="O185" i="1"/>
  <c r="AI178" i="1"/>
  <c r="P178" i="1"/>
  <c r="AF159" i="1"/>
  <c r="N159" i="1"/>
  <c r="AE117" i="1"/>
  <c r="M117" i="1"/>
  <c r="AI65" i="1"/>
  <c r="P65" i="1"/>
  <c r="AD85" i="1"/>
  <c r="L85" i="1"/>
  <c r="AF69" i="1"/>
  <c r="N69" i="1"/>
  <c r="O66" i="1"/>
  <c r="AI43" i="1"/>
  <c r="P43" i="1"/>
  <c r="AD17" i="1"/>
  <c r="L17" i="1"/>
  <c r="AD6" i="1"/>
  <c r="L6" i="1"/>
  <c r="AE58" i="1"/>
  <c r="M58" i="1"/>
  <c r="AE46" i="1"/>
  <c r="M46" i="1"/>
  <c r="AD101" i="1"/>
  <c r="L101" i="1"/>
  <c r="AD72" i="1"/>
  <c r="L72" i="1"/>
  <c r="O126" i="1"/>
  <c r="AE6" i="1"/>
  <c r="M6" i="1"/>
  <c r="AE212" i="1"/>
  <c r="M212" i="1"/>
  <c r="P231" i="1"/>
  <c r="AA201" i="1"/>
  <c r="AH201" i="1"/>
  <c r="AH175" i="1"/>
  <c r="AA175" i="1"/>
  <c r="M74" i="1"/>
  <c r="O143" i="1"/>
  <c r="AH138" i="1"/>
  <c r="AA130" i="1"/>
  <c r="AH130" i="1"/>
  <c r="P186" i="1"/>
  <c r="P154" i="1"/>
  <c r="O220" i="1"/>
  <c r="O192" i="1"/>
  <c r="O187" i="1"/>
  <c r="AA154" i="1"/>
  <c r="AH154" i="1"/>
  <c r="AA150" i="1"/>
  <c r="AH150" i="1"/>
  <c r="AA146" i="1"/>
  <c r="AH146" i="1"/>
  <c r="N128" i="1"/>
  <c r="N122" i="1"/>
  <c r="O65" i="1"/>
  <c r="L12" i="1"/>
  <c r="N231" i="1"/>
  <c r="P224" i="1"/>
  <c r="L197" i="1"/>
  <c r="M136" i="1"/>
  <c r="M128" i="1"/>
  <c r="P74" i="1"/>
  <c r="L58" i="1"/>
  <c r="N154" i="1"/>
  <c r="N146" i="1"/>
  <c r="L122" i="1"/>
  <c r="O97" i="1"/>
  <c r="N31" i="1"/>
  <c r="N21" i="1"/>
  <c r="L154" i="1"/>
  <c r="L149" i="1"/>
  <c r="M42" i="1"/>
  <c r="M31" i="1"/>
  <c r="L245" i="1"/>
  <c r="AD235" i="1"/>
  <c r="L235" i="1"/>
  <c r="AI242" i="1"/>
  <c r="P242" i="1"/>
  <c r="O242" i="1"/>
  <c r="O228" i="1"/>
  <c r="AD189" i="1"/>
  <c r="L189" i="1"/>
  <c r="AD152" i="1"/>
  <c r="L152" i="1"/>
  <c r="AE140" i="1"/>
  <c r="M140" i="1"/>
  <c r="AF132" i="1"/>
  <c r="N132" i="1"/>
  <c r="O58" i="1"/>
  <c r="O93" i="1"/>
  <c r="P21" i="1"/>
  <c r="AF20" i="1"/>
  <c r="N20" i="1"/>
  <c r="AF23" i="1"/>
  <c r="N23" i="1"/>
  <c r="AE5" i="1"/>
  <c r="M5" i="1"/>
  <c r="P41" i="1"/>
  <c r="AF143" i="1"/>
  <c r="N143" i="1"/>
  <c r="AG135" i="1"/>
  <c r="N135" i="1"/>
  <c r="AE37" i="1"/>
  <c r="M37" i="1"/>
  <c r="AD86" i="1"/>
  <c r="L86" i="1"/>
  <c r="AI235" i="1"/>
  <c r="P235" i="1"/>
  <c r="P210" i="1"/>
  <c r="AD210" i="1"/>
  <c r="L210" i="1"/>
  <c r="P156" i="1"/>
  <c r="AD231" i="1"/>
  <c r="L231" i="1"/>
  <c r="M234" i="1"/>
  <c r="AD220" i="1"/>
  <c r="L220" i="1"/>
  <c r="AD187" i="1"/>
  <c r="L187" i="1"/>
  <c r="M185" i="1"/>
  <c r="P188" i="1"/>
  <c r="AE183" i="1"/>
  <c r="M183" i="1"/>
  <c r="P194" i="1"/>
  <c r="O168" i="1"/>
  <c r="P168" i="1"/>
  <c r="P152" i="1"/>
  <c r="AD156" i="1"/>
  <c r="L156" i="1"/>
  <c r="AE150" i="1"/>
  <c r="M150" i="1"/>
  <c r="AE162" i="1"/>
  <c r="M162" i="1"/>
  <c r="AF149" i="1"/>
  <c r="N149" i="1"/>
  <c r="AD133" i="1"/>
  <c r="L133" i="1"/>
  <c r="AD140" i="1"/>
  <c r="L140" i="1"/>
  <c r="O109" i="1"/>
  <c r="AF126" i="1"/>
  <c r="N126" i="1"/>
  <c r="AE129" i="1"/>
  <c r="M129" i="1"/>
  <c r="O72" i="1"/>
  <c r="AI55" i="1"/>
  <c r="P55" i="1"/>
  <c r="O121" i="1"/>
  <c r="O92" i="1"/>
  <c r="AF101" i="1"/>
  <c r="N101" i="1"/>
  <c r="AE56" i="1"/>
  <c r="M56" i="1"/>
  <c r="AA40" i="1"/>
  <c r="AH40" i="1"/>
  <c r="O17" i="1"/>
  <c r="AE39" i="1"/>
  <c r="M39" i="1"/>
  <c r="AD11" i="1"/>
  <c r="L11" i="1"/>
  <c r="AI51" i="1"/>
  <c r="P51" i="1"/>
  <c r="AD55" i="1"/>
  <c r="L55" i="1"/>
  <c r="AD214" i="1"/>
  <c r="L214" i="1"/>
  <c r="AF223" i="1"/>
  <c r="N223" i="1"/>
  <c r="AF178" i="1"/>
  <c r="N178" i="1"/>
  <c r="O132" i="1"/>
  <c r="O118" i="1"/>
  <c r="AE84" i="1"/>
  <c r="M84" i="1"/>
  <c r="AE30" i="1"/>
  <c r="M30" i="1"/>
  <c r="AE89" i="1"/>
  <c r="L89" i="1"/>
  <c r="M89" i="1"/>
  <c r="AD78" i="1"/>
  <c r="L78" i="1"/>
  <c r="AD30" i="1"/>
  <c r="L30" i="1"/>
  <c r="O172" i="1"/>
  <c r="L244" i="1"/>
  <c r="L212" i="1"/>
  <c r="O199" i="1"/>
  <c r="P140" i="1"/>
  <c r="AA57" i="1"/>
  <c r="AH57" i="1"/>
  <c r="M104" i="1"/>
  <c r="AA143" i="1"/>
  <c r="AH143" i="1"/>
  <c r="O129" i="1"/>
  <c r="L83" i="1"/>
  <c r="AA220" i="1"/>
  <c r="AH220" i="1"/>
  <c r="AH187" i="1"/>
  <c r="AA187" i="1"/>
  <c r="M164" i="1"/>
  <c r="O153" i="1"/>
  <c r="AA145" i="1"/>
  <c r="AH145" i="1"/>
  <c r="AA65" i="1"/>
  <c r="AH65" i="1"/>
  <c r="AA238" i="1"/>
  <c r="AH238" i="1"/>
  <c r="AH210" i="1"/>
  <c r="L169" i="1"/>
  <c r="AA20" i="1"/>
  <c r="AH20" i="1"/>
  <c r="AA101" i="1"/>
  <c r="AH101" i="1"/>
  <c r="AA97" i="1"/>
  <c r="AH97" i="1"/>
  <c r="AH71" i="1"/>
  <c r="N244" i="1"/>
  <c r="L234" i="1"/>
  <c r="N215" i="1"/>
  <c r="P173" i="1"/>
  <c r="N72" i="1"/>
  <c r="O33" i="1"/>
  <c r="AE238" i="1"/>
  <c r="M238" i="1"/>
  <c r="M237" i="1"/>
  <c r="O197" i="1"/>
  <c r="AE243" i="1"/>
  <c r="M243" i="1"/>
  <c r="P165" i="1"/>
  <c r="P138" i="1"/>
  <c r="O134" i="1"/>
  <c r="AF75" i="1"/>
  <c r="N75" i="1"/>
  <c r="AD123" i="1"/>
  <c r="L123" i="1"/>
  <c r="P34" i="1"/>
  <c r="AD170" i="1"/>
  <c r="L170" i="1"/>
  <c r="AE233" i="1"/>
  <c r="M233" i="1"/>
  <c r="AI159" i="1"/>
  <c r="P159" i="1"/>
  <c r="AE13" i="1"/>
  <c r="M13" i="1"/>
  <c r="L13" i="1"/>
  <c r="AE101" i="1"/>
  <c r="M101" i="1"/>
  <c r="O224" i="1"/>
  <c r="O246" i="1"/>
  <c r="P214" i="1"/>
  <c r="AE223" i="1"/>
  <c r="M223" i="1"/>
  <c r="AF190" i="1"/>
  <c r="N190" i="1"/>
  <c r="AD211" i="1"/>
  <c r="L211" i="1"/>
  <c r="AE145" i="1"/>
  <c r="M145" i="1"/>
  <c r="L145" i="1"/>
  <c r="AI197" i="1"/>
  <c r="P197" i="1"/>
  <c r="AE230" i="1"/>
  <c r="M230" i="1"/>
  <c r="AE211" i="1"/>
  <c r="M211" i="1"/>
  <c r="AF246" i="1"/>
  <c r="N246" i="1"/>
  <c r="P239" i="1"/>
  <c r="AF214" i="1"/>
  <c r="N214" i="1"/>
  <c r="O212" i="1"/>
  <c r="P245" i="1"/>
  <c r="W245" i="1" s="1"/>
  <c r="AQ245" i="1" s="1"/>
  <c r="AE174" i="1"/>
  <c r="M174" i="1"/>
  <c r="AD142" i="1"/>
  <c r="L142" i="1"/>
  <c r="AF166" i="1"/>
  <c r="N166" i="1"/>
  <c r="AI122" i="1"/>
  <c r="P122" i="1"/>
  <c r="AI118" i="1"/>
  <c r="P118" i="1"/>
  <c r="AE108" i="1"/>
  <c r="L108" i="1"/>
  <c r="M108" i="1"/>
  <c r="AE81" i="1"/>
  <c r="M81" i="1"/>
  <c r="AF71" i="1"/>
  <c r="N71" i="1"/>
  <c r="O142" i="1"/>
  <c r="P71" i="1"/>
  <c r="AF86" i="1"/>
  <c r="N86" i="1"/>
  <c r="P6" i="1"/>
  <c r="AI62" i="1"/>
  <c r="P62" i="1"/>
  <c r="AF92" i="1"/>
  <c r="N92" i="1"/>
  <c r="O86" i="1"/>
  <c r="AF70" i="1"/>
  <c r="N70" i="1"/>
  <c r="O30" i="1"/>
  <c r="AI10" i="1"/>
  <c r="P10" i="1"/>
  <c r="AF82" i="1"/>
  <c r="N82" i="1"/>
  <c r="AF66" i="1"/>
  <c r="N66" i="1"/>
  <c r="O54" i="1"/>
  <c r="AE180" i="1"/>
  <c r="M180" i="1"/>
  <c r="AE242" i="1"/>
  <c r="M242" i="1"/>
  <c r="P211" i="1"/>
  <c r="O209" i="1"/>
  <c r="AE156" i="1"/>
  <c r="M156" i="1"/>
  <c r="AI212" i="1"/>
  <c r="P212" i="1"/>
  <c r="AE159" i="1"/>
  <c r="M159" i="1"/>
  <c r="AD117" i="1"/>
  <c r="L117" i="1"/>
  <c r="AD41" i="1"/>
  <c r="L41" i="1"/>
  <c r="AI66" i="1"/>
  <c r="P66" i="1"/>
  <c r="AF24" i="1"/>
  <c r="N24" i="1"/>
  <c r="AE24" i="1"/>
  <c r="M24" i="1"/>
  <c r="O8" i="1"/>
  <c r="AI94" i="1"/>
  <c r="P94" i="1"/>
  <c r="AE65" i="1"/>
  <c r="M65" i="1"/>
  <c r="AE34" i="1"/>
  <c r="M34" i="1"/>
  <c r="AE7" i="1"/>
  <c r="M7" i="1"/>
  <c r="O73" i="1"/>
  <c r="P16" i="1"/>
  <c r="AH199" i="1"/>
  <c r="AA199" i="1"/>
  <c r="AA171" i="1"/>
  <c r="AH171" i="1"/>
  <c r="M72" i="1"/>
  <c r="L21" i="1"/>
  <c r="AH16" i="1"/>
  <c r="L224" i="1"/>
  <c r="L183" i="1"/>
  <c r="AA137" i="1"/>
  <c r="AH137" i="1"/>
  <c r="O233" i="1"/>
  <c r="N170" i="1"/>
  <c r="N164" i="1"/>
  <c r="P150" i="1"/>
  <c r="P238" i="1"/>
  <c r="AH153" i="1"/>
  <c r="AA153" i="1"/>
  <c r="AA149" i="1"/>
  <c r="AH149" i="1"/>
  <c r="N137" i="1"/>
  <c r="O62" i="1"/>
  <c r="M51" i="1"/>
  <c r="L46" i="1"/>
  <c r="O245" i="1"/>
  <c r="M134" i="1"/>
  <c r="M124" i="1"/>
  <c r="L57" i="1"/>
  <c r="N33" i="1"/>
  <c r="N191" i="1"/>
  <c r="O159" i="1"/>
  <c r="L135" i="1"/>
  <c r="L126" i="1"/>
  <c r="L121" i="1"/>
  <c r="O100" i="1"/>
  <c r="O94" i="1"/>
  <c r="O69" i="1"/>
  <c r="M33" i="1"/>
  <c r="M146" i="1"/>
  <c r="N19" i="1"/>
  <c r="O7" i="1"/>
  <c r="P164" i="1"/>
  <c r="L153" i="1"/>
  <c r="O108" i="1"/>
  <c r="M41" i="1"/>
  <c r="AA33" i="1"/>
  <c r="AH33" i="1"/>
  <c r="Q169" i="8" l="1"/>
  <c r="H327" i="12"/>
  <c r="J327" i="12" s="1"/>
  <c r="L327" i="12" s="1"/>
  <c r="I318" i="12"/>
  <c r="K318" i="12" s="1"/>
  <c r="K295" i="12"/>
  <c r="AF40" i="1"/>
  <c r="AN40" i="1"/>
  <c r="I131" i="12"/>
  <c r="K131" i="12" s="1"/>
  <c r="I196" i="12"/>
  <c r="K196" i="12" s="1"/>
  <c r="I225" i="12"/>
  <c r="K225" i="12" s="1"/>
  <c r="Q33" i="8"/>
  <c r="H61" i="12"/>
  <c r="J61" i="12" s="1"/>
  <c r="L61" i="12" s="1"/>
  <c r="Q120" i="8"/>
  <c r="H238" i="12"/>
  <c r="P174" i="8"/>
  <c r="Q21" i="8"/>
  <c r="H39" i="12"/>
  <c r="S74" i="7"/>
  <c r="H142" i="12"/>
  <c r="J142" i="12" s="1"/>
  <c r="L142" i="12" s="1"/>
  <c r="S116" i="7"/>
  <c r="H218" i="12"/>
  <c r="J218" i="12" s="1"/>
  <c r="L218" i="12" s="1"/>
  <c r="S71" i="7"/>
  <c r="H136" i="12"/>
  <c r="J136" i="12" s="1"/>
  <c r="L136" i="12" s="1"/>
  <c r="Q133" i="8"/>
  <c r="H261" i="12"/>
  <c r="S123" i="7"/>
  <c r="H232" i="12"/>
  <c r="J232" i="12" s="1"/>
  <c r="L232" i="12" s="1"/>
  <c r="Q144" i="8"/>
  <c r="H282" i="12"/>
  <c r="Q19" i="8"/>
  <c r="H34" i="12"/>
  <c r="J34" i="12" s="1"/>
  <c r="L34" i="12" s="1"/>
  <c r="S110" i="7"/>
  <c r="H207" i="12"/>
  <c r="J207" i="12" s="1"/>
  <c r="L207" i="12" s="1"/>
  <c r="S104" i="7"/>
  <c r="H197" i="12"/>
  <c r="J197" i="12" s="1"/>
  <c r="L197" i="12" s="1"/>
  <c r="S122" i="7"/>
  <c r="H230" i="12"/>
  <c r="S72" i="7"/>
  <c r="H138" i="12"/>
  <c r="Q61" i="8"/>
  <c r="H115" i="12"/>
  <c r="S62" i="7"/>
  <c r="H117" i="12"/>
  <c r="J117" i="12" s="1"/>
  <c r="L117" i="12" s="1"/>
  <c r="Q91" i="8"/>
  <c r="H173" i="12"/>
  <c r="J173" i="12" s="1"/>
  <c r="L173" i="12" s="1"/>
  <c r="S43" i="7"/>
  <c r="H77" i="12"/>
  <c r="J77" i="12" s="1"/>
  <c r="L77" i="12" s="1"/>
  <c r="S130" i="7"/>
  <c r="H245" i="12"/>
  <c r="J245" i="12" s="1"/>
  <c r="L245" i="12" s="1"/>
  <c r="S76" i="7"/>
  <c r="H146" i="12"/>
  <c r="J146" i="12" s="1"/>
  <c r="L146" i="12" s="1"/>
  <c r="S124" i="7"/>
  <c r="H233" i="12"/>
  <c r="J233" i="12" s="1"/>
  <c r="L233" i="12" s="1"/>
  <c r="Q81" i="8"/>
  <c r="H153" i="12"/>
  <c r="L153" i="12" s="1"/>
  <c r="Q130" i="8"/>
  <c r="H254" i="12"/>
  <c r="J254" i="12" s="1"/>
  <c r="L254" i="12" s="1"/>
  <c r="Q141" i="8"/>
  <c r="H276" i="12"/>
  <c r="L276" i="12" s="1"/>
  <c r="S176" i="7"/>
  <c r="H336" i="12"/>
  <c r="J336" i="12" s="1"/>
  <c r="L336" i="12" s="1"/>
  <c r="O83" i="8"/>
  <c r="G157" i="12"/>
  <c r="Q104" i="8"/>
  <c r="H206" i="12"/>
  <c r="S42" i="7"/>
  <c r="H75" i="12"/>
  <c r="J75" i="12" s="1"/>
  <c r="L75" i="12" s="1"/>
  <c r="S73" i="7"/>
  <c r="H140" i="12"/>
  <c r="J140" i="12" s="1"/>
  <c r="L140" i="12" s="1"/>
  <c r="S45" i="7"/>
  <c r="H81" i="12"/>
  <c r="J81" i="12" s="1"/>
  <c r="L81" i="12" s="1"/>
  <c r="S51" i="7"/>
  <c r="H94" i="12"/>
  <c r="J94" i="12" s="1"/>
  <c r="L94" i="12" s="1"/>
  <c r="S22" i="7"/>
  <c r="H37" i="12"/>
  <c r="J37" i="12" s="1"/>
  <c r="L37" i="12" s="1"/>
  <c r="S167" i="7"/>
  <c r="H319" i="12"/>
  <c r="J319" i="12" s="1"/>
  <c r="L319" i="12" s="1"/>
  <c r="S101" i="7"/>
  <c r="H192" i="12"/>
  <c r="J192" i="12" s="1"/>
  <c r="L192" i="12" s="1"/>
  <c r="Q39" i="8"/>
  <c r="H72" i="12"/>
  <c r="S166" i="7"/>
  <c r="H317" i="12"/>
  <c r="J317" i="12" s="1"/>
  <c r="L317" i="12" s="1"/>
  <c r="S49" i="7"/>
  <c r="H90" i="12"/>
  <c r="J90" i="12" s="1"/>
  <c r="L90" i="12" s="1"/>
  <c r="Q67" i="8"/>
  <c r="H125" i="12"/>
  <c r="J125" i="12" s="1"/>
  <c r="L125" i="12" s="1"/>
  <c r="S132" i="7"/>
  <c r="H249" i="12"/>
  <c r="J249" i="12" s="1"/>
  <c r="L249" i="12" s="1"/>
  <c r="S172" i="7"/>
  <c r="H328" i="12"/>
  <c r="J328" i="12" s="1"/>
  <c r="L328" i="12" s="1"/>
  <c r="S83" i="7"/>
  <c r="H158" i="12"/>
  <c r="J158" i="12" s="1"/>
  <c r="L158" i="12" s="1"/>
  <c r="S135" i="7"/>
  <c r="H255" i="12"/>
  <c r="J255" i="12" s="1"/>
  <c r="L255" i="12" s="1"/>
  <c r="P170" i="8"/>
  <c r="Q83" i="8"/>
  <c r="H157" i="12"/>
  <c r="Q59" i="8"/>
  <c r="H111" i="12"/>
  <c r="L111" i="12" s="1"/>
  <c r="S129" i="7"/>
  <c r="H243" i="12"/>
  <c r="J243" i="12" s="1"/>
  <c r="L243" i="12" s="1"/>
  <c r="S92" i="7"/>
  <c r="H176" i="12"/>
  <c r="J176" i="12" s="1"/>
  <c r="L176" i="12" s="1"/>
  <c r="S27" i="7"/>
  <c r="H46" i="12"/>
  <c r="J46" i="12" s="1"/>
  <c r="L46" i="12" s="1"/>
  <c r="S146" i="7"/>
  <c r="H279" i="12"/>
  <c r="J279" i="12" s="1"/>
  <c r="L279" i="12" s="1"/>
  <c r="S18" i="7"/>
  <c r="H29" i="12"/>
  <c r="J29" i="12" s="1"/>
  <c r="L29" i="12" s="1"/>
  <c r="S89" i="7"/>
  <c r="H169" i="12"/>
  <c r="J169" i="12" s="1"/>
  <c r="L169" i="12" s="1"/>
  <c r="S69" i="7"/>
  <c r="H132" i="12"/>
  <c r="J132" i="12" s="1"/>
  <c r="L132" i="12" s="1"/>
  <c r="Q4" i="8"/>
  <c r="H8" i="12"/>
  <c r="J8" i="12" s="1"/>
  <c r="L8" i="12" s="1"/>
  <c r="S35" i="7"/>
  <c r="H59" i="12"/>
  <c r="J59" i="12" s="1"/>
  <c r="L59" i="12" s="1"/>
  <c r="S52" i="7"/>
  <c r="H97" i="12"/>
  <c r="J97" i="12" s="1"/>
  <c r="L97" i="12" s="1"/>
  <c r="Q97" i="8"/>
  <c r="H189" i="12"/>
  <c r="J189" i="12" s="1"/>
  <c r="L189" i="12" s="1"/>
  <c r="S90" i="7"/>
  <c r="H171" i="12"/>
  <c r="J171" i="12" s="1"/>
  <c r="L171" i="12" s="1"/>
  <c r="S157" i="7"/>
  <c r="H300" i="12"/>
  <c r="S143" i="7"/>
  <c r="H270" i="12"/>
  <c r="J270" i="12" s="1"/>
  <c r="L270" i="12" s="1"/>
  <c r="P171" i="8"/>
  <c r="Q57" i="8"/>
  <c r="H107" i="12"/>
  <c r="J107" i="12" s="1"/>
  <c r="L107" i="12" s="1"/>
  <c r="S155" i="7"/>
  <c r="H296" i="12"/>
  <c r="J296" i="12" s="1"/>
  <c r="L296" i="12" s="1"/>
  <c r="S103" i="7"/>
  <c r="H195" i="12"/>
  <c r="Q112" i="8"/>
  <c r="H223" i="12"/>
  <c r="J223" i="12" s="1"/>
  <c r="L223" i="12" s="1"/>
  <c r="S100" i="7"/>
  <c r="H190" i="12"/>
  <c r="J190" i="12" s="1"/>
  <c r="L190" i="12" s="1"/>
  <c r="S68" i="7"/>
  <c r="H130" i="12"/>
  <c r="S136" i="7"/>
  <c r="H256" i="12"/>
  <c r="J256" i="12" s="1"/>
  <c r="L256" i="12" s="1"/>
  <c r="S162" i="7"/>
  <c r="H311" i="12"/>
  <c r="Q106" i="8"/>
  <c r="H210" i="12"/>
  <c r="Q27" i="8"/>
  <c r="H52" i="12"/>
  <c r="J52" i="12" s="1"/>
  <c r="L52" i="12" s="1"/>
  <c r="S3" i="7"/>
  <c r="H4" i="12"/>
  <c r="J4" i="12" s="1"/>
  <c r="L4" i="12" s="1"/>
  <c r="S12" i="7"/>
  <c r="H19" i="12"/>
  <c r="J19" i="12" s="1"/>
  <c r="L19" i="12" s="1"/>
  <c r="Q62" i="8"/>
  <c r="H116" i="12"/>
  <c r="L116" i="12" s="1"/>
  <c r="S56" i="7"/>
  <c r="H104" i="12"/>
  <c r="J104" i="12" s="1"/>
  <c r="L104" i="12" s="1"/>
  <c r="S142" i="7"/>
  <c r="H268" i="12"/>
  <c r="J268" i="12" s="1"/>
  <c r="L268" i="12" s="1"/>
  <c r="S6" i="7"/>
  <c r="H9" i="12"/>
  <c r="J9" i="12" s="1"/>
  <c r="L9" i="12" s="1"/>
  <c r="Q154" i="8"/>
  <c r="H302" i="12"/>
  <c r="J302" i="12" s="1"/>
  <c r="L302" i="12" s="1"/>
  <c r="S163" i="7"/>
  <c r="H313" i="12"/>
  <c r="J313" i="12" s="1"/>
  <c r="L313" i="12" s="1"/>
  <c r="S87" i="7"/>
  <c r="H165" i="12"/>
  <c r="J165" i="12" s="1"/>
  <c r="L165" i="12" s="1"/>
  <c r="S95" i="7"/>
  <c r="H182" i="12"/>
  <c r="J182" i="12" s="1"/>
  <c r="L182" i="12" s="1"/>
  <c r="Q94" i="8"/>
  <c r="H179" i="12"/>
  <c r="J179" i="12" s="1"/>
  <c r="L179" i="12" s="1"/>
  <c r="S115" i="7"/>
  <c r="H216" i="12"/>
  <c r="J216" i="12" s="1"/>
  <c r="L216" i="12" s="1"/>
  <c r="S55" i="7"/>
  <c r="H102" i="12"/>
  <c r="J102" i="12" s="1"/>
  <c r="L102" i="12" s="1"/>
  <c r="Q103" i="8"/>
  <c r="H201" i="12"/>
  <c r="J201" i="12" s="1"/>
  <c r="L201" i="12" s="1"/>
  <c r="Q15" i="8"/>
  <c r="H27" i="12"/>
  <c r="J27" i="12" s="1"/>
  <c r="L27" i="12" s="1"/>
  <c r="S60" i="7"/>
  <c r="H112" i="12"/>
  <c r="J112" i="12" s="1"/>
  <c r="L112" i="12" s="1"/>
  <c r="S107" i="7"/>
  <c r="H203" i="12"/>
  <c r="J203" i="12" s="1"/>
  <c r="L203" i="12" s="1"/>
  <c r="S91" i="7"/>
  <c r="H174" i="12"/>
  <c r="J174" i="12" s="1"/>
  <c r="L174" i="12" s="1"/>
  <c r="R9" i="9"/>
  <c r="R11" i="9"/>
  <c r="R13" i="9"/>
  <c r="R5" i="9"/>
  <c r="R4" i="9"/>
  <c r="R12" i="9"/>
  <c r="R7" i="9"/>
  <c r="R8" i="9"/>
  <c r="R6" i="9"/>
  <c r="R3" i="9"/>
  <c r="V245" i="1"/>
  <c r="AP245" i="1" s="1"/>
  <c r="AI245" i="1"/>
  <c r="V163" i="1"/>
  <c r="AP163" i="1" s="1"/>
  <c r="AB163" i="1"/>
  <c r="AI163" i="1"/>
  <c r="AB245" i="1"/>
  <c r="Z40" i="1"/>
  <c r="M14" i="43"/>
  <c r="H87" i="8"/>
  <c r="H70" i="8"/>
  <c r="H160" i="8"/>
  <c r="H73" i="8"/>
  <c r="H17" i="8"/>
  <c r="H74" i="8"/>
  <c r="H138" i="8"/>
  <c r="H78" i="8"/>
  <c r="H49" i="8"/>
  <c r="H5" i="8"/>
  <c r="H159" i="8"/>
  <c r="H109" i="8"/>
  <c r="H90" i="8"/>
  <c r="H163" i="8"/>
  <c r="H32" i="8"/>
  <c r="H71" i="8"/>
  <c r="H105" i="8"/>
  <c r="H117" i="8"/>
  <c r="H55" i="8"/>
  <c r="H93" i="8"/>
  <c r="H110" i="8"/>
  <c r="H60" i="8"/>
  <c r="H44" i="8"/>
  <c r="H143" i="8"/>
  <c r="H118" i="8"/>
  <c r="H11" i="8"/>
  <c r="H53" i="8"/>
  <c r="H101" i="8"/>
  <c r="H153" i="8"/>
  <c r="H170" i="8"/>
  <c r="H41" i="8"/>
  <c r="H100" i="8"/>
  <c r="H174" i="8"/>
  <c r="H123" i="8"/>
  <c r="H76" i="8"/>
  <c r="H164" i="8"/>
  <c r="H30" i="8"/>
  <c r="Q30" i="8" s="1"/>
  <c r="H124" i="8"/>
  <c r="H131" i="8"/>
  <c r="V1" i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I97" i="8"/>
  <c r="R97" i="8" s="1"/>
  <c r="I111" i="43"/>
  <c r="N111" i="43" s="1"/>
  <c r="I107" i="43"/>
  <c r="N107" i="43" s="1"/>
  <c r="I88" i="43"/>
  <c r="N88" i="43" s="1"/>
  <c r="I64" i="43"/>
  <c r="N64" i="43" s="1"/>
  <c r="I44" i="43"/>
  <c r="N44" i="43" s="1"/>
  <c r="I26" i="43"/>
  <c r="N26" i="43" s="1"/>
  <c r="I30" i="43"/>
  <c r="N30" i="43" s="1"/>
  <c r="H9" i="28"/>
  <c r="K9" i="28" s="1"/>
  <c r="H43" i="28"/>
  <c r="K43" i="28" s="1"/>
  <c r="H8" i="28"/>
  <c r="K8" i="28" s="1"/>
  <c r="I128" i="7"/>
  <c r="T128" i="7" s="1"/>
  <c r="I43" i="7"/>
  <c r="T43" i="7" s="1"/>
  <c r="I82" i="7"/>
  <c r="T82" i="7" s="1"/>
  <c r="I104" i="7"/>
  <c r="T104" i="7" s="1"/>
  <c r="I133" i="8"/>
  <c r="R133" i="8" s="1"/>
  <c r="I163" i="7"/>
  <c r="T163" i="7" s="1"/>
  <c r="I6" i="9"/>
  <c r="N6" i="9" s="1"/>
  <c r="I83" i="7"/>
  <c r="T83" i="7" s="1"/>
  <c r="I143" i="7"/>
  <c r="T143" i="7" s="1"/>
  <c r="I12" i="7"/>
  <c r="T12" i="7" s="1"/>
  <c r="I33" i="8"/>
  <c r="R33" i="8" s="1"/>
  <c r="I112" i="43"/>
  <c r="N112" i="43" s="1"/>
  <c r="I90" i="43"/>
  <c r="N90" i="43" s="1"/>
  <c r="I43" i="43"/>
  <c r="N43" i="43" s="1"/>
  <c r="I47" i="43"/>
  <c r="N47" i="43" s="1"/>
  <c r="H37" i="28"/>
  <c r="K37" i="28" s="1"/>
  <c r="I166" i="7"/>
  <c r="T166" i="7" s="1"/>
  <c r="I142" i="7"/>
  <c r="T142" i="7" s="1"/>
  <c r="I51" i="7"/>
  <c r="T51" i="7" s="1"/>
  <c r="I4" i="10"/>
  <c r="I44" i="7"/>
  <c r="T44" i="7" s="1"/>
  <c r="I57" i="8"/>
  <c r="R57" i="8" s="1"/>
  <c r="I99" i="43"/>
  <c r="N99" i="43" s="1"/>
  <c r="I51" i="43"/>
  <c r="N51" i="43" s="1"/>
  <c r="I12" i="43"/>
  <c r="N12" i="43" s="1"/>
  <c r="I45" i="7"/>
  <c r="T45" i="7" s="1"/>
  <c r="I11" i="7"/>
  <c r="T11" i="7" s="1"/>
  <c r="I73" i="7"/>
  <c r="T73" i="7" s="1"/>
  <c r="I97" i="43"/>
  <c r="N97" i="43" s="1"/>
  <c r="I36" i="43"/>
  <c r="N36" i="43" s="1"/>
  <c r="I14" i="43"/>
  <c r="N14" i="43" s="1"/>
  <c r="I52" i="7"/>
  <c r="T52" i="7" s="1"/>
  <c r="I130" i="7"/>
  <c r="T130" i="7" s="1"/>
  <c r="I55" i="7"/>
  <c r="T55" i="7" s="1"/>
  <c r="I67" i="8"/>
  <c r="R67" i="8" s="1"/>
  <c r="I113" i="43"/>
  <c r="N113" i="43" s="1"/>
  <c r="I105" i="43"/>
  <c r="N105" i="43" s="1"/>
  <c r="I85" i="43"/>
  <c r="N85" i="43" s="1"/>
  <c r="I60" i="43"/>
  <c r="N60" i="43" s="1"/>
  <c r="I42" i="43"/>
  <c r="N42" i="43" s="1"/>
  <c r="I25" i="43"/>
  <c r="N25" i="43" s="1"/>
  <c r="I9" i="43"/>
  <c r="N9" i="43" s="1"/>
  <c r="H21" i="28"/>
  <c r="K21" i="28" s="1"/>
  <c r="H16" i="28"/>
  <c r="K16" i="28" s="1"/>
  <c r="H23" i="28"/>
  <c r="K23" i="28" s="1"/>
  <c r="I119" i="7"/>
  <c r="T119" i="7" s="1"/>
  <c r="I90" i="7"/>
  <c r="T90" i="7" s="1"/>
  <c r="I35" i="7"/>
  <c r="T35" i="7" s="1"/>
  <c r="I107" i="7"/>
  <c r="T107" i="7" s="1"/>
  <c r="I101" i="7"/>
  <c r="T101" i="7" s="1"/>
  <c r="I91" i="7"/>
  <c r="T91" i="7" s="1"/>
  <c r="I11" i="9"/>
  <c r="N11" i="9" s="1"/>
  <c r="I176" i="7"/>
  <c r="T176" i="7" s="1"/>
  <c r="I101" i="43"/>
  <c r="N101" i="43" s="1"/>
  <c r="N100" i="43"/>
  <c r="H26" i="28"/>
  <c r="K26" i="28" s="1"/>
  <c r="I92" i="7"/>
  <c r="T92" i="7" s="1"/>
  <c r="I42" i="7"/>
  <c r="T42" i="7" s="1"/>
  <c r="I20" i="43"/>
  <c r="N20" i="43" s="1"/>
  <c r="H11" i="28"/>
  <c r="K11" i="28" s="1"/>
  <c r="I9" i="9"/>
  <c r="N9" i="9" s="1"/>
  <c r="I81" i="43"/>
  <c r="N81" i="43" s="1"/>
  <c r="H15" i="28"/>
  <c r="K15" i="28" s="1"/>
  <c r="I103" i="7"/>
  <c r="T103" i="7" s="1"/>
  <c r="I6" i="7"/>
  <c r="T6" i="7" s="1"/>
  <c r="I65" i="43"/>
  <c r="N65" i="43" s="1"/>
  <c r="H35" i="28"/>
  <c r="K35" i="28" s="1"/>
  <c r="I116" i="7"/>
  <c r="T116" i="7" s="1"/>
  <c r="I83" i="43"/>
  <c r="N83" i="43" s="1"/>
  <c r="H22" i="28"/>
  <c r="K22" i="28" s="1"/>
  <c r="I22" i="7"/>
  <c r="T22" i="7" s="1"/>
  <c r="I21" i="43"/>
  <c r="N21" i="43" s="1"/>
  <c r="H42" i="28"/>
  <c r="K42" i="28" s="1"/>
  <c r="I27" i="8"/>
  <c r="R27" i="8" s="1"/>
  <c r="I109" i="43"/>
  <c r="N109" i="43" s="1"/>
  <c r="I103" i="43"/>
  <c r="N103" i="43" s="1"/>
  <c r="I87" i="43"/>
  <c r="N87" i="43" s="1"/>
  <c r="I59" i="43"/>
  <c r="N59" i="43" s="1"/>
  <c r="I27" i="43"/>
  <c r="N27" i="43" s="1"/>
  <c r="I23" i="43"/>
  <c r="N23" i="43" s="1"/>
  <c r="N76" i="43"/>
  <c r="H12" i="28"/>
  <c r="K12" i="28" s="1"/>
  <c r="H36" i="28"/>
  <c r="K36" i="28" s="1"/>
  <c r="H19" i="28"/>
  <c r="K19" i="28" s="1"/>
  <c r="I33" i="7"/>
  <c r="T33" i="7" s="1"/>
  <c r="I155" i="7"/>
  <c r="T155" i="7" s="1"/>
  <c r="I3" i="7"/>
  <c r="T3" i="7" s="1"/>
  <c r="I26" i="7"/>
  <c r="T26" i="7" s="1"/>
  <c r="I100" i="7"/>
  <c r="T100" i="7" s="1"/>
  <c r="I13" i="9"/>
  <c r="N13" i="9" s="1"/>
  <c r="I115" i="7"/>
  <c r="T115" i="7" s="1"/>
  <c r="I157" i="7"/>
  <c r="T157" i="7" s="1"/>
  <c r="I19" i="8"/>
  <c r="R19" i="8" s="1"/>
  <c r="I110" i="43"/>
  <c r="N110" i="43" s="1"/>
  <c r="I102" i="43"/>
  <c r="N102" i="43" s="1"/>
  <c r="I74" i="43"/>
  <c r="N74" i="43" s="1"/>
  <c r="I56" i="43"/>
  <c r="N56" i="43" s="1"/>
  <c r="I37" i="43"/>
  <c r="N37" i="43" s="1"/>
  <c r="I22" i="43"/>
  <c r="N22" i="43" s="1"/>
  <c r="I95" i="43"/>
  <c r="N95" i="43" s="1"/>
  <c r="H18" i="28"/>
  <c r="K18" i="28" s="1"/>
  <c r="H38" i="28"/>
  <c r="K38" i="28" s="1"/>
  <c r="H28" i="28"/>
  <c r="K28" i="28" s="1"/>
  <c r="I50" i="7"/>
  <c r="T50" i="7" s="1"/>
  <c r="I122" i="7"/>
  <c r="T122" i="7" s="1"/>
  <c r="I7" i="9"/>
  <c r="N7" i="9" s="1"/>
  <c r="I146" i="7"/>
  <c r="T146" i="7" s="1"/>
  <c r="I110" i="7"/>
  <c r="T110" i="7" s="1"/>
  <c r="I7" i="10"/>
  <c r="I123" i="7"/>
  <c r="T123" i="7" s="1"/>
  <c r="I74" i="7"/>
  <c r="T74" i="7" s="1"/>
  <c r="I115" i="43"/>
  <c r="N115" i="43" s="1"/>
  <c r="I35" i="43"/>
  <c r="N35" i="43" s="1"/>
  <c r="H30" i="28"/>
  <c r="K30" i="28" s="1"/>
  <c r="I71" i="7"/>
  <c r="T71" i="7" s="1"/>
  <c r="I3" i="10"/>
  <c r="I172" i="7"/>
  <c r="T172" i="7" s="1"/>
  <c r="N121" i="43"/>
  <c r="I50" i="43"/>
  <c r="N50" i="43" s="1"/>
  <c r="N67" i="43"/>
  <c r="H33" i="28"/>
  <c r="K33" i="28" s="1"/>
  <c r="I130" i="8"/>
  <c r="R130" i="8" s="1"/>
  <c r="I78" i="7"/>
  <c r="T78" i="7" s="1"/>
  <c r="I56" i="7"/>
  <c r="T56" i="7" s="1"/>
  <c r="I3" i="43"/>
  <c r="N3" i="43" s="1"/>
  <c r="I84" i="43"/>
  <c r="N84" i="43" s="1"/>
  <c r="I33" i="43"/>
  <c r="N33" i="43" s="1"/>
  <c r="H34" i="28"/>
  <c r="K34" i="28" s="1"/>
  <c r="I15" i="8"/>
  <c r="R15" i="8" s="1"/>
  <c r="I103" i="8"/>
  <c r="R103" i="8" s="1"/>
  <c r="I162" i="7"/>
  <c r="T162" i="7" s="1"/>
  <c r="I27" i="7"/>
  <c r="T27" i="7" s="1"/>
  <c r="I62" i="7"/>
  <c r="T62" i="7" s="1"/>
  <c r="I28" i="43"/>
  <c r="N28" i="43" s="1"/>
  <c r="H6" i="28"/>
  <c r="K6" i="28" s="1"/>
  <c r="H41" i="28"/>
  <c r="K41" i="28" s="1"/>
  <c r="I127" i="7"/>
  <c r="T127" i="7" s="1"/>
  <c r="I154" i="8"/>
  <c r="R154" i="8" s="1"/>
  <c r="I12" i="9"/>
  <c r="N12" i="9" s="1"/>
  <c r="I68" i="7"/>
  <c r="T68" i="7" s="1"/>
  <c r="I7" i="43"/>
  <c r="N7" i="43" s="1"/>
  <c r="H17" i="28"/>
  <c r="K17" i="28" s="1"/>
  <c r="I97" i="7"/>
  <c r="T97" i="7" s="1"/>
  <c r="I96" i="43"/>
  <c r="N96" i="43" s="1"/>
  <c r="I5" i="9"/>
  <c r="N5" i="9" s="1"/>
  <c r="I72" i="7"/>
  <c r="T72" i="7" s="1"/>
  <c r="I94" i="43"/>
  <c r="N94" i="43" s="1"/>
  <c r="H39" i="28"/>
  <c r="K39" i="28" s="1"/>
  <c r="I89" i="7"/>
  <c r="T89" i="7" s="1"/>
  <c r="I93" i="43"/>
  <c r="N93" i="43" s="1"/>
  <c r="I37" i="7"/>
  <c r="T37" i="7" s="1"/>
  <c r="I119" i="43"/>
  <c r="N119" i="43" s="1"/>
  <c r="H27" i="28"/>
  <c r="K27" i="28" s="1"/>
  <c r="I156" i="7"/>
  <c r="T156" i="7" s="1"/>
  <c r="I91" i="43"/>
  <c r="N91" i="43" s="1"/>
  <c r="H25" i="28"/>
  <c r="K25" i="28" s="1"/>
  <c r="I116" i="43"/>
  <c r="N116" i="43" s="1"/>
  <c r="I71" i="43"/>
  <c r="N71" i="43" s="1"/>
  <c r="I31" i="43"/>
  <c r="N31" i="43" s="1"/>
  <c r="H24" i="28"/>
  <c r="K24" i="28" s="1"/>
  <c r="H45" i="28"/>
  <c r="K45" i="28" s="1"/>
  <c r="I91" i="8"/>
  <c r="R91" i="8" s="1"/>
  <c r="I104" i="43"/>
  <c r="N104" i="43" s="1"/>
  <c r="I8" i="9"/>
  <c r="N8" i="9" s="1"/>
  <c r="I122" i="43"/>
  <c r="N122" i="43" s="1"/>
  <c r="I87" i="7"/>
  <c r="T87" i="7" s="1"/>
  <c r="I106" i="43"/>
  <c r="N106" i="43" s="1"/>
  <c r="I76" i="7"/>
  <c r="T76" i="7" s="1"/>
  <c r="I8" i="43"/>
  <c r="N8" i="43" s="1"/>
  <c r="I52" i="43"/>
  <c r="N52" i="43" s="1"/>
  <c r="I40" i="43"/>
  <c r="N40" i="43" s="1"/>
  <c r="I135" i="7"/>
  <c r="T135" i="7" s="1"/>
  <c r="I60" i="7"/>
  <c r="T60" i="7" s="1"/>
  <c r="I131" i="7"/>
  <c r="T131" i="7" s="1"/>
  <c r="I108" i="43"/>
  <c r="N108" i="43" s="1"/>
  <c r="I10" i="9"/>
  <c r="N10" i="9" s="1"/>
  <c r="I70" i="43"/>
  <c r="N70" i="43" s="1"/>
  <c r="I3" i="9"/>
  <c r="N3" i="9" s="1"/>
  <c r="I15" i="43"/>
  <c r="N15" i="43" s="1"/>
  <c r="H29" i="28"/>
  <c r="K29" i="28" s="1"/>
  <c r="I53" i="43"/>
  <c r="N53" i="43" s="1"/>
  <c r="I62" i="8"/>
  <c r="R62" i="8" s="1"/>
  <c r="I132" i="7"/>
  <c r="T132" i="7" s="1"/>
  <c r="I45" i="43"/>
  <c r="N45" i="43" s="1"/>
  <c r="I120" i="43"/>
  <c r="N120" i="43" s="1"/>
  <c r="I32" i="43"/>
  <c r="N32" i="43" s="1"/>
  <c r="H13" i="28"/>
  <c r="K13" i="28" s="1"/>
  <c r="I34" i="43"/>
  <c r="N34" i="43" s="1"/>
  <c r="I68" i="43"/>
  <c r="N68" i="43" s="1"/>
  <c r="I17" i="43"/>
  <c r="N17" i="43" s="1"/>
  <c r="H32" i="28"/>
  <c r="K32" i="28" s="1"/>
  <c r="H7" i="28"/>
  <c r="K7" i="28" s="1"/>
  <c r="I167" i="7"/>
  <c r="T167" i="7" s="1"/>
  <c r="I95" i="7"/>
  <c r="T95" i="7" s="1"/>
  <c r="I4" i="9"/>
  <c r="N4" i="9" s="1"/>
  <c r="I63" i="43"/>
  <c r="N63" i="43" s="1"/>
  <c r="I72" i="43"/>
  <c r="N72" i="43" s="1"/>
  <c r="I13" i="43"/>
  <c r="N13" i="43" s="1"/>
  <c r="H10" i="28"/>
  <c r="K10" i="28" s="1"/>
  <c r="I124" i="7"/>
  <c r="T124" i="7" s="1"/>
  <c r="H31" i="28"/>
  <c r="K31" i="28" s="1"/>
  <c r="I80" i="7"/>
  <c r="T80" i="7" s="1"/>
  <c r="I154" i="7"/>
  <c r="T154" i="7" s="1"/>
  <c r="I49" i="43"/>
  <c r="N49" i="43" s="1"/>
  <c r="I169" i="8"/>
  <c r="R169" i="8" s="1"/>
  <c r="I112" i="8"/>
  <c r="R112" i="8" s="1"/>
  <c r="I18" i="7"/>
  <c r="T18" i="7" s="1"/>
  <c r="I133" i="7"/>
  <c r="T133" i="7" s="1"/>
  <c r="I48" i="43"/>
  <c r="N48" i="43" s="1"/>
  <c r="H40" i="28"/>
  <c r="K40" i="28" s="1"/>
  <c r="I49" i="7"/>
  <c r="T49" i="7" s="1"/>
  <c r="I72" i="8"/>
  <c r="R72" i="8" s="1"/>
  <c r="I129" i="7"/>
  <c r="T129" i="7" s="1"/>
  <c r="H14" i="28"/>
  <c r="K14" i="28" s="1"/>
  <c r="I57" i="43"/>
  <c r="N57" i="43" s="1"/>
  <c r="I5" i="10"/>
  <c r="I92" i="43"/>
  <c r="N92" i="43" s="1"/>
  <c r="I136" i="7"/>
  <c r="T136" i="7" s="1"/>
  <c r="I38" i="43"/>
  <c r="N38" i="43" s="1"/>
  <c r="I173" i="7"/>
  <c r="T173" i="7" s="1"/>
  <c r="H5" i="28"/>
  <c r="K5" i="28" s="1"/>
  <c r="I4" i="8"/>
  <c r="R4" i="8" s="1"/>
  <c r="I39" i="8"/>
  <c r="R39" i="8" s="1"/>
  <c r="I21" i="8"/>
  <c r="R21" i="8" s="1"/>
  <c r="I106" i="8"/>
  <c r="R106" i="8" s="1"/>
  <c r="I61" i="8"/>
  <c r="R61" i="8" s="1"/>
  <c r="I104" i="8"/>
  <c r="R104" i="8" s="1"/>
  <c r="I94" i="8"/>
  <c r="R94" i="8" s="1"/>
  <c r="I81" i="8"/>
  <c r="R81" i="8" s="1"/>
  <c r="I120" i="8"/>
  <c r="R120" i="8" s="1"/>
  <c r="I144" i="8"/>
  <c r="R144" i="8" s="1"/>
  <c r="I59" i="8"/>
  <c r="R59" i="8" s="1"/>
  <c r="H151" i="8"/>
  <c r="H92" i="8"/>
  <c r="H89" i="8"/>
  <c r="H126" i="8"/>
  <c r="H56" i="8"/>
  <c r="H63" i="8"/>
  <c r="H137" i="8"/>
  <c r="H10" i="8"/>
  <c r="Q10" i="8" s="1"/>
  <c r="H42" i="8"/>
  <c r="H113" i="8"/>
  <c r="H98" i="8"/>
  <c r="H25" i="8"/>
  <c r="H51" i="8"/>
  <c r="AB134" i="1"/>
  <c r="AG134" i="1"/>
  <c r="Y185" i="1"/>
  <c r="G128" i="8"/>
  <c r="P128" i="8" s="1"/>
  <c r="X185" i="1"/>
  <c r="I141" i="8"/>
  <c r="R141" i="8" s="1"/>
  <c r="AH169" i="1"/>
  <c r="AI156" i="1"/>
  <c r="AA46" i="1"/>
  <c r="AA151" i="1"/>
  <c r="AI215" i="1"/>
  <c r="AI214" i="1"/>
  <c r="AH46" i="1"/>
  <c r="AI138" i="1"/>
  <c r="AA139" i="1"/>
  <c r="AA169" i="1"/>
  <c r="AA16" i="1"/>
  <c r="AI16" i="1"/>
  <c r="AA198" i="1"/>
  <c r="Y134" i="1"/>
  <c r="AE134" i="1"/>
  <c r="AI239" i="1"/>
  <c r="AA210" i="1"/>
  <c r="AI194" i="1"/>
  <c r="AI188" i="1"/>
  <c r="AA148" i="1"/>
  <c r="AE124" i="1"/>
  <c r="AI155" i="1"/>
  <c r="AI34" i="1"/>
  <c r="AA75" i="1"/>
  <c r="AI41" i="1"/>
  <c r="Y124" i="1"/>
  <c r="AA115" i="1"/>
  <c r="AI231" i="1"/>
  <c r="AI166" i="1"/>
  <c r="AI152" i="1"/>
  <c r="AI147" i="1"/>
  <c r="AI211" i="1"/>
  <c r="AH192" i="1"/>
  <c r="AI71" i="1"/>
  <c r="AA165" i="1"/>
  <c r="AA99" i="1"/>
  <c r="AB165" i="1"/>
  <c r="AB214" i="1"/>
  <c r="AB21" i="1"/>
  <c r="AB71" i="1"/>
  <c r="AA21" i="1"/>
  <c r="AB151" i="1"/>
  <c r="AB156" i="1"/>
  <c r="AB239" i="1"/>
  <c r="AB139" i="1"/>
  <c r="AB148" i="1"/>
  <c r="AB41" i="1"/>
  <c r="AB198" i="1"/>
  <c r="AB194" i="1"/>
  <c r="AB34" i="1"/>
  <c r="AB155" i="1"/>
  <c r="AB75" i="1"/>
  <c r="AB211" i="1"/>
  <c r="AB152" i="1"/>
  <c r="AB147" i="1"/>
  <c r="AB210" i="1"/>
  <c r="AB188" i="1"/>
  <c r="AB166" i="1"/>
  <c r="AB231" i="1"/>
  <c r="AB99" i="1"/>
  <c r="AB138" i="1"/>
  <c r="AB215" i="1"/>
  <c r="AA7" i="1"/>
  <c r="AH7" i="1"/>
  <c r="AA246" i="1"/>
  <c r="AH246" i="1"/>
  <c r="AA134" i="1"/>
  <c r="AH134" i="1"/>
  <c r="AA197" i="1"/>
  <c r="AH197" i="1"/>
  <c r="AA129" i="1"/>
  <c r="AH129" i="1"/>
  <c r="AA58" i="1"/>
  <c r="AH58" i="1"/>
  <c r="AH185" i="1"/>
  <c r="AA185" i="1"/>
  <c r="AA19" i="1"/>
  <c r="AH19" i="1"/>
  <c r="AA43" i="1"/>
  <c r="AH43" i="1"/>
  <c r="AA82" i="1"/>
  <c r="AH82" i="1"/>
  <c r="AA79" i="1"/>
  <c r="AH79" i="1"/>
  <c r="AA52" i="1"/>
  <c r="AH52" i="1"/>
  <c r="AA83" i="1"/>
  <c r="AH83" i="1"/>
  <c r="AA141" i="1"/>
  <c r="AH141" i="1"/>
  <c r="AA38" i="1"/>
  <c r="AH38" i="1"/>
  <c r="AH142" i="1"/>
  <c r="AA142" i="1"/>
  <c r="AA118" i="1"/>
  <c r="AH118" i="1"/>
  <c r="AB168" i="1"/>
  <c r="AI168" i="1"/>
  <c r="AA109" i="1"/>
  <c r="AH109" i="1"/>
  <c r="AA24" i="1"/>
  <c r="AH24" i="1"/>
  <c r="AA23" i="1"/>
  <c r="AH23" i="1"/>
  <c r="AA123" i="1"/>
  <c r="AH123" i="1"/>
  <c r="AA226" i="1"/>
  <c r="AH226" i="1"/>
  <c r="AB35" i="1"/>
  <c r="AI35" i="1"/>
  <c r="AA174" i="1"/>
  <c r="AH174" i="1"/>
  <c r="AA91" i="1"/>
  <c r="AH91" i="1"/>
  <c r="AA162" i="1"/>
  <c r="AH162" i="1"/>
  <c r="AA209" i="1"/>
  <c r="AH209" i="1"/>
  <c r="AA126" i="1"/>
  <c r="AH126" i="1"/>
  <c r="AA27" i="1"/>
  <c r="AH27" i="1"/>
  <c r="AA170" i="1"/>
  <c r="AH170" i="1"/>
  <c r="AB79" i="1"/>
  <c r="AI79" i="1"/>
  <c r="AA73" i="1"/>
  <c r="AH73" i="1"/>
  <c r="AA72" i="1"/>
  <c r="AH72" i="1"/>
  <c r="AA242" i="1"/>
  <c r="AH242" i="1"/>
  <c r="AA11" i="1"/>
  <c r="AH11" i="1"/>
  <c r="AA14" i="1"/>
  <c r="AH14" i="1"/>
  <c r="AA173" i="1"/>
  <c r="AH173" i="1"/>
  <c r="AA37" i="1"/>
  <c r="AH37" i="1"/>
  <c r="AA243" i="1"/>
  <c r="AH243" i="1"/>
  <c r="AA244" i="1"/>
  <c r="AH244" i="1"/>
  <c r="AH183" i="1"/>
  <c r="AA183" i="1"/>
  <c r="AA54" i="1"/>
  <c r="AH54" i="1"/>
  <c r="AA224" i="1"/>
  <c r="AH224" i="1"/>
  <c r="AH180" i="1"/>
  <c r="AA180" i="1"/>
  <c r="AA232" i="1"/>
  <c r="AH232" i="1"/>
  <c r="AA69" i="1"/>
  <c r="AH69" i="1"/>
  <c r="AB6" i="1"/>
  <c r="AI6" i="1"/>
  <c r="AA132" i="1"/>
  <c r="AH132" i="1"/>
  <c r="AA17" i="1"/>
  <c r="AH17" i="1"/>
  <c r="AH227" i="1"/>
  <c r="AA227" i="1"/>
  <c r="AA95" i="1"/>
  <c r="AH95" i="1"/>
  <c r="AA22" i="1"/>
  <c r="AH22" i="1"/>
  <c r="AA104" i="1"/>
  <c r="AH104" i="1"/>
  <c r="AA114" i="1"/>
  <c r="AH114" i="1"/>
  <c r="AA35" i="1"/>
  <c r="AH35" i="1"/>
  <c r="AA117" i="1"/>
  <c r="AH117" i="1"/>
  <c r="AA30" i="1"/>
  <c r="AH30" i="1"/>
  <c r="AA66" i="1"/>
  <c r="AH66" i="1"/>
  <c r="AA108" i="1"/>
  <c r="AH108" i="1"/>
  <c r="AA8" i="1"/>
  <c r="AH8" i="1"/>
  <c r="AA172" i="1"/>
  <c r="AH172" i="1"/>
  <c r="AA92" i="1"/>
  <c r="AH92" i="1"/>
  <c r="AA53" i="1"/>
  <c r="AH53" i="1"/>
  <c r="AA49" i="1"/>
  <c r="AH49" i="1"/>
  <c r="AA51" i="1"/>
  <c r="AH51" i="1"/>
  <c r="AA128" i="1"/>
  <c r="AH128" i="1"/>
  <c r="AA31" i="1"/>
  <c r="AH31" i="1"/>
  <c r="AA178" i="1"/>
  <c r="AH178" i="1"/>
  <c r="AA86" i="1"/>
  <c r="AH86" i="1"/>
  <c r="AA93" i="1"/>
  <c r="AH93" i="1"/>
  <c r="AA230" i="1"/>
  <c r="AH230" i="1"/>
  <c r="AA13" i="1"/>
  <c r="AH13" i="1"/>
  <c r="AA96" i="1"/>
  <c r="AH96" i="1"/>
  <c r="AH206" i="1"/>
  <c r="AA206" i="1"/>
  <c r="AA88" i="1"/>
  <c r="AH88" i="1"/>
  <c r="AA29" i="1"/>
  <c r="AH29" i="1"/>
  <c r="AA47" i="1"/>
  <c r="AH47" i="1"/>
  <c r="AA122" i="1"/>
  <c r="AH122" i="1"/>
  <c r="AA112" i="1"/>
  <c r="AH112" i="1"/>
  <c r="AA228" i="1"/>
  <c r="AH228" i="1"/>
  <c r="AA77" i="1"/>
  <c r="AH77" i="1"/>
  <c r="AA64" i="1"/>
  <c r="AH64" i="1"/>
  <c r="AA116" i="1"/>
  <c r="AH116" i="1"/>
  <c r="AA68" i="1"/>
  <c r="AH68" i="1"/>
  <c r="AA212" i="1"/>
  <c r="AH212" i="1"/>
  <c r="AA121" i="1"/>
  <c r="AH121" i="1"/>
  <c r="AA70" i="1"/>
  <c r="AH70" i="1"/>
  <c r="AA81" i="1"/>
  <c r="AH81" i="1"/>
  <c r="AA186" i="1"/>
  <c r="AH186" i="1"/>
  <c r="AA42" i="1"/>
  <c r="AH42" i="1"/>
  <c r="AA78" i="1"/>
  <c r="AH78" i="1"/>
  <c r="AA10" i="1"/>
  <c r="AH10" i="1"/>
  <c r="AA55" i="1"/>
  <c r="AH55" i="1"/>
  <c r="J311" i="12" l="1"/>
  <c r="L311" i="12" s="1"/>
  <c r="J331" i="12"/>
  <c r="L331" i="12" s="1"/>
  <c r="J300" i="12"/>
  <c r="L300" i="12" s="1"/>
  <c r="Q174" i="8"/>
  <c r="H337" i="12"/>
  <c r="J337" i="12" s="1"/>
  <c r="L337" i="12" s="1"/>
  <c r="Q170" i="8"/>
  <c r="H329" i="12"/>
  <c r="J329" i="12" s="1"/>
  <c r="L329" i="12" s="1"/>
  <c r="J195" i="12"/>
  <c r="L195" i="12" s="1"/>
  <c r="J72" i="12"/>
  <c r="L72" i="12" s="1"/>
  <c r="J138" i="12"/>
  <c r="L138" i="12" s="1"/>
  <c r="J261" i="12"/>
  <c r="L261" i="12" s="1"/>
  <c r="J130" i="12"/>
  <c r="L130" i="12" s="1"/>
  <c r="J157" i="12"/>
  <c r="L157" i="12" s="1"/>
  <c r="J115" i="12"/>
  <c r="L115" i="12" s="1"/>
  <c r="J230" i="12"/>
  <c r="L230" i="12" s="1"/>
  <c r="I157" i="12"/>
  <c r="K157" i="12" s="1"/>
  <c r="J282" i="12"/>
  <c r="L282" i="12" s="1"/>
  <c r="J39" i="12"/>
  <c r="L39" i="12" s="1"/>
  <c r="J238" i="12"/>
  <c r="L238" i="12" s="1"/>
  <c r="J210" i="12"/>
  <c r="L210" i="12" s="1"/>
  <c r="J206" i="12"/>
  <c r="L206" i="12" s="1"/>
  <c r="Q41" i="8"/>
  <c r="H76" i="12"/>
  <c r="J76" i="12" s="1"/>
  <c r="L76" i="12" s="1"/>
  <c r="Q73" i="8"/>
  <c r="H137" i="12"/>
  <c r="J137" i="12" s="1"/>
  <c r="L137" i="12" s="1"/>
  <c r="Q42" i="8"/>
  <c r="H78" i="12"/>
  <c r="J78" i="12" s="1"/>
  <c r="L78" i="12" s="1"/>
  <c r="Q118" i="8"/>
  <c r="H234" i="12"/>
  <c r="J234" i="12" s="1"/>
  <c r="L234" i="12" s="1"/>
  <c r="Q5" i="8"/>
  <c r="H10" i="12"/>
  <c r="J10" i="12" s="1"/>
  <c r="L10" i="12" s="1"/>
  <c r="Q163" i="8"/>
  <c r="H318" i="12"/>
  <c r="J318" i="12" s="1"/>
  <c r="L318" i="12" s="1"/>
  <c r="Q92" i="8"/>
  <c r="H175" i="12"/>
  <c r="J175" i="12" s="1"/>
  <c r="L175" i="12" s="1"/>
  <c r="Q151" i="8"/>
  <c r="H297" i="12"/>
  <c r="J297" i="12" s="1"/>
  <c r="L297" i="12" s="1"/>
  <c r="Q160" i="8"/>
  <c r="H314" i="12"/>
  <c r="J314" i="12" s="1"/>
  <c r="L314" i="12" s="1"/>
  <c r="Q117" i="8"/>
  <c r="H231" i="12"/>
  <c r="Q76" i="8"/>
  <c r="H143" i="12"/>
  <c r="J143" i="12" s="1"/>
  <c r="L143" i="12" s="1"/>
  <c r="Q63" i="8"/>
  <c r="H118" i="12"/>
  <c r="J118" i="12" s="1"/>
  <c r="L118" i="12" s="1"/>
  <c r="Q101" i="8"/>
  <c r="H198" i="12"/>
  <c r="J198" i="12" s="1"/>
  <c r="L198" i="12" s="1"/>
  <c r="Q25" i="8"/>
  <c r="H47" i="12"/>
  <c r="J47" i="12" s="1"/>
  <c r="L47" i="12" s="1"/>
  <c r="Q53" i="8"/>
  <c r="H98" i="12"/>
  <c r="J98" i="12" s="1"/>
  <c r="L98" i="12" s="1"/>
  <c r="Q105" i="8"/>
  <c r="H208" i="12"/>
  <c r="J208" i="12" s="1"/>
  <c r="L208" i="12" s="1"/>
  <c r="Q138" i="8"/>
  <c r="H271" i="12"/>
  <c r="J271" i="12" s="1"/>
  <c r="L271" i="12" s="1"/>
  <c r="Q49" i="8"/>
  <c r="H91" i="12"/>
  <c r="J91" i="12" s="1"/>
  <c r="L91" i="12" s="1"/>
  <c r="Q90" i="8"/>
  <c r="H172" i="12"/>
  <c r="J172" i="12" s="1"/>
  <c r="L172" i="12" s="1"/>
  <c r="Q44" i="8"/>
  <c r="H82" i="12"/>
  <c r="J82" i="12" s="1"/>
  <c r="L82" i="12" s="1"/>
  <c r="Q56" i="8"/>
  <c r="H105" i="12"/>
  <c r="J105" i="12" s="1"/>
  <c r="L105" i="12" s="1"/>
  <c r="Q123" i="8"/>
  <c r="H244" i="12"/>
  <c r="J244" i="12" s="1"/>
  <c r="L244" i="12" s="1"/>
  <c r="Q60" i="8"/>
  <c r="H113" i="12"/>
  <c r="J113" i="12" s="1"/>
  <c r="L113" i="12" s="1"/>
  <c r="Q87" i="8"/>
  <c r="H166" i="12"/>
  <c r="J166" i="12" s="1"/>
  <c r="L166" i="12" s="1"/>
  <c r="Q70" i="8"/>
  <c r="H131" i="12"/>
  <c r="Q98" i="8"/>
  <c r="H191" i="12"/>
  <c r="J191" i="12" s="1"/>
  <c r="L191" i="12" s="1"/>
  <c r="Q126" i="8"/>
  <c r="H250" i="12"/>
  <c r="J250" i="12" s="1"/>
  <c r="L250" i="12" s="1"/>
  <c r="Q131" i="8"/>
  <c r="H257" i="12"/>
  <c r="J257" i="12" s="1"/>
  <c r="L257" i="12" s="1"/>
  <c r="Q110" i="8"/>
  <c r="H219" i="12"/>
  <c r="J219" i="12" s="1"/>
  <c r="L219" i="12" s="1"/>
  <c r="Q71" i="8"/>
  <c r="H133" i="12"/>
  <c r="J133" i="12" s="1"/>
  <c r="L133" i="12" s="1"/>
  <c r="Q109" i="8"/>
  <c r="H217" i="12"/>
  <c r="J217" i="12" s="1"/>
  <c r="L217" i="12" s="1"/>
  <c r="Q74" i="8"/>
  <c r="H139" i="12"/>
  <c r="Q164" i="8"/>
  <c r="H320" i="12"/>
  <c r="J320" i="12" s="1"/>
  <c r="L320" i="12" s="1"/>
  <c r="Q93" i="8"/>
  <c r="H177" i="12"/>
  <c r="J177" i="12" s="1"/>
  <c r="L177" i="12" s="1"/>
  <c r="Q137" i="8"/>
  <c r="H269" i="12"/>
  <c r="J269" i="12" s="1"/>
  <c r="L269" i="12" s="1"/>
  <c r="Q78" i="8"/>
  <c r="H147" i="12"/>
  <c r="J147" i="12" s="1"/>
  <c r="L147" i="12" s="1"/>
  <c r="Q89" i="8"/>
  <c r="H170" i="12"/>
  <c r="J170" i="12" s="1"/>
  <c r="L170" i="12" s="1"/>
  <c r="Q124" i="8"/>
  <c r="H246" i="12"/>
  <c r="J246" i="12" s="1"/>
  <c r="L246" i="12" s="1"/>
  <c r="Q100" i="8"/>
  <c r="H196" i="12"/>
  <c r="Q159" i="8"/>
  <c r="H312" i="12"/>
  <c r="Q143" i="8"/>
  <c r="H280" i="12"/>
  <c r="J280" i="12" s="1"/>
  <c r="L280" i="12" s="1"/>
  <c r="Q153" i="8"/>
  <c r="H301" i="12"/>
  <c r="Q51" i="8"/>
  <c r="H95" i="12"/>
  <c r="J95" i="12" s="1"/>
  <c r="L95" i="12" s="1"/>
  <c r="Q113" i="8"/>
  <c r="H225" i="12"/>
  <c r="Q11" i="8"/>
  <c r="H20" i="12"/>
  <c r="J20" i="12" s="1"/>
  <c r="L20" i="12" s="1"/>
  <c r="Q55" i="8"/>
  <c r="H103" i="12"/>
  <c r="J103" i="12" s="1"/>
  <c r="L103" i="12" s="1"/>
  <c r="Q32" i="8"/>
  <c r="H60" i="12"/>
  <c r="J60" i="12" s="1"/>
  <c r="L60" i="12" s="1"/>
  <c r="Q17" i="8"/>
  <c r="H30" i="12"/>
  <c r="J30" i="12" s="1"/>
  <c r="L30" i="12" s="1"/>
  <c r="S8" i="9"/>
  <c r="S11" i="9"/>
  <c r="S10" i="9"/>
  <c r="S7" i="9"/>
  <c r="S6" i="9"/>
  <c r="S3" i="9"/>
  <c r="S13" i="9"/>
  <c r="S5" i="9"/>
  <c r="S9" i="9"/>
  <c r="S4" i="9"/>
  <c r="S12" i="9"/>
  <c r="I80" i="8"/>
  <c r="R80" i="8" s="1"/>
  <c r="AA163" i="1"/>
  <c r="AH163" i="1"/>
  <c r="AH245" i="1"/>
  <c r="AA245" i="1"/>
  <c r="I56" i="8"/>
  <c r="R56" i="8" s="1"/>
  <c r="I100" i="8"/>
  <c r="R100" i="8" s="1"/>
  <c r="I126" i="8"/>
  <c r="R126" i="8" s="1"/>
  <c r="I42" i="8"/>
  <c r="R42" i="8" s="1"/>
  <c r="I30" i="8"/>
  <c r="R30" i="8" s="1"/>
  <c r="I25" i="8"/>
  <c r="R25" i="8" s="1"/>
  <c r="I32" i="8"/>
  <c r="R32" i="8" s="1"/>
  <c r="I150" i="8"/>
  <c r="R150" i="8" s="1"/>
  <c r="I95" i="8"/>
  <c r="R95" i="8" s="1"/>
  <c r="I82" i="8"/>
  <c r="R82" i="8" s="1"/>
  <c r="I87" i="8"/>
  <c r="R87" i="8" s="1"/>
  <c r="I152" i="8"/>
  <c r="R152" i="8" s="1"/>
  <c r="I41" i="8"/>
  <c r="R41" i="8" s="1"/>
  <c r="I55" i="8"/>
  <c r="R55" i="8" s="1"/>
  <c r="I11" i="8"/>
  <c r="R11" i="8" s="1"/>
  <c r="I123" i="8"/>
  <c r="R123" i="8" s="1"/>
  <c r="I170" i="8"/>
  <c r="R170" i="8" s="1"/>
  <c r="I117" i="8"/>
  <c r="R117" i="8" s="1"/>
  <c r="I93" i="8"/>
  <c r="R93" i="8" s="1"/>
  <c r="I124" i="8"/>
  <c r="R124" i="8" s="1"/>
  <c r="I43" i="8"/>
  <c r="R43" i="8" s="1"/>
  <c r="I138" i="8"/>
  <c r="R138" i="8" s="1"/>
  <c r="I131" i="8"/>
  <c r="R131" i="8" s="1"/>
  <c r="I74" i="8"/>
  <c r="R74" i="8" s="1"/>
  <c r="I44" i="8"/>
  <c r="R44" i="8" s="1"/>
  <c r="I105" i="8"/>
  <c r="R105" i="8" s="1"/>
  <c r="I118" i="8"/>
  <c r="R118" i="8" s="1"/>
  <c r="I70" i="8"/>
  <c r="R70" i="8" s="1"/>
  <c r="I50" i="8"/>
  <c r="R50" i="8" s="1"/>
  <c r="I153" i="8"/>
  <c r="R153" i="8" s="1"/>
  <c r="I110" i="8"/>
  <c r="R110" i="8" s="1"/>
  <c r="I53" i="8"/>
  <c r="R53" i="8" s="1"/>
  <c r="I142" i="8"/>
  <c r="R142" i="8" s="1"/>
  <c r="I143" i="8"/>
  <c r="R143" i="8" s="1"/>
  <c r="I49" i="8"/>
  <c r="R49" i="8" s="1"/>
  <c r="I35" i="8"/>
  <c r="R35" i="8" s="1"/>
  <c r="I73" i="8"/>
  <c r="R73" i="8" s="1"/>
  <c r="I109" i="8"/>
  <c r="R109" i="8" s="1"/>
  <c r="I51" i="8"/>
  <c r="R51" i="8" s="1"/>
  <c r="I171" i="8"/>
  <c r="R171" i="8" s="1"/>
  <c r="I17" i="8"/>
  <c r="R17" i="8" s="1"/>
  <c r="I151" i="8"/>
  <c r="R151" i="8" s="1"/>
  <c r="AM1" i="1"/>
  <c r="F47" i="7"/>
  <c r="F14" i="7"/>
  <c r="F108" i="7"/>
  <c r="F7" i="7"/>
  <c r="F121" i="7"/>
  <c r="F17" i="7"/>
  <c r="Q17" i="7" s="1"/>
  <c r="F16" i="7"/>
  <c r="F117" i="7"/>
  <c r="F98" i="7"/>
  <c r="F13" i="7"/>
  <c r="F63" i="7"/>
  <c r="F19" i="7"/>
  <c r="F149" i="7"/>
  <c r="F23" i="7"/>
  <c r="F148" i="7"/>
  <c r="F52" i="8"/>
  <c r="F21" i="7"/>
  <c r="F79" i="7"/>
  <c r="F93" i="7"/>
  <c r="I125" i="8"/>
  <c r="R125" i="8" s="1"/>
  <c r="I137" i="8"/>
  <c r="R137" i="8" s="1"/>
  <c r="I160" i="8"/>
  <c r="R160" i="8" s="1"/>
  <c r="I24" i="8"/>
  <c r="R24" i="8" s="1"/>
  <c r="I101" i="8"/>
  <c r="R101" i="8" s="1"/>
  <c r="I76" i="8"/>
  <c r="R76" i="8" s="1"/>
  <c r="I92" i="8"/>
  <c r="R92" i="8" s="1"/>
  <c r="I10" i="8"/>
  <c r="R10" i="8" s="1"/>
  <c r="I164" i="8"/>
  <c r="R164" i="8" s="1"/>
  <c r="I63" i="8"/>
  <c r="R63" i="8" s="1"/>
  <c r="I122" i="8"/>
  <c r="R122" i="8" s="1"/>
  <c r="I78" i="8"/>
  <c r="R78" i="8" s="1"/>
  <c r="I159" i="8"/>
  <c r="R159" i="8" s="1"/>
  <c r="I90" i="8"/>
  <c r="R90" i="8" s="1"/>
  <c r="I60" i="8"/>
  <c r="R60" i="8" s="1"/>
  <c r="I89" i="8"/>
  <c r="R89" i="8" s="1"/>
  <c r="I121" i="8"/>
  <c r="R121" i="8" s="1"/>
  <c r="I98" i="8"/>
  <c r="R98" i="8" s="1"/>
  <c r="I5" i="8"/>
  <c r="R5" i="8" s="1"/>
  <c r="I174" i="8"/>
  <c r="R174" i="8" s="1"/>
  <c r="I163" i="8"/>
  <c r="R163" i="8" s="1"/>
  <c r="I113" i="8"/>
  <c r="R113" i="8" s="1"/>
  <c r="X134" i="1"/>
  <c r="AD134" i="1"/>
  <c r="X124" i="1"/>
  <c r="AD124" i="1"/>
  <c r="AA6" i="1"/>
  <c r="AH6" i="1"/>
  <c r="AA168" i="1"/>
  <c r="AH168" i="1"/>
  <c r="J312" i="12" l="1"/>
  <c r="L312" i="12" s="1"/>
  <c r="J301" i="12"/>
  <c r="L301" i="12" s="1"/>
  <c r="J196" i="12"/>
  <c r="L196" i="12" s="1"/>
  <c r="J139" i="12"/>
  <c r="L139" i="12" s="1"/>
  <c r="J131" i="12"/>
  <c r="L131" i="12" s="1"/>
  <c r="J231" i="12"/>
  <c r="L231" i="12" s="1"/>
  <c r="J225" i="12"/>
  <c r="L225" i="12" s="1"/>
  <c r="Q63" i="7"/>
  <c r="G119" i="12"/>
  <c r="I119" i="12" s="1"/>
  <c r="K119" i="12" s="1"/>
  <c r="Q19" i="7"/>
  <c r="G31" i="12"/>
  <c r="I31" i="12" s="1"/>
  <c r="K31" i="12" s="1"/>
  <c r="Q13" i="7"/>
  <c r="G21" i="12"/>
  <c r="I21" i="12" s="1"/>
  <c r="K21" i="12" s="1"/>
  <c r="Q93" i="7"/>
  <c r="G178" i="12"/>
  <c r="I178" i="12" s="1"/>
  <c r="K178" i="12" s="1"/>
  <c r="Q121" i="7"/>
  <c r="G228" i="12"/>
  <c r="I228" i="12" s="1"/>
  <c r="K228" i="12" s="1"/>
  <c r="Q79" i="7"/>
  <c r="G152" i="12"/>
  <c r="I152" i="12" s="1"/>
  <c r="K152" i="12" s="1"/>
  <c r="Q7" i="7"/>
  <c r="G11" i="12"/>
  <c r="I11" i="12" s="1"/>
  <c r="K11" i="12" s="1"/>
  <c r="Q108" i="7"/>
  <c r="G204" i="12"/>
  <c r="I204" i="12" s="1"/>
  <c r="K204" i="12" s="1"/>
  <c r="Q117" i="7"/>
  <c r="G220" i="12"/>
  <c r="I220" i="12" s="1"/>
  <c r="K220" i="12" s="1"/>
  <c r="Q14" i="7"/>
  <c r="G23" i="12"/>
  <c r="I23" i="12" s="1"/>
  <c r="K23" i="12" s="1"/>
  <c r="Q98" i="7"/>
  <c r="G186" i="12"/>
  <c r="I186" i="12" s="1"/>
  <c r="K186" i="12" s="1"/>
  <c r="Q148" i="7"/>
  <c r="G283" i="12"/>
  <c r="I283" i="12" s="1"/>
  <c r="K283" i="12" s="1"/>
  <c r="Q47" i="7"/>
  <c r="G86" i="12"/>
  <c r="I86" i="12" s="1"/>
  <c r="K86" i="12" s="1"/>
  <c r="Q23" i="7"/>
  <c r="G38" i="12"/>
  <c r="I38" i="12" s="1"/>
  <c r="K38" i="12" s="1"/>
  <c r="Q16" i="7"/>
  <c r="G28" i="12"/>
  <c r="I28" i="12" s="1"/>
  <c r="K28" i="12" s="1"/>
  <c r="Q21" i="7"/>
  <c r="G35" i="12"/>
  <c r="I35" i="12" s="1"/>
  <c r="K35" i="12" s="1"/>
  <c r="O52" i="8"/>
  <c r="G96" i="12"/>
  <c r="I96" i="12" s="1"/>
  <c r="K96" i="12" s="1"/>
  <c r="Q149" i="7"/>
  <c r="G285" i="12"/>
  <c r="I285" i="12" s="1"/>
  <c r="K285" i="12" s="1"/>
  <c r="F13" i="8"/>
  <c r="F18" i="43"/>
  <c r="K18" i="43" s="1"/>
  <c r="F118" i="43"/>
  <c r="K118" i="43" s="1"/>
  <c r="F167" i="8"/>
  <c r="F12" i="8"/>
  <c r="F10" i="43"/>
  <c r="K10" i="43" s="1"/>
  <c r="F80" i="43"/>
  <c r="K80" i="43" s="1"/>
  <c r="F96" i="8"/>
  <c r="F18" i="8"/>
  <c r="F86" i="43"/>
  <c r="K86" i="43" s="1"/>
  <c r="F111" i="8"/>
  <c r="F64" i="8"/>
  <c r="AN1" i="1"/>
  <c r="G52" i="8"/>
  <c r="P52" i="8" s="1"/>
  <c r="G64" i="7"/>
  <c r="R64" i="7" s="1"/>
  <c r="G15" i="7"/>
  <c r="R15" i="7" s="1"/>
  <c r="G148" i="7"/>
  <c r="R148" i="7" s="1"/>
  <c r="G113" i="7"/>
  <c r="R113" i="7" s="1"/>
  <c r="G21" i="7"/>
  <c r="R21" i="7" s="1"/>
  <c r="G149" i="7"/>
  <c r="R149" i="7" s="1"/>
  <c r="G121" i="7"/>
  <c r="R121" i="7" s="1"/>
  <c r="G47" i="7"/>
  <c r="R47" i="7" s="1"/>
  <c r="G164" i="7"/>
  <c r="R164" i="7" s="1"/>
  <c r="G108" i="7"/>
  <c r="R108" i="7" s="1"/>
  <c r="G140" i="8"/>
  <c r="P140" i="8" s="1"/>
  <c r="G17" i="7"/>
  <c r="R17" i="7" s="1"/>
  <c r="G79" i="7"/>
  <c r="R79" i="7" s="1"/>
  <c r="G117" i="7"/>
  <c r="R117" i="7" s="1"/>
  <c r="G63" i="7"/>
  <c r="R63" i="7" s="1"/>
  <c r="G46" i="8"/>
  <c r="P46" i="8" s="1"/>
  <c r="G9" i="8"/>
  <c r="P9" i="8" s="1"/>
  <c r="G129" i="8"/>
  <c r="P129" i="8" s="1"/>
  <c r="G19" i="7"/>
  <c r="R19" i="7" s="1"/>
  <c r="G158" i="7"/>
  <c r="R158" i="7" s="1"/>
  <c r="G150" i="7"/>
  <c r="R150" i="7" s="1"/>
  <c r="G31" i="7"/>
  <c r="R31" i="7" s="1"/>
  <c r="G98" i="7"/>
  <c r="R98" i="7" s="1"/>
  <c r="G159" i="7"/>
  <c r="R159" i="7" s="1"/>
  <c r="G66" i="7"/>
  <c r="R66" i="7" s="1"/>
  <c r="G77" i="7"/>
  <c r="R77" i="7" s="1"/>
  <c r="G7" i="7"/>
  <c r="R7" i="7" s="1"/>
  <c r="G23" i="7"/>
  <c r="R23" i="7" s="1"/>
  <c r="G13" i="7"/>
  <c r="R13" i="7" s="1"/>
  <c r="G14" i="7"/>
  <c r="R14" i="7" s="1"/>
  <c r="F20" i="8"/>
  <c r="F16" i="43"/>
  <c r="K16" i="43" s="1"/>
  <c r="F146" i="8"/>
  <c r="F47" i="8"/>
  <c r="F168" i="8"/>
  <c r="G96" i="7"/>
  <c r="R96" i="7" s="1"/>
  <c r="F145" i="8"/>
  <c r="F116" i="8"/>
  <c r="F96" i="7"/>
  <c r="Q96" i="7" l="1"/>
  <c r="G183" i="12"/>
  <c r="I183" i="12" s="1"/>
  <c r="K183" i="12" s="1"/>
  <c r="O13" i="8"/>
  <c r="G24" i="12"/>
  <c r="I24" i="12" s="1"/>
  <c r="K24" i="12" s="1"/>
  <c r="O20" i="8"/>
  <c r="G36" i="12"/>
  <c r="I36" i="12" s="1"/>
  <c r="K36" i="12" s="1"/>
  <c r="O116" i="8"/>
  <c r="G229" i="12"/>
  <c r="I229" i="12" s="1"/>
  <c r="K229" i="12" s="1"/>
  <c r="O18" i="8"/>
  <c r="G32" i="12"/>
  <c r="I32" i="12" s="1"/>
  <c r="K32" i="12" s="1"/>
  <c r="O96" i="8"/>
  <c r="G187" i="12"/>
  <c r="I187" i="12" s="1"/>
  <c r="K187" i="12" s="1"/>
  <c r="O47" i="8"/>
  <c r="G87" i="12"/>
  <c r="I87" i="12" s="1"/>
  <c r="K87" i="12" s="1"/>
  <c r="O12" i="8"/>
  <c r="G22" i="12"/>
  <c r="I22" i="12" s="1"/>
  <c r="K22" i="12" s="1"/>
  <c r="O168" i="8"/>
  <c r="G326" i="12"/>
  <c r="I326" i="12" s="1"/>
  <c r="K326" i="12" s="1"/>
  <c r="O64" i="8"/>
  <c r="G120" i="12"/>
  <c r="I120" i="12" s="1"/>
  <c r="K120" i="12" s="1"/>
  <c r="O145" i="8"/>
  <c r="G284" i="12"/>
  <c r="I284" i="12" s="1"/>
  <c r="K284" i="12" s="1"/>
  <c r="O146" i="8"/>
  <c r="G286" i="12"/>
  <c r="I286" i="12" s="1"/>
  <c r="K286" i="12" s="1"/>
  <c r="O167" i="8"/>
  <c r="G324" i="12"/>
  <c r="O111" i="8"/>
  <c r="G221" i="12"/>
  <c r="I221" i="12" s="1"/>
  <c r="K221" i="12" s="1"/>
  <c r="G13" i="8"/>
  <c r="P13" i="8" s="1"/>
  <c r="G18" i="43"/>
  <c r="L18" i="43" s="1"/>
  <c r="G65" i="8"/>
  <c r="P65" i="8" s="1"/>
  <c r="G161" i="8"/>
  <c r="P161" i="8" s="1"/>
  <c r="G116" i="8"/>
  <c r="P116" i="8" s="1"/>
  <c r="G156" i="8"/>
  <c r="P156" i="8" s="1"/>
  <c r="G114" i="43"/>
  <c r="L114" i="43" s="1"/>
  <c r="G155" i="8"/>
  <c r="P155" i="8" s="1"/>
  <c r="G167" i="8"/>
  <c r="G118" i="43"/>
  <c r="L118" i="43" s="1"/>
  <c r="G64" i="8"/>
  <c r="P64" i="8" s="1"/>
  <c r="G146" i="8"/>
  <c r="P146" i="8" s="1"/>
  <c r="G139" i="8"/>
  <c r="P139" i="8" s="1"/>
  <c r="G96" i="8"/>
  <c r="P96" i="8" s="1"/>
  <c r="G111" i="8"/>
  <c r="P111" i="8" s="1"/>
  <c r="G86" i="43"/>
  <c r="L86" i="43" s="1"/>
  <c r="G20" i="8"/>
  <c r="P20" i="8" s="1"/>
  <c r="G12" i="8"/>
  <c r="P12" i="8" s="1"/>
  <c r="G10" i="43"/>
  <c r="L10" i="43" s="1"/>
  <c r="G18" i="8"/>
  <c r="P18" i="8" s="1"/>
  <c r="AO1" i="1"/>
  <c r="H121" i="7"/>
  <c r="H14" i="7"/>
  <c r="H129" i="8"/>
  <c r="H79" i="7"/>
  <c r="H7" i="7"/>
  <c r="H93" i="7"/>
  <c r="H149" i="7"/>
  <c r="H52" i="8"/>
  <c r="H21" i="7"/>
  <c r="H159" i="7"/>
  <c r="H17" i="7"/>
  <c r="S17" i="7" s="1"/>
  <c r="H16" i="7"/>
  <c r="H171" i="7"/>
  <c r="H108" i="7"/>
  <c r="H8" i="7"/>
  <c r="H98" i="7"/>
  <c r="H150" i="7"/>
  <c r="H15" i="7"/>
  <c r="H46" i="8"/>
  <c r="H63" i="7"/>
  <c r="H148" i="7"/>
  <c r="H47" i="7"/>
  <c r="H19" i="7"/>
  <c r="H66" i="7"/>
  <c r="H96" i="7"/>
  <c r="G62" i="43"/>
  <c r="L62" i="43" s="1"/>
  <c r="G28" i="8"/>
  <c r="P28" i="8" s="1"/>
  <c r="G14" i="8"/>
  <c r="P14" i="8" s="1"/>
  <c r="G16" i="43"/>
  <c r="L16" i="43" s="1"/>
  <c r="G58" i="43"/>
  <c r="L58" i="43" s="1"/>
  <c r="G79" i="8"/>
  <c r="P79" i="8" s="1"/>
  <c r="G47" i="8"/>
  <c r="P47" i="8" s="1"/>
  <c r="G172" i="8"/>
  <c r="G84" i="8"/>
  <c r="P84" i="8" s="1"/>
  <c r="G145" i="8"/>
  <c r="P145" i="8" s="1"/>
  <c r="AG241" i="1"/>
  <c r="AG161" i="1"/>
  <c r="AG127" i="1"/>
  <c r="AG107" i="1"/>
  <c r="AG63" i="1"/>
  <c r="I324" i="12" l="1"/>
  <c r="K324" i="12" s="1"/>
  <c r="P167" i="8"/>
  <c r="L324" i="12"/>
  <c r="S96" i="7"/>
  <c r="H183" i="12"/>
  <c r="J183" i="12" s="1"/>
  <c r="L183" i="12" s="1"/>
  <c r="S66" i="7"/>
  <c r="H126" i="12"/>
  <c r="J126" i="12" s="1"/>
  <c r="L126" i="12" s="1"/>
  <c r="S159" i="7"/>
  <c r="H305" i="12"/>
  <c r="J305" i="12" s="1"/>
  <c r="L305" i="12" s="1"/>
  <c r="S7" i="7"/>
  <c r="H11" i="12"/>
  <c r="J11" i="12" s="1"/>
  <c r="L11" i="12" s="1"/>
  <c r="S19" i="7"/>
  <c r="H31" i="12"/>
  <c r="J31" i="12" s="1"/>
  <c r="L31" i="12" s="1"/>
  <c r="S93" i="7"/>
  <c r="H178" i="12"/>
  <c r="J178" i="12" s="1"/>
  <c r="L178" i="12" s="1"/>
  <c r="Q46" i="8"/>
  <c r="H85" i="12"/>
  <c r="J85" i="12" s="1"/>
  <c r="L85" i="12" s="1"/>
  <c r="S15" i="7"/>
  <c r="H25" i="12"/>
  <c r="J25" i="12" s="1"/>
  <c r="L25" i="12" s="1"/>
  <c r="S79" i="7"/>
  <c r="H152" i="12"/>
  <c r="J152" i="12" s="1"/>
  <c r="L152" i="12" s="1"/>
  <c r="P172" i="8"/>
  <c r="L333" i="12"/>
  <c r="Q129" i="8"/>
  <c r="H253" i="12"/>
  <c r="L253" i="12" s="1"/>
  <c r="S47" i="7"/>
  <c r="H86" i="12"/>
  <c r="J86" i="12" s="1"/>
  <c r="L86" i="12" s="1"/>
  <c r="S148" i="7"/>
  <c r="H283" i="12"/>
  <c r="L283" i="12" s="1"/>
  <c r="S150" i="7"/>
  <c r="H287" i="12"/>
  <c r="J287" i="12" s="1"/>
  <c r="L287" i="12" s="1"/>
  <c r="S98" i="7"/>
  <c r="H186" i="12"/>
  <c r="J186" i="12" s="1"/>
  <c r="L186" i="12" s="1"/>
  <c r="S14" i="7"/>
  <c r="H23" i="12"/>
  <c r="J23" i="12" s="1"/>
  <c r="L23" i="12" s="1"/>
  <c r="S8" i="7"/>
  <c r="H12" i="12"/>
  <c r="J12" i="12" s="1"/>
  <c r="L12" i="12" s="1"/>
  <c r="Q52" i="8"/>
  <c r="H96" i="12"/>
  <c r="J96" i="12" s="1"/>
  <c r="L96" i="12" s="1"/>
  <c r="S121" i="7"/>
  <c r="H228" i="12"/>
  <c r="J228" i="12" s="1"/>
  <c r="L228" i="12" s="1"/>
  <c r="S108" i="7"/>
  <c r="H204" i="12"/>
  <c r="L204" i="12" s="1"/>
  <c r="S16" i="7"/>
  <c r="H28" i="12"/>
  <c r="J28" i="12" s="1"/>
  <c r="L28" i="12" s="1"/>
  <c r="S21" i="7"/>
  <c r="H35" i="12"/>
  <c r="J35" i="12" s="1"/>
  <c r="L35" i="12" s="1"/>
  <c r="S149" i="7"/>
  <c r="H285" i="12"/>
  <c r="J285" i="12" s="1"/>
  <c r="L285" i="12" s="1"/>
  <c r="S63" i="7"/>
  <c r="H119" i="12"/>
  <c r="J119" i="12" s="1"/>
  <c r="L119" i="12" s="1"/>
  <c r="S171" i="7"/>
  <c r="H325" i="12"/>
  <c r="H96" i="8"/>
  <c r="H168" i="8"/>
  <c r="H18" i="8"/>
  <c r="H116" i="8"/>
  <c r="H114" i="43"/>
  <c r="M114" i="43" s="1"/>
  <c r="H156" i="8"/>
  <c r="H145" i="8"/>
  <c r="H20" i="8"/>
  <c r="H6" i="8"/>
  <c r="H69" i="43"/>
  <c r="M69" i="43" s="1"/>
  <c r="H13" i="8"/>
  <c r="H18" i="43"/>
  <c r="M18" i="43" s="1"/>
  <c r="H64" i="8"/>
  <c r="AP1" i="1"/>
  <c r="AQ1" i="1" s="1"/>
  <c r="I64" i="7"/>
  <c r="I47" i="7"/>
  <c r="T47" i="7" s="1"/>
  <c r="I159" i="7"/>
  <c r="T159" i="7" s="1"/>
  <c r="I139" i="7"/>
  <c r="T139" i="7" s="1"/>
  <c r="I28" i="7"/>
  <c r="T28" i="7" s="1"/>
  <c r="I84" i="7"/>
  <c r="T84" i="7" s="1"/>
  <c r="I98" i="7"/>
  <c r="T98" i="7" s="1"/>
  <c r="I68" i="8"/>
  <c r="R68" i="8" s="1"/>
  <c r="I63" i="7"/>
  <c r="T63" i="7" s="1"/>
  <c r="I31" i="7"/>
  <c r="T31" i="7" s="1"/>
  <c r="I108" i="7"/>
  <c r="T108" i="7" s="1"/>
  <c r="I66" i="7"/>
  <c r="T66" i="7" s="1"/>
  <c r="I23" i="7"/>
  <c r="T23" i="7" s="1"/>
  <c r="I158" i="7"/>
  <c r="T158" i="7" s="1"/>
  <c r="I15" i="7"/>
  <c r="T15" i="7" s="1"/>
  <c r="I66" i="8"/>
  <c r="R66" i="8" s="1"/>
  <c r="I171" i="7"/>
  <c r="T171" i="7" s="1"/>
  <c r="I19" i="7"/>
  <c r="T19" i="7" s="1"/>
  <c r="I7" i="7"/>
  <c r="T7" i="7" s="1"/>
  <c r="I160" i="7"/>
  <c r="T160" i="7" s="1"/>
  <c r="I13" i="7"/>
  <c r="T13" i="7" s="1"/>
  <c r="I9" i="8"/>
  <c r="R9" i="8" s="1"/>
  <c r="I170" i="7"/>
  <c r="T170" i="7" s="1"/>
  <c r="I129" i="8"/>
  <c r="R129" i="8" s="1"/>
  <c r="I117" i="7"/>
  <c r="T117" i="7" s="1"/>
  <c r="I150" i="7"/>
  <c r="T150" i="7" s="1"/>
  <c r="I148" i="7"/>
  <c r="T148" i="7" s="1"/>
  <c r="I121" i="7"/>
  <c r="T121" i="7" s="1"/>
  <c r="I77" i="7"/>
  <c r="T77" i="7" s="1"/>
  <c r="I112" i="7"/>
  <c r="T112" i="7" s="1"/>
  <c r="I164" i="7"/>
  <c r="T164" i="7" s="1"/>
  <c r="I79" i="7"/>
  <c r="T79" i="7" s="1"/>
  <c r="I174" i="7"/>
  <c r="T174" i="7" s="1"/>
  <c r="I111" i="7"/>
  <c r="T111" i="7" s="1"/>
  <c r="I16" i="7"/>
  <c r="T16" i="7" s="1"/>
  <c r="I14" i="7"/>
  <c r="T14" i="7" s="1"/>
  <c r="I17" i="7"/>
  <c r="T17" i="7" s="1"/>
  <c r="I102" i="7"/>
  <c r="T102" i="7" s="1"/>
  <c r="I147" i="7"/>
  <c r="T147" i="7" s="1"/>
  <c r="I149" i="7"/>
  <c r="T149" i="7" s="1"/>
  <c r="I52" i="8"/>
  <c r="R52" i="8" s="1"/>
  <c r="I93" i="7"/>
  <c r="T93" i="7" s="1"/>
  <c r="I25" i="7"/>
  <c r="T25" i="7" s="1"/>
  <c r="I113" i="7"/>
  <c r="T113" i="7" s="1"/>
  <c r="I54" i="7"/>
  <c r="T54" i="7" s="1"/>
  <c r="I21" i="7"/>
  <c r="T21" i="7" s="1"/>
  <c r="I59" i="7"/>
  <c r="T59" i="7" s="1"/>
  <c r="I81" i="7"/>
  <c r="T81" i="7" s="1"/>
  <c r="I96" i="7"/>
  <c r="T96" i="7" s="1"/>
  <c r="H146" i="8"/>
  <c r="H47" i="8"/>
  <c r="H14" i="8"/>
  <c r="H80" i="43"/>
  <c r="M80" i="43" s="1"/>
  <c r="AB241" i="1"/>
  <c r="AA120" i="1"/>
  <c r="AB120" i="1"/>
  <c r="AB161" i="1"/>
  <c r="AB107" i="1"/>
  <c r="AB63" i="1"/>
  <c r="AB127" i="1"/>
  <c r="AB247" i="1"/>
  <c r="O161" i="1"/>
  <c r="AI107" i="1"/>
  <c r="P107" i="1"/>
  <c r="AG120" i="1"/>
  <c r="N120" i="1"/>
  <c r="AE241" i="1"/>
  <c r="M241" i="1"/>
  <c r="AI63" i="1"/>
  <c r="P63" i="1"/>
  <c r="O127" i="1"/>
  <c r="AI161" i="1"/>
  <c r="P161" i="1"/>
  <c r="AF241" i="1"/>
  <c r="N241" i="1"/>
  <c r="AI120" i="1"/>
  <c r="O120" i="1"/>
  <c r="P120" i="1"/>
  <c r="AI127" i="1"/>
  <c r="P127" i="1"/>
  <c r="AE247" i="1"/>
  <c r="AD63" i="1"/>
  <c r="L63" i="1"/>
  <c r="AD107" i="1"/>
  <c r="L107" i="1"/>
  <c r="O241" i="1"/>
  <c r="AF247" i="1"/>
  <c r="AE63" i="1"/>
  <c r="M63" i="1"/>
  <c r="AE107" i="1"/>
  <c r="M107" i="1"/>
  <c r="AD161" i="1"/>
  <c r="L161" i="1"/>
  <c r="AI241" i="1"/>
  <c r="P241" i="1"/>
  <c r="AF63" i="1"/>
  <c r="N63" i="1"/>
  <c r="AF107" i="1"/>
  <c r="N107" i="1"/>
  <c r="AD127" i="1"/>
  <c r="L127" i="1"/>
  <c r="AE161" i="1"/>
  <c r="M161" i="1"/>
  <c r="O247" i="1"/>
  <c r="AE120" i="1"/>
  <c r="L120" i="1"/>
  <c r="M120" i="1"/>
  <c r="AE127" i="1"/>
  <c r="M127" i="1"/>
  <c r="AF161" i="1"/>
  <c r="N161" i="1"/>
  <c r="AI247" i="1"/>
  <c r="O63" i="1"/>
  <c r="O107" i="1"/>
  <c r="AF127" i="1"/>
  <c r="N127" i="1"/>
  <c r="AD241" i="1"/>
  <c r="L241" i="1"/>
  <c r="AG247" i="1"/>
  <c r="T64" i="7" l="1"/>
  <c r="AD64" i="7"/>
  <c r="AC64" i="7"/>
  <c r="AB64" i="7"/>
  <c r="AA64" i="7"/>
  <c r="J325" i="12"/>
  <c r="L325" i="12" s="1"/>
  <c r="Q168" i="8"/>
  <c r="H326" i="12"/>
  <c r="Q64" i="8"/>
  <c r="H120" i="12"/>
  <c r="J120" i="12" s="1"/>
  <c r="L120" i="12" s="1"/>
  <c r="Q20" i="8"/>
  <c r="H36" i="12"/>
  <c r="J36" i="12" s="1"/>
  <c r="L36" i="12" s="1"/>
  <c r="Q47" i="8"/>
  <c r="H87" i="12"/>
  <c r="J87" i="12" s="1"/>
  <c r="L87" i="12" s="1"/>
  <c r="Q96" i="8"/>
  <c r="H187" i="12"/>
  <c r="J187" i="12" s="1"/>
  <c r="L187" i="12" s="1"/>
  <c r="Q145" i="8"/>
  <c r="H284" i="12"/>
  <c r="L284" i="12" s="1"/>
  <c r="Q116" i="8"/>
  <c r="H229" i="12"/>
  <c r="J229" i="12" s="1"/>
  <c r="L229" i="12" s="1"/>
  <c r="Q156" i="8"/>
  <c r="H306" i="12"/>
  <c r="J306" i="12" s="1"/>
  <c r="L306" i="12" s="1"/>
  <c r="Q13" i="8"/>
  <c r="H24" i="12"/>
  <c r="J24" i="12" s="1"/>
  <c r="L24" i="12" s="1"/>
  <c r="Q18" i="8"/>
  <c r="H32" i="12"/>
  <c r="J32" i="12" s="1"/>
  <c r="L32" i="12" s="1"/>
  <c r="Q146" i="8"/>
  <c r="H286" i="12"/>
  <c r="J286" i="12" s="1"/>
  <c r="L286" i="12" s="1"/>
  <c r="Q14" i="8"/>
  <c r="H26" i="12"/>
  <c r="J26" i="12" s="1"/>
  <c r="L26" i="12" s="1"/>
  <c r="Q6" i="8"/>
  <c r="H13" i="12"/>
  <c r="J13" i="12" s="1"/>
  <c r="L13" i="12" s="1"/>
  <c r="I116" i="8"/>
  <c r="R116" i="8" s="1"/>
  <c r="I18" i="8"/>
  <c r="R18" i="8" s="1"/>
  <c r="I139" i="8"/>
  <c r="R139" i="8" s="1"/>
  <c r="I107" i="8"/>
  <c r="R107" i="8" s="1"/>
  <c r="I64" i="8"/>
  <c r="R64" i="8" s="1"/>
  <c r="I146" i="8"/>
  <c r="R146" i="8" s="1"/>
  <c r="I145" i="8"/>
  <c r="R145" i="8" s="1"/>
  <c r="I111" i="8"/>
  <c r="R111" i="8" s="1"/>
  <c r="I86" i="43"/>
  <c r="N86" i="43" s="1"/>
  <c r="I14" i="8"/>
  <c r="R14" i="8" s="1"/>
  <c r="I18" i="43"/>
  <c r="N18" i="43" s="1"/>
  <c r="I13" i="8"/>
  <c r="R13" i="8" s="1"/>
  <c r="I155" i="8"/>
  <c r="R155" i="8" s="1"/>
  <c r="I39" i="43"/>
  <c r="N39" i="43" s="1"/>
  <c r="I16" i="43"/>
  <c r="N16" i="43" s="1"/>
  <c r="I156" i="8"/>
  <c r="R156" i="8" s="1"/>
  <c r="I114" i="43"/>
  <c r="N114" i="43" s="1"/>
  <c r="I78" i="43"/>
  <c r="N78" i="43" s="1"/>
  <c r="I167" i="8"/>
  <c r="R167" i="8" s="1"/>
  <c r="I118" i="43"/>
  <c r="N118" i="43" s="1"/>
  <c r="I108" i="8"/>
  <c r="R108" i="8" s="1"/>
  <c r="I89" i="43"/>
  <c r="N89" i="43" s="1"/>
  <c r="I47" i="8"/>
  <c r="R47" i="8" s="1"/>
  <c r="I80" i="43"/>
  <c r="N80" i="43" s="1"/>
  <c r="I69" i="43"/>
  <c r="N69" i="43" s="1"/>
  <c r="I82" i="43"/>
  <c r="N82" i="43" s="1"/>
  <c r="I99" i="8"/>
  <c r="R99" i="8" s="1"/>
  <c r="I54" i="8"/>
  <c r="R54" i="8" s="1"/>
  <c r="I65" i="8"/>
  <c r="R65" i="8" s="1"/>
  <c r="I157" i="8"/>
  <c r="R157" i="8" s="1"/>
  <c r="I58" i="43"/>
  <c r="N58" i="43" s="1"/>
  <c r="I79" i="8"/>
  <c r="R79" i="8" s="1"/>
  <c r="I96" i="8"/>
  <c r="R96" i="8" s="1"/>
  <c r="I134" i="8"/>
  <c r="R134" i="8" s="1"/>
  <c r="I10" i="43"/>
  <c r="N10" i="43" s="1"/>
  <c r="I12" i="8"/>
  <c r="R12" i="8" s="1"/>
  <c r="I168" i="8"/>
  <c r="R168" i="8" s="1"/>
  <c r="I84" i="8"/>
  <c r="R84" i="8" s="1"/>
  <c r="I20" i="8"/>
  <c r="R20" i="8" s="1"/>
  <c r="I172" i="8"/>
  <c r="R172" i="8" s="1"/>
  <c r="I23" i="8"/>
  <c r="R23" i="8" s="1"/>
  <c r="I161" i="8"/>
  <c r="R161" i="8" s="1"/>
  <c r="I5" i="43"/>
  <c r="N5" i="43" s="1"/>
  <c r="I8" i="8"/>
  <c r="R8" i="8" s="1"/>
  <c r="I62" i="43"/>
  <c r="N62" i="43" s="1"/>
  <c r="I28" i="8"/>
  <c r="R28" i="8" s="1"/>
  <c r="AA161" i="1"/>
  <c r="AH161" i="1"/>
  <c r="N247" i="1"/>
  <c r="M247" i="1"/>
  <c r="AA107" i="1"/>
  <c r="AH107" i="1"/>
  <c r="AD247" i="1"/>
  <c r="L247" i="1"/>
  <c r="AA63" i="1"/>
  <c r="AH63" i="1"/>
  <c r="AA241" i="1"/>
  <c r="AH241" i="1"/>
  <c r="AA127" i="1"/>
  <c r="AH127" i="1"/>
  <c r="P247" i="1"/>
  <c r="AH247" i="1"/>
  <c r="AA247" i="1"/>
  <c r="J326" i="12" l="1"/>
  <c r="L326" i="12" s="1"/>
  <c r="E3" i="17"/>
  <c r="E4" i="17" l="1"/>
  <c r="M6" i="8" l="1"/>
  <c r="V6" i="8" s="1"/>
  <c r="M143" i="8"/>
  <c r="V143" i="8" s="1"/>
  <c r="M92" i="8"/>
  <c r="V92" i="8" s="1"/>
  <c r="M160" i="8"/>
  <c r="V160" i="8" s="1"/>
  <c r="M145" i="8"/>
  <c r="V145" i="8" s="1"/>
  <c r="M150" i="8"/>
  <c r="V150" i="8" s="1"/>
  <c r="M89" i="8"/>
  <c r="V89" i="8" s="1"/>
  <c r="M82" i="8"/>
  <c r="V82" i="8" s="1"/>
  <c r="M36" i="8"/>
  <c r="V36" i="8" s="1"/>
  <c r="M40" i="8"/>
  <c r="V40" i="8" s="1"/>
  <c r="M124" i="8"/>
  <c r="V124" i="8" s="1"/>
  <c r="M173" i="8"/>
  <c r="V173" i="8" s="1"/>
  <c r="M105" i="8"/>
  <c r="V105" i="8" s="1"/>
  <c r="M136" i="8"/>
  <c r="V136" i="8" s="1"/>
  <c r="M139" i="8"/>
  <c r="V139" i="8" s="1"/>
  <c r="M119" i="8"/>
  <c r="V119" i="8" s="1"/>
  <c r="M118" i="8"/>
  <c r="V118" i="8" s="1"/>
  <c r="M121" i="8"/>
  <c r="V121" i="8" s="1"/>
  <c r="M122" i="8"/>
  <c r="V122" i="8" s="1"/>
  <c r="M58" i="8"/>
  <c r="V58" i="8" s="1"/>
  <c r="M116" i="8"/>
  <c r="V116" i="8" s="1"/>
  <c r="M166" i="8"/>
  <c r="V166" i="8" s="1"/>
  <c r="M164" i="8"/>
  <c r="V164" i="8" s="1"/>
  <c r="M168" i="8"/>
  <c r="V168" i="8" s="1"/>
  <c r="M109" i="8"/>
  <c r="V109" i="8" s="1"/>
  <c r="M108" i="8"/>
  <c r="V108" i="8" s="1"/>
  <c r="M64" i="8"/>
  <c r="V64" i="8" s="1"/>
  <c r="M60" i="8"/>
  <c r="V60" i="8" s="1"/>
  <c r="M17" i="8"/>
  <c r="V17" i="8" s="1"/>
  <c r="M23" i="8"/>
  <c r="V23" i="8" s="1"/>
  <c r="M10" i="8"/>
  <c r="V10" i="8" s="1"/>
  <c r="M153" i="8"/>
  <c r="V153" i="8" s="1"/>
  <c r="M159" i="8"/>
  <c r="V159" i="8" s="1"/>
  <c r="M138" i="8"/>
  <c r="V138" i="8" s="1"/>
  <c r="M142" i="8"/>
  <c r="V142" i="8" s="1"/>
  <c r="M141" i="8"/>
  <c r="V141" i="8" s="1"/>
  <c r="M146" i="8"/>
  <c r="V146" i="8" s="1"/>
  <c r="M56" i="8"/>
  <c r="V56" i="8" s="1"/>
  <c r="M117" i="8"/>
  <c r="V117" i="8" s="1"/>
  <c r="M128" i="8"/>
  <c r="V128" i="8" s="1"/>
  <c r="M131" i="8"/>
  <c r="V131" i="8" s="1"/>
  <c r="M93" i="8"/>
  <c r="V93" i="8" s="1"/>
  <c r="M84" i="8"/>
  <c r="V84" i="8" s="1"/>
  <c r="M41" i="8"/>
  <c r="V41" i="8" s="1"/>
  <c r="M42" i="8"/>
  <c r="V42" i="8" s="1"/>
  <c r="M99" i="8"/>
  <c r="V99" i="8" s="1"/>
  <c r="M51" i="8"/>
  <c r="V51" i="8" s="1"/>
  <c r="M156" i="8"/>
  <c r="V156" i="8" s="1"/>
  <c r="M161" i="8"/>
  <c r="V161" i="8" s="1"/>
  <c r="M158" i="8"/>
  <c r="V158" i="8" s="1"/>
  <c r="M163" i="8"/>
  <c r="V163" i="8" s="1"/>
  <c r="M18" i="8"/>
  <c r="V18" i="8" s="1"/>
  <c r="M100" i="8"/>
  <c r="V100" i="8" s="1"/>
  <c r="M31" i="8"/>
  <c r="V31" i="8" s="1"/>
  <c r="M85" i="8"/>
  <c r="V85" i="8" s="1"/>
  <c r="M147" i="8"/>
  <c r="V147" i="8" s="1"/>
  <c r="M152" i="8"/>
  <c r="V152" i="8" s="1"/>
  <c r="M113" i="8"/>
  <c r="V113" i="8" s="1"/>
  <c r="M110" i="8"/>
  <c r="V110" i="8" s="1"/>
  <c r="M69" i="8"/>
  <c r="V69" i="8" s="1"/>
  <c r="M63" i="8"/>
  <c r="V63" i="8" s="1"/>
  <c r="M20" i="8"/>
  <c r="V20" i="8" s="1"/>
  <c r="M25" i="8"/>
  <c r="V25" i="8" s="1"/>
  <c r="M53" i="8"/>
  <c r="V53" i="8" s="1"/>
  <c r="M76" i="8"/>
  <c r="V76" i="8" s="1"/>
  <c r="M7" i="8"/>
  <c r="V7" i="8" s="1"/>
  <c r="M13" i="8"/>
  <c r="V13" i="8" s="1"/>
  <c r="M96" i="8"/>
  <c r="V96" i="8" s="1"/>
  <c r="M29" i="8"/>
  <c r="V29" i="8" s="1"/>
  <c r="M54" i="8"/>
  <c r="V54" i="8" s="1"/>
  <c r="M55" i="8"/>
  <c r="V55" i="8" s="1"/>
  <c r="M32" i="8"/>
  <c r="V32" i="8" s="1"/>
  <c r="M167" i="8"/>
  <c r="V167" i="8" s="1"/>
  <c r="M172" i="8"/>
  <c r="V172" i="8" s="1"/>
  <c r="M132" i="8"/>
  <c r="V132" i="8" s="1"/>
  <c r="M135" i="8"/>
  <c r="V135" i="8" s="1"/>
  <c r="M95" i="8"/>
  <c r="V95" i="8" s="1"/>
  <c r="M86" i="8"/>
  <c r="V86" i="8" s="1"/>
  <c r="M43" i="8"/>
  <c r="V43" i="8" s="1"/>
  <c r="M45" i="8"/>
  <c r="V45" i="8" s="1"/>
  <c r="M24" i="8"/>
  <c r="V24" i="8" s="1"/>
  <c r="M28" i="8"/>
  <c r="V28" i="8" s="1"/>
  <c r="M30" i="8"/>
  <c r="V30" i="8" s="1"/>
  <c r="M126" i="8"/>
  <c r="V126" i="8" s="1"/>
  <c r="M157" i="8"/>
  <c r="V157" i="8" s="1"/>
  <c r="M12" i="8"/>
  <c r="V12" i="8" s="1"/>
  <c r="M87" i="8"/>
  <c r="V87" i="8" s="1"/>
  <c r="M79" i="8"/>
  <c r="V79" i="8" s="1"/>
  <c r="M11" i="8"/>
  <c r="V11" i="8" s="1"/>
  <c r="M14" i="8"/>
  <c r="V14" i="8" s="1"/>
  <c r="M123" i="8"/>
  <c r="V123" i="8" s="1"/>
  <c r="M149" i="8"/>
  <c r="V149" i="8" s="1"/>
  <c r="M155" i="8"/>
  <c r="V155" i="8" s="1"/>
  <c r="M115" i="8"/>
  <c r="V115" i="8" s="1"/>
  <c r="M114" i="8"/>
  <c r="V114" i="8" s="1"/>
  <c r="M71" i="8"/>
  <c r="V71" i="8" s="1"/>
  <c r="M65" i="8"/>
  <c r="V65" i="8" s="1"/>
  <c r="M47" i="8"/>
  <c r="V47" i="8" s="1"/>
  <c r="M48" i="8"/>
  <c r="V48" i="8" s="1"/>
  <c r="M49" i="8"/>
  <c r="V49" i="8" s="1"/>
  <c r="M50" i="8"/>
  <c r="V50" i="8" s="1"/>
  <c r="M125" i="8"/>
  <c r="V125" i="8" s="1"/>
  <c r="M151" i="8"/>
  <c r="V151" i="8" s="1"/>
  <c r="M102" i="8"/>
  <c r="V102" i="8" s="1"/>
  <c r="M8" i="8"/>
  <c r="V8" i="8" s="1"/>
  <c r="M35" i="8"/>
  <c r="V35" i="8" s="1"/>
  <c r="M107" i="8"/>
  <c r="V107" i="8" s="1"/>
  <c r="M101" i="8"/>
  <c r="V101" i="8" s="1"/>
  <c r="M34" i="8"/>
  <c r="V34" i="8" s="1"/>
  <c r="M38" i="8"/>
  <c r="V38" i="8" s="1"/>
  <c r="M148" i="8"/>
  <c r="V148" i="8" s="1"/>
  <c r="M171" i="8"/>
  <c r="V171" i="8" s="1"/>
  <c r="M78" i="8"/>
  <c r="V78" i="8" s="1"/>
  <c r="M134" i="8"/>
  <c r="V134" i="8" s="1"/>
  <c r="M137" i="8"/>
  <c r="V137" i="8" s="1"/>
  <c r="M98" i="8"/>
  <c r="V98" i="8" s="1"/>
  <c r="M88" i="8"/>
  <c r="V88" i="8" s="1"/>
  <c r="M74" i="8"/>
  <c r="V74" i="8" s="1"/>
  <c r="M70" i="8"/>
  <c r="V70" i="8" s="1"/>
  <c r="M77" i="8"/>
  <c r="V77" i="8" s="1"/>
  <c r="M73" i="8"/>
  <c r="V73" i="8" s="1"/>
  <c r="M170" i="8"/>
  <c r="V170" i="8" s="1"/>
  <c r="L41" i="8"/>
  <c r="U41" i="8" s="1"/>
  <c r="L23" i="8"/>
  <c r="U23" i="8" s="1"/>
  <c r="L113" i="8"/>
  <c r="U113" i="8" s="1"/>
  <c r="L92" i="8"/>
  <c r="U92" i="8" s="1"/>
  <c r="L69" i="8"/>
  <c r="U69" i="8" s="1"/>
  <c r="L50" i="8"/>
  <c r="U50" i="8" s="1"/>
  <c r="L139" i="8"/>
  <c r="U139" i="8" s="1"/>
  <c r="L6" i="8"/>
  <c r="U6" i="8" s="1"/>
  <c r="L166" i="8"/>
  <c r="U166" i="8" s="1"/>
  <c r="L12" i="8"/>
  <c r="U12" i="8" s="1"/>
  <c r="L128" i="8"/>
  <c r="U128" i="8" s="1"/>
  <c r="L158" i="8"/>
  <c r="U158" i="8" s="1"/>
  <c r="L152" i="8"/>
  <c r="U152" i="8" s="1"/>
  <c r="L78" i="8"/>
  <c r="U78" i="8" s="1"/>
  <c r="L54" i="8"/>
  <c r="U54" i="8" s="1"/>
  <c r="L42" i="8"/>
  <c r="U42" i="8" s="1"/>
  <c r="L30" i="8"/>
  <c r="U30" i="8" s="1"/>
  <c r="L29" i="8"/>
  <c r="U29" i="8" s="1"/>
  <c r="L132" i="8"/>
  <c r="U132" i="8" s="1"/>
  <c r="L118" i="8"/>
  <c r="U118" i="8" s="1"/>
  <c r="L95" i="8"/>
  <c r="U95" i="8" s="1"/>
  <c r="L73" i="8"/>
  <c r="U73" i="8" s="1"/>
  <c r="L8" i="8"/>
  <c r="U8" i="8" s="1"/>
  <c r="L10" i="8"/>
  <c r="U10" i="8" s="1"/>
  <c r="L89" i="8"/>
  <c r="U89" i="8" s="1"/>
  <c r="L35" i="8"/>
  <c r="U35" i="8" s="1"/>
  <c r="L88" i="8"/>
  <c r="U88" i="8" s="1"/>
  <c r="L17" i="8"/>
  <c r="U17" i="8" s="1"/>
  <c r="L172" i="8"/>
  <c r="U172" i="8" s="1"/>
  <c r="L18" i="8"/>
  <c r="U18" i="8" s="1"/>
  <c r="L109" i="8"/>
  <c r="U109" i="8" s="1"/>
  <c r="L87" i="8"/>
  <c r="U87" i="8" s="1"/>
  <c r="L63" i="8"/>
  <c r="U63" i="8" s="1"/>
  <c r="L11" i="8"/>
  <c r="U11" i="8" s="1"/>
  <c r="L155" i="8"/>
  <c r="U155" i="8" s="1"/>
  <c r="L142" i="8"/>
  <c r="U142" i="8" s="1"/>
  <c r="L115" i="8"/>
  <c r="U115" i="8" s="1"/>
  <c r="L96" i="8"/>
  <c r="U96" i="8" s="1"/>
  <c r="L43" i="8"/>
  <c r="U43" i="8" s="1"/>
  <c r="L32" i="8"/>
  <c r="U32" i="8" s="1"/>
  <c r="L45" i="8"/>
  <c r="U45" i="8" s="1"/>
  <c r="L55" i="8"/>
  <c r="U55" i="8" s="1"/>
  <c r="L13" i="8"/>
  <c r="U13" i="8" s="1"/>
  <c r="L14" i="8"/>
  <c r="U14" i="8" s="1"/>
  <c r="L47" i="8"/>
  <c r="U47" i="8" s="1"/>
  <c r="L40" i="8"/>
  <c r="U40" i="8" s="1"/>
  <c r="L65" i="8"/>
  <c r="U65" i="8" s="1"/>
  <c r="L107" i="8"/>
  <c r="U107" i="8" s="1"/>
  <c r="L86" i="8"/>
  <c r="U86" i="8" s="1"/>
  <c r="L153" i="8"/>
  <c r="U153" i="8" s="1"/>
  <c r="L171" i="8"/>
  <c r="U171" i="8" s="1"/>
  <c r="L161" i="8"/>
  <c r="U161" i="8" s="1"/>
  <c r="L134" i="8"/>
  <c r="U134" i="8" s="1"/>
  <c r="L122" i="8"/>
  <c r="U122" i="8" s="1"/>
  <c r="L71" i="8"/>
  <c r="U71" i="8" s="1"/>
  <c r="L53" i="8"/>
  <c r="U53" i="8" s="1"/>
  <c r="L100" i="8"/>
  <c r="U100" i="8" s="1"/>
  <c r="L79" i="8"/>
  <c r="U79" i="8" s="1"/>
  <c r="L49" i="8"/>
  <c r="U49" i="8" s="1"/>
  <c r="L38" i="8"/>
  <c r="U38" i="8" s="1"/>
  <c r="L24" i="8"/>
  <c r="U24" i="8" s="1"/>
  <c r="L60" i="8"/>
  <c r="U60" i="8" s="1"/>
  <c r="L74" i="8"/>
  <c r="U74" i="8" s="1"/>
  <c r="L125" i="8"/>
  <c r="U125" i="8" s="1"/>
  <c r="L114" i="8"/>
  <c r="U114" i="8" s="1"/>
  <c r="L25" i="8"/>
  <c r="U25" i="8" s="1"/>
  <c r="L141" i="8"/>
  <c r="U141" i="8" s="1"/>
  <c r="L159" i="8"/>
  <c r="U159" i="8" s="1"/>
  <c r="L34" i="8"/>
  <c r="U34" i="8" s="1"/>
  <c r="L151" i="8"/>
  <c r="U151" i="8" s="1"/>
  <c r="L146" i="8"/>
  <c r="U146" i="8" s="1"/>
  <c r="L98" i="8"/>
  <c r="U98" i="8" s="1"/>
  <c r="L76" i="8"/>
  <c r="U76" i="8" s="1"/>
  <c r="L119" i="8"/>
  <c r="U119" i="8" s="1"/>
  <c r="L101" i="8"/>
  <c r="U101" i="8" s="1"/>
  <c r="L77" i="8"/>
  <c r="U77" i="8" s="1"/>
  <c r="L58" i="8"/>
  <c r="U58" i="8" s="1"/>
  <c r="L51" i="8"/>
  <c r="U51" i="8" s="1"/>
  <c r="L84" i="8"/>
  <c r="U84" i="8" s="1"/>
  <c r="L20" i="8"/>
  <c r="U20" i="8" s="1"/>
  <c r="L145" i="8"/>
  <c r="U145" i="8" s="1"/>
  <c r="L137" i="8"/>
  <c r="U137" i="8" s="1"/>
  <c r="L70" i="8"/>
  <c r="U70" i="8" s="1"/>
  <c r="L168" i="8"/>
  <c r="U168" i="8" s="1"/>
  <c r="L131" i="8"/>
  <c r="U131" i="8" s="1"/>
  <c r="L149" i="8"/>
  <c r="U149" i="8" s="1"/>
  <c r="L28" i="8"/>
  <c r="U28" i="8" s="1"/>
  <c r="L56" i="8"/>
  <c r="U56" i="8" s="1"/>
  <c r="L173" i="8"/>
  <c r="U173" i="8" s="1"/>
  <c r="L163" i="8"/>
  <c r="U163" i="8" s="1"/>
  <c r="L117" i="8"/>
  <c r="U117" i="8" s="1"/>
  <c r="L99" i="8"/>
  <c r="U99" i="8" s="1"/>
  <c r="L138" i="8"/>
  <c r="U138" i="8" s="1"/>
  <c r="L126" i="8"/>
  <c r="U126" i="8" s="1"/>
  <c r="L102" i="8"/>
  <c r="U102" i="8" s="1"/>
  <c r="L82" i="8"/>
  <c r="U82" i="8" s="1"/>
  <c r="L105" i="8"/>
  <c r="U105" i="8" s="1"/>
  <c r="L110" i="8"/>
  <c r="U110" i="8" s="1"/>
  <c r="L85" i="8"/>
  <c r="U85" i="8" s="1"/>
  <c r="L164" i="8"/>
  <c r="U164" i="8" s="1"/>
  <c r="L157" i="8"/>
  <c r="U157" i="8" s="1"/>
  <c r="L93" i="8"/>
  <c r="U93" i="8" s="1"/>
  <c r="L148" i="8"/>
  <c r="U148" i="8" s="1"/>
  <c r="L160" i="8"/>
  <c r="U160" i="8" s="1"/>
  <c r="L167" i="8"/>
  <c r="U167" i="8" s="1"/>
  <c r="L36" i="8"/>
  <c r="U36" i="8" s="1"/>
  <c r="L64" i="8"/>
  <c r="U64" i="8" s="1"/>
  <c r="L48" i="8"/>
  <c r="U48" i="8" s="1"/>
  <c r="L116" i="8"/>
  <c r="U116" i="8" s="1"/>
  <c r="L7" i="8"/>
  <c r="U7" i="8" s="1"/>
  <c r="L147" i="8"/>
  <c r="U147" i="8" s="1"/>
  <c r="L136" i="8"/>
  <c r="U136" i="8" s="1"/>
  <c r="L124" i="8"/>
  <c r="U124" i="8" s="1"/>
  <c r="L156" i="8"/>
  <c r="U156" i="8" s="1"/>
  <c r="L150" i="8"/>
  <c r="U150" i="8" s="1"/>
  <c r="L121" i="8"/>
  <c r="U121" i="8" s="1"/>
  <c r="L108" i="8"/>
  <c r="U108" i="8" s="1"/>
  <c r="L143" i="8"/>
  <c r="U143" i="8" s="1"/>
  <c r="L135" i="8"/>
  <c r="U135" i="8" s="1"/>
  <c r="L123" i="8"/>
  <c r="U123" i="8" s="1"/>
  <c r="L31" i="8"/>
  <c r="U31" i="8" s="1"/>
  <c r="L170" i="8"/>
  <c r="U170" i="8" s="1"/>
  <c r="K78" i="8"/>
  <c r="T78" i="8" s="1"/>
  <c r="K119" i="8"/>
  <c r="T119" i="8" s="1"/>
  <c r="K87" i="8"/>
  <c r="T87" i="8" s="1"/>
  <c r="K132" i="8"/>
  <c r="T132" i="8" s="1"/>
  <c r="K125" i="8"/>
  <c r="T125" i="8" s="1"/>
  <c r="K13" i="8"/>
  <c r="T13" i="8" s="1"/>
  <c r="K114" i="8"/>
  <c r="T114" i="8" s="1"/>
  <c r="K58" i="8"/>
  <c r="T58" i="8" s="1"/>
  <c r="K65" i="8"/>
  <c r="T65" i="8" s="1"/>
  <c r="K149" i="8"/>
  <c r="T149" i="8" s="1"/>
  <c r="K56" i="8"/>
  <c r="T56" i="8" s="1"/>
  <c r="K161" i="8"/>
  <c r="T161" i="8" s="1"/>
  <c r="K113" i="8"/>
  <c r="T113" i="8" s="1"/>
  <c r="K73" i="8"/>
  <c r="T73" i="8" s="1"/>
  <c r="K20" i="8"/>
  <c r="T20" i="8" s="1"/>
  <c r="K25" i="8"/>
  <c r="T25" i="8" s="1"/>
  <c r="K12" i="8"/>
  <c r="T12" i="8" s="1"/>
  <c r="K30" i="8"/>
  <c r="T30" i="8" s="1"/>
  <c r="K23" i="8"/>
  <c r="T23" i="8" s="1"/>
  <c r="K11" i="8"/>
  <c r="T11" i="8" s="1"/>
  <c r="K138" i="8"/>
  <c r="T138" i="8" s="1"/>
  <c r="K40" i="8"/>
  <c r="T40" i="8" s="1"/>
  <c r="K32" i="8"/>
  <c r="T32" i="8" s="1"/>
  <c r="K95" i="8"/>
  <c r="T95" i="8" s="1"/>
  <c r="K137" i="8"/>
  <c r="T137" i="8" s="1"/>
  <c r="K107" i="8"/>
  <c r="T107" i="8" s="1"/>
  <c r="K88" i="8"/>
  <c r="T88" i="8" s="1"/>
  <c r="K173" i="8"/>
  <c r="T173" i="8" s="1"/>
  <c r="K164" i="8"/>
  <c r="T164" i="8" s="1"/>
  <c r="K49" i="8"/>
  <c r="T49" i="8" s="1"/>
  <c r="K128" i="8"/>
  <c r="T128" i="8" s="1"/>
  <c r="K96" i="8"/>
  <c r="T96" i="8" s="1"/>
  <c r="K152" i="8"/>
  <c r="T152" i="8" s="1"/>
  <c r="K53" i="8"/>
  <c r="T53" i="8" s="1"/>
  <c r="K69" i="8"/>
  <c r="T69" i="8" s="1"/>
  <c r="K55" i="8"/>
  <c r="T55" i="8" s="1"/>
  <c r="K93" i="8"/>
  <c r="T93" i="8" s="1"/>
  <c r="K115" i="8"/>
  <c r="T115" i="8" s="1"/>
  <c r="K60" i="8"/>
  <c r="T60" i="8" s="1"/>
  <c r="K121" i="8"/>
  <c r="T121" i="8" s="1"/>
  <c r="K29" i="8"/>
  <c r="T29" i="8" s="1"/>
  <c r="K157" i="8"/>
  <c r="T157" i="8" s="1"/>
  <c r="K98" i="8"/>
  <c r="T98" i="8" s="1"/>
  <c r="K116" i="8"/>
  <c r="T116" i="8" s="1"/>
  <c r="K131" i="8"/>
  <c r="T131" i="8" s="1"/>
  <c r="K14" i="8"/>
  <c r="T14" i="8" s="1"/>
  <c r="K43" i="8"/>
  <c r="T43" i="8" s="1"/>
  <c r="K122" i="8"/>
  <c r="T122" i="8" s="1"/>
  <c r="K28" i="8"/>
  <c r="T28" i="8" s="1"/>
  <c r="K76" i="8"/>
  <c r="T76" i="8" s="1"/>
  <c r="K172" i="8"/>
  <c r="T172" i="8" s="1"/>
  <c r="K79" i="8"/>
  <c r="T79" i="8" s="1"/>
  <c r="K31" i="8"/>
  <c r="T31" i="8" s="1"/>
  <c r="K45" i="8"/>
  <c r="T45" i="8" s="1"/>
  <c r="K123" i="8"/>
  <c r="T123" i="8" s="1"/>
  <c r="K84" i="8"/>
  <c r="T84" i="8" s="1"/>
  <c r="K117" i="8"/>
  <c r="T117" i="8" s="1"/>
  <c r="K147" i="8"/>
  <c r="T147" i="8" s="1"/>
  <c r="K6" i="8"/>
  <c r="T6" i="8" s="1"/>
  <c r="K105" i="8"/>
  <c r="T105" i="8" s="1"/>
  <c r="K139" i="8"/>
  <c r="T139" i="8" s="1"/>
  <c r="K8" i="8"/>
  <c r="T8" i="8" s="1"/>
  <c r="K48" i="8"/>
  <c r="T48" i="8" s="1"/>
  <c r="K134" i="8"/>
  <c r="T134" i="8" s="1"/>
  <c r="K146" i="8"/>
  <c r="T146" i="8" s="1"/>
  <c r="K141" i="8"/>
  <c r="T141" i="8" s="1"/>
  <c r="K99" i="8"/>
  <c r="T99" i="8" s="1"/>
  <c r="K153" i="8"/>
  <c r="T153" i="8" s="1"/>
  <c r="K101" i="8"/>
  <c r="T101" i="8" s="1"/>
  <c r="K86" i="8"/>
  <c r="T86" i="8" s="1"/>
  <c r="K50" i="8"/>
  <c r="T50" i="8" s="1"/>
  <c r="K110" i="8"/>
  <c r="T110" i="8" s="1"/>
  <c r="K82" i="8"/>
  <c r="T82" i="8" s="1"/>
  <c r="K143" i="8"/>
  <c r="T143" i="8" s="1"/>
  <c r="K41" i="8"/>
  <c r="T41" i="8" s="1"/>
  <c r="K159" i="8"/>
  <c r="T159" i="8" s="1"/>
  <c r="K17" i="8"/>
  <c r="T17" i="8" s="1"/>
  <c r="K70" i="8"/>
  <c r="T70" i="8" s="1"/>
  <c r="K71" i="8"/>
  <c r="T71" i="8" s="1"/>
  <c r="K163" i="8"/>
  <c r="T163" i="8" s="1"/>
  <c r="K54" i="8"/>
  <c r="T54" i="8" s="1"/>
  <c r="K124" i="8"/>
  <c r="T124" i="8" s="1"/>
  <c r="K64" i="8"/>
  <c r="T64" i="8" s="1"/>
  <c r="K126" i="8"/>
  <c r="T126" i="8" s="1"/>
  <c r="D4" i="17"/>
  <c r="K158" i="8"/>
  <c r="T158" i="8" s="1"/>
  <c r="K51" i="8"/>
  <c r="T51" i="8" s="1"/>
  <c r="K77" i="8"/>
  <c r="T77" i="8" s="1"/>
  <c r="K135" i="8"/>
  <c r="T135" i="8" s="1"/>
  <c r="K85" i="8"/>
  <c r="T85" i="8" s="1"/>
  <c r="K42" i="8"/>
  <c r="T42" i="8" s="1"/>
  <c r="K38" i="8"/>
  <c r="T38" i="8" s="1"/>
  <c r="K160" i="8"/>
  <c r="T160" i="8" s="1"/>
  <c r="K34" i="8"/>
  <c r="T34" i="8" s="1"/>
  <c r="K24" i="8"/>
  <c r="T24" i="8" s="1"/>
  <c r="K92" i="8"/>
  <c r="T92" i="8" s="1"/>
  <c r="K171" i="8"/>
  <c r="T171" i="8" s="1"/>
  <c r="K109" i="8"/>
  <c r="T109" i="8" s="1"/>
  <c r="K74" i="8"/>
  <c r="T74" i="8" s="1"/>
  <c r="K145" i="8"/>
  <c r="T145" i="8" s="1"/>
  <c r="K148" i="8"/>
  <c r="T148" i="8" s="1"/>
  <c r="K156" i="8"/>
  <c r="T156" i="8" s="1"/>
  <c r="K150" i="8"/>
  <c r="T150" i="8" s="1"/>
  <c r="K47" i="8"/>
  <c r="T47" i="8" s="1"/>
  <c r="K142" i="8"/>
  <c r="T142" i="8" s="1"/>
  <c r="K100" i="8"/>
  <c r="T100" i="8" s="1"/>
  <c r="D3" i="17"/>
  <c r="K108" i="8"/>
  <c r="T108" i="8" s="1"/>
  <c r="K155" i="8"/>
  <c r="T155" i="8" s="1"/>
  <c r="K167" i="8"/>
  <c r="T167" i="8" s="1"/>
  <c r="K63" i="8"/>
  <c r="T63" i="8" s="1"/>
  <c r="K136" i="8"/>
  <c r="T136" i="8" s="1"/>
  <c r="K7" i="8"/>
  <c r="T7" i="8" s="1"/>
  <c r="K151" i="8"/>
  <c r="T151" i="8" s="1"/>
  <c r="K36" i="8"/>
  <c r="T36" i="8" s="1"/>
  <c r="K118" i="8"/>
  <c r="T118" i="8" s="1"/>
  <c r="K35" i="8"/>
  <c r="T35" i="8" s="1"/>
  <c r="K18" i="8"/>
  <c r="T18" i="8" s="1"/>
  <c r="K10" i="8"/>
  <c r="T10" i="8" s="1"/>
  <c r="K89" i="8"/>
  <c r="T89" i="8" s="1"/>
  <c r="K166" i="8"/>
  <c r="T166" i="8" s="1"/>
  <c r="K102" i="8"/>
  <c r="T102" i="8" s="1"/>
  <c r="K168" i="8"/>
  <c r="T168" i="8" s="1"/>
  <c r="K170" i="8"/>
  <c r="T170" i="8" s="1"/>
  <c r="J30" i="8"/>
  <c r="S30" i="8" s="1"/>
  <c r="J101" i="8"/>
  <c r="S101" i="8" s="1"/>
  <c r="J147" i="8"/>
  <c r="S147" i="8" s="1"/>
  <c r="J8" i="8"/>
  <c r="S8" i="8" s="1"/>
  <c r="J50" i="8"/>
  <c r="S50" i="8" s="1"/>
  <c r="J161" i="8"/>
  <c r="S161" i="8" s="1"/>
  <c r="J151" i="8"/>
  <c r="S151" i="8" s="1"/>
  <c r="J51" i="8"/>
  <c r="S51" i="8" s="1"/>
  <c r="J126" i="8"/>
  <c r="S126" i="8" s="1"/>
  <c r="J138" i="8"/>
  <c r="S138" i="8" s="1"/>
  <c r="J152" i="8"/>
  <c r="S152" i="8" s="1"/>
  <c r="J20" i="8"/>
  <c r="S20" i="8" s="1"/>
  <c r="J14" i="8"/>
  <c r="S14" i="8" s="1"/>
  <c r="J145" i="8"/>
  <c r="S145" i="8" s="1"/>
  <c r="J23" i="8"/>
  <c r="S23" i="8" s="1"/>
  <c r="J156" i="8"/>
  <c r="S156" i="8" s="1"/>
  <c r="J125" i="8"/>
  <c r="S125" i="8" s="1"/>
  <c r="J116" i="8"/>
  <c r="S116" i="8" s="1"/>
  <c r="J136" i="8"/>
  <c r="S136" i="8" s="1"/>
  <c r="J87" i="8"/>
  <c r="S87" i="8" s="1"/>
  <c r="J95" i="8"/>
  <c r="S95" i="8" s="1"/>
  <c r="J118" i="8"/>
  <c r="S118" i="8" s="1"/>
  <c r="J73" i="8"/>
  <c r="S73" i="8" s="1"/>
  <c r="J115" i="8"/>
  <c r="S115" i="8" s="1"/>
  <c r="J32" i="8"/>
  <c r="S32" i="8" s="1"/>
  <c r="J158" i="8"/>
  <c r="S158" i="8" s="1"/>
  <c r="J128" i="8"/>
  <c r="S128" i="8" s="1"/>
  <c r="J150" i="8"/>
  <c r="S150" i="8" s="1"/>
  <c r="J149" i="8"/>
  <c r="S149" i="8" s="1"/>
  <c r="J172" i="8"/>
  <c r="S172" i="8" s="1"/>
  <c r="J29" i="8"/>
  <c r="S29" i="8" s="1"/>
  <c r="J40" i="8"/>
  <c r="S40" i="8" s="1"/>
  <c r="J36" i="8"/>
  <c r="S36" i="8" s="1"/>
  <c r="J42" i="8"/>
  <c r="S42" i="8" s="1"/>
  <c r="J105" i="8"/>
  <c r="S105" i="8" s="1"/>
  <c r="J56" i="8"/>
  <c r="S56" i="8" s="1"/>
  <c r="J139" i="8"/>
  <c r="S139" i="8" s="1"/>
  <c r="J121" i="8"/>
  <c r="S121" i="8" s="1"/>
  <c r="J49" i="8"/>
  <c r="S49" i="8" s="1"/>
  <c r="J96" i="8"/>
  <c r="S96" i="8" s="1"/>
  <c r="J43" i="8"/>
  <c r="S43" i="8" s="1"/>
  <c r="J53" i="8"/>
  <c r="S53" i="8" s="1"/>
  <c r="J28" i="8"/>
  <c r="S28" i="8" s="1"/>
  <c r="J141" i="8"/>
  <c r="S141" i="8" s="1"/>
  <c r="J168" i="8"/>
  <c r="S168" i="8" s="1"/>
  <c r="J7" i="8"/>
  <c r="S7" i="8" s="1"/>
  <c r="J18" i="8"/>
  <c r="S18" i="8" s="1"/>
  <c r="J11" i="8"/>
  <c r="S11" i="8" s="1"/>
  <c r="J60" i="8"/>
  <c r="S60" i="8" s="1"/>
  <c r="J70" i="8"/>
  <c r="S70" i="8" s="1"/>
  <c r="J63" i="8"/>
  <c r="S63" i="8" s="1"/>
  <c r="J92" i="8"/>
  <c r="S92" i="8" s="1"/>
  <c r="J64" i="8"/>
  <c r="S64" i="8" s="1"/>
  <c r="J159" i="8"/>
  <c r="S159" i="8" s="1"/>
  <c r="J166" i="8"/>
  <c r="S166" i="8" s="1"/>
  <c r="J167" i="8"/>
  <c r="S167" i="8" s="1"/>
  <c r="J74" i="8"/>
  <c r="S74" i="8" s="1"/>
  <c r="J122" i="8"/>
  <c r="S122" i="8" s="1"/>
  <c r="J77" i="8"/>
  <c r="S77" i="8" s="1"/>
  <c r="J76" i="8"/>
  <c r="S76" i="8" s="1"/>
  <c r="J142" i="8"/>
  <c r="S142" i="8" s="1"/>
  <c r="J160" i="8"/>
  <c r="S160" i="8" s="1"/>
  <c r="J10" i="8"/>
  <c r="S10" i="8" s="1"/>
  <c r="J38" i="8"/>
  <c r="S38" i="8" s="1"/>
  <c r="J93" i="8"/>
  <c r="S93" i="8" s="1"/>
  <c r="J34" i="8"/>
  <c r="S34" i="8" s="1"/>
  <c r="J84" i="8"/>
  <c r="S84" i="8" s="1"/>
  <c r="J109" i="8"/>
  <c r="S109" i="8" s="1"/>
  <c r="J86" i="8"/>
  <c r="S86" i="8" s="1"/>
  <c r="J41" i="8"/>
  <c r="S41" i="8" s="1"/>
  <c r="J143" i="8"/>
  <c r="S143" i="8" s="1"/>
  <c r="J12" i="8"/>
  <c r="S12" i="8" s="1"/>
  <c r="J134" i="8"/>
  <c r="S134" i="8" s="1"/>
  <c r="J78" i="8"/>
  <c r="S78" i="8" s="1"/>
  <c r="J100" i="8"/>
  <c r="S100" i="8" s="1"/>
  <c r="J146" i="8"/>
  <c r="S146" i="8" s="1"/>
  <c r="J123" i="8"/>
  <c r="S123" i="8" s="1"/>
  <c r="J99" i="8"/>
  <c r="S99" i="8" s="1"/>
  <c r="J31" i="8"/>
  <c r="S31" i="8" s="1"/>
  <c r="J35" i="8"/>
  <c r="S35" i="8" s="1"/>
  <c r="J89" i="8"/>
  <c r="S89" i="8" s="1"/>
  <c r="J58" i="8"/>
  <c r="S58" i="8" s="1"/>
  <c r="J153" i="8"/>
  <c r="S153" i="8" s="1"/>
  <c r="J98" i="8"/>
  <c r="S98" i="8" s="1"/>
  <c r="J110" i="8"/>
  <c r="S110" i="8" s="1"/>
  <c r="J117" i="8"/>
  <c r="S117" i="8" s="1"/>
  <c r="J114" i="8"/>
  <c r="S114" i="8" s="1"/>
  <c r="J85" i="8"/>
  <c r="S85" i="8" s="1"/>
  <c r="J25" i="8"/>
  <c r="S25" i="8" s="1"/>
  <c r="J164" i="8"/>
  <c r="S164" i="8" s="1"/>
  <c r="J102" i="8"/>
  <c r="S102" i="8" s="1"/>
  <c r="J163" i="8"/>
  <c r="S163" i="8" s="1"/>
  <c r="J17" i="8"/>
  <c r="S17" i="8" s="1"/>
  <c r="J124" i="8"/>
  <c r="S124" i="8" s="1"/>
  <c r="J71" i="8"/>
  <c r="S71" i="8" s="1"/>
  <c r="J55" i="8"/>
  <c r="S55" i="8" s="1"/>
  <c r="J48" i="8"/>
  <c r="S48" i="8" s="1"/>
  <c r="J82" i="8"/>
  <c r="S82" i="8" s="1"/>
  <c r="J54" i="8"/>
  <c r="S54" i="8" s="1"/>
  <c r="J135" i="8"/>
  <c r="S135" i="8" s="1"/>
  <c r="J24" i="8"/>
  <c r="S24" i="8" s="1"/>
  <c r="J137" i="8"/>
  <c r="S137" i="8" s="1"/>
  <c r="J69" i="8"/>
  <c r="S69" i="8" s="1"/>
  <c r="J45" i="8"/>
  <c r="S45" i="8" s="1"/>
  <c r="J132" i="8"/>
  <c r="S132" i="8" s="1"/>
  <c r="J131" i="8"/>
  <c r="S131" i="8" s="1"/>
  <c r="J88" i="8"/>
  <c r="S88" i="8" s="1"/>
  <c r="J171" i="8"/>
  <c r="S171" i="8" s="1"/>
  <c r="J173" i="8"/>
  <c r="S173" i="8" s="1"/>
  <c r="J119" i="8"/>
  <c r="S119" i="8" s="1"/>
  <c r="J148" i="8"/>
  <c r="S148" i="8" s="1"/>
  <c r="J79" i="8"/>
  <c r="S79" i="8" s="1"/>
  <c r="J107" i="8"/>
  <c r="S107" i="8" s="1"/>
  <c r="J108" i="8"/>
  <c r="S108" i="8" s="1"/>
  <c r="J6" i="8"/>
  <c r="S6" i="8" s="1"/>
  <c r="J47" i="8"/>
  <c r="S47" i="8" s="1"/>
  <c r="J155" i="8"/>
  <c r="S155" i="8" s="1"/>
  <c r="J157" i="8"/>
  <c r="S157" i="8" s="1"/>
  <c r="J13" i="8"/>
  <c r="S13" i="8" s="1"/>
  <c r="J65" i="8"/>
  <c r="S65" i="8" s="1"/>
  <c r="J170" i="8"/>
  <c r="S170" i="8" s="1"/>
  <c r="C3" i="17"/>
  <c r="C4" i="17"/>
  <c r="J39" i="8"/>
  <c r="S39" i="8" s="1"/>
  <c r="K61" i="8"/>
  <c r="T61" i="8" s="1"/>
  <c r="J104" i="8"/>
  <c r="S104" i="8" s="1"/>
  <c r="J120" i="8"/>
  <c r="S120" i="8" s="1"/>
  <c r="J144" i="8"/>
  <c r="S144" i="8" s="1"/>
  <c r="K21" i="8"/>
  <c r="T21" i="8" s="1"/>
  <c r="K39" i="8"/>
  <c r="T39" i="8" s="1"/>
  <c r="L61" i="8"/>
  <c r="U61" i="8" s="1"/>
  <c r="K104" i="8"/>
  <c r="T104" i="8" s="1"/>
  <c r="K120" i="8"/>
  <c r="T120" i="8" s="1"/>
  <c r="K144" i="8"/>
  <c r="T144" i="8" s="1"/>
  <c r="J21" i="8"/>
  <c r="S21" i="8" s="1"/>
  <c r="L144" i="8"/>
  <c r="U144" i="8" s="1"/>
  <c r="L21" i="8"/>
  <c r="U21" i="8" s="1"/>
  <c r="L39" i="8"/>
  <c r="U39" i="8" s="1"/>
  <c r="M61" i="8"/>
  <c r="V61" i="8" s="1"/>
  <c r="L104" i="8"/>
  <c r="U104" i="8" s="1"/>
  <c r="L120" i="8"/>
  <c r="U120" i="8" s="1"/>
  <c r="M21" i="8"/>
  <c r="V21" i="8" s="1"/>
  <c r="M39" i="8"/>
  <c r="V39" i="8" s="1"/>
  <c r="M104" i="8"/>
  <c r="V104" i="8" s="1"/>
  <c r="M120" i="8"/>
  <c r="V120" i="8" s="1"/>
  <c r="M144" i="8"/>
  <c r="V144" i="8" s="1"/>
  <c r="J59" i="8"/>
  <c r="S59" i="8" s="1"/>
  <c r="J81" i="8"/>
  <c r="S81" i="8" s="1"/>
  <c r="J94" i="8"/>
  <c r="S94" i="8" s="1"/>
  <c r="J106" i="8"/>
  <c r="S106" i="8" s="1"/>
  <c r="J133" i="8"/>
  <c r="S133" i="8" s="1"/>
  <c r="K22" i="8"/>
  <c r="T22" i="8" s="1"/>
  <c r="K59" i="8"/>
  <c r="T59" i="8" s="1"/>
  <c r="K81" i="8"/>
  <c r="T81" i="8" s="1"/>
  <c r="K94" i="8"/>
  <c r="T94" i="8" s="1"/>
  <c r="K106" i="8"/>
  <c r="T106" i="8" s="1"/>
  <c r="K133" i="8"/>
  <c r="T133" i="8" s="1"/>
  <c r="L59" i="8"/>
  <c r="U59" i="8" s="1"/>
  <c r="L81" i="8"/>
  <c r="U81" i="8" s="1"/>
  <c r="L94" i="8"/>
  <c r="U94" i="8" s="1"/>
  <c r="L106" i="8"/>
  <c r="U106" i="8" s="1"/>
  <c r="L133" i="8"/>
  <c r="U133" i="8" s="1"/>
  <c r="M22" i="8"/>
  <c r="V22" i="8" s="1"/>
  <c r="M59" i="8"/>
  <c r="V59" i="8" s="1"/>
  <c r="M81" i="8"/>
  <c r="V81" i="8" s="1"/>
  <c r="M94" i="8"/>
  <c r="V94" i="8" s="1"/>
  <c r="M106" i="8"/>
  <c r="V106" i="8" s="1"/>
  <c r="M133" i="8"/>
  <c r="V133" i="8" s="1"/>
  <c r="F8" i="7"/>
  <c r="G8" i="7"/>
  <c r="R8" i="7" s="1"/>
  <c r="I8" i="7"/>
  <c r="T8" i="7" s="1"/>
  <c r="Q8" i="7" l="1"/>
  <c r="G12" i="12"/>
  <c r="I12" i="12" s="1"/>
  <c r="K12" i="12" s="1"/>
  <c r="L22" i="8"/>
  <c r="U22" i="8" s="1"/>
  <c r="J22" i="8"/>
  <c r="S22" i="8" s="1"/>
  <c r="G6" i="8"/>
  <c r="P6" i="8" s="1"/>
  <c r="F6" i="8"/>
  <c r="I6" i="8"/>
  <c r="R6" i="8" s="1"/>
  <c r="O6" i="8" l="1"/>
  <c r="G13" i="12"/>
  <c r="I13" i="12" s="1"/>
  <c r="K13" i="12" s="1"/>
  <c r="G24" i="7"/>
  <c r="R24" i="7" s="1"/>
  <c r="F24" i="7"/>
  <c r="I24" i="7"/>
  <c r="T24" i="7" s="1"/>
  <c r="F138" i="7"/>
  <c r="G138" i="7"/>
  <c r="R138" i="7" s="1"/>
  <c r="H138" i="7"/>
  <c r="I138" i="7"/>
  <c r="T138" i="7" s="1"/>
  <c r="Q138" i="7" l="1"/>
  <c r="G260" i="12"/>
  <c r="I260" i="12" s="1"/>
  <c r="K260" i="12" s="1"/>
  <c r="Q24" i="7"/>
  <c r="G40" i="12"/>
  <c r="I40" i="12" s="1"/>
  <c r="K40" i="12" s="1"/>
  <c r="S138" i="7"/>
  <c r="H260" i="12"/>
  <c r="J260" i="12" s="1"/>
  <c r="L26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tc={5CD55258-D94C-490A-8CAC-8FA11D361D46}</author>
    <author>tc={B2D2676C-A34E-45B0-80A0-896DC9FC202B}</author>
    <author>tc={E9D1CF5E-0BE3-4AF9-967B-E8008BF9F142}</author>
    <author>tc={A643AE9E-08BA-4608-A5CC-9A200D396356}</author>
    <author>tc={59292A08-E09B-40F9-8BBA-A4E1995DEB18}</author>
  </authors>
  <commentList>
    <comment ref="H2" authorId="0" shapeId="0" xr:uid="{5CD55258-D94C-490A-8CAC-8FA11D361D46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below the main SKU cards on the Packages Page</t>
      </text>
    </comment>
    <comment ref="I2" authorId="1" shapeId="0" xr:uid="{B2D2676C-A34E-45B0-80A0-896DC9FC202B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below the main SKU cards on the Packages Page</t>
      </text>
    </comment>
    <comment ref="J2" authorId="2" shapeId="0" xr:uid="{E9D1CF5E-0BE3-4AF9-967B-E8008BF9F142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at the bottom of the Packages Page</t>
      </text>
    </comment>
    <comment ref="K2" authorId="3" shapeId="0" xr:uid="{A643AE9E-08BA-4608-A5CC-9A200D396356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at the bottom of the Packages Page</t>
      </text>
    </comment>
    <comment ref="P2" authorId="4" shapeId="0" xr:uid="{59292A08-E09B-40F9-8BBA-A4E1995DEB18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at the bottom of the Packages Page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tc={2529A887-2AAC-419A-BCCB-519C890DBCD0}</author>
    <author>tc={2CE16DC0-B78A-4FB9-A839-089757C5DC37}</author>
    <author>tc={093220B7-DA11-4D89-A014-1B9F142E9ECB}</author>
    <author>tc={1F4495F5-4CC4-4336-AE94-F5F44B932EE2}</author>
    <author>tc={F43FDB11-D52D-4E34-86A9-E316B82A3CD0}</author>
  </authors>
  <commentList>
    <comment ref="H2" authorId="0" shapeId="0" xr:uid="{2529A887-2AAC-419A-BCCB-519C890DBCD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below the main SKU cards on the Packages Page</t>
      </text>
    </comment>
    <comment ref="I2" authorId="1" shapeId="0" xr:uid="{2CE16DC0-B78A-4FB9-A839-089757C5DC37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below the main SKU cards on the Packages Page</t>
      </text>
    </comment>
    <comment ref="J2" authorId="2" shapeId="0" xr:uid="{093220B7-DA11-4D89-A014-1B9F142E9ECB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at the bottom of the Packages Page</t>
      </text>
    </comment>
    <comment ref="K2" authorId="3" shapeId="0" xr:uid="{1F4495F5-4CC4-4336-AE94-F5F44B932EE2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at the bottom of the Packages Page</t>
      </text>
    </comment>
    <comment ref="L2" authorId="4" shapeId="0" xr:uid="{F43FDB11-D52D-4E34-86A9-E316B82A3CD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at the bottom of the Packages Page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Hwang, Sara</author>
  </authors>
  <commentList>
    <comment ref="B4" authorId="0" shapeId="0" xr:uid="{53AEC3EF-DA0C-4FD8-A8FC-B4773E62F3C9}">
      <text>
        <r>
          <rPr>
            <b/>
            <sz val="9"/>
            <color indexed="81"/>
            <rFont val="Tahoma"/>
            <family val="2"/>
          </rPr>
          <t>Hwang, Sara:</t>
        </r>
        <r>
          <rPr>
            <sz val="9"/>
            <color indexed="81"/>
            <rFont val="Tahoma"/>
            <family val="2"/>
          </rPr>
          <t xml:space="preserve">
Dark Orange = Currency change
Light Orange = Price increase due to FX devaluation
Yellow = Price increase to maximize ARPU
Dark Blue = APV market
Green = Three digits after the decimal
Light Blue = No digits after the decimal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tc={BBD0279D-5C19-4801-91C2-61CFC9A73807}</author>
    <author>tc={24B0B559-9BD3-4159-9656-F8F46C36FEDE}</author>
  </authors>
  <commentList>
    <comment ref="K44" authorId="0" shapeId="0" xr:uid="{BBD0279D-5C19-4801-91C2-61CFC9A73807}">
      <text>
        <t>[Threaded comment]
Your version of Excel allows you to read this threaded comment; however, any edits to it will get removed if the file is opened in a newer version of Excel. Learn more: https://go.microsoft.com/fwlink/?linkid=870924
Comment:
    U.S. student plan promo codes should reflect a discount of 41.20071% (vs. 40% off INTL)</t>
      </text>
    </comment>
    <comment ref="L44" authorId="1" shapeId="0" xr:uid="{24B0B559-9BD3-4159-9656-F8F46C36FEDE}">
      <text>
        <t>[Threaded comment]
Your version of Excel allows you to read this threaded comment; however, any edits to it will get removed if the file is opened in a newer version of Excel. Learn more: https://go.microsoft.com/fwlink/?linkid=870924
Comment:
    U.S. student plan promo codes should reflect a discount of 41.20071% (vs. 40% off INTL)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tc={817E4F05-4B63-4290-B657-974DAEFB6364}</author>
    <author>tc={6537BB7C-DFEC-40D1-A274-63C5C007DF01}</author>
    <author>tc={DEF4A2EC-FA66-4F18-81F1-B9626A88719F}</author>
  </authors>
  <commentList>
    <comment ref="B2" authorId="0" shapeId="0" xr:uid="{817E4F05-4B63-4290-B657-974DAEFB6364}">
      <text>
        <t>[Threaded comment]
Your version of Excel allows you to read this threaded comment; however, any edits to it will get removed if the file is opened in a newer version of Excel. Learn more: https://go.microsoft.com/fwlink/?linkid=870924
Comment:
    Blue = Hardcoded cells
Green = Equivalent to web pricing
Red = Hardcoded changes to tie with Apple's pricing tiers
Green Highlight = Potential need to hardcode changes to tie with Apple's pricing tiers
Light Blue-Grey Highlight = Apple's currency is not local or in USD</t>
      </text>
    </comment>
    <comment ref="B82" authorId="1" shapeId="0" xr:uid="{6537BB7C-DFEC-40D1-A274-63C5C007DF01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"Korea, Republic of (KRW)" in Apple</t>
      </text>
    </comment>
    <comment ref="B94" authorId="2" shapeId="0" xr:uid="{DEF4A2EC-FA66-4F18-81F1-B9626A88719F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"North Macedonia (USD)" in Apple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tc={468E40BE-652F-43F2-BC20-34ACFB49304B}</author>
    <author>tc={A53E460C-4C0D-474F-86B5-AA6AD5CBE4F5}</author>
    <author>tc={748835FA-32AF-4979-8A2C-E147D7FF6BEC}</author>
    <author>tc={B962BC87-0761-4511-860D-CEBFC0654B88}</author>
    <author>tc={B9ACE03B-067A-4D58-94B0-14346C2E209F}</author>
    <author>tc={BCD2715C-54BB-4257-B9DF-B58549561825}</author>
  </authors>
  <commentList>
    <comment ref="B2" authorId="0" shapeId="0" xr:uid="{468E40BE-652F-43F2-BC20-34ACFB4930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Blue = Hardcoded changes
Green = Equivalent to Apple pricing if currencies are the same, if not, pulls in USD from the "INTL Web" tab
Purple = Equivalent to Web pricing if currencies tie
Light Blue-Grey Highlight = Google's currency is not local or in USD
</t>
      </text>
    </comment>
    <comment ref="B29" authorId="1" shapeId="0" xr:uid="{A53E460C-4C0D-474F-86B5-AA6AD5CBE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
</t>
      </text>
    </comment>
    <comment ref="B38" authorId="2" shapeId="0" xr:uid="{748835FA-32AF-4979-8A2C-E147D7FF6BEC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known as Republic of Congo or Congo - Brazzaville</t>
      </text>
    </comment>
    <comment ref="B40" authorId="3" shapeId="0" xr:uid="{B962BC87-0761-4511-860D-CEBFC0654B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</t>
      </text>
    </comment>
    <comment ref="B114" authorId="4" shapeId="0" xr:uid="{B9ACE03B-067A-4D58-94B0-14346C2E209F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"North Macedonia" in Android</t>
      </text>
    </comment>
    <comment ref="B132" authorId="5" shapeId="0" xr:uid="{BCD2715C-54BB-4257-B9DF-B585495618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tc={FCFBCA55-A7AF-4D80-91EF-0BDED1EB34B5}</author>
    <author>tc={5B3B222A-D06B-4B55-A980-EB14414D7F10}</author>
  </authors>
  <commentList>
    <comment ref="B11" authorId="0" shapeId="0" xr:uid="{FCFBCA55-A7AF-4D80-91EF-0BDED1EB34B5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“Bosnia” on Samsung</t>
      </text>
    </comment>
    <comment ref="B77" authorId="1" shapeId="0" xr:uid="{5B3B222A-D06B-4B55-A980-EB14414D7F10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“North Macedonia” on Samsung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Hwang, Sara</author>
    <author>tc={8AE7C84B-105F-431D-B713-FB1B8ADBEB33}</author>
  </authors>
  <commentList>
    <comment ref="B4" authorId="0" shapeId="0" xr:uid="{FB61097C-5511-413D-9310-F3E6D0152B0E}">
      <text>
        <r>
          <rPr>
            <b/>
            <sz val="9"/>
            <color indexed="81"/>
            <rFont val="Tahoma"/>
            <family val="2"/>
          </rPr>
          <t>Hwang, Sara:</t>
        </r>
        <r>
          <rPr>
            <sz val="9"/>
            <color indexed="81"/>
            <rFont val="Tahoma"/>
            <family val="2"/>
          </rPr>
          <t xml:space="preserve">
Yellow = Price increase to max revenue
Dark Orange = Currency change from ARS to USD
Light Orange = Price increase due to FX devaluation when converted to USD</t>
        </r>
      </text>
    </comment>
    <comment ref="N4" authorId="1" shapeId="0" xr:uid="{8AE7C84B-105F-431D-B713-FB1B8ADBEB3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6/21/2026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Sheng, Jennifer</author>
  </authors>
  <commentList>
    <comment ref="H22" authorId="0" shapeId="0" xr:uid="{E137EC84-F6C8-4A8A-B608-6C546ADB78EF}">
      <text>
        <r>
          <rPr>
            <sz val="10"/>
            <color theme="1"/>
            <rFont val="Arial"/>
            <family val="2"/>
          </rPr>
          <t xml:space="preserve">Sheng, Jennifer:
planning to register effective Oct. 1, 2026 </t>
        </r>
      </text>
    </comment>
    <comment ref="H24" authorId="0" shapeId="0" xr:uid="{FE96FE3A-FA95-4C9F-A9EF-898B92C9EFBF}">
      <text>
        <r>
          <rPr>
            <sz val="10"/>
            <color theme="1"/>
            <rFont val="Arial"/>
            <family val="2"/>
          </rPr>
          <t>Sheng, Jennifer:
planning to register effective Oct. 1, 2026</t>
        </r>
      </text>
    </comment>
    <comment ref="G73" authorId="0" shapeId="0" xr:uid="{E17BB13A-AAC7-4963-9E4C-0D4433CD90AE}">
      <text>
        <r>
          <rPr>
            <sz val="10"/>
            <color theme="1"/>
            <rFont val="Arial"/>
            <family val="2"/>
          </rPr>
          <t>Sheng, Jennifer:
effective 7/1/25</t>
        </r>
      </text>
    </comment>
    <comment ref="H73" authorId="0" shapeId="0" xr:uid="{85AD7902-FB1E-42DD-8282-08A113AD43B4}">
      <text>
        <r>
          <rPr>
            <sz val="10"/>
            <color theme="1"/>
            <rFont val="Arial"/>
            <family val="2"/>
          </rPr>
          <t>Sheng, Jennifer:
effective 7/1/25</t>
        </r>
      </text>
    </comment>
    <comment ref="H86" authorId="0" shapeId="0" xr:uid="{1CF148BD-63B6-4098-BB1A-A5C8EAFC6466}">
      <text>
        <r>
          <rPr>
            <sz val="10"/>
            <color theme="1"/>
            <rFont val="Arial"/>
            <family val="2"/>
          </rPr>
          <t>Sheng, Jennifer:
planning to register effective Oct. 1, 2026</t>
        </r>
      </text>
    </comment>
    <comment ref="H93" authorId="0" shapeId="0" xr:uid="{41E10C4D-3FDC-4162-BDDD-146FEC09934E}">
      <text>
        <r>
          <rPr>
            <sz val="10"/>
            <color theme="1"/>
            <rFont val="Arial"/>
            <family val="2"/>
          </rPr>
          <t>Sheng, Jennifer:
planning to register effective Oct. 1, 2026</t>
        </r>
      </text>
    </comment>
    <comment ref="G113" authorId="0" shapeId="0" xr:uid="{2AF8DC56-3C7E-4FAA-AFB5-0416F4724791}">
      <text>
        <r>
          <rPr>
            <sz val="10"/>
            <color theme="1"/>
            <rFont val="Arial"/>
            <family val="2"/>
          </rPr>
          <t xml:space="preserve">Sheng, Jennifer:
currently preparing registration for the JCT </t>
        </r>
      </text>
    </comment>
    <comment ref="H130" authorId="0" shapeId="0" xr:uid="{23C9CA99-2B03-49CC-975E-1CAAF4ACF321}">
      <text>
        <r>
          <rPr>
            <sz val="10"/>
            <color theme="1"/>
            <rFont val="Arial"/>
            <family val="2"/>
          </rPr>
          <t>Sheng, Jennifer:
rate was actually 17% since Jan 1, 2024.</t>
        </r>
      </text>
    </comment>
    <comment ref="H140" authorId="0" shapeId="0" xr:uid="{82EA4307-B619-44EB-8931-8688C170D86D}">
      <text>
        <r>
          <rPr>
            <sz val="10"/>
            <color theme="1"/>
            <rFont val="Arial"/>
            <family val="2"/>
          </rPr>
          <t>Sheng, Jennifer:
planning to register effective Oct. 1, 2026</t>
        </r>
      </text>
    </comment>
    <comment ref="F177" authorId="0" shapeId="0" xr:uid="{2B9C58A8-99CB-4348-85D6-A6A8FDB1AF5D}">
      <text>
        <r>
          <rPr>
            <sz val="10"/>
            <color theme="1"/>
            <rFont val="Arial"/>
            <family val="2"/>
          </rPr>
          <t>Sheng, Jennifer:
eff. 6/2/25</t>
        </r>
      </text>
    </comment>
    <comment ref="H182" authorId="0" shapeId="0" xr:uid="{58451960-DF90-46D0-B81D-B946B79FA919}">
      <text>
        <r>
          <rPr>
            <sz val="10"/>
            <color theme="1"/>
            <rFont val="Arial"/>
            <family val="2"/>
          </rPr>
          <t>Sheng, Jennifer:
planning to register effective Oct. 1, 2026</t>
        </r>
      </text>
    </comment>
    <comment ref="G183" authorId="0" shapeId="0" xr:uid="{3C1964F0-33EE-4F47-B9EC-E3214668338E}">
      <text>
        <r>
          <rPr>
            <sz val="10"/>
            <color theme="1"/>
            <rFont val="Arial"/>
            <family val="2"/>
          </rPr>
          <t>Sheng, Jennifer:
eff. 8/1/25</t>
        </r>
      </text>
    </comment>
    <comment ref="H205" authorId="0" shapeId="0" xr:uid="{134928C8-08E1-460C-93BA-EE5693E52CDC}">
      <text>
        <r>
          <rPr>
            <sz val="10"/>
            <color theme="1"/>
            <rFont val="Arial"/>
            <family val="2"/>
          </rPr>
          <t xml:space="preserve">Sheng, Jennifer:
registering in Canary Islands and turning on 7% VAT effective 10/1/26. </t>
        </r>
      </text>
    </comment>
    <comment ref="G242" authorId="0" shapeId="0" xr:uid="{A0175545-F42E-440F-BD73-4BC7BEBE07E8}">
      <text>
        <r>
          <rPr>
            <sz val="10"/>
            <color theme="1"/>
            <rFont val="Arial"/>
            <family val="2"/>
          </rPr>
          <t>Sheng, Jennifer:
eff. 7/1/25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tc={BBCF4E60-5768-4461-98CC-75B9313F2402}</author>
    <author>tc={FF9CCED4-3100-4141-9CBC-8D67688CC48D}</author>
    <author>tc={F999783B-06AC-4BD8-BF58-D167EC567E08}</author>
    <author>tc={C1EBC2A7-4786-4D18-9325-F9CCEBF4B7AF}</author>
    <author>tc={7B33133F-D1BF-4AD2-9C2D-A38A2E7B2102}</author>
    <author>tc={86594BF5-3D98-488C-9F4D-8AE1FA1682B9}</author>
    <author>tc={17316FA2-270F-4200-A71E-3F5ACF00E904}</author>
  </authors>
  <commentList>
    <comment ref="B56" authorId="0" shapeId="0" xr:uid="{BBCF4E60-5768-4461-98CC-75B9313F24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
</t>
      </text>
    </comment>
    <comment ref="B70" authorId="1" shapeId="0" xr:uid="{FF9CCED4-3100-4141-9CBC-8D67688CC48D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known as Republic of Congo or Congo - Brazzaville</t>
      </text>
    </comment>
    <comment ref="B74" authorId="2" shapeId="0" xr:uid="{F999783B-06AC-4BD8-BF58-D167EC567E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</t>
      </text>
    </comment>
    <comment ref="B180" authorId="3" shapeId="0" xr:uid="{C1EBC2A7-4786-4D18-9325-F9CCEBF4B7AF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"North Macedonia (USD)" in Apple</t>
      </text>
    </comment>
    <comment ref="B181" authorId="4" shapeId="0" xr:uid="{7B33133F-D1BF-4AD2-9C2D-A38A2E7B2102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"North Macedonia" in Android</t>
      </text>
    </comment>
    <comment ref="B259" authorId="5" shapeId="0" xr:uid="{86594BF5-3D98-488C-9F4D-8AE1FA1682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</t>
      </text>
    </comment>
    <comment ref="B277" authorId="6" shapeId="0" xr:uid="{17316FA2-270F-4200-A71E-3F5ACF00E904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"Korea, Republic of (KRW)" in Apple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tc={E8C0F10D-35C1-49D7-B01F-F4A24DDDACB0}</author>
    <author>tc={BC5965B6-0C4B-4B1A-B8F8-01D6BC3D25F3}</author>
    <author>tc={18829BEB-92DE-4AEB-95F9-2DCF2E43D752}</author>
  </authors>
  <commentList>
    <comment ref="B7" authorId="0" shapeId="0" xr:uid="{E8C0F10D-35C1-49D7-B01F-F4A24DDDACB0}">
      <text>
        <t>[Threaded comment]
Your version of Excel allows you to read this threaded comment; however, any edits to it will get removed if the file is opened in a newer version of Excel. Learn more: https://go.microsoft.com/fwlink/?linkid=870924
Comment:
    Blue = Hardcoded cells
Green = Equivalent to web pricing
Red = Hardcoded changes to tie with Apple's pricing tiers
Green Highlight = Potential need to hardcode changes to tie with Apple's pricing tiers
Light Blue-Grey Highlight = Apple's currency is not local or in USD</t>
      </text>
    </comment>
    <comment ref="B87" authorId="1" shapeId="0" xr:uid="{BC5965B6-0C4B-4B1A-B8F8-01D6BC3D25F3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"Korea, Republic of (KRW)" in Apple</t>
      </text>
    </comment>
    <comment ref="B99" authorId="2" shapeId="0" xr:uid="{18829BEB-92DE-4AEB-95F9-2DCF2E43D752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"North Macedonia (USD)" in Apple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tc={925FFEF1-9B0A-412C-B366-6AED5D1ED0BC}</author>
    <author>tc={0DF093A7-90B3-4DD6-8788-DFCBC299D025}</author>
    <author>tc={0EB21244-6C9A-4388-9ECE-AD05BFD65821}</author>
    <author>tc={F801DB2C-6DBC-4162-8A75-2AF4A808AA32}</author>
    <author>tc={009CF935-7ADC-44B1-B3F3-C8AF65618126}</author>
    <author>tc={5AB0388D-618C-4911-BD20-44FCB9F99AD1}</author>
  </authors>
  <commentList>
    <comment ref="B8" authorId="0" shapeId="0" xr:uid="{925FFEF1-9B0A-412C-B366-6AED5D1ED0BC}">
      <text>
        <t>[Threaded comment]
Your version of Excel allows you to read this threaded comment; however, any edits to it will get removed if the file is opened in a newer version of Excel. Learn more: https://go.microsoft.com/fwlink/?linkid=870924
Comment:
    Blue = Hardcoded cells
Green = Equivalent to web pricing
Red = Hardcoded changes to tie with Apple's pricing tiers
Green Highlight = Potential need to hardcode changes to tie with Apple's pricing tiers
Light Blue-Grey Highlight = Apple's currency is not local or in USD</t>
      </text>
    </comment>
    <comment ref="B35" authorId="1" shapeId="0" xr:uid="{0DF093A7-90B3-4DD6-8788-DFCBC299D0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
</t>
      </text>
    </comment>
    <comment ref="B44" authorId="2" shapeId="0" xr:uid="{0EB21244-6C9A-4388-9ECE-AD05BFD6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known as Republic of Congo or Congo - Brazzaville</t>
      </text>
    </comment>
    <comment ref="B46" authorId="3" shapeId="0" xr:uid="{F801DB2C-6DBC-4162-8A75-2AF4A80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</t>
      </text>
    </comment>
    <comment ref="B120" authorId="4" shapeId="0" xr:uid="{009CF935-7ADC-44B1-B3F3-C8AF65618126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Listed as "North Macedonia" in Android</t>
      </text>
    </comment>
    <comment ref="B138" authorId="5" shapeId="0" xr:uid="{5AB0388D-618C-4911-BD20-44FCB9F99AD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markets moved from USD to local currency on Android / Google.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tc={C8DD9E0E-B633-40A1-AAA9-444F4AF91A5C}</author>
  </authors>
  <commentList>
    <comment ref="M2" authorId="0" shapeId="0" xr:uid="{C8DD9E0E-B633-40A1-AAA9-444F4AF9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of countries where chromecast is commercialized can be found here: https://support.google.com/store/answer/2462844?hl=en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tc={887D58CB-CFA6-4A22-A70D-1B169188ADF1}</author>
    <author>tc={FDB43D81-8112-4B38-B9FD-4BCACF1A1D9D}</author>
    <author>tc={1694F268-CE63-45FD-9230-47D84878CC89}</author>
  </authors>
  <commentList>
    <comment ref="F2" authorId="0" shapeId="0" xr:uid="{887D58CB-CFA6-4A22-A70D-1B169188ADF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7/06/2025
Reply:
    USD to Google Currency (Column E)</t>
      </text>
    </comment>
    <comment ref="B5" authorId="1" shapeId="0" xr:uid="{FDB43D81-8112-4B38-B9FD-4BCACF1A1D9D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includes Burkina Faso, Guinea-Bissau, Mali, Niger, and Togo</t>
      </text>
    </comment>
    <comment ref="B6" authorId="2" shapeId="0" xr:uid="{1694F268-CE63-45FD-9230-47D84878CC89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includes Gabon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<sst xmlns="http://schemas.openxmlformats.org/spreadsheetml/2006/main" count="20586" uniqueCount="1516">
  <si>
    <t>v4: Yellow tabs represent changes listed below while the light orange tabs mean that changes may come or TBD</t>
  </si>
  <si>
    <t>- In the "INT Web" tab, maintaining the 2025-26 Start of Season pricing with the following exceptions:</t>
  </si>
  <si>
    <t>=&gt; Due to FX devaluation from inflation risk across many seasons, changing NBA.com currency for Argentina to USD from ARS - pricing now matches 2025-26 in-app and CED pricing (reported in USD)</t>
  </si>
  <si>
    <t>=&gt; To maximize revenue, increasing only League Pass Premium pricing (Monthly and SL / Annual) in Australia</t>
  </si>
  <si>
    <t>=&gt; Due to FX devaluation from inflation risk, increasing pricing for all packages in Nigeria by ~4% YoY</t>
  </si>
  <si>
    <t>=&gt; Due to FX devaluation from inflation risk, increasing pricing for all packages in Romania by ~13% YoY</t>
  </si>
  <si>
    <t>=&gt; Due to FX devaluation from inflation risk, increasing pricing for all packages in Turkey by ~45% YoY</t>
  </si>
  <si>
    <t>- In the "Student Plan Web" tab, added India pricing as it's being sold in a new market for Student Plans in the 2026-27 season</t>
  </si>
  <si>
    <t>- In the "Apple" tab, increasing prices across subscription and/or transactional packages to match the changes seen in the "INT Web" tab for Australia, Nigeria, Romania, and Turkey</t>
  </si>
  <si>
    <t>=&gt; Note: Price increases for existing in-app subscribers will occur around November. Thus, only new paying sign-ups will purchase at the higher prices.</t>
  </si>
  <si>
    <t>- In the "Google" tab, increased prices across subscription and/or transactional packages to match the changes seen in the "INT Web" tab for Australia, Cameroon, Cote D'Ivoire, Nigeria, Romania, Senegal, and Turkey</t>
  </si>
  <si>
    <t>- In the "AMZN Fire TV" tab, increasing only League Pass Premium pricing (Monthly and Annual) in Australia</t>
  </si>
  <si>
    <t>- In the "Samsung" tab, increasing prices across Australia (LPP Only), Nigeria, and Turkey</t>
  </si>
  <si>
    <t>- In the "Country-Level Tactics" tab, added country-level tactics across pricing, offers, and BFCM for the Monetization team's reference</t>
  </si>
  <si>
    <t>- In the "Addt'l Payment Methods" tab, Kenny made the following updates ahead of the 2026-27 season: Added Klarna Pay Now in Finland and United Kingdom; Venmo in the U.S.</t>
  </si>
  <si>
    <t>- In the "Intro Offer Details" tab, updated introductory pricing to 30% off (from 35% off) for Annual (Pay Up Front) subscriptions across both the Apple and Google platforms</t>
  </si>
  <si>
    <t>- In the "Post-AR Web Cancel Deflection" tab, (i) identified the global SL save offer turn off date as 8/27/26, and (ii), in select markets only, adjusted monthly save offers from pause to 100% off next month</t>
  </si>
  <si>
    <t>- In the "Cancel Deflection - Apple" tab, updated certain markets (e.g., United States) to remove save offers (feasibility of doing this by market is an open question with Chelsea and Apple)</t>
  </si>
  <si>
    <t xml:space="preserve">- In the "Winback - Apple" tab, turned back on offers from 10.01 to 10.15; offers are 15% off all SKUs for select markets only (will remain off in others) </t>
  </si>
  <si>
    <t>- In the "Winback - Google" tab, turned back on offers from 10.01 to 10.15; offers are 15% off all SKUs for select markets only (will remain off in others)</t>
  </si>
  <si>
    <t>v5: Yellow tabs represent changes listed below while the light orange tabs mean that changes may come or TBD</t>
  </si>
  <si>
    <t>v6 will include the TBU changes that are highlighted in light orange above</t>
  </si>
  <si>
    <t>- In all Apple-related tabs, added the three-digit country code</t>
  </si>
  <si>
    <t>v6</t>
  </si>
  <si>
    <t>- In all tabs that showcase country x region mapping, updated French Guiana, Guadeloupe, Martinique, Mayotte, and Reunion to Africa (from what originally was LatAm or Africa)</t>
  </si>
  <si>
    <t>- In the "INT Tax" tab, Jenn kindly added the updated FY27 tax rates for international countries (excl. CAN where it gets added on top of current listed pricing)</t>
  </si>
  <si>
    <t>- In the "INT Web" tab, lowered Turkey pricing from v4 but pricing has increased by ~30% YoY</t>
  </si>
  <si>
    <t>- In the "INT Web" tab, lowered Argentina pricing from v5 but pricing has increased by ~45% YoY</t>
  </si>
  <si>
    <t>v7</t>
  </si>
  <si>
    <t>- Removed the TBUs from previous versions</t>
  </si>
  <si>
    <t>- Accurately depicted Bulgaria's currency from USD to EUR - no changes to pricing in absolute terms, just the currency change</t>
  </si>
  <si>
    <t>Country</t>
  </si>
  <si>
    <t>Region</t>
  </si>
  <si>
    <t>BLPEUS</t>
  </si>
  <si>
    <t>BLPEUSMONTHLY</t>
  </si>
  <si>
    <t>BLPPUS</t>
  </si>
  <si>
    <t>BLPPUSMONTHLY</t>
  </si>
  <si>
    <t>BTCUS</t>
  </si>
  <si>
    <t>BTCUSMONTHLY</t>
  </si>
  <si>
    <t>BLPTV</t>
  </si>
  <si>
    <t>BLPTVMONTHLY</t>
  </si>
  <si>
    <t>GSINGLEGAMEUS</t>
  </si>
  <si>
    <t>GSINGLEGAMEUSA</t>
  </si>
  <si>
    <t>GSINGLEGAMEUSB</t>
  </si>
  <si>
    <t>GSINGLEGAMEUSC</t>
  </si>
  <si>
    <t>BLPAUDIO</t>
  </si>
  <si>
    <t>United States</t>
  </si>
  <si>
    <t>Domestic</t>
  </si>
  <si>
    <t>Web &amp; IAP</t>
  </si>
  <si>
    <t>Web</t>
  </si>
  <si>
    <t>IAP</t>
  </si>
  <si>
    <t>Guam</t>
  </si>
  <si>
    <t>Puerto Rico</t>
  </si>
  <si>
    <t>US Virgin Islands</t>
  </si>
  <si>
    <t>US Minor Outlying Islands</t>
  </si>
  <si>
    <t>BLPE</t>
  </si>
  <si>
    <t>BLPEMONTHLY</t>
  </si>
  <si>
    <t>BLPP</t>
  </si>
  <si>
    <t>BLPPMONTHLY</t>
  </si>
  <si>
    <t>BTC</t>
  </si>
  <si>
    <t>BTCMONTHLY</t>
  </si>
  <si>
    <t>GSINGLEGAME</t>
  </si>
  <si>
    <t>GSINGLEGAMEA</t>
  </si>
  <si>
    <t>GSINGLEGAMEB</t>
  </si>
  <si>
    <t>GSINGLEGAMEC</t>
  </si>
  <si>
    <t>BLPE1C</t>
  </si>
  <si>
    <t>BLPE2C</t>
  </si>
  <si>
    <t>BLPE3C</t>
  </si>
  <si>
    <t>Apple</t>
  </si>
  <si>
    <t>Google</t>
  </si>
  <si>
    <t>Afghanistan</t>
  </si>
  <si>
    <t>Aland Islands</t>
  </si>
  <si>
    <t>Web / IAP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</si>
  <si>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</si>
  <si>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</si>
  <si>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</si>
  <si>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</si>
  <si>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</si>
  <si>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</si>
  <si>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</si>
  <si>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</si>
  <si>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</si>
  <si>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</si>
  <si>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</si>
  <si>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</si>
  <si>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</si>
  <si>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</si>
  <si>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</si>
  <si>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</si>
  <si>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</si>
  <si>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</si>
  <si>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</si>
  <si>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</si>
  <si>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</si>
  <si>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</si>
  <si>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</si>
  <si>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Latin America</t>
  </si>
  <si>
    <t>Bhutan</t>
  </si>
  <si>
    <t>Bolivia</t>
  </si>
  <si>
    <t>Bonaire, St. Eustatius, &amp; Saba</t>
  </si>
  <si>
    <t>Europe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</si>
  <si>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</si>
  <si>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</si>
  <si>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</si>
  <si>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</si>
  <si>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</si>
  <si>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</si>
  <si>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</si>
  <si>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</si>
  <si>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</si>
  <si>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</si>
  <si>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</si>
  <si>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</si>
  <si>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</si>
  <si>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</si>
  <si>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</si>
  <si>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</si>
  <si>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</si>
  <si>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</si>
  <si>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Christmas Island</t>
  </si>
  <si>
    <t>Cocos (Keeling) Island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</si>
  <si>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</si>
  <si>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</si>
  <si>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</si>
  <si>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</si>
  <si>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</si>
  <si>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</si>
  <si>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</si>
  <si>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Curacao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</si>
  <si>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</si>
  <si>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</si>
  <si>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</si>
  <si>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</si>
  <si>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</si>
  <si>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</si>
  <si>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</si>
  <si>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</si>
  <si>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</si>
  <si>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</si>
  <si>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</si>
  <si>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</si>
  <si>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</si>
  <si>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</si>
  <si>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</si>
  <si>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</si>
  <si>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</si>
  <si>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</si>
  <si>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</si>
  <si>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</si>
  <si>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</si>
  <si>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</si>
  <si>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</si>
  <si>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</si>
  <si>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</si>
  <si>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</si>
  <si>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</si>
  <si>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</si>
  <si>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</si>
  <si>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</si>
  <si>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</si>
  <si>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</si>
  <si>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</si>
  <si>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</si>
  <si>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Guernsey</t>
  </si>
  <si>
    <t>Guinea</t>
  </si>
  <si>
    <t>Guinea-Bissau</t>
  </si>
  <si>
    <t>Guyana</t>
  </si>
  <si>
    <t>Haiti</t>
  </si>
  <si>
    <t>Heard And Mcdonald Islands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</si>
  <si>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</si>
  <si>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</si>
  <si>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</si>
  <si>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</si>
  <si>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</si>
  <si>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</si>
  <si>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</si>
  <si>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</si>
  <si>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</si>
  <si>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</si>
  <si>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</si>
  <si>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Jamaica</t>
  </si>
  <si>
    <t>Japan</t>
  </si>
  <si>
    <t>Asia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</si>
  <si>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</si>
  <si>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</si>
  <si>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</si>
  <si>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</si>
  <si>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</si>
  <si>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</si>
  <si>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</si>
  <si>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</si>
  <si>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</si>
  <si>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</si>
  <si>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</si>
  <si>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</si>
  <si>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</si>
  <si>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</si>
  <si>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</si>
  <si>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</si>
  <si>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</si>
  <si>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</si>
  <si>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</si>
  <si>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</si>
  <si>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</si>
  <si>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</si>
  <si>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</si>
  <si>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</si>
  <si>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</si>
  <si>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</si>
  <si>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</si>
  <si>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</si>
  <si>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</si>
  <si>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</si>
  <si>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</si>
  <si>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</si>
  <si>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</si>
  <si>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</si>
  <si>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</si>
  <si>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</si>
  <si>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</si>
  <si>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</si>
  <si>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</si>
  <si>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</si>
  <si>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</si>
  <si>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</si>
  <si>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</si>
  <si>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</si>
  <si>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</si>
  <si>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</si>
  <si>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</si>
  <si>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</si>
  <si>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</si>
  <si>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</si>
  <si>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</si>
  <si>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</si>
  <si>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</si>
  <si>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North Korea</t>
  </si>
  <si>
    <t>Norway</t>
  </si>
  <si>
    <t>Oman</t>
  </si>
  <si>
    <t>Pakistan</t>
  </si>
  <si>
    <t>Palau</t>
  </si>
  <si>
    <t>Palestinian Territory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</si>
  <si>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</si>
  <si>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</si>
  <si>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</si>
  <si>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</si>
  <si>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</si>
  <si>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</si>
  <si>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</si>
  <si>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</si>
  <si>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Qatar</t>
  </si>
  <si>
    <t>Reunion</t>
  </si>
  <si>
    <t>Romania</t>
  </si>
  <si>
    <t>Russia</t>
  </si>
  <si>
    <t>Rwanda</t>
  </si>
  <si>
    <t>Saint 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</si>
  <si>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</si>
  <si>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</si>
  <si>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</si>
  <si>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</si>
  <si>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</si>
  <si>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</si>
  <si>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</si>
  <si>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</si>
  <si>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</si>
  <si>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</si>
  <si>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</si>
  <si>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</si>
  <si>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</si>
  <si>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</si>
  <si>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Africa</t>
  </si>
  <si>
    <t>South Africa</t>
  </si>
  <si>
    <t>South Georgia (Sgssi)</t>
  </si>
  <si>
    <t>South Korea</t>
  </si>
  <si>
    <t>South Sudan</t>
  </si>
  <si>
    <t>Middle East</t>
  </si>
  <si>
    <t>Spain</t>
  </si>
  <si>
    <t>Sri Lanka</t>
  </si>
  <si>
    <t>St. Barthelemy</t>
  </si>
  <si>
    <t>St. Helena</t>
  </si>
  <si>
    <t>St. Kitts And Nevis</t>
  </si>
  <si>
    <t>St. Lucia</t>
  </si>
  <si>
    <t>St. Pierre And Miquelon</t>
  </si>
  <si>
    <t>St. Vincent And The Grenadines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</si>
  <si>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</si>
  <si>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</si>
  <si>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</si>
  <si>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</si>
  <si>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</si>
  <si>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</si>
  <si>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</si>
  <si>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</si>
  <si>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</si>
  <si>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</si>
  <si>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</si>
  <si>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</si>
  <si>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</si>
  <si>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</si>
  <si>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</si>
  <si>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</si>
  <si>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</si>
  <si>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</si>
  <si>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</si>
  <si>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</si>
  <si>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</si>
  <si>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</si>
  <si>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</si>
  <si>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</si>
  <si>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</si>
  <si>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</si>
  <si>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</si>
  <si>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 State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</si>
  <si>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</si>
  <si>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</si>
  <si>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</si>
  <si>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</si>
  <si>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</si>
  <si>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</si>
  <si>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</si>
  <si>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BLPEUSTV</t>
  </si>
  <si>
    <t>BLPEUSTVMONTHLY</t>
  </si>
  <si>
    <t>BLPPUSTV</t>
  </si>
  <si>
    <t>BLPPUSSTVMONTHLY</t>
  </si>
  <si>
    <t>Old Priority Mkt</t>
  </si>
  <si>
    <t>FY26 Start of Season Pricing (in Local Currency)</t>
  </si>
  <si>
    <t>FY26 Start of Season Sub. Length and SKU Ratios</t>
  </si>
  <si>
    <t>FY27 Start of Season Pricing (in Local Currency)</t>
  </si>
  <si>
    <t>FY27 Start of Season Sub. Length and SKU Ratios</t>
  </si>
  <si>
    <t>YoY FY27 vs. FY26 Start of Season Pricing</t>
  </si>
  <si>
    <t>FY27 Start of Season Pricing (in USD)</t>
  </si>
  <si>
    <t>Segment</t>
  </si>
  <si>
    <t>Currency</t>
  </si>
  <si>
    <t>LPP Annual</t>
  </si>
  <si>
    <t>LPP Monthly</t>
  </si>
  <si>
    <t>LP Annual</t>
  </si>
  <si>
    <t>LP Monthly</t>
  </si>
  <si>
    <t>TC Annual</t>
  </si>
  <si>
    <t>TC Monthly</t>
  </si>
  <si>
    <t>LPP SubL.</t>
  </si>
  <si>
    <t>LPP SKU</t>
  </si>
  <si>
    <t>LP SubL.</t>
  </si>
  <si>
    <t>TP SubL.</t>
  </si>
  <si>
    <t>TP SKU</t>
  </si>
  <si>
    <t>FX to USD</t>
  </si>
  <si>
    <t>Two Digit Country Code</t>
  </si>
  <si>
    <t>C</t>
  </si>
  <si>
    <t>USD</t>
  </si>
  <si>
    <t>B</t>
  </si>
  <si>
    <t>E~</t>
  </si>
  <si>
    <t>A</t>
  </si>
  <si>
    <t>D</t>
  </si>
  <si>
    <t>NBA China</t>
  </si>
  <si>
    <t>JPY</t>
  </si>
  <si>
    <t>JP</t>
  </si>
  <si>
    <t>Priority Market</t>
  </si>
  <si>
    <t>FY23 Start of Season Pricing (in Local Currency)</t>
  </si>
  <si>
    <t>FY26 Student Plan Pricing ( in Local Currency)</t>
  </si>
  <si>
    <t xml:space="preserve">United States </t>
  </si>
  <si>
    <t>NBAGIFTING</t>
  </si>
  <si>
    <t>Country Code</t>
  </si>
  <si>
    <t>Web Currency</t>
  </si>
  <si>
    <t>Apple Currency</t>
  </si>
  <si>
    <t>Type of SG Pricing</t>
  </si>
  <si>
    <t>Apple Country Code</t>
  </si>
  <si>
    <t>HT</t>
  </si>
  <si>
    <t>Antigua and Barbuda</t>
  </si>
  <si>
    <t>QBYQ</t>
  </si>
  <si>
    <t>AUD</t>
  </si>
  <si>
    <t>EUR</t>
  </si>
  <si>
    <t>BRL</t>
  </si>
  <si>
    <t>CAD</t>
  </si>
  <si>
    <t>CLP</t>
  </si>
  <si>
    <t>COP</t>
  </si>
  <si>
    <t>CZK</t>
  </si>
  <si>
    <t>DKK</t>
  </si>
  <si>
    <t>EGP</t>
  </si>
  <si>
    <t>HKD</t>
  </si>
  <si>
    <t>HUF</t>
  </si>
  <si>
    <t>INR</t>
  </si>
  <si>
    <t>IDR</t>
  </si>
  <si>
    <t>ILS</t>
  </si>
  <si>
    <t>KZT</t>
  </si>
  <si>
    <t>KRW</t>
  </si>
  <si>
    <t>MYR</t>
  </si>
  <si>
    <t>MXN</t>
  </si>
  <si>
    <t>NZD</t>
  </si>
  <si>
    <t>NGN</t>
  </si>
  <si>
    <t>NOK</t>
  </si>
  <si>
    <t>PKR</t>
  </si>
  <si>
    <t>PEN</t>
  </si>
  <si>
    <t>PHP</t>
  </si>
  <si>
    <t>PLN</t>
  </si>
  <si>
    <t>QAR</t>
  </si>
  <si>
    <t>RON</t>
  </si>
  <si>
    <t>RUB</t>
  </si>
  <si>
    <t>SAR</t>
  </si>
  <si>
    <t>SGD</t>
  </si>
  <si>
    <t>ZAR</t>
  </si>
  <si>
    <t>St. Kitts and Nevis</t>
  </si>
  <si>
    <t>St. Vincent and The Grenadines</t>
  </si>
  <si>
    <t>SEK</t>
  </si>
  <si>
    <t>CHF</t>
  </si>
  <si>
    <t>TWD</t>
  </si>
  <si>
    <t>TZS</t>
  </si>
  <si>
    <t>THB</t>
  </si>
  <si>
    <t>Trinidad and Tobago</t>
  </si>
  <si>
    <t>TRY</t>
  </si>
  <si>
    <t>Turks and Caicos Islands</t>
  </si>
  <si>
    <t>AED</t>
  </si>
  <si>
    <t>GBP</t>
  </si>
  <si>
    <t>VND</t>
  </si>
  <si>
    <t>Google Currency</t>
  </si>
  <si>
    <t>DZD</t>
  </si>
  <si>
    <t>BDT</t>
  </si>
  <si>
    <t>BOB</t>
  </si>
  <si>
    <t>BGN</t>
  </si>
  <si>
    <t>XAF</t>
  </si>
  <si>
    <t>CRC</t>
  </si>
  <si>
    <t>XOF</t>
  </si>
  <si>
    <t>GEL</t>
  </si>
  <si>
    <t>GHS</t>
  </si>
  <si>
    <t>IQD</t>
  </si>
  <si>
    <t>JOD</t>
  </si>
  <si>
    <t>KES</t>
  </si>
  <si>
    <t>MOP</t>
  </si>
  <si>
    <t>MAD</t>
  </si>
  <si>
    <t>MMK</t>
  </si>
  <si>
    <t>PYG</t>
  </si>
  <si>
    <t>RSD</t>
  </si>
  <si>
    <t>LKR</t>
  </si>
  <si>
    <t>UAH</t>
  </si>
  <si>
    <t>Amazon Currency</t>
  </si>
  <si>
    <t>Roku Currency</t>
  </si>
  <si>
    <t>Samsung Currency</t>
  </si>
  <si>
    <t>BHD</t>
  </si>
  <si>
    <t>GTQ</t>
  </si>
  <si>
    <t>Isle of Man</t>
  </si>
  <si>
    <t>KWD</t>
  </si>
  <si>
    <t>LBP</t>
  </si>
  <si>
    <t>LYD</t>
  </si>
  <si>
    <t>OMR</t>
  </si>
  <si>
    <t>TND</t>
  </si>
  <si>
    <t>YER</t>
  </si>
  <si>
    <t>FY27 Market</t>
  </si>
  <si>
    <t>Markets</t>
  </si>
  <si>
    <t>FY26 Start of Season Prices</t>
  </si>
  <si>
    <t>Market-Level Strategy</t>
  </si>
  <si>
    <t>FY27 SoS League Pass Monthly (BLPPMONTHLY)</t>
  </si>
  <si>
    <t>FY27 SoS League Pass Premium Monthly (BLPEMONTHLY)</t>
  </si>
  <si>
    <t>FY27 SoS League Pass Season-Long / Annual (BLPP)</t>
  </si>
  <si>
    <t>FY27 SoS League Pass Premium Season-Long / Annual (BLPE)</t>
  </si>
  <si>
    <t>Intro Offer</t>
  </si>
  <si>
    <t>Winback Offer</t>
  </si>
  <si>
    <t>Save Offer</t>
  </si>
  <si>
    <t>BFCM</t>
  </si>
  <si>
    <t>Prioritization</t>
  </si>
  <si>
    <t>with Ads</t>
  </si>
  <si>
    <t>Local Curr: LP Monthly</t>
  </si>
  <si>
    <t>Local Curr: LPP Monthly</t>
  </si>
  <si>
    <t>Local Curr: LP SL</t>
  </si>
  <si>
    <t>Local Curr: LPP SL</t>
  </si>
  <si>
    <t>FY26 LP Sub Length Ratio</t>
  </si>
  <si>
    <t>FY26 LPP Sub Length Ratio</t>
  </si>
  <si>
    <t>FY26 LPP : LP Ratio</t>
  </si>
  <si>
    <t>FX Rate</t>
  </si>
  <si>
    <t>USD: LP M</t>
  </si>
  <si>
    <t>USD: LPP M</t>
  </si>
  <si>
    <t>USD: LP SL</t>
  </si>
  <si>
    <t>USD: LPP SL</t>
  </si>
  <si>
    <t>Archetype</t>
  </si>
  <si>
    <t>in Local Currency</t>
  </si>
  <si>
    <t>in USD</t>
  </si>
  <si>
    <t>YoY Lift in $</t>
  </si>
  <si>
    <t>YoY Lift in %</t>
  </si>
  <si>
    <t>FY27 LPP : LP Ratio</t>
  </si>
  <si>
    <t>FY27 Sub. Length Ratio</t>
  </si>
  <si>
    <t>Tactic</t>
  </si>
  <si>
    <t>SA</t>
  </si>
  <si>
    <t>A3</t>
  </si>
  <si>
    <t>EVP</t>
  </si>
  <si>
    <t>A2</t>
  </si>
  <si>
    <t>Live</t>
  </si>
  <si>
    <t>PML</t>
  </si>
  <si>
    <t>No Ads in FY26</t>
  </si>
  <si>
    <t>PGB</t>
  </si>
  <si>
    <t>NZ</t>
  </si>
  <si>
    <t>SVO</t>
  </si>
  <si>
    <t>A1</t>
  </si>
  <si>
    <t>FDC</t>
  </si>
  <si>
    <t>50% Off SL / Annual</t>
  </si>
  <si>
    <t>Possibly</t>
  </si>
  <si>
    <t>x</t>
  </si>
  <si>
    <t>A4</t>
  </si>
  <si>
    <t>15% Off All SKUs</t>
  </si>
  <si>
    <t>EME</t>
  </si>
  <si>
    <t>A5</t>
  </si>
  <si>
    <t>FY25</t>
  </si>
  <si>
    <t>FY26</t>
  </si>
  <si>
    <t>FY27</t>
  </si>
  <si>
    <t>Tax Rate</t>
  </si>
  <si>
    <t>5% - 15%</t>
  </si>
  <si>
    <t>Apple Pay</t>
  </si>
  <si>
    <t>Google Pay</t>
  </si>
  <si>
    <t>PayPal</t>
  </si>
  <si>
    <t>Cash App</t>
  </si>
  <si>
    <t>BACS</t>
  </si>
  <si>
    <t>Klarna Pay Now</t>
  </si>
  <si>
    <t>Venmo</t>
  </si>
  <si>
    <t>Status</t>
  </si>
  <si>
    <t/>
  </si>
  <si>
    <t>ALL</t>
  </si>
  <si>
    <t>Backlog</t>
  </si>
  <si>
    <t>XCD</t>
  </si>
  <si>
    <t>ARS</t>
  </si>
  <si>
    <t>AMD</t>
  </si>
  <si>
    <t>AWG</t>
  </si>
  <si>
    <t>AZN</t>
  </si>
  <si>
    <t>BSD</t>
  </si>
  <si>
    <t>BBD</t>
  </si>
  <si>
    <t>BZD</t>
  </si>
  <si>
    <t>BMD</t>
  </si>
  <si>
    <t>BAM</t>
  </si>
  <si>
    <t>BWP</t>
  </si>
  <si>
    <t>BND</t>
  </si>
  <si>
    <t>KHR</t>
  </si>
  <si>
    <t>CVE</t>
  </si>
  <si>
    <t>KMF</t>
  </si>
  <si>
    <t xml:space="preserve">NZD </t>
  </si>
  <si>
    <t>ANG</t>
  </si>
  <si>
    <t>DJF</t>
  </si>
  <si>
    <t>DOP</t>
  </si>
  <si>
    <t>SZL</t>
  </si>
  <si>
    <t>ETB</t>
  </si>
  <si>
    <t>FKP</t>
  </si>
  <si>
    <t xml:space="preserve">DKK </t>
  </si>
  <si>
    <t>FJD</t>
  </si>
  <si>
    <t>XPF</t>
  </si>
  <si>
    <t>GMD</t>
  </si>
  <si>
    <t xml:space="preserve">GEL </t>
  </si>
  <si>
    <t>GIP</t>
  </si>
  <si>
    <t>GNF</t>
  </si>
  <si>
    <t>GYD</t>
  </si>
  <si>
    <t>HTG</t>
  </si>
  <si>
    <t>HNL</t>
  </si>
  <si>
    <t>ISK</t>
  </si>
  <si>
    <t>JMD</t>
  </si>
  <si>
    <t xml:space="preserve">KWD </t>
  </si>
  <si>
    <t>KGS</t>
  </si>
  <si>
    <t>LAK</t>
  </si>
  <si>
    <t>MKD</t>
  </si>
  <si>
    <t>MWK</t>
  </si>
  <si>
    <t>MVR</t>
  </si>
  <si>
    <t>MUR</t>
  </si>
  <si>
    <t xml:space="preserve">MDL </t>
  </si>
  <si>
    <t>MDL</t>
  </si>
  <si>
    <t>MNT</t>
  </si>
  <si>
    <t>NAD</t>
  </si>
  <si>
    <t>NPR</t>
  </si>
  <si>
    <t>NIO</t>
  </si>
  <si>
    <t>PGK</t>
  </si>
  <si>
    <t>RWF</t>
  </si>
  <si>
    <t>WST</t>
  </si>
  <si>
    <t>SCR</t>
  </si>
  <si>
    <t>SLL</t>
  </si>
  <si>
    <t>SBD</t>
  </si>
  <si>
    <t>SOS</t>
  </si>
  <si>
    <t>SHP</t>
  </si>
  <si>
    <t>SRD</t>
  </si>
  <si>
    <t>TOP</t>
  </si>
  <si>
    <t>TTD</t>
  </si>
  <si>
    <t>UGX</t>
  </si>
  <si>
    <t>UYU</t>
  </si>
  <si>
    <t>UZS</t>
  </si>
  <si>
    <t>VUV</t>
  </si>
  <si>
    <t>ZMW</t>
  </si>
  <si>
    <r>
      <t xml:space="preserve">IAP Pay Up Front: </t>
    </r>
    <r>
      <rPr>
        <sz val="10"/>
        <color theme="1"/>
        <rFont val="Arial"/>
        <family val="2"/>
      </rPr>
      <t>Discount on Annual Packages (10/01/2026 - 5/31/2027)</t>
    </r>
    <r>
      <rPr>
        <b/>
        <sz val="10"/>
        <color theme="1"/>
        <rFont val="Arial"/>
        <family val="2"/>
      </rPr>
      <t xml:space="preserve"> 30% Off BLPE and BLPP</t>
    </r>
  </si>
  <si>
    <t>IAP Currency</t>
  </si>
  <si>
    <t>IAP Platform</t>
  </si>
  <si>
    <t>Discounted BLPE</t>
  </si>
  <si>
    <t>Discounted BLPP</t>
  </si>
  <si>
    <t>BLPE &lt;= % Off</t>
  </si>
  <si>
    <t>BLPP &lt;= % Off</t>
  </si>
  <si>
    <t>Apple Currency Code</t>
  </si>
  <si>
    <t xml:space="preserve">All local access cancellation deflection offers will follow the same percentages off as U.S offers [based on term and cancellation reason] </t>
  </si>
  <si>
    <t>Offer Details</t>
  </si>
  <si>
    <t>SKU IDS (TO --&gt; FROM)</t>
  </si>
  <si>
    <t>User Cohort (i.e. LP subs, all subs, cancellation reason)</t>
  </si>
  <si>
    <t>Offer Timeframe (i.e. May - October)</t>
  </si>
  <si>
    <t>First Offer Screen: Header Copy</t>
  </si>
  <si>
    <t>First Offer Screen: Sub Header Copy</t>
  </si>
  <si>
    <t>Single offer screen: Offer users 25% off the first month of their paid subscription</t>
  </si>
  <si>
    <r>
      <t xml:space="preserve">From:
</t>
    </r>
    <r>
      <rPr>
        <sz val="10"/>
        <color theme="1"/>
        <rFont val="Calibri"/>
        <family val="2"/>
      </rPr>
      <t xml:space="preserve">LEAGUE PASS MONTHLY US [BLPPUSMONTHLY]
LEAGUE PASS MONTHLY INT [BLPPMONTHLY]
LEAGUE PASS PREMIUM MONTHLY US [BLPEUSMONTHLY]
LEAGUE PASS PREMIUM MONTHLY INT [BLPEMONTHLY]
TEAM PASS MONTHLY US [BTCUSMONTHLY]
TEAM PASS MONTHLY INT [BTCMONTHLY]
NBA TV MONTHLY [LPTVMONTHLY]
</t>
    </r>
    <r>
      <rPr>
        <b/>
        <sz val="10"/>
        <color theme="1"/>
        <rFont val="Calibri"/>
        <family val="2"/>
      </rPr>
      <t xml:space="preserve">To:
</t>
    </r>
    <r>
      <rPr>
        <sz val="10"/>
        <color theme="1"/>
        <rFont val="Calibri"/>
        <family val="2"/>
      </rPr>
      <t>Same SKU</t>
    </r>
  </si>
  <si>
    <t>All Monthly Subscribers</t>
  </si>
  <si>
    <t>Oct-Apr</t>
  </si>
  <si>
    <t>Stay in the game and get 25% off your first month</t>
  </si>
  <si>
    <t>Keep watching live games with this sweet deal</t>
  </si>
  <si>
    <t xml:space="preserve">Single offer screen: Offer a 10% discount on subscription 
</t>
  </si>
  <si>
    <r>
      <t xml:space="preserve">From:
</t>
    </r>
    <r>
      <rPr>
        <sz val="10"/>
        <color theme="1"/>
        <rFont val="Calibri"/>
        <family val="2"/>
      </rPr>
      <t xml:space="preserve">LEAGUE PASS SEASON US [BLPPUS]
LEAGUE PASS SEASON INT [BLPP]
LEAUGE PASS PREMIUM SEASON US [BLPEUS]
LEAGUE PASS PREMIUM SEASON INT [BLPE]
TEAM PASS SEASON US [BTCUS]
TEAM PASS SEASON INT [BTC] 
NBA TV SEASON US [BLPTV]
</t>
    </r>
    <r>
      <rPr>
        <b/>
        <sz val="10"/>
        <color theme="1"/>
        <rFont val="Calibri"/>
        <family val="2"/>
      </rPr>
      <t xml:space="preserve">To:
</t>
    </r>
    <r>
      <rPr>
        <sz val="10"/>
        <color theme="1"/>
        <rFont val="Calibri"/>
        <family val="2"/>
      </rPr>
      <t xml:space="preserve">Same SKU </t>
    </r>
  </si>
  <si>
    <t>All Seasonal Subscribers</t>
  </si>
  <si>
    <t>Stay in the game and get 10% off your subscription for the season</t>
  </si>
  <si>
    <t>Your future self will thank you</t>
  </si>
  <si>
    <t>Users should be presented with the option to upsell to the following SKUs at point of purchase on NBA.com. The below also includes their U.S. equivalent SKUs.</t>
  </si>
  <si>
    <t>Current Subscription Package</t>
  </si>
  <si>
    <t>Current Term</t>
  </si>
  <si>
    <t>Current SKU</t>
  </si>
  <si>
    <t>Upgrade Mapping SKU</t>
  </si>
  <si>
    <t>LPP</t>
  </si>
  <si>
    <t>Monthly</t>
  </si>
  <si>
    <t>Season-Long</t>
  </si>
  <si>
    <t>N/A</t>
  </si>
  <si>
    <t>LP</t>
  </si>
  <si>
    <t>TP</t>
  </si>
  <si>
    <t>NBA TV</t>
  </si>
  <si>
    <t>Current Transactional Package</t>
  </si>
  <si>
    <t>Single Game (incl. QbyQ)</t>
  </si>
  <si>
    <t>One-Time</t>
  </si>
  <si>
    <t>League Pass Audio</t>
  </si>
  <si>
    <t>A subscriber's reason for cancelling determines which cancellation deflection offer is shown.</t>
  </si>
  <si>
    <t>Subscription Package</t>
  </si>
  <si>
    <t>SKU</t>
  </si>
  <si>
    <t>U.S. vs. INTL</t>
  </si>
  <si>
    <t>Cancellation Deflection Offer</t>
  </si>
  <si>
    <t>League Pass Monthly</t>
  </si>
  <si>
    <t>U.S.</t>
  </si>
  <si>
    <r>
      <t>- 50% off the subsequent month</t>
    </r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
- 100% off (free) the subsequent month</t>
    </r>
    <r>
      <rPr>
        <vertAlign val="superscript"/>
        <sz val="10"/>
        <color theme="1"/>
        <rFont val="Arial"/>
        <family val="2"/>
      </rPr>
      <t>2</t>
    </r>
  </si>
  <si>
    <t>League Pass Premium Monthly</t>
  </si>
  <si>
    <t>BLPEUSSTVMONTHLY</t>
  </si>
  <si>
    <t>Team Pass Monthly</t>
  </si>
  <si>
    <t>NBA TV Monthly</t>
  </si>
  <si>
    <t>INTL</t>
  </si>
  <si>
    <t>League Pass Season-Long</t>
  </si>
  <si>
    <r>
      <t>1st O</t>
    </r>
    <r>
      <rPr>
        <sz val="10"/>
        <rFont val="Arial"/>
        <family val="2"/>
      </rPr>
      <t>ffer Screen: 15%</t>
    </r>
    <r>
      <rPr>
        <sz val="10"/>
        <color theme="1"/>
        <rFont val="Arial"/>
        <family val="2"/>
      </rPr>
      <t xml:space="preserve"> off the upcoming renewal
2nd Offer Screen: Downgrade to League Pass Monthly</t>
    </r>
  </si>
  <si>
    <t>League Pass Premium Season-Long</t>
  </si>
  <si>
    <t>1st Offer Screen: 15% off the upcoming renewal
2nd Offer Screen: Downgrade to League Pass Premium Monthly</t>
  </si>
  <si>
    <t>Team Pass Season-Long</t>
  </si>
  <si>
    <t>1st Offer Screen: 15% off the upcoming renewal
2nd Offer Screen: Downgrade to Team Pass Monthly</t>
  </si>
  <si>
    <t>NBA TV Season-Long</t>
  </si>
  <si>
    <t>1st Offer Screen: 15% off the upcoming renewal
2nd Offer Screen: Downgrade to NBA TV Monthly</t>
  </si>
  <si>
    <t>1st Offer Screen: 15% off the upcoming renewal
2nd Offer Screen: Downgrade to League Pass Monthly</t>
  </si>
  <si>
    <t xml:space="preserve">Country Code </t>
  </si>
  <si>
    <t>Monthly SKUs</t>
  </si>
  <si>
    <t>Season Long SKUs</t>
  </si>
  <si>
    <t>SL Turn Off Date</t>
  </si>
  <si>
    <t>100% Off Next Month</t>
  </si>
  <si>
    <t xml:space="preserve">Turn off SL offer  </t>
  </si>
  <si>
    <t>8.27.26</t>
  </si>
  <si>
    <t>Pause Flow</t>
  </si>
  <si>
    <t>FY27 Strategy</t>
  </si>
  <si>
    <t>No Save Offer</t>
  </si>
  <si>
    <t>Monthly: 100% Off Next Month</t>
  </si>
  <si>
    <t>Messaging / Pause Flow</t>
  </si>
  <si>
    <t xml:space="preserve">Turn On </t>
  </si>
  <si>
    <t>Turn Off</t>
  </si>
  <si>
    <t>Criteria</t>
  </si>
  <si>
    <t>Min</t>
  </si>
  <si>
    <t>Max</t>
  </si>
  <si>
    <t>Customer Eligibility Paid Subscription Duration In Months</t>
  </si>
  <si>
    <t xml:space="preserve">2 Months </t>
  </si>
  <si>
    <t>-</t>
  </si>
  <si>
    <t>Customer EligibilityTime Since Last Subscribed In Months</t>
  </si>
  <si>
    <t>1 Month</t>
  </si>
  <si>
    <t>Customer Eligibility Wait Between Offers In Months</t>
  </si>
  <si>
    <t>12 Months</t>
  </si>
  <si>
    <t>No Action</t>
  </si>
  <si>
    <t>Messaging Only</t>
  </si>
  <si>
    <t>Eligibility Criteria (the same per SKU)</t>
  </si>
  <si>
    <t>FY 27 Strategy</t>
  </si>
  <si>
    <t>15% Off</t>
  </si>
  <si>
    <t>Markets With Commercials</t>
  </si>
  <si>
    <t>Country Codes</t>
  </si>
  <si>
    <t>Markets Without Commercials</t>
  </si>
  <si>
    <t>Reason</t>
  </si>
  <si>
    <t>NBA suspended business activities in Belarus</t>
  </si>
  <si>
    <t>China</t>
  </si>
  <si>
    <t>Restricted due to partner limitations: Tencent has exclusive LP rights in the market</t>
  </si>
  <si>
    <t>Cuba</t>
  </si>
  <si>
    <t>Prohibited by US sanctions</t>
  </si>
  <si>
    <t>Iran</t>
  </si>
  <si>
    <t>Restricted due to partner limitations: Rakuten has exclusive LP rights in the market</t>
  </si>
  <si>
    <r>
      <t xml:space="preserve">NBA suspended business activities in </t>
    </r>
    <r>
      <rPr>
        <sz val="10"/>
        <color theme="1"/>
        <rFont val="Arial"/>
        <family val="2"/>
        <charset val="1"/>
      </rPr>
      <t>Russia</t>
    </r>
  </si>
  <si>
    <t>Prohibited by US sanctions (specifically in Crimea, Donetsk People’s Republic, and Luhansk People’s Republic)</t>
  </si>
  <si>
    <t>Note: Countries where the NBA does not directly sell League Pass</t>
  </si>
  <si>
    <t>Note: Japan has been removed from the list (which was included in the 2024-25 season as there are no more partner limitations with Rakuten)</t>
  </si>
  <si>
    <t>Country Abbrev</t>
  </si>
  <si>
    <t>Web Availability</t>
  </si>
  <si>
    <t>NBA TVi Live</t>
  </si>
  <si>
    <t>iOS/tvOS (iPhone, iPad, Apple TV, Apple Watch and Apple Car Play)</t>
  </si>
  <si>
    <t>Google Play (Android Phone, Tablet and TV)</t>
  </si>
  <si>
    <t>Xbox</t>
  </si>
  <si>
    <t>Amazon FireTV and Fire TV Stick</t>
  </si>
  <si>
    <t>Playstation</t>
  </si>
  <si>
    <t>Roku</t>
  </si>
  <si>
    <t>Hisense/VIDAA</t>
  </si>
  <si>
    <t>Chromecast</t>
  </si>
  <si>
    <t>AFGHANISTAN</t>
  </si>
  <si>
    <t>AF</t>
  </si>
  <si>
    <t>yes</t>
  </si>
  <si>
    <t>no</t>
  </si>
  <si>
    <t>LP cannot be purchased on chromecast, chromecast can be purchased in countries listed in hyperlink</t>
  </si>
  <si>
    <t>ALAND ISLANDS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</si>
  <si>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</si>
  <si>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</si>
  <si>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</si>
  <si>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</si>
  <si>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</si>
  <si>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</si>
  <si>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</si>
  <si>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</si>
  <si>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</si>
  <si>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</si>
  <si>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</si>
  <si>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</si>
  <si>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</si>
  <si>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</si>
  <si>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</si>
  <si>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</si>
  <si>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</si>
  <si>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</si>
  <si>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</si>
  <si>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</si>
  <si>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</si>
  <si>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</si>
  <si>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</si>
  <si>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</si>
  <si>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</si>
  <si>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</si>
  <si>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</si>
  <si>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</si>
  <si>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</si>
  <si>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</si>
  <si>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</si>
  <si>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</si>
  <si>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</si>
  <si>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</si>
  <si>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</si>
  <si>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</si>
  <si>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</si>
  <si>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</si>
  <si>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</si>
  <si>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</si>
  <si>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</si>
  <si>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</si>
  <si>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</si>
  <si>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</si>
  <si>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</si>
  <si>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</si>
  <si>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</si>
  <si>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</si>
  <si>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</si>
  <si>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</si>
  <si>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</si>
  <si>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</si>
  <si>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</si>
  <si>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</si>
  <si>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</si>
  <si>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</si>
  <si>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</si>
  <si>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</si>
  <si>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</si>
  <si>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</si>
  <si>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</si>
  <si>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BRITISH VIRGIN ISLANDS</t>
  </si>
  <si>
    <t>VG</t>
  </si>
  <si>
    <t>BRUNEI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</si>
  <si>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</si>
  <si>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</si>
  <si>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</si>
  <si>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</si>
  <si>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</si>
  <si>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</si>
  <si>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</si>
  <si>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</si>
  <si>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</si>
  <si>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</si>
  <si>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</si>
  <si>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</si>
  <si>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</si>
  <si>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NBATV Canada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</si>
  <si>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</si>
  <si>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</si>
  <si>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</si>
  <si>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</si>
  <si>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</si>
  <si>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</si>
  <si>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</si>
  <si>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</si>
  <si>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</si>
  <si>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</si>
  <si>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</si>
  <si>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</si>
  <si>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</si>
  <si>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</si>
  <si>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</t>
  </si>
  <si>
    <t>CC</t>
  </si>
  <si>
    <t>COLOMBIA</t>
  </si>
  <si>
    <t>CO</t>
  </si>
  <si>
    <t>COMOROS</t>
  </si>
  <si>
    <t>KM</t>
  </si>
  <si>
    <t xml:space="preserve">CONGO, Democratic Republic of </t>
  </si>
  <si>
    <t>CD</t>
  </si>
  <si>
    <t>COOK ISLANDS</t>
  </si>
  <si>
    <t>CK</t>
  </si>
  <si>
    <t>COSTA RICA</t>
  </si>
  <si>
    <t>CR</t>
  </si>
  <si>
    <t>COTE D'IVOIRE</t>
  </si>
  <si>
    <t>CI</t>
  </si>
  <si>
    <t>CROATIA</t>
  </si>
  <si>
    <t>HR</t>
  </si>
  <si>
    <t>CUBA</t>
  </si>
  <si>
    <t>CU</t>
  </si>
  <si>
    <t>CURACAO</t>
  </si>
  <si>
    <t>CW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</si>
  <si>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</si>
  <si>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</si>
  <si>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</si>
  <si>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</si>
  <si>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</si>
  <si>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</si>
  <si>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</si>
  <si>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</si>
  <si>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</si>
  <si>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</si>
  <si>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</si>
  <si>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</si>
  <si>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</si>
  <si>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</si>
  <si>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</si>
  <si>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</si>
  <si>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</si>
  <si>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</si>
  <si>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</si>
  <si>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</si>
  <si>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</si>
  <si>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</si>
  <si>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</si>
  <si>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</si>
  <si>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ESWATINI (FORMERLY SWAZILAND)</t>
  </si>
  <si>
    <t>SZ</t>
  </si>
  <si>
    <t>ETHIOPIA</t>
  </si>
  <si>
    <t>ET</t>
  </si>
  <si>
    <t>FALKLAND ISLANDS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</si>
  <si>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</si>
  <si>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</si>
  <si>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</si>
  <si>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</si>
  <si>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</si>
  <si>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</si>
  <si>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</si>
  <si>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</si>
  <si>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</si>
  <si>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</si>
  <si>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</si>
  <si>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</si>
  <si>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</si>
  <si>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</si>
  <si>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</si>
  <si>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</si>
  <si>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</si>
  <si>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</si>
  <si>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</si>
  <si>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</si>
  <si>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</si>
  <si>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</si>
  <si>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</si>
  <si>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</si>
  <si>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</si>
  <si>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</si>
  <si>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</si>
  <si>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</si>
  <si>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</si>
  <si>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</si>
  <si>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</si>
  <si>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</si>
  <si>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</si>
  <si>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</si>
  <si>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</si>
  <si>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</si>
  <si>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</si>
  <si>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NBA TV US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</si>
  <si>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</si>
  <si>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</si>
  <si>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</si>
  <si>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</si>
  <si>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</si>
  <si>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</si>
  <si>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</si>
  <si>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</si>
  <si>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</si>
  <si>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</si>
  <si>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</si>
  <si>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HEARD AND MCDONALD ISLANDS</t>
  </si>
  <si>
    <t>HM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</si>
  <si>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</si>
  <si>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</si>
  <si>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</si>
  <si>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</si>
  <si>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</si>
  <si>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</si>
  <si>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</si>
  <si>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</si>
  <si>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</si>
  <si>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</si>
  <si>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</si>
  <si>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</si>
  <si>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</si>
  <si>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</si>
  <si>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</si>
  <si>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</si>
  <si>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 xml:space="preserve">yes 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</si>
  <si>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</si>
  <si>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</si>
  <si>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</si>
  <si>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</si>
  <si>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</si>
  <si>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</si>
  <si>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</si>
  <si>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</si>
  <si>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</si>
  <si>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</si>
  <si>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</si>
  <si>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</si>
  <si>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</si>
  <si>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</si>
  <si>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</si>
  <si>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</si>
  <si>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</si>
  <si>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</si>
  <si>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</si>
  <si>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</si>
  <si>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</si>
  <si>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KOSOVO</t>
  </si>
  <si>
    <t>XK</t>
  </si>
  <si>
    <t>KUWAIT</t>
  </si>
  <si>
    <t>KW</t>
  </si>
  <si>
    <t>KYRGYZSTAN</t>
  </si>
  <si>
    <t>KG</t>
  </si>
  <si>
    <t>LAOS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</si>
  <si>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</si>
  <si>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</si>
  <si>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</si>
  <si>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</si>
  <si>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</si>
  <si>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</si>
  <si>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</si>
  <si>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</si>
  <si>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</si>
  <si>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</si>
  <si>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</si>
  <si>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</si>
  <si>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</si>
  <si>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</si>
  <si>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</si>
  <si>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</si>
  <si>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</si>
  <si>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</si>
  <si>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</si>
  <si>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NORTH 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</si>
  <si>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</si>
  <si>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</si>
  <si>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</si>
  <si>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</si>
  <si>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</si>
  <si>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</si>
  <si>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</si>
  <si>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</si>
  <si>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</si>
  <si>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</si>
  <si>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</si>
  <si>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</si>
  <si>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</si>
  <si>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</si>
  <si>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</si>
  <si>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</si>
  <si>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</si>
  <si>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</si>
  <si>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</si>
  <si>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</si>
  <si>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</si>
  <si>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</si>
  <si>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</si>
  <si>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</si>
  <si>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</si>
  <si>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</si>
  <si>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</si>
  <si>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</si>
  <si>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</si>
  <si>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</si>
  <si>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</si>
  <si>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</si>
  <si>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</si>
  <si>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</si>
  <si>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</si>
  <si>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</si>
  <si>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</si>
  <si>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</si>
  <si>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</si>
  <si>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</si>
  <si>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</si>
  <si>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</si>
  <si>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</si>
  <si>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</si>
  <si>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</si>
  <si>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</si>
  <si>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</si>
  <si>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</si>
  <si>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</si>
  <si>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</si>
  <si>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</si>
  <si>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NEW CALEDONIA</t>
  </si>
  <si>
    <t>NC</t>
  </si>
  <si>
    <t>NEW ZEALAND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</si>
  <si>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</si>
  <si>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</si>
  <si>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</si>
  <si>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</si>
  <si>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</si>
  <si>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</si>
  <si>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</si>
  <si>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</si>
  <si>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</si>
  <si>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</si>
  <si>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 KOREA</t>
  </si>
  <si>
    <t>KP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</si>
  <si>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</si>
  <si>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</si>
  <si>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</si>
  <si>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</si>
  <si>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</si>
  <si>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</si>
  <si>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</si>
  <si>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</si>
  <si>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</si>
  <si>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</si>
  <si>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PALESTINIAN TERRITORY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</si>
  <si>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</si>
  <si>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</si>
  <si>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</si>
  <si>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</si>
  <si>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</si>
  <si>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</si>
  <si>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</si>
  <si>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</si>
  <si>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</si>
  <si>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</si>
  <si>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</si>
  <si>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 ISLAND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</si>
  <si>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</si>
  <si>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</si>
  <si>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</si>
  <si>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</si>
  <si>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</si>
  <si>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</si>
  <si>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</si>
  <si>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</si>
  <si>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</si>
  <si>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</si>
  <si>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</si>
  <si>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</si>
  <si>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</si>
  <si>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RUSSIA</t>
  </si>
  <si>
    <t>RU</t>
  </si>
  <si>
    <t>RWANDA</t>
  </si>
  <si>
    <t>RW</t>
  </si>
  <si>
    <t>SAINT MARTIN (FRENCH PART)</t>
  </si>
  <si>
    <t>MF</t>
  </si>
  <si>
    <t>SAMOA</t>
  </si>
  <si>
    <t>WS</t>
  </si>
  <si>
    <t>SAN MARINO</t>
  </si>
  <si>
    <t>SM</t>
  </si>
  <si>
    <t>SAO TOME AND PRINCIPE</t>
  </si>
  <si>
    <t>ST</t>
  </si>
  <si>
    <t>SAUDI ARABIA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</si>
  <si>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</si>
  <si>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</si>
  <si>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</si>
  <si>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</si>
  <si>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</si>
  <si>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</si>
  <si>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</si>
  <si>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</si>
  <si>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</si>
  <si>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</si>
  <si>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</si>
  <si>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</si>
  <si>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</si>
  <si>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</si>
  <si>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</si>
  <si>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</si>
  <si>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</si>
  <si>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</si>
  <si>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</si>
  <si>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</si>
  <si>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(SGSSI)</t>
  </si>
  <si>
    <t>GS</t>
  </si>
  <si>
    <t>SOUTH KOREA</t>
  </si>
  <si>
    <t>KR</t>
  </si>
  <si>
    <t>SOUTH SUDAN</t>
  </si>
  <si>
    <t>SS</t>
  </si>
  <si>
    <t>SPAIN</t>
  </si>
  <si>
    <t>ES</t>
  </si>
  <si>
    <t>SRI LANKA</t>
  </si>
  <si>
    <t>LK</t>
  </si>
  <si>
    <t>ST BARTHELEMY</t>
  </si>
  <si>
    <t>BL</t>
  </si>
  <si>
    <t>ST. HELENA</t>
  </si>
  <si>
    <t>SH</t>
  </si>
  <si>
    <t>ST. KITTS AND NEVIS</t>
  </si>
  <si>
    <t>KN</t>
  </si>
  <si>
    <t>ST. LUCIA</t>
  </si>
  <si>
    <t>LC</t>
  </si>
  <si>
    <t>ST. PIERRE AND MIQUELON</t>
  </si>
  <si>
    <t>PM</t>
  </si>
  <si>
    <t>ST. VINCENT AND THE GRENADINES</t>
  </si>
  <si>
    <t>VC</t>
  </si>
  <si>
    <t>SUDAN</t>
  </si>
  <si>
    <t>SD</t>
  </si>
  <si>
    <t>SURINAME</t>
  </si>
  <si>
    <t>SR</t>
  </si>
  <si>
    <t>SVALBARD AND JAN MAYEN</t>
  </si>
  <si>
    <t>SJ</t>
  </si>
  <si>
    <t>SWEDEN</t>
  </si>
  <si>
    <t>SE</t>
  </si>
  <si>
    <t>SWITZERLAND</t>
  </si>
  <si>
    <t>CH</t>
  </si>
  <si>
    <t>SYRIA</t>
  </si>
  <si>
    <t>SY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</si>
  <si>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</si>
  <si>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</si>
  <si>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</si>
  <si>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</si>
  <si>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</si>
  <si>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</si>
  <si>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</si>
  <si>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</si>
  <si>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</si>
  <si>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</si>
  <si>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</si>
  <si>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</si>
  <si>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</si>
  <si>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</si>
  <si>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</si>
  <si>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</si>
  <si>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</si>
  <si>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</si>
  <si>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</si>
  <si>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</si>
  <si>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</si>
  <si>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</si>
  <si>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</si>
  <si>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</si>
  <si>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</si>
  <si>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</si>
  <si>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</si>
  <si>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</si>
  <si>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U.S. MINOR OUTLYING ISLANDS</t>
  </si>
  <si>
    <t>UM</t>
  </si>
  <si>
    <t>U.S. VIRGIN ISLANDS</t>
  </si>
  <si>
    <t>VI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</si>
  <si>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</si>
  <si>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</si>
  <si>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</si>
  <si>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</si>
  <si>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</si>
  <si>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</si>
  <si>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</si>
  <si>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</si>
  <si>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</si>
  <si>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</si>
  <si>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</si>
  <si>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</si>
  <si>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UZBEKISTAN</t>
  </si>
  <si>
    <t>UZ</t>
  </si>
  <si>
    <t>VANUATU</t>
  </si>
  <si>
    <t>VU</t>
  </si>
  <si>
    <t>VATICAN CITY STATE</t>
  </si>
  <si>
    <t>VA</t>
  </si>
  <si>
    <t>VENEZUELA</t>
  </si>
  <si>
    <t>VE</t>
  </si>
  <si>
    <t>VIETNAM</t>
  </si>
  <si>
    <t>VN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</si>
  <si>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</si>
  <si>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</si>
  <si>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</si>
  <si>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</si>
  <si>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</si>
  <si>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</si>
  <si>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</si>
  <si>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</si>
  <si>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</si>
  <si>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</si>
  <si>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Sales available on Web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</si>
  <si>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</si>
  <si>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</si>
  <si>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</si>
  <si>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</si>
  <si>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</si>
  <si>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</si>
  <si>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</si>
  <si>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</si>
  <si>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</si>
  <si>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</si>
  <si>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</si>
  <si>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</si>
  <si>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</si>
  <si>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</si>
  <si>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</si>
  <si>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</si>
  <si>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Bahamas (the)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</si>
  <si>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</si>
  <si>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</si>
  <si>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</si>
  <si>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</si>
  <si>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</si>
  <si>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</si>
  <si>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</si>
  <si>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</si>
  <si>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</si>
  <si>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</si>
  <si>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Bolivia (Plurinational State of)</t>
  </si>
  <si>
    <t>BQ</t>
  </si>
  <si>
    <t>BES</t>
  </si>
  <si>
    <t>Bonaire, Sint Eustatius and Saba</t>
  </si>
  <si>
    <t>BIH</t>
  </si>
  <si>
    <t>Bosnia and Herzegovina</t>
  </si>
  <si>
    <t>BWA</t>
  </si>
  <si>
    <t>BVT</t>
  </si>
  <si>
    <t>BRA</t>
  </si>
  <si>
    <t>IOT</t>
  </si>
  <si>
    <t>British Indian Ocean Territory (the)</t>
  </si>
  <si>
    <t>BRN</t>
  </si>
  <si>
    <t>Brunei Darussalam</t>
  </si>
  <si>
    <t>BGR</t>
  </si>
  <si>
    <t>BFA</t>
  </si>
  <si>
    <t>BDI</t>
  </si>
  <si>
    <t>CPV</t>
  </si>
  <si>
    <t>Cabo Verde</t>
  </si>
  <si>
    <t>KHM</t>
  </si>
  <si>
    <t>CMR</t>
  </si>
  <si>
    <t>CAN</t>
  </si>
  <si>
    <t>CYM</t>
  </si>
  <si>
    <t>Cayman Islands (the)</t>
  </si>
  <si>
    <t>CAF</t>
  </si>
  <si>
    <t>Central African Republic (the)</t>
  </si>
  <si>
    <t>TCD</t>
  </si>
  <si>
    <t>CHL</t>
  </si>
  <si>
    <t>CHN</t>
  </si>
  <si>
    <t>CXR</t>
  </si>
  <si>
    <t>CCK</t>
  </si>
  <si>
    <t>Cocos (Keeling) Islands (the)</t>
  </si>
  <si>
    <t>COL</t>
  </si>
  <si>
    <t>COM</t>
  </si>
  <si>
    <t>Comoros (the)</t>
  </si>
  <si>
    <t>COD</t>
  </si>
  <si>
    <t>Congo (the Democratic Republic of the)</t>
  </si>
  <si>
    <t>CG</t>
  </si>
  <si>
    <t>COG</t>
  </si>
  <si>
    <t>Congo (the)</t>
  </si>
  <si>
    <t>COK</t>
  </si>
  <si>
    <t>Cook Islands (the)</t>
  </si>
  <si>
    <t>CRI</t>
  </si>
  <si>
    <t>HRV</t>
  </si>
  <si>
    <t>CUB</t>
  </si>
  <si>
    <t>CUW</t>
  </si>
  <si>
    <t>Curaçao</t>
  </si>
  <si>
    <t>CYP</t>
  </si>
  <si>
    <t>CZE</t>
  </si>
  <si>
    <t>Czechia</t>
  </si>
  <si>
    <t>CIV</t>
  </si>
  <si>
    <t>Côte d'Ivoire</t>
  </si>
  <si>
    <t>DNK</t>
  </si>
  <si>
    <t>DJI</t>
  </si>
  <si>
    <t>DMA</t>
  </si>
  <si>
    <t>DOM</t>
  </si>
  <si>
    <t>Dominican Republic (the)</t>
  </si>
  <si>
    <t>ECU</t>
  </si>
  <si>
    <t>EGY</t>
  </si>
  <si>
    <t>SLV</t>
  </si>
  <si>
    <t>GNQ</t>
  </si>
  <si>
    <t>ERI</t>
  </si>
  <si>
    <t>EST</t>
  </si>
  <si>
    <t>SWZ</t>
  </si>
  <si>
    <t>Eswatini</t>
  </si>
  <si>
    <t>ETH</t>
  </si>
  <si>
    <t>FLK</t>
  </si>
  <si>
    <t>Falkland Islands (the) [Malvinas]</t>
  </si>
  <si>
    <t>FRO</t>
  </si>
  <si>
    <t>Faroe Islands (the)</t>
  </si>
  <si>
    <t>FJI</t>
  </si>
  <si>
    <t>FIN</t>
  </si>
  <si>
    <t>FRA</t>
  </si>
  <si>
    <t>GUF</t>
  </si>
  <si>
    <t>PYF</t>
  </si>
  <si>
    <t>ATF</t>
  </si>
  <si>
    <t>French Southern Territories (the)</t>
  </si>
  <si>
    <t>GAB</t>
  </si>
  <si>
    <t>GMB</t>
  </si>
  <si>
    <t>Gambia (the)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</si>
  <si>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</si>
  <si>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</si>
  <si>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</si>
  <si>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</si>
  <si>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</si>
  <si>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</si>
  <si>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</si>
  <si>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</si>
  <si>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</si>
  <si>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</si>
  <si>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</si>
  <si>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</si>
  <si>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</si>
  <si>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</si>
  <si>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</si>
  <si>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</si>
  <si>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Heard Island and McDonald Islands</t>
  </si>
  <si>
    <t>VAT</t>
  </si>
  <si>
    <t>Holy See (the)</t>
  </si>
  <si>
    <t>HND</t>
  </si>
  <si>
    <t>HKG</t>
  </si>
  <si>
    <t>HUN</t>
  </si>
  <si>
    <t>ISL</t>
  </si>
  <si>
    <t>IND</t>
  </si>
  <si>
    <t>IDN</t>
  </si>
  <si>
    <t>IRN</t>
  </si>
  <si>
    <t>Iran (Islamic Republic of)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</si>
  <si>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</si>
  <si>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</si>
  <si>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</si>
  <si>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</si>
  <si>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</si>
  <si>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</si>
  <si>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</si>
  <si>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</si>
  <si>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</si>
  <si>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</si>
  <si>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</si>
  <si>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</si>
  <si>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</si>
  <si>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Korea (the Democratic People's Republic of)</t>
  </si>
  <si>
    <t>KOR</t>
  </si>
  <si>
    <t>Korea (the Republic of)</t>
  </si>
  <si>
    <t>KWT</t>
  </si>
  <si>
    <t>KGZ</t>
  </si>
  <si>
    <t>LAO</t>
  </si>
  <si>
    <t>Lao People's Democratic Republic (the)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</si>
  <si>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</si>
  <si>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</si>
  <si>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</si>
  <si>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</si>
  <si>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</si>
  <si>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</si>
  <si>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</si>
  <si>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</si>
  <si>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</si>
  <si>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</si>
  <si>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</si>
  <si>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</si>
  <si>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</si>
  <si>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</si>
  <si>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</si>
  <si>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</si>
  <si>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Marshall Islands (the)</t>
  </si>
  <si>
    <t>MTQ</t>
  </si>
  <si>
    <t>MRT</t>
  </si>
  <si>
    <t>MUS</t>
  </si>
  <si>
    <t>MYT</t>
  </si>
  <si>
    <t>MEX</t>
  </si>
  <si>
    <t>FSM</t>
  </si>
  <si>
    <t>Micronesia (Federated States of)</t>
  </si>
  <si>
    <t>MDA</t>
  </si>
  <si>
    <t>Moldova (the Republic of)</t>
  </si>
  <si>
    <t>MCO</t>
  </si>
  <si>
    <t>MNG</t>
  </si>
  <si>
    <t>MNE</t>
  </si>
  <si>
    <t>MSR</t>
  </si>
  <si>
    <t>MAR</t>
  </si>
  <si>
    <t>MOZ</t>
  </si>
  <si>
    <t>MMR</t>
  </si>
  <si>
    <t>NAM</t>
  </si>
  <si>
    <t>AN</t>
  </si>
  <si>
    <t>NRU</t>
  </si>
  <si>
    <t>NPL</t>
  </si>
  <si>
    <t>NLD</t>
  </si>
  <si>
    <t>Netherlands (the)</t>
  </si>
  <si>
    <t>NCL</t>
  </si>
  <si>
    <t>NZL</t>
  </si>
  <si>
    <t>NIC</t>
  </si>
  <si>
    <t>NER</t>
  </si>
  <si>
    <t>Niger (the)</t>
  </si>
  <si>
    <t>NGA</t>
  </si>
  <si>
    <t>NIU</t>
  </si>
  <si>
    <t>NFK</t>
  </si>
  <si>
    <t>MNP</t>
  </si>
  <si>
    <t>Northern Mariana Islands (the)</t>
  </si>
  <si>
    <t>NOR</t>
  </si>
  <si>
    <t>OMN</t>
  </si>
  <si>
    <t>PAK</t>
  </si>
  <si>
    <t>PLW</t>
  </si>
  <si>
    <t>PSE</t>
  </si>
  <si>
    <t>Palestine, State of</t>
  </si>
  <si>
    <t>PAN</t>
  </si>
  <si>
    <t>PNG</t>
  </si>
  <si>
    <t>PRY</t>
  </si>
  <si>
    <t>PER</t>
  </si>
  <si>
    <t>PHL</t>
  </si>
  <si>
    <t>Philippines (the)</t>
  </si>
  <si>
    <t>PCN</t>
  </si>
  <si>
    <t>Pitcairn</t>
  </si>
  <si>
    <t>POL</t>
  </si>
  <si>
    <t>PRT</t>
  </si>
  <si>
    <t>PRI</t>
  </si>
  <si>
    <t>QAT</t>
  </si>
  <si>
    <t>Republic of North Macedonia</t>
  </si>
  <si>
    <t>ROU</t>
  </si>
  <si>
    <t>RUS</t>
  </si>
  <si>
    <t>Russian Federation (the)</t>
  </si>
  <si>
    <t>RWA</t>
  </si>
  <si>
    <t>REU</t>
  </si>
  <si>
    <t>Réunion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</si>
  <si>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</si>
  <si>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</si>
  <si>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</si>
  <si>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</si>
  <si>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</si>
  <si>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</si>
  <si>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LCA</t>
  </si>
  <si>
    <t>Saint Lucia</t>
  </si>
  <si>
    <t>MAF</t>
  </si>
  <si>
    <t>Saint Martin (French part)</t>
  </si>
  <si>
    <t>SPM</t>
  </si>
  <si>
    <t>Saint Pierre and Miquelon</t>
  </si>
  <si>
    <t>SX</t>
  </si>
  <si>
    <t>VCT</t>
  </si>
  <si>
    <t>Saint Vincent and the Grenadines</t>
  </si>
  <si>
    <t>WSM</t>
  </si>
  <si>
    <t>SMR</t>
  </si>
  <si>
    <t>STP</t>
  </si>
  <si>
    <t>Sao Tome and Principe</t>
  </si>
  <si>
    <t>SAU</t>
  </si>
  <si>
    <t>SEN</t>
  </si>
  <si>
    <t>SRB</t>
  </si>
  <si>
    <t>SYC</t>
  </si>
  <si>
    <t>SLE</t>
  </si>
  <si>
    <t>SGP</t>
  </si>
  <si>
    <t>SXM</t>
  </si>
  <si>
    <t>Sint Maarten (Dutch part)</t>
  </si>
  <si>
    <t>SVK</t>
  </si>
  <si>
    <t>SVN</t>
  </si>
  <si>
    <t>SLB</t>
  </si>
  <si>
    <t>SOM</t>
  </si>
  <si>
    <t>ZAF</t>
  </si>
  <si>
    <t>SGS</t>
  </si>
  <si>
    <t>South Georgia and the South Sandwich Islands</t>
  </si>
  <si>
    <t>SSD</t>
  </si>
  <si>
    <t>ESP</t>
  </si>
  <si>
    <t>LKA</t>
  </si>
  <si>
    <t>SDN</t>
  </si>
  <si>
    <t>Sudan (the)</t>
  </si>
  <si>
    <t>SUR</t>
  </si>
  <si>
    <t>SJM</t>
  </si>
  <si>
    <t>Svalbard and Jan Mayen</t>
  </si>
  <si>
    <t>SWE</t>
  </si>
  <si>
    <t>CHE</t>
  </si>
  <si>
    <t>SYR</t>
  </si>
  <si>
    <t>Syrian Arab Republic</t>
  </si>
  <si>
    <t>TWN</t>
  </si>
  <si>
    <t>Taiwan (Province of China)</t>
  </si>
  <si>
    <t>TJK</t>
  </si>
  <si>
    <t>TZA</t>
  </si>
  <si>
    <t>Tanzania, United Republic of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</si>
  <si>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</si>
  <si>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</si>
  <si>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</si>
  <si>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</si>
  <si>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</si>
  <si>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</si>
  <si>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</si>
  <si>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</si>
  <si>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</si>
  <si>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</si>
  <si>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Turks and Caicos Islands (the)</t>
  </si>
  <si>
    <t>TUV</t>
  </si>
  <si>
    <t>UGA</t>
  </si>
  <si>
    <t>UKR</t>
  </si>
  <si>
    <t>ARE</t>
  </si>
  <si>
    <t>United Arab Emirates (the)</t>
  </si>
  <si>
    <t>GBR</t>
  </si>
  <si>
    <t>United Kingdom of Great Britain and Northern Ireland (the)</t>
  </si>
  <si>
    <t>UMI</t>
  </si>
  <si>
    <t>United States Minor Outlying Islands (the)</t>
  </si>
  <si>
    <t>USA</t>
  </si>
  <si>
    <t>United States of America (the)</t>
  </si>
  <si>
    <t>URY</t>
  </si>
  <si>
    <t>UZB</t>
  </si>
  <si>
    <t>VUT</t>
  </si>
  <si>
    <t>VEN</t>
  </si>
  <si>
    <t>Venezuela (Bolivarian Republic of)</t>
  </si>
  <si>
    <t>VNM</t>
  </si>
  <si>
    <t>Viet Nam</t>
  </si>
  <si>
    <t>VGB</t>
  </si>
  <si>
    <t>Virgin Islands (British)</t>
  </si>
  <si>
    <t>VIR</t>
  </si>
  <si>
    <t>Virgin Islands (U.S.)</t>
  </si>
  <si>
    <t>WLF</t>
  </si>
  <si>
    <t>Wallis and Futuna</t>
  </si>
  <si>
    <t>ESH</t>
  </si>
  <si>
    <t>YEM</t>
  </si>
  <si>
    <t>ZMB</t>
  </si>
  <si>
    <t>ZWE</t>
  </si>
  <si>
    <t>ALA</t>
  </si>
  <si>
    <t>Åland Islands</t>
  </si>
  <si>
    <t>Other Platform Currency</t>
  </si>
  <si>
    <t>Platform</t>
  </si>
  <si>
    <t>Samsung</t>
  </si>
  <si>
    <t>#Calc</t>
  </si>
  <si>
    <t>v8</t>
  </si>
  <si>
    <t>'- Accurately depicted Bulgaria's currency from USD to EUR - no changes to pricing in absolute terms, just the currency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</si>
</sst>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\x"/>
    <numFmt numFmtId="165" formatCode="0.0%_);\(0.0%\);0.0%_);@_)"/>
    <numFmt numFmtId="166" formatCode="#,##0.000"/>
    <numFmt numFmtId="167" formatCode="&quot;$&quot;#,##0.00_);\(&quot;$&quot;#,##0.00\);&quot;$&quot;#,##0.00_);@_)"/>
    <numFmt numFmtId="168" formatCode="#,##0.00\x"/>
    <numFmt numFmtId="169" formatCode="0%_);\(0%\);0%_);@_)"/>
    <numFmt numFmtId="170" formatCode="0.000000E+00"/>
    <numFmt numFmtId="171" formatCode="#,##0.0"/>
    <numFmt numFmtId="172" formatCode="0.0%"/>
    <numFmt numFmtId="173" formatCode="0.0"/>
    <numFmt numFmtId="174" formatCode="&quot;$&quot;#,##0.00"/>
  </numFmts>
  <fonts count="39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660066"/>
      <name val="Arial"/>
      <family val="2"/>
    </font>
    <font>
      <sz val="10"/>
      <color rgb="FF7030A0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Arial"/>
      <family val="2"/>
    </font>
    <font>
      <b/>
      <sz val="10"/>
      <color rgb="FF0000FF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trike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trike/>
      <sz val="10"/>
      <color rgb="FF008000"/>
      <name val="Arial"/>
      <family val="2"/>
    </font>
    <font>
      <b/>
      <sz val="10"/>
      <name val="Arial"/>
      <family val="2"/>
    </font>
    <font>
      <b/>
      <i/>
      <u/>
      <sz val="10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212529"/>
      <name val="Inherit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6">
    <xf numFmtId="0" fontId="0" fillId="0" borderId="0"/>
    <xf numFmtId="0" fontId="11" fillId="0" borderId="0"/>
    <xf numFmtId="0" fontId="16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44" fontId="21" fillId="0" borderId="0" applyFont="0" applyFill="0" applyBorder="0" applyAlignment="0" applyProtection="0"/>
  </cellStyleXfs>
  <cellXfs count="288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11" borderId="0" xfId="0" applyFill="1" applyAlignment="1">
      <alignment horizontal="center"/>
    </xf>
    <xf numFmtId="4" fontId="3" fillId="0" borderId="0" xfId="0" applyNumberFormat="1" applyFont="1" applyAlignment="1">
      <alignment horizontal="right"/>
    </xf>
    <xf numFmtId="165" fontId="0" fillId="0" borderId="0" xfId="0" applyNumberFormat="1"/>
    <xf numFmtId="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centerContinuous"/>
    </xf>
    <xf numFmtId="0" fontId="2" fillId="6" borderId="0" xfId="0" applyFont="1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2" fillId="8" borderId="0" xfId="0" applyFont="1" applyFill="1" applyAlignment="1">
      <alignment horizontal="centerContinuous"/>
    </xf>
    <xf numFmtId="0" fontId="2" fillId="9" borderId="0" xfId="0" applyFont="1" applyFill="1" applyAlignment="1">
      <alignment horizontal="centerContinuous"/>
    </xf>
    <xf numFmtId="0" fontId="0" fillId="9" borderId="0" xfId="0" applyFill="1" applyAlignment="1">
      <alignment horizontal="centerContinuous"/>
    </xf>
    <xf numFmtId="0" fontId="0" fillId="0" borderId="0" xfId="0" applyAlignment="1">
      <alignment horizontal="left"/>
    </xf>
    <xf numFmtId="0" fontId="0" fillId="11" borderId="0" xfId="0" applyFill="1" applyAlignment="1">
      <alignment horizontal="left"/>
    </xf>
    <xf numFmtId="4" fontId="5" fillId="0" borderId="0" xfId="0" applyNumberFormat="1" applyFont="1" applyAlignment="1">
      <alignment horizontal="right"/>
    </xf>
    <xf numFmtId="0" fontId="2" fillId="12" borderId="0" xfId="0" applyFont="1" applyFill="1" applyAlignment="1">
      <alignment horizontal="centerContinuous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164" fontId="0" fillId="13" borderId="0" xfId="0" applyNumberFormat="1" applyFill="1" applyAlignment="1">
      <alignment horizontal="center"/>
    </xf>
    <xf numFmtId="0" fontId="0" fillId="13" borderId="0" xfId="0" applyFill="1"/>
    <xf numFmtId="0" fontId="0" fillId="14" borderId="0" xfId="0" applyFill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" fontId="5" fillId="0" borderId="0" xfId="0" applyNumberFormat="1" applyFont="1"/>
    <xf numFmtId="4" fontId="3" fillId="0" borderId="0" xfId="0" applyNumberFormat="1" applyFont="1"/>
    <xf numFmtId="0" fontId="3" fillId="0" borderId="0" xfId="0" applyFont="1"/>
    <xf numFmtId="0" fontId="0" fillId="15" borderId="0" xfId="0" applyFill="1"/>
    <xf numFmtId="0" fontId="5" fillId="15" borderId="0" xfId="0" applyFont="1" applyFill="1" applyAlignment="1">
      <alignment horizontal="right"/>
    </xf>
    <xf numFmtId="0" fontId="3" fillId="15" borderId="0" xfId="0" applyFont="1" applyFill="1" applyAlignment="1">
      <alignment horizontal="right"/>
    </xf>
    <xf numFmtId="4" fontId="3" fillId="15" borderId="0" xfId="0" applyNumberFormat="1" applyFont="1" applyFill="1"/>
    <xf numFmtId="0" fontId="3" fillId="15" borderId="0" xfId="0" applyFont="1" applyFill="1"/>
    <xf numFmtId="0" fontId="2" fillId="0" borderId="0" xfId="0" applyFont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10" fillId="0" borderId="4" xfId="0" applyFont="1" applyBorder="1"/>
    <xf numFmtId="0" fontId="4" fillId="0" borderId="0" xfId="0" applyFont="1" applyAlignment="1">
      <alignment horizontal="left"/>
    </xf>
    <xf numFmtId="0" fontId="12" fillId="16" borderId="5" xfId="1" applyFont="1" applyFill="1" applyBorder="1" applyAlignment="1">
      <alignment horizontal="center" vertical="center"/>
    </xf>
    <xf numFmtId="0" fontId="12" fillId="17" borderId="5" xfId="1" applyFont="1" applyFill="1" applyBorder="1" applyAlignment="1">
      <alignment horizontal="center" vertical="center" wrapText="1"/>
    </xf>
    <xf numFmtId="0" fontId="13" fillId="16" borderId="5" xfId="1" applyFont="1" applyFill="1" applyBorder="1" applyAlignment="1">
      <alignment horizontal="center" vertical="center"/>
    </xf>
    <xf numFmtId="0" fontId="13" fillId="17" borderId="5" xfId="1" applyFont="1" applyFill="1" applyBorder="1" applyAlignment="1">
      <alignment horizontal="center" vertical="center" wrapText="1"/>
    </xf>
    <xf numFmtId="0" fontId="13" fillId="16" borderId="5" xfId="1" applyFont="1" applyFill="1" applyBorder="1" applyAlignment="1">
      <alignment horizontal="center" vertical="center" wrapText="1"/>
    </xf>
    <xf numFmtId="0" fontId="12" fillId="16" borderId="5" xfId="1" applyFont="1" applyFill="1" applyBorder="1" applyAlignment="1">
      <alignment horizontal="center" vertical="center" wrapText="1"/>
    </xf>
    <xf numFmtId="0" fontId="12" fillId="15" borderId="0" xfId="1" applyFont="1" applyFill="1"/>
    <xf numFmtId="0" fontId="14" fillId="0" borderId="5" xfId="1" applyFont="1" applyBorder="1"/>
    <xf numFmtId="0" fontId="15" fillId="0" borderId="5" xfId="1" applyFont="1" applyBorder="1" applyAlignment="1">
      <alignment horizontal="center"/>
    </xf>
    <xf numFmtId="0" fontId="15" fillId="18" borderId="5" xfId="1" applyFont="1" applyFill="1" applyBorder="1" applyAlignment="1">
      <alignment horizontal="center"/>
    </xf>
    <xf numFmtId="0" fontId="15" fillId="0" borderId="5" xfId="1" applyFont="1" applyBorder="1" applyAlignment="1">
      <alignment horizontal="center" vertical="top" wrapText="1"/>
    </xf>
    <xf numFmtId="0" fontId="16" fillId="0" borderId="5" xfId="2" applyNumberFormat="1" applyFill="1" applyBorder="1" applyAlignment="1">
      <alignment horizontal="center" wrapText="1"/>
    </xf>
    <xf numFmtId="0" fontId="11" fillId="0" borderId="0" xfId="1"/>
    <xf numFmtId="0" fontId="14" fillId="18" borderId="5" xfId="1" applyFont="1" applyFill="1" applyBorder="1"/>
    <xf numFmtId="0" fontId="15" fillId="0" borderId="6" xfId="1" applyFont="1" applyBorder="1" applyAlignment="1">
      <alignment horizontal="center"/>
    </xf>
    <xf numFmtId="0" fontId="11" fillId="18" borderId="5" xfId="1" applyFill="1" applyBorder="1"/>
    <xf numFmtId="0" fontId="11" fillId="0" borderId="5" xfId="1" applyBorder="1"/>
    <xf numFmtId="0" fontId="14" fillId="19" borderId="5" xfId="1" applyFont="1" applyFill="1" applyBorder="1"/>
    <xf numFmtId="0" fontId="11" fillId="18" borderId="7" xfId="1" applyFill="1" applyBorder="1"/>
    <xf numFmtId="0" fontId="11" fillId="0" borderId="7" xfId="1" applyBorder="1"/>
    <xf numFmtId="0" fontId="11" fillId="18" borderId="8" xfId="1" applyFill="1" applyBorder="1"/>
    <xf numFmtId="0" fontId="11" fillId="0" borderId="8" xfId="1" applyBorder="1"/>
    <xf numFmtId="0" fontId="5" fillId="13" borderId="0" xfId="0" applyFont="1" applyFill="1" applyAlignment="1">
      <alignment horizontal="right"/>
    </xf>
    <xf numFmtId="0" fontId="3" fillId="13" borderId="0" xfId="0" applyFont="1" applyFill="1" applyAlignment="1">
      <alignment horizontal="right"/>
    </xf>
    <xf numFmtId="4" fontId="7" fillId="0" borderId="0" xfId="0" applyNumberFormat="1" applyFont="1"/>
    <xf numFmtId="0" fontId="0" fillId="11" borderId="0" xfId="0" applyFill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quotePrefix="1" applyAlignment="1">
      <alignment wrapText="1"/>
    </xf>
    <xf numFmtId="0" fontId="0" fillId="0" borderId="12" xfId="0" applyBorder="1" applyAlignment="1">
      <alignment vertical="center"/>
    </xf>
    <xf numFmtId="0" fontId="0" fillId="0" borderId="13" xfId="0" quotePrefix="1" applyBorder="1" applyAlignment="1">
      <alignment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horizontal="center"/>
    </xf>
    <xf numFmtId="0" fontId="2" fillId="20" borderId="0" xfId="0" applyFont="1" applyFill="1"/>
    <xf numFmtId="0" fontId="2" fillId="21" borderId="0" xfId="0" applyFont="1" applyFill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7" xfId="0" applyFont="1" applyBorder="1"/>
    <xf numFmtId="0" fontId="23" fillId="22" borderId="17" xfId="0" applyFont="1" applyFill="1" applyBorder="1" applyAlignment="1">
      <alignment vertical="center"/>
    </xf>
    <xf numFmtId="0" fontId="22" fillId="0" borderId="17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0" fontId="23" fillId="0" borderId="17" xfId="0" applyFont="1" applyBorder="1" applyAlignment="1">
      <alignment vertical="center"/>
    </xf>
    <xf numFmtId="4" fontId="3" fillId="0" borderId="0" xfId="0" applyNumberFormat="1" applyFont="1" applyAlignment="1">
      <alignment horizontal="center"/>
    </xf>
    <xf numFmtId="0" fontId="0" fillId="3" borderId="0" xfId="0" applyFill="1" applyAlignment="1">
      <alignment horizontal="left"/>
    </xf>
    <xf numFmtId="0" fontId="17" fillId="0" borderId="5" xfId="1" applyFont="1" applyBorder="1"/>
    <xf numFmtId="4" fontId="3" fillId="11" borderId="0" xfId="0" applyNumberFormat="1" applyFont="1" applyFill="1" applyAlignment="1">
      <alignment horizontal="center"/>
    </xf>
    <xf numFmtId="4" fontId="3" fillId="11" borderId="0" xfId="0" applyNumberFormat="1" applyFont="1" applyFill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13" borderId="0" xfId="0" applyFill="1" applyAlignment="1">
      <alignment horizontal="right"/>
    </xf>
    <xf numFmtId="0" fontId="2" fillId="0" borderId="0" xfId="0" applyFont="1" applyAlignment="1">
      <alignment horizontal="centerContinuous"/>
    </xf>
    <xf numFmtId="4" fontId="3" fillId="3" borderId="0" xfId="0" applyNumberFormat="1" applyFont="1" applyFill="1" applyAlignment="1">
      <alignment horizontal="right"/>
    </xf>
    <xf numFmtId="4" fontId="4" fillId="0" borderId="0" xfId="0" applyNumberFormat="1" applyFont="1"/>
    <xf numFmtId="4" fontId="5" fillId="11" borderId="0" xfId="0" applyNumberFormat="1" applyFont="1" applyFill="1"/>
    <xf numFmtId="0" fontId="5" fillId="11" borderId="0" xfId="0" applyFont="1" applyFill="1" applyAlignment="1">
      <alignment horizontal="right"/>
    </xf>
    <xf numFmtId="169" fontId="0" fillId="0" borderId="0" xfId="0" applyNumberFormat="1"/>
    <xf numFmtId="14" fontId="24" fillId="0" borderId="0" xfId="0" applyNumberFormat="1" applyFont="1" applyAlignment="1">
      <alignment horizontal="center" wrapText="1"/>
    </xf>
    <xf numFmtId="9" fontId="0" fillId="0" borderId="0" xfId="0" applyNumberFormat="1"/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2" fillId="0" borderId="18" xfId="0" applyFont="1" applyBorder="1"/>
    <xf numFmtId="0" fontId="0" fillId="0" borderId="18" xfId="0" applyBorder="1"/>
    <xf numFmtId="14" fontId="0" fillId="0" borderId="18" xfId="0" applyNumberFormat="1" applyBorder="1"/>
    <xf numFmtId="0" fontId="2" fillId="11" borderId="18" xfId="0" applyFont="1" applyFill="1" applyBorder="1"/>
    <xf numFmtId="0" fontId="2" fillId="11" borderId="0" xfId="0" applyFont="1" applyFill="1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4" fontId="7" fillId="11" borderId="0" xfId="0" applyNumberFormat="1" applyFont="1" applyFill="1"/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0" fontId="0" fillId="0" borderId="0" xfId="0" applyNumberFormat="1"/>
    <xf numFmtId="171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30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2" fillId="26" borderId="0" xfId="0" applyFont="1" applyFill="1" applyAlignment="1">
      <alignment horizontal="center"/>
    </xf>
    <xf numFmtId="166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" fontId="4" fillId="3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center"/>
    </xf>
    <xf numFmtId="43" fontId="0" fillId="0" borderId="0" xfId="3" applyFont="1" applyFill="1"/>
    <xf numFmtId="43" fontId="3" fillId="0" borderId="0" xfId="3" applyFont="1" applyFill="1"/>
    <xf numFmtId="43" fontId="29" fillId="0" borderId="0" xfId="3" applyFont="1" applyFill="1"/>
    <xf numFmtId="4" fontId="19" fillId="0" borderId="0" xfId="0" applyNumberFormat="1" applyFont="1"/>
    <xf numFmtId="0" fontId="5" fillId="7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2" fillId="27" borderId="0" xfId="0" applyFont="1" applyFill="1" applyAlignment="1">
      <alignment horizontal="center"/>
    </xf>
    <xf numFmtId="172" fontId="0" fillId="0" borderId="0" xfId="0" applyNumberFormat="1"/>
    <xf numFmtId="172" fontId="0" fillId="0" borderId="0" xfId="0" applyNumberFormat="1" applyAlignment="1">
      <alignment horizontal="right"/>
    </xf>
    <xf numFmtId="2" fontId="5" fillId="0" borderId="0" xfId="0" applyNumberFormat="1" applyFont="1"/>
    <xf numFmtId="172" fontId="3" fillId="0" borderId="0" xfId="0" applyNumberFormat="1" applyFont="1"/>
    <xf numFmtId="9" fontId="3" fillId="0" borderId="0" xfId="0" applyNumberFormat="1" applyFont="1"/>
    <xf numFmtId="9" fontId="3" fillId="0" borderId="0" xfId="0" applyNumberFormat="1" applyFont="1" applyAlignment="1">
      <alignment horizontal="right"/>
    </xf>
    <xf numFmtId="168" fontId="18" fillId="11" borderId="0" xfId="0" applyNumberFormat="1" applyFont="1" applyFill="1" applyAlignment="1">
      <alignment horizontal="right"/>
    </xf>
    <xf numFmtId="0" fontId="4" fillId="11" borderId="0" xfId="0" applyFont="1" applyFill="1"/>
    <xf numFmtId="0" fontId="6" fillId="0" borderId="0" xfId="0" applyFont="1"/>
    <xf numFmtId="164" fontId="18" fillId="0" borderId="0" xfId="0" applyNumberFormat="1" applyFont="1"/>
    <xf numFmtId="14" fontId="3" fillId="28" borderId="0" xfId="0" applyNumberFormat="1" applyFont="1" applyFill="1"/>
    <xf numFmtId="0" fontId="33" fillId="0" borderId="0" xfId="0" applyFont="1"/>
    <xf numFmtId="2" fontId="33" fillId="0" borderId="0" xfId="0" applyNumberFormat="1" applyFont="1" applyAlignment="1">
      <alignment horizontal="center"/>
    </xf>
    <xf numFmtId="3" fontId="3" fillId="15" borderId="0" xfId="0" applyNumberFormat="1" applyFont="1" applyFill="1"/>
    <xf numFmtId="4" fontId="5" fillId="11" borderId="0" xfId="0" applyNumberFormat="1" applyFont="1" applyFill="1" applyAlignment="1">
      <alignment horizontal="center"/>
    </xf>
    <xf numFmtId="0" fontId="9" fillId="0" borderId="0" xfId="0" applyFont="1"/>
    <xf numFmtId="0" fontId="34" fillId="0" borderId="0" xfId="0" applyFont="1"/>
    <xf numFmtId="8" fontId="6" fillId="0" borderId="0" xfId="0" applyNumberFormat="1" applyFont="1" applyAlignment="1">
      <alignment horizontal="right"/>
    </xf>
    <xf numFmtId="0" fontId="0" fillId="8" borderId="0" xfId="0" applyFill="1" applyAlignment="1">
      <alignment horizontal="centerContinuous"/>
    </xf>
    <xf numFmtId="0" fontId="31" fillId="29" borderId="0" xfId="0" applyFont="1" applyFill="1" applyAlignment="1">
      <alignment horizontal="centerContinuous"/>
    </xf>
    <xf numFmtId="0" fontId="28" fillId="29" borderId="0" xfId="0" applyFont="1" applyFill="1" applyAlignment="1">
      <alignment horizontal="centerContinuous"/>
    </xf>
    <xf numFmtId="0" fontId="31" fillId="30" borderId="0" xfId="0" applyFont="1" applyFill="1" applyAlignment="1">
      <alignment horizontal="centerContinuous"/>
    </xf>
    <xf numFmtId="0" fontId="28" fillId="30" borderId="0" xfId="0" applyFont="1" applyFill="1" applyAlignment="1">
      <alignment horizontal="centerContinuous"/>
    </xf>
    <xf numFmtId="0" fontId="26" fillId="3" borderId="0" xfId="0" applyFont="1" applyFill="1" applyAlignment="1">
      <alignment horizontal="center"/>
    </xf>
    <xf numFmtId="0" fontId="26" fillId="5" borderId="0" xfId="0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6" fillId="31" borderId="0" xfId="0" applyFont="1" applyFill="1" applyAlignment="1">
      <alignment horizontal="center"/>
    </xf>
    <xf numFmtId="0" fontId="26" fillId="15" borderId="0" xfId="0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39" fontId="35" fillId="0" borderId="0" xfId="0" applyNumberFormat="1" applyFont="1" applyAlignment="1">
      <alignment horizontal="right"/>
    </xf>
    <xf numFmtId="165" fontId="3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0" fillId="13" borderId="0" xfId="0" applyFill="1" applyAlignment="1">
      <alignment horizontal="left"/>
    </xf>
    <xf numFmtId="4" fontId="5" fillId="13" borderId="0" xfId="0" applyNumberFormat="1" applyFont="1" applyFill="1" applyAlignment="1">
      <alignment horizontal="right"/>
    </xf>
    <xf numFmtId="4" fontId="5" fillId="3" borderId="0" xfId="0" applyNumberFormat="1" applyFont="1" applyFill="1" applyAlignment="1">
      <alignment horizontal="center"/>
    </xf>
    <xf numFmtId="173" fontId="0" fillId="0" borderId="0" xfId="0" applyNumberFormat="1" applyAlignment="1">
      <alignment horizontal="center"/>
    </xf>
    <xf numFmtId="4" fontId="5" fillId="13" borderId="0" xfId="0" applyNumberFormat="1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164" fontId="4" fillId="1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0" fillId="31" borderId="0" xfId="0" applyFill="1" applyAlignment="1">
      <alignment horizontal="left"/>
    </xf>
    <xf numFmtId="0" fontId="0" fillId="0" borderId="0" xfId="0" quotePrefix="1"/>
    <xf numFmtId="0" fontId="0" fillId="25" borderId="0" xfId="0" applyFill="1" applyAlignment="1">
      <alignment horizontal="left"/>
    </xf>
    <xf numFmtId="4" fontId="3" fillId="25" borderId="0" xfId="0" applyNumberFormat="1" applyFont="1" applyFill="1" applyAlignment="1">
      <alignment horizontal="right"/>
    </xf>
    <xf numFmtId="4" fontId="4" fillId="13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center"/>
    </xf>
    <xf numFmtId="4" fontId="4" fillId="11" borderId="0" xfId="0" applyNumberFormat="1" applyFont="1" applyFill="1" applyAlignment="1">
      <alignment horizontal="right"/>
    </xf>
    <xf numFmtId="4" fontId="0" fillId="25" borderId="0" xfId="0" applyNumberFormat="1" applyFill="1" applyAlignment="1">
      <alignment horizontal="right"/>
    </xf>
    <xf numFmtId="4" fontId="4" fillId="25" borderId="0" xfId="0" applyNumberFormat="1" applyFont="1" applyFill="1" applyAlignment="1">
      <alignment horizontal="right"/>
    </xf>
    <xf numFmtId="166" fontId="0" fillId="19" borderId="0" xfId="0" applyNumberForma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4" fontId="3" fillId="7" borderId="0" xfId="0" applyNumberFormat="1" applyFont="1" applyFill="1"/>
    <xf numFmtId="4" fontId="18" fillId="0" borderId="0" xfId="0" applyNumberFormat="1" applyFont="1"/>
    <xf numFmtId="0" fontId="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4" fontId="32" fillId="0" borderId="0" xfId="0" applyNumberFormat="1" applyFont="1" applyAlignment="1">
      <alignment horizontal="center"/>
    </xf>
    <xf numFmtId="3" fontId="32" fillId="0" borderId="0" xfId="0" applyNumberFormat="1" applyFont="1" applyAlignment="1">
      <alignment horizontal="right"/>
    </xf>
    <xf numFmtId="0" fontId="29" fillId="0" borderId="0" xfId="0" applyFont="1"/>
    <xf numFmtId="4" fontId="7" fillId="15" borderId="0" xfId="0" applyNumberFormat="1" applyFont="1" applyFill="1"/>
    <xf numFmtId="0" fontId="5" fillId="11" borderId="0" xfId="0" applyFont="1" applyFill="1"/>
    <xf numFmtId="0" fontId="7" fillId="0" borderId="0" xfId="0" applyFont="1"/>
    <xf numFmtId="0" fontId="7" fillId="15" borderId="0" xfId="0" applyFont="1" applyFill="1"/>
    <xf numFmtId="3" fontId="7" fillId="15" borderId="0" xfId="0" applyNumberFormat="1" applyFont="1" applyFill="1"/>
    <xf numFmtId="0" fontId="4" fillId="32" borderId="0" xfId="0" applyFont="1" applyFill="1"/>
    <xf numFmtId="0" fontId="4" fillId="33" borderId="0" xfId="0" applyFont="1" applyFill="1"/>
    <xf numFmtId="0" fontId="4" fillId="34" borderId="0" xfId="0" applyFont="1" applyFill="1"/>
    <xf numFmtId="0" fontId="27" fillId="0" borderId="5" xfId="0" applyFont="1" applyBorder="1" applyAlignment="1">
      <alignment horizontal="center"/>
    </xf>
    <xf numFmtId="0" fontId="4" fillId="11" borderId="5" xfId="0" applyFont="1" applyFill="1" applyBorder="1" applyAlignment="1">
      <alignment horizontal="left"/>
    </xf>
    <xf numFmtId="0" fontId="4" fillId="23" borderId="5" xfId="0" applyFont="1" applyFill="1" applyBorder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15" borderId="0" xfId="1" applyFont="1" applyFill="1" applyAlignment="1">
      <alignment horizontal="right"/>
    </xf>
    <xf numFmtId="0" fontId="3" fillId="13" borderId="0" xfId="1" applyFont="1" applyFill="1" applyAlignment="1">
      <alignment horizontal="right"/>
    </xf>
    <xf numFmtId="0" fontId="11" fillId="11" borderId="0" xfId="1" applyFill="1"/>
    <xf numFmtId="14" fontId="0" fillId="0" borderId="0" xfId="0" applyNumberFormat="1"/>
    <xf numFmtId="2" fontId="6" fillId="11" borderId="0" xfId="0" applyNumberFormat="1" applyFont="1" applyFill="1" applyAlignment="1">
      <alignment horizontal="center"/>
    </xf>
    <xf numFmtId="174" fontId="6" fillId="0" borderId="0" xfId="5" applyNumberFormat="1" applyFont="1" applyFill="1" applyAlignment="1">
      <alignment horizontal="center"/>
    </xf>
    <xf numFmtId="0" fontId="11" fillId="0" borderId="0" xfId="1" applyAlignment="1">
      <alignment horizontal="center"/>
    </xf>
    <xf numFmtId="2" fontId="0" fillId="11" borderId="0" xfId="0" applyNumberFormat="1" applyFill="1" applyAlignment="1">
      <alignment horizontal="center"/>
    </xf>
    <xf numFmtId="4" fontId="0" fillId="11" borderId="0" xfId="1" applyNumberFormat="1" applyFont="1" applyFill="1" applyAlignment="1">
      <alignment horizontal="center"/>
    </xf>
    <xf numFmtId="4" fontId="5" fillId="0" borderId="0" xfId="1" applyNumberFormat="1" applyFont="1"/>
    <xf numFmtId="4" fontId="5" fillId="2" borderId="0" xfId="1" applyNumberFormat="1" applyFont="1" applyFill="1"/>
    <xf numFmtId="4" fontId="21" fillId="0" borderId="0" xfId="1" applyNumberFormat="1" applyFont="1" applyAlignment="1">
      <alignment horizontal="center"/>
    </xf>
    <xf numFmtId="0" fontId="0" fillId="0" borderId="19" xfId="0" applyBorder="1"/>
    <xf numFmtId="0" fontId="0" fillId="11" borderId="5" xfId="0" applyFill="1" applyBorder="1"/>
    <xf numFmtId="0" fontId="0" fillId="0" borderId="0" xfId="0" quotePrefix="1" applyAlignment="1">
      <alignment horizontal="left" indent="1"/>
    </xf>
    <xf numFmtId="0" fontId="5" fillId="11" borderId="0" xfId="0" applyFont="1" applyFill="1" applyAlignment="1">
      <alignment horizontal="left"/>
    </xf>
    <xf numFmtId="4" fontId="5" fillId="11" borderId="0" xfId="0" applyNumberFormat="1" applyFont="1" applyFill="1" applyAlignment="1">
      <alignment horizontal="right"/>
    </xf>
    <xf numFmtId="43" fontId="0" fillId="11" borderId="0" xfId="3" applyFont="1" applyFill="1"/>
    <xf numFmtId="0" fontId="3" fillId="11" borderId="0" xfId="0" applyFont="1" applyFill="1"/>
    <xf numFmtId="4" fontId="0" fillId="11" borderId="0" xfId="0" applyNumberFormat="1" applyFill="1"/>
    <xf numFmtId="3" fontId="0" fillId="11" borderId="0" xfId="0" applyNumberFormat="1" applyFill="1"/>
    <xf numFmtId="3" fontId="4" fillId="11" borderId="0" xfId="0" applyNumberFormat="1" applyFont="1" applyFill="1"/>
    <xf numFmtId="1" fontId="0" fillId="11" borderId="0" xfId="0" applyNumberFormat="1" applyFill="1"/>
    <xf numFmtId="2" fontId="3" fillId="11" borderId="0" xfId="0" applyNumberFormat="1" applyFont="1" applyFill="1"/>
    <xf numFmtId="2" fontId="0" fillId="11" borderId="0" xfId="0" applyNumberFormat="1" applyFill="1"/>
    <xf numFmtId="1" fontId="3" fillId="11" borderId="0" xfId="0" applyNumberFormat="1" applyFont="1" applyFill="1"/>
    <xf numFmtId="173" fontId="3" fillId="11" borderId="0" xfId="0" applyNumberFormat="1" applyFont="1" applyFill="1"/>
    <xf numFmtId="0" fontId="0" fillId="11" borderId="0" xfId="0" applyFill="1" applyAlignment="1">
      <alignment horizontal="right"/>
    </xf>
    <xf numFmtId="0" fontId="25" fillId="0" borderId="0" xfId="0" applyFont="1" applyAlignment="1">
      <alignment horizontal="center"/>
    </xf>
    <xf numFmtId="0" fontId="2" fillId="15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24" fillId="0" borderId="0" xfId="0" applyFont="1"/>
    <xf numFmtId="0" fontId="3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4" fontId="3" fillId="11" borderId="0" xfId="0" applyNumberFormat="1" applyFont="1" applyFill="1"/>
    <xf numFmtId="3" fontId="5" fillId="11" borderId="0" xfId="0" applyNumberFormat="1" applyFont="1" applyFill="1"/>
    <xf numFmtId="0" fontId="38" fillId="18" borderId="20" xfId="0" applyFont="1" applyFill="1" applyBorder="1" applyAlignment="1">
      <alignment vertical="center"/>
    </xf>
    <xf numFmtId="0" fontId="27" fillId="19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11" borderId="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19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9" fontId="3" fillId="11" borderId="0" xfId="0" applyNumberFormat="1" applyFont="1" applyFill="1"/>
    <xf numFmtId="172" fontId="3" fillId="0" borderId="0" xfId="0" applyNumberFormat="1" applyFont="1" applyAlignment="1">
      <alignment horizontal="right"/>
    </xf>
    <xf numFmtId="172" fontId="3" fillId="11" borderId="0" xfId="0" applyNumberFormat="1" applyFont="1" applyFill="1"/>
    <xf numFmtId="8" fontId="4" fillId="0" borderId="0" xfId="0" applyNumberFormat="1" applyFont="1"/>
    <xf numFmtId="0" fontId="2" fillId="8" borderId="0" xfId="0" applyFont="1" applyFill="1" applyAlignment="1">
      <alignment horizontal="center"/>
    </xf>
    <xf numFmtId="0" fontId="31" fillId="24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35" borderId="0" xfId="0" applyFont="1" applyFill="1" applyAlignment="1">
      <alignment horizontal="center"/>
    </xf>
  </cellXfs>
  <cellStyles count="6">
    <cellStyle name="Comma" xfId="3" builtinId="3"/>
    <cellStyle name="Currency" xfId="5" builtinId="4"/>
    <cellStyle name="Hyperlink 2" xfId="2" xr:uid="{3A367287-7872-4209-B70D-81CF8442EB94}"/>
    <cellStyle name="Normal" xfId="0" builtinId="0"/>
    <cellStyle name="Normal 2" xfId="1" xr:uid="{8A4E6B05-3FC8-4FC6-A23F-7A17427C5290}"/>
    <cellStyle name="Normal 3" xfId="4" xr:uid="{D3F5A6D1-0D4D-47CD-9BC9-C19563A0FF6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sheetMetadata" Target="metadata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ba1.sharepoint.com/sites/GMD-CrossDepartmental/Shared%20Documents/DTC%20Monetization%20-%20League%20Pass%20Subscriptions/FY27/1a.%20Pricing/2.%20Pricing%20Mega%20Spreadsheet/2026.02.02%20FY27%20Pricing%20Megasheet%20v4.xlsx" TargetMode="External"/><Relationship Id="rId1" Type="http://schemas.openxmlformats.org/officeDocument/2006/relationships/externalLinkPath" Target="https://nba1.sharepoint.com/sites/GMD-CrossDepartmental/Shared%20Documents/DTC%20Monetization%20-%20League%20Pass%20Subscriptions/FY27/1a.%20Pricing/2.%20Pricing%20Mega%20Spreadsheet/2026.02.02%20FY27%20Pricing%20Megasheet%20v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Pricing%20&amp;%20Packaging\Pricing%20Sheets\FY23\2023.04%20-%20Playoffs%20-%20Global%20Excl.%20DOM%20&amp;%20CAN\FY23%20NG%20Playoffs%20Pricing%20Sheet%20v4%20-%20Product.xlsx" TargetMode="External"/><Relationship Id="rId1" Type="http://schemas.openxmlformats.org/officeDocument/2006/relationships/externalLinkPath" Target="https://nba1.sharepoint.com/Pricing%20&amp;%20Packaging/Pricing%20Sheets/FY23/2023.04%20-%20Playoffs%20-%20Global%20Excl.%20DOM%20&amp;%20CAN/FY23%20NG%20Playoffs%20Pricing%20Sheet%20v4%20-%20Produc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ba1.sharepoint.com/sites/GMD-CrossDepartmental/Shared%20Documents/DTC%20Monetization%20-%20League%20Pass%20Subscriptions/FY26/1a.%20Pricing/Pricing%20Sheets/2025.09%20-%20Start%20of%20Season%20-%20Global/2025.07.25%20FY26%20Start%20of%20Season%20Pricing%20Sheet%20v8.xlsx" TargetMode="External"/><Relationship Id="rId2" Type="http://schemas.microsoft.com/office/2019/04/relationships/externalLinkLongPath" Target="https://nba1.sharepoint.com/sites/GMD-CrossDepartmental/Shared%20Documents/DTC%20Monetization%20-%20League%20Pass%20Subscriptions/FY26/1a.%20Pricing/Pricing%20Sheets/2025.09%20-%20Start%20of%20Season%20-%20Global/2025.07.25%20FY26%20Start%20of%20Season%20Pricing%20Sheet%20v8.xlsx?E25D9293" TargetMode="External"/><Relationship Id="rId1" Type="http://schemas.openxmlformats.org/officeDocument/2006/relationships/externalLinkPath" Target="file:///\\E25D9293\2025.07.25%20FY26%20Start%20of%20Season%20Pricing%20Sheet%20v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Pricing%20&amp;%20Packaging\Pricing%20Sheets\FY23\2022.10%20-%20Start%20of%20Season%20-%20Global\FY23%20NG%20Start%20of%20Season%20Pricing%20Sheet%20v49%20-%20Product.xlsx" TargetMode="External"/><Relationship Id="rId1" Type="http://schemas.openxmlformats.org/officeDocument/2006/relationships/externalLinkPath" Target="https://nba1.sharepoint.com/Pricing%20&amp;%20Packaging/Pricing%20Sheets/FY23/2022.10%20-%20Start%20of%20Season%20-%20Global/FY23%20NG%20Start%20of%20Season%20Pricing%20Sheet%20v49%20-%20Product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nba1.sharepoint.com/sites/GMD-CrossDepartmental/Shared%20Documents/DTC%20Monetization%20-%20League%20Pass%20Subscriptions/FY26/1a.%20Pricing/Pricing%20Sheets/2026.04%20-%20Playoffs%20-%20INT%20excl.%20CAN/2026.03.11%20FY26%20Playoffs%20Pricing%20Sheet%20v5.xlsx" TargetMode="External"/><Relationship Id="rId2" Type="http://schemas.microsoft.com/office/2019/04/relationships/externalLinkLongPath" Target="https://nba1.sharepoint.com/sites/GMD-CrossDepartmental/Shared%20Documents/DTC%20Monetization%20-%20League%20Pass%20Subscriptions/FY26/1a.%20Pricing/Pricing%20Sheets/2026.04%20-%20Playoffs%20-%20INT%20excl.%20CAN/2026.03.11%20FY26%20Playoffs%20Pricing%20Sheet%20v5.xlsx?6A33F2EE" TargetMode="External"/><Relationship Id="rId1" Type="http://schemas.openxmlformats.org/officeDocument/2006/relationships/externalLinkPath" Target="file:///\\6A33F2EE\2026.03.11%20FY26%20Playoffs%20Pricing%20Sheet%20v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Pricing%20&amp;%20Packaging\Pricing%20Sheets\FY23\2023.04%20-%20Playoffs%20-%20Global%20Excl.%20DOM%20&amp;%20CAN\FY23%20NG%20Playoffs%20Pricing%20Sheet%20v4.xlsx" TargetMode="External"/><Relationship Id="rId1" Type="http://schemas.openxmlformats.org/officeDocument/2006/relationships/externalLinkPath" Target="https://nba1.sharepoint.com/Pricing%20&amp;%20Packaging/Pricing%20Sheets/FY23/2023.04%20-%20Playoffs%20-%20Global%20Excl.%20DOM%20&amp;%20CAN/FY23%20NG%20Playoffs%20Pricing%20Sheet%20v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ba1.sharepoint.com/sites/GMD-CrossDepartmental/Shared%20Documents/DTC%20Monetization%20-%20League%20Pass%20Subscriptions/FY25/1A.%20Pricing/3.%20Pricing%20Mega%20Spreadsheet/2024.01.25%20FY25%20Initial%20Pricing%20View%20v6.xlsx" TargetMode="External"/><Relationship Id="rId1" Type="http://schemas.openxmlformats.org/officeDocument/2006/relationships/externalLinkPath" Target="https://nba1.sharepoint.com/sites/GMD-CrossDepartmental/Shared%20Documents/DTC%20Monetization%20-%20League%20Pass%20Subscriptions/FY25/1A.%20Pricing/3.%20Pricing%20Mega%20Spreadsheet/2024.01.25%20FY25%20Initial%20Pricing%20View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SKU &amp; Platform Availability -&gt;"/>
      <sheetName val="DOM"/>
      <sheetName val="INTL"/>
      <sheetName val="Priority Market Summary"/>
      <sheetName val="Copycat Summary Old"/>
      <sheetName val="CM2"/>
      <sheetName val="Copycat Market Summary"/>
      <sheetName val="Copycat Market Summary_Old"/>
      <sheetName val="Market-Lvl Pillar Performance"/>
      <sheetName val="Copycat Market Summary (2)"/>
      <sheetName val="PMS NY"/>
      <sheetName val="Copycat Summary_NY"/>
      <sheetName val="Copycat Summary_SE"/>
      <sheetName val="FY27 PRICING"/>
      <sheetName val="Historical Pricing -&gt;"/>
      <sheetName val="DOM Web"/>
      <sheetName val="INT Web"/>
      <sheetName val="DOM Web Old"/>
      <sheetName val="INTL Web Old"/>
      <sheetName val="Student Plan_Web"/>
      <sheetName val="Apple"/>
      <sheetName val="Google"/>
      <sheetName val="Amazon"/>
      <sheetName val="Roku"/>
      <sheetName val="Research Inputs -&gt;"/>
      <sheetName val="Pricing &amp; SG Biz Performance"/>
      <sheetName val="AMZN"/>
      <sheetName val="External Vendors"/>
      <sheetName val="Sheet2"/>
      <sheetName val="PM Sub Biz Performance"/>
      <sheetName val="Sub Biz Performance - Acq"/>
      <sheetName val="Sheet3"/>
      <sheetName val="Sub Biz Performance - Retention"/>
      <sheetName val="IAP Intro Offer, BFCM, Tentpole"/>
      <sheetName val="RT - Comps"/>
      <sheetName val="RT - Distributors"/>
      <sheetName val="Sheet1"/>
      <sheetName val="Research Inputs -&gt; (No-T19)"/>
      <sheetName val="External Vendors (No-T19)"/>
      <sheetName val="PM Sub Biz Performance (No-T19)"/>
      <sheetName val="Sub Biz Performance - Acq(No19)"/>
      <sheetName val="Sub Biz Performance -Retention2"/>
      <sheetName val="IAP IO, BFCM, Tent (No-19)"/>
      <sheetName val="Internal Only -&gt;"/>
      <sheetName val="Free Trial Details &amp; Deflection"/>
      <sheetName val="Web Upsell Mapping"/>
      <sheetName val="Pre-AR Web Cancel Deflection"/>
      <sheetName val="Post-AR Web Cancel Deflection"/>
      <sheetName val="League Pass Data"/>
      <sheetName val="Markets Not Selling LP + Refrer"/>
      <sheetName val="External Vendors - Ranking"/>
      <sheetName val="Biz Performance - Ranking"/>
      <sheetName val="LPP SKU Mix - Ranking"/>
      <sheetName val="Platform Avail by Country"/>
      <sheetName val="Platform Sales Avail by Country"/>
      <sheetName val="FX Rates"/>
      <sheetName val="Country &amp; Code Abbrevi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D3">
            <v>159.99</v>
          </cell>
          <cell r="E3">
            <v>24.99</v>
          </cell>
          <cell r="F3">
            <v>109.99</v>
          </cell>
          <cell r="G3">
            <v>16.989999999999998</v>
          </cell>
        </row>
      </sheetData>
      <sheetData sheetId="17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</row>
        <row r="2">
          <cell r="R2" t="str">
            <v>BLPE</v>
          </cell>
          <cell r="S2" t="str">
            <v>BLPEMONTHLY</v>
          </cell>
          <cell r="T2" t="str">
            <v>BLPP</v>
          </cell>
          <cell r="U2" t="str">
            <v>BLPPMONTHLY</v>
          </cell>
          <cell r="V2" t="str">
            <v>BTC</v>
          </cell>
          <cell r="W2" t="str">
            <v>BTCMONTHLY</v>
          </cell>
          <cell r="AK2">
            <v>45844</v>
          </cell>
          <cell r="AL2" t="str">
            <v>BLPE</v>
          </cell>
          <cell r="AM2" t="str">
            <v>BLPEMONTHLY</v>
          </cell>
          <cell r="AN2" t="str">
            <v>BLPP</v>
          </cell>
          <cell r="AO2" t="str">
            <v>BLPPMONTHLY</v>
          </cell>
          <cell r="AP2" t="str">
            <v>BTC</v>
          </cell>
          <cell r="AQ2" t="str">
            <v>BTCMONTHLY</v>
          </cell>
        </row>
        <row r="3">
          <cell r="D3" t="str">
            <v>Priority Market</v>
          </cell>
          <cell r="E3" t="str">
            <v>FY25 Start of Season Pricing (in Local Currency)</v>
          </cell>
          <cell r="L3" t="str">
            <v>FY25 Start of Season Sub. Length and SKU Ratios</v>
          </cell>
          <cell r="Q3" t="str">
            <v>FY26 Start of Season Pricing (in Local Currency)</v>
          </cell>
          <cell r="X3" t="str">
            <v>FY26 Start of Season Sub. Length and SKU Ratios</v>
          </cell>
          <cell r="AD3" t="str">
            <v>YoY FY25 vs. FY24 Start of Season Pricing</v>
          </cell>
          <cell r="AK3" t="str">
            <v>FY26 Start of Season Pricing (in USD)</v>
          </cell>
        </row>
        <row r="4">
          <cell r="B4" t="str">
            <v>Country</v>
          </cell>
          <cell r="C4" t="str">
            <v>Region</v>
          </cell>
          <cell r="D4" t="str">
            <v>Segment</v>
          </cell>
          <cell r="E4" t="str">
            <v>Currency</v>
          </cell>
          <cell r="F4" t="str">
            <v>LPP Annual</v>
          </cell>
          <cell r="G4" t="str">
            <v>LPP Monthly</v>
          </cell>
          <cell r="H4" t="str">
            <v>LP Annual</v>
          </cell>
          <cell r="I4" t="str">
            <v>LP Monthly</v>
          </cell>
          <cell r="J4" t="str">
            <v>TC Annual</v>
          </cell>
          <cell r="K4" t="str">
            <v>TC Monthly</v>
          </cell>
          <cell r="L4" t="str">
            <v>LPP SubL.</v>
          </cell>
          <cell r="M4" t="str">
            <v>LPP SKU</v>
          </cell>
          <cell r="N4" t="str">
            <v>LP SubL.</v>
          </cell>
          <cell r="O4" t="str">
            <v>TP SubL.</v>
          </cell>
          <cell r="P4" t="str">
            <v>TP SKU</v>
          </cell>
          <cell r="Q4" t="str">
            <v>Currency</v>
          </cell>
          <cell r="R4" t="str">
            <v>LPP Annual</v>
          </cell>
          <cell r="S4" t="str">
            <v>LPP Monthly</v>
          </cell>
          <cell r="T4" t="str">
            <v>LP Annual</v>
          </cell>
          <cell r="U4" t="str">
            <v>LP Monthly</v>
          </cell>
          <cell r="V4" t="str">
            <v>TC Annual</v>
          </cell>
          <cell r="W4" t="str">
            <v>TC Monthly</v>
          </cell>
          <cell r="X4" t="str">
            <v>LPP SubL.</v>
          </cell>
          <cell r="Y4" t="str">
            <v>LPP SKU</v>
          </cell>
          <cell r="Z4" t="str">
            <v>LP SubL.</v>
          </cell>
          <cell r="AA4" t="str">
            <v>TP SubL.</v>
          </cell>
          <cell r="AB4" t="str">
            <v>TP SKU</v>
          </cell>
          <cell r="AD4" t="str">
            <v>LPP Annual</v>
          </cell>
          <cell r="AE4" t="str">
            <v>LPP Monthly</v>
          </cell>
          <cell r="AF4" t="str">
            <v>LP Annual</v>
          </cell>
          <cell r="AG4" t="str">
            <v>LP Monthly</v>
          </cell>
          <cell r="AH4" t="str">
            <v>TC Annual</v>
          </cell>
          <cell r="AI4" t="str">
            <v>TC Monthly</v>
          </cell>
          <cell r="AK4" t="str">
            <v>FX to USD</v>
          </cell>
          <cell r="AL4" t="str">
            <v>LPP Annual</v>
          </cell>
          <cell r="AM4" t="str">
            <v>LPP Monthly</v>
          </cell>
          <cell r="AN4" t="str">
            <v>LP Annual</v>
          </cell>
          <cell r="AO4" t="str">
            <v>LP Monthly</v>
          </cell>
          <cell r="AP4" t="str">
            <v>TC Annual</v>
          </cell>
          <cell r="AQ4" t="str">
            <v>TC Monthly</v>
          </cell>
          <cell r="AS4" t="str">
            <v>Two Digit Country Code</v>
          </cell>
        </row>
        <row r="5">
          <cell r="B5" t="str">
            <v>Afghanistan</v>
          </cell>
          <cell r="C5" t="str">
            <v>Asia</v>
          </cell>
          <cell r="E5" t="str">
            <v>USD</v>
          </cell>
          <cell r="F5">
            <v>71.989999999999995</v>
          </cell>
          <cell r="G5">
            <v>11.99</v>
          </cell>
          <cell r="H5">
            <v>53.99</v>
          </cell>
          <cell r="I5">
            <v>8.99</v>
          </cell>
          <cell r="J5">
            <v>47.99</v>
          </cell>
          <cell r="K5">
            <v>7.99</v>
          </cell>
          <cell r="L5">
            <v>6.0041701417848206</v>
          </cell>
          <cell r="M5">
            <v>1.3337041156840934</v>
          </cell>
          <cell r="N5">
            <v>6.0055617352614012</v>
          </cell>
          <cell r="O5">
            <v>6.0062578222778473</v>
          </cell>
          <cell r="P5">
            <v>0.88876529477196886</v>
          </cell>
          <cell r="Q5" t="str">
            <v>USD</v>
          </cell>
          <cell r="R5">
            <v>71.989999999999995</v>
          </cell>
          <cell r="S5">
            <v>11.99</v>
          </cell>
          <cell r="T5">
            <v>53.99</v>
          </cell>
          <cell r="U5">
            <v>8.99</v>
          </cell>
          <cell r="V5">
            <v>47.99</v>
          </cell>
          <cell r="W5">
            <v>7.99</v>
          </cell>
          <cell r="X5">
            <v>6.0041701417848206</v>
          </cell>
          <cell r="Y5">
            <v>1.3337041156840934</v>
          </cell>
          <cell r="Z5">
            <v>6.0055617352614012</v>
          </cell>
          <cell r="AA5">
            <v>6.0062578222778473</v>
          </cell>
          <cell r="AB5">
            <v>0.88876529477196886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1</v>
          </cell>
          <cell r="AL5">
            <v>71.989999999999995</v>
          </cell>
          <cell r="AM5">
            <v>11.99</v>
          </cell>
          <cell r="AN5">
            <v>53.99</v>
          </cell>
          <cell r="AO5">
            <v>8.99</v>
          </cell>
          <cell r="AP5">
            <v>47.99</v>
          </cell>
          <cell r="AQ5">
            <v>7.99</v>
          </cell>
          <cell r="AS5" t="str">
            <v>AF</v>
          </cell>
        </row>
        <row r="6">
          <cell r="B6" t="str">
            <v>Aland Islands</v>
          </cell>
          <cell r="C6" t="str">
            <v>Europe</v>
          </cell>
          <cell r="E6" t="str">
            <v>EUR</v>
          </cell>
          <cell r="F6">
            <v>119.99</v>
          </cell>
          <cell r="G6">
            <v>19.989999999999998</v>
          </cell>
          <cell r="H6">
            <v>89.99</v>
          </cell>
          <cell r="I6">
            <v>14.99</v>
          </cell>
          <cell r="J6">
            <v>79.989999999999995</v>
          </cell>
          <cell r="K6">
            <v>12.99</v>
          </cell>
          <cell r="L6">
            <v>6.002501250625313</v>
          </cell>
          <cell r="M6">
            <v>1.333555703802535</v>
          </cell>
          <cell r="N6">
            <v>6.0033355570380253</v>
          </cell>
          <cell r="O6">
            <v>6.157813702848344</v>
          </cell>
          <cell r="P6">
            <v>0.86657771847898601</v>
          </cell>
          <cell r="Q6" t="str">
            <v>EUR</v>
          </cell>
          <cell r="R6">
            <v>119.99</v>
          </cell>
          <cell r="S6">
            <v>19.989999999999998</v>
          </cell>
          <cell r="T6">
            <v>89.99</v>
          </cell>
          <cell r="U6">
            <v>14.99</v>
          </cell>
          <cell r="V6">
            <v>79.989999999999995</v>
          </cell>
          <cell r="W6">
            <v>12.99</v>
          </cell>
          <cell r="X6">
            <v>6.002501250625313</v>
          </cell>
          <cell r="Y6">
            <v>1.333555703802535</v>
          </cell>
          <cell r="Z6">
            <v>6.0033355570380253</v>
          </cell>
          <cell r="AA6">
            <v>6.157813702848344</v>
          </cell>
          <cell r="AB6">
            <v>0.86657771847898601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1.1778500000000001</v>
          </cell>
          <cell r="AL6">
            <v>141.33022149999999</v>
          </cell>
          <cell r="AM6">
            <v>23.5452215</v>
          </cell>
          <cell r="AN6">
            <v>105.9947215</v>
          </cell>
          <cell r="AO6">
            <v>17.6559715</v>
          </cell>
          <cell r="AP6">
            <v>94.216221500000003</v>
          </cell>
          <cell r="AQ6">
            <v>15.300271500000001</v>
          </cell>
          <cell r="AS6" t="str">
            <v>AX</v>
          </cell>
        </row>
        <row r="7">
          <cell r="B7" t="str">
            <v>Albania</v>
          </cell>
          <cell r="C7" t="str">
            <v>Europe</v>
          </cell>
          <cell r="E7" t="str">
            <v>ALL</v>
          </cell>
          <cell r="F7">
            <v>9719.99</v>
          </cell>
          <cell r="G7">
            <v>1619.99</v>
          </cell>
          <cell r="H7">
            <v>7199.99</v>
          </cell>
          <cell r="I7">
            <v>1199.99</v>
          </cell>
          <cell r="J7">
            <v>6479.99</v>
          </cell>
          <cell r="K7">
            <v>1079.99</v>
          </cell>
          <cell r="L7">
            <v>6.0000308643880516</v>
          </cell>
          <cell r="M7">
            <v>1.3500029166909724</v>
          </cell>
          <cell r="N7">
            <v>6.0000416670138916</v>
          </cell>
          <cell r="O7">
            <v>6.0000462967249693</v>
          </cell>
          <cell r="P7">
            <v>0.89999916665972213</v>
          </cell>
          <cell r="Q7" t="str">
            <v>ALL</v>
          </cell>
          <cell r="R7">
            <v>9719.99</v>
          </cell>
          <cell r="S7">
            <v>1619.99</v>
          </cell>
          <cell r="T7">
            <v>7199.99</v>
          </cell>
          <cell r="U7">
            <v>1199.99</v>
          </cell>
          <cell r="V7">
            <v>6479.99</v>
          </cell>
          <cell r="W7">
            <v>1079.99</v>
          </cell>
          <cell r="X7">
            <v>6.0000308643880516</v>
          </cell>
          <cell r="Y7">
            <v>1.3500029166909724</v>
          </cell>
          <cell r="Z7">
            <v>6.0000416670138916</v>
          </cell>
          <cell r="AA7">
            <v>6.0000462967249693</v>
          </cell>
          <cell r="AB7">
            <v>0.89999916665972213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1.2021398000000001E-2</v>
          </cell>
          <cell r="AL7">
            <v>116.84786834602001</v>
          </cell>
          <cell r="AM7">
            <v>19.474544546020002</v>
          </cell>
          <cell r="AN7">
            <v>86.553945386020004</v>
          </cell>
          <cell r="AO7">
            <v>14.425557386020001</v>
          </cell>
          <cell r="AP7">
            <v>77.898538826020001</v>
          </cell>
          <cell r="AQ7">
            <v>12.98298962602</v>
          </cell>
          <cell r="AS7" t="str">
            <v>AL</v>
          </cell>
        </row>
        <row r="8">
          <cell r="B8" t="str">
            <v>Algeria</v>
          </cell>
          <cell r="C8" t="str">
            <v>Africa</v>
          </cell>
          <cell r="E8" t="str">
            <v>DZD</v>
          </cell>
          <cell r="F8">
            <v>8099.99</v>
          </cell>
          <cell r="G8">
            <v>1349.99</v>
          </cell>
          <cell r="H8">
            <v>5999.99</v>
          </cell>
          <cell r="I8">
            <v>999.99</v>
          </cell>
          <cell r="J8">
            <v>5399.99</v>
          </cell>
          <cell r="K8">
            <v>899.99</v>
          </cell>
          <cell r="L8">
            <v>6.0000370373113876</v>
          </cell>
          <cell r="M8">
            <v>1.3500035000350004</v>
          </cell>
          <cell r="N8">
            <v>6.0000500005000044</v>
          </cell>
          <cell r="O8">
            <v>6.0000555561728461</v>
          </cell>
          <cell r="P8">
            <v>0.89999899998999988</v>
          </cell>
          <cell r="Q8" t="str">
            <v>DZD</v>
          </cell>
          <cell r="R8">
            <v>8099.99</v>
          </cell>
          <cell r="S8">
            <v>1349.99</v>
          </cell>
          <cell r="T8">
            <v>5999.99</v>
          </cell>
          <cell r="U8">
            <v>999.99</v>
          </cell>
          <cell r="V8">
            <v>5399.99</v>
          </cell>
          <cell r="W8">
            <v>899.99</v>
          </cell>
          <cell r="X8">
            <v>6.0000370373113876</v>
          </cell>
          <cell r="Y8">
            <v>1.3500035000350004</v>
          </cell>
          <cell r="Z8">
            <v>6.0000500005000044</v>
          </cell>
          <cell r="AA8">
            <v>6.0000555561728461</v>
          </cell>
          <cell r="AB8">
            <v>0.89999899998999988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7.7295250000000001E-3</v>
          </cell>
          <cell r="AL8">
            <v>62.609075204749999</v>
          </cell>
          <cell r="AM8">
            <v>10.43478145475</v>
          </cell>
          <cell r="AN8">
            <v>46.377072704749999</v>
          </cell>
          <cell r="AO8">
            <v>7.7294477047500001</v>
          </cell>
          <cell r="AP8">
            <v>41.739357704749999</v>
          </cell>
          <cell r="AQ8">
            <v>6.9564952047500004</v>
          </cell>
          <cell r="AS8" t="str">
            <v>DZ</v>
          </cell>
        </row>
        <row r="9">
          <cell r="B9" t="str">
            <v>American Samoa</v>
          </cell>
          <cell r="C9" t="str">
            <v>Asia</v>
          </cell>
          <cell r="E9" t="str">
            <v>USD</v>
          </cell>
          <cell r="F9">
            <v>129.99</v>
          </cell>
          <cell r="G9">
            <v>18.989999999999998</v>
          </cell>
          <cell r="H9">
            <v>83.99</v>
          </cell>
          <cell r="I9">
            <v>13.99</v>
          </cell>
          <cell r="J9">
            <v>77.989999999999995</v>
          </cell>
          <cell r="K9">
            <v>12.99</v>
          </cell>
          <cell r="L9">
            <v>6.8451816745655618</v>
          </cell>
          <cell r="M9">
            <v>1.3573981415296639</v>
          </cell>
          <cell r="N9">
            <v>6.003573981415296</v>
          </cell>
          <cell r="O9">
            <v>6.0038491147036179</v>
          </cell>
          <cell r="P9">
            <v>0.9285203716940672</v>
          </cell>
          <cell r="Q9" t="str">
            <v>USD</v>
          </cell>
          <cell r="R9">
            <v>129.99</v>
          </cell>
          <cell r="S9">
            <v>18.989999999999998</v>
          </cell>
          <cell r="T9">
            <v>83.99</v>
          </cell>
          <cell r="U9">
            <v>13.99</v>
          </cell>
          <cell r="V9">
            <v>77.989999999999995</v>
          </cell>
          <cell r="W9">
            <v>12.99</v>
          </cell>
          <cell r="X9">
            <v>6.8451816745655618</v>
          </cell>
          <cell r="Y9">
            <v>1.3573981415296639</v>
          </cell>
          <cell r="Z9">
            <v>6.003573981415296</v>
          </cell>
          <cell r="AA9">
            <v>6.0038491147036179</v>
          </cell>
          <cell r="AB9">
            <v>0.9285203716940672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1</v>
          </cell>
          <cell r="AL9">
            <v>129.99</v>
          </cell>
          <cell r="AM9">
            <v>18.989999999999998</v>
          </cell>
          <cell r="AN9">
            <v>83.99</v>
          </cell>
          <cell r="AO9">
            <v>13.99</v>
          </cell>
          <cell r="AP9">
            <v>77.989999999999995</v>
          </cell>
          <cell r="AQ9">
            <v>12.99</v>
          </cell>
          <cell r="AS9" t="str">
            <v>AS</v>
          </cell>
        </row>
        <row r="10">
          <cell r="B10" t="str">
            <v>Andorra</v>
          </cell>
          <cell r="C10" t="str">
            <v>Europe</v>
          </cell>
          <cell r="E10" t="str">
            <v>EUR</v>
          </cell>
          <cell r="F10">
            <v>159.99</v>
          </cell>
          <cell r="G10">
            <v>22.99</v>
          </cell>
          <cell r="H10">
            <v>109.99</v>
          </cell>
          <cell r="I10">
            <v>17.989999999999998</v>
          </cell>
          <cell r="J10">
            <v>99.99</v>
          </cell>
          <cell r="K10">
            <v>15.99</v>
          </cell>
          <cell r="L10">
            <v>6.9591126576772515</v>
          </cell>
          <cell r="M10">
            <v>1.2779321845469707</v>
          </cell>
          <cell r="N10">
            <v>6.1139521956642584</v>
          </cell>
          <cell r="O10">
            <v>6.2532833020637897</v>
          </cell>
          <cell r="P10">
            <v>0.88882712618121185</v>
          </cell>
          <cell r="Q10" t="str">
            <v>EUR</v>
          </cell>
          <cell r="R10">
            <v>159.99</v>
          </cell>
          <cell r="S10">
            <v>22.99</v>
          </cell>
          <cell r="T10">
            <v>109.99</v>
          </cell>
          <cell r="U10">
            <v>17.989999999999998</v>
          </cell>
          <cell r="V10">
            <v>99.99</v>
          </cell>
          <cell r="W10">
            <v>15.99</v>
          </cell>
          <cell r="X10">
            <v>6.9591126576772515</v>
          </cell>
          <cell r="Y10">
            <v>1.2779321845469707</v>
          </cell>
          <cell r="Z10">
            <v>6.1139521956642584</v>
          </cell>
          <cell r="AA10">
            <v>6.2532833020637897</v>
          </cell>
          <cell r="AB10">
            <v>0.88882712618121185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1.1778500000000001</v>
          </cell>
          <cell r="AL10">
            <v>188.44422150000003</v>
          </cell>
          <cell r="AM10">
            <v>27.078771499999998</v>
          </cell>
          <cell r="AN10">
            <v>129.55172150000001</v>
          </cell>
          <cell r="AO10">
            <v>21.189521499999998</v>
          </cell>
          <cell r="AP10">
            <v>117.77322150000001</v>
          </cell>
          <cell r="AQ10">
            <v>18.833821500000003</v>
          </cell>
          <cell r="AS10" t="str">
            <v>AD</v>
          </cell>
        </row>
        <row r="11">
          <cell r="B11" t="str">
            <v>Angola</v>
          </cell>
          <cell r="C11" t="str">
            <v>Africa</v>
          </cell>
          <cell r="E11" t="str">
            <v>USD</v>
          </cell>
          <cell r="F11">
            <v>71.989999999999995</v>
          </cell>
          <cell r="G11">
            <v>11.99</v>
          </cell>
          <cell r="H11">
            <v>53.99</v>
          </cell>
          <cell r="I11">
            <v>8.99</v>
          </cell>
          <cell r="J11">
            <v>47.99</v>
          </cell>
          <cell r="K11">
            <v>7.99</v>
          </cell>
          <cell r="L11">
            <v>6.0041701417848206</v>
          </cell>
          <cell r="M11">
            <v>1.3337041156840934</v>
          </cell>
          <cell r="N11">
            <v>6.0055617352614012</v>
          </cell>
          <cell r="O11">
            <v>6.0062578222778473</v>
          </cell>
          <cell r="P11">
            <v>0.88876529477196886</v>
          </cell>
          <cell r="Q11" t="str">
            <v>USD</v>
          </cell>
          <cell r="R11">
            <v>71.989999999999995</v>
          </cell>
          <cell r="S11">
            <v>11.99</v>
          </cell>
          <cell r="T11">
            <v>53.99</v>
          </cell>
          <cell r="U11">
            <v>8.99</v>
          </cell>
          <cell r="V11">
            <v>47.99</v>
          </cell>
          <cell r="W11">
            <v>7.99</v>
          </cell>
          <cell r="X11">
            <v>6.0041701417848206</v>
          </cell>
          <cell r="Y11">
            <v>1.3337041156840934</v>
          </cell>
          <cell r="Z11">
            <v>6.0055617352614012</v>
          </cell>
          <cell r="AA11">
            <v>6.0062578222778473</v>
          </cell>
          <cell r="AB11">
            <v>0.88876529477196886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1</v>
          </cell>
          <cell r="AL11">
            <v>71.989999999999995</v>
          </cell>
          <cell r="AM11">
            <v>11.99</v>
          </cell>
          <cell r="AN11">
            <v>53.99</v>
          </cell>
          <cell r="AO11">
            <v>8.99</v>
          </cell>
          <cell r="AP11">
            <v>47.99</v>
          </cell>
          <cell r="AQ11">
            <v>7.99</v>
          </cell>
          <cell r="AS11" t="str">
            <v>AO</v>
          </cell>
        </row>
        <row r="12">
          <cell r="B12" t="str">
            <v>Anguilla</v>
          </cell>
          <cell r="C12" t="str">
            <v>Latin America</v>
          </cell>
          <cell r="E12" t="str">
            <v>XCD</v>
          </cell>
          <cell r="F12">
            <v>269.99</v>
          </cell>
          <cell r="G12">
            <v>44.99</v>
          </cell>
          <cell r="H12">
            <v>197.99</v>
          </cell>
          <cell r="I12">
            <v>32.99</v>
          </cell>
          <cell r="J12">
            <v>179.99</v>
          </cell>
          <cell r="K12">
            <v>29.99</v>
          </cell>
          <cell r="L12">
            <v>6.001111358079573</v>
          </cell>
          <cell r="M12">
            <v>1.36374658987572</v>
          </cell>
          <cell r="N12">
            <v>6.0015156107911487</v>
          </cell>
          <cell r="O12">
            <v>6.0016672224074696</v>
          </cell>
          <cell r="P12">
            <v>0.90906335253106996</v>
          </cell>
          <cell r="Q12" t="str">
            <v>XCD</v>
          </cell>
          <cell r="R12">
            <v>269.99</v>
          </cell>
          <cell r="S12">
            <v>44.99</v>
          </cell>
          <cell r="T12">
            <v>197.99</v>
          </cell>
          <cell r="U12">
            <v>32.99</v>
          </cell>
          <cell r="V12">
            <v>179.99</v>
          </cell>
          <cell r="W12">
            <v>29.99</v>
          </cell>
          <cell r="X12">
            <v>6.001111358079573</v>
          </cell>
          <cell r="Y12">
            <v>1.36374658987572</v>
          </cell>
          <cell r="Z12">
            <v>6.0015156107911487</v>
          </cell>
          <cell r="AA12">
            <v>6.0016672224074696</v>
          </cell>
          <cell r="AB12">
            <v>0.90906335253106996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0.37037036000000001</v>
          </cell>
          <cell r="AL12">
            <v>99.9962934964</v>
          </cell>
          <cell r="AM12">
            <v>16.662962496400002</v>
          </cell>
          <cell r="AN12">
            <v>73.3296275764</v>
          </cell>
          <cell r="AO12">
            <v>12.218518176400002</v>
          </cell>
          <cell r="AP12">
            <v>66.662961096400011</v>
          </cell>
          <cell r="AQ12">
            <v>11.107407096399999</v>
          </cell>
          <cell r="AS12" t="str">
            <v>AI</v>
          </cell>
        </row>
        <row r="13">
          <cell r="B13" t="str">
            <v>Antarctica</v>
          </cell>
          <cell r="C13" t="str">
            <v>Europe</v>
          </cell>
          <cell r="E13" t="str">
            <v>USD</v>
          </cell>
          <cell r="F13">
            <v>154.99</v>
          </cell>
          <cell r="G13">
            <v>21.99</v>
          </cell>
          <cell r="H13">
            <v>99.99</v>
          </cell>
          <cell r="I13">
            <v>16.989999999999998</v>
          </cell>
          <cell r="J13">
            <v>89.99</v>
          </cell>
          <cell r="K13">
            <v>14.99</v>
          </cell>
          <cell r="L13">
            <v>7.0482037289677137</v>
          </cell>
          <cell r="M13">
            <v>1.2942907592701589</v>
          </cell>
          <cell r="N13">
            <v>5.8852266038846386</v>
          </cell>
          <cell r="O13">
            <v>6.0033355570380253</v>
          </cell>
          <cell r="P13">
            <v>0.88228369629193648</v>
          </cell>
          <cell r="Q13" t="str">
            <v>USD</v>
          </cell>
          <cell r="R13">
            <v>154.99</v>
          </cell>
          <cell r="S13">
            <v>21.99</v>
          </cell>
          <cell r="T13">
            <v>99.99</v>
          </cell>
          <cell r="U13">
            <v>16.989999999999998</v>
          </cell>
          <cell r="V13">
            <v>89.99</v>
          </cell>
          <cell r="W13">
            <v>14.99</v>
          </cell>
          <cell r="X13">
            <v>7.0482037289677137</v>
          </cell>
          <cell r="Y13">
            <v>1.2942907592701589</v>
          </cell>
          <cell r="Z13">
            <v>5.8852266038846386</v>
          </cell>
          <cell r="AA13">
            <v>6.0033355570380253</v>
          </cell>
          <cell r="AB13">
            <v>0.88228369629193648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1</v>
          </cell>
          <cell r="AL13">
            <v>154.99</v>
          </cell>
          <cell r="AM13">
            <v>21.99</v>
          </cell>
          <cell r="AN13">
            <v>99.99</v>
          </cell>
          <cell r="AO13">
            <v>16.989999999999998</v>
          </cell>
          <cell r="AP13">
            <v>89.99</v>
          </cell>
          <cell r="AQ13">
            <v>14.99</v>
          </cell>
          <cell r="AS13" t="str">
            <v>AQ</v>
          </cell>
        </row>
        <row r="14">
          <cell r="B14" t="str">
            <v>Antigua And Barbuda</v>
          </cell>
          <cell r="C14" t="str">
            <v>Latin America</v>
          </cell>
          <cell r="E14" t="str">
            <v>XCD</v>
          </cell>
          <cell r="F14">
            <v>305.99</v>
          </cell>
          <cell r="G14">
            <v>50.99</v>
          </cell>
          <cell r="H14">
            <v>227.99</v>
          </cell>
          <cell r="I14">
            <v>37.99</v>
          </cell>
          <cell r="J14">
            <v>203.99</v>
          </cell>
          <cell r="K14">
            <v>33.99</v>
          </cell>
          <cell r="L14">
            <v>6.0009805844283193</v>
          </cell>
          <cell r="M14">
            <v>1.3421953145564622</v>
          </cell>
          <cell r="N14">
            <v>6.0013161358252169</v>
          </cell>
          <cell r="O14">
            <v>6.0014710208884967</v>
          </cell>
          <cell r="P14">
            <v>0.89470913398262697</v>
          </cell>
          <cell r="Q14" t="str">
            <v>XCD</v>
          </cell>
          <cell r="R14">
            <v>305.99</v>
          </cell>
          <cell r="S14">
            <v>50.99</v>
          </cell>
          <cell r="T14">
            <v>227.99</v>
          </cell>
          <cell r="U14">
            <v>37.99</v>
          </cell>
          <cell r="V14">
            <v>203.99</v>
          </cell>
          <cell r="W14">
            <v>33.99</v>
          </cell>
          <cell r="X14">
            <v>6.0009805844283193</v>
          </cell>
          <cell r="Y14">
            <v>1.3421953145564622</v>
          </cell>
          <cell r="Z14">
            <v>6.0013161358252169</v>
          </cell>
          <cell r="AA14">
            <v>6.0014710208884967</v>
          </cell>
          <cell r="AB14">
            <v>0.89470913398262697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0.37037036000000001</v>
          </cell>
          <cell r="AL14">
            <v>113.32962645640001</v>
          </cell>
          <cell r="AM14">
            <v>18.8851846564</v>
          </cell>
          <cell r="AN14">
            <v>84.440738376400006</v>
          </cell>
          <cell r="AO14">
            <v>14.0703699764</v>
          </cell>
          <cell r="AP14">
            <v>75.551849736400001</v>
          </cell>
          <cell r="AQ14">
            <v>12.588888536400001</v>
          </cell>
          <cell r="AS14" t="str">
            <v>AG</v>
          </cell>
        </row>
        <row r="15">
          <cell r="B15" t="str">
            <v>Argentina</v>
          </cell>
          <cell r="C15" t="str">
            <v>Latin America</v>
          </cell>
          <cell r="D15" t="str">
            <v>C</v>
          </cell>
          <cell r="E15" t="str">
            <v>ARS</v>
          </cell>
          <cell r="F15">
            <v>138599.99</v>
          </cell>
          <cell r="G15">
            <v>23099.99</v>
          </cell>
          <cell r="H15">
            <v>109999.99</v>
          </cell>
          <cell r="I15">
            <v>17999.990000000002</v>
          </cell>
          <cell r="J15">
            <v>97499.99</v>
          </cell>
          <cell r="K15">
            <v>15999.99</v>
          </cell>
          <cell r="L15">
            <v>6.0000021645031003</v>
          </cell>
          <cell r="M15">
            <v>1.2833334907408283</v>
          </cell>
          <cell r="N15">
            <v>6.1111139506188614</v>
          </cell>
          <cell r="O15">
            <v>6.0937531835957399</v>
          </cell>
          <cell r="P15">
            <v>0.88888882716045947</v>
          </cell>
          <cell r="Q15" t="str">
            <v>ARS</v>
          </cell>
          <cell r="R15">
            <v>206519.99</v>
          </cell>
          <cell r="S15">
            <v>34419.99</v>
          </cell>
          <cell r="T15">
            <v>163899.98510000002</v>
          </cell>
          <cell r="U15">
            <v>26819.985100000002</v>
          </cell>
          <cell r="V15">
            <v>145279.99</v>
          </cell>
          <cell r="W15">
            <v>23839.985099999998</v>
          </cell>
          <cell r="X15">
            <v>6.0000014526442342</v>
          </cell>
          <cell r="Y15">
            <v>1.2833709590688771</v>
          </cell>
          <cell r="Z15">
            <v>6.1111139506188614</v>
          </cell>
          <cell r="AA15">
            <v>6.0939631208074871</v>
          </cell>
          <cell r="AB15">
            <v>0.88888882716045936</v>
          </cell>
          <cell r="AD15">
            <v>0.49004332539995143</v>
          </cell>
          <cell r="AE15">
            <v>0.49004350218333403</v>
          </cell>
          <cell r="AF15">
            <v>0.49000000000000021</v>
          </cell>
          <cell r="AG15">
            <v>0.49</v>
          </cell>
          <cell r="AH15">
            <v>0.49005133231295694</v>
          </cell>
          <cell r="AI15">
            <v>0.49</v>
          </cell>
          <cell r="AK15">
            <v>8.0922169999999996E-4</v>
          </cell>
          <cell r="AL15">
            <v>167.12045739178299</v>
          </cell>
          <cell r="AM15">
            <v>27.853402821782996</v>
          </cell>
          <cell r="AN15">
            <v>132.63142457259667</v>
          </cell>
          <cell r="AO15">
            <v>21.703313936596672</v>
          </cell>
          <cell r="AP15">
            <v>117.56372048378299</v>
          </cell>
          <cell r="AQ15">
            <v>19.291833270596669</v>
          </cell>
          <cell r="AS15" t="str">
            <v>AR</v>
          </cell>
        </row>
        <row r="16">
          <cell r="B16" t="str">
            <v>Armenia</v>
          </cell>
          <cell r="C16" t="str">
            <v>Middle East</v>
          </cell>
          <cell r="E16" t="str">
            <v>AMD</v>
          </cell>
          <cell r="F16">
            <v>54269.99</v>
          </cell>
          <cell r="G16">
            <v>9039.99</v>
          </cell>
          <cell r="H16">
            <v>40199.99</v>
          </cell>
          <cell r="I16">
            <v>6699.99</v>
          </cell>
          <cell r="J16">
            <v>36179.99</v>
          </cell>
          <cell r="K16">
            <v>6029.99</v>
          </cell>
          <cell r="L16">
            <v>6.0033241187213706</v>
          </cell>
          <cell r="M16">
            <v>1.3492542526182876</v>
          </cell>
          <cell r="N16">
            <v>6.0000074626977051</v>
          </cell>
          <cell r="O16">
            <v>6.0000082918877142</v>
          </cell>
          <cell r="P16">
            <v>0.89999985074604594</v>
          </cell>
          <cell r="Q16" t="str">
            <v>AMD</v>
          </cell>
          <cell r="R16">
            <v>54269.99</v>
          </cell>
          <cell r="S16">
            <v>9039.99</v>
          </cell>
          <cell r="T16">
            <v>40199.99</v>
          </cell>
          <cell r="U16">
            <v>6699.99</v>
          </cell>
          <cell r="V16">
            <v>36179.99</v>
          </cell>
          <cell r="W16">
            <v>6029.99</v>
          </cell>
          <cell r="X16">
            <v>6.0033241187213706</v>
          </cell>
          <cell r="Y16">
            <v>1.3492542526182876</v>
          </cell>
          <cell r="Z16">
            <v>6.0000074626977051</v>
          </cell>
          <cell r="AA16">
            <v>6.0000082918877142</v>
          </cell>
          <cell r="AB16">
            <v>0.89999985074604594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2.6030609999999998E-3</v>
          </cell>
          <cell r="AL16">
            <v>141.26809443938998</v>
          </cell>
          <cell r="AM16">
            <v>23.531645409389998</v>
          </cell>
          <cell r="AN16">
            <v>104.64302616938998</v>
          </cell>
          <cell r="AO16">
            <v>17.440482669389997</v>
          </cell>
          <cell r="AP16">
            <v>94.178720949389984</v>
          </cell>
          <cell r="AQ16">
            <v>62.056935454391088</v>
          </cell>
          <cell r="AS16" t="str">
            <v>AM</v>
          </cell>
        </row>
        <row r="17">
          <cell r="B17" t="str">
            <v>Aruba</v>
          </cell>
          <cell r="C17" t="str">
            <v>Latin America</v>
          </cell>
          <cell r="E17" t="str">
            <v>AWG</v>
          </cell>
          <cell r="F17">
            <v>179.99</v>
          </cell>
          <cell r="G17">
            <v>29.99</v>
          </cell>
          <cell r="H17">
            <v>131.99</v>
          </cell>
          <cell r="I17">
            <v>21.99</v>
          </cell>
          <cell r="J17">
            <v>119.99</v>
          </cell>
          <cell r="K17">
            <v>19.989999999999998</v>
          </cell>
          <cell r="L17">
            <v>6.0016672224074696</v>
          </cell>
          <cell r="M17">
            <v>1.3638017280582082</v>
          </cell>
          <cell r="N17">
            <v>6.0022737608003647</v>
          </cell>
          <cell r="O17">
            <v>6.002501250625313</v>
          </cell>
          <cell r="P17">
            <v>0.90904956798544789</v>
          </cell>
          <cell r="Q17" t="str">
            <v>AWG</v>
          </cell>
          <cell r="R17">
            <v>179.99</v>
          </cell>
          <cell r="S17">
            <v>29.99</v>
          </cell>
          <cell r="T17">
            <v>131.99</v>
          </cell>
          <cell r="U17">
            <v>21.99</v>
          </cell>
          <cell r="V17">
            <v>119.99</v>
          </cell>
          <cell r="W17">
            <v>19.989999999999998</v>
          </cell>
          <cell r="X17">
            <v>6.0016672224074696</v>
          </cell>
          <cell r="Y17">
            <v>1.3638017280582082</v>
          </cell>
          <cell r="Z17">
            <v>6.0022737608003647</v>
          </cell>
          <cell r="AA17">
            <v>6.002501250625313</v>
          </cell>
          <cell r="AB17">
            <v>0.90904956798544789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0.55865925999999999</v>
          </cell>
          <cell r="AL17">
            <v>100.5530802074</v>
          </cell>
          <cell r="AM17">
            <v>16.754191207399998</v>
          </cell>
          <cell r="AN17">
            <v>73.737435727399998</v>
          </cell>
          <cell r="AO17">
            <v>12.284917127399998</v>
          </cell>
          <cell r="AP17">
            <v>67.033524607399997</v>
          </cell>
          <cell r="AQ17">
            <v>11.167598607399999</v>
          </cell>
          <cell r="AS17" t="str">
            <v>AW</v>
          </cell>
        </row>
        <row r="18">
          <cell r="B18" t="str">
            <v>Australia</v>
          </cell>
          <cell r="C18" t="str">
            <v>Asia</v>
          </cell>
          <cell r="D18" t="str">
            <v>B</v>
          </cell>
          <cell r="E18" t="str">
            <v>AUD</v>
          </cell>
          <cell r="F18">
            <v>229.99</v>
          </cell>
          <cell r="G18">
            <v>32.99</v>
          </cell>
          <cell r="H18">
            <v>174.99</v>
          </cell>
          <cell r="I18">
            <v>24.99</v>
          </cell>
          <cell r="J18">
            <v>153.99</v>
          </cell>
          <cell r="K18">
            <v>21.99</v>
          </cell>
          <cell r="L18">
            <v>6.9715065171264019</v>
          </cell>
          <cell r="M18">
            <v>1.3201280512204883</v>
          </cell>
          <cell r="N18">
            <v>7.0024009603841542</v>
          </cell>
          <cell r="O18">
            <v>7.0027285129604371</v>
          </cell>
          <cell r="P18">
            <v>0.87995198079231696</v>
          </cell>
          <cell r="Q18" t="str">
            <v>AUD</v>
          </cell>
          <cell r="R18">
            <v>229.99</v>
          </cell>
          <cell r="S18">
            <v>32.99</v>
          </cell>
          <cell r="T18">
            <v>174.99</v>
          </cell>
          <cell r="U18">
            <v>24.99</v>
          </cell>
          <cell r="V18">
            <v>153.99</v>
          </cell>
          <cell r="W18">
            <v>21.99</v>
          </cell>
          <cell r="X18">
            <v>6.9715065171264019</v>
          </cell>
          <cell r="Y18">
            <v>1.3201280512204883</v>
          </cell>
          <cell r="Z18">
            <v>7.0024009603841542</v>
          </cell>
          <cell r="AA18">
            <v>7.0027285129604371</v>
          </cell>
          <cell r="AB18">
            <v>0.87995198079231696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0.65494996000000005</v>
          </cell>
          <cell r="AL18">
            <v>150.63194130040003</v>
          </cell>
          <cell r="AM18">
            <v>21.606799180400003</v>
          </cell>
          <cell r="AN18">
            <v>114.60969350040001</v>
          </cell>
          <cell r="AO18">
            <v>16.367199500400002</v>
          </cell>
          <cell r="AP18">
            <v>100.85574434040001</v>
          </cell>
          <cell r="AQ18">
            <v>14.402349620400001</v>
          </cell>
          <cell r="AS18" t="str">
            <v>AU</v>
          </cell>
        </row>
        <row r="19">
          <cell r="B19" t="str">
            <v>Austria</v>
          </cell>
          <cell r="C19" t="str">
            <v>Europe</v>
          </cell>
          <cell r="E19" t="str">
            <v>EUR</v>
          </cell>
          <cell r="F19">
            <v>159.99</v>
          </cell>
          <cell r="G19">
            <v>23.99</v>
          </cell>
          <cell r="H19">
            <v>116.99</v>
          </cell>
          <cell r="I19">
            <v>17.989999999999998</v>
          </cell>
          <cell r="J19">
            <v>104.99</v>
          </cell>
          <cell r="K19">
            <v>15.99</v>
          </cell>
          <cell r="L19">
            <v>6.6690287619841611</v>
          </cell>
          <cell r="M19">
            <v>1.3335186214563646</v>
          </cell>
          <cell r="N19">
            <v>6.5030572540300167</v>
          </cell>
          <cell r="O19">
            <v>6.5659787367104432</v>
          </cell>
          <cell r="P19">
            <v>0.88882712618121185</v>
          </cell>
          <cell r="Q19" t="str">
            <v>EUR</v>
          </cell>
          <cell r="R19">
            <v>159.99</v>
          </cell>
          <cell r="S19">
            <v>23.99</v>
          </cell>
          <cell r="T19">
            <v>116.99</v>
          </cell>
          <cell r="U19">
            <v>17.989999999999998</v>
          </cell>
          <cell r="V19">
            <v>104.99</v>
          </cell>
          <cell r="W19">
            <v>15.99</v>
          </cell>
          <cell r="X19">
            <v>6.6690287619841611</v>
          </cell>
          <cell r="Y19">
            <v>1.3335186214563646</v>
          </cell>
          <cell r="Z19">
            <v>6.5030572540300167</v>
          </cell>
          <cell r="AA19">
            <v>6.5659787367104432</v>
          </cell>
          <cell r="AB19">
            <v>0.88882712618121185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1.1778500000000001</v>
          </cell>
          <cell r="AL19">
            <v>188.44422150000003</v>
          </cell>
          <cell r="AM19">
            <v>28.256621500000001</v>
          </cell>
          <cell r="AN19">
            <v>137.7966715</v>
          </cell>
          <cell r="AO19">
            <v>21.189521499999998</v>
          </cell>
          <cell r="AP19">
            <v>123.6624715</v>
          </cell>
          <cell r="AQ19">
            <v>18.833821500000003</v>
          </cell>
          <cell r="AS19" t="str">
            <v>AT</v>
          </cell>
        </row>
        <row r="20">
          <cell r="B20" t="str">
            <v>Azerbaijan</v>
          </cell>
          <cell r="C20" t="str">
            <v>Middle East</v>
          </cell>
          <cell r="E20" t="str">
            <v>AZN</v>
          </cell>
          <cell r="F20">
            <v>179.99</v>
          </cell>
          <cell r="G20">
            <v>29.99</v>
          </cell>
          <cell r="H20">
            <v>129.99</v>
          </cell>
          <cell r="I20">
            <v>21.99</v>
          </cell>
          <cell r="J20">
            <v>119.99</v>
          </cell>
          <cell r="K20">
            <v>19.989999999999998</v>
          </cell>
          <cell r="L20">
            <v>6.0016672224074696</v>
          </cell>
          <cell r="M20">
            <v>1.3638017280582082</v>
          </cell>
          <cell r="N20">
            <v>5.9113233287858122</v>
          </cell>
          <cell r="O20">
            <v>6.002501250625313</v>
          </cell>
          <cell r="P20">
            <v>0.90904956798544789</v>
          </cell>
          <cell r="Q20" t="str">
            <v>AZN</v>
          </cell>
          <cell r="R20">
            <v>179.99</v>
          </cell>
          <cell r="S20">
            <v>29.99</v>
          </cell>
          <cell r="T20">
            <v>129.99</v>
          </cell>
          <cell r="U20">
            <v>21.99</v>
          </cell>
          <cell r="V20">
            <v>119.99</v>
          </cell>
          <cell r="W20">
            <v>19.989999999999998</v>
          </cell>
          <cell r="X20">
            <v>6.0016672224074696</v>
          </cell>
          <cell r="Y20">
            <v>1.3638017280582082</v>
          </cell>
          <cell r="Z20">
            <v>5.9113233287858122</v>
          </cell>
          <cell r="AA20">
            <v>6.002501250625313</v>
          </cell>
          <cell r="AB20">
            <v>0.90904956798544789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0.58823526000000004</v>
          </cell>
          <cell r="AL20">
            <v>105.87646444740001</v>
          </cell>
          <cell r="AM20">
            <v>17.641175447399998</v>
          </cell>
          <cell r="AN20">
            <v>76.464701447400017</v>
          </cell>
          <cell r="AO20">
            <v>12.9352933674</v>
          </cell>
          <cell r="AP20">
            <v>70.582348847399999</v>
          </cell>
          <cell r="AQ20">
            <v>11.758822847399999</v>
          </cell>
          <cell r="AS20" t="str">
            <v>AZ</v>
          </cell>
        </row>
        <row r="21">
          <cell r="B21" t="str">
            <v>Bahamas</v>
          </cell>
          <cell r="C21" t="str">
            <v>Latin America</v>
          </cell>
          <cell r="E21" t="str">
            <v>BSD</v>
          </cell>
          <cell r="F21">
            <v>95.99</v>
          </cell>
          <cell r="G21">
            <v>15.99</v>
          </cell>
          <cell r="H21">
            <v>71.989999999999995</v>
          </cell>
          <cell r="I21">
            <v>11.99</v>
          </cell>
          <cell r="J21">
            <v>65.989999999999995</v>
          </cell>
          <cell r="K21">
            <v>10.99</v>
          </cell>
          <cell r="L21">
            <v>6.0031269543464658</v>
          </cell>
          <cell r="M21">
            <v>1.3336113427856546</v>
          </cell>
          <cell r="N21">
            <v>6.0041701417848206</v>
          </cell>
          <cell r="O21">
            <v>6.0045495905368513</v>
          </cell>
          <cell r="P21">
            <v>0.91659716430358629</v>
          </cell>
          <cell r="Q21" t="str">
            <v>BSD</v>
          </cell>
          <cell r="R21">
            <v>95.99</v>
          </cell>
          <cell r="S21">
            <v>15.99</v>
          </cell>
          <cell r="T21">
            <v>71.989999999999995</v>
          </cell>
          <cell r="U21">
            <v>11.99</v>
          </cell>
          <cell r="V21">
            <v>65.989999999999995</v>
          </cell>
          <cell r="W21">
            <v>10.99</v>
          </cell>
          <cell r="X21">
            <v>6.0031269543464658</v>
          </cell>
          <cell r="Y21">
            <v>1.3336113427856546</v>
          </cell>
          <cell r="Z21">
            <v>6.0041701417848206</v>
          </cell>
          <cell r="AA21">
            <v>6.0045495905368513</v>
          </cell>
          <cell r="AB21">
            <v>0.91659716430358629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</v>
          </cell>
          <cell r="AL21">
            <v>95.99</v>
          </cell>
          <cell r="AM21">
            <v>15.99</v>
          </cell>
          <cell r="AN21">
            <v>71.989999999999995</v>
          </cell>
          <cell r="AO21">
            <v>11.99</v>
          </cell>
          <cell r="AP21">
            <v>65.989999999999995</v>
          </cell>
          <cell r="AQ21">
            <v>10.99</v>
          </cell>
          <cell r="AS21" t="str">
            <v>BS</v>
          </cell>
        </row>
        <row r="22">
          <cell r="B22" t="str">
            <v>Bahrain</v>
          </cell>
          <cell r="C22" t="str">
            <v>Middle East</v>
          </cell>
          <cell r="E22" t="str">
            <v>BHD</v>
          </cell>
          <cell r="F22">
            <v>59.999000000000002</v>
          </cell>
          <cell r="G22">
            <v>8.9990000000000006</v>
          </cell>
          <cell r="H22">
            <v>49.999000000000002</v>
          </cell>
          <cell r="I22">
            <v>6.9989999999999997</v>
          </cell>
          <cell r="J22">
            <v>39.999000000000002</v>
          </cell>
          <cell r="K22">
            <v>5.9989999999999997</v>
          </cell>
          <cell r="L22">
            <v>6.6672963662629181</v>
          </cell>
          <cell r="M22">
            <v>1.2857551078725533</v>
          </cell>
          <cell r="N22">
            <v>7.1437348192598948</v>
          </cell>
          <cell r="O22">
            <v>6.6676112685447579</v>
          </cell>
          <cell r="P22">
            <v>0.85712244606372334</v>
          </cell>
          <cell r="Q22" t="str">
            <v>BHD</v>
          </cell>
          <cell r="R22">
            <v>59.999000000000002</v>
          </cell>
          <cell r="S22">
            <v>8.9990000000000006</v>
          </cell>
          <cell r="T22">
            <v>49.999000000000002</v>
          </cell>
          <cell r="U22">
            <v>6.9989999999999997</v>
          </cell>
          <cell r="V22">
            <v>39.999000000000002</v>
          </cell>
          <cell r="W22">
            <v>5.9989999999999997</v>
          </cell>
          <cell r="X22">
            <v>6.6672963662629181</v>
          </cell>
          <cell r="Y22">
            <v>1.2857551078725533</v>
          </cell>
          <cell r="Z22">
            <v>7.1437348192598948</v>
          </cell>
          <cell r="AA22">
            <v>6.6676112685447579</v>
          </cell>
          <cell r="AB22">
            <v>0.85712244606372334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2.65252</v>
          </cell>
          <cell r="AL22">
            <v>159.14854748000002</v>
          </cell>
          <cell r="AM22">
            <v>23.870027480000001</v>
          </cell>
          <cell r="AN22">
            <v>132.62334748000001</v>
          </cell>
          <cell r="AO22">
            <v>18.564987479999999</v>
          </cell>
          <cell r="AP22">
            <v>106.09814748000001</v>
          </cell>
          <cell r="AQ22">
            <v>15.912467479999998</v>
          </cell>
          <cell r="AS22" t="str">
            <v>BH</v>
          </cell>
        </row>
        <row r="23">
          <cell r="B23" t="str">
            <v>Bangladesh</v>
          </cell>
          <cell r="C23" t="str">
            <v>Asia</v>
          </cell>
          <cell r="E23" t="str">
            <v>BDT</v>
          </cell>
          <cell r="F23">
            <v>6071.99</v>
          </cell>
          <cell r="G23">
            <v>1011.99</v>
          </cell>
          <cell r="H23">
            <v>4499.99</v>
          </cell>
          <cell r="I23">
            <v>749.99</v>
          </cell>
          <cell r="J23">
            <v>4049.99</v>
          </cell>
          <cell r="K23">
            <v>674.99</v>
          </cell>
          <cell r="L23">
            <v>6.0000494076028419</v>
          </cell>
          <cell r="M23">
            <v>1.3493379911732157</v>
          </cell>
          <cell r="N23">
            <v>6.0000666675555667</v>
          </cell>
          <cell r="O23">
            <v>6.0000740751714838</v>
          </cell>
          <cell r="P23">
            <v>0.89999866664888861</v>
          </cell>
          <cell r="Q23" t="str">
            <v>BDT</v>
          </cell>
          <cell r="R23">
            <v>6071.99</v>
          </cell>
          <cell r="S23">
            <v>1011.99</v>
          </cell>
          <cell r="T23">
            <v>4499.99</v>
          </cell>
          <cell r="U23">
            <v>749.99</v>
          </cell>
          <cell r="V23">
            <v>4049.99</v>
          </cell>
          <cell r="W23">
            <v>674.99</v>
          </cell>
          <cell r="X23">
            <v>6.0000494076028419</v>
          </cell>
          <cell r="Y23">
            <v>1.3493379911732157</v>
          </cell>
          <cell r="Z23">
            <v>6.0000666675555667</v>
          </cell>
          <cell r="AA23">
            <v>6.0000740751714838</v>
          </cell>
          <cell r="AB23">
            <v>0.89999866664888861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8.1383519999999997E-3</v>
          </cell>
          <cell r="AL23">
            <v>49.41599196048</v>
          </cell>
          <cell r="AM23">
            <v>8.23593084048</v>
          </cell>
          <cell r="AN23">
            <v>36.622502616479998</v>
          </cell>
          <cell r="AO23">
            <v>6.1036826164799995</v>
          </cell>
          <cell r="AP23">
            <v>32.96024421648</v>
          </cell>
          <cell r="AQ23">
            <v>5.4933062164799997</v>
          </cell>
          <cell r="AS23" t="str">
            <v>BD</v>
          </cell>
        </row>
        <row r="24">
          <cell r="B24" t="str">
            <v>Barbados</v>
          </cell>
          <cell r="C24" t="str">
            <v>Latin America</v>
          </cell>
          <cell r="E24" t="str">
            <v>BBD</v>
          </cell>
          <cell r="F24">
            <v>209.99</v>
          </cell>
          <cell r="G24">
            <v>34.99</v>
          </cell>
          <cell r="H24">
            <v>155.99</v>
          </cell>
          <cell r="I24">
            <v>25.99</v>
          </cell>
          <cell r="J24">
            <v>137.99</v>
          </cell>
          <cell r="K24">
            <v>22.99</v>
          </cell>
          <cell r="L24">
            <v>6.0014289797084883</v>
          </cell>
          <cell r="M24">
            <v>1.3462870334744135</v>
          </cell>
          <cell r="N24">
            <v>6.0019238168526368</v>
          </cell>
          <cell r="O24">
            <v>6.0021748586341896</v>
          </cell>
          <cell r="P24">
            <v>0.88457098884186225</v>
          </cell>
          <cell r="Q24" t="str">
            <v>BBD</v>
          </cell>
          <cell r="R24">
            <v>209.99</v>
          </cell>
          <cell r="S24">
            <v>34.99</v>
          </cell>
          <cell r="T24">
            <v>155.99</v>
          </cell>
          <cell r="U24">
            <v>25.99</v>
          </cell>
          <cell r="V24">
            <v>137.99</v>
          </cell>
          <cell r="W24">
            <v>22.99</v>
          </cell>
          <cell r="X24">
            <v>6.0014289797084883</v>
          </cell>
          <cell r="Y24">
            <v>1.3462870334744135</v>
          </cell>
          <cell r="Z24">
            <v>6.0019238168526368</v>
          </cell>
          <cell r="AA24">
            <v>6.0021748586341896</v>
          </cell>
          <cell r="AB24">
            <v>0.88457098884186225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0.5</v>
          </cell>
          <cell r="AL24">
            <v>104.995</v>
          </cell>
          <cell r="AM24">
            <v>17.495000000000001</v>
          </cell>
          <cell r="AN24">
            <v>77.995000000000005</v>
          </cell>
          <cell r="AO24">
            <v>12.994999999999999</v>
          </cell>
          <cell r="AP24">
            <v>68.995000000000005</v>
          </cell>
          <cell r="AQ24">
            <v>11.494999999999999</v>
          </cell>
          <cell r="AS24" t="str">
            <v>BB</v>
          </cell>
        </row>
        <row r="25">
          <cell r="B25" t="str">
            <v>Belarus</v>
          </cell>
          <cell r="C25" t="str">
            <v>Europe</v>
          </cell>
          <cell r="E25" t="str">
            <v>BYN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Q25" t="str">
            <v>BYN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e">
            <v>#DIV/0!</v>
          </cell>
          <cell r="Y25" t="e">
            <v>#DIV/0!</v>
          </cell>
          <cell r="Z25" t="e">
            <v>#DIV/0!</v>
          </cell>
          <cell r="AA25" t="e">
            <v>#DIV/0!</v>
          </cell>
          <cell r="AB25" t="e">
            <v>#DIV/0!</v>
          </cell>
          <cell r="AD25" t="e">
            <v>#DIV/0!</v>
          </cell>
          <cell r="AE25" t="e">
            <v>#DIV/0!</v>
          </cell>
          <cell r="AF25" t="e">
            <v>#DIV/0!</v>
          </cell>
          <cell r="AG25" t="e">
            <v>#DIV/0!</v>
          </cell>
          <cell r="AH25" t="e">
            <v>#DIV/0!</v>
          </cell>
          <cell r="AI25" t="e">
            <v>#DIV/0!</v>
          </cell>
          <cell r="AK25">
            <v>0.30534349999999999</v>
          </cell>
          <cell r="AS25" t="str">
            <v>BY</v>
          </cell>
        </row>
        <row r="26">
          <cell r="B26" t="str">
            <v>Belgium</v>
          </cell>
          <cell r="C26" t="str">
            <v>Europe</v>
          </cell>
          <cell r="D26" t="str">
            <v>E~</v>
          </cell>
          <cell r="E26" t="str">
            <v>EUR</v>
          </cell>
          <cell r="F26">
            <v>169.99</v>
          </cell>
          <cell r="G26">
            <v>25.99</v>
          </cell>
          <cell r="H26">
            <v>124.99</v>
          </cell>
          <cell r="I26">
            <v>18.989999999999998</v>
          </cell>
          <cell r="J26">
            <v>109.99</v>
          </cell>
          <cell r="K26">
            <v>16.989999999999998</v>
          </cell>
          <cell r="L26">
            <v>6.5405925355906129</v>
          </cell>
          <cell r="M26">
            <v>1.3686150605581886</v>
          </cell>
          <cell r="N26">
            <v>6.5818852027382837</v>
          </cell>
          <cell r="O26">
            <v>6.4738081224249564</v>
          </cell>
          <cell r="P26">
            <v>0.89468141126908896</v>
          </cell>
          <cell r="Q26" t="str">
            <v>EUR</v>
          </cell>
          <cell r="R26">
            <v>169.99</v>
          </cell>
          <cell r="S26">
            <v>25.99</v>
          </cell>
          <cell r="T26">
            <v>124.99</v>
          </cell>
          <cell r="U26">
            <v>18.989999999999998</v>
          </cell>
          <cell r="V26">
            <v>109.99</v>
          </cell>
          <cell r="W26">
            <v>16.989999999999998</v>
          </cell>
          <cell r="X26">
            <v>6.5405925355906129</v>
          </cell>
          <cell r="Y26">
            <v>1.3686150605581886</v>
          </cell>
          <cell r="Z26">
            <v>6.5818852027382837</v>
          </cell>
          <cell r="AA26">
            <v>6.4738081224249564</v>
          </cell>
          <cell r="AB26">
            <v>0.89468141126908896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1.1778500000000001</v>
          </cell>
          <cell r="AL26">
            <v>200.22272150000003</v>
          </cell>
          <cell r="AM26">
            <v>30.6123215</v>
          </cell>
          <cell r="AN26">
            <v>147.2194715</v>
          </cell>
          <cell r="AO26">
            <v>22.367371500000001</v>
          </cell>
          <cell r="AP26">
            <v>129.55172150000001</v>
          </cell>
          <cell r="AQ26">
            <v>20.011671499999999</v>
          </cell>
          <cell r="AS26" t="str">
            <v>BE</v>
          </cell>
        </row>
        <row r="27">
          <cell r="B27" t="str">
            <v>Belize</v>
          </cell>
          <cell r="C27" t="str">
            <v>Latin America</v>
          </cell>
          <cell r="E27" t="str">
            <v>BZD</v>
          </cell>
          <cell r="F27">
            <v>149.99</v>
          </cell>
          <cell r="G27">
            <v>24.99</v>
          </cell>
          <cell r="H27">
            <v>107.99</v>
          </cell>
          <cell r="I27">
            <v>17.989999999999998</v>
          </cell>
          <cell r="J27">
            <v>95.99</v>
          </cell>
          <cell r="K27">
            <v>15.99</v>
          </cell>
          <cell r="L27">
            <v>6.0020008003201291</v>
          </cell>
          <cell r="M27">
            <v>1.3891050583657587</v>
          </cell>
          <cell r="N27">
            <v>6.0027793218454697</v>
          </cell>
          <cell r="O27">
            <v>6.0031269543464658</v>
          </cell>
          <cell r="P27">
            <v>0.88882712618121185</v>
          </cell>
          <cell r="Q27" t="str">
            <v>BZD</v>
          </cell>
          <cell r="R27">
            <v>149.99</v>
          </cell>
          <cell r="S27">
            <v>24.99</v>
          </cell>
          <cell r="T27">
            <v>107.99</v>
          </cell>
          <cell r="U27">
            <v>17.989999999999998</v>
          </cell>
          <cell r="V27">
            <v>95.99</v>
          </cell>
          <cell r="W27">
            <v>15.99</v>
          </cell>
          <cell r="X27">
            <v>6.0020008003201291</v>
          </cell>
          <cell r="Y27">
            <v>1.3891050583657587</v>
          </cell>
          <cell r="Z27">
            <v>6.0027793218454697</v>
          </cell>
          <cell r="AA27">
            <v>6.0031269543464658</v>
          </cell>
          <cell r="AB27">
            <v>0.88882712618121185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0.5</v>
          </cell>
          <cell r="AL27">
            <v>74.995000000000005</v>
          </cell>
          <cell r="AM27">
            <v>12.494999999999999</v>
          </cell>
          <cell r="AN27">
            <v>53.994999999999997</v>
          </cell>
          <cell r="AO27">
            <v>8.9949999999999992</v>
          </cell>
          <cell r="AP27">
            <v>47.994999999999997</v>
          </cell>
          <cell r="AQ27">
            <v>7.9950000000000001</v>
          </cell>
          <cell r="AS27" t="str">
            <v>BZ</v>
          </cell>
        </row>
        <row r="28">
          <cell r="B28" t="str">
            <v>Benin</v>
          </cell>
          <cell r="C28" t="str">
            <v>Africa</v>
          </cell>
          <cell r="E28" t="str">
            <v>XOF</v>
          </cell>
          <cell r="F28">
            <v>43740</v>
          </cell>
          <cell r="G28">
            <v>7290</v>
          </cell>
          <cell r="H28">
            <v>32400</v>
          </cell>
          <cell r="I28">
            <v>5400</v>
          </cell>
          <cell r="J28">
            <v>29160</v>
          </cell>
          <cell r="K28">
            <v>4860</v>
          </cell>
          <cell r="L28">
            <v>6</v>
          </cell>
          <cell r="M28">
            <v>1.35</v>
          </cell>
          <cell r="N28">
            <v>6</v>
          </cell>
          <cell r="O28">
            <v>6</v>
          </cell>
          <cell r="P28">
            <v>0.9</v>
          </cell>
          <cell r="Q28" t="str">
            <v>XOF</v>
          </cell>
          <cell r="R28">
            <v>43740</v>
          </cell>
          <cell r="S28">
            <v>7290</v>
          </cell>
          <cell r="T28">
            <v>32400</v>
          </cell>
          <cell r="U28">
            <v>5400</v>
          </cell>
          <cell r="V28">
            <v>29160</v>
          </cell>
          <cell r="W28">
            <v>4860</v>
          </cell>
          <cell r="X28">
            <v>6</v>
          </cell>
          <cell r="Y28">
            <v>1.35</v>
          </cell>
          <cell r="Z28">
            <v>6</v>
          </cell>
          <cell r="AA28">
            <v>6</v>
          </cell>
          <cell r="AB28">
            <v>0.9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1.7956208E-3</v>
          </cell>
          <cell r="AL28">
            <v>78.540453791999994</v>
          </cell>
          <cell r="AM28">
            <v>13.090075632</v>
          </cell>
          <cell r="AN28">
            <v>58.178113920000001</v>
          </cell>
          <cell r="AO28">
            <v>9.6963523200000008</v>
          </cell>
          <cell r="AP28">
            <v>52.360302527999998</v>
          </cell>
          <cell r="AQ28">
            <v>8.7267170879999991</v>
          </cell>
          <cell r="AS28" t="str">
            <v>BJ</v>
          </cell>
        </row>
        <row r="29">
          <cell r="B29" t="str">
            <v>Bermuda</v>
          </cell>
          <cell r="C29" t="str">
            <v>Latin America</v>
          </cell>
          <cell r="E29" t="str">
            <v>BMD</v>
          </cell>
          <cell r="F29">
            <v>95.99</v>
          </cell>
          <cell r="G29">
            <v>15.99</v>
          </cell>
          <cell r="H29">
            <v>71.989999999999995</v>
          </cell>
          <cell r="I29">
            <v>11.99</v>
          </cell>
          <cell r="J29">
            <v>65.989999999999995</v>
          </cell>
          <cell r="K29">
            <v>10.99</v>
          </cell>
          <cell r="L29">
            <v>6.0031269543464658</v>
          </cell>
          <cell r="M29">
            <v>1.3336113427856546</v>
          </cell>
          <cell r="N29">
            <v>6.0041701417848206</v>
          </cell>
          <cell r="O29">
            <v>6.0045495905368513</v>
          </cell>
          <cell r="P29">
            <v>0.91659716430358629</v>
          </cell>
          <cell r="Q29" t="str">
            <v>BMD</v>
          </cell>
          <cell r="R29">
            <v>95.99</v>
          </cell>
          <cell r="S29">
            <v>15.99</v>
          </cell>
          <cell r="T29">
            <v>71.989999999999995</v>
          </cell>
          <cell r="U29">
            <v>11.99</v>
          </cell>
          <cell r="V29">
            <v>65.989999999999995</v>
          </cell>
          <cell r="W29">
            <v>10.99</v>
          </cell>
          <cell r="X29">
            <v>6.0031269543464658</v>
          </cell>
          <cell r="Y29">
            <v>1.3336113427856546</v>
          </cell>
          <cell r="Z29">
            <v>6.0041701417848206</v>
          </cell>
          <cell r="AA29">
            <v>6.0045495905368513</v>
          </cell>
          <cell r="AB29">
            <v>0.91659716430358629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1</v>
          </cell>
          <cell r="AL29">
            <v>95.99</v>
          </cell>
          <cell r="AM29">
            <v>15.99</v>
          </cell>
          <cell r="AN29">
            <v>71.989999999999995</v>
          </cell>
          <cell r="AO29">
            <v>11.99</v>
          </cell>
          <cell r="AP29">
            <v>65.989999999999995</v>
          </cell>
          <cell r="AQ29">
            <v>10.99</v>
          </cell>
          <cell r="AS29" t="str">
            <v>BM</v>
          </cell>
        </row>
        <row r="30">
          <cell r="B30" t="str">
            <v>Bhutan</v>
          </cell>
          <cell r="C30" t="str">
            <v>Asia</v>
          </cell>
          <cell r="E30" t="str">
            <v>USD</v>
          </cell>
          <cell r="F30">
            <v>71.989999999999995</v>
          </cell>
          <cell r="G30">
            <v>11.99</v>
          </cell>
          <cell r="H30">
            <v>53.99</v>
          </cell>
          <cell r="I30">
            <v>8.99</v>
          </cell>
          <cell r="J30">
            <v>47.99</v>
          </cell>
          <cell r="K30">
            <v>7.99</v>
          </cell>
          <cell r="L30">
            <v>6.0041701417848206</v>
          </cell>
          <cell r="M30">
            <v>1.3337041156840934</v>
          </cell>
          <cell r="N30">
            <v>6.0055617352614012</v>
          </cell>
          <cell r="O30">
            <v>6.0062578222778473</v>
          </cell>
          <cell r="P30">
            <v>0.88876529477196886</v>
          </cell>
          <cell r="Q30" t="str">
            <v>USD</v>
          </cell>
          <cell r="R30">
            <v>71.989999999999995</v>
          </cell>
          <cell r="S30">
            <v>11.99</v>
          </cell>
          <cell r="T30">
            <v>53.99</v>
          </cell>
          <cell r="U30">
            <v>8.99</v>
          </cell>
          <cell r="V30">
            <v>47.99</v>
          </cell>
          <cell r="W30">
            <v>7.99</v>
          </cell>
          <cell r="X30">
            <v>6.0041701417848206</v>
          </cell>
          <cell r="Y30">
            <v>1.3337041156840934</v>
          </cell>
          <cell r="Z30">
            <v>6.0055617352614012</v>
          </cell>
          <cell r="AA30">
            <v>6.0062578222778473</v>
          </cell>
          <cell r="AB30">
            <v>0.88876529477196886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1</v>
          </cell>
          <cell r="AL30">
            <v>71.989999999999995</v>
          </cell>
          <cell r="AM30">
            <v>11.99</v>
          </cell>
          <cell r="AN30">
            <v>53.99</v>
          </cell>
          <cell r="AO30">
            <v>8.99</v>
          </cell>
          <cell r="AP30">
            <v>47.99</v>
          </cell>
          <cell r="AQ30">
            <v>7.99</v>
          </cell>
          <cell r="AS30" t="str">
            <v>BT</v>
          </cell>
        </row>
        <row r="31">
          <cell r="B31" t="str">
            <v>Bolivia</v>
          </cell>
          <cell r="C31" t="str">
            <v>Latin America</v>
          </cell>
          <cell r="E31" t="str">
            <v>BOB</v>
          </cell>
          <cell r="F31">
            <v>559.99</v>
          </cell>
          <cell r="G31">
            <v>92.99</v>
          </cell>
          <cell r="H31">
            <v>409.99</v>
          </cell>
          <cell r="I31">
            <v>68.989999999999995</v>
          </cell>
          <cell r="J31">
            <v>369.99</v>
          </cell>
          <cell r="K31">
            <v>61.99</v>
          </cell>
          <cell r="L31">
            <v>6.022045381223788</v>
          </cell>
          <cell r="M31">
            <v>1.3478765038411364</v>
          </cell>
          <cell r="N31">
            <v>5.9427453254094802</v>
          </cell>
          <cell r="O31">
            <v>5.9685433134376513</v>
          </cell>
          <cell r="P31">
            <v>0.89853601971300201</v>
          </cell>
          <cell r="Q31" t="str">
            <v>BOB</v>
          </cell>
          <cell r="R31">
            <v>559.99</v>
          </cell>
          <cell r="S31">
            <v>92.99</v>
          </cell>
          <cell r="T31">
            <v>409.99</v>
          </cell>
          <cell r="U31">
            <v>68.989999999999995</v>
          </cell>
          <cell r="V31">
            <v>369.99</v>
          </cell>
          <cell r="W31">
            <v>61.99</v>
          </cell>
          <cell r="X31">
            <v>6.022045381223788</v>
          </cell>
          <cell r="Y31">
            <v>1.3478765038411364</v>
          </cell>
          <cell r="Z31">
            <v>5.9427453254094802</v>
          </cell>
          <cell r="AA31">
            <v>5.9685433134376513</v>
          </cell>
          <cell r="AB31">
            <v>0.89853601971300201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0.14471780000000001</v>
          </cell>
          <cell r="AL31">
            <v>81.040520822000005</v>
          </cell>
          <cell r="AM31">
            <v>13.457308222</v>
          </cell>
          <cell r="AN31">
            <v>59.332850822000005</v>
          </cell>
          <cell r="AO31">
            <v>9.9840810219999998</v>
          </cell>
          <cell r="AP31">
            <v>53.544138822000001</v>
          </cell>
          <cell r="AQ31">
            <v>8.9710564220000002</v>
          </cell>
          <cell r="AS31" t="str">
            <v>BO</v>
          </cell>
        </row>
        <row r="32">
          <cell r="B32" t="str">
            <v>Bonaire, St. Eustatius, &amp; Saba</v>
          </cell>
          <cell r="C32" t="str">
            <v>Latin America</v>
          </cell>
          <cell r="E32" t="str">
            <v>USD</v>
          </cell>
          <cell r="F32">
            <v>89.99</v>
          </cell>
          <cell r="G32">
            <v>14.99</v>
          </cell>
          <cell r="H32">
            <v>69.989999999999995</v>
          </cell>
          <cell r="I32">
            <v>10.99</v>
          </cell>
          <cell r="J32">
            <v>59.99</v>
          </cell>
          <cell r="K32">
            <v>9.99</v>
          </cell>
          <cell r="L32">
            <v>6.0033355570380253</v>
          </cell>
          <cell r="M32">
            <v>1.3639672429481347</v>
          </cell>
          <cell r="N32">
            <v>6.3685168334849855</v>
          </cell>
          <cell r="O32">
            <v>6.005005005005005</v>
          </cell>
          <cell r="P32">
            <v>0.90900818926296634</v>
          </cell>
          <cell r="Q32" t="str">
            <v>USD</v>
          </cell>
          <cell r="R32">
            <v>89.99</v>
          </cell>
          <cell r="S32">
            <v>14.99</v>
          </cell>
          <cell r="T32">
            <v>69.989999999999995</v>
          </cell>
          <cell r="U32">
            <v>10.99</v>
          </cell>
          <cell r="V32">
            <v>59.99</v>
          </cell>
          <cell r="W32">
            <v>9.99</v>
          </cell>
          <cell r="X32">
            <v>6.0033355570380253</v>
          </cell>
          <cell r="Y32">
            <v>1.3639672429481347</v>
          </cell>
          <cell r="Z32">
            <v>6.3685168334849855</v>
          </cell>
          <cell r="AA32">
            <v>6.005005005005005</v>
          </cell>
          <cell r="AB32">
            <v>0.90900818926296634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1</v>
          </cell>
          <cell r="AL32">
            <v>89.99</v>
          </cell>
          <cell r="AM32">
            <v>14.99</v>
          </cell>
          <cell r="AN32">
            <v>69.989999999999995</v>
          </cell>
          <cell r="AO32">
            <v>10.99</v>
          </cell>
          <cell r="AP32">
            <v>59.99</v>
          </cell>
          <cell r="AQ32">
            <v>9.99</v>
          </cell>
          <cell r="AS32" t="str">
            <v>BQ</v>
          </cell>
        </row>
        <row r="33">
          <cell r="B33" t="str">
            <v>Bosnia And Herzegovina</v>
          </cell>
          <cell r="C33" t="str">
            <v>Europe</v>
          </cell>
          <cell r="E33" t="str">
            <v>BAM</v>
          </cell>
          <cell r="F33">
            <v>149.99</v>
          </cell>
          <cell r="G33">
            <v>24.99</v>
          </cell>
          <cell r="H33">
            <v>109.99</v>
          </cell>
          <cell r="I33">
            <v>17.989999999999998</v>
          </cell>
          <cell r="J33">
            <v>99.99</v>
          </cell>
          <cell r="K33">
            <v>15.99</v>
          </cell>
          <cell r="L33">
            <v>6.0020008003201291</v>
          </cell>
          <cell r="M33">
            <v>1.3891050583657587</v>
          </cell>
          <cell r="N33">
            <v>6.1139521956642584</v>
          </cell>
          <cell r="O33">
            <v>6.2532833020637897</v>
          </cell>
          <cell r="P33">
            <v>0.88882712618121185</v>
          </cell>
          <cell r="Q33" t="str">
            <v>BAM</v>
          </cell>
          <cell r="R33">
            <v>149.99</v>
          </cell>
          <cell r="S33">
            <v>24.99</v>
          </cell>
          <cell r="T33">
            <v>109.99</v>
          </cell>
          <cell r="U33">
            <v>17.989999999999998</v>
          </cell>
          <cell r="V33">
            <v>99.99</v>
          </cell>
          <cell r="W33">
            <v>15.99</v>
          </cell>
          <cell r="X33">
            <v>6.0020008003201291</v>
          </cell>
          <cell r="Y33">
            <v>1.3891050583657587</v>
          </cell>
          <cell r="Z33">
            <v>6.1139521956642584</v>
          </cell>
          <cell r="AA33">
            <v>6.2532833020637897</v>
          </cell>
          <cell r="AB33">
            <v>0.88882712618121185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0.60222819999999999</v>
          </cell>
          <cell r="AL33">
            <v>90.328207718000002</v>
          </cell>
          <cell r="AM33">
            <v>15.049682718</v>
          </cell>
          <cell r="AN33">
            <v>66.239079717999999</v>
          </cell>
          <cell r="AO33">
            <v>10.834085318</v>
          </cell>
          <cell r="AP33">
            <v>60.216797717999995</v>
          </cell>
          <cell r="AQ33">
            <v>9.6296289179999999</v>
          </cell>
          <cell r="AS33" t="str">
            <v>BA</v>
          </cell>
        </row>
        <row r="34">
          <cell r="B34" t="str">
            <v>Botswana</v>
          </cell>
          <cell r="C34" t="str">
            <v>Africa</v>
          </cell>
          <cell r="E34" t="str">
            <v>BWP</v>
          </cell>
          <cell r="F34">
            <v>665.99</v>
          </cell>
          <cell r="G34">
            <v>110.99</v>
          </cell>
          <cell r="H34">
            <v>491.99</v>
          </cell>
          <cell r="I34">
            <v>81.99</v>
          </cell>
          <cell r="J34">
            <v>443.99</v>
          </cell>
          <cell r="K34">
            <v>73.989999999999995</v>
          </cell>
          <cell r="L34">
            <v>6.0004504910352283</v>
          </cell>
          <cell r="M34">
            <v>1.3537016709354799</v>
          </cell>
          <cell r="N34">
            <v>6.0006098304671305</v>
          </cell>
          <cell r="O34">
            <v>6.0006757669955402</v>
          </cell>
          <cell r="P34">
            <v>0.9024271252591779</v>
          </cell>
          <cell r="Q34" t="str">
            <v>BWP</v>
          </cell>
          <cell r="R34">
            <v>665.99</v>
          </cell>
          <cell r="S34">
            <v>110.99</v>
          </cell>
          <cell r="T34">
            <v>491.99</v>
          </cell>
          <cell r="U34">
            <v>81.99</v>
          </cell>
          <cell r="V34">
            <v>443.99</v>
          </cell>
          <cell r="W34">
            <v>73.989999999999995</v>
          </cell>
          <cell r="X34">
            <v>6.0004504910352283</v>
          </cell>
          <cell r="Y34">
            <v>1.3537016709354799</v>
          </cell>
          <cell r="Z34">
            <v>6.0006098304671305</v>
          </cell>
          <cell r="AA34">
            <v>6.0006757669955402</v>
          </cell>
          <cell r="AB34">
            <v>0.9024271252591779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7.5399994999999997E-2</v>
          </cell>
          <cell r="AL34">
            <v>50.215642670050002</v>
          </cell>
          <cell r="AM34">
            <v>8.3686454450499994</v>
          </cell>
          <cell r="AN34">
            <v>37.096043540049997</v>
          </cell>
          <cell r="AO34">
            <v>6.1820455900499995</v>
          </cell>
          <cell r="AP34">
            <v>33.476843780049997</v>
          </cell>
          <cell r="AQ34">
            <v>5.5788456300499991</v>
          </cell>
          <cell r="AS34" t="str">
            <v>BW</v>
          </cell>
        </row>
        <row r="35">
          <cell r="B35" t="str">
            <v>Bouvet Island</v>
          </cell>
          <cell r="C35" t="str">
            <v>Europe</v>
          </cell>
          <cell r="E35" t="str">
            <v>NOK</v>
          </cell>
          <cell r="F35">
            <v>1399.99</v>
          </cell>
          <cell r="G35">
            <v>199.99</v>
          </cell>
          <cell r="H35">
            <v>899.99</v>
          </cell>
          <cell r="I35">
            <v>149.99</v>
          </cell>
          <cell r="J35">
            <v>839.99</v>
          </cell>
          <cell r="K35">
            <v>139.99</v>
          </cell>
          <cell r="L35">
            <v>7.0003000150007502</v>
          </cell>
          <cell r="M35">
            <v>1.3333555570371358</v>
          </cell>
          <cell r="N35">
            <v>6.0003333555570366</v>
          </cell>
          <cell r="O35">
            <v>6.0003571683691685</v>
          </cell>
          <cell r="P35">
            <v>0.93332888859257279</v>
          </cell>
          <cell r="Q35" t="str">
            <v>NOK</v>
          </cell>
          <cell r="R35">
            <v>1399.99</v>
          </cell>
          <cell r="S35">
            <v>199.99</v>
          </cell>
          <cell r="T35">
            <v>899.99</v>
          </cell>
          <cell r="U35">
            <v>149.99</v>
          </cell>
          <cell r="V35">
            <v>839.99</v>
          </cell>
          <cell r="W35">
            <v>139.99</v>
          </cell>
          <cell r="X35">
            <v>7.0003000150007502</v>
          </cell>
          <cell r="Y35">
            <v>1.3333555570371358</v>
          </cell>
          <cell r="Z35">
            <v>6.0003333555570366</v>
          </cell>
          <cell r="AA35">
            <v>6.0003571683691685</v>
          </cell>
          <cell r="AB35">
            <v>0.93332888859257279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9.931719E-2</v>
          </cell>
          <cell r="AL35">
            <v>139.04307282810001</v>
          </cell>
          <cell r="AM35">
            <v>19.862444828099999</v>
          </cell>
          <cell r="AN35">
            <v>89.384477828100003</v>
          </cell>
          <cell r="AO35">
            <v>14.8965853281</v>
          </cell>
          <cell r="AP35">
            <v>83.425446428100003</v>
          </cell>
          <cell r="AQ35">
            <v>13.9034134281</v>
          </cell>
          <cell r="AS35" t="str">
            <v>BV</v>
          </cell>
        </row>
        <row r="36">
          <cell r="B36" t="str">
            <v>Brazil</v>
          </cell>
          <cell r="C36" t="str">
            <v>Latin America</v>
          </cell>
          <cell r="D36" t="str">
            <v>C</v>
          </cell>
          <cell r="E36" t="str">
            <v>BRL</v>
          </cell>
          <cell r="F36">
            <v>489.99</v>
          </cell>
          <cell r="G36">
            <v>69.989999999999995</v>
          </cell>
          <cell r="H36">
            <v>384.99</v>
          </cell>
          <cell r="I36">
            <v>54.99</v>
          </cell>
          <cell r="J36">
            <v>349.99</v>
          </cell>
          <cell r="K36">
            <v>49.99</v>
          </cell>
          <cell r="L36">
            <v>7.0008572653236181</v>
          </cell>
          <cell r="M36">
            <v>1.2727768685215493</v>
          </cell>
          <cell r="N36">
            <v>7.0010911074740863</v>
          </cell>
          <cell r="O36">
            <v>7.0012002400480098</v>
          </cell>
          <cell r="P36">
            <v>0.90907437715948358</v>
          </cell>
          <cell r="Q36" t="str">
            <v>BRL</v>
          </cell>
          <cell r="R36">
            <v>489.99</v>
          </cell>
          <cell r="S36">
            <v>69.989999999999995</v>
          </cell>
          <cell r="T36">
            <v>384.99</v>
          </cell>
          <cell r="U36">
            <v>54.99</v>
          </cell>
          <cell r="V36">
            <v>349.99</v>
          </cell>
          <cell r="W36">
            <v>49.99</v>
          </cell>
          <cell r="X36">
            <v>7.0008572653236181</v>
          </cell>
          <cell r="Y36">
            <v>1.2727768685215493</v>
          </cell>
          <cell r="Z36">
            <v>7.0010911074740863</v>
          </cell>
          <cell r="AA36">
            <v>7.0012002400480098</v>
          </cell>
          <cell r="AB36">
            <v>0.90907437715948358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0.18495399000000001</v>
          </cell>
          <cell r="AL36">
            <v>90.625605560100013</v>
          </cell>
          <cell r="AM36">
            <v>12.944929760099999</v>
          </cell>
          <cell r="AN36">
            <v>71.205436610100008</v>
          </cell>
          <cell r="AO36">
            <v>10.170619910100001</v>
          </cell>
          <cell r="AP36">
            <v>64.732046960100007</v>
          </cell>
          <cell r="AQ36">
            <v>9.245849960100001</v>
          </cell>
          <cell r="AS36" t="str">
            <v>BR</v>
          </cell>
        </row>
        <row r="37">
          <cell r="B37" t="str">
            <v>British Indian Ocean Territory</v>
          </cell>
          <cell r="C37" t="str">
            <v>Asia</v>
          </cell>
          <cell r="E37" t="str">
            <v>USD</v>
          </cell>
          <cell r="F37">
            <v>77.989999999999995</v>
          </cell>
          <cell r="G37">
            <v>12.99</v>
          </cell>
          <cell r="H37">
            <v>59.99</v>
          </cell>
          <cell r="I37">
            <v>9.99</v>
          </cell>
          <cell r="J37">
            <v>53.99</v>
          </cell>
          <cell r="K37">
            <v>8.99</v>
          </cell>
          <cell r="L37">
            <v>6.0038491147036179</v>
          </cell>
          <cell r="M37">
            <v>1.3003003003003002</v>
          </cell>
          <cell r="N37">
            <v>6.005005005005005</v>
          </cell>
          <cell r="O37">
            <v>6.0055617352614012</v>
          </cell>
          <cell r="P37">
            <v>0.89989989989989994</v>
          </cell>
          <cell r="Q37" t="str">
            <v>USD</v>
          </cell>
          <cell r="R37">
            <v>77.989999999999995</v>
          </cell>
          <cell r="S37">
            <v>12.99</v>
          </cell>
          <cell r="T37">
            <v>59.99</v>
          </cell>
          <cell r="U37">
            <v>9.99</v>
          </cell>
          <cell r="V37">
            <v>53.99</v>
          </cell>
          <cell r="W37">
            <v>8.99</v>
          </cell>
          <cell r="X37">
            <v>6.0038491147036179</v>
          </cell>
          <cell r="Y37">
            <v>1.3003003003003002</v>
          </cell>
          <cell r="Z37">
            <v>6.005005005005005</v>
          </cell>
          <cell r="AA37">
            <v>6.0055617352614012</v>
          </cell>
          <cell r="AB37">
            <v>0.89989989989989994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</v>
          </cell>
          <cell r="AL37">
            <v>77.989999999999995</v>
          </cell>
          <cell r="AM37">
            <v>12.99</v>
          </cell>
          <cell r="AN37">
            <v>59.99</v>
          </cell>
          <cell r="AO37">
            <v>9.99</v>
          </cell>
          <cell r="AP37">
            <v>53.99</v>
          </cell>
          <cell r="AQ37">
            <v>8.99</v>
          </cell>
          <cell r="AS37" t="str">
            <v>IO</v>
          </cell>
        </row>
        <row r="38">
          <cell r="B38" t="str">
            <v>British Virgin Islands</v>
          </cell>
          <cell r="C38" t="str">
            <v>Latin America</v>
          </cell>
          <cell r="E38" t="str">
            <v>USD</v>
          </cell>
          <cell r="F38">
            <v>102.99</v>
          </cell>
          <cell r="G38">
            <v>16.989999999999998</v>
          </cell>
          <cell r="H38">
            <v>71.989999999999995</v>
          </cell>
          <cell r="I38">
            <v>11.99</v>
          </cell>
          <cell r="J38">
            <v>65.989999999999995</v>
          </cell>
          <cell r="K38">
            <v>10.99</v>
          </cell>
          <cell r="L38">
            <v>6.0618010594467338</v>
          </cell>
          <cell r="M38">
            <v>1.4170141784820682</v>
          </cell>
          <cell r="N38">
            <v>6.0041701417848206</v>
          </cell>
          <cell r="O38">
            <v>6.0045495905368513</v>
          </cell>
          <cell r="P38">
            <v>0.91659716430358629</v>
          </cell>
          <cell r="Q38" t="str">
            <v>USD</v>
          </cell>
          <cell r="R38">
            <v>102.99</v>
          </cell>
          <cell r="S38">
            <v>16.989999999999998</v>
          </cell>
          <cell r="T38">
            <v>71.989999999999995</v>
          </cell>
          <cell r="U38">
            <v>11.99</v>
          </cell>
          <cell r="V38">
            <v>65.989999999999995</v>
          </cell>
          <cell r="W38">
            <v>10.99</v>
          </cell>
          <cell r="X38">
            <v>6.0618010594467338</v>
          </cell>
          <cell r="Y38">
            <v>1.4170141784820682</v>
          </cell>
          <cell r="Z38">
            <v>6.0041701417848206</v>
          </cell>
          <cell r="AA38">
            <v>6.0045495905368513</v>
          </cell>
          <cell r="AB38">
            <v>0.91659716430358629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1</v>
          </cell>
          <cell r="AL38">
            <v>102.99</v>
          </cell>
          <cell r="AM38">
            <v>16.989999999999998</v>
          </cell>
          <cell r="AN38">
            <v>71.989999999999995</v>
          </cell>
          <cell r="AO38">
            <v>11.99</v>
          </cell>
          <cell r="AP38">
            <v>65.989999999999995</v>
          </cell>
          <cell r="AQ38">
            <v>10.99</v>
          </cell>
          <cell r="AS38" t="str">
            <v>VG</v>
          </cell>
        </row>
        <row r="39">
          <cell r="B39" t="str">
            <v>Brunei</v>
          </cell>
          <cell r="C39" t="str">
            <v>Asia</v>
          </cell>
          <cell r="E39" t="str">
            <v>BND</v>
          </cell>
          <cell r="F39">
            <v>107.99</v>
          </cell>
          <cell r="G39">
            <v>17.989999999999998</v>
          </cell>
          <cell r="H39">
            <v>77.989999999999995</v>
          </cell>
          <cell r="I39">
            <v>12.99</v>
          </cell>
          <cell r="J39">
            <v>71.989999999999995</v>
          </cell>
          <cell r="K39">
            <v>11.99</v>
          </cell>
          <cell r="L39">
            <v>6.0027793218454697</v>
          </cell>
          <cell r="M39">
            <v>1.3849114703618166</v>
          </cell>
          <cell r="N39">
            <v>6.0038491147036179</v>
          </cell>
          <cell r="O39">
            <v>6.0041701417848206</v>
          </cell>
          <cell r="P39">
            <v>0.92301770592763666</v>
          </cell>
          <cell r="Q39" t="str">
            <v>BND</v>
          </cell>
          <cell r="R39">
            <v>107.99</v>
          </cell>
          <cell r="S39">
            <v>17.989999999999998</v>
          </cell>
          <cell r="T39">
            <v>77.989999999999995</v>
          </cell>
          <cell r="U39">
            <v>12.99</v>
          </cell>
          <cell r="V39">
            <v>71.989999999999995</v>
          </cell>
          <cell r="W39">
            <v>11.99</v>
          </cell>
          <cell r="X39">
            <v>6.0027793218454697</v>
          </cell>
          <cell r="Y39">
            <v>1.3849114703618166</v>
          </cell>
          <cell r="Z39">
            <v>6.0038491147036179</v>
          </cell>
          <cell r="AA39">
            <v>6.0041701417848206</v>
          </cell>
          <cell r="AB39">
            <v>0.92301770592763666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0.78455984999999995</v>
          </cell>
          <cell r="AL39">
            <v>84.724618201499993</v>
          </cell>
          <cell r="AM39">
            <v>14.114231701499998</v>
          </cell>
          <cell r="AN39">
            <v>61.187822701499989</v>
          </cell>
          <cell r="AO39">
            <v>10.191432451499999</v>
          </cell>
          <cell r="AP39">
            <v>56.480463601499991</v>
          </cell>
          <cell r="AQ39">
            <v>9.4068726014999999</v>
          </cell>
          <cell r="AS39" t="str">
            <v>BN</v>
          </cell>
        </row>
        <row r="40">
          <cell r="B40" t="str">
            <v>Bulgaria</v>
          </cell>
          <cell r="C40" t="str">
            <v>Europe</v>
          </cell>
          <cell r="E40" t="str">
            <v>BGN</v>
          </cell>
          <cell r="F40">
            <v>184.99</v>
          </cell>
          <cell r="G40">
            <v>28.99</v>
          </cell>
          <cell r="H40">
            <v>136.99</v>
          </cell>
          <cell r="I40">
            <v>20.99</v>
          </cell>
          <cell r="J40">
            <v>119.99</v>
          </cell>
          <cell r="K40">
            <v>18.989999999999998</v>
          </cell>
          <cell r="L40">
            <v>6.3811659192825116</v>
          </cell>
          <cell r="M40">
            <v>1.3811338732729872</v>
          </cell>
          <cell r="N40">
            <v>6.5264411624583145</v>
          </cell>
          <cell r="O40">
            <v>6.3185887309110065</v>
          </cell>
          <cell r="P40">
            <v>0.90471653168175326</v>
          </cell>
          <cell r="Q40" t="str">
            <v>EUR</v>
          </cell>
          <cell r="R40">
            <v>92.99</v>
          </cell>
          <cell r="S40">
            <v>14.99</v>
          </cell>
          <cell r="T40">
            <v>69.989999999999995</v>
          </cell>
          <cell r="U40">
            <v>10.99</v>
          </cell>
          <cell r="V40">
            <v>59.99</v>
          </cell>
          <cell r="W40">
            <v>9.99</v>
          </cell>
          <cell r="X40">
            <v>6.2034689793195463</v>
          </cell>
          <cell r="Y40">
            <v>1.3639672429481347</v>
          </cell>
          <cell r="Z40">
            <v>6.3685168334849855</v>
          </cell>
          <cell r="AA40">
            <v>6.005005005005005</v>
          </cell>
          <cell r="AB40">
            <v>0.90900818926296634</v>
          </cell>
          <cell r="AD40">
            <v>-0.49732417968538845</v>
          </cell>
          <cell r="AE40">
            <v>-0.48292514660227659</v>
          </cell>
          <cell r="AF40">
            <v>-0.48908679465654437</v>
          </cell>
          <cell r="AG40">
            <v>-0.47641734159123383</v>
          </cell>
          <cell r="AH40">
            <v>-0.50004167013917822</v>
          </cell>
          <cell r="AI40">
            <v>-0.47393364928909942</v>
          </cell>
          <cell r="AK40">
            <v>1.1778500000000001</v>
          </cell>
          <cell r="AL40">
            <v>109.5282715</v>
          </cell>
          <cell r="AM40">
            <v>17.6559715</v>
          </cell>
          <cell r="AN40">
            <v>82.437721499999995</v>
          </cell>
          <cell r="AO40">
            <v>12.9445715</v>
          </cell>
          <cell r="AP40">
            <v>70.659221500000001</v>
          </cell>
          <cell r="AQ40">
            <v>11.766721500000001</v>
          </cell>
          <cell r="AS40" t="str">
            <v>BG</v>
          </cell>
        </row>
        <row r="41">
          <cell r="B41" t="str">
            <v>Burkina Faso</v>
          </cell>
          <cell r="C41" t="str">
            <v>Africa</v>
          </cell>
          <cell r="E41" t="str">
            <v>XOF</v>
          </cell>
          <cell r="F41">
            <v>43740</v>
          </cell>
          <cell r="G41">
            <v>7290</v>
          </cell>
          <cell r="H41">
            <v>32400</v>
          </cell>
          <cell r="I41">
            <v>5400</v>
          </cell>
          <cell r="J41">
            <v>29160</v>
          </cell>
          <cell r="K41">
            <v>4860</v>
          </cell>
          <cell r="L41">
            <v>6</v>
          </cell>
          <cell r="M41">
            <v>1.35</v>
          </cell>
          <cell r="N41">
            <v>6</v>
          </cell>
          <cell r="O41">
            <v>6</v>
          </cell>
          <cell r="P41">
            <v>0.9</v>
          </cell>
          <cell r="Q41" t="str">
            <v>XOF</v>
          </cell>
          <cell r="R41">
            <v>43740</v>
          </cell>
          <cell r="S41">
            <v>7290</v>
          </cell>
          <cell r="T41">
            <v>32400</v>
          </cell>
          <cell r="U41">
            <v>5400</v>
          </cell>
          <cell r="V41">
            <v>29160</v>
          </cell>
          <cell r="W41">
            <v>4860</v>
          </cell>
          <cell r="X41">
            <v>6</v>
          </cell>
          <cell r="Y41">
            <v>1.35</v>
          </cell>
          <cell r="Z41">
            <v>6</v>
          </cell>
          <cell r="AA41">
            <v>6</v>
          </cell>
          <cell r="AB41">
            <v>0.9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1.7956208E-3</v>
          </cell>
          <cell r="AL41">
            <v>78.540453791999994</v>
          </cell>
          <cell r="AM41">
            <v>13.090075632</v>
          </cell>
          <cell r="AN41">
            <v>58.178113920000001</v>
          </cell>
          <cell r="AO41">
            <v>9.6963523200000008</v>
          </cell>
          <cell r="AP41">
            <v>52.360302527999998</v>
          </cell>
          <cell r="AQ41">
            <v>8.7267170879999991</v>
          </cell>
          <cell r="AS41" t="str">
            <v>BF</v>
          </cell>
        </row>
        <row r="42">
          <cell r="B42" t="str">
            <v>Burundi</v>
          </cell>
          <cell r="C42" t="str">
            <v>Africa</v>
          </cell>
          <cell r="E42" t="str">
            <v>USD</v>
          </cell>
          <cell r="F42">
            <v>71.989999999999995</v>
          </cell>
          <cell r="G42">
            <v>11.99</v>
          </cell>
          <cell r="H42">
            <v>53.99</v>
          </cell>
          <cell r="I42">
            <v>8.99</v>
          </cell>
          <cell r="J42">
            <v>47.99</v>
          </cell>
          <cell r="K42">
            <v>7.99</v>
          </cell>
          <cell r="L42">
            <v>6.0041701417848206</v>
          </cell>
          <cell r="M42">
            <v>1.3337041156840934</v>
          </cell>
          <cell r="N42">
            <v>6.0055617352614012</v>
          </cell>
          <cell r="O42">
            <v>6.0062578222778473</v>
          </cell>
          <cell r="P42">
            <v>0.88876529477196886</v>
          </cell>
          <cell r="Q42" t="str">
            <v>USD</v>
          </cell>
          <cell r="R42">
            <v>71.989999999999995</v>
          </cell>
          <cell r="S42">
            <v>11.99</v>
          </cell>
          <cell r="T42">
            <v>53.99</v>
          </cell>
          <cell r="U42">
            <v>8.99</v>
          </cell>
          <cell r="V42">
            <v>47.99</v>
          </cell>
          <cell r="W42">
            <v>7.99</v>
          </cell>
          <cell r="X42">
            <v>6.0041701417848206</v>
          </cell>
          <cell r="Y42">
            <v>1.3337041156840934</v>
          </cell>
          <cell r="Z42">
            <v>6.0055617352614012</v>
          </cell>
          <cell r="AA42">
            <v>6.0062578222778473</v>
          </cell>
          <cell r="AB42">
            <v>0.88876529477196886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</v>
          </cell>
          <cell r="AL42">
            <v>71.989999999999995</v>
          </cell>
          <cell r="AM42">
            <v>11.99</v>
          </cell>
          <cell r="AN42">
            <v>53.99</v>
          </cell>
          <cell r="AO42">
            <v>8.99</v>
          </cell>
          <cell r="AP42">
            <v>47.99</v>
          </cell>
          <cell r="AQ42">
            <v>7.99</v>
          </cell>
          <cell r="AS42" t="str">
            <v>BI</v>
          </cell>
        </row>
        <row r="43">
          <cell r="B43" t="str">
            <v>Cambodia</v>
          </cell>
          <cell r="C43" t="str">
            <v>Asia</v>
          </cell>
          <cell r="E43" t="str">
            <v>KHR</v>
          </cell>
          <cell r="F43">
            <v>294180</v>
          </cell>
          <cell r="G43">
            <v>49030</v>
          </cell>
          <cell r="H43">
            <v>217920</v>
          </cell>
          <cell r="I43">
            <v>36320</v>
          </cell>
          <cell r="J43">
            <v>196140</v>
          </cell>
          <cell r="K43">
            <v>32690</v>
          </cell>
          <cell r="L43">
            <v>6</v>
          </cell>
          <cell r="M43">
            <v>1.3499449339207048</v>
          </cell>
          <cell r="N43">
            <v>6</v>
          </cell>
          <cell r="O43">
            <v>6</v>
          </cell>
          <cell r="P43">
            <v>0.9000550660792952</v>
          </cell>
          <cell r="Q43" t="str">
            <v>KHR</v>
          </cell>
          <cell r="R43">
            <v>294180</v>
          </cell>
          <cell r="S43">
            <v>49030</v>
          </cell>
          <cell r="T43">
            <v>217920</v>
          </cell>
          <cell r="U43">
            <v>36320</v>
          </cell>
          <cell r="V43">
            <v>196140</v>
          </cell>
          <cell r="W43">
            <v>32690</v>
          </cell>
          <cell r="X43">
            <v>6</v>
          </cell>
          <cell r="Y43">
            <v>1.3499449339207048</v>
          </cell>
          <cell r="Z43">
            <v>6</v>
          </cell>
          <cell r="AA43">
            <v>6</v>
          </cell>
          <cell r="AB43">
            <v>0.9000550660792952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2.4926085999999999E-4</v>
          </cell>
          <cell r="AL43">
            <v>73.327559794799996</v>
          </cell>
          <cell r="AM43">
            <v>12.2212599658</v>
          </cell>
          <cell r="AN43">
            <v>54.318926611199998</v>
          </cell>
          <cell r="AO43">
            <v>9.0531544351999997</v>
          </cell>
          <cell r="AP43">
            <v>48.890025080400001</v>
          </cell>
          <cell r="AQ43">
            <v>8.1483375133999996</v>
          </cell>
          <cell r="AS43" t="str">
            <v>KH</v>
          </cell>
        </row>
        <row r="44">
          <cell r="B44" t="str">
            <v>Cameroon</v>
          </cell>
          <cell r="C44" t="str">
            <v>Africa</v>
          </cell>
          <cell r="E44" t="str">
            <v>XAF</v>
          </cell>
          <cell r="F44">
            <v>43740</v>
          </cell>
          <cell r="G44">
            <v>7290</v>
          </cell>
          <cell r="H44">
            <v>32400</v>
          </cell>
          <cell r="I44">
            <v>5400</v>
          </cell>
          <cell r="J44">
            <v>29160</v>
          </cell>
          <cell r="K44">
            <v>4860</v>
          </cell>
          <cell r="L44">
            <v>6</v>
          </cell>
          <cell r="M44">
            <v>1.35</v>
          </cell>
          <cell r="N44">
            <v>6</v>
          </cell>
          <cell r="O44">
            <v>6</v>
          </cell>
          <cell r="P44">
            <v>0.9</v>
          </cell>
          <cell r="Q44" t="str">
            <v>XAF</v>
          </cell>
          <cell r="R44">
            <v>43740</v>
          </cell>
          <cell r="S44">
            <v>7290</v>
          </cell>
          <cell r="T44">
            <v>32400</v>
          </cell>
          <cell r="U44">
            <v>5400</v>
          </cell>
          <cell r="V44">
            <v>29160</v>
          </cell>
          <cell r="W44">
            <v>4860</v>
          </cell>
          <cell r="X44">
            <v>6</v>
          </cell>
          <cell r="Y44">
            <v>1.35</v>
          </cell>
          <cell r="Z44">
            <v>6</v>
          </cell>
          <cell r="AA44">
            <v>6</v>
          </cell>
          <cell r="AB44">
            <v>0.9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1.7956208E-3</v>
          </cell>
          <cell r="AL44">
            <v>78.540453791999994</v>
          </cell>
          <cell r="AM44">
            <v>13.090075632</v>
          </cell>
          <cell r="AN44">
            <v>58.178113920000001</v>
          </cell>
          <cell r="AO44">
            <v>9.6963523200000008</v>
          </cell>
          <cell r="AP44">
            <v>52.360302527999998</v>
          </cell>
          <cell r="AQ44">
            <v>8.7267170879999991</v>
          </cell>
          <cell r="AS44" t="str">
            <v>CM</v>
          </cell>
        </row>
        <row r="45">
          <cell r="B45" t="str">
            <v>Canada</v>
          </cell>
          <cell r="C45" t="str">
            <v>Canada</v>
          </cell>
          <cell r="D45" t="str">
            <v>A</v>
          </cell>
          <cell r="E45" t="str">
            <v>CAD</v>
          </cell>
          <cell r="F45">
            <v>184.99</v>
          </cell>
          <cell r="G45">
            <v>27.99</v>
          </cell>
          <cell r="H45">
            <v>129.99</v>
          </cell>
          <cell r="I45">
            <v>19.989999999999998</v>
          </cell>
          <cell r="J45">
            <v>114.99</v>
          </cell>
          <cell r="K45">
            <v>17.989999999999998</v>
          </cell>
          <cell r="L45">
            <v>6.6091461236155773</v>
          </cell>
          <cell r="M45">
            <v>1.400200100050025</v>
          </cell>
          <cell r="N45">
            <v>6.5027513756878452</v>
          </cell>
          <cell r="O45">
            <v>6.3918843802112288</v>
          </cell>
          <cell r="P45">
            <v>0.89994997498749374</v>
          </cell>
          <cell r="Q45" t="str">
            <v>CAD</v>
          </cell>
          <cell r="R45">
            <v>184.99</v>
          </cell>
          <cell r="S45">
            <v>27.99</v>
          </cell>
          <cell r="T45">
            <v>129.99</v>
          </cell>
          <cell r="U45">
            <v>19.989999999999998</v>
          </cell>
          <cell r="V45">
            <v>114.99</v>
          </cell>
          <cell r="W45">
            <v>17.989999999999998</v>
          </cell>
          <cell r="X45">
            <v>6.6091461236155773</v>
          </cell>
          <cell r="Y45">
            <v>1.400200100050025</v>
          </cell>
          <cell r="Z45">
            <v>6.5027513756878452</v>
          </cell>
          <cell r="AA45">
            <v>6.3918843802112288</v>
          </cell>
          <cell r="AB45">
            <v>0.89994997498749374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0.73475389999999996</v>
          </cell>
          <cell r="AL45">
            <v>135.92212396100001</v>
          </cell>
          <cell r="AM45">
            <v>20.565761660999996</v>
          </cell>
          <cell r="AN45">
            <v>95.510659461000003</v>
          </cell>
          <cell r="AO45">
            <v>14.687730460999997</v>
          </cell>
          <cell r="AP45">
            <v>84.489350960999985</v>
          </cell>
          <cell r="AQ45">
            <v>13.218222660999999</v>
          </cell>
          <cell r="AS45" t="str">
            <v>CA</v>
          </cell>
        </row>
        <row r="46">
          <cell r="B46" t="str">
            <v>Cape Verde</v>
          </cell>
          <cell r="C46" t="str">
            <v>Africa</v>
          </cell>
          <cell r="E46" t="str">
            <v>CVE</v>
          </cell>
          <cell r="F46">
            <v>7369</v>
          </cell>
          <cell r="G46">
            <v>1229</v>
          </cell>
          <cell r="H46">
            <v>5459</v>
          </cell>
          <cell r="I46">
            <v>909</v>
          </cell>
          <cell r="J46">
            <v>4919</v>
          </cell>
          <cell r="K46">
            <v>819</v>
          </cell>
          <cell r="L46">
            <v>5.9959316517493901</v>
          </cell>
          <cell r="M46">
            <v>1.352035203520352</v>
          </cell>
          <cell r="N46">
            <v>6.0055005500550056</v>
          </cell>
          <cell r="O46">
            <v>6.0061050061050061</v>
          </cell>
          <cell r="P46">
            <v>0.90099009900990101</v>
          </cell>
          <cell r="Q46" t="str">
            <v>CVE</v>
          </cell>
          <cell r="R46">
            <v>7369</v>
          </cell>
          <cell r="S46">
            <v>1229</v>
          </cell>
          <cell r="T46">
            <v>5459</v>
          </cell>
          <cell r="U46">
            <v>909</v>
          </cell>
          <cell r="V46">
            <v>4919</v>
          </cell>
          <cell r="W46">
            <v>819</v>
          </cell>
          <cell r="X46">
            <v>5.9959316517493901</v>
          </cell>
          <cell r="Y46">
            <v>1.352035203520352</v>
          </cell>
          <cell r="Z46">
            <v>6.0055005500550056</v>
          </cell>
          <cell r="AA46">
            <v>6.0061050061050061</v>
          </cell>
          <cell r="AB46">
            <v>0.90099009900990101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1.067949E-2</v>
          </cell>
          <cell r="AL46">
            <v>78.697161809999997</v>
          </cell>
          <cell r="AM46">
            <v>13.125093209999999</v>
          </cell>
          <cell r="AN46">
            <v>58.299335909999996</v>
          </cell>
          <cell r="AO46">
            <v>9.7076564100000002</v>
          </cell>
          <cell r="AP46">
            <v>52.532411310000001</v>
          </cell>
          <cell r="AQ46">
            <v>8.7465023100000003</v>
          </cell>
          <cell r="AS46" t="str">
            <v>CV</v>
          </cell>
        </row>
        <row r="47">
          <cell r="B47" t="str">
            <v>Cayman Islands</v>
          </cell>
          <cell r="C47" t="str">
            <v>Latin America</v>
          </cell>
          <cell r="E47" t="str">
            <v>USD</v>
          </cell>
          <cell r="F47">
            <v>102.99</v>
          </cell>
          <cell r="G47">
            <v>16.989999999999998</v>
          </cell>
          <cell r="H47">
            <v>71.989999999999995</v>
          </cell>
          <cell r="I47">
            <v>11.99</v>
          </cell>
          <cell r="J47">
            <v>65.989999999999995</v>
          </cell>
          <cell r="K47">
            <v>10.99</v>
          </cell>
          <cell r="L47">
            <v>6.0618010594467338</v>
          </cell>
          <cell r="M47">
            <v>1.4170141784820682</v>
          </cell>
          <cell r="N47">
            <v>6.0041701417848206</v>
          </cell>
          <cell r="O47">
            <v>6.0045495905368513</v>
          </cell>
          <cell r="P47">
            <v>0.91659716430358629</v>
          </cell>
          <cell r="Q47" t="str">
            <v>USD</v>
          </cell>
          <cell r="R47">
            <v>102.99</v>
          </cell>
          <cell r="S47">
            <v>16.989999999999998</v>
          </cell>
          <cell r="T47">
            <v>71.989999999999995</v>
          </cell>
          <cell r="U47">
            <v>11.99</v>
          </cell>
          <cell r="V47">
            <v>65.989999999999995</v>
          </cell>
          <cell r="W47">
            <v>10.99</v>
          </cell>
          <cell r="X47">
            <v>6.0618010594467338</v>
          </cell>
          <cell r="Y47">
            <v>1.4170141784820682</v>
          </cell>
          <cell r="Z47">
            <v>6.0041701417848206</v>
          </cell>
          <cell r="AA47">
            <v>6.0045495905368513</v>
          </cell>
          <cell r="AB47">
            <v>0.91659716430358629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1</v>
          </cell>
          <cell r="AL47">
            <v>102.99</v>
          </cell>
          <cell r="AM47">
            <v>16.989999999999998</v>
          </cell>
          <cell r="AN47">
            <v>71.989999999999995</v>
          </cell>
          <cell r="AO47">
            <v>11.99</v>
          </cell>
          <cell r="AP47">
            <v>65.989999999999995</v>
          </cell>
          <cell r="AQ47">
            <v>10.99</v>
          </cell>
          <cell r="AS47" t="str">
            <v>KY</v>
          </cell>
        </row>
        <row r="48">
          <cell r="B48" t="str">
            <v>Central African Republic</v>
          </cell>
          <cell r="C48" t="str">
            <v>Africa</v>
          </cell>
          <cell r="E48" t="str">
            <v>XAF</v>
          </cell>
          <cell r="F48">
            <v>44580</v>
          </cell>
          <cell r="G48">
            <v>7430</v>
          </cell>
          <cell r="H48">
            <v>33000</v>
          </cell>
          <cell r="I48">
            <v>5500</v>
          </cell>
          <cell r="J48">
            <v>29700</v>
          </cell>
          <cell r="K48">
            <v>4950</v>
          </cell>
          <cell r="L48">
            <v>6</v>
          </cell>
          <cell r="M48">
            <v>1.3509090909090908</v>
          </cell>
          <cell r="N48">
            <v>6</v>
          </cell>
          <cell r="O48">
            <v>6</v>
          </cell>
          <cell r="P48">
            <v>0.9</v>
          </cell>
          <cell r="Q48" t="str">
            <v>XAF</v>
          </cell>
          <cell r="R48">
            <v>44580</v>
          </cell>
          <cell r="S48">
            <v>7430</v>
          </cell>
          <cell r="T48">
            <v>33000</v>
          </cell>
          <cell r="U48">
            <v>5500</v>
          </cell>
          <cell r="V48">
            <v>29700</v>
          </cell>
          <cell r="W48">
            <v>4950</v>
          </cell>
          <cell r="X48">
            <v>6</v>
          </cell>
          <cell r="Y48">
            <v>1.3509090909090908</v>
          </cell>
          <cell r="Z48">
            <v>6</v>
          </cell>
          <cell r="AA48">
            <v>6</v>
          </cell>
          <cell r="AB48">
            <v>0.9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1.7956208E-3</v>
          </cell>
          <cell r="AL48">
            <v>80.048775264</v>
          </cell>
          <cell r="AM48">
            <v>13.341462544000001</v>
          </cell>
          <cell r="AN48">
            <v>59.255486400000002</v>
          </cell>
          <cell r="AO48">
            <v>9.8759143999999992</v>
          </cell>
          <cell r="AP48">
            <v>53.32993776</v>
          </cell>
          <cell r="AQ48">
            <v>8.88832296</v>
          </cell>
          <cell r="AS48" t="str">
            <v>CF</v>
          </cell>
        </row>
        <row r="49">
          <cell r="B49" t="str">
            <v>Chad</v>
          </cell>
          <cell r="C49" t="str">
            <v>Africa</v>
          </cell>
          <cell r="E49" t="str">
            <v>XAF</v>
          </cell>
          <cell r="F49">
            <v>43740</v>
          </cell>
          <cell r="G49">
            <v>7290</v>
          </cell>
          <cell r="H49">
            <v>32400</v>
          </cell>
          <cell r="I49">
            <v>5400</v>
          </cell>
          <cell r="J49">
            <v>29160</v>
          </cell>
          <cell r="K49">
            <v>4860</v>
          </cell>
          <cell r="L49">
            <v>6</v>
          </cell>
          <cell r="M49">
            <v>1.35</v>
          </cell>
          <cell r="N49">
            <v>6</v>
          </cell>
          <cell r="O49">
            <v>6</v>
          </cell>
          <cell r="P49">
            <v>0.9</v>
          </cell>
          <cell r="Q49" t="str">
            <v>XAF</v>
          </cell>
          <cell r="R49">
            <v>43740</v>
          </cell>
          <cell r="S49">
            <v>7290</v>
          </cell>
          <cell r="T49">
            <v>32400</v>
          </cell>
          <cell r="U49">
            <v>5400</v>
          </cell>
          <cell r="V49">
            <v>29160</v>
          </cell>
          <cell r="W49">
            <v>4860</v>
          </cell>
          <cell r="X49">
            <v>6</v>
          </cell>
          <cell r="Y49">
            <v>1.35</v>
          </cell>
          <cell r="Z49">
            <v>6</v>
          </cell>
          <cell r="AA49">
            <v>6</v>
          </cell>
          <cell r="AB49">
            <v>0.9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1.7956208E-3</v>
          </cell>
          <cell r="AL49">
            <v>78.540453791999994</v>
          </cell>
          <cell r="AM49">
            <v>13.090075632</v>
          </cell>
          <cell r="AN49">
            <v>58.178113920000001</v>
          </cell>
          <cell r="AO49">
            <v>9.6963523200000008</v>
          </cell>
          <cell r="AP49">
            <v>52.360302527999998</v>
          </cell>
          <cell r="AQ49">
            <v>8.7267170879999991</v>
          </cell>
          <cell r="AS49" t="str">
            <v>TD</v>
          </cell>
        </row>
        <row r="50">
          <cell r="B50" t="str">
            <v>Chile</v>
          </cell>
          <cell r="C50" t="str">
            <v>Latin America</v>
          </cell>
          <cell r="D50" t="str">
            <v>E~</v>
          </cell>
          <cell r="E50" t="str">
            <v>CLP</v>
          </cell>
          <cell r="F50">
            <v>137900</v>
          </cell>
          <cell r="G50">
            <v>22900</v>
          </cell>
          <cell r="H50">
            <v>96300</v>
          </cell>
          <cell r="I50">
            <v>15900</v>
          </cell>
          <cell r="J50">
            <v>67400</v>
          </cell>
          <cell r="K50">
            <v>11200</v>
          </cell>
          <cell r="L50">
            <v>6.0218340611353716</v>
          </cell>
          <cell r="M50">
            <v>1.4402515723270439</v>
          </cell>
          <cell r="N50">
            <v>6.0566037735849054</v>
          </cell>
          <cell r="O50">
            <v>6.0178571428571432</v>
          </cell>
          <cell r="P50">
            <v>0.70440251572327039</v>
          </cell>
          <cell r="Q50" t="str">
            <v>CLP</v>
          </cell>
          <cell r="R50">
            <v>137900</v>
          </cell>
          <cell r="S50">
            <v>22900</v>
          </cell>
          <cell r="T50">
            <v>96300</v>
          </cell>
          <cell r="U50">
            <v>15900</v>
          </cell>
          <cell r="V50">
            <v>67400</v>
          </cell>
          <cell r="W50">
            <v>11200</v>
          </cell>
          <cell r="X50">
            <v>6.0218340611353716</v>
          </cell>
          <cell r="Y50">
            <v>1.4402515723270439</v>
          </cell>
          <cell r="Z50">
            <v>6.0566037735849054</v>
          </cell>
          <cell r="AA50">
            <v>6.0178571428571432</v>
          </cell>
          <cell r="AB50">
            <v>0.70440251572327039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1.0746275E-3</v>
          </cell>
          <cell r="AL50">
            <v>148.19113225000001</v>
          </cell>
          <cell r="AM50">
            <v>24.60896975</v>
          </cell>
          <cell r="AN50">
            <v>103.48662825000001</v>
          </cell>
          <cell r="AO50">
            <v>17.086577250000001</v>
          </cell>
          <cell r="AP50">
            <v>72.429893500000006</v>
          </cell>
          <cell r="AQ50">
            <v>12.035828</v>
          </cell>
          <cell r="AS50" t="str">
            <v>CL</v>
          </cell>
        </row>
        <row r="51">
          <cell r="B51" t="str">
            <v>Christmas Island</v>
          </cell>
          <cell r="C51" t="str">
            <v>Asia</v>
          </cell>
          <cell r="E51" t="str">
            <v>AUD</v>
          </cell>
          <cell r="F51">
            <v>107.99</v>
          </cell>
          <cell r="G51">
            <v>17.989999999999998</v>
          </cell>
          <cell r="H51">
            <v>77.989999999999995</v>
          </cell>
          <cell r="I51">
            <v>12.99</v>
          </cell>
          <cell r="J51">
            <v>71.989999999999995</v>
          </cell>
          <cell r="K51">
            <v>11.99</v>
          </cell>
          <cell r="L51">
            <v>6.0027793218454697</v>
          </cell>
          <cell r="M51">
            <v>1.3849114703618166</v>
          </cell>
          <cell r="N51">
            <v>6.0038491147036179</v>
          </cell>
          <cell r="O51">
            <v>6.0041701417848206</v>
          </cell>
          <cell r="P51">
            <v>0.92301770592763666</v>
          </cell>
          <cell r="Q51" t="str">
            <v>AUD</v>
          </cell>
          <cell r="R51">
            <v>107.99</v>
          </cell>
          <cell r="S51">
            <v>17.989999999999998</v>
          </cell>
          <cell r="T51">
            <v>77.989999999999995</v>
          </cell>
          <cell r="U51">
            <v>12.99</v>
          </cell>
          <cell r="V51">
            <v>71.989999999999995</v>
          </cell>
          <cell r="W51">
            <v>11.99</v>
          </cell>
          <cell r="X51">
            <v>6.0027793218454697</v>
          </cell>
          <cell r="Y51">
            <v>1.3849114703618166</v>
          </cell>
          <cell r="Z51">
            <v>6.0038491147036179</v>
          </cell>
          <cell r="AA51">
            <v>6.0041701417848206</v>
          </cell>
          <cell r="AB51">
            <v>0.92301770592763666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0.65494996000000005</v>
          </cell>
          <cell r="AL51">
            <v>70.7280461804</v>
          </cell>
          <cell r="AM51">
            <v>11.7825497804</v>
          </cell>
          <cell r="AN51">
            <v>51.079547380400001</v>
          </cell>
          <cell r="AO51">
            <v>8.5077999804000015</v>
          </cell>
          <cell r="AP51">
            <v>47.149847620400003</v>
          </cell>
          <cell r="AQ51">
            <v>7.8528500204000009</v>
          </cell>
          <cell r="AS51" t="str">
            <v>CX</v>
          </cell>
        </row>
        <row r="52">
          <cell r="B52" t="str">
            <v>Cocos (Keeling) Island</v>
          </cell>
          <cell r="C52" t="str">
            <v>Asia</v>
          </cell>
          <cell r="E52" t="str">
            <v>AUD</v>
          </cell>
          <cell r="F52">
            <v>161.99</v>
          </cell>
          <cell r="G52">
            <v>26.99</v>
          </cell>
          <cell r="H52">
            <v>119.99</v>
          </cell>
          <cell r="I52">
            <v>19.989999999999998</v>
          </cell>
          <cell r="J52">
            <v>107.99</v>
          </cell>
          <cell r="K52">
            <v>17.989999999999998</v>
          </cell>
          <cell r="L52">
            <v>6.0018525379770296</v>
          </cell>
          <cell r="M52">
            <v>1.3501750875437719</v>
          </cell>
          <cell r="N52">
            <v>6.002501250625313</v>
          </cell>
          <cell r="O52">
            <v>6.0027793218454697</v>
          </cell>
          <cell r="P52">
            <v>0.89994997498749374</v>
          </cell>
          <cell r="Q52" t="str">
            <v>AUD</v>
          </cell>
          <cell r="R52">
            <v>161.99</v>
          </cell>
          <cell r="S52">
            <v>26.99</v>
          </cell>
          <cell r="T52">
            <v>119.99</v>
          </cell>
          <cell r="U52">
            <v>19.989999999999998</v>
          </cell>
          <cell r="V52">
            <v>107.99</v>
          </cell>
          <cell r="W52">
            <v>17.989999999999998</v>
          </cell>
          <cell r="X52">
            <v>6.0018525379770296</v>
          </cell>
          <cell r="Y52">
            <v>1.3501750875437719</v>
          </cell>
          <cell r="Z52">
            <v>6.002501250625313</v>
          </cell>
          <cell r="AA52">
            <v>6.0027793218454697</v>
          </cell>
          <cell r="AB52">
            <v>0.89994997498749374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0.65494996000000005</v>
          </cell>
          <cell r="AL52">
            <v>106.09534402040002</v>
          </cell>
          <cell r="AM52">
            <v>17.677099420400001</v>
          </cell>
          <cell r="AN52">
            <v>78.587445700399996</v>
          </cell>
          <cell r="AO52">
            <v>13.0924497004</v>
          </cell>
          <cell r="AP52">
            <v>70.7280461804</v>
          </cell>
          <cell r="AQ52">
            <v>11.7825497804</v>
          </cell>
          <cell r="AS52" t="str">
            <v>CC</v>
          </cell>
        </row>
        <row r="53">
          <cell r="B53" t="str">
            <v>Colombia</v>
          </cell>
          <cell r="C53" t="str">
            <v>Latin America</v>
          </cell>
          <cell r="E53" t="str">
            <v>COP</v>
          </cell>
          <cell r="F53">
            <v>335900</v>
          </cell>
          <cell r="G53">
            <v>55900</v>
          </cell>
          <cell r="H53">
            <v>248900</v>
          </cell>
          <cell r="I53">
            <v>41400</v>
          </cell>
          <cell r="J53">
            <v>223900</v>
          </cell>
          <cell r="K53">
            <v>37400</v>
          </cell>
          <cell r="L53">
            <v>6.0089445438282647</v>
          </cell>
          <cell r="M53">
            <v>1.3502415458937198</v>
          </cell>
          <cell r="N53">
            <v>6.0120772946859899</v>
          </cell>
          <cell r="O53">
            <v>5.9866310160427805</v>
          </cell>
          <cell r="P53">
            <v>0.90338164251207731</v>
          </cell>
          <cell r="Q53" t="str">
            <v>COP</v>
          </cell>
          <cell r="R53">
            <v>335900</v>
          </cell>
          <cell r="S53">
            <v>55900</v>
          </cell>
          <cell r="T53">
            <v>248900</v>
          </cell>
          <cell r="U53">
            <v>41400</v>
          </cell>
          <cell r="V53">
            <v>223900</v>
          </cell>
          <cell r="W53">
            <v>37400</v>
          </cell>
          <cell r="X53">
            <v>6.0089445438282647</v>
          </cell>
          <cell r="Y53">
            <v>1.3502415458937198</v>
          </cell>
          <cell r="Z53">
            <v>6.0120772946859899</v>
          </cell>
          <cell r="AA53">
            <v>5.9866310160427805</v>
          </cell>
          <cell r="AB53">
            <v>0.90338164251207731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2.5006878000000002E-4</v>
          </cell>
          <cell r="AL53">
            <v>83.99810320200001</v>
          </cell>
          <cell r="AM53">
            <v>13.978844802000001</v>
          </cell>
          <cell r="AN53">
            <v>62.242119342000002</v>
          </cell>
          <cell r="AO53">
            <v>10.352847492</v>
          </cell>
          <cell r="AP53">
            <v>55.990399842000002</v>
          </cell>
          <cell r="AQ53">
            <v>9.3525723720000009</v>
          </cell>
          <cell r="AS53" t="str">
            <v>CO</v>
          </cell>
        </row>
        <row r="54">
          <cell r="B54" t="str">
            <v>Comoros</v>
          </cell>
          <cell r="C54" t="str">
            <v>Africa</v>
          </cell>
          <cell r="E54" t="str">
            <v>KMF</v>
          </cell>
          <cell r="F54">
            <v>33240</v>
          </cell>
          <cell r="G54">
            <v>5540</v>
          </cell>
          <cell r="H54">
            <v>24600</v>
          </cell>
          <cell r="I54">
            <v>4100</v>
          </cell>
          <cell r="J54">
            <v>22140</v>
          </cell>
          <cell r="K54">
            <v>3690</v>
          </cell>
          <cell r="L54">
            <v>6</v>
          </cell>
          <cell r="M54">
            <v>1.351219512195122</v>
          </cell>
          <cell r="N54">
            <v>6</v>
          </cell>
          <cell r="O54">
            <v>6</v>
          </cell>
          <cell r="P54">
            <v>0.9</v>
          </cell>
          <cell r="Q54" t="str">
            <v>KMF</v>
          </cell>
          <cell r="R54">
            <v>33240</v>
          </cell>
          <cell r="S54">
            <v>5540</v>
          </cell>
          <cell r="T54">
            <v>24600</v>
          </cell>
          <cell r="U54">
            <v>4100</v>
          </cell>
          <cell r="V54">
            <v>22140</v>
          </cell>
          <cell r="W54">
            <v>3690</v>
          </cell>
          <cell r="X54">
            <v>6</v>
          </cell>
          <cell r="Y54">
            <v>1.351219512195122</v>
          </cell>
          <cell r="Z54">
            <v>6</v>
          </cell>
          <cell r="AA54">
            <v>6</v>
          </cell>
          <cell r="AB54">
            <v>0.9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2.3941607E-3</v>
          </cell>
          <cell r="AL54">
            <v>79.581901668</v>
          </cell>
          <cell r="AM54">
            <v>13.263650278</v>
          </cell>
          <cell r="AN54">
            <v>58.896353220000002</v>
          </cell>
          <cell r="AO54">
            <v>9.8160588700000009</v>
          </cell>
          <cell r="AP54">
            <v>53.006717897999998</v>
          </cell>
          <cell r="AQ54">
            <v>8.8344529830000003</v>
          </cell>
          <cell r="AS54" t="str">
            <v>KM</v>
          </cell>
        </row>
        <row r="55">
          <cell r="B55" t="str">
            <v>Congo</v>
          </cell>
          <cell r="C55" t="str">
            <v>Africa</v>
          </cell>
          <cell r="E55" t="str">
            <v>XAF</v>
          </cell>
          <cell r="F55">
            <v>43740</v>
          </cell>
          <cell r="G55">
            <v>7290</v>
          </cell>
          <cell r="H55">
            <v>32400</v>
          </cell>
          <cell r="I55">
            <v>5400</v>
          </cell>
          <cell r="J55">
            <v>29160</v>
          </cell>
          <cell r="K55">
            <v>4860</v>
          </cell>
          <cell r="L55">
            <v>6</v>
          </cell>
          <cell r="M55">
            <v>1.35</v>
          </cell>
          <cell r="N55">
            <v>6</v>
          </cell>
          <cell r="O55">
            <v>6</v>
          </cell>
          <cell r="P55">
            <v>0.9</v>
          </cell>
          <cell r="Q55" t="str">
            <v>XAF</v>
          </cell>
          <cell r="R55">
            <v>43740</v>
          </cell>
          <cell r="S55">
            <v>7290</v>
          </cell>
          <cell r="T55">
            <v>32400</v>
          </cell>
          <cell r="U55">
            <v>5400</v>
          </cell>
          <cell r="V55">
            <v>29160</v>
          </cell>
          <cell r="W55">
            <v>4860</v>
          </cell>
          <cell r="X55">
            <v>6</v>
          </cell>
          <cell r="Y55">
            <v>1.35</v>
          </cell>
          <cell r="Z55">
            <v>6</v>
          </cell>
          <cell r="AA55">
            <v>6</v>
          </cell>
          <cell r="AB55">
            <v>0.9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1.7956208E-3</v>
          </cell>
          <cell r="AL55">
            <v>78.540453791999994</v>
          </cell>
          <cell r="AM55">
            <v>13.090075632</v>
          </cell>
          <cell r="AN55">
            <v>58.178113920000001</v>
          </cell>
          <cell r="AO55">
            <v>9.6963523200000008</v>
          </cell>
          <cell r="AP55">
            <v>52.360302527999998</v>
          </cell>
          <cell r="AQ55">
            <v>8.7267170879999991</v>
          </cell>
          <cell r="AS55" t="str">
            <v>CG</v>
          </cell>
        </row>
        <row r="56">
          <cell r="B56" t="str">
            <v>Cook Islands</v>
          </cell>
          <cell r="C56" t="str">
            <v>Asia</v>
          </cell>
          <cell r="E56" t="str">
            <v>NZD</v>
          </cell>
          <cell r="F56">
            <v>203.99</v>
          </cell>
          <cell r="G56">
            <v>33.99</v>
          </cell>
          <cell r="H56">
            <v>149.99</v>
          </cell>
          <cell r="I56">
            <v>24.99</v>
          </cell>
          <cell r="J56">
            <v>144.99</v>
          </cell>
          <cell r="K56">
            <v>21.99</v>
          </cell>
          <cell r="L56">
            <v>6.0014710208884967</v>
          </cell>
          <cell r="M56">
            <v>1.3601440576230495</v>
          </cell>
          <cell r="N56">
            <v>6.0020008003201291</v>
          </cell>
          <cell r="O56">
            <v>6.5934515688949533</v>
          </cell>
          <cell r="P56">
            <v>0.87995198079231696</v>
          </cell>
          <cell r="Q56" t="str">
            <v>NZD</v>
          </cell>
          <cell r="R56">
            <v>203.99</v>
          </cell>
          <cell r="S56">
            <v>33.99</v>
          </cell>
          <cell r="T56">
            <v>149.99</v>
          </cell>
          <cell r="U56">
            <v>24.99</v>
          </cell>
          <cell r="V56">
            <v>144.99</v>
          </cell>
          <cell r="W56">
            <v>21.99</v>
          </cell>
          <cell r="X56">
            <v>6.0014710208884967</v>
          </cell>
          <cell r="Y56">
            <v>1.3601440576230495</v>
          </cell>
          <cell r="Z56">
            <v>6.0020008003201291</v>
          </cell>
          <cell r="AA56">
            <v>6.5934515688949533</v>
          </cell>
          <cell r="AB56">
            <v>0.87995198079231696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0.60535000000000005</v>
          </cell>
          <cell r="AL56">
            <v>123.48534650000002</v>
          </cell>
          <cell r="AM56">
            <v>20.575846500000004</v>
          </cell>
          <cell r="AN56">
            <v>90.796446500000016</v>
          </cell>
          <cell r="AO56">
            <v>15.127696500000001</v>
          </cell>
          <cell r="AP56">
            <v>87.769696500000009</v>
          </cell>
          <cell r="AQ56">
            <v>13.3116465</v>
          </cell>
          <cell r="AS56" t="str">
            <v>CK</v>
          </cell>
        </row>
        <row r="57">
          <cell r="B57" t="str">
            <v>Costa Rica</v>
          </cell>
          <cell r="C57" t="str">
            <v>Latin America</v>
          </cell>
          <cell r="E57" t="str">
            <v>CRC</v>
          </cell>
          <cell r="F57">
            <v>78000</v>
          </cell>
          <cell r="G57">
            <v>13000</v>
          </cell>
          <cell r="H57">
            <v>60000</v>
          </cell>
          <cell r="I57">
            <v>10000</v>
          </cell>
          <cell r="J57">
            <v>54000</v>
          </cell>
          <cell r="K57">
            <v>9000</v>
          </cell>
          <cell r="L57">
            <v>6</v>
          </cell>
          <cell r="M57">
            <v>1.3</v>
          </cell>
          <cell r="N57">
            <v>6</v>
          </cell>
          <cell r="O57">
            <v>6</v>
          </cell>
          <cell r="P57">
            <v>0.9</v>
          </cell>
          <cell r="Q57" t="str">
            <v>CRC</v>
          </cell>
          <cell r="R57">
            <v>78000</v>
          </cell>
          <cell r="S57">
            <v>13000</v>
          </cell>
          <cell r="T57">
            <v>60000</v>
          </cell>
          <cell r="U57">
            <v>10000</v>
          </cell>
          <cell r="V57">
            <v>54000</v>
          </cell>
          <cell r="W57">
            <v>9000</v>
          </cell>
          <cell r="X57">
            <v>6</v>
          </cell>
          <cell r="Y57">
            <v>1.3</v>
          </cell>
          <cell r="Z57">
            <v>6</v>
          </cell>
          <cell r="AA57">
            <v>6</v>
          </cell>
          <cell r="AB57">
            <v>0.9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1.9816695999999999E-3</v>
          </cell>
          <cell r="AL57">
            <v>154.5702288</v>
          </cell>
          <cell r="AM57">
            <v>25.7617048</v>
          </cell>
          <cell r="AN57">
            <v>118.90017599999999</v>
          </cell>
          <cell r="AO57">
            <v>19.816696</v>
          </cell>
          <cell r="AP57">
            <v>107.01015839999999</v>
          </cell>
          <cell r="AQ57">
            <v>17.8350264</v>
          </cell>
          <cell r="AS57" t="str">
            <v>CR</v>
          </cell>
        </row>
        <row r="58">
          <cell r="B58" t="str">
            <v>Cote D'Ivoire</v>
          </cell>
          <cell r="C58" t="str">
            <v>Africa</v>
          </cell>
          <cell r="E58" t="str">
            <v>XOF</v>
          </cell>
          <cell r="F58">
            <v>44580</v>
          </cell>
          <cell r="G58">
            <v>7430</v>
          </cell>
          <cell r="H58">
            <v>33000</v>
          </cell>
          <cell r="I58">
            <v>5500</v>
          </cell>
          <cell r="J58">
            <v>29700</v>
          </cell>
          <cell r="K58">
            <v>4950</v>
          </cell>
          <cell r="L58">
            <v>6</v>
          </cell>
          <cell r="M58">
            <v>1.3509090909090908</v>
          </cell>
          <cell r="N58">
            <v>6</v>
          </cell>
          <cell r="O58">
            <v>6</v>
          </cell>
          <cell r="P58">
            <v>0.9</v>
          </cell>
          <cell r="Q58" t="str">
            <v>XOF</v>
          </cell>
          <cell r="R58">
            <v>44580</v>
          </cell>
          <cell r="S58">
            <v>7430</v>
          </cell>
          <cell r="T58">
            <v>33000</v>
          </cell>
          <cell r="U58">
            <v>5500</v>
          </cell>
          <cell r="V58">
            <v>29700</v>
          </cell>
          <cell r="W58">
            <v>4950</v>
          </cell>
          <cell r="X58">
            <v>6</v>
          </cell>
          <cell r="Y58">
            <v>1.3509090909090908</v>
          </cell>
          <cell r="Z58">
            <v>6</v>
          </cell>
          <cell r="AA58">
            <v>6</v>
          </cell>
          <cell r="AB58">
            <v>0.9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1.7956208E-3</v>
          </cell>
          <cell r="AL58">
            <v>80.048775264</v>
          </cell>
          <cell r="AM58">
            <v>13.341462544000001</v>
          </cell>
          <cell r="AN58">
            <v>59.255486400000002</v>
          </cell>
          <cell r="AO58">
            <v>9.8759143999999992</v>
          </cell>
          <cell r="AP58">
            <v>53.32993776</v>
          </cell>
          <cell r="AQ58">
            <v>8.88832296</v>
          </cell>
          <cell r="AS58" t="str">
            <v>CI</v>
          </cell>
        </row>
        <row r="59">
          <cell r="B59" t="str">
            <v>Croatia</v>
          </cell>
          <cell r="C59" t="str">
            <v>Europe</v>
          </cell>
          <cell r="E59" t="str">
            <v>EUR</v>
          </cell>
          <cell r="F59">
            <v>107.99</v>
          </cell>
          <cell r="G59">
            <v>17.989999999999998</v>
          </cell>
          <cell r="H59">
            <v>71.989999999999995</v>
          </cell>
          <cell r="I59">
            <v>11.99</v>
          </cell>
          <cell r="J59">
            <v>66.989999999999995</v>
          </cell>
          <cell r="K59">
            <v>10.99</v>
          </cell>
          <cell r="L59">
            <v>6.0027793218454697</v>
          </cell>
          <cell r="M59">
            <v>1.5004170141784818</v>
          </cell>
          <cell r="N59">
            <v>6.0041701417848206</v>
          </cell>
          <cell r="O59">
            <v>6.0955414012738851</v>
          </cell>
          <cell r="P59">
            <v>0.91659716430358629</v>
          </cell>
          <cell r="Q59" t="str">
            <v>EUR</v>
          </cell>
          <cell r="R59">
            <v>107.99</v>
          </cell>
          <cell r="S59">
            <v>17.989999999999998</v>
          </cell>
          <cell r="T59">
            <v>71.989999999999995</v>
          </cell>
          <cell r="U59">
            <v>11.99</v>
          </cell>
          <cell r="V59">
            <v>66.989999999999995</v>
          </cell>
          <cell r="W59">
            <v>10.99</v>
          </cell>
          <cell r="X59">
            <v>6.0027793218454697</v>
          </cell>
          <cell r="Y59">
            <v>1.5004170141784818</v>
          </cell>
          <cell r="Z59">
            <v>6.0041701417848206</v>
          </cell>
          <cell r="AA59">
            <v>6.0955414012738851</v>
          </cell>
          <cell r="AB59">
            <v>0.91659716430358629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1.1778500000000001</v>
          </cell>
          <cell r="AL59">
            <v>127.1960215</v>
          </cell>
          <cell r="AM59">
            <v>21.189521499999998</v>
          </cell>
          <cell r="AN59">
            <v>84.793421499999994</v>
          </cell>
          <cell r="AO59">
            <v>14.122421500000002</v>
          </cell>
          <cell r="AP59">
            <v>78.904171500000004</v>
          </cell>
          <cell r="AQ59">
            <v>12.9445715</v>
          </cell>
          <cell r="AS59" t="str">
            <v>HR</v>
          </cell>
        </row>
        <row r="60">
          <cell r="B60" t="str">
            <v>Curacao</v>
          </cell>
          <cell r="C60" t="str">
            <v>Latin America</v>
          </cell>
          <cell r="E60" t="str">
            <v>ANG</v>
          </cell>
          <cell r="F60">
            <v>167.99</v>
          </cell>
          <cell r="G60">
            <v>27.99</v>
          </cell>
          <cell r="H60">
            <v>125.99</v>
          </cell>
          <cell r="I60">
            <v>20.99</v>
          </cell>
          <cell r="J60">
            <v>113.99</v>
          </cell>
          <cell r="K60">
            <v>18.989999999999998</v>
          </cell>
          <cell r="L60">
            <v>6.0017863522686676</v>
          </cell>
          <cell r="M60">
            <v>1.3334921391138637</v>
          </cell>
          <cell r="N60">
            <v>6.0023820867079563</v>
          </cell>
          <cell r="O60">
            <v>6.0026329647182726</v>
          </cell>
          <cell r="P60">
            <v>0.90471653168175326</v>
          </cell>
          <cell r="Q60" t="str">
            <v>ANG</v>
          </cell>
          <cell r="R60">
            <v>167.99</v>
          </cell>
          <cell r="S60">
            <v>27.99</v>
          </cell>
          <cell r="T60">
            <v>125.99</v>
          </cell>
          <cell r="U60">
            <v>20.99</v>
          </cell>
          <cell r="V60">
            <v>113.99</v>
          </cell>
          <cell r="W60">
            <v>18.989999999999998</v>
          </cell>
          <cell r="X60">
            <v>6.0017863522686676</v>
          </cell>
          <cell r="Y60">
            <v>1.3334921391138637</v>
          </cell>
          <cell r="Z60">
            <v>6.0023820867079563</v>
          </cell>
          <cell r="AA60">
            <v>6.0026329647182726</v>
          </cell>
          <cell r="AB60">
            <v>0.90471653168175326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0.55865925999999999</v>
          </cell>
          <cell r="AL60">
            <v>93.8491690874</v>
          </cell>
          <cell r="AM60">
            <v>15.636872687399999</v>
          </cell>
          <cell r="AN60">
            <v>70.38548016739999</v>
          </cell>
          <cell r="AO60">
            <v>11.726257867399999</v>
          </cell>
          <cell r="AP60">
            <v>63.681569047399996</v>
          </cell>
          <cell r="AQ60">
            <v>10.6089393474</v>
          </cell>
          <cell r="AS60" t="str">
            <v>CW</v>
          </cell>
        </row>
        <row r="61">
          <cell r="B61" t="str">
            <v>Cyprus</v>
          </cell>
          <cell r="C61" t="str">
            <v>Europe</v>
          </cell>
          <cell r="E61" t="str">
            <v>EUR</v>
          </cell>
          <cell r="F61">
            <v>89.99</v>
          </cell>
          <cell r="G61">
            <v>12.99</v>
          </cell>
          <cell r="H61">
            <v>69.989999999999995</v>
          </cell>
          <cell r="I61">
            <v>9.99</v>
          </cell>
          <cell r="J61">
            <v>59.99</v>
          </cell>
          <cell r="K61">
            <v>8.99</v>
          </cell>
          <cell r="L61">
            <v>6.9276366435719776</v>
          </cell>
          <cell r="M61">
            <v>1.3003003003003002</v>
          </cell>
          <cell r="N61">
            <v>7.0060060060060056</v>
          </cell>
          <cell r="O61">
            <v>6.6729699666295881</v>
          </cell>
          <cell r="P61">
            <v>0.89989989989989994</v>
          </cell>
          <cell r="Q61" t="str">
            <v>EUR</v>
          </cell>
          <cell r="R61">
            <v>89.99</v>
          </cell>
          <cell r="S61">
            <v>12.99</v>
          </cell>
          <cell r="T61">
            <v>69.989999999999995</v>
          </cell>
          <cell r="U61">
            <v>9.99</v>
          </cell>
          <cell r="V61">
            <v>59.99</v>
          </cell>
          <cell r="W61">
            <v>8.99</v>
          </cell>
          <cell r="X61">
            <v>6.9276366435719776</v>
          </cell>
          <cell r="Y61">
            <v>1.3003003003003002</v>
          </cell>
          <cell r="Z61">
            <v>7.0060060060060056</v>
          </cell>
          <cell r="AA61">
            <v>6.6729699666295881</v>
          </cell>
          <cell r="AB61">
            <v>0.89989989989989994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1.1778500000000001</v>
          </cell>
          <cell r="AL61">
            <v>105.9947215</v>
          </cell>
          <cell r="AM61">
            <v>15.300271500000001</v>
          </cell>
          <cell r="AN61">
            <v>82.437721499999995</v>
          </cell>
          <cell r="AO61">
            <v>11.766721500000001</v>
          </cell>
          <cell r="AP61">
            <v>70.659221500000001</v>
          </cell>
          <cell r="AQ61">
            <v>10.588871500000002</v>
          </cell>
          <cell r="AS61" t="str">
            <v>CY</v>
          </cell>
        </row>
        <row r="62">
          <cell r="B62" t="str">
            <v>Czech Republic</v>
          </cell>
          <cell r="C62" t="str">
            <v>Europe</v>
          </cell>
          <cell r="E62" t="str">
            <v>CZK</v>
          </cell>
          <cell r="F62">
            <v>3599.99</v>
          </cell>
          <cell r="G62">
            <v>549.99</v>
          </cell>
          <cell r="H62">
            <v>2399.9899999999998</v>
          </cell>
          <cell r="I62">
            <v>399.99</v>
          </cell>
          <cell r="J62">
            <v>2159.9899999999998</v>
          </cell>
          <cell r="K62">
            <v>359.99</v>
          </cell>
          <cell r="L62">
            <v>6.545555373734067</v>
          </cell>
          <cell r="M62">
            <v>1.3750093752343808</v>
          </cell>
          <cell r="N62">
            <v>6.0001250031250777</v>
          </cell>
          <cell r="O62">
            <v>6.0001388927470201</v>
          </cell>
          <cell r="P62">
            <v>0.89999749993749845</v>
          </cell>
          <cell r="Q62" t="str">
            <v>CZK</v>
          </cell>
          <cell r="R62">
            <v>3599.99</v>
          </cell>
          <cell r="S62">
            <v>549.99</v>
          </cell>
          <cell r="T62">
            <v>2399.9899999999998</v>
          </cell>
          <cell r="U62">
            <v>399.99</v>
          </cell>
          <cell r="V62">
            <v>2159.9899999999998</v>
          </cell>
          <cell r="W62">
            <v>359.99</v>
          </cell>
          <cell r="X62">
            <v>6.545555373734067</v>
          </cell>
          <cell r="Y62">
            <v>1.3750093752343808</v>
          </cell>
          <cell r="Z62">
            <v>6.0001250031250777</v>
          </cell>
          <cell r="AA62">
            <v>6.0001388927470201</v>
          </cell>
          <cell r="AB62">
            <v>0.89999749993749845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4.7819889999999997E-2</v>
          </cell>
          <cell r="AL62">
            <v>172.15112580109997</v>
          </cell>
          <cell r="AM62">
            <v>26.3004613011</v>
          </cell>
          <cell r="AN62">
            <v>114.76725780109999</v>
          </cell>
          <cell r="AO62">
            <v>19.1274778011</v>
          </cell>
          <cell r="AP62">
            <v>103.29048420109999</v>
          </cell>
          <cell r="AQ62">
            <v>17.2146822011</v>
          </cell>
          <cell r="AS62" t="str">
            <v>CZ</v>
          </cell>
        </row>
        <row r="63">
          <cell r="B63" t="str">
            <v>Democratic Republic of Congo</v>
          </cell>
          <cell r="C63" t="str">
            <v>Africa</v>
          </cell>
          <cell r="E63" t="str">
            <v>USD</v>
          </cell>
          <cell r="F63">
            <v>71.989999999999995</v>
          </cell>
          <cell r="G63">
            <v>11.99</v>
          </cell>
          <cell r="H63">
            <v>53.99</v>
          </cell>
          <cell r="I63">
            <v>8.99</v>
          </cell>
          <cell r="J63">
            <v>47.99</v>
          </cell>
          <cell r="K63">
            <v>7.99</v>
          </cell>
          <cell r="L63">
            <v>6.0041701417848206</v>
          </cell>
          <cell r="M63">
            <v>1.3337041156840934</v>
          </cell>
          <cell r="N63">
            <v>6.0055617352614012</v>
          </cell>
          <cell r="O63">
            <v>6.0062578222778473</v>
          </cell>
          <cell r="P63">
            <v>0.88876529477196886</v>
          </cell>
          <cell r="Q63" t="str">
            <v>USD</v>
          </cell>
          <cell r="R63">
            <v>71.989999999999995</v>
          </cell>
          <cell r="S63">
            <v>11.99</v>
          </cell>
          <cell r="T63">
            <v>53.99</v>
          </cell>
          <cell r="U63">
            <v>8.99</v>
          </cell>
          <cell r="V63">
            <v>47.99</v>
          </cell>
          <cell r="W63">
            <v>7.99</v>
          </cell>
          <cell r="X63">
            <v>6.0041701417848206</v>
          </cell>
          <cell r="Y63">
            <v>1.3337041156840934</v>
          </cell>
          <cell r="Z63">
            <v>6.0055617352614012</v>
          </cell>
          <cell r="AA63">
            <v>6.0062578222778473</v>
          </cell>
          <cell r="AB63">
            <v>0.88876529477196886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1</v>
          </cell>
          <cell r="AL63">
            <v>71.989999999999995</v>
          </cell>
          <cell r="AM63">
            <v>11.99</v>
          </cell>
          <cell r="AN63">
            <v>53.99</v>
          </cell>
          <cell r="AO63">
            <v>8.99</v>
          </cell>
          <cell r="AP63">
            <v>47.99</v>
          </cell>
          <cell r="AQ63">
            <v>7.99</v>
          </cell>
          <cell r="AS63" t="str">
            <v>CD</v>
          </cell>
        </row>
        <row r="64">
          <cell r="B64" t="str">
            <v>Denmark</v>
          </cell>
          <cell r="C64" t="str">
            <v>Europe</v>
          </cell>
          <cell r="E64" t="str">
            <v>DKK</v>
          </cell>
          <cell r="F64">
            <v>1299.99</v>
          </cell>
          <cell r="G64">
            <v>199.99</v>
          </cell>
          <cell r="H64">
            <v>899.99</v>
          </cell>
          <cell r="I64">
            <v>139.99</v>
          </cell>
          <cell r="J64">
            <v>779.99</v>
          </cell>
          <cell r="K64">
            <v>129.99</v>
          </cell>
          <cell r="L64">
            <v>6.5002750137506871</v>
          </cell>
          <cell r="M64">
            <v>1.4286020430030717</v>
          </cell>
          <cell r="N64">
            <v>6.4289592113722405</v>
          </cell>
          <cell r="O64">
            <v>6.0003846449726899</v>
          </cell>
          <cell r="P64">
            <v>0.92856632616615475</v>
          </cell>
          <cell r="Q64" t="str">
            <v>DKK</v>
          </cell>
          <cell r="R64">
            <v>1299.99</v>
          </cell>
          <cell r="S64">
            <v>199.99</v>
          </cell>
          <cell r="T64">
            <v>899.99</v>
          </cell>
          <cell r="U64">
            <v>139.99</v>
          </cell>
          <cell r="V64">
            <v>779.99</v>
          </cell>
          <cell r="W64">
            <v>129.99</v>
          </cell>
          <cell r="X64">
            <v>6.5002750137506871</v>
          </cell>
          <cell r="Y64">
            <v>1.4286020430030717</v>
          </cell>
          <cell r="Z64">
            <v>6.4289592113722405</v>
          </cell>
          <cell r="AA64">
            <v>6.0003846449726899</v>
          </cell>
          <cell r="AB64">
            <v>0.92856632616615475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K64">
            <v>0.15785070000000001</v>
          </cell>
          <cell r="AL64">
            <v>205.20433149300001</v>
          </cell>
          <cell r="AM64">
            <v>31.568561493000004</v>
          </cell>
          <cell r="AN64">
            <v>142.06405149300002</v>
          </cell>
          <cell r="AO64">
            <v>22.097519493000004</v>
          </cell>
          <cell r="AP64">
            <v>123.12196749300001</v>
          </cell>
          <cell r="AQ64">
            <v>20.519012493000002</v>
          </cell>
          <cell r="AS64" t="str">
            <v>DK</v>
          </cell>
        </row>
        <row r="65">
          <cell r="B65" t="str">
            <v>Djibouti</v>
          </cell>
          <cell r="C65" t="str">
            <v>Africa</v>
          </cell>
          <cell r="E65" t="str">
            <v>DJF</v>
          </cell>
          <cell r="F65">
            <v>10560</v>
          </cell>
          <cell r="G65">
            <v>1760</v>
          </cell>
          <cell r="H65">
            <v>7800</v>
          </cell>
          <cell r="I65">
            <v>1300</v>
          </cell>
          <cell r="J65">
            <v>7020</v>
          </cell>
          <cell r="K65">
            <v>1170</v>
          </cell>
          <cell r="L65">
            <v>6</v>
          </cell>
          <cell r="M65">
            <v>1.3538461538461539</v>
          </cell>
          <cell r="N65">
            <v>6</v>
          </cell>
          <cell r="O65">
            <v>6</v>
          </cell>
          <cell r="P65">
            <v>0.9</v>
          </cell>
          <cell r="Q65" t="str">
            <v>DJF</v>
          </cell>
          <cell r="R65">
            <v>10560</v>
          </cell>
          <cell r="S65">
            <v>1760</v>
          </cell>
          <cell r="T65">
            <v>7800</v>
          </cell>
          <cell r="U65">
            <v>1300</v>
          </cell>
          <cell r="V65">
            <v>7020</v>
          </cell>
          <cell r="W65">
            <v>1170</v>
          </cell>
          <cell r="X65">
            <v>6</v>
          </cell>
          <cell r="Y65">
            <v>1.3538461538461539</v>
          </cell>
          <cell r="Z65">
            <v>6</v>
          </cell>
          <cell r="AA65">
            <v>6</v>
          </cell>
          <cell r="AB65">
            <v>0.9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5.6037422999999998E-3</v>
          </cell>
          <cell r="AL65">
            <v>59.175518687999997</v>
          </cell>
          <cell r="AM65">
            <v>9.8625864480000001</v>
          </cell>
          <cell r="AN65">
            <v>43.709189940000002</v>
          </cell>
          <cell r="AO65">
            <v>7.28486499</v>
          </cell>
          <cell r="AP65">
            <v>39.338270946000002</v>
          </cell>
          <cell r="AQ65">
            <v>6.5563784909999994</v>
          </cell>
          <cell r="AS65" t="str">
            <v>DJ</v>
          </cell>
        </row>
        <row r="66">
          <cell r="B66" t="str">
            <v>Dominica</v>
          </cell>
          <cell r="C66" t="str">
            <v>Latin America</v>
          </cell>
          <cell r="E66" t="str">
            <v>XCD</v>
          </cell>
          <cell r="F66">
            <v>305.99</v>
          </cell>
          <cell r="G66">
            <v>50.99</v>
          </cell>
          <cell r="H66">
            <v>227.99</v>
          </cell>
          <cell r="I66">
            <v>37.99</v>
          </cell>
          <cell r="J66">
            <v>203.99</v>
          </cell>
          <cell r="K66">
            <v>33.99</v>
          </cell>
          <cell r="L66">
            <v>6.0009805844283193</v>
          </cell>
          <cell r="M66">
            <v>1.3421953145564622</v>
          </cell>
          <cell r="N66">
            <v>6.0013161358252169</v>
          </cell>
          <cell r="O66">
            <v>6.0014710208884967</v>
          </cell>
          <cell r="P66">
            <v>0.89470913398262697</v>
          </cell>
          <cell r="Q66" t="str">
            <v>XCD</v>
          </cell>
          <cell r="R66">
            <v>305.99</v>
          </cell>
          <cell r="S66">
            <v>50.99</v>
          </cell>
          <cell r="T66">
            <v>227.99</v>
          </cell>
          <cell r="U66">
            <v>37.99</v>
          </cell>
          <cell r="V66">
            <v>203.99</v>
          </cell>
          <cell r="W66">
            <v>33.99</v>
          </cell>
          <cell r="X66">
            <v>6.0009805844283193</v>
          </cell>
          <cell r="Y66">
            <v>1.3421953145564622</v>
          </cell>
          <cell r="Z66">
            <v>6.0013161358252169</v>
          </cell>
          <cell r="AA66">
            <v>6.0014710208884967</v>
          </cell>
          <cell r="AB66">
            <v>0.89470913398262697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K66">
            <v>0.37037036000000001</v>
          </cell>
          <cell r="AL66">
            <v>113.32962645640001</v>
          </cell>
          <cell r="AM66">
            <v>18.8851846564</v>
          </cell>
          <cell r="AN66">
            <v>84.440738376400006</v>
          </cell>
          <cell r="AO66">
            <v>14.0703699764</v>
          </cell>
          <cell r="AP66">
            <v>75.551849736400001</v>
          </cell>
          <cell r="AQ66">
            <v>12.588888536400001</v>
          </cell>
          <cell r="AS66" t="str">
            <v>DM</v>
          </cell>
        </row>
        <row r="67">
          <cell r="B67" t="str">
            <v>Dominican Republic</v>
          </cell>
          <cell r="C67" t="str">
            <v>Latin America</v>
          </cell>
          <cell r="D67" t="str">
            <v>D</v>
          </cell>
          <cell r="E67" t="str">
            <v>DOP</v>
          </cell>
          <cell r="F67">
            <v>7499.99</v>
          </cell>
          <cell r="G67">
            <v>1249.99</v>
          </cell>
          <cell r="H67">
            <v>5219.99</v>
          </cell>
          <cell r="I67">
            <v>869.99</v>
          </cell>
          <cell r="J67">
            <v>4697.99</v>
          </cell>
          <cell r="K67">
            <v>782.99</v>
          </cell>
          <cell r="L67">
            <v>6.0000400003200021</v>
          </cell>
          <cell r="M67">
            <v>1.4367866297313763</v>
          </cell>
          <cell r="N67">
            <v>6.000057471924964</v>
          </cell>
          <cell r="O67">
            <v>6.0000638577759613</v>
          </cell>
          <cell r="P67">
            <v>0.89999885056150075</v>
          </cell>
          <cell r="Q67" t="str">
            <v>DOP</v>
          </cell>
          <cell r="R67">
            <v>7499.99</v>
          </cell>
          <cell r="S67">
            <v>1249.99</v>
          </cell>
          <cell r="T67">
            <v>5219.99</v>
          </cell>
          <cell r="U67">
            <v>869.99</v>
          </cell>
          <cell r="V67">
            <v>4697.99</v>
          </cell>
          <cell r="W67">
            <v>782.99</v>
          </cell>
          <cell r="X67">
            <v>6.0000400003200021</v>
          </cell>
          <cell r="Y67">
            <v>1.4367866297313763</v>
          </cell>
          <cell r="Z67">
            <v>6.000057471924964</v>
          </cell>
          <cell r="AA67">
            <v>6.0000638577759613</v>
          </cell>
          <cell r="AB67">
            <v>0.89999885056150075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K67">
            <v>1.6711230000000001E-2</v>
          </cell>
          <cell r="AL67">
            <v>125.3340578877</v>
          </cell>
          <cell r="AM67">
            <v>20.888870387699999</v>
          </cell>
          <cell r="AN67">
            <v>87.232453487699999</v>
          </cell>
          <cell r="AO67">
            <v>14.538602987700001</v>
          </cell>
          <cell r="AP67">
            <v>78.509191427700003</v>
          </cell>
          <cell r="AQ67">
            <v>13.0847259777</v>
          </cell>
          <cell r="AS67" t="str">
            <v>DO</v>
          </cell>
        </row>
        <row r="68">
          <cell r="B68" t="str">
            <v>Ecuador</v>
          </cell>
          <cell r="C68" t="str">
            <v>Latin America</v>
          </cell>
          <cell r="E68" t="str">
            <v>USD</v>
          </cell>
          <cell r="F68">
            <v>102.99</v>
          </cell>
          <cell r="G68">
            <v>16.989999999999998</v>
          </cell>
          <cell r="H68">
            <v>71.989999999999995</v>
          </cell>
          <cell r="I68">
            <v>11.99</v>
          </cell>
          <cell r="J68">
            <v>65.989999999999995</v>
          </cell>
          <cell r="K68">
            <v>10.99</v>
          </cell>
          <cell r="L68">
            <v>6.0618010594467338</v>
          </cell>
          <cell r="M68">
            <v>1.4170141784820682</v>
          </cell>
          <cell r="N68">
            <v>6.0041701417848206</v>
          </cell>
          <cell r="O68">
            <v>6.0045495905368513</v>
          </cell>
          <cell r="P68">
            <v>0.91659716430358629</v>
          </cell>
          <cell r="Q68" t="str">
            <v>USD</v>
          </cell>
          <cell r="R68">
            <v>102.99</v>
          </cell>
          <cell r="S68">
            <v>16.989999999999998</v>
          </cell>
          <cell r="T68">
            <v>71.989999999999995</v>
          </cell>
          <cell r="U68">
            <v>11.99</v>
          </cell>
          <cell r="V68">
            <v>65.989999999999995</v>
          </cell>
          <cell r="W68">
            <v>10.99</v>
          </cell>
          <cell r="X68">
            <v>6.0618010594467338</v>
          </cell>
          <cell r="Y68">
            <v>1.4170141784820682</v>
          </cell>
          <cell r="Z68">
            <v>6.0041701417848206</v>
          </cell>
          <cell r="AA68">
            <v>6.0045495905368513</v>
          </cell>
          <cell r="AB68">
            <v>0.91659716430358629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K68">
            <v>1</v>
          </cell>
          <cell r="AL68">
            <v>102.99</v>
          </cell>
          <cell r="AM68">
            <v>16.989999999999998</v>
          </cell>
          <cell r="AN68">
            <v>71.989999999999995</v>
          </cell>
          <cell r="AO68">
            <v>11.99</v>
          </cell>
          <cell r="AP68">
            <v>65.989999999999995</v>
          </cell>
          <cell r="AQ68">
            <v>10.99</v>
          </cell>
          <cell r="AS68" t="str">
            <v>EC</v>
          </cell>
        </row>
        <row r="69">
          <cell r="B69" t="str">
            <v>Egypt</v>
          </cell>
          <cell r="C69" t="str">
            <v>Africa</v>
          </cell>
          <cell r="E69" t="str">
            <v>EGP</v>
          </cell>
          <cell r="F69">
            <v>1799</v>
          </cell>
          <cell r="G69">
            <v>299</v>
          </cell>
          <cell r="H69">
            <v>1199</v>
          </cell>
          <cell r="I69">
            <v>199</v>
          </cell>
          <cell r="J69">
            <v>1079</v>
          </cell>
          <cell r="K69">
            <v>179</v>
          </cell>
          <cell r="L69">
            <v>6.0167224080267561</v>
          </cell>
          <cell r="M69">
            <v>1.5025125628140703</v>
          </cell>
          <cell r="N69">
            <v>6.025125628140704</v>
          </cell>
          <cell r="O69">
            <v>6.027932960893855</v>
          </cell>
          <cell r="P69">
            <v>0.89949748743718594</v>
          </cell>
          <cell r="Q69" t="str">
            <v>EGP</v>
          </cell>
          <cell r="R69">
            <v>2359</v>
          </cell>
          <cell r="S69">
            <v>399</v>
          </cell>
          <cell r="T69">
            <v>1569</v>
          </cell>
          <cell r="U69">
            <v>259</v>
          </cell>
          <cell r="V69">
            <v>1419</v>
          </cell>
          <cell r="W69">
            <v>239</v>
          </cell>
          <cell r="X69">
            <v>5.9122807017543861</v>
          </cell>
          <cell r="Y69">
            <v>1.5405405405405406</v>
          </cell>
          <cell r="Z69">
            <v>6.057915057915058</v>
          </cell>
          <cell r="AA69">
            <v>5.9372384937238492</v>
          </cell>
          <cell r="AB69">
            <v>0.92277992277992282</v>
          </cell>
          <cell r="AD69">
            <v>0.31128404669260701</v>
          </cell>
          <cell r="AE69">
            <v>0.33444816053511706</v>
          </cell>
          <cell r="AF69">
            <v>0.30859049207673062</v>
          </cell>
          <cell r="AG69">
            <v>0.30150753768844218</v>
          </cell>
          <cell r="AH69">
            <v>0.31510658016682114</v>
          </cell>
          <cell r="AI69">
            <v>0.33519553072625707</v>
          </cell>
          <cell r="AK69">
            <v>2.0259319000000001E-2</v>
          </cell>
          <cell r="AL69">
            <v>47.791733521000005</v>
          </cell>
          <cell r="AM69">
            <v>8.083468281</v>
          </cell>
          <cell r="AN69">
            <v>31.786871511000001</v>
          </cell>
          <cell r="AO69">
            <v>5.2471636210000003</v>
          </cell>
          <cell r="AP69">
            <v>28.747973661000003</v>
          </cell>
          <cell r="AQ69">
            <v>4.8419772410000004</v>
          </cell>
          <cell r="AS69" t="str">
            <v>EG</v>
          </cell>
        </row>
        <row r="70">
          <cell r="B70" t="str">
            <v>El Salvador</v>
          </cell>
          <cell r="C70" t="str">
            <v>Latin America</v>
          </cell>
          <cell r="E70" t="str">
            <v>USD</v>
          </cell>
          <cell r="F70">
            <v>96.99</v>
          </cell>
          <cell r="G70">
            <v>15.99</v>
          </cell>
          <cell r="H70">
            <v>65.989999999999995</v>
          </cell>
          <cell r="I70">
            <v>10.99</v>
          </cell>
          <cell r="J70">
            <v>59.99</v>
          </cell>
          <cell r="K70">
            <v>9.99</v>
          </cell>
          <cell r="L70">
            <v>6.0656660412757972</v>
          </cell>
          <cell r="M70">
            <v>1.4549590536851684</v>
          </cell>
          <cell r="N70">
            <v>6.0045495905368513</v>
          </cell>
          <cell r="O70">
            <v>6.005005005005005</v>
          </cell>
          <cell r="P70">
            <v>0.90900818926296634</v>
          </cell>
          <cell r="Q70" t="str">
            <v>USD</v>
          </cell>
          <cell r="R70">
            <v>96.99</v>
          </cell>
          <cell r="S70">
            <v>15.99</v>
          </cell>
          <cell r="T70">
            <v>65.989999999999995</v>
          </cell>
          <cell r="U70">
            <v>10.99</v>
          </cell>
          <cell r="V70">
            <v>59.99</v>
          </cell>
          <cell r="W70">
            <v>9.99</v>
          </cell>
          <cell r="X70">
            <v>6.0656660412757972</v>
          </cell>
          <cell r="Y70">
            <v>1.4549590536851684</v>
          </cell>
          <cell r="Z70">
            <v>6.0045495905368513</v>
          </cell>
          <cell r="AA70">
            <v>6.005005005005005</v>
          </cell>
          <cell r="AB70">
            <v>0.90900818926296634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K70">
            <v>1</v>
          </cell>
          <cell r="AL70">
            <v>96.99</v>
          </cell>
          <cell r="AM70">
            <v>15.99</v>
          </cell>
          <cell r="AN70">
            <v>65.989999999999995</v>
          </cell>
          <cell r="AO70">
            <v>10.99</v>
          </cell>
          <cell r="AP70">
            <v>59.99</v>
          </cell>
          <cell r="AQ70">
            <v>9.99</v>
          </cell>
          <cell r="AS70" t="str">
            <v>SV</v>
          </cell>
        </row>
        <row r="71">
          <cell r="B71" t="str">
            <v>Equatorial Guinea</v>
          </cell>
          <cell r="C71" t="str">
            <v>Africa</v>
          </cell>
          <cell r="E71" t="str">
            <v>XAF</v>
          </cell>
          <cell r="F71">
            <v>34020</v>
          </cell>
          <cell r="G71">
            <v>5670</v>
          </cell>
          <cell r="H71">
            <v>25200</v>
          </cell>
          <cell r="I71">
            <v>4200</v>
          </cell>
          <cell r="J71">
            <v>22680</v>
          </cell>
          <cell r="K71">
            <v>3780</v>
          </cell>
          <cell r="L71">
            <v>6</v>
          </cell>
          <cell r="M71">
            <v>1.35</v>
          </cell>
          <cell r="N71">
            <v>6</v>
          </cell>
          <cell r="O71">
            <v>6</v>
          </cell>
          <cell r="P71">
            <v>0.9</v>
          </cell>
          <cell r="Q71" t="str">
            <v>XAF</v>
          </cell>
          <cell r="R71">
            <v>34020</v>
          </cell>
          <cell r="S71">
            <v>5670</v>
          </cell>
          <cell r="T71">
            <v>25200</v>
          </cell>
          <cell r="U71">
            <v>4200</v>
          </cell>
          <cell r="V71">
            <v>22680</v>
          </cell>
          <cell r="W71">
            <v>3780</v>
          </cell>
          <cell r="X71">
            <v>6</v>
          </cell>
          <cell r="Y71">
            <v>1.35</v>
          </cell>
          <cell r="Z71">
            <v>6</v>
          </cell>
          <cell r="AA71">
            <v>6</v>
          </cell>
          <cell r="AB71">
            <v>0.9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K71">
            <v>1.7956208E-3</v>
          </cell>
          <cell r="AL71">
            <v>61.087019615999999</v>
          </cell>
          <cell r="AM71">
            <v>10.181169936</v>
          </cell>
          <cell r="AN71">
            <v>45.249644160000003</v>
          </cell>
          <cell r="AO71">
            <v>7.5416073600000004</v>
          </cell>
          <cell r="AP71">
            <v>40.724679743999999</v>
          </cell>
          <cell r="AQ71">
            <v>6.7874466240000002</v>
          </cell>
          <cell r="AS71" t="str">
            <v>GQ</v>
          </cell>
        </row>
        <row r="72">
          <cell r="B72" t="str">
            <v>Eritrea</v>
          </cell>
          <cell r="C72" t="str">
            <v>Africa</v>
          </cell>
          <cell r="E72" t="str">
            <v>USD</v>
          </cell>
          <cell r="F72">
            <v>71.989999999999995</v>
          </cell>
          <cell r="G72">
            <v>11.99</v>
          </cell>
          <cell r="H72">
            <v>53.99</v>
          </cell>
          <cell r="I72">
            <v>8.99</v>
          </cell>
          <cell r="J72">
            <v>47.99</v>
          </cell>
          <cell r="K72">
            <v>7.99</v>
          </cell>
          <cell r="L72">
            <v>6.0041701417848206</v>
          </cell>
          <cell r="M72">
            <v>1.3337041156840934</v>
          </cell>
          <cell r="N72">
            <v>6.0055617352614012</v>
          </cell>
          <cell r="O72">
            <v>6.0062578222778473</v>
          </cell>
          <cell r="P72">
            <v>0.88876529477196886</v>
          </cell>
          <cell r="Q72" t="str">
            <v>USD</v>
          </cell>
          <cell r="R72">
            <v>71.989999999999995</v>
          </cell>
          <cell r="S72">
            <v>11.99</v>
          </cell>
          <cell r="T72">
            <v>53.99</v>
          </cell>
          <cell r="U72">
            <v>8.99</v>
          </cell>
          <cell r="V72">
            <v>47.99</v>
          </cell>
          <cell r="W72">
            <v>7.99</v>
          </cell>
          <cell r="X72">
            <v>6.0041701417848206</v>
          </cell>
          <cell r="Y72">
            <v>1.3337041156840934</v>
          </cell>
          <cell r="Z72">
            <v>6.0055617352614012</v>
          </cell>
          <cell r="AA72">
            <v>6.0062578222778473</v>
          </cell>
          <cell r="AB72">
            <v>0.88876529477196886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K72">
            <v>1</v>
          </cell>
          <cell r="AL72">
            <v>71.989999999999995</v>
          </cell>
          <cell r="AM72">
            <v>11.99</v>
          </cell>
          <cell r="AN72">
            <v>53.99</v>
          </cell>
          <cell r="AO72">
            <v>8.99</v>
          </cell>
          <cell r="AP72">
            <v>47.99</v>
          </cell>
          <cell r="AQ72">
            <v>7.99</v>
          </cell>
          <cell r="AS72" t="str">
            <v>ER</v>
          </cell>
        </row>
        <row r="73">
          <cell r="B73" t="str">
            <v>Estonia</v>
          </cell>
          <cell r="C73" t="str">
            <v>Europe</v>
          </cell>
          <cell r="E73" t="str">
            <v>EUR</v>
          </cell>
          <cell r="F73">
            <v>99.99</v>
          </cell>
          <cell r="G73">
            <v>15.99</v>
          </cell>
          <cell r="H73">
            <v>74.989999999999995</v>
          </cell>
          <cell r="I73">
            <v>11.99</v>
          </cell>
          <cell r="J73">
            <v>64.989999999999995</v>
          </cell>
          <cell r="K73">
            <v>10.99</v>
          </cell>
          <cell r="L73">
            <v>6.2532833020637897</v>
          </cell>
          <cell r="M73">
            <v>1.3336113427856546</v>
          </cell>
          <cell r="N73">
            <v>6.2543786488740611</v>
          </cell>
          <cell r="O73">
            <v>5.9135577797998176</v>
          </cell>
          <cell r="P73">
            <v>0.91659716430358629</v>
          </cell>
          <cell r="Q73" t="str">
            <v>EUR</v>
          </cell>
          <cell r="R73">
            <v>99.99</v>
          </cell>
          <cell r="S73">
            <v>15.99</v>
          </cell>
          <cell r="T73">
            <v>74.989999999999995</v>
          </cell>
          <cell r="U73">
            <v>11.99</v>
          </cell>
          <cell r="V73">
            <v>64.989999999999995</v>
          </cell>
          <cell r="W73">
            <v>10.99</v>
          </cell>
          <cell r="X73">
            <v>6.2532833020637897</v>
          </cell>
          <cell r="Y73">
            <v>1.3336113427856546</v>
          </cell>
          <cell r="Z73">
            <v>6.2543786488740611</v>
          </cell>
          <cell r="AA73">
            <v>5.9135577797998176</v>
          </cell>
          <cell r="AB73">
            <v>0.91659716430358629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1.1778500000000001</v>
          </cell>
          <cell r="AL73">
            <v>117.77322150000001</v>
          </cell>
          <cell r="AM73">
            <v>18.833821500000003</v>
          </cell>
          <cell r="AN73">
            <v>88.326971499999999</v>
          </cell>
          <cell r="AO73">
            <v>14.122421500000002</v>
          </cell>
          <cell r="AP73">
            <v>76.548471500000005</v>
          </cell>
          <cell r="AQ73">
            <v>12.9445715</v>
          </cell>
          <cell r="AS73" t="str">
            <v>EE</v>
          </cell>
        </row>
        <row r="74">
          <cell r="B74" t="str">
            <v>eSwatini</v>
          </cell>
          <cell r="C74" t="str">
            <v>Africa</v>
          </cell>
          <cell r="E74" t="str">
            <v>SZL</v>
          </cell>
          <cell r="F74">
            <v>1295.99</v>
          </cell>
          <cell r="G74">
            <v>215.99</v>
          </cell>
          <cell r="H74">
            <v>959.99</v>
          </cell>
          <cell r="I74">
            <v>159.99</v>
          </cell>
          <cell r="J74">
            <v>863.99</v>
          </cell>
          <cell r="K74">
            <v>143.99</v>
          </cell>
          <cell r="L74">
            <v>6.0002314921987123</v>
          </cell>
          <cell r="M74">
            <v>1.3500218763672729</v>
          </cell>
          <cell r="N74">
            <v>6.0003125195324705</v>
          </cell>
          <cell r="O74">
            <v>6.0003472463365508</v>
          </cell>
          <cell r="P74">
            <v>0.89999374960935064</v>
          </cell>
          <cell r="Q74" t="str">
            <v>SZL</v>
          </cell>
          <cell r="R74">
            <v>1295.99</v>
          </cell>
          <cell r="S74">
            <v>215.99</v>
          </cell>
          <cell r="T74">
            <v>959.99</v>
          </cell>
          <cell r="U74">
            <v>159.99</v>
          </cell>
          <cell r="V74">
            <v>863.99</v>
          </cell>
          <cell r="W74">
            <v>143.99</v>
          </cell>
          <cell r="X74">
            <v>6.0002314921987123</v>
          </cell>
          <cell r="Y74">
            <v>1.3500218763672729</v>
          </cell>
          <cell r="Z74">
            <v>6.0003125195324705</v>
          </cell>
          <cell r="AA74">
            <v>6.0003472463365508</v>
          </cell>
          <cell r="AB74">
            <v>0.89999374960935064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5.6777857000000001E-2</v>
          </cell>
          <cell r="AL74">
            <v>73.583534893429999</v>
          </cell>
          <cell r="AM74">
            <v>12.263449333430001</v>
          </cell>
          <cell r="AN74">
            <v>54.506174941430004</v>
          </cell>
          <cell r="AO74">
            <v>9.0838893414299999</v>
          </cell>
          <cell r="AP74">
            <v>49.055500669430003</v>
          </cell>
          <cell r="AQ74">
            <v>8.175443629430001</v>
          </cell>
          <cell r="AS74" t="str">
            <v>SZ</v>
          </cell>
        </row>
        <row r="75">
          <cell r="B75" t="str">
            <v>Ethiopia</v>
          </cell>
          <cell r="C75" t="str">
            <v>Africa</v>
          </cell>
          <cell r="E75" t="str">
            <v>ETB</v>
          </cell>
          <cell r="F75">
            <v>2591.9899999999998</v>
          </cell>
          <cell r="G75">
            <v>431.99</v>
          </cell>
          <cell r="H75">
            <v>1919.99</v>
          </cell>
          <cell r="I75">
            <v>319.99</v>
          </cell>
          <cell r="J75">
            <v>1727.99</v>
          </cell>
          <cell r="K75">
            <v>287.99</v>
          </cell>
          <cell r="L75">
            <v>6.0001157434199861</v>
          </cell>
          <cell r="M75">
            <v>1.3500109378418075</v>
          </cell>
          <cell r="N75">
            <v>6.000156254882965</v>
          </cell>
          <cell r="O75">
            <v>6.0001736171394837</v>
          </cell>
          <cell r="P75">
            <v>0.8999968749023407</v>
          </cell>
          <cell r="Q75" t="str">
            <v>ETB</v>
          </cell>
          <cell r="R75">
            <v>2591.9899999999998</v>
          </cell>
          <cell r="S75">
            <v>431.99</v>
          </cell>
          <cell r="T75">
            <v>1919.99</v>
          </cell>
          <cell r="U75">
            <v>319.99</v>
          </cell>
          <cell r="V75">
            <v>1727.99</v>
          </cell>
          <cell r="W75">
            <v>287.99</v>
          </cell>
          <cell r="X75">
            <v>6.0001157434199861</v>
          </cell>
          <cell r="Y75">
            <v>1.3500109378418075</v>
          </cell>
          <cell r="Z75">
            <v>6.000156254882965</v>
          </cell>
          <cell r="AA75">
            <v>6.0001736171394837</v>
          </cell>
          <cell r="AB75">
            <v>0.8999968749023407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7.2066880000000002E-3</v>
          </cell>
          <cell r="AL75">
            <v>18.679663229119999</v>
          </cell>
          <cell r="AM75">
            <v>3.11321714912</v>
          </cell>
          <cell r="AN75">
            <v>13.83676889312</v>
          </cell>
          <cell r="AO75">
            <v>2.3060680931199999</v>
          </cell>
          <cell r="AP75">
            <v>12.453084797120001</v>
          </cell>
          <cell r="AQ75">
            <v>2.0754540771200003</v>
          </cell>
          <cell r="AS75" t="str">
            <v>ET</v>
          </cell>
        </row>
        <row r="76">
          <cell r="B76" t="str">
            <v>Falkland Islands</v>
          </cell>
          <cell r="C76" t="str">
            <v>Latin America</v>
          </cell>
          <cell r="E76" t="str">
            <v>FKP</v>
          </cell>
          <cell r="F76">
            <v>60</v>
          </cell>
          <cell r="G76">
            <v>10</v>
          </cell>
          <cell r="H76">
            <v>50</v>
          </cell>
          <cell r="I76">
            <v>7</v>
          </cell>
          <cell r="J76">
            <v>40</v>
          </cell>
          <cell r="K76">
            <v>6</v>
          </cell>
          <cell r="L76">
            <v>6</v>
          </cell>
          <cell r="M76">
            <v>1.4285714285714286</v>
          </cell>
          <cell r="N76">
            <v>7.1428571428571432</v>
          </cell>
          <cell r="O76">
            <v>6.666666666666667</v>
          </cell>
          <cell r="P76">
            <v>0.8571428571428571</v>
          </cell>
          <cell r="Q76" t="str">
            <v>FKP</v>
          </cell>
          <cell r="R76">
            <v>60</v>
          </cell>
          <cell r="S76">
            <v>10</v>
          </cell>
          <cell r="T76">
            <v>50</v>
          </cell>
          <cell r="U76">
            <v>7</v>
          </cell>
          <cell r="V76">
            <v>40</v>
          </cell>
          <cell r="W76">
            <v>6</v>
          </cell>
          <cell r="X76">
            <v>6</v>
          </cell>
          <cell r="Y76">
            <v>1.4285714285714286</v>
          </cell>
          <cell r="Z76">
            <v>7.1428571428571432</v>
          </cell>
          <cell r="AA76">
            <v>6.666666666666667</v>
          </cell>
          <cell r="AB76">
            <v>0.8571428571428571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1.3657999999999999</v>
          </cell>
          <cell r="AL76">
            <v>81.947999999999993</v>
          </cell>
          <cell r="AM76">
            <v>13.657999999999999</v>
          </cell>
          <cell r="AN76">
            <v>68.289999999999992</v>
          </cell>
          <cell r="AO76">
            <v>9.5605999999999991</v>
          </cell>
          <cell r="AP76">
            <v>54.631999999999998</v>
          </cell>
          <cell r="AQ76">
            <v>8.194799999999999</v>
          </cell>
          <cell r="AS76" t="str">
            <v>FK</v>
          </cell>
        </row>
        <row r="77">
          <cell r="B77" t="str">
            <v>Faroe Islands</v>
          </cell>
          <cell r="C77" t="str">
            <v>Europe</v>
          </cell>
          <cell r="E77" t="str">
            <v>DKK</v>
          </cell>
          <cell r="F77">
            <v>1139.99</v>
          </cell>
          <cell r="G77">
            <v>189.99</v>
          </cell>
          <cell r="H77">
            <v>829.99</v>
          </cell>
          <cell r="I77">
            <v>139.99</v>
          </cell>
          <cell r="J77">
            <v>779.99</v>
          </cell>
          <cell r="K77">
            <v>129.99</v>
          </cell>
          <cell r="L77">
            <v>6.000263171745881</v>
          </cell>
          <cell r="M77">
            <v>1.3571683691692265</v>
          </cell>
          <cell r="N77">
            <v>5.928923494535324</v>
          </cell>
          <cell r="O77">
            <v>6.0003846449726899</v>
          </cell>
          <cell r="P77">
            <v>0.92856632616615475</v>
          </cell>
          <cell r="Q77" t="str">
            <v>DKK</v>
          </cell>
          <cell r="R77">
            <v>1139.99</v>
          </cell>
          <cell r="S77">
            <v>189.99</v>
          </cell>
          <cell r="T77">
            <v>829.99</v>
          </cell>
          <cell r="U77">
            <v>139.99</v>
          </cell>
          <cell r="V77">
            <v>779.99</v>
          </cell>
          <cell r="W77">
            <v>129.99</v>
          </cell>
          <cell r="X77">
            <v>6.000263171745881</v>
          </cell>
          <cell r="Y77">
            <v>1.3571683691692265</v>
          </cell>
          <cell r="Z77">
            <v>5.928923494535324</v>
          </cell>
          <cell r="AA77">
            <v>6.0003846449726899</v>
          </cell>
          <cell r="AB77">
            <v>0.92856632616615475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K77">
            <v>0.15785070000000001</v>
          </cell>
          <cell r="AL77">
            <v>179.94821949300001</v>
          </cell>
          <cell r="AM77">
            <v>29.990054493000002</v>
          </cell>
          <cell r="AN77">
            <v>131.01450249300001</v>
          </cell>
          <cell r="AO77">
            <v>22.097519493000004</v>
          </cell>
          <cell r="AP77">
            <v>123.12196749300001</v>
          </cell>
          <cell r="AQ77">
            <v>20.519012493000002</v>
          </cell>
          <cell r="AS77" t="str">
            <v>FO</v>
          </cell>
        </row>
        <row r="78">
          <cell r="B78" t="str">
            <v>Fiji</v>
          </cell>
          <cell r="C78" t="str">
            <v>Asia</v>
          </cell>
          <cell r="E78" t="str">
            <v>FJD</v>
          </cell>
          <cell r="F78">
            <v>179.99</v>
          </cell>
          <cell r="G78">
            <v>29.99</v>
          </cell>
          <cell r="H78">
            <v>131.99</v>
          </cell>
          <cell r="I78">
            <v>21.99</v>
          </cell>
          <cell r="J78">
            <v>119.99</v>
          </cell>
          <cell r="K78">
            <v>19.989999999999998</v>
          </cell>
          <cell r="L78">
            <v>6.0016672224074696</v>
          </cell>
          <cell r="M78">
            <v>1.3638017280582082</v>
          </cell>
          <cell r="N78">
            <v>6.0022737608003647</v>
          </cell>
          <cell r="O78">
            <v>6.002501250625313</v>
          </cell>
          <cell r="P78">
            <v>0.90904956798544789</v>
          </cell>
          <cell r="Q78" t="str">
            <v>FJD</v>
          </cell>
          <cell r="R78">
            <v>179.99</v>
          </cell>
          <cell r="S78">
            <v>29.99</v>
          </cell>
          <cell r="T78">
            <v>131.99</v>
          </cell>
          <cell r="U78">
            <v>21.99</v>
          </cell>
          <cell r="V78">
            <v>119.99</v>
          </cell>
          <cell r="W78">
            <v>19.989999999999998</v>
          </cell>
          <cell r="X78">
            <v>6.0016672224074696</v>
          </cell>
          <cell r="Y78">
            <v>1.3638017280582082</v>
          </cell>
          <cell r="Z78">
            <v>6.0022737608003647</v>
          </cell>
          <cell r="AA78">
            <v>6.002501250625313</v>
          </cell>
          <cell r="AB78">
            <v>0.90904956798544789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0.44297766999999999</v>
          </cell>
          <cell r="AL78">
            <v>79.731550823299997</v>
          </cell>
          <cell r="AM78">
            <v>13.284900323299999</v>
          </cell>
          <cell r="AN78">
            <v>58.468622663300003</v>
          </cell>
          <cell r="AO78">
            <v>9.7410789632999997</v>
          </cell>
          <cell r="AP78">
            <v>53.152890623299996</v>
          </cell>
          <cell r="AQ78">
            <v>8.855123623299999</v>
          </cell>
          <cell r="AS78" t="str">
            <v>FJ</v>
          </cell>
        </row>
        <row r="79">
          <cell r="B79" t="str">
            <v>Finland</v>
          </cell>
          <cell r="C79" t="str">
            <v>Europe</v>
          </cell>
          <cell r="E79" t="str">
            <v>EUR</v>
          </cell>
          <cell r="F79">
            <v>129.99</v>
          </cell>
          <cell r="G79">
            <v>19.989999999999998</v>
          </cell>
          <cell r="H79">
            <v>99.99</v>
          </cell>
          <cell r="I79">
            <v>14.99</v>
          </cell>
          <cell r="J79">
            <v>89.99</v>
          </cell>
          <cell r="K79">
            <v>13.99</v>
          </cell>
          <cell r="L79">
            <v>6.5027513756878452</v>
          </cell>
          <cell r="M79">
            <v>1.333555703802535</v>
          </cell>
          <cell r="N79">
            <v>6.6704469646430953</v>
          </cell>
          <cell r="O79">
            <v>6.432451751250893</v>
          </cell>
          <cell r="P79">
            <v>0.93328885923949301</v>
          </cell>
          <cell r="Q79" t="str">
            <v>EUR</v>
          </cell>
          <cell r="R79">
            <v>129.99</v>
          </cell>
          <cell r="S79">
            <v>19.989999999999998</v>
          </cell>
          <cell r="T79">
            <v>99.99</v>
          </cell>
          <cell r="U79">
            <v>14.99</v>
          </cell>
          <cell r="V79">
            <v>89.99</v>
          </cell>
          <cell r="W79">
            <v>13.99</v>
          </cell>
          <cell r="X79">
            <v>6.5027513756878452</v>
          </cell>
          <cell r="Y79">
            <v>1.333555703802535</v>
          </cell>
          <cell r="Z79">
            <v>6.6704469646430953</v>
          </cell>
          <cell r="AA79">
            <v>6.432451751250893</v>
          </cell>
          <cell r="AB79">
            <v>0.93328885923949301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K79">
            <v>1.1778500000000001</v>
          </cell>
          <cell r="AL79">
            <v>153.10872150000003</v>
          </cell>
          <cell r="AM79">
            <v>23.5452215</v>
          </cell>
          <cell r="AN79">
            <v>117.77322150000001</v>
          </cell>
          <cell r="AO79">
            <v>17.6559715</v>
          </cell>
          <cell r="AP79">
            <v>105.9947215</v>
          </cell>
          <cell r="AQ79">
            <v>16.4781215</v>
          </cell>
          <cell r="AS79" t="str">
            <v>FI</v>
          </cell>
        </row>
        <row r="80">
          <cell r="B80" t="str">
            <v>France</v>
          </cell>
          <cell r="C80" t="str">
            <v>Europe</v>
          </cell>
          <cell r="D80" t="str">
            <v>B</v>
          </cell>
          <cell r="E80" t="str">
            <v>EUR</v>
          </cell>
          <cell r="F80">
            <v>199.99</v>
          </cell>
          <cell r="G80">
            <v>28.99</v>
          </cell>
          <cell r="H80">
            <v>146.99</v>
          </cell>
          <cell r="I80">
            <v>21.99</v>
          </cell>
          <cell r="J80">
            <v>134.99</v>
          </cell>
          <cell r="K80">
            <v>19.989999999999998</v>
          </cell>
          <cell r="L80">
            <v>6.8985857192135223</v>
          </cell>
          <cell r="M80">
            <v>1.3183265120509322</v>
          </cell>
          <cell r="N80">
            <v>6.6844020009095049</v>
          </cell>
          <cell r="O80">
            <v>6.7528764382191104</v>
          </cell>
          <cell r="P80">
            <v>0.90904956798544789</v>
          </cell>
          <cell r="Q80" t="str">
            <v>EUR</v>
          </cell>
          <cell r="R80">
            <v>199.99</v>
          </cell>
          <cell r="S80">
            <v>28.99</v>
          </cell>
          <cell r="T80">
            <v>146.99</v>
          </cell>
          <cell r="U80">
            <v>21.99</v>
          </cell>
          <cell r="V80">
            <v>134.99</v>
          </cell>
          <cell r="W80">
            <v>19.989999999999998</v>
          </cell>
          <cell r="X80">
            <v>6.8985857192135223</v>
          </cell>
          <cell r="Y80">
            <v>1.3183265120509322</v>
          </cell>
          <cell r="Z80">
            <v>6.6844020009095049</v>
          </cell>
          <cell r="AA80">
            <v>6.7528764382191104</v>
          </cell>
          <cell r="AB80">
            <v>0.90904956798544789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1.1778500000000001</v>
          </cell>
          <cell r="AL80">
            <v>235.55822150000003</v>
          </cell>
          <cell r="AM80">
            <v>34.145871499999998</v>
          </cell>
          <cell r="AN80">
            <v>173.13217150000003</v>
          </cell>
          <cell r="AO80">
            <v>25.900921499999999</v>
          </cell>
          <cell r="AP80">
            <v>158.99797150000001</v>
          </cell>
          <cell r="AQ80">
            <v>23.5452215</v>
          </cell>
          <cell r="AS80" t="str">
            <v>FR</v>
          </cell>
        </row>
        <row r="81">
          <cell r="B81" t="str">
            <v>French Guiana</v>
          </cell>
          <cell r="C81" t="str">
            <v>Latin America</v>
          </cell>
          <cell r="E81" t="str">
            <v>EUR</v>
          </cell>
          <cell r="F81">
            <v>77.989999999999995</v>
          </cell>
          <cell r="G81">
            <v>12.99</v>
          </cell>
          <cell r="H81">
            <v>59.99</v>
          </cell>
          <cell r="I81">
            <v>9.99</v>
          </cell>
          <cell r="J81">
            <v>53.99</v>
          </cell>
          <cell r="K81">
            <v>8.99</v>
          </cell>
          <cell r="L81">
            <v>6.0038491147036179</v>
          </cell>
          <cell r="M81">
            <v>1.3003003003003002</v>
          </cell>
          <cell r="N81">
            <v>6.005005005005005</v>
          </cell>
          <cell r="O81">
            <v>6.0055617352614012</v>
          </cell>
          <cell r="P81">
            <v>0.89989989989989994</v>
          </cell>
          <cell r="Q81" t="str">
            <v>EUR</v>
          </cell>
          <cell r="R81">
            <v>77.989999999999995</v>
          </cell>
          <cell r="S81">
            <v>12.99</v>
          </cell>
          <cell r="T81">
            <v>59.99</v>
          </cell>
          <cell r="U81">
            <v>9.99</v>
          </cell>
          <cell r="V81">
            <v>53.99</v>
          </cell>
          <cell r="W81">
            <v>8.99</v>
          </cell>
          <cell r="X81">
            <v>6.0038491147036179</v>
          </cell>
          <cell r="Y81">
            <v>1.3003003003003002</v>
          </cell>
          <cell r="Z81">
            <v>6.005005005005005</v>
          </cell>
          <cell r="AA81">
            <v>6.0055617352614012</v>
          </cell>
          <cell r="AB81">
            <v>0.89989989989989994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1.1778500000000001</v>
          </cell>
          <cell r="AL81">
            <v>91.860521500000004</v>
          </cell>
          <cell r="AM81">
            <v>15.300271500000001</v>
          </cell>
          <cell r="AN81">
            <v>70.659221500000001</v>
          </cell>
          <cell r="AO81">
            <v>11.766721500000001</v>
          </cell>
          <cell r="AP81">
            <v>63.592121500000005</v>
          </cell>
          <cell r="AQ81">
            <v>10.588871500000002</v>
          </cell>
          <cell r="AS81" t="str">
            <v>GF</v>
          </cell>
        </row>
        <row r="82">
          <cell r="B82" t="str">
            <v>French Polynesia</v>
          </cell>
          <cell r="C82" t="str">
            <v>Asia</v>
          </cell>
          <cell r="E82" t="str">
            <v>XPF</v>
          </cell>
          <cell r="F82">
            <v>8100</v>
          </cell>
          <cell r="G82">
            <v>1350</v>
          </cell>
          <cell r="H82">
            <v>6000</v>
          </cell>
          <cell r="I82">
            <v>1000</v>
          </cell>
          <cell r="J82">
            <v>5400</v>
          </cell>
          <cell r="K82">
            <v>900</v>
          </cell>
          <cell r="L82">
            <v>6</v>
          </cell>
          <cell r="M82">
            <v>1.35</v>
          </cell>
          <cell r="N82">
            <v>6</v>
          </cell>
          <cell r="O82">
            <v>6</v>
          </cell>
          <cell r="P82">
            <v>0.9</v>
          </cell>
          <cell r="Q82" t="str">
            <v>XPF</v>
          </cell>
          <cell r="R82">
            <v>8100</v>
          </cell>
          <cell r="S82">
            <v>1350</v>
          </cell>
          <cell r="T82">
            <v>6000</v>
          </cell>
          <cell r="U82">
            <v>1000</v>
          </cell>
          <cell r="V82">
            <v>5400</v>
          </cell>
          <cell r="W82">
            <v>900</v>
          </cell>
          <cell r="X82">
            <v>6</v>
          </cell>
          <cell r="Y82">
            <v>1.35</v>
          </cell>
          <cell r="Z82">
            <v>6</v>
          </cell>
          <cell r="AA82">
            <v>6</v>
          </cell>
          <cell r="AB82">
            <v>0.9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9.8703820000000005E-3</v>
          </cell>
          <cell r="AL82">
            <v>79.950094200000009</v>
          </cell>
          <cell r="AM82">
            <v>13.3250157</v>
          </cell>
          <cell r="AN82">
            <v>59.222292000000003</v>
          </cell>
          <cell r="AO82">
            <v>9.8703820000000011</v>
          </cell>
          <cell r="AP82">
            <v>53.300062799999999</v>
          </cell>
          <cell r="AQ82">
            <v>8.8833438000000005</v>
          </cell>
          <cell r="AS82" t="str">
            <v>PF</v>
          </cell>
        </row>
        <row r="83">
          <cell r="B83" t="str">
            <v>French Southern Territories</v>
          </cell>
          <cell r="C83" t="str">
            <v>Europe</v>
          </cell>
          <cell r="E83" t="str">
            <v>EUR</v>
          </cell>
          <cell r="F83">
            <v>119.99</v>
          </cell>
          <cell r="G83">
            <v>19.989999999999998</v>
          </cell>
          <cell r="H83">
            <v>89.99</v>
          </cell>
          <cell r="I83">
            <v>14.99</v>
          </cell>
          <cell r="J83">
            <v>79.989999999999995</v>
          </cell>
          <cell r="K83">
            <v>12.99</v>
          </cell>
          <cell r="L83">
            <v>6.002501250625313</v>
          </cell>
          <cell r="M83">
            <v>1.333555703802535</v>
          </cell>
          <cell r="N83">
            <v>6.0033355570380253</v>
          </cell>
          <cell r="O83">
            <v>6.157813702848344</v>
          </cell>
          <cell r="P83">
            <v>0.86657771847898601</v>
          </cell>
          <cell r="Q83" t="str">
            <v>EUR</v>
          </cell>
          <cell r="R83">
            <v>119.99</v>
          </cell>
          <cell r="S83">
            <v>19.989999999999998</v>
          </cell>
          <cell r="T83">
            <v>89.99</v>
          </cell>
          <cell r="U83">
            <v>14.99</v>
          </cell>
          <cell r="V83">
            <v>79.989999999999995</v>
          </cell>
          <cell r="W83">
            <v>12.99</v>
          </cell>
          <cell r="X83">
            <v>6.002501250625313</v>
          </cell>
          <cell r="Y83">
            <v>1.333555703802535</v>
          </cell>
          <cell r="Z83">
            <v>6.0033355570380253</v>
          </cell>
          <cell r="AA83">
            <v>6.157813702848344</v>
          </cell>
          <cell r="AB83">
            <v>0.86657771847898601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K83">
            <v>1.1778500000000001</v>
          </cell>
          <cell r="AL83">
            <v>141.33022149999999</v>
          </cell>
          <cell r="AM83">
            <v>23.5452215</v>
          </cell>
          <cell r="AN83">
            <v>105.9947215</v>
          </cell>
          <cell r="AO83">
            <v>17.6559715</v>
          </cell>
          <cell r="AP83">
            <v>94.216221500000003</v>
          </cell>
          <cell r="AQ83">
            <v>15.300271500000001</v>
          </cell>
          <cell r="AS83" t="str">
            <v>TF</v>
          </cell>
        </row>
        <row r="84">
          <cell r="B84" t="str">
            <v>Gabon</v>
          </cell>
          <cell r="C84" t="str">
            <v>Africa</v>
          </cell>
          <cell r="E84" t="str">
            <v>XAF</v>
          </cell>
          <cell r="F84">
            <v>34020</v>
          </cell>
          <cell r="G84">
            <v>5670</v>
          </cell>
          <cell r="H84">
            <v>25200</v>
          </cell>
          <cell r="I84">
            <v>4200</v>
          </cell>
          <cell r="J84">
            <v>22680</v>
          </cell>
          <cell r="K84">
            <v>3780</v>
          </cell>
          <cell r="L84">
            <v>6</v>
          </cell>
          <cell r="M84">
            <v>1.35</v>
          </cell>
          <cell r="N84">
            <v>6</v>
          </cell>
          <cell r="O84">
            <v>6</v>
          </cell>
          <cell r="P84">
            <v>0.9</v>
          </cell>
          <cell r="Q84" t="str">
            <v>XAF</v>
          </cell>
          <cell r="R84">
            <v>34020</v>
          </cell>
          <cell r="S84">
            <v>5670</v>
          </cell>
          <cell r="T84">
            <v>25200</v>
          </cell>
          <cell r="U84">
            <v>4200</v>
          </cell>
          <cell r="V84">
            <v>22680</v>
          </cell>
          <cell r="W84">
            <v>3780</v>
          </cell>
          <cell r="X84">
            <v>6</v>
          </cell>
          <cell r="Y84">
            <v>1.35</v>
          </cell>
          <cell r="Z84">
            <v>6</v>
          </cell>
          <cell r="AA84">
            <v>6</v>
          </cell>
          <cell r="AB84">
            <v>0.9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1.7956208E-3</v>
          </cell>
          <cell r="AL84">
            <v>61.087019615999999</v>
          </cell>
          <cell r="AM84">
            <v>10.181169936</v>
          </cell>
          <cell r="AN84">
            <v>45.249644160000003</v>
          </cell>
          <cell r="AO84">
            <v>7.5416073600000004</v>
          </cell>
          <cell r="AP84">
            <v>40.724679743999999</v>
          </cell>
          <cell r="AQ84">
            <v>6.7874466240000002</v>
          </cell>
          <cell r="AS84" t="str">
            <v>GA</v>
          </cell>
        </row>
        <row r="85">
          <cell r="B85" t="str">
            <v>Gambia</v>
          </cell>
          <cell r="C85" t="str">
            <v>Africa</v>
          </cell>
          <cell r="E85" t="str">
            <v>GMD</v>
          </cell>
          <cell r="F85">
            <v>4451.99</v>
          </cell>
          <cell r="G85">
            <v>741.99</v>
          </cell>
          <cell r="H85">
            <v>3299.99</v>
          </cell>
          <cell r="I85">
            <v>549.99</v>
          </cell>
          <cell r="J85">
            <v>2969.99</v>
          </cell>
          <cell r="K85">
            <v>494.99</v>
          </cell>
          <cell r="L85">
            <v>6.0000673863529155</v>
          </cell>
          <cell r="M85">
            <v>1.3490972563137511</v>
          </cell>
          <cell r="N85">
            <v>6.0000909107438316</v>
          </cell>
          <cell r="O85">
            <v>6.0001010121416591</v>
          </cell>
          <cell r="P85">
            <v>0.89999818178512336</v>
          </cell>
          <cell r="Q85" t="str">
            <v>GMD</v>
          </cell>
          <cell r="R85">
            <v>4451.99</v>
          </cell>
          <cell r="S85">
            <v>741.99</v>
          </cell>
          <cell r="T85">
            <v>3299.99</v>
          </cell>
          <cell r="U85">
            <v>549.99</v>
          </cell>
          <cell r="V85">
            <v>2969.99</v>
          </cell>
          <cell r="W85">
            <v>494.99</v>
          </cell>
          <cell r="X85">
            <v>6.0000673863529155</v>
          </cell>
          <cell r="Y85">
            <v>1.3490972563137511</v>
          </cell>
          <cell r="Z85">
            <v>6.0000909107438316</v>
          </cell>
          <cell r="AA85">
            <v>6.0001010121416591</v>
          </cell>
          <cell r="AB85">
            <v>0.89999818178512336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1.3986014E-2</v>
          </cell>
          <cell r="AL85">
            <v>62.265594467859998</v>
          </cell>
          <cell r="AM85">
            <v>10.37748252786</v>
          </cell>
          <cell r="AN85">
            <v>46.153706339859994</v>
          </cell>
          <cell r="AO85">
            <v>7.6921678398599997</v>
          </cell>
          <cell r="AP85">
            <v>41.538321719859994</v>
          </cell>
          <cell r="AQ85">
            <v>6.9229370698599997</v>
          </cell>
          <cell r="AS85" t="str">
            <v>GM</v>
          </cell>
        </row>
        <row r="86">
          <cell r="B86" t="str">
            <v>Georgia</v>
          </cell>
          <cell r="C86" t="str">
            <v>Middle East</v>
          </cell>
          <cell r="E86" t="str">
            <v>GEL</v>
          </cell>
          <cell r="F86">
            <v>299.99</v>
          </cell>
          <cell r="G86">
            <v>50.99</v>
          </cell>
          <cell r="H86">
            <v>229.99</v>
          </cell>
          <cell r="I86">
            <v>37.99</v>
          </cell>
          <cell r="J86">
            <v>199.99</v>
          </cell>
          <cell r="K86">
            <v>33.99</v>
          </cell>
          <cell r="L86">
            <v>5.8833104530300062</v>
          </cell>
          <cell r="M86">
            <v>1.3421953145564622</v>
          </cell>
          <cell r="N86">
            <v>6.0539615688339037</v>
          </cell>
          <cell r="O86">
            <v>5.883789349808767</v>
          </cell>
          <cell r="P86">
            <v>0.89470913398262697</v>
          </cell>
          <cell r="Q86" t="str">
            <v>GEL</v>
          </cell>
          <cell r="R86">
            <v>299.99</v>
          </cell>
          <cell r="S86">
            <v>50.99</v>
          </cell>
          <cell r="T86">
            <v>229.99</v>
          </cell>
          <cell r="U86">
            <v>37.99</v>
          </cell>
          <cell r="V86">
            <v>199.99</v>
          </cell>
          <cell r="W86">
            <v>33.99</v>
          </cell>
          <cell r="X86">
            <v>5.8833104530300062</v>
          </cell>
          <cell r="Y86">
            <v>1.3421953145564622</v>
          </cell>
          <cell r="Z86">
            <v>6.0539615688339037</v>
          </cell>
          <cell r="AA86">
            <v>5.883789349808767</v>
          </cell>
          <cell r="AB86">
            <v>0.89470913398262697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0.36805300000000002</v>
          </cell>
          <cell r="AL86">
            <v>110.41221947000001</v>
          </cell>
          <cell r="AM86">
            <v>18.767022470000001</v>
          </cell>
          <cell r="AN86">
            <v>84.648509470000008</v>
          </cell>
          <cell r="AO86">
            <v>13.982333470000002</v>
          </cell>
          <cell r="AP86">
            <v>73.606919470000008</v>
          </cell>
          <cell r="AQ86">
            <v>12.510121470000001</v>
          </cell>
          <cell r="AS86" t="str">
            <v>GE</v>
          </cell>
        </row>
        <row r="87">
          <cell r="B87" t="str">
            <v>Germany</v>
          </cell>
          <cell r="C87" t="str">
            <v>Europe</v>
          </cell>
          <cell r="D87" t="str">
            <v>B</v>
          </cell>
          <cell r="E87" t="str">
            <v>EUR</v>
          </cell>
          <cell r="F87">
            <v>189.99</v>
          </cell>
          <cell r="G87">
            <v>27.99</v>
          </cell>
          <cell r="H87">
            <v>139.99</v>
          </cell>
          <cell r="I87">
            <v>19.989999999999998</v>
          </cell>
          <cell r="J87">
            <v>124.99</v>
          </cell>
          <cell r="K87">
            <v>17.989999999999998</v>
          </cell>
          <cell r="L87">
            <v>6.7877813504823159</v>
          </cell>
          <cell r="M87">
            <v>1.400200100050025</v>
          </cell>
          <cell r="N87">
            <v>7.0030015007503765</v>
          </cell>
          <cell r="O87">
            <v>6.9477487493051697</v>
          </cell>
          <cell r="P87">
            <v>0.89994997498749374</v>
          </cell>
          <cell r="Q87" t="str">
            <v>EUR</v>
          </cell>
          <cell r="R87">
            <v>189.99</v>
          </cell>
          <cell r="S87">
            <v>27.99</v>
          </cell>
          <cell r="T87">
            <v>139.99</v>
          </cell>
          <cell r="U87">
            <v>19.989999999999998</v>
          </cell>
          <cell r="V87">
            <v>124.99</v>
          </cell>
          <cell r="W87">
            <v>17.989999999999998</v>
          </cell>
          <cell r="X87">
            <v>6.7877813504823159</v>
          </cell>
          <cell r="Y87">
            <v>1.400200100050025</v>
          </cell>
          <cell r="Z87">
            <v>7.0030015007503765</v>
          </cell>
          <cell r="AA87">
            <v>6.9477487493051697</v>
          </cell>
          <cell r="AB87">
            <v>0.89994997498749374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1.1778500000000001</v>
          </cell>
          <cell r="AL87">
            <v>223.77972150000002</v>
          </cell>
          <cell r="AM87">
            <v>32.968021499999999</v>
          </cell>
          <cell r="AN87">
            <v>164.88722150000001</v>
          </cell>
          <cell r="AO87">
            <v>23.5452215</v>
          </cell>
          <cell r="AP87">
            <v>147.2194715</v>
          </cell>
          <cell r="AQ87">
            <v>21.189521499999998</v>
          </cell>
          <cell r="AS87" t="str">
            <v>DE</v>
          </cell>
        </row>
        <row r="88">
          <cell r="B88" t="str">
            <v>Ghana</v>
          </cell>
          <cell r="C88" t="str">
            <v>Africa</v>
          </cell>
          <cell r="E88" t="str">
            <v>GHS</v>
          </cell>
          <cell r="F88">
            <v>620</v>
          </cell>
          <cell r="G88">
            <v>104</v>
          </cell>
          <cell r="H88">
            <v>440</v>
          </cell>
          <cell r="I88">
            <v>74</v>
          </cell>
          <cell r="J88">
            <v>384</v>
          </cell>
          <cell r="K88">
            <v>64</v>
          </cell>
          <cell r="L88">
            <v>5.9615384615384617</v>
          </cell>
          <cell r="M88">
            <v>1.4054054054054055</v>
          </cell>
          <cell r="N88">
            <v>5.9459459459459456</v>
          </cell>
          <cell r="O88">
            <v>6</v>
          </cell>
          <cell r="P88">
            <v>0.86486486486486491</v>
          </cell>
          <cell r="Q88" t="str">
            <v>GHS</v>
          </cell>
          <cell r="R88">
            <v>679</v>
          </cell>
          <cell r="S88">
            <v>114</v>
          </cell>
          <cell r="T88">
            <v>479</v>
          </cell>
          <cell r="U88">
            <v>79</v>
          </cell>
          <cell r="V88">
            <v>419</v>
          </cell>
          <cell r="W88">
            <v>69</v>
          </cell>
          <cell r="X88">
            <v>5.9561403508771926</v>
          </cell>
          <cell r="Y88">
            <v>1.4430379746835442</v>
          </cell>
          <cell r="Z88">
            <v>6.0632911392405067</v>
          </cell>
          <cell r="AA88">
            <v>6.0724637681159424</v>
          </cell>
          <cell r="AB88">
            <v>0.87341772151898733</v>
          </cell>
          <cell r="AD88">
            <v>9.5161290322580694E-2</v>
          </cell>
          <cell r="AE88">
            <v>9.6153846153846256E-2</v>
          </cell>
          <cell r="AF88">
            <v>8.8636363636363624E-2</v>
          </cell>
          <cell r="AG88">
            <v>6.7567567567567544E-2</v>
          </cell>
          <cell r="AH88">
            <v>9.1145833333333259E-2</v>
          </cell>
          <cell r="AI88">
            <v>7.8125E-2</v>
          </cell>
          <cell r="AK88">
            <v>9.6618354000000004E-2</v>
          </cell>
          <cell r="AL88">
            <v>65.603862366000001</v>
          </cell>
          <cell r="AM88">
            <v>11.014492356</v>
          </cell>
          <cell r="AN88">
            <v>46.280191565999999</v>
          </cell>
          <cell r="AO88">
            <v>7.6328499660000002</v>
          </cell>
          <cell r="AP88">
            <v>40.483090326000003</v>
          </cell>
          <cell r="AQ88">
            <v>6.6666664259999999</v>
          </cell>
          <cell r="AS88" t="str">
            <v>GH</v>
          </cell>
        </row>
        <row r="89">
          <cell r="B89" t="str">
            <v>Gibraltar</v>
          </cell>
          <cell r="C89" t="str">
            <v>Europe</v>
          </cell>
          <cell r="E89" t="str">
            <v>GIP</v>
          </cell>
          <cell r="F89">
            <v>124.99</v>
          </cell>
          <cell r="G89">
            <v>17.989999999999998</v>
          </cell>
          <cell r="H89">
            <v>79.989999999999995</v>
          </cell>
          <cell r="I89">
            <v>12.99</v>
          </cell>
          <cell r="J89">
            <v>69.989999999999995</v>
          </cell>
          <cell r="K89">
            <v>11.99</v>
          </cell>
          <cell r="L89">
            <v>6.9477487493051697</v>
          </cell>
          <cell r="M89">
            <v>1.3849114703618166</v>
          </cell>
          <cell r="N89">
            <v>6.157813702848344</v>
          </cell>
          <cell r="O89">
            <v>5.8373644703919929</v>
          </cell>
          <cell r="P89">
            <v>0.92301770592763666</v>
          </cell>
          <cell r="Q89" t="str">
            <v>GIP</v>
          </cell>
          <cell r="R89">
            <v>124.99</v>
          </cell>
          <cell r="S89">
            <v>17.989999999999998</v>
          </cell>
          <cell r="T89">
            <v>79.989999999999995</v>
          </cell>
          <cell r="U89">
            <v>12.99</v>
          </cell>
          <cell r="V89">
            <v>69.989999999999995</v>
          </cell>
          <cell r="W89">
            <v>11.99</v>
          </cell>
          <cell r="X89">
            <v>6.9477487493051697</v>
          </cell>
          <cell r="Y89">
            <v>1.3849114703618166</v>
          </cell>
          <cell r="Z89">
            <v>6.157813702848344</v>
          </cell>
          <cell r="AA89">
            <v>5.8373644703919929</v>
          </cell>
          <cell r="AB89">
            <v>0.92301770592763666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1.3657999999999999</v>
          </cell>
          <cell r="AL89">
            <v>170.71134199999997</v>
          </cell>
          <cell r="AM89">
            <v>24.570741999999996</v>
          </cell>
          <cell r="AN89">
            <v>109.25034199999999</v>
          </cell>
          <cell r="AO89">
            <v>17.741741999999999</v>
          </cell>
          <cell r="AP89">
            <v>95.592341999999988</v>
          </cell>
          <cell r="AQ89">
            <v>16.375941999999998</v>
          </cell>
          <cell r="AS89" t="str">
            <v>GI</v>
          </cell>
        </row>
        <row r="90">
          <cell r="B90" t="str">
            <v>Greece</v>
          </cell>
          <cell r="C90" t="str">
            <v>Europe</v>
          </cell>
          <cell r="D90" t="str">
            <v>E~</v>
          </cell>
          <cell r="E90" t="str">
            <v>EUR</v>
          </cell>
          <cell r="F90">
            <v>117.99</v>
          </cell>
          <cell r="G90">
            <v>16.989999999999998</v>
          </cell>
          <cell r="H90">
            <v>89.99</v>
          </cell>
          <cell r="I90">
            <v>12.99</v>
          </cell>
          <cell r="J90">
            <v>79.989999999999995</v>
          </cell>
          <cell r="K90">
            <v>11.99</v>
          </cell>
          <cell r="L90">
            <v>6.9446733372572105</v>
          </cell>
          <cell r="M90">
            <v>1.3079291762894534</v>
          </cell>
          <cell r="N90">
            <v>6.9276366435719776</v>
          </cell>
          <cell r="O90">
            <v>6.6713928273561294</v>
          </cell>
          <cell r="P90">
            <v>0.92301770592763666</v>
          </cell>
          <cell r="Q90" t="str">
            <v>EUR</v>
          </cell>
          <cell r="R90">
            <v>117.99</v>
          </cell>
          <cell r="S90">
            <v>16.989999999999998</v>
          </cell>
          <cell r="T90">
            <v>89.99</v>
          </cell>
          <cell r="U90">
            <v>12.99</v>
          </cell>
          <cell r="V90">
            <v>79.989999999999995</v>
          </cell>
          <cell r="W90">
            <v>11.99</v>
          </cell>
          <cell r="X90">
            <v>6.9446733372572105</v>
          </cell>
          <cell r="Y90">
            <v>1.3079291762894534</v>
          </cell>
          <cell r="Z90">
            <v>6.9276366435719776</v>
          </cell>
          <cell r="AA90">
            <v>6.6713928273561294</v>
          </cell>
          <cell r="AB90">
            <v>0.92301770592763666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1.1778500000000001</v>
          </cell>
          <cell r="AL90">
            <v>138.97452150000001</v>
          </cell>
          <cell r="AM90">
            <v>20.011671499999999</v>
          </cell>
          <cell r="AN90">
            <v>105.9947215</v>
          </cell>
          <cell r="AO90">
            <v>15.300271500000001</v>
          </cell>
          <cell r="AP90">
            <v>94.216221500000003</v>
          </cell>
          <cell r="AQ90">
            <v>14.122421500000002</v>
          </cell>
          <cell r="AS90" t="str">
            <v>GR</v>
          </cell>
        </row>
        <row r="91">
          <cell r="B91" t="str">
            <v>Greenland</v>
          </cell>
          <cell r="C91" t="str">
            <v>Europe</v>
          </cell>
          <cell r="E91" t="str">
            <v>DKK</v>
          </cell>
          <cell r="F91">
            <v>1079.99</v>
          </cell>
          <cell r="G91">
            <v>179.99</v>
          </cell>
          <cell r="H91">
            <v>829.99</v>
          </cell>
          <cell r="I91">
            <v>139.99</v>
          </cell>
          <cell r="J91">
            <v>779.99</v>
          </cell>
          <cell r="K91">
            <v>129.99</v>
          </cell>
          <cell r="L91">
            <v>6.0002777932107341</v>
          </cell>
          <cell r="M91">
            <v>1.285734695335381</v>
          </cell>
          <cell r="N91">
            <v>5.928923494535324</v>
          </cell>
          <cell r="O91">
            <v>6.0003846449726899</v>
          </cell>
          <cell r="P91">
            <v>0.92856632616615475</v>
          </cell>
          <cell r="Q91" t="str">
            <v>DKK</v>
          </cell>
          <cell r="R91">
            <v>1079.99</v>
          </cell>
          <cell r="S91">
            <v>179.99</v>
          </cell>
          <cell r="T91">
            <v>829.99</v>
          </cell>
          <cell r="U91">
            <v>139.99</v>
          </cell>
          <cell r="V91">
            <v>779.99</v>
          </cell>
          <cell r="W91">
            <v>129.99</v>
          </cell>
          <cell r="X91">
            <v>6.0002777932107341</v>
          </cell>
          <cell r="Y91">
            <v>1.285734695335381</v>
          </cell>
          <cell r="Z91">
            <v>5.928923494535324</v>
          </cell>
          <cell r="AA91">
            <v>6.0003846449726899</v>
          </cell>
          <cell r="AB91">
            <v>0.92856632616615475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0.15785070000000001</v>
          </cell>
          <cell r="AL91">
            <v>170.477177493</v>
          </cell>
          <cell r="AM91">
            <v>28.411547493000004</v>
          </cell>
          <cell r="AN91">
            <v>131.01450249300001</v>
          </cell>
          <cell r="AO91">
            <v>22.097519493000004</v>
          </cell>
          <cell r="AP91">
            <v>123.12196749300001</v>
          </cell>
          <cell r="AQ91">
            <v>20.519012493000002</v>
          </cell>
          <cell r="AS91" t="str">
            <v>GL</v>
          </cell>
        </row>
        <row r="92">
          <cell r="B92" t="str">
            <v>Grenada</v>
          </cell>
          <cell r="C92" t="str">
            <v>Latin America</v>
          </cell>
          <cell r="E92" t="str">
            <v>XCD</v>
          </cell>
          <cell r="F92">
            <v>305.99</v>
          </cell>
          <cell r="G92">
            <v>50.99</v>
          </cell>
          <cell r="H92">
            <v>227.99</v>
          </cell>
          <cell r="I92">
            <v>37.99</v>
          </cell>
          <cell r="J92">
            <v>203.99</v>
          </cell>
          <cell r="K92">
            <v>33.99</v>
          </cell>
          <cell r="L92">
            <v>6.0009805844283193</v>
          </cell>
          <cell r="M92">
            <v>1.3421953145564622</v>
          </cell>
          <cell r="N92">
            <v>6.0013161358252169</v>
          </cell>
          <cell r="O92">
            <v>6.0014710208884967</v>
          </cell>
          <cell r="P92">
            <v>0.89470913398262697</v>
          </cell>
          <cell r="Q92" t="str">
            <v>XCD</v>
          </cell>
          <cell r="R92">
            <v>305.99</v>
          </cell>
          <cell r="S92">
            <v>50.99</v>
          </cell>
          <cell r="T92">
            <v>227.99</v>
          </cell>
          <cell r="U92">
            <v>37.99</v>
          </cell>
          <cell r="V92">
            <v>203.99</v>
          </cell>
          <cell r="W92">
            <v>33.99</v>
          </cell>
          <cell r="X92">
            <v>6.0009805844283193</v>
          </cell>
          <cell r="Y92">
            <v>1.3421953145564622</v>
          </cell>
          <cell r="Z92">
            <v>6.0013161358252169</v>
          </cell>
          <cell r="AA92">
            <v>6.0014710208884967</v>
          </cell>
          <cell r="AB92">
            <v>0.89470913398262697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0.37037036000000001</v>
          </cell>
          <cell r="AL92">
            <v>113.32962645640001</v>
          </cell>
          <cell r="AM92">
            <v>18.8851846564</v>
          </cell>
          <cell r="AN92">
            <v>84.440738376400006</v>
          </cell>
          <cell r="AO92">
            <v>14.0703699764</v>
          </cell>
          <cell r="AP92">
            <v>75.551849736400001</v>
          </cell>
          <cell r="AQ92">
            <v>12.588888536400001</v>
          </cell>
          <cell r="AS92" t="str">
            <v>GD</v>
          </cell>
        </row>
        <row r="93">
          <cell r="B93" t="str">
            <v>Guadeloupe</v>
          </cell>
          <cell r="C93" t="str">
            <v>Latin America</v>
          </cell>
          <cell r="E93" t="str">
            <v>EUR</v>
          </cell>
          <cell r="F93">
            <v>84.99</v>
          </cell>
          <cell r="G93">
            <v>13.99</v>
          </cell>
          <cell r="H93">
            <v>59.99</v>
          </cell>
          <cell r="I93">
            <v>9.99</v>
          </cell>
          <cell r="J93">
            <v>53.99</v>
          </cell>
          <cell r="K93">
            <v>8.99</v>
          </cell>
          <cell r="L93">
            <v>6.0750536097212287</v>
          </cell>
          <cell r="M93">
            <v>1.4004004004004005</v>
          </cell>
          <cell r="N93">
            <v>6.005005005005005</v>
          </cell>
          <cell r="O93">
            <v>6.0055617352614012</v>
          </cell>
          <cell r="P93">
            <v>0.89989989989989994</v>
          </cell>
          <cell r="Q93" t="str">
            <v>EUR</v>
          </cell>
          <cell r="R93">
            <v>84.99</v>
          </cell>
          <cell r="S93">
            <v>13.99</v>
          </cell>
          <cell r="T93">
            <v>59.99</v>
          </cell>
          <cell r="U93">
            <v>9.99</v>
          </cell>
          <cell r="V93">
            <v>53.99</v>
          </cell>
          <cell r="W93">
            <v>8.99</v>
          </cell>
          <cell r="X93">
            <v>6.0750536097212287</v>
          </cell>
          <cell r="Y93">
            <v>1.4004004004004005</v>
          </cell>
          <cell r="Z93">
            <v>6.005005005005005</v>
          </cell>
          <cell r="AA93">
            <v>6.0055617352614012</v>
          </cell>
          <cell r="AB93">
            <v>0.89989989989989994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K93">
            <v>1.1778500000000001</v>
          </cell>
          <cell r="AL93">
            <v>100.10547149999999</v>
          </cell>
          <cell r="AM93">
            <v>16.4781215</v>
          </cell>
          <cell r="AN93">
            <v>70.659221500000001</v>
          </cell>
          <cell r="AO93">
            <v>11.766721500000001</v>
          </cell>
          <cell r="AP93">
            <v>63.592121500000005</v>
          </cell>
          <cell r="AQ93">
            <v>10.588871500000002</v>
          </cell>
          <cell r="AS93" t="str">
            <v>GP</v>
          </cell>
        </row>
        <row r="94">
          <cell r="B94" t="str">
            <v>Guatemala</v>
          </cell>
          <cell r="C94" t="str">
            <v>Latin America</v>
          </cell>
          <cell r="E94" t="str">
            <v>GTQ</v>
          </cell>
          <cell r="F94">
            <v>749.99</v>
          </cell>
          <cell r="G94">
            <v>124.99</v>
          </cell>
          <cell r="H94">
            <v>509.99</v>
          </cell>
          <cell r="I94">
            <v>84.99</v>
          </cell>
          <cell r="J94">
            <v>455.99</v>
          </cell>
          <cell r="K94">
            <v>75.989999999999995</v>
          </cell>
          <cell r="L94">
            <v>6.0004000320025606</v>
          </cell>
          <cell r="M94">
            <v>1.4706436051300154</v>
          </cell>
          <cell r="N94">
            <v>6.0005883045064126</v>
          </cell>
          <cell r="O94">
            <v>6.0006579813133314</v>
          </cell>
          <cell r="P94">
            <v>0.89410518884574652</v>
          </cell>
          <cell r="Q94" t="str">
            <v>GTQ</v>
          </cell>
          <cell r="R94">
            <v>749.99</v>
          </cell>
          <cell r="S94">
            <v>124.99</v>
          </cell>
          <cell r="T94">
            <v>509.99</v>
          </cell>
          <cell r="U94">
            <v>84.99</v>
          </cell>
          <cell r="V94">
            <v>455.99</v>
          </cell>
          <cell r="W94">
            <v>75.989999999999995</v>
          </cell>
          <cell r="X94">
            <v>6.0004000320025606</v>
          </cell>
          <cell r="Y94">
            <v>1.4706436051300154</v>
          </cell>
          <cell r="Z94">
            <v>6.0005883045064126</v>
          </cell>
          <cell r="AA94">
            <v>6.0006579813133314</v>
          </cell>
          <cell r="AB94">
            <v>0.89410518884574652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K94">
            <v>0.13026771000000001</v>
          </cell>
          <cell r="AL94">
            <v>97.699479822900003</v>
          </cell>
          <cell r="AM94">
            <v>16.282161072899999</v>
          </cell>
          <cell r="AN94">
            <v>66.435229422900008</v>
          </cell>
          <cell r="AO94">
            <v>11.0714526729</v>
          </cell>
          <cell r="AP94">
            <v>59.400773082900002</v>
          </cell>
          <cell r="AQ94">
            <v>9.8990432828999992</v>
          </cell>
          <cell r="AS94" t="str">
            <v>GT</v>
          </cell>
        </row>
        <row r="95">
          <cell r="B95" t="str">
            <v>Guernsey</v>
          </cell>
          <cell r="C95" t="str">
            <v>Europe</v>
          </cell>
          <cell r="E95" t="str">
            <v>GBP</v>
          </cell>
          <cell r="F95">
            <v>139.99</v>
          </cell>
          <cell r="G95">
            <v>19.989999999999998</v>
          </cell>
          <cell r="H95">
            <v>89.99</v>
          </cell>
          <cell r="I95">
            <v>14.99</v>
          </cell>
          <cell r="J95">
            <v>79.989999999999995</v>
          </cell>
          <cell r="K95">
            <v>12.99</v>
          </cell>
          <cell r="L95">
            <v>7.0030015007503765</v>
          </cell>
          <cell r="M95">
            <v>1.333555703802535</v>
          </cell>
          <cell r="N95">
            <v>6.0033355570380253</v>
          </cell>
          <cell r="O95">
            <v>6.157813702848344</v>
          </cell>
          <cell r="P95">
            <v>0.86657771847898601</v>
          </cell>
          <cell r="Q95" t="str">
            <v>GBP</v>
          </cell>
          <cell r="R95">
            <v>139.99</v>
          </cell>
          <cell r="S95">
            <v>19.989999999999998</v>
          </cell>
          <cell r="T95">
            <v>89.99</v>
          </cell>
          <cell r="U95">
            <v>14.99</v>
          </cell>
          <cell r="V95">
            <v>79.989999999999995</v>
          </cell>
          <cell r="W95">
            <v>12.99</v>
          </cell>
          <cell r="X95">
            <v>7.0030015007503765</v>
          </cell>
          <cell r="Y95">
            <v>1.333555703802535</v>
          </cell>
          <cell r="Z95">
            <v>6.0033355570380253</v>
          </cell>
          <cell r="AA95">
            <v>6.157813702848344</v>
          </cell>
          <cell r="AB95">
            <v>0.86657771847898601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K95">
            <v>1.36425</v>
          </cell>
          <cell r="AL95">
            <v>190.9813575</v>
          </cell>
          <cell r="AM95">
            <v>27.271357499999997</v>
          </cell>
          <cell r="AN95">
            <v>122.7688575</v>
          </cell>
          <cell r="AO95">
            <v>20.450107500000001</v>
          </cell>
          <cell r="AP95">
            <v>109.12635749999998</v>
          </cell>
          <cell r="AQ95">
            <v>17.721607500000001</v>
          </cell>
          <cell r="AS95" t="str">
            <v>GG</v>
          </cell>
        </row>
        <row r="96">
          <cell r="B96" t="str">
            <v>Guinea</v>
          </cell>
          <cell r="C96" t="str">
            <v>Africa</v>
          </cell>
          <cell r="E96" t="str">
            <v>GNF</v>
          </cell>
          <cell r="F96">
            <v>654480</v>
          </cell>
          <cell r="G96">
            <v>109080</v>
          </cell>
          <cell r="H96">
            <v>484800</v>
          </cell>
          <cell r="I96">
            <v>80800</v>
          </cell>
          <cell r="J96">
            <v>436320</v>
          </cell>
          <cell r="K96">
            <v>72720</v>
          </cell>
          <cell r="L96">
            <v>6</v>
          </cell>
          <cell r="M96">
            <v>1.35</v>
          </cell>
          <cell r="N96">
            <v>6</v>
          </cell>
          <cell r="O96">
            <v>6</v>
          </cell>
          <cell r="P96">
            <v>0.9</v>
          </cell>
          <cell r="Q96" t="str">
            <v>GNF</v>
          </cell>
          <cell r="R96">
            <v>654480</v>
          </cell>
          <cell r="S96">
            <v>109080</v>
          </cell>
          <cell r="T96">
            <v>484800</v>
          </cell>
          <cell r="U96">
            <v>80800</v>
          </cell>
          <cell r="V96">
            <v>436320</v>
          </cell>
          <cell r="W96">
            <v>72720</v>
          </cell>
          <cell r="X96">
            <v>6</v>
          </cell>
          <cell r="Y96">
            <v>1.35</v>
          </cell>
          <cell r="Z96">
            <v>6</v>
          </cell>
          <cell r="AA96">
            <v>6</v>
          </cell>
          <cell r="AB96">
            <v>0.9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K96">
            <v>1.1551346E-4</v>
          </cell>
          <cell r="AL96">
            <v>75.601249300799992</v>
          </cell>
          <cell r="AM96">
            <v>12.600208216799999</v>
          </cell>
          <cell r="AN96">
            <v>56.000925408000001</v>
          </cell>
          <cell r="AO96">
            <v>9.3334875679999989</v>
          </cell>
          <cell r="AP96">
            <v>50.400832867199995</v>
          </cell>
          <cell r="AQ96">
            <v>8.4001388111999997</v>
          </cell>
          <cell r="AS96" t="str">
            <v>GN</v>
          </cell>
        </row>
        <row r="97">
          <cell r="B97" t="str">
            <v>Guinea-Bissau</v>
          </cell>
          <cell r="C97" t="str">
            <v>Africa</v>
          </cell>
          <cell r="E97" t="str">
            <v>XOF</v>
          </cell>
          <cell r="F97">
            <v>43740</v>
          </cell>
          <cell r="G97">
            <v>7290</v>
          </cell>
          <cell r="H97">
            <v>32400</v>
          </cell>
          <cell r="I97">
            <v>5400</v>
          </cell>
          <cell r="J97">
            <v>29160</v>
          </cell>
          <cell r="K97">
            <v>4860</v>
          </cell>
          <cell r="L97">
            <v>6</v>
          </cell>
          <cell r="M97">
            <v>1.35</v>
          </cell>
          <cell r="N97">
            <v>6</v>
          </cell>
          <cell r="O97">
            <v>6</v>
          </cell>
          <cell r="P97">
            <v>0.9</v>
          </cell>
          <cell r="Q97" t="str">
            <v>XOF</v>
          </cell>
          <cell r="R97">
            <v>43740</v>
          </cell>
          <cell r="S97">
            <v>7290</v>
          </cell>
          <cell r="T97">
            <v>32400</v>
          </cell>
          <cell r="U97">
            <v>5400</v>
          </cell>
          <cell r="V97">
            <v>29160</v>
          </cell>
          <cell r="W97">
            <v>4860</v>
          </cell>
          <cell r="X97">
            <v>6</v>
          </cell>
          <cell r="Y97">
            <v>1.35</v>
          </cell>
          <cell r="Z97">
            <v>6</v>
          </cell>
          <cell r="AA97">
            <v>6</v>
          </cell>
          <cell r="AB97">
            <v>0.9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K97">
            <v>1.7956208E-3</v>
          </cell>
          <cell r="AL97">
            <v>78.540453791999994</v>
          </cell>
          <cell r="AM97">
            <v>13.090075632</v>
          </cell>
          <cell r="AN97">
            <v>58.178113920000001</v>
          </cell>
          <cell r="AO97">
            <v>9.6963523200000008</v>
          </cell>
          <cell r="AP97">
            <v>52.360302527999998</v>
          </cell>
          <cell r="AQ97">
            <v>8.7267170879999991</v>
          </cell>
          <cell r="AS97" t="str">
            <v>GW</v>
          </cell>
        </row>
        <row r="98">
          <cell r="B98" t="str">
            <v>Guyana</v>
          </cell>
          <cell r="C98" t="str">
            <v>Latin America</v>
          </cell>
          <cell r="E98" t="str">
            <v>GYD</v>
          </cell>
          <cell r="F98">
            <v>25199.99</v>
          </cell>
          <cell r="G98">
            <v>4199.99</v>
          </cell>
          <cell r="H98">
            <v>17399.990000000002</v>
          </cell>
          <cell r="I98">
            <v>2899.99</v>
          </cell>
          <cell r="J98">
            <v>15659.99</v>
          </cell>
          <cell r="K98">
            <v>2609.9899999999998</v>
          </cell>
          <cell r="L98">
            <v>6.0000119047902505</v>
          </cell>
          <cell r="M98">
            <v>1.4482774078531306</v>
          </cell>
          <cell r="N98">
            <v>6.0000172414387647</v>
          </cell>
          <cell r="O98">
            <v>6.000019157161522</v>
          </cell>
          <cell r="P98">
            <v>0.89999965517122471</v>
          </cell>
          <cell r="Q98" t="str">
            <v>GYD</v>
          </cell>
          <cell r="R98">
            <v>25199.99</v>
          </cell>
          <cell r="S98">
            <v>4199.99</v>
          </cell>
          <cell r="T98">
            <v>17399.990000000002</v>
          </cell>
          <cell r="U98">
            <v>2899.99</v>
          </cell>
          <cell r="V98">
            <v>15659.99</v>
          </cell>
          <cell r="W98">
            <v>2609.9899999999998</v>
          </cell>
          <cell r="X98">
            <v>6.0000119047902505</v>
          </cell>
          <cell r="Y98">
            <v>1.4482774078531306</v>
          </cell>
          <cell r="Z98">
            <v>6.0000172414387647</v>
          </cell>
          <cell r="AA98">
            <v>6.000019157161522</v>
          </cell>
          <cell r="AB98">
            <v>0.89999965517122471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4.7858995000000003E-3</v>
          </cell>
          <cell r="AL98">
            <v>120.60461954100502</v>
          </cell>
          <cell r="AM98">
            <v>20.100730041005001</v>
          </cell>
          <cell r="AN98">
            <v>83.274603441005013</v>
          </cell>
          <cell r="AO98">
            <v>13.879060691005</v>
          </cell>
          <cell r="AP98">
            <v>74.947138311005006</v>
          </cell>
          <cell r="AQ98">
            <v>12.491149836005</v>
          </cell>
          <cell r="AS98" t="str">
            <v>GY</v>
          </cell>
        </row>
        <row r="99">
          <cell r="B99" t="str">
            <v>Haiti</v>
          </cell>
          <cell r="C99" t="str">
            <v>Latin America</v>
          </cell>
          <cell r="E99" t="str">
            <v>HTG</v>
          </cell>
          <cell r="F99">
            <v>12960</v>
          </cell>
          <cell r="G99">
            <v>2160</v>
          </cell>
          <cell r="H99">
            <v>9600</v>
          </cell>
          <cell r="I99">
            <v>1600</v>
          </cell>
          <cell r="J99">
            <v>8640</v>
          </cell>
          <cell r="K99">
            <v>1440</v>
          </cell>
          <cell r="L99">
            <v>6</v>
          </cell>
          <cell r="M99">
            <v>1.35</v>
          </cell>
          <cell r="N99">
            <v>6</v>
          </cell>
          <cell r="O99">
            <v>6</v>
          </cell>
          <cell r="P99">
            <v>0.9</v>
          </cell>
          <cell r="Q99" t="str">
            <v>HTG</v>
          </cell>
          <cell r="R99">
            <v>12960</v>
          </cell>
          <cell r="S99">
            <v>2160</v>
          </cell>
          <cell r="T99">
            <v>9600</v>
          </cell>
          <cell r="U99">
            <v>1600</v>
          </cell>
          <cell r="V99">
            <v>8640</v>
          </cell>
          <cell r="W99">
            <v>1440</v>
          </cell>
          <cell r="X99">
            <v>6</v>
          </cell>
          <cell r="Y99">
            <v>1.35</v>
          </cell>
          <cell r="Z99">
            <v>6</v>
          </cell>
          <cell r="AA99">
            <v>6</v>
          </cell>
          <cell r="AB99">
            <v>0.9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7.6451376E-3</v>
          </cell>
          <cell r="AL99">
            <v>99.080983295999999</v>
          </cell>
          <cell r="AM99">
            <v>16.513497216000001</v>
          </cell>
          <cell r="AN99">
            <v>73.393320959999997</v>
          </cell>
          <cell r="AO99">
            <v>12.232220160000001</v>
          </cell>
          <cell r="AP99">
            <v>66.053988864000004</v>
          </cell>
          <cell r="AQ99">
            <v>11.008998144</v>
          </cell>
          <cell r="AS99" t="str">
            <v>HT</v>
          </cell>
        </row>
        <row r="100">
          <cell r="B100" t="str">
            <v>Heard And Mcdonald Islands</v>
          </cell>
          <cell r="C100" t="str">
            <v>India</v>
          </cell>
          <cell r="E100" t="str">
            <v>AUD</v>
          </cell>
          <cell r="F100">
            <v>107.99</v>
          </cell>
          <cell r="G100">
            <v>17.989999999999998</v>
          </cell>
          <cell r="H100">
            <v>77.989999999999995</v>
          </cell>
          <cell r="I100">
            <v>12.99</v>
          </cell>
          <cell r="J100">
            <v>71.989999999999995</v>
          </cell>
          <cell r="K100">
            <v>11.99</v>
          </cell>
          <cell r="L100">
            <v>6.0027793218454697</v>
          </cell>
          <cell r="M100">
            <v>1.3849114703618166</v>
          </cell>
          <cell r="N100">
            <v>6.0038491147036179</v>
          </cell>
          <cell r="O100">
            <v>6.0041701417848206</v>
          </cell>
          <cell r="P100">
            <v>0.92301770592763666</v>
          </cell>
          <cell r="Q100" t="str">
            <v>AUD</v>
          </cell>
          <cell r="R100">
            <v>107.99</v>
          </cell>
          <cell r="S100">
            <v>17.989999999999998</v>
          </cell>
          <cell r="T100">
            <v>77.989999999999995</v>
          </cell>
          <cell r="U100">
            <v>12.99</v>
          </cell>
          <cell r="V100">
            <v>71.989999999999995</v>
          </cell>
          <cell r="W100">
            <v>11.99</v>
          </cell>
          <cell r="X100">
            <v>6.0027793218454697</v>
          </cell>
          <cell r="Y100">
            <v>1.3849114703618166</v>
          </cell>
          <cell r="Z100">
            <v>6.0038491147036179</v>
          </cell>
          <cell r="AA100">
            <v>6.0041701417848206</v>
          </cell>
          <cell r="AB100">
            <v>0.92301770592763666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0.65494996000000005</v>
          </cell>
          <cell r="AL100">
            <v>70.7280461804</v>
          </cell>
          <cell r="AM100">
            <v>11.7825497804</v>
          </cell>
          <cell r="AN100">
            <v>51.079547380400001</v>
          </cell>
          <cell r="AO100">
            <v>8.5077999804000015</v>
          </cell>
          <cell r="AP100">
            <v>47.149847620400003</v>
          </cell>
          <cell r="AQ100">
            <v>7.8528500204000009</v>
          </cell>
          <cell r="AS100" t="str">
            <v>HM</v>
          </cell>
        </row>
        <row r="101">
          <cell r="B101" t="str">
            <v>Honduras</v>
          </cell>
          <cell r="C101" t="str">
            <v>Latin America</v>
          </cell>
          <cell r="E101" t="str">
            <v>HNL</v>
          </cell>
          <cell r="F101">
            <v>1919.99</v>
          </cell>
          <cell r="G101">
            <v>319.99</v>
          </cell>
          <cell r="H101">
            <v>1319.99</v>
          </cell>
          <cell r="I101">
            <v>219.99</v>
          </cell>
          <cell r="J101">
            <v>1187.99</v>
          </cell>
          <cell r="K101">
            <v>197.99</v>
          </cell>
          <cell r="L101">
            <v>6.000156254882965</v>
          </cell>
          <cell r="M101">
            <v>1.4545661166416655</v>
          </cell>
          <cell r="N101">
            <v>6.0002272830583205</v>
          </cell>
          <cell r="O101">
            <v>6.0002525380069702</v>
          </cell>
          <cell r="P101">
            <v>0.89999545433883354</v>
          </cell>
          <cell r="Q101" t="str">
            <v>HNL</v>
          </cell>
          <cell r="R101">
            <v>1919.99</v>
          </cell>
          <cell r="S101">
            <v>319.99</v>
          </cell>
          <cell r="T101">
            <v>1319.99</v>
          </cell>
          <cell r="U101">
            <v>219.99</v>
          </cell>
          <cell r="V101">
            <v>1187.99</v>
          </cell>
          <cell r="W101">
            <v>197.99</v>
          </cell>
          <cell r="X101">
            <v>6.000156254882965</v>
          </cell>
          <cell r="Y101">
            <v>1.4545661166416655</v>
          </cell>
          <cell r="Z101">
            <v>6.0002272830583205</v>
          </cell>
          <cell r="AA101">
            <v>6.0002525380069702</v>
          </cell>
          <cell r="AB101">
            <v>0.89999545433883354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K101">
            <v>3.8152430000000001E-2</v>
          </cell>
          <cell r="AL101">
            <v>73.252284075700004</v>
          </cell>
          <cell r="AM101">
            <v>12.208396075700001</v>
          </cell>
          <cell r="AN101">
            <v>50.360826075700004</v>
          </cell>
          <cell r="AO101">
            <v>8.3931530757000008</v>
          </cell>
          <cell r="AP101">
            <v>45.324705315700001</v>
          </cell>
          <cell r="AQ101">
            <v>7.5537996157000009</v>
          </cell>
          <cell r="AS101" t="str">
            <v>HN</v>
          </cell>
        </row>
        <row r="102">
          <cell r="B102" t="str">
            <v>Hong Kong</v>
          </cell>
          <cell r="C102" t="str">
            <v>NBA China</v>
          </cell>
          <cell r="D102" t="str">
            <v>B</v>
          </cell>
          <cell r="E102" t="str">
            <v>HKD</v>
          </cell>
          <cell r="F102">
            <v>1149</v>
          </cell>
          <cell r="G102">
            <v>164</v>
          </cell>
          <cell r="H102">
            <v>759</v>
          </cell>
          <cell r="I102">
            <v>109</v>
          </cell>
          <cell r="J102">
            <v>699</v>
          </cell>
          <cell r="K102">
            <v>100</v>
          </cell>
          <cell r="L102">
            <v>7.0060975609756095</v>
          </cell>
          <cell r="M102">
            <v>1.5045871559633028</v>
          </cell>
          <cell r="N102">
            <v>6.9633027522935782</v>
          </cell>
          <cell r="O102">
            <v>6.99</v>
          </cell>
          <cell r="P102">
            <v>0.91743119266055051</v>
          </cell>
          <cell r="Q102" t="str">
            <v>HKD</v>
          </cell>
          <cell r="R102">
            <v>1149</v>
          </cell>
          <cell r="S102">
            <v>164</v>
          </cell>
          <cell r="T102">
            <v>759</v>
          </cell>
          <cell r="U102">
            <v>109</v>
          </cell>
          <cell r="V102">
            <v>699</v>
          </cell>
          <cell r="W102">
            <v>100</v>
          </cell>
          <cell r="X102">
            <v>7.0060975609756095</v>
          </cell>
          <cell r="Y102">
            <v>1.5045871559633028</v>
          </cell>
          <cell r="Z102">
            <v>6.9633027522935782</v>
          </cell>
          <cell r="AA102">
            <v>6.99</v>
          </cell>
          <cell r="AB102">
            <v>0.91743119266055051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K102">
            <v>0.12739259</v>
          </cell>
          <cell r="AL102">
            <v>146.37408590999999</v>
          </cell>
          <cell r="AM102">
            <v>20.892384759999999</v>
          </cell>
          <cell r="AN102">
            <v>96.690975809999998</v>
          </cell>
          <cell r="AO102">
            <v>13.885792309999999</v>
          </cell>
          <cell r="AP102">
            <v>89.047420410000001</v>
          </cell>
          <cell r="AQ102">
            <v>12.739259000000001</v>
          </cell>
          <cell r="AS102" t="str">
            <v>HK</v>
          </cell>
        </row>
        <row r="103">
          <cell r="B103" t="str">
            <v>Hungary</v>
          </cell>
          <cell r="C103" t="str">
            <v>Europe</v>
          </cell>
          <cell r="E103" t="str">
            <v>HUF</v>
          </cell>
          <cell r="F103">
            <v>33999</v>
          </cell>
          <cell r="G103">
            <v>5499</v>
          </cell>
          <cell r="H103">
            <v>25999</v>
          </cell>
          <cell r="I103">
            <v>4199</v>
          </cell>
          <cell r="J103">
            <v>23499</v>
          </cell>
          <cell r="K103">
            <v>3799</v>
          </cell>
          <cell r="L103">
            <v>6.1827605019094385</v>
          </cell>
          <cell r="M103">
            <v>1.3095975232198143</v>
          </cell>
          <cell r="N103">
            <v>6.1917123124553468</v>
          </cell>
          <cell r="O103">
            <v>6.1855751513556196</v>
          </cell>
          <cell r="P103">
            <v>0.90473922362467252</v>
          </cell>
          <cell r="Q103" t="str">
            <v>HUF</v>
          </cell>
          <cell r="R103">
            <v>33999</v>
          </cell>
          <cell r="S103">
            <v>5499</v>
          </cell>
          <cell r="T103">
            <v>25999</v>
          </cell>
          <cell r="U103">
            <v>4199</v>
          </cell>
          <cell r="V103">
            <v>23499</v>
          </cell>
          <cell r="W103">
            <v>3799</v>
          </cell>
          <cell r="X103">
            <v>6.1827605019094385</v>
          </cell>
          <cell r="Y103">
            <v>1.3095975232198143</v>
          </cell>
          <cell r="Z103">
            <v>6.1917123124553468</v>
          </cell>
          <cell r="AA103">
            <v>6.1855751513556196</v>
          </cell>
          <cell r="AB103">
            <v>0.90473922362467252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K103">
            <v>2.9542259999999999E-3</v>
          </cell>
          <cell r="AL103">
            <v>100.44072977399999</v>
          </cell>
          <cell r="AM103">
            <v>16.245288773999999</v>
          </cell>
          <cell r="AN103">
            <v>76.806921774000003</v>
          </cell>
          <cell r="AO103">
            <v>12.404794974</v>
          </cell>
          <cell r="AP103">
            <v>69.421356774000003</v>
          </cell>
          <cell r="AQ103">
            <v>11.223104573999999</v>
          </cell>
          <cell r="AS103" t="str">
            <v>HU</v>
          </cell>
        </row>
        <row r="104">
          <cell r="B104" t="str">
            <v>Iceland</v>
          </cell>
          <cell r="C104" t="str">
            <v>Europe</v>
          </cell>
          <cell r="E104" t="str">
            <v>ISK</v>
          </cell>
          <cell r="F104">
            <v>32999.99</v>
          </cell>
          <cell r="G104">
            <v>5099.99</v>
          </cell>
          <cell r="H104">
            <v>23999.99</v>
          </cell>
          <cell r="I104">
            <v>3699.99</v>
          </cell>
          <cell r="J104">
            <v>19979.99285715193</v>
          </cell>
          <cell r="K104">
            <v>3329.99</v>
          </cell>
          <cell r="L104">
            <v>6.470598961958749</v>
          </cell>
          <cell r="M104">
            <v>1.3783794010254082</v>
          </cell>
          <cell r="N104">
            <v>6.486501314868419</v>
          </cell>
          <cell r="O104">
            <v>6.0000158730662649</v>
          </cell>
          <cell r="P104">
            <v>0.89999972972899922</v>
          </cell>
          <cell r="Q104" t="str">
            <v>ISK</v>
          </cell>
          <cell r="R104">
            <v>32999.99</v>
          </cell>
          <cell r="S104">
            <v>5099.99</v>
          </cell>
          <cell r="T104">
            <v>23999.99</v>
          </cell>
          <cell r="U104">
            <v>3699.99</v>
          </cell>
          <cell r="V104">
            <v>19979.99285715193</v>
          </cell>
          <cell r="W104">
            <v>3329.99</v>
          </cell>
          <cell r="X104">
            <v>6.470598961958749</v>
          </cell>
          <cell r="Y104">
            <v>1.3783794010254082</v>
          </cell>
          <cell r="Z104">
            <v>6.486501314868419</v>
          </cell>
          <cell r="AA104">
            <v>6.0000158730662649</v>
          </cell>
          <cell r="AB104">
            <v>0.89999972972899922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K104">
            <v>8.2709570000000007E-3</v>
          </cell>
          <cell r="AL104">
            <v>272.94149829042999</v>
          </cell>
          <cell r="AM104">
            <v>42.181797990429999</v>
          </cell>
          <cell r="AN104">
            <v>198.50288529043002</v>
          </cell>
          <cell r="AO104">
            <v>30.602458190429999</v>
          </cell>
          <cell r="AP104">
            <v>165.25366178181076</v>
          </cell>
          <cell r="AQ104">
            <v>27.542204100430002</v>
          </cell>
          <cell r="AS104" t="str">
            <v>IS</v>
          </cell>
        </row>
        <row r="105">
          <cell r="B105" t="str">
            <v>India</v>
          </cell>
          <cell r="C105" t="str">
            <v>India</v>
          </cell>
          <cell r="D105" t="str">
            <v>D</v>
          </cell>
          <cell r="E105" t="str">
            <v>INR</v>
          </cell>
          <cell r="F105">
            <v>2099</v>
          </cell>
          <cell r="G105">
            <v>329</v>
          </cell>
          <cell r="H105">
            <v>1499</v>
          </cell>
          <cell r="I105">
            <v>219</v>
          </cell>
          <cell r="J105">
            <v>0</v>
          </cell>
          <cell r="K105">
            <v>0</v>
          </cell>
          <cell r="L105">
            <v>6.3799392097264436</v>
          </cell>
          <cell r="M105">
            <v>1.5022831050228311</v>
          </cell>
          <cell r="N105">
            <v>6.8447488584474883</v>
          </cell>
          <cell r="Q105" t="str">
            <v>INR</v>
          </cell>
          <cell r="R105">
            <v>2099</v>
          </cell>
          <cell r="S105">
            <v>329</v>
          </cell>
          <cell r="T105">
            <v>1499</v>
          </cell>
          <cell r="U105">
            <v>219</v>
          </cell>
          <cell r="V105">
            <v>1269</v>
          </cell>
          <cell r="W105">
            <v>199</v>
          </cell>
          <cell r="X105">
            <v>6.3799392097264436</v>
          </cell>
          <cell r="Y105">
            <v>1.5022831050228311</v>
          </cell>
          <cell r="Z105">
            <v>6.8447488584474883</v>
          </cell>
          <cell r="AA105">
            <v>6.3768844221105532</v>
          </cell>
          <cell r="AB105">
            <v>0.908675799086758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K105">
            <v>1.1710801999999999E-2</v>
          </cell>
          <cell r="AL105">
            <v>24.580973397999998</v>
          </cell>
          <cell r="AM105">
            <v>3.8528538579999996</v>
          </cell>
          <cell r="AN105">
            <v>17.554492197999998</v>
          </cell>
          <cell r="AO105">
            <v>2.5646656379999997</v>
          </cell>
          <cell r="AP105">
            <v>14.861007738</v>
          </cell>
          <cell r="AQ105">
            <v>2.330449598</v>
          </cell>
          <cell r="AS105" t="str">
            <v>IN</v>
          </cell>
        </row>
        <row r="106">
          <cell r="B106" t="str">
            <v>Indonesia</v>
          </cell>
          <cell r="C106" t="str">
            <v>Asia</v>
          </cell>
          <cell r="D106" t="str">
            <v>E~</v>
          </cell>
          <cell r="E106" t="str">
            <v>IDR</v>
          </cell>
          <cell r="F106">
            <v>1200000</v>
          </cell>
          <cell r="G106">
            <v>200000</v>
          </cell>
          <cell r="H106">
            <v>945000</v>
          </cell>
          <cell r="I106">
            <v>135000</v>
          </cell>
          <cell r="J106">
            <v>732000</v>
          </cell>
          <cell r="K106">
            <v>122000</v>
          </cell>
          <cell r="L106">
            <v>6</v>
          </cell>
          <cell r="M106">
            <v>1.4814814814814814</v>
          </cell>
          <cell r="N106">
            <v>7</v>
          </cell>
          <cell r="O106">
            <v>6</v>
          </cell>
          <cell r="P106">
            <v>0.90370370370370368</v>
          </cell>
          <cell r="Q106" t="str">
            <v>IDR</v>
          </cell>
          <cell r="R106">
            <v>1200000</v>
          </cell>
          <cell r="S106">
            <v>200000</v>
          </cell>
          <cell r="T106">
            <v>945000</v>
          </cell>
          <cell r="U106">
            <v>135000</v>
          </cell>
          <cell r="V106">
            <v>732000</v>
          </cell>
          <cell r="W106">
            <v>122000</v>
          </cell>
          <cell r="X106">
            <v>6</v>
          </cell>
          <cell r="Y106">
            <v>1.4814814814814814</v>
          </cell>
          <cell r="Z106">
            <v>7</v>
          </cell>
          <cell r="AA106">
            <v>6</v>
          </cell>
          <cell r="AB106">
            <v>0.90370370370370368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K106">
            <v>6.1785605999999996E-5</v>
          </cell>
          <cell r="AL106">
            <v>74.142727199999996</v>
          </cell>
          <cell r="AM106">
            <v>12.3571212</v>
          </cell>
          <cell r="AN106">
            <v>58.387397669999999</v>
          </cell>
          <cell r="AO106">
            <v>8.3410568099999995</v>
          </cell>
          <cell r="AP106">
            <v>45.227063592</v>
          </cell>
          <cell r="AQ106">
            <v>7.5378439319999995</v>
          </cell>
          <cell r="AS106" t="str">
            <v>ID</v>
          </cell>
        </row>
        <row r="107">
          <cell r="B107" t="str">
            <v>Iraq</v>
          </cell>
          <cell r="C107" t="str">
            <v>Middle East</v>
          </cell>
          <cell r="E107" t="str">
            <v>USD</v>
          </cell>
          <cell r="F107">
            <v>99.99</v>
          </cell>
          <cell r="G107">
            <v>16.989999999999998</v>
          </cell>
          <cell r="H107">
            <v>74.989999999999995</v>
          </cell>
          <cell r="I107">
            <v>12.99</v>
          </cell>
          <cell r="J107">
            <v>0</v>
          </cell>
          <cell r="K107">
            <v>0</v>
          </cell>
          <cell r="L107">
            <v>5.8852266038846386</v>
          </cell>
          <cell r="M107">
            <v>1.3079291762894534</v>
          </cell>
          <cell r="N107">
            <v>5.772902232486528</v>
          </cell>
          <cell r="O107" t="e">
            <v>#DIV/0!</v>
          </cell>
          <cell r="P107">
            <v>0</v>
          </cell>
          <cell r="Q107" t="str">
            <v>USD</v>
          </cell>
          <cell r="R107">
            <v>99.99</v>
          </cell>
          <cell r="S107">
            <v>16.989999999999998</v>
          </cell>
          <cell r="T107">
            <v>74.989999999999995</v>
          </cell>
          <cell r="U107">
            <v>12.99</v>
          </cell>
          <cell r="V107">
            <v>64.989999999999995</v>
          </cell>
          <cell r="W107">
            <v>10.99</v>
          </cell>
          <cell r="X107">
            <v>5.8852266038846386</v>
          </cell>
          <cell r="Y107">
            <v>1.3079291762894534</v>
          </cell>
          <cell r="Z107">
            <v>5.772902232486528</v>
          </cell>
          <cell r="AA107">
            <v>5.9135577797998176</v>
          </cell>
          <cell r="AB107">
            <v>0.84603541185527331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 t="e">
            <v>#DIV/0!</v>
          </cell>
          <cell r="AI107" t="e">
            <v>#DIV/0!</v>
          </cell>
          <cell r="AK107">
            <v>1</v>
          </cell>
          <cell r="AL107">
            <v>99.99</v>
          </cell>
          <cell r="AM107">
            <v>16.989999999999998</v>
          </cell>
          <cell r="AN107">
            <v>74.989999999999995</v>
          </cell>
          <cell r="AO107">
            <v>12.99</v>
          </cell>
          <cell r="AP107">
            <v>64.989999999999995</v>
          </cell>
          <cell r="AQ107">
            <v>10.99</v>
          </cell>
          <cell r="AS107" t="str">
            <v>IQ</v>
          </cell>
        </row>
        <row r="108">
          <cell r="B108" t="str">
            <v>Ireland</v>
          </cell>
          <cell r="C108" t="str">
            <v>Europe</v>
          </cell>
          <cell r="E108" t="str">
            <v>EUR</v>
          </cell>
          <cell r="F108">
            <v>159.99</v>
          </cell>
          <cell r="G108">
            <v>24.99</v>
          </cell>
          <cell r="H108">
            <v>121.99</v>
          </cell>
          <cell r="I108">
            <v>18.989999999999998</v>
          </cell>
          <cell r="J108">
            <v>109.99</v>
          </cell>
          <cell r="K108">
            <v>16.989999999999998</v>
          </cell>
          <cell r="L108">
            <v>6.4021608643457393</v>
          </cell>
          <cell r="M108">
            <v>1.315955766192733</v>
          </cell>
          <cell r="N108">
            <v>6.4239073196419172</v>
          </cell>
          <cell r="O108">
            <v>6.4738081224249564</v>
          </cell>
          <cell r="P108">
            <v>0.89468141126908896</v>
          </cell>
          <cell r="Q108" t="str">
            <v>EUR</v>
          </cell>
          <cell r="R108">
            <v>159.99</v>
          </cell>
          <cell r="S108">
            <v>24.99</v>
          </cell>
          <cell r="T108">
            <v>121.99</v>
          </cell>
          <cell r="U108">
            <v>18.989999999999998</v>
          </cell>
          <cell r="V108">
            <v>109.99</v>
          </cell>
          <cell r="W108">
            <v>16.989999999999998</v>
          </cell>
          <cell r="X108">
            <v>6.4021608643457393</v>
          </cell>
          <cell r="Y108">
            <v>1.315955766192733</v>
          </cell>
          <cell r="Z108">
            <v>6.4239073196419172</v>
          </cell>
          <cell r="AA108">
            <v>6.4738081224249564</v>
          </cell>
          <cell r="AB108">
            <v>0.89468141126908896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K108">
            <v>1.1778500000000001</v>
          </cell>
          <cell r="AL108">
            <v>188.44422150000003</v>
          </cell>
          <cell r="AM108">
            <v>29.434471500000001</v>
          </cell>
          <cell r="AN108">
            <v>143.68592150000001</v>
          </cell>
          <cell r="AO108">
            <v>22.367371500000001</v>
          </cell>
          <cell r="AP108">
            <v>129.55172150000001</v>
          </cell>
          <cell r="AQ108">
            <v>20.011671499999999</v>
          </cell>
          <cell r="AS108" t="str">
            <v>IE</v>
          </cell>
        </row>
        <row r="109">
          <cell r="B109" t="str">
            <v>Isle Of Man</v>
          </cell>
          <cell r="C109" t="str">
            <v>Europe</v>
          </cell>
          <cell r="E109" t="str">
            <v>USD</v>
          </cell>
          <cell r="F109">
            <v>179.99</v>
          </cell>
          <cell r="G109">
            <v>25.99</v>
          </cell>
          <cell r="H109">
            <v>119.99</v>
          </cell>
          <cell r="I109">
            <v>19.989999999999998</v>
          </cell>
          <cell r="J109">
            <v>109.99</v>
          </cell>
          <cell r="K109">
            <v>17.989999999999998</v>
          </cell>
          <cell r="L109">
            <v>6.9253559061177388</v>
          </cell>
          <cell r="M109">
            <v>1.3001500750375188</v>
          </cell>
          <cell r="N109">
            <v>6.002501250625313</v>
          </cell>
          <cell r="O109">
            <v>6.1139521956642584</v>
          </cell>
          <cell r="P109">
            <v>0.89994997498749374</v>
          </cell>
          <cell r="Q109" t="str">
            <v>USD</v>
          </cell>
          <cell r="R109">
            <v>179.99</v>
          </cell>
          <cell r="S109">
            <v>25.99</v>
          </cell>
          <cell r="T109">
            <v>119.99</v>
          </cell>
          <cell r="U109">
            <v>19.989999999999998</v>
          </cell>
          <cell r="V109">
            <v>109.99</v>
          </cell>
          <cell r="W109">
            <v>17.989999999999998</v>
          </cell>
          <cell r="X109">
            <v>6.9253559061177388</v>
          </cell>
          <cell r="Y109">
            <v>1.3001500750375188</v>
          </cell>
          <cell r="Z109">
            <v>6.002501250625313</v>
          </cell>
          <cell r="AA109">
            <v>6.1139521956642584</v>
          </cell>
          <cell r="AB109">
            <v>0.89994997498749374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K109">
            <v>1</v>
          </cell>
          <cell r="AL109">
            <v>179.99</v>
          </cell>
          <cell r="AM109">
            <v>25.99</v>
          </cell>
          <cell r="AN109">
            <v>119.99</v>
          </cell>
          <cell r="AO109">
            <v>19.989999999999998</v>
          </cell>
          <cell r="AP109">
            <v>109.99</v>
          </cell>
          <cell r="AQ109">
            <v>17.989999999999998</v>
          </cell>
          <cell r="AS109" t="str">
            <v>IM</v>
          </cell>
        </row>
        <row r="110">
          <cell r="B110" t="str">
            <v>Israel</v>
          </cell>
          <cell r="C110" t="str">
            <v>Europe</v>
          </cell>
          <cell r="D110" t="str">
            <v>E~</v>
          </cell>
          <cell r="E110" t="str">
            <v>ILS</v>
          </cell>
          <cell r="F110">
            <v>569.99</v>
          </cell>
          <cell r="G110">
            <v>87.99</v>
          </cell>
          <cell r="H110">
            <v>419.99</v>
          </cell>
          <cell r="I110">
            <v>64.989999999999995</v>
          </cell>
          <cell r="J110">
            <v>369.99</v>
          </cell>
          <cell r="K110">
            <v>57.99</v>
          </cell>
          <cell r="L110">
            <v>6.4778952153653826</v>
          </cell>
          <cell r="M110">
            <v>1.3539006000923219</v>
          </cell>
          <cell r="N110">
            <v>6.4623788275119258</v>
          </cell>
          <cell r="O110">
            <v>6.3802379720641493</v>
          </cell>
          <cell r="P110">
            <v>0.89229112171103253</v>
          </cell>
          <cell r="Q110" t="str">
            <v>ILS</v>
          </cell>
          <cell r="R110">
            <v>569.99</v>
          </cell>
          <cell r="S110">
            <v>87.99</v>
          </cell>
          <cell r="T110">
            <v>419.99</v>
          </cell>
          <cell r="U110">
            <v>64.989999999999995</v>
          </cell>
          <cell r="V110">
            <v>369.99</v>
          </cell>
          <cell r="W110">
            <v>57.99</v>
          </cell>
          <cell r="X110">
            <v>6.4778952153653826</v>
          </cell>
          <cell r="Y110">
            <v>1.3539006000923219</v>
          </cell>
          <cell r="Z110">
            <v>6.4623788275119258</v>
          </cell>
          <cell r="AA110">
            <v>6.3802379720641493</v>
          </cell>
          <cell r="AB110">
            <v>0.89229112171103253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K110">
            <v>0.29859212000000002</v>
          </cell>
          <cell r="AL110">
            <v>170.19452247880002</v>
          </cell>
          <cell r="AM110">
            <v>26.273120638799998</v>
          </cell>
          <cell r="AN110">
            <v>125.4057044788</v>
          </cell>
          <cell r="AO110">
            <v>19.405501878799999</v>
          </cell>
          <cell r="AP110">
            <v>110.47609847880001</v>
          </cell>
          <cell r="AQ110">
            <v>17.315357038800002</v>
          </cell>
          <cell r="AS110" t="str">
            <v>IL</v>
          </cell>
        </row>
        <row r="111">
          <cell r="B111" t="str">
            <v>Italy</v>
          </cell>
          <cell r="C111" t="str">
            <v>Europe</v>
          </cell>
          <cell r="D111" t="str">
            <v>B</v>
          </cell>
          <cell r="E111" t="str">
            <v>EUR</v>
          </cell>
          <cell r="F111">
            <v>149.99</v>
          </cell>
          <cell r="G111">
            <v>21.99</v>
          </cell>
          <cell r="H111">
            <v>109.99</v>
          </cell>
          <cell r="I111">
            <v>15.99</v>
          </cell>
          <cell r="J111">
            <v>94.99</v>
          </cell>
          <cell r="K111">
            <v>13.99</v>
          </cell>
          <cell r="L111">
            <v>6.8208276489313331</v>
          </cell>
          <cell r="M111">
            <v>1.3752345215759849</v>
          </cell>
          <cell r="N111">
            <v>6.8786741713570976</v>
          </cell>
          <cell r="O111">
            <v>6.7898498927805573</v>
          </cell>
          <cell r="P111">
            <v>0.87492182614133829</v>
          </cell>
          <cell r="Q111" t="str">
            <v>EUR</v>
          </cell>
          <cell r="R111">
            <v>149.99</v>
          </cell>
          <cell r="S111">
            <v>21.99</v>
          </cell>
          <cell r="T111">
            <v>109.99</v>
          </cell>
          <cell r="U111">
            <v>15.99</v>
          </cell>
          <cell r="V111">
            <v>94.99</v>
          </cell>
          <cell r="W111">
            <v>13.99</v>
          </cell>
          <cell r="X111">
            <v>6.8208276489313331</v>
          </cell>
          <cell r="Y111">
            <v>1.3752345215759849</v>
          </cell>
          <cell r="Z111">
            <v>6.8786741713570976</v>
          </cell>
          <cell r="AA111">
            <v>6.7898498927805573</v>
          </cell>
          <cell r="AB111">
            <v>0.87492182614133829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K111">
            <v>1.1778500000000001</v>
          </cell>
          <cell r="AL111">
            <v>176.66572150000002</v>
          </cell>
          <cell r="AM111">
            <v>25.900921499999999</v>
          </cell>
          <cell r="AN111">
            <v>129.55172150000001</v>
          </cell>
          <cell r="AO111">
            <v>18.833821500000003</v>
          </cell>
          <cell r="AP111">
            <v>111.8839715</v>
          </cell>
          <cell r="AQ111">
            <v>16.4781215</v>
          </cell>
          <cell r="AS111" t="str">
            <v>IT</v>
          </cell>
        </row>
        <row r="112">
          <cell r="B112" t="str">
            <v>Jamaica</v>
          </cell>
          <cell r="C112" t="str">
            <v>Latin America</v>
          </cell>
          <cell r="E112" t="str">
            <v>JMD</v>
          </cell>
          <cell r="F112">
            <v>14399.99</v>
          </cell>
          <cell r="G112">
            <v>2399.9899999999998</v>
          </cell>
          <cell r="H112">
            <v>10199.99</v>
          </cell>
          <cell r="I112">
            <v>1699.99</v>
          </cell>
          <cell r="J112">
            <v>8999.99</v>
          </cell>
          <cell r="K112">
            <v>1499.99</v>
          </cell>
          <cell r="L112">
            <v>6.0000208334201401</v>
          </cell>
          <cell r="M112">
            <v>1.4117671280419295</v>
          </cell>
          <cell r="N112">
            <v>6.0000294119377173</v>
          </cell>
          <cell r="O112">
            <v>6.0000333335555567</v>
          </cell>
          <cell r="P112">
            <v>0.88235224913087729</v>
          </cell>
          <cell r="Q112" t="str">
            <v>JMD</v>
          </cell>
          <cell r="R112">
            <v>14399.99</v>
          </cell>
          <cell r="S112">
            <v>2399.9899999999998</v>
          </cell>
          <cell r="T112">
            <v>10199.99</v>
          </cell>
          <cell r="U112">
            <v>1699.99</v>
          </cell>
          <cell r="V112">
            <v>8999.99</v>
          </cell>
          <cell r="W112">
            <v>1499.99</v>
          </cell>
          <cell r="X112">
            <v>6.0000208334201401</v>
          </cell>
          <cell r="Y112">
            <v>1.4117671280419295</v>
          </cell>
          <cell r="Z112">
            <v>6.0000294119377173</v>
          </cell>
          <cell r="AA112">
            <v>6.0000333335555567</v>
          </cell>
          <cell r="AB112">
            <v>0.88235224913087729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K112">
            <v>6.2648794000000002E-3</v>
          </cell>
          <cell r="AL112">
            <v>90.214200711206004</v>
          </cell>
          <cell r="AM112">
            <v>15.035647911205999</v>
          </cell>
          <cell r="AN112">
            <v>63.901707231206004</v>
          </cell>
          <cell r="AO112">
            <v>10.650232331206</v>
          </cell>
          <cell r="AP112">
            <v>56.383851951205997</v>
          </cell>
          <cell r="AQ112">
            <v>9.3972564512060011</v>
          </cell>
          <cell r="AS112" t="str">
            <v>JM</v>
          </cell>
        </row>
        <row r="113">
          <cell r="B113" t="str">
            <v>Japan</v>
          </cell>
          <cell r="C113" t="str">
            <v>Asia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Q113" t="str">
            <v>JPY</v>
          </cell>
          <cell r="R113">
            <v>25190</v>
          </cell>
          <cell r="S113">
            <v>4190</v>
          </cell>
          <cell r="T113">
            <v>19190</v>
          </cell>
          <cell r="U113">
            <v>3190</v>
          </cell>
          <cell r="V113">
            <v>17390</v>
          </cell>
          <cell r="W113">
            <v>2890</v>
          </cell>
          <cell r="X113">
            <v>6.0119331742243434</v>
          </cell>
          <cell r="Y113">
            <v>1.3134796238244515</v>
          </cell>
          <cell r="Z113">
            <v>6.015673981191223</v>
          </cell>
          <cell r="AA113">
            <v>6.0173010380622838</v>
          </cell>
          <cell r="AB113">
            <v>0.90595611285266453</v>
          </cell>
          <cell r="AK113">
            <v>6.9192180000000004E-3</v>
          </cell>
          <cell r="AL113">
            <v>174.29510142000001</v>
          </cell>
          <cell r="AM113">
            <v>28.99152342</v>
          </cell>
          <cell r="AN113">
            <v>132.77979342</v>
          </cell>
          <cell r="AO113">
            <v>22.072305420000003</v>
          </cell>
          <cell r="AP113">
            <v>120.32520102000001</v>
          </cell>
          <cell r="AQ113">
            <v>19.996540020000001</v>
          </cell>
          <cell r="AS113" t="str">
            <v>JP</v>
          </cell>
        </row>
        <row r="114">
          <cell r="B114" t="str">
            <v>Jersey</v>
          </cell>
          <cell r="C114" t="str">
            <v>Europe</v>
          </cell>
          <cell r="E114" t="str">
            <v>USD</v>
          </cell>
          <cell r="F114">
            <v>179.99</v>
          </cell>
          <cell r="G114">
            <v>25.99</v>
          </cell>
          <cell r="H114">
            <v>119.99</v>
          </cell>
          <cell r="I114">
            <v>19.989999999999998</v>
          </cell>
          <cell r="J114">
            <v>109.99</v>
          </cell>
          <cell r="K114">
            <v>17.989999999999998</v>
          </cell>
          <cell r="L114">
            <v>6.9253559061177388</v>
          </cell>
          <cell r="M114">
            <v>1.3001500750375188</v>
          </cell>
          <cell r="N114">
            <v>6.002501250625313</v>
          </cell>
          <cell r="O114">
            <v>6.1139521956642584</v>
          </cell>
          <cell r="P114">
            <v>0.89994997498749374</v>
          </cell>
          <cell r="Q114" t="str">
            <v>USD</v>
          </cell>
          <cell r="R114">
            <v>179.99</v>
          </cell>
          <cell r="S114">
            <v>25.99</v>
          </cell>
          <cell r="T114">
            <v>119.99</v>
          </cell>
          <cell r="U114">
            <v>19.989999999999998</v>
          </cell>
          <cell r="V114">
            <v>109.99</v>
          </cell>
          <cell r="W114">
            <v>17.989999999999998</v>
          </cell>
          <cell r="X114">
            <v>6.9253559061177388</v>
          </cell>
          <cell r="Y114">
            <v>1.3001500750375188</v>
          </cell>
          <cell r="Z114">
            <v>6.002501250625313</v>
          </cell>
          <cell r="AA114">
            <v>6.1139521956642584</v>
          </cell>
          <cell r="AB114">
            <v>0.89994997498749374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1</v>
          </cell>
          <cell r="AL114">
            <v>179.99</v>
          </cell>
          <cell r="AM114">
            <v>25.99</v>
          </cell>
          <cell r="AN114">
            <v>119.99</v>
          </cell>
          <cell r="AO114">
            <v>19.989999999999998</v>
          </cell>
          <cell r="AP114">
            <v>109.99</v>
          </cell>
          <cell r="AQ114">
            <v>17.989999999999998</v>
          </cell>
          <cell r="AS114" t="str">
            <v>JE</v>
          </cell>
        </row>
        <row r="115">
          <cell r="B115" t="str">
            <v>Jordan</v>
          </cell>
          <cell r="C115" t="str">
            <v>Middle East</v>
          </cell>
          <cell r="E115" t="str">
            <v>JOD</v>
          </cell>
          <cell r="F115">
            <v>79.998999999999995</v>
          </cell>
          <cell r="G115">
            <v>11.999000000000001</v>
          </cell>
          <cell r="H115">
            <v>59.999000000000002</v>
          </cell>
          <cell r="I115">
            <v>8.9990000000000006</v>
          </cell>
          <cell r="J115">
            <v>49.999000000000002</v>
          </cell>
          <cell r="K115">
            <v>7.9989999999999997</v>
          </cell>
          <cell r="L115">
            <v>6.6671389282440199</v>
          </cell>
          <cell r="M115">
            <v>1.3333703744860539</v>
          </cell>
          <cell r="N115">
            <v>6.6672963662629181</v>
          </cell>
          <cell r="O115">
            <v>6.2506563320415056</v>
          </cell>
          <cell r="P115">
            <v>0.88887654183798193</v>
          </cell>
          <cell r="Q115" t="str">
            <v>JOD</v>
          </cell>
          <cell r="R115">
            <v>79.998999999999995</v>
          </cell>
          <cell r="S115">
            <v>11.999000000000001</v>
          </cell>
          <cell r="T115">
            <v>59.999000000000002</v>
          </cell>
          <cell r="U115">
            <v>8.9990000000000006</v>
          </cell>
          <cell r="V115">
            <v>49.999000000000002</v>
          </cell>
          <cell r="W115">
            <v>7.9989999999999997</v>
          </cell>
          <cell r="X115">
            <v>6.6671389282440199</v>
          </cell>
          <cell r="Y115">
            <v>1.3333703744860539</v>
          </cell>
          <cell r="Z115">
            <v>6.6672963662629181</v>
          </cell>
          <cell r="AA115">
            <v>6.2506563320415056</v>
          </cell>
          <cell r="AB115">
            <v>0.88887654183798193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K115">
            <v>1.4103378</v>
          </cell>
          <cell r="AL115">
            <v>112.82561366219998</v>
          </cell>
          <cell r="AM115">
            <v>16.922643262200001</v>
          </cell>
          <cell r="AN115">
            <v>84.6188576622</v>
          </cell>
          <cell r="AO115">
            <v>12.691629862200001</v>
          </cell>
          <cell r="AP115">
            <v>70.515479662200008</v>
          </cell>
          <cell r="AQ115">
            <v>11.281292062199999</v>
          </cell>
          <cell r="AS115" t="str">
            <v>JO</v>
          </cell>
        </row>
        <row r="116">
          <cell r="B116" t="str">
            <v>Kazakhstan</v>
          </cell>
          <cell r="C116" t="str">
            <v>EME</v>
          </cell>
          <cell r="E116" t="str">
            <v>KZT</v>
          </cell>
          <cell r="F116">
            <v>37260</v>
          </cell>
          <cell r="G116">
            <v>6210</v>
          </cell>
          <cell r="H116">
            <v>27600</v>
          </cell>
          <cell r="I116">
            <v>4600</v>
          </cell>
          <cell r="J116">
            <v>24840</v>
          </cell>
          <cell r="K116">
            <v>4140</v>
          </cell>
          <cell r="L116">
            <v>6</v>
          </cell>
          <cell r="M116">
            <v>1.35</v>
          </cell>
          <cell r="N116">
            <v>6</v>
          </cell>
          <cell r="O116">
            <v>6</v>
          </cell>
          <cell r="P116">
            <v>0.9</v>
          </cell>
          <cell r="Q116" t="str">
            <v>KZT</v>
          </cell>
          <cell r="R116">
            <v>37260</v>
          </cell>
          <cell r="S116">
            <v>6210</v>
          </cell>
          <cell r="T116">
            <v>27600</v>
          </cell>
          <cell r="U116">
            <v>4600</v>
          </cell>
          <cell r="V116">
            <v>24840</v>
          </cell>
          <cell r="W116">
            <v>4140</v>
          </cell>
          <cell r="X116">
            <v>6</v>
          </cell>
          <cell r="Y116">
            <v>1.35</v>
          </cell>
          <cell r="Z116">
            <v>6</v>
          </cell>
          <cell r="AA116">
            <v>6</v>
          </cell>
          <cell r="AB116">
            <v>0.9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K116">
            <v>1.9249463E-3</v>
          </cell>
          <cell r="AL116">
            <v>71.723499137999994</v>
          </cell>
          <cell r="AM116">
            <v>11.953916523</v>
          </cell>
          <cell r="AN116">
            <v>53.128517879999997</v>
          </cell>
          <cell r="AO116">
            <v>8.8547529800000007</v>
          </cell>
          <cell r="AP116">
            <v>47.815666092000001</v>
          </cell>
          <cell r="AQ116">
            <v>7.9692776819999995</v>
          </cell>
          <cell r="AS116" t="str">
            <v>KZ</v>
          </cell>
        </row>
        <row r="117">
          <cell r="B117" t="str">
            <v>Kenya</v>
          </cell>
          <cell r="C117" t="str">
            <v>Africa</v>
          </cell>
          <cell r="E117" t="str">
            <v>KES</v>
          </cell>
          <cell r="F117">
            <v>8940</v>
          </cell>
          <cell r="G117">
            <v>1490</v>
          </cell>
          <cell r="H117">
            <v>6600</v>
          </cell>
          <cell r="I117">
            <v>1100</v>
          </cell>
          <cell r="J117">
            <v>5940</v>
          </cell>
          <cell r="K117">
            <v>990</v>
          </cell>
          <cell r="L117">
            <v>6</v>
          </cell>
          <cell r="M117">
            <v>1.3545454545454545</v>
          </cell>
          <cell r="N117">
            <v>6</v>
          </cell>
          <cell r="O117">
            <v>6</v>
          </cell>
          <cell r="P117">
            <v>0.9</v>
          </cell>
          <cell r="Q117" t="str">
            <v>KES</v>
          </cell>
          <cell r="R117">
            <v>8940</v>
          </cell>
          <cell r="S117">
            <v>1490</v>
          </cell>
          <cell r="T117">
            <v>6600</v>
          </cell>
          <cell r="U117">
            <v>1100</v>
          </cell>
          <cell r="V117">
            <v>5940</v>
          </cell>
          <cell r="W117">
            <v>990</v>
          </cell>
          <cell r="X117">
            <v>6</v>
          </cell>
          <cell r="Y117">
            <v>1.3545454545454545</v>
          </cell>
          <cell r="Z117">
            <v>6</v>
          </cell>
          <cell r="AA117">
            <v>6</v>
          </cell>
          <cell r="AB117">
            <v>0.9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7.7399382999999997E-3</v>
          </cell>
          <cell r="AL117">
            <v>69.195048401999998</v>
          </cell>
          <cell r="AM117">
            <v>11.532508067</v>
          </cell>
          <cell r="AN117">
            <v>51.083592779999996</v>
          </cell>
          <cell r="AO117">
            <v>8.5139321299999988</v>
          </cell>
          <cell r="AP117">
            <v>45.975233501999995</v>
          </cell>
          <cell r="AQ117">
            <v>7.662538917</v>
          </cell>
          <cell r="AS117" t="str">
            <v>KE</v>
          </cell>
        </row>
        <row r="118">
          <cell r="B118" t="str">
            <v>Kiribati</v>
          </cell>
          <cell r="C118" t="str">
            <v>Asia</v>
          </cell>
          <cell r="E118" t="str">
            <v>AUD</v>
          </cell>
          <cell r="F118">
            <v>107.99</v>
          </cell>
          <cell r="G118">
            <v>17.989999999999998</v>
          </cell>
          <cell r="H118">
            <v>77.989999999999995</v>
          </cell>
          <cell r="I118">
            <v>12.99</v>
          </cell>
          <cell r="J118">
            <v>71.989999999999995</v>
          </cell>
          <cell r="K118">
            <v>11.99</v>
          </cell>
          <cell r="L118">
            <v>6.0027793218454697</v>
          </cell>
          <cell r="M118">
            <v>1.3849114703618166</v>
          </cell>
          <cell r="N118">
            <v>6.0038491147036179</v>
          </cell>
          <cell r="O118">
            <v>6.0041701417848206</v>
          </cell>
          <cell r="P118">
            <v>0.92301770592763666</v>
          </cell>
          <cell r="Q118" t="str">
            <v>AUD</v>
          </cell>
          <cell r="R118">
            <v>107.99</v>
          </cell>
          <cell r="S118">
            <v>17.989999999999998</v>
          </cell>
          <cell r="T118">
            <v>77.989999999999995</v>
          </cell>
          <cell r="U118">
            <v>12.99</v>
          </cell>
          <cell r="V118">
            <v>71.989999999999995</v>
          </cell>
          <cell r="W118">
            <v>11.99</v>
          </cell>
          <cell r="X118">
            <v>6.0027793218454697</v>
          </cell>
          <cell r="Y118">
            <v>1.3849114703618166</v>
          </cell>
          <cell r="Z118">
            <v>6.0038491147036179</v>
          </cell>
          <cell r="AA118">
            <v>6.0041701417848206</v>
          </cell>
          <cell r="AB118">
            <v>0.92301770592763666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0.65494996000000005</v>
          </cell>
          <cell r="AL118">
            <v>70.7280461804</v>
          </cell>
          <cell r="AM118">
            <v>11.7825497804</v>
          </cell>
          <cell r="AN118">
            <v>51.079547380400001</v>
          </cell>
          <cell r="AO118">
            <v>8.5077999804000015</v>
          </cell>
          <cell r="AP118">
            <v>47.149847620400003</v>
          </cell>
          <cell r="AQ118">
            <v>7.8528500204000009</v>
          </cell>
          <cell r="AS118" t="str">
            <v>KI</v>
          </cell>
        </row>
        <row r="119">
          <cell r="B119" t="str">
            <v>Kosovo</v>
          </cell>
          <cell r="C119" t="str">
            <v>Europe</v>
          </cell>
          <cell r="E119" t="str">
            <v>EUR</v>
          </cell>
          <cell r="F119">
            <v>47.99</v>
          </cell>
          <cell r="G119">
            <v>7.99</v>
          </cell>
          <cell r="H119">
            <v>35.99</v>
          </cell>
          <cell r="I119">
            <v>5.99</v>
          </cell>
          <cell r="J119">
            <v>29.99</v>
          </cell>
          <cell r="K119">
            <v>4.99</v>
          </cell>
          <cell r="L119">
            <v>6.0062578222778473</v>
          </cell>
          <cell r="M119">
            <v>1.333889816360601</v>
          </cell>
          <cell r="N119">
            <v>6.0083472454090154</v>
          </cell>
          <cell r="O119">
            <v>6.0100200400801596</v>
          </cell>
          <cell r="P119">
            <v>0.8330550918196995</v>
          </cell>
          <cell r="Q119" t="str">
            <v>EUR</v>
          </cell>
          <cell r="R119">
            <v>47.99</v>
          </cell>
          <cell r="S119">
            <v>7.99</v>
          </cell>
          <cell r="T119">
            <v>35.99</v>
          </cell>
          <cell r="U119">
            <v>5.99</v>
          </cell>
          <cell r="V119">
            <v>29.99</v>
          </cell>
          <cell r="W119">
            <v>4.99</v>
          </cell>
          <cell r="X119">
            <v>6.0062578222778473</v>
          </cell>
          <cell r="Y119">
            <v>1.333889816360601</v>
          </cell>
          <cell r="Z119">
            <v>6.0083472454090154</v>
          </cell>
          <cell r="AA119">
            <v>6.0100200400801596</v>
          </cell>
          <cell r="AB119">
            <v>0.8330550918196995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K119">
            <v>1.1778500000000001</v>
          </cell>
          <cell r="AL119">
            <v>56.525021500000008</v>
          </cell>
          <cell r="AM119">
            <v>9.4110215000000004</v>
          </cell>
          <cell r="AN119">
            <v>42.390821500000001</v>
          </cell>
          <cell r="AO119">
            <v>7.0553215000000007</v>
          </cell>
          <cell r="AP119">
            <v>35.323721499999998</v>
          </cell>
          <cell r="AQ119">
            <v>5.8774715000000004</v>
          </cell>
          <cell r="AS119" t="str">
            <v>XK</v>
          </cell>
        </row>
        <row r="120">
          <cell r="B120" t="str">
            <v>Kuwait</v>
          </cell>
          <cell r="C120" t="str">
            <v>Middle East</v>
          </cell>
          <cell r="E120" t="str">
            <v>KWD</v>
          </cell>
          <cell r="F120">
            <v>64.998999999999995</v>
          </cell>
          <cell r="G120">
            <v>9.9990000000000006</v>
          </cell>
          <cell r="H120">
            <v>49.999000000000002</v>
          </cell>
          <cell r="I120">
            <v>6.9989999999999997</v>
          </cell>
          <cell r="J120" t="str">
            <v/>
          </cell>
          <cell r="K120" t="str">
            <v/>
          </cell>
          <cell r="L120">
            <v>6.5005500550054993</v>
          </cell>
          <cell r="M120">
            <v>1.4286326618088301</v>
          </cell>
          <cell r="N120">
            <v>7.1437348192598948</v>
          </cell>
          <cell r="O120" t="e">
            <v>#VALUE!</v>
          </cell>
          <cell r="P120" t="e">
            <v>#VALUE!</v>
          </cell>
          <cell r="Q120" t="str">
            <v>KWD</v>
          </cell>
          <cell r="R120">
            <v>64.998999999999995</v>
          </cell>
          <cell r="S120">
            <v>9.9990000000000006</v>
          </cell>
          <cell r="T120">
            <v>49.999000000000002</v>
          </cell>
          <cell r="U120">
            <v>6.9989999999999997</v>
          </cell>
          <cell r="V120">
            <v>44.999100000000006</v>
          </cell>
          <cell r="W120">
            <v>5.9989999999999997</v>
          </cell>
          <cell r="X120">
            <v>6.5005500550054993</v>
          </cell>
          <cell r="Y120">
            <v>1.4286326618088301</v>
          </cell>
          <cell r="Z120">
            <v>7.1437348192598948</v>
          </cell>
          <cell r="AA120">
            <v>7.5011001833638957</v>
          </cell>
          <cell r="AB120">
            <v>0.85712244606372334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 t="e">
            <v>#VALUE!</v>
          </cell>
          <cell r="AI120" t="e">
            <v>#VALUE!</v>
          </cell>
          <cell r="AK120">
            <v>3.2749302</v>
          </cell>
          <cell r="AL120">
            <v>212.86718806979999</v>
          </cell>
          <cell r="AM120">
            <v>32.7460270698</v>
          </cell>
          <cell r="AN120">
            <v>163.74323506980002</v>
          </cell>
          <cell r="AO120">
            <v>22.9212364698</v>
          </cell>
          <cell r="AP120">
            <v>147.36891156282002</v>
          </cell>
          <cell r="AQ120">
            <v>19.6463062698</v>
          </cell>
          <cell r="AS120" t="str">
            <v>KW</v>
          </cell>
        </row>
        <row r="121">
          <cell r="B121" t="str">
            <v>Kyrgyzstan</v>
          </cell>
          <cell r="C121" t="str">
            <v>Asia</v>
          </cell>
          <cell r="E121" t="str">
            <v>KGS</v>
          </cell>
          <cell r="F121">
            <v>7937.99</v>
          </cell>
          <cell r="G121">
            <v>1322.99</v>
          </cell>
          <cell r="H121">
            <v>5879.99</v>
          </cell>
          <cell r="I121">
            <v>979.99</v>
          </cell>
          <cell r="J121">
            <v>5291.99</v>
          </cell>
          <cell r="K121">
            <v>881.99</v>
          </cell>
          <cell r="L121">
            <v>6.0000377931805984</v>
          </cell>
          <cell r="M121">
            <v>1.3500035714650149</v>
          </cell>
          <cell r="N121">
            <v>6.000051020928785</v>
          </cell>
          <cell r="O121">
            <v>6.0000566899851471</v>
          </cell>
          <cell r="P121">
            <v>0.89999897958142427</v>
          </cell>
          <cell r="Q121" t="str">
            <v>KGS</v>
          </cell>
          <cell r="R121">
            <v>7937.99</v>
          </cell>
          <cell r="S121">
            <v>1322.99</v>
          </cell>
          <cell r="T121">
            <v>5879.99</v>
          </cell>
          <cell r="U121">
            <v>979.99</v>
          </cell>
          <cell r="V121">
            <v>5291.99</v>
          </cell>
          <cell r="W121">
            <v>881.99</v>
          </cell>
          <cell r="X121">
            <v>6.0000377931805984</v>
          </cell>
          <cell r="Y121">
            <v>1.3500035714650149</v>
          </cell>
          <cell r="Z121">
            <v>6.000051020928785</v>
          </cell>
          <cell r="AA121">
            <v>6.0000566899851471</v>
          </cell>
          <cell r="AB121">
            <v>0.89999897958142427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K121">
            <v>1.1435106E-2</v>
          </cell>
          <cell r="AL121">
            <v>90.771757076940006</v>
          </cell>
          <cell r="AM121">
            <v>15.12853088694</v>
          </cell>
          <cell r="AN121">
            <v>67.23830892894</v>
          </cell>
          <cell r="AO121">
            <v>11.206289528940001</v>
          </cell>
          <cell r="AP121">
            <v>60.514466600939997</v>
          </cell>
          <cell r="AQ121">
            <v>10.085649140940001</v>
          </cell>
          <cell r="AS121" t="str">
            <v>KG</v>
          </cell>
        </row>
        <row r="122">
          <cell r="B122" t="str">
            <v>Laos</v>
          </cell>
          <cell r="C122" t="str">
            <v>Asia</v>
          </cell>
          <cell r="E122" t="str">
            <v>LAK</v>
          </cell>
          <cell r="F122">
            <v>770340</v>
          </cell>
          <cell r="G122">
            <v>128390</v>
          </cell>
          <cell r="H122">
            <v>570600</v>
          </cell>
          <cell r="I122">
            <v>95100</v>
          </cell>
          <cell r="J122">
            <v>513540</v>
          </cell>
          <cell r="K122">
            <v>85590</v>
          </cell>
          <cell r="L122">
            <v>6</v>
          </cell>
          <cell r="M122">
            <v>1.3500525762355415</v>
          </cell>
          <cell r="N122">
            <v>6</v>
          </cell>
          <cell r="O122">
            <v>6</v>
          </cell>
          <cell r="P122">
            <v>0.9</v>
          </cell>
          <cell r="Q122" t="str">
            <v>LAK</v>
          </cell>
          <cell r="R122">
            <v>770340</v>
          </cell>
          <cell r="S122">
            <v>128390</v>
          </cell>
          <cell r="T122">
            <v>570600</v>
          </cell>
          <cell r="U122">
            <v>95100</v>
          </cell>
          <cell r="V122">
            <v>513540</v>
          </cell>
          <cell r="W122">
            <v>85590</v>
          </cell>
          <cell r="X122">
            <v>6</v>
          </cell>
          <cell r="Y122">
            <v>1.3500525762355415</v>
          </cell>
          <cell r="Z122">
            <v>6</v>
          </cell>
          <cell r="AA122">
            <v>6</v>
          </cell>
          <cell r="AB122">
            <v>0.9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K122">
            <v>4.6629767999999998E-5</v>
          </cell>
          <cell r="AL122">
            <v>35.920775481119996</v>
          </cell>
          <cell r="AM122">
            <v>5.98679591352</v>
          </cell>
          <cell r="AN122">
            <v>26.606945620799998</v>
          </cell>
          <cell r="AO122">
            <v>4.4344909367999996</v>
          </cell>
          <cell r="AP122">
            <v>23.946251058719998</v>
          </cell>
          <cell r="AQ122">
            <v>3.9910418431199997</v>
          </cell>
          <cell r="AS122" t="str">
            <v>LA</v>
          </cell>
        </row>
        <row r="123">
          <cell r="B123" t="str">
            <v>Latvia</v>
          </cell>
          <cell r="C123" t="str">
            <v>Europe</v>
          </cell>
          <cell r="E123" t="str">
            <v>EUR</v>
          </cell>
          <cell r="F123">
            <v>91.99</v>
          </cell>
          <cell r="G123">
            <v>14.99</v>
          </cell>
          <cell r="H123">
            <v>67.989999999999995</v>
          </cell>
          <cell r="I123">
            <v>10.99</v>
          </cell>
          <cell r="J123">
            <v>59.99</v>
          </cell>
          <cell r="K123">
            <v>9.99</v>
          </cell>
          <cell r="L123">
            <v>6.1367578385590393</v>
          </cell>
          <cell r="M123">
            <v>1.3639672429481347</v>
          </cell>
          <cell r="N123">
            <v>6.186533212010918</v>
          </cell>
          <cell r="O123">
            <v>6.005005005005005</v>
          </cell>
          <cell r="P123">
            <v>0.90900818926296634</v>
          </cell>
          <cell r="Q123" t="str">
            <v>EUR</v>
          </cell>
          <cell r="R123">
            <v>91.99</v>
          </cell>
          <cell r="S123">
            <v>14.99</v>
          </cell>
          <cell r="T123">
            <v>67.989999999999995</v>
          </cell>
          <cell r="U123">
            <v>10.99</v>
          </cell>
          <cell r="V123">
            <v>59.99</v>
          </cell>
          <cell r="W123">
            <v>9.99</v>
          </cell>
          <cell r="X123">
            <v>6.1367578385590393</v>
          </cell>
          <cell r="Y123">
            <v>1.3639672429481347</v>
          </cell>
          <cell r="Z123">
            <v>6.186533212010918</v>
          </cell>
          <cell r="AA123">
            <v>6.005005005005005</v>
          </cell>
          <cell r="AB123">
            <v>0.90900818926296634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K123">
            <v>1.1778500000000001</v>
          </cell>
          <cell r="AL123">
            <v>108.3504215</v>
          </cell>
          <cell r="AM123">
            <v>17.6559715</v>
          </cell>
          <cell r="AN123">
            <v>80.082021499999996</v>
          </cell>
          <cell r="AO123">
            <v>12.9445715</v>
          </cell>
          <cell r="AP123">
            <v>70.659221500000001</v>
          </cell>
          <cell r="AQ123">
            <v>11.766721500000001</v>
          </cell>
          <cell r="AS123" t="str">
            <v>LV</v>
          </cell>
        </row>
        <row r="124">
          <cell r="B124" t="str">
            <v>Lebanon</v>
          </cell>
          <cell r="C124" t="str">
            <v>Middle East</v>
          </cell>
          <cell r="E124" t="str">
            <v>USD</v>
          </cell>
          <cell r="F124">
            <v>34.99</v>
          </cell>
          <cell r="G124">
            <v>4.99</v>
          </cell>
          <cell r="H124">
            <v>27.99</v>
          </cell>
          <cell r="I124">
            <v>3.99</v>
          </cell>
          <cell r="J124">
            <v>17.989999999999998</v>
          </cell>
          <cell r="K124">
            <v>2.99</v>
          </cell>
          <cell r="L124">
            <v>7.0120240480961922</v>
          </cell>
          <cell r="M124">
            <v>1.2506265664160401</v>
          </cell>
          <cell r="N124">
            <v>7.0150375939849621</v>
          </cell>
          <cell r="O124">
            <v>6.0167224080267552</v>
          </cell>
          <cell r="P124">
            <v>0.74937343358395991</v>
          </cell>
          <cell r="Q124" t="str">
            <v>USD</v>
          </cell>
          <cell r="R124">
            <v>34.99</v>
          </cell>
          <cell r="S124">
            <v>4.99</v>
          </cell>
          <cell r="T124">
            <v>27.99</v>
          </cell>
          <cell r="U124">
            <v>3.99</v>
          </cell>
          <cell r="V124">
            <v>17.989999999999998</v>
          </cell>
          <cell r="W124">
            <v>2.99</v>
          </cell>
          <cell r="X124">
            <v>7.0120240480961922</v>
          </cell>
          <cell r="Y124">
            <v>1.2506265664160401</v>
          </cell>
          <cell r="Z124">
            <v>7.0150375939849621</v>
          </cell>
          <cell r="AA124">
            <v>6.0167224080267552</v>
          </cell>
          <cell r="AB124">
            <v>0.74937343358395991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K124">
            <v>1</v>
          </cell>
          <cell r="AL124">
            <v>34.99</v>
          </cell>
          <cell r="AM124">
            <v>4.99</v>
          </cell>
          <cell r="AN124">
            <v>27.99</v>
          </cell>
          <cell r="AO124">
            <v>3.99</v>
          </cell>
          <cell r="AP124">
            <v>17.989999999999998</v>
          </cell>
          <cell r="AQ124">
            <v>2.99</v>
          </cell>
          <cell r="AS124" t="str">
            <v>LB</v>
          </cell>
        </row>
        <row r="125">
          <cell r="B125" t="str">
            <v>Lesotho</v>
          </cell>
          <cell r="C125" t="str">
            <v>Africa</v>
          </cell>
          <cell r="E125" t="str">
            <v>USD</v>
          </cell>
          <cell r="F125">
            <v>71.989999999999995</v>
          </cell>
          <cell r="G125">
            <v>11.99</v>
          </cell>
          <cell r="H125">
            <v>53.99</v>
          </cell>
          <cell r="I125">
            <v>8.99</v>
          </cell>
          <cell r="J125">
            <v>47.99</v>
          </cell>
          <cell r="K125">
            <v>7.99</v>
          </cell>
          <cell r="L125">
            <v>6.0041701417848206</v>
          </cell>
          <cell r="M125">
            <v>1.3337041156840934</v>
          </cell>
          <cell r="N125">
            <v>6.0055617352614012</v>
          </cell>
          <cell r="O125">
            <v>6.0062578222778473</v>
          </cell>
          <cell r="P125">
            <v>0.88876529477196886</v>
          </cell>
          <cell r="Q125" t="str">
            <v>USD</v>
          </cell>
          <cell r="R125">
            <v>71.989999999999995</v>
          </cell>
          <cell r="S125">
            <v>11.99</v>
          </cell>
          <cell r="T125">
            <v>53.99</v>
          </cell>
          <cell r="U125">
            <v>8.99</v>
          </cell>
          <cell r="V125">
            <v>47.99</v>
          </cell>
          <cell r="W125">
            <v>7.99</v>
          </cell>
          <cell r="X125">
            <v>6.0041701417848206</v>
          </cell>
          <cell r="Y125">
            <v>1.3337041156840934</v>
          </cell>
          <cell r="Z125">
            <v>6.0055617352614012</v>
          </cell>
          <cell r="AA125">
            <v>6.0062578222778473</v>
          </cell>
          <cell r="AB125">
            <v>0.88876529477196886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K125">
            <v>1</v>
          </cell>
          <cell r="AL125">
            <v>71.989999999999995</v>
          </cell>
          <cell r="AM125">
            <v>11.99</v>
          </cell>
          <cell r="AN125">
            <v>53.99</v>
          </cell>
          <cell r="AO125">
            <v>8.99</v>
          </cell>
          <cell r="AP125">
            <v>47.99</v>
          </cell>
          <cell r="AQ125">
            <v>7.99</v>
          </cell>
          <cell r="AS125" t="str">
            <v>LS</v>
          </cell>
        </row>
        <row r="126">
          <cell r="B126" t="str">
            <v>Liberia</v>
          </cell>
          <cell r="C126" t="str">
            <v>Africa</v>
          </cell>
          <cell r="E126" t="str">
            <v>USD</v>
          </cell>
          <cell r="F126">
            <v>71.989999999999995</v>
          </cell>
          <cell r="G126">
            <v>11.99</v>
          </cell>
          <cell r="H126">
            <v>53.99</v>
          </cell>
          <cell r="I126">
            <v>8.99</v>
          </cell>
          <cell r="J126">
            <v>47.99</v>
          </cell>
          <cell r="K126">
            <v>7.99</v>
          </cell>
          <cell r="L126">
            <v>6.0041701417848206</v>
          </cell>
          <cell r="M126">
            <v>1.3337041156840934</v>
          </cell>
          <cell r="N126">
            <v>6.0055617352614012</v>
          </cell>
          <cell r="O126">
            <v>6.0062578222778473</v>
          </cell>
          <cell r="P126">
            <v>0.88876529477196886</v>
          </cell>
          <cell r="Q126" t="str">
            <v>USD</v>
          </cell>
          <cell r="R126">
            <v>71.989999999999995</v>
          </cell>
          <cell r="S126">
            <v>11.99</v>
          </cell>
          <cell r="T126">
            <v>53.99</v>
          </cell>
          <cell r="U126">
            <v>8.99</v>
          </cell>
          <cell r="V126">
            <v>47.99</v>
          </cell>
          <cell r="W126">
            <v>7.99</v>
          </cell>
          <cell r="X126">
            <v>6.0041701417848206</v>
          </cell>
          <cell r="Y126">
            <v>1.3337041156840934</v>
          </cell>
          <cell r="Z126">
            <v>6.0055617352614012</v>
          </cell>
          <cell r="AA126">
            <v>6.0062578222778473</v>
          </cell>
          <cell r="AB126">
            <v>0.88876529477196886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K126">
            <v>1</v>
          </cell>
          <cell r="AL126">
            <v>71.989999999999995</v>
          </cell>
          <cell r="AM126">
            <v>11.99</v>
          </cell>
          <cell r="AN126">
            <v>53.99</v>
          </cell>
          <cell r="AO126">
            <v>8.99</v>
          </cell>
          <cell r="AP126">
            <v>47.99</v>
          </cell>
          <cell r="AQ126">
            <v>7.99</v>
          </cell>
          <cell r="AS126" t="str">
            <v>LR</v>
          </cell>
        </row>
        <row r="127">
          <cell r="B127" t="str">
            <v>Libya</v>
          </cell>
          <cell r="C127" t="str">
            <v>Africa</v>
          </cell>
          <cell r="E127" t="str">
            <v>USD</v>
          </cell>
          <cell r="F127">
            <v>79.989999999999995</v>
          </cell>
          <cell r="G127">
            <v>13.99</v>
          </cell>
          <cell r="H127">
            <v>59.99</v>
          </cell>
          <cell r="I127">
            <v>9.99</v>
          </cell>
          <cell r="J127">
            <v>54.99</v>
          </cell>
          <cell r="K127">
            <v>8.99</v>
          </cell>
          <cell r="L127">
            <v>5.7176554681915652</v>
          </cell>
          <cell r="M127">
            <v>1.4004004004004005</v>
          </cell>
          <cell r="N127">
            <v>6.005005005005005</v>
          </cell>
          <cell r="O127">
            <v>6.1167964404894324</v>
          </cell>
          <cell r="P127">
            <v>0.89989989989989994</v>
          </cell>
          <cell r="Q127" t="str">
            <v>USD</v>
          </cell>
          <cell r="R127">
            <v>79.989999999999995</v>
          </cell>
          <cell r="S127">
            <v>13.99</v>
          </cell>
          <cell r="T127">
            <v>59.99</v>
          </cell>
          <cell r="U127">
            <v>9.99</v>
          </cell>
          <cell r="V127">
            <v>54.99</v>
          </cell>
          <cell r="W127">
            <v>8.99</v>
          </cell>
          <cell r="X127">
            <v>5.7176554681915652</v>
          </cell>
          <cell r="Y127">
            <v>1.4004004004004005</v>
          </cell>
          <cell r="Z127">
            <v>6.005005005005005</v>
          </cell>
          <cell r="AA127">
            <v>6.1167964404894324</v>
          </cell>
          <cell r="AB127">
            <v>0.89989989989989994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1</v>
          </cell>
          <cell r="AL127">
            <v>79.989999999999995</v>
          </cell>
          <cell r="AM127">
            <v>13.99</v>
          </cell>
          <cell r="AN127">
            <v>59.99</v>
          </cell>
          <cell r="AO127">
            <v>9.99</v>
          </cell>
          <cell r="AP127">
            <v>54.99</v>
          </cell>
          <cell r="AQ127">
            <v>8.99</v>
          </cell>
          <cell r="AS127" t="str">
            <v>LY</v>
          </cell>
        </row>
        <row r="128">
          <cell r="B128" t="str">
            <v>Liechtenstein</v>
          </cell>
          <cell r="C128" t="str">
            <v>Europe</v>
          </cell>
          <cell r="E128" t="str">
            <v>CHF</v>
          </cell>
          <cell r="F128">
            <v>189.99</v>
          </cell>
          <cell r="G128">
            <v>31.99</v>
          </cell>
          <cell r="H128">
            <v>149.99</v>
          </cell>
          <cell r="I128">
            <v>24.99</v>
          </cell>
          <cell r="J128">
            <v>129.99</v>
          </cell>
          <cell r="K128">
            <v>21.99</v>
          </cell>
          <cell r="L128">
            <v>5.9390434510784624</v>
          </cell>
          <cell r="M128">
            <v>1.2801120448179273</v>
          </cell>
          <cell r="N128">
            <v>6.0020008003201291</v>
          </cell>
          <cell r="O128">
            <v>5.9113233287858122</v>
          </cell>
          <cell r="P128">
            <v>0.87995198079231696</v>
          </cell>
          <cell r="Q128" t="str">
            <v>CHF</v>
          </cell>
          <cell r="R128">
            <v>189.99</v>
          </cell>
          <cell r="S128">
            <v>31.99</v>
          </cell>
          <cell r="T128">
            <v>149.99</v>
          </cell>
          <cell r="U128">
            <v>24.99</v>
          </cell>
          <cell r="V128">
            <v>129.99</v>
          </cell>
          <cell r="W128">
            <v>21.99</v>
          </cell>
          <cell r="X128">
            <v>5.9390434510784624</v>
          </cell>
          <cell r="Y128">
            <v>1.2801120448179273</v>
          </cell>
          <cell r="Z128">
            <v>6.0020008003201291</v>
          </cell>
          <cell r="AA128">
            <v>5.9113233287858122</v>
          </cell>
          <cell r="AB128">
            <v>0.87995198079231696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1.2601599999999999</v>
          </cell>
          <cell r="AL128">
            <v>239.41779840000001</v>
          </cell>
          <cell r="AM128">
            <v>40.312518399999995</v>
          </cell>
          <cell r="AN128">
            <v>189.01139839999999</v>
          </cell>
          <cell r="AO128">
            <v>31.491398399999998</v>
          </cell>
          <cell r="AP128">
            <v>163.80819840000001</v>
          </cell>
          <cell r="AQ128">
            <v>27.710918399999997</v>
          </cell>
          <cell r="AS128" t="str">
            <v>LI</v>
          </cell>
        </row>
        <row r="129">
          <cell r="B129" t="str">
            <v>Lithuania</v>
          </cell>
          <cell r="C129" t="str">
            <v>Europe</v>
          </cell>
          <cell r="E129" t="str">
            <v>EUR</v>
          </cell>
          <cell r="F129">
            <v>94.99</v>
          </cell>
          <cell r="G129">
            <v>14.99</v>
          </cell>
          <cell r="H129">
            <v>69.989999999999995</v>
          </cell>
          <cell r="I129">
            <v>10.99</v>
          </cell>
          <cell r="J129">
            <v>59.99</v>
          </cell>
          <cell r="K129">
            <v>9.99</v>
          </cell>
          <cell r="L129">
            <v>6.3368912608405603</v>
          </cell>
          <cell r="M129">
            <v>1.3639672429481347</v>
          </cell>
          <cell r="N129">
            <v>6.3685168334849855</v>
          </cell>
          <cell r="O129">
            <v>6.005005005005005</v>
          </cell>
          <cell r="P129">
            <v>0.90900818926296634</v>
          </cell>
          <cell r="Q129" t="str">
            <v>EUR</v>
          </cell>
          <cell r="R129">
            <v>94.99</v>
          </cell>
          <cell r="S129">
            <v>14.99</v>
          </cell>
          <cell r="T129">
            <v>69.989999999999995</v>
          </cell>
          <cell r="U129">
            <v>10.99</v>
          </cell>
          <cell r="V129">
            <v>59.99</v>
          </cell>
          <cell r="W129">
            <v>9.99</v>
          </cell>
          <cell r="X129">
            <v>6.3368912608405603</v>
          </cell>
          <cell r="Y129">
            <v>1.3639672429481347</v>
          </cell>
          <cell r="Z129">
            <v>6.3685168334849855</v>
          </cell>
          <cell r="AA129">
            <v>6.005005005005005</v>
          </cell>
          <cell r="AB129">
            <v>0.90900818926296634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K129">
            <v>1.1778500000000001</v>
          </cell>
          <cell r="AL129">
            <v>111.8839715</v>
          </cell>
          <cell r="AM129">
            <v>17.6559715</v>
          </cell>
          <cell r="AN129">
            <v>82.437721499999995</v>
          </cell>
          <cell r="AO129">
            <v>12.9445715</v>
          </cell>
          <cell r="AP129">
            <v>70.659221500000001</v>
          </cell>
          <cell r="AQ129">
            <v>11.766721500000001</v>
          </cell>
          <cell r="AS129" t="str">
            <v>LT</v>
          </cell>
        </row>
        <row r="130">
          <cell r="B130" t="str">
            <v>Luxembourg</v>
          </cell>
          <cell r="C130" t="str">
            <v>Europe</v>
          </cell>
          <cell r="E130" t="str">
            <v>EUR</v>
          </cell>
          <cell r="F130">
            <v>194.99</v>
          </cell>
          <cell r="G130">
            <v>28.99</v>
          </cell>
          <cell r="H130">
            <v>149.99</v>
          </cell>
          <cell r="I130">
            <v>21.99</v>
          </cell>
          <cell r="J130">
            <v>134.99</v>
          </cell>
          <cell r="K130">
            <v>19.989999999999998</v>
          </cell>
          <cell r="L130">
            <v>6.7261124525698524</v>
          </cell>
          <cell r="M130">
            <v>1.3183265120509322</v>
          </cell>
          <cell r="N130">
            <v>6.8208276489313331</v>
          </cell>
          <cell r="O130">
            <v>6.7528764382191104</v>
          </cell>
          <cell r="P130">
            <v>0.90904956798544789</v>
          </cell>
          <cell r="Q130" t="str">
            <v>EUR</v>
          </cell>
          <cell r="R130">
            <v>194.99</v>
          </cell>
          <cell r="S130">
            <v>28.99</v>
          </cell>
          <cell r="T130">
            <v>149.99</v>
          </cell>
          <cell r="U130">
            <v>21.99</v>
          </cell>
          <cell r="V130">
            <v>134.99</v>
          </cell>
          <cell r="W130">
            <v>19.989999999999998</v>
          </cell>
          <cell r="X130">
            <v>6.7261124525698524</v>
          </cell>
          <cell r="Y130">
            <v>1.3183265120509322</v>
          </cell>
          <cell r="Z130">
            <v>6.8208276489313331</v>
          </cell>
          <cell r="AA130">
            <v>6.7528764382191104</v>
          </cell>
          <cell r="AB130">
            <v>0.90904956798544789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K130">
            <v>1.1778500000000001</v>
          </cell>
          <cell r="AL130">
            <v>229.66897150000003</v>
          </cell>
          <cell r="AM130">
            <v>34.145871499999998</v>
          </cell>
          <cell r="AN130">
            <v>176.66572150000002</v>
          </cell>
          <cell r="AO130">
            <v>25.900921499999999</v>
          </cell>
          <cell r="AP130">
            <v>158.99797150000001</v>
          </cell>
          <cell r="AQ130">
            <v>23.5452215</v>
          </cell>
          <cell r="AS130" t="str">
            <v>LU</v>
          </cell>
        </row>
        <row r="131">
          <cell r="B131" t="str">
            <v>Macao</v>
          </cell>
          <cell r="C131" t="str">
            <v>NBA China</v>
          </cell>
          <cell r="E131" t="str">
            <v>MOP</v>
          </cell>
          <cell r="F131">
            <v>869.99</v>
          </cell>
          <cell r="G131">
            <v>124.99</v>
          </cell>
          <cell r="H131">
            <v>629.99</v>
          </cell>
          <cell r="I131">
            <v>89.99</v>
          </cell>
          <cell r="J131">
            <v>549.99</v>
          </cell>
          <cell r="K131">
            <v>80.989999999999995</v>
          </cell>
          <cell r="L131">
            <v>6.9604768381470521</v>
          </cell>
          <cell r="M131">
            <v>1.388932103567063</v>
          </cell>
          <cell r="N131">
            <v>7.0006667407489722</v>
          </cell>
          <cell r="O131">
            <v>6.7908383751080388</v>
          </cell>
          <cell r="P131">
            <v>0.89998888765418383</v>
          </cell>
          <cell r="Q131" t="str">
            <v>MOP</v>
          </cell>
          <cell r="R131">
            <v>869.99</v>
          </cell>
          <cell r="S131">
            <v>124.99</v>
          </cell>
          <cell r="T131">
            <v>629.99</v>
          </cell>
          <cell r="U131">
            <v>89.99</v>
          </cell>
          <cell r="V131">
            <v>549.99</v>
          </cell>
          <cell r="W131">
            <v>80.989999999999995</v>
          </cell>
          <cell r="X131">
            <v>6.9604768381470521</v>
          </cell>
          <cell r="Y131">
            <v>1.388932103567063</v>
          </cell>
          <cell r="Z131">
            <v>7.0006667407489722</v>
          </cell>
          <cell r="AA131">
            <v>6.7908383751080388</v>
          </cell>
          <cell r="AB131">
            <v>0.89998888765418383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K131">
            <v>0.12368201500000001</v>
          </cell>
          <cell r="AL131">
            <v>107.60211622985001</v>
          </cell>
          <cell r="AM131">
            <v>15.459015054850001</v>
          </cell>
          <cell r="AN131">
            <v>77.918432629850003</v>
          </cell>
          <cell r="AO131">
            <v>11.13014452985</v>
          </cell>
          <cell r="AP131">
            <v>68.023871429850004</v>
          </cell>
          <cell r="AQ131">
            <v>10.01700639485</v>
          </cell>
          <cell r="AS131" t="str">
            <v>MO</v>
          </cell>
        </row>
        <row r="132">
          <cell r="B132" t="str">
            <v>Macedonia</v>
          </cell>
          <cell r="C132" t="str">
            <v>Europe</v>
          </cell>
          <cell r="E132" t="str">
            <v>MKD</v>
          </cell>
          <cell r="F132">
            <v>5499.99</v>
          </cell>
          <cell r="G132">
            <v>909.99</v>
          </cell>
          <cell r="H132">
            <v>3899.99</v>
          </cell>
          <cell r="I132">
            <v>649.99</v>
          </cell>
          <cell r="J132">
            <v>3509.99</v>
          </cell>
          <cell r="K132">
            <v>584.99</v>
          </cell>
          <cell r="L132">
            <v>6.044011472653545</v>
          </cell>
          <cell r="M132">
            <v>1.4000061539408299</v>
          </cell>
          <cell r="N132">
            <v>6.0000769242603731</v>
          </cell>
          <cell r="O132">
            <v>6.0000854715465213</v>
          </cell>
          <cell r="P132">
            <v>0.89999846151479257</v>
          </cell>
          <cell r="Q132" t="str">
            <v>MKD</v>
          </cell>
          <cell r="R132">
            <v>5499.99</v>
          </cell>
          <cell r="S132">
            <v>909.99</v>
          </cell>
          <cell r="T132">
            <v>3899.99</v>
          </cell>
          <cell r="U132">
            <v>649.99</v>
          </cell>
          <cell r="V132">
            <v>3509.99</v>
          </cell>
          <cell r="W132">
            <v>584.99</v>
          </cell>
          <cell r="X132">
            <v>6.044011472653545</v>
          </cell>
          <cell r="Y132">
            <v>1.4000061539408299</v>
          </cell>
          <cell r="Z132">
            <v>6.0000769242603731</v>
          </cell>
          <cell r="AA132">
            <v>6.0000854715465213</v>
          </cell>
          <cell r="AB132">
            <v>0.89999846151479257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K132">
            <v>1.9122288000000001E-2</v>
          </cell>
          <cell r="AL132">
            <v>105.17239277712</v>
          </cell>
          <cell r="AM132">
            <v>17.40109085712</v>
          </cell>
          <cell r="AN132">
            <v>74.576731977120005</v>
          </cell>
          <cell r="AO132">
            <v>12.429295977120001</v>
          </cell>
          <cell r="AP132">
            <v>67.119039657119998</v>
          </cell>
          <cell r="AQ132">
            <v>11.186347257120001</v>
          </cell>
          <cell r="AS132" t="str">
            <v>MK</v>
          </cell>
        </row>
        <row r="133">
          <cell r="B133" t="str">
            <v>Madagascar</v>
          </cell>
          <cell r="C133" t="str">
            <v>Africa</v>
          </cell>
          <cell r="E133" t="str">
            <v>USD</v>
          </cell>
          <cell r="F133">
            <v>71.989999999999995</v>
          </cell>
          <cell r="G133">
            <v>11.99</v>
          </cell>
          <cell r="H133">
            <v>53.99</v>
          </cell>
          <cell r="I133">
            <v>8.99</v>
          </cell>
          <cell r="J133">
            <v>47.99</v>
          </cell>
          <cell r="K133">
            <v>7.99</v>
          </cell>
          <cell r="L133">
            <v>6.0041701417848206</v>
          </cell>
          <cell r="M133">
            <v>1.3337041156840934</v>
          </cell>
          <cell r="N133">
            <v>6.0055617352614012</v>
          </cell>
          <cell r="O133">
            <v>6.0062578222778473</v>
          </cell>
          <cell r="P133">
            <v>0.88876529477196886</v>
          </cell>
          <cell r="Q133" t="str">
            <v>USD</v>
          </cell>
          <cell r="R133">
            <v>71.989999999999995</v>
          </cell>
          <cell r="S133">
            <v>11.99</v>
          </cell>
          <cell r="T133">
            <v>53.99</v>
          </cell>
          <cell r="U133">
            <v>8.99</v>
          </cell>
          <cell r="V133">
            <v>47.99</v>
          </cell>
          <cell r="W133">
            <v>7.99</v>
          </cell>
          <cell r="X133">
            <v>6.0041701417848206</v>
          </cell>
          <cell r="Y133">
            <v>1.3337041156840934</v>
          </cell>
          <cell r="Z133">
            <v>6.0055617352614012</v>
          </cell>
          <cell r="AA133">
            <v>6.0062578222778473</v>
          </cell>
          <cell r="AB133">
            <v>0.88876529477196886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K133">
            <v>1</v>
          </cell>
          <cell r="AL133">
            <v>71.989999999999995</v>
          </cell>
          <cell r="AM133">
            <v>11.99</v>
          </cell>
          <cell r="AN133">
            <v>53.99</v>
          </cell>
          <cell r="AO133">
            <v>8.99</v>
          </cell>
          <cell r="AP133">
            <v>47.99</v>
          </cell>
          <cell r="AQ133">
            <v>7.99</v>
          </cell>
          <cell r="AS133" t="str">
            <v>MG</v>
          </cell>
        </row>
        <row r="134">
          <cell r="B134" t="str">
            <v>Malawi</v>
          </cell>
          <cell r="C134" t="str">
            <v>Africa</v>
          </cell>
          <cell r="E134" t="str">
            <v>MWK</v>
          </cell>
          <cell r="F134">
            <v>59129.99</v>
          </cell>
          <cell r="G134">
            <v>9854.99</v>
          </cell>
          <cell r="H134">
            <v>43799.99</v>
          </cell>
          <cell r="I134">
            <v>7299.99</v>
          </cell>
          <cell r="J134">
            <v>39419.99</v>
          </cell>
          <cell r="K134">
            <v>6569.99</v>
          </cell>
          <cell r="L134">
            <v>6.0000050735718657</v>
          </cell>
          <cell r="M134">
            <v>1.3500004794527116</v>
          </cell>
          <cell r="N134">
            <v>6.0000068493244507</v>
          </cell>
          <cell r="O134">
            <v>6.0000076103616591</v>
          </cell>
          <cell r="P134">
            <v>0.89999986301351098</v>
          </cell>
          <cell r="Q134" t="str">
            <v>MWK</v>
          </cell>
          <cell r="R134">
            <v>59129.99</v>
          </cell>
          <cell r="S134">
            <v>9854.99</v>
          </cell>
          <cell r="T134">
            <v>43799.99</v>
          </cell>
          <cell r="U134">
            <v>7299.99</v>
          </cell>
          <cell r="V134">
            <v>39419.99</v>
          </cell>
          <cell r="W134">
            <v>6569.99</v>
          </cell>
          <cell r="X134">
            <v>6.0000050735718657</v>
          </cell>
          <cell r="Y134">
            <v>1.3500004794527116</v>
          </cell>
          <cell r="Z134">
            <v>6.0000068493244507</v>
          </cell>
          <cell r="AA134">
            <v>6.0000076103616591</v>
          </cell>
          <cell r="AB134">
            <v>0.89999986301351098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K134">
            <v>5.7669959999999995E-4</v>
          </cell>
          <cell r="AL134">
            <v>34.100241581003999</v>
          </cell>
          <cell r="AM134">
            <v>5.6833687910039989</v>
          </cell>
          <cell r="AN134">
            <v>25.259436713003996</v>
          </cell>
          <cell r="AO134">
            <v>4.2099013130039999</v>
          </cell>
          <cell r="AP134">
            <v>22.733492465003998</v>
          </cell>
          <cell r="AQ134">
            <v>3.7889106050039993</v>
          </cell>
          <cell r="AS134" t="str">
            <v>MW</v>
          </cell>
        </row>
        <row r="135">
          <cell r="B135" t="str">
            <v>Malaysia</v>
          </cell>
          <cell r="C135" t="str">
            <v>Asia</v>
          </cell>
          <cell r="E135" t="str">
            <v>MYR</v>
          </cell>
          <cell r="F135">
            <v>389.99</v>
          </cell>
          <cell r="G135">
            <v>64.989999999999995</v>
          </cell>
          <cell r="H135">
            <v>319.99</v>
          </cell>
          <cell r="I135">
            <v>45.99</v>
          </cell>
          <cell r="J135">
            <v>249.99</v>
          </cell>
          <cell r="K135">
            <v>39.99</v>
          </cell>
          <cell r="L135">
            <v>6.0007693491306364</v>
          </cell>
          <cell r="M135">
            <v>1.4131332898456184</v>
          </cell>
          <cell r="N135">
            <v>6.9578169167210264</v>
          </cell>
          <cell r="O135">
            <v>6.2513128282070518</v>
          </cell>
          <cell r="P135">
            <v>0.86953685583822571</v>
          </cell>
          <cell r="Q135" t="str">
            <v>MYR</v>
          </cell>
          <cell r="R135">
            <v>389.99</v>
          </cell>
          <cell r="S135">
            <v>64.989999999999995</v>
          </cell>
          <cell r="T135">
            <v>319.99</v>
          </cell>
          <cell r="U135">
            <v>45.99</v>
          </cell>
          <cell r="V135">
            <v>249.99</v>
          </cell>
          <cell r="W135">
            <v>39.99</v>
          </cell>
          <cell r="X135">
            <v>6.0007693491306364</v>
          </cell>
          <cell r="Y135">
            <v>1.4131332898456184</v>
          </cell>
          <cell r="Z135">
            <v>6.9578169167210264</v>
          </cell>
          <cell r="AA135">
            <v>6.2513128282070518</v>
          </cell>
          <cell r="AB135">
            <v>0.86953685583822571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0.23691066999999999</v>
          </cell>
          <cell r="AL135">
            <v>92.392792193299996</v>
          </cell>
          <cell r="AM135">
            <v>15.396824443299998</v>
          </cell>
          <cell r="AN135">
            <v>75.809045293300002</v>
          </cell>
          <cell r="AO135">
            <v>10.895521713300001</v>
          </cell>
          <cell r="AP135">
            <v>59.225298393300001</v>
          </cell>
          <cell r="AQ135">
            <v>9.4740576933000007</v>
          </cell>
          <cell r="AS135" t="str">
            <v>MY</v>
          </cell>
        </row>
        <row r="136">
          <cell r="B136" t="str">
            <v>Maldives</v>
          </cell>
          <cell r="C136" t="str">
            <v>Asia</v>
          </cell>
          <cell r="E136" t="str">
            <v>MVR</v>
          </cell>
          <cell r="F136">
            <v>1091.99</v>
          </cell>
          <cell r="G136">
            <v>181.99</v>
          </cell>
          <cell r="H136">
            <v>809.99</v>
          </cell>
          <cell r="I136">
            <v>134.99</v>
          </cell>
          <cell r="J136">
            <v>725.99</v>
          </cell>
          <cell r="K136">
            <v>120.99</v>
          </cell>
          <cell r="L136">
            <v>6.00027474037035</v>
          </cell>
          <cell r="M136">
            <v>1.3481739388102822</v>
          </cell>
          <cell r="N136">
            <v>6.0003703978072442</v>
          </cell>
          <cell r="O136">
            <v>6.0004132572939914</v>
          </cell>
          <cell r="P136">
            <v>0.89628861397140525</v>
          </cell>
          <cell r="Q136" t="str">
            <v>MVR</v>
          </cell>
          <cell r="R136">
            <v>1091.99</v>
          </cell>
          <cell r="S136">
            <v>181.99</v>
          </cell>
          <cell r="T136">
            <v>809.99</v>
          </cell>
          <cell r="U136">
            <v>134.99</v>
          </cell>
          <cell r="V136">
            <v>725.99</v>
          </cell>
          <cell r="W136">
            <v>120.99</v>
          </cell>
          <cell r="X136">
            <v>6.00027474037035</v>
          </cell>
          <cell r="Y136">
            <v>1.3481739388102822</v>
          </cell>
          <cell r="Z136">
            <v>6.0003703978072442</v>
          </cell>
          <cell r="AA136">
            <v>6.0004132572939914</v>
          </cell>
          <cell r="AB136">
            <v>0.89628861397140525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6.4850844000000005E-2</v>
          </cell>
          <cell r="AL136">
            <v>70.816473139560003</v>
          </cell>
          <cell r="AM136">
            <v>11.802205099560002</v>
          </cell>
          <cell r="AN136">
            <v>52.528535131560005</v>
          </cell>
          <cell r="AO136">
            <v>8.7542154315600005</v>
          </cell>
          <cell r="AP136">
            <v>47.081064235560007</v>
          </cell>
          <cell r="AQ136">
            <v>7.8463036155600001</v>
          </cell>
          <cell r="AS136" t="str">
            <v>MV</v>
          </cell>
        </row>
        <row r="137">
          <cell r="B137" t="str">
            <v>Mali</v>
          </cell>
          <cell r="C137" t="str">
            <v>Africa</v>
          </cell>
          <cell r="E137" t="str">
            <v>XOF</v>
          </cell>
          <cell r="F137">
            <v>43740</v>
          </cell>
          <cell r="G137">
            <v>7290</v>
          </cell>
          <cell r="H137">
            <v>32400</v>
          </cell>
          <cell r="I137">
            <v>5400</v>
          </cell>
          <cell r="J137">
            <v>29160</v>
          </cell>
          <cell r="K137">
            <v>4860</v>
          </cell>
          <cell r="L137">
            <v>6</v>
          </cell>
          <cell r="M137">
            <v>1.35</v>
          </cell>
          <cell r="N137">
            <v>6</v>
          </cell>
          <cell r="O137">
            <v>6</v>
          </cell>
          <cell r="P137">
            <v>0.9</v>
          </cell>
          <cell r="Q137" t="str">
            <v>XOF</v>
          </cell>
          <cell r="R137">
            <v>43740</v>
          </cell>
          <cell r="S137">
            <v>7290</v>
          </cell>
          <cell r="T137">
            <v>32400</v>
          </cell>
          <cell r="U137">
            <v>5400</v>
          </cell>
          <cell r="V137">
            <v>29160</v>
          </cell>
          <cell r="W137">
            <v>4860</v>
          </cell>
          <cell r="X137">
            <v>6</v>
          </cell>
          <cell r="Y137">
            <v>1.35</v>
          </cell>
          <cell r="Z137">
            <v>6</v>
          </cell>
          <cell r="AA137">
            <v>6</v>
          </cell>
          <cell r="AB137">
            <v>0.9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1.7956208E-3</v>
          </cell>
          <cell r="AL137">
            <v>78.540453791999994</v>
          </cell>
          <cell r="AM137">
            <v>13.090075632</v>
          </cell>
          <cell r="AN137">
            <v>58.178113920000001</v>
          </cell>
          <cell r="AO137">
            <v>9.6963523200000008</v>
          </cell>
          <cell r="AP137">
            <v>52.360302527999998</v>
          </cell>
          <cell r="AQ137">
            <v>8.7267170879999991</v>
          </cell>
          <cell r="AS137" t="str">
            <v>ML</v>
          </cell>
        </row>
        <row r="138">
          <cell r="B138" t="str">
            <v>Malta</v>
          </cell>
          <cell r="C138" t="str">
            <v>Europe</v>
          </cell>
          <cell r="E138" t="str">
            <v>EUR</v>
          </cell>
          <cell r="F138">
            <v>129.99</v>
          </cell>
          <cell r="G138">
            <v>21.99</v>
          </cell>
          <cell r="H138">
            <v>99.99</v>
          </cell>
          <cell r="I138">
            <v>16.989999999999998</v>
          </cell>
          <cell r="J138">
            <v>89.99</v>
          </cell>
          <cell r="K138">
            <v>14.99</v>
          </cell>
          <cell r="L138">
            <v>5.9113233287858122</v>
          </cell>
          <cell r="M138">
            <v>1.2942907592701589</v>
          </cell>
          <cell r="N138">
            <v>5.8852266038846386</v>
          </cell>
          <cell r="O138">
            <v>6.0033355570380253</v>
          </cell>
          <cell r="P138">
            <v>0.88228369629193648</v>
          </cell>
          <cell r="Q138" t="str">
            <v>EUR</v>
          </cell>
          <cell r="R138">
            <v>129.99</v>
          </cell>
          <cell r="S138">
            <v>21.99</v>
          </cell>
          <cell r="T138">
            <v>99.99</v>
          </cell>
          <cell r="U138">
            <v>16.989999999999998</v>
          </cell>
          <cell r="V138">
            <v>89.99</v>
          </cell>
          <cell r="W138">
            <v>14.99</v>
          </cell>
          <cell r="X138">
            <v>5.9113233287858122</v>
          </cell>
          <cell r="Y138">
            <v>1.2942907592701589</v>
          </cell>
          <cell r="Z138">
            <v>5.8852266038846386</v>
          </cell>
          <cell r="AA138">
            <v>6.0033355570380253</v>
          </cell>
          <cell r="AB138">
            <v>0.88228369629193648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1.1778500000000001</v>
          </cell>
          <cell r="AL138">
            <v>153.10872150000003</v>
          </cell>
          <cell r="AM138">
            <v>25.900921499999999</v>
          </cell>
          <cell r="AN138">
            <v>117.77322150000001</v>
          </cell>
          <cell r="AO138">
            <v>20.011671499999999</v>
          </cell>
          <cell r="AP138">
            <v>105.9947215</v>
          </cell>
          <cell r="AQ138">
            <v>17.6559715</v>
          </cell>
          <cell r="AS138" t="str">
            <v>MT</v>
          </cell>
        </row>
        <row r="139">
          <cell r="B139" t="str">
            <v>Marshall Islands</v>
          </cell>
          <cell r="C139" t="str">
            <v>Asia</v>
          </cell>
          <cell r="E139" t="str">
            <v>USD</v>
          </cell>
          <cell r="F139">
            <v>129.99</v>
          </cell>
          <cell r="G139">
            <v>18.989999999999998</v>
          </cell>
          <cell r="H139">
            <v>83.99</v>
          </cell>
          <cell r="I139">
            <v>13.99</v>
          </cell>
          <cell r="J139">
            <v>77.989999999999995</v>
          </cell>
          <cell r="K139">
            <v>12.99</v>
          </cell>
          <cell r="L139">
            <v>6.8451816745655618</v>
          </cell>
          <cell r="M139">
            <v>1.3573981415296639</v>
          </cell>
          <cell r="N139">
            <v>6.003573981415296</v>
          </cell>
          <cell r="O139">
            <v>6.0038491147036179</v>
          </cell>
          <cell r="P139">
            <v>0.9285203716940672</v>
          </cell>
          <cell r="Q139" t="str">
            <v>USD</v>
          </cell>
          <cell r="R139">
            <v>129.99</v>
          </cell>
          <cell r="S139">
            <v>18.989999999999998</v>
          </cell>
          <cell r="T139">
            <v>83.99</v>
          </cell>
          <cell r="U139">
            <v>13.99</v>
          </cell>
          <cell r="V139">
            <v>77.989999999999995</v>
          </cell>
          <cell r="W139">
            <v>12.99</v>
          </cell>
          <cell r="X139">
            <v>6.8451816745655618</v>
          </cell>
          <cell r="Y139">
            <v>1.3573981415296639</v>
          </cell>
          <cell r="Z139">
            <v>6.003573981415296</v>
          </cell>
          <cell r="AA139">
            <v>6.0038491147036179</v>
          </cell>
          <cell r="AB139">
            <v>0.9285203716940672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K139">
            <v>1</v>
          </cell>
          <cell r="AL139">
            <v>129.99</v>
          </cell>
          <cell r="AM139">
            <v>18.989999999999998</v>
          </cell>
          <cell r="AN139">
            <v>83.99</v>
          </cell>
          <cell r="AO139">
            <v>13.99</v>
          </cell>
          <cell r="AP139">
            <v>77.989999999999995</v>
          </cell>
          <cell r="AQ139">
            <v>12.99</v>
          </cell>
          <cell r="AS139" t="str">
            <v>MH</v>
          </cell>
        </row>
        <row r="140">
          <cell r="B140" t="str">
            <v>Martinique</v>
          </cell>
          <cell r="C140" t="str">
            <v>Latin America</v>
          </cell>
          <cell r="E140" t="str">
            <v>EUR</v>
          </cell>
          <cell r="F140">
            <v>89.99</v>
          </cell>
          <cell r="G140">
            <v>14.99</v>
          </cell>
          <cell r="H140">
            <v>64.989999999999995</v>
          </cell>
          <cell r="I140">
            <v>10.99</v>
          </cell>
          <cell r="J140">
            <v>59.99</v>
          </cell>
          <cell r="K140">
            <v>9.99</v>
          </cell>
          <cell r="L140">
            <v>6.0033355570380253</v>
          </cell>
          <cell r="M140">
            <v>1.3639672429481347</v>
          </cell>
          <cell r="N140">
            <v>5.9135577797998176</v>
          </cell>
          <cell r="O140">
            <v>6.005005005005005</v>
          </cell>
          <cell r="P140">
            <v>0.90900818926296634</v>
          </cell>
          <cell r="Q140" t="str">
            <v>EUR</v>
          </cell>
          <cell r="R140">
            <v>89.99</v>
          </cell>
          <cell r="S140">
            <v>14.99</v>
          </cell>
          <cell r="T140">
            <v>64.989999999999995</v>
          </cell>
          <cell r="U140">
            <v>10.99</v>
          </cell>
          <cell r="V140">
            <v>59.99</v>
          </cell>
          <cell r="W140">
            <v>9.99</v>
          </cell>
          <cell r="X140">
            <v>6.0033355570380253</v>
          </cell>
          <cell r="Y140">
            <v>1.3639672429481347</v>
          </cell>
          <cell r="Z140">
            <v>5.9135577797998176</v>
          </cell>
          <cell r="AA140">
            <v>6.005005005005005</v>
          </cell>
          <cell r="AB140">
            <v>0.90900818926296634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1.1778500000000001</v>
          </cell>
          <cell r="AL140">
            <v>105.9947215</v>
          </cell>
          <cell r="AM140">
            <v>17.6559715</v>
          </cell>
          <cell r="AN140">
            <v>76.548471500000005</v>
          </cell>
          <cell r="AO140">
            <v>12.9445715</v>
          </cell>
          <cell r="AP140">
            <v>70.659221500000001</v>
          </cell>
          <cell r="AQ140">
            <v>11.766721500000001</v>
          </cell>
          <cell r="AS140" t="str">
            <v>MQ</v>
          </cell>
        </row>
        <row r="141">
          <cell r="B141" t="str">
            <v>Mauritania</v>
          </cell>
          <cell r="C141" t="str">
            <v>Africa</v>
          </cell>
          <cell r="E141" t="str">
            <v>USD</v>
          </cell>
          <cell r="F141">
            <v>71.989999999999995</v>
          </cell>
          <cell r="G141">
            <v>11.99</v>
          </cell>
          <cell r="H141">
            <v>53.99</v>
          </cell>
          <cell r="I141">
            <v>8.99</v>
          </cell>
          <cell r="J141">
            <v>47.99</v>
          </cell>
          <cell r="K141">
            <v>7.99</v>
          </cell>
          <cell r="L141">
            <v>6.0041701417848206</v>
          </cell>
          <cell r="M141">
            <v>1.3337041156840934</v>
          </cell>
          <cell r="N141">
            <v>6.0055617352614012</v>
          </cell>
          <cell r="O141">
            <v>6.0062578222778473</v>
          </cell>
          <cell r="P141">
            <v>0.88876529477196886</v>
          </cell>
          <cell r="Q141" t="str">
            <v>USD</v>
          </cell>
          <cell r="R141">
            <v>71.989999999999995</v>
          </cell>
          <cell r="S141">
            <v>11.99</v>
          </cell>
          <cell r="T141">
            <v>53.99</v>
          </cell>
          <cell r="U141">
            <v>8.99</v>
          </cell>
          <cell r="V141">
            <v>47.99</v>
          </cell>
          <cell r="W141">
            <v>7.99</v>
          </cell>
          <cell r="X141">
            <v>6.0041701417848206</v>
          </cell>
          <cell r="Y141">
            <v>1.3337041156840934</v>
          </cell>
          <cell r="Z141">
            <v>6.0055617352614012</v>
          </cell>
          <cell r="AA141">
            <v>6.0062578222778473</v>
          </cell>
          <cell r="AB141">
            <v>0.88876529477196886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1</v>
          </cell>
          <cell r="AL141">
            <v>71.989999999999995</v>
          </cell>
          <cell r="AM141">
            <v>11.99</v>
          </cell>
          <cell r="AN141">
            <v>53.99</v>
          </cell>
          <cell r="AO141">
            <v>8.99</v>
          </cell>
          <cell r="AP141">
            <v>47.99</v>
          </cell>
          <cell r="AQ141">
            <v>7.99</v>
          </cell>
          <cell r="AS141" t="str">
            <v>MR</v>
          </cell>
        </row>
        <row r="142">
          <cell r="B142" t="str">
            <v>Mauritius</v>
          </cell>
          <cell r="C142" t="str">
            <v>Africa</v>
          </cell>
          <cell r="E142" t="str">
            <v>MUR</v>
          </cell>
          <cell r="F142">
            <v>2591.9899999999998</v>
          </cell>
          <cell r="G142">
            <v>431.99</v>
          </cell>
          <cell r="H142">
            <v>1919.99</v>
          </cell>
          <cell r="I142">
            <v>319.99</v>
          </cell>
          <cell r="J142">
            <v>1727.99</v>
          </cell>
          <cell r="K142">
            <v>287.99</v>
          </cell>
          <cell r="L142">
            <v>6.0001157434199861</v>
          </cell>
          <cell r="M142">
            <v>1.3500109378418075</v>
          </cell>
          <cell r="N142">
            <v>6.000156254882965</v>
          </cell>
          <cell r="O142">
            <v>6.0001736171394837</v>
          </cell>
          <cell r="P142">
            <v>0.8999968749023407</v>
          </cell>
          <cell r="Q142" t="str">
            <v>MUR</v>
          </cell>
          <cell r="R142">
            <v>2591.9899999999998</v>
          </cell>
          <cell r="S142">
            <v>431.99</v>
          </cell>
          <cell r="T142">
            <v>1919.99</v>
          </cell>
          <cell r="U142">
            <v>319.99</v>
          </cell>
          <cell r="V142">
            <v>1727.99</v>
          </cell>
          <cell r="W142">
            <v>287.99</v>
          </cell>
          <cell r="X142">
            <v>6.0001157434199861</v>
          </cell>
          <cell r="Y142">
            <v>1.3500109378418075</v>
          </cell>
          <cell r="Z142">
            <v>6.000156254882965</v>
          </cell>
          <cell r="AA142">
            <v>6.0001736171394837</v>
          </cell>
          <cell r="AB142">
            <v>0.8999968749023407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K142">
            <v>2.224694E-2</v>
          </cell>
          <cell r="AL142">
            <v>57.663846010599997</v>
          </cell>
          <cell r="AM142">
            <v>9.6104556106000008</v>
          </cell>
          <cell r="AN142">
            <v>42.7139023306</v>
          </cell>
          <cell r="AO142">
            <v>7.1187983305999998</v>
          </cell>
          <cell r="AP142">
            <v>38.442489850599998</v>
          </cell>
          <cell r="AQ142">
            <v>6.4068962506</v>
          </cell>
          <cell r="AS142" t="str">
            <v>MU</v>
          </cell>
        </row>
        <row r="143">
          <cell r="B143" t="str">
            <v>Mayotte</v>
          </cell>
          <cell r="C143" t="str">
            <v>Africa</v>
          </cell>
          <cell r="E143" t="str">
            <v>EUR</v>
          </cell>
          <cell r="F143">
            <v>77.989999999999995</v>
          </cell>
          <cell r="G143">
            <v>12.99</v>
          </cell>
          <cell r="H143">
            <v>59.99</v>
          </cell>
          <cell r="I143">
            <v>9.99</v>
          </cell>
          <cell r="J143">
            <v>53.99</v>
          </cell>
          <cell r="K143">
            <v>8.99</v>
          </cell>
          <cell r="L143">
            <v>6.0038491147036179</v>
          </cell>
          <cell r="M143">
            <v>1.3003003003003002</v>
          </cell>
          <cell r="N143">
            <v>6.005005005005005</v>
          </cell>
          <cell r="O143">
            <v>6.0055617352614012</v>
          </cell>
          <cell r="P143">
            <v>0.89989989989989994</v>
          </cell>
          <cell r="Q143" t="str">
            <v>EUR</v>
          </cell>
          <cell r="R143">
            <v>77.989999999999995</v>
          </cell>
          <cell r="S143">
            <v>12.99</v>
          </cell>
          <cell r="T143">
            <v>59.99</v>
          </cell>
          <cell r="U143">
            <v>9.99</v>
          </cell>
          <cell r="V143">
            <v>53.99</v>
          </cell>
          <cell r="W143">
            <v>8.99</v>
          </cell>
          <cell r="X143">
            <v>6.0038491147036179</v>
          </cell>
          <cell r="Y143">
            <v>1.3003003003003002</v>
          </cell>
          <cell r="Z143">
            <v>6.005005005005005</v>
          </cell>
          <cell r="AA143">
            <v>6.0055617352614012</v>
          </cell>
          <cell r="AB143">
            <v>0.89989989989989994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1.1778500000000001</v>
          </cell>
          <cell r="AL143">
            <v>91.860521500000004</v>
          </cell>
          <cell r="AM143">
            <v>15.300271500000001</v>
          </cell>
          <cell r="AN143">
            <v>70.659221500000001</v>
          </cell>
          <cell r="AO143">
            <v>11.766721500000001</v>
          </cell>
          <cell r="AP143">
            <v>63.592121500000005</v>
          </cell>
          <cell r="AQ143">
            <v>10.588871500000002</v>
          </cell>
          <cell r="AS143" t="str">
            <v>YT</v>
          </cell>
        </row>
        <row r="144">
          <cell r="B144" t="str">
            <v>Mexico</v>
          </cell>
          <cell r="C144" t="str">
            <v>Latin America</v>
          </cell>
          <cell r="D144" t="str">
            <v>C</v>
          </cell>
          <cell r="E144" t="str">
            <v>MXN</v>
          </cell>
          <cell r="F144">
            <v>1990</v>
          </cell>
          <cell r="G144">
            <v>290</v>
          </cell>
          <cell r="H144">
            <v>1470</v>
          </cell>
          <cell r="I144">
            <v>210</v>
          </cell>
          <cell r="J144">
            <v>1330</v>
          </cell>
          <cell r="K144">
            <v>190</v>
          </cell>
          <cell r="L144">
            <v>6.8620689655172411</v>
          </cell>
          <cell r="M144">
            <v>1.3809523809523809</v>
          </cell>
          <cell r="N144">
            <v>7</v>
          </cell>
          <cell r="O144">
            <v>7</v>
          </cell>
          <cell r="P144">
            <v>0.90476190476190477</v>
          </cell>
          <cell r="Q144" t="str">
            <v>MXN</v>
          </cell>
          <cell r="R144">
            <v>1990</v>
          </cell>
          <cell r="S144">
            <v>290</v>
          </cell>
          <cell r="T144">
            <v>1470</v>
          </cell>
          <cell r="U144">
            <v>210</v>
          </cell>
          <cell r="V144">
            <v>1330</v>
          </cell>
          <cell r="W144">
            <v>190</v>
          </cell>
          <cell r="X144">
            <v>6.8620689655172411</v>
          </cell>
          <cell r="Y144">
            <v>1.3809523809523809</v>
          </cell>
          <cell r="Z144">
            <v>7</v>
          </cell>
          <cell r="AA144">
            <v>7</v>
          </cell>
          <cell r="AB144">
            <v>0.90476190476190477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K144">
            <v>5.3648069999999999E-2</v>
          </cell>
          <cell r="AL144">
            <v>106.7596593</v>
          </cell>
          <cell r="AM144">
            <v>15.5579403</v>
          </cell>
          <cell r="AN144">
            <v>78.862662900000004</v>
          </cell>
          <cell r="AO144">
            <v>11.2660947</v>
          </cell>
          <cell r="AP144">
            <v>71.351933099999997</v>
          </cell>
          <cell r="AQ144">
            <v>10.1931333</v>
          </cell>
          <cell r="AS144" t="str">
            <v>MX</v>
          </cell>
        </row>
        <row r="145">
          <cell r="B145" t="str">
            <v>Micronesia</v>
          </cell>
          <cell r="C145" t="str">
            <v>Asia</v>
          </cell>
          <cell r="E145" t="str">
            <v>USD</v>
          </cell>
          <cell r="F145">
            <v>129.99</v>
          </cell>
          <cell r="G145">
            <v>18.989999999999998</v>
          </cell>
          <cell r="H145">
            <v>83.99</v>
          </cell>
          <cell r="I145">
            <v>13.99</v>
          </cell>
          <cell r="J145">
            <v>77.989999999999995</v>
          </cell>
          <cell r="K145">
            <v>12.99</v>
          </cell>
          <cell r="L145">
            <v>6.8451816745655618</v>
          </cell>
          <cell r="M145">
            <v>1.3573981415296639</v>
          </cell>
          <cell r="N145">
            <v>6.003573981415296</v>
          </cell>
          <cell r="O145">
            <v>6.0038491147036179</v>
          </cell>
          <cell r="P145">
            <v>0.9285203716940672</v>
          </cell>
          <cell r="Q145" t="str">
            <v>USD</v>
          </cell>
          <cell r="R145">
            <v>129.99</v>
          </cell>
          <cell r="S145">
            <v>18.989999999999998</v>
          </cell>
          <cell r="T145">
            <v>83.99</v>
          </cell>
          <cell r="U145">
            <v>13.99</v>
          </cell>
          <cell r="V145">
            <v>77.989999999999995</v>
          </cell>
          <cell r="W145">
            <v>12.99</v>
          </cell>
          <cell r="X145">
            <v>6.8451816745655618</v>
          </cell>
          <cell r="Y145">
            <v>1.3573981415296639</v>
          </cell>
          <cell r="Z145">
            <v>6.003573981415296</v>
          </cell>
          <cell r="AA145">
            <v>6.0038491147036179</v>
          </cell>
          <cell r="AB145">
            <v>0.9285203716940672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K145">
            <v>1</v>
          </cell>
          <cell r="AL145">
            <v>129.99</v>
          </cell>
          <cell r="AM145">
            <v>18.989999999999998</v>
          </cell>
          <cell r="AN145">
            <v>83.99</v>
          </cell>
          <cell r="AO145">
            <v>13.99</v>
          </cell>
          <cell r="AP145">
            <v>77.989999999999995</v>
          </cell>
          <cell r="AQ145">
            <v>12.99</v>
          </cell>
          <cell r="AS145" t="str">
            <v>FM</v>
          </cell>
        </row>
        <row r="146">
          <cell r="B146" t="str">
            <v>Moldova</v>
          </cell>
          <cell r="C146" t="str">
            <v>Europe</v>
          </cell>
          <cell r="E146" t="str">
            <v>MDL</v>
          </cell>
          <cell r="F146">
            <v>1499.99</v>
          </cell>
          <cell r="G146">
            <v>249.99</v>
          </cell>
          <cell r="H146">
            <v>1109.99</v>
          </cell>
          <cell r="I146">
            <v>184.99</v>
          </cell>
          <cell r="J146">
            <v>999.99</v>
          </cell>
          <cell r="K146">
            <v>165.99</v>
          </cell>
          <cell r="L146">
            <v>6.0002000080003199</v>
          </cell>
          <cell r="M146">
            <v>1.3513703443429375</v>
          </cell>
          <cell r="N146">
            <v>6.0002702848802638</v>
          </cell>
          <cell r="O146">
            <v>6.024399060184348</v>
          </cell>
          <cell r="P146">
            <v>0.89729174549975677</v>
          </cell>
          <cell r="Q146" t="str">
            <v>MDL</v>
          </cell>
          <cell r="R146">
            <v>1499.99</v>
          </cell>
          <cell r="S146">
            <v>249.99</v>
          </cell>
          <cell r="T146">
            <v>1109.99</v>
          </cell>
          <cell r="U146">
            <v>184.99</v>
          </cell>
          <cell r="V146">
            <v>999.99</v>
          </cell>
          <cell r="W146">
            <v>165.99</v>
          </cell>
          <cell r="X146">
            <v>6.0002000080003199</v>
          </cell>
          <cell r="Y146">
            <v>1.3513703443429375</v>
          </cell>
          <cell r="Z146">
            <v>6.0002702848802638</v>
          </cell>
          <cell r="AA146">
            <v>6.024399060184348</v>
          </cell>
          <cell r="AB146">
            <v>0.89729174549975677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K146">
            <v>5.9364800000000002E-2</v>
          </cell>
          <cell r="AL146">
            <v>89.046606351999998</v>
          </cell>
          <cell r="AM146">
            <v>14.840606352000002</v>
          </cell>
          <cell r="AN146">
            <v>65.894334352000001</v>
          </cell>
          <cell r="AO146">
            <v>10.981894352000001</v>
          </cell>
          <cell r="AP146">
            <v>59.364206352000004</v>
          </cell>
          <cell r="AQ146">
            <v>9.8539631520000004</v>
          </cell>
          <cell r="AS146" t="str">
            <v>MD</v>
          </cell>
        </row>
        <row r="147">
          <cell r="B147" t="str">
            <v>Monaco</v>
          </cell>
          <cell r="C147" t="str">
            <v>Europe</v>
          </cell>
          <cell r="E147" t="str">
            <v>EUR</v>
          </cell>
          <cell r="F147">
            <v>119.99</v>
          </cell>
          <cell r="G147">
            <v>19.989999999999998</v>
          </cell>
          <cell r="H147">
            <v>89.99</v>
          </cell>
          <cell r="I147">
            <v>14.99</v>
          </cell>
          <cell r="J147">
            <v>79.989999999999995</v>
          </cell>
          <cell r="K147">
            <v>12.99</v>
          </cell>
          <cell r="L147">
            <v>6.002501250625313</v>
          </cell>
          <cell r="M147">
            <v>1.333555703802535</v>
          </cell>
          <cell r="N147">
            <v>6.0033355570380253</v>
          </cell>
          <cell r="O147">
            <v>6.157813702848344</v>
          </cell>
          <cell r="P147">
            <v>0.86657771847898601</v>
          </cell>
          <cell r="Q147" t="str">
            <v>EUR</v>
          </cell>
          <cell r="R147">
            <v>119.99</v>
          </cell>
          <cell r="S147">
            <v>19.989999999999998</v>
          </cell>
          <cell r="T147">
            <v>89.99</v>
          </cell>
          <cell r="U147">
            <v>14.99</v>
          </cell>
          <cell r="V147">
            <v>79.989999999999995</v>
          </cell>
          <cell r="W147">
            <v>12.99</v>
          </cell>
          <cell r="X147">
            <v>6.002501250625313</v>
          </cell>
          <cell r="Y147">
            <v>1.333555703802535</v>
          </cell>
          <cell r="Z147">
            <v>6.0033355570380253</v>
          </cell>
          <cell r="AA147">
            <v>6.157813702848344</v>
          </cell>
          <cell r="AB147">
            <v>0.86657771847898601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K147">
            <v>1.1778500000000001</v>
          </cell>
          <cell r="AL147">
            <v>141.33022149999999</v>
          </cell>
          <cell r="AM147">
            <v>23.5452215</v>
          </cell>
          <cell r="AN147">
            <v>105.9947215</v>
          </cell>
          <cell r="AO147">
            <v>17.6559715</v>
          </cell>
          <cell r="AP147">
            <v>94.216221500000003</v>
          </cell>
          <cell r="AQ147">
            <v>15.300271500000001</v>
          </cell>
          <cell r="AS147" t="str">
            <v>MC</v>
          </cell>
        </row>
        <row r="148">
          <cell r="B148" t="str">
            <v>Mongolia</v>
          </cell>
          <cell r="C148" t="str">
            <v>Asia</v>
          </cell>
          <cell r="E148" t="str">
            <v>MNT</v>
          </cell>
          <cell r="F148">
            <v>245900</v>
          </cell>
          <cell r="G148">
            <v>40880</v>
          </cell>
          <cell r="H148">
            <v>175200</v>
          </cell>
          <cell r="I148">
            <v>29200</v>
          </cell>
          <cell r="J148">
            <v>157680</v>
          </cell>
          <cell r="K148">
            <v>26280</v>
          </cell>
          <cell r="L148">
            <v>6.0151663405088058</v>
          </cell>
          <cell r="M148">
            <v>1.4</v>
          </cell>
          <cell r="N148">
            <v>6</v>
          </cell>
          <cell r="O148">
            <v>6</v>
          </cell>
          <cell r="P148">
            <v>0.9</v>
          </cell>
          <cell r="Q148" t="str">
            <v>MNT</v>
          </cell>
          <cell r="R148">
            <v>245900</v>
          </cell>
          <cell r="S148">
            <v>40880</v>
          </cell>
          <cell r="T148">
            <v>175200</v>
          </cell>
          <cell r="U148">
            <v>29200</v>
          </cell>
          <cell r="V148">
            <v>157680</v>
          </cell>
          <cell r="W148">
            <v>26280</v>
          </cell>
          <cell r="X148">
            <v>6.0151663405088058</v>
          </cell>
          <cell r="Y148">
            <v>1.4</v>
          </cell>
          <cell r="Z148">
            <v>6</v>
          </cell>
          <cell r="AA148">
            <v>6</v>
          </cell>
          <cell r="AB148">
            <v>0.9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K148">
            <v>2.7866795000000002E-4</v>
          </cell>
          <cell r="AL148">
            <v>68.524448905</v>
          </cell>
          <cell r="AM148">
            <v>11.391945796</v>
          </cell>
          <cell r="AN148">
            <v>48.822624840000003</v>
          </cell>
          <cell r="AO148">
            <v>8.1371041399999999</v>
          </cell>
          <cell r="AP148">
            <v>43.940362356000001</v>
          </cell>
          <cell r="AQ148">
            <v>7.3233937260000008</v>
          </cell>
          <cell r="AS148" t="str">
            <v>MN</v>
          </cell>
        </row>
        <row r="149">
          <cell r="B149" t="str">
            <v>Montenegro</v>
          </cell>
          <cell r="C149" t="str">
            <v>Europe</v>
          </cell>
          <cell r="E149" t="str">
            <v>EUR</v>
          </cell>
          <cell r="F149">
            <v>79.989999999999995</v>
          </cell>
          <cell r="G149">
            <v>12.99</v>
          </cell>
          <cell r="H149">
            <v>59.99</v>
          </cell>
          <cell r="I149">
            <v>9.99</v>
          </cell>
          <cell r="J149">
            <v>49.99</v>
          </cell>
          <cell r="K149">
            <v>8.99</v>
          </cell>
          <cell r="L149">
            <v>6.157813702848344</v>
          </cell>
          <cell r="M149">
            <v>1.3003003003003002</v>
          </cell>
          <cell r="N149">
            <v>6.005005005005005</v>
          </cell>
          <cell r="O149">
            <v>5.5606229143492767</v>
          </cell>
          <cell r="P149">
            <v>0.89989989989989994</v>
          </cell>
          <cell r="Q149" t="str">
            <v>EUR</v>
          </cell>
          <cell r="R149">
            <v>79.989999999999995</v>
          </cell>
          <cell r="S149">
            <v>12.99</v>
          </cell>
          <cell r="T149">
            <v>59.99</v>
          </cell>
          <cell r="U149">
            <v>9.99</v>
          </cell>
          <cell r="V149">
            <v>49.99</v>
          </cell>
          <cell r="W149">
            <v>8.99</v>
          </cell>
          <cell r="X149">
            <v>6.157813702848344</v>
          </cell>
          <cell r="Y149">
            <v>1.3003003003003002</v>
          </cell>
          <cell r="Z149">
            <v>6.005005005005005</v>
          </cell>
          <cell r="AA149">
            <v>5.5606229143492767</v>
          </cell>
          <cell r="AB149">
            <v>0.89989989989989994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1.1778500000000001</v>
          </cell>
          <cell r="AL149">
            <v>94.216221500000003</v>
          </cell>
          <cell r="AM149">
            <v>15.300271500000001</v>
          </cell>
          <cell r="AN149">
            <v>70.659221500000001</v>
          </cell>
          <cell r="AO149">
            <v>11.766721500000001</v>
          </cell>
          <cell r="AP149">
            <v>58.880721500000007</v>
          </cell>
          <cell r="AQ149">
            <v>10.588871500000002</v>
          </cell>
          <cell r="AS149" t="str">
            <v>ME</v>
          </cell>
        </row>
        <row r="150">
          <cell r="B150" t="str">
            <v>Montserrat</v>
          </cell>
          <cell r="C150" t="str">
            <v>Latin America</v>
          </cell>
          <cell r="E150" t="str">
            <v>XCD</v>
          </cell>
          <cell r="F150">
            <v>269.99</v>
          </cell>
          <cell r="G150">
            <v>44.99</v>
          </cell>
          <cell r="H150">
            <v>197.99</v>
          </cell>
          <cell r="I150">
            <v>32.99</v>
          </cell>
          <cell r="J150">
            <v>179.99</v>
          </cell>
          <cell r="K150">
            <v>29.99</v>
          </cell>
          <cell r="L150">
            <v>6.001111358079573</v>
          </cell>
          <cell r="M150">
            <v>1.36374658987572</v>
          </cell>
          <cell r="N150">
            <v>6.0015156107911487</v>
          </cell>
          <cell r="O150">
            <v>6.0016672224074696</v>
          </cell>
          <cell r="P150">
            <v>0.90906335253106996</v>
          </cell>
          <cell r="Q150" t="str">
            <v>XCD</v>
          </cell>
          <cell r="R150">
            <v>269.99</v>
          </cell>
          <cell r="S150">
            <v>44.99</v>
          </cell>
          <cell r="T150">
            <v>197.99</v>
          </cell>
          <cell r="U150">
            <v>32.99</v>
          </cell>
          <cell r="V150">
            <v>179.99</v>
          </cell>
          <cell r="W150">
            <v>29.99</v>
          </cell>
          <cell r="X150">
            <v>6.001111358079573</v>
          </cell>
          <cell r="Y150">
            <v>1.36374658987572</v>
          </cell>
          <cell r="Z150">
            <v>6.0015156107911487</v>
          </cell>
          <cell r="AA150">
            <v>6.0016672224074696</v>
          </cell>
          <cell r="AB150">
            <v>0.90906335253106996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0.37037036000000001</v>
          </cell>
          <cell r="AL150">
            <v>99.9962934964</v>
          </cell>
          <cell r="AM150">
            <v>16.662962496400002</v>
          </cell>
          <cell r="AN150">
            <v>73.3296275764</v>
          </cell>
          <cell r="AO150">
            <v>12.218518176400002</v>
          </cell>
          <cell r="AP150">
            <v>66.662961096400011</v>
          </cell>
          <cell r="AQ150">
            <v>11.107407096399999</v>
          </cell>
          <cell r="AS150" t="str">
            <v>MS</v>
          </cell>
        </row>
        <row r="151">
          <cell r="B151" t="str">
            <v>Morocco</v>
          </cell>
          <cell r="C151" t="str">
            <v>Africa</v>
          </cell>
          <cell r="E151" t="str">
            <v>MAD</v>
          </cell>
          <cell r="F151">
            <v>720</v>
          </cell>
          <cell r="G151">
            <v>120</v>
          </cell>
          <cell r="H151">
            <v>540</v>
          </cell>
          <cell r="I151">
            <v>90</v>
          </cell>
          <cell r="J151">
            <v>480</v>
          </cell>
          <cell r="K151">
            <v>80</v>
          </cell>
          <cell r="L151">
            <v>6</v>
          </cell>
          <cell r="M151">
            <v>1.3333333333333333</v>
          </cell>
          <cell r="N151">
            <v>6</v>
          </cell>
          <cell r="O151">
            <v>6</v>
          </cell>
          <cell r="P151">
            <v>0.88888888888888884</v>
          </cell>
          <cell r="Q151" t="str">
            <v>MAD</v>
          </cell>
          <cell r="R151">
            <v>720</v>
          </cell>
          <cell r="S151">
            <v>120</v>
          </cell>
          <cell r="T151">
            <v>540</v>
          </cell>
          <cell r="U151">
            <v>90</v>
          </cell>
          <cell r="V151">
            <v>480</v>
          </cell>
          <cell r="W151">
            <v>80</v>
          </cell>
          <cell r="X151">
            <v>6</v>
          </cell>
          <cell r="Y151">
            <v>1.3333333333333333</v>
          </cell>
          <cell r="Z151">
            <v>6</v>
          </cell>
          <cell r="AA151">
            <v>6</v>
          </cell>
          <cell r="AB151">
            <v>0.88888888888888884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K151">
            <v>0.11130775</v>
          </cell>
          <cell r="AL151">
            <v>80.141580000000005</v>
          </cell>
          <cell r="AM151">
            <v>13.35693</v>
          </cell>
          <cell r="AN151">
            <v>60.106184999999996</v>
          </cell>
          <cell r="AO151">
            <v>10.017697500000001</v>
          </cell>
          <cell r="AP151">
            <v>53.427720000000001</v>
          </cell>
          <cell r="AQ151">
            <v>8.9046199999999995</v>
          </cell>
          <cell r="AS151" t="str">
            <v>MA</v>
          </cell>
        </row>
        <row r="152">
          <cell r="B152" t="str">
            <v>Mozambique</v>
          </cell>
          <cell r="C152" t="str">
            <v>Africa</v>
          </cell>
          <cell r="E152" t="str">
            <v>USD</v>
          </cell>
          <cell r="F152">
            <v>71.989999999999995</v>
          </cell>
          <cell r="G152">
            <v>11.99</v>
          </cell>
          <cell r="H152">
            <v>53.99</v>
          </cell>
          <cell r="I152">
            <v>8.99</v>
          </cell>
          <cell r="J152">
            <v>47.99</v>
          </cell>
          <cell r="K152">
            <v>7.99</v>
          </cell>
          <cell r="L152">
            <v>6.0041701417848206</v>
          </cell>
          <cell r="M152">
            <v>1.3337041156840934</v>
          </cell>
          <cell r="N152">
            <v>6.0055617352614012</v>
          </cell>
          <cell r="O152">
            <v>6.0062578222778473</v>
          </cell>
          <cell r="P152">
            <v>0.88876529477196886</v>
          </cell>
          <cell r="Q152" t="str">
            <v>USD</v>
          </cell>
          <cell r="R152">
            <v>71.989999999999995</v>
          </cell>
          <cell r="S152">
            <v>11.99</v>
          </cell>
          <cell r="T152">
            <v>53.99</v>
          </cell>
          <cell r="U152">
            <v>8.99</v>
          </cell>
          <cell r="V152">
            <v>47.99</v>
          </cell>
          <cell r="W152">
            <v>7.99</v>
          </cell>
          <cell r="X152">
            <v>6.0041701417848206</v>
          </cell>
          <cell r="Y152">
            <v>1.3337041156840934</v>
          </cell>
          <cell r="Z152">
            <v>6.0055617352614012</v>
          </cell>
          <cell r="AA152">
            <v>6.0062578222778473</v>
          </cell>
          <cell r="AB152">
            <v>0.88876529477196886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1</v>
          </cell>
          <cell r="AL152">
            <v>71.989999999999995</v>
          </cell>
          <cell r="AM152">
            <v>11.99</v>
          </cell>
          <cell r="AN152">
            <v>53.99</v>
          </cell>
          <cell r="AO152">
            <v>8.99</v>
          </cell>
          <cell r="AP152">
            <v>47.99</v>
          </cell>
          <cell r="AQ152">
            <v>7.99</v>
          </cell>
          <cell r="AS152" t="str">
            <v>MZ</v>
          </cell>
        </row>
        <row r="153">
          <cell r="B153" t="str">
            <v>Myanmar</v>
          </cell>
          <cell r="C153" t="str">
            <v>Asia</v>
          </cell>
          <cell r="E153" t="str">
            <v>MMK</v>
          </cell>
          <cell r="F153">
            <v>129600</v>
          </cell>
          <cell r="G153">
            <v>21600</v>
          </cell>
          <cell r="H153">
            <v>96000</v>
          </cell>
          <cell r="I153">
            <v>16000</v>
          </cell>
          <cell r="J153">
            <v>86400</v>
          </cell>
          <cell r="K153">
            <v>14399.99</v>
          </cell>
          <cell r="L153">
            <v>6</v>
          </cell>
          <cell r="M153">
            <v>1.35</v>
          </cell>
          <cell r="N153">
            <v>6</v>
          </cell>
          <cell r="O153">
            <v>6.0000041666695605</v>
          </cell>
          <cell r="P153">
            <v>0.89999937499999993</v>
          </cell>
          <cell r="Q153" t="str">
            <v>MMK</v>
          </cell>
          <cell r="R153">
            <v>129600</v>
          </cell>
          <cell r="S153">
            <v>21600</v>
          </cell>
          <cell r="T153">
            <v>96000</v>
          </cell>
          <cell r="U153">
            <v>16000</v>
          </cell>
          <cell r="V153">
            <v>86400</v>
          </cell>
          <cell r="W153">
            <v>14399.99</v>
          </cell>
          <cell r="X153">
            <v>6</v>
          </cell>
          <cell r="Y153">
            <v>1.35</v>
          </cell>
          <cell r="Z153">
            <v>6</v>
          </cell>
          <cell r="AA153">
            <v>6.0000041666695605</v>
          </cell>
          <cell r="AB153">
            <v>0.89999937499999993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K153">
            <v>4.7656599999999999E-4</v>
          </cell>
          <cell r="AL153">
            <v>61.762953599999996</v>
          </cell>
          <cell r="AM153">
            <v>10.2938256</v>
          </cell>
          <cell r="AN153">
            <v>45.750335999999997</v>
          </cell>
          <cell r="AO153">
            <v>7.6250559999999998</v>
          </cell>
          <cell r="AP153">
            <v>41.1753024</v>
          </cell>
          <cell r="AQ153">
            <v>6.86254563434</v>
          </cell>
          <cell r="AS153" t="str">
            <v>MM</v>
          </cell>
        </row>
        <row r="154">
          <cell r="B154" t="str">
            <v>Namibia</v>
          </cell>
          <cell r="C154" t="str">
            <v>Africa</v>
          </cell>
          <cell r="E154" t="str">
            <v>NAD</v>
          </cell>
          <cell r="F154">
            <v>851.99</v>
          </cell>
          <cell r="G154">
            <v>141.99</v>
          </cell>
          <cell r="H154">
            <v>629.99</v>
          </cell>
          <cell r="I154">
            <v>104.99</v>
          </cell>
          <cell r="J154">
            <v>563.99</v>
          </cell>
          <cell r="K154">
            <v>93.99</v>
          </cell>
          <cell r="L154">
            <v>6.0003521374744695</v>
          </cell>
          <cell r="M154">
            <v>1.3524145156681591</v>
          </cell>
          <cell r="N154">
            <v>6.0004762358319841</v>
          </cell>
          <cell r="O154">
            <v>6.0005319714863283</v>
          </cell>
          <cell r="P154">
            <v>0.89522811696352034</v>
          </cell>
          <cell r="Q154" t="str">
            <v>NAD</v>
          </cell>
          <cell r="R154">
            <v>851.99</v>
          </cell>
          <cell r="S154">
            <v>141.99</v>
          </cell>
          <cell r="T154">
            <v>629.99</v>
          </cell>
          <cell r="U154">
            <v>104.99</v>
          </cell>
          <cell r="V154">
            <v>563.99</v>
          </cell>
          <cell r="W154">
            <v>93.99</v>
          </cell>
          <cell r="X154">
            <v>6.0003521374744695</v>
          </cell>
          <cell r="Y154">
            <v>1.3524145156681591</v>
          </cell>
          <cell r="Z154">
            <v>6.0004762358319841</v>
          </cell>
          <cell r="AA154">
            <v>6.0005319714863283</v>
          </cell>
          <cell r="AB154">
            <v>0.89522811696352034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5.6777857000000001E-2</v>
          </cell>
          <cell r="AL154">
            <v>48.374166385430001</v>
          </cell>
          <cell r="AM154">
            <v>8.0618879154300007</v>
          </cell>
          <cell r="AN154">
            <v>35.769482131430003</v>
          </cell>
          <cell r="AO154">
            <v>5.9611072064299995</v>
          </cell>
          <cell r="AP154">
            <v>32.02214356943</v>
          </cell>
          <cell r="AQ154">
            <v>5.3365507794299996</v>
          </cell>
          <cell r="AS154" t="str">
            <v>NA</v>
          </cell>
        </row>
        <row r="155">
          <cell r="B155" t="str">
            <v>Nauru</v>
          </cell>
          <cell r="C155" t="str">
            <v>Asia</v>
          </cell>
          <cell r="E155" t="str">
            <v>AUD</v>
          </cell>
          <cell r="F155">
            <v>107.99</v>
          </cell>
          <cell r="G155">
            <v>17.989999999999998</v>
          </cell>
          <cell r="H155">
            <v>77.989999999999995</v>
          </cell>
          <cell r="I155">
            <v>12.99</v>
          </cell>
          <cell r="J155">
            <v>71.989999999999995</v>
          </cell>
          <cell r="K155">
            <v>11.99</v>
          </cell>
          <cell r="L155">
            <v>6.0027793218454697</v>
          </cell>
          <cell r="M155">
            <v>1.3849114703618166</v>
          </cell>
          <cell r="N155">
            <v>6.0038491147036179</v>
          </cell>
          <cell r="O155">
            <v>6.0041701417848206</v>
          </cell>
          <cell r="P155">
            <v>0.92301770592763666</v>
          </cell>
          <cell r="Q155" t="str">
            <v>AUD</v>
          </cell>
          <cell r="R155">
            <v>107.99</v>
          </cell>
          <cell r="S155">
            <v>17.989999999999998</v>
          </cell>
          <cell r="T155">
            <v>77.989999999999995</v>
          </cell>
          <cell r="U155">
            <v>12.99</v>
          </cell>
          <cell r="V155">
            <v>71.989999999999995</v>
          </cell>
          <cell r="W155">
            <v>11.99</v>
          </cell>
          <cell r="X155">
            <v>6.0027793218454697</v>
          </cell>
          <cell r="Y155">
            <v>1.3849114703618166</v>
          </cell>
          <cell r="Z155">
            <v>6.0038491147036179</v>
          </cell>
          <cell r="AA155">
            <v>6.0041701417848206</v>
          </cell>
          <cell r="AB155">
            <v>0.92301770592763666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0.65494996000000005</v>
          </cell>
          <cell r="AL155">
            <v>70.7280461804</v>
          </cell>
          <cell r="AM155">
            <v>11.7825497804</v>
          </cell>
          <cell r="AN155">
            <v>51.079547380400001</v>
          </cell>
          <cell r="AO155">
            <v>8.5077999804000015</v>
          </cell>
          <cell r="AP155">
            <v>47.149847620400003</v>
          </cell>
          <cell r="AQ155">
            <v>7.8528500204000009</v>
          </cell>
          <cell r="AS155" t="str">
            <v>NR</v>
          </cell>
        </row>
        <row r="156">
          <cell r="B156" t="str">
            <v>Nepal</v>
          </cell>
          <cell r="C156" t="str">
            <v>Asia</v>
          </cell>
          <cell r="E156" t="str">
            <v>NPR</v>
          </cell>
          <cell r="F156">
            <v>9719.99</v>
          </cell>
          <cell r="G156">
            <v>1619.99</v>
          </cell>
          <cell r="H156">
            <v>7199.99</v>
          </cell>
          <cell r="I156">
            <v>1199.99</v>
          </cell>
          <cell r="J156">
            <v>6479.99</v>
          </cell>
          <cell r="K156">
            <v>1079.99</v>
          </cell>
          <cell r="L156">
            <v>6.0000308643880516</v>
          </cell>
          <cell r="M156">
            <v>1.3500029166909724</v>
          </cell>
          <cell r="N156">
            <v>6.0000416670138916</v>
          </cell>
          <cell r="O156">
            <v>6.0000462967249693</v>
          </cell>
          <cell r="P156">
            <v>0.89999916665972213</v>
          </cell>
          <cell r="Q156" t="str">
            <v>NPR</v>
          </cell>
          <cell r="R156">
            <v>9719.99</v>
          </cell>
          <cell r="S156">
            <v>1619.99</v>
          </cell>
          <cell r="T156">
            <v>7199.99</v>
          </cell>
          <cell r="U156">
            <v>1199.99</v>
          </cell>
          <cell r="V156">
            <v>6479.99</v>
          </cell>
          <cell r="W156">
            <v>1079.99</v>
          </cell>
          <cell r="X156">
            <v>6.0000308643880516</v>
          </cell>
          <cell r="Y156">
            <v>1.3500029166909724</v>
          </cell>
          <cell r="Z156">
            <v>6.0000416670138916</v>
          </cell>
          <cell r="AA156">
            <v>6.0000462967249693</v>
          </cell>
          <cell r="AB156">
            <v>0.89999916665972213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7.3192505999999996E-3</v>
          </cell>
          <cell r="AL156">
            <v>71.143042639493999</v>
          </cell>
          <cell r="AM156">
            <v>11.857112779493999</v>
          </cell>
          <cell r="AN156">
            <v>52.698531127493993</v>
          </cell>
          <cell r="AO156">
            <v>8.7830275274939993</v>
          </cell>
          <cell r="AP156">
            <v>47.428670695493999</v>
          </cell>
          <cell r="AQ156">
            <v>7.9047174554939996</v>
          </cell>
          <cell r="AS156" t="str">
            <v>NP</v>
          </cell>
        </row>
        <row r="157">
          <cell r="B157" t="str">
            <v>Netherlands</v>
          </cell>
          <cell r="C157" t="str">
            <v>Europe</v>
          </cell>
          <cell r="D157" t="str">
            <v>E~</v>
          </cell>
          <cell r="E157" t="str">
            <v>EUR</v>
          </cell>
          <cell r="F157">
            <v>149.99</v>
          </cell>
          <cell r="G157">
            <v>22.99</v>
          </cell>
          <cell r="H157">
            <v>109.99</v>
          </cell>
          <cell r="I157">
            <v>16.989999999999998</v>
          </cell>
          <cell r="J157">
            <v>94.99</v>
          </cell>
          <cell r="K157">
            <v>14.99</v>
          </cell>
          <cell r="L157">
            <v>6.5241409308394962</v>
          </cell>
          <cell r="M157">
            <v>1.3531489111241908</v>
          </cell>
          <cell r="N157">
            <v>6.4738081224249564</v>
          </cell>
          <cell r="O157">
            <v>6.3368912608405603</v>
          </cell>
          <cell r="P157">
            <v>0.88228369629193648</v>
          </cell>
          <cell r="Q157" t="str">
            <v>EUR</v>
          </cell>
          <cell r="R157">
            <v>149.99</v>
          </cell>
          <cell r="S157">
            <v>22.99</v>
          </cell>
          <cell r="T157">
            <v>109.99</v>
          </cell>
          <cell r="U157">
            <v>16.989999999999998</v>
          </cell>
          <cell r="V157">
            <v>94.99</v>
          </cell>
          <cell r="W157">
            <v>14.99</v>
          </cell>
          <cell r="X157">
            <v>6.5241409308394962</v>
          </cell>
          <cell r="Y157">
            <v>1.3531489111241908</v>
          </cell>
          <cell r="Z157">
            <v>6.4738081224249564</v>
          </cell>
          <cell r="AA157">
            <v>6.3368912608405603</v>
          </cell>
          <cell r="AB157">
            <v>0.88228369629193648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1.1778500000000001</v>
          </cell>
          <cell r="AL157">
            <v>176.66572150000002</v>
          </cell>
          <cell r="AM157">
            <v>27.078771499999998</v>
          </cell>
          <cell r="AN157">
            <v>129.55172150000001</v>
          </cell>
          <cell r="AO157">
            <v>20.011671499999999</v>
          </cell>
          <cell r="AP157">
            <v>111.8839715</v>
          </cell>
          <cell r="AQ157">
            <v>17.6559715</v>
          </cell>
          <cell r="AS157" t="str">
            <v>NL</v>
          </cell>
        </row>
        <row r="158">
          <cell r="B158" t="str">
            <v>Netherlands Antilles</v>
          </cell>
          <cell r="C158" t="str">
            <v>Latin America</v>
          </cell>
          <cell r="E158" t="str">
            <v>ANG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str">
            <v>ANG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  <cell r="AH158" t="e">
            <v>#DIV/0!</v>
          </cell>
          <cell r="AI158" t="e">
            <v>#DIV/0!</v>
          </cell>
          <cell r="AK158">
            <v>0.55865925999999999</v>
          </cell>
          <cell r="AS158" t="str">
            <v>AN</v>
          </cell>
        </row>
        <row r="159">
          <cell r="B159" t="str">
            <v>New Caledonia</v>
          </cell>
          <cell r="C159" t="str">
            <v>Asia</v>
          </cell>
          <cell r="E159" t="str">
            <v>XPF</v>
          </cell>
          <cell r="F159">
            <v>8100</v>
          </cell>
          <cell r="G159">
            <v>1350</v>
          </cell>
          <cell r="H159">
            <v>6000</v>
          </cell>
          <cell r="I159">
            <v>1000</v>
          </cell>
          <cell r="J159">
            <v>5400</v>
          </cell>
          <cell r="K159">
            <v>900</v>
          </cell>
          <cell r="L159">
            <v>6</v>
          </cell>
          <cell r="M159">
            <v>1.35</v>
          </cell>
          <cell r="N159">
            <v>6</v>
          </cell>
          <cell r="O159">
            <v>6</v>
          </cell>
          <cell r="P159">
            <v>0.9</v>
          </cell>
          <cell r="Q159" t="str">
            <v>XPF</v>
          </cell>
          <cell r="R159">
            <v>8100</v>
          </cell>
          <cell r="S159">
            <v>1350</v>
          </cell>
          <cell r="T159">
            <v>6000</v>
          </cell>
          <cell r="U159">
            <v>1000</v>
          </cell>
          <cell r="V159">
            <v>5400</v>
          </cell>
          <cell r="W159">
            <v>900</v>
          </cell>
          <cell r="X159">
            <v>6</v>
          </cell>
          <cell r="Y159">
            <v>1.35</v>
          </cell>
          <cell r="Z159">
            <v>6</v>
          </cell>
          <cell r="AA159">
            <v>6</v>
          </cell>
          <cell r="AB159">
            <v>0.9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9.8703820000000005E-3</v>
          </cell>
          <cell r="AL159">
            <v>79.950094200000009</v>
          </cell>
          <cell r="AM159">
            <v>13.3250157</v>
          </cell>
          <cell r="AN159">
            <v>59.222292000000003</v>
          </cell>
          <cell r="AO159">
            <v>9.8703820000000011</v>
          </cell>
          <cell r="AP159">
            <v>53.300062799999999</v>
          </cell>
          <cell r="AQ159">
            <v>8.8833438000000005</v>
          </cell>
          <cell r="AS159" t="str">
            <v>NC</v>
          </cell>
        </row>
        <row r="160">
          <cell r="B160" t="str">
            <v>New Zealand</v>
          </cell>
          <cell r="C160" t="str">
            <v>Asia</v>
          </cell>
          <cell r="D160" t="str">
            <v>B</v>
          </cell>
          <cell r="E160" t="str">
            <v>NZD</v>
          </cell>
          <cell r="F160">
            <v>219.99</v>
          </cell>
          <cell r="G160">
            <v>33.99</v>
          </cell>
          <cell r="H160">
            <v>159.99</v>
          </cell>
          <cell r="I160">
            <v>24.99</v>
          </cell>
          <cell r="J160">
            <v>144.99</v>
          </cell>
          <cell r="K160">
            <v>21.99</v>
          </cell>
          <cell r="L160">
            <v>6.4721977052074138</v>
          </cell>
          <cell r="M160">
            <v>1.3601440576230495</v>
          </cell>
          <cell r="N160">
            <v>6.4021608643457393</v>
          </cell>
          <cell r="O160">
            <v>6.5934515688949533</v>
          </cell>
          <cell r="P160">
            <v>0.87995198079231696</v>
          </cell>
          <cell r="Q160" t="str">
            <v>NZD</v>
          </cell>
          <cell r="R160">
            <v>219.99</v>
          </cell>
          <cell r="S160">
            <v>33.99</v>
          </cell>
          <cell r="T160">
            <v>159.99</v>
          </cell>
          <cell r="U160">
            <v>24.99</v>
          </cell>
          <cell r="V160">
            <v>144.99</v>
          </cell>
          <cell r="W160">
            <v>21.99</v>
          </cell>
          <cell r="X160">
            <v>6.4721977052074138</v>
          </cell>
          <cell r="Y160">
            <v>1.3601440576230495</v>
          </cell>
          <cell r="Z160">
            <v>6.4021608643457393</v>
          </cell>
          <cell r="AA160">
            <v>6.5934515688949533</v>
          </cell>
          <cell r="AB160">
            <v>0.87995198079231696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0.60535000000000005</v>
          </cell>
          <cell r="AL160">
            <v>133.17094650000001</v>
          </cell>
          <cell r="AM160">
            <v>20.575846500000004</v>
          </cell>
          <cell r="AN160">
            <v>96.849946500000016</v>
          </cell>
          <cell r="AO160">
            <v>15.127696500000001</v>
          </cell>
          <cell r="AP160">
            <v>87.769696500000009</v>
          </cell>
          <cell r="AQ160">
            <v>13.3116465</v>
          </cell>
          <cell r="AS160" t="str">
            <v>NZ</v>
          </cell>
        </row>
        <row r="161">
          <cell r="B161" t="str">
            <v>Nicaragua</v>
          </cell>
          <cell r="C161" t="str">
            <v>Latin America</v>
          </cell>
          <cell r="E161" t="str">
            <v>NIO</v>
          </cell>
          <cell r="F161">
            <v>2993.99</v>
          </cell>
          <cell r="G161">
            <v>498.99</v>
          </cell>
          <cell r="H161">
            <v>2219.9899999999998</v>
          </cell>
          <cell r="I161">
            <v>369.99</v>
          </cell>
          <cell r="J161">
            <v>1997.99</v>
          </cell>
          <cell r="K161">
            <v>332.99</v>
          </cell>
          <cell r="L161">
            <v>6.0001002024088654</v>
          </cell>
          <cell r="M161">
            <v>1.3486580718397794</v>
          </cell>
          <cell r="N161">
            <v>6.0001351387875337</v>
          </cell>
          <cell r="O161">
            <v>6.0001501546592992</v>
          </cell>
          <cell r="P161">
            <v>0.89999729722424926</v>
          </cell>
          <cell r="Q161" t="str">
            <v>NIO</v>
          </cell>
          <cell r="R161">
            <v>2993.99</v>
          </cell>
          <cell r="S161">
            <v>498.99</v>
          </cell>
          <cell r="T161">
            <v>2219.9899999999998</v>
          </cell>
          <cell r="U161">
            <v>369.99</v>
          </cell>
          <cell r="V161">
            <v>1997.99</v>
          </cell>
          <cell r="W161">
            <v>332.99</v>
          </cell>
          <cell r="X161">
            <v>6.0001002024088654</v>
          </cell>
          <cell r="Y161">
            <v>1.3486580718397794</v>
          </cell>
          <cell r="Z161">
            <v>6.0001351387875337</v>
          </cell>
          <cell r="AA161">
            <v>6.0001501546592992</v>
          </cell>
          <cell r="AB161">
            <v>0.89999729722424926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2.7304276999999998E-2</v>
          </cell>
          <cell r="AL161">
            <v>81.748732295229985</v>
          </cell>
          <cell r="AM161">
            <v>13.62456118023</v>
          </cell>
          <cell r="AN161">
            <v>60.615221897229993</v>
          </cell>
          <cell r="AO161">
            <v>10.102309447229999</v>
          </cell>
          <cell r="AP161">
            <v>54.553672403229996</v>
          </cell>
          <cell r="AQ161">
            <v>9.0920511982299992</v>
          </cell>
          <cell r="AS161" t="str">
            <v>NI</v>
          </cell>
        </row>
        <row r="162">
          <cell r="B162" t="str">
            <v>Niger</v>
          </cell>
          <cell r="C162" t="str">
            <v>Africa</v>
          </cell>
          <cell r="E162" t="str">
            <v>XOF</v>
          </cell>
          <cell r="F162">
            <v>43740</v>
          </cell>
          <cell r="G162">
            <v>7290</v>
          </cell>
          <cell r="H162">
            <v>32400</v>
          </cell>
          <cell r="I162">
            <v>5400</v>
          </cell>
          <cell r="J162">
            <v>29160</v>
          </cell>
          <cell r="K162">
            <v>4860</v>
          </cell>
          <cell r="L162">
            <v>6</v>
          </cell>
          <cell r="M162">
            <v>1.35</v>
          </cell>
          <cell r="N162">
            <v>6</v>
          </cell>
          <cell r="O162">
            <v>6</v>
          </cell>
          <cell r="P162">
            <v>0.9</v>
          </cell>
          <cell r="Q162" t="str">
            <v>XOF</v>
          </cell>
          <cell r="R162">
            <v>43740</v>
          </cell>
          <cell r="S162">
            <v>7290</v>
          </cell>
          <cell r="T162">
            <v>32400</v>
          </cell>
          <cell r="U162">
            <v>5400</v>
          </cell>
          <cell r="V162">
            <v>29160</v>
          </cell>
          <cell r="W162">
            <v>4860</v>
          </cell>
          <cell r="X162">
            <v>6</v>
          </cell>
          <cell r="Y162">
            <v>1.35</v>
          </cell>
          <cell r="Z162">
            <v>6</v>
          </cell>
          <cell r="AA162">
            <v>6</v>
          </cell>
          <cell r="AB162">
            <v>0.9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1.7956208E-3</v>
          </cell>
          <cell r="AL162">
            <v>78.540453791999994</v>
          </cell>
          <cell r="AM162">
            <v>13.090075632</v>
          </cell>
          <cell r="AN162">
            <v>58.178113920000001</v>
          </cell>
          <cell r="AO162">
            <v>9.6963523200000008</v>
          </cell>
          <cell r="AP162">
            <v>52.360302527999998</v>
          </cell>
          <cell r="AQ162">
            <v>8.7267170879999991</v>
          </cell>
          <cell r="AS162" t="str">
            <v>NE</v>
          </cell>
        </row>
        <row r="163">
          <cell r="B163" t="str">
            <v>Nigeria</v>
          </cell>
          <cell r="C163" t="str">
            <v>Africa</v>
          </cell>
          <cell r="E163" t="str">
            <v>NGN</v>
          </cell>
          <cell r="F163">
            <v>34900</v>
          </cell>
          <cell r="G163">
            <v>5800</v>
          </cell>
          <cell r="H163">
            <v>25900</v>
          </cell>
          <cell r="I163">
            <v>4300</v>
          </cell>
          <cell r="J163">
            <v>23500</v>
          </cell>
          <cell r="K163">
            <v>3900</v>
          </cell>
          <cell r="L163">
            <v>6.0172413793103452</v>
          </cell>
          <cell r="M163">
            <v>1.3488372093023255</v>
          </cell>
          <cell r="N163">
            <v>6.0232558139534884</v>
          </cell>
          <cell r="O163">
            <v>6.0256410256410255</v>
          </cell>
          <cell r="P163">
            <v>0.90697674418604646</v>
          </cell>
          <cell r="Q163" t="str">
            <v>NGN</v>
          </cell>
          <cell r="R163">
            <v>46900</v>
          </cell>
          <cell r="S163">
            <v>7900</v>
          </cell>
          <cell r="T163">
            <v>34900</v>
          </cell>
          <cell r="U163">
            <v>5900</v>
          </cell>
          <cell r="V163">
            <v>31900</v>
          </cell>
          <cell r="W163">
            <v>5400</v>
          </cell>
          <cell r="X163">
            <v>5.9367088607594933</v>
          </cell>
          <cell r="Y163">
            <v>1.3389830508474576</v>
          </cell>
          <cell r="Z163">
            <v>5.9152542372881358</v>
          </cell>
          <cell r="AA163">
            <v>5.9074074074074074</v>
          </cell>
          <cell r="AB163">
            <v>0.9152542372881356</v>
          </cell>
          <cell r="AD163">
            <v>0.34383954154727792</v>
          </cell>
          <cell r="AE163">
            <v>0.36206896551724133</v>
          </cell>
          <cell r="AF163">
            <v>0.34749034749034746</v>
          </cell>
          <cell r="AG163">
            <v>0.37209302325581395</v>
          </cell>
          <cell r="AH163">
            <v>0.35744680851063837</v>
          </cell>
          <cell r="AI163">
            <v>0.38461538461538458</v>
          </cell>
          <cell r="AK163">
            <v>6.5457022999999999E-4</v>
          </cell>
          <cell r="AL163">
            <v>30.699343787</v>
          </cell>
          <cell r="AM163">
            <v>5.1711048169999998</v>
          </cell>
          <cell r="AN163">
            <v>22.844501027</v>
          </cell>
          <cell r="AO163">
            <v>3.8619643569999997</v>
          </cell>
          <cell r="AP163">
            <v>20.880790337000001</v>
          </cell>
          <cell r="AQ163">
            <v>3.5346792420000002</v>
          </cell>
          <cell r="AS163" t="str">
            <v>NG</v>
          </cell>
        </row>
        <row r="164">
          <cell r="B164" t="str">
            <v>Niue</v>
          </cell>
          <cell r="C164" t="str">
            <v>Asia</v>
          </cell>
          <cell r="E164" t="str">
            <v>NZD</v>
          </cell>
          <cell r="F164">
            <v>203.99</v>
          </cell>
          <cell r="G164">
            <v>33.99</v>
          </cell>
          <cell r="H164">
            <v>149.99</v>
          </cell>
          <cell r="I164">
            <v>24.99</v>
          </cell>
          <cell r="J164">
            <v>144.99</v>
          </cell>
          <cell r="K164">
            <v>21.99</v>
          </cell>
          <cell r="L164">
            <v>6.0014710208884967</v>
          </cell>
          <cell r="M164">
            <v>1.3601440576230495</v>
          </cell>
          <cell r="N164">
            <v>6.0020008003201291</v>
          </cell>
          <cell r="O164">
            <v>6.5934515688949533</v>
          </cell>
          <cell r="P164">
            <v>0.87995198079231696</v>
          </cell>
          <cell r="Q164" t="str">
            <v>NZD</v>
          </cell>
          <cell r="R164">
            <v>203.99</v>
          </cell>
          <cell r="S164">
            <v>33.99</v>
          </cell>
          <cell r="T164">
            <v>149.99</v>
          </cell>
          <cell r="U164">
            <v>24.99</v>
          </cell>
          <cell r="V164">
            <v>144.99</v>
          </cell>
          <cell r="W164">
            <v>21.99</v>
          </cell>
          <cell r="X164">
            <v>6.0014710208884967</v>
          </cell>
          <cell r="Y164">
            <v>1.3601440576230495</v>
          </cell>
          <cell r="Z164">
            <v>6.0020008003201291</v>
          </cell>
          <cell r="AA164">
            <v>6.5934515688949533</v>
          </cell>
          <cell r="AB164">
            <v>0.87995198079231696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0.60535000000000005</v>
          </cell>
          <cell r="AL164">
            <v>123.48534650000002</v>
          </cell>
          <cell r="AM164">
            <v>20.575846500000004</v>
          </cell>
          <cell r="AN164">
            <v>90.796446500000016</v>
          </cell>
          <cell r="AO164">
            <v>15.127696500000001</v>
          </cell>
          <cell r="AP164">
            <v>87.769696500000009</v>
          </cell>
          <cell r="AQ164">
            <v>13.3116465</v>
          </cell>
          <cell r="AS164" t="str">
            <v>NU</v>
          </cell>
        </row>
        <row r="165">
          <cell r="B165" t="str">
            <v>Norfolk Island</v>
          </cell>
          <cell r="C165" t="str">
            <v>Asia</v>
          </cell>
          <cell r="E165" t="str">
            <v>AUD</v>
          </cell>
          <cell r="F165">
            <v>161.99</v>
          </cell>
          <cell r="G165">
            <v>26.99</v>
          </cell>
          <cell r="H165">
            <v>119.99</v>
          </cell>
          <cell r="I165">
            <v>19.989999999999998</v>
          </cell>
          <cell r="J165">
            <v>107.99</v>
          </cell>
          <cell r="K165">
            <v>17.989999999999998</v>
          </cell>
          <cell r="L165">
            <v>6.0018525379770296</v>
          </cell>
          <cell r="M165">
            <v>1.3501750875437719</v>
          </cell>
          <cell r="N165">
            <v>6.002501250625313</v>
          </cell>
          <cell r="O165">
            <v>6.0027793218454697</v>
          </cell>
          <cell r="P165">
            <v>0.89994997498749374</v>
          </cell>
          <cell r="Q165" t="str">
            <v>AUD</v>
          </cell>
          <cell r="R165">
            <v>161.99</v>
          </cell>
          <cell r="S165">
            <v>26.99</v>
          </cell>
          <cell r="T165">
            <v>119.99</v>
          </cell>
          <cell r="U165">
            <v>19.989999999999998</v>
          </cell>
          <cell r="V165">
            <v>107.99</v>
          </cell>
          <cell r="W165">
            <v>17.989999999999998</v>
          </cell>
          <cell r="X165">
            <v>6.0018525379770296</v>
          </cell>
          <cell r="Y165">
            <v>1.3501750875437719</v>
          </cell>
          <cell r="Z165">
            <v>6.002501250625313</v>
          </cell>
          <cell r="AA165">
            <v>6.0027793218454697</v>
          </cell>
          <cell r="AB165">
            <v>0.89994997498749374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0.65494996000000005</v>
          </cell>
          <cell r="AL165">
            <v>106.09534402040002</v>
          </cell>
          <cell r="AM165">
            <v>17.677099420400001</v>
          </cell>
          <cell r="AN165">
            <v>78.587445700399996</v>
          </cell>
          <cell r="AO165">
            <v>13.0924497004</v>
          </cell>
          <cell r="AP165">
            <v>70.7280461804</v>
          </cell>
          <cell r="AQ165">
            <v>11.7825497804</v>
          </cell>
          <cell r="AS165" t="str">
            <v>NF</v>
          </cell>
        </row>
        <row r="166">
          <cell r="B166" t="str">
            <v>Northern Mariana Islands</v>
          </cell>
          <cell r="C166" t="str">
            <v>Asia</v>
          </cell>
          <cell r="E166" t="str">
            <v>USD</v>
          </cell>
          <cell r="F166">
            <v>129.99</v>
          </cell>
          <cell r="G166">
            <v>18.989999999999998</v>
          </cell>
          <cell r="H166">
            <v>83.99</v>
          </cell>
          <cell r="I166">
            <v>13.99</v>
          </cell>
          <cell r="J166">
            <v>77.989999999999995</v>
          </cell>
          <cell r="K166">
            <v>12.99</v>
          </cell>
          <cell r="L166">
            <v>6.8451816745655618</v>
          </cell>
          <cell r="M166">
            <v>1.3573981415296639</v>
          </cell>
          <cell r="N166">
            <v>6.003573981415296</v>
          </cell>
          <cell r="O166">
            <v>6.0038491147036179</v>
          </cell>
          <cell r="P166">
            <v>0.9285203716940672</v>
          </cell>
          <cell r="Q166" t="str">
            <v>USD</v>
          </cell>
          <cell r="R166">
            <v>129.99</v>
          </cell>
          <cell r="S166">
            <v>18.989999999999998</v>
          </cell>
          <cell r="T166">
            <v>83.99</v>
          </cell>
          <cell r="U166">
            <v>13.99</v>
          </cell>
          <cell r="V166">
            <v>77.989999999999995</v>
          </cell>
          <cell r="W166">
            <v>12.99</v>
          </cell>
          <cell r="X166">
            <v>6.8451816745655618</v>
          </cell>
          <cell r="Y166">
            <v>1.3573981415296639</v>
          </cell>
          <cell r="Z166">
            <v>6.003573981415296</v>
          </cell>
          <cell r="AA166">
            <v>6.0038491147036179</v>
          </cell>
          <cell r="AB166">
            <v>0.9285203716940672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1</v>
          </cell>
          <cell r="AL166">
            <v>129.99</v>
          </cell>
          <cell r="AM166">
            <v>18.989999999999998</v>
          </cell>
          <cell r="AN166">
            <v>83.99</v>
          </cell>
          <cell r="AO166">
            <v>13.99</v>
          </cell>
          <cell r="AP166">
            <v>77.989999999999995</v>
          </cell>
          <cell r="AQ166">
            <v>12.99</v>
          </cell>
          <cell r="AS166" t="str">
            <v>MP</v>
          </cell>
        </row>
        <row r="167">
          <cell r="B167" t="str">
            <v>North Korea</v>
          </cell>
          <cell r="C167" t="str">
            <v>Asia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AK167" t="str">
            <v>#Calc</v>
          </cell>
        </row>
        <row r="168">
          <cell r="B168" t="str">
            <v>Norway</v>
          </cell>
          <cell r="C168" t="str">
            <v>Europe</v>
          </cell>
          <cell r="E168" t="str">
            <v>NOK</v>
          </cell>
          <cell r="F168">
            <v>1399.99</v>
          </cell>
          <cell r="G168">
            <v>209.99</v>
          </cell>
          <cell r="H168">
            <v>999.99</v>
          </cell>
          <cell r="I168">
            <v>149.99</v>
          </cell>
          <cell r="J168">
            <v>979.99</v>
          </cell>
          <cell r="K168">
            <v>139.99</v>
          </cell>
          <cell r="L168">
            <v>6.6669365207867042</v>
          </cell>
          <cell r="M168">
            <v>1.400026668444563</v>
          </cell>
          <cell r="N168">
            <v>6.6670444696313087</v>
          </cell>
          <cell r="O168">
            <v>7.0004286020430024</v>
          </cell>
          <cell r="P168">
            <v>0.93332888859257279</v>
          </cell>
          <cell r="Q168" t="str">
            <v>NOK</v>
          </cell>
          <cell r="R168">
            <v>1399.99</v>
          </cell>
          <cell r="S168">
            <v>209.99</v>
          </cell>
          <cell r="T168">
            <v>999.99</v>
          </cell>
          <cell r="U168">
            <v>149.99</v>
          </cell>
          <cell r="V168">
            <v>979.99</v>
          </cell>
          <cell r="W168">
            <v>139.99</v>
          </cell>
          <cell r="X168">
            <v>6.6669365207867042</v>
          </cell>
          <cell r="Y168">
            <v>1.400026668444563</v>
          </cell>
          <cell r="Z168">
            <v>6.6670444696313087</v>
          </cell>
          <cell r="AA168">
            <v>7.0004286020430024</v>
          </cell>
          <cell r="AB168">
            <v>0.93332888859257279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9.931719E-2</v>
          </cell>
          <cell r="AL168">
            <v>139.04307282810001</v>
          </cell>
          <cell r="AM168">
            <v>20.855616728099999</v>
          </cell>
          <cell r="AN168">
            <v>99.316196828100004</v>
          </cell>
          <cell r="AO168">
            <v>14.8965853281</v>
          </cell>
          <cell r="AP168">
            <v>97.329853028100004</v>
          </cell>
          <cell r="AQ168">
            <v>13.9034134281</v>
          </cell>
          <cell r="AS168" t="str">
            <v>NO</v>
          </cell>
        </row>
        <row r="169">
          <cell r="B169" t="str">
            <v>Oman</v>
          </cell>
          <cell r="C169" t="str">
            <v>Middle East</v>
          </cell>
          <cell r="E169" t="str">
            <v>OMR</v>
          </cell>
          <cell r="F169">
            <v>29.998999999999999</v>
          </cell>
          <cell r="G169">
            <v>4.9989999999999997</v>
          </cell>
          <cell r="H169">
            <v>23.998999999999999</v>
          </cell>
          <cell r="I169">
            <v>3.9990000000000001</v>
          </cell>
          <cell r="J169">
            <v>17.998999999999999</v>
          </cell>
          <cell r="K169">
            <v>2.9990000000000001</v>
          </cell>
          <cell r="L169">
            <v>6.001000200040008</v>
          </cell>
          <cell r="M169">
            <v>1.2500625156289071</v>
          </cell>
          <cell r="N169">
            <v>6.0012503125781445</v>
          </cell>
          <cell r="O169">
            <v>6.0016672224074687</v>
          </cell>
          <cell r="P169">
            <v>0.74993748437109276</v>
          </cell>
          <cell r="Q169" t="str">
            <v>OMR</v>
          </cell>
          <cell r="R169">
            <v>29.998999999999999</v>
          </cell>
          <cell r="S169">
            <v>4.9989999999999997</v>
          </cell>
          <cell r="T169">
            <v>23.998999999999999</v>
          </cell>
          <cell r="U169">
            <v>3.9990000000000001</v>
          </cell>
          <cell r="V169">
            <v>17.998999999999999</v>
          </cell>
          <cell r="W169">
            <v>2.9990000000000001</v>
          </cell>
          <cell r="X169">
            <v>6.001000200040008</v>
          </cell>
          <cell r="Y169">
            <v>1.2500625156289071</v>
          </cell>
          <cell r="Z169">
            <v>6.0012503125781445</v>
          </cell>
          <cell r="AA169">
            <v>6.0016672224074687</v>
          </cell>
          <cell r="AB169">
            <v>0.74993748437109276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2.5970651999999999</v>
          </cell>
          <cell r="AL169">
            <v>77.909358934799997</v>
          </cell>
          <cell r="AM169">
            <v>12.982728934799999</v>
          </cell>
          <cell r="AN169">
            <v>62.326967734799993</v>
          </cell>
          <cell r="AO169">
            <v>10.3856637348</v>
          </cell>
          <cell r="AP169">
            <v>46.744576534799997</v>
          </cell>
          <cell r="AQ169">
            <v>7.7885985348000002</v>
          </cell>
          <cell r="AS169" t="str">
            <v>OM</v>
          </cell>
        </row>
        <row r="170">
          <cell r="B170" t="str">
            <v>Pakistan</v>
          </cell>
          <cell r="C170" t="str">
            <v>Asia</v>
          </cell>
          <cell r="E170" t="str">
            <v>PKR</v>
          </cell>
          <cell r="F170">
            <v>12180</v>
          </cell>
          <cell r="G170">
            <v>2030</v>
          </cell>
          <cell r="H170">
            <v>9000</v>
          </cell>
          <cell r="I170">
            <v>1500</v>
          </cell>
          <cell r="J170">
            <v>8100</v>
          </cell>
          <cell r="K170">
            <v>1350</v>
          </cell>
          <cell r="L170">
            <v>6</v>
          </cell>
          <cell r="M170">
            <v>1.3533333333333333</v>
          </cell>
          <cell r="N170">
            <v>6</v>
          </cell>
          <cell r="O170">
            <v>6</v>
          </cell>
          <cell r="P170">
            <v>0.9</v>
          </cell>
          <cell r="Q170" t="str">
            <v>PKR</v>
          </cell>
          <cell r="R170">
            <v>12180</v>
          </cell>
          <cell r="S170">
            <v>2030</v>
          </cell>
          <cell r="T170">
            <v>9000</v>
          </cell>
          <cell r="U170">
            <v>1500</v>
          </cell>
          <cell r="V170">
            <v>8100</v>
          </cell>
          <cell r="W170">
            <v>1350</v>
          </cell>
          <cell r="X170">
            <v>6</v>
          </cell>
          <cell r="Y170">
            <v>1.3533333333333333</v>
          </cell>
          <cell r="Z170">
            <v>6</v>
          </cell>
          <cell r="AA170">
            <v>6</v>
          </cell>
          <cell r="AB170">
            <v>0.9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3.5226773000000002E-3</v>
          </cell>
          <cell r="AL170">
            <v>42.906209514000004</v>
          </cell>
          <cell r="AM170">
            <v>7.1510349190000007</v>
          </cell>
          <cell r="AN170">
            <v>31.704095700000003</v>
          </cell>
          <cell r="AO170">
            <v>5.2840159500000006</v>
          </cell>
          <cell r="AP170">
            <v>28.533686130000003</v>
          </cell>
          <cell r="AQ170">
            <v>4.7556143550000005</v>
          </cell>
          <cell r="AS170" t="str">
            <v>PK</v>
          </cell>
        </row>
        <row r="171">
          <cell r="B171" t="str">
            <v>Palau</v>
          </cell>
          <cell r="C171" t="str">
            <v>Asia</v>
          </cell>
          <cell r="E171" t="str">
            <v>USD</v>
          </cell>
          <cell r="F171">
            <v>129.99</v>
          </cell>
          <cell r="G171">
            <v>18.989999999999998</v>
          </cell>
          <cell r="H171">
            <v>83.99</v>
          </cell>
          <cell r="I171">
            <v>13.99</v>
          </cell>
          <cell r="J171">
            <v>77.989999999999995</v>
          </cell>
          <cell r="K171">
            <v>12.99</v>
          </cell>
          <cell r="L171">
            <v>6.8451816745655618</v>
          </cell>
          <cell r="M171">
            <v>1.3573981415296639</v>
          </cell>
          <cell r="N171">
            <v>6.003573981415296</v>
          </cell>
          <cell r="O171">
            <v>6.0038491147036179</v>
          </cell>
          <cell r="P171">
            <v>0.9285203716940672</v>
          </cell>
          <cell r="Q171" t="str">
            <v>USD</v>
          </cell>
          <cell r="R171">
            <v>129.99</v>
          </cell>
          <cell r="S171">
            <v>18.989999999999998</v>
          </cell>
          <cell r="T171">
            <v>83.99</v>
          </cell>
          <cell r="U171">
            <v>13.99</v>
          </cell>
          <cell r="V171">
            <v>77.989999999999995</v>
          </cell>
          <cell r="W171">
            <v>12.99</v>
          </cell>
          <cell r="X171">
            <v>6.8451816745655618</v>
          </cell>
          <cell r="Y171">
            <v>1.3573981415296639</v>
          </cell>
          <cell r="Z171">
            <v>6.003573981415296</v>
          </cell>
          <cell r="AA171">
            <v>6.0038491147036179</v>
          </cell>
          <cell r="AB171">
            <v>0.9285203716940672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1</v>
          </cell>
          <cell r="AL171">
            <v>129.99</v>
          </cell>
          <cell r="AM171">
            <v>18.989999999999998</v>
          </cell>
          <cell r="AN171">
            <v>83.99</v>
          </cell>
          <cell r="AO171">
            <v>13.99</v>
          </cell>
          <cell r="AP171">
            <v>77.989999999999995</v>
          </cell>
          <cell r="AQ171">
            <v>12.99</v>
          </cell>
          <cell r="AS171" t="str">
            <v>PW</v>
          </cell>
        </row>
        <row r="172">
          <cell r="B172" t="str">
            <v>Palestinian Territory</v>
          </cell>
          <cell r="C172" t="str">
            <v>Middle East</v>
          </cell>
          <cell r="E172" t="str">
            <v>ILS</v>
          </cell>
          <cell r="F172">
            <v>239.99</v>
          </cell>
          <cell r="G172">
            <v>39.99</v>
          </cell>
          <cell r="H172">
            <v>179.99</v>
          </cell>
          <cell r="I172">
            <v>29.99</v>
          </cell>
          <cell r="J172">
            <v>159.99</v>
          </cell>
          <cell r="K172">
            <v>26.99</v>
          </cell>
          <cell r="L172">
            <v>6.0012503125781445</v>
          </cell>
          <cell r="M172">
            <v>1.3334444814938313</v>
          </cell>
          <cell r="N172">
            <v>6.0016672224074696</v>
          </cell>
          <cell r="O172">
            <v>5.9277510188958882</v>
          </cell>
          <cell r="P172">
            <v>0.89996665555185063</v>
          </cell>
          <cell r="Q172" t="str">
            <v>ILS</v>
          </cell>
          <cell r="R172">
            <v>239.99</v>
          </cell>
          <cell r="S172">
            <v>39.99</v>
          </cell>
          <cell r="T172">
            <v>179.99</v>
          </cell>
          <cell r="U172">
            <v>29.99</v>
          </cell>
          <cell r="V172">
            <v>159.99</v>
          </cell>
          <cell r="W172">
            <v>26.99</v>
          </cell>
          <cell r="X172">
            <v>6.0012503125781445</v>
          </cell>
          <cell r="Y172">
            <v>1.3334444814938313</v>
          </cell>
          <cell r="Z172">
            <v>6.0016672224074696</v>
          </cell>
          <cell r="AA172">
            <v>5.9277510188958882</v>
          </cell>
          <cell r="AB172">
            <v>0.89996665555185063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0.29859212000000002</v>
          </cell>
          <cell r="AL172">
            <v>71.659122878800005</v>
          </cell>
          <cell r="AM172">
            <v>11.940698878800001</v>
          </cell>
          <cell r="AN172">
            <v>53.743595678800006</v>
          </cell>
          <cell r="AO172">
            <v>8.9547776787999993</v>
          </cell>
          <cell r="AP172">
            <v>47.771753278800006</v>
          </cell>
          <cell r="AQ172">
            <v>8.0590013188</v>
          </cell>
          <cell r="AS172" t="str">
            <v>PS</v>
          </cell>
        </row>
        <row r="173">
          <cell r="B173" t="str">
            <v>Panama</v>
          </cell>
          <cell r="C173" t="str">
            <v>Latin America</v>
          </cell>
          <cell r="E173" t="str">
            <v>USD</v>
          </cell>
          <cell r="F173">
            <v>113.99</v>
          </cell>
          <cell r="G173">
            <v>18.989999999999998</v>
          </cell>
          <cell r="H173">
            <v>83.99</v>
          </cell>
          <cell r="I173">
            <v>13.99</v>
          </cell>
          <cell r="J173">
            <v>77.989999999999995</v>
          </cell>
          <cell r="K173">
            <v>12.99</v>
          </cell>
          <cell r="L173">
            <v>6.0026329647182726</v>
          </cell>
          <cell r="M173">
            <v>1.3573981415296639</v>
          </cell>
          <cell r="N173">
            <v>6.003573981415296</v>
          </cell>
          <cell r="O173">
            <v>6.0038491147036179</v>
          </cell>
          <cell r="P173">
            <v>0.9285203716940672</v>
          </cell>
          <cell r="Q173" t="str">
            <v>USD</v>
          </cell>
          <cell r="R173">
            <v>113.99</v>
          </cell>
          <cell r="S173">
            <v>18.989999999999998</v>
          </cell>
          <cell r="T173">
            <v>83.99</v>
          </cell>
          <cell r="U173">
            <v>13.99</v>
          </cell>
          <cell r="V173">
            <v>77.989999999999995</v>
          </cell>
          <cell r="W173">
            <v>12.99</v>
          </cell>
          <cell r="X173">
            <v>6.0026329647182726</v>
          </cell>
          <cell r="Y173">
            <v>1.3573981415296639</v>
          </cell>
          <cell r="Z173">
            <v>6.003573981415296</v>
          </cell>
          <cell r="AA173">
            <v>6.0038491147036179</v>
          </cell>
          <cell r="AB173">
            <v>0.9285203716940672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1</v>
          </cell>
          <cell r="AL173">
            <v>113.99</v>
          </cell>
          <cell r="AM173">
            <v>18.989999999999998</v>
          </cell>
          <cell r="AN173">
            <v>83.99</v>
          </cell>
          <cell r="AO173">
            <v>13.99</v>
          </cell>
          <cell r="AP173">
            <v>77.989999999999995</v>
          </cell>
          <cell r="AQ173">
            <v>12.99</v>
          </cell>
          <cell r="AS173" t="str">
            <v>PA</v>
          </cell>
        </row>
        <row r="174">
          <cell r="B174" t="str">
            <v>Papua New Guinea</v>
          </cell>
          <cell r="C174" t="str">
            <v>Asia</v>
          </cell>
          <cell r="E174" t="str">
            <v>PGK</v>
          </cell>
          <cell r="F174">
            <v>239.99</v>
          </cell>
          <cell r="G174">
            <v>39.99</v>
          </cell>
          <cell r="H174">
            <v>179.99</v>
          </cell>
          <cell r="I174">
            <v>29.99</v>
          </cell>
          <cell r="J174">
            <v>161.99</v>
          </cell>
          <cell r="K174">
            <v>26.99</v>
          </cell>
          <cell r="L174">
            <v>6.0012503125781445</v>
          </cell>
          <cell r="M174">
            <v>1.3334444814938313</v>
          </cell>
          <cell r="N174">
            <v>6.0016672224074696</v>
          </cell>
          <cell r="O174">
            <v>6.0018525379770296</v>
          </cell>
          <cell r="P174">
            <v>0.89996665555185063</v>
          </cell>
          <cell r="Q174" t="str">
            <v>PGK</v>
          </cell>
          <cell r="R174">
            <v>239.99</v>
          </cell>
          <cell r="S174">
            <v>39.99</v>
          </cell>
          <cell r="T174">
            <v>179.99</v>
          </cell>
          <cell r="U174">
            <v>29.99</v>
          </cell>
          <cell r="V174">
            <v>161.99</v>
          </cell>
          <cell r="W174">
            <v>26.99</v>
          </cell>
          <cell r="X174">
            <v>6.0012503125781445</v>
          </cell>
          <cell r="Y174">
            <v>1.3334444814938313</v>
          </cell>
          <cell r="Z174">
            <v>6.0016672224074696</v>
          </cell>
          <cell r="AA174">
            <v>6.0018525379770296</v>
          </cell>
          <cell r="AB174">
            <v>0.89996665555185063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0.24210145</v>
          </cell>
          <cell r="AL174">
            <v>58.1019269855</v>
          </cell>
          <cell r="AM174">
            <v>9.6816369855000008</v>
          </cell>
          <cell r="AN174">
            <v>43.575839985500004</v>
          </cell>
          <cell r="AO174">
            <v>7.2606224854999999</v>
          </cell>
          <cell r="AP174">
            <v>39.2180138855</v>
          </cell>
          <cell r="AQ174">
            <v>6.5343181354999995</v>
          </cell>
          <cell r="AS174" t="str">
            <v>PG</v>
          </cell>
        </row>
        <row r="175">
          <cell r="B175" t="str">
            <v>Paraguay</v>
          </cell>
          <cell r="C175" t="str">
            <v>Latin America</v>
          </cell>
          <cell r="E175" t="str">
            <v>PYG</v>
          </cell>
          <cell r="F175">
            <v>557280</v>
          </cell>
          <cell r="G175">
            <v>92880</v>
          </cell>
          <cell r="H175">
            <v>412800</v>
          </cell>
          <cell r="I175">
            <v>68800</v>
          </cell>
          <cell r="J175">
            <v>371520</v>
          </cell>
          <cell r="K175">
            <v>61920</v>
          </cell>
          <cell r="L175">
            <v>6</v>
          </cell>
          <cell r="M175">
            <v>1.35</v>
          </cell>
          <cell r="N175">
            <v>6</v>
          </cell>
          <cell r="O175">
            <v>6</v>
          </cell>
          <cell r="P175">
            <v>0.9</v>
          </cell>
          <cell r="Q175" t="str">
            <v>PYG</v>
          </cell>
          <cell r="R175">
            <v>557280</v>
          </cell>
          <cell r="S175">
            <v>92880</v>
          </cell>
          <cell r="T175">
            <v>412800</v>
          </cell>
          <cell r="U175">
            <v>68800</v>
          </cell>
          <cell r="V175">
            <v>371520</v>
          </cell>
          <cell r="W175">
            <v>61920</v>
          </cell>
          <cell r="X175">
            <v>6</v>
          </cell>
          <cell r="Y175">
            <v>1.35</v>
          </cell>
          <cell r="Z175">
            <v>6</v>
          </cell>
          <cell r="AA175">
            <v>6</v>
          </cell>
          <cell r="AB175">
            <v>0.9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1.2924071000000001E-4</v>
          </cell>
          <cell r="AL175">
            <v>72.023262868800003</v>
          </cell>
          <cell r="AM175">
            <v>12.003877144800001</v>
          </cell>
          <cell r="AN175">
            <v>53.350565088000003</v>
          </cell>
          <cell r="AO175">
            <v>8.8917608480000005</v>
          </cell>
          <cell r="AP175">
            <v>48.015508579200002</v>
          </cell>
          <cell r="AQ175">
            <v>8.0025847632000016</v>
          </cell>
          <cell r="AS175" t="str">
            <v>PY</v>
          </cell>
        </row>
        <row r="176">
          <cell r="B176" t="str">
            <v>Peru</v>
          </cell>
          <cell r="C176" t="str">
            <v>Latin America</v>
          </cell>
          <cell r="E176" t="str">
            <v>PEN</v>
          </cell>
          <cell r="F176">
            <v>377.99</v>
          </cell>
          <cell r="G176">
            <v>62.99</v>
          </cell>
          <cell r="H176">
            <v>281.99</v>
          </cell>
          <cell r="I176">
            <v>46.99</v>
          </cell>
          <cell r="J176">
            <v>251.99</v>
          </cell>
          <cell r="K176">
            <v>41.99</v>
          </cell>
          <cell r="L176">
            <v>6.0007937767899664</v>
          </cell>
          <cell r="M176">
            <v>1.3404979782932538</v>
          </cell>
          <cell r="N176">
            <v>6.001064056182166</v>
          </cell>
          <cell r="O176">
            <v>6.0011907597046914</v>
          </cell>
          <cell r="P176">
            <v>0.89359438178335815</v>
          </cell>
          <cell r="Q176" t="str">
            <v>PEN</v>
          </cell>
          <cell r="R176">
            <v>377.99</v>
          </cell>
          <cell r="S176">
            <v>62.99</v>
          </cell>
          <cell r="T176">
            <v>281.99</v>
          </cell>
          <cell r="U176">
            <v>46.99</v>
          </cell>
          <cell r="V176">
            <v>251.99</v>
          </cell>
          <cell r="W176">
            <v>41.99</v>
          </cell>
          <cell r="X176">
            <v>6.0007937767899664</v>
          </cell>
          <cell r="Y176">
            <v>1.3404979782932538</v>
          </cell>
          <cell r="Z176">
            <v>6.001064056182166</v>
          </cell>
          <cell r="AA176">
            <v>6.0011907597046914</v>
          </cell>
          <cell r="AB176">
            <v>0.89359438178335815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0.28208745000000002</v>
          </cell>
          <cell r="AL176">
            <v>106.62623522550001</v>
          </cell>
          <cell r="AM176">
            <v>17.768688475500003</v>
          </cell>
          <cell r="AN176">
            <v>79.545840025500013</v>
          </cell>
          <cell r="AO176">
            <v>13.255289275500001</v>
          </cell>
          <cell r="AP176">
            <v>71.083216525500006</v>
          </cell>
          <cell r="AQ176">
            <v>11.844852025500002</v>
          </cell>
          <cell r="AS176" t="str">
            <v>PE</v>
          </cell>
        </row>
        <row r="177">
          <cell r="B177" t="str">
            <v>Philippines</v>
          </cell>
          <cell r="C177" t="str">
            <v>Asia</v>
          </cell>
          <cell r="D177" t="str">
            <v>C</v>
          </cell>
          <cell r="E177" t="str">
            <v>PHP</v>
          </cell>
          <cell r="F177">
            <v>4499</v>
          </cell>
          <cell r="G177">
            <v>749</v>
          </cell>
          <cell r="H177">
            <v>3499</v>
          </cell>
          <cell r="I177">
            <v>499</v>
          </cell>
          <cell r="J177">
            <v>2899</v>
          </cell>
          <cell r="K177">
            <v>449</v>
          </cell>
          <cell r="L177">
            <v>6.0066755674232306</v>
          </cell>
          <cell r="M177">
            <v>1.5010020040080161</v>
          </cell>
          <cell r="N177">
            <v>7.0120240480961922</v>
          </cell>
          <cell r="O177">
            <v>6.4565701559020043</v>
          </cell>
          <cell r="P177">
            <v>0.8997995991983968</v>
          </cell>
          <cell r="Q177" t="str">
            <v>PHP</v>
          </cell>
          <cell r="R177">
            <v>5039</v>
          </cell>
          <cell r="S177">
            <v>839</v>
          </cell>
          <cell r="T177">
            <v>3919</v>
          </cell>
          <cell r="U177">
            <v>559</v>
          </cell>
          <cell r="V177">
            <v>3249</v>
          </cell>
          <cell r="W177">
            <v>499</v>
          </cell>
          <cell r="X177">
            <v>6.0059594755661498</v>
          </cell>
          <cell r="Y177">
            <v>1.5008944543828264</v>
          </cell>
          <cell r="Z177">
            <v>7.010733452593918</v>
          </cell>
          <cell r="AA177">
            <v>6.5110220440881763</v>
          </cell>
          <cell r="AB177">
            <v>0.89266547406082286</v>
          </cell>
          <cell r="AD177">
            <v>0.12002667259390987</v>
          </cell>
          <cell r="AE177">
            <v>0.12016021361815765</v>
          </cell>
          <cell r="AF177">
            <v>0.12003429551300382</v>
          </cell>
          <cell r="AG177">
            <v>0.12024048096192375</v>
          </cell>
          <cell r="AH177">
            <v>0.1207312866505692</v>
          </cell>
          <cell r="AI177">
            <v>0.11135857461024501</v>
          </cell>
          <cell r="AK177">
            <v>1.7728925E-2</v>
          </cell>
          <cell r="AL177">
            <v>89.336053074999995</v>
          </cell>
          <cell r="AM177">
            <v>14.874568074999999</v>
          </cell>
          <cell r="AN177">
            <v>69.479657074999992</v>
          </cell>
          <cell r="AO177">
            <v>9.910469075</v>
          </cell>
          <cell r="AP177">
            <v>57.601277324999998</v>
          </cell>
          <cell r="AQ177">
            <v>8.846733575</v>
          </cell>
          <cell r="AS177" t="str">
            <v>PH</v>
          </cell>
        </row>
        <row r="178">
          <cell r="B178" t="str">
            <v>Pitcairn Island</v>
          </cell>
          <cell r="C178" t="str">
            <v>Asia</v>
          </cell>
          <cell r="E178" t="str">
            <v>NZD</v>
          </cell>
          <cell r="F178">
            <v>113.99</v>
          </cell>
          <cell r="G178">
            <v>18.989999999999998</v>
          </cell>
          <cell r="H178">
            <v>83.99</v>
          </cell>
          <cell r="I178">
            <v>13.99</v>
          </cell>
          <cell r="J178">
            <v>77.989999999999995</v>
          </cell>
          <cell r="K178">
            <v>12.99</v>
          </cell>
          <cell r="L178">
            <v>6.0026329647182726</v>
          </cell>
          <cell r="M178">
            <v>1.3573981415296639</v>
          </cell>
          <cell r="N178">
            <v>6.003573981415296</v>
          </cell>
          <cell r="O178">
            <v>6.0038491147036179</v>
          </cell>
          <cell r="P178">
            <v>0.9285203716940672</v>
          </cell>
          <cell r="Q178" t="str">
            <v>NZD</v>
          </cell>
          <cell r="R178">
            <v>113.99</v>
          </cell>
          <cell r="S178">
            <v>18.989999999999998</v>
          </cell>
          <cell r="T178">
            <v>83.99</v>
          </cell>
          <cell r="U178">
            <v>13.99</v>
          </cell>
          <cell r="V178">
            <v>77.989999999999995</v>
          </cell>
          <cell r="W178">
            <v>12.99</v>
          </cell>
          <cell r="X178">
            <v>6.0026329647182726</v>
          </cell>
          <cell r="Y178">
            <v>1.3573981415296639</v>
          </cell>
          <cell r="Z178">
            <v>6.003573981415296</v>
          </cell>
          <cell r="AA178">
            <v>6.0038491147036179</v>
          </cell>
          <cell r="AB178">
            <v>0.9285203716940672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0.60535000000000005</v>
          </cell>
          <cell r="AL178">
            <v>69.003846500000009</v>
          </cell>
          <cell r="AM178">
            <v>11.4955965</v>
          </cell>
          <cell r="AN178">
            <v>50.843346500000003</v>
          </cell>
          <cell r="AO178">
            <v>8.4688465000000015</v>
          </cell>
          <cell r="AP178">
            <v>47.211246500000001</v>
          </cell>
          <cell r="AQ178">
            <v>7.863496500000001</v>
          </cell>
          <cell r="AS178" t="str">
            <v>PN</v>
          </cell>
        </row>
        <row r="179">
          <cell r="B179" t="str">
            <v>Poland</v>
          </cell>
          <cell r="C179" t="str">
            <v>Europe</v>
          </cell>
          <cell r="D179" t="str">
            <v>E~</v>
          </cell>
          <cell r="E179" t="str">
            <v>PLN</v>
          </cell>
          <cell r="F179">
            <v>539.99</v>
          </cell>
          <cell r="G179">
            <v>82.99</v>
          </cell>
          <cell r="H179">
            <v>399.99</v>
          </cell>
          <cell r="I179">
            <v>61.99</v>
          </cell>
          <cell r="J179">
            <v>354.99</v>
          </cell>
          <cell r="K179">
            <v>54.99</v>
          </cell>
          <cell r="L179">
            <v>6.506687552717195</v>
          </cell>
          <cell r="M179">
            <v>1.3387643168252943</v>
          </cell>
          <cell r="N179">
            <v>6.4524923374737861</v>
          </cell>
          <cell r="O179">
            <v>6.4555373704309877</v>
          </cell>
          <cell r="P179">
            <v>0.88707856105823524</v>
          </cell>
          <cell r="Q179" t="str">
            <v>PLN</v>
          </cell>
          <cell r="R179">
            <v>539.99</v>
          </cell>
          <cell r="S179">
            <v>82.99</v>
          </cell>
          <cell r="T179">
            <v>399.99</v>
          </cell>
          <cell r="U179">
            <v>61.99</v>
          </cell>
          <cell r="V179">
            <v>354.99</v>
          </cell>
          <cell r="W179">
            <v>54.99</v>
          </cell>
          <cell r="X179">
            <v>6.506687552717195</v>
          </cell>
          <cell r="Y179">
            <v>1.3387643168252943</v>
          </cell>
          <cell r="Z179">
            <v>6.4524923374737861</v>
          </cell>
          <cell r="AA179">
            <v>6.4555373704309877</v>
          </cell>
          <cell r="AB179">
            <v>0.88707856105823524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0.27761585</v>
          </cell>
          <cell r="AL179">
            <v>149.9097828415</v>
          </cell>
          <cell r="AM179">
            <v>23.039339391499997</v>
          </cell>
          <cell r="AN179">
            <v>111.0435638415</v>
          </cell>
          <cell r="AO179">
            <v>17.209406541500002</v>
          </cell>
          <cell r="AP179">
            <v>98.550850591500009</v>
          </cell>
          <cell r="AQ179">
            <v>15.266095591500001</v>
          </cell>
          <cell r="AS179" t="str">
            <v>PL</v>
          </cell>
        </row>
        <row r="180">
          <cell r="B180" t="str">
            <v>Portugal</v>
          </cell>
          <cell r="C180" t="str">
            <v>Europe</v>
          </cell>
          <cell r="E180" t="str">
            <v>EUR</v>
          </cell>
          <cell r="F180">
            <v>129.99</v>
          </cell>
          <cell r="G180">
            <v>19.989999999999998</v>
          </cell>
          <cell r="H180">
            <v>97.99</v>
          </cell>
          <cell r="I180">
            <v>14.99</v>
          </cell>
          <cell r="J180">
            <v>84.99</v>
          </cell>
          <cell r="K180">
            <v>12.99</v>
          </cell>
          <cell r="L180">
            <v>6.5027513756878452</v>
          </cell>
          <cell r="M180">
            <v>1.333555703802535</v>
          </cell>
          <cell r="N180">
            <v>6.5370246831220813</v>
          </cell>
          <cell r="O180">
            <v>6.5427251732101608</v>
          </cell>
          <cell r="P180">
            <v>0.86657771847898601</v>
          </cell>
          <cell r="Q180" t="str">
            <v>EUR</v>
          </cell>
          <cell r="R180">
            <v>129.99</v>
          </cell>
          <cell r="S180">
            <v>19.989999999999998</v>
          </cell>
          <cell r="T180">
            <v>97.99</v>
          </cell>
          <cell r="U180">
            <v>14.99</v>
          </cell>
          <cell r="V180">
            <v>84.99</v>
          </cell>
          <cell r="W180">
            <v>12.99</v>
          </cell>
          <cell r="X180">
            <v>6.5027513756878452</v>
          </cell>
          <cell r="Y180">
            <v>1.333555703802535</v>
          </cell>
          <cell r="Z180">
            <v>6.5370246831220813</v>
          </cell>
          <cell r="AA180">
            <v>6.5427251732101608</v>
          </cell>
          <cell r="AB180">
            <v>0.86657771847898601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1.1778500000000001</v>
          </cell>
          <cell r="AL180">
            <v>153.10872150000003</v>
          </cell>
          <cell r="AM180">
            <v>23.5452215</v>
          </cell>
          <cell r="AN180">
            <v>115.41752150000001</v>
          </cell>
          <cell r="AO180">
            <v>17.6559715</v>
          </cell>
          <cell r="AP180">
            <v>100.10547149999999</v>
          </cell>
          <cell r="AQ180">
            <v>15.300271500000001</v>
          </cell>
          <cell r="AS180" t="str">
            <v>PT</v>
          </cell>
        </row>
        <row r="181">
          <cell r="B181" t="str">
            <v>Qatar</v>
          </cell>
          <cell r="C181" t="str">
            <v>Middle East</v>
          </cell>
          <cell r="E181" t="str">
            <v>QAR</v>
          </cell>
          <cell r="F181">
            <v>679.99</v>
          </cell>
          <cell r="G181">
            <v>96.99</v>
          </cell>
          <cell r="H181">
            <v>524.99</v>
          </cell>
          <cell r="I181">
            <v>74.989999999999995</v>
          </cell>
          <cell r="J181">
            <v>469.99</v>
          </cell>
          <cell r="K181">
            <v>66.989999999999995</v>
          </cell>
          <cell r="L181">
            <v>7.0109289617486343</v>
          </cell>
          <cell r="M181">
            <v>1.2933724496599546</v>
          </cell>
          <cell r="N181">
            <v>7.0008001066808916</v>
          </cell>
          <cell r="O181">
            <v>7.0158232572025678</v>
          </cell>
          <cell r="P181">
            <v>0.89331910921456192</v>
          </cell>
          <cell r="Q181" t="str">
            <v>QAR</v>
          </cell>
          <cell r="R181">
            <v>679.99</v>
          </cell>
          <cell r="S181">
            <v>96.99</v>
          </cell>
          <cell r="T181">
            <v>524.99</v>
          </cell>
          <cell r="U181">
            <v>74.989999999999995</v>
          </cell>
          <cell r="V181">
            <v>469.99</v>
          </cell>
          <cell r="W181">
            <v>66.989999999999995</v>
          </cell>
          <cell r="X181">
            <v>7.0109289617486343</v>
          </cell>
          <cell r="Y181">
            <v>1.2933724496599546</v>
          </cell>
          <cell r="Z181">
            <v>7.0008001066808916</v>
          </cell>
          <cell r="AA181">
            <v>7.0158232572025678</v>
          </cell>
          <cell r="AB181">
            <v>0.89331910921456192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0.27464982999999998</v>
          </cell>
          <cell r="AL181">
            <v>186.7591379017</v>
          </cell>
          <cell r="AM181">
            <v>26.638287011699997</v>
          </cell>
          <cell r="AN181">
            <v>144.18841425169998</v>
          </cell>
          <cell r="AO181">
            <v>20.595990751699997</v>
          </cell>
          <cell r="AP181">
            <v>129.08267360170001</v>
          </cell>
          <cell r="AQ181">
            <v>18.398792111699997</v>
          </cell>
          <cell r="AS181" t="str">
            <v>QA</v>
          </cell>
        </row>
        <row r="182">
          <cell r="B182" t="str">
            <v>Reunion</v>
          </cell>
          <cell r="C182" t="str">
            <v>Africa</v>
          </cell>
          <cell r="E182" t="str">
            <v>EUR</v>
          </cell>
          <cell r="F182">
            <v>77.989999999999995</v>
          </cell>
          <cell r="G182">
            <v>12.99</v>
          </cell>
          <cell r="H182">
            <v>59.99</v>
          </cell>
          <cell r="I182">
            <v>9.99</v>
          </cell>
          <cell r="J182">
            <v>53.99</v>
          </cell>
          <cell r="K182">
            <v>8.99</v>
          </cell>
          <cell r="L182">
            <v>6.0038491147036179</v>
          </cell>
          <cell r="M182">
            <v>1.3003003003003002</v>
          </cell>
          <cell r="N182">
            <v>6.005005005005005</v>
          </cell>
          <cell r="O182">
            <v>6.0055617352614012</v>
          </cell>
          <cell r="P182">
            <v>0.89989989989989994</v>
          </cell>
          <cell r="Q182" t="str">
            <v>EUR</v>
          </cell>
          <cell r="R182">
            <v>77.989999999999995</v>
          </cell>
          <cell r="S182">
            <v>12.99</v>
          </cell>
          <cell r="T182">
            <v>59.99</v>
          </cell>
          <cell r="U182">
            <v>9.99</v>
          </cell>
          <cell r="V182">
            <v>53.99</v>
          </cell>
          <cell r="W182">
            <v>8.99</v>
          </cell>
          <cell r="X182">
            <v>6.0038491147036179</v>
          </cell>
          <cell r="Y182">
            <v>1.3003003003003002</v>
          </cell>
          <cell r="Z182">
            <v>6.005005005005005</v>
          </cell>
          <cell r="AA182">
            <v>6.0055617352614012</v>
          </cell>
          <cell r="AB182">
            <v>0.89989989989989994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1.1778500000000001</v>
          </cell>
          <cell r="AL182">
            <v>91.860521500000004</v>
          </cell>
          <cell r="AM182">
            <v>15.300271500000001</v>
          </cell>
          <cell r="AN182">
            <v>70.659221500000001</v>
          </cell>
          <cell r="AO182">
            <v>11.766721500000001</v>
          </cell>
          <cell r="AP182">
            <v>63.592121500000005</v>
          </cell>
          <cell r="AQ182">
            <v>10.588871500000002</v>
          </cell>
          <cell r="AS182" t="str">
            <v>RE</v>
          </cell>
        </row>
        <row r="183">
          <cell r="B183" t="str">
            <v>Romania</v>
          </cell>
          <cell r="C183" t="str">
            <v>Europe</v>
          </cell>
          <cell r="E183" t="str">
            <v>RON</v>
          </cell>
          <cell r="F183">
            <v>549.99</v>
          </cell>
          <cell r="G183">
            <v>81.99</v>
          </cell>
          <cell r="H183">
            <v>394.99</v>
          </cell>
          <cell r="I183">
            <v>58.99</v>
          </cell>
          <cell r="J183">
            <v>354.99</v>
          </cell>
          <cell r="K183">
            <v>52.99</v>
          </cell>
          <cell r="L183">
            <v>6.7080131723380907</v>
          </cell>
          <cell r="M183">
            <v>1.3898965926428206</v>
          </cell>
          <cell r="N183">
            <v>6.6958806577385994</v>
          </cell>
          <cell r="O183">
            <v>6.6991885261370072</v>
          </cell>
          <cell r="P183">
            <v>0.89828784539752504</v>
          </cell>
          <cell r="Q183" t="str">
            <v>RON</v>
          </cell>
          <cell r="R183">
            <v>549.99</v>
          </cell>
          <cell r="S183">
            <v>81.99</v>
          </cell>
          <cell r="T183">
            <v>394.99</v>
          </cell>
          <cell r="U183">
            <v>58.99</v>
          </cell>
          <cell r="V183">
            <v>354.99</v>
          </cell>
          <cell r="W183">
            <v>52.99</v>
          </cell>
          <cell r="X183">
            <v>6.7080131723380907</v>
          </cell>
          <cell r="Y183">
            <v>1.3898965926428206</v>
          </cell>
          <cell r="Z183">
            <v>6.6958806577385994</v>
          </cell>
          <cell r="AA183">
            <v>6.6991885261370072</v>
          </cell>
          <cell r="AB183">
            <v>0.89828784539752504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0.23281532999999999</v>
          </cell>
          <cell r="AL183">
            <v>128.04610334669999</v>
          </cell>
          <cell r="AM183">
            <v>19.088528906699999</v>
          </cell>
          <cell r="AN183">
            <v>91.959727196700001</v>
          </cell>
          <cell r="AO183">
            <v>13.7337763167</v>
          </cell>
          <cell r="AP183">
            <v>82.6471139967</v>
          </cell>
          <cell r="AQ183">
            <v>12.336884336699999</v>
          </cell>
          <cell r="AS183" t="str">
            <v>RO</v>
          </cell>
        </row>
        <row r="184">
          <cell r="B184" t="str">
            <v>Russia</v>
          </cell>
          <cell r="C184" t="str">
            <v>Europe</v>
          </cell>
          <cell r="E184" t="str">
            <v>RUB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Q184" t="str">
            <v>RUB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AK184">
            <v>1.2698413E-2</v>
          </cell>
          <cell r="AS184" t="str">
            <v>RU</v>
          </cell>
        </row>
        <row r="185">
          <cell r="B185" t="str">
            <v>Rwanda</v>
          </cell>
          <cell r="C185" t="str">
            <v>Africa</v>
          </cell>
          <cell r="E185" t="str">
            <v>RWF</v>
          </cell>
          <cell r="F185">
            <v>81000</v>
          </cell>
          <cell r="G185">
            <v>13500</v>
          </cell>
          <cell r="H185">
            <v>60000</v>
          </cell>
          <cell r="I185">
            <v>10000</v>
          </cell>
          <cell r="J185">
            <v>54000</v>
          </cell>
          <cell r="K185">
            <v>9000</v>
          </cell>
          <cell r="L185">
            <v>6</v>
          </cell>
          <cell r="M185">
            <v>1.35</v>
          </cell>
          <cell r="N185">
            <v>6</v>
          </cell>
          <cell r="O185">
            <v>6</v>
          </cell>
          <cell r="P185">
            <v>0.9</v>
          </cell>
          <cell r="Q185" t="str">
            <v>RWF</v>
          </cell>
          <cell r="R185">
            <v>81000</v>
          </cell>
          <cell r="S185">
            <v>13500</v>
          </cell>
          <cell r="T185">
            <v>60000</v>
          </cell>
          <cell r="U185">
            <v>10000</v>
          </cell>
          <cell r="V185">
            <v>54000</v>
          </cell>
          <cell r="W185">
            <v>9000</v>
          </cell>
          <cell r="X185">
            <v>6</v>
          </cell>
          <cell r="Y185">
            <v>1.35</v>
          </cell>
          <cell r="Z185">
            <v>6</v>
          </cell>
          <cell r="AA185">
            <v>6</v>
          </cell>
          <cell r="AB185">
            <v>0.9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6.9565215E-4</v>
          </cell>
          <cell r="AL185">
            <v>56.347824150000001</v>
          </cell>
          <cell r="AM185">
            <v>9.3913040250000002</v>
          </cell>
          <cell r="AN185">
            <v>41.739128999999998</v>
          </cell>
          <cell r="AO185">
            <v>6.9565215</v>
          </cell>
          <cell r="AP185">
            <v>37.565216100000001</v>
          </cell>
          <cell r="AQ185">
            <v>6.2608693500000001</v>
          </cell>
          <cell r="AS185" t="str">
            <v>RW</v>
          </cell>
        </row>
        <row r="186">
          <cell r="B186" t="str">
            <v>Saint Martin (French Part)</v>
          </cell>
          <cell r="C186" t="str">
            <v>Latin America</v>
          </cell>
          <cell r="E186" t="str">
            <v>EUR</v>
          </cell>
          <cell r="F186">
            <v>89.99</v>
          </cell>
          <cell r="G186">
            <v>14.99</v>
          </cell>
          <cell r="H186">
            <v>65.989999999999995</v>
          </cell>
          <cell r="I186">
            <v>10.99</v>
          </cell>
          <cell r="J186">
            <v>59.99</v>
          </cell>
          <cell r="K186">
            <v>9.99</v>
          </cell>
          <cell r="L186">
            <v>6.0033355570380253</v>
          </cell>
          <cell r="M186">
            <v>1.3639672429481347</v>
          </cell>
          <cell r="N186">
            <v>6.0045495905368513</v>
          </cell>
          <cell r="O186">
            <v>6.005005005005005</v>
          </cell>
          <cell r="P186">
            <v>0.90900818926296634</v>
          </cell>
          <cell r="Q186" t="str">
            <v>EUR</v>
          </cell>
          <cell r="R186">
            <v>89.99</v>
          </cell>
          <cell r="S186">
            <v>14.99</v>
          </cell>
          <cell r="T186">
            <v>65.989999999999995</v>
          </cell>
          <cell r="U186">
            <v>10.99</v>
          </cell>
          <cell r="V186">
            <v>59.99</v>
          </cell>
          <cell r="W186">
            <v>9.99</v>
          </cell>
          <cell r="X186">
            <v>6.0033355570380253</v>
          </cell>
          <cell r="Y186">
            <v>1.3639672429481347</v>
          </cell>
          <cell r="Z186">
            <v>6.0045495905368513</v>
          </cell>
          <cell r="AA186">
            <v>6.005005005005005</v>
          </cell>
          <cell r="AB186">
            <v>0.90900818926296634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1.1778500000000001</v>
          </cell>
          <cell r="AL186">
            <v>105.9947215</v>
          </cell>
          <cell r="AM186">
            <v>17.6559715</v>
          </cell>
          <cell r="AN186">
            <v>77.726321499999997</v>
          </cell>
          <cell r="AO186">
            <v>12.9445715</v>
          </cell>
          <cell r="AP186">
            <v>70.659221500000001</v>
          </cell>
          <cell r="AQ186">
            <v>11.766721500000001</v>
          </cell>
          <cell r="AS186" t="str">
            <v>MF</v>
          </cell>
        </row>
        <row r="187">
          <cell r="B187" t="str">
            <v>Samoa</v>
          </cell>
          <cell r="C187" t="str">
            <v>Asia</v>
          </cell>
          <cell r="E187" t="str">
            <v>WST</v>
          </cell>
          <cell r="F187">
            <v>161.99</v>
          </cell>
          <cell r="G187">
            <v>26.99</v>
          </cell>
          <cell r="H187">
            <v>119.99</v>
          </cell>
          <cell r="I187">
            <v>19.989999999999998</v>
          </cell>
          <cell r="J187">
            <v>107.99</v>
          </cell>
          <cell r="K187">
            <v>17.989999999999998</v>
          </cell>
          <cell r="L187">
            <v>6.0018525379770296</v>
          </cell>
          <cell r="M187">
            <v>1.3501750875437719</v>
          </cell>
          <cell r="N187">
            <v>6.002501250625313</v>
          </cell>
          <cell r="O187">
            <v>6.0027793218454697</v>
          </cell>
          <cell r="P187">
            <v>0.89994997498749374</v>
          </cell>
          <cell r="Q187" t="str">
            <v>WST</v>
          </cell>
          <cell r="R187">
            <v>161.99</v>
          </cell>
          <cell r="S187">
            <v>26.99</v>
          </cell>
          <cell r="T187">
            <v>119.99</v>
          </cell>
          <cell r="U187">
            <v>19.989999999999998</v>
          </cell>
          <cell r="V187">
            <v>107.99</v>
          </cell>
          <cell r="W187">
            <v>17.989999999999998</v>
          </cell>
          <cell r="X187">
            <v>6.0018525379770296</v>
          </cell>
          <cell r="Y187">
            <v>1.3501750875437719</v>
          </cell>
          <cell r="Z187">
            <v>6.002501250625313</v>
          </cell>
          <cell r="AA187">
            <v>6.0027793218454697</v>
          </cell>
          <cell r="AB187">
            <v>0.89994997498749374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0.36389998000000001</v>
          </cell>
          <cell r="AL187">
            <v>58.948157760200004</v>
          </cell>
          <cell r="AM187">
            <v>9.8216604602000004</v>
          </cell>
          <cell r="AN187">
            <v>43.664358600199996</v>
          </cell>
          <cell r="AO187">
            <v>7.2743606001999996</v>
          </cell>
          <cell r="AP187">
            <v>39.297558840199997</v>
          </cell>
          <cell r="AQ187">
            <v>6.5465606402000001</v>
          </cell>
          <cell r="AS187" t="str">
            <v>WS</v>
          </cell>
        </row>
        <row r="188">
          <cell r="B188" t="str">
            <v>San Marino</v>
          </cell>
          <cell r="C188" t="str">
            <v>Europe</v>
          </cell>
          <cell r="E188" t="str">
            <v>EUR</v>
          </cell>
          <cell r="F188">
            <v>159.99</v>
          </cell>
          <cell r="G188">
            <v>22.99</v>
          </cell>
          <cell r="H188">
            <v>109.99</v>
          </cell>
          <cell r="I188">
            <v>17.989999999999998</v>
          </cell>
          <cell r="J188">
            <v>99.99</v>
          </cell>
          <cell r="K188">
            <v>15.99</v>
          </cell>
          <cell r="L188">
            <v>6.9591126576772515</v>
          </cell>
          <cell r="M188">
            <v>1.2779321845469707</v>
          </cell>
          <cell r="N188">
            <v>6.1139521956642584</v>
          </cell>
          <cell r="O188">
            <v>6.2532833020637897</v>
          </cell>
          <cell r="P188">
            <v>0.88882712618121185</v>
          </cell>
          <cell r="Q188" t="str">
            <v>EUR</v>
          </cell>
          <cell r="R188">
            <v>159.99</v>
          </cell>
          <cell r="S188">
            <v>22.99</v>
          </cell>
          <cell r="T188">
            <v>109.99</v>
          </cell>
          <cell r="U188">
            <v>17.989999999999998</v>
          </cell>
          <cell r="V188">
            <v>99.99</v>
          </cell>
          <cell r="W188">
            <v>15.99</v>
          </cell>
          <cell r="X188">
            <v>6.9591126576772515</v>
          </cell>
          <cell r="Y188">
            <v>1.2779321845469707</v>
          </cell>
          <cell r="Z188">
            <v>6.1139521956642584</v>
          </cell>
          <cell r="AA188">
            <v>6.2532833020637897</v>
          </cell>
          <cell r="AB188">
            <v>0.88882712618121185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1.1778500000000001</v>
          </cell>
          <cell r="AL188">
            <v>188.44422150000003</v>
          </cell>
          <cell r="AM188">
            <v>27.078771499999998</v>
          </cell>
          <cell r="AN188">
            <v>129.55172150000001</v>
          </cell>
          <cell r="AO188">
            <v>21.189521499999998</v>
          </cell>
          <cell r="AP188">
            <v>117.77322150000001</v>
          </cell>
          <cell r="AQ188">
            <v>18.833821500000003</v>
          </cell>
          <cell r="AS188" t="str">
            <v>SM</v>
          </cell>
        </row>
        <row r="189">
          <cell r="B189" t="str">
            <v>Sao Tome And Principe</v>
          </cell>
          <cell r="C189" t="str">
            <v>Africa</v>
          </cell>
          <cell r="E189" t="str">
            <v>USD</v>
          </cell>
          <cell r="F189">
            <v>77.989999999999995</v>
          </cell>
          <cell r="G189">
            <v>12.99</v>
          </cell>
          <cell r="H189">
            <v>59.99</v>
          </cell>
          <cell r="I189">
            <v>9.99</v>
          </cell>
          <cell r="J189">
            <v>53.99</v>
          </cell>
          <cell r="K189">
            <v>8.99</v>
          </cell>
          <cell r="L189">
            <v>6.0038491147036179</v>
          </cell>
          <cell r="M189">
            <v>1.3003003003003002</v>
          </cell>
          <cell r="N189">
            <v>6.005005005005005</v>
          </cell>
          <cell r="O189">
            <v>6.0055617352614012</v>
          </cell>
          <cell r="P189">
            <v>0.89989989989989994</v>
          </cell>
          <cell r="Q189" t="str">
            <v>USD</v>
          </cell>
          <cell r="R189">
            <v>77.989999999999995</v>
          </cell>
          <cell r="S189">
            <v>12.99</v>
          </cell>
          <cell r="T189">
            <v>59.99</v>
          </cell>
          <cell r="U189">
            <v>9.99</v>
          </cell>
          <cell r="V189">
            <v>53.99</v>
          </cell>
          <cell r="W189">
            <v>8.99</v>
          </cell>
          <cell r="X189">
            <v>6.0038491147036179</v>
          </cell>
          <cell r="Y189">
            <v>1.3003003003003002</v>
          </cell>
          <cell r="Z189">
            <v>6.005005005005005</v>
          </cell>
          <cell r="AA189">
            <v>6.0055617352614012</v>
          </cell>
          <cell r="AB189">
            <v>0.89989989989989994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1</v>
          </cell>
          <cell r="AL189">
            <v>77.989999999999995</v>
          </cell>
          <cell r="AM189">
            <v>12.99</v>
          </cell>
          <cell r="AN189">
            <v>59.99</v>
          </cell>
          <cell r="AO189">
            <v>9.99</v>
          </cell>
          <cell r="AP189">
            <v>53.99</v>
          </cell>
          <cell r="AQ189">
            <v>8.99</v>
          </cell>
          <cell r="AS189" t="str">
            <v>ST</v>
          </cell>
        </row>
        <row r="190">
          <cell r="B190" t="str">
            <v>Saudi Arabia</v>
          </cell>
          <cell r="C190" t="str">
            <v>Middle East</v>
          </cell>
          <cell r="E190" t="str">
            <v>SAR</v>
          </cell>
          <cell r="F190">
            <v>526.99</v>
          </cell>
          <cell r="G190">
            <v>84.99</v>
          </cell>
          <cell r="H190">
            <v>384.99</v>
          </cell>
          <cell r="I190">
            <v>61.99</v>
          </cell>
          <cell r="J190">
            <v>334.99</v>
          </cell>
          <cell r="K190">
            <v>53.99</v>
          </cell>
          <cell r="L190">
            <v>6.2006118366866696</v>
          </cell>
          <cell r="M190">
            <v>1.3710275850943698</v>
          </cell>
          <cell r="N190">
            <v>6.2105178254557183</v>
          </cell>
          <cell r="O190">
            <v>6.2046675310242634</v>
          </cell>
          <cell r="P190">
            <v>0.87094692692369735</v>
          </cell>
          <cell r="Q190" t="str">
            <v>SAR</v>
          </cell>
          <cell r="R190">
            <v>526.99</v>
          </cell>
          <cell r="S190">
            <v>84.99</v>
          </cell>
          <cell r="T190">
            <v>384.99</v>
          </cell>
          <cell r="U190">
            <v>61.99</v>
          </cell>
          <cell r="V190">
            <v>334.99</v>
          </cell>
          <cell r="W190">
            <v>53.99</v>
          </cell>
          <cell r="X190">
            <v>6.2006118366866696</v>
          </cell>
          <cell r="Y190">
            <v>1.3710275850943698</v>
          </cell>
          <cell r="Z190">
            <v>6.2105178254557183</v>
          </cell>
          <cell r="AA190">
            <v>6.2046675310242634</v>
          </cell>
          <cell r="AB190">
            <v>0.87094692692369735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K190">
            <v>0.26663821999999998</v>
          </cell>
          <cell r="AL190">
            <v>140.51567555779999</v>
          </cell>
          <cell r="AM190">
            <v>22.661582317799997</v>
          </cell>
          <cell r="AN190">
            <v>102.6530483178</v>
          </cell>
          <cell r="AO190">
            <v>16.5289032578</v>
          </cell>
          <cell r="AP190">
            <v>89.321137317799995</v>
          </cell>
          <cell r="AQ190">
            <v>14.3957974978</v>
          </cell>
          <cell r="AS190" t="str">
            <v>SA</v>
          </cell>
        </row>
        <row r="191">
          <cell r="B191" t="str">
            <v>Senegal</v>
          </cell>
          <cell r="C191" t="str">
            <v>Africa</v>
          </cell>
          <cell r="E191" t="str">
            <v>XOF</v>
          </cell>
          <cell r="F191">
            <v>43740</v>
          </cell>
          <cell r="G191">
            <v>7290</v>
          </cell>
          <cell r="H191">
            <v>32400</v>
          </cell>
          <cell r="I191">
            <v>5400</v>
          </cell>
          <cell r="J191">
            <v>29160</v>
          </cell>
          <cell r="K191">
            <v>4860</v>
          </cell>
          <cell r="L191">
            <v>6</v>
          </cell>
          <cell r="M191">
            <v>1.35</v>
          </cell>
          <cell r="N191">
            <v>6</v>
          </cell>
          <cell r="O191">
            <v>6</v>
          </cell>
          <cell r="P191">
            <v>0.9</v>
          </cell>
          <cell r="Q191" t="str">
            <v>XOF</v>
          </cell>
          <cell r="R191">
            <v>43740</v>
          </cell>
          <cell r="S191">
            <v>7290</v>
          </cell>
          <cell r="T191">
            <v>32400</v>
          </cell>
          <cell r="U191">
            <v>5400</v>
          </cell>
          <cell r="V191">
            <v>29160</v>
          </cell>
          <cell r="W191">
            <v>4860</v>
          </cell>
          <cell r="X191">
            <v>6</v>
          </cell>
          <cell r="Y191">
            <v>1.35</v>
          </cell>
          <cell r="Z191">
            <v>6</v>
          </cell>
          <cell r="AA191">
            <v>6</v>
          </cell>
          <cell r="AB191">
            <v>0.9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K191">
            <v>1.7956208E-3</v>
          </cell>
          <cell r="AL191">
            <v>78.540453791999994</v>
          </cell>
          <cell r="AM191">
            <v>13.090075632</v>
          </cell>
          <cell r="AN191">
            <v>58.178113920000001</v>
          </cell>
          <cell r="AO191">
            <v>9.6963523200000008</v>
          </cell>
          <cell r="AP191">
            <v>52.360302527999998</v>
          </cell>
          <cell r="AQ191">
            <v>8.7267170879999991</v>
          </cell>
          <cell r="AS191" t="str">
            <v>SN</v>
          </cell>
        </row>
        <row r="192">
          <cell r="B192" t="str">
            <v>Serbia</v>
          </cell>
          <cell r="C192" t="str">
            <v>Europe</v>
          </cell>
          <cell r="E192" t="str">
            <v>RSD</v>
          </cell>
          <cell r="F192">
            <v>10309.99</v>
          </cell>
          <cell r="G192">
            <v>1649.99</v>
          </cell>
          <cell r="H192">
            <v>7499.99</v>
          </cell>
          <cell r="I192">
            <v>1199.99</v>
          </cell>
          <cell r="J192">
            <v>6749.99</v>
          </cell>
          <cell r="K192">
            <v>1079.99</v>
          </cell>
          <cell r="L192">
            <v>6.2485166576767126</v>
          </cell>
          <cell r="M192">
            <v>1.3750031250260419</v>
          </cell>
          <cell r="N192">
            <v>6.2500437503645863</v>
          </cell>
          <cell r="O192">
            <v>6.2500486115612182</v>
          </cell>
          <cell r="P192">
            <v>0.89999916665972213</v>
          </cell>
          <cell r="Q192" t="str">
            <v>RSD</v>
          </cell>
          <cell r="R192">
            <v>10309.99</v>
          </cell>
          <cell r="S192">
            <v>1649.99</v>
          </cell>
          <cell r="T192">
            <v>7499.99</v>
          </cell>
          <cell r="U192">
            <v>1199.99</v>
          </cell>
          <cell r="V192">
            <v>6749.99</v>
          </cell>
          <cell r="W192">
            <v>1079.99</v>
          </cell>
          <cell r="X192">
            <v>6.2485166576767126</v>
          </cell>
          <cell r="Y192">
            <v>1.3750031250260419</v>
          </cell>
          <cell r="Z192">
            <v>6.2500437503645863</v>
          </cell>
          <cell r="AA192">
            <v>6.2500486115612182</v>
          </cell>
          <cell r="AB192">
            <v>0.89999916665972213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K192">
            <v>1.0051766E-2</v>
          </cell>
          <cell r="AL192">
            <v>103.63360694233999</v>
          </cell>
          <cell r="AM192">
            <v>16.585313382340001</v>
          </cell>
          <cell r="AN192">
            <v>75.388144482339996</v>
          </cell>
          <cell r="AO192">
            <v>12.06201868234</v>
          </cell>
          <cell r="AP192">
            <v>67.849319982339992</v>
          </cell>
          <cell r="AQ192">
            <v>10.85580676234</v>
          </cell>
          <cell r="AS192" t="str">
            <v>RS</v>
          </cell>
        </row>
        <row r="193">
          <cell r="B193" t="str">
            <v>Seychelles</v>
          </cell>
          <cell r="C193" t="str">
            <v>Africa</v>
          </cell>
          <cell r="E193" t="str">
            <v>SCR</v>
          </cell>
          <cell r="F193">
            <v>809.99</v>
          </cell>
          <cell r="G193">
            <v>134.99</v>
          </cell>
          <cell r="H193">
            <v>599.99</v>
          </cell>
          <cell r="I193">
            <v>99.99</v>
          </cell>
          <cell r="J193">
            <v>539.99</v>
          </cell>
          <cell r="K193">
            <v>89.99</v>
          </cell>
          <cell r="L193">
            <v>6.0003703978072442</v>
          </cell>
          <cell r="M193">
            <v>1.3500350035003501</v>
          </cell>
          <cell r="N193">
            <v>6.0005000500050008</v>
          </cell>
          <cell r="O193">
            <v>6.0005556172908108</v>
          </cell>
          <cell r="P193">
            <v>0.89998999899989995</v>
          </cell>
          <cell r="Q193" t="str">
            <v>SCR</v>
          </cell>
          <cell r="R193">
            <v>809.99</v>
          </cell>
          <cell r="S193">
            <v>134.99</v>
          </cell>
          <cell r="T193">
            <v>599.99</v>
          </cell>
          <cell r="U193">
            <v>99.99</v>
          </cell>
          <cell r="V193">
            <v>539.99</v>
          </cell>
          <cell r="W193">
            <v>89.99</v>
          </cell>
          <cell r="X193">
            <v>6.0003703978072442</v>
          </cell>
          <cell r="Y193">
            <v>1.3500350035003501</v>
          </cell>
          <cell r="Z193">
            <v>6.0005000500050008</v>
          </cell>
          <cell r="AA193">
            <v>6.0005556172908108</v>
          </cell>
          <cell r="AB193">
            <v>0.89998999899989995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6.7584690000000003E-2</v>
          </cell>
          <cell r="AL193">
            <v>54.7429230531</v>
          </cell>
          <cell r="AM193">
            <v>9.1232573031000008</v>
          </cell>
          <cell r="AN193">
            <v>40.550138153100001</v>
          </cell>
          <cell r="AO193">
            <v>6.7577931530999997</v>
          </cell>
          <cell r="AP193">
            <v>36.495056753100002</v>
          </cell>
          <cell r="AQ193">
            <v>6.0819462530999999</v>
          </cell>
          <cell r="AS193" t="str">
            <v>SC</v>
          </cell>
        </row>
        <row r="194">
          <cell r="B194" t="str">
            <v>Sierra Leone</v>
          </cell>
          <cell r="C194" t="str">
            <v>Africa</v>
          </cell>
          <cell r="E194" t="str">
            <v>SLL</v>
          </cell>
          <cell r="F194">
            <v>792180</v>
          </cell>
          <cell r="G194">
            <v>132030</v>
          </cell>
          <cell r="H194">
            <v>586800</v>
          </cell>
          <cell r="I194">
            <v>97800</v>
          </cell>
          <cell r="J194">
            <v>528120</v>
          </cell>
          <cell r="K194">
            <v>88020</v>
          </cell>
          <cell r="L194">
            <v>6</v>
          </cell>
          <cell r="M194">
            <v>1.35</v>
          </cell>
          <cell r="N194">
            <v>6</v>
          </cell>
          <cell r="O194">
            <v>6</v>
          </cell>
          <cell r="P194">
            <v>0.9</v>
          </cell>
          <cell r="Q194" t="str">
            <v>SLL</v>
          </cell>
          <cell r="R194">
            <v>792180</v>
          </cell>
          <cell r="S194">
            <v>132030</v>
          </cell>
          <cell r="T194">
            <v>586800</v>
          </cell>
          <cell r="U194">
            <v>97800</v>
          </cell>
          <cell r="V194">
            <v>528120</v>
          </cell>
          <cell r="W194">
            <v>88020</v>
          </cell>
          <cell r="X194">
            <v>6</v>
          </cell>
          <cell r="Y194">
            <v>1.35</v>
          </cell>
          <cell r="Z194">
            <v>6</v>
          </cell>
          <cell r="AA194">
            <v>6</v>
          </cell>
          <cell r="AB194">
            <v>0.9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4.454343E-5</v>
          </cell>
          <cell r="AL194">
            <v>35.2864143774</v>
          </cell>
          <cell r="AM194">
            <v>5.8810690629</v>
          </cell>
          <cell r="AN194">
            <v>26.138084723999999</v>
          </cell>
          <cell r="AO194">
            <v>4.3563474539999998</v>
          </cell>
          <cell r="AP194">
            <v>23.5242762516</v>
          </cell>
          <cell r="AQ194">
            <v>3.9207127086</v>
          </cell>
          <cell r="AS194" t="str">
            <v>SL</v>
          </cell>
        </row>
        <row r="195">
          <cell r="B195" t="str">
            <v>Singapore</v>
          </cell>
          <cell r="C195" t="str">
            <v>Asia</v>
          </cell>
          <cell r="D195" t="str">
            <v>E~</v>
          </cell>
          <cell r="E195" t="str">
            <v>SGD</v>
          </cell>
          <cell r="F195">
            <v>184.99</v>
          </cell>
          <cell r="G195">
            <v>26.984999999999999</v>
          </cell>
          <cell r="H195">
            <v>124.99</v>
          </cell>
          <cell r="I195">
            <v>17.989999999999998</v>
          </cell>
          <cell r="J195">
            <v>104.99</v>
          </cell>
          <cell r="K195">
            <v>14.99</v>
          </cell>
          <cell r="L195">
            <v>6.8552899759125445</v>
          </cell>
          <cell r="M195">
            <v>1.5</v>
          </cell>
          <cell r="N195">
            <v>6.9477487493051697</v>
          </cell>
          <cell r="O195">
            <v>7.0040026684456302</v>
          </cell>
          <cell r="P195">
            <v>0.83324068927181771</v>
          </cell>
          <cell r="Q195" t="str">
            <v>SGD</v>
          </cell>
          <cell r="R195">
            <v>184.99</v>
          </cell>
          <cell r="S195">
            <v>26.984999999999999</v>
          </cell>
          <cell r="T195">
            <v>124.99</v>
          </cell>
          <cell r="U195">
            <v>17.989999999999998</v>
          </cell>
          <cell r="V195">
            <v>104.99</v>
          </cell>
          <cell r="W195">
            <v>14.99</v>
          </cell>
          <cell r="X195">
            <v>6.8552899759125445</v>
          </cell>
          <cell r="Y195">
            <v>1.5</v>
          </cell>
          <cell r="Z195">
            <v>6.9477487493051697</v>
          </cell>
          <cell r="AA195">
            <v>7.0040026684456302</v>
          </cell>
          <cell r="AB195">
            <v>0.83324068927181771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0.78455984999999995</v>
          </cell>
          <cell r="AL195">
            <v>145.13572665149999</v>
          </cell>
          <cell r="AM195">
            <v>21.171347552249998</v>
          </cell>
          <cell r="AN195">
            <v>98.062135651499986</v>
          </cell>
          <cell r="AO195">
            <v>14.114231701499998</v>
          </cell>
          <cell r="AP195">
            <v>82.370938651499984</v>
          </cell>
          <cell r="AQ195">
            <v>11.760552151499999</v>
          </cell>
          <cell r="AS195" t="str">
            <v>SG</v>
          </cell>
        </row>
        <row r="196">
          <cell r="B196" t="str">
            <v>Sint Maarten (Dutch Part)</v>
          </cell>
          <cell r="C196" t="str">
            <v>Latin America</v>
          </cell>
          <cell r="E196" t="str">
            <v>ANG</v>
          </cell>
          <cell r="F196">
            <v>169.99</v>
          </cell>
          <cell r="G196">
            <v>24.99</v>
          </cell>
          <cell r="H196">
            <v>124.99</v>
          </cell>
          <cell r="I196">
            <v>19.989999999999998</v>
          </cell>
          <cell r="J196">
            <v>114.99</v>
          </cell>
          <cell r="K196">
            <v>18.989999999999998</v>
          </cell>
          <cell r="L196">
            <v>6.8023209283713495</v>
          </cell>
          <cell r="M196">
            <v>1.2501250625312657</v>
          </cell>
          <cell r="N196">
            <v>6.2526263131565782</v>
          </cell>
          <cell r="O196">
            <v>6.0552922590837284</v>
          </cell>
          <cell r="P196">
            <v>0.94997498749374687</v>
          </cell>
          <cell r="Q196" t="str">
            <v>ANG</v>
          </cell>
          <cell r="R196">
            <v>169.99</v>
          </cell>
          <cell r="S196">
            <v>24.99</v>
          </cell>
          <cell r="T196">
            <v>124.99</v>
          </cell>
          <cell r="U196">
            <v>19.989999999999998</v>
          </cell>
          <cell r="V196">
            <v>114.99</v>
          </cell>
          <cell r="W196">
            <v>18.989999999999998</v>
          </cell>
          <cell r="X196">
            <v>6.8023209283713495</v>
          </cell>
          <cell r="Y196">
            <v>1.2501250625312657</v>
          </cell>
          <cell r="Z196">
            <v>6.2526263131565782</v>
          </cell>
          <cell r="AA196">
            <v>6.0552922590837284</v>
          </cell>
          <cell r="AB196">
            <v>0.94997498749374687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K196">
            <v>0.55865925999999999</v>
          </cell>
          <cell r="AL196">
            <v>94.966487607399998</v>
          </cell>
          <cell r="AM196">
            <v>13.960894907399998</v>
          </cell>
          <cell r="AN196">
            <v>69.826820907399991</v>
          </cell>
          <cell r="AO196">
            <v>11.167598607399999</v>
          </cell>
          <cell r="AP196">
            <v>64.240228307400002</v>
          </cell>
          <cell r="AQ196">
            <v>10.6089393474</v>
          </cell>
          <cell r="AS196" t="str">
            <v>SX</v>
          </cell>
        </row>
        <row r="197">
          <cell r="B197" t="str">
            <v>Slovakia</v>
          </cell>
          <cell r="C197" t="str">
            <v>Europe</v>
          </cell>
          <cell r="E197" t="str">
            <v>EUR</v>
          </cell>
          <cell r="F197">
            <v>94.99</v>
          </cell>
          <cell r="G197">
            <v>14.99</v>
          </cell>
          <cell r="H197">
            <v>69.989999999999995</v>
          </cell>
          <cell r="I197">
            <v>10.99</v>
          </cell>
          <cell r="J197">
            <v>59.99</v>
          </cell>
          <cell r="K197">
            <v>9.99</v>
          </cell>
          <cell r="L197">
            <v>6.3368912608405603</v>
          </cell>
          <cell r="M197">
            <v>1.3639672429481347</v>
          </cell>
          <cell r="N197">
            <v>6.3685168334849855</v>
          </cell>
          <cell r="O197">
            <v>6.005005005005005</v>
          </cell>
          <cell r="P197">
            <v>0.90900818926296634</v>
          </cell>
          <cell r="Q197" t="str">
            <v>EUR</v>
          </cell>
          <cell r="R197">
            <v>94.99</v>
          </cell>
          <cell r="S197">
            <v>14.99</v>
          </cell>
          <cell r="T197">
            <v>69.989999999999995</v>
          </cell>
          <cell r="U197">
            <v>10.99</v>
          </cell>
          <cell r="V197">
            <v>59.99</v>
          </cell>
          <cell r="W197">
            <v>9.99</v>
          </cell>
          <cell r="X197">
            <v>6.3368912608405603</v>
          </cell>
          <cell r="Y197">
            <v>1.3639672429481347</v>
          </cell>
          <cell r="Z197">
            <v>6.3685168334849855</v>
          </cell>
          <cell r="AA197">
            <v>6.005005005005005</v>
          </cell>
          <cell r="AB197">
            <v>0.90900818926296634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1.1778500000000001</v>
          </cell>
          <cell r="AL197">
            <v>111.8839715</v>
          </cell>
          <cell r="AM197">
            <v>17.6559715</v>
          </cell>
          <cell r="AN197">
            <v>82.437721499999995</v>
          </cell>
          <cell r="AO197">
            <v>12.9445715</v>
          </cell>
          <cell r="AP197">
            <v>70.659221500000001</v>
          </cell>
          <cell r="AQ197">
            <v>11.766721500000001</v>
          </cell>
          <cell r="AS197" t="str">
            <v>SK</v>
          </cell>
        </row>
        <row r="198">
          <cell r="B198" t="str">
            <v>Slovenia</v>
          </cell>
          <cell r="C198" t="str">
            <v>Europe</v>
          </cell>
          <cell r="E198" t="str">
            <v>EUR</v>
          </cell>
          <cell r="F198">
            <v>121.99</v>
          </cell>
          <cell r="G198">
            <v>18.989999999999998</v>
          </cell>
          <cell r="H198">
            <v>89.99</v>
          </cell>
          <cell r="I198">
            <v>13.99</v>
          </cell>
          <cell r="J198">
            <v>79.989999999999995</v>
          </cell>
          <cell r="K198">
            <v>12.99</v>
          </cell>
          <cell r="L198">
            <v>6.4239073196419172</v>
          </cell>
          <cell r="M198">
            <v>1.3573981415296639</v>
          </cell>
          <cell r="N198">
            <v>6.432451751250893</v>
          </cell>
          <cell r="O198">
            <v>6.157813702848344</v>
          </cell>
          <cell r="P198">
            <v>0.9285203716940672</v>
          </cell>
          <cell r="Q198" t="str">
            <v>EUR</v>
          </cell>
          <cell r="R198">
            <v>121.99</v>
          </cell>
          <cell r="S198">
            <v>18.989999999999998</v>
          </cell>
          <cell r="T198">
            <v>89.99</v>
          </cell>
          <cell r="U198">
            <v>13.99</v>
          </cell>
          <cell r="V198">
            <v>79.989999999999995</v>
          </cell>
          <cell r="W198">
            <v>12.99</v>
          </cell>
          <cell r="X198">
            <v>6.4239073196419172</v>
          </cell>
          <cell r="Y198">
            <v>1.3573981415296639</v>
          </cell>
          <cell r="Z198">
            <v>6.432451751250893</v>
          </cell>
          <cell r="AA198">
            <v>6.157813702848344</v>
          </cell>
          <cell r="AB198">
            <v>0.9285203716940672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1.1778500000000001</v>
          </cell>
          <cell r="AL198">
            <v>143.68592150000001</v>
          </cell>
          <cell r="AM198">
            <v>22.367371500000001</v>
          </cell>
          <cell r="AN198">
            <v>105.9947215</v>
          </cell>
          <cell r="AO198">
            <v>16.4781215</v>
          </cell>
          <cell r="AP198">
            <v>94.216221500000003</v>
          </cell>
          <cell r="AQ198">
            <v>15.300271500000001</v>
          </cell>
          <cell r="AS198" t="str">
            <v>SI</v>
          </cell>
        </row>
        <row r="199">
          <cell r="B199" t="str">
            <v>Solomon Islands</v>
          </cell>
          <cell r="C199" t="str">
            <v>Asia</v>
          </cell>
          <cell r="E199" t="str">
            <v>SBD</v>
          </cell>
          <cell r="F199">
            <v>563.99</v>
          </cell>
          <cell r="G199">
            <v>93.99</v>
          </cell>
          <cell r="H199">
            <v>419.99</v>
          </cell>
          <cell r="I199">
            <v>69.989999999999995</v>
          </cell>
          <cell r="J199">
            <v>377.99</v>
          </cell>
          <cell r="K199">
            <v>62.99</v>
          </cell>
          <cell r="L199">
            <v>6.0005319714863283</v>
          </cell>
          <cell r="M199">
            <v>1.3429061294470639</v>
          </cell>
          <cell r="N199">
            <v>6.0007143877696816</v>
          </cell>
          <cell r="O199">
            <v>6.0007937767899664</v>
          </cell>
          <cell r="P199">
            <v>0.89998571224460644</v>
          </cell>
          <cell r="Q199" t="str">
            <v>SBD</v>
          </cell>
          <cell r="R199">
            <v>563.99</v>
          </cell>
          <cell r="S199">
            <v>93.99</v>
          </cell>
          <cell r="T199">
            <v>419.99</v>
          </cell>
          <cell r="U199">
            <v>69.989999999999995</v>
          </cell>
          <cell r="V199">
            <v>377.99</v>
          </cell>
          <cell r="W199">
            <v>62.99</v>
          </cell>
          <cell r="X199">
            <v>6.0005319714863283</v>
          </cell>
          <cell r="Y199">
            <v>1.3429061294470639</v>
          </cell>
          <cell r="Z199">
            <v>6.0007143877696816</v>
          </cell>
          <cell r="AA199">
            <v>6.0007937767899664</v>
          </cell>
          <cell r="AB199">
            <v>0.89998571224460644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0.11970001</v>
          </cell>
          <cell r="AL199">
            <v>67.509608639899994</v>
          </cell>
          <cell r="AM199">
            <v>11.2506039399</v>
          </cell>
          <cell r="AN199">
            <v>50.272807199900001</v>
          </cell>
          <cell r="AO199">
            <v>8.3778036998999994</v>
          </cell>
          <cell r="AP199">
            <v>45.245406779900001</v>
          </cell>
          <cell r="AQ199">
            <v>7.5399036299000004</v>
          </cell>
          <cell r="AS199" t="str">
            <v>SB</v>
          </cell>
        </row>
        <row r="200">
          <cell r="B200" t="str">
            <v>Somalia</v>
          </cell>
          <cell r="C200" t="str">
            <v>Africa</v>
          </cell>
          <cell r="E200" t="str">
            <v>SOS</v>
          </cell>
          <cell r="F200">
            <v>33889.99</v>
          </cell>
          <cell r="G200">
            <v>5649.99</v>
          </cell>
          <cell r="H200">
            <v>25039.99</v>
          </cell>
          <cell r="I200">
            <v>4174.99</v>
          </cell>
          <cell r="J200">
            <v>22549.99</v>
          </cell>
          <cell r="K200">
            <v>3754.99</v>
          </cell>
          <cell r="L200">
            <v>5.9982389349361682</v>
          </cell>
          <cell r="M200">
            <v>1.3532942593874477</v>
          </cell>
          <cell r="N200">
            <v>5.9976167607587092</v>
          </cell>
          <cell r="O200">
            <v>6.0053395614901781</v>
          </cell>
          <cell r="P200">
            <v>0.899400956648998</v>
          </cell>
          <cell r="Q200" t="str">
            <v>SOS</v>
          </cell>
          <cell r="R200">
            <v>33889.99</v>
          </cell>
          <cell r="S200">
            <v>5649.99</v>
          </cell>
          <cell r="T200">
            <v>25039.99</v>
          </cell>
          <cell r="U200">
            <v>4174.99</v>
          </cell>
          <cell r="V200">
            <v>22549.99</v>
          </cell>
          <cell r="W200">
            <v>3754.99</v>
          </cell>
          <cell r="X200">
            <v>5.9982389349361682</v>
          </cell>
          <cell r="Y200">
            <v>1.3532942593874477</v>
          </cell>
          <cell r="Z200">
            <v>5.9976167607587092</v>
          </cell>
          <cell r="AA200">
            <v>6.0053395614901781</v>
          </cell>
          <cell r="AB200">
            <v>0.899400956648998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1.7502179E-3</v>
          </cell>
          <cell r="AL200">
            <v>59.314867128820993</v>
          </cell>
          <cell r="AM200">
            <v>9.8887136328210001</v>
          </cell>
          <cell r="AN200">
            <v>43.825438713821001</v>
          </cell>
          <cell r="AO200">
            <v>7.3071422303209994</v>
          </cell>
          <cell r="AP200">
            <v>39.467396142821002</v>
          </cell>
          <cell r="AQ200">
            <v>6.5720507123209995</v>
          </cell>
          <cell r="AS200" t="str">
            <v>SO</v>
          </cell>
        </row>
        <row r="201">
          <cell r="B201" t="str">
            <v>South Africa</v>
          </cell>
          <cell r="C201" t="str">
            <v>Africa</v>
          </cell>
          <cell r="D201" t="str">
            <v>D</v>
          </cell>
          <cell r="E201" t="str">
            <v>ZAR</v>
          </cell>
          <cell r="F201">
            <v>1133.99</v>
          </cell>
          <cell r="G201">
            <v>188.99</v>
          </cell>
          <cell r="H201">
            <v>839.99</v>
          </cell>
          <cell r="I201">
            <v>139.99</v>
          </cell>
          <cell r="J201">
            <v>755.99</v>
          </cell>
          <cell r="K201">
            <v>125.99</v>
          </cell>
          <cell r="L201">
            <v>6.0002645642626593</v>
          </cell>
          <cell r="M201">
            <v>1.3500250017858417</v>
          </cell>
          <cell r="N201">
            <v>6.0003571683691685</v>
          </cell>
          <cell r="O201">
            <v>6.0003968568934045</v>
          </cell>
          <cell r="P201">
            <v>0.89999285663261652</v>
          </cell>
          <cell r="Q201" t="str">
            <v>ZAR</v>
          </cell>
          <cell r="R201">
            <v>1133.99</v>
          </cell>
          <cell r="S201">
            <v>188.99</v>
          </cell>
          <cell r="T201">
            <v>839.99</v>
          </cell>
          <cell r="U201">
            <v>139.99</v>
          </cell>
          <cell r="V201">
            <v>755.99</v>
          </cell>
          <cell r="W201">
            <v>125.99</v>
          </cell>
          <cell r="X201">
            <v>6.0002645642626593</v>
          </cell>
          <cell r="Y201">
            <v>1.3500250017858417</v>
          </cell>
          <cell r="Z201">
            <v>6.0003571683691685</v>
          </cell>
          <cell r="AA201">
            <v>6.0003968568934045</v>
          </cell>
          <cell r="AB201">
            <v>0.89999285663261652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5.6777857000000001E-2</v>
          </cell>
          <cell r="AL201">
            <v>64.385522059430002</v>
          </cell>
          <cell r="AM201">
            <v>10.730447194430001</v>
          </cell>
          <cell r="AN201">
            <v>47.69283210143</v>
          </cell>
          <cell r="AO201">
            <v>7.9483322014300004</v>
          </cell>
          <cell r="AP201">
            <v>42.923492113430001</v>
          </cell>
          <cell r="AQ201">
            <v>7.15344220343</v>
          </cell>
          <cell r="AS201" t="str">
            <v>ZA</v>
          </cell>
        </row>
        <row r="202">
          <cell r="B202" t="str">
            <v>South Georgia (Sgssi)</v>
          </cell>
          <cell r="C202" t="str">
            <v>Europe</v>
          </cell>
          <cell r="E202" t="str">
            <v>GBP</v>
          </cell>
          <cell r="F202">
            <v>89.99</v>
          </cell>
          <cell r="G202">
            <v>12.99</v>
          </cell>
          <cell r="H202">
            <v>69.989999999999995</v>
          </cell>
          <cell r="I202">
            <v>9.99</v>
          </cell>
          <cell r="J202">
            <v>59.99</v>
          </cell>
          <cell r="K202">
            <v>8.99</v>
          </cell>
          <cell r="L202">
            <v>6.9276366435719776</v>
          </cell>
          <cell r="M202">
            <v>1.3003003003003002</v>
          </cell>
          <cell r="N202">
            <v>7.0060060060060056</v>
          </cell>
          <cell r="O202">
            <v>6.6729699666295881</v>
          </cell>
          <cell r="P202">
            <v>0.89989989989989994</v>
          </cell>
          <cell r="Q202" t="str">
            <v>GBP</v>
          </cell>
          <cell r="R202">
            <v>89.99</v>
          </cell>
          <cell r="S202">
            <v>12.99</v>
          </cell>
          <cell r="T202">
            <v>69.989999999999995</v>
          </cell>
          <cell r="U202">
            <v>9.99</v>
          </cell>
          <cell r="V202">
            <v>59.99</v>
          </cell>
          <cell r="W202">
            <v>8.99</v>
          </cell>
          <cell r="X202">
            <v>6.9276366435719776</v>
          </cell>
          <cell r="Y202">
            <v>1.3003003003003002</v>
          </cell>
          <cell r="Z202">
            <v>7.0060060060060056</v>
          </cell>
          <cell r="AA202">
            <v>6.6729699666295881</v>
          </cell>
          <cell r="AB202">
            <v>0.89989989989989994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1.36425</v>
          </cell>
          <cell r="AL202">
            <v>122.7688575</v>
          </cell>
          <cell r="AM202">
            <v>17.721607500000001</v>
          </cell>
          <cell r="AN202">
            <v>95.483857499999985</v>
          </cell>
          <cell r="AO202">
            <v>13.628857500000001</v>
          </cell>
          <cell r="AP202">
            <v>81.841357500000001</v>
          </cell>
          <cell r="AQ202">
            <v>12.2646075</v>
          </cell>
          <cell r="AS202" t="str">
            <v>GS</v>
          </cell>
        </row>
        <row r="203">
          <cell r="B203" t="str">
            <v>South Korea</v>
          </cell>
          <cell r="C203" t="str">
            <v>Asia</v>
          </cell>
          <cell r="D203" t="str">
            <v>E~</v>
          </cell>
          <cell r="E203" t="str">
            <v>KRW</v>
          </cell>
          <cell r="F203">
            <v>189990</v>
          </cell>
          <cell r="G203">
            <v>29990</v>
          </cell>
          <cell r="H203">
            <v>129990</v>
          </cell>
          <cell r="I203">
            <v>20000</v>
          </cell>
          <cell r="J203">
            <v>115000</v>
          </cell>
          <cell r="K203">
            <v>18000</v>
          </cell>
          <cell r="L203">
            <v>6.3351117039013003</v>
          </cell>
          <cell r="M203">
            <v>1.4995000000000001</v>
          </cell>
          <cell r="N203">
            <v>6.4995000000000003</v>
          </cell>
          <cell r="O203">
            <v>6.3888888888888893</v>
          </cell>
          <cell r="P203">
            <v>0.9</v>
          </cell>
          <cell r="Q203" t="str">
            <v>KRW</v>
          </cell>
          <cell r="R203">
            <v>189990</v>
          </cell>
          <cell r="S203">
            <v>29990</v>
          </cell>
          <cell r="T203">
            <v>129990</v>
          </cell>
          <cell r="U203">
            <v>20000</v>
          </cell>
          <cell r="V203">
            <v>115000</v>
          </cell>
          <cell r="W203">
            <v>18000</v>
          </cell>
          <cell r="X203">
            <v>6.3351117039013003</v>
          </cell>
          <cell r="Y203">
            <v>1.4995000000000001</v>
          </cell>
          <cell r="Z203">
            <v>6.4995000000000003</v>
          </cell>
          <cell r="AA203">
            <v>6.3888888888888893</v>
          </cell>
          <cell r="AB203">
            <v>0.9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7.3440310000000004E-4</v>
          </cell>
          <cell r="AL203">
            <v>139.52924496900002</v>
          </cell>
          <cell r="AM203">
            <v>22.024748969000001</v>
          </cell>
          <cell r="AN203">
            <v>95.465058969000012</v>
          </cell>
          <cell r="AO203">
            <v>14.688062</v>
          </cell>
          <cell r="AP203">
            <v>84.456356499999998</v>
          </cell>
          <cell r="AQ203">
            <v>13.219255800000001</v>
          </cell>
          <cell r="AS203" t="str">
            <v>KR</v>
          </cell>
        </row>
        <row r="204">
          <cell r="B204" t="str">
            <v>South Sudan</v>
          </cell>
          <cell r="C204" t="str">
            <v>Middle East</v>
          </cell>
          <cell r="E204" t="str">
            <v>USD</v>
          </cell>
          <cell r="F204">
            <v>71.989999999999995</v>
          </cell>
          <cell r="G204">
            <v>11.99</v>
          </cell>
          <cell r="H204">
            <v>53.99</v>
          </cell>
          <cell r="I204">
            <v>8.99</v>
          </cell>
          <cell r="J204">
            <v>47.99</v>
          </cell>
          <cell r="K204">
            <v>7.99</v>
          </cell>
          <cell r="L204">
            <v>6.0041701417848206</v>
          </cell>
          <cell r="M204">
            <v>1.3337041156840934</v>
          </cell>
          <cell r="N204">
            <v>6.0055617352614012</v>
          </cell>
          <cell r="O204">
            <v>6.0062578222778473</v>
          </cell>
          <cell r="P204">
            <v>0.88876529477196886</v>
          </cell>
          <cell r="Q204" t="str">
            <v>USD</v>
          </cell>
          <cell r="R204">
            <v>71.989999999999995</v>
          </cell>
          <cell r="S204">
            <v>11.99</v>
          </cell>
          <cell r="T204">
            <v>53.99</v>
          </cell>
          <cell r="U204">
            <v>8.99</v>
          </cell>
          <cell r="V204">
            <v>47.99</v>
          </cell>
          <cell r="W204">
            <v>7.99</v>
          </cell>
          <cell r="X204">
            <v>6.0041701417848206</v>
          </cell>
          <cell r="Y204">
            <v>1.3337041156840934</v>
          </cell>
          <cell r="Z204">
            <v>6.0055617352614012</v>
          </cell>
          <cell r="AA204">
            <v>6.0062578222778473</v>
          </cell>
          <cell r="AB204">
            <v>0.88876529477196886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1</v>
          </cell>
          <cell r="AL204">
            <v>71.989999999999995</v>
          </cell>
          <cell r="AM204">
            <v>11.99</v>
          </cell>
          <cell r="AN204">
            <v>53.99</v>
          </cell>
          <cell r="AO204">
            <v>8.99</v>
          </cell>
          <cell r="AP204">
            <v>47.99</v>
          </cell>
          <cell r="AQ204">
            <v>7.99</v>
          </cell>
          <cell r="AS204" t="str">
            <v>SS</v>
          </cell>
        </row>
        <row r="205">
          <cell r="B205" t="str">
            <v>Spain</v>
          </cell>
          <cell r="C205" t="str">
            <v>Europe</v>
          </cell>
          <cell r="D205" t="str">
            <v>B</v>
          </cell>
          <cell r="E205" t="str">
            <v>EUR</v>
          </cell>
          <cell r="F205">
            <v>139.99</v>
          </cell>
          <cell r="G205">
            <v>19.989999999999998</v>
          </cell>
          <cell r="H205">
            <v>109.99</v>
          </cell>
          <cell r="I205">
            <v>15.99</v>
          </cell>
          <cell r="J205">
            <v>94.99</v>
          </cell>
          <cell r="K205">
            <v>13.99</v>
          </cell>
          <cell r="L205">
            <v>7.0030015007503765</v>
          </cell>
          <cell r="M205">
            <v>1.2501563477173232</v>
          </cell>
          <cell r="N205">
            <v>6.8786741713570976</v>
          </cell>
          <cell r="O205">
            <v>6.7898498927805573</v>
          </cell>
          <cell r="P205">
            <v>0.87492182614133829</v>
          </cell>
          <cell r="Q205" t="str">
            <v>EUR</v>
          </cell>
          <cell r="R205">
            <v>139.99</v>
          </cell>
          <cell r="S205">
            <v>19.989999999999998</v>
          </cell>
          <cell r="T205">
            <v>109.99</v>
          </cell>
          <cell r="U205">
            <v>15.99</v>
          </cell>
          <cell r="V205">
            <v>94.99</v>
          </cell>
          <cell r="W205">
            <v>13.99</v>
          </cell>
          <cell r="X205">
            <v>7.0030015007503765</v>
          </cell>
          <cell r="Y205">
            <v>1.2501563477173232</v>
          </cell>
          <cell r="Z205">
            <v>6.8786741713570976</v>
          </cell>
          <cell r="AA205">
            <v>6.7898498927805573</v>
          </cell>
          <cell r="AB205">
            <v>0.87492182614133829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1.1778500000000001</v>
          </cell>
          <cell r="AL205">
            <v>164.88722150000001</v>
          </cell>
          <cell r="AM205">
            <v>23.5452215</v>
          </cell>
          <cell r="AN205">
            <v>129.55172150000001</v>
          </cell>
          <cell r="AO205">
            <v>18.833821500000003</v>
          </cell>
          <cell r="AP205">
            <v>111.8839715</v>
          </cell>
          <cell r="AQ205">
            <v>16.4781215</v>
          </cell>
          <cell r="AS205" t="str">
            <v>ES</v>
          </cell>
        </row>
        <row r="206">
          <cell r="B206" t="str">
            <v>Sri Lanka</v>
          </cell>
          <cell r="C206" t="str">
            <v>Asia</v>
          </cell>
          <cell r="E206" t="str">
            <v>LKR</v>
          </cell>
          <cell r="F206">
            <v>15420</v>
          </cell>
          <cell r="G206">
            <v>2570</v>
          </cell>
          <cell r="H206">
            <v>11400</v>
          </cell>
          <cell r="I206">
            <v>1900</v>
          </cell>
          <cell r="J206">
            <v>10260</v>
          </cell>
          <cell r="K206">
            <v>1710</v>
          </cell>
          <cell r="L206">
            <v>6</v>
          </cell>
          <cell r="M206">
            <v>1.3526315789473684</v>
          </cell>
          <cell r="N206">
            <v>6</v>
          </cell>
          <cell r="O206">
            <v>6</v>
          </cell>
          <cell r="P206">
            <v>0.9</v>
          </cell>
          <cell r="Q206" t="str">
            <v>LKR</v>
          </cell>
          <cell r="R206">
            <v>15420</v>
          </cell>
          <cell r="S206">
            <v>2570</v>
          </cell>
          <cell r="T206">
            <v>11400</v>
          </cell>
          <cell r="U206">
            <v>1900</v>
          </cell>
          <cell r="V206">
            <v>10260</v>
          </cell>
          <cell r="W206">
            <v>1710</v>
          </cell>
          <cell r="X206">
            <v>6</v>
          </cell>
          <cell r="Y206">
            <v>1.3526315789473684</v>
          </cell>
          <cell r="Z206">
            <v>6</v>
          </cell>
          <cell r="AA206">
            <v>6</v>
          </cell>
          <cell r="AB206">
            <v>0.9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3.3330555999999999E-3</v>
          </cell>
          <cell r="AL206">
            <v>51.395717351999998</v>
          </cell>
          <cell r="AM206">
            <v>8.5659528920000003</v>
          </cell>
          <cell r="AN206">
            <v>37.996833840000001</v>
          </cell>
          <cell r="AO206">
            <v>6.3328056400000001</v>
          </cell>
          <cell r="AP206">
            <v>34.197150455999996</v>
          </cell>
          <cell r="AQ206">
            <v>5.6995250759999996</v>
          </cell>
          <cell r="AS206" t="str">
            <v>LK</v>
          </cell>
        </row>
        <row r="207">
          <cell r="B207" t="str">
            <v>St. Barthelemy</v>
          </cell>
          <cell r="C207" t="str">
            <v>Latin America</v>
          </cell>
          <cell r="E207" t="str">
            <v>EUR</v>
          </cell>
          <cell r="F207">
            <v>77.989999999999995</v>
          </cell>
          <cell r="G207">
            <v>12.99</v>
          </cell>
          <cell r="H207">
            <v>59.99</v>
          </cell>
          <cell r="I207">
            <v>9.99</v>
          </cell>
          <cell r="J207">
            <v>53.99</v>
          </cell>
          <cell r="K207">
            <v>8.99</v>
          </cell>
          <cell r="L207">
            <v>6.0038491147036179</v>
          </cell>
          <cell r="M207">
            <v>1.3003003003003002</v>
          </cell>
          <cell r="N207">
            <v>6.005005005005005</v>
          </cell>
          <cell r="O207">
            <v>6.0055617352614012</v>
          </cell>
          <cell r="P207">
            <v>0.89989989989989994</v>
          </cell>
          <cell r="Q207" t="str">
            <v>EUR</v>
          </cell>
          <cell r="R207">
            <v>77.989999999999995</v>
          </cell>
          <cell r="S207">
            <v>12.99</v>
          </cell>
          <cell r="T207">
            <v>59.99</v>
          </cell>
          <cell r="U207">
            <v>9.99</v>
          </cell>
          <cell r="V207">
            <v>53.99</v>
          </cell>
          <cell r="W207">
            <v>8.99</v>
          </cell>
          <cell r="X207">
            <v>6.0038491147036179</v>
          </cell>
          <cell r="Y207">
            <v>1.3003003003003002</v>
          </cell>
          <cell r="Z207">
            <v>6.005005005005005</v>
          </cell>
          <cell r="AA207">
            <v>6.0055617352614012</v>
          </cell>
          <cell r="AB207">
            <v>0.89989989989989994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1.1778500000000001</v>
          </cell>
          <cell r="AL207">
            <v>91.860521500000004</v>
          </cell>
          <cell r="AM207">
            <v>15.300271500000001</v>
          </cell>
          <cell r="AN207">
            <v>70.659221500000001</v>
          </cell>
          <cell r="AO207">
            <v>11.766721500000001</v>
          </cell>
          <cell r="AP207">
            <v>63.592121500000005</v>
          </cell>
          <cell r="AQ207">
            <v>10.588871500000002</v>
          </cell>
          <cell r="AS207" t="str">
            <v>BL</v>
          </cell>
        </row>
        <row r="208">
          <cell r="B208" t="str">
            <v>St. Helena</v>
          </cell>
          <cell r="C208" t="str">
            <v>Africa</v>
          </cell>
          <cell r="E208" t="str">
            <v>SHP</v>
          </cell>
          <cell r="F208">
            <v>53.99</v>
          </cell>
          <cell r="G208">
            <v>8.99</v>
          </cell>
          <cell r="H208">
            <v>41.99</v>
          </cell>
          <cell r="I208">
            <v>6.99</v>
          </cell>
          <cell r="J208">
            <v>35.99</v>
          </cell>
          <cell r="K208">
            <v>5.99</v>
          </cell>
          <cell r="L208">
            <v>6.0055617352614012</v>
          </cell>
          <cell r="M208">
            <v>1.2861230329041489</v>
          </cell>
          <cell r="N208">
            <v>6.0071530758226039</v>
          </cell>
          <cell r="O208">
            <v>6.0083472454090154</v>
          </cell>
          <cell r="P208">
            <v>0.85693848354792557</v>
          </cell>
          <cell r="Q208" t="str">
            <v>SHP</v>
          </cell>
          <cell r="R208">
            <v>53.99</v>
          </cell>
          <cell r="S208">
            <v>8.99</v>
          </cell>
          <cell r="T208">
            <v>41.99</v>
          </cell>
          <cell r="U208">
            <v>6.99</v>
          </cell>
          <cell r="V208">
            <v>35.99</v>
          </cell>
          <cell r="W208">
            <v>5.99</v>
          </cell>
          <cell r="X208">
            <v>6.0055617352614012</v>
          </cell>
          <cell r="Y208">
            <v>1.2861230329041489</v>
          </cell>
          <cell r="Z208">
            <v>6.0071530758226039</v>
          </cell>
          <cell r="AA208">
            <v>6.0083472454090154</v>
          </cell>
          <cell r="AB208">
            <v>0.85693848354792557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1.3657999999999999</v>
          </cell>
          <cell r="AL208">
            <v>73.739542</v>
          </cell>
          <cell r="AM208">
            <v>12.278542</v>
          </cell>
          <cell r="AN208">
            <v>57.349941999999999</v>
          </cell>
          <cell r="AO208">
            <v>9.5469419999999996</v>
          </cell>
          <cell r="AP208">
            <v>49.155141999999998</v>
          </cell>
          <cell r="AQ208">
            <v>8.1811419999999995</v>
          </cell>
          <cell r="AS208" t="str">
            <v>SH</v>
          </cell>
        </row>
        <row r="209">
          <cell r="B209" t="str">
            <v>St. Kitts And Nevis</v>
          </cell>
          <cell r="C209" t="str">
            <v>Latin America</v>
          </cell>
          <cell r="E209" t="str">
            <v>XCD</v>
          </cell>
          <cell r="F209">
            <v>269.99</v>
          </cell>
          <cell r="G209">
            <v>44.99</v>
          </cell>
          <cell r="H209">
            <v>197.99</v>
          </cell>
          <cell r="I209">
            <v>32.99</v>
          </cell>
          <cell r="J209">
            <v>179.99</v>
          </cell>
          <cell r="K209">
            <v>29.99</v>
          </cell>
          <cell r="L209">
            <v>6.001111358079573</v>
          </cell>
          <cell r="M209">
            <v>1.36374658987572</v>
          </cell>
          <cell r="N209">
            <v>6.0015156107911487</v>
          </cell>
          <cell r="O209">
            <v>6.0016672224074696</v>
          </cell>
          <cell r="P209">
            <v>0.90906335253106996</v>
          </cell>
          <cell r="Q209" t="str">
            <v>XCD</v>
          </cell>
          <cell r="R209">
            <v>269.99</v>
          </cell>
          <cell r="S209">
            <v>44.99</v>
          </cell>
          <cell r="T209">
            <v>197.99</v>
          </cell>
          <cell r="U209">
            <v>32.99</v>
          </cell>
          <cell r="V209">
            <v>179.99</v>
          </cell>
          <cell r="W209">
            <v>29.99</v>
          </cell>
          <cell r="X209">
            <v>6.001111358079573</v>
          </cell>
          <cell r="Y209">
            <v>1.36374658987572</v>
          </cell>
          <cell r="Z209">
            <v>6.0015156107911487</v>
          </cell>
          <cell r="AA209">
            <v>6.0016672224074696</v>
          </cell>
          <cell r="AB209">
            <v>0.90906335253106996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0.37037036000000001</v>
          </cell>
          <cell r="AL209">
            <v>99.9962934964</v>
          </cell>
          <cell r="AM209">
            <v>16.662962496400002</v>
          </cell>
          <cell r="AN209">
            <v>73.3296275764</v>
          </cell>
          <cell r="AO209">
            <v>12.218518176400002</v>
          </cell>
          <cell r="AP209">
            <v>66.662961096400011</v>
          </cell>
          <cell r="AQ209">
            <v>11.107407096399999</v>
          </cell>
          <cell r="AS209" t="str">
            <v>KN</v>
          </cell>
        </row>
        <row r="210">
          <cell r="B210" t="str">
            <v>St. Lucia</v>
          </cell>
          <cell r="C210" t="str">
            <v>Latin America</v>
          </cell>
          <cell r="E210" t="str">
            <v>XCD</v>
          </cell>
          <cell r="F210">
            <v>239.99</v>
          </cell>
          <cell r="G210">
            <v>39.99</v>
          </cell>
          <cell r="H210">
            <v>179.99</v>
          </cell>
          <cell r="I210">
            <v>29.99</v>
          </cell>
          <cell r="J210">
            <v>161.99</v>
          </cell>
          <cell r="K210">
            <v>26.99</v>
          </cell>
          <cell r="L210">
            <v>6.0012503125781445</v>
          </cell>
          <cell r="M210">
            <v>1.3334444814938313</v>
          </cell>
          <cell r="N210">
            <v>6.0016672224074696</v>
          </cell>
          <cell r="O210">
            <v>6.0018525379770296</v>
          </cell>
          <cell r="P210">
            <v>0.89996665555185063</v>
          </cell>
          <cell r="Q210" t="str">
            <v>XCD</v>
          </cell>
          <cell r="R210">
            <v>239.99</v>
          </cell>
          <cell r="S210">
            <v>39.99</v>
          </cell>
          <cell r="T210">
            <v>179.99</v>
          </cell>
          <cell r="U210">
            <v>29.99</v>
          </cell>
          <cell r="V210">
            <v>161.99</v>
          </cell>
          <cell r="W210">
            <v>26.99</v>
          </cell>
          <cell r="X210">
            <v>6.0012503125781445</v>
          </cell>
          <cell r="Y210">
            <v>1.3334444814938313</v>
          </cell>
          <cell r="Z210">
            <v>6.0016672224074696</v>
          </cell>
          <cell r="AA210">
            <v>6.0018525379770296</v>
          </cell>
          <cell r="AB210">
            <v>0.89996665555185063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0.37037036000000001</v>
          </cell>
          <cell r="AL210">
            <v>88.885182696400008</v>
          </cell>
          <cell r="AM210">
            <v>14.811110696400002</v>
          </cell>
          <cell r="AN210">
            <v>66.662961096400011</v>
          </cell>
          <cell r="AO210">
            <v>11.107407096399999</v>
          </cell>
          <cell r="AP210">
            <v>59.996294616400007</v>
          </cell>
          <cell r="AQ210">
            <v>9.9962960164000005</v>
          </cell>
          <cell r="AS210" t="str">
            <v>LC</v>
          </cell>
        </row>
        <row r="211">
          <cell r="B211" t="str">
            <v>St. Pierre And Miquelon</v>
          </cell>
          <cell r="C211" t="str">
            <v>Latin America</v>
          </cell>
          <cell r="E211" t="str">
            <v>EUR</v>
          </cell>
          <cell r="F211">
            <v>77.989999999999995</v>
          </cell>
          <cell r="G211">
            <v>12.99</v>
          </cell>
          <cell r="H211">
            <v>59.99</v>
          </cell>
          <cell r="I211">
            <v>9.99</v>
          </cell>
          <cell r="J211">
            <v>53.99</v>
          </cell>
          <cell r="K211">
            <v>8.99</v>
          </cell>
          <cell r="L211">
            <v>6.0038491147036179</v>
          </cell>
          <cell r="M211">
            <v>1.3003003003003002</v>
          </cell>
          <cell r="N211">
            <v>6.005005005005005</v>
          </cell>
          <cell r="O211">
            <v>6.0055617352614012</v>
          </cell>
          <cell r="P211">
            <v>0.89989989989989994</v>
          </cell>
          <cell r="Q211" t="str">
            <v>EUR</v>
          </cell>
          <cell r="R211">
            <v>77.989999999999995</v>
          </cell>
          <cell r="S211">
            <v>12.99</v>
          </cell>
          <cell r="T211">
            <v>59.99</v>
          </cell>
          <cell r="U211">
            <v>9.99</v>
          </cell>
          <cell r="V211">
            <v>53.99</v>
          </cell>
          <cell r="W211">
            <v>8.99</v>
          </cell>
          <cell r="X211">
            <v>6.0038491147036179</v>
          </cell>
          <cell r="Y211">
            <v>1.3003003003003002</v>
          </cell>
          <cell r="Z211">
            <v>6.005005005005005</v>
          </cell>
          <cell r="AA211">
            <v>6.0055617352614012</v>
          </cell>
          <cell r="AB211">
            <v>0.89989989989989994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1.1778500000000001</v>
          </cell>
          <cell r="AL211">
            <v>91.860521500000004</v>
          </cell>
          <cell r="AM211">
            <v>15.300271500000001</v>
          </cell>
          <cell r="AN211">
            <v>70.659221500000001</v>
          </cell>
          <cell r="AO211">
            <v>11.766721500000001</v>
          </cell>
          <cell r="AP211">
            <v>63.592121500000005</v>
          </cell>
          <cell r="AQ211">
            <v>10.588871500000002</v>
          </cell>
          <cell r="AS211" t="str">
            <v>PM</v>
          </cell>
        </row>
        <row r="212">
          <cell r="B212" t="str">
            <v>St. Vincent And The Grenadines</v>
          </cell>
          <cell r="C212" t="str">
            <v>Latin America</v>
          </cell>
          <cell r="E212" t="str">
            <v>XCD</v>
          </cell>
          <cell r="F212">
            <v>239.99</v>
          </cell>
          <cell r="G212">
            <v>39.99</v>
          </cell>
          <cell r="H212">
            <v>179.99</v>
          </cell>
          <cell r="I212">
            <v>29.99</v>
          </cell>
          <cell r="J212">
            <v>161.99</v>
          </cell>
          <cell r="K212">
            <v>26.99</v>
          </cell>
          <cell r="L212">
            <v>6.0012503125781445</v>
          </cell>
          <cell r="M212">
            <v>1.3334444814938313</v>
          </cell>
          <cell r="N212">
            <v>6.0016672224074696</v>
          </cell>
          <cell r="O212">
            <v>6.0018525379770296</v>
          </cell>
          <cell r="P212">
            <v>0.89996665555185063</v>
          </cell>
          <cell r="Q212" t="str">
            <v>XCD</v>
          </cell>
          <cell r="R212">
            <v>239.99</v>
          </cell>
          <cell r="S212">
            <v>39.99</v>
          </cell>
          <cell r="T212">
            <v>179.99</v>
          </cell>
          <cell r="U212">
            <v>29.99</v>
          </cell>
          <cell r="V212">
            <v>161.99</v>
          </cell>
          <cell r="W212">
            <v>26.99</v>
          </cell>
          <cell r="X212">
            <v>6.0012503125781445</v>
          </cell>
          <cell r="Y212">
            <v>1.3334444814938313</v>
          </cell>
          <cell r="Z212">
            <v>6.0016672224074696</v>
          </cell>
          <cell r="AA212">
            <v>6.0018525379770296</v>
          </cell>
          <cell r="AB212">
            <v>0.89996665555185063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0.37037036000000001</v>
          </cell>
          <cell r="AL212">
            <v>88.885182696400008</v>
          </cell>
          <cell r="AM212">
            <v>14.811110696400002</v>
          </cell>
          <cell r="AN212">
            <v>66.662961096400011</v>
          </cell>
          <cell r="AO212">
            <v>11.107407096399999</v>
          </cell>
          <cell r="AP212">
            <v>59.996294616400007</v>
          </cell>
          <cell r="AQ212">
            <v>9.9962960164000005</v>
          </cell>
          <cell r="AS212" t="str">
            <v>VC</v>
          </cell>
        </row>
        <row r="213">
          <cell r="B213" t="str">
            <v>Sudan</v>
          </cell>
          <cell r="C213" t="str">
            <v>Africa</v>
          </cell>
          <cell r="E213" t="str">
            <v>USD</v>
          </cell>
          <cell r="F213">
            <v>84.99</v>
          </cell>
          <cell r="G213">
            <v>13.99</v>
          </cell>
          <cell r="H213">
            <v>59.99</v>
          </cell>
          <cell r="I213">
            <v>9.99</v>
          </cell>
          <cell r="J213">
            <v>54.99</v>
          </cell>
          <cell r="K213">
            <v>8.99</v>
          </cell>
          <cell r="L213">
            <v>6.0750536097212287</v>
          </cell>
          <cell r="M213">
            <v>1.4004004004004005</v>
          </cell>
          <cell r="N213">
            <v>6.005005005005005</v>
          </cell>
          <cell r="O213">
            <v>6.1167964404894324</v>
          </cell>
          <cell r="P213">
            <v>0.89989989989989994</v>
          </cell>
          <cell r="Q213" t="str">
            <v>USD</v>
          </cell>
          <cell r="R213">
            <v>84.99</v>
          </cell>
          <cell r="S213">
            <v>13.99</v>
          </cell>
          <cell r="T213">
            <v>59.99</v>
          </cell>
          <cell r="U213">
            <v>9.99</v>
          </cell>
          <cell r="V213">
            <v>54.99</v>
          </cell>
          <cell r="W213">
            <v>8.99</v>
          </cell>
          <cell r="X213">
            <v>6.0750536097212287</v>
          </cell>
          <cell r="Y213">
            <v>1.4004004004004005</v>
          </cell>
          <cell r="Z213">
            <v>6.005005005005005</v>
          </cell>
          <cell r="AA213">
            <v>6.1167964404894324</v>
          </cell>
          <cell r="AB213">
            <v>0.89989989989989994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</v>
          </cell>
          <cell r="AL213">
            <v>84.99</v>
          </cell>
          <cell r="AM213">
            <v>13.99</v>
          </cell>
          <cell r="AN213">
            <v>59.99</v>
          </cell>
          <cell r="AO213">
            <v>9.99</v>
          </cell>
          <cell r="AP213">
            <v>54.99</v>
          </cell>
          <cell r="AQ213">
            <v>8.99</v>
          </cell>
          <cell r="AS213" t="str">
            <v>SD</v>
          </cell>
        </row>
        <row r="214">
          <cell r="B214" t="str">
            <v>Suriname</v>
          </cell>
          <cell r="C214" t="str">
            <v>Latin America</v>
          </cell>
          <cell r="E214" t="str">
            <v>SRD</v>
          </cell>
          <cell r="F214">
            <v>1860</v>
          </cell>
          <cell r="G214">
            <v>310</v>
          </cell>
          <cell r="H214">
            <v>1360</v>
          </cell>
          <cell r="I214">
            <v>227</v>
          </cell>
          <cell r="J214">
            <v>1200</v>
          </cell>
          <cell r="K214">
            <v>200</v>
          </cell>
          <cell r="L214">
            <v>6</v>
          </cell>
          <cell r="M214">
            <v>1.3656387665198237</v>
          </cell>
          <cell r="N214">
            <v>5.9911894273127757</v>
          </cell>
          <cell r="O214">
            <v>6</v>
          </cell>
          <cell r="P214">
            <v>0.88105726872246692</v>
          </cell>
          <cell r="Q214" t="str">
            <v>SRD</v>
          </cell>
          <cell r="R214">
            <v>1860</v>
          </cell>
          <cell r="S214">
            <v>310</v>
          </cell>
          <cell r="T214">
            <v>1360</v>
          </cell>
          <cell r="U214">
            <v>227</v>
          </cell>
          <cell r="V214">
            <v>1200</v>
          </cell>
          <cell r="W214">
            <v>200</v>
          </cell>
          <cell r="X214">
            <v>6</v>
          </cell>
          <cell r="Y214">
            <v>1.3656387665198237</v>
          </cell>
          <cell r="Z214">
            <v>5.9911894273127757</v>
          </cell>
          <cell r="AA214">
            <v>6</v>
          </cell>
          <cell r="AB214">
            <v>0.88105726872246692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2.6854289999999999E-2</v>
          </cell>
          <cell r="AL214">
            <v>49.948979399999999</v>
          </cell>
          <cell r="AM214">
            <v>8.3248298999999992</v>
          </cell>
          <cell r="AN214">
            <v>36.521834399999996</v>
          </cell>
          <cell r="AO214">
            <v>6.0959238300000003</v>
          </cell>
          <cell r="AP214">
            <v>32.225147999999997</v>
          </cell>
          <cell r="AQ214">
            <v>5.3708580000000001</v>
          </cell>
          <cell r="AS214" t="str">
            <v>SR</v>
          </cell>
        </row>
        <row r="215">
          <cell r="B215" t="str">
            <v>Svalbard And Jan Mayen</v>
          </cell>
          <cell r="C215" t="str">
            <v>Europe</v>
          </cell>
          <cell r="E215" t="str">
            <v>NOK</v>
          </cell>
          <cell r="F215">
            <v>1399.99</v>
          </cell>
          <cell r="G215">
            <v>199.99</v>
          </cell>
          <cell r="H215">
            <v>899.99</v>
          </cell>
          <cell r="I215">
            <v>149.99</v>
          </cell>
          <cell r="J215">
            <v>839.99</v>
          </cell>
          <cell r="K215">
            <v>139.99</v>
          </cell>
          <cell r="L215">
            <v>7.0003000150007502</v>
          </cell>
          <cell r="M215">
            <v>1.3333555570371358</v>
          </cell>
          <cell r="N215">
            <v>6.0003333555570366</v>
          </cell>
          <cell r="O215">
            <v>6.0003571683691685</v>
          </cell>
          <cell r="P215">
            <v>0.93332888859257279</v>
          </cell>
          <cell r="Q215" t="str">
            <v>NOK</v>
          </cell>
          <cell r="R215">
            <v>1399.99</v>
          </cell>
          <cell r="S215">
            <v>199.99</v>
          </cell>
          <cell r="T215">
            <v>899.99</v>
          </cell>
          <cell r="U215">
            <v>149.99</v>
          </cell>
          <cell r="V215">
            <v>839.99</v>
          </cell>
          <cell r="W215">
            <v>139.99</v>
          </cell>
          <cell r="X215">
            <v>7.0003000150007502</v>
          </cell>
          <cell r="Y215">
            <v>1.3333555570371358</v>
          </cell>
          <cell r="Z215">
            <v>6.0003333555570366</v>
          </cell>
          <cell r="AA215">
            <v>6.0003571683691685</v>
          </cell>
          <cell r="AB215">
            <v>0.93332888859257279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9.931719E-2</v>
          </cell>
          <cell r="AL215">
            <v>139.04307282810001</v>
          </cell>
          <cell r="AM215">
            <v>19.862444828099999</v>
          </cell>
          <cell r="AN215">
            <v>89.384477828100003</v>
          </cell>
          <cell r="AO215">
            <v>14.8965853281</v>
          </cell>
          <cell r="AP215">
            <v>83.425446428100003</v>
          </cell>
          <cell r="AQ215">
            <v>13.9034134281</v>
          </cell>
          <cell r="AS215" t="str">
            <v>SJ</v>
          </cell>
        </row>
        <row r="216">
          <cell r="B216" t="str">
            <v>Sweden</v>
          </cell>
          <cell r="C216" t="str">
            <v>Europe</v>
          </cell>
          <cell r="D216" t="str">
            <v>E~</v>
          </cell>
          <cell r="E216" t="str">
            <v>SEK</v>
          </cell>
          <cell r="F216">
            <v>1469.99</v>
          </cell>
          <cell r="G216">
            <v>219.99</v>
          </cell>
          <cell r="H216">
            <v>1069.99</v>
          </cell>
          <cell r="I216">
            <v>159.99</v>
          </cell>
          <cell r="J216">
            <v>969.99</v>
          </cell>
          <cell r="K216">
            <v>144.99</v>
          </cell>
          <cell r="L216">
            <v>6.682076458020819</v>
          </cell>
          <cell r="M216">
            <v>1.3750234389649354</v>
          </cell>
          <cell r="N216">
            <v>6.6878554909681851</v>
          </cell>
          <cell r="O216">
            <v>6.6900475894889295</v>
          </cell>
          <cell r="P216">
            <v>0.90624414025876621</v>
          </cell>
          <cell r="Q216" t="str">
            <v>SEK</v>
          </cell>
          <cell r="R216">
            <v>1469.99</v>
          </cell>
          <cell r="S216">
            <v>219.99</v>
          </cell>
          <cell r="T216">
            <v>1069.99</v>
          </cell>
          <cell r="U216">
            <v>159.99</v>
          </cell>
          <cell r="V216">
            <v>969.99</v>
          </cell>
          <cell r="W216">
            <v>144.99</v>
          </cell>
          <cell r="X216">
            <v>6.682076458020819</v>
          </cell>
          <cell r="Y216">
            <v>1.3750234389649354</v>
          </cell>
          <cell r="Z216">
            <v>6.6878554909681851</v>
          </cell>
          <cell r="AA216">
            <v>6.6900475894889295</v>
          </cell>
          <cell r="AB216">
            <v>0.90624414025876621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0.10462385</v>
          </cell>
          <cell r="AL216">
            <v>153.79601326150001</v>
          </cell>
          <cell r="AM216">
            <v>23.016200761500002</v>
          </cell>
          <cell r="AN216">
            <v>111.9464732615</v>
          </cell>
          <cell r="AO216">
            <v>16.738769761500002</v>
          </cell>
          <cell r="AP216">
            <v>101.48408826150001</v>
          </cell>
          <cell r="AQ216">
            <v>15.169412011500002</v>
          </cell>
          <cell r="AS216" t="str">
            <v>SE</v>
          </cell>
        </row>
        <row r="217">
          <cell r="B217" t="str">
            <v>Switzerland</v>
          </cell>
          <cell r="C217" t="str">
            <v>Europe</v>
          </cell>
          <cell r="D217" t="str">
            <v>E~</v>
          </cell>
          <cell r="E217" t="str">
            <v>CHF</v>
          </cell>
          <cell r="F217">
            <v>219.99</v>
          </cell>
          <cell r="G217">
            <v>33.99</v>
          </cell>
          <cell r="H217">
            <v>159.99</v>
          </cell>
          <cell r="I217">
            <v>24.99</v>
          </cell>
          <cell r="J217">
            <v>139.99</v>
          </cell>
          <cell r="K217">
            <v>21.99</v>
          </cell>
          <cell r="L217">
            <v>6.4721977052074138</v>
          </cell>
          <cell r="M217">
            <v>1.3601440576230495</v>
          </cell>
          <cell r="N217">
            <v>6.4021608643457393</v>
          </cell>
          <cell r="O217">
            <v>6.3660754888585727</v>
          </cell>
          <cell r="P217">
            <v>0.87995198079231696</v>
          </cell>
          <cell r="Q217" t="str">
            <v>CHF</v>
          </cell>
          <cell r="R217">
            <v>219.99</v>
          </cell>
          <cell r="S217">
            <v>33.99</v>
          </cell>
          <cell r="T217">
            <v>159.99</v>
          </cell>
          <cell r="U217">
            <v>24.99</v>
          </cell>
          <cell r="V217">
            <v>139.99</v>
          </cell>
          <cell r="W217">
            <v>21.99</v>
          </cell>
          <cell r="X217">
            <v>6.4721977052074138</v>
          </cell>
          <cell r="Y217">
            <v>1.3601440576230495</v>
          </cell>
          <cell r="Z217">
            <v>6.4021608643457393</v>
          </cell>
          <cell r="AA217">
            <v>6.3660754888585727</v>
          </cell>
          <cell r="AB217">
            <v>0.87995198079231696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1.2601599999999999</v>
          </cell>
          <cell r="AL217">
            <v>277.22259839999998</v>
          </cell>
          <cell r="AM217">
            <v>42.8328384</v>
          </cell>
          <cell r="AN217">
            <v>201.61299840000001</v>
          </cell>
          <cell r="AO217">
            <v>31.491398399999998</v>
          </cell>
          <cell r="AP217">
            <v>176.4097984</v>
          </cell>
          <cell r="AQ217">
            <v>27.710918399999997</v>
          </cell>
          <cell r="AS217" t="str">
            <v>CH</v>
          </cell>
        </row>
        <row r="218">
          <cell r="B218" t="str">
            <v>Syria</v>
          </cell>
          <cell r="C218" t="str">
            <v>Middle East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AK218" t="str">
            <v>#Calc</v>
          </cell>
          <cell r="AS218" t="e">
            <v>#N/A</v>
          </cell>
        </row>
        <row r="219">
          <cell r="B219" t="str">
            <v>Taiwan</v>
          </cell>
          <cell r="C219" t="str">
            <v>NBA China</v>
          </cell>
          <cell r="D219" t="str">
            <v>B</v>
          </cell>
          <cell r="E219" t="str">
            <v>TWD</v>
          </cell>
          <cell r="F219">
            <v>3590</v>
          </cell>
          <cell r="G219">
            <v>540</v>
          </cell>
          <cell r="H219">
            <v>2720</v>
          </cell>
          <cell r="I219">
            <v>390</v>
          </cell>
          <cell r="J219">
            <v>2450</v>
          </cell>
          <cell r="K219">
            <v>350</v>
          </cell>
          <cell r="L219">
            <v>6.6481481481481479</v>
          </cell>
          <cell r="M219">
            <v>1.3846153846153846</v>
          </cell>
          <cell r="N219">
            <v>6.9743589743589745</v>
          </cell>
          <cell r="O219">
            <v>7</v>
          </cell>
          <cell r="P219">
            <v>0.89743589743589747</v>
          </cell>
          <cell r="Q219" t="str">
            <v>TWD</v>
          </cell>
          <cell r="R219">
            <v>3590</v>
          </cell>
          <cell r="S219">
            <v>540</v>
          </cell>
          <cell r="T219">
            <v>2720</v>
          </cell>
          <cell r="U219">
            <v>390</v>
          </cell>
          <cell r="V219">
            <v>2450</v>
          </cell>
          <cell r="W219">
            <v>350</v>
          </cell>
          <cell r="X219">
            <v>6.6481481481481479</v>
          </cell>
          <cell r="Y219">
            <v>1.3846153846153846</v>
          </cell>
          <cell r="Z219">
            <v>6.9743589743589745</v>
          </cell>
          <cell r="AA219">
            <v>7</v>
          </cell>
          <cell r="AB219">
            <v>0.89743589743589747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3.4631435000000002E-2</v>
          </cell>
          <cell r="AL219">
            <v>124.32685165000001</v>
          </cell>
          <cell r="AM219">
            <v>18.700974900000002</v>
          </cell>
          <cell r="AN219">
            <v>94.1975032</v>
          </cell>
          <cell r="AO219">
            <v>13.506259650000001</v>
          </cell>
          <cell r="AP219">
            <v>84.847015750000011</v>
          </cell>
          <cell r="AQ219">
            <v>12.12100225</v>
          </cell>
          <cell r="AS219" t="str">
            <v>TW</v>
          </cell>
        </row>
        <row r="220">
          <cell r="B220" t="str">
            <v>Tajikistan</v>
          </cell>
          <cell r="C220" t="str">
            <v>Asia</v>
          </cell>
          <cell r="E220" t="str">
            <v>USD</v>
          </cell>
          <cell r="F220">
            <v>71.989999999999995</v>
          </cell>
          <cell r="G220">
            <v>11.99</v>
          </cell>
          <cell r="H220">
            <v>53.99</v>
          </cell>
          <cell r="I220">
            <v>8.99</v>
          </cell>
          <cell r="J220">
            <v>47.99</v>
          </cell>
          <cell r="K220">
            <v>7.99</v>
          </cell>
          <cell r="L220">
            <v>6.0041701417848206</v>
          </cell>
          <cell r="M220">
            <v>1.3337041156840934</v>
          </cell>
          <cell r="N220">
            <v>6.0055617352614012</v>
          </cell>
          <cell r="O220">
            <v>6.0062578222778473</v>
          </cell>
          <cell r="P220">
            <v>0.88876529477196886</v>
          </cell>
          <cell r="Q220" t="str">
            <v>USD</v>
          </cell>
          <cell r="R220">
            <v>71.989999999999995</v>
          </cell>
          <cell r="S220">
            <v>11.99</v>
          </cell>
          <cell r="T220">
            <v>53.99</v>
          </cell>
          <cell r="U220">
            <v>8.99</v>
          </cell>
          <cell r="V220">
            <v>47.99</v>
          </cell>
          <cell r="W220">
            <v>7.99</v>
          </cell>
          <cell r="X220">
            <v>6.0041701417848206</v>
          </cell>
          <cell r="Y220">
            <v>1.3337041156840934</v>
          </cell>
          <cell r="Z220">
            <v>6.0055617352614012</v>
          </cell>
          <cell r="AA220">
            <v>6.0062578222778473</v>
          </cell>
          <cell r="AB220">
            <v>0.88876529477196886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1</v>
          </cell>
          <cell r="AL220">
            <v>71.989999999999995</v>
          </cell>
          <cell r="AM220">
            <v>11.99</v>
          </cell>
          <cell r="AN220">
            <v>53.99</v>
          </cell>
          <cell r="AO220">
            <v>8.99</v>
          </cell>
          <cell r="AP220">
            <v>47.99</v>
          </cell>
          <cell r="AQ220">
            <v>7.99</v>
          </cell>
          <cell r="AS220" t="str">
            <v>TJ</v>
          </cell>
        </row>
        <row r="221">
          <cell r="B221" t="str">
            <v>Tanzania</v>
          </cell>
          <cell r="C221" t="str">
            <v>Africa</v>
          </cell>
          <cell r="E221" t="str">
            <v>TZS</v>
          </cell>
          <cell r="F221">
            <v>169320</v>
          </cell>
          <cell r="G221">
            <v>28220</v>
          </cell>
          <cell r="H221">
            <v>125400</v>
          </cell>
          <cell r="I221">
            <v>20900</v>
          </cell>
          <cell r="J221">
            <v>112860</v>
          </cell>
          <cell r="K221">
            <v>18810</v>
          </cell>
          <cell r="L221">
            <v>6</v>
          </cell>
          <cell r="M221">
            <v>1.3502392344497607</v>
          </cell>
          <cell r="N221">
            <v>6</v>
          </cell>
          <cell r="O221">
            <v>6</v>
          </cell>
          <cell r="P221">
            <v>0.9</v>
          </cell>
          <cell r="Q221" t="str">
            <v>TZS</v>
          </cell>
          <cell r="R221">
            <v>169320</v>
          </cell>
          <cell r="S221">
            <v>28220</v>
          </cell>
          <cell r="T221">
            <v>125400</v>
          </cell>
          <cell r="U221">
            <v>20900</v>
          </cell>
          <cell r="V221">
            <v>112860</v>
          </cell>
          <cell r="W221">
            <v>18810</v>
          </cell>
          <cell r="X221">
            <v>6</v>
          </cell>
          <cell r="Y221">
            <v>1.3502392344497607</v>
          </cell>
          <cell r="Z221">
            <v>6</v>
          </cell>
          <cell r="AA221">
            <v>6</v>
          </cell>
          <cell r="AB221">
            <v>0.9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3.7807183E-4</v>
          </cell>
          <cell r="AL221">
            <v>64.015122255600005</v>
          </cell>
          <cell r="AM221">
            <v>10.669187042599999</v>
          </cell>
          <cell r="AN221">
            <v>47.410207481999997</v>
          </cell>
          <cell r="AO221">
            <v>7.9017012470000001</v>
          </cell>
          <cell r="AP221">
            <v>42.669186733799997</v>
          </cell>
          <cell r="AQ221">
            <v>7.1115311222999997</v>
          </cell>
          <cell r="AS221" t="str">
            <v>TZ</v>
          </cell>
        </row>
        <row r="222">
          <cell r="B222" t="str">
            <v>Thailand</v>
          </cell>
          <cell r="C222" t="str">
            <v>Asia</v>
          </cell>
          <cell r="D222" t="str">
            <v>E~</v>
          </cell>
          <cell r="E222" t="str">
            <v>THB</v>
          </cell>
          <cell r="F222">
            <v>2919</v>
          </cell>
          <cell r="G222">
            <v>449</v>
          </cell>
          <cell r="H222">
            <v>2100</v>
          </cell>
          <cell r="I222">
            <v>300</v>
          </cell>
          <cell r="J222">
            <v>1890</v>
          </cell>
          <cell r="K222">
            <v>270</v>
          </cell>
          <cell r="L222">
            <v>6.5011135857461024</v>
          </cell>
          <cell r="M222">
            <v>1.4966666666666666</v>
          </cell>
          <cell r="N222">
            <v>7</v>
          </cell>
          <cell r="O222">
            <v>7</v>
          </cell>
          <cell r="P222">
            <v>0.9</v>
          </cell>
          <cell r="Q222" t="str">
            <v>THB</v>
          </cell>
          <cell r="R222">
            <v>2919</v>
          </cell>
          <cell r="S222">
            <v>449</v>
          </cell>
          <cell r="T222">
            <v>2100</v>
          </cell>
          <cell r="U222">
            <v>300</v>
          </cell>
          <cell r="V222">
            <v>1890</v>
          </cell>
          <cell r="W222">
            <v>270</v>
          </cell>
          <cell r="X222">
            <v>6.5011135857461024</v>
          </cell>
          <cell r="Y222">
            <v>1.4966666666666666</v>
          </cell>
          <cell r="Z222">
            <v>7</v>
          </cell>
          <cell r="AA222">
            <v>7</v>
          </cell>
          <cell r="AB222">
            <v>0.9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3.0897573000000001E-2</v>
          </cell>
          <cell r="AL222">
            <v>90.190015587000005</v>
          </cell>
          <cell r="AM222">
            <v>13.873010277000001</v>
          </cell>
          <cell r="AN222">
            <v>64.884903300000005</v>
          </cell>
          <cell r="AO222">
            <v>9.2692718999999997</v>
          </cell>
          <cell r="AP222">
            <v>58.39641297</v>
          </cell>
          <cell r="AQ222">
            <v>8.3423447100000008</v>
          </cell>
          <cell r="AS222" t="str">
            <v>TH</v>
          </cell>
        </row>
        <row r="223">
          <cell r="B223" t="str">
            <v>Timor-Leste</v>
          </cell>
          <cell r="C223" t="str">
            <v>Asia</v>
          </cell>
          <cell r="E223" t="str">
            <v>USD</v>
          </cell>
          <cell r="F223">
            <v>71.989999999999995</v>
          </cell>
          <cell r="G223">
            <v>11.99</v>
          </cell>
          <cell r="H223">
            <v>53.99</v>
          </cell>
          <cell r="I223">
            <v>8.99</v>
          </cell>
          <cell r="J223">
            <v>47.99</v>
          </cell>
          <cell r="K223">
            <v>7.99</v>
          </cell>
          <cell r="L223">
            <v>6.0041701417848206</v>
          </cell>
          <cell r="M223">
            <v>1.3337041156840934</v>
          </cell>
          <cell r="N223">
            <v>6.0055617352614012</v>
          </cell>
          <cell r="O223">
            <v>6.0062578222778473</v>
          </cell>
          <cell r="P223">
            <v>0.88876529477196886</v>
          </cell>
          <cell r="Q223" t="str">
            <v>USD</v>
          </cell>
          <cell r="R223">
            <v>71.989999999999995</v>
          </cell>
          <cell r="S223">
            <v>11.99</v>
          </cell>
          <cell r="T223">
            <v>53.99</v>
          </cell>
          <cell r="U223">
            <v>8.99</v>
          </cell>
          <cell r="V223">
            <v>47.99</v>
          </cell>
          <cell r="W223">
            <v>7.99</v>
          </cell>
          <cell r="X223">
            <v>6.0041701417848206</v>
          </cell>
          <cell r="Y223">
            <v>1.3337041156840934</v>
          </cell>
          <cell r="Z223">
            <v>6.0055617352614012</v>
          </cell>
          <cell r="AA223">
            <v>6.0062578222778473</v>
          </cell>
          <cell r="AB223">
            <v>0.88876529477196886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1</v>
          </cell>
          <cell r="AL223">
            <v>71.989999999999995</v>
          </cell>
          <cell r="AM223">
            <v>11.99</v>
          </cell>
          <cell r="AN223">
            <v>53.99</v>
          </cell>
          <cell r="AO223">
            <v>8.99</v>
          </cell>
          <cell r="AP223">
            <v>47.99</v>
          </cell>
          <cell r="AQ223">
            <v>7.99</v>
          </cell>
          <cell r="AS223" t="str">
            <v>TL</v>
          </cell>
        </row>
        <row r="224">
          <cell r="B224" t="str">
            <v>Togo</v>
          </cell>
          <cell r="C224" t="str">
            <v>Africa</v>
          </cell>
          <cell r="E224" t="str">
            <v>XOF</v>
          </cell>
          <cell r="F224">
            <v>43740</v>
          </cell>
          <cell r="G224">
            <v>7290</v>
          </cell>
          <cell r="H224">
            <v>32400</v>
          </cell>
          <cell r="I224">
            <v>5400</v>
          </cell>
          <cell r="J224">
            <v>29160</v>
          </cell>
          <cell r="K224">
            <v>4860</v>
          </cell>
          <cell r="L224">
            <v>6</v>
          </cell>
          <cell r="M224">
            <v>1.35</v>
          </cell>
          <cell r="N224">
            <v>6</v>
          </cell>
          <cell r="O224">
            <v>6</v>
          </cell>
          <cell r="P224">
            <v>0.9</v>
          </cell>
          <cell r="Q224" t="str">
            <v>XOF</v>
          </cell>
          <cell r="R224">
            <v>43740</v>
          </cell>
          <cell r="S224">
            <v>7290</v>
          </cell>
          <cell r="T224">
            <v>32400</v>
          </cell>
          <cell r="U224">
            <v>5400</v>
          </cell>
          <cell r="V224">
            <v>29160</v>
          </cell>
          <cell r="W224">
            <v>4860</v>
          </cell>
          <cell r="X224">
            <v>6</v>
          </cell>
          <cell r="Y224">
            <v>1.35</v>
          </cell>
          <cell r="Z224">
            <v>6</v>
          </cell>
          <cell r="AA224">
            <v>6</v>
          </cell>
          <cell r="AB224">
            <v>0.9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1.7956208E-3</v>
          </cell>
          <cell r="AL224">
            <v>78.540453791999994</v>
          </cell>
          <cell r="AM224">
            <v>13.090075632</v>
          </cell>
          <cell r="AN224">
            <v>58.178113920000001</v>
          </cell>
          <cell r="AO224">
            <v>9.6963523200000008</v>
          </cell>
          <cell r="AP224">
            <v>52.360302527999998</v>
          </cell>
          <cell r="AQ224">
            <v>8.7267170879999991</v>
          </cell>
          <cell r="AS224" t="str">
            <v>TG</v>
          </cell>
        </row>
        <row r="225">
          <cell r="B225" t="str">
            <v>Tokelau</v>
          </cell>
          <cell r="C225" t="str">
            <v>Asia</v>
          </cell>
          <cell r="E225" t="str">
            <v>NZD</v>
          </cell>
          <cell r="F225">
            <v>203.99</v>
          </cell>
          <cell r="G225">
            <v>33.99</v>
          </cell>
          <cell r="H225">
            <v>149.99</v>
          </cell>
          <cell r="I225">
            <v>24.99</v>
          </cell>
          <cell r="J225">
            <v>144.99</v>
          </cell>
          <cell r="K225">
            <v>21.99</v>
          </cell>
          <cell r="L225">
            <v>6.0014710208884967</v>
          </cell>
          <cell r="M225">
            <v>1.3601440576230495</v>
          </cell>
          <cell r="N225">
            <v>6.0020008003201291</v>
          </cell>
          <cell r="O225">
            <v>6.5934515688949533</v>
          </cell>
          <cell r="P225">
            <v>0.87995198079231696</v>
          </cell>
          <cell r="Q225" t="str">
            <v>NZD</v>
          </cell>
          <cell r="R225">
            <v>203.99</v>
          </cell>
          <cell r="S225">
            <v>33.99</v>
          </cell>
          <cell r="T225">
            <v>149.99</v>
          </cell>
          <cell r="U225">
            <v>24.99</v>
          </cell>
          <cell r="V225">
            <v>144.99</v>
          </cell>
          <cell r="W225">
            <v>21.99</v>
          </cell>
          <cell r="X225">
            <v>6.0014710208884967</v>
          </cell>
          <cell r="Y225">
            <v>1.3601440576230495</v>
          </cell>
          <cell r="Z225">
            <v>6.0020008003201291</v>
          </cell>
          <cell r="AA225">
            <v>6.5934515688949533</v>
          </cell>
          <cell r="AB225">
            <v>0.87995198079231696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0.60535000000000005</v>
          </cell>
          <cell r="AL225">
            <v>123.48534650000002</v>
          </cell>
          <cell r="AM225">
            <v>20.575846500000004</v>
          </cell>
          <cell r="AN225">
            <v>90.796446500000016</v>
          </cell>
          <cell r="AO225">
            <v>15.127696500000001</v>
          </cell>
          <cell r="AP225">
            <v>87.769696500000009</v>
          </cell>
          <cell r="AQ225">
            <v>13.3116465</v>
          </cell>
          <cell r="AS225" t="str">
            <v>TK</v>
          </cell>
        </row>
        <row r="226">
          <cell r="B226" t="str">
            <v>Tonga</v>
          </cell>
          <cell r="C226" t="str">
            <v>Asia</v>
          </cell>
          <cell r="E226" t="str">
            <v>TOP</v>
          </cell>
          <cell r="F226">
            <v>185.99</v>
          </cell>
          <cell r="G226">
            <v>30.99</v>
          </cell>
          <cell r="H226">
            <v>137.99</v>
          </cell>
          <cell r="I226">
            <v>22.99</v>
          </cell>
          <cell r="J226">
            <v>125.99</v>
          </cell>
          <cell r="K226">
            <v>20.99</v>
          </cell>
          <cell r="L226">
            <v>6.0016134236850602</v>
          </cell>
          <cell r="M226">
            <v>1.3479773814702045</v>
          </cell>
          <cell r="N226">
            <v>6.0021748586341896</v>
          </cell>
          <cell r="O226">
            <v>6.0023820867079563</v>
          </cell>
          <cell r="P226">
            <v>0.91300565463244887</v>
          </cell>
          <cell r="Q226" t="str">
            <v>TOP</v>
          </cell>
          <cell r="R226">
            <v>185.99</v>
          </cell>
          <cell r="S226">
            <v>30.99</v>
          </cell>
          <cell r="T226">
            <v>137.99</v>
          </cell>
          <cell r="U226">
            <v>22.99</v>
          </cell>
          <cell r="V226">
            <v>125.99</v>
          </cell>
          <cell r="W226">
            <v>20.99</v>
          </cell>
          <cell r="X226">
            <v>6.0016134236850602</v>
          </cell>
          <cell r="Y226">
            <v>1.3479773814702045</v>
          </cell>
          <cell r="Z226">
            <v>6.0021748586341896</v>
          </cell>
          <cell r="AA226">
            <v>6.0023820867079563</v>
          </cell>
          <cell r="AB226">
            <v>0.91300565463244887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0.42090001999999999</v>
          </cell>
          <cell r="AL226">
            <v>78.283194719800008</v>
          </cell>
          <cell r="AM226">
            <v>13.043691619799999</v>
          </cell>
          <cell r="AN226">
            <v>58.079993759800004</v>
          </cell>
          <cell r="AO226">
            <v>9.6764914597999994</v>
          </cell>
          <cell r="AP226">
            <v>53.029193519799996</v>
          </cell>
          <cell r="AQ226">
            <v>8.8346914197999986</v>
          </cell>
          <cell r="AS226" t="str">
            <v>TO</v>
          </cell>
        </row>
        <row r="227">
          <cell r="B227" t="str">
            <v>Trinidad And Tobago</v>
          </cell>
          <cell r="C227" t="str">
            <v>Latin America</v>
          </cell>
          <cell r="E227" t="str">
            <v>TTD</v>
          </cell>
          <cell r="F227">
            <v>689.99</v>
          </cell>
          <cell r="G227">
            <v>114.99</v>
          </cell>
          <cell r="H227">
            <v>485.99</v>
          </cell>
          <cell r="I227">
            <v>80.989999999999995</v>
          </cell>
          <cell r="J227">
            <v>437.99</v>
          </cell>
          <cell r="K227">
            <v>72.989999999999995</v>
          </cell>
          <cell r="L227">
            <v>6.0004348204191675</v>
          </cell>
          <cell r="M227">
            <v>1.4198049141869367</v>
          </cell>
          <cell r="N227">
            <v>6.0006173601679222</v>
          </cell>
          <cell r="O227">
            <v>6.0006850253459385</v>
          </cell>
          <cell r="P227">
            <v>0.90122237313248543</v>
          </cell>
          <cell r="Q227" t="str">
            <v>TTD</v>
          </cell>
          <cell r="R227">
            <v>689.99</v>
          </cell>
          <cell r="S227">
            <v>114.99</v>
          </cell>
          <cell r="T227">
            <v>485.99</v>
          </cell>
          <cell r="U227">
            <v>80.989999999999995</v>
          </cell>
          <cell r="V227">
            <v>437.99</v>
          </cell>
          <cell r="W227">
            <v>72.989999999999995</v>
          </cell>
          <cell r="X227">
            <v>6.0004348204191675</v>
          </cell>
          <cell r="Y227">
            <v>1.4198049141869367</v>
          </cell>
          <cell r="Z227">
            <v>6.0006173601679222</v>
          </cell>
          <cell r="AA227">
            <v>6.0006850253459385</v>
          </cell>
          <cell r="AB227">
            <v>0.90122237313248543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0.14858840000000001</v>
          </cell>
          <cell r="AL227">
            <v>102.524510116</v>
          </cell>
          <cell r="AM227">
            <v>17.086180116000001</v>
          </cell>
          <cell r="AN227">
            <v>72.212476516000009</v>
          </cell>
          <cell r="AO227">
            <v>12.034174516</v>
          </cell>
          <cell r="AP227">
            <v>65.080233316000005</v>
          </cell>
          <cell r="AQ227">
            <v>10.845467316000001</v>
          </cell>
          <cell r="AS227" t="str">
            <v>TT</v>
          </cell>
        </row>
        <row r="228">
          <cell r="B228" t="str">
            <v>Tunisia</v>
          </cell>
          <cell r="C228" t="str">
            <v>Africa</v>
          </cell>
          <cell r="E228" t="str">
            <v>TND</v>
          </cell>
          <cell r="F228">
            <v>215.999</v>
          </cell>
          <cell r="G228">
            <v>35.999000000000002</v>
          </cell>
          <cell r="H228">
            <v>161.999</v>
          </cell>
          <cell r="I228">
            <v>26.998999999999999</v>
          </cell>
          <cell r="J228">
            <v>143.999</v>
          </cell>
          <cell r="K228">
            <v>23.998999999999999</v>
          </cell>
          <cell r="L228">
            <v>6.0001388927470201</v>
          </cell>
          <cell r="M228">
            <v>1.3333456794696101</v>
          </cell>
          <cell r="N228">
            <v>6.0001851920441496</v>
          </cell>
          <cell r="O228">
            <v>6.0002083420142505</v>
          </cell>
          <cell r="P228">
            <v>0.88888477351012996</v>
          </cell>
          <cell r="Q228" t="str">
            <v>TND</v>
          </cell>
          <cell r="R228">
            <v>215.999</v>
          </cell>
          <cell r="S228">
            <v>35.999000000000002</v>
          </cell>
          <cell r="T228">
            <v>161.999</v>
          </cell>
          <cell r="U228">
            <v>26.998999999999999</v>
          </cell>
          <cell r="V228">
            <v>143.999</v>
          </cell>
          <cell r="W228">
            <v>23.998999999999999</v>
          </cell>
          <cell r="X228">
            <v>6.0001388927470201</v>
          </cell>
          <cell r="Y228">
            <v>1.3333456794696101</v>
          </cell>
          <cell r="Z228">
            <v>6.0001851920441496</v>
          </cell>
          <cell r="AA228">
            <v>6.0002083420142505</v>
          </cell>
          <cell r="AB228">
            <v>0.88888477351012996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0.34894878000000001</v>
          </cell>
          <cell r="AL228">
            <v>75.372587531220006</v>
          </cell>
          <cell r="AM228">
            <v>12.561807131220002</v>
          </cell>
          <cell r="AN228">
            <v>56.529353411220001</v>
          </cell>
          <cell r="AO228">
            <v>9.4212681112199999</v>
          </cell>
          <cell r="AP228">
            <v>50.248275371220004</v>
          </cell>
          <cell r="AQ228">
            <v>8.3744217712199998</v>
          </cell>
          <cell r="AS228" t="str">
            <v>TN</v>
          </cell>
        </row>
        <row r="229">
          <cell r="B229" t="str">
            <v>Turkey</v>
          </cell>
          <cell r="C229" t="str">
            <v>Europe</v>
          </cell>
          <cell r="D229" t="str">
            <v>D</v>
          </cell>
          <cell r="E229" t="str">
            <v>TRY</v>
          </cell>
          <cell r="F229">
            <v>839.99</v>
          </cell>
          <cell r="G229">
            <v>129.99</v>
          </cell>
          <cell r="H229">
            <v>619.99</v>
          </cell>
          <cell r="I229">
            <v>94.99</v>
          </cell>
          <cell r="J229">
            <v>554.99</v>
          </cell>
          <cell r="K229">
            <v>84.99</v>
          </cell>
          <cell r="L229">
            <v>6.461958612200938</v>
          </cell>
          <cell r="M229">
            <v>1.3684598378776716</v>
          </cell>
          <cell r="N229">
            <v>6.5268975681650705</v>
          </cell>
          <cell r="O229">
            <v>6.5300623602776806</v>
          </cell>
          <cell r="P229">
            <v>0.89472576060637965</v>
          </cell>
          <cell r="Q229" t="str">
            <v>TRY</v>
          </cell>
          <cell r="R229">
            <v>1784.99</v>
          </cell>
          <cell r="S229">
            <v>274.99</v>
          </cell>
          <cell r="T229">
            <v>1319.99</v>
          </cell>
          <cell r="U229">
            <v>202.99</v>
          </cell>
          <cell r="V229">
            <v>1179.99</v>
          </cell>
          <cell r="W229">
            <v>181.99</v>
          </cell>
          <cell r="X229">
            <v>6.4911087675915482</v>
          </cell>
          <cell r="Y229">
            <v>1.3546972757278684</v>
          </cell>
          <cell r="Z229">
            <v>6.5027341248337356</v>
          </cell>
          <cell r="AA229">
            <v>6.4838177921863833</v>
          </cell>
          <cell r="AB229">
            <v>0.89654662791270512</v>
          </cell>
          <cell r="AD229">
            <v>1.1250133930165833</v>
          </cell>
          <cell r="AE229">
            <v>1.1154704208016</v>
          </cell>
          <cell r="AF229">
            <v>1.1290504685559446</v>
          </cell>
          <cell r="AG229">
            <v>1.1369617854511005</v>
          </cell>
          <cell r="AH229">
            <v>1.1261464170525595</v>
          </cell>
          <cell r="AI229">
            <v>1.1413107424402873</v>
          </cell>
          <cell r="AK229">
            <v>2.5111748E-2</v>
          </cell>
          <cell r="AL229">
            <v>44.824219062520001</v>
          </cell>
          <cell r="AM229">
            <v>6.9054795825199999</v>
          </cell>
          <cell r="AN229">
            <v>33.147256242520001</v>
          </cell>
          <cell r="AO229">
            <v>5.0974337265200003</v>
          </cell>
          <cell r="AP229">
            <v>29.63161152252</v>
          </cell>
          <cell r="AQ229">
            <v>4.5700870185199998</v>
          </cell>
          <cell r="AS229" t="str">
            <v>TR</v>
          </cell>
        </row>
        <row r="230">
          <cell r="B230" t="str">
            <v>Turkmenistan</v>
          </cell>
          <cell r="C230" t="str">
            <v>Asia</v>
          </cell>
          <cell r="E230" t="str">
            <v>USD</v>
          </cell>
          <cell r="F230">
            <v>89.99</v>
          </cell>
          <cell r="G230">
            <v>14.99</v>
          </cell>
          <cell r="H230">
            <v>65.989999999999995</v>
          </cell>
          <cell r="I230">
            <v>10.99</v>
          </cell>
          <cell r="J230">
            <v>59.99</v>
          </cell>
          <cell r="K230">
            <v>9.99</v>
          </cell>
          <cell r="L230">
            <v>6.0033355570380253</v>
          </cell>
          <cell r="M230">
            <v>1.3639672429481347</v>
          </cell>
          <cell r="N230">
            <v>6.0045495905368513</v>
          </cell>
          <cell r="O230">
            <v>6.005005005005005</v>
          </cell>
          <cell r="P230">
            <v>0.90900818926296634</v>
          </cell>
          <cell r="Q230" t="str">
            <v>USD</v>
          </cell>
          <cell r="R230">
            <v>89.99</v>
          </cell>
          <cell r="S230">
            <v>14.99</v>
          </cell>
          <cell r="T230">
            <v>65.989999999999995</v>
          </cell>
          <cell r="U230">
            <v>10.99</v>
          </cell>
          <cell r="V230">
            <v>59.99</v>
          </cell>
          <cell r="W230">
            <v>9.99</v>
          </cell>
          <cell r="X230">
            <v>6.0033355570380253</v>
          </cell>
          <cell r="Y230">
            <v>1.3639672429481347</v>
          </cell>
          <cell r="Z230">
            <v>6.0045495905368513</v>
          </cell>
          <cell r="AA230">
            <v>6.005005005005005</v>
          </cell>
          <cell r="AB230">
            <v>0.90900818926296634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1</v>
          </cell>
          <cell r="AL230">
            <v>89.99</v>
          </cell>
          <cell r="AM230">
            <v>14.99</v>
          </cell>
          <cell r="AN230">
            <v>65.989999999999995</v>
          </cell>
          <cell r="AO230">
            <v>10.99</v>
          </cell>
          <cell r="AP230">
            <v>59.99</v>
          </cell>
          <cell r="AQ230">
            <v>9.99</v>
          </cell>
          <cell r="AS230" t="str">
            <v>TM</v>
          </cell>
        </row>
        <row r="231">
          <cell r="B231" t="str">
            <v>Turks And Caicos Islands</v>
          </cell>
          <cell r="C231" t="str">
            <v>Latin America</v>
          </cell>
          <cell r="E231" t="str">
            <v>USD</v>
          </cell>
          <cell r="F231">
            <v>102.99</v>
          </cell>
          <cell r="G231">
            <v>16.989999999999998</v>
          </cell>
          <cell r="H231">
            <v>71.989999999999995</v>
          </cell>
          <cell r="I231">
            <v>11.99</v>
          </cell>
          <cell r="J231">
            <v>65.989999999999995</v>
          </cell>
          <cell r="K231">
            <v>10.99</v>
          </cell>
          <cell r="L231">
            <v>6.0618010594467338</v>
          </cell>
          <cell r="M231">
            <v>1.4170141784820682</v>
          </cell>
          <cell r="N231">
            <v>6.0041701417848206</v>
          </cell>
          <cell r="O231">
            <v>6.0045495905368513</v>
          </cell>
          <cell r="P231">
            <v>0.91659716430358629</v>
          </cell>
          <cell r="Q231" t="str">
            <v>USD</v>
          </cell>
          <cell r="R231">
            <v>102.99</v>
          </cell>
          <cell r="S231">
            <v>16.989999999999998</v>
          </cell>
          <cell r="T231">
            <v>71.989999999999995</v>
          </cell>
          <cell r="U231">
            <v>11.99</v>
          </cell>
          <cell r="V231">
            <v>65.989999999999995</v>
          </cell>
          <cell r="W231">
            <v>10.99</v>
          </cell>
          <cell r="X231">
            <v>6.0618010594467338</v>
          </cell>
          <cell r="Y231">
            <v>1.4170141784820682</v>
          </cell>
          <cell r="Z231">
            <v>6.0041701417848206</v>
          </cell>
          <cell r="AA231">
            <v>6.0045495905368513</v>
          </cell>
          <cell r="AB231">
            <v>0.91659716430358629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1</v>
          </cell>
          <cell r="AL231">
            <v>102.99</v>
          </cell>
          <cell r="AM231">
            <v>16.989999999999998</v>
          </cell>
          <cell r="AN231">
            <v>71.989999999999995</v>
          </cell>
          <cell r="AO231">
            <v>11.99</v>
          </cell>
          <cell r="AP231">
            <v>65.989999999999995</v>
          </cell>
          <cell r="AQ231">
            <v>10.99</v>
          </cell>
          <cell r="AS231" t="str">
            <v>TC</v>
          </cell>
        </row>
        <row r="232">
          <cell r="B232" t="str">
            <v>Tuvalu</v>
          </cell>
          <cell r="C232" t="str">
            <v>Asia</v>
          </cell>
          <cell r="E232" t="str">
            <v>AUD</v>
          </cell>
          <cell r="F232">
            <v>113.99</v>
          </cell>
          <cell r="G232">
            <v>18.989999999999998</v>
          </cell>
          <cell r="H232">
            <v>83.99</v>
          </cell>
          <cell r="I232">
            <v>13.99</v>
          </cell>
          <cell r="J232">
            <v>77.989999999999995</v>
          </cell>
          <cell r="K232">
            <v>12.99</v>
          </cell>
          <cell r="L232">
            <v>6.0026329647182726</v>
          </cell>
          <cell r="M232">
            <v>1.3573981415296639</v>
          </cell>
          <cell r="N232">
            <v>6.003573981415296</v>
          </cell>
          <cell r="O232">
            <v>6.0038491147036179</v>
          </cell>
          <cell r="P232">
            <v>0.9285203716940672</v>
          </cell>
          <cell r="Q232" t="str">
            <v>AUD</v>
          </cell>
          <cell r="R232">
            <v>113.99</v>
          </cell>
          <cell r="S232">
            <v>18.989999999999998</v>
          </cell>
          <cell r="T232">
            <v>83.99</v>
          </cell>
          <cell r="U232">
            <v>13.99</v>
          </cell>
          <cell r="V232">
            <v>77.989999999999995</v>
          </cell>
          <cell r="W232">
            <v>12.99</v>
          </cell>
          <cell r="X232">
            <v>6.0026329647182726</v>
          </cell>
          <cell r="Y232">
            <v>1.3573981415296639</v>
          </cell>
          <cell r="Z232">
            <v>6.003573981415296</v>
          </cell>
          <cell r="AA232">
            <v>6.0038491147036179</v>
          </cell>
          <cell r="AB232">
            <v>0.9285203716940672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K232">
            <v>0.65494996000000005</v>
          </cell>
          <cell r="AL232">
            <v>74.657745940400005</v>
          </cell>
          <cell r="AM232">
            <v>12.4374997404</v>
          </cell>
          <cell r="AN232">
            <v>55.009247140399999</v>
          </cell>
          <cell r="AO232">
            <v>9.1627499404000012</v>
          </cell>
          <cell r="AP232">
            <v>51.079547380400001</v>
          </cell>
          <cell r="AQ232">
            <v>8.5077999804000015</v>
          </cell>
          <cell r="AS232" t="str">
            <v>TV</v>
          </cell>
        </row>
        <row r="233">
          <cell r="B233" t="str">
            <v>Uganda</v>
          </cell>
          <cell r="C233" t="str">
            <v>Africa</v>
          </cell>
          <cell r="E233" t="str">
            <v>UGX</v>
          </cell>
          <cell r="F233">
            <v>261660</v>
          </cell>
          <cell r="G233">
            <v>43610</v>
          </cell>
          <cell r="H233">
            <v>193800</v>
          </cell>
          <cell r="I233">
            <v>32300</v>
          </cell>
          <cell r="J233">
            <v>174420</v>
          </cell>
          <cell r="K233">
            <v>29070</v>
          </cell>
          <cell r="L233">
            <v>6</v>
          </cell>
          <cell r="M233">
            <v>1.3501547987616098</v>
          </cell>
          <cell r="N233">
            <v>6</v>
          </cell>
          <cell r="O233">
            <v>6</v>
          </cell>
          <cell r="P233">
            <v>0.9</v>
          </cell>
          <cell r="Q233" t="str">
            <v>UGX</v>
          </cell>
          <cell r="R233">
            <v>261660</v>
          </cell>
          <cell r="S233">
            <v>43610</v>
          </cell>
          <cell r="T233">
            <v>193800</v>
          </cell>
          <cell r="U233">
            <v>32300</v>
          </cell>
          <cell r="V233">
            <v>174420</v>
          </cell>
          <cell r="W233">
            <v>29070</v>
          </cell>
          <cell r="X233">
            <v>6</v>
          </cell>
          <cell r="Y233">
            <v>1.3501547987616098</v>
          </cell>
          <cell r="Z233">
            <v>6</v>
          </cell>
          <cell r="AA233">
            <v>6</v>
          </cell>
          <cell r="AB233">
            <v>0.9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K233">
            <v>2.7878449999999997E-4</v>
          </cell>
          <cell r="AL233">
            <v>72.94675226999999</v>
          </cell>
          <cell r="AM233">
            <v>12.157792044999999</v>
          </cell>
          <cell r="AN233">
            <v>54.028436099999993</v>
          </cell>
          <cell r="AO233">
            <v>9.0047393499999995</v>
          </cell>
          <cell r="AP233">
            <v>48.625592489999995</v>
          </cell>
          <cell r="AQ233">
            <v>8.1042654149999986</v>
          </cell>
          <cell r="AS233" t="str">
            <v>UG</v>
          </cell>
        </row>
        <row r="234">
          <cell r="B234" t="str">
            <v>Ukraine</v>
          </cell>
          <cell r="C234" t="str">
            <v>Europe</v>
          </cell>
          <cell r="E234" t="str">
            <v>UAH</v>
          </cell>
          <cell r="F234">
            <v>1699.99</v>
          </cell>
          <cell r="G234">
            <v>282.99</v>
          </cell>
          <cell r="H234">
            <v>1259.99</v>
          </cell>
          <cell r="I234">
            <v>209.99</v>
          </cell>
          <cell r="J234">
            <v>1129.99</v>
          </cell>
          <cell r="K234">
            <v>188.99</v>
          </cell>
          <cell r="L234">
            <v>6.0072440722287004</v>
          </cell>
          <cell r="M234">
            <v>1.3476356016953188</v>
          </cell>
          <cell r="N234">
            <v>6.0002381065765036</v>
          </cell>
          <cell r="O234">
            <v>5.9790994232499068</v>
          </cell>
          <cell r="P234">
            <v>0.89999523786846991</v>
          </cell>
          <cell r="Q234" t="str">
            <v>UAH</v>
          </cell>
          <cell r="R234">
            <v>1699.99</v>
          </cell>
          <cell r="S234">
            <v>282.99</v>
          </cell>
          <cell r="T234">
            <v>1259.99</v>
          </cell>
          <cell r="U234">
            <v>209.99</v>
          </cell>
          <cell r="V234">
            <v>1129.99</v>
          </cell>
          <cell r="W234">
            <v>188.99</v>
          </cell>
          <cell r="X234">
            <v>6.0072440722287004</v>
          </cell>
          <cell r="Y234">
            <v>1.3476356016953188</v>
          </cell>
          <cell r="Z234">
            <v>6.0002381065765036</v>
          </cell>
          <cell r="AA234">
            <v>5.9790994232499068</v>
          </cell>
          <cell r="AB234">
            <v>0.89999523786846991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K234">
            <v>2.3963576E-2</v>
          </cell>
          <cell r="AL234">
            <v>40.737839564239998</v>
          </cell>
          <cell r="AM234">
            <v>6.7814523722400004</v>
          </cell>
          <cell r="AN234">
            <v>30.193866124239999</v>
          </cell>
          <cell r="AO234">
            <v>5.0321113242400006</v>
          </cell>
          <cell r="AP234">
            <v>27.078601244240001</v>
          </cell>
          <cell r="AQ234">
            <v>4.5288762282400006</v>
          </cell>
          <cell r="AS234" t="str">
            <v>UA</v>
          </cell>
        </row>
        <row r="235">
          <cell r="B235" t="str">
            <v>United Arab Emirates</v>
          </cell>
          <cell r="C235" t="str">
            <v>Middle East</v>
          </cell>
          <cell r="E235" t="str">
            <v>AED</v>
          </cell>
          <cell r="F235">
            <v>559.99</v>
          </cell>
          <cell r="G235">
            <v>86.99</v>
          </cell>
          <cell r="H235">
            <v>399.99</v>
          </cell>
          <cell r="I235">
            <v>61.99</v>
          </cell>
          <cell r="J235">
            <v>354.99</v>
          </cell>
          <cell r="K235">
            <v>54.99</v>
          </cell>
          <cell r="L235">
            <v>6.4374065984595932</v>
          </cell>
          <cell r="M235">
            <v>1.4032908533634456</v>
          </cell>
          <cell r="N235">
            <v>6.4524923374737861</v>
          </cell>
          <cell r="O235">
            <v>6.4555373704309877</v>
          </cell>
          <cell r="P235">
            <v>0.88707856105823524</v>
          </cell>
          <cell r="Q235" t="str">
            <v>AED</v>
          </cell>
          <cell r="R235">
            <v>559.99</v>
          </cell>
          <cell r="S235">
            <v>86.99</v>
          </cell>
          <cell r="T235">
            <v>399.99</v>
          </cell>
          <cell r="U235">
            <v>61.99</v>
          </cell>
          <cell r="V235">
            <v>354.99</v>
          </cell>
          <cell r="W235">
            <v>54.99</v>
          </cell>
          <cell r="X235">
            <v>6.4374065984595932</v>
          </cell>
          <cell r="Y235">
            <v>1.4032908533634456</v>
          </cell>
          <cell r="Z235">
            <v>6.4524923374737861</v>
          </cell>
          <cell r="AA235">
            <v>6.4555373704309877</v>
          </cell>
          <cell r="AB235">
            <v>0.88707856105823524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K235">
            <v>0.27224219999999999</v>
          </cell>
          <cell r="AL235">
            <v>152.452909578</v>
          </cell>
          <cell r="AM235">
            <v>23.682348977999997</v>
          </cell>
          <cell r="AN235">
            <v>108.89415757800001</v>
          </cell>
          <cell r="AO235">
            <v>16.876293978</v>
          </cell>
          <cell r="AP235">
            <v>96.643258578000001</v>
          </cell>
          <cell r="AQ235">
            <v>14.970598578000001</v>
          </cell>
          <cell r="AS235" t="str">
            <v>AE</v>
          </cell>
        </row>
        <row r="236">
          <cell r="B236" t="str">
            <v>United Kingdom</v>
          </cell>
          <cell r="C236" t="str">
            <v>Europe</v>
          </cell>
          <cell r="D236" t="str">
            <v>B</v>
          </cell>
          <cell r="E236" t="str">
            <v>GBP</v>
          </cell>
          <cell r="F236">
            <v>149.99</v>
          </cell>
          <cell r="G236">
            <v>22.99</v>
          </cell>
          <cell r="H236">
            <v>114.99</v>
          </cell>
          <cell r="I236">
            <v>16.989999999999998</v>
          </cell>
          <cell r="J236">
            <v>99.99</v>
          </cell>
          <cell r="K236">
            <v>14.99</v>
          </cell>
          <cell r="L236">
            <v>6.5241409308394962</v>
          </cell>
          <cell r="M236">
            <v>1.3531489111241908</v>
          </cell>
          <cell r="N236">
            <v>6.7680988816951153</v>
          </cell>
          <cell r="O236">
            <v>6.6704469646430953</v>
          </cell>
          <cell r="P236">
            <v>0.88228369629193648</v>
          </cell>
          <cell r="Q236" t="str">
            <v>GBP</v>
          </cell>
          <cell r="R236">
            <v>149.99</v>
          </cell>
          <cell r="S236">
            <v>22.99</v>
          </cell>
          <cell r="T236">
            <v>114.99</v>
          </cell>
          <cell r="U236">
            <v>16.989999999999998</v>
          </cell>
          <cell r="V236">
            <v>99.99</v>
          </cell>
          <cell r="W236">
            <v>14.99</v>
          </cell>
          <cell r="X236">
            <v>6.5241409308394962</v>
          </cell>
          <cell r="Y236">
            <v>1.3531489111241908</v>
          </cell>
          <cell r="Z236">
            <v>6.7680988816951153</v>
          </cell>
          <cell r="AA236">
            <v>6.6704469646430953</v>
          </cell>
          <cell r="AB236">
            <v>0.88228369629193648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K236">
            <v>1.36425</v>
          </cell>
          <cell r="AL236">
            <v>204.62385750000001</v>
          </cell>
          <cell r="AM236">
            <v>31.364107499999996</v>
          </cell>
          <cell r="AN236">
            <v>156.87510749999998</v>
          </cell>
          <cell r="AO236">
            <v>23.178607499999998</v>
          </cell>
          <cell r="AP236">
            <v>136.41135749999998</v>
          </cell>
          <cell r="AQ236">
            <v>20.450107500000001</v>
          </cell>
          <cell r="AS236" t="str">
            <v>GB</v>
          </cell>
        </row>
        <row r="237">
          <cell r="B237" t="str">
            <v>Uruguay</v>
          </cell>
          <cell r="C237" t="str">
            <v>Latin America</v>
          </cell>
          <cell r="E237" t="str">
            <v>UYU</v>
          </cell>
          <cell r="F237">
            <v>3965.99</v>
          </cell>
          <cell r="G237">
            <v>660.99</v>
          </cell>
          <cell r="H237">
            <v>2939.99</v>
          </cell>
          <cell r="I237">
            <v>489.99</v>
          </cell>
          <cell r="J237">
            <v>2645.99</v>
          </cell>
          <cell r="K237">
            <v>440.99</v>
          </cell>
          <cell r="L237">
            <v>6.000075644109593</v>
          </cell>
          <cell r="M237">
            <v>1.3489867140145717</v>
          </cell>
          <cell r="N237">
            <v>6.0001020428988339</v>
          </cell>
          <cell r="O237">
            <v>6.0001133812558098</v>
          </cell>
          <cell r="P237">
            <v>0.8999979591420233</v>
          </cell>
          <cell r="Q237" t="str">
            <v>UYU</v>
          </cell>
          <cell r="R237">
            <v>3965.99</v>
          </cell>
          <cell r="S237">
            <v>660.99</v>
          </cell>
          <cell r="T237">
            <v>2939.99</v>
          </cell>
          <cell r="U237">
            <v>489.99</v>
          </cell>
          <cell r="V237">
            <v>2645.99</v>
          </cell>
          <cell r="W237">
            <v>440.99</v>
          </cell>
          <cell r="X237">
            <v>6.000075644109593</v>
          </cell>
          <cell r="Y237">
            <v>1.3489867140145717</v>
          </cell>
          <cell r="Z237">
            <v>6.0001020428988339</v>
          </cell>
          <cell r="AA237">
            <v>6.0001133812558098</v>
          </cell>
          <cell r="AB237">
            <v>0.8999979591420233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K237">
            <v>2.4912805999999999E-2</v>
          </cell>
          <cell r="AL237">
            <v>98.803939467939998</v>
          </cell>
          <cell r="AM237">
            <v>16.467115637940001</v>
          </cell>
          <cell r="AN237">
            <v>73.243400511939996</v>
          </cell>
          <cell r="AO237">
            <v>12.207025811939999</v>
          </cell>
          <cell r="AP237">
            <v>65.919035547939998</v>
          </cell>
          <cell r="AQ237">
            <v>10.986298317939999</v>
          </cell>
          <cell r="AS237" t="str">
            <v>UY</v>
          </cell>
        </row>
        <row r="238">
          <cell r="B238" t="str">
            <v>Uzbekistan</v>
          </cell>
          <cell r="C238" t="str">
            <v>Asia</v>
          </cell>
          <cell r="E238" t="str">
            <v>UZS</v>
          </cell>
          <cell r="F238">
            <v>923400</v>
          </cell>
          <cell r="G238">
            <v>153900</v>
          </cell>
          <cell r="H238">
            <v>683400</v>
          </cell>
          <cell r="I238">
            <v>113900</v>
          </cell>
          <cell r="J238">
            <v>614400</v>
          </cell>
          <cell r="K238">
            <v>102400</v>
          </cell>
          <cell r="L238">
            <v>6</v>
          </cell>
          <cell r="M238">
            <v>1.3511852502194908</v>
          </cell>
          <cell r="N238">
            <v>6</v>
          </cell>
          <cell r="O238">
            <v>6</v>
          </cell>
          <cell r="P238">
            <v>0.8990342405618964</v>
          </cell>
          <cell r="Q238" t="str">
            <v>UZS</v>
          </cell>
          <cell r="R238">
            <v>923400</v>
          </cell>
          <cell r="S238">
            <v>153900</v>
          </cell>
          <cell r="T238">
            <v>683400</v>
          </cell>
          <cell r="U238">
            <v>113900</v>
          </cell>
          <cell r="V238">
            <v>614400</v>
          </cell>
          <cell r="W238">
            <v>102400</v>
          </cell>
          <cell r="X238">
            <v>6</v>
          </cell>
          <cell r="Y238">
            <v>1.3511852502194908</v>
          </cell>
          <cell r="Z238">
            <v>6</v>
          </cell>
          <cell r="AA238">
            <v>6</v>
          </cell>
          <cell r="AB238">
            <v>0.8990342405618964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K238">
            <v>7.9322710000000006E-5</v>
          </cell>
          <cell r="AL238">
            <v>73.246590414000011</v>
          </cell>
          <cell r="AM238">
            <v>12.207765069000001</v>
          </cell>
          <cell r="AN238">
            <v>54.209140014000006</v>
          </cell>
          <cell r="AO238">
            <v>9.0348566689999998</v>
          </cell>
          <cell r="AP238">
            <v>48.735873024000007</v>
          </cell>
          <cell r="AQ238">
            <v>8.1226455040000012</v>
          </cell>
          <cell r="AS238" t="str">
            <v>UZ</v>
          </cell>
        </row>
        <row r="239">
          <cell r="B239" t="str">
            <v>Vanuatu</v>
          </cell>
          <cell r="C239" t="str">
            <v>Asia</v>
          </cell>
          <cell r="E239" t="str">
            <v>VUV</v>
          </cell>
          <cell r="F239">
            <v>7320</v>
          </cell>
          <cell r="G239">
            <v>1220</v>
          </cell>
          <cell r="H239">
            <v>5400</v>
          </cell>
          <cell r="I239">
            <v>900</v>
          </cell>
          <cell r="J239">
            <v>4860</v>
          </cell>
          <cell r="K239">
            <v>810</v>
          </cell>
          <cell r="L239">
            <v>6</v>
          </cell>
          <cell r="M239">
            <v>1.3555555555555556</v>
          </cell>
          <cell r="N239">
            <v>6</v>
          </cell>
          <cell r="O239">
            <v>6</v>
          </cell>
          <cell r="P239">
            <v>0.9</v>
          </cell>
          <cell r="Q239" t="str">
            <v>VUV</v>
          </cell>
          <cell r="R239">
            <v>7320</v>
          </cell>
          <cell r="S239">
            <v>1220</v>
          </cell>
          <cell r="T239">
            <v>5400</v>
          </cell>
          <cell r="U239">
            <v>900</v>
          </cell>
          <cell r="V239">
            <v>4860</v>
          </cell>
          <cell r="W239">
            <v>810</v>
          </cell>
          <cell r="X239">
            <v>6</v>
          </cell>
          <cell r="Y239">
            <v>1.3555555555555556</v>
          </cell>
          <cell r="Z239">
            <v>6</v>
          </cell>
          <cell r="AA239">
            <v>6</v>
          </cell>
          <cell r="AB239">
            <v>0.9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K239">
            <v>8.4228259999999996E-3</v>
          </cell>
          <cell r="AL239">
            <v>61.655086319999995</v>
          </cell>
          <cell r="AM239">
            <v>10.27584772</v>
          </cell>
          <cell r="AN239">
            <v>45.483260399999999</v>
          </cell>
          <cell r="AO239">
            <v>7.5805433999999998</v>
          </cell>
          <cell r="AP239">
            <v>40.93493436</v>
          </cell>
          <cell r="AQ239">
            <v>6.8224890599999997</v>
          </cell>
          <cell r="AS239" t="str">
            <v>VU</v>
          </cell>
        </row>
        <row r="240">
          <cell r="B240" t="str">
            <v>Vatican City State</v>
          </cell>
          <cell r="C240" t="str">
            <v>Europe</v>
          </cell>
          <cell r="E240" t="str">
            <v>EUR</v>
          </cell>
          <cell r="F240">
            <v>129.99</v>
          </cell>
          <cell r="G240">
            <v>18.989999999999998</v>
          </cell>
          <cell r="H240">
            <v>89.99</v>
          </cell>
          <cell r="I240">
            <v>14.99</v>
          </cell>
          <cell r="J240">
            <v>79.989999999999995</v>
          </cell>
          <cell r="K240">
            <v>12.99</v>
          </cell>
          <cell r="L240">
            <v>6.8451816745655618</v>
          </cell>
          <cell r="M240">
            <v>1.266844563042028</v>
          </cell>
          <cell r="N240">
            <v>6.0033355570380253</v>
          </cell>
          <cell r="O240">
            <v>6.157813702848344</v>
          </cell>
          <cell r="P240">
            <v>0.86657771847898601</v>
          </cell>
          <cell r="Q240" t="str">
            <v>EUR</v>
          </cell>
          <cell r="R240">
            <v>129.99</v>
          </cell>
          <cell r="S240">
            <v>18.989999999999998</v>
          </cell>
          <cell r="T240">
            <v>89.99</v>
          </cell>
          <cell r="U240">
            <v>14.99</v>
          </cell>
          <cell r="V240">
            <v>79.989999999999995</v>
          </cell>
          <cell r="W240">
            <v>12.99</v>
          </cell>
          <cell r="X240">
            <v>6.8451816745655618</v>
          </cell>
          <cell r="Y240">
            <v>1.266844563042028</v>
          </cell>
          <cell r="Z240">
            <v>6.0033355570380253</v>
          </cell>
          <cell r="AA240">
            <v>6.157813702848344</v>
          </cell>
          <cell r="AB240">
            <v>0.86657771847898601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K240">
            <v>1.1778500000000001</v>
          </cell>
          <cell r="AL240">
            <v>153.10872150000003</v>
          </cell>
          <cell r="AM240">
            <v>22.367371500000001</v>
          </cell>
          <cell r="AN240">
            <v>105.9947215</v>
          </cell>
          <cell r="AO240">
            <v>17.6559715</v>
          </cell>
          <cell r="AP240">
            <v>94.216221500000003</v>
          </cell>
          <cell r="AQ240">
            <v>15.300271500000001</v>
          </cell>
          <cell r="AS240" t="str">
            <v>VA</v>
          </cell>
        </row>
        <row r="241">
          <cell r="B241" t="str">
            <v>Venezuela</v>
          </cell>
          <cell r="C241" t="str">
            <v>Latin America</v>
          </cell>
          <cell r="E241" t="str">
            <v>USD</v>
          </cell>
          <cell r="F241">
            <v>95.99</v>
          </cell>
          <cell r="G241">
            <v>15.99</v>
          </cell>
          <cell r="H241">
            <v>71.989999999999995</v>
          </cell>
          <cell r="I241">
            <v>11.99</v>
          </cell>
          <cell r="J241">
            <v>65.989999999999995</v>
          </cell>
          <cell r="K241">
            <v>10.99</v>
          </cell>
          <cell r="L241">
            <v>6.0031269543464658</v>
          </cell>
          <cell r="M241">
            <v>1.3336113427856546</v>
          </cell>
          <cell r="N241">
            <v>6.0041701417848206</v>
          </cell>
          <cell r="O241">
            <v>6.0045495905368513</v>
          </cell>
          <cell r="P241">
            <v>0.91659716430358629</v>
          </cell>
          <cell r="Q241" t="str">
            <v>USD</v>
          </cell>
          <cell r="R241">
            <v>95.99</v>
          </cell>
          <cell r="S241">
            <v>15.99</v>
          </cell>
          <cell r="T241">
            <v>71.989999999999995</v>
          </cell>
          <cell r="U241">
            <v>11.99</v>
          </cell>
          <cell r="V241">
            <v>65.989999999999995</v>
          </cell>
          <cell r="W241">
            <v>10.99</v>
          </cell>
          <cell r="X241">
            <v>6.0031269543464658</v>
          </cell>
          <cell r="Y241">
            <v>1.3336113427856546</v>
          </cell>
          <cell r="Z241">
            <v>6.0041701417848206</v>
          </cell>
          <cell r="AA241">
            <v>6.0045495905368513</v>
          </cell>
          <cell r="AB241">
            <v>0.91659716430358629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K241">
            <v>1</v>
          </cell>
          <cell r="AL241">
            <v>95.99</v>
          </cell>
          <cell r="AM241">
            <v>15.99</v>
          </cell>
          <cell r="AN241">
            <v>71.989999999999995</v>
          </cell>
          <cell r="AO241">
            <v>11.99</v>
          </cell>
          <cell r="AP241">
            <v>65.989999999999995</v>
          </cell>
          <cell r="AQ241">
            <v>10.99</v>
          </cell>
          <cell r="AS241" t="str">
            <v>VE</v>
          </cell>
        </row>
        <row r="242">
          <cell r="B242" t="str">
            <v>Vietnam</v>
          </cell>
          <cell r="C242" t="str">
            <v>Asia</v>
          </cell>
          <cell r="E242" t="str">
            <v>VND</v>
          </cell>
          <cell r="F242">
            <v>1999900</v>
          </cell>
          <cell r="G242">
            <v>309000</v>
          </cell>
          <cell r="H242">
            <v>1539000</v>
          </cell>
          <cell r="I242">
            <v>220000</v>
          </cell>
          <cell r="J242">
            <v>1379000</v>
          </cell>
          <cell r="K242">
            <v>199000</v>
          </cell>
          <cell r="L242">
            <v>6.4721682847896442</v>
          </cell>
          <cell r="M242">
            <v>1.4045454545454545</v>
          </cell>
          <cell r="N242">
            <v>6.9954545454545451</v>
          </cell>
          <cell r="O242">
            <v>6.9296482412060305</v>
          </cell>
          <cell r="P242">
            <v>0.90454545454545454</v>
          </cell>
          <cell r="Q242" t="str">
            <v>VND</v>
          </cell>
          <cell r="R242">
            <v>1999900</v>
          </cell>
          <cell r="S242">
            <v>309000</v>
          </cell>
          <cell r="T242">
            <v>1539000</v>
          </cell>
          <cell r="U242">
            <v>220000</v>
          </cell>
          <cell r="V242">
            <v>1379000</v>
          </cell>
          <cell r="W242">
            <v>199000</v>
          </cell>
          <cell r="X242">
            <v>6.4721682847896442</v>
          </cell>
          <cell r="Y242">
            <v>1.4045454545454545</v>
          </cell>
          <cell r="Z242">
            <v>6.9954545454545451</v>
          </cell>
          <cell r="AA242">
            <v>6.9296482412060305</v>
          </cell>
          <cell r="AB242">
            <v>0.90454545454545454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K242">
            <v>3.8212423999999999E-5</v>
          </cell>
          <cell r="AL242">
            <v>76.421026757600004</v>
          </cell>
          <cell r="AM242">
            <v>11.807639016</v>
          </cell>
          <cell r="AN242">
            <v>58.808920536000002</v>
          </cell>
          <cell r="AO242">
            <v>8.4067332799999992</v>
          </cell>
          <cell r="AP242">
            <v>52.694932696000002</v>
          </cell>
          <cell r="AQ242">
            <v>7.6042723759999999</v>
          </cell>
          <cell r="AS242" t="str">
            <v>VN</v>
          </cell>
        </row>
        <row r="243">
          <cell r="B243" t="str">
            <v>Wallis And Futuna</v>
          </cell>
          <cell r="C243" t="str">
            <v>Asia</v>
          </cell>
          <cell r="E243" t="str">
            <v>XPF</v>
          </cell>
          <cell r="F243">
            <v>8100</v>
          </cell>
          <cell r="G243">
            <v>1350</v>
          </cell>
          <cell r="H243">
            <v>6000</v>
          </cell>
          <cell r="I243">
            <v>1000</v>
          </cell>
          <cell r="J243">
            <v>5400</v>
          </cell>
          <cell r="K243">
            <v>900</v>
          </cell>
          <cell r="L243">
            <v>6</v>
          </cell>
          <cell r="M243">
            <v>1.35</v>
          </cell>
          <cell r="N243">
            <v>6</v>
          </cell>
          <cell r="O243">
            <v>6</v>
          </cell>
          <cell r="P243">
            <v>0.9</v>
          </cell>
          <cell r="Q243" t="str">
            <v>XPF</v>
          </cell>
          <cell r="R243">
            <v>8100</v>
          </cell>
          <cell r="S243">
            <v>1350</v>
          </cell>
          <cell r="T243">
            <v>6000</v>
          </cell>
          <cell r="U243">
            <v>1000</v>
          </cell>
          <cell r="V243">
            <v>5400</v>
          </cell>
          <cell r="W243">
            <v>900</v>
          </cell>
          <cell r="X243">
            <v>6</v>
          </cell>
          <cell r="Y243">
            <v>1.35</v>
          </cell>
          <cell r="Z243">
            <v>6</v>
          </cell>
          <cell r="AA243">
            <v>6</v>
          </cell>
          <cell r="AB243">
            <v>0.9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K243">
            <v>9.8703820000000005E-3</v>
          </cell>
          <cell r="AL243">
            <v>79.950094200000009</v>
          </cell>
          <cell r="AM243">
            <v>13.3250157</v>
          </cell>
          <cell r="AN243">
            <v>59.222292000000003</v>
          </cell>
          <cell r="AO243">
            <v>9.8703820000000011</v>
          </cell>
          <cell r="AP243">
            <v>53.300062799999999</v>
          </cell>
          <cell r="AQ243">
            <v>8.8833438000000005</v>
          </cell>
          <cell r="AS243" t="str">
            <v>WF</v>
          </cell>
        </row>
        <row r="244">
          <cell r="B244" t="str">
            <v>Western Sahara</v>
          </cell>
          <cell r="C244" t="str">
            <v>Africa</v>
          </cell>
          <cell r="E244" t="str">
            <v>MAD</v>
          </cell>
          <cell r="F244">
            <v>720</v>
          </cell>
          <cell r="G244">
            <v>120</v>
          </cell>
          <cell r="H244">
            <v>540</v>
          </cell>
          <cell r="I244">
            <v>90</v>
          </cell>
          <cell r="J244">
            <v>480</v>
          </cell>
          <cell r="K244">
            <v>80</v>
          </cell>
          <cell r="L244">
            <v>6</v>
          </cell>
          <cell r="M244">
            <v>1.3333333333333333</v>
          </cell>
          <cell r="N244">
            <v>6</v>
          </cell>
          <cell r="O244">
            <v>6</v>
          </cell>
          <cell r="P244">
            <v>0.88888888888888884</v>
          </cell>
          <cell r="Q244" t="str">
            <v>MAD</v>
          </cell>
          <cell r="R244">
            <v>720</v>
          </cell>
          <cell r="S244">
            <v>120</v>
          </cell>
          <cell r="T244">
            <v>540</v>
          </cell>
          <cell r="U244">
            <v>90</v>
          </cell>
          <cell r="V244">
            <v>480</v>
          </cell>
          <cell r="W244">
            <v>80</v>
          </cell>
          <cell r="X244">
            <v>6</v>
          </cell>
          <cell r="Y244">
            <v>1.3333333333333333</v>
          </cell>
          <cell r="Z244">
            <v>6</v>
          </cell>
          <cell r="AA244">
            <v>6</v>
          </cell>
          <cell r="AB244">
            <v>0.88888888888888884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K244">
            <v>0.11130775</v>
          </cell>
          <cell r="AL244">
            <v>80.141580000000005</v>
          </cell>
          <cell r="AM244">
            <v>13.35693</v>
          </cell>
          <cell r="AN244">
            <v>60.106184999999996</v>
          </cell>
          <cell r="AO244">
            <v>10.017697500000001</v>
          </cell>
          <cell r="AP244">
            <v>53.427720000000001</v>
          </cell>
          <cell r="AQ244">
            <v>8.9046199999999995</v>
          </cell>
          <cell r="AS244" t="str">
            <v>EH</v>
          </cell>
        </row>
        <row r="245">
          <cell r="B245" t="str">
            <v>Yemen</v>
          </cell>
          <cell r="C245" t="str">
            <v>Middle East</v>
          </cell>
          <cell r="E245" t="str">
            <v>YER</v>
          </cell>
          <cell r="F245">
            <v>19439.990000000002</v>
          </cell>
          <cell r="G245">
            <v>3239.99</v>
          </cell>
          <cell r="H245">
            <v>14399.99</v>
          </cell>
          <cell r="I245">
            <v>2399.9899999999998</v>
          </cell>
          <cell r="J245">
            <v>12959.99</v>
          </cell>
          <cell r="K245">
            <v>2159.9899999999998</v>
          </cell>
          <cell r="L245">
            <v>6.0000154321463963</v>
          </cell>
          <cell r="M245">
            <v>1.3500014583394098</v>
          </cell>
          <cell r="N245">
            <v>6.0000208334201401</v>
          </cell>
          <cell r="O245">
            <v>6.0000231482553161</v>
          </cell>
          <cell r="P245">
            <v>0.89999958333159724</v>
          </cell>
          <cell r="Q245" t="str">
            <v>YER</v>
          </cell>
          <cell r="R245">
            <v>19439.990000000002</v>
          </cell>
          <cell r="S245">
            <v>3239.99</v>
          </cell>
          <cell r="T245">
            <v>14399.99</v>
          </cell>
          <cell r="U245">
            <v>2399.9899999999998</v>
          </cell>
          <cell r="V245">
            <v>12959.99</v>
          </cell>
          <cell r="W245">
            <v>2159.9899999999998</v>
          </cell>
          <cell r="X245">
            <v>6.0000154321463963</v>
          </cell>
          <cell r="Y245">
            <v>1.3500014583394098</v>
          </cell>
          <cell r="Z245">
            <v>6.0000208334201401</v>
          </cell>
          <cell r="AA245">
            <v>6.0000231482553161</v>
          </cell>
          <cell r="AB245">
            <v>0.89999958333159724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K245">
            <v>4.1279669999999997E-3</v>
          </cell>
          <cell r="AL245">
            <v>80.247637200330004</v>
          </cell>
          <cell r="AM245">
            <v>13.374571800329999</v>
          </cell>
          <cell r="AN245">
            <v>59.442683520329993</v>
          </cell>
          <cell r="AO245">
            <v>9.9070795203299991</v>
          </cell>
          <cell r="AP245">
            <v>53.498411040329998</v>
          </cell>
          <cell r="AQ245">
            <v>8.9163674403299993</v>
          </cell>
          <cell r="AS245" t="str">
            <v>YE</v>
          </cell>
        </row>
        <row r="246">
          <cell r="B246" t="str">
            <v>Zambia</v>
          </cell>
          <cell r="C246" t="str">
            <v>Africa</v>
          </cell>
          <cell r="E246" t="str">
            <v>ZMW</v>
          </cell>
          <cell r="F246">
            <v>1980</v>
          </cell>
          <cell r="G246">
            <v>330</v>
          </cell>
          <cell r="H246">
            <v>1440</v>
          </cell>
          <cell r="I246">
            <v>240</v>
          </cell>
          <cell r="J246">
            <v>1320</v>
          </cell>
          <cell r="K246">
            <v>220</v>
          </cell>
          <cell r="L246">
            <v>6</v>
          </cell>
          <cell r="M246">
            <v>1.375</v>
          </cell>
          <cell r="N246">
            <v>6</v>
          </cell>
          <cell r="O246">
            <v>6</v>
          </cell>
          <cell r="P246">
            <v>0.91666666666666663</v>
          </cell>
          <cell r="Q246" t="str">
            <v>ZMW</v>
          </cell>
          <cell r="R246">
            <v>1980</v>
          </cell>
          <cell r="S246">
            <v>330</v>
          </cell>
          <cell r="T246">
            <v>1440</v>
          </cell>
          <cell r="U246">
            <v>240</v>
          </cell>
          <cell r="V246">
            <v>1320</v>
          </cell>
          <cell r="W246">
            <v>220</v>
          </cell>
          <cell r="X246">
            <v>6</v>
          </cell>
          <cell r="Y246">
            <v>1.375</v>
          </cell>
          <cell r="Z246">
            <v>6</v>
          </cell>
          <cell r="AA246">
            <v>6</v>
          </cell>
          <cell r="AB246">
            <v>0.91666666666666663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K246">
            <v>4.1279669999999997E-2</v>
          </cell>
          <cell r="AL246">
            <v>81.733746599999989</v>
          </cell>
          <cell r="AM246">
            <v>13.6222911</v>
          </cell>
          <cell r="AN246">
            <v>59.442724799999993</v>
          </cell>
          <cell r="AO246">
            <v>9.9071207999999995</v>
          </cell>
          <cell r="AP246">
            <v>54.4891644</v>
          </cell>
          <cell r="AQ246">
            <v>9.0815273999999988</v>
          </cell>
          <cell r="AS246" t="str">
            <v>ZM</v>
          </cell>
        </row>
        <row r="247">
          <cell r="B247" t="str">
            <v>Zimbabwe</v>
          </cell>
          <cell r="C247" t="str">
            <v>Africa</v>
          </cell>
          <cell r="E247" t="str">
            <v>USD</v>
          </cell>
          <cell r="F247">
            <v>71.989999999999995</v>
          </cell>
          <cell r="G247">
            <v>11.99</v>
          </cell>
          <cell r="H247">
            <v>53.99</v>
          </cell>
          <cell r="I247">
            <v>8.99</v>
          </cell>
          <cell r="J247">
            <v>47.99</v>
          </cell>
          <cell r="K247">
            <v>7.99</v>
          </cell>
          <cell r="L247">
            <v>6.0041701417848206</v>
          </cell>
          <cell r="M247">
            <v>1.3337041156840934</v>
          </cell>
          <cell r="N247">
            <v>6.0055617352614012</v>
          </cell>
          <cell r="O247">
            <v>6.0062578222778473</v>
          </cell>
          <cell r="P247">
            <v>0.88876529477196886</v>
          </cell>
          <cell r="Q247" t="str">
            <v>USD</v>
          </cell>
          <cell r="R247">
            <v>71.989999999999995</v>
          </cell>
          <cell r="S247">
            <v>11.99</v>
          </cell>
          <cell r="T247">
            <v>53.99</v>
          </cell>
          <cell r="U247">
            <v>8.99</v>
          </cell>
          <cell r="V247">
            <v>47.99</v>
          </cell>
          <cell r="W247">
            <v>7.99</v>
          </cell>
          <cell r="X247">
            <v>6.0041701417848206</v>
          </cell>
          <cell r="Y247">
            <v>1.3337041156840934</v>
          </cell>
          <cell r="Z247">
            <v>6.0055617352614012</v>
          </cell>
          <cell r="AA247">
            <v>6.0062578222778473</v>
          </cell>
          <cell r="AB247">
            <v>0.88876529477196886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K247">
            <v>1</v>
          </cell>
          <cell r="AL247">
            <v>71.989999999999995</v>
          </cell>
          <cell r="AM247">
            <v>11.99</v>
          </cell>
          <cell r="AN247">
            <v>53.99</v>
          </cell>
          <cell r="AO247">
            <v>8.99</v>
          </cell>
          <cell r="AP247">
            <v>47.99</v>
          </cell>
          <cell r="AQ247">
            <v>7.99</v>
          </cell>
          <cell r="AS247" t="str">
            <v>ZW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</row>
        <row r="3">
          <cell r="D3" t="str">
            <v>Market</v>
          </cell>
          <cell r="E3" t="str">
            <v>Markets</v>
          </cell>
          <cell r="F3" t="str">
            <v>Distributor #1</v>
          </cell>
          <cell r="N3" t="str">
            <v>Distributor #2</v>
          </cell>
          <cell r="V3" t="str">
            <v>Distributor #3</v>
          </cell>
          <cell r="AD3" t="str">
            <v>Distributor #4</v>
          </cell>
          <cell r="AL3" t="str">
            <v>Distributor #5</v>
          </cell>
          <cell r="AT3" t="str">
            <v>Distributor #6</v>
          </cell>
        </row>
        <row r="4">
          <cell r="B4" t="str">
            <v>Country</v>
          </cell>
          <cell r="C4" t="str">
            <v>Region</v>
          </cell>
          <cell r="D4" t="str">
            <v>Prioritization</v>
          </cell>
          <cell r="E4" t="str">
            <v>with Ads</v>
          </cell>
          <cell r="F4" t="str">
            <v>Name</v>
          </cell>
          <cell r="G4" t="str">
            <v>Category</v>
          </cell>
          <cell r="H4" t="str">
            <v>Medium</v>
          </cell>
          <cell r="I4" t="str">
            <v>Customer Type: Gen Pop, Discount (%), Other</v>
          </cell>
          <cell r="J4" t="str">
            <v>Latest Subscriber Base</v>
          </cell>
          <cell r="K4" t="str">
            <v>Currency</v>
          </cell>
          <cell r="L4" t="str">
            <v>BLPEMONTHLY Equivalent Price</v>
          </cell>
          <cell r="M4" t="str">
            <v>BLPPMONTHLY Equivalent Price</v>
          </cell>
          <cell r="N4" t="str">
            <v>Name</v>
          </cell>
          <cell r="O4" t="str">
            <v>Category</v>
          </cell>
          <cell r="P4" t="str">
            <v>Medium</v>
          </cell>
          <cell r="Q4" t="str">
            <v>Customer Type: Gen Pop, Discount (%), Other</v>
          </cell>
          <cell r="R4" t="str">
            <v>Latest Subscriber Base</v>
          </cell>
          <cell r="S4" t="str">
            <v>Currency</v>
          </cell>
          <cell r="T4" t="str">
            <v>BLPEMONTHLY Equivalent Price</v>
          </cell>
          <cell r="U4" t="str">
            <v>BLPPMONTHLY Equivalent Price</v>
          </cell>
          <cell r="V4" t="str">
            <v>Name</v>
          </cell>
          <cell r="W4" t="str">
            <v>Category</v>
          </cell>
          <cell r="X4" t="str">
            <v>Medium</v>
          </cell>
          <cell r="Y4" t="str">
            <v>Customer Type: Gen Pop, Discount (%), Other</v>
          </cell>
          <cell r="Z4" t="str">
            <v>Latest Subscriber Base</v>
          </cell>
          <cell r="AA4" t="str">
            <v>Currency</v>
          </cell>
          <cell r="AB4" t="str">
            <v>BLPPMONTHLY Equivalent Price</v>
          </cell>
          <cell r="AC4" t="str">
            <v>BLPEMONTHLY Equivalent Price</v>
          </cell>
          <cell r="AD4" t="str">
            <v>Name</v>
          </cell>
          <cell r="AE4" t="str">
            <v>Category</v>
          </cell>
          <cell r="AF4" t="str">
            <v>Medium</v>
          </cell>
          <cell r="AG4" t="str">
            <v>Customer Type: Gen Pop, Discount (%), Other</v>
          </cell>
          <cell r="AH4" t="str">
            <v>Latest Subscriber Base</v>
          </cell>
          <cell r="AI4" t="str">
            <v>Currency</v>
          </cell>
          <cell r="AJ4" t="str">
            <v>BLPPMONTHLY Equivalent Price</v>
          </cell>
          <cell r="AK4" t="str">
            <v>BLPEMONTHLY Equivalent Price</v>
          </cell>
          <cell r="AL4" t="str">
            <v>Name</v>
          </cell>
          <cell r="AM4" t="str">
            <v>Category</v>
          </cell>
          <cell r="AN4" t="str">
            <v>Medium</v>
          </cell>
          <cell r="AO4" t="str">
            <v>Customer Type: Gen Pop, Discount (%), Other</v>
          </cell>
          <cell r="AP4" t="str">
            <v>Latest Subscriber Base</v>
          </cell>
          <cell r="AQ4" t="str">
            <v>Currency</v>
          </cell>
          <cell r="AR4" t="str">
            <v>BLPPMONTHLY Equivalent Price</v>
          </cell>
          <cell r="AS4" t="str">
            <v>BLPEMONTHLY Equivalent Price</v>
          </cell>
          <cell r="AT4" t="str">
            <v>Name</v>
          </cell>
          <cell r="AU4" t="str">
            <v>Category</v>
          </cell>
          <cell r="AV4" t="str">
            <v>Medium</v>
          </cell>
          <cell r="AW4" t="str">
            <v>Customer Type: Gen Pop, Discount (%), Other</v>
          </cell>
          <cell r="AX4" t="str">
            <v>Latest Subscriber Base</v>
          </cell>
          <cell r="AY4" t="str">
            <v>Currency</v>
          </cell>
          <cell r="AZ4" t="str">
            <v>BLPPMONTHLY Equivalent Price</v>
          </cell>
          <cell r="BA4" t="str">
            <v>BLPEMONTHLY Equivalent Price</v>
          </cell>
        </row>
        <row r="5">
          <cell r="B5" t="str">
            <v>Afghanistan</v>
          </cell>
          <cell r="C5" t="str">
            <v>Asia</v>
          </cell>
          <cell r="E5" t="e">
            <v>#N/A</v>
          </cell>
        </row>
        <row r="6">
          <cell r="B6" t="str">
            <v>Aland Islands</v>
          </cell>
          <cell r="C6" t="str">
            <v>Europe</v>
          </cell>
          <cell r="D6" t="str">
            <v/>
          </cell>
          <cell r="E6" t="str">
            <v/>
          </cell>
        </row>
        <row r="7">
          <cell r="B7" t="str">
            <v>Albania</v>
          </cell>
          <cell r="C7" t="str">
            <v>Europe</v>
          </cell>
          <cell r="D7" t="str">
            <v/>
          </cell>
          <cell r="E7" t="str">
            <v/>
          </cell>
        </row>
        <row r="8">
          <cell r="B8" t="str">
            <v>Algeria</v>
          </cell>
          <cell r="C8" t="str">
            <v>Africa</v>
          </cell>
          <cell r="D8" t="str">
            <v/>
          </cell>
          <cell r="E8" t="str">
            <v/>
          </cell>
        </row>
        <row r="9">
          <cell r="B9" t="str">
            <v>American Samoa</v>
          </cell>
          <cell r="C9" t="str">
            <v>Asia</v>
          </cell>
          <cell r="D9" t="str">
            <v/>
          </cell>
          <cell r="E9" t="str">
            <v/>
          </cell>
        </row>
        <row r="10">
          <cell r="B10" t="str">
            <v>Andorra</v>
          </cell>
          <cell r="C10" t="str">
            <v>Europe</v>
          </cell>
          <cell r="D10" t="str">
            <v/>
          </cell>
          <cell r="E10" t="str">
            <v/>
          </cell>
        </row>
        <row r="11">
          <cell r="B11" t="str">
            <v>Angola</v>
          </cell>
          <cell r="C11" t="str">
            <v>Africa</v>
          </cell>
          <cell r="D11" t="str">
            <v/>
          </cell>
          <cell r="E11" t="str">
            <v/>
          </cell>
        </row>
        <row r="12">
          <cell r="B12" t="str">
            <v>Anguilla</v>
          </cell>
          <cell r="C12" t="str">
            <v>Latin America</v>
          </cell>
          <cell r="D12" t="str">
            <v/>
          </cell>
          <cell r="E12" t="str">
            <v/>
          </cell>
        </row>
        <row r="13">
          <cell r="B13" t="str">
            <v>Antarctica</v>
          </cell>
          <cell r="C13" t="str">
            <v>Europe</v>
          </cell>
          <cell r="D13" t="str">
            <v/>
          </cell>
          <cell r="E13" t="str">
            <v/>
          </cell>
        </row>
        <row r="14">
          <cell r="B14" t="str">
            <v>Antigua And Barbuda</v>
          </cell>
          <cell r="C14" t="str">
            <v>Latin America</v>
          </cell>
          <cell r="D14" t="str">
            <v/>
          </cell>
          <cell r="E14" t="str">
            <v/>
          </cell>
        </row>
        <row r="15">
          <cell r="B15" t="str">
            <v>Argentina</v>
          </cell>
          <cell r="C15" t="str">
            <v>Latin America</v>
          </cell>
          <cell r="D15" t="str">
            <v>A3</v>
          </cell>
          <cell r="E15" t="str">
            <v/>
          </cell>
          <cell r="F15" t="str">
            <v>ESPN</v>
          </cell>
          <cell r="G15" t="str">
            <v>Broadcaster</v>
          </cell>
          <cell r="H15" t="str">
            <v>Pay TV</v>
          </cell>
          <cell r="I15" t="str">
            <v>Pay TV subscribers</v>
          </cell>
          <cell r="J15" t="str">
            <v>~22M households (ESPN LatAm south network)</v>
          </cell>
          <cell r="K15" t="str">
            <v>ARS</v>
          </cell>
          <cell r="L15" t="str">
            <v>NA</v>
          </cell>
          <cell r="M15" t="str">
            <v>NA</v>
          </cell>
          <cell r="N15" t="str">
            <v>Star+</v>
          </cell>
          <cell r="O15" t="str">
            <v>Broadcaster</v>
          </cell>
          <cell r="P15" t="str">
            <v>Streaming</v>
          </cell>
          <cell r="Q15" t="str">
            <v>Star+ subscribers</v>
          </cell>
          <cell r="R15" t="str">
            <v>N/A (estimated between 5M-15M subs Latam-wide)</v>
          </cell>
          <cell r="S15" t="str">
            <v>ARS</v>
          </cell>
          <cell r="T15" t="str">
            <v>NA</v>
          </cell>
          <cell r="U15" t="str">
            <v>NA</v>
          </cell>
          <cell r="V15" t="str">
            <v>Telecom</v>
          </cell>
          <cell r="W15" t="str">
            <v>Broadcaster</v>
          </cell>
          <cell r="X15" t="str">
            <v>Pay TV</v>
          </cell>
          <cell r="Y15" t="str">
            <v>Pay TV subscribers</v>
          </cell>
          <cell r="Z15" t="str">
            <v>3.3M subscribers</v>
          </cell>
          <cell r="AA15" t="str">
            <v>ARS</v>
          </cell>
          <cell r="AB15" t="str">
            <v>NA</v>
          </cell>
          <cell r="AC15" t="str">
            <v>NA</v>
          </cell>
          <cell r="AD15" t="str">
            <v>AWG</v>
          </cell>
          <cell r="AE15" t="str">
            <v>LP Reseller</v>
          </cell>
          <cell r="AF15" t="str">
            <v>League Pass</v>
          </cell>
          <cell r="AG15" t="str">
            <v>Telco Market</v>
          </cell>
          <cell r="AH15" t="str">
            <v>~100M (total potential market size)</v>
          </cell>
          <cell r="AI15" t="str">
            <v>ARS</v>
          </cell>
          <cell r="AJ15" t="str">
            <v>Does not sell LPP</v>
          </cell>
          <cell r="AK15" t="str">
            <v>Does not sell LP (just Team Pass)</v>
          </cell>
        </row>
        <row r="16">
          <cell r="B16" t="str">
            <v>Armenia</v>
          </cell>
          <cell r="C16" t="str">
            <v>Middle East</v>
          </cell>
          <cell r="D16" t="str">
            <v/>
          </cell>
          <cell r="E16" t="str">
            <v/>
          </cell>
        </row>
        <row r="17">
          <cell r="B17" t="str">
            <v>Aruba</v>
          </cell>
          <cell r="C17" t="str">
            <v>Latin America</v>
          </cell>
          <cell r="D17" t="str">
            <v/>
          </cell>
          <cell r="E17" t="str">
            <v/>
          </cell>
        </row>
        <row r="18">
          <cell r="B18" t="str">
            <v>Australia</v>
          </cell>
          <cell r="C18" t="str">
            <v>Asia</v>
          </cell>
          <cell r="D18" t="str">
            <v>A2</v>
          </cell>
          <cell r="E18" t="str">
            <v>Live</v>
          </cell>
          <cell r="F18" t="str">
            <v>Kayo Sports</v>
          </cell>
          <cell r="G18" t="str">
            <v xml:space="preserve">Sports </v>
          </cell>
          <cell r="H18" t="str">
            <v>OTT</v>
          </cell>
          <cell r="I18" t="str">
            <v>Gen Pop</v>
          </cell>
          <cell r="J18">
            <v>1.5</v>
          </cell>
          <cell r="K18" t="str">
            <v>AUD</v>
          </cell>
          <cell r="L18">
            <v>45.99</v>
          </cell>
          <cell r="M18">
            <v>29.99</v>
          </cell>
          <cell r="N18" t="str">
            <v>Disney+</v>
          </cell>
          <cell r="O18" t="str">
            <v>Broadcaster</v>
          </cell>
          <cell r="P18" t="str">
            <v>Streaming</v>
          </cell>
          <cell r="Q18" t="str">
            <v>Gen Pop</v>
          </cell>
          <cell r="R18" t="str">
            <v>3.8M</v>
          </cell>
          <cell r="S18" t="str">
            <v>AUD</v>
          </cell>
          <cell r="T18">
            <v>20.99</v>
          </cell>
          <cell r="U18">
            <v>15.99</v>
          </cell>
          <cell r="V18" t="str">
            <v>Foxtel</v>
          </cell>
          <cell r="W18" t="str">
            <v>Broadcaster</v>
          </cell>
          <cell r="X18" t="str">
            <v>Pay TV</v>
          </cell>
          <cell r="Y18" t="str">
            <v>Gen Pop</v>
          </cell>
          <cell r="Z18" t="str">
            <v>1.2M</v>
          </cell>
          <cell r="AA18" t="str">
            <v>AUD</v>
          </cell>
          <cell r="AB18" t="str">
            <v>NA</v>
          </cell>
          <cell r="AC18">
            <v>35</v>
          </cell>
          <cell r="AD18" t="str">
            <v>Amazon Prime</v>
          </cell>
          <cell r="AE18" t="str">
            <v>SVOD</v>
          </cell>
          <cell r="AF18" t="str">
            <v>Streaming</v>
          </cell>
          <cell r="AG18" t="str">
            <v>Gen Pop</v>
          </cell>
          <cell r="AH18" t="str">
            <v>4M</v>
          </cell>
          <cell r="AI18" t="str">
            <v>AUD</v>
          </cell>
          <cell r="AJ18" t="str">
            <v>NA</v>
          </cell>
          <cell r="AK18">
            <v>9.99</v>
          </cell>
        </row>
        <row r="19">
          <cell r="B19" t="str">
            <v>Austria</v>
          </cell>
          <cell r="C19" t="str">
            <v>Europe</v>
          </cell>
          <cell r="D19" t="str">
            <v>A2</v>
          </cell>
          <cell r="E19" t="str">
            <v>No Ads in FY26</v>
          </cell>
          <cell r="F19" t="str">
            <v>Sky Germany</v>
          </cell>
          <cell r="G19" t="str">
            <v>Broadcaster</v>
          </cell>
          <cell r="H19" t="str">
            <v>Pay TV</v>
          </cell>
          <cell r="I19" t="str">
            <v>Gen Pop</v>
          </cell>
          <cell r="K19" t="str">
            <v>EUR</v>
          </cell>
          <cell r="L19">
            <v>35.99</v>
          </cell>
          <cell r="M19" t="str">
            <v>NA</v>
          </cell>
          <cell r="N19" t="str">
            <v>Amazon PV</v>
          </cell>
          <cell r="O19" t="str">
            <v>Broadcaster</v>
          </cell>
        </row>
        <row r="20">
          <cell r="B20" t="str">
            <v>Azerbaijan</v>
          </cell>
          <cell r="C20" t="str">
            <v>Middle East</v>
          </cell>
          <cell r="D20" t="str">
            <v/>
          </cell>
          <cell r="E20" t="str">
            <v/>
          </cell>
        </row>
        <row r="21">
          <cell r="B21" t="str">
            <v>Bahamas</v>
          </cell>
          <cell r="C21" t="str">
            <v>Latin America</v>
          </cell>
          <cell r="D21" t="str">
            <v/>
          </cell>
          <cell r="E21" t="str">
            <v/>
          </cell>
        </row>
        <row r="22">
          <cell r="B22" t="str">
            <v>Bahrain</v>
          </cell>
          <cell r="C22" t="str">
            <v>Middle East</v>
          </cell>
          <cell r="D22" t="str">
            <v/>
          </cell>
          <cell r="E22" t="str">
            <v/>
          </cell>
        </row>
        <row r="23">
          <cell r="B23" t="str">
            <v>Bangladesh</v>
          </cell>
          <cell r="C23" t="str">
            <v>Asia</v>
          </cell>
          <cell r="D23" t="str">
            <v/>
          </cell>
          <cell r="E23" t="str">
            <v/>
          </cell>
        </row>
        <row r="24">
          <cell r="B24" t="str">
            <v>Barbados</v>
          </cell>
          <cell r="C24" t="str">
            <v>Latin America</v>
          </cell>
          <cell r="D24" t="str">
            <v/>
          </cell>
          <cell r="E24" t="str">
            <v/>
          </cell>
        </row>
        <row r="25">
          <cell r="B25" t="str">
            <v>Belarus</v>
          </cell>
          <cell r="C25" t="str">
            <v>Europe</v>
          </cell>
          <cell r="D25" t="str">
            <v/>
          </cell>
          <cell r="E25" t="str">
            <v/>
          </cell>
        </row>
        <row r="26">
          <cell r="B26" t="str">
            <v>Belgium</v>
          </cell>
          <cell r="C26" t="str">
            <v>Europe</v>
          </cell>
          <cell r="D26" t="str">
            <v>A2</v>
          </cell>
          <cell r="E26" t="str">
            <v>No Ads in FY26</v>
          </cell>
          <cell r="F26" t="str">
            <v>DAZN</v>
          </cell>
          <cell r="G26" t="str">
            <v xml:space="preserve">Sports </v>
          </cell>
          <cell r="H26" t="str">
            <v>Pay TV/SVOD</v>
          </cell>
          <cell r="I26" t="str">
            <v>Pay TV subscribers</v>
          </cell>
          <cell r="K26" t="str">
            <v>EUR</v>
          </cell>
          <cell r="L26">
            <v>34.99</v>
          </cell>
          <cell r="M26" t="str">
            <v>NA</v>
          </cell>
          <cell r="N26" t="str">
            <v>Amazon PV</v>
          </cell>
          <cell r="O26" t="str">
            <v>Broadcaster</v>
          </cell>
        </row>
        <row r="27">
          <cell r="B27" t="str">
            <v>Belize</v>
          </cell>
          <cell r="C27" t="str">
            <v>Latin America</v>
          </cell>
          <cell r="D27" t="str">
            <v/>
          </cell>
          <cell r="E27" t="str">
            <v/>
          </cell>
        </row>
        <row r="28">
          <cell r="B28" t="str">
            <v>Benin</v>
          </cell>
          <cell r="C28" t="str">
            <v>Africa</v>
          </cell>
          <cell r="D28" t="str">
            <v/>
          </cell>
          <cell r="E28" t="str">
            <v/>
          </cell>
        </row>
        <row r="29">
          <cell r="B29" t="str">
            <v>Bermuda</v>
          </cell>
          <cell r="C29" t="str">
            <v>Domestic</v>
          </cell>
          <cell r="D29" t="str">
            <v/>
          </cell>
          <cell r="E29" t="str">
            <v/>
          </cell>
        </row>
        <row r="30">
          <cell r="B30" t="str">
            <v>Bhutan</v>
          </cell>
          <cell r="C30" t="str">
            <v>Asia</v>
          </cell>
          <cell r="D30" t="str">
            <v/>
          </cell>
          <cell r="E30" t="str">
            <v/>
          </cell>
        </row>
        <row r="31">
          <cell r="B31" t="str">
            <v>Bolivia</v>
          </cell>
          <cell r="C31" t="str">
            <v>Europe</v>
          </cell>
          <cell r="D31" t="str">
            <v/>
          </cell>
          <cell r="E31" t="str">
            <v/>
          </cell>
        </row>
        <row r="32">
          <cell r="B32" t="str">
            <v>Bonaire, St. Eustatius, &amp; Saba</v>
          </cell>
          <cell r="C32" t="str">
            <v>Europe</v>
          </cell>
          <cell r="D32" t="str">
            <v/>
          </cell>
          <cell r="E32" t="str">
            <v/>
          </cell>
        </row>
        <row r="33">
          <cell r="B33" t="str">
            <v>Bosnia And Herzegovina</v>
          </cell>
          <cell r="C33" t="str">
            <v>Europe</v>
          </cell>
          <cell r="D33" t="str">
            <v/>
          </cell>
          <cell r="E33" t="str">
            <v/>
          </cell>
        </row>
        <row r="34">
          <cell r="B34" t="str">
            <v>Botswana</v>
          </cell>
          <cell r="C34" t="str">
            <v>Africa</v>
          </cell>
          <cell r="D34" t="str">
            <v/>
          </cell>
          <cell r="E34" t="str">
            <v/>
          </cell>
        </row>
        <row r="35">
          <cell r="B35" t="str">
            <v>Bouvet Island</v>
          </cell>
          <cell r="C35" t="str">
            <v>Europe</v>
          </cell>
          <cell r="D35" t="str">
            <v/>
          </cell>
          <cell r="E35" t="str">
            <v/>
          </cell>
        </row>
        <row r="36">
          <cell r="B36" t="str">
            <v>Brazil</v>
          </cell>
          <cell r="C36" t="str">
            <v>Latin America</v>
          </cell>
          <cell r="D36" t="str">
            <v>A1</v>
          </cell>
          <cell r="E36" t="str">
            <v>Live</v>
          </cell>
          <cell r="F36" t="str">
            <v>ESPN</v>
          </cell>
          <cell r="G36" t="str">
            <v>Broadcaster</v>
          </cell>
          <cell r="H36" t="str">
            <v>Pay TV</v>
          </cell>
          <cell r="I36" t="str">
            <v>Pay TV subscribers</v>
          </cell>
          <cell r="J36" t="str">
            <v>~10M households</v>
          </cell>
          <cell r="K36" t="str">
            <v>BRL</v>
          </cell>
          <cell r="L36" t="str">
            <v>NA</v>
          </cell>
          <cell r="M36" t="str">
            <v>NA</v>
          </cell>
          <cell r="N36" t="str">
            <v>Amazon PV</v>
          </cell>
          <cell r="O36" t="str">
            <v>Broadcaster/LP Reseller</v>
          </cell>
          <cell r="P36" t="str">
            <v>Streaming</v>
          </cell>
          <cell r="Q36" t="str">
            <v>Amazon Prime subscribers</v>
          </cell>
          <cell r="R36" t="str">
            <v>10M Amazon Prime subs, 8M Prime Video subs</v>
          </cell>
          <cell r="S36" t="str">
            <v>BRL</v>
          </cell>
          <cell r="T36" t="str">
            <v>Does not sell LPP</v>
          </cell>
          <cell r="U36" t="str">
            <v>May sell at 25% discount vs LP direct sales, chooses to sell at no discount</v>
          </cell>
          <cell r="V36" t="str">
            <v>Vivo</v>
          </cell>
          <cell r="W36" t="str">
            <v>LP Reseller</v>
          </cell>
          <cell r="X36" t="str">
            <v>League Pass</v>
          </cell>
          <cell r="Y36" t="str">
            <v>Telco Market</v>
          </cell>
          <cell r="Z36" t="str">
            <v>~70M subscribers</v>
          </cell>
          <cell r="AA36" t="str">
            <v>BRL</v>
          </cell>
          <cell r="AB36" t="str">
            <v>Does not sell LPP</v>
          </cell>
          <cell r="AC36" t="str">
            <v>Sells at 25% discount vs LP direct sales price</v>
          </cell>
          <cell r="AD36" t="str">
            <v>UOL</v>
          </cell>
          <cell r="AE36" t="str">
            <v>LP Reseller</v>
          </cell>
          <cell r="AF36" t="str">
            <v>League Pass</v>
          </cell>
          <cell r="AG36" t="str">
            <v>Digital Publisher</v>
          </cell>
          <cell r="AH36" t="str">
            <v>~5M subscribers</v>
          </cell>
          <cell r="AI36" t="str">
            <v>BRL</v>
          </cell>
          <cell r="AJ36" t="str">
            <v>Does not sell LPP</v>
          </cell>
          <cell r="AK36" t="str">
            <v>Sells at 25% discount vs LP direct sales price</v>
          </cell>
          <cell r="AL36" t="str">
            <v>Playhub</v>
          </cell>
          <cell r="AM36" t="str">
            <v>LP Reseller</v>
          </cell>
          <cell r="AN36" t="str">
            <v>League Pass</v>
          </cell>
          <cell r="AO36" t="str">
            <v>Internet Service Providers</v>
          </cell>
          <cell r="AP36" t="str">
            <v>~20M households (total potential market size)</v>
          </cell>
          <cell r="AQ36" t="str">
            <v>BRL</v>
          </cell>
          <cell r="AR36" t="str">
            <v>Does not sell LPP</v>
          </cell>
          <cell r="AS36" t="str">
            <v>Sells at 25% discount vs LP direct sales price</v>
          </cell>
        </row>
        <row r="37">
          <cell r="B37" t="str">
            <v>British Indian Ocean Territory</v>
          </cell>
          <cell r="C37" t="str">
            <v>Asia</v>
          </cell>
          <cell r="D37" t="str">
            <v/>
          </cell>
          <cell r="E37" t="str">
            <v/>
          </cell>
        </row>
        <row r="38">
          <cell r="B38" t="str">
            <v>British Virgin Islands</v>
          </cell>
          <cell r="C38" t="str">
            <v>Latin America</v>
          </cell>
          <cell r="D38" t="str">
            <v/>
          </cell>
          <cell r="E38" t="str">
            <v/>
          </cell>
        </row>
        <row r="39">
          <cell r="B39" t="str">
            <v>Brunei</v>
          </cell>
          <cell r="C39" t="str">
            <v>Asia</v>
          </cell>
          <cell r="D39" t="str">
            <v/>
          </cell>
          <cell r="E39" t="str">
            <v/>
          </cell>
        </row>
        <row r="40">
          <cell r="B40" t="str">
            <v>Bulgaria</v>
          </cell>
          <cell r="C40" t="str">
            <v>Europe</v>
          </cell>
          <cell r="D40" t="str">
            <v/>
          </cell>
          <cell r="E40" t="str">
            <v/>
          </cell>
        </row>
        <row r="41">
          <cell r="B41" t="str">
            <v>Burkina Faso</v>
          </cell>
          <cell r="C41" t="str">
            <v>Africa</v>
          </cell>
          <cell r="D41" t="str">
            <v/>
          </cell>
          <cell r="E41" t="str">
            <v/>
          </cell>
        </row>
        <row r="42">
          <cell r="B42" t="str">
            <v>Burundi</v>
          </cell>
          <cell r="C42" t="str">
            <v>Africa</v>
          </cell>
          <cell r="D42" t="str">
            <v/>
          </cell>
          <cell r="E42" t="str">
            <v/>
          </cell>
        </row>
        <row r="43">
          <cell r="B43" t="str">
            <v>Cambodia</v>
          </cell>
          <cell r="C43" t="str">
            <v>Asia</v>
          </cell>
          <cell r="D43" t="str">
            <v/>
          </cell>
          <cell r="E43" t="str">
            <v/>
          </cell>
        </row>
        <row r="44">
          <cell r="B44" t="str">
            <v>Cameroon</v>
          </cell>
          <cell r="C44" t="str">
            <v>Africa</v>
          </cell>
          <cell r="D44" t="str">
            <v/>
          </cell>
          <cell r="E44" t="str">
            <v/>
          </cell>
        </row>
        <row r="45">
          <cell r="B45" t="str">
            <v>Canada</v>
          </cell>
          <cell r="C45" t="str">
            <v>Canada</v>
          </cell>
          <cell r="D45" t="str">
            <v>A3</v>
          </cell>
          <cell r="E45" t="str">
            <v>No Ads in FY26</v>
          </cell>
          <cell r="F45" t="str">
            <v>Sportsnet Now</v>
          </cell>
          <cell r="G45" t="str">
            <v>Sports (incl. NHL Live)</v>
          </cell>
          <cell r="H45" t="str">
            <v>SVOD</v>
          </cell>
          <cell r="I45" t="str">
            <v>Gen Pop</v>
          </cell>
          <cell r="J45" t="str">
            <v>NA</v>
          </cell>
          <cell r="K45" t="str">
            <v>CAD</v>
          </cell>
          <cell r="L45">
            <v>34.99</v>
          </cell>
          <cell r="M45">
            <v>19.989999999999998</v>
          </cell>
          <cell r="N45" t="str">
            <v>TSN</v>
          </cell>
          <cell r="O45" t="str">
            <v>Sports</v>
          </cell>
          <cell r="P45" t="str">
            <v>SVOD</v>
          </cell>
          <cell r="Q45" t="str">
            <v>Gen Pop</v>
          </cell>
          <cell r="R45" t="str">
            <v>NA</v>
          </cell>
          <cell r="S45" t="str">
            <v>CAD</v>
          </cell>
          <cell r="T45" t="str">
            <v>NA</v>
          </cell>
          <cell r="U45">
            <v>8</v>
          </cell>
        </row>
        <row r="46">
          <cell r="B46" t="str">
            <v>Cape Verde</v>
          </cell>
          <cell r="C46" t="str">
            <v>Africa</v>
          </cell>
          <cell r="D46" t="str">
            <v/>
          </cell>
          <cell r="E46" t="str">
            <v/>
          </cell>
        </row>
        <row r="47">
          <cell r="B47" t="str">
            <v>Cayman Islands</v>
          </cell>
          <cell r="C47" t="str">
            <v>Latin America</v>
          </cell>
          <cell r="D47" t="str">
            <v/>
          </cell>
          <cell r="E47" t="str">
            <v/>
          </cell>
        </row>
        <row r="48">
          <cell r="B48" t="str">
            <v>Central African Republic</v>
          </cell>
          <cell r="C48" t="str">
            <v>Africa</v>
          </cell>
          <cell r="D48" t="str">
            <v/>
          </cell>
          <cell r="E48" t="str">
            <v/>
          </cell>
        </row>
        <row r="49">
          <cell r="B49" t="str">
            <v>Chad</v>
          </cell>
          <cell r="C49" t="str">
            <v>Africa</v>
          </cell>
          <cell r="D49" t="str">
            <v/>
          </cell>
          <cell r="E49" t="str">
            <v/>
          </cell>
        </row>
        <row r="50">
          <cell r="B50" t="str">
            <v>Chile</v>
          </cell>
          <cell r="C50" t="str">
            <v>Latin America</v>
          </cell>
          <cell r="D50" t="str">
            <v>A2</v>
          </cell>
          <cell r="E50" t="str">
            <v>No Ads in FY26</v>
          </cell>
          <cell r="F50" t="str">
            <v>ESPN</v>
          </cell>
          <cell r="G50" t="str">
            <v>Broadcaster</v>
          </cell>
          <cell r="H50" t="str">
            <v>Pay TV</v>
          </cell>
          <cell r="I50" t="str">
            <v>Pay TV subscribers</v>
          </cell>
          <cell r="J50" t="str">
            <v>~22M households (ESPN LatAm south network)</v>
          </cell>
          <cell r="K50" t="str">
            <v>CLP</v>
          </cell>
          <cell r="L50" t="str">
            <v>NA</v>
          </cell>
          <cell r="M50" t="str">
            <v>NA</v>
          </cell>
          <cell r="N50" t="str">
            <v>Star+</v>
          </cell>
          <cell r="O50" t="str">
            <v>Broadcaster</v>
          </cell>
          <cell r="P50" t="str">
            <v>Streaming</v>
          </cell>
          <cell r="Q50" t="str">
            <v>Star+ subscribers</v>
          </cell>
          <cell r="R50" t="str">
            <v>N/A (estimated between 5M-15M subs Latam-wide)</v>
          </cell>
          <cell r="S50" t="str">
            <v>CLP</v>
          </cell>
          <cell r="T50" t="str">
            <v>NA</v>
          </cell>
          <cell r="U50" t="str">
            <v>NA</v>
          </cell>
          <cell r="V50" t="str">
            <v>AWG</v>
          </cell>
          <cell r="W50" t="str">
            <v>LP Reseller</v>
          </cell>
          <cell r="X50" t="str">
            <v>League Pass</v>
          </cell>
          <cell r="Y50" t="str">
            <v>Telco Market</v>
          </cell>
          <cell r="Z50" t="str">
            <v>~26M (total potential market size)</v>
          </cell>
          <cell r="AA50" t="str">
            <v>CLP</v>
          </cell>
          <cell r="AB50" t="str">
            <v>Does not sell LPP</v>
          </cell>
          <cell r="AC50" t="str">
            <v>Does not sell LP (just Team Pass)</v>
          </cell>
        </row>
        <row r="51">
          <cell r="B51" t="str">
            <v>Christmas Island</v>
          </cell>
          <cell r="C51" t="str">
            <v>Asia</v>
          </cell>
          <cell r="D51" t="str">
            <v/>
          </cell>
          <cell r="E51" t="str">
            <v/>
          </cell>
        </row>
        <row r="52">
          <cell r="B52" t="str">
            <v>Cocos (Keeling) Island</v>
          </cell>
          <cell r="C52" t="str">
            <v>Asia</v>
          </cell>
          <cell r="D52" t="str">
            <v/>
          </cell>
          <cell r="E52" t="str">
            <v/>
          </cell>
        </row>
        <row r="53">
          <cell r="B53" t="str">
            <v>Colombia</v>
          </cell>
          <cell r="C53" t="str">
            <v>Latin America</v>
          </cell>
          <cell r="D53" t="str">
            <v>A2</v>
          </cell>
          <cell r="E53" t="str">
            <v/>
          </cell>
          <cell r="F53" t="str">
            <v>ESPN</v>
          </cell>
          <cell r="G53" t="str">
            <v>Broadcaster</v>
          </cell>
          <cell r="H53" t="str">
            <v>Pay TV</v>
          </cell>
          <cell r="I53" t="str">
            <v>Pay TV subscribers</v>
          </cell>
          <cell r="J53" t="str">
            <v>~22M households (ESPN LatAm south network)</v>
          </cell>
          <cell r="K53" t="str">
            <v>COP</v>
          </cell>
          <cell r="L53" t="str">
            <v>NA</v>
          </cell>
          <cell r="M53" t="str">
            <v>NA</v>
          </cell>
          <cell r="N53" t="str">
            <v>Star+</v>
          </cell>
          <cell r="O53" t="str">
            <v>Broadcaster</v>
          </cell>
          <cell r="P53" t="str">
            <v>Streaming</v>
          </cell>
          <cell r="Q53" t="str">
            <v>Star+ subscribers</v>
          </cell>
          <cell r="R53" t="str">
            <v>N/A (estimated between 5M-15M subs Latam-wide)</v>
          </cell>
          <cell r="S53" t="str">
            <v>COP</v>
          </cell>
          <cell r="T53" t="str">
            <v>NA</v>
          </cell>
          <cell r="U53" t="str">
            <v>NA</v>
          </cell>
          <cell r="V53" t="str">
            <v>airG</v>
          </cell>
          <cell r="W53" t="str">
            <v>LP Reseller</v>
          </cell>
          <cell r="X53" t="str">
            <v>League Pass</v>
          </cell>
          <cell r="Y53" t="str">
            <v>Telco Market</v>
          </cell>
          <cell r="Z53" t="str">
            <v>~80M (total potential market size)</v>
          </cell>
          <cell r="AA53" t="str">
            <v>COP</v>
          </cell>
          <cell r="AB53" t="str">
            <v>Does not sell LPP</v>
          </cell>
          <cell r="AC53" t="str">
            <v>Sells at no discount vs LP direct sales price</v>
          </cell>
        </row>
        <row r="54">
          <cell r="B54" t="str">
            <v>Comoros</v>
          </cell>
          <cell r="C54" t="str">
            <v>Africa</v>
          </cell>
          <cell r="D54" t="str">
            <v/>
          </cell>
          <cell r="E54" t="str">
            <v/>
          </cell>
        </row>
        <row r="55">
          <cell r="B55" t="str">
            <v>Congo</v>
          </cell>
          <cell r="C55" t="str">
            <v>Africa</v>
          </cell>
          <cell r="D55" t="str">
            <v/>
          </cell>
          <cell r="E55" t="str">
            <v/>
          </cell>
        </row>
        <row r="56">
          <cell r="B56" t="str">
            <v>Cook Islands</v>
          </cell>
          <cell r="C56" t="str">
            <v>Asia</v>
          </cell>
          <cell r="D56" t="str">
            <v/>
          </cell>
          <cell r="E56" t="str">
            <v/>
          </cell>
        </row>
        <row r="57">
          <cell r="B57" t="str">
            <v>Costa Rica</v>
          </cell>
          <cell r="C57" t="str">
            <v>Latin America</v>
          </cell>
          <cell r="D57" t="str">
            <v>A3</v>
          </cell>
          <cell r="E57" t="str">
            <v/>
          </cell>
        </row>
        <row r="58">
          <cell r="B58" t="str">
            <v>Cote D'Ivoire</v>
          </cell>
          <cell r="C58" t="str">
            <v>Africa</v>
          </cell>
          <cell r="D58" t="str">
            <v/>
          </cell>
          <cell r="E58" t="str">
            <v/>
          </cell>
        </row>
        <row r="59">
          <cell r="B59" t="str">
            <v>Croatia</v>
          </cell>
          <cell r="C59" t="str">
            <v>Europe</v>
          </cell>
          <cell r="D59" t="str">
            <v>A3</v>
          </cell>
          <cell r="E59" t="str">
            <v/>
          </cell>
          <cell r="F59" t="str">
            <v>SportKlub</v>
          </cell>
          <cell r="G59" t="str">
            <v>Broadcaster</v>
          </cell>
          <cell r="H59" t="str">
            <v>Pay TV</v>
          </cell>
          <cell r="I59" t="str">
            <v>Pay TV subscribers</v>
          </cell>
          <cell r="J59" t="str">
            <v>&gt;950K</v>
          </cell>
          <cell r="K59" t="str">
            <v>EUR</v>
          </cell>
          <cell r="L59">
            <v>14.9</v>
          </cell>
          <cell r="M59">
            <v>22.9</v>
          </cell>
          <cell r="N59" t="str">
            <v>Amazon PV</v>
          </cell>
          <cell r="O59" t="str">
            <v>Broadcaster</v>
          </cell>
        </row>
        <row r="60">
          <cell r="B60" t="str">
            <v>Curacao</v>
          </cell>
          <cell r="C60" t="str">
            <v>Latin America</v>
          </cell>
          <cell r="D60" t="str">
            <v/>
          </cell>
          <cell r="E60" t="str">
            <v/>
          </cell>
        </row>
        <row r="61">
          <cell r="B61" t="str">
            <v>Cyprus</v>
          </cell>
          <cell r="C61" t="str">
            <v>Europe</v>
          </cell>
          <cell r="D61" t="str">
            <v/>
          </cell>
          <cell r="E61" t="str">
            <v/>
          </cell>
        </row>
        <row r="62">
          <cell r="B62" t="str">
            <v>Czech Republic</v>
          </cell>
          <cell r="C62" t="str">
            <v>Europe</v>
          </cell>
          <cell r="D62" t="str">
            <v>A3</v>
          </cell>
          <cell r="E62" t="str">
            <v/>
          </cell>
          <cell r="F62" t="str">
            <v>Nova (OnePlay)</v>
          </cell>
          <cell r="G62" t="str">
            <v>Broadcaster</v>
          </cell>
          <cell r="H62" t="str">
            <v>Pay TV</v>
          </cell>
          <cell r="I62" t="str">
            <v>Pay TV subscribers</v>
          </cell>
          <cell r="J62" t="str">
            <v>1.4M</v>
          </cell>
          <cell r="K62" t="str">
            <v>CZK</v>
          </cell>
          <cell r="L62">
            <v>599</v>
          </cell>
          <cell r="M62">
            <v>799</v>
          </cell>
          <cell r="N62" t="str">
            <v>Amazon PV</v>
          </cell>
          <cell r="O62" t="str">
            <v>Broadcaster</v>
          </cell>
        </row>
        <row r="63">
          <cell r="B63" t="str">
            <v>Democratic Republic of Congo</v>
          </cell>
          <cell r="C63" t="str">
            <v>Africa</v>
          </cell>
          <cell r="D63" t="str">
            <v/>
          </cell>
          <cell r="E63" t="str">
            <v/>
          </cell>
        </row>
        <row r="64">
          <cell r="B64" t="str">
            <v>Denmark</v>
          </cell>
          <cell r="C64" t="str">
            <v>Europe</v>
          </cell>
          <cell r="D64" t="str">
            <v>A3</v>
          </cell>
          <cell r="E64" t="str">
            <v/>
          </cell>
          <cell r="F64" t="str">
            <v>WBD</v>
          </cell>
        </row>
        <row r="65">
          <cell r="B65" t="str">
            <v>Djibouti</v>
          </cell>
          <cell r="C65" t="str">
            <v>Africa</v>
          </cell>
          <cell r="D65" t="str">
            <v/>
          </cell>
          <cell r="E65" t="str">
            <v/>
          </cell>
        </row>
        <row r="66">
          <cell r="B66" t="str">
            <v>Dominica</v>
          </cell>
          <cell r="C66" t="str">
            <v>Latin America</v>
          </cell>
          <cell r="D66" t="str">
            <v/>
          </cell>
          <cell r="E66" t="str">
            <v/>
          </cell>
        </row>
        <row r="67">
          <cell r="B67" t="str">
            <v>Dominican Republic</v>
          </cell>
          <cell r="C67" t="str">
            <v>Latin America</v>
          </cell>
          <cell r="D67" t="str">
            <v>A3</v>
          </cell>
          <cell r="E67" t="str">
            <v>Possibly</v>
          </cell>
          <cell r="F67" t="str">
            <v>ESPN</v>
          </cell>
          <cell r="G67" t="str">
            <v>Broadcaster</v>
          </cell>
          <cell r="H67" t="str">
            <v>Pay TV</v>
          </cell>
          <cell r="I67" t="str">
            <v>Pay TV subscribers</v>
          </cell>
          <cell r="J67" t="str">
            <v>~18M households (ESPN LatAm south network)</v>
          </cell>
          <cell r="K67" t="str">
            <v>DOP</v>
          </cell>
          <cell r="L67" t="str">
            <v>NA</v>
          </cell>
          <cell r="M67" t="str">
            <v>NA</v>
          </cell>
          <cell r="N67" t="str">
            <v>Star+</v>
          </cell>
          <cell r="O67" t="str">
            <v>Broadcaster</v>
          </cell>
          <cell r="P67" t="str">
            <v>Streaming</v>
          </cell>
          <cell r="Q67" t="str">
            <v>Star+ subscribers</v>
          </cell>
          <cell r="R67" t="str">
            <v>N/A (estimated between 5M-15M subs Latam-wide)</v>
          </cell>
          <cell r="S67" t="str">
            <v>DOP</v>
          </cell>
          <cell r="T67" t="str">
            <v>NA</v>
          </cell>
          <cell r="U67" t="str">
            <v>NA</v>
          </cell>
          <cell r="V67" t="str">
            <v>CDN</v>
          </cell>
          <cell r="W67" t="str">
            <v>Broadcaster</v>
          </cell>
          <cell r="X67" t="str">
            <v>FTA TV</v>
          </cell>
          <cell r="Y67" t="str">
            <v>General Population</v>
          </cell>
          <cell r="Z67" t="str">
            <v>~10M (size of FTA TV exposure)</v>
          </cell>
          <cell r="AA67" t="str">
            <v>DOP</v>
          </cell>
          <cell r="AB67" t="str">
            <v>NA</v>
          </cell>
          <cell r="AC67" t="str">
            <v>NA</v>
          </cell>
          <cell r="AD67" t="str">
            <v>Altice</v>
          </cell>
          <cell r="AE67" t="str">
            <v>LP Reseller</v>
          </cell>
          <cell r="AF67" t="str">
            <v>Telco</v>
          </cell>
          <cell r="AG67" t="str">
            <v>Telco Market</v>
          </cell>
          <cell r="AH67" t="str">
            <v>2.9M subscribers</v>
          </cell>
          <cell r="AI67" t="str">
            <v>DOP</v>
          </cell>
          <cell r="AJ67" t="str">
            <v>Does not sell LPP</v>
          </cell>
          <cell r="AK67" t="str">
            <v>To be reviewed in advance of 2024-25 season</v>
          </cell>
        </row>
        <row r="68">
          <cell r="B68" t="str">
            <v>Ecuador</v>
          </cell>
          <cell r="C68" t="str">
            <v>Latin America</v>
          </cell>
          <cell r="D68" t="str">
            <v/>
          </cell>
          <cell r="E68" t="str">
            <v/>
          </cell>
        </row>
        <row r="69">
          <cell r="B69" t="str">
            <v>Egypt</v>
          </cell>
          <cell r="C69" t="str">
            <v>Africa</v>
          </cell>
          <cell r="D69" t="str">
            <v/>
          </cell>
          <cell r="E69" t="str">
            <v/>
          </cell>
        </row>
        <row r="70">
          <cell r="B70" t="str">
            <v>El Salvador</v>
          </cell>
          <cell r="C70" t="str">
            <v>Latin America</v>
          </cell>
          <cell r="D70" t="str">
            <v/>
          </cell>
          <cell r="E70" t="str">
            <v/>
          </cell>
        </row>
        <row r="71">
          <cell r="B71" t="str">
            <v>Equatorial Guinea</v>
          </cell>
          <cell r="C71" t="str">
            <v>Africa</v>
          </cell>
          <cell r="D71" t="str">
            <v/>
          </cell>
          <cell r="E71" t="str">
            <v/>
          </cell>
        </row>
        <row r="72">
          <cell r="B72" t="str">
            <v>Eritrea</v>
          </cell>
          <cell r="C72" t="str">
            <v>Africa</v>
          </cell>
          <cell r="D72" t="str">
            <v/>
          </cell>
          <cell r="E72" t="str">
            <v/>
          </cell>
        </row>
        <row r="73">
          <cell r="B73" t="str">
            <v>Estonia</v>
          </cell>
          <cell r="C73" t="str">
            <v>Europe</v>
          </cell>
          <cell r="D73" t="str">
            <v/>
          </cell>
          <cell r="E73" t="str">
            <v/>
          </cell>
        </row>
        <row r="74">
          <cell r="B74" t="str">
            <v>eSwatini</v>
          </cell>
          <cell r="C74" t="str">
            <v>Africa</v>
          </cell>
          <cell r="D74" t="str">
            <v/>
          </cell>
          <cell r="E74" t="str">
            <v/>
          </cell>
        </row>
        <row r="75">
          <cell r="B75" t="str">
            <v>Ethiopia</v>
          </cell>
          <cell r="C75" t="str">
            <v>Africa</v>
          </cell>
          <cell r="D75" t="str">
            <v/>
          </cell>
          <cell r="E75" t="str">
            <v/>
          </cell>
        </row>
        <row r="76">
          <cell r="B76" t="str">
            <v>Falkland Islands</v>
          </cell>
          <cell r="C76" t="str">
            <v>Latin America</v>
          </cell>
          <cell r="D76" t="str">
            <v/>
          </cell>
          <cell r="E76" t="str">
            <v/>
          </cell>
        </row>
        <row r="77">
          <cell r="B77" t="str">
            <v>Faroe Islands</v>
          </cell>
          <cell r="C77" t="str">
            <v>Europe</v>
          </cell>
          <cell r="D77" t="str">
            <v/>
          </cell>
          <cell r="E77" t="str">
            <v/>
          </cell>
        </row>
        <row r="78">
          <cell r="B78" t="str">
            <v>Fiji</v>
          </cell>
          <cell r="C78" t="str">
            <v>Asia</v>
          </cell>
          <cell r="D78" t="str">
            <v/>
          </cell>
          <cell r="E78" t="str">
            <v/>
          </cell>
        </row>
        <row r="79">
          <cell r="B79" t="str">
            <v>Finland</v>
          </cell>
          <cell r="C79" t="str">
            <v>Europe</v>
          </cell>
          <cell r="D79" t="str">
            <v>A2</v>
          </cell>
          <cell r="E79" t="str">
            <v>No Ads in FY26</v>
          </cell>
          <cell r="F79" t="str">
            <v>WBD</v>
          </cell>
          <cell r="I79" t="str">
            <v>Pay TV subscribers</v>
          </cell>
          <cell r="K79" t="str">
            <v>EUR</v>
          </cell>
          <cell r="L79" t="str">
            <v>€17.99</v>
          </cell>
          <cell r="N79" t="str">
            <v>Amazon PV</v>
          </cell>
          <cell r="O79" t="str">
            <v>Broadcaster</v>
          </cell>
        </row>
        <row r="80">
          <cell r="B80" t="str">
            <v>France</v>
          </cell>
          <cell r="C80" t="str">
            <v>Europe</v>
          </cell>
          <cell r="D80" t="str">
            <v>A2</v>
          </cell>
          <cell r="E80" t="str">
            <v>Live</v>
          </cell>
          <cell r="F80" t="str">
            <v>beIN</v>
          </cell>
          <cell r="G80" t="str">
            <v xml:space="preserve">Sports </v>
          </cell>
          <cell r="H80" t="str">
            <v>Pay TV</v>
          </cell>
          <cell r="I80" t="str">
            <v>Pay TV subscribers</v>
          </cell>
          <cell r="J80" t="str">
            <v>&gt;4M</v>
          </cell>
          <cell r="K80" t="str">
            <v>EUR</v>
          </cell>
          <cell r="L80" t="str">
            <v>€15</v>
          </cell>
          <cell r="N80" t="str">
            <v>Amazon PV</v>
          </cell>
          <cell r="O80" t="str">
            <v>Broadcaster</v>
          </cell>
        </row>
        <row r="81">
          <cell r="B81" t="str">
            <v>French Guiana</v>
          </cell>
          <cell r="C81" t="str">
            <v>Latin America</v>
          </cell>
          <cell r="D81" t="str">
            <v/>
          </cell>
          <cell r="E81" t="str">
            <v/>
          </cell>
        </row>
        <row r="82">
          <cell r="B82" t="str">
            <v>French Polynesia</v>
          </cell>
          <cell r="C82" t="str">
            <v>Asia</v>
          </cell>
          <cell r="D82" t="str">
            <v/>
          </cell>
          <cell r="E82" t="str">
            <v/>
          </cell>
        </row>
        <row r="83">
          <cell r="B83" t="str">
            <v>French Southern Territories</v>
          </cell>
          <cell r="C83" t="str">
            <v>Europe</v>
          </cell>
          <cell r="D83" t="str">
            <v/>
          </cell>
          <cell r="E83" t="str">
            <v/>
          </cell>
        </row>
        <row r="84">
          <cell r="B84" t="str">
            <v>Gabon</v>
          </cell>
          <cell r="C84" t="str">
            <v>Africa</v>
          </cell>
          <cell r="D84" t="str">
            <v/>
          </cell>
          <cell r="E84" t="str">
            <v/>
          </cell>
        </row>
        <row r="85">
          <cell r="B85" t="str">
            <v>Gambia</v>
          </cell>
          <cell r="C85" t="str">
            <v>Africa</v>
          </cell>
          <cell r="D85" t="str">
            <v/>
          </cell>
          <cell r="E85" t="str">
            <v/>
          </cell>
        </row>
        <row r="86">
          <cell r="B86" t="str">
            <v>Georgia</v>
          </cell>
          <cell r="C86" t="str">
            <v>Middle East</v>
          </cell>
          <cell r="D86" t="str">
            <v/>
          </cell>
          <cell r="E86" t="str">
            <v/>
          </cell>
        </row>
        <row r="87">
          <cell r="B87" t="str">
            <v>Germany</v>
          </cell>
          <cell r="C87" t="str">
            <v>Europe</v>
          </cell>
          <cell r="D87" t="str">
            <v>A2</v>
          </cell>
          <cell r="E87" t="str">
            <v>Live</v>
          </cell>
          <cell r="F87" t="str">
            <v>Sky Germany</v>
          </cell>
          <cell r="G87" t="str">
            <v>Broadcaster</v>
          </cell>
          <cell r="H87" t="str">
            <v>Pay TV</v>
          </cell>
          <cell r="I87" t="str">
            <v>Pay TV subscribers</v>
          </cell>
          <cell r="J87" t="str">
            <v>&gt;5M</v>
          </cell>
          <cell r="K87" t="str">
            <v>EUR</v>
          </cell>
          <cell r="L87" t="str">
            <v>€19.99 - €34.99</v>
          </cell>
          <cell r="N87" t="str">
            <v>Amazon PV</v>
          </cell>
          <cell r="O87" t="str">
            <v>Broadcaster</v>
          </cell>
        </row>
        <row r="88">
          <cell r="B88" t="str">
            <v>Ghana</v>
          </cell>
          <cell r="C88" t="str">
            <v>Africa</v>
          </cell>
          <cell r="D88" t="str">
            <v/>
          </cell>
          <cell r="E88" t="str">
            <v/>
          </cell>
        </row>
        <row r="89">
          <cell r="B89" t="str">
            <v>Gibraltar</v>
          </cell>
          <cell r="C89" t="str">
            <v>Europe</v>
          </cell>
          <cell r="D89" t="str">
            <v/>
          </cell>
          <cell r="E89" t="str">
            <v/>
          </cell>
        </row>
        <row r="90">
          <cell r="B90" t="str">
            <v>Greece</v>
          </cell>
          <cell r="C90" t="str">
            <v>Europe</v>
          </cell>
          <cell r="D90" t="str">
            <v>A3</v>
          </cell>
          <cell r="E90" t="str">
            <v/>
          </cell>
          <cell r="F90" t="str">
            <v>Cosmote</v>
          </cell>
          <cell r="G90" t="str">
            <v>Broadcaster</v>
          </cell>
          <cell r="H90" t="str">
            <v>Pay TV</v>
          </cell>
          <cell r="I90" t="str">
            <v>Pay TV subscribers</v>
          </cell>
          <cell r="J90" t="str">
            <v>800K</v>
          </cell>
          <cell r="K90" t="str">
            <v>EUR</v>
          </cell>
          <cell r="L90">
            <v>25.45</v>
          </cell>
          <cell r="N90" t="str">
            <v>Amazon PV</v>
          </cell>
          <cell r="O90" t="str">
            <v>Broadcaster</v>
          </cell>
        </row>
        <row r="91">
          <cell r="B91" t="str">
            <v>Greenland</v>
          </cell>
          <cell r="C91" t="str">
            <v>Europe</v>
          </cell>
          <cell r="D91" t="str">
            <v/>
          </cell>
          <cell r="E91" t="str">
            <v/>
          </cell>
        </row>
        <row r="92">
          <cell r="B92" t="str">
            <v>Grenada</v>
          </cell>
          <cell r="C92" t="str">
            <v>Latin America</v>
          </cell>
          <cell r="D92" t="str">
            <v/>
          </cell>
          <cell r="E92" t="str">
            <v/>
          </cell>
        </row>
        <row r="93">
          <cell r="B93" t="str">
            <v>Guadeloupe</v>
          </cell>
          <cell r="C93" t="str">
            <v>Latin America</v>
          </cell>
          <cell r="D93" t="str">
            <v/>
          </cell>
          <cell r="E93" t="str">
            <v/>
          </cell>
        </row>
        <row r="94">
          <cell r="B94" t="str">
            <v>Guatemala</v>
          </cell>
          <cell r="C94" t="str">
            <v>Latin America</v>
          </cell>
          <cell r="D94" t="str">
            <v>A3</v>
          </cell>
          <cell r="E94" t="str">
            <v/>
          </cell>
        </row>
        <row r="95">
          <cell r="B95" t="str">
            <v>Guernsey</v>
          </cell>
          <cell r="C95" t="str">
            <v>Europe</v>
          </cell>
          <cell r="D95" t="str">
            <v/>
          </cell>
          <cell r="E95" t="str">
            <v/>
          </cell>
        </row>
        <row r="96">
          <cell r="B96" t="str">
            <v>Guinea</v>
          </cell>
          <cell r="C96" t="str">
            <v>Africa</v>
          </cell>
          <cell r="D96" t="str">
            <v/>
          </cell>
          <cell r="E96" t="str">
            <v/>
          </cell>
        </row>
        <row r="97">
          <cell r="B97" t="str">
            <v>Guinea-Bissau</v>
          </cell>
          <cell r="C97" t="str">
            <v>Africa</v>
          </cell>
          <cell r="D97" t="str">
            <v/>
          </cell>
          <cell r="E97" t="str">
            <v/>
          </cell>
        </row>
        <row r="98">
          <cell r="B98" t="str">
            <v>Guyana</v>
          </cell>
          <cell r="C98" t="str">
            <v>Latin America</v>
          </cell>
          <cell r="D98" t="str">
            <v/>
          </cell>
          <cell r="E98" t="str">
            <v/>
          </cell>
        </row>
        <row r="99">
          <cell r="B99" t="str">
            <v>Haiti</v>
          </cell>
          <cell r="C99" t="str">
            <v>Latin America</v>
          </cell>
          <cell r="D99" t="str">
            <v/>
          </cell>
          <cell r="E99" t="str">
            <v/>
          </cell>
        </row>
        <row r="100">
          <cell r="B100" t="str">
            <v>Heard And Mcdonald Islands</v>
          </cell>
          <cell r="C100" t="str">
            <v>India</v>
          </cell>
          <cell r="D100" t="str">
            <v/>
          </cell>
          <cell r="E100" t="str">
            <v/>
          </cell>
        </row>
        <row r="101">
          <cell r="B101" t="str">
            <v>Honduras</v>
          </cell>
          <cell r="C101" t="str">
            <v>Latin America</v>
          </cell>
          <cell r="D101" t="str">
            <v/>
          </cell>
          <cell r="E101" t="str">
            <v/>
          </cell>
        </row>
        <row r="102">
          <cell r="B102" t="str">
            <v>Hong Kong</v>
          </cell>
          <cell r="C102" t="str">
            <v>NBA China</v>
          </cell>
          <cell r="D102" t="str">
            <v>x</v>
          </cell>
          <cell r="E102" t="str">
            <v>Possibly</v>
          </cell>
          <cell r="F102" t="str">
            <v>NowTV</v>
          </cell>
          <cell r="G102" t="str">
            <v>Sports</v>
          </cell>
          <cell r="H102" t="str">
            <v>OTT</v>
          </cell>
          <cell r="I102" t="str">
            <v>Gen Pop</v>
          </cell>
          <cell r="J102" t="str">
            <v>1.4M</v>
          </cell>
          <cell r="K102" t="str">
            <v>HKD</v>
          </cell>
          <cell r="L102">
            <v>68</v>
          </cell>
          <cell r="M102">
            <v>333</v>
          </cell>
        </row>
        <row r="103">
          <cell r="B103" t="str">
            <v>Hungary</v>
          </cell>
          <cell r="C103" t="str">
            <v>Europe</v>
          </cell>
          <cell r="D103" t="str">
            <v>A3</v>
          </cell>
          <cell r="E103" t="str">
            <v/>
          </cell>
          <cell r="F103" t="str">
            <v>Sport TV</v>
          </cell>
          <cell r="G103" t="str">
            <v>Broadcaster</v>
          </cell>
          <cell r="H103" t="str">
            <v>Pay TV</v>
          </cell>
          <cell r="I103" t="str">
            <v>Pay TV subscribers</v>
          </cell>
          <cell r="J103" t="str">
            <v>3.5M</v>
          </cell>
          <cell r="N103" t="str">
            <v>Amazon PV</v>
          </cell>
          <cell r="O103" t="str">
            <v>Broadcaster</v>
          </cell>
        </row>
        <row r="104">
          <cell r="B104" t="str">
            <v>Iceland</v>
          </cell>
          <cell r="C104" t="str">
            <v>Europe</v>
          </cell>
          <cell r="D104" t="str">
            <v/>
          </cell>
          <cell r="E104" t="str">
            <v/>
          </cell>
        </row>
        <row r="105">
          <cell r="B105" t="str">
            <v>India</v>
          </cell>
          <cell r="C105" t="str">
            <v>India</v>
          </cell>
          <cell r="D105" t="str">
            <v>A2</v>
          </cell>
          <cell r="E105" t="str">
            <v>No Ads in FY26</v>
          </cell>
          <cell r="F105" t="str">
            <v>Viacom18 via JioCinema</v>
          </cell>
          <cell r="G105" t="str">
            <v>Broadcaster</v>
          </cell>
          <cell r="H105" t="str">
            <v>AVOD</v>
          </cell>
          <cell r="I105" t="str">
            <v>Gen Pop</v>
          </cell>
          <cell r="J105" t="str">
            <v>NA</v>
          </cell>
          <cell r="K105" t="str">
            <v>INR</v>
          </cell>
          <cell r="L105" t="str">
            <v>NA</v>
          </cell>
          <cell r="M105">
            <v>99</v>
          </cell>
          <cell r="N105" t="str">
            <v>Eleven Sports Belgium</v>
          </cell>
          <cell r="O105" t="str">
            <v>Sports</v>
          </cell>
          <cell r="Q105" t="str">
            <v>NA</v>
          </cell>
          <cell r="R105" t="str">
            <v>NA</v>
          </cell>
          <cell r="S105" t="str">
            <v>INR</v>
          </cell>
        </row>
        <row r="106">
          <cell r="B106" t="str">
            <v>Indonesia</v>
          </cell>
          <cell r="C106" t="str">
            <v>Asia</v>
          </cell>
          <cell r="D106" t="str">
            <v>A4</v>
          </cell>
          <cell r="E106" t="str">
            <v/>
          </cell>
          <cell r="F106" t="str">
            <v>Indihome</v>
          </cell>
          <cell r="H106" t="str">
            <v>Pay TV</v>
          </cell>
          <cell r="I106" t="str">
            <v>Pay TV subscribers</v>
          </cell>
          <cell r="L106" t="str">
            <v>NBA TV distributor</v>
          </cell>
          <cell r="M106" t="str">
            <v>NBA TV distributor</v>
          </cell>
          <cell r="N106" t="str">
            <v>Metra</v>
          </cell>
          <cell r="O106" t="str">
            <v>Broadcaster</v>
          </cell>
          <cell r="P106" t="str">
            <v>FTA</v>
          </cell>
          <cell r="Q106" t="str">
            <v>Gen Pop</v>
          </cell>
          <cell r="T106" t="str">
            <v>NA</v>
          </cell>
          <cell r="U106" t="str">
            <v>NA</v>
          </cell>
        </row>
        <row r="107">
          <cell r="B107" t="str">
            <v>Iraq</v>
          </cell>
          <cell r="C107" t="str">
            <v>Middle East</v>
          </cell>
          <cell r="D107" t="str">
            <v/>
          </cell>
          <cell r="E107" t="str">
            <v/>
          </cell>
        </row>
        <row r="108">
          <cell r="B108" t="str">
            <v>Ireland</v>
          </cell>
          <cell r="C108" t="str">
            <v>Europe</v>
          </cell>
          <cell r="D108" t="str">
            <v>A3</v>
          </cell>
          <cell r="E108" t="str">
            <v/>
          </cell>
          <cell r="F108" t="str">
            <v>Sky UK</v>
          </cell>
          <cell r="G108" t="str">
            <v>Broadcaster</v>
          </cell>
          <cell r="H108" t="str">
            <v>Pay TV</v>
          </cell>
          <cell r="I108" t="str">
            <v>Pay TV subscribers</v>
          </cell>
          <cell r="J108" t="str">
            <v>600K</v>
          </cell>
          <cell r="K108" t="str">
            <v>EUR</v>
          </cell>
          <cell r="L108" t="str">
            <v>50-60</v>
          </cell>
          <cell r="N108" t="str">
            <v>Amazon PV</v>
          </cell>
          <cell r="O108" t="str">
            <v>Broadcaster</v>
          </cell>
        </row>
        <row r="109">
          <cell r="B109" t="str">
            <v>Isle Of Man</v>
          </cell>
          <cell r="C109" t="str">
            <v>Europe</v>
          </cell>
          <cell r="D109" t="str">
            <v/>
          </cell>
          <cell r="E109" t="str">
            <v/>
          </cell>
        </row>
        <row r="110">
          <cell r="B110" t="str">
            <v>Israel</v>
          </cell>
          <cell r="C110" t="str">
            <v>Europe</v>
          </cell>
          <cell r="D110" t="str">
            <v/>
          </cell>
          <cell r="E110" t="str">
            <v>Possibly</v>
          </cell>
          <cell r="F110" t="str">
            <v>Sport5</v>
          </cell>
          <cell r="G110" t="str">
            <v xml:space="preserve">Sports </v>
          </cell>
          <cell r="H110" t="str">
            <v>Pay TV</v>
          </cell>
          <cell r="I110" t="str">
            <v>Pay TV subscribers</v>
          </cell>
          <cell r="J110" t="str">
            <v>&gt;1.7M</v>
          </cell>
        </row>
        <row r="111">
          <cell r="B111" t="str">
            <v>Italy</v>
          </cell>
          <cell r="C111" t="str">
            <v>Europe</v>
          </cell>
          <cell r="D111" t="str">
            <v>A2</v>
          </cell>
          <cell r="E111" t="str">
            <v>Live</v>
          </cell>
          <cell r="F111" t="str">
            <v>Sky</v>
          </cell>
          <cell r="G111" t="str">
            <v>Broadcaster</v>
          </cell>
          <cell r="H111" t="str">
            <v>Pay TV/SVOD</v>
          </cell>
          <cell r="I111" t="str">
            <v>Pay TV subscribers</v>
          </cell>
          <cell r="J111" t="str">
            <v>4.4M</v>
          </cell>
          <cell r="K111" t="str">
            <v>EUR</v>
          </cell>
          <cell r="L111" t="str">
            <v>€9.99</v>
          </cell>
          <cell r="M111" t="str">
            <v>€14.99</v>
          </cell>
          <cell r="N111" t="str">
            <v>Amazon PV</v>
          </cell>
          <cell r="O111" t="str">
            <v>Broadcaster</v>
          </cell>
        </row>
        <row r="112">
          <cell r="B112" t="str">
            <v>Jamaica</v>
          </cell>
          <cell r="C112" t="str">
            <v>Latin America</v>
          </cell>
          <cell r="D112" t="str">
            <v/>
          </cell>
          <cell r="E112" t="str">
            <v/>
          </cell>
        </row>
        <row r="113">
          <cell r="B113" t="str">
            <v>Japan</v>
          </cell>
          <cell r="C113" t="str">
            <v>Asia</v>
          </cell>
          <cell r="D113" t="str">
            <v>A2</v>
          </cell>
          <cell r="E113" t="str">
            <v>Live</v>
          </cell>
        </row>
        <row r="114">
          <cell r="B114" t="str">
            <v>Jersey</v>
          </cell>
          <cell r="C114" t="str">
            <v>Europe</v>
          </cell>
          <cell r="D114" t="str">
            <v/>
          </cell>
          <cell r="E114" t="str">
            <v/>
          </cell>
        </row>
        <row r="115">
          <cell r="B115" t="str">
            <v>Jordan</v>
          </cell>
          <cell r="C115" t="str">
            <v>Middle East</v>
          </cell>
          <cell r="D115" t="str">
            <v/>
          </cell>
          <cell r="E115" t="str">
            <v/>
          </cell>
        </row>
        <row r="116">
          <cell r="B116" t="str">
            <v>Kazakhstan</v>
          </cell>
          <cell r="C116" t="str">
            <v>Asia</v>
          </cell>
          <cell r="D116" t="str">
            <v/>
          </cell>
          <cell r="E116" t="str">
            <v/>
          </cell>
        </row>
        <row r="117">
          <cell r="B117" t="str">
            <v>Kenya</v>
          </cell>
          <cell r="C117" t="str">
            <v>Africa</v>
          </cell>
          <cell r="D117" t="str">
            <v/>
          </cell>
          <cell r="E117" t="str">
            <v/>
          </cell>
        </row>
        <row r="118">
          <cell r="B118" t="str">
            <v>Kiribati</v>
          </cell>
          <cell r="C118" t="str">
            <v>Asia</v>
          </cell>
          <cell r="D118" t="str">
            <v/>
          </cell>
          <cell r="E118" t="str">
            <v/>
          </cell>
        </row>
        <row r="119">
          <cell r="B119" t="str">
            <v>Kosovo</v>
          </cell>
          <cell r="C119" t="str">
            <v>Europe</v>
          </cell>
          <cell r="D119" t="str">
            <v/>
          </cell>
          <cell r="E119" t="str">
            <v/>
          </cell>
        </row>
        <row r="120">
          <cell r="B120" t="str">
            <v>Kuwait</v>
          </cell>
          <cell r="C120" t="str">
            <v>Middle East</v>
          </cell>
          <cell r="D120" t="str">
            <v/>
          </cell>
          <cell r="E120" t="str">
            <v/>
          </cell>
        </row>
        <row r="121">
          <cell r="B121" t="str">
            <v>Kyrgyzstan</v>
          </cell>
          <cell r="C121" t="str">
            <v>Asia</v>
          </cell>
          <cell r="D121" t="str">
            <v/>
          </cell>
          <cell r="E121" t="str">
            <v/>
          </cell>
        </row>
        <row r="122">
          <cell r="B122" t="str">
            <v>Laos</v>
          </cell>
          <cell r="C122" t="str">
            <v>Asia</v>
          </cell>
          <cell r="D122" t="str">
            <v/>
          </cell>
          <cell r="E122" t="str">
            <v/>
          </cell>
        </row>
        <row r="123">
          <cell r="B123" t="str">
            <v>Latvia</v>
          </cell>
          <cell r="C123" t="str">
            <v>Europe</v>
          </cell>
          <cell r="D123" t="str">
            <v/>
          </cell>
          <cell r="E123" t="str">
            <v/>
          </cell>
        </row>
        <row r="124">
          <cell r="B124" t="str">
            <v>Lebanon</v>
          </cell>
          <cell r="C124" t="str">
            <v>Middle East</v>
          </cell>
          <cell r="D124" t="str">
            <v/>
          </cell>
          <cell r="E124" t="str">
            <v/>
          </cell>
        </row>
        <row r="125">
          <cell r="B125" t="str">
            <v>Lesotho</v>
          </cell>
          <cell r="C125" t="str">
            <v>Africa</v>
          </cell>
          <cell r="D125" t="str">
            <v/>
          </cell>
          <cell r="E125" t="str">
            <v/>
          </cell>
        </row>
        <row r="126">
          <cell r="B126" t="str">
            <v>Liberia</v>
          </cell>
          <cell r="C126" t="str">
            <v>Africa</v>
          </cell>
          <cell r="D126" t="str">
            <v/>
          </cell>
          <cell r="E126" t="str">
            <v/>
          </cell>
        </row>
        <row r="127">
          <cell r="B127" t="str">
            <v>Libya</v>
          </cell>
          <cell r="C127" t="str">
            <v>Africa</v>
          </cell>
          <cell r="D127" t="str">
            <v/>
          </cell>
          <cell r="E127" t="str">
            <v/>
          </cell>
        </row>
        <row r="128">
          <cell r="B128" t="str">
            <v>Liechtenstein</v>
          </cell>
          <cell r="C128" t="str">
            <v>Europe</v>
          </cell>
          <cell r="D128" t="str">
            <v/>
          </cell>
          <cell r="E128" t="str">
            <v/>
          </cell>
        </row>
        <row r="129">
          <cell r="B129" t="str">
            <v>Lithuania</v>
          </cell>
          <cell r="C129" t="str">
            <v>Europe</v>
          </cell>
          <cell r="D129" t="str">
            <v/>
          </cell>
          <cell r="E129" t="str">
            <v/>
          </cell>
        </row>
        <row r="130">
          <cell r="B130" t="str">
            <v>Luxembourg</v>
          </cell>
          <cell r="C130" t="str">
            <v>Europe</v>
          </cell>
          <cell r="D130" t="str">
            <v/>
          </cell>
          <cell r="E130" t="str">
            <v/>
          </cell>
        </row>
        <row r="131">
          <cell r="B131" t="str">
            <v>Macao</v>
          </cell>
          <cell r="C131" t="str">
            <v>NBA China</v>
          </cell>
          <cell r="D131" t="str">
            <v/>
          </cell>
          <cell r="E131" t="str">
            <v/>
          </cell>
        </row>
        <row r="132">
          <cell r="B132" t="str">
            <v>Macedonia</v>
          </cell>
          <cell r="C132" t="str">
            <v>Europe</v>
          </cell>
          <cell r="D132" t="str">
            <v/>
          </cell>
          <cell r="E132" t="str">
            <v/>
          </cell>
        </row>
        <row r="133">
          <cell r="B133" t="str">
            <v>Madagascar</v>
          </cell>
          <cell r="C133" t="str">
            <v>Africa</v>
          </cell>
          <cell r="D133" t="str">
            <v/>
          </cell>
          <cell r="E133" t="str">
            <v/>
          </cell>
        </row>
        <row r="134">
          <cell r="B134" t="str">
            <v>Malawi</v>
          </cell>
          <cell r="C134" t="str">
            <v>Africa</v>
          </cell>
          <cell r="D134" t="str">
            <v/>
          </cell>
          <cell r="E134" t="str">
            <v/>
          </cell>
        </row>
        <row r="135">
          <cell r="B135" t="str">
            <v>Malaysia</v>
          </cell>
          <cell r="C135" t="str">
            <v>Asia</v>
          </cell>
          <cell r="D135" t="str">
            <v>A4</v>
          </cell>
          <cell r="E135" t="str">
            <v/>
          </cell>
          <cell r="F135" t="str">
            <v>Prime Video</v>
          </cell>
          <cell r="G135" t="str">
            <v>SVOD</v>
          </cell>
          <cell r="H135" t="str">
            <v>Streaming</v>
          </cell>
          <cell r="I135" t="str">
            <v>Gen Pop</v>
          </cell>
          <cell r="J135" t="str">
            <v>200K</v>
          </cell>
          <cell r="K135" t="str">
            <v>MYR</v>
          </cell>
          <cell r="L135" t="str">
            <v>NA</v>
          </cell>
          <cell r="M135">
            <v>25</v>
          </cell>
        </row>
        <row r="136">
          <cell r="B136" t="str">
            <v>Maldives</v>
          </cell>
          <cell r="C136" t="str">
            <v>Asia</v>
          </cell>
          <cell r="D136" t="str">
            <v/>
          </cell>
          <cell r="E136" t="str">
            <v/>
          </cell>
        </row>
        <row r="137">
          <cell r="B137" t="str">
            <v>Mali</v>
          </cell>
          <cell r="C137" t="str">
            <v>Africa</v>
          </cell>
          <cell r="D137" t="str">
            <v/>
          </cell>
          <cell r="E137" t="str">
            <v/>
          </cell>
        </row>
        <row r="138">
          <cell r="B138" t="str">
            <v>Malta</v>
          </cell>
          <cell r="C138" t="str">
            <v>Europe</v>
          </cell>
          <cell r="D138" t="str">
            <v/>
          </cell>
          <cell r="E138" t="str">
            <v/>
          </cell>
        </row>
        <row r="139">
          <cell r="B139" t="str">
            <v>Marshall Islands</v>
          </cell>
          <cell r="C139" t="str">
            <v>Asia</v>
          </cell>
          <cell r="D139" t="str">
            <v/>
          </cell>
          <cell r="E139" t="str">
            <v/>
          </cell>
        </row>
        <row r="140">
          <cell r="B140" t="str">
            <v>Martinique</v>
          </cell>
          <cell r="C140" t="str">
            <v>Latin America</v>
          </cell>
          <cell r="D140" t="str">
            <v/>
          </cell>
          <cell r="E140" t="str">
            <v/>
          </cell>
        </row>
        <row r="141">
          <cell r="B141" t="str">
            <v>Mauritania</v>
          </cell>
          <cell r="C141" t="str">
            <v>Africa</v>
          </cell>
          <cell r="D141" t="str">
            <v/>
          </cell>
          <cell r="E141" t="str">
            <v/>
          </cell>
        </row>
        <row r="142">
          <cell r="B142" t="str">
            <v>Mauritius</v>
          </cell>
          <cell r="C142" t="str">
            <v>Africa</v>
          </cell>
          <cell r="D142" t="str">
            <v/>
          </cell>
          <cell r="E142" t="str">
            <v/>
          </cell>
        </row>
        <row r="143">
          <cell r="B143" t="str">
            <v>Mayotte</v>
          </cell>
          <cell r="C143" t="str">
            <v>Africa</v>
          </cell>
          <cell r="D143" t="str">
            <v/>
          </cell>
          <cell r="E143" t="str">
            <v/>
          </cell>
        </row>
        <row r="144">
          <cell r="B144" t="str">
            <v>Mexico</v>
          </cell>
          <cell r="C144" t="str">
            <v>Latin America</v>
          </cell>
          <cell r="D144" t="str">
            <v>A1</v>
          </cell>
          <cell r="E144" t="str">
            <v>Live</v>
          </cell>
          <cell r="F144" t="str">
            <v>ESPN</v>
          </cell>
          <cell r="G144" t="str">
            <v>Broadcaster</v>
          </cell>
          <cell r="H144" t="str">
            <v>Pay TV</v>
          </cell>
          <cell r="I144" t="str">
            <v>Pay TV subscribers</v>
          </cell>
          <cell r="J144" t="str">
            <v>~18M households (ESPN LatAm south network)</v>
          </cell>
          <cell r="K144" t="str">
            <v>MXN</v>
          </cell>
          <cell r="L144" t="str">
            <v>NA</v>
          </cell>
          <cell r="M144" t="str">
            <v>NA</v>
          </cell>
          <cell r="N144" t="str">
            <v>Star+</v>
          </cell>
          <cell r="O144" t="str">
            <v>Broadcaster</v>
          </cell>
          <cell r="P144" t="str">
            <v>Streaming</v>
          </cell>
          <cell r="Q144" t="str">
            <v>Star+ subscribers</v>
          </cell>
          <cell r="R144" t="str">
            <v>N/A (estimated between 5M-15M subs Latam-wide)</v>
          </cell>
          <cell r="S144" t="str">
            <v>MXN</v>
          </cell>
          <cell r="T144" t="str">
            <v>NA</v>
          </cell>
          <cell r="U144" t="str">
            <v>NA</v>
          </cell>
          <cell r="V144" t="str">
            <v>Total Play</v>
          </cell>
          <cell r="W144" t="str">
            <v>LP Reseller</v>
          </cell>
          <cell r="X144" t="str">
            <v>League Pass</v>
          </cell>
          <cell r="Y144" t="str">
            <v>Telco Market</v>
          </cell>
          <cell r="Z144" t="str">
            <v>4.6M subscribers</v>
          </cell>
          <cell r="AA144" t="str">
            <v>MXN</v>
          </cell>
          <cell r="AB144" t="str">
            <v>Does not sell LPP</v>
          </cell>
          <cell r="AC144" t="str">
            <v>May sell at a maximum discount of 20% vs LP direct sales price</v>
          </cell>
          <cell r="AD144" t="str">
            <v>Izzi</v>
          </cell>
          <cell r="AE144" t="str">
            <v>LP Reseller</v>
          </cell>
          <cell r="AF144" t="str">
            <v>League Pass</v>
          </cell>
          <cell r="AG144" t="str">
            <v>Telco Market</v>
          </cell>
          <cell r="AH144" t="str">
            <v>5.4M subscribers</v>
          </cell>
          <cell r="AI144" t="str">
            <v>MXN</v>
          </cell>
          <cell r="AJ144" t="str">
            <v>Does not sell LPP</v>
          </cell>
          <cell r="AK144" t="str">
            <v>May sell at a maximum discount of 20% vs LP direct sales price</v>
          </cell>
          <cell r="AL144" t="str">
            <v>Megacable</v>
          </cell>
          <cell r="AM144" t="str">
            <v>LP Reseller</v>
          </cell>
          <cell r="AN144" t="str">
            <v>League Pass</v>
          </cell>
          <cell r="AO144" t="str">
            <v>Telco Market</v>
          </cell>
          <cell r="AP144" t="str">
            <v>4.4M subscribers</v>
          </cell>
          <cell r="AQ144" t="str">
            <v>MXN</v>
          </cell>
          <cell r="AR144" t="str">
            <v>Does not sell LPP</v>
          </cell>
          <cell r="AS144" t="str">
            <v>May sell at a maximum discount of 20% vs LP direct sales price</v>
          </cell>
          <cell r="AT144" t="str">
            <v>Televisa</v>
          </cell>
          <cell r="AU144" t="str">
            <v>Broadcaster</v>
          </cell>
          <cell r="AV144" t="str">
            <v>FTA TV</v>
          </cell>
          <cell r="AW144" t="str">
            <v>Free-to-Air TV</v>
          </cell>
          <cell r="AX144" t="str">
            <v>Estimated at ~110M (90% of population)</v>
          </cell>
          <cell r="AY144" t="str">
            <v>MXN</v>
          </cell>
          <cell r="AZ144" t="str">
            <v>N/A</v>
          </cell>
          <cell r="BA144" t="str">
            <v>N/A</v>
          </cell>
        </row>
        <row r="145">
          <cell r="B145" t="str">
            <v>Micronesia</v>
          </cell>
          <cell r="C145" t="str">
            <v>Asia</v>
          </cell>
          <cell r="D145" t="str">
            <v/>
          </cell>
          <cell r="E145" t="str">
            <v/>
          </cell>
        </row>
        <row r="146">
          <cell r="B146" t="str">
            <v>Moldova</v>
          </cell>
          <cell r="C146" t="str">
            <v>Europe</v>
          </cell>
          <cell r="D146" t="str">
            <v/>
          </cell>
          <cell r="E146" t="str">
            <v/>
          </cell>
        </row>
        <row r="147">
          <cell r="B147" t="str">
            <v>Monaco</v>
          </cell>
          <cell r="C147" t="str">
            <v>Europe</v>
          </cell>
          <cell r="D147" t="str">
            <v/>
          </cell>
          <cell r="E147" t="str">
            <v/>
          </cell>
        </row>
        <row r="148">
          <cell r="B148" t="str">
            <v>Mongolia</v>
          </cell>
          <cell r="C148" t="str">
            <v>Asia</v>
          </cell>
          <cell r="D148" t="str">
            <v/>
          </cell>
          <cell r="E148" t="str">
            <v/>
          </cell>
        </row>
        <row r="149">
          <cell r="B149" t="str">
            <v>Montenegro</v>
          </cell>
          <cell r="C149" t="str">
            <v>Europe</v>
          </cell>
          <cell r="D149" t="str">
            <v/>
          </cell>
          <cell r="E149" t="str">
            <v/>
          </cell>
        </row>
        <row r="150">
          <cell r="B150" t="str">
            <v>Montserrat</v>
          </cell>
          <cell r="C150" t="str">
            <v>Latin America</v>
          </cell>
          <cell r="D150" t="str">
            <v/>
          </cell>
          <cell r="E150" t="str">
            <v/>
          </cell>
        </row>
        <row r="151">
          <cell r="B151" t="str">
            <v>Morocco</v>
          </cell>
          <cell r="C151" t="str">
            <v>Africa</v>
          </cell>
          <cell r="D151" t="str">
            <v/>
          </cell>
          <cell r="E151" t="str">
            <v/>
          </cell>
        </row>
        <row r="152">
          <cell r="B152" t="str">
            <v>Mozambique</v>
          </cell>
          <cell r="C152" t="str">
            <v>Africa</v>
          </cell>
          <cell r="D152" t="str">
            <v/>
          </cell>
          <cell r="E152" t="str">
            <v/>
          </cell>
        </row>
        <row r="153">
          <cell r="B153" t="str">
            <v>Myanmar</v>
          </cell>
          <cell r="C153" t="str">
            <v>Asia</v>
          </cell>
          <cell r="D153" t="str">
            <v/>
          </cell>
          <cell r="E153" t="str">
            <v/>
          </cell>
        </row>
        <row r="154">
          <cell r="B154" t="str">
            <v>Namibia</v>
          </cell>
          <cell r="C154" t="str">
            <v>Africa</v>
          </cell>
          <cell r="D154" t="str">
            <v/>
          </cell>
          <cell r="E154" t="str">
            <v/>
          </cell>
        </row>
        <row r="155">
          <cell r="B155" t="str">
            <v>Nauru</v>
          </cell>
          <cell r="C155" t="str">
            <v>Asia</v>
          </cell>
          <cell r="D155" t="str">
            <v/>
          </cell>
          <cell r="E155" t="str">
            <v/>
          </cell>
        </row>
        <row r="156">
          <cell r="B156" t="str">
            <v>Nepal</v>
          </cell>
          <cell r="C156" t="str">
            <v>Asia</v>
          </cell>
          <cell r="D156" t="str">
            <v/>
          </cell>
          <cell r="E156" t="str">
            <v/>
          </cell>
        </row>
        <row r="157">
          <cell r="B157" t="str">
            <v>Netherlands</v>
          </cell>
          <cell r="C157" t="str">
            <v>Europe</v>
          </cell>
          <cell r="D157" t="str">
            <v>A2</v>
          </cell>
          <cell r="E157" t="str">
            <v>No Ads in FY26</v>
          </cell>
          <cell r="F157" t="str">
            <v>ESPN</v>
          </cell>
          <cell r="G157" t="str">
            <v xml:space="preserve">Sports </v>
          </cell>
          <cell r="H157" t="str">
            <v>Pay TV</v>
          </cell>
          <cell r="I157" t="str">
            <v>Pay TV subscribers</v>
          </cell>
          <cell r="J157" t="str">
            <v>&gt;4M</v>
          </cell>
          <cell r="K157" t="str">
            <v>EUR</v>
          </cell>
          <cell r="L157" t="str">
            <v>€14.95</v>
          </cell>
          <cell r="M157" t="str">
            <v>€17.95</v>
          </cell>
          <cell r="N157" t="str">
            <v>Amazon PV</v>
          </cell>
          <cell r="O157" t="str">
            <v>Broadcaster</v>
          </cell>
        </row>
        <row r="158">
          <cell r="B158" t="str">
            <v>Netherlands Antilles</v>
          </cell>
          <cell r="C158" t="str">
            <v>Latin America</v>
          </cell>
          <cell r="D158" t="str">
            <v/>
          </cell>
          <cell r="E158" t="str">
            <v/>
          </cell>
        </row>
        <row r="159">
          <cell r="B159" t="str">
            <v>New Caledonia</v>
          </cell>
          <cell r="C159" t="str">
            <v>Asia</v>
          </cell>
          <cell r="D159" t="str">
            <v/>
          </cell>
          <cell r="E159" t="str">
            <v/>
          </cell>
        </row>
        <row r="160">
          <cell r="B160" t="str">
            <v>New Zealand</v>
          </cell>
          <cell r="C160" t="str">
            <v>Asia</v>
          </cell>
          <cell r="D160" t="str">
            <v>A2</v>
          </cell>
          <cell r="E160" t="str">
            <v>No Ads in FY26</v>
          </cell>
        </row>
        <row r="161">
          <cell r="B161" t="str">
            <v>Nicaragua</v>
          </cell>
          <cell r="C161" t="str">
            <v>Latin America</v>
          </cell>
          <cell r="D161" t="str">
            <v/>
          </cell>
          <cell r="E161" t="str">
            <v/>
          </cell>
        </row>
        <row r="162">
          <cell r="B162" t="str">
            <v>Niger</v>
          </cell>
          <cell r="C162" t="str">
            <v>Africa</v>
          </cell>
          <cell r="D162" t="str">
            <v/>
          </cell>
          <cell r="E162" t="str">
            <v/>
          </cell>
        </row>
        <row r="163">
          <cell r="B163" t="str">
            <v>Nigeria</v>
          </cell>
          <cell r="C163" t="str">
            <v>Africa</v>
          </cell>
          <cell r="D163" t="str">
            <v/>
          </cell>
          <cell r="E163" t="str">
            <v/>
          </cell>
        </row>
        <row r="164">
          <cell r="B164" t="str">
            <v>Niue</v>
          </cell>
          <cell r="C164" t="str">
            <v>Asia</v>
          </cell>
          <cell r="D164" t="str">
            <v/>
          </cell>
          <cell r="E164" t="str">
            <v/>
          </cell>
        </row>
        <row r="165">
          <cell r="B165" t="str">
            <v>Norfolk Island</v>
          </cell>
          <cell r="C165" t="str">
            <v>Asia</v>
          </cell>
          <cell r="D165" t="str">
            <v/>
          </cell>
          <cell r="E165" t="str">
            <v/>
          </cell>
        </row>
        <row r="166">
          <cell r="B166" t="str">
            <v>Northern Mariana Islands</v>
          </cell>
          <cell r="C166" t="str">
            <v>Asia</v>
          </cell>
          <cell r="D166" t="str">
            <v/>
          </cell>
          <cell r="E166" t="str">
            <v/>
          </cell>
        </row>
        <row r="167">
          <cell r="B167" t="str">
            <v>Norway</v>
          </cell>
          <cell r="C167" t="str">
            <v>Europe</v>
          </cell>
          <cell r="D167" t="str">
            <v>A3</v>
          </cell>
          <cell r="E167" t="str">
            <v/>
          </cell>
          <cell r="F167" t="str">
            <v>WBD</v>
          </cell>
        </row>
        <row r="168">
          <cell r="B168" t="str">
            <v>Oman</v>
          </cell>
          <cell r="C168" t="str">
            <v>Middle East</v>
          </cell>
          <cell r="D168" t="str">
            <v/>
          </cell>
          <cell r="E168" t="str">
            <v/>
          </cell>
        </row>
        <row r="169">
          <cell r="B169" t="str">
            <v>Pakistan</v>
          </cell>
          <cell r="C169" t="str">
            <v>Asia</v>
          </cell>
          <cell r="D169" t="str">
            <v/>
          </cell>
          <cell r="E169" t="str">
            <v/>
          </cell>
        </row>
        <row r="170">
          <cell r="B170" t="str">
            <v>Palau</v>
          </cell>
          <cell r="C170" t="str">
            <v>Asia</v>
          </cell>
          <cell r="D170" t="str">
            <v/>
          </cell>
          <cell r="E170" t="str">
            <v/>
          </cell>
        </row>
        <row r="171">
          <cell r="B171" t="str">
            <v>Palestinian Territory</v>
          </cell>
          <cell r="C171" t="str">
            <v>Middle East</v>
          </cell>
          <cell r="D171" t="str">
            <v/>
          </cell>
          <cell r="E171" t="str">
            <v/>
          </cell>
        </row>
        <row r="172">
          <cell r="B172" t="str">
            <v>Panama</v>
          </cell>
          <cell r="C172" t="str">
            <v>Latin America</v>
          </cell>
          <cell r="D172" t="str">
            <v/>
          </cell>
          <cell r="E172" t="str">
            <v/>
          </cell>
        </row>
        <row r="173">
          <cell r="B173" t="str">
            <v>Papua New Guinea</v>
          </cell>
          <cell r="C173" t="str">
            <v>Asia</v>
          </cell>
          <cell r="D173" t="str">
            <v/>
          </cell>
          <cell r="E173" t="str">
            <v/>
          </cell>
        </row>
        <row r="174">
          <cell r="B174" t="str">
            <v>Paraguay</v>
          </cell>
          <cell r="C174" t="str">
            <v>Latin America</v>
          </cell>
          <cell r="D174" t="str">
            <v>A3</v>
          </cell>
          <cell r="E174" t="str">
            <v/>
          </cell>
        </row>
        <row r="175">
          <cell r="B175" t="str">
            <v>Peru</v>
          </cell>
          <cell r="C175" t="str">
            <v>Latin America</v>
          </cell>
          <cell r="D175" t="str">
            <v>A3</v>
          </cell>
          <cell r="E175" t="str">
            <v/>
          </cell>
        </row>
        <row r="176">
          <cell r="B176" t="str">
            <v>Philippines</v>
          </cell>
          <cell r="C176" t="str">
            <v>Asia</v>
          </cell>
          <cell r="D176" t="str">
            <v>A4</v>
          </cell>
          <cell r="E176" t="str">
            <v>Possibly</v>
          </cell>
          <cell r="F176" t="str">
            <v>Cignal</v>
          </cell>
          <cell r="G176" t="str">
            <v>Broadcaster</v>
          </cell>
          <cell r="H176" t="str">
            <v>Pay TV</v>
          </cell>
          <cell r="I176" t="str">
            <v>Pay TV subscribers</v>
          </cell>
          <cell r="K176" t="str">
            <v>PHP</v>
          </cell>
          <cell r="N176" t="str">
            <v>Pilipinas Live</v>
          </cell>
          <cell r="O176" t="str">
            <v>Broadcaster</v>
          </cell>
          <cell r="P176" t="str">
            <v>OTT</v>
          </cell>
          <cell r="Q176" t="str">
            <v>Gen Pop</v>
          </cell>
          <cell r="S176" t="str">
            <v>PHP</v>
          </cell>
          <cell r="T176" t="str">
            <v>NA</v>
          </cell>
          <cell r="U176">
            <v>200</v>
          </cell>
          <cell r="V176" t="str">
            <v>Disney+</v>
          </cell>
          <cell r="W176" t="str">
            <v>Broadcaster</v>
          </cell>
          <cell r="X176" t="str">
            <v>Streaming</v>
          </cell>
          <cell r="Y176" t="str">
            <v>Gen Pop</v>
          </cell>
          <cell r="Z176" t="str">
            <v>700K</v>
          </cell>
          <cell r="AA176" t="str">
            <v>PHP</v>
          </cell>
          <cell r="AB176">
            <v>599</v>
          </cell>
          <cell r="AC176">
            <v>289</v>
          </cell>
          <cell r="AD176" t="str">
            <v>Amazon Prime</v>
          </cell>
          <cell r="AE176" t="str">
            <v>SVOD</v>
          </cell>
          <cell r="AF176" t="str">
            <v>Streaming</v>
          </cell>
          <cell r="AG176" t="str">
            <v>Gen Pop</v>
          </cell>
          <cell r="AH176" t="str">
            <v>500K</v>
          </cell>
          <cell r="AI176" t="str">
            <v>PHP</v>
          </cell>
          <cell r="AJ176" t="str">
            <v>NA</v>
          </cell>
          <cell r="AK176">
            <v>149</v>
          </cell>
        </row>
        <row r="177">
          <cell r="B177" t="str">
            <v>Pitcairn Island</v>
          </cell>
          <cell r="C177" t="str">
            <v>Asia</v>
          </cell>
          <cell r="D177" t="str">
            <v/>
          </cell>
          <cell r="E177" t="str">
            <v/>
          </cell>
        </row>
        <row r="178">
          <cell r="B178" t="str">
            <v>Poland</v>
          </cell>
          <cell r="C178" t="str">
            <v>Europe</v>
          </cell>
          <cell r="D178" t="str">
            <v>A2</v>
          </cell>
          <cell r="E178" t="str">
            <v>No Ads in FY26</v>
          </cell>
          <cell r="F178" t="str">
            <v>WBD</v>
          </cell>
          <cell r="G178" t="str">
            <v>Broadcaster</v>
          </cell>
          <cell r="H178" t="str">
            <v>Pay TV</v>
          </cell>
          <cell r="I178" t="str">
            <v>Pay TV subscribers</v>
          </cell>
          <cell r="K178" t="str">
            <v>PLN</v>
          </cell>
          <cell r="L178">
            <v>52</v>
          </cell>
          <cell r="M178">
            <v>70</v>
          </cell>
        </row>
        <row r="179">
          <cell r="B179" t="str">
            <v>Portugal</v>
          </cell>
          <cell r="C179" t="str">
            <v>Europe</v>
          </cell>
          <cell r="D179" t="str">
            <v>A3</v>
          </cell>
          <cell r="E179" t="str">
            <v/>
          </cell>
          <cell r="F179" t="str">
            <v>Sport TV</v>
          </cell>
          <cell r="G179" t="str">
            <v>Broadcaster</v>
          </cell>
          <cell r="H179" t="str">
            <v>Pay TV</v>
          </cell>
          <cell r="I179" t="str">
            <v>Pay TV subscribers</v>
          </cell>
          <cell r="K179" t="str">
            <v>EUR</v>
          </cell>
          <cell r="L179">
            <v>30.99</v>
          </cell>
          <cell r="M179">
            <v>34.99</v>
          </cell>
          <cell r="N179" t="str">
            <v>Amazon PV</v>
          </cell>
          <cell r="O179" t="str">
            <v>Broadcaster</v>
          </cell>
        </row>
        <row r="180">
          <cell r="B180" t="str">
            <v>Qatar</v>
          </cell>
          <cell r="C180" t="str">
            <v>Middle East</v>
          </cell>
          <cell r="D180" t="str">
            <v/>
          </cell>
          <cell r="E180" t="str">
            <v/>
          </cell>
        </row>
        <row r="181">
          <cell r="B181" t="str">
            <v>Reunion</v>
          </cell>
          <cell r="C181" t="str">
            <v>Africa</v>
          </cell>
          <cell r="D181" t="str">
            <v/>
          </cell>
          <cell r="E181" t="str">
            <v/>
          </cell>
        </row>
        <row r="182">
          <cell r="B182" t="str">
            <v>Romania</v>
          </cell>
          <cell r="C182" t="str">
            <v>Europe</v>
          </cell>
          <cell r="D182" t="str">
            <v>A3</v>
          </cell>
          <cell r="E182" t="str">
            <v/>
          </cell>
          <cell r="F182" t="str">
            <v>Antenna TV</v>
          </cell>
          <cell r="G182" t="str">
            <v>Broadcaster</v>
          </cell>
          <cell r="H182" t="str">
            <v>FTA</v>
          </cell>
          <cell r="L182">
            <v>7.99</v>
          </cell>
          <cell r="M182">
            <v>10.99</v>
          </cell>
          <cell r="N182" t="str">
            <v>Amazon PV</v>
          </cell>
          <cell r="O182" t="str">
            <v>Broadcaster</v>
          </cell>
        </row>
        <row r="183">
          <cell r="B183" t="str">
            <v>Russia</v>
          </cell>
          <cell r="C183" t="str">
            <v>Europe</v>
          </cell>
          <cell r="D183" t="str">
            <v/>
          </cell>
          <cell r="E183" t="str">
            <v/>
          </cell>
        </row>
        <row r="184">
          <cell r="B184" t="str">
            <v>Rwanda</v>
          </cell>
          <cell r="C184" t="str">
            <v>Africa</v>
          </cell>
          <cell r="D184" t="str">
            <v/>
          </cell>
          <cell r="E184" t="str">
            <v/>
          </cell>
        </row>
        <row r="185">
          <cell r="B185" t="str">
            <v>Saint Martin (French Part)</v>
          </cell>
          <cell r="C185" t="str">
            <v>Latin America</v>
          </cell>
          <cell r="D185" t="str">
            <v/>
          </cell>
          <cell r="E185" t="str">
            <v/>
          </cell>
        </row>
        <row r="186">
          <cell r="B186" t="str">
            <v>Samoa</v>
          </cell>
          <cell r="C186" t="str">
            <v>Asia</v>
          </cell>
          <cell r="D186" t="str">
            <v/>
          </cell>
          <cell r="E186" t="str">
            <v/>
          </cell>
        </row>
        <row r="187">
          <cell r="B187" t="str">
            <v>San Marino</v>
          </cell>
          <cell r="C187" t="str">
            <v>Europe</v>
          </cell>
          <cell r="D187" t="str">
            <v/>
          </cell>
          <cell r="E187" t="str">
            <v/>
          </cell>
        </row>
        <row r="188">
          <cell r="B188" t="str">
            <v>Sao Tome And Principe</v>
          </cell>
          <cell r="C188" t="str">
            <v>Africa</v>
          </cell>
          <cell r="D188" t="str">
            <v/>
          </cell>
          <cell r="E188" t="str">
            <v/>
          </cell>
        </row>
        <row r="189">
          <cell r="B189" t="str">
            <v>Saudi Arabia</v>
          </cell>
          <cell r="C189" t="str">
            <v>Middle East</v>
          </cell>
          <cell r="D189" t="str">
            <v>A5</v>
          </cell>
          <cell r="E189" t="str">
            <v/>
          </cell>
        </row>
        <row r="190">
          <cell r="B190" t="str">
            <v>Senegal</v>
          </cell>
          <cell r="C190" t="str">
            <v>Africa</v>
          </cell>
          <cell r="D190" t="str">
            <v/>
          </cell>
          <cell r="E190" t="str">
            <v/>
          </cell>
        </row>
        <row r="191">
          <cell r="B191" t="str">
            <v>Serbia</v>
          </cell>
          <cell r="C191" t="str">
            <v>Europe</v>
          </cell>
          <cell r="D191" t="str">
            <v/>
          </cell>
          <cell r="E191" t="str">
            <v/>
          </cell>
        </row>
        <row r="192">
          <cell r="B192" t="str">
            <v>Seychelles</v>
          </cell>
          <cell r="C192" t="str">
            <v>Africa</v>
          </cell>
          <cell r="D192" t="str">
            <v/>
          </cell>
          <cell r="E192" t="str">
            <v/>
          </cell>
        </row>
        <row r="193">
          <cell r="B193" t="str">
            <v>Sierra Leone</v>
          </cell>
          <cell r="C193" t="str">
            <v>Africa</v>
          </cell>
          <cell r="D193" t="str">
            <v/>
          </cell>
          <cell r="E193" t="str">
            <v/>
          </cell>
        </row>
        <row r="194">
          <cell r="B194" t="str">
            <v>Singapore</v>
          </cell>
          <cell r="C194" t="str">
            <v>Asia</v>
          </cell>
          <cell r="D194" t="str">
            <v>A4</v>
          </cell>
          <cell r="E194" t="str">
            <v/>
          </cell>
          <cell r="F194" t="str">
            <v>Amazon Prime</v>
          </cell>
          <cell r="G194" t="str">
            <v>SVOD</v>
          </cell>
          <cell r="H194" t="str">
            <v>Streaming</v>
          </cell>
          <cell r="I194" t="str">
            <v>Gen Pop</v>
          </cell>
          <cell r="J194" t="str">
            <v>300K</v>
          </cell>
          <cell r="K194" t="str">
            <v>SGD</v>
          </cell>
          <cell r="L194" t="str">
            <v>NA</v>
          </cell>
          <cell r="M194">
            <v>4.99</v>
          </cell>
        </row>
        <row r="195">
          <cell r="B195" t="str">
            <v>Sint Maarten (Dutch Part)</v>
          </cell>
          <cell r="C195" t="str">
            <v>Latin America</v>
          </cell>
          <cell r="D195" t="str">
            <v/>
          </cell>
          <cell r="E195" t="str">
            <v/>
          </cell>
          <cell r="K195" t="str">
            <v>BRL</v>
          </cell>
          <cell r="L195" t="str">
            <v>N/A</v>
          </cell>
          <cell r="M195" t="str">
            <v>N/A</v>
          </cell>
          <cell r="S195" t="str">
            <v>BRL</v>
          </cell>
        </row>
        <row r="196">
          <cell r="B196" t="str">
            <v>Slovakia</v>
          </cell>
          <cell r="C196" t="str">
            <v>Europe</v>
          </cell>
          <cell r="D196" t="str">
            <v>A3</v>
          </cell>
          <cell r="E196" t="str">
            <v/>
          </cell>
          <cell r="F196" t="str">
            <v>Nova</v>
          </cell>
          <cell r="G196" t="str">
            <v>Broadcaster</v>
          </cell>
          <cell r="H196" t="str">
            <v>Pay TV</v>
          </cell>
          <cell r="I196" t="str">
            <v>Pay TV subscribers</v>
          </cell>
          <cell r="N196" t="str">
            <v>Amazon PV</v>
          </cell>
          <cell r="O196" t="str">
            <v>Broadcaster</v>
          </cell>
        </row>
        <row r="197">
          <cell r="B197" t="str">
            <v>Slovenia</v>
          </cell>
          <cell r="C197" t="str">
            <v>Europe</v>
          </cell>
          <cell r="D197" t="str">
            <v/>
          </cell>
          <cell r="E197" t="str">
            <v/>
          </cell>
          <cell r="K197" t="str">
            <v>COP</v>
          </cell>
          <cell r="L197" t="str">
            <v>N/A</v>
          </cell>
          <cell r="M197" t="str">
            <v>N/A</v>
          </cell>
          <cell r="S197" t="str">
            <v>COP</v>
          </cell>
        </row>
        <row r="198">
          <cell r="B198" t="str">
            <v>Solomon Islands</v>
          </cell>
          <cell r="C198" t="str">
            <v>Asia</v>
          </cell>
          <cell r="D198" t="str">
            <v/>
          </cell>
          <cell r="E198" t="str">
            <v/>
          </cell>
          <cell r="K198" t="str">
            <v>DOP</v>
          </cell>
          <cell r="L198" t="str">
            <v>N/A</v>
          </cell>
          <cell r="M198" t="str">
            <v>N/A</v>
          </cell>
          <cell r="S198" t="str">
            <v>DOP</v>
          </cell>
        </row>
        <row r="199">
          <cell r="B199" t="str">
            <v>Somalia</v>
          </cell>
          <cell r="C199" t="str">
            <v>Africa</v>
          </cell>
          <cell r="D199" t="str">
            <v/>
          </cell>
          <cell r="E199" t="str">
            <v/>
          </cell>
          <cell r="K199" t="str">
            <v>MXN</v>
          </cell>
          <cell r="L199" t="str">
            <v>N/A</v>
          </cell>
          <cell r="M199" t="str">
            <v>N/A</v>
          </cell>
          <cell r="S199" t="str">
            <v>MXN</v>
          </cell>
        </row>
        <row r="200">
          <cell r="B200" t="str">
            <v>South Africa</v>
          </cell>
          <cell r="C200" t="str">
            <v>Africa</v>
          </cell>
          <cell r="D200" t="str">
            <v>x</v>
          </cell>
          <cell r="E200" t="str">
            <v/>
          </cell>
          <cell r="F200" t="str">
            <v>PMConnect</v>
          </cell>
          <cell r="G200" t="str">
            <v>DTC</v>
          </cell>
          <cell r="H200" t="str">
            <v>League Pass</v>
          </cell>
          <cell r="I200" t="str">
            <v>Subscriber</v>
          </cell>
          <cell r="J200">
            <v>854</v>
          </cell>
          <cell r="K200" t="str">
            <v>ZAR</v>
          </cell>
          <cell r="L200">
            <v>210</v>
          </cell>
          <cell r="M200" t="str">
            <v>NA</v>
          </cell>
          <cell r="N200" t="str">
            <v>Smartcall</v>
          </cell>
          <cell r="O200" t="str">
            <v>DTC</v>
          </cell>
          <cell r="P200" t="str">
            <v>League Pass</v>
          </cell>
          <cell r="Q200" t="str">
            <v>Subscriber</v>
          </cell>
          <cell r="R200" t="str">
            <v>NA</v>
          </cell>
          <cell r="S200" t="str">
            <v>ZAR</v>
          </cell>
          <cell r="T200" t="str">
            <v>NA</v>
          </cell>
          <cell r="U200" t="str">
            <v>NA</v>
          </cell>
        </row>
        <row r="201">
          <cell r="B201" t="str">
            <v>South Georgia (Sgssi)</v>
          </cell>
          <cell r="C201" t="str">
            <v>Europe</v>
          </cell>
          <cell r="D201" t="str">
            <v/>
          </cell>
          <cell r="E201" t="str">
            <v/>
          </cell>
        </row>
        <row r="202">
          <cell r="B202" t="str">
            <v>South Korea</v>
          </cell>
          <cell r="C202" t="str">
            <v>Asia</v>
          </cell>
          <cell r="D202" t="str">
            <v/>
          </cell>
          <cell r="E202" t="str">
            <v>Possibly</v>
          </cell>
          <cell r="F202" t="str">
            <v>SpoTV</v>
          </cell>
          <cell r="G202" t="str">
            <v>Sports</v>
          </cell>
          <cell r="H202" t="str">
            <v>OTT</v>
          </cell>
          <cell r="I202" t="str">
            <v>Gen Pop</v>
          </cell>
          <cell r="J202" t="str">
            <v>800K</v>
          </cell>
          <cell r="K202" t="str">
            <v>KRW</v>
          </cell>
          <cell r="L202">
            <v>8690</v>
          </cell>
          <cell r="M202">
            <v>16290</v>
          </cell>
        </row>
        <row r="203">
          <cell r="B203" t="str">
            <v>South Sudan</v>
          </cell>
          <cell r="C203" t="str">
            <v>Middle East</v>
          </cell>
          <cell r="D203" t="str">
            <v/>
          </cell>
          <cell r="E203" t="str">
            <v/>
          </cell>
          <cell r="K203" t="str">
            <v>CLP</v>
          </cell>
        </row>
        <row r="204">
          <cell r="B204" t="str">
            <v>Spain</v>
          </cell>
          <cell r="C204" t="str">
            <v>Europe</v>
          </cell>
          <cell r="D204" t="str">
            <v>A2</v>
          </cell>
          <cell r="E204" t="str">
            <v>Live</v>
          </cell>
          <cell r="F204" t="str">
            <v>DAZN</v>
          </cell>
          <cell r="G204" t="str">
            <v>Sports</v>
          </cell>
          <cell r="H204" t="str">
            <v>SVOD</v>
          </cell>
          <cell r="I204" t="str">
            <v>Pay TV subscribers</v>
          </cell>
          <cell r="K204" t="str">
            <v>EUR</v>
          </cell>
          <cell r="L204" t="str">
            <v>€14</v>
          </cell>
          <cell r="M204" t="str">
            <v>€16.5</v>
          </cell>
          <cell r="N204" t="str">
            <v>Amazon PV</v>
          </cell>
          <cell r="O204" t="str">
            <v>Broadcaster</v>
          </cell>
        </row>
        <row r="205">
          <cell r="B205" t="str">
            <v>Sri Lanka</v>
          </cell>
          <cell r="C205" t="str">
            <v>Asia</v>
          </cell>
          <cell r="D205" t="str">
            <v/>
          </cell>
          <cell r="E205" t="str">
            <v/>
          </cell>
          <cell r="K205" t="str">
            <v>DOP</v>
          </cell>
        </row>
        <row r="206">
          <cell r="B206" t="str">
            <v>St. Barthelemy</v>
          </cell>
          <cell r="C206" t="str">
            <v>Latin America</v>
          </cell>
          <cell r="D206" t="str">
            <v/>
          </cell>
          <cell r="E206" t="str">
            <v/>
          </cell>
          <cell r="K206" t="str">
            <v>MXN</v>
          </cell>
        </row>
        <row r="207">
          <cell r="B207" t="str">
            <v>St. Helena</v>
          </cell>
          <cell r="C207" t="str">
            <v>Africa</v>
          </cell>
          <cell r="D207" t="str">
            <v/>
          </cell>
          <cell r="E207" t="str">
            <v/>
          </cell>
        </row>
        <row r="208">
          <cell r="B208" t="str">
            <v>St. Kitts And Nevis</v>
          </cell>
          <cell r="C208" t="str">
            <v>Latin America</v>
          </cell>
          <cell r="D208" t="str">
            <v/>
          </cell>
          <cell r="E208" t="str">
            <v/>
          </cell>
        </row>
        <row r="209">
          <cell r="B209" t="str">
            <v>St. Lucia</v>
          </cell>
          <cell r="C209" t="str">
            <v>Latin America</v>
          </cell>
          <cell r="D209" t="str">
            <v/>
          </cell>
          <cell r="E209" t="str">
            <v/>
          </cell>
        </row>
        <row r="210">
          <cell r="B210" t="str">
            <v>St. Pierre And Miquelon</v>
          </cell>
          <cell r="C210" t="str">
            <v>Latin America</v>
          </cell>
          <cell r="D210" t="str">
            <v/>
          </cell>
          <cell r="E210" t="str">
            <v/>
          </cell>
        </row>
        <row r="211">
          <cell r="B211" t="str">
            <v>St. Vincent And The Grenadines</v>
          </cell>
          <cell r="C211" t="str">
            <v>Latin America</v>
          </cell>
          <cell r="D211" t="str">
            <v/>
          </cell>
          <cell r="E211" t="str">
            <v/>
          </cell>
        </row>
        <row r="212">
          <cell r="B212" t="str">
            <v>Sudan</v>
          </cell>
          <cell r="C212" t="str">
            <v>Africa</v>
          </cell>
          <cell r="D212" t="str">
            <v/>
          </cell>
          <cell r="E212" t="str">
            <v/>
          </cell>
        </row>
        <row r="213">
          <cell r="B213" t="str">
            <v>Suriname</v>
          </cell>
          <cell r="C213" t="str">
            <v>Latin America</v>
          </cell>
          <cell r="D213" t="str">
            <v/>
          </cell>
          <cell r="E213" t="str">
            <v/>
          </cell>
        </row>
        <row r="214">
          <cell r="B214" t="str">
            <v>Svalbard And Jan Mayen</v>
          </cell>
          <cell r="C214" t="str">
            <v>Europe</v>
          </cell>
          <cell r="D214" t="str">
            <v/>
          </cell>
          <cell r="E214" t="str">
            <v/>
          </cell>
        </row>
        <row r="215">
          <cell r="B215" t="str">
            <v>Sweden</v>
          </cell>
          <cell r="C215" t="str">
            <v>Europe</v>
          </cell>
          <cell r="D215" t="str">
            <v>A2</v>
          </cell>
          <cell r="E215" t="str">
            <v>No Ads in FY26</v>
          </cell>
          <cell r="F215" t="str">
            <v>WBD</v>
          </cell>
        </row>
        <row r="216">
          <cell r="B216" t="str">
            <v>Switzerland</v>
          </cell>
          <cell r="C216" t="str">
            <v>Europe</v>
          </cell>
          <cell r="D216" t="str">
            <v>A3</v>
          </cell>
          <cell r="E216" t="str">
            <v>Possibly</v>
          </cell>
          <cell r="F216" t="str">
            <v>Sky Germany</v>
          </cell>
          <cell r="G216" t="str">
            <v>Broadcaster</v>
          </cell>
          <cell r="H216" t="str">
            <v>Pay TV</v>
          </cell>
          <cell r="I216" t="str">
            <v>Pay TV subscribers</v>
          </cell>
          <cell r="K216" t="str">
            <v>CHF</v>
          </cell>
          <cell r="L216">
            <v>24.9</v>
          </cell>
          <cell r="N216" t="str">
            <v>Amazon PV</v>
          </cell>
          <cell r="O216" t="str">
            <v>Broadcaster</v>
          </cell>
        </row>
        <row r="217">
          <cell r="B217" t="str">
            <v>Syria</v>
          </cell>
          <cell r="C217" t="str">
            <v>Middle East</v>
          </cell>
          <cell r="D217" t="str">
            <v/>
          </cell>
          <cell r="E217" t="str">
            <v/>
          </cell>
          <cell r="O217" t="str">
            <v>Broadcaster</v>
          </cell>
        </row>
        <row r="218">
          <cell r="B218" t="str">
            <v>Taiwan</v>
          </cell>
          <cell r="C218" t="str">
            <v>NBA China</v>
          </cell>
          <cell r="D218" t="str">
            <v>x</v>
          </cell>
          <cell r="E218" t="str">
            <v>Possibly</v>
          </cell>
          <cell r="F218" t="str">
            <v>Elta TV</v>
          </cell>
          <cell r="G218" t="str">
            <v>Sports</v>
          </cell>
          <cell r="H218" t="str">
            <v>OTT</v>
          </cell>
          <cell r="I218" t="str">
            <v>Gen Pop</v>
          </cell>
          <cell r="K218" t="str">
            <v>NTD</v>
          </cell>
          <cell r="L218">
            <v>140</v>
          </cell>
          <cell r="M218" t="str">
            <v>NA</v>
          </cell>
          <cell r="N218" t="str">
            <v>LineTV/Videoland</v>
          </cell>
          <cell r="O218" t="str">
            <v>Broadcast</v>
          </cell>
          <cell r="P218" t="str">
            <v>OTT</v>
          </cell>
          <cell r="S218" t="str">
            <v>NTD</v>
          </cell>
          <cell r="T218">
            <v>210</v>
          </cell>
          <cell r="U218" t="str">
            <v>NA</v>
          </cell>
        </row>
        <row r="219">
          <cell r="B219" t="str">
            <v>Tajikistan</v>
          </cell>
          <cell r="C219" t="str">
            <v>Asia</v>
          </cell>
          <cell r="D219" t="str">
            <v/>
          </cell>
          <cell r="E219" t="str">
            <v/>
          </cell>
        </row>
        <row r="220">
          <cell r="B220" t="str">
            <v>Tanzania</v>
          </cell>
          <cell r="C220" t="str">
            <v>Africa</v>
          </cell>
          <cell r="D220" t="str">
            <v/>
          </cell>
          <cell r="E220" t="str">
            <v/>
          </cell>
        </row>
        <row r="221">
          <cell r="B221" t="str">
            <v>Thailand</v>
          </cell>
          <cell r="C221" t="str">
            <v>Asia</v>
          </cell>
          <cell r="D221" t="str">
            <v>A4</v>
          </cell>
          <cell r="E221" t="str">
            <v/>
          </cell>
          <cell r="F221" t="str">
            <v>AIS</v>
          </cell>
          <cell r="G221" t="str">
            <v>Broadcaster</v>
          </cell>
          <cell r="H221" t="str">
            <v>Pay TV</v>
          </cell>
          <cell r="I221" t="str">
            <v>Gen Pop</v>
          </cell>
          <cell r="J221" t="str">
            <v>16M</v>
          </cell>
          <cell r="K221" t="str">
            <v>THB</v>
          </cell>
          <cell r="L221">
            <v>599</v>
          </cell>
          <cell r="M221">
            <v>249</v>
          </cell>
          <cell r="N221" t="str">
            <v>Amazon Prime</v>
          </cell>
          <cell r="O221" t="str">
            <v>SVOD</v>
          </cell>
          <cell r="P221" t="str">
            <v>Streaming</v>
          </cell>
          <cell r="Q221" t="str">
            <v>Gen Pop</v>
          </cell>
          <cell r="R221" t="str">
            <v>300K</v>
          </cell>
          <cell r="S221" t="str">
            <v>THB</v>
          </cell>
          <cell r="T221" t="str">
            <v>NA</v>
          </cell>
          <cell r="U221">
            <v>149</v>
          </cell>
        </row>
        <row r="222">
          <cell r="B222" t="str">
            <v>Timor-Leste</v>
          </cell>
          <cell r="C222" t="str">
            <v>Asia</v>
          </cell>
          <cell r="D222" t="str">
            <v/>
          </cell>
          <cell r="E222" t="str">
            <v/>
          </cell>
        </row>
        <row r="223">
          <cell r="B223" t="str">
            <v>Togo</v>
          </cell>
          <cell r="C223" t="str">
            <v>Africa</v>
          </cell>
          <cell r="D223" t="str">
            <v/>
          </cell>
          <cell r="E223" t="str">
            <v/>
          </cell>
        </row>
        <row r="224">
          <cell r="B224" t="str">
            <v>Tokelau</v>
          </cell>
          <cell r="C224" t="str">
            <v>Asia</v>
          </cell>
          <cell r="D224" t="str">
            <v/>
          </cell>
          <cell r="E224" t="str">
            <v/>
          </cell>
        </row>
        <row r="225">
          <cell r="B225" t="str">
            <v>Tonga</v>
          </cell>
          <cell r="C225" t="str">
            <v>Asia</v>
          </cell>
          <cell r="D225" t="str">
            <v/>
          </cell>
          <cell r="E225" t="str">
            <v/>
          </cell>
        </row>
        <row r="226">
          <cell r="B226" t="str">
            <v>Trinidad And Tobago</v>
          </cell>
          <cell r="C226" t="str">
            <v>Latin America</v>
          </cell>
          <cell r="D226" t="str">
            <v/>
          </cell>
          <cell r="E226" t="str">
            <v/>
          </cell>
        </row>
        <row r="227">
          <cell r="B227" t="str">
            <v>Tunisia</v>
          </cell>
          <cell r="C227" t="str">
            <v>Africa</v>
          </cell>
          <cell r="D227" t="str">
            <v/>
          </cell>
          <cell r="E227" t="str">
            <v/>
          </cell>
        </row>
        <row r="228">
          <cell r="B228" t="str">
            <v>Turkey</v>
          </cell>
          <cell r="C228" t="str">
            <v>Europe</v>
          </cell>
          <cell r="D228" t="str">
            <v>A3</v>
          </cell>
          <cell r="E228" t="str">
            <v/>
          </cell>
          <cell r="F228" t="str">
            <v>Saran</v>
          </cell>
          <cell r="G228" t="str">
            <v>Broadcaster</v>
          </cell>
          <cell r="H228" t="str">
            <v>Pay TV/SVOD</v>
          </cell>
          <cell r="I228" t="str">
            <v>Pay TV subscribers</v>
          </cell>
          <cell r="J228" t="str">
            <v>&gt;4M</v>
          </cell>
          <cell r="K228" t="str">
            <v>TRY</v>
          </cell>
          <cell r="L228">
            <v>58.33</v>
          </cell>
          <cell r="M228">
            <v>99.99</v>
          </cell>
          <cell r="N228" t="str">
            <v>Amazon PV</v>
          </cell>
          <cell r="O228" t="str">
            <v>Broadcaster</v>
          </cell>
        </row>
        <row r="229">
          <cell r="B229" t="str">
            <v>Turkmenistan</v>
          </cell>
          <cell r="C229" t="str">
            <v>Asia</v>
          </cell>
          <cell r="D229" t="str">
            <v/>
          </cell>
          <cell r="E229" t="str">
            <v/>
          </cell>
        </row>
        <row r="230">
          <cell r="B230" t="str">
            <v>Turks And Caicos Islands</v>
          </cell>
          <cell r="C230" t="str">
            <v>Latin America</v>
          </cell>
          <cell r="D230" t="str">
            <v/>
          </cell>
          <cell r="E230" t="str">
            <v/>
          </cell>
        </row>
        <row r="231">
          <cell r="B231" t="str">
            <v>Tuvalu</v>
          </cell>
          <cell r="C231" t="str">
            <v>Asia</v>
          </cell>
          <cell r="D231" t="str">
            <v/>
          </cell>
          <cell r="E231" t="str">
            <v/>
          </cell>
        </row>
        <row r="232">
          <cell r="B232" t="str">
            <v>Uganda</v>
          </cell>
          <cell r="C232" t="str">
            <v>Africa</v>
          </cell>
          <cell r="D232" t="str">
            <v/>
          </cell>
          <cell r="E232" t="str">
            <v/>
          </cell>
        </row>
        <row r="233">
          <cell r="B233" t="str">
            <v>Ukraine</v>
          </cell>
          <cell r="C233" t="str">
            <v>Europe</v>
          </cell>
          <cell r="D233" t="str">
            <v/>
          </cell>
          <cell r="E233" t="str">
            <v/>
          </cell>
        </row>
        <row r="234">
          <cell r="B234" t="str">
            <v>United Arab Emirates</v>
          </cell>
          <cell r="C234" t="str">
            <v>Middle East</v>
          </cell>
          <cell r="D234" t="str">
            <v>A5</v>
          </cell>
          <cell r="E234" t="str">
            <v/>
          </cell>
        </row>
        <row r="235">
          <cell r="B235" t="str">
            <v>United Kingdom</v>
          </cell>
          <cell r="C235" t="str">
            <v>Europe</v>
          </cell>
          <cell r="D235" t="str">
            <v>A2</v>
          </cell>
          <cell r="E235" t="str">
            <v>Live</v>
          </cell>
          <cell r="F235" t="str">
            <v>Sky UK</v>
          </cell>
          <cell r="G235" t="str">
            <v>Broadcaster</v>
          </cell>
          <cell r="H235" t="str">
            <v>Pay TV</v>
          </cell>
          <cell r="I235" t="str">
            <v>Pay TV subscribers</v>
          </cell>
          <cell r="J235" t="str">
            <v>&gt;5M</v>
          </cell>
          <cell r="K235" t="str">
            <v>GBP</v>
          </cell>
          <cell r="L235" t="str">
            <v>20-30</v>
          </cell>
          <cell r="N235" t="str">
            <v>Amazon PV</v>
          </cell>
          <cell r="O235" t="str">
            <v>Broadcaster</v>
          </cell>
        </row>
        <row r="236">
          <cell r="B236" t="str">
            <v>United States</v>
          </cell>
          <cell r="C236" t="str">
            <v>Domestic</v>
          </cell>
          <cell r="D236" t="str">
            <v>A1</v>
          </cell>
          <cell r="E236" t="str">
            <v>Live</v>
          </cell>
          <cell r="F236" t="str">
            <v>YouTube TV</v>
          </cell>
          <cell r="G236" t="str">
            <v>vMVPD</v>
          </cell>
          <cell r="H236" t="str">
            <v>Streaming</v>
          </cell>
          <cell r="I236" t="str">
            <v>Gen Pop</v>
          </cell>
          <cell r="J236" t="str">
            <v>&gt;8M</v>
          </cell>
          <cell r="K236" t="str">
            <v>USD</v>
          </cell>
          <cell r="L236" t="str">
            <v>NA</v>
          </cell>
          <cell r="M236">
            <v>82.99</v>
          </cell>
          <cell r="N236" t="str">
            <v>Hulu + Live TV</v>
          </cell>
          <cell r="O236" t="str">
            <v>vMVPD</v>
          </cell>
          <cell r="P236" t="str">
            <v>Streaming</v>
          </cell>
          <cell r="Q236" t="str">
            <v>Gen Pop</v>
          </cell>
          <cell r="R236" t="str">
            <v>4.6M</v>
          </cell>
          <cell r="S236" t="str">
            <v>USD</v>
          </cell>
          <cell r="T236" t="str">
            <v>NA</v>
          </cell>
          <cell r="U236">
            <v>89.99</v>
          </cell>
          <cell r="V236" t="str">
            <v>Sling TV</v>
          </cell>
          <cell r="W236" t="str">
            <v>vMVPD</v>
          </cell>
          <cell r="X236" t="str">
            <v>Streaming</v>
          </cell>
          <cell r="Y236" t="str">
            <v>Gen Pop</v>
          </cell>
          <cell r="Z236" t="str">
            <v>2.06M</v>
          </cell>
          <cell r="AA236" t="str">
            <v>USD</v>
          </cell>
          <cell r="AB236" t="str">
            <v>Sling Blue ($50)</v>
          </cell>
          <cell r="AC236" t="str">
            <v>Sling Orange ($46)</v>
          </cell>
          <cell r="AD236" t="str">
            <v>Amazon Prime</v>
          </cell>
          <cell r="AE236" t="str">
            <v>SVOD</v>
          </cell>
          <cell r="AF236" t="str">
            <v>Streaming</v>
          </cell>
          <cell r="AG236" t="str">
            <v>Gen Pop</v>
          </cell>
          <cell r="AH236" t="str">
            <v>&gt;200M</v>
          </cell>
          <cell r="AI236" t="str">
            <v>USD</v>
          </cell>
          <cell r="AJ236" t="str">
            <v>Amazon Prime Ad-Free($17.98/month)/
Prime Video Ad-Free ($11.99/month)</v>
          </cell>
          <cell r="AK236" t="str">
            <v>Amazon Prime Ad-Supported($14.99/month)/
Prime Video Ad-Free ($8.99/month)</v>
          </cell>
          <cell r="AL236" t="str">
            <v>Fubo</v>
          </cell>
          <cell r="AM236" t="str">
            <v>vMVPD</v>
          </cell>
          <cell r="AN236" t="str">
            <v>Streaming</v>
          </cell>
          <cell r="AO236" t="str">
            <v>Gen Pop</v>
          </cell>
          <cell r="AP236" t="str">
            <v>1.477M</v>
          </cell>
          <cell r="AQ236" t="str">
            <v>USD</v>
          </cell>
          <cell r="AR236" t="str">
            <v>Elite ($83.99)</v>
          </cell>
          <cell r="AS236" t="str">
            <v>Pro ($73.99)</v>
          </cell>
          <cell r="AT236" t="str">
            <v>DirecTV Stream</v>
          </cell>
          <cell r="AU236" t="str">
            <v>vMVPD</v>
          </cell>
          <cell r="AV236" t="str">
            <v>Streaming</v>
          </cell>
          <cell r="AW236" t="str">
            <v>Gen Pop</v>
          </cell>
          <cell r="AX236" t="str">
            <v>~2M subs (per reports, exact 
metrics are not disclosed)</v>
          </cell>
          <cell r="AY236" t="str">
            <v>USD</v>
          </cell>
          <cell r="AZ236" t="str">
            <v>Ultimate ($124.99)</v>
          </cell>
          <cell r="BA236" t="str">
            <v xml:space="preserve">Choice ($94.99) </v>
          </cell>
        </row>
        <row r="237">
          <cell r="B237" t="str">
            <v>Uruguay</v>
          </cell>
          <cell r="C237" t="str">
            <v>Latin America</v>
          </cell>
          <cell r="D237" t="str">
            <v/>
          </cell>
          <cell r="E237" t="str">
            <v/>
          </cell>
        </row>
        <row r="238">
          <cell r="B238" t="str">
            <v>Uzbekistan</v>
          </cell>
          <cell r="C238" t="str">
            <v>Asia</v>
          </cell>
          <cell r="D238" t="str">
            <v/>
          </cell>
          <cell r="E238" t="str">
            <v/>
          </cell>
        </row>
        <row r="239">
          <cell r="B239" t="str">
            <v>Vanuatu</v>
          </cell>
          <cell r="C239" t="str">
            <v>Asia</v>
          </cell>
          <cell r="D239" t="str">
            <v/>
          </cell>
          <cell r="E239" t="str">
            <v/>
          </cell>
        </row>
        <row r="240">
          <cell r="B240" t="str">
            <v>Vatican City State</v>
          </cell>
          <cell r="C240" t="str">
            <v>Europe</v>
          </cell>
          <cell r="D240" t="str">
            <v/>
          </cell>
          <cell r="E240" t="str">
            <v/>
          </cell>
        </row>
        <row r="241">
          <cell r="B241" t="str">
            <v>Venezuela</v>
          </cell>
          <cell r="C241" t="str">
            <v>Latin America</v>
          </cell>
          <cell r="D241" t="str">
            <v/>
          </cell>
          <cell r="E241" t="str">
            <v/>
          </cell>
        </row>
        <row r="242">
          <cell r="B242" t="str">
            <v>Vietnam</v>
          </cell>
          <cell r="C242" t="str">
            <v>Asia</v>
          </cell>
          <cell r="D242" t="str">
            <v/>
          </cell>
          <cell r="E242" t="str">
            <v/>
          </cell>
        </row>
        <row r="243">
          <cell r="B243" t="str">
            <v>Wallis And Futuna</v>
          </cell>
          <cell r="C243" t="str">
            <v>Asia</v>
          </cell>
          <cell r="D243" t="str">
            <v/>
          </cell>
          <cell r="E243" t="str">
            <v/>
          </cell>
        </row>
        <row r="244">
          <cell r="B244" t="str">
            <v>Western Sahara</v>
          </cell>
          <cell r="C244" t="str">
            <v>Africa</v>
          </cell>
          <cell r="D244" t="str">
            <v/>
          </cell>
          <cell r="E244" t="str">
            <v/>
          </cell>
        </row>
        <row r="245">
          <cell r="B245" t="str">
            <v>Yemen</v>
          </cell>
          <cell r="C245" t="str">
            <v>Middle East</v>
          </cell>
          <cell r="D245" t="str">
            <v/>
          </cell>
          <cell r="E245" t="str">
            <v/>
          </cell>
        </row>
        <row r="246">
          <cell r="B246" t="str">
            <v>Zambia</v>
          </cell>
          <cell r="C246" t="str">
            <v>Africa</v>
          </cell>
          <cell r="D246" t="str">
            <v/>
          </cell>
          <cell r="E246" t="str">
            <v/>
          </cell>
        </row>
        <row r="247">
          <cell r="B247" t="str">
            <v>Zimbabwe</v>
          </cell>
          <cell r="C247" t="str">
            <v>Africa</v>
          </cell>
          <cell r="E247" t="e">
            <v>#N/A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Inputs -&gt;"/>
      <sheetName val="Pricing Scenario - Maintain"/>
      <sheetName val="Subscription Method - Expand"/>
      <sheetName val="DOM SKU &amp; Platform Avail."/>
      <sheetName val="INTL SKU &amp; Platform Avail."/>
      <sheetName val="DOM Pricing"/>
      <sheetName val="INTL Web Pricing -&gt;"/>
      <sheetName val="vs. FY22 SoS -&gt;"/>
      <sheetName val="Scenario - Maintain"/>
      <sheetName val="Subscriptions"/>
      <sheetName val="Single Game REFERENCE"/>
      <sheetName val="Single Game"/>
      <sheetName val="Commercial"/>
      <sheetName val="Other Platform Pricing -&gt;"/>
      <sheetName val="Apple"/>
      <sheetName val="Apple Tiers for Single Games"/>
      <sheetName val="Google"/>
      <sheetName val="Amazon"/>
      <sheetName val="Roku"/>
      <sheetName val="Internal Only -&gt;"/>
      <sheetName val="Free Trial Details"/>
      <sheetName val="Post-Purchase Upgrade&amp;Downgrade"/>
      <sheetName val="Post-Purchase Change Details"/>
      <sheetName val="Markets Not Selling LP"/>
      <sheetName val="Country &amp; Code Abbreviation"/>
      <sheetName val="FX Rates"/>
      <sheetName val="Platform Avail by Country"/>
      <sheetName val="Platform Sales Avail by Country"/>
      <sheetName val="Notes"/>
    </sheetNames>
    <sheetDataSet>
      <sheetData sheetId="0"/>
      <sheetData sheetId="1"/>
      <sheetData sheetId="2">
        <row r="4">
          <cell r="B4" t="str">
            <v>Afghanistan</v>
          </cell>
          <cell r="C4" t="str">
            <v>Asia</v>
          </cell>
          <cell r="D4" t="str">
            <v>N</v>
          </cell>
          <cell r="E4">
            <v>592</v>
          </cell>
          <cell r="F4" t="str">
            <v>USD</v>
          </cell>
          <cell r="G4" t="str">
            <v>Y</v>
          </cell>
          <cell r="H4">
            <v>7.99</v>
          </cell>
          <cell r="I4">
            <v>9.99</v>
          </cell>
          <cell r="J4">
            <v>11.99</v>
          </cell>
          <cell r="K4" t="str">
            <v>NA</v>
          </cell>
          <cell r="L4" t="str">
            <v>Negligible</v>
          </cell>
          <cell r="M4">
            <v>99</v>
          </cell>
          <cell r="Q4">
            <v>0.53731343283582089</v>
          </cell>
          <cell r="R4">
            <v>0.46268656716417911</v>
          </cell>
          <cell r="S4" t="str">
            <v>BAU</v>
          </cell>
          <cell r="T4" t="str">
            <v>BAU</v>
          </cell>
          <cell r="U4" t="str">
            <v>BAU</v>
          </cell>
          <cell r="V4" t="str">
            <v>NA</v>
          </cell>
          <cell r="W4" t="str">
            <v>USD</v>
          </cell>
          <cell r="X4" t="str">
            <v>BAU</v>
          </cell>
          <cell r="Y4">
            <v>10.99</v>
          </cell>
          <cell r="Z4">
            <v>32.99</v>
          </cell>
          <cell r="AA4" t="str">
            <v/>
          </cell>
          <cell r="AB4" t="str">
            <v/>
          </cell>
          <cell r="AC4">
            <v>4.99</v>
          </cell>
          <cell r="AD4">
            <v>14.99</v>
          </cell>
          <cell r="AE4" t="str">
            <v>USD</v>
          </cell>
          <cell r="AF4"/>
          <cell r="AG4">
            <v>7</v>
          </cell>
          <cell r="AH4">
            <v>10.99</v>
          </cell>
          <cell r="AI4">
            <v>76.989999999999995</v>
          </cell>
          <cell r="AJ4" t="str">
            <v/>
          </cell>
          <cell r="AK4" t="str">
            <v/>
          </cell>
          <cell r="AL4">
            <v>4.99</v>
          </cell>
          <cell r="AM4">
            <v>34.99</v>
          </cell>
        </row>
        <row r="5">
          <cell r="B5" t="str">
            <v>Aland Islands</v>
          </cell>
          <cell r="C5" t="str">
            <v>Europe</v>
          </cell>
          <cell r="D5" t="str">
            <v>N</v>
          </cell>
          <cell r="E5" t="str">
            <v>NA</v>
          </cell>
          <cell r="F5" t="str">
            <v>EUR</v>
          </cell>
          <cell r="G5" t="str">
            <v>Y</v>
          </cell>
          <cell r="H5">
            <v>7.99</v>
          </cell>
          <cell r="I5">
            <v>11.99</v>
          </cell>
          <cell r="J5">
            <v>15.99</v>
          </cell>
          <cell r="K5" t="str">
            <v>NA</v>
          </cell>
          <cell r="L5" t="str">
            <v>Negligible</v>
          </cell>
          <cell r="M5">
            <v>5</v>
          </cell>
          <cell r="Q5">
            <v>0.6</v>
          </cell>
          <cell r="R5">
            <v>0.4</v>
          </cell>
          <cell r="S5" t="str">
            <v>BAU</v>
          </cell>
          <cell r="T5" t="str">
            <v>BAU</v>
          </cell>
          <cell r="U5" t="str">
            <v>BAU</v>
          </cell>
          <cell r="V5" t="str">
            <v>Portugal</v>
          </cell>
          <cell r="W5" t="str">
            <v>EUR</v>
          </cell>
          <cell r="X5" t="str">
            <v>BAU</v>
          </cell>
          <cell r="Y5">
            <v>24.99</v>
          </cell>
          <cell r="Z5">
            <v>74.989999999999995</v>
          </cell>
          <cell r="AA5">
            <v>27.99</v>
          </cell>
          <cell r="AB5">
            <v>84.99</v>
          </cell>
          <cell r="AC5">
            <v>14.99</v>
          </cell>
          <cell r="AD5">
            <v>44.99</v>
          </cell>
          <cell r="AE5" t="str">
            <v>EUR</v>
          </cell>
          <cell r="AF5"/>
          <cell r="AG5">
            <v>7</v>
          </cell>
          <cell r="AH5">
            <v>24.99</v>
          </cell>
          <cell r="AI5">
            <v>174.99</v>
          </cell>
          <cell r="AJ5">
            <v>27.99</v>
          </cell>
          <cell r="AK5">
            <v>195.99</v>
          </cell>
          <cell r="AL5">
            <v>14.99</v>
          </cell>
          <cell r="AM5">
            <v>104.99</v>
          </cell>
        </row>
        <row r="6">
          <cell r="B6" t="str">
            <v>Albania</v>
          </cell>
          <cell r="C6" t="str">
            <v>Europe</v>
          </cell>
          <cell r="D6" t="str">
            <v>N</v>
          </cell>
          <cell r="E6">
            <v>5837</v>
          </cell>
          <cell r="F6" t="str">
            <v>EUR</v>
          </cell>
          <cell r="G6" t="str">
            <v>N</v>
          </cell>
          <cell r="H6">
            <v>7.99</v>
          </cell>
          <cell r="I6">
            <v>9.99</v>
          </cell>
          <cell r="J6">
            <v>11.99</v>
          </cell>
          <cell r="K6" t="str">
            <v>NA</v>
          </cell>
          <cell r="L6" t="str">
            <v>Negligible</v>
          </cell>
          <cell r="M6">
            <v>102</v>
          </cell>
          <cell r="Q6">
            <v>0.75438596491228072</v>
          </cell>
          <cell r="R6">
            <v>0.24561403508771928</v>
          </cell>
          <cell r="S6" t="str">
            <v>BAU</v>
          </cell>
          <cell r="T6" t="str">
            <v>BAU</v>
          </cell>
          <cell r="U6" t="str">
            <v>BAU</v>
          </cell>
          <cell r="V6" t="str">
            <v>Bosnia And Herzegovina</v>
          </cell>
          <cell r="W6" t="str">
            <v>ALL</v>
          </cell>
          <cell r="X6" t="str">
            <v>BAU</v>
          </cell>
          <cell r="Y6">
            <v>1499.99</v>
          </cell>
          <cell r="Z6">
            <v>4499.99</v>
          </cell>
          <cell r="AA6" t="str">
            <v/>
          </cell>
          <cell r="AB6" t="str">
            <v/>
          </cell>
          <cell r="AC6">
            <v>969.99</v>
          </cell>
          <cell r="AD6">
            <v>2909.99</v>
          </cell>
          <cell r="AE6" t="str">
            <v>ALL</v>
          </cell>
          <cell r="AF6"/>
          <cell r="AG6">
            <v>7</v>
          </cell>
          <cell r="AH6">
            <v>1499.99</v>
          </cell>
          <cell r="AI6">
            <v>10499.99</v>
          </cell>
          <cell r="AJ6" t="str">
            <v/>
          </cell>
          <cell r="AK6" t="str">
            <v/>
          </cell>
          <cell r="AL6">
            <v>969.99</v>
          </cell>
          <cell r="AM6">
            <v>6789.99</v>
          </cell>
        </row>
        <row r="7">
          <cell r="B7" t="str">
            <v>Algeria</v>
          </cell>
          <cell r="C7" t="str">
            <v>Africa</v>
          </cell>
          <cell r="D7" t="str">
            <v>N</v>
          </cell>
          <cell r="E7">
            <v>3638</v>
          </cell>
          <cell r="F7" t="str">
            <v>USD</v>
          </cell>
          <cell r="G7" t="str">
            <v>N</v>
          </cell>
          <cell r="H7">
            <v>7.99</v>
          </cell>
          <cell r="I7">
            <v>9.99</v>
          </cell>
          <cell r="J7">
            <v>11.99</v>
          </cell>
          <cell r="K7" t="str">
            <v>NA</v>
          </cell>
          <cell r="L7">
            <v>0.16017316017316019</v>
          </cell>
          <cell r="M7">
            <v>282</v>
          </cell>
          <cell r="Q7">
            <v>0.9242424242424242</v>
          </cell>
          <cell r="R7">
            <v>7.575757575757576E-2</v>
          </cell>
          <cell r="S7" t="str">
            <v>BAU</v>
          </cell>
          <cell r="T7" t="str">
            <v>BAU</v>
          </cell>
          <cell r="U7" t="str">
            <v>BAU</v>
          </cell>
          <cell r="V7" t="str">
            <v>NA</v>
          </cell>
          <cell r="W7" t="str">
            <v>DZD</v>
          </cell>
          <cell r="X7" t="str">
            <v>BAU</v>
          </cell>
          <cell r="Y7">
            <v>1299.99</v>
          </cell>
          <cell r="Z7">
            <v>3899.99</v>
          </cell>
          <cell r="AA7" t="str">
            <v/>
          </cell>
          <cell r="AB7" t="str">
            <v/>
          </cell>
          <cell r="AC7">
            <v>599.99</v>
          </cell>
          <cell r="AD7">
            <v>1799.99</v>
          </cell>
          <cell r="AE7" t="str">
            <v>DZD</v>
          </cell>
          <cell r="AF7"/>
          <cell r="AG7">
            <v>7</v>
          </cell>
          <cell r="AH7">
            <v>1299.99</v>
          </cell>
          <cell r="AI7">
            <v>9099.99</v>
          </cell>
          <cell r="AJ7" t="str">
            <v/>
          </cell>
          <cell r="AK7" t="str">
            <v/>
          </cell>
          <cell r="AL7">
            <v>599.99</v>
          </cell>
          <cell r="AM7">
            <v>4199.99</v>
          </cell>
        </row>
        <row r="8">
          <cell r="B8" t="str">
            <v>American Samoa</v>
          </cell>
          <cell r="C8" t="str">
            <v>Asia</v>
          </cell>
          <cell r="D8" t="str">
            <v>N</v>
          </cell>
          <cell r="E8">
            <v>12845</v>
          </cell>
          <cell r="F8" t="str">
            <v>USD</v>
          </cell>
          <cell r="G8" t="str">
            <v>Y</v>
          </cell>
          <cell r="H8">
            <v>8.99</v>
          </cell>
          <cell r="I8">
            <v>13.99</v>
          </cell>
          <cell r="J8">
            <v>17.989999999999998</v>
          </cell>
          <cell r="K8" t="str">
            <v>NA</v>
          </cell>
          <cell r="L8" t="str">
            <v>Negligible</v>
          </cell>
          <cell r="M8">
            <v>15</v>
          </cell>
          <cell r="Q8">
            <v>0.46666666666666667</v>
          </cell>
          <cell r="R8">
            <v>0.53333333333333333</v>
          </cell>
          <cell r="S8" t="str">
            <v>BAU</v>
          </cell>
          <cell r="T8" t="str">
            <v>BAU</v>
          </cell>
          <cell r="U8" t="str">
            <v>BAU</v>
          </cell>
          <cell r="V8" t="str">
            <v>France</v>
          </cell>
          <cell r="W8" t="str">
            <v>USD</v>
          </cell>
          <cell r="X8" t="str">
            <v>BAU</v>
          </cell>
          <cell r="Y8">
            <v>13.99</v>
          </cell>
          <cell r="Z8">
            <v>39.99</v>
          </cell>
          <cell r="AA8" t="str">
            <v/>
          </cell>
          <cell r="AB8" t="str">
            <v/>
          </cell>
          <cell r="AC8">
            <v>8.99</v>
          </cell>
          <cell r="AD8">
            <v>26.99</v>
          </cell>
          <cell r="AE8" t="str">
            <v>USD</v>
          </cell>
          <cell r="AF8"/>
          <cell r="AG8">
            <v>7</v>
          </cell>
          <cell r="AH8">
            <v>13.99</v>
          </cell>
          <cell r="AI8">
            <v>97.99</v>
          </cell>
          <cell r="AJ8" t="str">
            <v/>
          </cell>
          <cell r="AK8" t="str">
            <v/>
          </cell>
          <cell r="AL8">
            <v>8.99</v>
          </cell>
          <cell r="AM8">
            <v>62.99</v>
          </cell>
        </row>
        <row r="9">
          <cell r="B9" t="str">
            <v>Andorra</v>
          </cell>
          <cell r="C9" t="str">
            <v>Europe</v>
          </cell>
          <cell r="D9" t="str">
            <v>N</v>
          </cell>
          <cell r="E9">
            <v>40417</v>
          </cell>
          <cell r="F9" t="str">
            <v>EUR</v>
          </cell>
          <cell r="G9" t="str">
            <v>Y</v>
          </cell>
          <cell r="H9">
            <v>7.99</v>
          </cell>
          <cell r="I9">
            <v>12.99</v>
          </cell>
          <cell r="J9">
            <v>17.989999999999998</v>
          </cell>
          <cell r="K9" t="str">
            <v>NA</v>
          </cell>
          <cell r="L9" t="str">
            <v>Negligible</v>
          </cell>
          <cell r="M9">
            <v>47</v>
          </cell>
          <cell r="Q9">
            <v>0.6607142857142857</v>
          </cell>
          <cell r="R9">
            <v>0.3392857142857143</v>
          </cell>
          <cell r="S9" t="str">
            <v>BAU</v>
          </cell>
          <cell r="T9" t="str">
            <v>BAU</v>
          </cell>
          <cell r="U9" t="str">
            <v>BAU</v>
          </cell>
          <cell r="V9" t="str">
            <v>Italy</v>
          </cell>
          <cell r="W9" t="str">
            <v>EUR</v>
          </cell>
          <cell r="X9" t="str">
            <v>BAU</v>
          </cell>
          <cell r="Y9">
            <v>19.989999999999998</v>
          </cell>
          <cell r="Z9">
            <v>59.99</v>
          </cell>
          <cell r="AA9">
            <v>22.99</v>
          </cell>
          <cell r="AB9">
            <v>69.989999999999995</v>
          </cell>
          <cell r="AC9">
            <v>10.99</v>
          </cell>
          <cell r="AD9">
            <v>32.99</v>
          </cell>
          <cell r="AE9" t="str">
            <v>EUR</v>
          </cell>
          <cell r="AF9"/>
          <cell r="AG9">
            <v>7</v>
          </cell>
          <cell r="AH9">
            <v>19.989999999999998</v>
          </cell>
          <cell r="AI9">
            <v>139.99</v>
          </cell>
          <cell r="AJ9">
            <v>22.99</v>
          </cell>
          <cell r="AK9">
            <v>160.99</v>
          </cell>
          <cell r="AL9">
            <v>10.99</v>
          </cell>
          <cell r="AM9">
            <v>76.989999999999995</v>
          </cell>
        </row>
        <row r="10">
          <cell r="B10" t="str">
            <v>Angola</v>
          </cell>
          <cell r="C10" t="str">
            <v>Africa</v>
          </cell>
          <cell r="D10" t="str">
            <v>N</v>
          </cell>
          <cell r="E10">
            <v>2201</v>
          </cell>
          <cell r="F10" t="str">
            <v>USD</v>
          </cell>
          <cell r="G10" t="str">
            <v>Y</v>
          </cell>
          <cell r="H10">
            <v>7.99</v>
          </cell>
          <cell r="I10">
            <v>9.99</v>
          </cell>
          <cell r="J10">
            <v>11.99</v>
          </cell>
          <cell r="K10" t="str">
            <v>NA</v>
          </cell>
          <cell r="L10">
            <v>2.4875621890547261E-2</v>
          </cell>
          <cell r="M10">
            <v>247</v>
          </cell>
          <cell r="Q10">
            <v>0.66423357664233573</v>
          </cell>
          <cell r="R10">
            <v>0.33576642335766421</v>
          </cell>
          <cell r="S10" t="str">
            <v>BAU</v>
          </cell>
          <cell r="T10" t="str">
            <v>BAU</v>
          </cell>
          <cell r="U10" t="str">
            <v>BAU</v>
          </cell>
          <cell r="V10" t="str">
            <v>NA</v>
          </cell>
          <cell r="W10" t="str">
            <v>USD</v>
          </cell>
          <cell r="X10" t="str">
            <v>BAU</v>
          </cell>
          <cell r="Y10">
            <v>10.99</v>
          </cell>
          <cell r="Z10">
            <v>32.99</v>
          </cell>
          <cell r="AA10" t="str">
            <v/>
          </cell>
          <cell r="AB10" t="str">
            <v/>
          </cell>
          <cell r="AC10">
            <v>4.99</v>
          </cell>
          <cell r="AD10">
            <v>14.99</v>
          </cell>
          <cell r="AE10" t="str">
            <v>USD</v>
          </cell>
          <cell r="AF10"/>
          <cell r="AG10">
            <v>7</v>
          </cell>
          <cell r="AH10">
            <v>10.99</v>
          </cell>
          <cell r="AI10">
            <v>76.989999999999995</v>
          </cell>
          <cell r="AJ10" t="str">
            <v/>
          </cell>
          <cell r="AK10" t="str">
            <v/>
          </cell>
          <cell r="AL10">
            <v>4.99</v>
          </cell>
          <cell r="AM10">
            <v>34.99</v>
          </cell>
        </row>
        <row r="11">
          <cell r="B11" t="str">
            <v>Anguilla</v>
          </cell>
          <cell r="C11" t="str">
            <v>Latin America</v>
          </cell>
          <cell r="D11" t="str">
            <v>N</v>
          </cell>
          <cell r="E11">
            <v>2020</v>
          </cell>
          <cell r="F11" t="str">
            <v>USD</v>
          </cell>
          <cell r="G11" t="str">
            <v>N</v>
          </cell>
          <cell r="H11">
            <v>8.99</v>
          </cell>
          <cell r="I11">
            <v>12.99</v>
          </cell>
          <cell r="J11">
            <v>15.99</v>
          </cell>
          <cell r="K11" t="str">
            <v>NA</v>
          </cell>
          <cell r="L11" t="str">
            <v>Negligible</v>
          </cell>
          <cell r="M11">
            <v>67</v>
          </cell>
          <cell r="Q11">
            <v>0.53968253968253965</v>
          </cell>
          <cell r="R11">
            <v>0.46031746031746029</v>
          </cell>
          <cell r="S11" t="str">
            <v>BAU</v>
          </cell>
          <cell r="T11" t="str">
            <v>BAU</v>
          </cell>
          <cell r="U11" t="str">
            <v>BAU</v>
          </cell>
          <cell r="V11" t="str">
            <v>Cayman Islands</v>
          </cell>
          <cell r="W11" t="str">
            <v>XCD</v>
          </cell>
          <cell r="X11" t="str">
            <v>BAU</v>
          </cell>
          <cell r="Y11">
            <v>37.99</v>
          </cell>
          <cell r="Z11">
            <v>114.99</v>
          </cell>
          <cell r="AA11" t="str">
            <v/>
          </cell>
          <cell r="AB11" t="str">
            <v/>
          </cell>
          <cell r="AC11">
            <v>23.99</v>
          </cell>
          <cell r="AD11">
            <v>71.989999999999995</v>
          </cell>
          <cell r="AE11" t="str">
            <v>XCD</v>
          </cell>
          <cell r="AF11"/>
          <cell r="AG11">
            <v>7</v>
          </cell>
          <cell r="AH11">
            <v>37.99</v>
          </cell>
          <cell r="AI11">
            <v>265.99</v>
          </cell>
          <cell r="AJ11" t="str">
            <v/>
          </cell>
          <cell r="AK11" t="str">
            <v/>
          </cell>
          <cell r="AL11">
            <v>23.99</v>
          </cell>
          <cell r="AM11">
            <v>167.99</v>
          </cell>
        </row>
        <row r="12">
          <cell r="B12" t="str">
            <v>Antarctica</v>
          </cell>
          <cell r="C12" t="str">
            <v>Europe</v>
          </cell>
          <cell r="D12" t="str">
            <v>N</v>
          </cell>
          <cell r="E12" t="str">
            <v>NA</v>
          </cell>
          <cell r="F12" t="str">
            <v>EUR</v>
          </cell>
          <cell r="G12" t="str">
            <v>N</v>
          </cell>
          <cell r="H12">
            <v>7.99</v>
          </cell>
          <cell r="I12">
            <v>12.99</v>
          </cell>
          <cell r="J12">
            <v>17.989999999999998</v>
          </cell>
          <cell r="K12" t="str">
            <v>NA</v>
          </cell>
          <cell r="L12" t="str">
            <v>NA</v>
          </cell>
          <cell r="M12" t="str">
            <v>NA</v>
          </cell>
          <cell r="Q12" t="str">
            <v>NA</v>
          </cell>
          <cell r="R12" t="str">
            <v>NA</v>
          </cell>
          <cell r="S12" t="str">
            <v>BAU</v>
          </cell>
          <cell r="T12" t="str">
            <v>BAU</v>
          </cell>
          <cell r="U12" t="str">
            <v>BAU</v>
          </cell>
          <cell r="V12" t="str">
            <v>Spain</v>
          </cell>
          <cell r="W12" t="str">
            <v>USD</v>
          </cell>
          <cell r="X12" t="str">
            <v>BAU</v>
          </cell>
          <cell r="Y12">
            <v>27.99</v>
          </cell>
          <cell r="Z12">
            <v>84.99</v>
          </cell>
          <cell r="AA12">
            <v>31.99</v>
          </cell>
          <cell r="AB12">
            <v>94.99</v>
          </cell>
          <cell r="AC12">
            <v>16.989999999999998</v>
          </cell>
          <cell r="AD12">
            <v>49.99</v>
          </cell>
          <cell r="AE12" t="str">
            <v>USD</v>
          </cell>
          <cell r="AF12"/>
          <cell r="AG12">
            <v>7</v>
          </cell>
          <cell r="AH12">
            <v>27.99</v>
          </cell>
          <cell r="AI12">
            <v>195.99</v>
          </cell>
          <cell r="AJ12">
            <v>31.99</v>
          </cell>
          <cell r="AK12">
            <v>223.99</v>
          </cell>
          <cell r="AL12">
            <v>16.989999999999998</v>
          </cell>
          <cell r="AM12">
            <v>118.99</v>
          </cell>
        </row>
        <row r="13">
          <cell r="B13" t="str">
            <v>Antigua And Barbuda</v>
          </cell>
          <cell r="C13" t="str">
            <v>Latin America</v>
          </cell>
          <cell r="D13" t="str">
            <v>N</v>
          </cell>
          <cell r="E13">
            <v>14118</v>
          </cell>
          <cell r="F13" t="str">
            <v>USD</v>
          </cell>
          <cell r="G13" t="str">
            <v>N</v>
          </cell>
          <cell r="H13">
            <v>8.99</v>
          </cell>
          <cell r="I13">
            <v>12.99</v>
          </cell>
          <cell r="J13">
            <v>15.99</v>
          </cell>
          <cell r="K13" t="str">
            <v>NA</v>
          </cell>
          <cell r="L13" t="str">
            <v>Negligible</v>
          </cell>
          <cell r="M13">
            <v>105</v>
          </cell>
          <cell r="Q13">
            <v>0.58490566037735847</v>
          </cell>
          <cell r="R13">
            <v>0.41509433962264153</v>
          </cell>
          <cell r="S13" t="str">
            <v>BAU</v>
          </cell>
          <cell r="T13" t="str">
            <v>BAU</v>
          </cell>
          <cell r="U13" t="str">
            <v>BAU</v>
          </cell>
          <cell r="V13" t="str">
            <v>Panama</v>
          </cell>
          <cell r="W13" t="str">
            <v>XCD</v>
          </cell>
          <cell r="X13" t="str">
            <v>BAU</v>
          </cell>
          <cell r="Y13">
            <v>37.99</v>
          </cell>
          <cell r="Z13">
            <v>114.99</v>
          </cell>
          <cell r="AA13" t="str">
            <v/>
          </cell>
          <cell r="AB13" t="str">
            <v/>
          </cell>
          <cell r="AC13">
            <v>23.99</v>
          </cell>
          <cell r="AD13">
            <v>71.989999999999995</v>
          </cell>
          <cell r="AE13" t="str">
            <v>XCD</v>
          </cell>
          <cell r="AF13"/>
          <cell r="AG13">
            <v>7</v>
          </cell>
          <cell r="AH13">
            <v>37.99</v>
          </cell>
          <cell r="AI13">
            <v>265.99</v>
          </cell>
          <cell r="AJ13" t="str">
            <v/>
          </cell>
          <cell r="AK13" t="str">
            <v/>
          </cell>
          <cell r="AL13">
            <v>23.99</v>
          </cell>
          <cell r="AM13">
            <v>167.99</v>
          </cell>
        </row>
        <row r="14">
          <cell r="B14" t="str">
            <v>Argentina</v>
          </cell>
          <cell r="C14" t="str">
            <v>Latin America</v>
          </cell>
          <cell r="D14" t="str">
            <v>Y</v>
          </cell>
          <cell r="E14">
            <v>9929</v>
          </cell>
          <cell r="F14" t="str">
            <v>ARS</v>
          </cell>
          <cell r="G14" t="str">
            <v>Y</v>
          </cell>
          <cell r="H14">
            <v>379</v>
          </cell>
          <cell r="I14">
            <v>639</v>
          </cell>
          <cell r="J14">
            <v>939</v>
          </cell>
          <cell r="K14">
            <v>2.7807741686388072E-2</v>
          </cell>
          <cell r="L14">
            <v>0.42849480388870265</v>
          </cell>
          <cell r="M14">
            <v>23328</v>
          </cell>
          <cell r="Q14">
            <v>0.68214484953893606</v>
          </cell>
          <cell r="R14">
            <v>0.31785515046106388</v>
          </cell>
          <cell r="S14" t="str">
            <v>BAU</v>
          </cell>
          <cell r="T14" t="str">
            <v>BAU</v>
          </cell>
          <cell r="U14" t="str">
            <v>BAU</v>
          </cell>
          <cell r="V14" t="str">
            <v>NA</v>
          </cell>
          <cell r="W14" t="str">
            <v>ARS</v>
          </cell>
          <cell r="X14" t="str">
            <v>BAU</v>
          </cell>
          <cell r="Y14">
            <v>479.99</v>
          </cell>
          <cell r="Z14">
            <v>1439.99</v>
          </cell>
          <cell r="AA14">
            <v>579.99</v>
          </cell>
          <cell r="AB14">
            <v>1739.99</v>
          </cell>
          <cell r="AC14">
            <v>219.99</v>
          </cell>
          <cell r="AD14">
            <v>659.99</v>
          </cell>
          <cell r="AE14" t="str">
            <v>ARS</v>
          </cell>
          <cell r="AF14"/>
          <cell r="AG14">
            <v>7</v>
          </cell>
          <cell r="AH14">
            <v>479.99</v>
          </cell>
          <cell r="AI14">
            <v>3359.99</v>
          </cell>
          <cell r="AJ14">
            <v>579.99</v>
          </cell>
          <cell r="AK14">
            <v>4059.99</v>
          </cell>
          <cell r="AL14">
            <v>219.99</v>
          </cell>
          <cell r="AM14">
            <v>1539.99</v>
          </cell>
        </row>
        <row r="15">
          <cell r="B15" t="str">
            <v>Armenia</v>
          </cell>
          <cell r="C15" t="str">
            <v>Middle East</v>
          </cell>
          <cell r="D15" t="str">
            <v>N</v>
          </cell>
          <cell r="E15">
            <v>4595</v>
          </cell>
          <cell r="F15" t="str">
            <v>EUR</v>
          </cell>
          <cell r="G15" t="str">
            <v>N</v>
          </cell>
          <cell r="H15">
            <v>7.99</v>
          </cell>
          <cell r="I15">
            <v>9.99</v>
          </cell>
          <cell r="J15">
            <v>11.99</v>
          </cell>
          <cell r="K15" t="str">
            <v>NA</v>
          </cell>
          <cell r="L15" t="str">
            <v>Negligible</v>
          </cell>
          <cell r="M15">
            <v>44</v>
          </cell>
          <cell r="Q15">
            <v>0.4838709677419355</v>
          </cell>
          <cell r="R15">
            <v>0.5161290322580645</v>
          </cell>
          <cell r="S15" t="str">
            <v>BAU</v>
          </cell>
          <cell r="T15" t="str">
            <v>BAU</v>
          </cell>
          <cell r="U15" t="str">
            <v>BAU</v>
          </cell>
          <cell r="V15" t="str">
            <v>Jordan</v>
          </cell>
          <cell r="W15" t="str">
            <v>AMD</v>
          </cell>
          <cell r="X15" t="str">
            <v>BAU</v>
          </cell>
          <cell r="Y15">
            <v>6699.99</v>
          </cell>
          <cell r="Z15">
            <v>20099.990000000002</v>
          </cell>
          <cell r="AA15" t="str">
            <v/>
          </cell>
          <cell r="AB15" t="str">
            <v/>
          </cell>
          <cell r="AC15">
            <v>4299.99</v>
          </cell>
          <cell r="AD15">
            <v>12899.99</v>
          </cell>
          <cell r="AE15" t="str">
            <v>AMD</v>
          </cell>
          <cell r="AF15"/>
          <cell r="AG15">
            <v>7</v>
          </cell>
          <cell r="AH15">
            <v>6699.99</v>
          </cell>
          <cell r="AI15">
            <v>46899.99</v>
          </cell>
          <cell r="AJ15" t="str">
            <v/>
          </cell>
          <cell r="AK15" t="str">
            <v/>
          </cell>
          <cell r="AL15">
            <v>4299.99</v>
          </cell>
          <cell r="AM15">
            <v>30099.99</v>
          </cell>
        </row>
        <row r="16">
          <cell r="B16" t="str">
            <v>Aruba</v>
          </cell>
          <cell r="C16" t="str">
            <v>Latin America</v>
          </cell>
          <cell r="D16" t="str">
            <v>N</v>
          </cell>
          <cell r="E16">
            <v>25701</v>
          </cell>
          <cell r="F16" t="str">
            <v>USD</v>
          </cell>
          <cell r="G16" t="str">
            <v>N</v>
          </cell>
          <cell r="H16">
            <v>8.99</v>
          </cell>
          <cell r="I16">
            <v>12.99</v>
          </cell>
          <cell r="J16">
            <v>15.99</v>
          </cell>
          <cell r="K16" t="str">
            <v>NA</v>
          </cell>
          <cell r="L16" t="str">
            <v>Negligible</v>
          </cell>
          <cell r="M16">
            <v>114</v>
          </cell>
          <cell r="Q16">
            <v>0.69565217391304346</v>
          </cell>
          <cell r="R16">
            <v>0.30434782608695654</v>
          </cell>
          <cell r="S16" t="str">
            <v>BAU</v>
          </cell>
          <cell r="T16" t="str">
            <v>BAU</v>
          </cell>
          <cell r="U16" t="str">
            <v>BAU</v>
          </cell>
          <cell r="V16" t="str">
            <v>Bahamas</v>
          </cell>
          <cell r="W16" t="str">
            <v>AWG</v>
          </cell>
          <cell r="X16" t="str">
            <v>BAU</v>
          </cell>
          <cell r="Y16">
            <v>24.99</v>
          </cell>
          <cell r="Z16">
            <v>74.989999999999995</v>
          </cell>
          <cell r="AA16" t="str">
            <v/>
          </cell>
          <cell r="AB16" t="str">
            <v/>
          </cell>
          <cell r="AC16">
            <v>15.99</v>
          </cell>
          <cell r="AD16">
            <v>47.99</v>
          </cell>
          <cell r="AE16" t="str">
            <v>AWG</v>
          </cell>
          <cell r="AF16"/>
          <cell r="AG16">
            <v>7</v>
          </cell>
          <cell r="AH16">
            <v>24.99</v>
          </cell>
          <cell r="AI16">
            <v>174.99</v>
          </cell>
          <cell r="AJ16" t="str">
            <v/>
          </cell>
          <cell r="AK16" t="str">
            <v/>
          </cell>
          <cell r="AL16">
            <v>15.99</v>
          </cell>
          <cell r="AM16">
            <v>111.99</v>
          </cell>
        </row>
        <row r="17">
          <cell r="B17" t="str">
            <v>Australia</v>
          </cell>
          <cell r="C17" t="str">
            <v>Asia</v>
          </cell>
          <cell r="D17" t="str">
            <v>Y</v>
          </cell>
          <cell r="E17">
            <v>62619</v>
          </cell>
          <cell r="F17" t="str">
            <v>AUD</v>
          </cell>
          <cell r="G17" t="str">
            <v>Y</v>
          </cell>
          <cell r="H17">
            <v>10.99</v>
          </cell>
          <cell r="I17">
            <v>16.989999999999998</v>
          </cell>
          <cell r="J17">
            <v>22.99</v>
          </cell>
          <cell r="K17">
            <v>2.8729079754310861E-2</v>
          </cell>
          <cell r="L17">
            <v>0.1589580010632643</v>
          </cell>
          <cell r="M17">
            <v>65851</v>
          </cell>
          <cell r="Q17">
            <v>0.54300202218273175</v>
          </cell>
          <cell r="R17">
            <v>0.4569979778172682</v>
          </cell>
          <cell r="S17" t="str">
            <v>BAU</v>
          </cell>
          <cell r="T17" t="str">
            <v>BAU</v>
          </cell>
          <cell r="U17" t="str">
            <v>BAU</v>
          </cell>
          <cell r="V17" t="str">
            <v>NA</v>
          </cell>
          <cell r="W17" t="str">
            <v>AUD</v>
          </cell>
          <cell r="X17" t="str">
            <v>BAU</v>
          </cell>
          <cell r="Y17">
            <v>39.99</v>
          </cell>
          <cell r="Z17">
            <v>79.989999999999995</v>
          </cell>
          <cell r="AA17">
            <v>51.99</v>
          </cell>
          <cell r="AB17">
            <v>104.99</v>
          </cell>
          <cell r="AC17">
            <v>19.989999999999998</v>
          </cell>
          <cell r="AD17">
            <v>39.99</v>
          </cell>
          <cell r="AE17" t="str">
            <v>AUD</v>
          </cell>
          <cell r="AF17"/>
          <cell r="AG17">
            <v>7</v>
          </cell>
          <cell r="AH17">
            <v>39.99</v>
          </cell>
          <cell r="AI17">
            <v>279.99</v>
          </cell>
          <cell r="AJ17">
            <v>51.99</v>
          </cell>
          <cell r="AK17">
            <v>363.99</v>
          </cell>
          <cell r="AL17">
            <v>19.989999999999998</v>
          </cell>
          <cell r="AM17">
            <v>139.99</v>
          </cell>
        </row>
        <row r="18">
          <cell r="B18" t="str">
            <v>Austria</v>
          </cell>
          <cell r="C18" t="str">
            <v>Europe</v>
          </cell>
          <cell r="D18" t="str">
            <v>Y</v>
          </cell>
          <cell r="E18">
            <v>53793</v>
          </cell>
          <cell r="F18" t="str">
            <v>EUR</v>
          </cell>
          <cell r="G18" t="str">
            <v>Y</v>
          </cell>
          <cell r="H18">
            <v>7.99</v>
          </cell>
          <cell r="I18">
            <v>12.99</v>
          </cell>
          <cell r="J18">
            <v>17.989999999999998</v>
          </cell>
          <cell r="K18">
            <v>1.9870731453988641E-2</v>
          </cell>
          <cell r="L18">
            <v>0.19775132275132279</v>
          </cell>
          <cell r="M18">
            <v>2245</v>
          </cell>
          <cell r="Q18">
            <v>0.62799825556040123</v>
          </cell>
          <cell r="R18">
            <v>0.37200174443959877</v>
          </cell>
          <cell r="S18">
            <v>5.2999999999999999E-2</v>
          </cell>
          <cell r="T18">
            <v>6.2600000000000003E-2</v>
          </cell>
          <cell r="U18">
            <v>0.1811320754716983</v>
          </cell>
          <cell r="V18" t="str">
            <v>NA</v>
          </cell>
          <cell r="W18" t="str">
            <v>EUR</v>
          </cell>
          <cell r="X18" t="str">
            <v>Steeper than BAU</v>
          </cell>
          <cell r="Y18">
            <v>17.989999999999998</v>
          </cell>
          <cell r="Z18">
            <v>54.99</v>
          </cell>
          <cell r="AA18">
            <v>24.99</v>
          </cell>
          <cell r="AB18">
            <v>79.989999999999995</v>
          </cell>
          <cell r="AC18">
            <v>14.99</v>
          </cell>
          <cell r="AD18">
            <v>47.99</v>
          </cell>
          <cell r="AE18" t="str">
            <v>EUR</v>
          </cell>
          <cell r="AF18"/>
          <cell r="AG18">
            <v>7</v>
          </cell>
          <cell r="AH18">
            <v>17.989999999999998</v>
          </cell>
          <cell r="AI18">
            <v>125.99</v>
          </cell>
          <cell r="AJ18">
            <v>24.99</v>
          </cell>
          <cell r="AK18">
            <v>174.99</v>
          </cell>
          <cell r="AL18">
            <v>14.99</v>
          </cell>
          <cell r="AM18">
            <v>104.99</v>
          </cell>
        </row>
        <row r="19">
          <cell r="B19" t="str">
            <v>Azerbaijan</v>
          </cell>
          <cell r="C19" t="str">
            <v>Middle East</v>
          </cell>
          <cell r="D19" t="str">
            <v>N</v>
          </cell>
          <cell r="E19">
            <v>5167</v>
          </cell>
          <cell r="F19" t="str">
            <v>EUR</v>
          </cell>
          <cell r="G19" t="str">
            <v>N</v>
          </cell>
          <cell r="H19">
            <v>7.99</v>
          </cell>
          <cell r="I19">
            <v>9.99</v>
          </cell>
          <cell r="J19">
            <v>11.99</v>
          </cell>
          <cell r="K19" t="str">
            <v>NA</v>
          </cell>
          <cell r="L19" t="str">
            <v>Negligible</v>
          </cell>
          <cell r="M19">
            <v>67</v>
          </cell>
          <cell r="Q19">
            <v>0.68181818181818177</v>
          </cell>
          <cell r="R19">
            <v>0.31818181818181818</v>
          </cell>
          <cell r="S19" t="str">
            <v>BAU</v>
          </cell>
          <cell r="T19" t="str">
            <v>BAU</v>
          </cell>
          <cell r="U19" t="str">
            <v>BAU</v>
          </cell>
          <cell r="V19" t="str">
            <v>Jordan</v>
          </cell>
          <cell r="W19" t="str">
            <v>AZN</v>
          </cell>
          <cell r="X19" t="str">
            <v>BAU</v>
          </cell>
          <cell r="Y19">
            <v>23.99</v>
          </cell>
          <cell r="Z19">
            <v>71.989999999999995</v>
          </cell>
          <cell r="AA19" t="str">
            <v/>
          </cell>
          <cell r="AB19" t="str">
            <v/>
          </cell>
          <cell r="AC19">
            <v>14.99</v>
          </cell>
          <cell r="AD19">
            <v>44.99</v>
          </cell>
          <cell r="AE19" t="str">
            <v>AZN</v>
          </cell>
          <cell r="AF19"/>
          <cell r="AG19">
            <v>7</v>
          </cell>
          <cell r="AH19">
            <v>23.99</v>
          </cell>
          <cell r="AI19">
            <v>167.99</v>
          </cell>
          <cell r="AJ19" t="str">
            <v/>
          </cell>
          <cell r="AK19" t="str">
            <v/>
          </cell>
          <cell r="AL19">
            <v>14.99</v>
          </cell>
          <cell r="AM19">
            <v>104.99</v>
          </cell>
        </row>
        <row r="20">
          <cell r="B20" t="str">
            <v>Bahamas</v>
          </cell>
          <cell r="C20" t="str">
            <v>Latin America</v>
          </cell>
          <cell r="D20" t="str">
            <v>N</v>
          </cell>
          <cell r="E20">
            <v>27437</v>
          </cell>
          <cell r="F20" t="str">
            <v>USD</v>
          </cell>
          <cell r="G20" t="str">
            <v>N</v>
          </cell>
          <cell r="H20">
            <v>8.99</v>
          </cell>
          <cell r="I20">
            <v>12.99</v>
          </cell>
          <cell r="J20">
            <v>15.99</v>
          </cell>
          <cell r="K20" t="str">
            <v>NA</v>
          </cell>
          <cell r="L20">
            <v>0.39809523809523806</v>
          </cell>
          <cell r="M20">
            <v>921</v>
          </cell>
          <cell r="Q20">
            <v>0.59523809523809523</v>
          </cell>
          <cell r="R20">
            <v>0.40476190476190477</v>
          </cell>
          <cell r="S20" t="str">
            <v>BAU</v>
          </cell>
          <cell r="T20" t="str">
            <v>BAU</v>
          </cell>
          <cell r="U20" t="str">
            <v>BAU</v>
          </cell>
          <cell r="V20" t="str">
            <v>NA</v>
          </cell>
          <cell r="W20" t="str">
            <v>BSD</v>
          </cell>
          <cell r="X20" t="str">
            <v>BAU</v>
          </cell>
          <cell r="Y20">
            <v>13.99</v>
          </cell>
          <cell r="Z20">
            <v>41.99</v>
          </cell>
          <cell r="AA20" t="str">
            <v/>
          </cell>
          <cell r="AB20" t="str">
            <v/>
          </cell>
          <cell r="AC20">
            <v>8.99</v>
          </cell>
          <cell r="AD20">
            <v>26.99</v>
          </cell>
          <cell r="AE20" t="str">
            <v>BSD</v>
          </cell>
          <cell r="AF20"/>
          <cell r="AG20">
            <v>7</v>
          </cell>
          <cell r="AH20">
            <v>13.99</v>
          </cell>
          <cell r="AI20">
            <v>97.99</v>
          </cell>
          <cell r="AJ20" t="str">
            <v/>
          </cell>
          <cell r="AK20" t="str">
            <v/>
          </cell>
          <cell r="AL20">
            <v>8.99</v>
          </cell>
          <cell r="AM20">
            <v>62.99</v>
          </cell>
        </row>
        <row r="21">
          <cell r="B21" t="str">
            <v>Bahrain</v>
          </cell>
          <cell r="C21" t="str">
            <v>Middle East</v>
          </cell>
          <cell r="D21" t="str">
            <v>N</v>
          </cell>
          <cell r="E21">
            <v>26294</v>
          </cell>
          <cell r="F21" t="str">
            <v>USD</v>
          </cell>
          <cell r="G21" t="str">
            <v>N</v>
          </cell>
          <cell r="H21">
            <v>7.99</v>
          </cell>
          <cell r="I21">
            <v>9.99</v>
          </cell>
          <cell r="J21">
            <v>14.99</v>
          </cell>
          <cell r="K21" t="str">
            <v>NA</v>
          </cell>
          <cell r="L21">
            <v>0.25</v>
          </cell>
          <cell r="M21">
            <v>323</v>
          </cell>
          <cell r="Q21">
            <v>0.6581395348837209</v>
          </cell>
          <cell r="R21">
            <v>0.34186046511627904</v>
          </cell>
          <cell r="S21" t="str">
            <v>BAU</v>
          </cell>
          <cell r="T21" t="str">
            <v>BAU</v>
          </cell>
          <cell r="U21" t="str">
            <v>BAU</v>
          </cell>
          <cell r="V21" t="str">
            <v>NA</v>
          </cell>
          <cell r="W21" t="str">
            <v>BHD</v>
          </cell>
          <cell r="X21" t="str">
            <v>BAU</v>
          </cell>
          <cell r="Y21">
            <v>8.99</v>
          </cell>
          <cell r="Z21">
            <v>24.99</v>
          </cell>
          <cell r="AA21">
            <v>9.99</v>
          </cell>
          <cell r="AB21">
            <v>29.99</v>
          </cell>
          <cell r="AC21">
            <v>4.99</v>
          </cell>
          <cell r="AD21">
            <v>14.99</v>
          </cell>
          <cell r="AE21" t="str">
            <v>BHD</v>
          </cell>
          <cell r="AF21"/>
          <cell r="AG21">
            <v>7</v>
          </cell>
          <cell r="AH21">
            <v>8.99</v>
          </cell>
          <cell r="AI21">
            <v>62.99</v>
          </cell>
          <cell r="AJ21">
            <v>9.99</v>
          </cell>
          <cell r="AK21">
            <v>69.989999999999995</v>
          </cell>
          <cell r="AL21">
            <v>4.99</v>
          </cell>
          <cell r="AM21">
            <v>34.99</v>
          </cell>
        </row>
        <row r="22">
          <cell r="B22" t="str">
            <v>Bangladesh</v>
          </cell>
          <cell r="C22" t="str">
            <v>Asia</v>
          </cell>
          <cell r="D22" t="str">
            <v>N</v>
          </cell>
          <cell r="E22">
            <v>2139</v>
          </cell>
          <cell r="F22" t="str">
            <v>USD</v>
          </cell>
          <cell r="G22" t="str">
            <v>N</v>
          </cell>
          <cell r="H22">
            <v>7.99</v>
          </cell>
          <cell r="I22">
            <v>9.99</v>
          </cell>
          <cell r="J22">
            <v>11.99</v>
          </cell>
          <cell r="K22" t="str">
            <v>NA</v>
          </cell>
          <cell r="L22">
            <v>0.34782608695652173</v>
          </cell>
          <cell r="M22">
            <v>131</v>
          </cell>
          <cell r="Q22">
            <v>0.83823529411764708</v>
          </cell>
          <cell r="R22">
            <v>0.16176470588235295</v>
          </cell>
          <cell r="S22" t="str">
            <v>BAU</v>
          </cell>
          <cell r="T22" t="str">
            <v>BAU</v>
          </cell>
          <cell r="U22" t="str">
            <v>BAU</v>
          </cell>
          <cell r="V22" t="str">
            <v>NA</v>
          </cell>
          <cell r="W22" t="str">
            <v>BDT</v>
          </cell>
          <cell r="X22" t="str">
            <v>BAU</v>
          </cell>
          <cell r="Y22">
            <v>929.99</v>
          </cell>
          <cell r="Z22">
            <v>2789.99</v>
          </cell>
          <cell r="AA22" t="str">
            <v/>
          </cell>
          <cell r="AB22" t="str">
            <v/>
          </cell>
          <cell r="AC22">
            <v>419.99</v>
          </cell>
          <cell r="AD22">
            <v>1259.99</v>
          </cell>
          <cell r="AE22" t="str">
            <v>BDT</v>
          </cell>
          <cell r="AF22"/>
          <cell r="AG22">
            <v>7</v>
          </cell>
          <cell r="AH22">
            <v>929.99</v>
          </cell>
          <cell r="AI22">
            <v>6509.99</v>
          </cell>
          <cell r="AJ22" t="str">
            <v/>
          </cell>
          <cell r="AK22" t="str">
            <v/>
          </cell>
          <cell r="AL22">
            <v>419.99</v>
          </cell>
          <cell r="AM22">
            <v>2939.99</v>
          </cell>
        </row>
        <row r="23">
          <cell r="B23" t="str">
            <v>Barbados</v>
          </cell>
          <cell r="C23" t="str">
            <v>Latin America</v>
          </cell>
          <cell r="D23" t="str">
            <v>N</v>
          </cell>
          <cell r="E23">
            <v>16105</v>
          </cell>
          <cell r="F23" t="str">
            <v>USD</v>
          </cell>
          <cell r="G23" t="str">
            <v>N</v>
          </cell>
          <cell r="H23">
            <v>10.59</v>
          </cell>
          <cell r="I23">
            <v>15.29</v>
          </cell>
          <cell r="J23">
            <v>18.79</v>
          </cell>
          <cell r="K23" t="str">
            <v>NA</v>
          </cell>
          <cell r="L23">
            <v>0.3964757709251101</v>
          </cell>
          <cell r="M23">
            <v>368</v>
          </cell>
          <cell r="Q23">
            <v>0.7290322580645161</v>
          </cell>
          <cell r="R23">
            <v>0.2709677419354839</v>
          </cell>
          <cell r="S23" t="str">
            <v>BAU</v>
          </cell>
          <cell r="T23" t="str">
            <v>BAU</v>
          </cell>
          <cell r="U23" t="str">
            <v>BAU</v>
          </cell>
          <cell r="V23" t="str">
            <v>NA</v>
          </cell>
          <cell r="W23" t="str">
            <v>BBD</v>
          </cell>
          <cell r="X23" t="str">
            <v>BAU</v>
          </cell>
          <cell r="Y23">
            <v>27.99</v>
          </cell>
          <cell r="Z23">
            <v>84.99</v>
          </cell>
          <cell r="AA23" t="str">
            <v/>
          </cell>
          <cell r="AB23" t="str">
            <v/>
          </cell>
          <cell r="AC23">
            <v>17.989999999999998</v>
          </cell>
          <cell r="AD23">
            <v>53.99</v>
          </cell>
          <cell r="AE23" t="str">
            <v>BBD</v>
          </cell>
          <cell r="AF23"/>
          <cell r="AG23">
            <v>7</v>
          </cell>
          <cell r="AH23">
            <v>27.99</v>
          </cell>
          <cell r="AI23">
            <v>195.99</v>
          </cell>
          <cell r="AJ23" t="str">
            <v/>
          </cell>
          <cell r="AK23" t="str">
            <v/>
          </cell>
          <cell r="AL23">
            <v>17.989999999999998</v>
          </cell>
          <cell r="AM23">
            <v>125.99</v>
          </cell>
        </row>
        <row r="24">
          <cell r="B24" t="str">
            <v>Belarus</v>
          </cell>
          <cell r="C24" t="str">
            <v>Europe</v>
          </cell>
          <cell r="D24" t="str">
            <v>N</v>
          </cell>
          <cell r="E24">
            <v>7032</v>
          </cell>
          <cell r="F24" t="str">
            <v>EUR</v>
          </cell>
          <cell r="G24" t="str">
            <v>N</v>
          </cell>
          <cell r="H24">
            <v>7.99</v>
          </cell>
          <cell r="I24">
            <v>9.99</v>
          </cell>
          <cell r="J24">
            <v>11.99</v>
          </cell>
          <cell r="K24" t="str">
            <v>NA</v>
          </cell>
          <cell r="L24" t="str">
            <v>Negligible</v>
          </cell>
          <cell r="M24">
            <v>119</v>
          </cell>
          <cell r="Q24">
            <v>0.65693430656934304</v>
          </cell>
          <cell r="R24">
            <v>0.34306569343065696</v>
          </cell>
          <cell r="S24" t="str">
            <v>BAU</v>
          </cell>
          <cell r="T24" t="str">
            <v>BAU</v>
          </cell>
          <cell r="U24" t="str">
            <v>BAU</v>
          </cell>
          <cell r="V24" t="str">
            <v>Serbia</v>
          </cell>
          <cell r="W24" t="str">
            <v>USD</v>
          </cell>
          <cell r="X24" t="str">
            <v>BAU</v>
          </cell>
          <cell r="Y24">
            <v>13.99</v>
          </cell>
          <cell r="Z24">
            <v>41.99</v>
          </cell>
          <cell r="AA24" t="str">
            <v/>
          </cell>
          <cell r="AB24" t="str">
            <v/>
          </cell>
          <cell r="AC24">
            <v>8.99</v>
          </cell>
          <cell r="AD24">
            <v>26.99</v>
          </cell>
          <cell r="AE24" t="str">
            <v>BYN</v>
          </cell>
          <cell r="AF24">
            <v>3.3050000000000002</v>
          </cell>
          <cell r="AG24">
            <v>7</v>
          </cell>
          <cell r="AH24">
            <v>45</v>
          </cell>
          <cell r="AI24">
            <v>315</v>
          </cell>
          <cell r="AJ24" t="str">
            <v/>
          </cell>
          <cell r="AK24" t="str">
            <v/>
          </cell>
          <cell r="AL24">
            <v>41</v>
          </cell>
          <cell r="AM24">
            <v>285</v>
          </cell>
        </row>
        <row r="25">
          <cell r="B25" t="str">
            <v>Belgium</v>
          </cell>
          <cell r="C25" t="str">
            <v>Europe</v>
          </cell>
          <cell r="D25" t="str">
            <v>Y</v>
          </cell>
          <cell r="E25">
            <v>50413</v>
          </cell>
          <cell r="F25" t="str">
            <v>EUR</v>
          </cell>
          <cell r="G25" t="str">
            <v>Y</v>
          </cell>
          <cell r="H25">
            <v>8.99</v>
          </cell>
          <cell r="I25">
            <v>13.49</v>
          </cell>
          <cell r="J25">
            <v>17.989999999999998</v>
          </cell>
          <cell r="K25">
            <v>2.9323393214414448E-2</v>
          </cell>
          <cell r="L25">
            <v>-2.0687237026647987E-2</v>
          </cell>
          <cell r="M25">
            <v>3308</v>
          </cell>
          <cell r="Q25">
            <v>0.66595441595441596</v>
          </cell>
          <cell r="R25">
            <v>0.33404558404558404</v>
          </cell>
          <cell r="S25">
            <v>3.4000000000000002E-2</v>
          </cell>
          <cell r="T25">
            <v>4.2900000000000001E-2</v>
          </cell>
          <cell r="U25">
            <v>0.2617647058823529</v>
          </cell>
          <cell r="V25" t="str">
            <v>NA</v>
          </cell>
          <cell r="W25" t="str">
            <v>EUR</v>
          </cell>
          <cell r="X25" t="str">
            <v>Steeper than BAU</v>
          </cell>
          <cell r="Y25">
            <v>18.989999999999998</v>
          </cell>
          <cell r="Z25">
            <v>54.99</v>
          </cell>
          <cell r="AA25">
            <v>27.99</v>
          </cell>
          <cell r="AB25">
            <v>83.99</v>
          </cell>
          <cell r="AC25">
            <v>14.99</v>
          </cell>
          <cell r="AD25">
            <v>50.99</v>
          </cell>
          <cell r="AE25" t="str">
            <v>EUR</v>
          </cell>
          <cell r="AF25"/>
          <cell r="AG25">
            <v>7</v>
          </cell>
          <cell r="AH25">
            <v>18.989999999999998</v>
          </cell>
          <cell r="AI25">
            <v>132.99</v>
          </cell>
          <cell r="AJ25">
            <v>27.99</v>
          </cell>
          <cell r="AK25">
            <v>195.99</v>
          </cell>
          <cell r="AL25">
            <v>14.99</v>
          </cell>
          <cell r="AM25">
            <v>104.99</v>
          </cell>
        </row>
        <row r="26">
          <cell r="B26" t="str">
            <v>Belize</v>
          </cell>
          <cell r="C26" t="str">
            <v>Latin America</v>
          </cell>
          <cell r="D26" t="str">
            <v>N</v>
          </cell>
          <cell r="E26">
            <v>4458</v>
          </cell>
          <cell r="F26" t="str">
            <v>USD</v>
          </cell>
          <cell r="G26" t="str">
            <v>N</v>
          </cell>
          <cell r="H26">
            <v>7.99</v>
          </cell>
          <cell r="I26">
            <v>10.99</v>
          </cell>
          <cell r="J26">
            <v>13.99</v>
          </cell>
          <cell r="K26" t="str">
            <v>NA</v>
          </cell>
          <cell r="L26">
            <v>0.13223140495867769</v>
          </cell>
          <cell r="M26">
            <v>161</v>
          </cell>
          <cell r="Q26">
            <v>0.70285714285714285</v>
          </cell>
          <cell r="R26">
            <v>0.29714285714285715</v>
          </cell>
          <cell r="S26" t="str">
            <v>BAU</v>
          </cell>
          <cell r="T26" t="str">
            <v>BAU</v>
          </cell>
          <cell r="U26" t="str">
            <v>BAU</v>
          </cell>
          <cell r="V26" t="str">
            <v>NA</v>
          </cell>
          <cell r="W26" t="str">
            <v>BZD</v>
          </cell>
          <cell r="X26" t="str">
            <v>BAU</v>
          </cell>
          <cell r="Y26">
            <v>21.99</v>
          </cell>
          <cell r="Z26">
            <v>64.989999999999995</v>
          </cell>
          <cell r="AA26" t="str">
            <v/>
          </cell>
          <cell r="AB26" t="str">
            <v/>
          </cell>
          <cell r="AC26">
            <v>9.99</v>
          </cell>
          <cell r="AD26">
            <v>29.99</v>
          </cell>
          <cell r="AE26" t="str">
            <v>BZD</v>
          </cell>
          <cell r="AF26"/>
          <cell r="AG26">
            <v>7</v>
          </cell>
          <cell r="AH26">
            <v>21.99</v>
          </cell>
          <cell r="AI26">
            <v>153.99</v>
          </cell>
          <cell r="AJ26" t="str">
            <v/>
          </cell>
          <cell r="AK26" t="str">
            <v/>
          </cell>
          <cell r="AL26">
            <v>9.99</v>
          </cell>
          <cell r="AM26">
            <v>69.989999999999995</v>
          </cell>
        </row>
        <row r="27">
          <cell r="B27" t="str">
            <v>Benin</v>
          </cell>
          <cell r="C27" t="str">
            <v>Africa</v>
          </cell>
          <cell r="D27" t="str">
            <v>N</v>
          </cell>
          <cell r="E27">
            <v>1447</v>
          </cell>
          <cell r="F27" t="str">
            <v>USD</v>
          </cell>
          <cell r="G27" t="str">
            <v>N</v>
          </cell>
          <cell r="H27">
            <v>7.99</v>
          </cell>
          <cell r="I27">
            <v>9.99</v>
          </cell>
          <cell r="J27">
            <v>11.99</v>
          </cell>
          <cell r="K27" t="str">
            <v>NA</v>
          </cell>
          <cell r="L27" t="str">
            <v>Negligible</v>
          </cell>
          <cell r="M27">
            <v>21</v>
          </cell>
          <cell r="Q27">
            <v>0.76190476190476186</v>
          </cell>
          <cell r="R27">
            <v>0.23809523809523808</v>
          </cell>
          <cell r="S27" t="str">
            <v>BAU</v>
          </cell>
          <cell r="T27" t="str">
            <v>BAU</v>
          </cell>
          <cell r="U27" t="str">
            <v>BAU</v>
          </cell>
          <cell r="V27" t="str">
            <v>Senegal</v>
          </cell>
          <cell r="W27" t="str">
            <v>XOF</v>
          </cell>
          <cell r="X27" t="str">
            <v>BAU</v>
          </cell>
          <cell r="Y27">
            <v>6400</v>
          </cell>
          <cell r="Z27">
            <v>19200</v>
          </cell>
          <cell r="AA27" t="str">
            <v/>
          </cell>
          <cell r="AB27" t="str">
            <v/>
          </cell>
          <cell r="AC27">
            <v>2900</v>
          </cell>
          <cell r="AD27">
            <v>8700</v>
          </cell>
          <cell r="AE27" t="str">
            <v>XOF</v>
          </cell>
          <cell r="AF27"/>
          <cell r="AG27">
            <v>7</v>
          </cell>
          <cell r="AH27">
            <v>6400</v>
          </cell>
          <cell r="AI27">
            <v>44800</v>
          </cell>
          <cell r="AJ27" t="str">
            <v/>
          </cell>
          <cell r="AK27" t="str">
            <v/>
          </cell>
          <cell r="AL27">
            <v>2900</v>
          </cell>
          <cell r="AM27">
            <v>20300</v>
          </cell>
        </row>
        <row r="28">
          <cell r="B28" t="str">
            <v>Bermuda</v>
          </cell>
          <cell r="C28" t="str">
            <v>Domestic</v>
          </cell>
          <cell r="D28" t="str">
            <v>N</v>
          </cell>
          <cell r="E28">
            <v>2020</v>
          </cell>
          <cell r="F28" t="str">
            <v>USD</v>
          </cell>
          <cell r="G28" t="str">
            <v>N</v>
          </cell>
          <cell r="H28">
            <v>8.99</v>
          </cell>
          <cell r="I28">
            <v>12.99</v>
          </cell>
          <cell r="J28">
            <v>15.99</v>
          </cell>
          <cell r="K28" t="str">
            <v>NA</v>
          </cell>
          <cell r="L28" t="str">
            <v>Negligible</v>
          </cell>
          <cell r="M28">
            <v>63</v>
          </cell>
          <cell r="Q28">
            <v>0.5</v>
          </cell>
          <cell r="R28">
            <v>0.5</v>
          </cell>
          <cell r="S28" t="str">
            <v>BAU</v>
          </cell>
          <cell r="T28" t="str">
            <v>BAU</v>
          </cell>
          <cell r="U28" t="str">
            <v>BAU</v>
          </cell>
          <cell r="V28" t="str">
            <v>Cayman Islands</v>
          </cell>
          <cell r="W28" t="str">
            <v>BMD</v>
          </cell>
          <cell r="X28" t="str">
            <v>BAU</v>
          </cell>
          <cell r="Y28">
            <v>13.99</v>
          </cell>
          <cell r="Z28">
            <v>41.99</v>
          </cell>
          <cell r="AA28" t="str">
            <v/>
          </cell>
          <cell r="AB28" t="str">
            <v/>
          </cell>
          <cell r="AC28">
            <v>8.99</v>
          </cell>
          <cell r="AD28">
            <v>26.99</v>
          </cell>
          <cell r="AE28" t="str">
            <v>BMD</v>
          </cell>
          <cell r="AF28"/>
          <cell r="AG28">
            <v>7</v>
          </cell>
          <cell r="AH28">
            <v>13.99</v>
          </cell>
          <cell r="AI28">
            <v>97.99</v>
          </cell>
          <cell r="AJ28" t="str">
            <v/>
          </cell>
          <cell r="AK28" t="str">
            <v/>
          </cell>
          <cell r="AL28">
            <v>8.99</v>
          </cell>
          <cell r="AM28">
            <v>62.99</v>
          </cell>
        </row>
        <row r="29">
          <cell r="B29" t="str">
            <v>Bhutan</v>
          </cell>
          <cell r="C29" t="str">
            <v>Asia</v>
          </cell>
          <cell r="D29" t="str">
            <v>N</v>
          </cell>
          <cell r="E29">
            <v>3296</v>
          </cell>
          <cell r="F29" t="str">
            <v>USD</v>
          </cell>
          <cell r="G29" t="str">
            <v>Y</v>
          </cell>
          <cell r="H29">
            <v>7.99</v>
          </cell>
          <cell r="I29">
            <v>9.99</v>
          </cell>
          <cell r="J29">
            <v>11.99</v>
          </cell>
          <cell r="K29" t="str">
            <v>NA</v>
          </cell>
          <cell r="L29" t="str">
            <v>Negligible</v>
          </cell>
          <cell r="M29">
            <v>32</v>
          </cell>
          <cell r="Q29">
            <v>0.75</v>
          </cell>
          <cell r="R29">
            <v>0.25</v>
          </cell>
          <cell r="S29" t="str">
            <v>BAU</v>
          </cell>
          <cell r="T29" t="str">
            <v>BAU</v>
          </cell>
          <cell r="U29" t="str">
            <v>BAU</v>
          </cell>
          <cell r="V29" t="str">
            <v>Sri Lanka</v>
          </cell>
          <cell r="W29" t="str">
            <v>USD</v>
          </cell>
          <cell r="X29" t="str">
            <v>BAU</v>
          </cell>
          <cell r="Y29">
            <v>10.99</v>
          </cell>
          <cell r="Z29">
            <v>32.99</v>
          </cell>
          <cell r="AA29" t="str">
            <v/>
          </cell>
          <cell r="AB29" t="str">
            <v/>
          </cell>
          <cell r="AC29">
            <v>4.99</v>
          </cell>
          <cell r="AD29">
            <v>14.99</v>
          </cell>
          <cell r="AE29" t="str">
            <v>USD</v>
          </cell>
          <cell r="AF29"/>
          <cell r="AG29">
            <v>7</v>
          </cell>
          <cell r="AH29">
            <v>10.99</v>
          </cell>
          <cell r="AI29">
            <v>76.989999999999995</v>
          </cell>
          <cell r="AJ29" t="str">
            <v/>
          </cell>
          <cell r="AK29" t="str">
            <v/>
          </cell>
          <cell r="AL29">
            <v>4.99</v>
          </cell>
          <cell r="AM29">
            <v>34.99</v>
          </cell>
        </row>
        <row r="30">
          <cell r="B30" t="str">
            <v>Bolivia</v>
          </cell>
          <cell r="C30" t="str">
            <v>Europe</v>
          </cell>
          <cell r="D30" t="str">
            <v>N</v>
          </cell>
          <cell r="E30">
            <v>3267</v>
          </cell>
          <cell r="F30" t="str">
            <v>USD</v>
          </cell>
          <cell r="G30" t="str">
            <v>N</v>
          </cell>
          <cell r="H30">
            <v>7.99</v>
          </cell>
          <cell r="I30">
            <v>10.99</v>
          </cell>
          <cell r="J30">
            <v>13.99</v>
          </cell>
          <cell r="K30" t="str">
            <v>NA</v>
          </cell>
          <cell r="L30">
            <v>0.23099415204678353</v>
          </cell>
          <cell r="M30">
            <v>523</v>
          </cell>
          <cell r="Q30">
            <v>0.71156893819334388</v>
          </cell>
          <cell r="R30">
            <v>0.28843106180665612</v>
          </cell>
          <cell r="S30" t="str">
            <v>BAU</v>
          </cell>
          <cell r="T30" t="str">
            <v>BAU</v>
          </cell>
          <cell r="U30" t="str">
            <v>BAU</v>
          </cell>
          <cell r="V30" t="str">
            <v>NA</v>
          </cell>
          <cell r="W30" t="str">
            <v>BOB</v>
          </cell>
          <cell r="X30" t="str">
            <v>BAU</v>
          </cell>
          <cell r="Y30">
            <v>75.989999999999995</v>
          </cell>
          <cell r="Z30">
            <v>229.99</v>
          </cell>
          <cell r="AA30" t="str">
            <v/>
          </cell>
          <cell r="AB30" t="str">
            <v/>
          </cell>
          <cell r="AC30">
            <v>33.99</v>
          </cell>
          <cell r="AD30">
            <v>101.99</v>
          </cell>
          <cell r="AE30" t="str">
            <v>BOB</v>
          </cell>
          <cell r="AF30"/>
          <cell r="AG30">
            <v>7</v>
          </cell>
          <cell r="AH30">
            <v>75.989999999999995</v>
          </cell>
          <cell r="AI30">
            <v>531.99</v>
          </cell>
          <cell r="AJ30" t="str">
            <v/>
          </cell>
          <cell r="AK30" t="str">
            <v/>
          </cell>
          <cell r="AL30">
            <v>33.99</v>
          </cell>
          <cell r="AM30">
            <v>237.99</v>
          </cell>
        </row>
        <row r="31">
          <cell r="B31" t="str">
            <v>Bonaire</v>
          </cell>
          <cell r="C31" t="str">
            <v>Europe</v>
          </cell>
          <cell r="D31" t="str">
            <v>N</v>
          </cell>
          <cell r="E31" t="str">
            <v>NA</v>
          </cell>
          <cell r="F31" t="str">
            <v>NA</v>
          </cell>
          <cell r="G31" t="str">
            <v>N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 t="str">
            <v>NA</v>
          </cell>
          <cell r="M31" t="str">
            <v>NA</v>
          </cell>
          <cell r="Q31" t="str">
            <v>NA</v>
          </cell>
          <cell r="R31" t="str">
            <v>NA</v>
          </cell>
          <cell r="S31" t="str">
            <v>BAU</v>
          </cell>
          <cell r="T31" t="str">
            <v>BAU</v>
          </cell>
          <cell r="U31" t="str">
            <v>BAU</v>
          </cell>
          <cell r="V31" t="str">
            <v>Lithuania</v>
          </cell>
          <cell r="W31" t="str">
            <v>USD</v>
          </cell>
          <cell r="X31" t="str">
            <v>BAU</v>
          </cell>
          <cell r="Y31">
            <v>13.99</v>
          </cell>
          <cell r="Z31">
            <v>41.99</v>
          </cell>
          <cell r="AA31" t="str">
            <v/>
          </cell>
          <cell r="AB31" t="str">
            <v/>
          </cell>
          <cell r="AC31">
            <v>8.99</v>
          </cell>
          <cell r="AD31">
            <v>26.99</v>
          </cell>
          <cell r="AE31" t="str">
            <v>USD</v>
          </cell>
          <cell r="AF31"/>
          <cell r="AG31">
            <v>7</v>
          </cell>
          <cell r="AH31">
            <v>13.99</v>
          </cell>
          <cell r="AI31">
            <v>97.99</v>
          </cell>
          <cell r="AJ31" t="str">
            <v/>
          </cell>
          <cell r="AK31" t="str">
            <v/>
          </cell>
          <cell r="AL31">
            <v>8.99</v>
          </cell>
          <cell r="AM31">
            <v>62.99</v>
          </cell>
        </row>
        <row r="32">
          <cell r="B32" t="str">
            <v>Bosnia And Herzegovina</v>
          </cell>
          <cell r="C32" t="str">
            <v>Europe</v>
          </cell>
          <cell r="D32" t="str">
            <v>N</v>
          </cell>
          <cell r="E32">
            <v>6648</v>
          </cell>
          <cell r="F32" t="str">
            <v>EUR</v>
          </cell>
          <cell r="G32" t="str">
            <v>N</v>
          </cell>
          <cell r="H32">
            <v>7.99</v>
          </cell>
          <cell r="I32">
            <v>9.99</v>
          </cell>
          <cell r="J32">
            <v>11.99</v>
          </cell>
          <cell r="K32" t="str">
            <v>NA</v>
          </cell>
          <cell r="L32">
            <v>0.21367521367521358</v>
          </cell>
          <cell r="M32">
            <v>173</v>
          </cell>
          <cell r="Q32">
            <v>0.50531914893617025</v>
          </cell>
          <cell r="R32">
            <v>0.49468085106382981</v>
          </cell>
          <cell r="S32" t="str">
            <v>BAU</v>
          </cell>
          <cell r="T32" t="str">
            <v>BAU</v>
          </cell>
          <cell r="U32" t="str">
            <v>BAU</v>
          </cell>
          <cell r="V32" t="str">
            <v>NA</v>
          </cell>
          <cell r="W32" t="str">
            <v>BAM</v>
          </cell>
          <cell r="X32" t="str">
            <v>BAU</v>
          </cell>
          <cell r="Y32">
            <v>23.99</v>
          </cell>
          <cell r="Z32">
            <v>71.989999999999995</v>
          </cell>
          <cell r="AA32" t="str">
            <v/>
          </cell>
          <cell r="AB32" t="str">
            <v/>
          </cell>
          <cell r="AC32">
            <v>15.99</v>
          </cell>
          <cell r="AD32">
            <v>47.99</v>
          </cell>
          <cell r="AE32" t="str">
            <v>BAM</v>
          </cell>
          <cell r="AF32"/>
          <cell r="AG32">
            <v>7</v>
          </cell>
          <cell r="AH32">
            <v>23.99</v>
          </cell>
          <cell r="AI32">
            <v>167.99</v>
          </cell>
          <cell r="AJ32" t="str">
            <v/>
          </cell>
          <cell r="AK32" t="str">
            <v/>
          </cell>
          <cell r="AL32">
            <v>15.99</v>
          </cell>
          <cell r="AM32">
            <v>111.99</v>
          </cell>
        </row>
        <row r="33">
          <cell r="B33" t="str">
            <v>Botswana</v>
          </cell>
          <cell r="C33" t="str">
            <v>Africa</v>
          </cell>
          <cell r="D33" t="str">
            <v>N</v>
          </cell>
          <cell r="E33">
            <v>7350</v>
          </cell>
          <cell r="F33" t="str">
            <v>USD</v>
          </cell>
          <cell r="G33" t="str">
            <v>N</v>
          </cell>
          <cell r="H33">
            <v>7.99</v>
          </cell>
          <cell r="I33">
            <v>9.99</v>
          </cell>
          <cell r="J33">
            <v>11.99</v>
          </cell>
          <cell r="K33" t="str">
            <v>NA</v>
          </cell>
          <cell r="L33" t="str">
            <v>Negligible</v>
          </cell>
          <cell r="M33">
            <v>88</v>
          </cell>
          <cell r="Q33">
            <v>0.59615384615384615</v>
          </cell>
          <cell r="R33">
            <v>0.40384615384615385</v>
          </cell>
          <cell r="S33" t="str">
            <v>BAU</v>
          </cell>
          <cell r="T33" t="str">
            <v>BAU</v>
          </cell>
          <cell r="U33" t="str">
            <v>BAU</v>
          </cell>
          <cell r="V33" t="str">
            <v>Algeria</v>
          </cell>
          <cell r="W33" t="str">
            <v>BWP</v>
          </cell>
          <cell r="X33" t="str">
            <v>BAU</v>
          </cell>
          <cell r="Y33">
            <v>119.99</v>
          </cell>
          <cell r="Z33">
            <v>359.99</v>
          </cell>
          <cell r="AA33" t="str">
            <v/>
          </cell>
          <cell r="AB33" t="str">
            <v/>
          </cell>
          <cell r="AC33">
            <v>53.99</v>
          </cell>
          <cell r="AD33">
            <v>161.99</v>
          </cell>
          <cell r="AE33" t="str">
            <v>BWP</v>
          </cell>
          <cell r="AF33"/>
          <cell r="AG33">
            <v>7</v>
          </cell>
          <cell r="AH33">
            <v>119.99</v>
          </cell>
          <cell r="AI33">
            <v>839.99</v>
          </cell>
          <cell r="AJ33" t="str">
            <v/>
          </cell>
          <cell r="AK33" t="str">
            <v/>
          </cell>
          <cell r="AL33">
            <v>53.99</v>
          </cell>
          <cell r="AM33">
            <v>377.99</v>
          </cell>
        </row>
        <row r="34">
          <cell r="B34" t="str">
            <v>Bouvet Island</v>
          </cell>
          <cell r="C34" t="str">
            <v>Europe</v>
          </cell>
          <cell r="D34" t="str">
            <v>N</v>
          </cell>
          <cell r="E34" t="str">
            <v>NA</v>
          </cell>
          <cell r="F34" t="str">
            <v>NOK</v>
          </cell>
          <cell r="G34" t="str">
            <v>Y</v>
          </cell>
          <cell r="H34">
            <v>89</v>
          </cell>
          <cell r="I34">
            <v>109</v>
          </cell>
          <cell r="J34">
            <v>159</v>
          </cell>
          <cell r="K34" t="str">
            <v>NA</v>
          </cell>
          <cell r="L34" t="str">
            <v>Negligible</v>
          </cell>
          <cell r="M34">
            <v>1</v>
          </cell>
          <cell r="Q34" t="str">
            <v>NA</v>
          </cell>
          <cell r="R34" t="str">
            <v>NA</v>
          </cell>
          <cell r="S34" t="str">
            <v>BAU</v>
          </cell>
          <cell r="T34" t="str">
            <v>BAU</v>
          </cell>
          <cell r="U34" t="str">
            <v>BAU</v>
          </cell>
          <cell r="V34" t="str">
            <v>Norway</v>
          </cell>
          <cell r="W34" t="str">
            <v>NOK</v>
          </cell>
          <cell r="X34" t="str">
            <v>BAU</v>
          </cell>
          <cell r="Y34">
            <v>239.99</v>
          </cell>
          <cell r="Z34">
            <v>719.99</v>
          </cell>
          <cell r="AA34">
            <v>279.99</v>
          </cell>
          <cell r="AB34">
            <v>839.99</v>
          </cell>
          <cell r="AC34">
            <v>149.99</v>
          </cell>
          <cell r="AD34">
            <v>449.99</v>
          </cell>
          <cell r="AE34" t="str">
            <v>NOK</v>
          </cell>
          <cell r="AF34"/>
          <cell r="AG34">
            <v>7</v>
          </cell>
          <cell r="AH34">
            <v>239.99</v>
          </cell>
          <cell r="AI34">
            <v>1679.99</v>
          </cell>
          <cell r="AJ34">
            <v>279.99</v>
          </cell>
          <cell r="AK34">
            <v>1959.99</v>
          </cell>
          <cell r="AL34">
            <v>149.99</v>
          </cell>
          <cell r="AM34">
            <v>1049.99</v>
          </cell>
        </row>
        <row r="35">
          <cell r="B35" t="str">
            <v>Brazil</v>
          </cell>
          <cell r="C35" t="str">
            <v>Latin America</v>
          </cell>
          <cell r="D35" t="str">
            <v>Y</v>
          </cell>
          <cell r="E35">
            <v>7741</v>
          </cell>
          <cell r="F35" t="str">
            <v>BRL</v>
          </cell>
          <cell r="G35" t="str">
            <v>Y</v>
          </cell>
          <cell r="H35">
            <v>25.9</v>
          </cell>
          <cell r="I35">
            <v>39.9</v>
          </cell>
          <cell r="J35">
            <v>55.9</v>
          </cell>
          <cell r="K35">
            <v>1.1651622789529968E-2</v>
          </cell>
          <cell r="L35">
            <v>0.63690220154068755</v>
          </cell>
          <cell r="M35">
            <v>103627</v>
          </cell>
          <cell r="Q35">
            <v>0.62489722585949636</v>
          </cell>
          <cell r="R35">
            <v>0.37510277414050369</v>
          </cell>
          <cell r="S35" t="str">
            <v>BAU</v>
          </cell>
          <cell r="T35" t="str">
            <v>BAU</v>
          </cell>
          <cell r="U35" t="str">
            <v>BAU</v>
          </cell>
          <cell r="V35" t="str">
            <v>NA</v>
          </cell>
          <cell r="W35" t="str">
            <v>BRL</v>
          </cell>
          <cell r="X35" t="str">
            <v>BAU</v>
          </cell>
          <cell r="Y35">
            <v>50.99</v>
          </cell>
          <cell r="Z35">
            <v>152.99</v>
          </cell>
          <cell r="AA35">
            <v>59.99</v>
          </cell>
          <cell r="AB35">
            <v>179.99</v>
          </cell>
          <cell r="AC35">
            <v>18.989999999999998</v>
          </cell>
          <cell r="AD35">
            <v>56.99</v>
          </cell>
          <cell r="AE35" t="str">
            <v>BRL</v>
          </cell>
          <cell r="AF35"/>
          <cell r="AG35">
            <v>7</v>
          </cell>
          <cell r="AH35">
            <v>50.99</v>
          </cell>
          <cell r="AI35">
            <v>356.99</v>
          </cell>
          <cell r="AJ35">
            <v>59.99</v>
          </cell>
          <cell r="AK35">
            <v>419.99</v>
          </cell>
          <cell r="AL35">
            <v>18.989999999999998</v>
          </cell>
          <cell r="AM35">
            <v>132.99</v>
          </cell>
        </row>
        <row r="36">
          <cell r="B36" t="str">
            <v>British Indian Ocean Territory</v>
          </cell>
          <cell r="C36" t="str">
            <v>Asia</v>
          </cell>
          <cell r="D36" t="str">
            <v>N</v>
          </cell>
          <cell r="E36" t="str">
            <v>NA</v>
          </cell>
          <cell r="F36" t="str">
            <v>USD</v>
          </cell>
          <cell r="G36" t="str">
            <v>Y</v>
          </cell>
          <cell r="H36">
            <v>7.99</v>
          </cell>
          <cell r="I36">
            <v>9.99</v>
          </cell>
          <cell r="J36">
            <v>11.99</v>
          </cell>
          <cell r="K36" t="str">
            <v>NA</v>
          </cell>
          <cell r="L36" t="str">
            <v>Negligible</v>
          </cell>
          <cell r="M36">
            <v>0</v>
          </cell>
          <cell r="Q36" t="str">
            <v>NA</v>
          </cell>
          <cell r="R36" t="str">
            <v>NA</v>
          </cell>
          <cell r="S36" t="str">
            <v>BAU</v>
          </cell>
          <cell r="T36" t="str">
            <v>BAU</v>
          </cell>
          <cell r="U36" t="str">
            <v>BAU</v>
          </cell>
          <cell r="V36" t="str">
            <v>French Polynesia</v>
          </cell>
          <cell r="W36" t="str">
            <v>USD</v>
          </cell>
          <cell r="X36" t="str">
            <v>BAU</v>
          </cell>
          <cell r="Y36">
            <v>13.99</v>
          </cell>
          <cell r="Z36">
            <v>41.99</v>
          </cell>
          <cell r="AA36" t="str">
            <v/>
          </cell>
          <cell r="AB36" t="str">
            <v/>
          </cell>
          <cell r="AC36">
            <v>8.99</v>
          </cell>
          <cell r="AD36">
            <v>26.99</v>
          </cell>
          <cell r="AE36" t="str">
            <v>USD</v>
          </cell>
          <cell r="AF36"/>
          <cell r="AG36">
            <v>7</v>
          </cell>
          <cell r="AH36">
            <v>13.99</v>
          </cell>
          <cell r="AI36">
            <v>97.99</v>
          </cell>
          <cell r="AJ36" t="str">
            <v/>
          </cell>
          <cell r="AK36" t="str">
            <v/>
          </cell>
          <cell r="AL36">
            <v>8.99</v>
          </cell>
          <cell r="AM36">
            <v>62.99</v>
          </cell>
        </row>
        <row r="37">
          <cell r="B37" t="str">
            <v>British Virgin Islands</v>
          </cell>
          <cell r="C37" t="str">
            <v>Latin America</v>
          </cell>
          <cell r="D37" t="str">
            <v>N</v>
          </cell>
          <cell r="E37">
            <v>2020</v>
          </cell>
          <cell r="F37" t="str">
            <v>USD</v>
          </cell>
          <cell r="G37" t="str">
            <v>Y</v>
          </cell>
          <cell r="H37">
            <v>8.99</v>
          </cell>
          <cell r="I37">
            <v>12.99</v>
          </cell>
          <cell r="J37">
            <v>15.99</v>
          </cell>
          <cell r="K37" t="str">
            <v>NA</v>
          </cell>
          <cell r="L37" t="str">
            <v>Negligible</v>
          </cell>
          <cell r="M37">
            <v>97</v>
          </cell>
          <cell r="Q37">
            <v>0.58762886597938147</v>
          </cell>
          <cell r="R37">
            <v>0.41237113402061853</v>
          </cell>
          <cell r="S37" t="str">
            <v>BAU</v>
          </cell>
          <cell r="T37" t="str">
            <v>BAU</v>
          </cell>
          <cell r="U37" t="str">
            <v>BAU</v>
          </cell>
          <cell r="V37" t="str">
            <v>Cayman Islands</v>
          </cell>
          <cell r="W37" t="str">
            <v>USD</v>
          </cell>
          <cell r="X37" t="str">
            <v>BAU</v>
          </cell>
          <cell r="Y37">
            <v>13.99</v>
          </cell>
          <cell r="Z37">
            <v>41.99</v>
          </cell>
          <cell r="AA37" t="str">
            <v/>
          </cell>
          <cell r="AB37" t="str">
            <v/>
          </cell>
          <cell r="AC37">
            <v>8.99</v>
          </cell>
          <cell r="AD37">
            <v>26.99</v>
          </cell>
          <cell r="AE37" t="str">
            <v>USD</v>
          </cell>
          <cell r="AF37"/>
          <cell r="AG37">
            <v>7</v>
          </cell>
          <cell r="AH37">
            <v>13.99</v>
          </cell>
          <cell r="AI37">
            <v>97.99</v>
          </cell>
          <cell r="AJ37" t="str">
            <v/>
          </cell>
          <cell r="AK37" t="str">
            <v/>
          </cell>
          <cell r="AL37">
            <v>8.99</v>
          </cell>
          <cell r="AM37">
            <v>62.99</v>
          </cell>
        </row>
        <row r="38">
          <cell r="B38" t="str">
            <v>Brunei</v>
          </cell>
          <cell r="C38" t="str">
            <v>Asia</v>
          </cell>
          <cell r="D38" t="str">
            <v>N</v>
          </cell>
          <cell r="E38">
            <v>33979</v>
          </cell>
          <cell r="F38" t="str">
            <v>USD</v>
          </cell>
          <cell r="G38" t="str">
            <v>N</v>
          </cell>
          <cell r="H38">
            <v>7.99</v>
          </cell>
          <cell r="I38">
            <v>9.99</v>
          </cell>
          <cell r="J38">
            <v>11.99</v>
          </cell>
          <cell r="K38" t="str">
            <v>NA</v>
          </cell>
          <cell r="L38" t="str">
            <v>Negligible</v>
          </cell>
          <cell r="M38">
            <v>99</v>
          </cell>
          <cell r="Q38">
            <v>0.7678571428571429</v>
          </cell>
          <cell r="R38">
            <v>0.23214285714285715</v>
          </cell>
          <cell r="S38" t="str">
            <v>BAU</v>
          </cell>
          <cell r="T38" t="str">
            <v>BAU</v>
          </cell>
          <cell r="U38" t="str">
            <v>BAU</v>
          </cell>
          <cell r="V38" t="str">
            <v>Kazakhstan</v>
          </cell>
          <cell r="W38" t="str">
            <v>BND</v>
          </cell>
          <cell r="X38" t="str">
            <v>BAU</v>
          </cell>
          <cell r="Y38">
            <v>18.989999999999998</v>
          </cell>
          <cell r="Z38">
            <v>54.99</v>
          </cell>
          <cell r="AA38" t="str">
            <v/>
          </cell>
          <cell r="AB38" t="str">
            <v/>
          </cell>
          <cell r="AC38">
            <v>11.99</v>
          </cell>
          <cell r="AD38">
            <v>34.99</v>
          </cell>
          <cell r="AE38" t="str">
            <v>BND</v>
          </cell>
          <cell r="AF38"/>
          <cell r="AG38">
            <v>7</v>
          </cell>
          <cell r="AH38">
            <v>18.989999999999998</v>
          </cell>
          <cell r="AI38">
            <v>132.99</v>
          </cell>
          <cell r="AJ38" t="str">
            <v/>
          </cell>
          <cell r="AK38" t="str">
            <v/>
          </cell>
          <cell r="AL38">
            <v>11.99</v>
          </cell>
          <cell r="AM38">
            <v>83.99</v>
          </cell>
        </row>
        <row r="39">
          <cell r="B39" t="str">
            <v>Bulgaria</v>
          </cell>
          <cell r="C39" t="str">
            <v>Europe</v>
          </cell>
          <cell r="D39" t="str">
            <v>N</v>
          </cell>
          <cell r="E39">
            <v>11332</v>
          </cell>
          <cell r="F39" t="str">
            <v>EUR</v>
          </cell>
          <cell r="G39" t="str">
            <v>N</v>
          </cell>
          <cell r="H39">
            <v>7.99</v>
          </cell>
          <cell r="I39">
            <v>9.99</v>
          </cell>
          <cell r="J39">
            <v>11.99</v>
          </cell>
          <cell r="K39" t="str">
            <v>NA</v>
          </cell>
          <cell r="L39">
            <v>0.13006756756756754</v>
          </cell>
          <cell r="M39">
            <v>806</v>
          </cell>
          <cell r="Q39">
            <v>0.63827304550758457</v>
          </cell>
          <cell r="R39">
            <v>0.36172695449241538</v>
          </cell>
          <cell r="S39" t="str">
            <v>BAU</v>
          </cell>
          <cell r="T39" t="str">
            <v>BAU</v>
          </cell>
          <cell r="U39" t="str">
            <v>BAU</v>
          </cell>
          <cell r="V39" t="str">
            <v>NA</v>
          </cell>
          <cell r="W39" t="str">
            <v>BGN</v>
          </cell>
          <cell r="X39" t="str">
            <v>BAU</v>
          </cell>
          <cell r="Y39">
            <v>23.99</v>
          </cell>
          <cell r="Z39">
            <v>71.989999999999995</v>
          </cell>
          <cell r="AA39" t="str">
            <v/>
          </cell>
          <cell r="AB39" t="str">
            <v/>
          </cell>
          <cell r="AC39">
            <v>15.99</v>
          </cell>
          <cell r="AD39">
            <v>47.99</v>
          </cell>
          <cell r="AE39" t="str">
            <v>BGN</v>
          </cell>
          <cell r="AF39"/>
          <cell r="AG39">
            <v>7</v>
          </cell>
          <cell r="AH39">
            <v>23.99</v>
          </cell>
          <cell r="AI39">
            <v>167.99</v>
          </cell>
          <cell r="AJ39" t="str">
            <v/>
          </cell>
          <cell r="AK39" t="str">
            <v/>
          </cell>
          <cell r="AL39">
            <v>15.99</v>
          </cell>
          <cell r="AM39">
            <v>111.99</v>
          </cell>
        </row>
        <row r="40">
          <cell r="B40" t="str">
            <v>Burkina Faso</v>
          </cell>
          <cell r="C40" t="str">
            <v>Africa</v>
          </cell>
          <cell r="D40" t="str">
            <v>N</v>
          </cell>
          <cell r="E40">
            <v>926</v>
          </cell>
          <cell r="F40" t="str">
            <v>USD</v>
          </cell>
          <cell r="G40" t="str">
            <v>N</v>
          </cell>
          <cell r="H40">
            <v>7.99</v>
          </cell>
          <cell r="I40">
            <v>9.99</v>
          </cell>
          <cell r="J40">
            <v>11.99</v>
          </cell>
          <cell r="K40" t="str">
            <v>NA</v>
          </cell>
          <cell r="L40" t="str">
            <v>Negligible</v>
          </cell>
          <cell r="M40">
            <v>27</v>
          </cell>
          <cell r="Q40">
            <v>0.66666666666666663</v>
          </cell>
          <cell r="R40">
            <v>0.33333333333333331</v>
          </cell>
          <cell r="S40" t="str">
            <v>BAU</v>
          </cell>
          <cell r="T40" t="str">
            <v>BAU</v>
          </cell>
          <cell r="U40" t="str">
            <v>BAU</v>
          </cell>
          <cell r="V40" t="str">
            <v>Uganda</v>
          </cell>
          <cell r="W40" t="str">
            <v>XOF</v>
          </cell>
          <cell r="X40" t="str">
            <v>BAU</v>
          </cell>
          <cell r="Y40">
            <v>6400</v>
          </cell>
          <cell r="Z40">
            <v>19200</v>
          </cell>
          <cell r="AA40" t="str">
            <v/>
          </cell>
          <cell r="AB40" t="str">
            <v/>
          </cell>
          <cell r="AC40">
            <v>2900</v>
          </cell>
          <cell r="AD40">
            <v>8700</v>
          </cell>
          <cell r="AE40" t="str">
            <v>XOF</v>
          </cell>
          <cell r="AF40"/>
          <cell r="AG40">
            <v>7</v>
          </cell>
          <cell r="AH40">
            <v>6400</v>
          </cell>
          <cell r="AI40">
            <v>44800</v>
          </cell>
          <cell r="AJ40" t="str">
            <v/>
          </cell>
          <cell r="AK40" t="str">
            <v/>
          </cell>
          <cell r="AL40">
            <v>2900</v>
          </cell>
          <cell r="AM40">
            <v>20300</v>
          </cell>
        </row>
        <row r="41">
          <cell r="B41" t="str">
            <v>Burundi</v>
          </cell>
          <cell r="C41" t="str">
            <v>Africa</v>
          </cell>
          <cell r="D41" t="str">
            <v>N</v>
          </cell>
          <cell r="E41">
            <v>261</v>
          </cell>
          <cell r="F41" t="str">
            <v>USD</v>
          </cell>
          <cell r="G41" t="str">
            <v>Y</v>
          </cell>
          <cell r="H41">
            <v>7.99</v>
          </cell>
          <cell r="I41">
            <v>9.99</v>
          </cell>
          <cell r="J41">
            <v>11.99</v>
          </cell>
          <cell r="K41" t="str">
            <v>NA</v>
          </cell>
          <cell r="L41" t="str">
            <v>Negligible</v>
          </cell>
          <cell r="M41">
            <v>3</v>
          </cell>
          <cell r="Q41">
            <v>0.33333333333333331</v>
          </cell>
          <cell r="R41">
            <v>0.66666666666666663</v>
          </cell>
          <cell r="S41" t="str">
            <v>BAU</v>
          </cell>
          <cell r="T41" t="str">
            <v>BAU</v>
          </cell>
          <cell r="U41" t="str">
            <v>BAU</v>
          </cell>
          <cell r="V41" t="str">
            <v>Uganda</v>
          </cell>
          <cell r="W41" t="str">
            <v>USD</v>
          </cell>
          <cell r="X41" t="str">
            <v>BAU</v>
          </cell>
          <cell r="Y41">
            <v>10.99</v>
          </cell>
          <cell r="Z41">
            <v>32.99</v>
          </cell>
          <cell r="AA41" t="str">
            <v/>
          </cell>
          <cell r="AB41" t="str">
            <v/>
          </cell>
          <cell r="AC41">
            <v>4.99</v>
          </cell>
          <cell r="AD41">
            <v>14.99</v>
          </cell>
          <cell r="AE41" t="str">
            <v>USD</v>
          </cell>
          <cell r="AF41"/>
          <cell r="AG41">
            <v>7</v>
          </cell>
          <cell r="AH41">
            <v>10.99</v>
          </cell>
          <cell r="AI41">
            <v>76.989999999999995</v>
          </cell>
          <cell r="AJ41" t="str">
            <v/>
          </cell>
          <cell r="AK41" t="str">
            <v/>
          </cell>
          <cell r="AL41">
            <v>4.99</v>
          </cell>
          <cell r="AM41">
            <v>34.99</v>
          </cell>
        </row>
        <row r="42">
          <cell r="B42" t="str">
            <v>Cambodia</v>
          </cell>
          <cell r="C42" t="str">
            <v>Asia</v>
          </cell>
          <cell r="D42" t="str">
            <v>N</v>
          </cell>
          <cell r="E42">
            <v>1647</v>
          </cell>
          <cell r="F42" t="str">
            <v>USD</v>
          </cell>
          <cell r="G42" t="str">
            <v>N</v>
          </cell>
          <cell r="H42">
            <v>7.99</v>
          </cell>
          <cell r="I42">
            <v>9.99</v>
          </cell>
          <cell r="J42">
            <v>11.99</v>
          </cell>
          <cell r="K42" t="str">
            <v>NA</v>
          </cell>
          <cell r="L42">
            <v>0.39383561643835607</v>
          </cell>
          <cell r="M42">
            <v>458</v>
          </cell>
          <cell r="Q42">
            <v>0.83627204030226698</v>
          </cell>
          <cell r="R42">
            <v>0.16372795969773299</v>
          </cell>
          <cell r="S42" t="str">
            <v>BAU</v>
          </cell>
          <cell r="T42" t="str">
            <v>BAU</v>
          </cell>
          <cell r="U42" t="str">
            <v>BAU</v>
          </cell>
          <cell r="V42" t="str">
            <v>NA</v>
          </cell>
          <cell r="W42" t="str">
            <v>KHR</v>
          </cell>
          <cell r="X42" t="str">
            <v>BAU</v>
          </cell>
          <cell r="Y42">
            <v>44700</v>
          </cell>
          <cell r="Z42">
            <v>134100</v>
          </cell>
          <cell r="AA42" t="str">
            <v/>
          </cell>
          <cell r="AB42" t="str">
            <v/>
          </cell>
          <cell r="AC42">
            <v>20300</v>
          </cell>
          <cell r="AD42">
            <v>60900</v>
          </cell>
          <cell r="AE42" t="str">
            <v>KHR</v>
          </cell>
          <cell r="AF42"/>
          <cell r="AG42">
            <v>7</v>
          </cell>
          <cell r="AH42">
            <v>44700</v>
          </cell>
          <cell r="AI42">
            <v>312900</v>
          </cell>
          <cell r="AJ42" t="str">
            <v/>
          </cell>
          <cell r="AK42" t="str">
            <v/>
          </cell>
          <cell r="AL42">
            <v>20300</v>
          </cell>
          <cell r="AM42">
            <v>142100</v>
          </cell>
        </row>
        <row r="43">
          <cell r="B43" t="str">
            <v>Cameroon</v>
          </cell>
          <cell r="C43" t="str">
            <v>Africa</v>
          </cell>
          <cell r="D43" t="str">
            <v>N</v>
          </cell>
          <cell r="E43">
            <v>1646</v>
          </cell>
          <cell r="F43" t="str">
            <v>USD</v>
          </cell>
          <cell r="G43" t="str">
            <v>N</v>
          </cell>
          <cell r="H43">
            <v>7.99</v>
          </cell>
          <cell r="I43">
            <v>9.99</v>
          </cell>
          <cell r="J43">
            <v>11.99</v>
          </cell>
          <cell r="K43" t="str">
            <v>NA</v>
          </cell>
          <cell r="L43" t="str">
            <v>Negligible</v>
          </cell>
          <cell r="M43">
            <v>122</v>
          </cell>
          <cell r="Q43">
            <v>0.69565217391304346</v>
          </cell>
          <cell r="R43">
            <v>0.30434782608695654</v>
          </cell>
          <cell r="S43" t="str">
            <v>BAU</v>
          </cell>
          <cell r="T43" t="str">
            <v>BAU</v>
          </cell>
          <cell r="U43" t="str">
            <v>BAU</v>
          </cell>
          <cell r="V43" t="str">
            <v>Senegal</v>
          </cell>
          <cell r="W43" t="str">
            <v>XAF</v>
          </cell>
          <cell r="X43" t="str">
            <v>BAU</v>
          </cell>
          <cell r="Y43">
            <v>6400</v>
          </cell>
          <cell r="Z43">
            <v>19200</v>
          </cell>
          <cell r="AA43" t="str">
            <v/>
          </cell>
          <cell r="AB43" t="str">
            <v/>
          </cell>
          <cell r="AC43">
            <v>2900</v>
          </cell>
          <cell r="AD43">
            <v>8700</v>
          </cell>
          <cell r="AE43" t="str">
            <v>XAF</v>
          </cell>
          <cell r="AF43"/>
          <cell r="AG43">
            <v>7</v>
          </cell>
          <cell r="AH43">
            <v>6400</v>
          </cell>
          <cell r="AI43">
            <v>44800</v>
          </cell>
          <cell r="AJ43" t="str">
            <v/>
          </cell>
          <cell r="AK43" t="str">
            <v/>
          </cell>
          <cell r="AL43">
            <v>2900</v>
          </cell>
          <cell r="AM43">
            <v>20300</v>
          </cell>
        </row>
        <row r="44">
          <cell r="B44" t="str">
            <v>Canada</v>
          </cell>
          <cell r="C44" t="str">
            <v>Canada</v>
          </cell>
          <cell r="D44" t="str">
            <v>Y</v>
          </cell>
          <cell r="E44">
            <v>52791</v>
          </cell>
          <cell r="F44" t="str">
            <v>CAD</v>
          </cell>
          <cell r="G44" t="str">
            <v>Y</v>
          </cell>
          <cell r="H44">
            <v>9.99</v>
          </cell>
          <cell r="I44">
            <v>14.99</v>
          </cell>
          <cell r="J44">
            <v>18.989999999999998</v>
          </cell>
          <cell r="K44">
            <v>1.9781306830476502E-2</v>
          </cell>
          <cell r="L44">
            <v>0.10334936675345308</v>
          </cell>
          <cell r="M44">
            <v>29347</v>
          </cell>
          <cell r="Q44">
            <v>0.74374271411917992</v>
          </cell>
          <cell r="R44">
            <v>0.25625728588082014</v>
          </cell>
          <cell r="S44" t="str">
            <v>BAU</v>
          </cell>
          <cell r="T44" t="str">
            <v>BAU</v>
          </cell>
          <cell r="U44" t="str">
            <v>BAU</v>
          </cell>
          <cell r="V44" t="str">
            <v>NA</v>
          </cell>
          <cell r="W44" t="str">
            <v>CAD</v>
          </cell>
          <cell r="X44" t="str">
            <v>BAU</v>
          </cell>
          <cell r="Y44">
            <v>29.99</v>
          </cell>
          <cell r="Z44">
            <v>89.99</v>
          </cell>
          <cell r="AA44">
            <v>36.99</v>
          </cell>
          <cell r="AB44">
            <v>109.99</v>
          </cell>
          <cell r="AC44">
            <v>19.989999999999998</v>
          </cell>
          <cell r="AD44">
            <v>59.99</v>
          </cell>
          <cell r="AE44" t="str">
            <v>CAD</v>
          </cell>
          <cell r="AF44"/>
          <cell r="AG44">
            <v>7</v>
          </cell>
          <cell r="AH44">
            <v>29.99</v>
          </cell>
          <cell r="AI44">
            <v>209.99</v>
          </cell>
          <cell r="AJ44">
            <v>36.99</v>
          </cell>
          <cell r="AK44">
            <v>258.99</v>
          </cell>
          <cell r="AL44">
            <v>19.989999999999998</v>
          </cell>
          <cell r="AM44">
            <v>139.99</v>
          </cell>
        </row>
        <row r="45">
          <cell r="B45" t="str">
            <v>Cape Verde</v>
          </cell>
          <cell r="C45" t="str">
            <v>Africa</v>
          </cell>
          <cell r="D45" t="str">
            <v>N</v>
          </cell>
          <cell r="E45">
            <v>3347</v>
          </cell>
          <cell r="F45" t="str">
            <v>USD</v>
          </cell>
          <cell r="G45" t="str">
            <v>N</v>
          </cell>
          <cell r="H45">
            <v>7.99</v>
          </cell>
          <cell r="I45">
            <v>9.99</v>
          </cell>
          <cell r="J45">
            <v>11.99</v>
          </cell>
          <cell r="K45" t="str">
            <v>NA</v>
          </cell>
          <cell r="L45" t="str">
            <v>Negligible</v>
          </cell>
          <cell r="M45">
            <v>30</v>
          </cell>
          <cell r="Q45">
            <v>0.54838709677419351</v>
          </cell>
          <cell r="R45">
            <v>0.45161290322580644</v>
          </cell>
          <cell r="S45" t="str">
            <v>BAU</v>
          </cell>
          <cell r="T45" t="str">
            <v>BAU</v>
          </cell>
          <cell r="U45" t="str">
            <v>BAU</v>
          </cell>
          <cell r="V45" t="str">
            <v>Ghana</v>
          </cell>
          <cell r="W45" t="str">
            <v>CVE</v>
          </cell>
          <cell r="X45" t="str">
            <v>BAU</v>
          </cell>
          <cell r="Y45">
            <v>1099.99</v>
          </cell>
          <cell r="Z45">
            <v>3299.99</v>
          </cell>
          <cell r="AA45" t="str">
            <v/>
          </cell>
          <cell r="AB45" t="str">
            <v/>
          </cell>
          <cell r="AC45">
            <v>489.99</v>
          </cell>
          <cell r="AD45">
            <v>1469.99</v>
          </cell>
          <cell r="AE45" t="str">
            <v>CVE</v>
          </cell>
          <cell r="AF45"/>
          <cell r="AG45">
            <v>7</v>
          </cell>
          <cell r="AH45">
            <v>1099.99</v>
          </cell>
          <cell r="AI45">
            <v>7699.99</v>
          </cell>
          <cell r="AJ45" t="str">
            <v/>
          </cell>
          <cell r="AK45" t="str">
            <v/>
          </cell>
          <cell r="AL45">
            <v>489.99</v>
          </cell>
          <cell r="AM45">
            <v>3429.99</v>
          </cell>
        </row>
        <row r="46">
          <cell r="B46" t="str">
            <v>Cayman Islands</v>
          </cell>
          <cell r="C46" t="str">
            <v>Latin America</v>
          </cell>
          <cell r="D46" t="str">
            <v>N</v>
          </cell>
          <cell r="E46">
            <v>2020</v>
          </cell>
          <cell r="F46" t="str">
            <v>USD</v>
          </cell>
          <cell r="G46" t="str">
            <v>Y</v>
          </cell>
          <cell r="H46">
            <v>8.99</v>
          </cell>
          <cell r="I46">
            <v>12.99</v>
          </cell>
          <cell r="J46">
            <v>15.99</v>
          </cell>
          <cell r="K46" t="str">
            <v>NA</v>
          </cell>
          <cell r="L46">
            <v>9.4594594594594517E-2</v>
          </cell>
          <cell r="M46">
            <v>301</v>
          </cell>
          <cell r="Q46">
            <v>0.6738351254480287</v>
          </cell>
          <cell r="R46">
            <v>0.32616487455197135</v>
          </cell>
          <cell r="S46" t="str">
            <v>BAU</v>
          </cell>
          <cell r="T46" t="str">
            <v>BAU</v>
          </cell>
          <cell r="U46" t="str">
            <v>BAU</v>
          </cell>
          <cell r="V46" t="str">
            <v>NA</v>
          </cell>
          <cell r="W46" t="str">
            <v>USD</v>
          </cell>
          <cell r="X46" t="str">
            <v>BAU</v>
          </cell>
          <cell r="Y46">
            <v>13.99</v>
          </cell>
          <cell r="Z46">
            <v>41.99</v>
          </cell>
          <cell r="AA46" t="str">
            <v/>
          </cell>
          <cell r="AB46" t="str">
            <v/>
          </cell>
          <cell r="AC46">
            <v>8.99</v>
          </cell>
          <cell r="AD46">
            <v>26.99</v>
          </cell>
          <cell r="AE46" t="str">
            <v>USD</v>
          </cell>
          <cell r="AF46"/>
          <cell r="AG46">
            <v>7</v>
          </cell>
          <cell r="AH46">
            <v>13.99</v>
          </cell>
          <cell r="AI46">
            <v>97.99</v>
          </cell>
          <cell r="AJ46" t="str">
            <v/>
          </cell>
          <cell r="AK46" t="str">
            <v/>
          </cell>
          <cell r="AL46">
            <v>8.99</v>
          </cell>
          <cell r="AM46">
            <v>62.99</v>
          </cell>
        </row>
        <row r="47">
          <cell r="B47" t="str">
            <v>Central African Republic</v>
          </cell>
          <cell r="C47" t="str">
            <v>Africa</v>
          </cell>
          <cell r="D47" t="str">
            <v>N</v>
          </cell>
          <cell r="E47">
            <v>526</v>
          </cell>
          <cell r="F47" t="str">
            <v>USD</v>
          </cell>
          <cell r="G47" t="str">
            <v>N</v>
          </cell>
          <cell r="H47">
            <v>7.99</v>
          </cell>
          <cell r="I47">
            <v>9.99</v>
          </cell>
          <cell r="J47">
            <v>11.99</v>
          </cell>
          <cell r="K47" t="str">
            <v>NA</v>
          </cell>
          <cell r="L47" t="str">
            <v>NA</v>
          </cell>
          <cell r="M47" t="str">
            <v>NA</v>
          </cell>
          <cell r="Q47" t="str">
            <v>NA</v>
          </cell>
          <cell r="R47" t="str">
            <v>NA</v>
          </cell>
          <cell r="S47" t="str">
            <v>BAU</v>
          </cell>
          <cell r="T47" t="str">
            <v>BAU</v>
          </cell>
          <cell r="U47" t="str">
            <v>BAU</v>
          </cell>
          <cell r="V47" t="str">
            <v>Uganda</v>
          </cell>
          <cell r="W47" t="str">
            <v>XAF</v>
          </cell>
          <cell r="X47" t="str">
            <v>BAU</v>
          </cell>
          <cell r="Y47">
            <v>5500</v>
          </cell>
          <cell r="Z47">
            <v>16500</v>
          </cell>
          <cell r="AA47" t="str">
            <v/>
          </cell>
          <cell r="AB47" t="str">
            <v/>
          </cell>
          <cell r="AC47">
            <v>2500</v>
          </cell>
          <cell r="AD47">
            <v>7500</v>
          </cell>
          <cell r="AE47" t="str">
            <v>XAF</v>
          </cell>
          <cell r="AF47"/>
          <cell r="AG47">
            <v>7</v>
          </cell>
          <cell r="AH47">
            <v>5500</v>
          </cell>
          <cell r="AI47">
            <v>38500</v>
          </cell>
          <cell r="AJ47" t="str">
            <v/>
          </cell>
          <cell r="AK47" t="str">
            <v/>
          </cell>
          <cell r="AL47">
            <v>2500</v>
          </cell>
          <cell r="AM47">
            <v>17500</v>
          </cell>
        </row>
        <row r="48">
          <cell r="B48" t="str">
            <v>Chad</v>
          </cell>
          <cell r="C48" t="str">
            <v>Africa</v>
          </cell>
          <cell r="D48" t="str">
            <v>N</v>
          </cell>
          <cell r="E48">
            <v>730</v>
          </cell>
          <cell r="F48" t="str">
            <v>USD</v>
          </cell>
          <cell r="G48" t="str">
            <v>N</v>
          </cell>
          <cell r="H48">
            <v>7.99</v>
          </cell>
          <cell r="I48">
            <v>9.99</v>
          </cell>
          <cell r="J48">
            <v>11.99</v>
          </cell>
          <cell r="K48" t="str">
            <v>NA</v>
          </cell>
          <cell r="L48" t="str">
            <v>Negligible</v>
          </cell>
          <cell r="M48">
            <v>1</v>
          </cell>
          <cell r="Q48">
            <v>0</v>
          </cell>
          <cell r="R48">
            <v>1</v>
          </cell>
          <cell r="S48" t="str">
            <v>BAU</v>
          </cell>
          <cell r="T48" t="str">
            <v>BAU</v>
          </cell>
          <cell r="U48" t="str">
            <v>BAU</v>
          </cell>
          <cell r="V48" t="str">
            <v>Uganda</v>
          </cell>
          <cell r="W48" t="str">
            <v>XAF</v>
          </cell>
          <cell r="X48" t="str">
            <v>BAU</v>
          </cell>
          <cell r="Y48">
            <v>6400</v>
          </cell>
          <cell r="Z48">
            <v>19200</v>
          </cell>
          <cell r="AA48" t="str">
            <v/>
          </cell>
          <cell r="AB48" t="str">
            <v/>
          </cell>
          <cell r="AC48">
            <v>2900</v>
          </cell>
          <cell r="AD48">
            <v>8700</v>
          </cell>
          <cell r="AE48" t="str">
            <v>XAF</v>
          </cell>
          <cell r="AF48"/>
          <cell r="AG48">
            <v>7</v>
          </cell>
          <cell r="AH48">
            <v>6400</v>
          </cell>
          <cell r="AI48">
            <v>44800</v>
          </cell>
          <cell r="AJ48" t="str">
            <v/>
          </cell>
          <cell r="AK48" t="str">
            <v/>
          </cell>
          <cell r="AL48">
            <v>2900</v>
          </cell>
          <cell r="AM48">
            <v>20300</v>
          </cell>
        </row>
        <row r="49">
          <cell r="B49" t="str">
            <v>Chile</v>
          </cell>
          <cell r="C49" t="str">
            <v>Latin America</v>
          </cell>
          <cell r="D49" t="str">
            <v>Y</v>
          </cell>
          <cell r="E49">
            <v>16799</v>
          </cell>
          <cell r="F49" t="str">
            <v>CLP</v>
          </cell>
          <cell r="G49" t="str">
            <v>Y</v>
          </cell>
          <cell r="H49">
            <v>5940</v>
          </cell>
          <cell r="I49">
            <v>8320</v>
          </cell>
          <cell r="J49">
            <v>10700</v>
          </cell>
          <cell r="K49">
            <v>3.5708868922013276E-2</v>
          </cell>
          <cell r="L49">
            <v>0.54906884285415369</v>
          </cell>
          <cell r="M49">
            <v>9031</v>
          </cell>
          <cell r="Q49">
            <v>0.50300272975432214</v>
          </cell>
          <cell r="R49">
            <v>0.49699727024567791</v>
          </cell>
          <cell r="S49" t="str">
            <v>BAU</v>
          </cell>
          <cell r="T49" t="str">
            <v>BAU</v>
          </cell>
          <cell r="U49" t="str">
            <v>BAU</v>
          </cell>
          <cell r="V49" t="str">
            <v>NA</v>
          </cell>
          <cell r="W49" t="str">
            <v>CLP</v>
          </cell>
          <cell r="X49" t="str">
            <v>BAU</v>
          </cell>
          <cell r="Y49">
            <v>11800</v>
          </cell>
          <cell r="Z49">
            <v>35400</v>
          </cell>
          <cell r="AA49">
            <v>14200</v>
          </cell>
          <cell r="AB49">
            <v>42600</v>
          </cell>
          <cell r="AC49">
            <v>7000</v>
          </cell>
          <cell r="AD49">
            <v>21000</v>
          </cell>
          <cell r="AE49" t="str">
            <v>CLP</v>
          </cell>
          <cell r="AF49"/>
          <cell r="AG49">
            <v>7</v>
          </cell>
          <cell r="AH49">
            <v>11800</v>
          </cell>
          <cell r="AI49">
            <v>82600</v>
          </cell>
          <cell r="AJ49">
            <v>14200</v>
          </cell>
          <cell r="AK49">
            <v>99400</v>
          </cell>
          <cell r="AL49">
            <v>7000</v>
          </cell>
          <cell r="AM49">
            <v>49000</v>
          </cell>
        </row>
        <row r="50">
          <cell r="B50" t="str">
            <v>Christmas Island</v>
          </cell>
          <cell r="C50" t="str">
            <v>Asia</v>
          </cell>
          <cell r="D50" t="str">
            <v>N</v>
          </cell>
          <cell r="E50" t="str">
            <v>NA</v>
          </cell>
          <cell r="F50" t="str">
            <v>USD</v>
          </cell>
          <cell r="G50" t="str">
            <v>N</v>
          </cell>
          <cell r="H50">
            <v>7.99</v>
          </cell>
          <cell r="I50">
            <v>9.99</v>
          </cell>
          <cell r="J50">
            <v>11.99</v>
          </cell>
          <cell r="K50" t="str">
            <v>NA</v>
          </cell>
          <cell r="L50" t="str">
            <v>Negligible</v>
          </cell>
          <cell r="M50">
            <v>3</v>
          </cell>
          <cell r="Q50">
            <v>0.5</v>
          </cell>
          <cell r="R50">
            <v>0.5</v>
          </cell>
          <cell r="S50" t="str">
            <v>BAU</v>
          </cell>
          <cell r="T50" t="str">
            <v>BAU</v>
          </cell>
          <cell r="U50" t="str">
            <v>BAU</v>
          </cell>
          <cell r="V50" t="str">
            <v>French Polynesia</v>
          </cell>
          <cell r="W50" t="str">
            <v>AUD</v>
          </cell>
          <cell r="X50" t="str">
            <v>BAU</v>
          </cell>
          <cell r="Y50">
            <v>19.989999999999998</v>
          </cell>
          <cell r="Z50">
            <v>59.99</v>
          </cell>
          <cell r="AA50" t="str">
            <v/>
          </cell>
          <cell r="AB50" t="str">
            <v/>
          </cell>
          <cell r="AC50">
            <v>12.99</v>
          </cell>
          <cell r="AD50">
            <v>38.99</v>
          </cell>
          <cell r="AE50" t="str">
            <v>AUD</v>
          </cell>
          <cell r="AF50"/>
          <cell r="AG50">
            <v>7</v>
          </cell>
          <cell r="AH50">
            <v>19.989999999999998</v>
          </cell>
          <cell r="AI50">
            <v>139.99</v>
          </cell>
          <cell r="AJ50" t="str">
            <v/>
          </cell>
          <cell r="AK50" t="str">
            <v/>
          </cell>
          <cell r="AL50">
            <v>12.99</v>
          </cell>
          <cell r="AM50">
            <v>90.99</v>
          </cell>
        </row>
        <row r="51">
          <cell r="B51" t="str">
            <v>Cocos (Keeling) Island</v>
          </cell>
          <cell r="C51" t="str">
            <v>Asia</v>
          </cell>
          <cell r="D51" t="str">
            <v>N</v>
          </cell>
          <cell r="E51" t="str">
            <v>NA</v>
          </cell>
          <cell r="F51" t="str">
            <v>AUD</v>
          </cell>
          <cell r="G51" t="str">
            <v>Y</v>
          </cell>
          <cell r="H51">
            <v>10.99</v>
          </cell>
          <cell r="I51">
            <v>16.989999999999998</v>
          </cell>
          <cell r="J51">
            <v>22.99</v>
          </cell>
          <cell r="K51" t="str">
            <v>NA</v>
          </cell>
          <cell r="L51" t="str">
            <v>NA</v>
          </cell>
          <cell r="M51" t="str">
            <v>NA</v>
          </cell>
          <cell r="Q51" t="str">
            <v>NA</v>
          </cell>
          <cell r="R51" t="str">
            <v>NA</v>
          </cell>
          <cell r="S51" t="str">
            <v>BAU</v>
          </cell>
          <cell r="T51" t="str">
            <v>BAU</v>
          </cell>
          <cell r="U51" t="str">
            <v>BAU</v>
          </cell>
          <cell r="V51" t="str">
            <v>Australia</v>
          </cell>
          <cell r="W51" t="str">
            <v>AUD</v>
          </cell>
          <cell r="X51" t="str">
            <v>BAU</v>
          </cell>
          <cell r="Y51">
            <v>19.989999999999998</v>
          </cell>
          <cell r="Z51">
            <v>59.99</v>
          </cell>
          <cell r="AA51" t="str">
            <v/>
          </cell>
          <cell r="AB51" t="str">
            <v/>
          </cell>
          <cell r="AC51">
            <v>12.99</v>
          </cell>
          <cell r="AD51">
            <v>38.99</v>
          </cell>
          <cell r="AE51" t="str">
            <v>AUD</v>
          </cell>
          <cell r="AF51"/>
          <cell r="AG51">
            <v>7</v>
          </cell>
          <cell r="AH51">
            <v>19.989999999999998</v>
          </cell>
          <cell r="AI51">
            <v>139.99</v>
          </cell>
          <cell r="AJ51" t="str">
            <v/>
          </cell>
          <cell r="AK51" t="str">
            <v/>
          </cell>
          <cell r="AL51">
            <v>12.99</v>
          </cell>
          <cell r="AM51">
            <v>90.99</v>
          </cell>
        </row>
        <row r="52">
          <cell r="B52" t="str">
            <v>Colombia</v>
          </cell>
          <cell r="C52" t="str">
            <v>Latin America</v>
          </cell>
          <cell r="D52" t="str">
            <v>Y</v>
          </cell>
          <cell r="E52">
            <v>5892</v>
          </cell>
          <cell r="F52" t="str">
            <v>COP</v>
          </cell>
          <cell r="G52" t="str">
            <v>Y</v>
          </cell>
          <cell r="H52">
            <v>16900</v>
          </cell>
          <cell r="I52">
            <v>26900</v>
          </cell>
          <cell r="J52">
            <v>38900</v>
          </cell>
          <cell r="K52">
            <v>2.6349408595788288E-2</v>
          </cell>
          <cell r="L52">
            <v>0.53278381416260778</v>
          </cell>
          <cell r="M52">
            <v>4938</v>
          </cell>
          <cell r="Q52">
            <v>0.6583482944344704</v>
          </cell>
          <cell r="R52">
            <v>0.3416517055655296</v>
          </cell>
          <cell r="S52">
            <v>4.8891337281366201E-2</v>
          </cell>
          <cell r="T52">
            <v>2.8000000000000001E-2</v>
          </cell>
          <cell r="U52">
            <v>-0.42730140845070419</v>
          </cell>
          <cell r="V52" t="str">
            <v>NA</v>
          </cell>
          <cell r="W52" t="str">
            <v>COP</v>
          </cell>
          <cell r="X52" t="str">
            <v>Steeper than BAU</v>
          </cell>
          <cell r="Y52">
            <v>37700</v>
          </cell>
          <cell r="Z52">
            <v>112900</v>
          </cell>
          <cell r="AA52" t="str">
            <v/>
          </cell>
          <cell r="AB52" t="str">
            <v/>
          </cell>
          <cell r="AC52">
            <v>28900</v>
          </cell>
          <cell r="AD52">
            <v>102700</v>
          </cell>
          <cell r="AE52" t="str">
            <v>COP</v>
          </cell>
          <cell r="AF52"/>
          <cell r="AG52">
            <v>7</v>
          </cell>
          <cell r="AH52">
            <v>37700</v>
          </cell>
          <cell r="AI52">
            <v>263900</v>
          </cell>
          <cell r="AJ52" t="str">
            <v/>
          </cell>
          <cell r="AK52" t="str">
            <v/>
          </cell>
          <cell r="AL52">
            <v>28900</v>
          </cell>
          <cell r="AM52">
            <v>202300</v>
          </cell>
        </row>
        <row r="53">
          <cell r="B53" t="str">
            <v>Comoros</v>
          </cell>
          <cell r="C53" t="str">
            <v>Africa</v>
          </cell>
          <cell r="D53" t="str">
            <v>N</v>
          </cell>
          <cell r="E53">
            <v>1390</v>
          </cell>
          <cell r="F53" t="str">
            <v>USD</v>
          </cell>
          <cell r="G53" t="str">
            <v>N</v>
          </cell>
          <cell r="H53">
            <v>7.99</v>
          </cell>
          <cell r="I53">
            <v>9.99</v>
          </cell>
          <cell r="J53">
            <v>11.99</v>
          </cell>
          <cell r="K53" t="str">
            <v>NA</v>
          </cell>
          <cell r="L53" t="str">
            <v>Negligible</v>
          </cell>
          <cell r="M53">
            <v>2</v>
          </cell>
          <cell r="Q53" t="str">
            <v>NA</v>
          </cell>
          <cell r="R53" t="str">
            <v>NA</v>
          </cell>
          <cell r="S53" t="str">
            <v>BAU</v>
          </cell>
          <cell r="T53" t="str">
            <v>BAU</v>
          </cell>
          <cell r="U53" t="str">
            <v>BAU</v>
          </cell>
          <cell r="V53" t="str">
            <v>Tanzania</v>
          </cell>
          <cell r="W53" t="str">
            <v>KMF</v>
          </cell>
          <cell r="X53" t="str">
            <v>BAU</v>
          </cell>
          <cell r="Y53">
            <v>4800</v>
          </cell>
          <cell r="Z53">
            <v>14400</v>
          </cell>
          <cell r="AA53" t="str">
            <v/>
          </cell>
          <cell r="AB53" t="str">
            <v/>
          </cell>
          <cell r="AC53">
            <v>2200</v>
          </cell>
          <cell r="AD53">
            <v>6600</v>
          </cell>
          <cell r="AE53" t="str">
            <v>KMF</v>
          </cell>
          <cell r="AF53"/>
          <cell r="AG53">
            <v>7</v>
          </cell>
          <cell r="AH53">
            <v>4800</v>
          </cell>
          <cell r="AI53">
            <v>33600</v>
          </cell>
          <cell r="AJ53" t="str">
            <v/>
          </cell>
          <cell r="AK53" t="str">
            <v/>
          </cell>
          <cell r="AL53">
            <v>2200</v>
          </cell>
          <cell r="AM53">
            <v>15400</v>
          </cell>
        </row>
        <row r="54">
          <cell r="B54" t="str">
            <v>Congo</v>
          </cell>
          <cell r="C54" t="str">
            <v>Africa</v>
          </cell>
          <cell r="D54" t="str">
            <v>N</v>
          </cell>
          <cell r="E54">
            <v>2656</v>
          </cell>
          <cell r="F54" t="str">
            <v>USD</v>
          </cell>
          <cell r="G54" t="str">
            <v>N</v>
          </cell>
          <cell r="H54">
            <v>7.99</v>
          </cell>
          <cell r="I54">
            <v>9.99</v>
          </cell>
          <cell r="J54">
            <v>11.99</v>
          </cell>
          <cell r="K54" t="str">
            <v>NA</v>
          </cell>
          <cell r="L54" t="str">
            <v>Negligible</v>
          </cell>
          <cell r="M54">
            <v>27</v>
          </cell>
          <cell r="Q54">
            <v>0.66666666666666663</v>
          </cell>
          <cell r="R54">
            <v>0.33333333333333331</v>
          </cell>
          <cell r="S54" t="str">
            <v>BAU</v>
          </cell>
          <cell r="T54" t="str">
            <v>BAU</v>
          </cell>
          <cell r="U54" t="str">
            <v>BAU</v>
          </cell>
          <cell r="V54" t="str">
            <v>Ghana</v>
          </cell>
          <cell r="W54" t="str">
            <v>XAF</v>
          </cell>
          <cell r="X54" t="str">
            <v>BAU</v>
          </cell>
          <cell r="Y54">
            <v>6400</v>
          </cell>
          <cell r="Z54">
            <v>19200</v>
          </cell>
          <cell r="AA54" t="str">
            <v/>
          </cell>
          <cell r="AB54" t="str">
            <v/>
          </cell>
          <cell r="AC54">
            <v>2900</v>
          </cell>
          <cell r="AD54">
            <v>8700</v>
          </cell>
          <cell r="AE54" t="str">
            <v>XAF</v>
          </cell>
          <cell r="AF54"/>
          <cell r="AG54">
            <v>7</v>
          </cell>
          <cell r="AH54">
            <v>6400</v>
          </cell>
          <cell r="AI54">
            <v>44800</v>
          </cell>
          <cell r="AJ54" t="str">
            <v/>
          </cell>
          <cell r="AK54" t="str">
            <v/>
          </cell>
          <cell r="AL54">
            <v>2900</v>
          </cell>
          <cell r="AM54">
            <v>20300</v>
          </cell>
        </row>
        <row r="55">
          <cell r="B55" t="str">
            <v>Democratic Republic of Congo</v>
          </cell>
          <cell r="C55" t="str">
            <v>Africa</v>
          </cell>
          <cell r="D55" t="str">
            <v>N</v>
          </cell>
          <cell r="E55" t="str">
            <v>NA</v>
          </cell>
          <cell r="F55" t="str">
            <v>USD</v>
          </cell>
          <cell r="G55" t="str">
            <v>Y</v>
          </cell>
          <cell r="H55">
            <v>7.99</v>
          </cell>
          <cell r="I55">
            <v>9.99</v>
          </cell>
          <cell r="J55">
            <v>11.99</v>
          </cell>
          <cell r="K55" t="str">
            <v>NA</v>
          </cell>
          <cell r="L55" t="e">
            <v>#N/A</v>
          </cell>
          <cell r="M55" t="str">
            <v>NA</v>
          </cell>
          <cell r="Q55" t="str">
            <v>NA</v>
          </cell>
          <cell r="R55" t="str">
            <v>NA</v>
          </cell>
          <cell r="S55" t="str">
            <v>BAU</v>
          </cell>
          <cell r="T55" t="str">
            <v>BAU</v>
          </cell>
          <cell r="U55" t="str">
            <v>BAU</v>
          </cell>
          <cell r="V55" t="str">
            <v>Cote D'Ivoire</v>
          </cell>
          <cell r="W55" t="str">
            <v>CDF</v>
          </cell>
          <cell r="X55" t="str">
            <v>BAU</v>
          </cell>
          <cell r="Y55">
            <v>17800</v>
          </cell>
          <cell r="Z55">
            <v>53400</v>
          </cell>
          <cell r="AA55" t="str">
            <v/>
          </cell>
          <cell r="AB55" t="str">
            <v/>
          </cell>
          <cell r="AC55">
            <v>8100</v>
          </cell>
          <cell r="AD55">
            <v>24300</v>
          </cell>
          <cell r="AE55" t="str">
            <v>USD</v>
          </cell>
          <cell r="AF55">
            <v>5.0058820000000001E-4</v>
          </cell>
          <cell r="AG55">
            <v>7</v>
          </cell>
          <cell r="AH55">
            <v>8.99</v>
          </cell>
          <cell r="AI55">
            <v>62.99</v>
          </cell>
          <cell r="AJ55" t="str">
            <v/>
          </cell>
          <cell r="AK55" t="str">
            <v/>
          </cell>
          <cell r="AL55">
            <v>7.99</v>
          </cell>
          <cell r="AM55">
            <v>55.99</v>
          </cell>
        </row>
        <row r="56">
          <cell r="B56" t="str">
            <v>Cook Islands</v>
          </cell>
          <cell r="C56" t="str">
            <v>Asia</v>
          </cell>
          <cell r="D56" t="str">
            <v>N</v>
          </cell>
          <cell r="E56">
            <v>2020</v>
          </cell>
          <cell r="F56" t="str">
            <v>NZD</v>
          </cell>
          <cell r="G56" t="str">
            <v>Y</v>
          </cell>
          <cell r="H56">
            <v>12.99</v>
          </cell>
          <cell r="I56">
            <v>18.489999999999998</v>
          </cell>
          <cell r="J56">
            <v>24.99</v>
          </cell>
          <cell r="K56" t="str">
            <v>NA</v>
          </cell>
          <cell r="L56" t="str">
            <v>Negligible</v>
          </cell>
          <cell r="M56">
            <v>4</v>
          </cell>
          <cell r="Q56">
            <v>0.5</v>
          </cell>
          <cell r="R56">
            <v>0.5</v>
          </cell>
          <cell r="S56" t="str">
            <v>BAU</v>
          </cell>
          <cell r="T56" t="str">
            <v>BAU</v>
          </cell>
          <cell r="U56" t="str">
            <v>BAU</v>
          </cell>
          <cell r="V56" t="str">
            <v>New Zealand</v>
          </cell>
          <cell r="W56" t="str">
            <v>NZD</v>
          </cell>
          <cell r="X56" t="str">
            <v>BAU</v>
          </cell>
          <cell r="Y56">
            <v>20.99</v>
          </cell>
          <cell r="Z56">
            <v>62.99</v>
          </cell>
          <cell r="AA56" t="str">
            <v/>
          </cell>
          <cell r="AB56" t="str">
            <v/>
          </cell>
          <cell r="AC56">
            <v>13.99</v>
          </cell>
          <cell r="AD56">
            <v>41.99</v>
          </cell>
          <cell r="AE56" t="str">
            <v>NZD</v>
          </cell>
          <cell r="AF56"/>
          <cell r="AG56">
            <v>7</v>
          </cell>
          <cell r="AH56">
            <v>20.99</v>
          </cell>
          <cell r="AI56">
            <v>146.99</v>
          </cell>
          <cell r="AJ56" t="str">
            <v/>
          </cell>
          <cell r="AK56" t="str">
            <v/>
          </cell>
          <cell r="AL56">
            <v>13.99</v>
          </cell>
          <cell r="AM56">
            <v>97.99</v>
          </cell>
        </row>
        <row r="57">
          <cell r="B57" t="str">
            <v>Costa Rica</v>
          </cell>
          <cell r="C57" t="str">
            <v>Latin America</v>
          </cell>
          <cell r="D57" t="str">
            <v>Y</v>
          </cell>
          <cell r="E57">
            <v>11860</v>
          </cell>
          <cell r="F57" t="str">
            <v>USD</v>
          </cell>
          <cell r="G57" t="str">
            <v>N</v>
          </cell>
          <cell r="H57">
            <v>8.99</v>
          </cell>
          <cell r="I57">
            <v>12.99</v>
          </cell>
          <cell r="J57">
            <v>15.99</v>
          </cell>
          <cell r="K57">
            <v>4.0867600199495931E-2</v>
          </cell>
          <cell r="L57">
            <v>0.17137592137592139</v>
          </cell>
          <cell r="M57">
            <v>2302</v>
          </cell>
          <cell r="Q57">
            <v>0.46262699564586357</v>
          </cell>
          <cell r="R57">
            <v>0.53737300435413637</v>
          </cell>
          <cell r="S57" t="str">
            <v>BAU</v>
          </cell>
          <cell r="T57" t="str">
            <v>BAU</v>
          </cell>
          <cell r="U57" t="str">
            <v>BAU</v>
          </cell>
          <cell r="V57" t="str">
            <v>NA</v>
          </cell>
          <cell r="W57" t="str">
            <v>CRC</v>
          </cell>
          <cell r="X57" t="str">
            <v>BAU</v>
          </cell>
          <cell r="Y57">
            <v>10000</v>
          </cell>
          <cell r="Z57">
            <v>30000</v>
          </cell>
          <cell r="AA57">
            <v>11800</v>
          </cell>
          <cell r="AB57">
            <v>35400</v>
          </cell>
          <cell r="AC57">
            <v>5900</v>
          </cell>
          <cell r="AD57">
            <v>17700</v>
          </cell>
          <cell r="AE57" t="str">
            <v>CRC</v>
          </cell>
          <cell r="AF57"/>
          <cell r="AG57">
            <v>7</v>
          </cell>
          <cell r="AH57">
            <v>10000</v>
          </cell>
          <cell r="AI57">
            <v>70000</v>
          </cell>
          <cell r="AJ57">
            <v>11800</v>
          </cell>
          <cell r="AK57">
            <v>82600</v>
          </cell>
          <cell r="AL57">
            <v>5900</v>
          </cell>
          <cell r="AM57">
            <v>41300</v>
          </cell>
        </row>
        <row r="58">
          <cell r="B58" t="str">
            <v>Cote D'Ivoire</v>
          </cell>
          <cell r="C58" t="str">
            <v>Africa</v>
          </cell>
          <cell r="D58" t="str">
            <v>N</v>
          </cell>
          <cell r="E58" t="str">
            <v>NA</v>
          </cell>
          <cell r="F58" t="str">
            <v>USD</v>
          </cell>
          <cell r="G58" t="str">
            <v>N</v>
          </cell>
          <cell r="H58">
            <v>7.99</v>
          </cell>
          <cell r="I58">
            <v>9.99</v>
          </cell>
          <cell r="J58">
            <v>11.99</v>
          </cell>
          <cell r="K58" t="str">
            <v>NA</v>
          </cell>
          <cell r="L58">
            <v>3.2941176470588234</v>
          </cell>
          <cell r="M58">
            <v>205</v>
          </cell>
          <cell r="Q58">
            <v>0.62616822429906538</v>
          </cell>
          <cell r="R58">
            <v>0.37383177570093457</v>
          </cell>
          <cell r="S58" t="str">
            <v>BAU</v>
          </cell>
          <cell r="T58" t="str">
            <v>BAU</v>
          </cell>
          <cell r="U58" t="str">
            <v>BAU</v>
          </cell>
          <cell r="V58" t="str">
            <v>NA</v>
          </cell>
          <cell r="W58" t="str">
            <v>XOF</v>
          </cell>
          <cell r="X58" t="str">
            <v>BAU</v>
          </cell>
          <cell r="Y58">
            <v>5500</v>
          </cell>
          <cell r="Z58">
            <v>16500</v>
          </cell>
          <cell r="AA58" t="str">
            <v/>
          </cell>
          <cell r="AB58" t="str">
            <v/>
          </cell>
          <cell r="AC58">
            <v>2500</v>
          </cell>
          <cell r="AD58">
            <v>7500</v>
          </cell>
          <cell r="AE58" t="str">
            <v>XOF</v>
          </cell>
          <cell r="AF58"/>
          <cell r="AG58">
            <v>7</v>
          </cell>
          <cell r="AH58">
            <v>5500</v>
          </cell>
          <cell r="AI58">
            <v>38500</v>
          </cell>
          <cell r="AJ58" t="str">
            <v/>
          </cell>
          <cell r="AK58" t="str">
            <v/>
          </cell>
          <cell r="AL58">
            <v>2500</v>
          </cell>
          <cell r="AM58">
            <v>17500</v>
          </cell>
        </row>
        <row r="59">
          <cell r="B59" t="str">
            <v>Croatia</v>
          </cell>
          <cell r="C59" t="str">
            <v>Europe</v>
          </cell>
          <cell r="D59" t="str">
            <v>N</v>
          </cell>
          <cell r="E59">
            <v>15808</v>
          </cell>
          <cell r="F59" t="str">
            <v>EUR</v>
          </cell>
          <cell r="G59" t="str">
            <v>N</v>
          </cell>
          <cell r="H59">
            <v>7.99</v>
          </cell>
          <cell r="I59">
            <v>9.99</v>
          </cell>
          <cell r="J59">
            <v>11.99</v>
          </cell>
          <cell r="K59">
            <v>1.9828246317650653E-2</v>
          </cell>
          <cell r="L59">
            <v>1.681759379042691E-2</v>
          </cell>
          <cell r="M59">
            <v>949</v>
          </cell>
          <cell r="Q59">
            <v>0.43681085665818492</v>
          </cell>
          <cell r="R59">
            <v>0.56318914334181513</v>
          </cell>
          <cell r="S59" t="str">
            <v>BAU</v>
          </cell>
          <cell r="T59" t="str">
            <v>BAU</v>
          </cell>
          <cell r="U59" t="str">
            <v>BAU</v>
          </cell>
          <cell r="V59" t="str">
            <v>NA</v>
          </cell>
          <cell r="W59" t="str">
            <v>HRK</v>
          </cell>
          <cell r="X59" t="str">
            <v>BAU</v>
          </cell>
          <cell r="Y59">
            <v>129.99</v>
          </cell>
          <cell r="Z59">
            <v>389.99</v>
          </cell>
          <cell r="AA59">
            <v>148.99</v>
          </cell>
          <cell r="AB59">
            <v>446.99</v>
          </cell>
          <cell r="AC59">
            <v>71.989999999999995</v>
          </cell>
          <cell r="AD59">
            <v>215.99</v>
          </cell>
          <cell r="AE59" t="str">
            <v>HRK</v>
          </cell>
          <cell r="AF59"/>
          <cell r="AG59">
            <v>7</v>
          </cell>
          <cell r="AH59">
            <v>129.99</v>
          </cell>
          <cell r="AI59">
            <v>909.99</v>
          </cell>
          <cell r="AJ59">
            <v>148.99</v>
          </cell>
          <cell r="AK59">
            <v>1042.99</v>
          </cell>
          <cell r="AL59">
            <v>71.989999999999995</v>
          </cell>
          <cell r="AM59">
            <v>503.99</v>
          </cell>
        </row>
        <row r="60">
          <cell r="B60" t="str">
            <v>Curacao</v>
          </cell>
          <cell r="C60" t="str">
            <v>Latin America</v>
          </cell>
          <cell r="D60" t="str">
            <v>N</v>
          </cell>
          <cell r="E60" t="str">
            <v>NA</v>
          </cell>
          <cell r="F60" t="str">
            <v>USD</v>
          </cell>
          <cell r="G60" t="str">
            <v>N</v>
          </cell>
          <cell r="H60">
            <v>8.99</v>
          </cell>
          <cell r="I60">
            <v>12.99</v>
          </cell>
          <cell r="J60">
            <v>15.99</v>
          </cell>
          <cell r="K60" t="str">
            <v>NA</v>
          </cell>
          <cell r="L60">
            <v>3.0303030303030276E-2</v>
          </cell>
          <cell r="M60">
            <v>121</v>
          </cell>
          <cell r="Q60">
            <v>0.7265625</v>
          </cell>
          <cell r="R60">
            <v>0.2734375</v>
          </cell>
          <cell r="S60" t="str">
            <v>BAU</v>
          </cell>
          <cell r="T60" t="str">
            <v>BAU</v>
          </cell>
          <cell r="U60" t="str">
            <v>BAU</v>
          </cell>
          <cell r="V60" t="str">
            <v>NA</v>
          </cell>
          <cell r="W60" t="str">
            <v>ANG</v>
          </cell>
          <cell r="X60" t="str">
            <v>BAU</v>
          </cell>
          <cell r="Y60">
            <v>24.99</v>
          </cell>
          <cell r="Z60">
            <v>74.989999999999995</v>
          </cell>
          <cell r="AA60" t="str">
            <v/>
          </cell>
          <cell r="AB60" t="str">
            <v/>
          </cell>
          <cell r="AC60">
            <v>15.99</v>
          </cell>
          <cell r="AD60">
            <v>47.99</v>
          </cell>
          <cell r="AE60" t="str">
            <v>ANG</v>
          </cell>
          <cell r="AF60"/>
          <cell r="AG60">
            <v>7</v>
          </cell>
          <cell r="AH60">
            <v>24.99</v>
          </cell>
          <cell r="AI60">
            <v>174.99</v>
          </cell>
          <cell r="AJ60" t="str">
            <v/>
          </cell>
          <cell r="AK60" t="str">
            <v/>
          </cell>
          <cell r="AL60">
            <v>15.99</v>
          </cell>
          <cell r="AM60">
            <v>111.99</v>
          </cell>
        </row>
        <row r="61">
          <cell r="B61" t="str">
            <v>Cyprus</v>
          </cell>
          <cell r="C61" t="str">
            <v>Europe</v>
          </cell>
          <cell r="D61" t="str">
            <v>N</v>
          </cell>
          <cell r="E61">
            <v>29486</v>
          </cell>
          <cell r="F61" t="str">
            <v>EUR</v>
          </cell>
          <cell r="G61" t="str">
            <v>Y</v>
          </cell>
          <cell r="H61">
            <v>7.99</v>
          </cell>
          <cell r="I61">
            <v>10.99</v>
          </cell>
          <cell r="J61">
            <v>13.99</v>
          </cell>
          <cell r="K61" t="str">
            <v>NA</v>
          </cell>
          <cell r="L61">
            <v>0.14628820960698685</v>
          </cell>
          <cell r="M61">
            <v>617</v>
          </cell>
          <cell r="Q61">
            <v>0.66712707182320441</v>
          </cell>
          <cell r="R61">
            <v>0.33287292817679559</v>
          </cell>
          <cell r="S61" t="str">
            <v>BAU</v>
          </cell>
          <cell r="T61" t="str">
            <v>BAU</v>
          </cell>
          <cell r="U61" t="str">
            <v>BAU</v>
          </cell>
          <cell r="V61" t="str">
            <v>NA</v>
          </cell>
          <cell r="W61" t="str">
            <v>EUR</v>
          </cell>
          <cell r="X61" t="str">
            <v>BAU</v>
          </cell>
          <cell r="Y61">
            <v>11.99</v>
          </cell>
          <cell r="Z61">
            <v>34.99</v>
          </cell>
          <cell r="AA61" t="str">
            <v/>
          </cell>
          <cell r="AB61" t="str">
            <v/>
          </cell>
          <cell r="AC61">
            <v>7.99</v>
          </cell>
          <cell r="AD61">
            <v>23.99</v>
          </cell>
          <cell r="AE61" t="str">
            <v>EUR</v>
          </cell>
          <cell r="AF61"/>
          <cell r="AG61">
            <v>7</v>
          </cell>
          <cell r="AH61">
            <v>11.99</v>
          </cell>
          <cell r="AI61">
            <v>83.99</v>
          </cell>
          <cell r="AJ61" t="str">
            <v/>
          </cell>
          <cell r="AK61" t="str">
            <v/>
          </cell>
          <cell r="AL61">
            <v>7.99</v>
          </cell>
          <cell r="AM61">
            <v>55.99</v>
          </cell>
        </row>
        <row r="62">
          <cell r="B62" t="str">
            <v>Czech Republic</v>
          </cell>
          <cell r="C62" t="str">
            <v>Europe</v>
          </cell>
          <cell r="D62" t="str">
            <v>N</v>
          </cell>
          <cell r="E62">
            <v>25806</v>
          </cell>
          <cell r="F62" t="str">
            <v>CZK</v>
          </cell>
          <cell r="G62" t="str">
            <v>Y</v>
          </cell>
          <cell r="H62">
            <v>199</v>
          </cell>
          <cell r="I62">
            <v>259</v>
          </cell>
          <cell r="J62">
            <v>319</v>
          </cell>
          <cell r="K62">
            <v>2.3772608163175085E-2</v>
          </cell>
          <cell r="L62">
            <v>9.4496365524402881E-2</v>
          </cell>
          <cell r="M62">
            <v>1244</v>
          </cell>
          <cell r="Q62">
            <v>0.64388489208633093</v>
          </cell>
          <cell r="R62">
            <v>0.35611510791366907</v>
          </cell>
          <cell r="S62" t="str">
            <v>BAU</v>
          </cell>
          <cell r="T62" t="str">
            <v>BAU</v>
          </cell>
          <cell r="U62" t="str">
            <v>BAU</v>
          </cell>
          <cell r="V62" t="str">
            <v>NA</v>
          </cell>
          <cell r="W62" t="str">
            <v>CZK</v>
          </cell>
          <cell r="X62" t="str">
            <v>BAU</v>
          </cell>
          <cell r="Y62">
            <v>450</v>
          </cell>
          <cell r="Z62">
            <v>1350</v>
          </cell>
          <cell r="AA62">
            <v>518</v>
          </cell>
          <cell r="AB62">
            <v>1550</v>
          </cell>
          <cell r="AC62">
            <v>250</v>
          </cell>
          <cell r="AD62">
            <v>750</v>
          </cell>
          <cell r="AE62" t="str">
            <v>CZK</v>
          </cell>
          <cell r="AF62"/>
          <cell r="AG62">
            <v>7</v>
          </cell>
          <cell r="AH62">
            <v>450</v>
          </cell>
          <cell r="AI62">
            <v>3150</v>
          </cell>
          <cell r="AJ62">
            <v>518</v>
          </cell>
          <cell r="AK62">
            <v>3630</v>
          </cell>
          <cell r="AL62">
            <v>250</v>
          </cell>
          <cell r="AM62">
            <v>1750</v>
          </cell>
        </row>
        <row r="63">
          <cell r="B63" t="str">
            <v>Denmark</v>
          </cell>
          <cell r="C63" t="str">
            <v>Europe</v>
          </cell>
          <cell r="D63" t="str">
            <v>Y</v>
          </cell>
          <cell r="E63">
            <v>67920</v>
          </cell>
          <cell r="F63" t="str">
            <v>DKK</v>
          </cell>
          <cell r="G63" t="str">
            <v>Y</v>
          </cell>
          <cell r="H63">
            <v>79</v>
          </cell>
          <cell r="I63">
            <v>99</v>
          </cell>
          <cell r="J63">
            <v>129</v>
          </cell>
          <cell r="K63">
            <v>3.2786402760331151E-2</v>
          </cell>
          <cell r="L63">
            <v>1.721763085399397E-3</v>
          </cell>
          <cell r="M63">
            <v>3526</v>
          </cell>
          <cell r="Q63">
            <v>0.53198505165970544</v>
          </cell>
          <cell r="R63">
            <v>0.46801494834029456</v>
          </cell>
          <cell r="S63">
            <v>7.0199999999999999E-2</v>
          </cell>
          <cell r="T63">
            <v>5.9400000000000001E-2</v>
          </cell>
          <cell r="U63">
            <v>-0.15384615384615385</v>
          </cell>
          <cell r="V63" t="str">
            <v>NA</v>
          </cell>
          <cell r="W63" t="str">
            <v>DKK</v>
          </cell>
          <cell r="X63" t="str">
            <v>Steeper than BAU</v>
          </cell>
          <cell r="Y63">
            <v>139</v>
          </cell>
          <cell r="Z63">
            <v>417</v>
          </cell>
          <cell r="AA63">
            <v>199</v>
          </cell>
          <cell r="AB63">
            <v>627</v>
          </cell>
          <cell r="AC63">
            <v>109</v>
          </cell>
          <cell r="AD63">
            <v>378</v>
          </cell>
          <cell r="AE63" t="str">
            <v>DKK</v>
          </cell>
          <cell r="AF63"/>
          <cell r="AG63">
            <v>7</v>
          </cell>
          <cell r="AH63">
            <v>139</v>
          </cell>
          <cell r="AI63">
            <v>970</v>
          </cell>
          <cell r="AJ63">
            <v>199</v>
          </cell>
          <cell r="AK63">
            <v>1390</v>
          </cell>
          <cell r="AL63">
            <v>109</v>
          </cell>
          <cell r="AM63">
            <v>760</v>
          </cell>
        </row>
        <row r="64">
          <cell r="B64" t="str">
            <v>Djibouti</v>
          </cell>
          <cell r="C64" t="str">
            <v>Africa</v>
          </cell>
          <cell r="D64" t="str">
            <v>N</v>
          </cell>
          <cell r="E64">
            <v>3646</v>
          </cell>
          <cell r="F64" t="str">
            <v>USD</v>
          </cell>
          <cell r="G64" t="str">
            <v>N</v>
          </cell>
          <cell r="H64">
            <v>7.99</v>
          </cell>
          <cell r="I64">
            <v>9.99</v>
          </cell>
          <cell r="J64">
            <v>11.99</v>
          </cell>
          <cell r="K64" t="str">
            <v>NA</v>
          </cell>
          <cell r="L64" t="str">
            <v>Negligible</v>
          </cell>
          <cell r="M64">
            <v>16</v>
          </cell>
          <cell r="Q64">
            <v>0.66666666666666663</v>
          </cell>
          <cell r="R64">
            <v>0.33333333333333331</v>
          </cell>
          <cell r="S64" t="str">
            <v>BAU</v>
          </cell>
          <cell r="T64" t="str">
            <v>BAU</v>
          </cell>
          <cell r="U64" t="str">
            <v>BAU</v>
          </cell>
          <cell r="V64" t="str">
            <v>Algeria</v>
          </cell>
          <cell r="W64" t="str">
            <v>DJF</v>
          </cell>
          <cell r="X64" t="str">
            <v>BAU</v>
          </cell>
          <cell r="Y64">
            <v>2000</v>
          </cell>
          <cell r="Z64">
            <v>6000</v>
          </cell>
          <cell r="AA64" t="str">
            <v/>
          </cell>
          <cell r="AB64" t="str">
            <v/>
          </cell>
          <cell r="AC64">
            <v>890</v>
          </cell>
          <cell r="AD64">
            <v>2670</v>
          </cell>
          <cell r="AE64" t="str">
            <v>DJF</v>
          </cell>
          <cell r="AF64"/>
          <cell r="AG64">
            <v>7</v>
          </cell>
          <cell r="AH64">
            <v>2000</v>
          </cell>
          <cell r="AI64">
            <v>14000</v>
          </cell>
          <cell r="AJ64" t="str">
            <v/>
          </cell>
          <cell r="AK64" t="str">
            <v/>
          </cell>
          <cell r="AL64">
            <v>890</v>
          </cell>
          <cell r="AM64">
            <v>6230</v>
          </cell>
        </row>
        <row r="65">
          <cell r="B65" t="str">
            <v>Dominica</v>
          </cell>
          <cell r="C65" t="str">
            <v>Latin America</v>
          </cell>
          <cell r="D65" t="str">
            <v>N</v>
          </cell>
          <cell r="E65">
            <v>7777</v>
          </cell>
          <cell r="F65" t="str">
            <v>USD</v>
          </cell>
          <cell r="G65" t="str">
            <v>N</v>
          </cell>
          <cell r="H65">
            <v>7.99</v>
          </cell>
          <cell r="I65">
            <v>10.99</v>
          </cell>
          <cell r="J65">
            <v>13.99</v>
          </cell>
          <cell r="K65" t="str">
            <v>NA</v>
          </cell>
          <cell r="L65" t="str">
            <v>Negligible</v>
          </cell>
          <cell r="M65">
            <v>29</v>
          </cell>
          <cell r="Q65">
            <v>0.55882352941176472</v>
          </cell>
          <cell r="R65">
            <v>0.44117647058823528</v>
          </cell>
          <cell r="S65" t="str">
            <v>BAU</v>
          </cell>
          <cell r="T65" t="str">
            <v>BAU</v>
          </cell>
          <cell r="U65" t="str">
            <v>BAU</v>
          </cell>
          <cell r="V65" t="str">
            <v>Dominican Republic</v>
          </cell>
          <cell r="W65" t="str">
            <v>XCD</v>
          </cell>
          <cell r="X65" t="str">
            <v>BAU</v>
          </cell>
          <cell r="Y65">
            <v>37.99</v>
          </cell>
          <cell r="Z65">
            <v>114.99</v>
          </cell>
          <cell r="AA65" t="str">
            <v/>
          </cell>
          <cell r="AB65" t="str">
            <v/>
          </cell>
          <cell r="AC65">
            <v>23.99</v>
          </cell>
          <cell r="AD65">
            <v>71.989999999999995</v>
          </cell>
          <cell r="AE65" t="str">
            <v>XCD</v>
          </cell>
          <cell r="AF65"/>
          <cell r="AG65">
            <v>7</v>
          </cell>
          <cell r="AH65">
            <v>37.99</v>
          </cell>
          <cell r="AI65">
            <v>265.99</v>
          </cell>
          <cell r="AJ65" t="str">
            <v/>
          </cell>
          <cell r="AK65" t="str">
            <v/>
          </cell>
          <cell r="AL65">
            <v>23.99</v>
          </cell>
          <cell r="AM65">
            <v>167.99</v>
          </cell>
        </row>
        <row r="66">
          <cell r="B66" t="str">
            <v>Dominican Republic</v>
          </cell>
          <cell r="C66" t="str">
            <v>Latin America</v>
          </cell>
          <cell r="D66" t="str">
            <v>Y</v>
          </cell>
          <cell r="E66">
            <v>8492</v>
          </cell>
          <cell r="F66" t="str">
            <v>USD</v>
          </cell>
          <cell r="G66" t="str">
            <v>N</v>
          </cell>
          <cell r="H66">
            <v>7.99</v>
          </cell>
          <cell r="I66">
            <v>10.99</v>
          </cell>
          <cell r="J66">
            <v>13.99</v>
          </cell>
          <cell r="K66">
            <v>1.7798435610304572E-2</v>
          </cell>
          <cell r="L66">
            <v>0.11958639292671958</v>
          </cell>
          <cell r="M66">
            <v>9045</v>
          </cell>
          <cell r="Q66">
            <v>0.15923890063424948</v>
          </cell>
          <cell r="R66">
            <v>0.8407610993657505</v>
          </cell>
          <cell r="S66" t="str">
            <v>BAU</v>
          </cell>
          <cell r="T66" t="str">
            <v>BAU</v>
          </cell>
          <cell r="U66" t="str">
            <v>BAU</v>
          </cell>
          <cell r="V66" t="str">
            <v>NA</v>
          </cell>
          <cell r="W66" t="str">
            <v>DOP</v>
          </cell>
          <cell r="X66" t="str">
            <v>BAU</v>
          </cell>
          <cell r="Y66">
            <v>869.99</v>
          </cell>
          <cell r="Z66">
            <v>2609.9899999999998</v>
          </cell>
          <cell r="AA66">
            <v>999.99</v>
          </cell>
          <cell r="AB66">
            <v>2999.99</v>
          </cell>
          <cell r="AC66">
            <v>509.99</v>
          </cell>
          <cell r="AD66">
            <v>1529.99</v>
          </cell>
          <cell r="AE66" t="str">
            <v>DOP</v>
          </cell>
          <cell r="AF66"/>
          <cell r="AG66">
            <v>7</v>
          </cell>
          <cell r="AH66">
            <v>869.99</v>
          </cell>
          <cell r="AI66">
            <v>6089.99</v>
          </cell>
          <cell r="AJ66">
            <v>999.99</v>
          </cell>
          <cell r="AK66">
            <v>6999.99</v>
          </cell>
          <cell r="AL66">
            <v>509.99</v>
          </cell>
          <cell r="AM66">
            <v>3569.99</v>
          </cell>
        </row>
        <row r="67">
          <cell r="B67" t="str">
            <v>Ecuador</v>
          </cell>
          <cell r="C67" t="str">
            <v>Latin America</v>
          </cell>
          <cell r="D67" t="str">
            <v>N</v>
          </cell>
          <cell r="E67">
            <v>5884</v>
          </cell>
          <cell r="F67" t="str">
            <v>USD</v>
          </cell>
          <cell r="G67" t="str">
            <v>Y</v>
          </cell>
          <cell r="H67">
            <v>7.99</v>
          </cell>
          <cell r="I67">
            <v>10.99</v>
          </cell>
          <cell r="J67">
            <v>13.99</v>
          </cell>
          <cell r="K67" t="str">
            <v>NA</v>
          </cell>
          <cell r="L67">
            <v>0.421875</v>
          </cell>
          <cell r="M67">
            <v>1429</v>
          </cell>
          <cell r="Q67">
            <v>0.67288557213930345</v>
          </cell>
          <cell r="R67">
            <v>0.3271144278606965</v>
          </cell>
          <cell r="S67" t="str">
            <v>BAU</v>
          </cell>
          <cell r="T67" t="str">
            <v>BAU</v>
          </cell>
          <cell r="U67" t="str">
            <v>BAU</v>
          </cell>
          <cell r="V67" t="str">
            <v>NA</v>
          </cell>
          <cell r="W67" t="str">
            <v>USD</v>
          </cell>
          <cell r="X67" t="str">
            <v>BAU</v>
          </cell>
          <cell r="Y67">
            <v>13.99</v>
          </cell>
          <cell r="Z67">
            <v>41.99</v>
          </cell>
          <cell r="AA67" t="str">
            <v/>
          </cell>
          <cell r="AB67" t="str">
            <v/>
          </cell>
          <cell r="AC67">
            <v>8.99</v>
          </cell>
          <cell r="AD67">
            <v>26.99</v>
          </cell>
          <cell r="AE67" t="str">
            <v>USD</v>
          </cell>
          <cell r="AF67"/>
          <cell r="AG67">
            <v>7</v>
          </cell>
          <cell r="AH67">
            <v>13.99</v>
          </cell>
          <cell r="AI67">
            <v>97.99</v>
          </cell>
          <cell r="AJ67" t="str">
            <v/>
          </cell>
          <cell r="AK67" t="str">
            <v/>
          </cell>
          <cell r="AL67">
            <v>8.99</v>
          </cell>
          <cell r="AM67">
            <v>62.99</v>
          </cell>
        </row>
        <row r="68">
          <cell r="B68" t="str">
            <v>Egypt</v>
          </cell>
          <cell r="C68" t="str">
            <v>Africa</v>
          </cell>
          <cell r="D68" t="str">
            <v>N</v>
          </cell>
          <cell r="E68">
            <v>3852</v>
          </cell>
          <cell r="F68" t="str">
            <v>EGP</v>
          </cell>
          <cell r="G68" t="str">
            <v>Y</v>
          </cell>
          <cell r="H68">
            <v>120</v>
          </cell>
          <cell r="I68">
            <v>165</v>
          </cell>
          <cell r="J68">
            <v>200</v>
          </cell>
          <cell r="K68" t="str">
            <v>NA</v>
          </cell>
          <cell r="L68">
            <v>0.36781609195402298</v>
          </cell>
          <cell r="M68">
            <v>552</v>
          </cell>
          <cell r="Q68">
            <v>0.68762278978389002</v>
          </cell>
          <cell r="R68">
            <v>0.31237721021611004</v>
          </cell>
          <cell r="S68" t="str">
            <v>BAU</v>
          </cell>
          <cell r="T68" t="str">
            <v>BAU</v>
          </cell>
          <cell r="U68" t="str">
            <v>BAU</v>
          </cell>
          <cell r="V68" t="str">
            <v>NA</v>
          </cell>
          <cell r="W68" t="str">
            <v>EGP</v>
          </cell>
          <cell r="X68" t="str">
            <v>BAU</v>
          </cell>
          <cell r="Y68">
            <v>179.99</v>
          </cell>
          <cell r="Z68">
            <v>539.99</v>
          </cell>
          <cell r="AA68" t="str">
            <v/>
          </cell>
          <cell r="AB68" t="str">
            <v/>
          </cell>
          <cell r="AC68">
            <v>83.99</v>
          </cell>
          <cell r="AD68">
            <v>251.99</v>
          </cell>
          <cell r="AE68" t="str">
            <v>EGP</v>
          </cell>
          <cell r="AF68"/>
          <cell r="AG68">
            <v>7</v>
          </cell>
          <cell r="AH68">
            <v>179.99</v>
          </cell>
          <cell r="AI68">
            <v>1259.99</v>
          </cell>
          <cell r="AJ68" t="str">
            <v/>
          </cell>
          <cell r="AK68" t="str">
            <v/>
          </cell>
          <cell r="AL68">
            <v>83.99</v>
          </cell>
          <cell r="AM68">
            <v>587.99</v>
          </cell>
        </row>
        <row r="69">
          <cell r="B69" t="str">
            <v>El Salvador</v>
          </cell>
          <cell r="C69" t="str">
            <v>Latin America</v>
          </cell>
          <cell r="D69" t="str">
            <v>N</v>
          </cell>
          <cell r="E69">
            <v>4244</v>
          </cell>
          <cell r="F69" t="str">
            <v>USD</v>
          </cell>
          <cell r="G69" t="str">
            <v>Y</v>
          </cell>
          <cell r="H69">
            <v>7.99</v>
          </cell>
          <cell r="I69">
            <v>10.99</v>
          </cell>
          <cell r="J69">
            <v>13.99</v>
          </cell>
          <cell r="K69" t="str">
            <v>NA</v>
          </cell>
          <cell r="L69">
            <v>0.38130841121495318</v>
          </cell>
          <cell r="M69">
            <v>849</v>
          </cell>
          <cell r="Q69">
            <v>0.7125603864734299</v>
          </cell>
          <cell r="R69">
            <v>0.28743961352657005</v>
          </cell>
          <cell r="S69" t="str">
            <v>BAU</v>
          </cell>
          <cell r="T69" t="str">
            <v>BAU</v>
          </cell>
          <cell r="U69" t="str">
            <v>BAU</v>
          </cell>
          <cell r="V69" t="str">
            <v>NA</v>
          </cell>
          <cell r="W69" t="str">
            <v>USD</v>
          </cell>
          <cell r="X69" t="str">
            <v>BAU</v>
          </cell>
          <cell r="Y69">
            <v>10.99</v>
          </cell>
          <cell r="Z69">
            <v>32.99</v>
          </cell>
          <cell r="AA69" t="str">
            <v/>
          </cell>
          <cell r="AB69" t="str">
            <v/>
          </cell>
          <cell r="AC69">
            <v>4.99</v>
          </cell>
          <cell r="AD69">
            <v>14.99</v>
          </cell>
          <cell r="AE69" t="str">
            <v>USD</v>
          </cell>
          <cell r="AF69"/>
          <cell r="AG69">
            <v>7</v>
          </cell>
          <cell r="AH69">
            <v>10.99</v>
          </cell>
          <cell r="AI69">
            <v>76.989999999999995</v>
          </cell>
          <cell r="AJ69" t="str">
            <v/>
          </cell>
          <cell r="AK69" t="str">
            <v/>
          </cell>
          <cell r="AL69">
            <v>4.99</v>
          </cell>
          <cell r="AM69">
            <v>34.99</v>
          </cell>
        </row>
        <row r="70">
          <cell r="B70" t="str">
            <v>Equatorial Guinea</v>
          </cell>
          <cell r="C70" t="str">
            <v>Africa</v>
          </cell>
          <cell r="D70" t="str">
            <v>N</v>
          </cell>
          <cell r="E70">
            <v>8626</v>
          </cell>
          <cell r="F70" t="str">
            <v>USD</v>
          </cell>
          <cell r="G70" t="str">
            <v>N</v>
          </cell>
          <cell r="H70">
            <v>7.99</v>
          </cell>
          <cell r="I70">
            <v>9.99</v>
          </cell>
          <cell r="J70">
            <v>11.99</v>
          </cell>
          <cell r="K70" t="str">
            <v>NA</v>
          </cell>
          <cell r="L70" t="str">
            <v>Negligible</v>
          </cell>
          <cell r="M70">
            <v>6</v>
          </cell>
          <cell r="Q70" t="str">
            <v>NA</v>
          </cell>
          <cell r="R70" t="str">
            <v>NA</v>
          </cell>
          <cell r="S70" t="str">
            <v>BAU</v>
          </cell>
          <cell r="T70" t="str">
            <v>BAU</v>
          </cell>
          <cell r="U70" t="str">
            <v>BAU</v>
          </cell>
          <cell r="V70" t="str">
            <v>Algeria</v>
          </cell>
          <cell r="W70" t="str">
            <v>XAF</v>
          </cell>
          <cell r="X70" t="str">
            <v>BAU</v>
          </cell>
          <cell r="Y70">
            <v>6400</v>
          </cell>
          <cell r="Z70">
            <v>19200</v>
          </cell>
          <cell r="AA70" t="str">
            <v/>
          </cell>
          <cell r="AB70" t="str">
            <v/>
          </cell>
          <cell r="AC70">
            <v>2900</v>
          </cell>
          <cell r="AD70">
            <v>8700</v>
          </cell>
          <cell r="AE70" t="str">
            <v>XAF</v>
          </cell>
          <cell r="AF70"/>
          <cell r="AG70">
            <v>7</v>
          </cell>
          <cell r="AH70">
            <v>6400</v>
          </cell>
          <cell r="AI70">
            <v>44800</v>
          </cell>
          <cell r="AJ70" t="str">
            <v/>
          </cell>
          <cell r="AK70" t="str">
            <v/>
          </cell>
          <cell r="AL70">
            <v>2900</v>
          </cell>
          <cell r="AM70">
            <v>20300</v>
          </cell>
        </row>
        <row r="71">
          <cell r="B71" t="str">
            <v>Eritrea</v>
          </cell>
          <cell r="C71" t="str">
            <v>Africa</v>
          </cell>
          <cell r="D71" t="str">
            <v>N</v>
          </cell>
          <cell r="E71">
            <v>626</v>
          </cell>
          <cell r="F71" t="str">
            <v>USD</v>
          </cell>
          <cell r="G71" t="str">
            <v>Y</v>
          </cell>
          <cell r="H71">
            <v>7.99</v>
          </cell>
          <cell r="I71">
            <v>9.99</v>
          </cell>
          <cell r="J71">
            <v>11.99</v>
          </cell>
          <cell r="K71" t="str">
            <v>NA</v>
          </cell>
          <cell r="L71" t="str">
            <v>NA</v>
          </cell>
          <cell r="M71" t="str">
            <v>NA</v>
          </cell>
          <cell r="Q71" t="str">
            <v>NA</v>
          </cell>
          <cell r="R71" t="str">
            <v>NA</v>
          </cell>
          <cell r="S71" t="str">
            <v>BAU</v>
          </cell>
          <cell r="T71" t="str">
            <v>BAU</v>
          </cell>
          <cell r="U71" t="str">
            <v>BAU</v>
          </cell>
          <cell r="V71" t="str">
            <v>Uganda</v>
          </cell>
          <cell r="W71" t="str">
            <v>USD</v>
          </cell>
          <cell r="X71" t="str">
            <v>BAU</v>
          </cell>
          <cell r="Y71">
            <v>10.99</v>
          </cell>
          <cell r="Z71">
            <v>32.99</v>
          </cell>
          <cell r="AA71" t="str">
            <v/>
          </cell>
          <cell r="AB71" t="str">
            <v/>
          </cell>
          <cell r="AC71">
            <v>4.99</v>
          </cell>
          <cell r="AD71">
            <v>14.99</v>
          </cell>
          <cell r="AE71" t="str">
            <v>USD</v>
          </cell>
          <cell r="AF71"/>
          <cell r="AG71">
            <v>7</v>
          </cell>
          <cell r="AH71">
            <v>10.99</v>
          </cell>
          <cell r="AI71">
            <v>76.989999999999995</v>
          </cell>
          <cell r="AJ71" t="str">
            <v/>
          </cell>
          <cell r="AK71" t="str">
            <v/>
          </cell>
          <cell r="AL71">
            <v>4.99</v>
          </cell>
          <cell r="AM71">
            <v>34.99</v>
          </cell>
        </row>
        <row r="72">
          <cell r="B72" t="str">
            <v>Estonia</v>
          </cell>
          <cell r="C72" t="str">
            <v>Europe</v>
          </cell>
          <cell r="D72" t="str">
            <v>N</v>
          </cell>
          <cell r="E72">
            <v>27101</v>
          </cell>
          <cell r="F72" t="str">
            <v>EUR</v>
          </cell>
          <cell r="G72" t="str">
            <v>Y</v>
          </cell>
          <cell r="H72">
            <v>7.99</v>
          </cell>
          <cell r="I72">
            <v>9.99</v>
          </cell>
          <cell r="J72">
            <v>11.99</v>
          </cell>
          <cell r="K72">
            <v>3.6949746946323567E-2</v>
          </cell>
          <cell r="L72">
            <v>7.118055555555558E-2</v>
          </cell>
          <cell r="M72">
            <v>707</v>
          </cell>
          <cell r="Q72">
            <v>0.56085319949811796</v>
          </cell>
          <cell r="R72">
            <v>0.43914680050188204</v>
          </cell>
          <cell r="S72" t="str">
            <v>BAU</v>
          </cell>
          <cell r="T72" t="str">
            <v>BAU</v>
          </cell>
          <cell r="U72" t="str">
            <v>BAU</v>
          </cell>
          <cell r="V72" t="str">
            <v>NA</v>
          </cell>
          <cell r="W72" t="str">
            <v>EUR</v>
          </cell>
          <cell r="X72" t="str">
            <v>BAU</v>
          </cell>
          <cell r="Y72">
            <v>11.99</v>
          </cell>
          <cell r="Z72">
            <v>34.99</v>
          </cell>
          <cell r="AA72" t="str">
            <v/>
          </cell>
          <cell r="AB72" t="str">
            <v/>
          </cell>
          <cell r="AC72">
            <v>7.99</v>
          </cell>
          <cell r="AD72">
            <v>24.99</v>
          </cell>
          <cell r="AE72" t="str">
            <v>EUR</v>
          </cell>
          <cell r="AF72"/>
          <cell r="AG72">
            <v>7</v>
          </cell>
          <cell r="AH72">
            <v>11.99</v>
          </cell>
          <cell r="AI72">
            <v>83.99</v>
          </cell>
          <cell r="AJ72" t="str">
            <v/>
          </cell>
          <cell r="AK72" t="str">
            <v/>
          </cell>
          <cell r="AL72">
            <v>7.99</v>
          </cell>
          <cell r="AM72">
            <v>55.99</v>
          </cell>
        </row>
        <row r="73">
          <cell r="B73" t="str">
            <v>eSwatini</v>
          </cell>
          <cell r="C73" t="str">
            <v>Africa</v>
          </cell>
          <cell r="D73" t="str">
            <v>N</v>
          </cell>
          <cell r="E73">
            <v>3965</v>
          </cell>
          <cell r="F73" t="str">
            <v>NA</v>
          </cell>
          <cell r="G73" t="str">
            <v>N</v>
          </cell>
          <cell r="H73" t="str">
            <v>NA</v>
          </cell>
          <cell r="I73" t="str">
            <v>NA</v>
          </cell>
          <cell r="J73" t="str">
            <v>NA</v>
          </cell>
          <cell r="K73" t="str">
            <v>NA</v>
          </cell>
          <cell r="L73" t="str">
            <v>NA</v>
          </cell>
          <cell r="M73" t="str">
            <v>NA</v>
          </cell>
          <cell r="Q73" t="str">
            <v>NA</v>
          </cell>
          <cell r="R73" t="str">
            <v>NA</v>
          </cell>
          <cell r="S73" t="str">
            <v>BAU</v>
          </cell>
          <cell r="T73" t="str">
            <v>BAU</v>
          </cell>
          <cell r="U73" t="str">
            <v>BAU</v>
          </cell>
          <cell r="V73" t="str">
            <v>Egypt</v>
          </cell>
          <cell r="W73" t="str">
            <v>SZL</v>
          </cell>
          <cell r="X73" t="str">
            <v>BAU</v>
          </cell>
          <cell r="Y73">
            <v>159.99</v>
          </cell>
          <cell r="Z73">
            <v>479.99</v>
          </cell>
          <cell r="AA73" t="str">
            <v/>
          </cell>
          <cell r="AB73" t="str">
            <v/>
          </cell>
          <cell r="AC73">
            <v>73.989999999999995</v>
          </cell>
          <cell r="AD73">
            <v>221.99</v>
          </cell>
          <cell r="AE73" t="str">
            <v>SZL</v>
          </cell>
          <cell r="AF73"/>
          <cell r="AG73">
            <v>7</v>
          </cell>
          <cell r="AH73">
            <v>159.99</v>
          </cell>
          <cell r="AI73">
            <v>1119.99</v>
          </cell>
          <cell r="AJ73" t="str">
            <v/>
          </cell>
          <cell r="AK73" t="str">
            <v/>
          </cell>
          <cell r="AL73">
            <v>73.989999999999995</v>
          </cell>
          <cell r="AM73">
            <v>517.99</v>
          </cell>
        </row>
        <row r="74">
          <cell r="B74" t="str">
            <v>Ethiopia</v>
          </cell>
          <cell r="C74" t="str">
            <v>Africa</v>
          </cell>
          <cell r="D74" t="str">
            <v>N</v>
          </cell>
          <cell r="E74">
            <v>940</v>
          </cell>
          <cell r="F74" t="str">
            <v>USD</v>
          </cell>
          <cell r="G74" t="str">
            <v>N</v>
          </cell>
          <cell r="H74">
            <v>7.99</v>
          </cell>
          <cell r="I74">
            <v>9.99</v>
          </cell>
          <cell r="J74">
            <v>11.99</v>
          </cell>
          <cell r="K74" t="str">
            <v>NA</v>
          </cell>
          <cell r="L74" t="str">
            <v>Negligible</v>
          </cell>
          <cell r="M74">
            <v>51</v>
          </cell>
          <cell r="Q74">
            <v>0.85185185185185186</v>
          </cell>
          <cell r="R74">
            <v>0.14814814814814814</v>
          </cell>
          <cell r="S74" t="str">
            <v>BAU</v>
          </cell>
          <cell r="T74" t="str">
            <v>BAU</v>
          </cell>
          <cell r="U74" t="str">
            <v>BAU</v>
          </cell>
          <cell r="V74" t="str">
            <v>Uganda</v>
          </cell>
          <cell r="W74" t="str">
            <v>ETB</v>
          </cell>
          <cell r="X74" t="str">
            <v>BAU</v>
          </cell>
          <cell r="Y74">
            <v>319.99</v>
          </cell>
          <cell r="Z74">
            <v>959.99</v>
          </cell>
          <cell r="AA74" t="str">
            <v/>
          </cell>
          <cell r="AB74" t="str">
            <v/>
          </cell>
          <cell r="AC74">
            <v>149.99</v>
          </cell>
          <cell r="AD74">
            <v>449.99</v>
          </cell>
          <cell r="AE74" t="str">
            <v>ETB</v>
          </cell>
          <cell r="AF74"/>
          <cell r="AG74">
            <v>7</v>
          </cell>
          <cell r="AH74">
            <v>319.99</v>
          </cell>
          <cell r="AI74">
            <v>2239.9899999999998</v>
          </cell>
          <cell r="AJ74" t="str">
            <v/>
          </cell>
          <cell r="AK74" t="str">
            <v/>
          </cell>
          <cell r="AL74">
            <v>149.99</v>
          </cell>
          <cell r="AM74">
            <v>1049.99</v>
          </cell>
        </row>
        <row r="75">
          <cell r="B75" t="str">
            <v>Falkland Islands</v>
          </cell>
          <cell r="C75" t="str">
            <v>Latin America</v>
          </cell>
          <cell r="D75" t="str">
            <v>N</v>
          </cell>
          <cell r="E75" t="str">
            <v>NA</v>
          </cell>
          <cell r="F75" t="str">
            <v>USD</v>
          </cell>
          <cell r="G75" t="str">
            <v>N</v>
          </cell>
          <cell r="H75">
            <v>8.99</v>
          </cell>
          <cell r="I75">
            <v>12.99</v>
          </cell>
          <cell r="J75">
            <v>15.99</v>
          </cell>
          <cell r="K75" t="str">
            <v>NA</v>
          </cell>
          <cell r="L75" t="str">
            <v>Negligible</v>
          </cell>
          <cell r="M75">
            <v>1</v>
          </cell>
          <cell r="Q75" t="str">
            <v>NA</v>
          </cell>
          <cell r="R75" t="str">
            <v>NA</v>
          </cell>
          <cell r="S75" t="str">
            <v>BAU</v>
          </cell>
          <cell r="T75" t="str">
            <v>BAU</v>
          </cell>
          <cell r="U75" t="str">
            <v>BAU</v>
          </cell>
          <cell r="V75" t="str">
            <v>Cayman Islands</v>
          </cell>
          <cell r="W75" t="str">
            <v>USD</v>
          </cell>
          <cell r="X75" t="str">
            <v>BAU</v>
          </cell>
          <cell r="Y75">
            <v>10.99</v>
          </cell>
          <cell r="Z75">
            <v>32.99</v>
          </cell>
          <cell r="AA75" t="str">
            <v/>
          </cell>
          <cell r="AB75" t="str">
            <v/>
          </cell>
          <cell r="AC75">
            <v>4.99</v>
          </cell>
          <cell r="AD75">
            <v>14.99</v>
          </cell>
          <cell r="AE75" t="str">
            <v>FKP</v>
          </cell>
          <cell r="AF75">
            <v>0.77703093999999995</v>
          </cell>
          <cell r="AG75">
            <v>7</v>
          </cell>
          <cell r="AH75">
            <v>8</v>
          </cell>
          <cell r="AI75">
            <v>60</v>
          </cell>
          <cell r="AJ75" t="str">
            <v/>
          </cell>
          <cell r="AK75" t="str">
            <v/>
          </cell>
          <cell r="AL75">
            <v>7</v>
          </cell>
          <cell r="AM75">
            <v>50</v>
          </cell>
        </row>
        <row r="76">
          <cell r="B76" t="str">
            <v>Faroe Islands</v>
          </cell>
          <cell r="C76" t="str">
            <v>Europe</v>
          </cell>
          <cell r="D76" t="str">
            <v>N</v>
          </cell>
          <cell r="E76" t="str">
            <v>NA</v>
          </cell>
          <cell r="F76" t="str">
            <v>DKK</v>
          </cell>
          <cell r="G76" t="str">
            <v>Y</v>
          </cell>
          <cell r="H76">
            <v>79</v>
          </cell>
          <cell r="I76">
            <v>99</v>
          </cell>
          <cell r="J76">
            <v>129</v>
          </cell>
          <cell r="K76" t="str">
            <v>NA</v>
          </cell>
          <cell r="L76" t="str">
            <v>Negligible</v>
          </cell>
          <cell r="M76">
            <v>38</v>
          </cell>
          <cell r="Q76">
            <v>0.41025641025641024</v>
          </cell>
          <cell r="R76">
            <v>0.58974358974358976</v>
          </cell>
          <cell r="S76" t="str">
            <v>BAU</v>
          </cell>
          <cell r="T76" t="str">
            <v>BAU</v>
          </cell>
          <cell r="U76" t="str">
            <v>BAU</v>
          </cell>
          <cell r="V76" t="str">
            <v>Denmark</v>
          </cell>
          <cell r="W76" t="str">
            <v>EUR</v>
          </cell>
          <cell r="X76" t="str">
            <v>BAU</v>
          </cell>
          <cell r="Y76">
            <v>24.99</v>
          </cell>
          <cell r="Z76">
            <v>74.989999999999995</v>
          </cell>
          <cell r="AA76">
            <v>27.99</v>
          </cell>
          <cell r="AB76">
            <v>84.99</v>
          </cell>
          <cell r="AC76">
            <v>14.99</v>
          </cell>
          <cell r="AD76">
            <v>44.99</v>
          </cell>
          <cell r="AE76" t="str">
            <v>DKK</v>
          </cell>
          <cell r="AF76">
            <v>7.4405979999999996</v>
          </cell>
          <cell r="AG76">
            <v>7</v>
          </cell>
          <cell r="AH76">
            <v>189</v>
          </cell>
          <cell r="AI76">
            <v>1319</v>
          </cell>
          <cell r="AJ76">
            <v>259</v>
          </cell>
          <cell r="AK76">
            <v>1799</v>
          </cell>
          <cell r="AL76">
            <v>169</v>
          </cell>
          <cell r="AM76">
            <v>1179</v>
          </cell>
        </row>
        <row r="77">
          <cell r="B77" t="str">
            <v>Fiji</v>
          </cell>
          <cell r="C77" t="str">
            <v>Asia</v>
          </cell>
          <cell r="D77" t="str">
            <v>N</v>
          </cell>
          <cell r="E77">
            <v>5127</v>
          </cell>
          <cell r="F77" t="str">
            <v>USD</v>
          </cell>
          <cell r="G77" t="str">
            <v>N</v>
          </cell>
          <cell r="H77">
            <v>7.99</v>
          </cell>
          <cell r="I77">
            <v>9.99</v>
          </cell>
          <cell r="J77">
            <v>11.99</v>
          </cell>
          <cell r="K77" t="str">
            <v>NA</v>
          </cell>
          <cell r="L77" t="str">
            <v>Negligible</v>
          </cell>
          <cell r="M77">
            <v>48</v>
          </cell>
          <cell r="Q77">
            <v>0.66</v>
          </cell>
          <cell r="R77">
            <v>0.34</v>
          </cell>
          <cell r="S77" t="str">
            <v>BAU</v>
          </cell>
          <cell r="T77" t="str">
            <v>BAU</v>
          </cell>
          <cell r="U77" t="str">
            <v>BAU</v>
          </cell>
          <cell r="V77" t="str">
            <v>Mongolia</v>
          </cell>
          <cell r="W77" t="str">
            <v>FJD</v>
          </cell>
          <cell r="X77" t="str">
            <v>BAU</v>
          </cell>
          <cell r="Y77">
            <v>29.99</v>
          </cell>
          <cell r="Z77">
            <v>89.99</v>
          </cell>
          <cell r="AA77" t="str">
            <v/>
          </cell>
          <cell r="AB77" t="str">
            <v/>
          </cell>
          <cell r="AC77">
            <v>18.989999999999998</v>
          </cell>
          <cell r="AD77">
            <v>56.99</v>
          </cell>
          <cell r="AE77" t="str">
            <v>FJD</v>
          </cell>
          <cell r="AF77"/>
          <cell r="AG77">
            <v>7</v>
          </cell>
          <cell r="AH77">
            <v>29.99</v>
          </cell>
          <cell r="AI77">
            <v>209.99</v>
          </cell>
          <cell r="AJ77" t="str">
            <v/>
          </cell>
          <cell r="AK77" t="str">
            <v/>
          </cell>
          <cell r="AL77">
            <v>18.989999999999998</v>
          </cell>
          <cell r="AM77">
            <v>132.99</v>
          </cell>
        </row>
        <row r="78">
          <cell r="B78" t="str">
            <v>Finland</v>
          </cell>
          <cell r="C78" t="str">
            <v>Europe</v>
          </cell>
          <cell r="D78" t="str">
            <v>Y</v>
          </cell>
          <cell r="E78">
            <v>53523</v>
          </cell>
          <cell r="F78" t="str">
            <v>EUR</v>
          </cell>
          <cell r="G78" t="str">
            <v>Y</v>
          </cell>
          <cell r="H78">
            <v>7.99</v>
          </cell>
          <cell r="I78">
            <v>11.99</v>
          </cell>
          <cell r="J78">
            <v>15.99</v>
          </cell>
          <cell r="K78">
            <v>2.1143873509015736E-2</v>
          </cell>
          <cell r="L78">
            <v>1.994884910485939E-2</v>
          </cell>
          <cell r="M78">
            <v>2263</v>
          </cell>
          <cell r="Q78">
            <v>0.53371212121212119</v>
          </cell>
          <cell r="R78">
            <v>0.46628787878787881</v>
          </cell>
          <cell r="S78">
            <v>4.36E-2</v>
          </cell>
          <cell r="T78">
            <v>7.1099999999999997E-2</v>
          </cell>
          <cell r="U78">
            <v>0.63073394495412827</v>
          </cell>
          <cell r="V78" t="str">
            <v>NA</v>
          </cell>
          <cell r="W78" t="str">
            <v>EUR</v>
          </cell>
          <cell r="X78" t="str">
            <v>Steeper than BAU</v>
          </cell>
          <cell r="Y78">
            <v>16.989999999999998</v>
          </cell>
          <cell r="Z78">
            <v>49.99</v>
          </cell>
          <cell r="AA78">
            <v>24.99</v>
          </cell>
          <cell r="AB78">
            <v>74.989999999999995</v>
          </cell>
          <cell r="AC78">
            <v>14.99</v>
          </cell>
          <cell r="AD78">
            <v>44.99</v>
          </cell>
          <cell r="AE78" t="str">
            <v>EUR</v>
          </cell>
          <cell r="AF78"/>
          <cell r="AG78">
            <v>7</v>
          </cell>
          <cell r="AH78">
            <v>16.989999999999998</v>
          </cell>
          <cell r="AI78">
            <v>118.99</v>
          </cell>
          <cell r="AJ78">
            <v>24.99</v>
          </cell>
          <cell r="AK78">
            <v>174.99</v>
          </cell>
          <cell r="AL78">
            <v>14.99</v>
          </cell>
          <cell r="AM78">
            <v>104.99</v>
          </cell>
        </row>
        <row r="79">
          <cell r="B79" t="str">
            <v>France</v>
          </cell>
          <cell r="C79" t="str">
            <v>Europe</v>
          </cell>
          <cell r="D79" t="str">
            <v>Y</v>
          </cell>
          <cell r="E79">
            <v>45028</v>
          </cell>
          <cell r="F79" t="str">
            <v>EUR</v>
          </cell>
          <cell r="G79" t="str">
            <v>Y</v>
          </cell>
          <cell r="H79">
            <v>8.99</v>
          </cell>
          <cell r="I79">
            <v>13.49</v>
          </cell>
          <cell r="J79">
            <v>17.989999999999998</v>
          </cell>
          <cell r="K79">
            <v>1.6424599520792532E-2</v>
          </cell>
          <cell r="L79">
            <v>3.7476280834914721E-2</v>
          </cell>
          <cell r="M79">
            <v>16571</v>
          </cell>
          <cell r="Q79">
            <v>0.43522792844777841</v>
          </cell>
          <cell r="R79">
            <v>0.56477207155222153</v>
          </cell>
          <cell r="S79">
            <v>4.8599999999999997E-2</v>
          </cell>
          <cell r="T79">
            <v>6.3E-2</v>
          </cell>
          <cell r="U79">
            <v>0.29629629629629628</v>
          </cell>
          <cell r="V79" t="str">
            <v>NA</v>
          </cell>
          <cell r="W79" t="str">
            <v>EUR</v>
          </cell>
          <cell r="X79" t="str">
            <v>Steeper than BAU</v>
          </cell>
          <cell r="Y79">
            <v>18.989999999999998</v>
          </cell>
          <cell r="Z79">
            <v>54.99</v>
          </cell>
          <cell r="AA79">
            <v>27.99</v>
          </cell>
          <cell r="AB79">
            <v>84.99</v>
          </cell>
          <cell r="AC79">
            <v>14.99</v>
          </cell>
          <cell r="AD79">
            <v>50.99</v>
          </cell>
          <cell r="AE79" t="str">
            <v>EUR</v>
          </cell>
          <cell r="AF79"/>
          <cell r="AG79">
            <v>7</v>
          </cell>
          <cell r="AH79">
            <v>18.989999999999998</v>
          </cell>
          <cell r="AI79">
            <v>132.99</v>
          </cell>
          <cell r="AJ79">
            <v>27.99</v>
          </cell>
          <cell r="AK79">
            <v>195.99</v>
          </cell>
          <cell r="AL79">
            <v>14.99</v>
          </cell>
          <cell r="AM79">
            <v>104.99</v>
          </cell>
        </row>
        <row r="80">
          <cell r="B80" t="str">
            <v>French Guiana</v>
          </cell>
          <cell r="C80" t="str">
            <v>Latin America</v>
          </cell>
          <cell r="D80" t="str">
            <v>N</v>
          </cell>
          <cell r="E80" t="str">
            <v>NA</v>
          </cell>
          <cell r="F80" t="str">
            <v>EUR</v>
          </cell>
          <cell r="G80" t="str">
            <v>Y</v>
          </cell>
          <cell r="H80">
            <v>7.99</v>
          </cell>
          <cell r="I80">
            <v>10.99</v>
          </cell>
          <cell r="J80">
            <v>13.99</v>
          </cell>
          <cell r="K80" t="str">
            <v>NA</v>
          </cell>
          <cell r="L80" t="str">
            <v>Negligible</v>
          </cell>
          <cell r="M80">
            <v>114</v>
          </cell>
          <cell r="Q80">
            <v>0.64925373134328357</v>
          </cell>
          <cell r="R80">
            <v>0.35074626865671643</v>
          </cell>
          <cell r="S80" t="str">
            <v>BAU</v>
          </cell>
          <cell r="T80" t="str">
            <v>BAU</v>
          </cell>
          <cell r="U80" t="str">
            <v>BAU</v>
          </cell>
          <cell r="V80" t="str">
            <v>Martinique</v>
          </cell>
          <cell r="W80" t="str">
            <v>EUR</v>
          </cell>
          <cell r="X80" t="str">
            <v>BAU</v>
          </cell>
          <cell r="Y80">
            <v>11.99</v>
          </cell>
          <cell r="Z80">
            <v>34.99</v>
          </cell>
          <cell r="AA80" t="str">
            <v/>
          </cell>
          <cell r="AB80" t="str">
            <v/>
          </cell>
          <cell r="AC80">
            <v>7.99</v>
          </cell>
          <cell r="AD80">
            <v>24.99</v>
          </cell>
          <cell r="AE80" t="str">
            <v>EUR</v>
          </cell>
          <cell r="AF80"/>
          <cell r="AG80">
            <v>7</v>
          </cell>
          <cell r="AH80">
            <v>11.99</v>
          </cell>
          <cell r="AI80">
            <v>83.99</v>
          </cell>
          <cell r="AJ80" t="str">
            <v/>
          </cell>
          <cell r="AK80" t="str">
            <v/>
          </cell>
          <cell r="AL80">
            <v>7.99</v>
          </cell>
          <cell r="AM80">
            <v>55.99</v>
          </cell>
        </row>
        <row r="81">
          <cell r="B81" t="str">
            <v>French Polynesia</v>
          </cell>
          <cell r="C81" t="str">
            <v>Asia</v>
          </cell>
          <cell r="D81" t="str">
            <v>N</v>
          </cell>
          <cell r="E81">
            <v>2020</v>
          </cell>
          <cell r="F81" t="str">
            <v>USD</v>
          </cell>
          <cell r="G81" t="str">
            <v>N</v>
          </cell>
          <cell r="H81">
            <v>7.99</v>
          </cell>
          <cell r="I81">
            <v>9.99</v>
          </cell>
          <cell r="J81">
            <v>11.99</v>
          </cell>
          <cell r="K81" t="str">
            <v>NA</v>
          </cell>
          <cell r="L81">
            <v>4.0540540540540571E-2</v>
          </cell>
          <cell r="M81">
            <v>171</v>
          </cell>
          <cell r="Q81">
            <v>0.76216216216216215</v>
          </cell>
          <cell r="R81">
            <v>0.23783783783783785</v>
          </cell>
          <cell r="S81" t="str">
            <v>BAU</v>
          </cell>
          <cell r="T81" t="str">
            <v>BAU</v>
          </cell>
          <cell r="U81" t="str">
            <v>BAU</v>
          </cell>
          <cell r="V81" t="str">
            <v>NA</v>
          </cell>
          <cell r="W81" t="str">
            <v>XPF</v>
          </cell>
          <cell r="X81" t="str">
            <v>BAU</v>
          </cell>
          <cell r="Y81">
            <v>1500</v>
          </cell>
          <cell r="Z81">
            <v>4500</v>
          </cell>
          <cell r="AA81" t="str">
            <v/>
          </cell>
          <cell r="AB81" t="str">
            <v/>
          </cell>
          <cell r="AC81">
            <v>950</v>
          </cell>
          <cell r="AD81">
            <v>2850</v>
          </cell>
          <cell r="AE81" t="str">
            <v>XPF</v>
          </cell>
          <cell r="AF81"/>
          <cell r="AG81">
            <v>7</v>
          </cell>
          <cell r="AH81">
            <v>1500</v>
          </cell>
          <cell r="AI81">
            <v>10500</v>
          </cell>
          <cell r="AJ81" t="str">
            <v/>
          </cell>
          <cell r="AK81" t="str">
            <v/>
          </cell>
          <cell r="AL81">
            <v>950</v>
          </cell>
          <cell r="AM81">
            <v>6650</v>
          </cell>
        </row>
        <row r="82">
          <cell r="B82" t="str">
            <v>French Southern Territories</v>
          </cell>
          <cell r="C82" t="str">
            <v>Europe</v>
          </cell>
          <cell r="D82" t="str">
            <v>N</v>
          </cell>
          <cell r="E82" t="str">
            <v>NA</v>
          </cell>
          <cell r="F82" t="str">
            <v>EUR</v>
          </cell>
          <cell r="G82" t="str">
            <v>Y</v>
          </cell>
          <cell r="H82">
            <v>7.99</v>
          </cell>
          <cell r="I82">
            <v>11.99</v>
          </cell>
          <cell r="J82">
            <v>15.99</v>
          </cell>
          <cell r="K82" t="str">
            <v>NA</v>
          </cell>
          <cell r="L82" t="str">
            <v>NA</v>
          </cell>
          <cell r="M82" t="str">
            <v>NA</v>
          </cell>
          <cell r="Q82" t="str">
            <v>NA</v>
          </cell>
          <cell r="R82" t="str">
            <v>NA</v>
          </cell>
          <cell r="S82" t="str">
            <v>BAU</v>
          </cell>
          <cell r="T82" t="str">
            <v>BAU</v>
          </cell>
          <cell r="U82" t="str">
            <v>BAU</v>
          </cell>
          <cell r="V82" t="str">
            <v>Portugal</v>
          </cell>
          <cell r="W82" t="str">
            <v>EUR</v>
          </cell>
          <cell r="X82" t="str">
            <v>BAU</v>
          </cell>
          <cell r="Y82">
            <v>24.99</v>
          </cell>
          <cell r="Z82">
            <v>74.989999999999995</v>
          </cell>
          <cell r="AA82">
            <v>27.99</v>
          </cell>
          <cell r="AB82">
            <v>84.99</v>
          </cell>
          <cell r="AC82">
            <v>14.99</v>
          </cell>
          <cell r="AD82">
            <v>44.99</v>
          </cell>
          <cell r="AE82" t="str">
            <v>EUR</v>
          </cell>
          <cell r="AF82"/>
          <cell r="AG82">
            <v>7</v>
          </cell>
          <cell r="AH82">
            <v>24.99</v>
          </cell>
          <cell r="AI82">
            <v>174.99</v>
          </cell>
          <cell r="AJ82">
            <v>27.99</v>
          </cell>
          <cell r="AK82">
            <v>195.99</v>
          </cell>
          <cell r="AL82">
            <v>14.99</v>
          </cell>
          <cell r="AM82">
            <v>104.99</v>
          </cell>
        </row>
        <row r="83">
          <cell r="B83" t="str">
            <v>Gabon</v>
          </cell>
          <cell r="C83" t="str">
            <v>Africa</v>
          </cell>
          <cell r="D83" t="str">
            <v>N</v>
          </cell>
          <cell r="E83">
            <v>8569</v>
          </cell>
          <cell r="F83" t="str">
            <v>USD</v>
          </cell>
          <cell r="G83" t="str">
            <v>N</v>
          </cell>
          <cell r="H83">
            <v>7.99</v>
          </cell>
          <cell r="I83">
            <v>9.99</v>
          </cell>
          <cell r="J83">
            <v>11.99</v>
          </cell>
          <cell r="K83" t="str">
            <v>NA</v>
          </cell>
          <cell r="L83" t="str">
            <v>Negligible</v>
          </cell>
          <cell r="M83">
            <v>44</v>
          </cell>
          <cell r="Q83">
            <v>0.56000000000000005</v>
          </cell>
          <cell r="R83">
            <v>0.44</v>
          </cell>
          <cell r="S83" t="str">
            <v>BAU</v>
          </cell>
          <cell r="T83" t="str">
            <v>BAU</v>
          </cell>
          <cell r="U83" t="str">
            <v>BAU</v>
          </cell>
          <cell r="V83" t="str">
            <v>Algeria</v>
          </cell>
          <cell r="W83" t="str">
            <v>XAF</v>
          </cell>
          <cell r="X83" t="str">
            <v>BAU</v>
          </cell>
          <cell r="Y83">
            <v>6400</v>
          </cell>
          <cell r="Z83">
            <v>19200</v>
          </cell>
          <cell r="AA83" t="str">
            <v/>
          </cell>
          <cell r="AB83" t="str">
            <v/>
          </cell>
          <cell r="AC83">
            <v>2900</v>
          </cell>
          <cell r="AD83">
            <v>8700</v>
          </cell>
          <cell r="AE83" t="str">
            <v>XAF</v>
          </cell>
          <cell r="AF83"/>
          <cell r="AG83">
            <v>7</v>
          </cell>
          <cell r="AH83">
            <v>6400</v>
          </cell>
          <cell r="AI83">
            <v>44800</v>
          </cell>
          <cell r="AJ83" t="str">
            <v/>
          </cell>
          <cell r="AK83" t="str">
            <v/>
          </cell>
          <cell r="AL83">
            <v>2900</v>
          </cell>
          <cell r="AM83">
            <v>20300</v>
          </cell>
        </row>
        <row r="84">
          <cell r="B84" t="str">
            <v>Gambia</v>
          </cell>
          <cell r="C84" t="str">
            <v>Africa</v>
          </cell>
          <cell r="D84" t="str">
            <v>N</v>
          </cell>
          <cell r="E84">
            <v>819</v>
          </cell>
          <cell r="F84" t="str">
            <v>USD</v>
          </cell>
          <cell r="G84" t="str">
            <v>N</v>
          </cell>
          <cell r="H84">
            <v>7.99</v>
          </cell>
          <cell r="I84">
            <v>9.99</v>
          </cell>
          <cell r="J84">
            <v>11.99</v>
          </cell>
          <cell r="K84" t="str">
            <v>NA</v>
          </cell>
          <cell r="L84" t="str">
            <v>Negligible</v>
          </cell>
          <cell r="M84">
            <v>20</v>
          </cell>
          <cell r="Q84">
            <v>0.63636363636363635</v>
          </cell>
          <cell r="R84">
            <v>0.36363636363636365</v>
          </cell>
          <cell r="S84" t="str">
            <v>BAU</v>
          </cell>
          <cell r="T84" t="str">
            <v>BAU</v>
          </cell>
          <cell r="U84" t="str">
            <v>BAU</v>
          </cell>
          <cell r="V84" t="str">
            <v>Uganda</v>
          </cell>
          <cell r="W84" t="str">
            <v>GMD</v>
          </cell>
          <cell r="X84" t="str">
            <v>BAU</v>
          </cell>
          <cell r="Y84">
            <v>549.99</v>
          </cell>
          <cell r="Z84">
            <v>1650</v>
          </cell>
          <cell r="AA84" t="str">
            <v/>
          </cell>
          <cell r="AB84" t="str">
            <v/>
          </cell>
          <cell r="AC84">
            <v>249.99</v>
          </cell>
          <cell r="AD84">
            <v>750</v>
          </cell>
          <cell r="AE84" t="str">
            <v>GMD</v>
          </cell>
          <cell r="AF84"/>
          <cell r="AG84">
            <v>7</v>
          </cell>
          <cell r="AH84">
            <v>549.99</v>
          </cell>
          <cell r="AI84">
            <v>3849.99</v>
          </cell>
          <cell r="AJ84" t="str">
            <v/>
          </cell>
          <cell r="AK84" t="str">
            <v/>
          </cell>
          <cell r="AL84">
            <v>249.99</v>
          </cell>
          <cell r="AM84">
            <v>1749.99</v>
          </cell>
        </row>
        <row r="85">
          <cell r="B85" t="str">
            <v>Georgia</v>
          </cell>
          <cell r="C85" t="str">
            <v>Middle East</v>
          </cell>
          <cell r="D85" t="str">
            <v>N</v>
          </cell>
          <cell r="E85">
            <v>4808</v>
          </cell>
          <cell r="F85" t="str">
            <v>EUR</v>
          </cell>
          <cell r="G85" t="str">
            <v>N</v>
          </cell>
          <cell r="H85">
            <v>9.39</v>
          </cell>
          <cell r="I85">
            <v>11.79</v>
          </cell>
          <cell r="J85">
            <v>13.99</v>
          </cell>
          <cell r="K85" t="str">
            <v>NA</v>
          </cell>
          <cell r="L85">
            <v>0.31612903225806455</v>
          </cell>
          <cell r="M85">
            <v>232</v>
          </cell>
          <cell r="Q85">
            <v>0.69512195121951215</v>
          </cell>
          <cell r="R85">
            <v>0.3048780487804878</v>
          </cell>
          <cell r="S85" t="str">
            <v>BAU</v>
          </cell>
          <cell r="T85" t="str">
            <v>BAU</v>
          </cell>
          <cell r="U85" t="str">
            <v>BAU</v>
          </cell>
          <cell r="V85" t="str">
            <v>NA</v>
          </cell>
          <cell r="W85" t="str">
            <v>GEL</v>
          </cell>
          <cell r="X85" t="str">
            <v>BAU</v>
          </cell>
          <cell r="Y85">
            <v>37.99</v>
          </cell>
          <cell r="Z85">
            <v>114.99</v>
          </cell>
          <cell r="AA85" t="str">
            <v/>
          </cell>
          <cell r="AB85" t="str">
            <v/>
          </cell>
          <cell r="AC85">
            <v>24.99</v>
          </cell>
          <cell r="AD85">
            <v>74.989999999999995</v>
          </cell>
          <cell r="AE85" t="str">
            <v>GEL</v>
          </cell>
          <cell r="AF85"/>
          <cell r="AG85">
            <v>7</v>
          </cell>
          <cell r="AH85">
            <v>37.99</v>
          </cell>
          <cell r="AI85">
            <v>265.99</v>
          </cell>
          <cell r="AJ85" t="str">
            <v/>
          </cell>
          <cell r="AK85" t="str">
            <v/>
          </cell>
          <cell r="AL85">
            <v>24.99</v>
          </cell>
          <cell r="AM85">
            <v>174.99</v>
          </cell>
        </row>
        <row r="86">
          <cell r="B86" t="str">
            <v>Germany</v>
          </cell>
          <cell r="C86" t="str">
            <v>Europe</v>
          </cell>
          <cell r="D86" t="str">
            <v>Y</v>
          </cell>
          <cell r="E86">
            <v>50788</v>
          </cell>
          <cell r="F86" t="str">
            <v>EUR</v>
          </cell>
          <cell r="G86" t="str">
            <v>Y</v>
          </cell>
          <cell r="H86">
            <v>7.99</v>
          </cell>
          <cell r="I86">
            <v>12.99</v>
          </cell>
          <cell r="J86">
            <v>17.989999999999998</v>
          </cell>
          <cell r="K86">
            <v>1.6546139821362695E-2</v>
          </cell>
          <cell r="L86">
            <v>0.26333084391336814</v>
          </cell>
          <cell r="M86">
            <v>22295</v>
          </cell>
          <cell r="Q86">
            <v>0.53453614631930968</v>
          </cell>
          <cell r="R86">
            <v>0.46546385368069032</v>
          </cell>
          <cell r="S86">
            <v>6.6000000000000003E-2</v>
          </cell>
          <cell r="T86">
            <v>6.8699999999999997E-2</v>
          </cell>
          <cell r="U86">
            <v>4.0909090909090784E-2</v>
          </cell>
          <cell r="V86" t="str">
            <v>NA</v>
          </cell>
          <cell r="W86" t="str">
            <v>EUR</v>
          </cell>
          <cell r="X86" t="str">
            <v>Steeper than BAU</v>
          </cell>
          <cell r="Y86">
            <v>17.989999999999998</v>
          </cell>
          <cell r="Z86">
            <v>54.99</v>
          </cell>
          <cell r="AA86">
            <v>24.99</v>
          </cell>
          <cell r="AB86">
            <v>79.989999999999995</v>
          </cell>
          <cell r="AC86">
            <v>14.99</v>
          </cell>
          <cell r="AD86">
            <v>49.99</v>
          </cell>
          <cell r="AE86" t="str">
            <v>EUR</v>
          </cell>
          <cell r="AF86"/>
          <cell r="AG86">
            <v>7</v>
          </cell>
          <cell r="AH86">
            <v>17.989999999999998</v>
          </cell>
          <cell r="AI86">
            <v>125.99</v>
          </cell>
          <cell r="AJ86">
            <v>24.99</v>
          </cell>
          <cell r="AK86">
            <v>174.99</v>
          </cell>
          <cell r="AL86">
            <v>14.99</v>
          </cell>
          <cell r="AM86">
            <v>104.99</v>
          </cell>
        </row>
        <row r="87">
          <cell r="B87" t="str">
            <v>Ghana</v>
          </cell>
          <cell r="C87" t="str">
            <v>Africa</v>
          </cell>
          <cell r="D87" t="str">
            <v>N</v>
          </cell>
          <cell r="E87">
            <v>2413</v>
          </cell>
          <cell r="F87" t="str">
            <v>USD</v>
          </cell>
          <cell r="G87" t="str">
            <v>N</v>
          </cell>
          <cell r="H87">
            <v>7.99</v>
          </cell>
          <cell r="I87">
            <v>9.99</v>
          </cell>
          <cell r="J87">
            <v>11.99</v>
          </cell>
          <cell r="K87" t="str">
            <v>NA</v>
          </cell>
          <cell r="L87">
            <v>0.29155313351498635</v>
          </cell>
          <cell r="M87">
            <v>647</v>
          </cell>
          <cell r="Q87">
            <v>0.67333333333333334</v>
          </cell>
          <cell r="R87">
            <v>0.32666666666666666</v>
          </cell>
          <cell r="S87" t="str">
            <v>BAU</v>
          </cell>
          <cell r="T87" t="str">
            <v>BAU</v>
          </cell>
          <cell r="U87" t="str">
            <v>BAU</v>
          </cell>
          <cell r="V87" t="str">
            <v>NA</v>
          </cell>
          <cell r="W87" t="str">
            <v>USD</v>
          </cell>
          <cell r="X87" t="str">
            <v>BAU</v>
          </cell>
          <cell r="Y87">
            <v>10.99</v>
          </cell>
          <cell r="Z87">
            <v>32.99</v>
          </cell>
          <cell r="AA87" t="str">
            <v/>
          </cell>
          <cell r="AB87" t="str">
            <v/>
          </cell>
          <cell r="AC87">
            <v>4.99</v>
          </cell>
          <cell r="AD87">
            <v>14.99</v>
          </cell>
          <cell r="AE87" t="str">
            <v>GHS</v>
          </cell>
          <cell r="AF87">
            <v>7.5250006000000003</v>
          </cell>
          <cell r="AG87">
            <v>7</v>
          </cell>
          <cell r="AH87">
            <v>82</v>
          </cell>
          <cell r="AI87">
            <v>545</v>
          </cell>
          <cell r="AJ87" t="str">
            <v/>
          </cell>
          <cell r="AK87" t="str">
            <v/>
          </cell>
          <cell r="AL87">
            <v>74</v>
          </cell>
          <cell r="AM87">
            <v>520</v>
          </cell>
        </row>
        <row r="88">
          <cell r="B88" t="str">
            <v>Gibraltar</v>
          </cell>
          <cell r="C88" t="str">
            <v>Europe</v>
          </cell>
          <cell r="D88" t="str">
            <v>N</v>
          </cell>
          <cell r="E88" t="str">
            <v>NA</v>
          </cell>
          <cell r="F88" t="str">
            <v>EUR</v>
          </cell>
          <cell r="G88" t="str">
            <v>N</v>
          </cell>
          <cell r="H88">
            <v>7.99</v>
          </cell>
          <cell r="I88">
            <v>12.99</v>
          </cell>
          <cell r="J88">
            <v>17.989999999999998</v>
          </cell>
          <cell r="K88" t="str">
            <v>NA</v>
          </cell>
          <cell r="L88" t="str">
            <v>Negligible</v>
          </cell>
          <cell r="M88">
            <v>21</v>
          </cell>
          <cell r="Q88">
            <v>0.66666666666666663</v>
          </cell>
          <cell r="R88">
            <v>0.33333333333333331</v>
          </cell>
          <cell r="S88" t="str">
            <v>BAU</v>
          </cell>
          <cell r="T88" t="str">
            <v>BAU</v>
          </cell>
          <cell r="U88" t="str">
            <v>BAU</v>
          </cell>
          <cell r="V88" t="str">
            <v>Spain</v>
          </cell>
          <cell r="W88" t="str">
            <v>GIP</v>
          </cell>
          <cell r="X88" t="str">
            <v>BAU</v>
          </cell>
          <cell r="Y88">
            <v>21.99</v>
          </cell>
          <cell r="Z88">
            <v>64.989999999999995</v>
          </cell>
          <cell r="AA88">
            <v>24.99</v>
          </cell>
          <cell r="AB88">
            <v>74.989999999999995</v>
          </cell>
          <cell r="AC88">
            <v>12.99</v>
          </cell>
          <cell r="AD88">
            <v>39.99</v>
          </cell>
          <cell r="AE88" t="str">
            <v>GIP</v>
          </cell>
          <cell r="AF88"/>
          <cell r="AG88">
            <v>7</v>
          </cell>
          <cell r="AH88">
            <v>21.99</v>
          </cell>
          <cell r="AI88">
            <v>153.99</v>
          </cell>
          <cell r="AJ88">
            <v>24.99</v>
          </cell>
          <cell r="AK88">
            <v>174.99</v>
          </cell>
          <cell r="AL88">
            <v>12.99</v>
          </cell>
          <cell r="AM88">
            <v>90.99</v>
          </cell>
        </row>
        <row r="89">
          <cell r="B89" t="str">
            <v>Greece</v>
          </cell>
          <cell r="C89" t="str">
            <v>Europe</v>
          </cell>
          <cell r="D89" t="str">
            <v>Y</v>
          </cell>
          <cell r="E89">
            <v>19827</v>
          </cell>
          <cell r="F89" t="str">
            <v>EUR</v>
          </cell>
          <cell r="G89" t="str">
            <v>Y</v>
          </cell>
          <cell r="H89">
            <v>7.99</v>
          </cell>
          <cell r="I89">
            <v>10.99</v>
          </cell>
          <cell r="J89">
            <v>13.99</v>
          </cell>
          <cell r="K89">
            <v>3.4506683284867362E-2</v>
          </cell>
          <cell r="L89">
            <v>3.350083752093802E-2</v>
          </cell>
          <cell r="M89">
            <v>5098</v>
          </cell>
          <cell r="Q89">
            <v>0.48243626062322947</v>
          </cell>
          <cell r="R89">
            <v>0.51756373937677058</v>
          </cell>
          <cell r="S89" t="str">
            <v>BAU</v>
          </cell>
          <cell r="T89" t="str">
            <v>BAU</v>
          </cell>
          <cell r="U89" t="str">
            <v>BAU</v>
          </cell>
          <cell r="V89" t="str">
            <v>NA</v>
          </cell>
          <cell r="W89" t="str">
            <v>EUR</v>
          </cell>
          <cell r="X89" t="str">
            <v>BAU</v>
          </cell>
          <cell r="Y89">
            <v>9.99</v>
          </cell>
          <cell r="Z89">
            <v>29.99</v>
          </cell>
          <cell r="AA89">
            <v>11.99</v>
          </cell>
          <cell r="AB89">
            <v>34.99</v>
          </cell>
          <cell r="AC89">
            <v>6.99</v>
          </cell>
          <cell r="AD89">
            <v>19.989999999999998</v>
          </cell>
          <cell r="AE89" t="str">
            <v>EUR</v>
          </cell>
          <cell r="AF89"/>
          <cell r="AG89">
            <v>7</v>
          </cell>
          <cell r="AH89">
            <v>9.99</v>
          </cell>
          <cell r="AI89">
            <v>69.989999999999995</v>
          </cell>
          <cell r="AJ89">
            <v>11.99</v>
          </cell>
          <cell r="AK89">
            <v>83.99</v>
          </cell>
          <cell r="AL89">
            <v>6.99</v>
          </cell>
          <cell r="AM89">
            <v>48.99</v>
          </cell>
        </row>
        <row r="90">
          <cell r="B90" t="str">
            <v>Greenland</v>
          </cell>
          <cell r="C90" t="str">
            <v>Europe</v>
          </cell>
          <cell r="D90" t="str">
            <v>N</v>
          </cell>
          <cell r="E90">
            <v>2020</v>
          </cell>
          <cell r="F90" t="str">
            <v>DKK</v>
          </cell>
          <cell r="G90" t="str">
            <v>Y</v>
          </cell>
          <cell r="H90">
            <v>79</v>
          </cell>
          <cell r="I90">
            <v>99</v>
          </cell>
          <cell r="J90">
            <v>129</v>
          </cell>
          <cell r="K90" t="str">
            <v>NA</v>
          </cell>
          <cell r="L90" t="str">
            <v>Negligible</v>
          </cell>
          <cell r="M90">
            <v>16</v>
          </cell>
          <cell r="Q90">
            <v>0.52</v>
          </cell>
          <cell r="R90">
            <v>0.48</v>
          </cell>
          <cell r="S90" t="str">
            <v>BAU</v>
          </cell>
          <cell r="T90" t="str">
            <v>BAU</v>
          </cell>
          <cell r="U90" t="str">
            <v>BAU</v>
          </cell>
          <cell r="V90" t="str">
            <v>Denmark</v>
          </cell>
          <cell r="W90" t="str">
            <v>DKK</v>
          </cell>
          <cell r="X90" t="str">
            <v>BAU</v>
          </cell>
          <cell r="Y90">
            <v>189.99</v>
          </cell>
          <cell r="Z90">
            <v>569.99</v>
          </cell>
          <cell r="AA90">
            <v>209.99</v>
          </cell>
          <cell r="AB90">
            <v>630</v>
          </cell>
          <cell r="AC90">
            <v>109.99</v>
          </cell>
          <cell r="AD90">
            <v>329.99</v>
          </cell>
          <cell r="AE90" t="str">
            <v>DKK</v>
          </cell>
          <cell r="AF90"/>
          <cell r="AG90">
            <v>7</v>
          </cell>
          <cell r="AH90">
            <v>189.99</v>
          </cell>
          <cell r="AI90">
            <v>1329.99</v>
          </cell>
          <cell r="AJ90">
            <v>209.99</v>
          </cell>
          <cell r="AK90">
            <v>1469.99</v>
          </cell>
          <cell r="AL90">
            <v>109.99</v>
          </cell>
          <cell r="AM90">
            <v>769.99</v>
          </cell>
        </row>
        <row r="91">
          <cell r="B91" t="str">
            <v>Grenada</v>
          </cell>
          <cell r="C91" t="str">
            <v>Latin America</v>
          </cell>
          <cell r="D91" t="str">
            <v>N</v>
          </cell>
          <cell r="E91">
            <v>9575</v>
          </cell>
          <cell r="F91" t="str">
            <v>USD</v>
          </cell>
          <cell r="G91" t="str">
            <v>N</v>
          </cell>
          <cell r="H91">
            <v>7.99</v>
          </cell>
          <cell r="I91">
            <v>10.99</v>
          </cell>
          <cell r="J91">
            <v>13.99</v>
          </cell>
          <cell r="K91" t="str">
            <v>NA</v>
          </cell>
          <cell r="L91" t="str">
            <v>Negligible</v>
          </cell>
          <cell r="M91">
            <v>95</v>
          </cell>
          <cell r="Q91">
            <v>0.53521126760563376</v>
          </cell>
          <cell r="R91">
            <v>0.46478873239436619</v>
          </cell>
          <cell r="S91" t="str">
            <v>BAU</v>
          </cell>
          <cell r="T91" t="str">
            <v>BAU</v>
          </cell>
          <cell r="U91" t="str">
            <v>BAU</v>
          </cell>
          <cell r="V91" t="str">
            <v>Dominican Republic</v>
          </cell>
          <cell r="W91" t="str">
            <v>XCD</v>
          </cell>
          <cell r="X91" t="str">
            <v>BAU</v>
          </cell>
          <cell r="Y91">
            <v>37.99</v>
          </cell>
          <cell r="Z91">
            <v>114.99</v>
          </cell>
          <cell r="AA91" t="str">
            <v/>
          </cell>
          <cell r="AB91" t="str">
            <v/>
          </cell>
          <cell r="AC91">
            <v>23.99</v>
          </cell>
          <cell r="AD91">
            <v>71.989999999999995</v>
          </cell>
          <cell r="AE91" t="str">
            <v>XCD</v>
          </cell>
          <cell r="AF91"/>
          <cell r="AG91">
            <v>7</v>
          </cell>
          <cell r="AH91">
            <v>37.99</v>
          </cell>
          <cell r="AI91">
            <v>265.99</v>
          </cell>
          <cell r="AJ91" t="str">
            <v/>
          </cell>
          <cell r="AK91" t="str">
            <v/>
          </cell>
          <cell r="AL91">
            <v>23.99</v>
          </cell>
          <cell r="AM91">
            <v>167.99</v>
          </cell>
        </row>
        <row r="92">
          <cell r="B92" t="str">
            <v>Guadeloupe</v>
          </cell>
          <cell r="C92" t="str">
            <v>Latin America</v>
          </cell>
          <cell r="D92" t="str">
            <v>N</v>
          </cell>
          <cell r="E92" t="str">
            <v>NA</v>
          </cell>
          <cell r="F92" t="str">
            <v>EUR</v>
          </cell>
          <cell r="G92" t="str">
            <v>Y</v>
          </cell>
          <cell r="H92">
            <v>7.99</v>
          </cell>
          <cell r="I92">
            <v>10.99</v>
          </cell>
          <cell r="J92">
            <v>13.99</v>
          </cell>
          <cell r="K92" t="str">
            <v>NA</v>
          </cell>
          <cell r="L92">
            <v>8.6274509803921484E-2</v>
          </cell>
          <cell r="M92">
            <v>305</v>
          </cell>
          <cell r="Q92">
            <v>0.52890173410404628</v>
          </cell>
          <cell r="R92">
            <v>0.47109826589595377</v>
          </cell>
          <cell r="S92" t="str">
            <v>BAU</v>
          </cell>
          <cell r="T92" t="str">
            <v>BAU</v>
          </cell>
          <cell r="U92" t="str">
            <v>BAU</v>
          </cell>
          <cell r="V92" t="str">
            <v>NA</v>
          </cell>
          <cell r="W92" t="str">
            <v>EUR</v>
          </cell>
          <cell r="X92" t="str">
            <v>BAU</v>
          </cell>
          <cell r="Y92">
            <v>11.99</v>
          </cell>
          <cell r="Z92">
            <v>35.99</v>
          </cell>
          <cell r="AA92" t="str">
            <v/>
          </cell>
          <cell r="AB92" t="str">
            <v/>
          </cell>
          <cell r="AC92">
            <v>7.99</v>
          </cell>
          <cell r="AD92">
            <v>24.99</v>
          </cell>
          <cell r="AE92" t="str">
            <v>EUR</v>
          </cell>
          <cell r="AF92"/>
          <cell r="AG92">
            <v>7</v>
          </cell>
          <cell r="AH92">
            <v>11.99</v>
          </cell>
          <cell r="AI92">
            <v>83.99</v>
          </cell>
          <cell r="AJ92" t="str">
            <v/>
          </cell>
          <cell r="AK92" t="str">
            <v/>
          </cell>
          <cell r="AL92">
            <v>7.99</v>
          </cell>
          <cell r="AM92">
            <v>55.99</v>
          </cell>
        </row>
        <row r="93">
          <cell r="B93" t="str">
            <v>Guatemala</v>
          </cell>
          <cell r="C93" t="str">
            <v>Latin America</v>
          </cell>
          <cell r="D93" t="str">
            <v>N</v>
          </cell>
          <cell r="E93">
            <v>4542</v>
          </cell>
          <cell r="F93" t="str">
            <v>USD</v>
          </cell>
          <cell r="G93" t="str">
            <v>N</v>
          </cell>
          <cell r="H93">
            <v>7.99</v>
          </cell>
          <cell r="I93">
            <v>10.99</v>
          </cell>
          <cell r="J93">
            <v>13.99</v>
          </cell>
          <cell r="K93">
            <v>2.330729198718735E-2</v>
          </cell>
          <cell r="L93">
            <v>0.33751306165099271</v>
          </cell>
          <cell r="M93">
            <v>1440</v>
          </cell>
          <cell r="Q93">
            <v>0.73174061433447102</v>
          </cell>
          <cell r="R93">
            <v>0.26825938566552904</v>
          </cell>
          <cell r="S93" t="str">
            <v>BAU</v>
          </cell>
          <cell r="T93" t="str">
            <v>BAU</v>
          </cell>
          <cell r="U93" t="str">
            <v>BAU</v>
          </cell>
          <cell r="V93" t="str">
            <v>NA</v>
          </cell>
          <cell r="W93" t="str">
            <v>GTQ</v>
          </cell>
          <cell r="X93" t="str">
            <v>BAU</v>
          </cell>
          <cell r="Y93">
            <v>84.99</v>
          </cell>
          <cell r="Z93">
            <v>254.99</v>
          </cell>
          <cell r="AA93" t="str">
            <v/>
          </cell>
          <cell r="AB93" t="str">
            <v/>
          </cell>
          <cell r="AC93">
            <v>37.99</v>
          </cell>
          <cell r="AD93">
            <v>114.99</v>
          </cell>
          <cell r="AE93" t="str">
            <v>GTQ</v>
          </cell>
          <cell r="AF93"/>
          <cell r="AG93">
            <v>7</v>
          </cell>
          <cell r="AH93">
            <v>84.99</v>
          </cell>
          <cell r="AI93">
            <v>594.99</v>
          </cell>
          <cell r="AJ93" t="str">
            <v/>
          </cell>
          <cell r="AK93" t="str">
            <v/>
          </cell>
          <cell r="AL93">
            <v>37.99</v>
          </cell>
          <cell r="AM93">
            <v>265.99</v>
          </cell>
        </row>
        <row r="94">
          <cell r="B94" t="str">
            <v>Guernsey</v>
          </cell>
          <cell r="C94" t="str">
            <v>Europe</v>
          </cell>
          <cell r="D94" t="str">
            <v>N</v>
          </cell>
          <cell r="E94" t="str">
            <v>NA</v>
          </cell>
          <cell r="F94" t="str">
            <v>GBP</v>
          </cell>
          <cell r="G94" t="str">
            <v>Y</v>
          </cell>
          <cell r="H94">
            <v>5.99</v>
          </cell>
          <cell r="I94">
            <v>9.99</v>
          </cell>
          <cell r="J94">
            <v>13.99</v>
          </cell>
          <cell r="K94" t="str">
            <v>NA</v>
          </cell>
          <cell r="L94" t="str">
            <v>Negligible</v>
          </cell>
          <cell r="M94">
            <v>40</v>
          </cell>
          <cell r="Q94">
            <v>0.57407407407407407</v>
          </cell>
          <cell r="R94">
            <v>0.42592592592592593</v>
          </cell>
          <cell r="S94" t="str">
            <v>BAU</v>
          </cell>
          <cell r="T94" t="str">
            <v>BAU</v>
          </cell>
          <cell r="U94" t="str">
            <v>BAU</v>
          </cell>
          <cell r="V94" t="str">
            <v>United Kingdom</v>
          </cell>
          <cell r="W94" t="str">
            <v>USD</v>
          </cell>
          <cell r="X94" t="str">
            <v>BAU</v>
          </cell>
          <cell r="Y94">
            <v>27.99</v>
          </cell>
          <cell r="Z94">
            <v>84.99</v>
          </cell>
          <cell r="AA94">
            <v>31.99</v>
          </cell>
          <cell r="AB94">
            <v>94.99</v>
          </cell>
          <cell r="AC94">
            <v>16.989999999999998</v>
          </cell>
          <cell r="AD94">
            <v>49.99</v>
          </cell>
          <cell r="AE94" t="str">
            <v>GBP</v>
          </cell>
          <cell r="AF94">
            <v>0.77866460000000004</v>
          </cell>
          <cell r="AG94">
            <v>7</v>
          </cell>
          <cell r="AH94">
            <v>21.99</v>
          </cell>
          <cell r="AI94">
            <v>153.99</v>
          </cell>
          <cell r="AJ94">
            <v>27.99</v>
          </cell>
          <cell r="AK94">
            <v>194.99</v>
          </cell>
          <cell r="AL94">
            <v>19.989999999999998</v>
          </cell>
          <cell r="AM94">
            <v>139.99</v>
          </cell>
        </row>
        <row r="95">
          <cell r="B95" t="str">
            <v>Guinea</v>
          </cell>
          <cell r="C95" t="str">
            <v>Africa</v>
          </cell>
          <cell r="D95" t="str">
            <v>N</v>
          </cell>
          <cell r="E95">
            <v>1168</v>
          </cell>
          <cell r="F95" t="str">
            <v>USD</v>
          </cell>
          <cell r="G95" t="str">
            <v>N</v>
          </cell>
          <cell r="H95">
            <v>7.99</v>
          </cell>
          <cell r="I95">
            <v>9.99</v>
          </cell>
          <cell r="J95">
            <v>11.99</v>
          </cell>
          <cell r="K95" t="str">
            <v>NA</v>
          </cell>
          <cell r="L95" t="str">
            <v>Negligible</v>
          </cell>
          <cell r="M95">
            <v>27</v>
          </cell>
          <cell r="Q95">
            <v>0.70370370370370372</v>
          </cell>
          <cell r="R95">
            <v>0.29629629629629628</v>
          </cell>
          <cell r="S95" t="str">
            <v>BAU</v>
          </cell>
          <cell r="T95" t="str">
            <v>BAU</v>
          </cell>
          <cell r="U95" t="str">
            <v>BAU</v>
          </cell>
          <cell r="V95" t="str">
            <v>Tanzania</v>
          </cell>
          <cell r="W95" t="str">
            <v>GNF</v>
          </cell>
          <cell r="X95" t="str">
            <v>BAU</v>
          </cell>
          <cell r="Y95">
            <v>101000</v>
          </cell>
          <cell r="Z95">
            <v>303000</v>
          </cell>
          <cell r="AA95" t="str">
            <v/>
          </cell>
          <cell r="AB95" t="str">
            <v/>
          </cell>
          <cell r="AC95">
            <v>46100</v>
          </cell>
          <cell r="AD95">
            <v>138300</v>
          </cell>
          <cell r="AE95" t="str">
            <v>GNF</v>
          </cell>
          <cell r="AF95"/>
          <cell r="AG95">
            <v>7</v>
          </cell>
          <cell r="AH95">
            <v>101000</v>
          </cell>
          <cell r="AI95">
            <v>707000</v>
          </cell>
          <cell r="AJ95" t="str">
            <v/>
          </cell>
          <cell r="AK95" t="str">
            <v/>
          </cell>
          <cell r="AL95">
            <v>46100</v>
          </cell>
          <cell r="AM95">
            <v>322700</v>
          </cell>
        </row>
        <row r="96">
          <cell r="B96" t="str">
            <v>Guinea-Bissau</v>
          </cell>
          <cell r="C96" t="str">
            <v>Africa</v>
          </cell>
          <cell r="D96" t="str">
            <v>N</v>
          </cell>
          <cell r="E96">
            <v>858</v>
          </cell>
          <cell r="F96" t="str">
            <v>USD</v>
          </cell>
          <cell r="G96" t="str">
            <v>N</v>
          </cell>
          <cell r="H96">
            <v>7.99</v>
          </cell>
          <cell r="I96">
            <v>9.99</v>
          </cell>
          <cell r="J96">
            <v>11.99</v>
          </cell>
          <cell r="K96" t="str">
            <v>NA</v>
          </cell>
          <cell r="L96" t="str">
            <v>Negligible</v>
          </cell>
          <cell r="M96">
            <v>2</v>
          </cell>
          <cell r="Q96" t="str">
            <v>NA</v>
          </cell>
          <cell r="R96" t="str">
            <v>NA</v>
          </cell>
          <cell r="S96" t="str">
            <v>BAU</v>
          </cell>
          <cell r="T96" t="str">
            <v>BAU</v>
          </cell>
          <cell r="U96" t="str">
            <v>BAU</v>
          </cell>
          <cell r="V96" t="str">
            <v>Uganda</v>
          </cell>
          <cell r="W96" t="str">
            <v>XOF</v>
          </cell>
          <cell r="X96" t="str">
            <v>BAU</v>
          </cell>
          <cell r="Y96">
            <v>6400</v>
          </cell>
          <cell r="Z96">
            <v>19200</v>
          </cell>
          <cell r="AA96" t="str">
            <v/>
          </cell>
          <cell r="AB96" t="str">
            <v/>
          </cell>
          <cell r="AC96">
            <v>2900</v>
          </cell>
          <cell r="AD96">
            <v>8700</v>
          </cell>
          <cell r="AE96" t="str">
            <v>XOF</v>
          </cell>
          <cell r="AF96"/>
          <cell r="AG96">
            <v>7</v>
          </cell>
          <cell r="AH96">
            <v>6400</v>
          </cell>
          <cell r="AI96">
            <v>44800</v>
          </cell>
          <cell r="AJ96" t="str">
            <v/>
          </cell>
          <cell r="AK96" t="str">
            <v/>
          </cell>
          <cell r="AL96">
            <v>2900</v>
          </cell>
          <cell r="AM96">
            <v>20300</v>
          </cell>
        </row>
        <row r="97">
          <cell r="B97" t="str">
            <v>Guyana</v>
          </cell>
          <cell r="C97" t="str">
            <v>Latin America</v>
          </cell>
          <cell r="D97" t="str">
            <v>N</v>
          </cell>
          <cell r="E97">
            <v>9369</v>
          </cell>
          <cell r="F97" t="str">
            <v>USD</v>
          </cell>
          <cell r="G97" t="str">
            <v>N</v>
          </cell>
          <cell r="H97">
            <v>7.99</v>
          </cell>
          <cell r="I97">
            <v>10.99</v>
          </cell>
          <cell r="J97">
            <v>13.99</v>
          </cell>
          <cell r="K97" t="str">
            <v>NA</v>
          </cell>
          <cell r="L97" t="str">
            <v>Negligible</v>
          </cell>
          <cell r="M97">
            <v>111</v>
          </cell>
          <cell r="Q97">
            <v>0.50495049504950495</v>
          </cell>
          <cell r="R97">
            <v>0.49504950495049505</v>
          </cell>
          <cell r="S97" t="str">
            <v>BAU</v>
          </cell>
          <cell r="T97" t="str">
            <v>BAU</v>
          </cell>
          <cell r="U97" t="str">
            <v>BAU</v>
          </cell>
          <cell r="V97" t="str">
            <v>Dominican Republic</v>
          </cell>
          <cell r="W97" t="str">
            <v>GYD</v>
          </cell>
          <cell r="X97" t="str">
            <v>BAU</v>
          </cell>
          <cell r="Y97">
            <v>2899.99</v>
          </cell>
          <cell r="Z97">
            <v>8699.99</v>
          </cell>
          <cell r="AA97" t="str">
            <v/>
          </cell>
          <cell r="AB97" t="str">
            <v/>
          </cell>
          <cell r="AC97">
            <v>1899.99</v>
          </cell>
          <cell r="AD97">
            <v>5699.99</v>
          </cell>
          <cell r="AE97" t="str">
            <v>GYD</v>
          </cell>
          <cell r="AF97"/>
          <cell r="AG97">
            <v>7</v>
          </cell>
          <cell r="AH97">
            <v>2899.99</v>
          </cell>
          <cell r="AI97">
            <v>20299.990000000002</v>
          </cell>
          <cell r="AJ97" t="str">
            <v/>
          </cell>
          <cell r="AK97" t="str">
            <v/>
          </cell>
          <cell r="AL97">
            <v>1899.99</v>
          </cell>
          <cell r="AM97">
            <v>13299.99</v>
          </cell>
        </row>
        <row r="98">
          <cell r="B98" t="str">
            <v>Haiti</v>
          </cell>
          <cell r="C98" t="str">
            <v>Latin America</v>
          </cell>
          <cell r="D98" t="str">
            <v>N</v>
          </cell>
          <cell r="E98">
            <v>1692</v>
          </cell>
          <cell r="F98" t="str">
            <v>USD</v>
          </cell>
          <cell r="G98" t="str">
            <v>N</v>
          </cell>
          <cell r="H98">
            <v>7.99</v>
          </cell>
          <cell r="I98">
            <v>10.99</v>
          </cell>
          <cell r="J98">
            <v>13.99</v>
          </cell>
          <cell r="K98" t="str">
            <v>NA</v>
          </cell>
          <cell r="L98" t="str">
            <v>Negligible</v>
          </cell>
          <cell r="M98">
            <v>103</v>
          </cell>
          <cell r="Q98">
            <v>0.65420560747663548</v>
          </cell>
          <cell r="R98">
            <v>0.34579439252336447</v>
          </cell>
          <cell r="S98" t="str">
            <v>BAU</v>
          </cell>
          <cell r="T98" t="str">
            <v>BAU</v>
          </cell>
          <cell r="U98" t="str">
            <v>BAU</v>
          </cell>
          <cell r="V98" t="str">
            <v>Venezuela</v>
          </cell>
          <cell r="W98" t="str">
            <v>HTG</v>
          </cell>
          <cell r="X98" t="str">
            <v>BAU</v>
          </cell>
          <cell r="Y98">
            <v>1300</v>
          </cell>
          <cell r="Z98">
            <v>3900</v>
          </cell>
          <cell r="AA98" t="str">
            <v/>
          </cell>
          <cell r="AB98" t="str">
            <v/>
          </cell>
          <cell r="AC98">
            <v>830</v>
          </cell>
          <cell r="AD98">
            <v>2490</v>
          </cell>
          <cell r="AE98" t="str">
            <v>HTG</v>
          </cell>
          <cell r="AF98"/>
          <cell r="AG98">
            <v>7</v>
          </cell>
          <cell r="AH98">
            <v>1300</v>
          </cell>
          <cell r="AI98">
            <v>9100</v>
          </cell>
          <cell r="AJ98" t="str">
            <v/>
          </cell>
          <cell r="AK98" t="str">
            <v/>
          </cell>
          <cell r="AL98">
            <v>830</v>
          </cell>
          <cell r="AM98">
            <v>5810</v>
          </cell>
        </row>
        <row r="99">
          <cell r="B99" t="str">
            <v>Heard And Mcdonald Islands</v>
          </cell>
          <cell r="C99" t="str">
            <v>India</v>
          </cell>
          <cell r="D99" t="str">
            <v>N</v>
          </cell>
          <cell r="E99" t="str">
            <v>NA</v>
          </cell>
          <cell r="F99" t="str">
            <v>USD</v>
          </cell>
          <cell r="G99" t="str">
            <v>N</v>
          </cell>
          <cell r="H99">
            <v>7.99</v>
          </cell>
          <cell r="I99">
            <v>9.99</v>
          </cell>
          <cell r="J99">
            <v>11.99</v>
          </cell>
          <cell r="K99" t="str">
            <v>NA</v>
          </cell>
          <cell r="L99" t="str">
            <v>NA</v>
          </cell>
          <cell r="M99" t="str">
            <v>NA</v>
          </cell>
          <cell r="Q99" t="str">
            <v>NA</v>
          </cell>
          <cell r="R99" t="str">
            <v>NA</v>
          </cell>
          <cell r="S99" t="str">
            <v>BAU</v>
          </cell>
          <cell r="T99" t="str">
            <v>BAU</v>
          </cell>
          <cell r="U99" t="str">
            <v>BAU</v>
          </cell>
          <cell r="V99" t="str">
            <v>India</v>
          </cell>
          <cell r="W99" t="str">
            <v>AUD</v>
          </cell>
          <cell r="X99" t="str">
            <v>BAU</v>
          </cell>
          <cell r="Y99">
            <v>40.99</v>
          </cell>
          <cell r="Z99">
            <v>122.99</v>
          </cell>
          <cell r="AA99">
            <v>45.99</v>
          </cell>
          <cell r="AB99">
            <v>137.99</v>
          </cell>
          <cell r="AC99">
            <v>23.99</v>
          </cell>
          <cell r="AD99">
            <v>71.989999999999995</v>
          </cell>
          <cell r="AE99" t="str">
            <v>AUD</v>
          </cell>
          <cell r="AF99"/>
          <cell r="AG99">
            <v>7</v>
          </cell>
          <cell r="AH99">
            <v>40.99</v>
          </cell>
          <cell r="AI99">
            <v>286.99</v>
          </cell>
          <cell r="AJ99">
            <v>45.99</v>
          </cell>
          <cell r="AK99">
            <v>321.99</v>
          </cell>
          <cell r="AL99">
            <v>23.99</v>
          </cell>
          <cell r="AM99">
            <v>167.99</v>
          </cell>
        </row>
        <row r="100">
          <cell r="B100" t="str">
            <v>Honduras</v>
          </cell>
          <cell r="C100" t="str">
            <v>Latin America</v>
          </cell>
          <cell r="D100" t="str">
            <v>N</v>
          </cell>
          <cell r="E100">
            <v>2602</v>
          </cell>
          <cell r="F100" t="str">
            <v>USD</v>
          </cell>
          <cell r="G100" t="str">
            <v>N</v>
          </cell>
          <cell r="H100">
            <v>7.99</v>
          </cell>
          <cell r="I100">
            <v>10.99</v>
          </cell>
          <cell r="J100">
            <v>13.99</v>
          </cell>
          <cell r="K100" t="str">
            <v>NA</v>
          </cell>
          <cell r="L100">
            <v>0.13054499366286443</v>
          </cell>
          <cell r="M100">
            <v>991</v>
          </cell>
          <cell r="Q100">
            <v>0.78628230616302186</v>
          </cell>
          <cell r="R100">
            <v>0.21371769383697814</v>
          </cell>
          <cell r="S100" t="str">
            <v>BAU</v>
          </cell>
          <cell r="T100" t="str">
            <v>BAU</v>
          </cell>
          <cell r="U100" t="str">
            <v>BAU</v>
          </cell>
          <cell r="V100" t="str">
            <v>NA</v>
          </cell>
          <cell r="W100" t="str">
            <v>HNL</v>
          </cell>
          <cell r="X100" t="str">
            <v>BAU</v>
          </cell>
          <cell r="Y100">
            <v>269.99</v>
          </cell>
          <cell r="Z100">
            <v>809.99</v>
          </cell>
          <cell r="AA100" t="str">
            <v/>
          </cell>
          <cell r="AB100" t="str">
            <v/>
          </cell>
          <cell r="AC100">
            <v>119.99</v>
          </cell>
          <cell r="AD100">
            <v>359.99</v>
          </cell>
          <cell r="AE100" t="str">
            <v>HNL</v>
          </cell>
          <cell r="AF100"/>
          <cell r="AG100">
            <v>7</v>
          </cell>
          <cell r="AH100">
            <v>269.99</v>
          </cell>
          <cell r="AI100">
            <v>1889.99</v>
          </cell>
          <cell r="AJ100" t="str">
            <v/>
          </cell>
          <cell r="AK100" t="str">
            <v/>
          </cell>
          <cell r="AL100">
            <v>119.99</v>
          </cell>
          <cell r="AM100">
            <v>839.99</v>
          </cell>
        </row>
        <row r="101">
          <cell r="B101" t="str">
            <v>Hong Kong</v>
          </cell>
          <cell r="C101" t="str">
            <v>NBA China</v>
          </cell>
          <cell r="D101" t="str">
            <v>Y</v>
          </cell>
          <cell r="E101">
            <v>49485</v>
          </cell>
          <cell r="F101" t="str">
            <v>HKD</v>
          </cell>
          <cell r="G101" t="str">
            <v>Y</v>
          </cell>
          <cell r="H101">
            <v>63</v>
          </cell>
          <cell r="I101">
            <v>78</v>
          </cell>
          <cell r="J101">
            <v>93</v>
          </cell>
          <cell r="K101">
            <v>2.9644677666443874E-2</v>
          </cell>
          <cell r="L101">
            <v>7.6371210367971454E-3</v>
          </cell>
          <cell r="M101">
            <v>10128</v>
          </cell>
          <cell r="Q101">
            <v>0.69772651842017919</v>
          </cell>
          <cell r="R101">
            <v>0.30227348157982076</v>
          </cell>
          <cell r="S101">
            <v>2.75E-2</v>
          </cell>
          <cell r="T101">
            <v>4.6300000000000001E-2</v>
          </cell>
          <cell r="U101">
            <v>0.6836363636363636</v>
          </cell>
          <cell r="V101" t="str">
            <v>NA</v>
          </cell>
          <cell r="W101" t="str">
            <v>HKD</v>
          </cell>
          <cell r="X101" t="str">
            <v>Steeper than BAU</v>
          </cell>
          <cell r="Y101">
            <v>109</v>
          </cell>
          <cell r="Z101">
            <v>327</v>
          </cell>
          <cell r="AA101">
            <v>164</v>
          </cell>
          <cell r="AB101">
            <v>492</v>
          </cell>
          <cell r="AC101">
            <v>89</v>
          </cell>
          <cell r="AD101">
            <v>297</v>
          </cell>
          <cell r="AE101" t="str">
            <v>HKD</v>
          </cell>
          <cell r="AF101"/>
          <cell r="AG101">
            <v>7</v>
          </cell>
          <cell r="AH101">
            <v>109</v>
          </cell>
          <cell r="AI101">
            <v>760</v>
          </cell>
          <cell r="AJ101">
            <v>164</v>
          </cell>
          <cell r="AK101">
            <v>1150</v>
          </cell>
          <cell r="AL101">
            <v>89</v>
          </cell>
          <cell r="AM101">
            <v>620</v>
          </cell>
        </row>
        <row r="102">
          <cell r="B102" t="str">
            <v>Hungary</v>
          </cell>
          <cell r="C102" t="str">
            <v>Europe</v>
          </cell>
          <cell r="D102" t="str">
            <v>Y</v>
          </cell>
          <cell r="E102">
            <v>18528</v>
          </cell>
          <cell r="F102" t="str">
            <v>HUF</v>
          </cell>
          <cell r="G102" t="str">
            <v>Y</v>
          </cell>
          <cell r="H102">
            <v>2490</v>
          </cell>
          <cell r="I102">
            <v>3490</v>
          </cell>
          <cell r="J102">
            <v>4490</v>
          </cell>
          <cell r="K102">
            <v>3.5943650776546314E-2</v>
          </cell>
          <cell r="L102">
            <v>0.19565217391304346</v>
          </cell>
          <cell r="M102">
            <v>2682</v>
          </cell>
          <cell r="Q102">
            <v>0.45326633165829144</v>
          </cell>
          <cell r="R102">
            <v>0.54673366834170856</v>
          </cell>
          <cell r="S102" t="str">
            <v>BAU</v>
          </cell>
          <cell r="T102" t="str">
            <v>BAU</v>
          </cell>
          <cell r="U102" t="str">
            <v>BAU</v>
          </cell>
          <cell r="V102" t="str">
            <v>NA</v>
          </cell>
          <cell r="W102" t="str">
            <v>HUF</v>
          </cell>
          <cell r="X102" t="str">
            <v>BAU</v>
          </cell>
          <cell r="Y102">
            <v>4000</v>
          </cell>
          <cell r="Z102">
            <v>12000</v>
          </cell>
          <cell r="AA102">
            <v>4600</v>
          </cell>
          <cell r="AB102">
            <v>13800</v>
          </cell>
          <cell r="AC102">
            <v>2600</v>
          </cell>
          <cell r="AD102">
            <v>7800</v>
          </cell>
          <cell r="AE102" t="str">
            <v>HUF</v>
          </cell>
          <cell r="AF102"/>
          <cell r="AG102">
            <v>7</v>
          </cell>
          <cell r="AH102">
            <v>4000</v>
          </cell>
          <cell r="AI102">
            <v>28000</v>
          </cell>
          <cell r="AJ102">
            <v>4600</v>
          </cell>
          <cell r="AK102">
            <v>32200</v>
          </cell>
          <cell r="AL102">
            <v>2600</v>
          </cell>
          <cell r="AM102">
            <v>18200</v>
          </cell>
        </row>
        <row r="103">
          <cell r="B103" t="str">
            <v>Iceland</v>
          </cell>
          <cell r="C103" t="str">
            <v>Europe</v>
          </cell>
          <cell r="D103" t="str">
            <v>N</v>
          </cell>
          <cell r="E103">
            <v>68844</v>
          </cell>
          <cell r="F103" t="str">
            <v>EUR</v>
          </cell>
          <cell r="G103" t="str">
            <v>N</v>
          </cell>
          <cell r="H103">
            <v>7.99</v>
          </cell>
          <cell r="I103">
            <v>12.99</v>
          </cell>
          <cell r="J103">
            <v>17.989999999999998</v>
          </cell>
          <cell r="K103">
            <v>3.5716484951982902E-2</v>
          </cell>
          <cell r="L103">
            <v>4.2089985486212012E-2</v>
          </cell>
          <cell r="M103">
            <v>1650</v>
          </cell>
          <cell r="Q103">
            <v>0.56373333333333331</v>
          </cell>
          <cell r="R103">
            <v>0.43626666666666669</v>
          </cell>
          <cell r="S103" t="str">
            <v>BAU</v>
          </cell>
          <cell r="T103" t="str">
            <v>BAU</v>
          </cell>
          <cell r="U103" t="str">
            <v>BAU</v>
          </cell>
          <cell r="V103" t="str">
            <v>NA</v>
          </cell>
          <cell r="W103" t="str">
            <v>ISK</v>
          </cell>
          <cell r="X103" t="str">
            <v>BAU</v>
          </cell>
          <cell r="Y103">
            <v>3500</v>
          </cell>
          <cell r="Z103">
            <v>10500</v>
          </cell>
          <cell r="AA103">
            <v>4700</v>
          </cell>
          <cell r="AB103">
            <v>14100</v>
          </cell>
          <cell r="AC103">
            <v>2100</v>
          </cell>
          <cell r="AD103">
            <v>6300</v>
          </cell>
          <cell r="AE103" t="str">
            <v>ISK</v>
          </cell>
          <cell r="AF103"/>
          <cell r="AG103">
            <v>7</v>
          </cell>
          <cell r="AH103">
            <v>3500</v>
          </cell>
          <cell r="AI103">
            <v>24500</v>
          </cell>
          <cell r="AJ103">
            <v>4700</v>
          </cell>
          <cell r="AK103">
            <v>32900</v>
          </cell>
          <cell r="AL103">
            <v>2100</v>
          </cell>
          <cell r="AM103">
            <v>14700</v>
          </cell>
        </row>
        <row r="104">
          <cell r="B104" t="str">
            <v>India</v>
          </cell>
          <cell r="C104" t="str">
            <v>India</v>
          </cell>
          <cell r="D104" t="str">
            <v>Y</v>
          </cell>
          <cell r="E104">
            <v>2116</v>
          </cell>
          <cell r="F104" t="str">
            <v>INR</v>
          </cell>
          <cell r="G104" t="str">
            <v>Y</v>
          </cell>
          <cell r="H104">
            <v>199</v>
          </cell>
          <cell r="I104">
            <v>499</v>
          </cell>
          <cell r="J104">
            <v>649</v>
          </cell>
          <cell r="K104">
            <v>1.3547873626416879E-2</v>
          </cell>
          <cell r="L104">
            <v>0.29370629370629375</v>
          </cell>
          <cell r="M104">
            <v>34821</v>
          </cell>
          <cell r="Q104">
            <v>0.36782802075611565</v>
          </cell>
          <cell r="R104">
            <v>0.63217197924388435</v>
          </cell>
          <cell r="S104" t="str">
            <v>BAU</v>
          </cell>
          <cell r="T104" t="str">
            <v>BAU</v>
          </cell>
          <cell r="U104" t="str">
            <v>BAU</v>
          </cell>
          <cell r="V104" t="str">
            <v>NA</v>
          </cell>
          <cell r="W104" t="str">
            <v>INR</v>
          </cell>
          <cell r="X104" t="str">
            <v>BAU</v>
          </cell>
          <cell r="Y104">
            <v>199</v>
          </cell>
          <cell r="Z104">
            <v>599</v>
          </cell>
          <cell r="AA104" t="str">
            <v/>
          </cell>
          <cell r="AB104" t="str">
            <v/>
          </cell>
          <cell r="AC104">
            <v>0</v>
          </cell>
          <cell r="AD104">
            <v>0</v>
          </cell>
          <cell r="AE104" t="str">
            <v>INR</v>
          </cell>
          <cell r="AF104"/>
          <cell r="AG104">
            <v>7</v>
          </cell>
          <cell r="AH104">
            <v>199</v>
          </cell>
          <cell r="AI104">
            <v>1390</v>
          </cell>
          <cell r="AJ104" t="str">
            <v/>
          </cell>
          <cell r="AK104" t="str">
            <v/>
          </cell>
          <cell r="AL104">
            <v>0</v>
          </cell>
          <cell r="AM104">
            <v>0</v>
          </cell>
        </row>
        <row r="105">
          <cell r="B105" t="str">
            <v>Indonesia</v>
          </cell>
          <cell r="C105" t="str">
            <v>Asia</v>
          </cell>
          <cell r="D105" t="str">
            <v>Y</v>
          </cell>
          <cell r="E105">
            <v>4225</v>
          </cell>
          <cell r="F105" t="str">
            <v>IDR</v>
          </cell>
          <cell r="G105" t="str">
            <v>Y</v>
          </cell>
          <cell r="H105">
            <v>120000</v>
          </cell>
          <cell r="I105">
            <v>153000</v>
          </cell>
          <cell r="J105">
            <v>186000</v>
          </cell>
          <cell r="K105">
            <v>1.1367281951767593E-2</v>
          </cell>
          <cell r="L105">
            <v>0.15295272370358259</v>
          </cell>
          <cell r="M105">
            <v>9006</v>
          </cell>
          <cell r="Q105">
            <v>0.48043288150415392</v>
          </cell>
          <cell r="R105">
            <v>0.51956711849584614</v>
          </cell>
          <cell r="S105" t="str">
            <v>BAU</v>
          </cell>
          <cell r="T105" t="str">
            <v>BAU</v>
          </cell>
          <cell r="U105" t="str">
            <v>BAU</v>
          </cell>
          <cell r="V105" t="str">
            <v>NA</v>
          </cell>
          <cell r="W105" t="str">
            <v>IDR</v>
          </cell>
          <cell r="X105" t="str">
            <v>BAU</v>
          </cell>
          <cell r="Y105">
            <v>154000</v>
          </cell>
          <cell r="Z105">
            <v>462000</v>
          </cell>
          <cell r="AA105">
            <v>183000</v>
          </cell>
          <cell r="AB105">
            <v>549000</v>
          </cell>
          <cell r="AC105">
            <v>70000</v>
          </cell>
          <cell r="AD105">
            <v>210000</v>
          </cell>
          <cell r="AE105" t="str">
            <v>IDR</v>
          </cell>
          <cell r="AF105"/>
          <cell r="AG105">
            <v>7</v>
          </cell>
          <cell r="AH105">
            <v>154000</v>
          </cell>
          <cell r="AI105">
            <v>1078000</v>
          </cell>
          <cell r="AJ105">
            <v>183000</v>
          </cell>
          <cell r="AK105">
            <v>1281000</v>
          </cell>
          <cell r="AL105">
            <v>70000</v>
          </cell>
          <cell r="AM105">
            <v>490000</v>
          </cell>
        </row>
        <row r="106">
          <cell r="B106" t="str">
            <v>Iraq</v>
          </cell>
          <cell r="C106" t="str">
            <v>Middle East</v>
          </cell>
          <cell r="D106" t="str">
            <v>N</v>
          </cell>
          <cell r="E106">
            <v>4893</v>
          </cell>
          <cell r="F106"/>
          <cell r="G106"/>
          <cell r="H106"/>
          <cell r="I106"/>
          <cell r="J106"/>
          <cell r="K106"/>
          <cell r="L106"/>
          <cell r="M106"/>
          <cell r="Q106"/>
          <cell r="R106"/>
          <cell r="S106"/>
          <cell r="T106"/>
          <cell r="U106"/>
          <cell r="V106"/>
          <cell r="W106"/>
          <cell r="X106" t="str">
            <v>NA</v>
          </cell>
          <cell r="Y106"/>
          <cell r="Z106"/>
          <cell r="AA106"/>
          <cell r="AB106"/>
          <cell r="AC106"/>
          <cell r="AD106"/>
          <cell r="AE106" t="str">
            <v>USD</v>
          </cell>
          <cell r="AF106"/>
          <cell r="AG106"/>
          <cell r="AH106"/>
          <cell r="AI106"/>
          <cell r="AJ106"/>
          <cell r="AK106"/>
          <cell r="AL106"/>
          <cell r="AM106"/>
        </row>
        <row r="107">
          <cell r="B107" t="str">
            <v>Ireland</v>
          </cell>
          <cell r="C107" t="str">
            <v>Europe</v>
          </cell>
          <cell r="D107" t="str">
            <v>Y</v>
          </cell>
          <cell r="E107">
            <v>102394</v>
          </cell>
          <cell r="F107" t="str">
            <v>EUR</v>
          </cell>
          <cell r="G107" t="str">
            <v>Y</v>
          </cell>
          <cell r="H107">
            <v>7.99</v>
          </cell>
          <cell r="I107">
            <v>12.99</v>
          </cell>
          <cell r="J107">
            <v>17.989999999999998</v>
          </cell>
          <cell r="K107">
            <v>3.6865598917547419E-2</v>
          </cell>
          <cell r="L107">
            <v>-6.5387968613774827E-3</v>
          </cell>
          <cell r="M107">
            <v>2821</v>
          </cell>
          <cell r="Q107">
            <v>0.44594594594594594</v>
          </cell>
          <cell r="R107">
            <v>0.55405405405405406</v>
          </cell>
          <cell r="S107">
            <v>5.3699999999999998E-2</v>
          </cell>
          <cell r="T107">
            <v>6.6600000000000006E-2</v>
          </cell>
          <cell r="U107">
            <v>0.24022346368715097</v>
          </cell>
          <cell r="V107" t="str">
            <v>NA</v>
          </cell>
          <cell r="W107" t="str">
            <v>EUR</v>
          </cell>
          <cell r="X107" t="str">
            <v>Steeper than BAU</v>
          </cell>
          <cell r="Y107">
            <v>17.989999999999998</v>
          </cell>
          <cell r="Z107">
            <v>54.99</v>
          </cell>
          <cell r="AA107">
            <v>24.99</v>
          </cell>
          <cell r="AB107">
            <v>79.989999999999995</v>
          </cell>
          <cell r="AC107">
            <v>14.99</v>
          </cell>
          <cell r="AD107">
            <v>49.99</v>
          </cell>
          <cell r="AE107" t="str">
            <v>EUR</v>
          </cell>
          <cell r="AF107"/>
          <cell r="AG107">
            <v>7</v>
          </cell>
          <cell r="AH107">
            <v>17.989999999999998</v>
          </cell>
          <cell r="AI107">
            <v>125.99</v>
          </cell>
          <cell r="AJ107">
            <v>24.99</v>
          </cell>
          <cell r="AK107">
            <v>174.99</v>
          </cell>
          <cell r="AL107">
            <v>14.99</v>
          </cell>
          <cell r="AM107">
            <v>104.99</v>
          </cell>
        </row>
        <row r="108">
          <cell r="B108" t="str">
            <v>Isle Of Man</v>
          </cell>
          <cell r="C108" t="str">
            <v>Europe</v>
          </cell>
          <cell r="D108" t="str">
            <v>N</v>
          </cell>
          <cell r="E108" t="str">
            <v>NA</v>
          </cell>
          <cell r="F108" t="str">
            <v>GBP</v>
          </cell>
          <cell r="G108" t="str">
            <v>N</v>
          </cell>
          <cell r="H108">
            <v>5.99</v>
          </cell>
          <cell r="I108">
            <v>9.99</v>
          </cell>
          <cell r="J108">
            <v>13.99</v>
          </cell>
          <cell r="K108" t="str">
            <v>NA</v>
          </cell>
          <cell r="L108" t="str">
            <v>Negligible</v>
          </cell>
          <cell r="M108">
            <v>39</v>
          </cell>
          <cell r="Q108">
            <v>0.62222222222222223</v>
          </cell>
          <cell r="R108">
            <v>0.37777777777777777</v>
          </cell>
          <cell r="S108" t="str">
            <v>BAU</v>
          </cell>
          <cell r="T108" t="str">
            <v>BAU</v>
          </cell>
          <cell r="U108" t="str">
            <v>BAU</v>
          </cell>
          <cell r="V108" t="str">
            <v>United Kingdom</v>
          </cell>
          <cell r="W108" t="str">
            <v>USD</v>
          </cell>
          <cell r="X108" t="str">
            <v>BAU</v>
          </cell>
          <cell r="Y108">
            <v>27.99</v>
          </cell>
          <cell r="Z108">
            <v>84.99</v>
          </cell>
          <cell r="AA108">
            <v>31.99</v>
          </cell>
          <cell r="AB108">
            <v>94.99</v>
          </cell>
          <cell r="AC108">
            <v>16.989999999999998</v>
          </cell>
          <cell r="AD108">
            <v>49.99</v>
          </cell>
          <cell r="AE108" t="str">
            <v>USD</v>
          </cell>
          <cell r="AF108"/>
          <cell r="AG108">
            <v>7</v>
          </cell>
          <cell r="AH108">
            <v>27.99</v>
          </cell>
          <cell r="AI108">
            <v>195.99</v>
          </cell>
          <cell r="AJ108">
            <v>31.99</v>
          </cell>
          <cell r="AK108">
            <v>223.99</v>
          </cell>
          <cell r="AL108">
            <v>16.989999999999998</v>
          </cell>
          <cell r="AM108">
            <v>118.99</v>
          </cell>
        </row>
        <row r="109">
          <cell r="B109" t="str">
            <v>Israel</v>
          </cell>
          <cell r="C109" t="str">
            <v>Europe</v>
          </cell>
          <cell r="D109" t="str">
            <v>Y</v>
          </cell>
          <cell r="E109">
            <v>49840</v>
          </cell>
          <cell r="F109" t="str">
            <v>ILS</v>
          </cell>
          <cell r="G109" t="str">
            <v>Y</v>
          </cell>
          <cell r="H109">
            <v>32.9</v>
          </cell>
          <cell r="I109">
            <v>46.9</v>
          </cell>
          <cell r="J109">
            <v>60.9</v>
          </cell>
          <cell r="K109">
            <v>3.5718373963782871E-2</v>
          </cell>
          <cell r="L109">
            <v>0.10147299509001639</v>
          </cell>
          <cell r="M109">
            <v>4836</v>
          </cell>
          <cell r="Q109">
            <v>0.51719785421268538</v>
          </cell>
          <cell r="R109">
            <v>0.48280214578731462</v>
          </cell>
          <cell r="S109">
            <v>3.4200000000000001E-2</v>
          </cell>
          <cell r="T109">
            <v>3.0700000000000002E-2</v>
          </cell>
          <cell r="U109">
            <v>-0.10233918128654973</v>
          </cell>
          <cell r="V109" t="str">
            <v>NA</v>
          </cell>
          <cell r="W109" t="str">
            <v>ILS</v>
          </cell>
          <cell r="X109" t="str">
            <v>Steeper than BAU</v>
          </cell>
          <cell r="Y109">
            <v>64.989999999999995</v>
          </cell>
          <cell r="Z109">
            <v>199.99</v>
          </cell>
          <cell r="AA109">
            <v>94.99</v>
          </cell>
          <cell r="AB109">
            <v>299.99</v>
          </cell>
          <cell r="AC109">
            <v>39.99</v>
          </cell>
          <cell r="AD109">
            <v>179.99</v>
          </cell>
          <cell r="AE109" t="str">
            <v>ILS</v>
          </cell>
          <cell r="AF109"/>
          <cell r="AG109">
            <v>7</v>
          </cell>
          <cell r="AH109">
            <v>64.989999999999995</v>
          </cell>
          <cell r="AI109">
            <v>454.99</v>
          </cell>
          <cell r="AJ109">
            <v>94.99</v>
          </cell>
          <cell r="AK109">
            <v>664.99</v>
          </cell>
          <cell r="AL109">
            <v>39.99</v>
          </cell>
          <cell r="AM109">
            <v>279.99</v>
          </cell>
        </row>
        <row r="110">
          <cell r="B110" t="str">
            <v>Italy</v>
          </cell>
          <cell r="C110" t="str">
            <v>Europe</v>
          </cell>
          <cell r="D110" t="str">
            <v>Y</v>
          </cell>
          <cell r="E110">
            <v>35585</v>
          </cell>
          <cell r="F110" t="str">
            <v>EUR</v>
          </cell>
          <cell r="G110" t="str">
            <v>Y</v>
          </cell>
          <cell r="H110">
            <v>7.99</v>
          </cell>
          <cell r="I110">
            <v>12.99</v>
          </cell>
          <cell r="J110">
            <v>17.989999999999998</v>
          </cell>
          <cell r="K110">
            <v>1.9879205855112977E-2</v>
          </cell>
          <cell r="L110">
            <v>6.152029203349807E-2</v>
          </cell>
          <cell r="M110">
            <v>13486</v>
          </cell>
          <cell r="Q110">
            <v>0.47306505154038786</v>
          </cell>
          <cell r="R110">
            <v>0.52693494845961208</v>
          </cell>
          <cell r="S110">
            <v>4.7899999999999998E-2</v>
          </cell>
          <cell r="T110">
            <v>5.6399999999999999E-2</v>
          </cell>
          <cell r="U110">
            <v>0.17745302713987465</v>
          </cell>
          <cell r="V110" t="str">
            <v>NA</v>
          </cell>
          <cell r="W110" t="str">
            <v>EUR</v>
          </cell>
          <cell r="X110" t="str">
            <v>Steeper than BAU</v>
          </cell>
          <cell r="Y110">
            <v>17.989999999999998</v>
          </cell>
          <cell r="Z110">
            <v>54.99</v>
          </cell>
          <cell r="AA110">
            <v>22.99</v>
          </cell>
          <cell r="AB110">
            <v>79.989999999999995</v>
          </cell>
          <cell r="AC110">
            <v>9.99</v>
          </cell>
          <cell r="AD110">
            <v>47.99</v>
          </cell>
          <cell r="AE110" t="str">
            <v>EUR</v>
          </cell>
          <cell r="AF110"/>
          <cell r="AG110">
            <v>7</v>
          </cell>
          <cell r="AH110">
            <v>17.989999999999998</v>
          </cell>
          <cell r="AI110">
            <v>125.99</v>
          </cell>
          <cell r="AJ110">
            <v>22.99</v>
          </cell>
          <cell r="AK110">
            <v>160.99</v>
          </cell>
          <cell r="AL110">
            <v>9.99</v>
          </cell>
          <cell r="AM110">
            <v>69.989999999999995</v>
          </cell>
        </row>
        <row r="111">
          <cell r="B111" t="str">
            <v>Jamaica</v>
          </cell>
          <cell r="C111" t="str">
            <v>Latin America</v>
          </cell>
          <cell r="D111" t="str">
            <v>N</v>
          </cell>
          <cell r="E111">
            <v>5422</v>
          </cell>
          <cell r="F111" t="str">
            <v>USD</v>
          </cell>
          <cell r="G111" t="str">
            <v>N</v>
          </cell>
          <cell r="H111">
            <v>7.99</v>
          </cell>
          <cell r="I111">
            <v>10.99</v>
          </cell>
          <cell r="J111">
            <v>13.99</v>
          </cell>
          <cell r="K111" t="str">
            <v>NA</v>
          </cell>
          <cell r="L111">
            <v>0.40999999999999992</v>
          </cell>
          <cell r="M111">
            <v>712</v>
          </cell>
          <cell r="Q111">
            <v>0.6711822660098522</v>
          </cell>
          <cell r="R111">
            <v>0.3288177339901478</v>
          </cell>
          <cell r="S111" t="str">
            <v>BAU</v>
          </cell>
          <cell r="T111" t="str">
            <v>BAU</v>
          </cell>
          <cell r="U111" t="str">
            <v>BAU</v>
          </cell>
          <cell r="V111" t="str">
            <v>NA</v>
          </cell>
          <cell r="W111" t="str">
            <v>JMD</v>
          </cell>
          <cell r="X111" t="str">
            <v>BAU</v>
          </cell>
          <cell r="Y111">
            <v>1799.99</v>
          </cell>
          <cell r="Z111">
            <v>5399.99</v>
          </cell>
          <cell r="AA111" t="str">
            <v/>
          </cell>
          <cell r="AB111" t="str">
            <v/>
          </cell>
          <cell r="AC111">
            <v>1199.99</v>
          </cell>
          <cell r="AD111">
            <v>3599.99</v>
          </cell>
          <cell r="AE111" t="str">
            <v>JMD</v>
          </cell>
          <cell r="AF111"/>
          <cell r="AG111">
            <v>7</v>
          </cell>
          <cell r="AH111">
            <v>1799.99</v>
          </cell>
          <cell r="AI111">
            <v>12599.99</v>
          </cell>
          <cell r="AJ111" t="str">
            <v/>
          </cell>
          <cell r="AK111" t="str">
            <v/>
          </cell>
          <cell r="AL111">
            <v>1199.99</v>
          </cell>
          <cell r="AM111">
            <v>8399.99</v>
          </cell>
        </row>
        <row r="112">
          <cell r="B112" t="str">
            <v>Jersey</v>
          </cell>
          <cell r="C112" t="str">
            <v>Europe</v>
          </cell>
          <cell r="D112" t="str">
            <v>N</v>
          </cell>
          <cell r="E112" t="str">
            <v>NA</v>
          </cell>
          <cell r="F112" t="str">
            <v>GBP</v>
          </cell>
          <cell r="G112" t="str">
            <v>N</v>
          </cell>
          <cell r="H112">
            <v>5.99</v>
          </cell>
          <cell r="I112">
            <v>9.99</v>
          </cell>
          <cell r="J112">
            <v>13.99</v>
          </cell>
          <cell r="K112" t="str">
            <v>NA</v>
          </cell>
          <cell r="L112" t="str">
            <v>Negligible</v>
          </cell>
          <cell r="M112">
            <v>36</v>
          </cell>
          <cell r="Q112">
            <v>0.54761904761904767</v>
          </cell>
          <cell r="R112">
            <v>0.45238095238095238</v>
          </cell>
          <cell r="S112" t="str">
            <v>BAU</v>
          </cell>
          <cell r="T112" t="str">
            <v>BAU</v>
          </cell>
          <cell r="U112" t="str">
            <v>BAU</v>
          </cell>
          <cell r="V112" t="str">
            <v>United Kingdom</v>
          </cell>
          <cell r="W112" t="str">
            <v>USD</v>
          </cell>
          <cell r="X112" t="str">
            <v>BAU</v>
          </cell>
          <cell r="Y112">
            <v>27.99</v>
          </cell>
          <cell r="Z112">
            <v>83.99</v>
          </cell>
          <cell r="AA112">
            <v>31.99</v>
          </cell>
          <cell r="AB112">
            <v>94.99</v>
          </cell>
          <cell r="AC112">
            <v>16.989999999999998</v>
          </cell>
          <cell r="AD112">
            <v>49.99</v>
          </cell>
          <cell r="AE112" t="str">
            <v>USD</v>
          </cell>
          <cell r="AF112"/>
          <cell r="AG112">
            <v>7</v>
          </cell>
          <cell r="AH112">
            <v>27.99</v>
          </cell>
          <cell r="AI112">
            <v>195.99</v>
          </cell>
          <cell r="AJ112">
            <v>31.99</v>
          </cell>
          <cell r="AK112">
            <v>223.99</v>
          </cell>
          <cell r="AL112">
            <v>16.989999999999998</v>
          </cell>
          <cell r="AM112">
            <v>118.99</v>
          </cell>
        </row>
        <row r="113">
          <cell r="B113" t="str">
            <v>Jordan</v>
          </cell>
          <cell r="C113" t="str">
            <v>Middle East</v>
          </cell>
          <cell r="D113" t="str">
            <v>N</v>
          </cell>
          <cell r="E113">
            <v>4394</v>
          </cell>
          <cell r="F113" t="str">
            <v>USD</v>
          </cell>
          <cell r="G113" t="str">
            <v>N</v>
          </cell>
          <cell r="H113">
            <v>7.99</v>
          </cell>
          <cell r="I113">
            <v>9.99</v>
          </cell>
          <cell r="J113">
            <v>11.99</v>
          </cell>
          <cell r="K113" t="str">
            <v>NA</v>
          </cell>
          <cell r="L113">
            <v>0.22147651006711411</v>
          </cell>
          <cell r="M113">
            <v>215</v>
          </cell>
          <cell r="Q113">
            <v>0.62348178137651822</v>
          </cell>
          <cell r="R113">
            <v>0.37651821862348178</v>
          </cell>
          <cell r="S113" t="str">
            <v>BAU</v>
          </cell>
          <cell r="T113" t="str">
            <v>BAU</v>
          </cell>
          <cell r="U113" t="str">
            <v>BAU</v>
          </cell>
          <cell r="V113" t="str">
            <v>NA</v>
          </cell>
          <cell r="W113" t="str">
            <v>JOD</v>
          </cell>
          <cell r="X113" t="str">
            <v>BAU</v>
          </cell>
          <cell r="Y113">
            <v>9.99</v>
          </cell>
          <cell r="Z113">
            <v>29.99</v>
          </cell>
          <cell r="AA113" t="str">
            <v/>
          </cell>
          <cell r="AB113" t="str">
            <v/>
          </cell>
          <cell r="AC113">
            <v>5.99</v>
          </cell>
          <cell r="AD113">
            <v>17.989999999999998</v>
          </cell>
          <cell r="AE113" t="str">
            <v>JOD</v>
          </cell>
          <cell r="AF113"/>
          <cell r="AG113">
            <v>7</v>
          </cell>
          <cell r="AH113">
            <v>9.99</v>
          </cell>
          <cell r="AI113">
            <v>69.989999999999995</v>
          </cell>
          <cell r="AJ113" t="str">
            <v/>
          </cell>
          <cell r="AK113" t="str">
            <v/>
          </cell>
          <cell r="AL113">
            <v>5.99</v>
          </cell>
          <cell r="AM113">
            <v>41.99</v>
          </cell>
        </row>
        <row r="114">
          <cell r="B114" t="str">
            <v>Kazakhstan</v>
          </cell>
          <cell r="C114" t="str">
            <v>Asia</v>
          </cell>
          <cell r="D114" t="str">
            <v>N</v>
          </cell>
          <cell r="E114">
            <v>10145</v>
          </cell>
          <cell r="F114" t="str">
            <v>EUR</v>
          </cell>
          <cell r="G114" t="str">
            <v>N</v>
          </cell>
          <cell r="H114">
            <v>7.99</v>
          </cell>
          <cell r="I114">
            <v>9.99</v>
          </cell>
          <cell r="J114">
            <v>11.99</v>
          </cell>
          <cell r="K114" t="str">
            <v>NA</v>
          </cell>
          <cell r="L114">
            <v>0.58778625954198471</v>
          </cell>
          <cell r="M114">
            <v>275</v>
          </cell>
          <cell r="Q114">
            <v>0.51127819548872178</v>
          </cell>
          <cell r="R114">
            <v>0.48872180451127817</v>
          </cell>
          <cell r="S114" t="str">
            <v>BAU</v>
          </cell>
          <cell r="T114" t="str">
            <v>BAU</v>
          </cell>
          <cell r="U114" t="str">
            <v>BAU</v>
          </cell>
          <cell r="V114" t="str">
            <v>NA</v>
          </cell>
          <cell r="W114" t="str">
            <v>KZT</v>
          </cell>
          <cell r="X114" t="str">
            <v>BAU</v>
          </cell>
          <cell r="Y114">
            <v>5400</v>
          </cell>
          <cell r="Z114">
            <v>16200</v>
          </cell>
          <cell r="AA114" t="str">
            <v/>
          </cell>
          <cell r="AB114" t="str">
            <v/>
          </cell>
          <cell r="AC114">
            <v>3500</v>
          </cell>
          <cell r="AD114">
            <v>10500</v>
          </cell>
          <cell r="AE114" t="str">
            <v>KZT</v>
          </cell>
          <cell r="AF114"/>
          <cell r="AG114">
            <v>7</v>
          </cell>
          <cell r="AH114">
            <v>5400</v>
          </cell>
          <cell r="AI114">
            <v>37800</v>
          </cell>
          <cell r="AJ114" t="str">
            <v/>
          </cell>
          <cell r="AK114" t="str">
            <v/>
          </cell>
          <cell r="AL114">
            <v>3500</v>
          </cell>
          <cell r="AM114">
            <v>24500</v>
          </cell>
        </row>
        <row r="115">
          <cell r="B115" t="str">
            <v>Kenya</v>
          </cell>
          <cell r="C115" t="str">
            <v>Africa</v>
          </cell>
          <cell r="D115" t="str">
            <v>N</v>
          </cell>
          <cell r="E115">
            <v>2199</v>
          </cell>
          <cell r="F115" t="str">
            <v>KES</v>
          </cell>
          <cell r="G115" t="str">
            <v>Y</v>
          </cell>
          <cell r="H115">
            <v>700</v>
          </cell>
          <cell r="I115">
            <v>1100</v>
          </cell>
          <cell r="J115">
            <v>1450</v>
          </cell>
          <cell r="K115" t="str">
            <v>NA</v>
          </cell>
          <cell r="L115">
            <v>0.41764705882352948</v>
          </cell>
          <cell r="M115">
            <v>842</v>
          </cell>
          <cell r="Q115">
            <v>0.68137254901960786</v>
          </cell>
          <cell r="R115">
            <v>0.31862745098039214</v>
          </cell>
          <cell r="S115" t="str">
            <v>BAU</v>
          </cell>
          <cell r="T115" t="str">
            <v>BAU</v>
          </cell>
          <cell r="U115" t="str">
            <v>BAU</v>
          </cell>
          <cell r="V115" t="str">
            <v>NA</v>
          </cell>
          <cell r="W115" t="str">
            <v>KES</v>
          </cell>
          <cell r="X115" t="str">
            <v>BAU</v>
          </cell>
          <cell r="Y115">
            <v>1100</v>
          </cell>
          <cell r="Z115">
            <v>3300</v>
          </cell>
          <cell r="AA115" t="str">
            <v/>
          </cell>
          <cell r="AB115" t="str">
            <v/>
          </cell>
          <cell r="AC115">
            <v>509.99</v>
          </cell>
          <cell r="AD115">
            <v>1530</v>
          </cell>
          <cell r="AE115" t="str">
            <v>KES</v>
          </cell>
          <cell r="AF115"/>
          <cell r="AG115">
            <v>7</v>
          </cell>
          <cell r="AH115">
            <v>1100</v>
          </cell>
          <cell r="AI115">
            <v>7700</v>
          </cell>
          <cell r="AJ115" t="str">
            <v/>
          </cell>
          <cell r="AK115" t="str">
            <v/>
          </cell>
          <cell r="AL115">
            <v>509.99</v>
          </cell>
          <cell r="AM115">
            <v>3569.99</v>
          </cell>
        </row>
        <row r="116">
          <cell r="B116" t="str">
            <v>Kiribati</v>
          </cell>
          <cell r="C116" t="str">
            <v>Asia</v>
          </cell>
          <cell r="D116" t="str">
            <v>N</v>
          </cell>
          <cell r="E116">
            <v>1927</v>
          </cell>
          <cell r="F116" t="str">
            <v>USD</v>
          </cell>
          <cell r="G116" t="str">
            <v>N</v>
          </cell>
          <cell r="H116">
            <v>7.99</v>
          </cell>
          <cell r="I116">
            <v>9.99</v>
          </cell>
          <cell r="J116">
            <v>11.99</v>
          </cell>
          <cell r="K116" t="str">
            <v>NA</v>
          </cell>
          <cell r="L116" t="str">
            <v>Negligible</v>
          </cell>
          <cell r="M116">
            <v>1</v>
          </cell>
          <cell r="Q116" t="str">
            <v>NA</v>
          </cell>
          <cell r="R116" t="str">
            <v>NA</v>
          </cell>
          <cell r="S116" t="str">
            <v>BAU</v>
          </cell>
          <cell r="T116" t="str">
            <v>BAU</v>
          </cell>
          <cell r="U116" t="str">
            <v>BAU</v>
          </cell>
          <cell r="V116" t="str">
            <v>Cambodia</v>
          </cell>
          <cell r="W116" t="str">
            <v>AUD</v>
          </cell>
          <cell r="X116" t="str">
            <v>BAU</v>
          </cell>
          <cell r="Y116">
            <v>19.989999999999998</v>
          </cell>
          <cell r="Z116">
            <v>59.99</v>
          </cell>
          <cell r="AA116" t="str">
            <v/>
          </cell>
          <cell r="AB116" t="str">
            <v/>
          </cell>
          <cell r="AC116">
            <v>12.99</v>
          </cell>
          <cell r="AD116">
            <v>39.99</v>
          </cell>
          <cell r="AE116" t="str">
            <v>AUD</v>
          </cell>
          <cell r="AF116"/>
          <cell r="AG116">
            <v>7</v>
          </cell>
          <cell r="AH116">
            <v>19.989999999999998</v>
          </cell>
          <cell r="AI116">
            <v>139.99</v>
          </cell>
          <cell r="AJ116" t="str">
            <v/>
          </cell>
          <cell r="AK116" t="str">
            <v/>
          </cell>
          <cell r="AL116">
            <v>12.99</v>
          </cell>
          <cell r="AM116">
            <v>90.99</v>
          </cell>
        </row>
        <row r="117">
          <cell r="B117" t="str">
            <v>Kosovo</v>
          </cell>
          <cell r="C117" t="str">
            <v>Europe</v>
          </cell>
          <cell r="D117" t="str">
            <v>N</v>
          </cell>
          <cell r="E117">
            <v>4986</v>
          </cell>
          <cell r="F117" t="str">
            <v>NA</v>
          </cell>
          <cell r="G117" t="str">
            <v>N</v>
          </cell>
          <cell r="H117" t="str">
            <v>NA</v>
          </cell>
          <cell r="I117" t="str">
            <v>NA</v>
          </cell>
          <cell r="J117" t="str">
            <v>NA</v>
          </cell>
          <cell r="K117" t="str">
            <v>NA</v>
          </cell>
          <cell r="L117" t="str">
            <v>NA</v>
          </cell>
          <cell r="M117" t="str">
            <v>NA</v>
          </cell>
          <cell r="Q117" t="str">
            <v>NA</v>
          </cell>
          <cell r="R117" t="str">
            <v>NA</v>
          </cell>
          <cell r="S117" t="str">
            <v>BAU</v>
          </cell>
          <cell r="T117" t="str">
            <v>BAU</v>
          </cell>
          <cell r="U117" t="str">
            <v>BAU</v>
          </cell>
          <cell r="V117" t="str">
            <v>Ukraine</v>
          </cell>
          <cell r="W117" t="str">
            <v>EUR</v>
          </cell>
          <cell r="X117" t="str">
            <v>BAU</v>
          </cell>
          <cell r="Y117">
            <v>12.99</v>
          </cell>
          <cell r="Z117">
            <v>38.99</v>
          </cell>
          <cell r="AA117">
            <v>13.99</v>
          </cell>
          <cell r="AB117">
            <v>39.99</v>
          </cell>
          <cell r="AC117">
            <v>7.99</v>
          </cell>
          <cell r="AD117">
            <v>24.99</v>
          </cell>
          <cell r="AE117" t="str">
            <v>EUR</v>
          </cell>
          <cell r="AF117"/>
          <cell r="AG117">
            <v>7</v>
          </cell>
          <cell r="AH117">
            <v>12.99</v>
          </cell>
          <cell r="AI117">
            <v>90.99</v>
          </cell>
          <cell r="AJ117">
            <v>13.99</v>
          </cell>
          <cell r="AK117">
            <v>97.99</v>
          </cell>
          <cell r="AL117">
            <v>7.99</v>
          </cell>
          <cell r="AM117">
            <v>55.99</v>
          </cell>
        </row>
        <row r="118">
          <cell r="B118" t="str">
            <v>Kuwait</v>
          </cell>
          <cell r="C118" t="str">
            <v>Middle East</v>
          </cell>
          <cell r="D118" t="str">
            <v>N</v>
          </cell>
          <cell r="E118">
            <v>27927</v>
          </cell>
          <cell r="F118" t="str">
            <v>USD</v>
          </cell>
          <cell r="G118" t="str">
            <v>N</v>
          </cell>
          <cell r="H118">
            <v>7.99</v>
          </cell>
          <cell r="I118">
            <v>9.99</v>
          </cell>
          <cell r="J118">
            <v>14.99</v>
          </cell>
          <cell r="K118">
            <v>3.7974346164063366E-2</v>
          </cell>
          <cell r="L118">
            <v>0.20030120481927716</v>
          </cell>
          <cell r="M118">
            <v>974</v>
          </cell>
          <cell r="Q118">
            <v>0.6298482293423272</v>
          </cell>
          <cell r="R118">
            <v>0.37015177065767285</v>
          </cell>
          <cell r="S118" t="str">
            <v>BAU</v>
          </cell>
          <cell r="T118" t="str">
            <v>BAU</v>
          </cell>
          <cell r="U118" t="str">
            <v>BAU</v>
          </cell>
          <cell r="V118" t="str">
            <v>NA</v>
          </cell>
          <cell r="W118" t="str">
            <v>KWD</v>
          </cell>
          <cell r="X118" t="str">
            <v>BAU</v>
          </cell>
          <cell r="Y118">
            <v>6.99</v>
          </cell>
          <cell r="Z118">
            <v>19.989999999999998</v>
          </cell>
          <cell r="AA118">
            <v>7.99</v>
          </cell>
          <cell r="AB118">
            <v>24.99</v>
          </cell>
          <cell r="AC118">
            <v>3.99</v>
          </cell>
          <cell r="AD118">
            <v>11.99</v>
          </cell>
          <cell r="AE118" t="str">
            <v>KWD</v>
          </cell>
          <cell r="AF118"/>
          <cell r="AG118">
            <v>7</v>
          </cell>
          <cell r="AH118">
            <v>6.99</v>
          </cell>
          <cell r="AI118">
            <v>48.99</v>
          </cell>
          <cell r="AJ118">
            <v>7.99</v>
          </cell>
          <cell r="AK118">
            <v>55.99</v>
          </cell>
          <cell r="AL118">
            <v>3.99</v>
          </cell>
          <cell r="AM118">
            <v>27.99</v>
          </cell>
        </row>
        <row r="119">
          <cell r="B119" t="str">
            <v>Kyrgyzstan</v>
          </cell>
          <cell r="C119" t="str">
            <v>Asia</v>
          </cell>
          <cell r="D119" t="str">
            <v>N</v>
          </cell>
          <cell r="E119">
            <v>1225</v>
          </cell>
          <cell r="F119" t="str">
            <v>EUR</v>
          </cell>
          <cell r="G119" t="str">
            <v>N</v>
          </cell>
          <cell r="H119">
            <v>7.99</v>
          </cell>
          <cell r="I119">
            <v>9.99</v>
          </cell>
          <cell r="J119">
            <v>11.99</v>
          </cell>
          <cell r="K119" t="str">
            <v>NA</v>
          </cell>
          <cell r="L119" t="str">
            <v>Negligible</v>
          </cell>
          <cell r="M119">
            <v>18</v>
          </cell>
          <cell r="Q119">
            <v>0.70588235294117652</v>
          </cell>
          <cell r="R119">
            <v>0.29411764705882354</v>
          </cell>
          <cell r="S119" t="str">
            <v>BAU</v>
          </cell>
          <cell r="T119" t="str">
            <v>BAU</v>
          </cell>
          <cell r="U119" t="str">
            <v>BAU</v>
          </cell>
          <cell r="V119" t="str">
            <v>Afghanistan</v>
          </cell>
          <cell r="W119" t="str">
            <v>KGS</v>
          </cell>
          <cell r="X119" t="str">
            <v>BAU</v>
          </cell>
          <cell r="Y119">
            <v>979.99</v>
          </cell>
          <cell r="Z119">
            <v>2939.99</v>
          </cell>
          <cell r="AA119" t="str">
            <v/>
          </cell>
          <cell r="AB119" t="str">
            <v/>
          </cell>
          <cell r="AC119">
            <v>629.99</v>
          </cell>
          <cell r="AD119">
            <v>1889.99</v>
          </cell>
          <cell r="AE119" t="str">
            <v>KGS</v>
          </cell>
          <cell r="AF119"/>
          <cell r="AG119">
            <v>7</v>
          </cell>
          <cell r="AH119">
            <v>979.99</v>
          </cell>
          <cell r="AI119">
            <v>6859.99</v>
          </cell>
          <cell r="AJ119" t="str">
            <v/>
          </cell>
          <cell r="AK119" t="str">
            <v/>
          </cell>
          <cell r="AL119">
            <v>629.99</v>
          </cell>
          <cell r="AM119">
            <v>4409.99</v>
          </cell>
        </row>
        <row r="120">
          <cell r="B120" t="str">
            <v>Laos</v>
          </cell>
          <cell r="C120" t="str">
            <v>Asia</v>
          </cell>
          <cell r="D120" t="str">
            <v>N</v>
          </cell>
          <cell r="E120">
            <v>2626</v>
          </cell>
          <cell r="F120" t="str">
            <v>USD</v>
          </cell>
          <cell r="G120" t="str">
            <v>N</v>
          </cell>
          <cell r="H120">
            <v>7.99</v>
          </cell>
          <cell r="I120">
            <v>9.99</v>
          </cell>
          <cell r="J120">
            <v>11.99</v>
          </cell>
          <cell r="K120" t="str">
            <v>NA</v>
          </cell>
          <cell r="L120" t="str">
            <v>Negligible</v>
          </cell>
          <cell r="M120">
            <v>64</v>
          </cell>
          <cell r="Q120">
            <v>0.73529411764705888</v>
          </cell>
          <cell r="R120">
            <v>0.26470588235294118</v>
          </cell>
          <cell r="S120" t="str">
            <v>BAU</v>
          </cell>
          <cell r="T120" t="str">
            <v>BAU</v>
          </cell>
          <cell r="U120" t="str">
            <v>BAU</v>
          </cell>
          <cell r="V120" t="str">
            <v>Bangladesh</v>
          </cell>
          <cell r="W120" t="str">
            <v>LAK</v>
          </cell>
          <cell r="X120" t="str">
            <v>BAU</v>
          </cell>
          <cell r="Y120">
            <v>95100</v>
          </cell>
          <cell r="Z120">
            <v>285300</v>
          </cell>
          <cell r="AA120" t="str">
            <v/>
          </cell>
          <cell r="AB120" t="str">
            <v/>
          </cell>
          <cell r="AC120">
            <v>43200</v>
          </cell>
          <cell r="AD120">
            <v>129600</v>
          </cell>
          <cell r="AE120" t="str">
            <v>LAK</v>
          </cell>
          <cell r="AF120"/>
          <cell r="AG120">
            <v>7</v>
          </cell>
          <cell r="AH120">
            <v>95100</v>
          </cell>
          <cell r="AI120">
            <v>665700</v>
          </cell>
          <cell r="AJ120" t="str">
            <v/>
          </cell>
          <cell r="AK120" t="str">
            <v/>
          </cell>
          <cell r="AL120">
            <v>43200</v>
          </cell>
          <cell r="AM120">
            <v>302400</v>
          </cell>
        </row>
        <row r="121">
          <cell r="B121" t="str">
            <v>Latvia</v>
          </cell>
          <cell r="C121" t="str">
            <v>Europe</v>
          </cell>
          <cell r="D121" t="str">
            <v>N</v>
          </cell>
          <cell r="E121">
            <v>19539</v>
          </cell>
          <cell r="F121" t="str">
            <v>EUR</v>
          </cell>
          <cell r="G121" t="str">
            <v>Y</v>
          </cell>
          <cell r="H121">
            <v>7.99</v>
          </cell>
          <cell r="I121">
            <v>9.99</v>
          </cell>
          <cell r="J121">
            <v>11.99</v>
          </cell>
          <cell r="K121">
            <v>2.826229842733699E-2</v>
          </cell>
          <cell r="L121">
            <v>-3.9764359351988188E-2</v>
          </cell>
          <cell r="M121">
            <v>1488</v>
          </cell>
          <cell r="Q121">
            <v>0.56477272727272732</v>
          </cell>
          <cell r="R121">
            <v>0.43522727272727274</v>
          </cell>
          <cell r="S121" t="str">
            <v>BAU</v>
          </cell>
          <cell r="T121" t="str">
            <v>BAU</v>
          </cell>
          <cell r="U121" t="str">
            <v>BAU</v>
          </cell>
          <cell r="V121" t="str">
            <v>NA</v>
          </cell>
          <cell r="W121" t="str">
            <v>EUR</v>
          </cell>
          <cell r="X121" t="str">
            <v>BAU</v>
          </cell>
          <cell r="Y121">
            <v>11.99</v>
          </cell>
          <cell r="Z121">
            <v>34.99</v>
          </cell>
          <cell r="AA121" t="str">
            <v/>
          </cell>
          <cell r="AB121" t="str">
            <v/>
          </cell>
          <cell r="AC121">
            <v>7.99</v>
          </cell>
          <cell r="AD121">
            <v>24.99</v>
          </cell>
          <cell r="AE121" t="str">
            <v>EUR</v>
          </cell>
          <cell r="AF121"/>
          <cell r="AG121">
            <v>7</v>
          </cell>
          <cell r="AH121">
            <v>11.99</v>
          </cell>
          <cell r="AI121">
            <v>83.99</v>
          </cell>
          <cell r="AJ121" t="str">
            <v/>
          </cell>
          <cell r="AK121" t="str">
            <v/>
          </cell>
          <cell r="AL121">
            <v>7.99</v>
          </cell>
          <cell r="AM121">
            <v>55.99</v>
          </cell>
        </row>
        <row r="122">
          <cell r="B122" t="str">
            <v>Lebanon</v>
          </cell>
          <cell r="C122" t="str">
            <v>Middle East</v>
          </cell>
          <cell r="D122" t="str">
            <v>N</v>
          </cell>
          <cell r="E122">
            <v>2785</v>
          </cell>
          <cell r="F122" t="str">
            <v>USD</v>
          </cell>
          <cell r="G122" t="str">
            <v>N</v>
          </cell>
          <cell r="H122">
            <v>7.99</v>
          </cell>
          <cell r="I122">
            <v>9.99</v>
          </cell>
          <cell r="J122">
            <v>11.99</v>
          </cell>
          <cell r="K122" t="str">
            <v>NA</v>
          </cell>
          <cell r="L122">
            <v>-0.21283783783783783</v>
          </cell>
          <cell r="M122">
            <v>274</v>
          </cell>
          <cell r="Q122">
            <v>0.55402298850574716</v>
          </cell>
          <cell r="R122">
            <v>0.4459770114942529</v>
          </cell>
          <cell r="S122" t="str">
            <v>BAU</v>
          </cell>
          <cell r="T122" t="str">
            <v>BAU</v>
          </cell>
          <cell r="U122" t="str">
            <v>BAU</v>
          </cell>
          <cell r="V122" t="str">
            <v>NA</v>
          </cell>
          <cell r="W122" t="str">
            <v>LBP</v>
          </cell>
          <cell r="X122" t="str">
            <v>BAU</v>
          </cell>
          <cell r="Y122">
            <v>21100</v>
          </cell>
          <cell r="Z122">
            <v>63300</v>
          </cell>
          <cell r="AA122" t="str">
            <v/>
          </cell>
          <cell r="AB122" t="str">
            <v/>
          </cell>
          <cell r="AC122">
            <v>13600</v>
          </cell>
          <cell r="AD122">
            <v>40800</v>
          </cell>
          <cell r="AE122" t="str">
            <v>LBP</v>
          </cell>
          <cell r="AF122"/>
          <cell r="AG122">
            <v>7</v>
          </cell>
          <cell r="AH122">
            <v>21100</v>
          </cell>
          <cell r="AI122">
            <v>147700</v>
          </cell>
          <cell r="AJ122" t="str">
            <v/>
          </cell>
          <cell r="AK122" t="str">
            <v/>
          </cell>
          <cell r="AL122">
            <v>13600</v>
          </cell>
          <cell r="AM122">
            <v>95200</v>
          </cell>
        </row>
        <row r="123">
          <cell r="B123" t="str">
            <v>Lesotho</v>
          </cell>
          <cell r="C123" t="str">
            <v>Africa</v>
          </cell>
          <cell r="D123" t="str">
            <v>N</v>
          </cell>
          <cell r="E123">
            <v>1188</v>
          </cell>
          <cell r="F123" t="str">
            <v>USD</v>
          </cell>
          <cell r="G123" t="str">
            <v>Y</v>
          </cell>
          <cell r="H123">
            <v>7.99</v>
          </cell>
          <cell r="I123">
            <v>9.99</v>
          </cell>
          <cell r="J123">
            <v>11.99</v>
          </cell>
          <cell r="K123" t="str">
            <v>NA</v>
          </cell>
          <cell r="L123" t="str">
            <v>Negligible</v>
          </cell>
          <cell r="M123">
            <v>37</v>
          </cell>
          <cell r="Q123">
            <v>0.7142857142857143</v>
          </cell>
          <cell r="R123">
            <v>0.2857142857142857</v>
          </cell>
          <cell r="S123" t="str">
            <v>BAU</v>
          </cell>
          <cell r="T123" t="str">
            <v>BAU</v>
          </cell>
          <cell r="U123" t="str">
            <v>BAU</v>
          </cell>
          <cell r="V123" t="str">
            <v>Tanzania</v>
          </cell>
          <cell r="W123" t="str">
            <v>USD</v>
          </cell>
          <cell r="X123" t="str">
            <v>BAU</v>
          </cell>
          <cell r="Y123">
            <v>10.99</v>
          </cell>
          <cell r="Z123">
            <v>32.99</v>
          </cell>
          <cell r="AA123" t="str">
            <v/>
          </cell>
          <cell r="AB123" t="str">
            <v/>
          </cell>
          <cell r="AC123">
            <v>4.99</v>
          </cell>
          <cell r="AD123">
            <v>14.99</v>
          </cell>
          <cell r="AE123" t="str">
            <v>USD</v>
          </cell>
          <cell r="AF123"/>
          <cell r="AG123">
            <v>7</v>
          </cell>
          <cell r="AH123">
            <v>10.99</v>
          </cell>
          <cell r="AI123">
            <v>76.989999999999995</v>
          </cell>
          <cell r="AJ123" t="str">
            <v/>
          </cell>
          <cell r="AK123" t="str">
            <v/>
          </cell>
          <cell r="AL123">
            <v>4.99</v>
          </cell>
          <cell r="AM123">
            <v>34.99</v>
          </cell>
        </row>
        <row r="124">
          <cell r="B124" t="str">
            <v>Liberia</v>
          </cell>
          <cell r="C124" t="str">
            <v>Africa</v>
          </cell>
          <cell r="D124" t="str">
            <v>N</v>
          </cell>
          <cell r="E124">
            <v>703</v>
          </cell>
          <cell r="F124" t="str">
            <v>USD</v>
          </cell>
          <cell r="G124" t="str">
            <v>Y</v>
          </cell>
          <cell r="H124">
            <v>7.99</v>
          </cell>
          <cell r="I124">
            <v>9.99</v>
          </cell>
          <cell r="J124">
            <v>11.99</v>
          </cell>
          <cell r="K124" t="str">
            <v>NA</v>
          </cell>
          <cell r="L124" t="str">
            <v>Negligible</v>
          </cell>
          <cell r="M124">
            <v>28</v>
          </cell>
          <cell r="Q124">
            <v>0.60869565217391308</v>
          </cell>
          <cell r="R124">
            <v>0.39130434782608697</v>
          </cell>
          <cell r="S124" t="str">
            <v>BAU</v>
          </cell>
          <cell r="T124" t="str">
            <v>BAU</v>
          </cell>
          <cell r="U124" t="str">
            <v>BAU</v>
          </cell>
          <cell r="V124" t="str">
            <v>Uganda</v>
          </cell>
          <cell r="W124" t="str">
            <v>LRD</v>
          </cell>
          <cell r="X124" t="str">
            <v>BAU</v>
          </cell>
          <cell r="Y124">
            <v>1899.99</v>
          </cell>
          <cell r="Z124">
            <v>5699.99</v>
          </cell>
          <cell r="AA124" t="str">
            <v/>
          </cell>
          <cell r="AB124" t="str">
            <v/>
          </cell>
          <cell r="AC124">
            <v>849.99</v>
          </cell>
          <cell r="AD124">
            <v>2549.9899999999998</v>
          </cell>
          <cell r="AE124" t="str">
            <v>USD</v>
          </cell>
          <cell r="AF124">
            <v>6.5127863000000001E-3</v>
          </cell>
          <cell r="AG124">
            <v>7</v>
          </cell>
          <cell r="AH124">
            <v>11.99</v>
          </cell>
          <cell r="AI124">
            <v>83.99</v>
          </cell>
          <cell r="AJ124" t="str">
            <v/>
          </cell>
          <cell r="AK124" t="str">
            <v/>
          </cell>
          <cell r="AL124">
            <v>10.99</v>
          </cell>
          <cell r="AM124">
            <v>76.989999999999995</v>
          </cell>
        </row>
        <row r="125">
          <cell r="B125" t="str">
            <v>Libya</v>
          </cell>
          <cell r="C125" t="str">
            <v>Africa</v>
          </cell>
          <cell r="D125" t="str">
            <v>N</v>
          </cell>
          <cell r="E125">
            <v>4069</v>
          </cell>
          <cell r="F125"/>
          <cell r="G125"/>
          <cell r="H125"/>
          <cell r="I125"/>
          <cell r="J125"/>
          <cell r="K125"/>
          <cell r="L125"/>
          <cell r="M125"/>
          <cell r="Q125"/>
          <cell r="R125"/>
          <cell r="S125"/>
          <cell r="T125"/>
          <cell r="U125"/>
          <cell r="V125"/>
          <cell r="W125"/>
          <cell r="X125" t="str">
            <v>NA</v>
          </cell>
          <cell r="Y125"/>
          <cell r="Z125"/>
          <cell r="AA125"/>
          <cell r="AB125"/>
          <cell r="AC125"/>
          <cell r="AD125"/>
          <cell r="AE125" t="str">
            <v>USD</v>
          </cell>
          <cell r="AF125"/>
          <cell r="AG125"/>
          <cell r="AH125"/>
          <cell r="AI125"/>
          <cell r="AJ125"/>
          <cell r="AK125"/>
          <cell r="AL125"/>
          <cell r="AM125"/>
        </row>
        <row r="126">
          <cell r="B126" t="str">
            <v>Liechtenstein</v>
          </cell>
          <cell r="C126" t="str">
            <v>Europe</v>
          </cell>
          <cell r="D126" t="str">
            <v>N</v>
          </cell>
          <cell r="E126">
            <v>2020</v>
          </cell>
          <cell r="F126" t="str">
            <v>CHF</v>
          </cell>
          <cell r="G126" t="str">
            <v>Y</v>
          </cell>
          <cell r="H126">
            <v>11.9</v>
          </cell>
          <cell r="I126">
            <v>18.899999999999999</v>
          </cell>
          <cell r="J126">
            <v>24.9</v>
          </cell>
          <cell r="K126" t="str">
            <v>NA</v>
          </cell>
          <cell r="L126" t="str">
            <v>Negligible</v>
          </cell>
          <cell r="M126">
            <v>5</v>
          </cell>
          <cell r="Q126">
            <v>0.77777777777777779</v>
          </cell>
          <cell r="R126">
            <v>0.22222222222222221</v>
          </cell>
          <cell r="S126" t="str">
            <v>BAU</v>
          </cell>
          <cell r="T126" t="str">
            <v>BAU</v>
          </cell>
          <cell r="U126" t="str">
            <v>BAU</v>
          </cell>
          <cell r="V126" t="str">
            <v>Switzerland</v>
          </cell>
          <cell r="W126" t="str">
            <v>CHF</v>
          </cell>
          <cell r="X126" t="str">
            <v>BAU</v>
          </cell>
          <cell r="Y126">
            <v>27.99</v>
          </cell>
          <cell r="Z126">
            <v>83.99</v>
          </cell>
          <cell r="AA126">
            <v>31.99</v>
          </cell>
          <cell r="AB126">
            <v>94.99</v>
          </cell>
          <cell r="AC126">
            <v>16.989999999999998</v>
          </cell>
          <cell r="AD126">
            <v>49.99</v>
          </cell>
          <cell r="AE126" t="str">
            <v>CHF</v>
          </cell>
          <cell r="AF126"/>
          <cell r="AG126">
            <v>7</v>
          </cell>
          <cell r="AH126">
            <v>27.99</v>
          </cell>
          <cell r="AI126">
            <v>195.99</v>
          </cell>
          <cell r="AJ126">
            <v>31.99</v>
          </cell>
          <cell r="AK126">
            <v>223.99</v>
          </cell>
          <cell r="AL126">
            <v>16.989999999999998</v>
          </cell>
          <cell r="AM126">
            <v>118.99</v>
          </cell>
        </row>
        <row r="127">
          <cell r="B127" t="str">
            <v>Lithuania</v>
          </cell>
          <cell r="C127" t="str">
            <v>Europe</v>
          </cell>
          <cell r="D127" t="str">
            <v>N</v>
          </cell>
          <cell r="E127">
            <v>22412</v>
          </cell>
          <cell r="F127" t="str">
            <v>EUR</v>
          </cell>
          <cell r="G127" t="str">
            <v>Y</v>
          </cell>
          <cell r="H127">
            <v>7.99</v>
          </cell>
          <cell r="I127">
            <v>9.99</v>
          </cell>
          <cell r="J127">
            <v>11.99</v>
          </cell>
          <cell r="K127">
            <v>1.7143428735233824E-2</v>
          </cell>
          <cell r="L127">
            <v>-2.6124818577648812E-2</v>
          </cell>
          <cell r="M127">
            <v>853</v>
          </cell>
          <cell r="Q127">
            <v>0.49677419354838709</v>
          </cell>
          <cell r="R127">
            <v>0.50322580645161286</v>
          </cell>
          <cell r="S127" t="str">
            <v>BAU</v>
          </cell>
          <cell r="T127" t="str">
            <v>BAU</v>
          </cell>
          <cell r="U127" t="str">
            <v>BAU</v>
          </cell>
          <cell r="V127" t="str">
            <v>NA</v>
          </cell>
          <cell r="W127" t="str">
            <v>EUR</v>
          </cell>
          <cell r="X127" t="str">
            <v>BAU</v>
          </cell>
          <cell r="Y127">
            <v>11.99</v>
          </cell>
          <cell r="Z127">
            <v>34.99</v>
          </cell>
          <cell r="AA127" t="str">
            <v/>
          </cell>
          <cell r="AB127" t="str">
            <v/>
          </cell>
          <cell r="AC127">
            <v>7.99</v>
          </cell>
          <cell r="AD127">
            <v>24.99</v>
          </cell>
          <cell r="AE127" t="str">
            <v>EUR</v>
          </cell>
          <cell r="AF127"/>
          <cell r="AG127">
            <v>7</v>
          </cell>
          <cell r="AH127">
            <v>11.99</v>
          </cell>
          <cell r="AI127">
            <v>83.99</v>
          </cell>
          <cell r="AJ127" t="str">
            <v/>
          </cell>
          <cell r="AK127" t="str">
            <v/>
          </cell>
          <cell r="AL127">
            <v>7.99</v>
          </cell>
          <cell r="AM127">
            <v>55.99</v>
          </cell>
        </row>
        <row r="128">
          <cell r="B128" t="str">
            <v>Luxembourg</v>
          </cell>
          <cell r="C128" t="str">
            <v>Europe</v>
          </cell>
          <cell r="D128" t="str">
            <v>N</v>
          </cell>
          <cell r="E128">
            <v>131302</v>
          </cell>
          <cell r="F128" t="str">
            <v>EUR</v>
          </cell>
          <cell r="G128" t="str">
            <v>Y</v>
          </cell>
          <cell r="H128">
            <v>8.99</v>
          </cell>
          <cell r="I128">
            <v>13.49</v>
          </cell>
          <cell r="J128">
            <v>17.989999999999998</v>
          </cell>
          <cell r="K128">
            <v>3.5032190292862704E-2</v>
          </cell>
          <cell r="L128">
            <v>-8.0924855491329439E-2</v>
          </cell>
          <cell r="M128">
            <v>584</v>
          </cell>
          <cell r="Q128">
            <v>0.6831275720164609</v>
          </cell>
          <cell r="R128">
            <v>0.3168724279835391</v>
          </cell>
          <cell r="S128" t="str">
            <v>BAU</v>
          </cell>
          <cell r="T128" t="str">
            <v>BAU</v>
          </cell>
          <cell r="U128" t="str">
            <v>BAU</v>
          </cell>
          <cell r="V128" t="str">
            <v>NA</v>
          </cell>
          <cell r="W128" t="str">
            <v>EUR</v>
          </cell>
          <cell r="X128" t="str">
            <v>BAU</v>
          </cell>
          <cell r="Y128">
            <v>24.99</v>
          </cell>
          <cell r="Z128">
            <v>74.989999999999995</v>
          </cell>
          <cell r="AA128">
            <v>27.99</v>
          </cell>
          <cell r="AB128">
            <v>84.99</v>
          </cell>
          <cell r="AC128">
            <v>14.99</v>
          </cell>
          <cell r="AD128">
            <v>44.99</v>
          </cell>
          <cell r="AE128" t="str">
            <v>EUR</v>
          </cell>
          <cell r="AF128"/>
          <cell r="AG128">
            <v>7</v>
          </cell>
          <cell r="AH128">
            <v>24.99</v>
          </cell>
          <cell r="AI128">
            <v>174.99</v>
          </cell>
          <cell r="AJ128">
            <v>27.99</v>
          </cell>
          <cell r="AK128">
            <v>195.99</v>
          </cell>
          <cell r="AL128">
            <v>14.99</v>
          </cell>
          <cell r="AM128">
            <v>104.99</v>
          </cell>
        </row>
        <row r="129">
          <cell r="B129" t="str">
            <v>Macao</v>
          </cell>
          <cell r="C129" t="str">
            <v>NBA China</v>
          </cell>
          <cell r="D129" t="str">
            <v>N</v>
          </cell>
          <cell r="E129" t="str">
            <v>NA</v>
          </cell>
          <cell r="F129" t="str">
            <v>USD</v>
          </cell>
          <cell r="G129" t="str">
            <v>N</v>
          </cell>
          <cell r="H129">
            <v>7.99</v>
          </cell>
          <cell r="I129">
            <v>9.99</v>
          </cell>
          <cell r="J129">
            <v>11.99</v>
          </cell>
          <cell r="K129">
            <v>1.3786836252234801E-2</v>
          </cell>
          <cell r="L129">
            <v>-2.4096385542168641E-2</v>
          </cell>
          <cell r="M129">
            <v>354</v>
          </cell>
          <cell r="Q129">
            <v>0.70069605568445481</v>
          </cell>
          <cell r="R129">
            <v>0.29930394431554525</v>
          </cell>
          <cell r="S129" t="str">
            <v>BAU</v>
          </cell>
          <cell r="T129" t="str">
            <v>BAU</v>
          </cell>
          <cell r="U129" t="str">
            <v>BAU</v>
          </cell>
          <cell r="V129" t="str">
            <v>NA</v>
          </cell>
          <cell r="W129" t="str">
            <v>MOP</v>
          </cell>
          <cell r="X129" t="str">
            <v>BAU</v>
          </cell>
          <cell r="Y129">
            <v>179.99</v>
          </cell>
          <cell r="Z129">
            <v>539.99</v>
          </cell>
          <cell r="AA129">
            <v>199.99</v>
          </cell>
          <cell r="AB129">
            <v>599.99</v>
          </cell>
          <cell r="AC129">
            <v>92.99</v>
          </cell>
          <cell r="AD129">
            <v>278.99</v>
          </cell>
          <cell r="AE129" t="str">
            <v>MOP</v>
          </cell>
          <cell r="AF129"/>
          <cell r="AG129">
            <v>7</v>
          </cell>
          <cell r="AH129">
            <v>179.99</v>
          </cell>
          <cell r="AI129">
            <v>1259.99</v>
          </cell>
          <cell r="AJ129">
            <v>199.99</v>
          </cell>
          <cell r="AK129">
            <v>1399.99</v>
          </cell>
          <cell r="AL129">
            <v>92.99</v>
          </cell>
          <cell r="AM129">
            <v>650.99</v>
          </cell>
        </row>
        <row r="130">
          <cell r="B130" t="str">
            <v>Macedonia</v>
          </cell>
          <cell r="C130" t="str">
            <v>Europe</v>
          </cell>
          <cell r="D130" t="str">
            <v>N</v>
          </cell>
          <cell r="E130" t="str">
            <v>NA</v>
          </cell>
          <cell r="F130" t="str">
            <v>NA</v>
          </cell>
          <cell r="G130" t="str">
            <v>N</v>
          </cell>
          <cell r="H130" t="str">
            <v>NA</v>
          </cell>
          <cell r="I130" t="str">
            <v>NA</v>
          </cell>
          <cell r="J130" t="str">
            <v>NA</v>
          </cell>
          <cell r="K130" t="str">
            <v>NA</v>
          </cell>
          <cell r="L130">
            <v>-1.6666666666666718E-2</v>
          </cell>
          <cell r="M130">
            <v>147</v>
          </cell>
          <cell r="Q130">
            <v>0.54437869822485208</v>
          </cell>
          <cell r="R130">
            <v>0.45562130177514792</v>
          </cell>
          <cell r="S130" t="str">
            <v>BAU</v>
          </cell>
          <cell r="T130" t="str">
            <v>BAU</v>
          </cell>
          <cell r="U130" t="str">
            <v>BAU</v>
          </cell>
          <cell r="V130" t="str">
            <v>NA</v>
          </cell>
          <cell r="W130" t="str">
            <v>MKD</v>
          </cell>
          <cell r="X130" t="str">
            <v>BAU</v>
          </cell>
          <cell r="Y130">
            <v>759.99</v>
          </cell>
          <cell r="Z130">
            <v>2279.9899999999998</v>
          </cell>
          <cell r="AA130" t="str">
            <v/>
          </cell>
          <cell r="AB130" t="str">
            <v/>
          </cell>
          <cell r="AC130">
            <v>489.99</v>
          </cell>
          <cell r="AD130">
            <v>1469.99</v>
          </cell>
          <cell r="AE130" t="str">
            <v>MKD</v>
          </cell>
          <cell r="AF130"/>
          <cell r="AG130">
            <v>7</v>
          </cell>
          <cell r="AH130">
            <v>759.99</v>
          </cell>
          <cell r="AI130">
            <v>5319.99</v>
          </cell>
          <cell r="AJ130" t="str">
            <v/>
          </cell>
          <cell r="AK130" t="str">
            <v/>
          </cell>
          <cell r="AL130">
            <v>489.99</v>
          </cell>
          <cell r="AM130">
            <v>3429.99</v>
          </cell>
        </row>
        <row r="131">
          <cell r="B131" t="str">
            <v>Madagascar</v>
          </cell>
          <cell r="C131" t="str">
            <v>Africa</v>
          </cell>
          <cell r="D131" t="str">
            <v>N</v>
          </cell>
          <cell r="E131">
            <v>499</v>
          </cell>
          <cell r="F131" t="str">
            <v>USD</v>
          </cell>
          <cell r="G131" t="str">
            <v>Y</v>
          </cell>
          <cell r="H131">
            <v>7.99</v>
          </cell>
          <cell r="I131">
            <v>9.99</v>
          </cell>
          <cell r="J131">
            <v>11.99</v>
          </cell>
          <cell r="K131" t="str">
            <v>NA</v>
          </cell>
          <cell r="L131" t="str">
            <v>Negligible</v>
          </cell>
          <cell r="M131">
            <v>35</v>
          </cell>
          <cell r="Q131">
            <v>0.74285714285714288</v>
          </cell>
          <cell r="R131">
            <v>0.25714285714285712</v>
          </cell>
          <cell r="S131" t="str">
            <v>BAU</v>
          </cell>
          <cell r="T131" t="str">
            <v>BAU</v>
          </cell>
          <cell r="U131" t="str">
            <v>BAU</v>
          </cell>
          <cell r="V131" t="str">
            <v>Uganda</v>
          </cell>
          <cell r="W131" t="str">
            <v>USD</v>
          </cell>
          <cell r="X131" t="str">
            <v>BAU</v>
          </cell>
          <cell r="Y131">
            <v>10.99</v>
          </cell>
          <cell r="Z131">
            <v>32.99</v>
          </cell>
          <cell r="AA131" t="str">
            <v/>
          </cell>
          <cell r="AB131" t="str">
            <v/>
          </cell>
          <cell r="AC131">
            <v>4.99</v>
          </cell>
          <cell r="AD131">
            <v>14.99</v>
          </cell>
          <cell r="AE131" t="str">
            <v>USD</v>
          </cell>
          <cell r="AF131"/>
          <cell r="AG131">
            <v>7</v>
          </cell>
          <cell r="AH131">
            <v>10.99</v>
          </cell>
          <cell r="AI131">
            <v>76.989999999999995</v>
          </cell>
          <cell r="AJ131" t="str">
            <v/>
          </cell>
          <cell r="AK131" t="str">
            <v/>
          </cell>
          <cell r="AL131">
            <v>4.99</v>
          </cell>
          <cell r="AM131">
            <v>34.99</v>
          </cell>
        </row>
        <row r="132">
          <cell r="B132" t="str">
            <v>Malawi</v>
          </cell>
          <cell r="C132" t="str">
            <v>Africa</v>
          </cell>
          <cell r="D132" t="str">
            <v>N</v>
          </cell>
          <cell r="E132">
            <v>566</v>
          </cell>
          <cell r="F132" t="str">
            <v>USD</v>
          </cell>
          <cell r="G132" t="str">
            <v>N</v>
          </cell>
          <cell r="H132">
            <v>7.99</v>
          </cell>
          <cell r="I132">
            <v>9.99</v>
          </cell>
          <cell r="J132">
            <v>11.99</v>
          </cell>
          <cell r="K132" t="str">
            <v>NA</v>
          </cell>
          <cell r="L132" t="str">
            <v>Negligible</v>
          </cell>
          <cell r="M132">
            <v>44</v>
          </cell>
          <cell r="Q132">
            <v>0.74358974358974361</v>
          </cell>
          <cell r="R132">
            <v>0.25641025641025639</v>
          </cell>
          <cell r="S132" t="str">
            <v>BAU</v>
          </cell>
          <cell r="T132" t="str">
            <v>BAU</v>
          </cell>
          <cell r="U132" t="str">
            <v>BAU</v>
          </cell>
          <cell r="V132" t="str">
            <v>Uganda</v>
          </cell>
          <cell r="W132" t="str">
            <v>MWK</v>
          </cell>
          <cell r="X132" t="str">
            <v>BAU</v>
          </cell>
          <cell r="Y132">
            <v>8199.99</v>
          </cell>
          <cell r="Z132">
            <v>24599.99</v>
          </cell>
          <cell r="AA132" t="str">
            <v/>
          </cell>
          <cell r="AB132" t="str">
            <v/>
          </cell>
          <cell r="AC132">
            <v>3699.99</v>
          </cell>
          <cell r="AD132">
            <v>11099.99</v>
          </cell>
          <cell r="AE132" t="str">
            <v>MWK</v>
          </cell>
          <cell r="AF132"/>
          <cell r="AG132">
            <v>7</v>
          </cell>
          <cell r="AH132">
            <v>8199.99</v>
          </cell>
          <cell r="AI132">
            <v>57399.99</v>
          </cell>
          <cell r="AJ132" t="str">
            <v/>
          </cell>
          <cell r="AK132" t="str">
            <v/>
          </cell>
          <cell r="AL132">
            <v>3699.99</v>
          </cell>
          <cell r="AM132">
            <v>25899.99</v>
          </cell>
        </row>
        <row r="133">
          <cell r="B133" t="str">
            <v>Malaysia</v>
          </cell>
          <cell r="C133" t="str">
            <v>Asia</v>
          </cell>
          <cell r="D133" t="str">
            <v>Y</v>
          </cell>
          <cell r="E133">
            <v>11125</v>
          </cell>
          <cell r="F133" t="str">
            <v>MYR</v>
          </cell>
          <cell r="G133" t="str">
            <v>Y</v>
          </cell>
          <cell r="H133">
            <v>35</v>
          </cell>
          <cell r="I133">
            <v>45</v>
          </cell>
          <cell r="J133">
            <v>55</v>
          </cell>
          <cell r="K133">
            <v>1.8558790397727124E-2</v>
          </cell>
          <cell r="L133">
            <v>0.41697032795419053</v>
          </cell>
          <cell r="M133">
            <v>3259</v>
          </cell>
          <cell r="Q133">
            <v>0.52859304084720116</v>
          </cell>
          <cell r="R133">
            <v>0.47140695915279879</v>
          </cell>
          <cell r="S133" t="str">
            <v>BAU</v>
          </cell>
          <cell r="T133" t="str">
            <v>BAU</v>
          </cell>
          <cell r="U133" t="str">
            <v>BAU</v>
          </cell>
          <cell r="V133" t="str">
            <v>NA</v>
          </cell>
          <cell r="W133" t="str">
            <v>MYR</v>
          </cell>
          <cell r="X133" t="str">
            <v>BAU</v>
          </cell>
          <cell r="Y133">
            <v>45.99</v>
          </cell>
          <cell r="Z133">
            <v>137.99</v>
          </cell>
          <cell r="AA133">
            <v>55.99</v>
          </cell>
          <cell r="AB133">
            <v>167.99</v>
          </cell>
          <cell r="AC133">
            <v>20.99</v>
          </cell>
          <cell r="AD133">
            <v>62.99</v>
          </cell>
          <cell r="AE133" t="str">
            <v>MYR</v>
          </cell>
          <cell r="AF133"/>
          <cell r="AG133">
            <v>7</v>
          </cell>
          <cell r="AH133">
            <v>45.99</v>
          </cell>
          <cell r="AI133">
            <v>321.99</v>
          </cell>
          <cell r="AJ133">
            <v>55.99</v>
          </cell>
          <cell r="AK133">
            <v>391.99</v>
          </cell>
          <cell r="AL133">
            <v>20.99</v>
          </cell>
          <cell r="AM133">
            <v>146.99</v>
          </cell>
        </row>
        <row r="134">
          <cell r="B134" t="str">
            <v>Maldives</v>
          </cell>
          <cell r="C134" t="str">
            <v>Asia</v>
          </cell>
          <cell r="D134" t="str">
            <v>N</v>
          </cell>
          <cell r="E134">
            <v>11899</v>
          </cell>
          <cell r="F134" t="str">
            <v>USD</v>
          </cell>
          <cell r="G134" t="str">
            <v>N</v>
          </cell>
          <cell r="H134">
            <v>7.99</v>
          </cell>
          <cell r="I134">
            <v>9.99</v>
          </cell>
          <cell r="J134">
            <v>11.99</v>
          </cell>
          <cell r="K134" t="str">
            <v>NA</v>
          </cell>
          <cell r="L134" t="str">
            <v>Negligible</v>
          </cell>
          <cell r="M134">
            <v>90</v>
          </cell>
          <cell r="Q134">
            <v>0.77011494252873558</v>
          </cell>
          <cell r="R134">
            <v>0.22988505747126436</v>
          </cell>
          <cell r="S134" t="str">
            <v>BAU</v>
          </cell>
          <cell r="T134" t="str">
            <v>BAU</v>
          </cell>
          <cell r="U134" t="str">
            <v>BAU</v>
          </cell>
          <cell r="V134" t="str">
            <v>Kazakhstan</v>
          </cell>
          <cell r="W134" t="str">
            <v>MVR</v>
          </cell>
          <cell r="X134" t="str">
            <v>BAU</v>
          </cell>
          <cell r="Y134">
            <v>219.99</v>
          </cell>
          <cell r="Z134">
            <v>659.99</v>
          </cell>
          <cell r="AA134" t="str">
            <v/>
          </cell>
          <cell r="AB134" t="str">
            <v/>
          </cell>
          <cell r="AC134">
            <v>139.99</v>
          </cell>
          <cell r="AD134">
            <v>419.99</v>
          </cell>
          <cell r="AE134" t="str">
            <v>MVR</v>
          </cell>
          <cell r="AF134"/>
          <cell r="AG134">
            <v>7</v>
          </cell>
          <cell r="AH134">
            <v>219.99</v>
          </cell>
          <cell r="AI134">
            <v>1539.99</v>
          </cell>
          <cell r="AJ134" t="str">
            <v/>
          </cell>
          <cell r="AK134" t="str">
            <v/>
          </cell>
          <cell r="AL134">
            <v>139.99</v>
          </cell>
          <cell r="AM134">
            <v>979.99</v>
          </cell>
        </row>
        <row r="135">
          <cell r="B135" t="str">
            <v>Mali</v>
          </cell>
          <cell r="C135" t="str">
            <v>Africa</v>
          </cell>
          <cell r="D135" t="str">
            <v>N</v>
          </cell>
          <cell r="E135">
            <v>966</v>
          </cell>
          <cell r="F135" t="str">
            <v>USD</v>
          </cell>
          <cell r="G135" t="str">
            <v>N</v>
          </cell>
          <cell r="H135">
            <v>7.99</v>
          </cell>
          <cell r="I135">
            <v>9.99</v>
          </cell>
          <cell r="J135">
            <v>11.99</v>
          </cell>
          <cell r="K135" t="str">
            <v>NA</v>
          </cell>
          <cell r="L135" t="str">
            <v>Negligible</v>
          </cell>
          <cell r="M135">
            <v>32</v>
          </cell>
          <cell r="Q135">
            <v>0.69444444444444442</v>
          </cell>
          <cell r="R135">
            <v>0.30555555555555558</v>
          </cell>
          <cell r="S135" t="str">
            <v>BAU</v>
          </cell>
          <cell r="T135" t="str">
            <v>BAU</v>
          </cell>
          <cell r="U135" t="str">
            <v>BAU</v>
          </cell>
          <cell r="V135" t="str">
            <v>Uganda</v>
          </cell>
          <cell r="W135" t="str">
            <v>XOF</v>
          </cell>
          <cell r="X135" t="str">
            <v>BAU</v>
          </cell>
          <cell r="Y135">
            <v>6400</v>
          </cell>
          <cell r="Z135">
            <v>19200</v>
          </cell>
          <cell r="AA135" t="str">
            <v/>
          </cell>
          <cell r="AB135" t="str">
            <v/>
          </cell>
          <cell r="AC135">
            <v>2900</v>
          </cell>
          <cell r="AD135">
            <v>8700</v>
          </cell>
          <cell r="AE135" t="str">
            <v>XOF</v>
          </cell>
          <cell r="AF135"/>
          <cell r="AG135">
            <v>7</v>
          </cell>
          <cell r="AH135">
            <v>6400</v>
          </cell>
          <cell r="AI135">
            <v>44800</v>
          </cell>
          <cell r="AJ135" t="str">
            <v/>
          </cell>
          <cell r="AK135" t="str">
            <v/>
          </cell>
          <cell r="AL135">
            <v>2900</v>
          </cell>
          <cell r="AM135">
            <v>20300</v>
          </cell>
        </row>
        <row r="136">
          <cell r="B136" t="str">
            <v>Malta</v>
          </cell>
          <cell r="C136" t="str">
            <v>Europe</v>
          </cell>
          <cell r="D136" t="str">
            <v>N</v>
          </cell>
          <cell r="E136">
            <v>31997</v>
          </cell>
          <cell r="F136" t="str">
            <v>EUR</v>
          </cell>
          <cell r="G136" t="str">
            <v>Y</v>
          </cell>
          <cell r="H136">
            <v>7.99</v>
          </cell>
          <cell r="I136">
            <v>12.99</v>
          </cell>
          <cell r="J136">
            <v>17.989999999999998</v>
          </cell>
          <cell r="K136" t="str">
            <v>NA</v>
          </cell>
          <cell r="L136">
            <v>0.24025974025974017</v>
          </cell>
          <cell r="M136">
            <v>225</v>
          </cell>
          <cell r="Q136">
            <v>0.64344262295081966</v>
          </cell>
          <cell r="R136">
            <v>0.35655737704918034</v>
          </cell>
          <cell r="S136" t="str">
            <v>BAU</v>
          </cell>
          <cell r="T136" t="str">
            <v>BAU</v>
          </cell>
          <cell r="U136" t="str">
            <v>BAU</v>
          </cell>
          <cell r="V136" t="str">
            <v>NA</v>
          </cell>
          <cell r="W136" t="str">
            <v>EUR</v>
          </cell>
          <cell r="X136" t="str">
            <v>BAU</v>
          </cell>
          <cell r="Y136">
            <v>19.989999999999998</v>
          </cell>
          <cell r="Z136">
            <v>59.99</v>
          </cell>
          <cell r="AA136">
            <v>22.99</v>
          </cell>
          <cell r="AB136">
            <v>68.989999999999995</v>
          </cell>
          <cell r="AC136">
            <v>10.99</v>
          </cell>
          <cell r="AD136">
            <v>32.99</v>
          </cell>
          <cell r="AE136" t="str">
            <v>EUR</v>
          </cell>
          <cell r="AF136"/>
          <cell r="AG136">
            <v>7</v>
          </cell>
          <cell r="AH136">
            <v>19.989999999999998</v>
          </cell>
          <cell r="AI136">
            <v>139.99</v>
          </cell>
          <cell r="AJ136">
            <v>22.99</v>
          </cell>
          <cell r="AK136">
            <v>160.99</v>
          </cell>
          <cell r="AL136">
            <v>10.99</v>
          </cell>
          <cell r="AM136">
            <v>76.989999999999995</v>
          </cell>
        </row>
        <row r="137">
          <cell r="B137" t="str">
            <v>Marshall Islands</v>
          </cell>
          <cell r="C137" t="str">
            <v>Asia</v>
          </cell>
          <cell r="D137" t="str">
            <v>N</v>
          </cell>
          <cell r="E137">
            <v>4338</v>
          </cell>
          <cell r="F137" t="str">
            <v>USD</v>
          </cell>
          <cell r="G137" t="str">
            <v>Y</v>
          </cell>
          <cell r="H137">
            <v>8.99</v>
          </cell>
          <cell r="I137">
            <v>13.99</v>
          </cell>
          <cell r="J137">
            <v>17.989999999999998</v>
          </cell>
          <cell r="K137" t="str">
            <v>NA</v>
          </cell>
          <cell r="L137" t="str">
            <v>Negligible</v>
          </cell>
          <cell r="M137">
            <v>14</v>
          </cell>
          <cell r="Q137">
            <v>0.72222222222222221</v>
          </cell>
          <cell r="R137">
            <v>0.27777777777777779</v>
          </cell>
          <cell r="S137" t="str">
            <v>BAU</v>
          </cell>
          <cell r="T137" t="str">
            <v>BAU</v>
          </cell>
          <cell r="U137" t="str">
            <v>BAU</v>
          </cell>
          <cell r="V137" t="str">
            <v>France</v>
          </cell>
          <cell r="W137" t="str">
            <v>USD</v>
          </cell>
          <cell r="X137" t="str">
            <v>BAU</v>
          </cell>
          <cell r="Y137">
            <v>13.99</v>
          </cell>
          <cell r="Z137">
            <v>41.99</v>
          </cell>
          <cell r="AA137" t="str">
            <v/>
          </cell>
          <cell r="AB137" t="str">
            <v/>
          </cell>
          <cell r="AC137">
            <v>8.99</v>
          </cell>
          <cell r="AD137">
            <v>26.99</v>
          </cell>
          <cell r="AE137" t="str">
            <v>USD</v>
          </cell>
          <cell r="AF137"/>
          <cell r="AG137">
            <v>7</v>
          </cell>
          <cell r="AH137">
            <v>13.99</v>
          </cell>
          <cell r="AI137">
            <v>97.99</v>
          </cell>
          <cell r="AJ137" t="str">
            <v/>
          </cell>
          <cell r="AK137" t="str">
            <v/>
          </cell>
          <cell r="AL137">
            <v>8.99</v>
          </cell>
          <cell r="AM137">
            <v>62.99</v>
          </cell>
        </row>
        <row r="138">
          <cell r="B138" t="str">
            <v>Martinique</v>
          </cell>
          <cell r="C138" t="str">
            <v>Latin America</v>
          </cell>
          <cell r="D138" t="str">
            <v>N</v>
          </cell>
          <cell r="E138" t="str">
            <v>NA</v>
          </cell>
          <cell r="F138" t="str">
            <v>EUR</v>
          </cell>
          <cell r="G138" t="str">
            <v>Y</v>
          </cell>
          <cell r="H138">
            <v>7.99</v>
          </cell>
          <cell r="I138">
            <v>10.99</v>
          </cell>
          <cell r="J138">
            <v>13.99</v>
          </cell>
          <cell r="K138" t="str">
            <v>NA</v>
          </cell>
          <cell r="L138">
            <v>0.11640211640211651</v>
          </cell>
          <cell r="M138">
            <v>255</v>
          </cell>
          <cell r="Q138">
            <v>0.58076923076923082</v>
          </cell>
          <cell r="R138">
            <v>0.41923076923076924</v>
          </cell>
          <cell r="S138" t="str">
            <v>BAU</v>
          </cell>
          <cell r="T138" t="str">
            <v>BAU</v>
          </cell>
          <cell r="U138" t="str">
            <v>BAU</v>
          </cell>
          <cell r="V138" t="str">
            <v>NA</v>
          </cell>
          <cell r="W138" t="str">
            <v>EUR</v>
          </cell>
          <cell r="X138" t="str">
            <v>BAU</v>
          </cell>
          <cell r="Y138">
            <v>11.99</v>
          </cell>
          <cell r="Z138">
            <v>35.99</v>
          </cell>
          <cell r="AA138" t="str">
            <v/>
          </cell>
          <cell r="AB138" t="str">
            <v/>
          </cell>
          <cell r="AC138">
            <v>7.99</v>
          </cell>
          <cell r="AD138">
            <v>24.99</v>
          </cell>
          <cell r="AE138" t="str">
            <v>EUR</v>
          </cell>
          <cell r="AF138"/>
          <cell r="AG138">
            <v>7</v>
          </cell>
          <cell r="AH138">
            <v>11.99</v>
          </cell>
          <cell r="AI138">
            <v>83.99</v>
          </cell>
          <cell r="AJ138" t="str">
            <v/>
          </cell>
          <cell r="AK138" t="str">
            <v/>
          </cell>
          <cell r="AL138">
            <v>7.99</v>
          </cell>
          <cell r="AM138">
            <v>55.99</v>
          </cell>
        </row>
        <row r="139">
          <cell r="B139" t="str">
            <v>Mauritania</v>
          </cell>
          <cell r="C139" t="str">
            <v>Africa</v>
          </cell>
          <cell r="D139" t="str">
            <v>N</v>
          </cell>
          <cell r="E139">
            <v>2161</v>
          </cell>
          <cell r="F139" t="str">
            <v>USD</v>
          </cell>
          <cell r="G139" t="str">
            <v>Y</v>
          </cell>
          <cell r="H139">
            <v>7.99</v>
          </cell>
          <cell r="I139">
            <v>9.99</v>
          </cell>
          <cell r="J139">
            <v>11.99</v>
          </cell>
          <cell r="K139" t="str">
            <v>NA</v>
          </cell>
          <cell r="L139" t="str">
            <v>Negligible</v>
          </cell>
          <cell r="M139">
            <v>11</v>
          </cell>
          <cell r="Q139">
            <v>0.6</v>
          </cell>
          <cell r="R139">
            <v>0.4</v>
          </cell>
          <cell r="S139" t="str">
            <v>BAU</v>
          </cell>
          <cell r="T139" t="str">
            <v>BAU</v>
          </cell>
          <cell r="U139" t="str">
            <v>BAU</v>
          </cell>
          <cell r="V139" t="str">
            <v>Angola</v>
          </cell>
          <cell r="W139" t="str">
            <v>USD</v>
          </cell>
          <cell r="X139" t="str">
            <v>BAU</v>
          </cell>
          <cell r="Y139">
            <v>10.99</v>
          </cell>
          <cell r="Z139">
            <v>32.99</v>
          </cell>
          <cell r="AA139" t="str">
            <v/>
          </cell>
          <cell r="AB139" t="str">
            <v/>
          </cell>
          <cell r="AC139">
            <v>4.99</v>
          </cell>
          <cell r="AD139">
            <v>14.99</v>
          </cell>
          <cell r="AE139" t="str">
            <v>USD</v>
          </cell>
          <cell r="AF139"/>
          <cell r="AG139">
            <v>7</v>
          </cell>
          <cell r="AH139">
            <v>10.99</v>
          </cell>
          <cell r="AI139">
            <v>76.989999999999995</v>
          </cell>
          <cell r="AJ139" t="str">
            <v/>
          </cell>
          <cell r="AK139" t="str">
            <v/>
          </cell>
          <cell r="AL139">
            <v>4.99</v>
          </cell>
          <cell r="AM139">
            <v>34.99</v>
          </cell>
        </row>
        <row r="140">
          <cell r="B140" t="str">
            <v>Mauritius</v>
          </cell>
          <cell r="C140" t="str">
            <v>Africa</v>
          </cell>
          <cell r="D140" t="str">
            <v>N</v>
          </cell>
          <cell r="E140">
            <v>8682</v>
          </cell>
          <cell r="F140" t="str">
            <v>USD</v>
          </cell>
          <cell r="G140" t="str">
            <v>N</v>
          </cell>
          <cell r="H140">
            <v>7.99</v>
          </cell>
          <cell r="I140">
            <v>9.99</v>
          </cell>
          <cell r="J140">
            <v>11.99</v>
          </cell>
          <cell r="K140" t="str">
            <v>NA</v>
          </cell>
          <cell r="L140" t="str">
            <v>Negligible</v>
          </cell>
          <cell r="M140">
            <v>74</v>
          </cell>
          <cell r="Q140">
            <v>0.81132075471698117</v>
          </cell>
          <cell r="R140">
            <v>0.18867924528301888</v>
          </cell>
          <cell r="S140" t="str">
            <v>BAU</v>
          </cell>
          <cell r="T140" t="str">
            <v>BAU</v>
          </cell>
          <cell r="U140" t="str">
            <v>BAU</v>
          </cell>
          <cell r="V140" t="str">
            <v>Algeria</v>
          </cell>
          <cell r="W140" t="str">
            <v>MUR</v>
          </cell>
          <cell r="X140" t="str">
            <v>BAU</v>
          </cell>
          <cell r="Y140">
            <v>439.99</v>
          </cell>
          <cell r="Z140">
            <v>1319.99</v>
          </cell>
          <cell r="AA140" t="str">
            <v/>
          </cell>
          <cell r="AB140" t="str">
            <v/>
          </cell>
          <cell r="AC140">
            <v>199.99</v>
          </cell>
          <cell r="AD140">
            <v>599.99</v>
          </cell>
          <cell r="AE140" t="str">
            <v>MUR</v>
          </cell>
          <cell r="AF140"/>
          <cell r="AG140">
            <v>7</v>
          </cell>
          <cell r="AH140">
            <v>439.99</v>
          </cell>
          <cell r="AI140">
            <v>3079.99</v>
          </cell>
          <cell r="AJ140" t="str">
            <v/>
          </cell>
          <cell r="AK140" t="str">
            <v/>
          </cell>
          <cell r="AL140">
            <v>199.99</v>
          </cell>
          <cell r="AM140">
            <v>1399.99</v>
          </cell>
        </row>
        <row r="141">
          <cell r="B141" t="str">
            <v>Mayotte</v>
          </cell>
          <cell r="C141" t="str">
            <v>Africa</v>
          </cell>
          <cell r="D141" t="str">
            <v>N</v>
          </cell>
          <cell r="E141" t="str">
            <v>NA</v>
          </cell>
          <cell r="F141" t="str">
            <v>USD</v>
          </cell>
          <cell r="G141" t="str">
            <v>N</v>
          </cell>
          <cell r="H141">
            <v>7.99</v>
          </cell>
          <cell r="I141">
            <v>10.99</v>
          </cell>
          <cell r="J141">
            <v>13.99</v>
          </cell>
          <cell r="K141" t="str">
            <v>NA</v>
          </cell>
          <cell r="L141" t="str">
            <v>Negligible</v>
          </cell>
          <cell r="M141">
            <v>13</v>
          </cell>
          <cell r="Q141">
            <v>0.52941176470588236</v>
          </cell>
          <cell r="R141">
            <v>0.47058823529411764</v>
          </cell>
          <cell r="S141" t="str">
            <v>BAU</v>
          </cell>
          <cell r="T141" t="str">
            <v>BAU</v>
          </cell>
          <cell r="U141" t="str">
            <v>BAU</v>
          </cell>
          <cell r="V141" t="str">
            <v>Reunion</v>
          </cell>
          <cell r="W141" t="str">
            <v>EUR</v>
          </cell>
          <cell r="X141" t="str">
            <v>BAU</v>
          </cell>
          <cell r="Y141">
            <v>9.99</v>
          </cell>
          <cell r="Z141">
            <v>29.99</v>
          </cell>
          <cell r="AA141" t="str">
            <v/>
          </cell>
          <cell r="AB141" t="str">
            <v/>
          </cell>
          <cell r="AC141">
            <v>3.99</v>
          </cell>
          <cell r="AD141">
            <v>11.99</v>
          </cell>
          <cell r="AE141" t="str">
            <v>EUR</v>
          </cell>
          <cell r="AF141"/>
          <cell r="AG141">
            <v>7</v>
          </cell>
          <cell r="AH141">
            <v>9.99</v>
          </cell>
          <cell r="AI141">
            <v>69.989999999999995</v>
          </cell>
          <cell r="AJ141" t="str">
            <v/>
          </cell>
          <cell r="AK141" t="str">
            <v/>
          </cell>
          <cell r="AL141">
            <v>3.99</v>
          </cell>
          <cell r="AM141">
            <v>27.99</v>
          </cell>
        </row>
        <row r="142">
          <cell r="B142" t="str">
            <v>Mexico</v>
          </cell>
          <cell r="C142" t="str">
            <v>Latin America</v>
          </cell>
          <cell r="D142" t="str">
            <v>Y</v>
          </cell>
          <cell r="E142">
            <v>9967</v>
          </cell>
          <cell r="F142" t="str">
            <v>MXN</v>
          </cell>
          <cell r="G142" t="str">
            <v>Y</v>
          </cell>
          <cell r="H142">
            <v>139</v>
          </cell>
          <cell r="I142">
            <v>219</v>
          </cell>
          <cell r="J142">
            <v>299</v>
          </cell>
          <cell r="K142">
            <v>1.5243258519848689E-2</v>
          </cell>
          <cell r="L142">
            <v>8.2419139375784267E-2</v>
          </cell>
          <cell r="M142">
            <v>32520</v>
          </cell>
          <cell r="Q142">
            <v>0.56390566365963368</v>
          </cell>
          <cell r="R142">
            <v>0.43609433634036632</v>
          </cell>
          <cell r="S142" t="str">
            <v>BAU</v>
          </cell>
          <cell r="T142" t="str">
            <v>BAU</v>
          </cell>
          <cell r="U142" t="str">
            <v>BAU</v>
          </cell>
          <cell r="V142" t="str">
            <v>NA</v>
          </cell>
          <cell r="W142" t="str">
            <v>MXN</v>
          </cell>
          <cell r="X142" t="str">
            <v>BAU</v>
          </cell>
          <cell r="Y142">
            <v>210</v>
          </cell>
          <cell r="Z142">
            <v>630</v>
          </cell>
          <cell r="AA142">
            <v>250</v>
          </cell>
          <cell r="AB142">
            <v>750</v>
          </cell>
          <cell r="AC142">
            <v>96</v>
          </cell>
          <cell r="AD142">
            <v>288</v>
          </cell>
          <cell r="AE142" t="str">
            <v>MXN</v>
          </cell>
          <cell r="AF142"/>
          <cell r="AG142">
            <v>7</v>
          </cell>
          <cell r="AH142">
            <v>210</v>
          </cell>
          <cell r="AI142">
            <v>1470</v>
          </cell>
          <cell r="AJ142">
            <v>250</v>
          </cell>
          <cell r="AK142">
            <v>1750</v>
          </cell>
          <cell r="AL142">
            <v>96</v>
          </cell>
          <cell r="AM142">
            <v>670</v>
          </cell>
        </row>
        <row r="143">
          <cell r="B143" t="str">
            <v>Micronesia</v>
          </cell>
          <cell r="C143" t="str">
            <v>Asia</v>
          </cell>
          <cell r="D143" t="str">
            <v>N</v>
          </cell>
          <cell r="E143">
            <v>3855</v>
          </cell>
          <cell r="F143" t="str">
            <v>USD</v>
          </cell>
          <cell r="G143" t="str">
            <v>Y</v>
          </cell>
          <cell r="H143">
            <v>8.99</v>
          </cell>
          <cell r="I143">
            <v>13.99</v>
          </cell>
          <cell r="J143">
            <v>17.989999999999998</v>
          </cell>
          <cell r="K143" t="str">
            <v>NA</v>
          </cell>
          <cell r="L143" t="str">
            <v>Negligible</v>
          </cell>
          <cell r="M143">
            <v>18</v>
          </cell>
          <cell r="Q143">
            <v>0.70588235294117652</v>
          </cell>
          <cell r="R143">
            <v>0.29411764705882354</v>
          </cell>
          <cell r="S143" t="str">
            <v>BAU</v>
          </cell>
          <cell r="T143" t="str">
            <v>BAU</v>
          </cell>
          <cell r="U143" t="str">
            <v>BAU</v>
          </cell>
          <cell r="V143" t="str">
            <v>France</v>
          </cell>
          <cell r="W143" t="str">
            <v>USD</v>
          </cell>
          <cell r="X143" t="str">
            <v>BAU</v>
          </cell>
          <cell r="Y143">
            <v>13.99</v>
          </cell>
          <cell r="Z143">
            <v>41.99</v>
          </cell>
          <cell r="AA143" t="str">
            <v/>
          </cell>
          <cell r="AB143" t="str">
            <v/>
          </cell>
          <cell r="AC143">
            <v>8.99</v>
          </cell>
          <cell r="AD143">
            <v>26.99</v>
          </cell>
          <cell r="AE143" t="str">
            <v>USD</v>
          </cell>
          <cell r="AF143"/>
          <cell r="AG143">
            <v>7</v>
          </cell>
          <cell r="AH143">
            <v>13.99</v>
          </cell>
          <cell r="AI143">
            <v>97.99</v>
          </cell>
          <cell r="AJ143" t="str">
            <v/>
          </cell>
          <cell r="AK143" t="str">
            <v/>
          </cell>
          <cell r="AL143">
            <v>8.99</v>
          </cell>
          <cell r="AM143">
            <v>62.99</v>
          </cell>
        </row>
        <row r="144">
          <cell r="B144" t="str">
            <v>Moldova</v>
          </cell>
          <cell r="C144" t="str">
            <v>Europe</v>
          </cell>
          <cell r="D144" t="str">
            <v>N</v>
          </cell>
          <cell r="E144">
            <v>4792</v>
          </cell>
          <cell r="F144" t="str">
            <v>EUR</v>
          </cell>
          <cell r="G144" t="str">
            <v>N</v>
          </cell>
          <cell r="H144">
            <v>7.99</v>
          </cell>
          <cell r="I144">
            <v>9.99</v>
          </cell>
          <cell r="J144">
            <v>11.99</v>
          </cell>
          <cell r="K144" t="str">
            <v>NA</v>
          </cell>
          <cell r="L144" t="str">
            <v>Negligible</v>
          </cell>
          <cell r="M144">
            <v>49</v>
          </cell>
          <cell r="Q144">
            <v>0.77777777777777779</v>
          </cell>
          <cell r="R144">
            <v>0.22222222222222221</v>
          </cell>
          <cell r="S144" t="str">
            <v>BAU</v>
          </cell>
          <cell r="T144" t="str">
            <v>BAU</v>
          </cell>
          <cell r="U144" t="str">
            <v>BAU</v>
          </cell>
          <cell r="V144" t="str">
            <v>Bosnia And Herzegovina</v>
          </cell>
          <cell r="W144" t="str">
            <v>MDL</v>
          </cell>
          <cell r="X144" t="str">
            <v>BAU</v>
          </cell>
          <cell r="Y144">
            <v>249.99</v>
          </cell>
          <cell r="Z144">
            <v>750</v>
          </cell>
          <cell r="AA144" t="str">
            <v/>
          </cell>
          <cell r="AB144" t="str">
            <v/>
          </cell>
          <cell r="AC144">
            <v>159.99</v>
          </cell>
          <cell r="AD144">
            <v>480</v>
          </cell>
          <cell r="AE144" t="str">
            <v>MDL</v>
          </cell>
          <cell r="AF144"/>
          <cell r="AG144">
            <v>7</v>
          </cell>
          <cell r="AH144">
            <v>249.99</v>
          </cell>
          <cell r="AI144">
            <v>1749.99</v>
          </cell>
          <cell r="AJ144" t="str">
            <v/>
          </cell>
          <cell r="AK144" t="str">
            <v/>
          </cell>
          <cell r="AL144">
            <v>159.99</v>
          </cell>
          <cell r="AM144">
            <v>1119.99</v>
          </cell>
        </row>
        <row r="145">
          <cell r="B145" t="str">
            <v>Monaco</v>
          </cell>
          <cell r="C145" t="str">
            <v>Europe</v>
          </cell>
          <cell r="D145" t="str">
            <v>N</v>
          </cell>
          <cell r="E145">
            <v>2020</v>
          </cell>
          <cell r="F145" t="str">
            <v>EUR</v>
          </cell>
          <cell r="G145" t="str">
            <v>Y</v>
          </cell>
          <cell r="H145">
            <v>7.99</v>
          </cell>
          <cell r="I145">
            <v>11.99</v>
          </cell>
          <cell r="J145">
            <v>15.99</v>
          </cell>
          <cell r="K145" t="str">
            <v>NA</v>
          </cell>
          <cell r="L145" t="str">
            <v>Negligible</v>
          </cell>
          <cell r="M145">
            <v>35</v>
          </cell>
          <cell r="Q145">
            <v>0.73529411764705888</v>
          </cell>
          <cell r="R145">
            <v>0.26470588235294118</v>
          </cell>
          <cell r="S145" t="str">
            <v>BAU</v>
          </cell>
          <cell r="T145" t="str">
            <v>BAU</v>
          </cell>
          <cell r="U145" t="str">
            <v>BAU</v>
          </cell>
          <cell r="V145" t="str">
            <v>Portugal</v>
          </cell>
          <cell r="W145" t="str">
            <v>EUR</v>
          </cell>
          <cell r="X145" t="str">
            <v>BAU</v>
          </cell>
          <cell r="Y145">
            <v>24.99</v>
          </cell>
          <cell r="Z145">
            <v>74.989999999999995</v>
          </cell>
          <cell r="AA145">
            <v>27.99</v>
          </cell>
          <cell r="AB145">
            <v>84.99</v>
          </cell>
          <cell r="AC145">
            <v>14.99</v>
          </cell>
          <cell r="AD145">
            <v>44.99</v>
          </cell>
          <cell r="AE145" t="str">
            <v>EUR</v>
          </cell>
          <cell r="AF145"/>
          <cell r="AG145">
            <v>7</v>
          </cell>
          <cell r="AH145">
            <v>24.99</v>
          </cell>
          <cell r="AI145">
            <v>174.99</v>
          </cell>
          <cell r="AJ145">
            <v>27.99</v>
          </cell>
          <cell r="AK145">
            <v>195.99</v>
          </cell>
          <cell r="AL145">
            <v>14.99</v>
          </cell>
          <cell r="AM145">
            <v>104.99</v>
          </cell>
        </row>
        <row r="146">
          <cell r="B146" t="str">
            <v>Mongolia</v>
          </cell>
          <cell r="C146" t="str">
            <v>Asia</v>
          </cell>
          <cell r="D146" t="str">
            <v>N</v>
          </cell>
          <cell r="E146">
            <v>4186</v>
          </cell>
          <cell r="F146" t="str">
            <v>USD</v>
          </cell>
          <cell r="G146" t="str">
            <v>N</v>
          </cell>
          <cell r="H146">
            <v>7.99</v>
          </cell>
          <cell r="I146">
            <v>9.99</v>
          </cell>
          <cell r="J146">
            <v>11.99</v>
          </cell>
          <cell r="K146" t="str">
            <v>NA</v>
          </cell>
          <cell r="L146">
            <v>0.8091286307053942</v>
          </cell>
          <cell r="M146">
            <v>1065</v>
          </cell>
          <cell r="Q146">
            <v>0.60899653979238755</v>
          </cell>
          <cell r="R146">
            <v>0.39100346020761245</v>
          </cell>
          <cell r="S146" t="str">
            <v>BAU</v>
          </cell>
          <cell r="T146" t="str">
            <v>BAU</v>
          </cell>
          <cell r="U146" t="str">
            <v>BAU</v>
          </cell>
          <cell r="V146" t="str">
            <v>NA</v>
          </cell>
          <cell r="W146" t="str">
            <v>MNT</v>
          </cell>
          <cell r="X146" t="str">
            <v>BAU</v>
          </cell>
          <cell r="Y146">
            <v>29200</v>
          </cell>
          <cell r="Z146">
            <v>87600</v>
          </cell>
          <cell r="AA146" t="str">
            <v/>
          </cell>
          <cell r="AB146" t="str">
            <v/>
          </cell>
          <cell r="AC146">
            <v>13300</v>
          </cell>
          <cell r="AD146">
            <v>39900</v>
          </cell>
          <cell r="AE146" t="str">
            <v>MNT</v>
          </cell>
          <cell r="AF146"/>
          <cell r="AG146">
            <v>7</v>
          </cell>
          <cell r="AH146">
            <v>29200</v>
          </cell>
          <cell r="AI146">
            <v>204400</v>
          </cell>
          <cell r="AJ146" t="str">
            <v/>
          </cell>
          <cell r="AK146" t="str">
            <v/>
          </cell>
          <cell r="AL146">
            <v>13300</v>
          </cell>
          <cell r="AM146">
            <v>93100</v>
          </cell>
        </row>
        <row r="147">
          <cell r="B147" t="str">
            <v>Montenegro</v>
          </cell>
          <cell r="C147" t="str">
            <v>Europe</v>
          </cell>
          <cell r="D147" t="str">
            <v>N</v>
          </cell>
          <cell r="E147">
            <v>8838</v>
          </cell>
          <cell r="F147" t="str">
            <v>EUR</v>
          </cell>
          <cell r="G147" t="str">
            <v>Y</v>
          </cell>
          <cell r="H147">
            <v>7.99</v>
          </cell>
          <cell r="I147">
            <v>9.99</v>
          </cell>
          <cell r="J147">
            <v>11.99</v>
          </cell>
          <cell r="K147" t="str">
            <v>NA</v>
          </cell>
          <cell r="L147" t="str">
            <v>Negligible</v>
          </cell>
          <cell r="M147">
            <v>83</v>
          </cell>
          <cell r="Q147">
            <v>0.43529411764705883</v>
          </cell>
          <cell r="R147">
            <v>0.56470588235294117</v>
          </cell>
          <cell r="S147" t="str">
            <v>BAU</v>
          </cell>
          <cell r="T147" t="str">
            <v>BAU</v>
          </cell>
          <cell r="U147" t="str">
            <v>BAU</v>
          </cell>
          <cell r="V147" t="str">
            <v>Serbia</v>
          </cell>
          <cell r="W147" t="str">
            <v>EUR</v>
          </cell>
          <cell r="X147" t="str">
            <v>BAU</v>
          </cell>
          <cell r="Y147">
            <v>11.99</v>
          </cell>
          <cell r="Z147">
            <v>35.99</v>
          </cell>
          <cell r="AA147" t="str">
            <v/>
          </cell>
          <cell r="AB147" t="str">
            <v/>
          </cell>
          <cell r="AC147">
            <v>7.99</v>
          </cell>
          <cell r="AD147">
            <v>24.99</v>
          </cell>
          <cell r="AE147" t="str">
            <v>EUR</v>
          </cell>
          <cell r="AF147"/>
          <cell r="AG147">
            <v>7</v>
          </cell>
          <cell r="AH147">
            <v>11.99</v>
          </cell>
          <cell r="AI147">
            <v>83.99</v>
          </cell>
          <cell r="AJ147" t="str">
            <v/>
          </cell>
          <cell r="AK147" t="str">
            <v/>
          </cell>
          <cell r="AL147">
            <v>7.99</v>
          </cell>
          <cell r="AM147">
            <v>55.99</v>
          </cell>
        </row>
        <row r="148">
          <cell r="B148" t="str">
            <v>Montserrat</v>
          </cell>
          <cell r="C148" t="str">
            <v>Latin America</v>
          </cell>
          <cell r="D148" t="str">
            <v>N</v>
          </cell>
          <cell r="E148">
            <v>2020</v>
          </cell>
          <cell r="F148" t="str">
            <v>USD</v>
          </cell>
          <cell r="G148" t="str">
            <v>N</v>
          </cell>
          <cell r="H148">
            <v>8.99</v>
          </cell>
          <cell r="I148">
            <v>12.99</v>
          </cell>
          <cell r="J148">
            <v>15.99</v>
          </cell>
          <cell r="K148" t="str">
            <v>NA</v>
          </cell>
          <cell r="L148" t="str">
            <v>Negligible</v>
          </cell>
          <cell r="M148">
            <v>4</v>
          </cell>
          <cell r="Q148">
            <v>0.66666666666666663</v>
          </cell>
          <cell r="R148">
            <v>0.33333333333333331</v>
          </cell>
          <cell r="S148" t="str">
            <v>BAU</v>
          </cell>
          <cell r="T148" t="str">
            <v>BAU</v>
          </cell>
          <cell r="U148" t="str">
            <v>BAU</v>
          </cell>
          <cell r="V148" t="str">
            <v>Cayman Islands</v>
          </cell>
          <cell r="W148" t="str">
            <v>XCD</v>
          </cell>
          <cell r="X148" t="str">
            <v>BAU</v>
          </cell>
          <cell r="Y148">
            <v>37.99</v>
          </cell>
          <cell r="Z148">
            <v>113.99</v>
          </cell>
          <cell r="AA148" t="str">
            <v/>
          </cell>
          <cell r="AB148" t="str">
            <v/>
          </cell>
          <cell r="AC148">
            <v>23.99</v>
          </cell>
          <cell r="AD148">
            <v>71.989999999999995</v>
          </cell>
          <cell r="AE148" t="str">
            <v>XCD</v>
          </cell>
          <cell r="AF148"/>
          <cell r="AG148">
            <v>7</v>
          </cell>
          <cell r="AH148">
            <v>37.99</v>
          </cell>
          <cell r="AI148">
            <v>265.99</v>
          </cell>
          <cell r="AJ148" t="str">
            <v/>
          </cell>
          <cell r="AK148" t="str">
            <v/>
          </cell>
          <cell r="AL148">
            <v>23.99</v>
          </cell>
          <cell r="AM148">
            <v>167.99</v>
          </cell>
        </row>
        <row r="149">
          <cell r="B149" t="str">
            <v>Morocco</v>
          </cell>
          <cell r="C149" t="str">
            <v>Africa</v>
          </cell>
          <cell r="D149" t="str">
            <v>N</v>
          </cell>
          <cell r="E149">
            <v>3471</v>
          </cell>
          <cell r="F149" t="str">
            <v>MAD</v>
          </cell>
          <cell r="G149" t="str">
            <v>Y</v>
          </cell>
          <cell r="H149">
            <v>65</v>
          </cell>
          <cell r="I149">
            <v>95</v>
          </cell>
          <cell r="J149">
            <v>125</v>
          </cell>
          <cell r="K149" t="str">
            <v>NA</v>
          </cell>
          <cell r="L149">
            <v>0.12698412698412698</v>
          </cell>
          <cell r="M149">
            <v>327</v>
          </cell>
          <cell r="Q149">
            <v>0.83768115942028987</v>
          </cell>
          <cell r="R149">
            <v>0.16231884057971013</v>
          </cell>
          <cell r="S149" t="str">
            <v>BAU</v>
          </cell>
          <cell r="T149" t="str">
            <v>BAU</v>
          </cell>
          <cell r="U149" t="str">
            <v>BAU</v>
          </cell>
          <cell r="V149" t="str">
            <v>NA</v>
          </cell>
          <cell r="W149" t="str">
            <v>MAD</v>
          </cell>
          <cell r="X149" t="str">
            <v>BAU</v>
          </cell>
          <cell r="Y149">
            <v>109.99</v>
          </cell>
          <cell r="Z149">
            <v>329.99</v>
          </cell>
          <cell r="AA149" t="str">
            <v/>
          </cell>
          <cell r="AB149" t="str">
            <v/>
          </cell>
          <cell r="AC149">
            <v>47.99</v>
          </cell>
          <cell r="AD149">
            <v>143.99</v>
          </cell>
          <cell r="AE149" t="str">
            <v>MAD</v>
          </cell>
          <cell r="AF149"/>
          <cell r="AG149">
            <v>7</v>
          </cell>
          <cell r="AH149">
            <v>109.99</v>
          </cell>
          <cell r="AI149">
            <v>769.99</v>
          </cell>
          <cell r="AJ149" t="str">
            <v/>
          </cell>
          <cell r="AK149" t="str">
            <v/>
          </cell>
          <cell r="AL149">
            <v>47.99</v>
          </cell>
          <cell r="AM149">
            <v>335.99</v>
          </cell>
        </row>
        <row r="150">
          <cell r="B150" t="str">
            <v>Mozambique</v>
          </cell>
          <cell r="C150" t="str">
            <v>Africa</v>
          </cell>
          <cell r="D150" t="str">
            <v>N</v>
          </cell>
          <cell r="E150">
            <v>492</v>
          </cell>
          <cell r="F150" t="str">
            <v>USD</v>
          </cell>
          <cell r="G150" t="str">
            <v>Y</v>
          </cell>
          <cell r="H150">
            <v>7.99</v>
          </cell>
          <cell r="I150">
            <v>9.99</v>
          </cell>
          <cell r="J150">
            <v>11.99</v>
          </cell>
          <cell r="K150" t="str">
            <v>NA</v>
          </cell>
          <cell r="L150" t="str">
            <v>Negligible</v>
          </cell>
          <cell r="M150">
            <v>110</v>
          </cell>
          <cell r="Q150">
            <v>0.6428571428571429</v>
          </cell>
          <cell r="R150">
            <v>0.35714285714285715</v>
          </cell>
          <cell r="S150" t="str">
            <v>BAU</v>
          </cell>
          <cell r="T150" t="str">
            <v>BAU</v>
          </cell>
          <cell r="U150" t="str">
            <v>BAU</v>
          </cell>
          <cell r="V150" t="str">
            <v>Uganda</v>
          </cell>
          <cell r="W150" t="str">
            <v>USD</v>
          </cell>
          <cell r="X150" t="str">
            <v>BAU</v>
          </cell>
          <cell r="Y150">
            <v>10.99</v>
          </cell>
          <cell r="Z150">
            <v>32.99</v>
          </cell>
          <cell r="AA150" t="str">
            <v/>
          </cell>
          <cell r="AB150" t="str">
            <v/>
          </cell>
          <cell r="AC150">
            <v>4.99</v>
          </cell>
          <cell r="AD150">
            <v>14.99</v>
          </cell>
          <cell r="AE150" t="str">
            <v>USD</v>
          </cell>
          <cell r="AF150"/>
          <cell r="AG150">
            <v>7</v>
          </cell>
          <cell r="AH150">
            <v>10.99</v>
          </cell>
          <cell r="AI150">
            <v>76.989999999999995</v>
          </cell>
          <cell r="AJ150" t="str">
            <v/>
          </cell>
          <cell r="AK150" t="str">
            <v/>
          </cell>
          <cell r="AL150">
            <v>4.99</v>
          </cell>
          <cell r="AM150">
            <v>34.99</v>
          </cell>
        </row>
        <row r="151">
          <cell r="B151" t="str">
            <v>Myanmar</v>
          </cell>
          <cell r="C151" t="str">
            <v>Asia</v>
          </cell>
          <cell r="D151" t="str">
            <v>N</v>
          </cell>
          <cell r="E151">
            <v>1246</v>
          </cell>
          <cell r="F151" t="str">
            <v>USD</v>
          </cell>
          <cell r="G151" t="str">
            <v>N</v>
          </cell>
          <cell r="H151">
            <v>7.99</v>
          </cell>
          <cell r="I151">
            <v>9.99</v>
          </cell>
          <cell r="J151">
            <v>11.99</v>
          </cell>
          <cell r="K151" t="str">
            <v>NA</v>
          </cell>
          <cell r="L151" t="str">
            <v>Negligible</v>
          </cell>
          <cell r="M151">
            <v>101</v>
          </cell>
          <cell r="Q151">
            <v>0.7338709677419355</v>
          </cell>
          <cell r="R151">
            <v>0.2661290322580645</v>
          </cell>
          <cell r="S151" t="str">
            <v>BAU</v>
          </cell>
          <cell r="T151" t="str">
            <v>BAU</v>
          </cell>
          <cell r="U151" t="str">
            <v>BAU</v>
          </cell>
          <cell r="V151" t="str">
            <v>Afghanistan</v>
          </cell>
          <cell r="W151" t="str">
            <v>USD</v>
          </cell>
          <cell r="X151" t="str">
            <v>BAU</v>
          </cell>
          <cell r="Y151">
            <v>11.99</v>
          </cell>
          <cell r="Z151">
            <v>35.99</v>
          </cell>
          <cell r="AA151" t="str">
            <v/>
          </cell>
          <cell r="AB151" t="str">
            <v/>
          </cell>
          <cell r="AC151">
            <v>5.99</v>
          </cell>
          <cell r="AD151">
            <v>17.989999999999998</v>
          </cell>
          <cell r="AE151" t="str">
            <v>MMK</v>
          </cell>
          <cell r="AF151">
            <v>1856.1328000000001</v>
          </cell>
          <cell r="AG151">
            <v>7</v>
          </cell>
          <cell r="AH151">
            <v>22254</v>
          </cell>
          <cell r="AI151">
            <v>155780</v>
          </cell>
          <cell r="AJ151" t="str">
            <v/>
          </cell>
          <cell r="AK151" t="str">
            <v/>
          </cell>
          <cell r="AL151">
            <v>19130</v>
          </cell>
          <cell r="AM151">
            <v>133910</v>
          </cell>
        </row>
        <row r="152">
          <cell r="B152" t="str">
            <v>Namibia</v>
          </cell>
          <cell r="C152" t="str">
            <v>Africa</v>
          </cell>
          <cell r="D152" t="str">
            <v>N</v>
          </cell>
          <cell r="E152">
            <v>4694</v>
          </cell>
          <cell r="F152" t="str">
            <v>USD</v>
          </cell>
          <cell r="G152" t="str">
            <v>N</v>
          </cell>
          <cell r="H152">
            <v>7.99</v>
          </cell>
          <cell r="I152">
            <v>9.99</v>
          </cell>
          <cell r="J152">
            <v>11.99</v>
          </cell>
          <cell r="K152" t="str">
            <v>NA</v>
          </cell>
          <cell r="L152" t="str">
            <v>Negligible</v>
          </cell>
          <cell r="M152">
            <v>68</v>
          </cell>
          <cell r="Q152">
            <v>0.71212121212121215</v>
          </cell>
          <cell r="R152">
            <v>0.2878787878787879</v>
          </cell>
          <cell r="S152" t="str">
            <v>BAU</v>
          </cell>
          <cell r="T152" t="str">
            <v>BAU</v>
          </cell>
          <cell r="U152" t="str">
            <v>BAU</v>
          </cell>
          <cell r="V152" t="str">
            <v>Algeria</v>
          </cell>
          <cell r="W152" t="str">
            <v>NAD</v>
          </cell>
          <cell r="X152" t="str">
            <v>BAU</v>
          </cell>
          <cell r="Y152">
            <v>159.99</v>
          </cell>
          <cell r="Z152">
            <v>479.99</v>
          </cell>
          <cell r="AA152" t="str">
            <v/>
          </cell>
          <cell r="AB152" t="str">
            <v/>
          </cell>
          <cell r="AC152">
            <v>73.989999999999995</v>
          </cell>
          <cell r="AD152">
            <v>221.99</v>
          </cell>
          <cell r="AE152" t="str">
            <v>NAD</v>
          </cell>
          <cell r="AF152"/>
          <cell r="AG152">
            <v>7</v>
          </cell>
          <cell r="AH152">
            <v>159.99</v>
          </cell>
          <cell r="AI152">
            <v>1119.99</v>
          </cell>
          <cell r="AJ152" t="str">
            <v/>
          </cell>
          <cell r="AK152" t="str">
            <v/>
          </cell>
          <cell r="AL152">
            <v>73.989999999999995</v>
          </cell>
          <cell r="AM152">
            <v>517.99</v>
          </cell>
        </row>
        <row r="153">
          <cell r="B153" t="str">
            <v>Nauru</v>
          </cell>
          <cell r="C153" t="str">
            <v>Asia</v>
          </cell>
          <cell r="D153" t="str">
            <v>N</v>
          </cell>
          <cell r="E153">
            <v>10138</v>
          </cell>
          <cell r="F153" t="str">
            <v>USD</v>
          </cell>
          <cell r="G153" t="str">
            <v>N</v>
          </cell>
          <cell r="H153">
            <v>7.99</v>
          </cell>
          <cell r="I153">
            <v>9.99</v>
          </cell>
          <cell r="J153">
            <v>11.99</v>
          </cell>
          <cell r="K153" t="str">
            <v>NA</v>
          </cell>
          <cell r="L153" t="str">
            <v>Negligible</v>
          </cell>
          <cell r="M153">
            <v>5</v>
          </cell>
          <cell r="Q153">
            <v>1</v>
          </cell>
          <cell r="R153">
            <v>0</v>
          </cell>
          <cell r="S153" t="str">
            <v>BAU</v>
          </cell>
          <cell r="T153" t="str">
            <v>BAU</v>
          </cell>
          <cell r="U153" t="str">
            <v>BAU</v>
          </cell>
          <cell r="V153" t="str">
            <v>Kazakhstan</v>
          </cell>
          <cell r="W153" t="str">
            <v>AUD</v>
          </cell>
          <cell r="X153" t="str">
            <v>BAU</v>
          </cell>
          <cell r="Y153">
            <v>19.989999999999998</v>
          </cell>
          <cell r="Z153">
            <v>59.99</v>
          </cell>
          <cell r="AA153" t="str">
            <v/>
          </cell>
          <cell r="AB153" t="str">
            <v/>
          </cell>
          <cell r="AC153">
            <v>12.99</v>
          </cell>
          <cell r="AD153">
            <v>39.99</v>
          </cell>
          <cell r="AE153" t="str">
            <v>AUD</v>
          </cell>
          <cell r="AF153"/>
          <cell r="AG153">
            <v>7</v>
          </cell>
          <cell r="AH153">
            <v>19.989999999999998</v>
          </cell>
          <cell r="AI153">
            <v>139.99</v>
          </cell>
          <cell r="AJ153" t="str">
            <v/>
          </cell>
          <cell r="AK153" t="str">
            <v/>
          </cell>
          <cell r="AL153">
            <v>12.99</v>
          </cell>
          <cell r="AM153">
            <v>90.99</v>
          </cell>
        </row>
        <row r="154">
          <cell r="B154" t="str">
            <v>Nepal</v>
          </cell>
          <cell r="C154" t="str">
            <v>Asia</v>
          </cell>
          <cell r="D154" t="str">
            <v>N</v>
          </cell>
          <cell r="E154">
            <v>1173</v>
          </cell>
          <cell r="F154" t="str">
            <v>USD</v>
          </cell>
          <cell r="G154" t="str">
            <v>N</v>
          </cell>
          <cell r="H154">
            <v>7.99</v>
          </cell>
          <cell r="I154">
            <v>9.99</v>
          </cell>
          <cell r="J154">
            <v>11.99</v>
          </cell>
          <cell r="K154" t="str">
            <v>NA</v>
          </cell>
          <cell r="L154" t="str">
            <v>Negligible</v>
          </cell>
          <cell r="M154">
            <v>66</v>
          </cell>
          <cell r="Q154">
            <v>0.8867924528301887</v>
          </cell>
          <cell r="R154">
            <v>0.11320754716981132</v>
          </cell>
          <cell r="S154" t="str">
            <v>BAU</v>
          </cell>
          <cell r="T154" t="str">
            <v>BAU</v>
          </cell>
          <cell r="U154" t="str">
            <v>BAU</v>
          </cell>
          <cell r="V154" t="str">
            <v>Afghanistan</v>
          </cell>
          <cell r="W154" t="str">
            <v>NPR</v>
          </cell>
          <cell r="X154" t="str">
            <v>BAU</v>
          </cell>
          <cell r="Y154">
            <v>1199.99</v>
          </cell>
          <cell r="Z154">
            <v>3599.99</v>
          </cell>
          <cell r="AA154" t="str">
            <v/>
          </cell>
          <cell r="AB154" t="str">
            <v/>
          </cell>
          <cell r="AC154">
            <v>559.99</v>
          </cell>
          <cell r="AD154">
            <v>1679.99</v>
          </cell>
          <cell r="AE154" t="str">
            <v>NPR</v>
          </cell>
          <cell r="AF154"/>
          <cell r="AG154">
            <v>7</v>
          </cell>
          <cell r="AH154">
            <v>1199.99</v>
          </cell>
          <cell r="AI154">
            <v>8399.99</v>
          </cell>
          <cell r="AJ154" t="str">
            <v/>
          </cell>
          <cell r="AK154" t="str">
            <v/>
          </cell>
          <cell r="AL154">
            <v>559.99</v>
          </cell>
          <cell r="AM154">
            <v>3919.99</v>
          </cell>
        </row>
        <row r="155">
          <cell r="B155" t="str">
            <v>Netherlands</v>
          </cell>
          <cell r="C155" t="str">
            <v>Europe</v>
          </cell>
          <cell r="D155" t="str">
            <v>Y</v>
          </cell>
          <cell r="E155">
            <v>57715</v>
          </cell>
          <cell r="F155" t="str">
            <v>EUR</v>
          </cell>
          <cell r="G155" t="str">
            <v>Y</v>
          </cell>
          <cell r="H155">
            <v>7.99</v>
          </cell>
          <cell r="I155">
            <v>11.99</v>
          </cell>
          <cell r="J155">
            <v>15.99</v>
          </cell>
          <cell r="K155">
            <v>2.2645560085605042E-2</v>
          </cell>
          <cell r="L155">
            <v>1.5071169411108087E-2</v>
          </cell>
          <cell r="M155">
            <v>4320</v>
          </cell>
          <cell r="Q155">
            <v>0.580936170212766</v>
          </cell>
          <cell r="R155">
            <v>0.41906382978723405</v>
          </cell>
          <cell r="S155">
            <v>3.7199999999999997E-2</v>
          </cell>
          <cell r="T155">
            <v>4.07E-2</v>
          </cell>
          <cell r="U155">
            <v>9.4086021505376483E-2</v>
          </cell>
          <cell r="V155" t="str">
            <v>NA</v>
          </cell>
          <cell r="W155" t="str">
            <v>EUR</v>
          </cell>
          <cell r="X155" t="str">
            <v>Steeper than BAU</v>
          </cell>
          <cell r="Y155">
            <v>16.989999999999998</v>
          </cell>
          <cell r="Z155">
            <v>49.99</v>
          </cell>
          <cell r="AA155">
            <v>24.99</v>
          </cell>
          <cell r="AB155">
            <v>74.989999999999995</v>
          </cell>
          <cell r="AC155">
            <v>9.99</v>
          </cell>
          <cell r="AD155">
            <v>44.99</v>
          </cell>
          <cell r="AE155" t="str">
            <v>EUR</v>
          </cell>
          <cell r="AF155"/>
          <cell r="AG155">
            <v>7</v>
          </cell>
          <cell r="AH155">
            <v>16.989999999999998</v>
          </cell>
          <cell r="AI155">
            <v>118.99</v>
          </cell>
          <cell r="AJ155">
            <v>24.99</v>
          </cell>
          <cell r="AK155">
            <v>174.99</v>
          </cell>
          <cell r="AL155">
            <v>9.99</v>
          </cell>
          <cell r="AM155">
            <v>69.989999999999995</v>
          </cell>
        </row>
        <row r="156">
          <cell r="B156" t="str">
            <v>Netherlands Antilles</v>
          </cell>
          <cell r="C156" t="str">
            <v>Latin America</v>
          </cell>
          <cell r="D156" t="str">
            <v>N</v>
          </cell>
          <cell r="E156" t="str">
            <v>NA</v>
          </cell>
          <cell r="F156" t="str">
            <v>NA</v>
          </cell>
          <cell r="G156" t="str">
            <v>N</v>
          </cell>
          <cell r="H156" t="str">
            <v>NA</v>
          </cell>
          <cell r="I156" t="str">
            <v>NA</v>
          </cell>
          <cell r="J156" t="str">
            <v>NA</v>
          </cell>
          <cell r="K156" t="str">
            <v>NA</v>
          </cell>
          <cell r="L156" t="str">
            <v>Negligible</v>
          </cell>
          <cell r="M156">
            <v>6</v>
          </cell>
          <cell r="Q156" t="str">
            <v>NA</v>
          </cell>
          <cell r="R156" t="str">
            <v>NA</v>
          </cell>
          <cell r="S156" t="str">
            <v>BAU</v>
          </cell>
          <cell r="T156" t="str">
            <v>BAU</v>
          </cell>
          <cell r="U156" t="str">
            <v>BAU</v>
          </cell>
          <cell r="V156" t="str">
            <v>Curacao</v>
          </cell>
          <cell r="W156" t="str">
            <v>ANG</v>
          </cell>
          <cell r="X156" t="str">
            <v>BAU</v>
          </cell>
          <cell r="Y156">
            <v>24.99</v>
          </cell>
          <cell r="Z156">
            <v>74.989999999999995</v>
          </cell>
          <cell r="AA156" t="str">
            <v/>
          </cell>
          <cell r="AB156" t="str">
            <v/>
          </cell>
          <cell r="AC156">
            <v>15.99</v>
          </cell>
          <cell r="AD156">
            <v>47.99</v>
          </cell>
          <cell r="AE156" t="str">
            <v>ANG</v>
          </cell>
          <cell r="AF156"/>
          <cell r="AG156">
            <v>7</v>
          </cell>
          <cell r="AH156">
            <v>24.99</v>
          </cell>
          <cell r="AI156">
            <v>174.99</v>
          </cell>
          <cell r="AJ156" t="str">
            <v/>
          </cell>
          <cell r="AK156" t="str">
            <v/>
          </cell>
          <cell r="AL156">
            <v>15.99</v>
          </cell>
          <cell r="AM156">
            <v>111.99</v>
          </cell>
        </row>
        <row r="157">
          <cell r="B157" t="str">
            <v>New Caledonia</v>
          </cell>
          <cell r="C157" t="str">
            <v>Asia</v>
          </cell>
          <cell r="D157" t="str">
            <v>N</v>
          </cell>
          <cell r="E157">
            <v>2020</v>
          </cell>
          <cell r="F157" t="str">
            <v>USD</v>
          </cell>
          <cell r="G157" t="str">
            <v>N</v>
          </cell>
          <cell r="H157">
            <v>7.99</v>
          </cell>
          <cell r="I157">
            <v>9.99</v>
          </cell>
          <cell r="J157">
            <v>11.99</v>
          </cell>
          <cell r="K157" t="str">
            <v>NA</v>
          </cell>
          <cell r="L157" t="str">
            <v>Negligible</v>
          </cell>
          <cell r="M157">
            <v>107</v>
          </cell>
          <cell r="Q157">
            <v>0.65789473684210531</v>
          </cell>
          <cell r="R157">
            <v>0.34210526315789475</v>
          </cell>
          <cell r="S157" t="str">
            <v>BAU</v>
          </cell>
          <cell r="T157" t="str">
            <v>BAU</v>
          </cell>
          <cell r="U157" t="str">
            <v>BAU</v>
          </cell>
          <cell r="V157" t="str">
            <v>French Polynesia</v>
          </cell>
          <cell r="W157" t="str">
            <v>XPF</v>
          </cell>
          <cell r="X157" t="str">
            <v>BAU</v>
          </cell>
          <cell r="Y157">
            <v>1500</v>
          </cell>
          <cell r="Z157">
            <v>4500</v>
          </cell>
          <cell r="AA157" t="str">
            <v/>
          </cell>
          <cell r="AB157" t="str">
            <v/>
          </cell>
          <cell r="AC157">
            <v>950</v>
          </cell>
          <cell r="AD157">
            <v>2850</v>
          </cell>
          <cell r="AE157" t="str">
            <v>XPF</v>
          </cell>
          <cell r="AF157"/>
          <cell r="AG157">
            <v>7</v>
          </cell>
          <cell r="AH157">
            <v>1500</v>
          </cell>
          <cell r="AI157">
            <v>10500</v>
          </cell>
          <cell r="AJ157" t="str">
            <v/>
          </cell>
          <cell r="AK157" t="str">
            <v/>
          </cell>
          <cell r="AL157">
            <v>950</v>
          </cell>
          <cell r="AM157">
            <v>6650</v>
          </cell>
        </row>
        <row r="158">
          <cell r="B158" t="str">
            <v>New Zealand</v>
          </cell>
          <cell r="C158" t="str">
            <v>Asia</v>
          </cell>
          <cell r="D158" t="str">
            <v>Y</v>
          </cell>
          <cell r="E158">
            <v>48349</v>
          </cell>
          <cell r="F158" t="str">
            <v>NZD</v>
          </cell>
          <cell r="G158" t="str">
            <v>Y</v>
          </cell>
          <cell r="H158">
            <v>12.99</v>
          </cell>
          <cell r="I158">
            <v>18.489999999999998</v>
          </cell>
          <cell r="J158">
            <v>24.99</v>
          </cell>
          <cell r="K158">
            <v>4.4631044121870876E-2</v>
          </cell>
          <cell r="L158">
            <v>0.2071028037383178</v>
          </cell>
          <cell r="M158">
            <v>7952</v>
          </cell>
          <cell r="Q158">
            <v>0.54116930572472599</v>
          </cell>
          <cell r="R158">
            <v>0.45883069427527406</v>
          </cell>
          <cell r="S158">
            <v>7.2499999999999995E-2</v>
          </cell>
          <cell r="T158">
            <v>9.2399999999999996E-2</v>
          </cell>
          <cell r="U158">
            <v>0.27448275862068972</v>
          </cell>
          <cell r="V158" t="str">
            <v>NA</v>
          </cell>
          <cell r="W158" t="str">
            <v>NZD</v>
          </cell>
          <cell r="X158" t="str">
            <v>Steeper than BAU</v>
          </cell>
          <cell r="Y158">
            <v>24.99</v>
          </cell>
          <cell r="Z158">
            <v>74.989999999999995</v>
          </cell>
          <cell r="AA158">
            <v>34.99</v>
          </cell>
          <cell r="AB158">
            <v>109.99</v>
          </cell>
          <cell r="AC158">
            <v>20.99</v>
          </cell>
          <cell r="AD158">
            <v>62.99</v>
          </cell>
          <cell r="AE158" t="str">
            <v>NZD</v>
          </cell>
          <cell r="AF158"/>
          <cell r="AG158">
            <v>7</v>
          </cell>
          <cell r="AH158">
            <v>24.99</v>
          </cell>
          <cell r="AI158">
            <v>174.99</v>
          </cell>
          <cell r="AJ158">
            <v>34.99</v>
          </cell>
          <cell r="AK158">
            <v>244.99</v>
          </cell>
          <cell r="AL158">
            <v>20.99</v>
          </cell>
          <cell r="AM158">
            <v>146.99</v>
          </cell>
        </row>
        <row r="159">
          <cell r="B159" t="str">
            <v>Nicaragua</v>
          </cell>
          <cell r="C159" t="str">
            <v>Latin America</v>
          </cell>
          <cell r="D159" t="str">
            <v>N</v>
          </cell>
          <cell r="E159">
            <v>2047</v>
          </cell>
          <cell r="F159" t="str">
            <v>USD</v>
          </cell>
          <cell r="G159" t="str">
            <v>N</v>
          </cell>
          <cell r="H159">
            <v>7.99</v>
          </cell>
          <cell r="I159">
            <v>10.99</v>
          </cell>
          <cell r="J159">
            <v>13.99</v>
          </cell>
          <cell r="K159" t="str">
            <v>NA</v>
          </cell>
          <cell r="L159">
            <v>0.43243243243243246</v>
          </cell>
          <cell r="M159">
            <v>314</v>
          </cell>
          <cell r="Q159">
            <v>0.68421052631578949</v>
          </cell>
          <cell r="R159">
            <v>0.31578947368421051</v>
          </cell>
          <cell r="S159" t="str">
            <v>BAU</v>
          </cell>
          <cell r="T159" t="str">
            <v>BAU</v>
          </cell>
          <cell r="U159" t="str">
            <v>BAU</v>
          </cell>
          <cell r="V159" t="str">
            <v>NA</v>
          </cell>
          <cell r="W159" t="str">
            <v>NIO</v>
          </cell>
          <cell r="X159" t="str">
            <v>BAU</v>
          </cell>
          <cell r="Y159">
            <v>369.99</v>
          </cell>
          <cell r="Z159">
            <v>1110</v>
          </cell>
          <cell r="AA159" t="str">
            <v/>
          </cell>
          <cell r="AB159" t="str">
            <v/>
          </cell>
          <cell r="AC159">
            <v>169.99</v>
          </cell>
          <cell r="AD159">
            <v>510</v>
          </cell>
          <cell r="AE159" t="str">
            <v>NIO</v>
          </cell>
          <cell r="AF159"/>
          <cell r="AG159">
            <v>7</v>
          </cell>
          <cell r="AH159">
            <v>369.99</v>
          </cell>
          <cell r="AI159">
            <v>2589.9899999999998</v>
          </cell>
          <cell r="AJ159" t="str">
            <v/>
          </cell>
          <cell r="AK159" t="str">
            <v/>
          </cell>
          <cell r="AL159">
            <v>169.99</v>
          </cell>
          <cell r="AM159">
            <v>1189.99</v>
          </cell>
        </row>
        <row r="160">
          <cell r="B160" t="str">
            <v>Niger</v>
          </cell>
          <cell r="C160" t="str">
            <v>Africa</v>
          </cell>
          <cell r="D160" t="str">
            <v>N</v>
          </cell>
          <cell r="E160">
            <v>622</v>
          </cell>
          <cell r="F160" t="str">
            <v>USD</v>
          </cell>
          <cell r="G160" t="str">
            <v>N</v>
          </cell>
          <cell r="H160">
            <v>7.99</v>
          </cell>
          <cell r="I160">
            <v>9.99</v>
          </cell>
          <cell r="J160">
            <v>11.99</v>
          </cell>
          <cell r="K160" t="str">
            <v>NA</v>
          </cell>
          <cell r="L160" t="str">
            <v>Negligible</v>
          </cell>
          <cell r="M160">
            <v>20</v>
          </cell>
          <cell r="Q160">
            <v>0.9375</v>
          </cell>
          <cell r="R160">
            <v>6.25E-2</v>
          </cell>
          <cell r="S160" t="str">
            <v>BAU</v>
          </cell>
          <cell r="T160" t="str">
            <v>BAU</v>
          </cell>
          <cell r="U160" t="str">
            <v>BAU</v>
          </cell>
          <cell r="V160" t="str">
            <v>Uganda</v>
          </cell>
          <cell r="W160" t="str">
            <v>XOF</v>
          </cell>
          <cell r="X160" t="str">
            <v>BAU</v>
          </cell>
          <cell r="Y160">
            <v>6400</v>
          </cell>
          <cell r="Z160">
            <v>19200</v>
          </cell>
          <cell r="AA160" t="str">
            <v/>
          </cell>
          <cell r="AB160" t="str">
            <v/>
          </cell>
          <cell r="AC160">
            <v>2900</v>
          </cell>
          <cell r="AD160">
            <v>8700</v>
          </cell>
          <cell r="AE160" t="str">
            <v>XOF</v>
          </cell>
          <cell r="AF160"/>
          <cell r="AG160">
            <v>7</v>
          </cell>
          <cell r="AH160">
            <v>6400</v>
          </cell>
          <cell r="AI160">
            <v>44800</v>
          </cell>
          <cell r="AJ160" t="str">
            <v/>
          </cell>
          <cell r="AK160" t="str">
            <v/>
          </cell>
          <cell r="AL160">
            <v>2900</v>
          </cell>
          <cell r="AM160">
            <v>20300</v>
          </cell>
        </row>
        <row r="161">
          <cell r="B161" t="str">
            <v>Nigeria</v>
          </cell>
          <cell r="C161" t="str">
            <v>Africa</v>
          </cell>
          <cell r="D161" t="str">
            <v>N</v>
          </cell>
          <cell r="E161">
            <v>2273</v>
          </cell>
          <cell r="F161" t="str">
            <v>NGN</v>
          </cell>
          <cell r="G161" t="str">
            <v>Y</v>
          </cell>
          <cell r="H161">
            <v>2900</v>
          </cell>
          <cell r="I161">
            <v>3600</v>
          </cell>
          <cell r="J161">
            <v>4400</v>
          </cell>
          <cell r="K161" t="str">
            <v>NA</v>
          </cell>
          <cell r="L161">
            <v>0.61861313868613133</v>
          </cell>
          <cell r="M161">
            <v>1167</v>
          </cell>
          <cell r="Q161">
            <v>0.64277715565509519</v>
          </cell>
          <cell r="R161">
            <v>0.35722284434490481</v>
          </cell>
          <cell r="S161" t="str">
            <v>BAU</v>
          </cell>
          <cell r="T161" t="str">
            <v>BAU</v>
          </cell>
          <cell r="U161" t="str">
            <v>BAU</v>
          </cell>
          <cell r="V161" t="str">
            <v>NA</v>
          </cell>
          <cell r="W161" t="str">
            <v>NGN</v>
          </cell>
          <cell r="X161" t="str">
            <v>BAU</v>
          </cell>
          <cell r="Y161">
            <v>4000</v>
          </cell>
          <cell r="Z161">
            <v>12000</v>
          </cell>
          <cell r="AA161" t="str">
            <v/>
          </cell>
          <cell r="AB161" t="str">
            <v/>
          </cell>
          <cell r="AC161">
            <v>1800</v>
          </cell>
          <cell r="AD161">
            <v>5400</v>
          </cell>
          <cell r="AE161" t="str">
            <v>NGN</v>
          </cell>
          <cell r="AF161"/>
          <cell r="AG161">
            <v>7</v>
          </cell>
          <cell r="AH161">
            <v>4000</v>
          </cell>
          <cell r="AI161">
            <v>28000</v>
          </cell>
          <cell r="AJ161" t="str">
            <v/>
          </cell>
          <cell r="AK161" t="str">
            <v/>
          </cell>
          <cell r="AL161">
            <v>1800</v>
          </cell>
          <cell r="AM161">
            <v>12600</v>
          </cell>
        </row>
        <row r="162">
          <cell r="B162" t="str">
            <v>Niue</v>
          </cell>
          <cell r="C162" t="str">
            <v>Asia</v>
          </cell>
          <cell r="D162" t="str">
            <v>N</v>
          </cell>
          <cell r="E162" t="str">
            <v>NA</v>
          </cell>
          <cell r="F162" t="str">
            <v>NZD</v>
          </cell>
          <cell r="G162" t="str">
            <v>Y</v>
          </cell>
          <cell r="H162">
            <v>12.99</v>
          </cell>
          <cell r="I162">
            <v>18.489999999999998</v>
          </cell>
          <cell r="J162">
            <v>24.99</v>
          </cell>
          <cell r="K162" t="str">
            <v>NA</v>
          </cell>
          <cell r="L162" t="str">
            <v>NA</v>
          </cell>
          <cell r="M162" t="str">
            <v>NA</v>
          </cell>
          <cell r="Q162" t="str">
            <v>NA</v>
          </cell>
          <cell r="R162" t="str">
            <v>NA</v>
          </cell>
          <cell r="S162" t="str">
            <v>BAU</v>
          </cell>
          <cell r="T162" t="str">
            <v>BAU</v>
          </cell>
          <cell r="U162" t="str">
            <v>BAU</v>
          </cell>
          <cell r="V162" t="str">
            <v>New Zealand</v>
          </cell>
          <cell r="W162" t="str">
            <v>NZD</v>
          </cell>
          <cell r="X162" t="str">
            <v>BAU</v>
          </cell>
          <cell r="Y162">
            <v>20.99</v>
          </cell>
          <cell r="Z162">
            <v>62.99</v>
          </cell>
          <cell r="AA162" t="str">
            <v/>
          </cell>
          <cell r="AB162" t="str">
            <v/>
          </cell>
          <cell r="AC162">
            <v>13.99</v>
          </cell>
          <cell r="AD162">
            <v>41.99</v>
          </cell>
          <cell r="AE162" t="str">
            <v>NZD</v>
          </cell>
          <cell r="AF162"/>
          <cell r="AG162">
            <v>7</v>
          </cell>
          <cell r="AH162">
            <v>20.99</v>
          </cell>
          <cell r="AI162">
            <v>146.99</v>
          </cell>
          <cell r="AJ162" t="str">
            <v/>
          </cell>
          <cell r="AK162" t="str">
            <v/>
          </cell>
          <cell r="AL162">
            <v>13.99</v>
          </cell>
          <cell r="AM162">
            <v>97.99</v>
          </cell>
        </row>
        <row r="163">
          <cell r="B163" t="str">
            <v>Norfolk Island</v>
          </cell>
          <cell r="C163" t="str">
            <v>Asia</v>
          </cell>
          <cell r="D163" t="str">
            <v>N</v>
          </cell>
          <cell r="E163" t="str">
            <v>NA</v>
          </cell>
          <cell r="F163" t="str">
            <v>AUD</v>
          </cell>
          <cell r="G163" t="str">
            <v>Y</v>
          </cell>
          <cell r="H163">
            <v>10.99</v>
          </cell>
          <cell r="I163">
            <v>16.989999999999998</v>
          </cell>
          <cell r="J163">
            <v>22.99</v>
          </cell>
          <cell r="K163" t="str">
            <v>NA</v>
          </cell>
          <cell r="L163" t="str">
            <v>Negligible</v>
          </cell>
          <cell r="M163">
            <v>1</v>
          </cell>
          <cell r="Q163">
            <v>1</v>
          </cell>
          <cell r="R163">
            <v>0</v>
          </cell>
          <cell r="S163" t="str">
            <v>BAU</v>
          </cell>
          <cell r="T163" t="str">
            <v>BAU</v>
          </cell>
          <cell r="U163" t="str">
            <v>BAU</v>
          </cell>
          <cell r="V163" t="str">
            <v>Australia</v>
          </cell>
          <cell r="W163" t="str">
            <v>AUD</v>
          </cell>
          <cell r="X163" t="str">
            <v>BAU</v>
          </cell>
          <cell r="Y163">
            <v>19.989999999999998</v>
          </cell>
          <cell r="Z163">
            <v>59.99</v>
          </cell>
          <cell r="AA163" t="str">
            <v/>
          </cell>
          <cell r="AB163" t="str">
            <v/>
          </cell>
          <cell r="AC163">
            <v>12.99</v>
          </cell>
          <cell r="AD163">
            <v>39.99</v>
          </cell>
          <cell r="AE163" t="str">
            <v>AUD</v>
          </cell>
          <cell r="AF163"/>
          <cell r="AG163">
            <v>7</v>
          </cell>
          <cell r="AH163">
            <v>19.989999999999998</v>
          </cell>
          <cell r="AI163">
            <v>139.99</v>
          </cell>
          <cell r="AJ163" t="str">
            <v/>
          </cell>
          <cell r="AK163" t="str">
            <v/>
          </cell>
          <cell r="AL163">
            <v>12.99</v>
          </cell>
          <cell r="AM163">
            <v>90.99</v>
          </cell>
        </row>
        <row r="164">
          <cell r="B164" t="str">
            <v>Northern Mariana Islands</v>
          </cell>
          <cell r="C164" t="str">
            <v>Asia</v>
          </cell>
          <cell r="D164" t="str">
            <v>N</v>
          </cell>
          <cell r="E164">
            <v>20660</v>
          </cell>
          <cell r="F164" t="str">
            <v>USD</v>
          </cell>
          <cell r="G164" t="str">
            <v>Y</v>
          </cell>
          <cell r="H164">
            <v>8.99</v>
          </cell>
          <cell r="I164">
            <v>13.99</v>
          </cell>
          <cell r="J164">
            <v>17.989999999999998</v>
          </cell>
          <cell r="K164" t="str">
            <v>NA</v>
          </cell>
          <cell r="L164" t="str">
            <v>Negligible</v>
          </cell>
          <cell r="M164">
            <v>40</v>
          </cell>
          <cell r="Q164">
            <v>0.62068965517241381</v>
          </cell>
          <cell r="R164">
            <v>0.37931034482758619</v>
          </cell>
          <cell r="S164" t="str">
            <v>BAU</v>
          </cell>
          <cell r="T164" t="str">
            <v>BAU</v>
          </cell>
          <cell r="U164" t="str">
            <v>BAU</v>
          </cell>
          <cell r="V164" t="str">
            <v>France</v>
          </cell>
          <cell r="W164" t="str">
            <v>USD</v>
          </cell>
          <cell r="X164" t="str">
            <v>BAU</v>
          </cell>
          <cell r="Y164">
            <v>13.99</v>
          </cell>
          <cell r="Z164">
            <v>39.99</v>
          </cell>
          <cell r="AA164" t="str">
            <v/>
          </cell>
          <cell r="AB164" t="str">
            <v/>
          </cell>
          <cell r="AC164">
            <v>8.99</v>
          </cell>
          <cell r="AD164">
            <v>26.99</v>
          </cell>
          <cell r="AE164" t="str">
            <v>USD</v>
          </cell>
          <cell r="AF164"/>
          <cell r="AG164">
            <v>7</v>
          </cell>
          <cell r="AH164">
            <v>13.99</v>
          </cell>
          <cell r="AI164">
            <v>97.99</v>
          </cell>
          <cell r="AJ164" t="str">
            <v/>
          </cell>
          <cell r="AK164" t="str">
            <v/>
          </cell>
          <cell r="AL164">
            <v>8.99</v>
          </cell>
          <cell r="AM164">
            <v>62.99</v>
          </cell>
        </row>
        <row r="165">
          <cell r="B165" t="str">
            <v>Norway</v>
          </cell>
          <cell r="C165" t="str">
            <v>Europe</v>
          </cell>
          <cell r="D165" t="str">
            <v>Y</v>
          </cell>
          <cell r="E165">
            <v>82244</v>
          </cell>
          <cell r="F165" t="str">
            <v>NOK</v>
          </cell>
          <cell r="G165" t="str">
            <v>Y</v>
          </cell>
          <cell r="H165">
            <v>89</v>
          </cell>
          <cell r="I165">
            <v>109</v>
          </cell>
          <cell r="J165">
            <v>159</v>
          </cell>
          <cell r="K165">
            <v>3.854300508986272E-2</v>
          </cell>
          <cell r="L165">
            <v>-9.1347603255954146E-2</v>
          </cell>
          <cell r="M165">
            <v>3662</v>
          </cell>
          <cell r="Q165">
            <v>0.45918955252544652</v>
          </cell>
          <cell r="R165">
            <v>0.54081044747455354</v>
          </cell>
          <cell r="S165">
            <v>7.17E-2</v>
          </cell>
          <cell r="T165">
            <v>8.9300000000000004E-2</v>
          </cell>
          <cell r="U165">
            <v>0.24546722454672243</v>
          </cell>
          <cell r="V165" t="str">
            <v>NA</v>
          </cell>
          <cell r="W165" t="str">
            <v>NOK</v>
          </cell>
          <cell r="X165" t="str">
            <v>Steeper than BAU</v>
          </cell>
          <cell r="Y165">
            <v>150</v>
          </cell>
          <cell r="Z165">
            <v>460</v>
          </cell>
          <cell r="AA165">
            <v>230</v>
          </cell>
          <cell r="AB165">
            <v>690</v>
          </cell>
          <cell r="AC165">
            <v>140</v>
          </cell>
          <cell r="AD165">
            <v>420</v>
          </cell>
          <cell r="AE165" t="str">
            <v>NOK</v>
          </cell>
          <cell r="AF165"/>
          <cell r="AG165">
            <v>7</v>
          </cell>
          <cell r="AH165">
            <v>150</v>
          </cell>
          <cell r="AI165">
            <v>1050</v>
          </cell>
          <cell r="AJ165">
            <v>230</v>
          </cell>
          <cell r="AK165">
            <v>1610</v>
          </cell>
          <cell r="AL165">
            <v>140</v>
          </cell>
          <cell r="AM165">
            <v>980</v>
          </cell>
        </row>
        <row r="166">
          <cell r="B166" t="str">
            <v>Oman</v>
          </cell>
          <cell r="C166" t="str">
            <v>Middle East</v>
          </cell>
          <cell r="D166" t="str">
            <v>N</v>
          </cell>
          <cell r="E166">
            <v>17633</v>
          </cell>
          <cell r="F166" t="str">
            <v>USD</v>
          </cell>
          <cell r="G166" t="str">
            <v>N</v>
          </cell>
          <cell r="H166">
            <v>8.39</v>
          </cell>
          <cell r="I166">
            <v>10.49</v>
          </cell>
          <cell r="J166">
            <v>15.79</v>
          </cell>
          <cell r="K166" t="str">
            <v>NA</v>
          </cell>
          <cell r="L166">
            <v>0.23684210526315796</v>
          </cell>
          <cell r="M166">
            <v>163</v>
          </cell>
          <cell r="Q166">
            <v>0.60621761658031093</v>
          </cell>
          <cell r="R166">
            <v>0.39378238341968913</v>
          </cell>
          <cell r="S166" t="str">
            <v>BAU</v>
          </cell>
          <cell r="T166" t="str">
            <v>BAU</v>
          </cell>
          <cell r="U166" t="str">
            <v>BAU</v>
          </cell>
          <cell r="V166" t="str">
            <v>NA</v>
          </cell>
          <cell r="W166" t="str">
            <v>OMR</v>
          </cell>
          <cell r="X166" t="str">
            <v>BAU</v>
          </cell>
          <cell r="Y166">
            <v>4.99</v>
          </cell>
          <cell r="Z166">
            <v>14.99</v>
          </cell>
          <cell r="AA166" t="str">
            <v/>
          </cell>
          <cell r="AB166" t="str">
            <v/>
          </cell>
          <cell r="AC166">
            <v>2.99</v>
          </cell>
          <cell r="AD166">
            <v>9.99</v>
          </cell>
          <cell r="AE166" t="str">
            <v>OMR</v>
          </cell>
          <cell r="AF166"/>
          <cell r="AG166">
            <v>7</v>
          </cell>
          <cell r="AH166">
            <v>4.99</v>
          </cell>
          <cell r="AI166">
            <v>34.99</v>
          </cell>
          <cell r="AJ166" t="str">
            <v/>
          </cell>
          <cell r="AK166" t="str">
            <v/>
          </cell>
          <cell r="AL166">
            <v>2.99</v>
          </cell>
          <cell r="AM166">
            <v>20.99</v>
          </cell>
        </row>
        <row r="167">
          <cell r="B167" t="str">
            <v>Pakistan</v>
          </cell>
          <cell r="C167" t="str">
            <v>Asia</v>
          </cell>
          <cell r="D167" t="str">
            <v>N</v>
          </cell>
          <cell r="E167">
            <v>1255</v>
          </cell>
          <cell r="F167" t="str">
            <v>PKR</v>
          </cell>
          <cell r="G167" t="str">
            <v>Y</v>
          </cell>
          <cell r="H167">
            <v>450</v>
          </cell>
          <cell r="I167">
            <v>800</v>
          </cell>
          <cell r="J167">
            <v>1100</v>
          </cell>
          <cell r="K167" t="str">
            <v>NA</v>
          </cell>
          <cell r="L167">
            <v>0.26950354609929073</v>
          </cell>
          <cell r="M167">
            <v>206</v>
          </cell>
          <cell r="Q167">
            <v>0.70129870129870131</v>
          </cell>
          <cell r="R167">
            <v>0.29870129870129869</v>
          </cell>
          <cell r="S167" t="str">
            <v>BAU</v>
          </cell>
          <cell r="T167" t="str">
            <v>BAU</v>
          </cell>
          <cell r="U167" t="str">
            <v>BAU</v>
          </cell>
          <cell r="V167" t="str">
            <v>NA</v>
          </cell>
          <cell r="W167" t="str">
            <v>PKR</v>
          </cell>
          <cell r="X167" t="str">
            <v>BAU</v>
          </cell>
          <cell r="Y167">
            <v>2100</v>
          </cell>
          <cell r="Z167">
            <v>6300</v>
          </cell>
          <cell r="AA167" t="str">
            <v/>
          </cell>
          <cell r="AB167" t="str">
            <v/>
          </cell>
          <cell r="AC167">
            <v>1400</v>
          </cell>
          <cell r="AD167">
            <v>4200</v>
          </cell>
          <cell r="AE167" t="str">
            <v>PKR</v>
          </cell>
          <cell r="AF167"/>
          <cell r="AG167">
            <v>7</v>
          </cell>
          <cell r="AH167">
            <v>2100</v>
          </cell>
          <cell r="AI167">
            <v>14700</v>
          </cell>
          <cell r="AJ167" t="str">
            <v/>
          </cell>
          <cell r="AK167" t="str">
            <v/>
          </cell>
          <cell r="AL167">
            <v>1400</v>
          </cell>
          <cell r="AM167">
            <v>9800</v>
          </cell>
        </row>
        <row r="168">
          <cell r="B168" t="str">
            <v>Palau</v>
          </cell>
          <cell r="C168" t="str">
            <v>Asia</v>
          </cell>
          <cell r="D168" t="str">
            <v>N</v>
          </cell>
          <cell r="E168">
            <v>11835</v>
          </cell>
          <cell r="F168" t="str">
            <v>USD</v>
          </cell>
          <cell r="G168" t="str">
            <v>Y</v>
          </cell>
          <cell r="H168">
            <v>8.99</v>
          </cell>
          <cell r="I168">
            <v>13.99</v>
          </cell>
          <cell r="J168">
            <v>17.989999999999998</v>
          </cell>
          <cell r="K168" t="str">
            <v>NA</v>
          </cell>
          <cell r="L168" t="str">
            <v>Negligible</v>
          </cell>
          <cell r="M168">
            <v>11</v>
          </cell>
          <cell r="Q168">
            <v>0.75</v>
          </cell>
          <cell r="R168">
            <v>0.25</v>
          </cell>
          <cell r="S168" t="str">
            <v>BAU</v>
          </cell>
          <cell r="T168" t="str">
            <v>BAU</v>
          </cell>
          <cell r="U168" t="str">
            <v>BAU</v>
          </cell>
          <cell r="V168" t="str">
            <v>France</v>
          </cell>
          <cell r="W168" t="str">
            <v>USD</v>
          </cell>
          <cell r="X168" t="str">
            <v>BAU</v>
          </cell>
          <cell r="Y168">
            <v>13.99</v>
          </cell>
          <cell r="Z168">
            <v>41.99</v>
          </cell>
          <cell r="AA168" t="str">
            <v/>
          </cell>
          <cell r="AB168" t="str">
            <v/>
          </cell>
          <cell r="AC168">
            <v>8.99</v>
          </cell>
          <cell r="AD168">
            <v>26.99</v>
          </cell>
          <cell r="AE168" t="str">
            <v>USD</v>
          </cell>
          <cell r="AF168"/>
          <cell r="AG168">
            <v>7</v>
          </cell>
          <cell r="AH168">
            <v>13.99</v>
          </cell>
          <cell r="AI168">
            <v>97.99</v>
          </cell>
          <cell r="AJ168" t="str">
            <v/>
          </cell>
          <cell r="AK168" t="str">
            <v/>
          </cell>
          <cell r="AL168">
            <v>8.99</v>
          </cell>
          <cell r="AM168">
            <v>62.99</v>
          </cell>
        </row>
        <row r="169">
          <cell r="B169" t="str">
            <v>Palestinian Territory</v>
          </cell>
          <cell r="C169" t="str">
            <v>Middle East</v>
          </cell>
          <cell r="D169" t="str">
            <v>N</v>
          </cell>
          <cell r="E169" t="str">
            <v>NA</v>
          </cell>
          <cell r="F169" t="str">
            <v>USD</v>
          </cell>
          <cell r="G169" t="str">
            <v>N</v>
          </cell>
          <cell r="H169">
            <v>7.99</v>
          </cell>
          <cell r="I169">
            <v>9.99</v>
          </cell>
          <cell r="J169">
            <v>11.99</v>
          </cell>
          <cell r="K169" t="str">
            <v>NA</v>
          </cell>
          <cell r="L169" t="str">
            <v>Negligible</v>
          </cell>
          <cell r="M169">
            <v>30</v>
          </cell>
          <cell r="Q169">
            <v>0.56818181818181823</v>
          </cell>
          <cell r="R169">
            <v>0.43181818181818182</v>
          </cell>
          <cell r="S169" t="str">
            <v>BAU</v>
          </cell>
          <cell r="T169" t="str">
            <v>BAU</v>
          </cell>
          <cell r="U169" t="str">
            <v>BAU</v>
          </cell>
          <cell r="V169" t="str">
            <v>Lebanon</v>
          </cell>
          <cell r="W169" t="str">
            <v>ILS</v>
          </cell>
          <cell r="X169" t="str">
            <v>BAU</v>
          </cell>
          <cell r="Y169">
            <v>49.99</v>
          </cell>
          <cell r="Z169">
            <v>149.99</v>
          </cell>
          <cell r="AA169" t="str">
            <v/>
          </cell>
          <cell r="AB169" t="str">
            <v/>
          </cell>
          <cell r="AC169">
            <v>31.99</v>
          </cell>
          <cell r="AD169">
            <v>94.99</v>
          </cell>
          <cell r="AE169" t="str">
            <v>ILS</v>
          </cell>
          <cell r="AF169"/>
          <cell r="AG169">
            <v>7</v>
          </cell>
          <cell r="AH169">
            <v>49.99</v>
          </cell>
          <cell r="AI169">
            <v>349.99</v>
          </cell>
          <cell r="AJ169" t="str">
            <v/>
          </cell>
          <cell r="AK169" t="str">
            <v/>
          </cell>
          <cell r="AL169">
            <v>31.99</v>
          </cell>
          <cell r="AM169">
            <v>223.99</v>
          </cell>
        </row>
        <row r="170">
          <cell r="B170" t="str">
            <v>Panama</v>
          </cell>
          <cell r="C170" t="str">
            <v>Latin America</v>
          </cell>
          <cell r="D170" t="str">
            <v>N</v>
          </cell>
          <cell r="E170">
            <v>13861</v>
          </cell>
          <cell r="F170" t="str">
            <v>USD</v>
          </cell>
          <cell r="G170" t="str">
            <v>Y</v>
          </cell>
          <cell r="H170">
            <v>8.99</v>
          </cell>
          <cell r="I170">
            <v>12.99</v>
          </cell>
          <cell r="J170">
            <v>15.99</v>
          </cell>
          <cell r="K170">
            <v>3.5989174223561966E-2</v>
          </cell>
          <cell r="L170">
            <v>0.13907284768211925</v>
          </cell>
          <cell r="M170">
            <v>1947</v>
          </cell>
          <cell r="Q170">
            <v>0.70037629350893693</v>
          </cell>
          <cell r="R170">
            <v>0.29962370649106301</v>
          </cell>
          <cell r="S170" t="str">
            <v>BAU</v>
          </cell>
          <cell r="T170" t="str">
            <v>BAU</v>
          </cell>
          <cell r="U170" t="str">
            <v>BAU</v>
          </cell>
          <cell r="V170" t="str">
            <v>NA</v>
          </cell>
          <cell r="W170" t="str">
            <v>USD</v>
          </cell>
          <cell r="X170" t="str">
            <v>BAU</v>
          </cell>
          <cell r="Y170">
            <v>13.99</v>
          </cell>
          <cell r="Z170">
            <v>41.99</v>
          </cell>
          <cell r="AA170" t="str">
            <v/>
          </cell>
          <cell r="AB170" t="str">
            <v/>
          </cell>
          <cell r="AC170">
            <v>8.99</v>
          </cell>
          <cell r="AD170">
            <v>26.99</v>
          </cell>
          <cell r="AE170" t="str">
            <v>USD</v>
          </cell>
          <cell r="AF170"/>
          <cell r="AG170">
            <v>7</v>
          </cell>
          <cell r="AH170">
            <v>13.99</v>
          </cell>
          <cell r="AI170">
            <v>97.99</v>
          </cell>
          <cell r="AJ170" t="str">
            <v/>
          </cell>
          <cell r="AK170" t="str">
            <v/>
          </cell>
          <cell r="AL170">
            <v>8.99</v>
          </cell>
          <cell r="AM170">
            <v>62.99</v>
          </cell>
        </row>
        <row r="171">
          <cell r="B171" t="str">
            <v>Papua New Guinea</v>
          </cell>
          <cell r="C171" t="str">
            <v>Asia</v>
          </cell>
          <cell r="D171" t="str">
            <v>N</v>
          </cell>
          <cell r="E171">
            <v>2952</v>
          </cell>
          <cell r="F171" t="str">
            <v>USD</v>
          </cell>
          <cell r="G171" t="str">
            <v>N</v>
          </cell>
          <cell r="H171">
            <v>7.99</v>
          </cell>
          <cell r="I171">
            <v>9.99</v>
          </cell>
          <cell r="J171">
            <v>11.99</v>
          </cell>
          <cell r="K171" t="str">
            <v>NA</v>
          </cell>
          <cell r="L171" t="str">
            <v>Negligible</v>
          </cell>
          <cell r="M171">
            <v>77</v>
          </cell>
          <cell r="Q171">
            <v>0.74285714285714288</v>
          </cell>
          <cell r="R171">
            <v>0.25714285714285712</v>
          </cell>
          <cell r="S171" t="str">
            <v>BAU</v>
          </cell>
          <cell r="T171" t="str">
            <v>BAU</v>
          </cell>
          <cell r="U171" t="str">
            <v>BAU</v>
          </cell>
          <cell r="V171" t="str">
            <v>Bangladesh</v>
          </cell>
          <cell r="W171" t="str">
            <v>PGK</v>
          </cell>
          <cell r="X171" t="str">
            <v>BAU</v>
          </cell>
          <cell r="Y171">
            <v>36.99</v>
          </cell>
          <cell r="Z171">
            <v>109.99</v>
          </cell>
          <cell r="AA171" t="str">
            <v/>
          </cell>
          <cell r="AB171" t="str">
            <v/>
          </cell>
          <cell r="AC171">
            <v>16.989999999999998</v>
          </cell>
          <cell r="AD171">
            <v>49.99</v>
          </cell>
          <cell r="AE171" t="str">
            <v>PGK</v>
          </cell>
          <cell r="AF171"/>
          <cell r="AG171">
            <v>7</v>
          </cell>
          <cell r="AH171">
            <v>36.99</v>
          </cell>
          <cell r="AI171">
            <v>258.99</v>
          </cell>
          <cell r="AJ171" t="str">
            <v/>
          </cell>
          <cell r="AK171" t="str">
            <v/>
          </cell>
          <cell r="AL171">
            <v>16.989999999999998</v>
          </cell>
          <cell r="AM171">
            <v>118.99</v>
          </cell>
        </row>
        <row r="172">
          <cell r="B172" t="str">
            <v>Paraguay</v>
          </cell>
          <cell r="C172" t="str">
            <v>Latin America</v>
          </cell>
          <cell r="D172" t="str">
            <v>N</v>
          </cell>
          <cell r="E172">
            <v>5028</v>
          </cell>
          <cell r="F172" t="str">
            <v>USD</v>
          </cell>
          <cell r="G172" t="str">
            <v>N</v>
          </cell>
          <cell r="H172">
            <v>8.2899999999999991</v>
          </cell>
          <cell r="I172">
            <v>11.49</v>
          </cell>
          <cell r="J172">
            <v>14.69</v>
          </cell>
          <cell r="K172" t="str">
            <v>NA</v>
          </cell>
          <cell r="L172">
            <v>0.15823817292006526</v>
          </cell>
          <cell r="M172">
            <v>825</v>
          </cell>
          <cell r="Q172">
            <v>0.66129032258064513</v>
          </cell>
          <cell r="R172">
            <v>0.33870967741935482</v>
          </cell>
          <cell r="S172" t="str">
            <v>BAU</v>
          </cell>
          <cell r="T172" t="str">
            <v>BAU</v>
          </cell>
          <cell r="U172" t="str">
            <v>BAU</v>
          </cell>
          <cell r="V172" t="str">
            <v>NA</v>
          </cell>
          <cell r="W172" t="str">
            <v>PYG</v>
          </cell>
          <cell r="X172" t="str">
            <v>BAU</v>
          </cell>
          <cell r="Y172">
            <v>68800</v>
          </cell>
          <cell r="Z172">
            <v>206400</v>
          </cell>
          <cell r="AA172" t="str">
            <v/>
          </cell>
          <cell r="AB172" t="str">
            <v/>
          </cell>
          <cell r="AC172">
            <v>31200</v>
          </cell>
          <cell r="AD172">
            <v>93600</v>
          </cell>
          <cell r="AE172" t="str">
            <v>PYG</v>
          </cell>
          <cell r="AF172"/>
          <cell r="AG172">
            <v>7</v>
          </cell>
          <cell r="AH172">
            <v>68800</v>
          </cell>
          <cell r="AI172">
            <v>481600</v>
          </cell>
          <cell r="AJ172" t="str">
            <v/>
          </cell>
          <cell r="AK172" t="str">
            <v/>
          </cell>
          <cell r="AL172">
            <v>31200</v>
          </cell>
          <cell r="AM172">
            <v>218400</v>
          </cell>
        </row>
        <row r="173">
          <cell r="B173" t="str">
            <v>Peru</v>
          </cell>
          <cell r="C173" t="str">
            <v>Latin America</v>
          </cell>
          <cell r="D173" t="str">
            <v>Y</v>
          </cell>
          <cell r="E173">
            <v>6677</v>
          </cell>
          <cell r="F173" t="str">
            <v>PEN</v>
          </cell>
          <cell r="G173" t="str">
            <v>Y</v>
          </cell>
          <cell r="H173">
            <v>24.9</v>
          </cell>
          <cell r="I173">
            <v>34.9</v>
          </cell>
          <cell r="J173">
            <v>44.9</v>
          </cell>
          <cell r="K173">
            <v>2.8238231822058698E-2</v>
          </cell>
          <cell r="L173">
            <v>0.39338950097213221</v>
          </cell>
          <cell r="M173">
            <v>2586</v>
          </cell>
          <cell r="Q173">
            <v>0.6909286482610254</v>
          </cell>
          <cell r="R173">
            <v>0.30907135173897454</v>
          </cell>
          <cell r="S173" t="str">
            <v>BAU</v>
          </cell>
          <cell r="T173" t="str">
            <v>BAU</v>
          </cell>
          <cell r="U173" t="str">
            <v>BAU</v>
          </cell>
          <cell r="V173" t="str">
            <v>NA</v>
          </cell>
          <cell r="W173" t="str">
            <v>PEN</v>
          </cell>
          <cell r="X173" t="str">
            <v>BAU</v>
          </cell>
          <cell r="Y173">
            <v>46.99</v>
          </cell>
          <cell r="Z173">
            <v>139.99</v>
          </cell>
          <cell r="AA173" t="str">
            <v/>
          </cell>
          <cell r="AB173" t="str">
            <v/>
          </cell>
          <cell r="AC173">
            <v>29.99</v>
          </cell>
          <cell r="AD173">
            <v>89.99</v>
          </cell>
          <cell r="AE173" t="str">
            <v>PEN</v>
          </cell>
          <cell r="AF173"/>
          <cell r="AG173">
            <v>7</v>
          </cell>
          <cell r="AH173">
            <v>46.99</v>
          </cell>
          <cell r="AI173">
            <v>328.99</v>
          </cell>
          <cell r="AJ173" t="str">
            <v/>
          </cell>
          <cell r="AK173" t="str">
            <v/>
          </cell>
          <cell r="AL173">
            <v>29.99</v>
          </cell>
          <cell r="AM173">
            <v>209.99</v>
          </cell>
        </row>
        <row r="174">
          <cell r="B174" t="str">
            <v>Philippines</v>
          </cell>
          <cell r="C174" t="str">
            <v>Asia</v>
          </cell>
          <cell r="D174" t="str">
            <v>Y</v>
          </cell>
          <cell r="E174">
            <v>3492</v>
          </cell>
          <cell r="F174" t="str">
            <v>PHP</v>
          </cell>
          <cell r="G174" t="str">
            <v>Y</v>
          </cell>
          <cell r="H174">
            <v>369</v>
          </cell>
          <cell r="I174">
            <v>459</v>
          </cell>
          <cell r="J174">
            <v>549</v>
          </cell>
          <cell r="K174">
            <v>1.1870842680700301E-2</v>
          </cell>
          <cell r="L174">
            <v>0.3078122293434955</v>
          </cell>
          <cell r="M174">
            <v>39550</v>
          </cell>
          <cell r="Q174">
            <v>0.48946780334381723</v>
          </cell>
          <cell r="R174">
            <v>0.51053219665618277</v>
          </cell>
          <cell r="S174" t="str">
            <v>BAU</v>
          </cell>
          <cell r="T174" t="str">
            <v>BAU</v>
          </cell>
          <cell r="U174" t="str">
            <v>BAU</v>
          </cell>
          <cell r="V174" t="str">
            <v>NA</v>
          </cell>
          <cell r="W174" t="str">
            <v>PHP</v>
          </cell>
          <cell r="X174" t="str">
            <v>BAU</v>
          </cell>
          <cell r="Y174">
            <v>570</v>
          </cell>
          <cell r="Z174">
            <v>1710</v>
          </cell>
          <cell r="AA174">
            <v>660</v>
          </cell>
          <cell r="AB174">
            <v>1980</v>
          </cell>
          <cell r="AC174">
            <v>260</v>
          </cell>
          <cell r="AD174">
            <v>780</v>
          </cell>
          <cell r="AE174" t="str">
            <v>PHP</v>
          </cell>
          <cell r="AF174"/>
          <cell r="AG174">
            <v>7</v>
          </cell>
          <cell r="AH174">
            <v>570</v>
          </cell>
          <cell r="AI174">
            <v>3990</v>
          </cell>
          <cell r="AJ174">
            <v>660</v>
          </cell>
          <cell r="AK174">
            <v>4620</v>
          </cell>
          <cell r="AL174">
            <v>260</v>
          </cell>
          <cell r="AM174">
            <v>1820</v>
          </cell>
        </row>
        <row r="175">
          <cell r="B175" t="str">
            <v>Pitcairn Island</v>
          </cell>
          <cell r="C175" t="str">
            <v>Asia</v>
          </cell>
          <cell r="D175" t="str">
            <v>N</v>
          </cell>
          <cell r="E175" t="str">
            <v>NA</v>
          </cell>
          <cell r="F175" t="str">
            <v>USD</v>
          </cell>
          <cell r="G175" t="str">
            <v>N</v>
          </cell>
          <cell r="H175">
            <v>7.99</v>
          </cell>
          <cell r="I175">
            <v>9.99</v>
          </cell>
          <cell r="J175">
            <v>11.99</v>
          </cell>
          <cell r="K175" t="str">
            <v>NA</v>
          </cell>
          <cell r="L175" t="str">
            <v>NA</v>
          </cell>
          <cell r="M175" t="str">
            <v>NA</v>
          </cell>
          <cell r="Q175" t="str">
            <v>NA</v>
          </cell>
          <cell r="R175" t="str">
            <v>NA</v>
          </cell>
          <cell r="S175" t="str">
            <v>BAU</v>
          </cell>
          <cell r="T175" t="str">
            <v>BAU</v>
          </cell>
          <cell r="U175" t="str">
            <v>BAU</v>
          </cell>
          <cell r="V175" t="str">
            <v>French Polynesia</v>
          </cell>
          <cell r="W175" t="str">
            <v>NZD</v>
          </cell>
          <cell r="X175" t="str">
            <v>BAU</v>
          </cell>
          <cell r="Y175">
            <v>20.99</v>
          </cell>
          <cell r="Z175">
            <v>62.99</v>
          </cell>
          <cell r="AA175" t="str">
            <v/>
          </cell>
          <cell r="AB175" t="str">
            <v/>
          </cell>
          <cell r="AC175">
            <v>13.99</v>
          </cell>
          <cell r="AD175">
            <v>41.99</v>
          </cell>
          <cell r="AE175" t="str">
            <v>NZD</v>
          </cell>
          <cell r="AF175"/>
          <cell r="AG175">
            <v>7</v>
          </cell>
          <cell r="AH175">
            <v>20.99</v>
          </cell>
          <cell r="AI175">
            <v>146.99</v>
          </cell>
          <cell r="AJ175" t="str">
            <v/>
          </cell>
          <cell r="AK175" t="str">
            <v/>
          </cell>
          <cell r="AL175">
            <v>13.99</v>
          </cell>
          <cell r="AM175">
            <v>97.99</v>
          </cell>
        </row>
        <row r="176">
          <cell r="B176" t="str">
            <v>Poland</v>
          </cell>
          <cell r="C176" t="str">
            <v>Europe</v>
          </cell>
          <cell r="D176" t="str">
            <v>Y</v>
          </cell>
          <cell r="E176">
            <v>17318</v>
          </cell>
          <cell r="F176" t="str">
            <v>PLN</v>
          </cell>
          <cell r="G176" t="str">
            <v>Y</v>
          </cell>
          <cell r="H176">
            <v>29</v>
          </cell>
          <cell r="I176">
            <v>43</v>
          </cell>
          <cell r="J176">
            <v>60</v>
          </cell>
          <cell r="K176">
            <v>1.8873221496299535E-2</v>
          </cell>
          <cell r="L176">
            <v>4.9240121580547136E-2</v>
          </cell>
          <cell r="M176">
            <v>6233</v>
          </cell>
          <cell r="Q176">
            <v>0.38744832769635473</v>
          </cell>
          <cell r="R176">
            <v>0.61255167230364527</v>
          </cell>
          <cell r="S176">
            <v>5.0299999999999997E-2</v>
          </cell>
          <cell r="T176">
            <v>5.5899999999999998E-2</v>
          </cell>
          <cell r="U176">
            <v>0.11133200795228637</v>
          </cell>
          <cell r="V176" t="str">
            <v>NA</v>
          </cell>
          <cell r="W176" t="str">
            <v>PLN</v>
          </cell>
          <cell r="X176" t="str">
            <v>Steeper than BAU</v>
          </cell>
          <cell r="Y176">
            <v>59.99</v>
          </cell>
          <cell r="Z176">
            <v>179.99</v>
          </cell>
          <cell r="AA176">
            <v>84.99</v>
          </cell>
          <cell r="AB176">
            <v>269.99</v>
          </cell>
          <cell r="AC176">
            <v>39.99</v>
          </cell>
          <cell r="AD176">
            <v>164.99</v>
          </cell>
          <cell r="AE176" t="str">
            <v>PLN</v>
          </cell>
          <cell r="AF176"/>
          <cell r="AG176">
            <v>7</v>
          </cell>
          <cell r="AH176">
            <v>59.99</v>
          </cell>
          <cell r="AI176">
            <v>419.99</v>
          </cell>
          <cell r="AJ176">
            <v>84.99</v>
          </cell>
          <cell r="AK176">
            <v>594.99</v>
          </cell>
          <cell r="AL176">
            <v>39.99</v>
          </cell>
          <cell r="AM176">
            <v>279.99</v>
          </cell>
        </row>
        <row r="177">
          <cell r="B177" t="str">
            <v>Portugal</v>
          </cell>
          <cell r="C177" t="str">
            <v>Europe</v>
          </cell>
          <cell r="D177" t="str">
            <v>Y</v>
          </cell>
          <cell r="E177">
            <v>24457</v>
          </cell>
          <cell r="F177" t="str">
            <v>EUR</v>
          </cell>
          <cell r="G177" t="str">
            <v>Y</v>
          </cell>
          <cell r="H177">
            <v>7.99</v>
          </cell>
          <cell r="I177">
            <v>11.99</v>
          </cell>
          <cell r="J177">
            <v>15.99</v>
          </cell>
          <cell r="K177">
            <v>2.5490181544856969E-2</v>
          </cell>
          <cell r="L177">
            <v>0.20357941834451898</v>
          </cell>
          <cell r="M177">
            <v>2824</v>
          </cell>
          <cell r="Q177">
            <v>0.4089935760171306</v>
          </cell>
          <cell r="R177">
            <v>0.5910064239828694</v>
          </cell>
          <cell r="S177" t="str">
            <v>BAU</v>
          </cell>
          <cell r="T177" t="str">
            <v>BAU</v>
          </cell>
          <cell r="U177" t="str">
            <v>BAU</v>
          </cell>
          <cell r="V177" t="str">
            <v>NA</v>
          </cell>
          <cell r="W177" t="str">
            <v>EUR</v>
          </cell>
          <cell r="X177" t="str">
            <v>BAU</v>
          </cell>
          <cell r="Y177">
            <v>14.99</v>
          </cell>
          <cell r="Z177">
            <v>44.99</v>
          </cell>
          <cell r="AA177">
            <v>16.989999999999998</v>
          </cell>
          <cell r="AB177">
            <v>49.99</v>
          </cell>
          <cell r="AC177">
            <v>8.99</v>
          </cell>
          <cell r="AD177">
            <v>26.99</v>
          </cell>
          <cell r="AE177" t="str">
            <v>EUR</v>
          </cell>
          <cell r="AF177"/>
          <cell r="AG177">
            <v>7</v>
          </cell>
          <cell r="AH177">
            <v>14.99</v>
          </cell>
          <cell r="AI177">
            <v>104.99</v>
          </cell>
          <cell r="AJ177">
            <v>16.989999999999998</v>
          </cell>
          <cell r="AK177">
            <v>118.99</v>
          </cell>
          <cell r="AL177">
            <v>8.99</v>
          </cell>
          <cell r="AM177">
            <v>62.99</v>
          </cell>
        </row>
        <row r="178">
          <cell r="B178" t="str">
            <v>Qatar</v>
          </cell>
          <cell r="C178" t="str">
            <v>Middle East</v>
          </cell>
          <cell r="D178" t="str">
            <v>N</v>
          </cell>
          <cell r="E178">
            <v>61791</v>
          </cell>
          <cell r="F178" t="str">
            <v>USD</v>
          </cell>
          <cell r="G178" t="str">
            <v>N</v>
          </cell>
          <cell r="H178">
            <v>7.99</v>
          </cell>
          <cell r="I178">
            <v>9.99</v>
          </cell>
          <cell r="J178">
            <v>14.99</v>
          </cell>
          <cell r="K178" t="str">
            <v>NA</v>
          </cell>
          <cell r="L178">
            <v>0.28000000000000003</v>
          </cell>
          <cell r="M178">
            <v>561</v>
          </cell>
          <cell r="Q178">
            <v>0.64084507042253525</v>
          </cell>
          <cell r="R178">
            <v>0.35915492957746481</v>
          </cell>
          <cell r="S178" t="str">
            <v>BAU</v>
          </cell>
          <cell r="T178" t="str">
            <v>BAU</v>
          </cell>
          <cell r="U178" t="str">
            <v>BAU</v>
          </cell>
          <cell r="V178" t="str">
            <v>NA</v>
          </cell>
          <cell r="W178" t="str">
            <v>QAR</v>
          </cell>
          <cell r="X178" t="str">
            <v>BAU</v>
          </cell>
          <cell r="Y178">
            <v>83.99</v>
          </cell>
          <cell r="Z178">
            <v>249.99</v>
          </cell>
          <cell r="AA178">
            <v>99.99</v>
          </cell>
          <cell r="AB178">
            <v>299.99</v>
          </cell>
          <cell r="AC178">
            <v>43.99</v>
          </cell>
          <cell r="AD178">
            <v>131.99</v>
          </cell>
          <cell r="AE178" t="str">
            <v>QAR</v>
          </cell>
          <cell r="AF178"/>
          <cell r="AG178">
            <v>7</v>
          </cell>
          <cell r="AH178">
            <v>83.99</v>
          </cell>
          <cell r="AI178">
            <v>587.99</v>
          </cell>
          <cell r="AJ178">
            <v>99.99</v>
          </cell>
          <cell r="AK178">
            <v>699.99</v>
          </cell>
          <cell r="AL178">
            <v>43.99</v>
          </cell>
          <cell r="AM178">
            <v>307.99</v>
          </cell>
        </row>
        <row r="179">
          <cell r="B179" t="str">
            <v>Reunion</v>
          </cell>
          <cell r="C179" t="str">
            <v>Africa</v>
          </cell>
          <cell r="D179" t="str">
            <v>N</v>
          </cell>
          <cell r="E179" t="str">
            <v>NA</v>
          </cell>
          <cell r="F179" t="str">
            <v>USD</v>
          </cell>
          <cell r="G179" t="str">
            <v>N</v>
          </cell>
          <cell r="H179">
            <v>7.99</v>
          </cell>
          <cell r="I179">
            <v>10.99</v>
          </cell>
          <cell r="J179">
            <v>13.99</v>
          </cell>
          <cell r="K179" t="str">
            <v>NA</v>
          </cell>
          <cell r="L179">
            <v>0.13855421686746983</v>
          </cell>
          <cell r="M179">
            <v>216</v>
          </cell>
          <cell r="Q179">
            <v>0.7410714285714286</v>
          </cell>
          <cell r="R179">
            <v>0.25892857142857145</v>
          </cell>
          <cell r="S179" t="str">
            <v>BAU</v>
          </cell>
          <cell r="T179" t="str">
            <v>BAU</v>
          </cell>
          <cell r="U179" t="str">
            <v>BAU</v>
          </cell>
          <cell r="V179" t="str">
            <v>NA</v>
          </cell>
          <cell r="W179" t="str">
            <v>EUR</v>
          </cell>
          <cell r="X179" t="str">
            <v>BAU</v>
          </cell>
          <cell r="Y179">
            <v>9.99</v>
          </cell>
          <cell r="Z179">
            <v>29.99</v>
          </cell>
          <cell r="AA179" t="str">
            <v/>
          </cell>
          <cell r="AB179" t="str">
            <v/>
          </cell>
          <cell r="AC179">
            <v>3.99</v>
          </cell>
          <cell r="AD179">
            <v>11.99</v>
          </cell>
          <cell r="AE179" t="str">
            <v>EUR</v>
          </cell>
          <cell r="AF179"/>
          <cell r="AG179">
            <v>7</v>
          </cell>
          <cell r="AH179">
            <v>9.99</v>
          </cell>
          <cell r="AI179">
            <v>69.989999999999995</v>
          </cell>
          <cell r="AJ179" t="str">
            <v/>
          </cell>
          <cell r="AK179" t="str">
            <v/>
          </cell>
          <cell r="AL179">
            <v>3.99</v>
          </cell>
          <cell r="AM179">
            <v>27.99</v>
          </cell>
        </row>
        <row r="180">
          <cell r="B180" t="str">
            <v>Romania</v>
          </cell>
          <cell r="C180" t="str">
            <v>Europe</v>
          </cell>
          <cell r="D180" t="str">
            <v>Y</v>
          </cell>
          <cell r="E180">
            <v>14864</v>
          </cell>
          <cell r="F180" t="str">
            <v>EUR</v>
          </cell>
          <cell r="G180" t="str">
            <v>N</v>
          </cell>
          <cell r="H180">
            <v>7.99</v>
          </cell>
          <cell r="I180">
            <v>9.99</v>
          </cell>
          <cell r="J180">
            <v>11.99</v>
          </cell>
          <cell r="K180">
            <v>3.0021966893131503E-2</v>
          </cell>
          <cell r="L180">
            <v>0.1912065439672801</v>
          </cell>
          <cell r="M180">
            <v>2766</v>
          </cell>
          <cell r="Q180">
            <v>0.69482576557550157</v>
          </cell>
          <cell r="R180">
            <v>0.30517423442449843</v>
          </cell>
          <cell r="S180" t="str">
            <v>BAU</v>
          </cell>
          <cell r="T180" t="str">
            <v>BAU</v>
          </cell>
          <cell r="U180" t="str">
            <v>BAU</v>
          </cell>
          <cell r="V180" t="str">
            <v>NA</v>
          </cell>
          <cell r="W180" t="str">
            <v>RON</v>
          </cell>
          <cell r="X180" t="str">
            <v>BAU</v>
          </cell>
          <cell r="Y180">
            <v>58.99</v>
          </cell>
          <cell r="Z180">
            <v>176.99</v>
          </cell>
          <cell r="AA180" t="str">
            <v/>
          </cell>
          <cell r="AB180" t="str">
            <v/>
          </cell>
          <cell r="AC180">
            <v>37.99</v>
          </cell>
          <cell r="AD180">
            <v>114.99</v>
          </cell>
          <cell r="AE180" t="str">
            <v>RON</v>
          </cell>
          <cell r="AF180"/>
          <cell r="AG180">
            <v>7</v>
          </cell>
          <cell r="AH180">
            <v>58.99</v>
          </cell>
          <cell r="AI180">
            <v>412.99</v>
          </cell>
          <cell r="AJ180" t="str">
            <v/>
          </cell>
          <cell r="AK180" t="str">
            <v/>
          </cell>
          <cell r="AL180">
            <v>37.99</v>
          </cell>
          <cell r="AM180">
            <v>265.99</v>
          </cell>
        </row>
        <row r="181">
          <cell r="B181" t="str">
            <v>Russia</v>
          </cell>
          <cell r="C181" t="str">
            <v>Europe</v>
          </cell>
          <cell r="D181" t="str">
            <v>Y</v>
          </cell>
          <cell r="E181">
            <v>11273</v>
          </cell>
          <cell r="F181" t="str">
            <v>RUB</v>
          </cell>
          <cell r="G181" t="str">
            <v>Y</v>
          </cell>
          <cell r="H181">
            <v>599</v>
          </cell>
          <cell r="I181">
            <v>799</v>
          </cell>
          <cell r="J181">
            <v>999</v>
          </cell>
          <cell r="K181">
            <v>2.4272047888477359E-3</v>
          </cell>
          <cell r="L181">
            <v>6.0938452163306067E-4</v>
          </cell>
          <cell r="M181">
            <v>2143</v>
          </cell>
          <cell r="Q181">
            <v>0.45992366412213742</v>
          </cell>
          <cell r="R181">
            <v>0.54007633587786263</v>
          </cell>
          <cell r="S181">
            <v>3.27E-2</v>
          </cell>
          <cell r="T181">
            <v>4.3400000000000001E-2</v>
          </cell>
          <cell r="U181">
            <v>0.32721712538226311</v>
          </cell>
          <cell r="V181" t="str">
            <v>NA</v>
          </cell>
          <cell r="W181" t="str">
            <v>RUB</v>
          </cell>
          <cell r="X181" t="str">
            <v>Steeper than BAU</v>
          </cell>
          <cell r="Y181">
            <v>1120</v>
          </cell>
          <cell r="Z181">
            <v>3360</v>
          </cell>
          <cell r="AA181">
            <v>1680</v>
          </cell>
          <cell r="AB181">
            <v>5040</v>
          </cell>
          <cell r="AC181">
            <v>690</v>
          </cell>
          <cell r="AD181">
            <v>3050</v>
          </cell>
          <cell r="AE181" t="str">
            <v>RUB</v>
          </cell>
          <cell r="AF181"/>
          <cell r="AG181">
            <v>7</v>
          </cell>
          <cell r="AH181">
            <v>1120</v>
          </cell>
          <cell r="AI181">
            <v>7840</v>
          </cell>
          <cell r="AJ181">
            <v>1680</v>
          </cell>
          <cell r="AK181">
            <v>11760</v>
          </cell>
          <cell r="AL181">
            <v>690</v>
          </cell>
          <cell r="AM181">
            <v>4830</v>
          </cell>
        </row>
        <row r="182">
          <cell r="B182" t="str">
            <v>Rwanda</v>
          </cell>
          <cell r="C182" t="str">
            <v>Africa</v>
          </cell>
          <cell r="D182" t="str">
            <v>N</v>
          </cell>
          <cell r="E182">
            <v>802</v>
          </cell>
          <cell r="F182" t="str">
            <v>USD</v>
          </cell>
          <cell r="G182" t="str">
            <v>N</v>
          </cell>
          <cell r="H182">
            <v>7.99</v>
          </cell>
          <cell r="I182">
            <v>9.99</v>
          </cell>
          <cell r="J182">
            <v>11.99</v>
          </cell>
          <cell r="K182" t="str">
            <v>NA</v>
          </cell>
          <cell r="L182" t="str">
            <v>Negligible</v>
          </cell>
          <cell r="M182">
            <v>110</v>
          </cell>
          <cell r="Q182">
            <v>0.76635514018691586</v>
          </cell>
          <cell r="R182">
            <v>0.23364485981308411</v>
          </cell>
          <cell r="S182" t="str">
            <v>BAU</v>
          </cell>
          <cell r="T182" t="str">
            <v>BAU</v>
          </cell>
          <cell r="U182" t="str">
            <v>BAU</v>
          </cell>
          <cell r="V182" t="str">
            <v>Uganda</v>
          </cell>
          <cell r="W182" t="str">
            <v>RWF</v>
          </cell>
          <cell r="X182" t="str">
            <v>BAU</v>
          </cell>
          <cell r="Y182">
            <v>10000</v>
          </cell>
          <cell r="Z182">
            <v>30000</v>
          </cell>
          <cell r="AA182" t="str">
            <v/>
          </cell>
          <cell r="AB182" t="str">
            <v/>
          </cell>
          <cell r="AC182">
            <v>4500</v>
          </cell>
          <cell r="AD182">
            <v>13500</v>
          </cell>
          <cell r="AE182" t="str">
            <v>RWF</v>
          </cell>
          <cell r="AF182"/>
          <cell r="AG182">
            <v>7</v>
          </cell>
          <cell r="AH182">
            <v>10000</v>
          </cell>
          <cell r="AI182">
            <v>70000</v>
          </cell>
          <cell r="AJ182" t="str">
            <v/>
          </cell>
          <cell r="AK182" t="str">
            <v/>
          </cell>
          <cell r="AL182">
            <v>4500</v>
          </cell>
          <cell r="AM182">
            <v>31500</v>
          </cell>
        </row>
        <row r="183">
          <cell r="B183" t="str">
            <v>Saint Martin (French Part)</v>
          </cell>
          <cell r="C183" t="str">
            <v>Latin America</v>
          </cell>
          <cell r="D183" t="str">
            <v>N</v>
          </cell>
          <cell r="E183" t="str">
            <v>NA</v>
          </cell>
          <cell r="F183" t="str">
            <v>USD</v>
          </cell>
          <cell r="G183" t="str">
            <v>N</v>
          </cell>
          <cell r="H183">
            <v>8.99</v>
          </cell>
          <cell r="I183">
            <v>12.99</v>
          </cell>
          <cell r="J183">
            <v>15.99</v>
          </cell>
          <cell r="K183" t="str">
            <v>NA</v>
          </cell>
          <cell r="L183" t="str">
            <v>Negligible</v>
          </cell>
          <cell r="M183">
            <v>29</v>
          </cell>
          <cell r="Q183">
            <v>0.60606060606060608</v>
          </cell>
          <cell r="R183">
            <v>0.39393939393939392</v>
          </cell>
          <cell r="S183" t="str">
            <v>BAU</v>
          </cell>
          <cell r="T183" t="str">
            <v>BAU</v>
          </cell>
          <cell r="U183" t="str">
            <v>BAU</v>
          </cell>
          <cell r="V183" t="str">
            <v>Cayman Islands</v>
          </cell>
          <cell r="W183" t="str">
            <v>EUR</v>
          </cell>
          <cell r="X183" t="str">
            <v>BAU</v>
          </cell>
          <cell r="Y183">
            <v>11.99</v>
          </cell>
          <cell r="Z183">
            <v>34.99</v>
          </cell>
          <cell r="AA183" t="str">
            <v/>
          </cell>
          <cell r="AB183" t="str">
            <v/>
          </cell>
          <cell r="AC183">
            <v>7.99</v>
          </cell>
          <cell r="AD183">
            <v>23.99</v>
          </cell>
          <cell r="AE183" t="str">
            <v>EUR</v>
          </cell>
          <cell r="AF183"/>
          <cell r="AG183">
            <v>7</v>
          </cell>
          <cell r="AH183">
            <v>11.99</v>
          </cell>
          <cell r="AI183">
            <v>83.99</v>
          </cell>
          <cell r="AJ183" t="str">
            <v/>
          </cell>
          <cell r="AK183" t="str">
            <v/>
          </cell>
          <cell r="AL183">
            <v>7.99</v>
          </cell>
          <cell r="AM183">
            <v>55.99</v>
          </cell>
        </row>
        <row r="184">
          <cell r="B184" t="str">
            <v>Samoa</v>
          </cell>
          <cell r="C184" t="str">
            <v>Asia</v>
          </cell>
          <cell r="D184" t="str">
            <v>N</v>
          </cell>
          <cell r="E184">
            <v>3906</v>
          </cell>
          <cell r="F184" t="str">
            <v>USD</v>
          </cell>
          <cell r="G184" t="str">
            <v>N</v>
          </cell>
          <cell r="H184">
            <v>7.99</v>
          </cell>
          <cell r="I184">
            <v>9.99</v>
          </cell>
          <cell r="J184">
            <v>11.99</v>
          </cell>
          <cell r="K184" t="str">
            <v>NA</v>
          </cell>
          <cell r="L184" t="str">
            <v>Negligible</v>
          </cell>
          <cell r="M184">
            <v>6</v>
          </cell>
          <cell r="Q184" t="str">
            <v>NA</v>
          </cell>
          <cell r="R184" t="str">
            <v>NA</v>
          </cell>
          <cell r="S184" t="str">
            <v>BAU</v>
          </cell>
          <cell r="T184" t="str">
            <v>BAU</v>
          </cell>
          <cell r="U184" t="str">
            <v>BAU</v>
          </cell>
          <cell r="V184" t="str">
            <v>Sri Lanka</v>
          </cell>
          <cell r="W184" t="str">
            <v>WST</v>
          </cell>
          <cell r="X184" t="str">
            <v>BAU</v>
          </cell>
          <cell r="Y184">
            <v>36.99</v>
          </cell>
          <cell r="Z184">
            <v>109.99</v>
          </cell>
          <cell r="AA184" t="str">
            <v/>
          </cell>
          <cell r="AB184" t="str">
            <v/>
          </cell>
          <cell r="AC184">
            <v>23.99</v>
          </cell>
          <cell r="AD184">
            <v>71.989999999999995</v>
          </cell>
          <cell r="AE184" t="str">
            <v>WST</v>
          </cell>
          <cell r="AF184"/>
          <cell r="AG184">
            <v>7</v>
          </cell>
          <cell r="AH184">
            <v>36.99</v>
          </cell>
          <cell r="AI184">
            <v>258.99</v>
          </cell>
          <cell r="AJ184" t="str">
            <v/>
          </cell>
          <cell r="AK184" t="str">
            <v/>
          </cell>
          <cell r="AL184">
            <v>23.99</v>
          </cell>
          <cell r="AM184">
            <v>167.99</v>
          </cell>
        </row>
        <row r="185">
          <cell r="B185" t="str">
            <v>San Marino</v>
          </cell>
          <cell r="C185" t="str">
            <v>Europe</v>
          </cell>
          <cell r="D185" t="str">
            <v>N</v>
          </cell>
          <cell r="E185">
            <v>50934</v>
          </cell>
          <cell r="F185" t="str">
            <v>EUR</v>
          </cell>
          <cell r="G185" t="str">
            <v>Y</v>
          </cell>
          <cell r="H185">
            <v>7.99</v>
          </cell>
          <cell r="I185">
            <v>12.99</v>
          </cell>
          <cell r="J185">
            <v>17.989999999999998</v>
          </cell>
          <cell r="K185" t="str">
            <v>NA</v>
          </cell>
          <cell r="L185" t="str">
            <v>Negligible</v>
          </cell>
          <cell r="M185">
            <v>8</v>
          </cell>
          <cell r="Q185">
            <v>0.63636363636363635</v>
          </cell>
          <cell r="R185">
            <v>0.36363636363636365</v>
          </cell>
          <cell r="S185" t="str">
            <v>BAU</v>
          </cell>
          <cell r="T185" t="str">
            <v>BAU</v>
          </cell>
          <cell r="U185" t="str">
            <v>BAU</v>
          </cell>
          <cell r="V185" t="str">
            <v>Germany</v>
          </cell>
          <cell r="W185" t="str">
            <v>EUR</v>
          </cell>
          <cell r="X185" t="str">
            <v>BAU</v>
          </cell>
          <cell r="Y185">
            <v>19.989999999999998</v>
          </cell>
          <cell r="Z185">
            <v>59.99</v>
          </cell>
          <cell r="AA185">
            <v>22.99</v>
          </cell>
          <cell r="AB185">
            <v>68.989999999999995</v>
          </cell>
          <cell r="AC185">
            <v>10.99</v>
          </cell>
          <cell r="AD185">
            <v>32.99</v>
          </cell>
          <cell r="AE185" t="str">
            <v>EUR</v>
          </cell>
          <cell r="AF185"/>
          <cell r="AG185">
            <v>7</v>
          </cell>
          <cell r="AH185">
            <v>19.989999999999998</v>
          </cell>
          <cell r="AI185">
            <v>139.99</v>
          </cell>
          <cell r="AJ185">
            <v>22.99</v>
          </cell>
          <cell r="AK185">
            <v>160.99</v>
          </cell>
          <cell r="AL185">
            <v>10.99</v>
          </cell>
          <cell r="AM185">
            <v>76.989999999999995</v>
          </cell>
        </row>
        <row r="186">
          <cell r="B186" t="str">
            <v>Sao Tome And Principe</v>
          </cell>
          <cell r="C186" t="str">
            <v>Africa</v>
          </cell>
          <cell r="D186" t="str">
            <v>N</v>
          </cell>
          <cell r="E186" t="str">
            <v>NA</v>
          </cell>
          <cell r="F186" t="str">
            <v>USD</v>
          </cell>
          <cell r="G186" t="str">
            <v>Y</v>
          </cell>
          <cell r="H186">
            <v>7.99</v>
          </cell>
          <cell r="I186">
            <v>9.99</v>
          </cell>
          <cell r="J186">
            <v>11.99</v>
          </cell>
          <cell r="K186" t="str">
            <v>NA</v>
          </cell>
          <cell r="L186" t="str">
            <v>Negligible</v>
          </cell>
          <cell r="M186">
            <v>1</v>
          </cell>
          <cell r="Q186" t="str">
            <v>NA</v>
          </cell>
          <cell r="R186" t="str">
            <v>NA</v>
          </cell>
          <cell r="S186" t="str">
            <v>BAU</v>
          </cell>
          <cell r="T186" t="str">
            <v>BAU</v>
          </cell>
          <cell r="U186" t="str">
            <v>BAU</v>
          </cell>
          <cell r="V186" t="str">
            <v>Cote D'Ivoire</v>
          </cell>
          <cell r="W186" t="str">
            <v>USD</v>
          </cell>
          <cell r="X186" t="str">
            <v>BAU</v>
          </cell>
          <cell r="Y186">
            <v>10.99</v>
          </cell>
          <cell r="Z186">
            <v>32.99</v>
          </cell>
          <cell r="AA186" t="str">
            <v/>
          </cell>
          <cell r="AB186" t="str">
            <v/>
          </cell>
          <cell r="AC186">
            <v>4.99</v>
          </cell>
          <cell r="AD186">
            <v>14.99</v>
          </cell>
          <cell r="AE186" t="str">
            <v>USD</v>
          </cell>
          <cell r="AF186"/>
          <cell r="AG186">
            <v>7</v>
          </cell>
          <cell r="AH186">
            <v>10.99</v>
          </cell>
          <cell r="AI186">
            <v>76.989999999999995</v>
          </cell>
          <cell r="AJ186" t="str">
            <v/>
          </cell>
          <cell r="AK186" t="str">
            <v/>
          </cell>
          <cell r="AL186">
            <v>4.99</v>
          </cell>
          <cell r="AM186">
            <v>34.99</v>
          </cell>
        </row>
        <row r="187">
          <cell r="B187" t="str">
            <v>Saudi Arabia</v>
          </cell>
          <cell r="C187" t="str">
            <v>Middle East</v>
          </cell>
          <cell r="D187" t="str">
            <v>Y</v>
          </cell>
          <cell r="E187">
            <v>23762</v>
          </cell>
          <cell r="F187" t="str">
            <v>SAR</v>
          </cell>
          <cell r="G187" t="str">
            <v>Y</v>
          </cell>
          <cell r="H187">
            <v>32</v>
          </cell>
          <cell r="I187">
            <v>43</v>
          </cell>
          <cell r="J187">
            <v>61</v>
          </cell>
          <cell r="K187">
            <v>1.7747362907373415E-2</v>
          </cell>
          <cell r="L187">
            <v>0.4222704266088213</v>
          </cell>
          <cell r="M187">
            <v>2395</v>
          </cell>
          <cell r="Q187">
            <v>0.62132352941176472</v>
          </cell>
          <cell r="R187">
            <v>0.37867647058823528</v>
          </cell>
          <cell r="S187">
            <v>0.04</v>
          </cell>
          <cell r="T187">
            <v>4.82E-2</v>
          </cell>
          <cell r="U187">
            <v>0.20500000000000007</v>
          </cell>
          <cell r="V187" t="str">
            <v>NA</v>
          </cell>
          <cell r="W187" t="str">
            <v>SAR</v>
          </cell>
          <cell r="X187" t="str">
            <v>Steeper than BAU</v>
          </cell>
          <cell r="Y187">
            <v>59.99</v>
          </cell>
          <cell r="Z187">
            <v>179.99</v>
          </cell>
          <cell r="AA187">
            <v>89.99</v>
          </cell>
          <cell r="AB187">
            <v>269.99</v>
          </cell>
          <cell r="AC187">
            <v>39.99</v>
          </cell>
          <cell r="AD187">
            <v>159.99</v>
          </cell>
          <cell r="AE187" t="str">
            <v>SAR</v>
          </cell>
          <cell r="AF187"/>
          <cell r="AG187">
            <v>7</v>
          </cell>
          <cell r="AH187">
            <v>59.99</v>
          </cell>
          <cell r="AI187">
            <v>419.99</v>
          </cell>
          <cell r="AJ187">
            <v>89.99</v>
          </cell>
          <cell r="AK187">
            <v>629.99</v>
          </cell>
          <cell r="AL187">
            <v>39.99</v>
          </cell>
          <cell r="AM187">
            <v>279.99</v>
          </cell>
        </row>
        <row r="188">
          <cell r="B188" t="str">
            <v>Senegal</v>
          </cell>
          <cell r="C188" t="str">
            <v>Africa</v>
          </cell>
          <cell r="D188" t="str">
            <v>N</v>
          </cell>
          <cell r="E188">
            <v>1603</v>
          </cell>
          <cell r="F188" t="str">
            <v>USD</v>
          </cell>
          <cell r="G188" t="str">
            <v>N</v>
          </cell>
          <cell r="H188">
            <v>7.99</v>
          </cell>
          <cell r="I188">
            <v>9.99</v>
          </cell>
          <cell r="J188">
            <v>11.99</v>
          </cell>
          <cell r="K188" t="str">
            <v>NA</v>
          </cell>
          <cell r="L188">
            <v>0.34161490683229823</v>
          </cell>
          <cell r="M188">
            <v>272</v>
          </cell>
          <cell r="Q188">
            <v>0.65891472868217049</v>
          </cell>
          <cell r="R188">
            <v>0.34108527131782945</v>
          </cell>
          <cell r="S188" t="str">
            <v>BAU</v>
          </cell>
          <cell r="T188" t="str">
            <v>BAU</v>
          </cell>
          <cell r="U188" t="str">
            <v>BAU</v>
          </cell>
          <cell r="V188" t="str">
            <v>NA</v>
          </cell>
          <cell r="W188" t="str">
            <v>XOF</v>
          </cell>
          <cell r="X188" t="str">
            <v>BAU</v>
          </cell>
          <cell r="Y188">
            <v>6400</v>
          </cell>
          <cell r="Z188">
            <v>19200</v>
          </cell>
          <cell r="AA188" t="str">
            <v/>
          </cell>
          <cell r="AB188" t="str">
            <v/>
          </cell>
          <cell r="AC188">
            <v>2900</v>
          </cell>
          <cell r="AD188">
            <v>8700</v>
          </cell>
          <cell r="AE188" t="str">
            <v>XOF</v>
          </cell>
          <cell r="AF188"/>
          <cell r="AG188">
            <v>7</v>
          </cell>
          <cell r="AH188">
            <v>6400</v>
          </cell>
          <cell r="AI188">
            <v>44800</v>
          </cell>
          <cell r="AJ188" t="str">
            <v/>
          </cell>
          <cell r="AK188" t="str">
            <v/>
          </cell>
          <cell r="AL188">
            <v>2900</v>
          </cell>
          <cell r="AM188">
            <v>20300</v>
          </cell>
        </row>
        <row r="189">
          <cell r="B189" t="str">
            <v>Serbia</v>
          </cell>
          <cell r="C189" t="str">
            <v>Europe</v>
          </cell>
          <cell r="D189" t="str">
            <v>N</v>
          </cell>
          <cell r="E189">
            <v>8794</v>
          </cell>
          <cell r="F189" t="str">
            <v>EUR</v>
          </cell>
          <cell r="G189" t="str">
            <v>N</v>
          </cell>
          <cell r="H189">
            <v>7.99</v>
          </cell>
          <cell r="I189">
            <v>9.99</v>
          </cell>
          <cell r="J189">
            <v>11.99</v>
          </cell>
          <cell r="K189" t="str">
            <v>NA</v>
          </cell>
          <cell r="L189">
            <v>-0.12606959498003423</v>
          </cell>
          <cell r="M189">
            <v>1881</v>
          </cell>
          <cell r="Q189">
            <v>0.23200272944387582</v>
          </cell>
          <cell r="R189">
            <v>0.76799727055612421</v>
          </cell>
          <cell r="S189" t="str">
            <v>BAU</v>
          </cell>
          <cell r="T189" t="str">
            <v>BAU</v>
          </cell>
          <cell r="U189" t="str">
            <v>BAU</v>
          </cell>
          <cell r="V189" t="str">
            <v>NA</v>
          </cell>
          <cell r="W189" t="str">
            <v>RSD</v>
          </cell>
          <cell r="X189" t="str">
            <v>BAU</v>
          </cell>
          <cell r="Y189">
            <v>1499.99</v>
          </cell>
          <cell r="Z189">
            <v>4499.99</v>
          </cell>
          <cell r="AA189">
            <v>1699.99</v>
          </cell>
          <cell r="AB189">
            <v>5099.99</v>
          </cell>
          <cell r="AC189">
            <v>949.99</v>
          </cell>
          <cell r="AD189">
            <v>2849.99</v>
          </cell>
          <cell r="AE189" t="str">
            <v>RSD</v>
          </cell>
          <cell r="AF189"/>
          <cell r="AG189">
            <v>7</v>
          </cell>
          <cell r="AH189">
            <v>1499.99</v>
          </cell>
          <cell r="AI189">
            <v>10499.99</v>
          </cell>
          <cell r="AJ189">
            <v>1699.99</v>
          </cell>
          <cell r="AK189">
            <v>11899.99</v>
          </cell>
          <cell r="AL189">
            <v>949.99</v>
          </cell>
          <cell r="AM189">
            <v>6649.99</v>
          </cell>
        </row>
        <row r="190">
          <cell r="B190" t="str">
            <v>Seychelles</v>
          </cell>
          <cell r="C190" t="str">
            <v>Africa</v>
          </cell>
          <cell r="D190" t="str">
            <v>N</v>
          </cell>
          <cell r="E190">
            <v>13140</v>
          </cell>
          <cell r="F190" t="str">
            <v>USD</v>
          </cell>
          <cell r="G190" t="str">
            <v>N</v>
          </cell>
          <cell r="H190">
            <v>7.99</v>
          </cell>
          <cell r="I190">
            <v>9.99</v>
          </cell>
          <cell r="J190">
            <v>11.99</v>
          </cell>
          <cell r="K190" t="str">
            <v>NA</v>
          </cell>
          <cell r="L190" t="str">
            <v>Negligible</v>
          </cell>
          <cell r="M190">
            <v>84</v>
          </cell>
          <cell r="Q190">
            <v>0.65853658536585369</v>
          </cell>
          <cell r="R190">
            <v>0.34146341463414637</v>
          </cell>
          <cell r="S190" t="str">
            <v>BAU</v>
          </cell>
          <cell r="T190" t="str">
            <v>BAU</v>
          </cell>
          <cell r="U190" t="str">
            <v>BAU</v>
          </cell>
          <cell r="V190" t="str">
            <v>Algeria</v>
          </cell>
          <cell r="W190" t="str">
            <v>SCR</v>
          </cell>
          <cell r="X190" t="str">
            <v>BAU</v>
          </cell>
          <cell r="Y190">
            <v>149.99</v>
          </cell>
          <cell r="Z190">
            <v>449.99</v>
          </cell>
          <cell r="AA190" t="str">
            <v/>
          </cell>
          <cell r="AB190" t="str">
            <v/>
          </cell>
          <cell r="AC190">
            <v>67.989999999999995</v>
          </cell>
          <cell r="AD190">
            <v>203.99</v>
          </cell>
          <cell r="AE190" t="str">
            <v>SCR</v>
          </cell>
          <cell r="AF190"/>
          <cell r="AG190">
            <v>7</v>
          </cell>
          <cell r="AH190">
            <v>149.99</v>
          </cell>
          <cell r="AI190">
            <v>1049.99</v>
          </cell>
          <cell r="AJ190" t="str">
            <v/>
          </cell>
          <cell r="AK190" t="str">
            <v/>
          </cell>
          <cell r="AL190">
            <v>67.989999999999995</v>
          </cell>
          <cell r="AM190">
            <v>475.99</v>
          </cell>
        </row>
        <row r="191">
          <cell r="B191" t="str">
            <v>Sierra Leone</v>
          </cell>
          <cell r="C191" t="str">
            <v>Africa</v>
          </cell>
          <cell r="D191" t="str">
            <v>N</v>
          </cell>
          <cell r="E191">
            <v>541</v>
          </cell>
          <cell r="F191" t="str">
            <v>USD</v>
          </cell>
          <cell r="G191" t="str">
            <v>N</v>
          </cell>
          <cell r="H191">
            <v>7.99</v>
          </cell>
          <cell r="I191">
            <v>9.99</v>
          </cell>
          <cell r="J191">
            <v>11.99</v>
          </cell>
          <cell r="K191" t="str">
            <v>NA</v>
          </cell>
          <cell r="L191" t="str">
            <v>Negligible</v>
          </cell>
          <cell r="M191">
            <v>31</v>
          </cell>
          <cell r="Q191">
            <v>0.48</v>
          </cell>
          <cell r="R191">
            <v>0.52</v>
          </cell>
          <cell r="S191" t="str">
            <v>BAU</v>
          </cell>
          <cell r="T191" t="str">
            <v>BAU</v>
          </cell>
          <cell r="U191" t="str">
            <v>BAU</v>
          </cell>
          <cell r="V191" t="str">
            <v>Uganda</v>
          </cell>
          <cell r="W191" t="str">
            <v>SLL</v>
          </cell>
          <cell r="X191" t="str">
            <v>BAU</v>
          </cell>
          <cell r="Y191">
            <v>97800</v>
          </cell>
          <cell r="Z191">
            <v>293400</v>
          </cell>
          <cell r="AA191" t="str">
            <v/>
          </cell>
          <cell r="AB191" t="str">
            <v/>
          </cell>
          <cell r="AC191">
            <v>44400</v>
          </cell>
          <cell r="AD191">
            <v>133200</v>
          </cell>
          <cell r="AE191" t="str">
            <v>SLL</v>
          </cell>
          <cell r="AF191"/>
          <cell r="AG191">
            <v>7</v>
          </cell>
          <cell r="AH191">
            <v>97800</v>
          </cell>
          <cell r="AI191">
            <v>684600</v>
          </cell>
          <cell r="AJ191" t="str">
            <v/>
          </cell>
          <cell r="AK191" t="str">
            <v/>
          </cell>
          <cell r="AL191">
            <v>44400</v>
          </cell>
          <cell r="AM191">
            <v>310800</v>
          </cell>
        </row>
        <row r="192">
          <cell r="B192" t="str">
            <v>Singapore</v>
          </cell>
          <cell r="C192" t="str">
            <v>Asia</v>
          </cell>
          <cell r="D192" t="str">
            <v>Y</v>
          </cell>
          <cell r="E192">
            <v>66263</v>
          </cell>
          <cell r="F192" t="str">
            <v>SGD</v>
          </cell>
          <cell r="G192" t="str">
            <v>Y</v>
          </cell>
          <cell r="H192">
            <v>12.98</v>
          </cell>
          <cell r="I192">
            <v>17.48</v>
          </cell>
          <cell r="J192">
            <v>21.98</v>
          </cell>
          <cell r="K192">
            <v>3.3526953561980294E-2</v>
          </cell>
          <cell r="L192">
            <v>0.16576819407008081</v>
          </cell>
          <cell r="M192">
            <v>4971</v>
          </cell>
          <cell r="Q192">
            <v>0.54495528008787075</v>
          </cell>
          <cell r="R192">
            <v>0.4550447199121293</v>
          </cell>
          <cell r="S192">
            <v>4.2500000000000003E-2</v>
          </cell>
          <cell r="T192">
            <v>7.4399999999999994E-2</v>
          </cell>
          <cell r="U192">
            <v>0.75058823529411733</v>
          </cell>
          <cell r="V192" t="str">
            <v>NA</v>
          </cell>
          <cell r="W192" t="str">
            <v>SGD</v>
          </cell>
          <cell r="X192" t="str">
            <v>Steeper than BAU</v>
          </cell>
          <cell r="Y192">
            <v>17.989999999999998</v>
          </cell>
          <cell r="Z192">
            <v>54.99</v>
          </cell>
          <cell r="AA192">
            <v>24.99</v>
          </cell>
          <cell r="AB192">
            <v>79.989999999999995</v>
          </cell>
          <cell r="AC192">
            <v>14.99</v>
          </cell>
          <cell r="AD192">
            <v>49.99</v>
          </cell>
          <cell r="AE192" t="str">
            <v>SGD</v>
          </cell>
          <cell r="AF192"/>
          <cell r="AG192">
            <v>7</v>
          </cell>
          <cell r="AH192">
            <v>17.989999999999998</v>
          </cell>
          <cell r="AI192">
            <v>125.99</v>
          </cell>
          <cell r="AJ192">
            <v>24.99</v>
          </cell>
          <cell r="AK192">
            <v>174.99</v>
          </cell>
          <cell r="AL192">
            <v>14.99</v>
          </cell>
          <cell r="AM192">
            <v>104.99</v>
          </cell>
        </row>
        <row r="193">
          <cell r="B193" t="str">
            <v>Slovakia</v>
          </cell>
          <cell r="C193" t="str">
            <v>Europe</v>
          </cell>
          <cell r="D193" t="str">
            <v>N</v>
          </cell>
          <cell r="E193">
            <v>21383</v>
          </cell>
          <cell r="F193" t="str">
            <v>EUR</v>
          </cell>
          <cell r="G193" t="str">
            <v>Y</v>
          </cell>
          <cell r="H193">
            <v>7.99</v>
          </cell>
          <cell r="I193">
            <v>9.99</v>
          </cell>
          <cell r="J193">
            <v>11.99</v>
          </cell>
          <cell r="K193" t="str">
            <v>NA</v>
          </cell>
          <cell r="L193">
            <v>0.16477272727272729</v>
          </cell>
          <cell r="M193">
            <v>516</v>
          </cell>
          <cell r="Q193">
            <v>0.61646586345381527</v>
          </cell>
          <cell r="R193">
            <v>0.38353413654618473</v>
          </cell>
          <cell r="S193" t="str">
            <v>BAU</v>
          </cell>
          <cell r="T193" t="str">
            <v>BAU</v>
          </cell>
          <cell r="U193" t="str">
            <v>BAU</v>
          </cell>
          <cell r="V193" t="str">
            <v>NA</v>
          </cell>
          <cell r="W193" t="str">
            <v>EUR</v>
          </cell>
          <cell r="X193" t="str">
            <v>BAU</v>
          </cell>
          <cell r="Y193">
            <v>17.989999999999998</v>
          </cell>
          <cell r="Z193">
            <v>54.99</v>
          </cell>
          <cell r="AA193" t="str">
            <v/>
          </cell>
          <cell r="AB193" t="str">
            <v/>
          </cell>
          <cell r="AC193">
            <v>9.99</v>
          </cell>
          <cell r="AD193">
            <v>29.99</v>
          </cell>
          <cell r="AE193" t="str">
            <v>EUR</v>
          </cell>
          <cell r="AF193"/>
          <cell r="AG193">
            <v>7</v>
          </cell>
          <cell r="AH193">
            <v>17.989999999999998</v>
          </cell>
          <cell r="AI193">
            <v>125.99</v>
          </cell>
          <cell r="AJ193" t="str">
            <v/>
          </cell>
          <cell r="AK193" t="str">
            <v/>
          </cell>
          <cell r="AL193">
            <v>9.99</v>
          </cell>
          <cell r="AM193">
            <v>69.989999999999995</v>
          </cell>
        </row>
        <row r="194">
          <cell r="B194" t="str">
            <v>Slovenia</v>
          </cell>
          <cell r="C194" t="str">
            <v>Europe</v>
          </cell>
          <cell r="D194" t="str">
            <v>Y</v>
          </cell>
          <cell r="E194">
            <v>28939</v>
          </cell>
          <cell r="F194" t="str">
            <v>EUR</v>
          </cell>
          <cell r="G194" t="str">
            <v>Y</v>
          </cell>
          <cell r="H194">
            <v>7.99</v>
          </cell>
          <cell r="I194">
            <v>9.99</v>
          </cell>
          <cell r="J194">
            <v>11.99</v>
          </cell>
          <cell r="K194">
            <v>2.4298312704076497E-2</v>
          </cell>
          <cell r="L194">
            <v>4.3402777777777679E-2</v>
          </cell>
          <cell r="M194">
            <v>2808</v>
          </cell>
          <cell r="Q194">
            <v>0.38560097620500305</v>
          </cell>
          <cell r="R194">
            <v>0.614399023794997</v>
          </cell>
          <cell r="S194">
            <v>2.87E-2</v>
          </cell>
          <cell r="T194">
            <v>2.8299999999999999E-2</v>
          </cell>
          <cell r="U194">
            <v>-1.3937282229965153E-2</v>
          </cell>
          <cell r="V194" t="str">
            <v>NA</v>
          </cell>
          <cell r="W194" t="str">
            <v>EUR</v>
          </cell>
          <cell r="X194" t="str">
            <v>Steeper than BAU</v>
          </cell>
          <cell r="Y194">
            <v>13.99</v>
          </cell>
          <cell r="Z194">
            <v>39.99</v>
          </cell>
          <cell r="AA194">
            <v>15.99</v>
          </cell>
          <cell r="AB194">
            <v>62.99</v>
          </cell>
          <cell r="AC194">
            <v>7.99</v>
          </cell>
          <cell r="AD194">
            <v>39.99</v>
          </cell>
          <cell r="AE194" t="str">
            <v>EUR</v>
          </cell>
          <cell r="AF194"/>
          <cell r="AG194">
            <v>7</v>
          </cell>
          <cell r="AH194">
            <v>13.99</v>
          </cell>
          <cell r="AI194">
            <v>97.99</v>
          </cell>
          <cell r="AJ194">
            <v>15.99</v>
          </cell>
          <cell r="AK194">
            <v>111.99</v>
          </cell>
          <cell r="AL194">
            <v>7.99</v>
          </cell>
          <cell r="AM194">
            <v>55.99</v>
          </cell>
        </row>
        <row r="195">
          <cell r="B195" t="str">
            <v>Solomon Islands</v>
          </cell>
          <cell r="C195" t="str">
            <v>Asia</v>
          </cell>
          <cell r="D195" t="str">
            <v>N</v>
          </cell>
          <cell r="E195">
            <v>2357</v>
          </cell>
          <cell r="F195" t="str">
            <v>USD</v>
          </cell>
          <cell r="G195" t="str">
            <v>N</v>
          </cell>
          <cell r="H195">
            <v>7.99</v>
          </cell>
          <cell r="I195">
            <v>9.99</v>
          </cell>
          <cell r="J195">
            <v>11.99</v>
          </cell>
          <cell r="K195" t="str">
            <v>NA</v>
          </cell>
          <cell r="L195" t="str">
            <v>Negligible</v>
          </cell>
          <cell r="M195">
            <v>8</v>
          </cell>
          <cell r="Q195">
            <v>0.7142857142857143</v>
          </cell>
          <cell r="R195">
            <v>0.2857142857142857</v>
          </cell>
          <cell r="S195" t="str">
            <v>BAU</v>
          </cell>
          <cell r="T195" t="str">
            <v>BAU</v>
          </cell>
          <cell r="U195" t="str">
            <v>BAU</v>
          </cell>
          <cell r="V195" t="str">
            <v>Bangladesh</v>
          </cell>
          <cell r="W195" t="str">
            <v>SBD</v>
          </cell>
          <cell r="X195" t="str">
            <v>BAU</v>
          </cell>
          <cell r="Y195">
            <v>109.99</v>
          </cell>
          <cell r="Z195">
            <v>329.99</v>
          </cell>
          <cell r="AA195" t="str">
            <v/>
          </cell>
          <cell r="AB195" t="str">
            <v/>
          </cell>
          <cell r="AC195">
            <v>71.989999999999995</v>
          </cell>
          <cell r="AD195">
            <v>214.99</v>
          </cell>
          <cell r="AE195" t="str">
            <v>SBD</v>
          </cell>
          <cell r="AF195"/>
          <cell r="AG195">
            <v>7</v>
          </cell>
          <cell r="AH195">
            <v>109.99</v>
          </cell>
          <cell r="AI195">
            <v>769.99</v>
          </cell>
          <cell r="AJ195" t="str">
            <v/>
          </cell>
          <cell r="AK195" t="str">
            <v/>
          </cell>
          <cell r="AL195">
            <v>71.989999999999995</v>
          </cell>
          <cell r="AM195">
            <v>503.99</v>
          </cell>
        </row>
        <row r="196">
          <cell r="B196" t="str">
            <v>South Africa</v>
          </cell>
          <cell r="C196" t="str">
            <v>Africa</v>
          </cell>
          <cell r="D196" t="str">
            <v>Y</v>
          </cell>
          <cell r="E196">
            <v>6861</v>
          </cell>
          <cell r="F196" t="str">
            <v>ZAR</v>
          </cell>
          <cell r="G196" t="str">
            <v>Y</v>
          </cell>
          <cell r="H196">
            <v>99</v>
          </cell>
          <cell r="I196">
            <v>159</v>
          </cell>
          <cell r="J196">
            <v>199</v>
          </cell>
          <cell r="K196">
            <v>3.2388959085944517E-2</v>
          </cell>
          <cell r="L196">
            <v>0.64848294293350106</v>
          </cell>
          <cell r="M196">
            <v>11459</v>
          </cell>
          <cell r="Q196">
            <v>0.83059125964010283</v>
          </cell>
          <cell r="R196">
            <v>0.16940874035989717</v>
          </cell>
          <cell r="S196">
            <v>6.9800000000000001E-2</v>
          </cell>
          <cell r="T196">
            <v>6.1600000000000002E-2</v>
          </cell>
          <cell r="U196">
            <v>-0.11747851002865328</v>
          </cell>
          <cell r="V196" t="str">
            <v>NA</v>
          </cell>
          <cell r="W196" t="str">
            <v>ZAR</v>
          </cell>
          <cell r="X196" t="str">
            <v>Steeper than BAU</v>
          </cell>
          <cell r="Y196">
            <v>139.99</v>
          </cell>
          <cell r="Z196">
            <v>419.99</v>
          </cell>
          <cell r="AA196" t="str">
            <v/>
          </cell>
          <cell r="AB196" t="str">
            <v/>
          </cell>
          <cell r="AC196">
            <v>69.989999999999995</v>
          </cell>
          <cell r="AD196">
            <v>369.99</v>
          </cell>
          <cell r="AE196" t="str">
            <v>ZAR</v>
          </cell>
          <cell r="AF196"/>
          <cell r="AG196">
            <v>7</v>
          </cell>
          <cell r="AH196">
            <v>139.99</v>
          </cell>
          <cell r="AI196">
            <v>979.99</v>
          </cell>
          <cell r="AJ196" t="str">
            <v/>
          </cell>
          <cell r="AK196" t="str">
            <v/>
          </cell>
          <cell r="AL196">
            <v>69.989999999999995</v>
          </cell>
          <cell r="AM196">
            <v>489.99</v>
          </cell>
        </row>
        <row r="197">
          <cell r="B197" t="str">
            <v>South Georgia (Sgssi)</v>
          </cell>
          <cell r="C197" t="str">
            <v>Europe</v>
          </cell>
          <cell r="D197" t="str">
            <v>N</v>
          </cell>
          <cell r="E197" t="str">
            <v>NA</v>
          </cell>
          <cell r="F197" t="str">
            <v>USD</v>
          </cell>
          <cell r="G197" t="str">
            <v>N</v>
          </cell>
          <cell r="H197">
            <v>7.99</v>
          </cell>
          <cell r="I197">
            <v>9.99</v>
          </cell>
          <cell r="J197">
            <v>11.99</v>
          </cell>
          <cell r="K197" t="str">
            <v>NA</v>
          </cell>
          <cell r="L197" t="str">
            <v>NA</v>
          </cell>
          <cell r="M197" t="str">
            <v>NA</v>
          </cell>
          <cell r="Q197" t="str">
            <v>NA</v>
          </cell>
          <cell r="R197" t="str">
            <v>NA</v>
          </cell>
          <cell r="S197" t="str">
            <v>BAU</v>
          </cell>
          <cell r="T197" t="str">
            <v>BAU</v>
          </cell>
          <cell r="U197" t="str">
            <v>BAU</v>
          </cell>
          <cell r="V197" t="str">
            <v>Bosnia And Herzegovina</v>
          </cell>
          <cell r="W197" t="str">
            <v>GBP</v>
          </cell>
          <cell r="X197" t="str">
            <v>BAU</v>
          </cell>
          <cell r="Y197">
            <v>21.99</v>
          </cell>
          <cell r="Z197">
            <v>64.989999999999995</v>
          </cell>
          <cell r="AA197">
            <v>24.99</v>
          </cell>
          <cell r="AB197">
            <v>74.989999999999995</v>
          </cell>
          <cell r="AC197">
            <v>12.99</v>
          </cell>
          <cell r="AD197">
            <v>39.99</v>
          </cell>
          <cell r="AE197" t="str">
            <v>GBP</v>
          </cell>
          <cell r="AF197"/>
          <cell r="AG197">
            <v>7</v>
          </cell>
          <cell r="AH197">
            <v>21.99</v>
          </cell>
          <cell r="AI197">
            <v>153.99</v>
          </cell>
          <cell r="AJ197">
            <v>24.99</v>
          </cell>
          <cell r="AK197">
            <v>174.99</v>
          </cell>
          <cell r="AL197">
            <v>12.99</v>
          </cell>
          <cell r="AM197">
            <v>90.99</v>
          </cell>
        </row>
        <row r="198">
          <cell r="B198" t="str">
            <v>South Korea</v>
          </cell>
          <cell r="C198" t="str">
            <v>Asia</v>
          </cell>
          <cell r="D198" t="str">
            <v>Y</v>
          </cell>
          <cell r="E198">
            <v>35196</v>
          </cell>
          <cell r="F198" t="str">
            <v>KRW</v>
          </cell>
          <cell r="G198" t="str">
            <v>Y</v>
          </cell>
          <cell r="H198">
            <v>9500</v>
          </cell>
          <cell r="I198">
            <v>13500</v>
          </cell>
          <cell r="J198">
            <v>17000</v>
          </cell>
          <cell r="K198">
            <v>1.1059759228991916E-2</v>
          </cell>
          <cell r="L198">
            <v>0.1509582567603045</v>
          </cell>
          <cell r="M198">
            <v>5205</v>
          </cell>
          <cell r="Q198">
            <v>0.50581975390754907</v>
          </cell>
          <cell r="R198">
            <v>0.49418024609245093</v>
          </cell>
          <cell r="S198" t="str">
            <v>BAU</v>
          </cell>
          <cell r="T198" t="str">
            <v>BAU</v>
          </cell>
          <cell r="U198" t="str">
            <v>BAU</v>
          </cell>
          <cell r="V198" t="str">
            <v>NA</v>
          </cell>
          <cell r="W198" t="str">
            <v>KRW</v>
          </cell>
          <cell r="X198" t="str">
            <v>BAU</v>
          </cell>
          <cell r="Y198">
            <v>25700</v>
          </cell>
          <cell r="Z198">
            <v>77100</v>
          </cell>
          <cell r="AA198">
            <v>30000</v>
          </cell>
          <cell r="AB198">
            <v>90000</v>
          </cell>
          <cell r="AC198">
            <v>17100</v>
          </cell>
          <cell r="AD198">
            <v>51300</v>
          </cell>
          <cell r="AE198" t="str">
            <v>KRW</v>
          </cell>
          <cell r="AF198"/>
          <cell r="AG198">
            <v>7</v>
          </cell>
          <cell r="AH198">
            <v>25700</v>
          </cell>
          <cell r="AI198">
            <v>179900</v>
          </cell>
          <cell r="AJ198">
            <v>30000</v>
          </cell>
          <cell r="AK198">
            <v>210000</v>
          </cell>
          <cell r="AL198">
            <v>17100</v>
          </cell>
          <cell r="AM198">
            <v>119700</v>
          </cell>
        </row>
        <row r="199">
          <cell r="B199" t="str">
            <v>Spain</v>
          </cell>
          <cell r="C199" t="str">
            <v>Europe</v>
          </cell>
          <cell r="D199" t="str">
            <v>Y</v>
          </cell>
          <cell r="E199">
            <v>30537</v>
          </cell>
          <cell r="F199" t="str">
            <v>EUR</v>
          </cell>
          <cell r="G199" t="str">
            <v>Y</v>
          </cell>
          <cell r="H199">
            <v>7.99</v>
          </cell>
          <cell r="I199">
            <v>12.99</v>
          </cell>
          <cell r="J199">
            <v>17.989999999999998</v>
          </cell>
          <cell r="K199">
            <v>3.6972713711723879E-2</v>
          </cell>
          <cell r="L199">
            <v>-6.4157809058699167E-3</v>
          </cell>
          <cell r="M199">
            <v>24826</v>
          </cell>
          <cell r="Q199">
            <v>0.58515200868621065</v>
          </cell>
          <cell r="R199">
            <v>0.41484799131378935</v>
          </cell>
          <cell r="S199" t="str">
            <v>BAU</v>
          </cell>
          <cell r="T199" t="str">
            <v>BAU</v>
          </cell>
          <cell r="U199" t="str">
            <v>BAU</v>
          </cell>
          <cell r="V199" t="str">
            <v>NA</v>
          </cell>
          <cell r="W199" t="str">
            <v>EUR</v>
          </cell>
          <cell r="X199" t="str">
            <v>BAU</v>
          </cell>
          <cell r="Y199">
            <v>14.99</v>
          </cell>
          <cell r="Z199">
            <v>44.99</v>
          </cell>
          <cell r="AA199">
            <v>17.989999999999998</v>
          </cell>
          <cell r="AB199">
            <v>53.99</v>
          </cell>
          <cell r="AC199">
            <v>9.99</v>
          </cell>
          <cell r="AD199">
            <v>29.99</v>
          </cell>
          <cell r="AE199" t="str">
            <v>EUR</v>
          </cell>
          <cell r="AF199"/>
          <cell r="AG199">
            <v>7</v>
          </cell>
          <cell r="AH199">
            <v>14.99</v>
          </cell>
          <cell r="AI199">
            <v>104.99</v>
          </cell>
          <cell r="AJ199">
            <v>17.989999999999998</v>
          </cell>
          <cell r="AK199">
            <v>125.99</v>
          </cell>
          <cell r="AL199">
            <v>9.99</v>
          </cell>
          <cell r="AM199">
            <v>69.989999999999995</v>
          </cell>
        </row>
        <row r="200">
          <cell r="B200" t="str">
            <v>Sri Lanka</v>
          </cell>
          <cell r="C200" t="str">
            <v>Asia</v>
          </cell>
          <cell r="D200" t="str">
            <v>N</v>
          </cell>
          <cell r="E200">
            <v>3666</v>
          </cell>
          <cell r="F200" t="str">
            <v>USD</v>
          </cell>
          <cell r="G200" t="str">
            <v>N</v>
          </cell>
          <cell r="H200">
            <v>7.99</v>
          </cell>
          <cell r="I200">
            <v>9.99</v>
          </cell>
          <cell r="J200">
            <v>11.99</v>
          </cell>
          <cell r="K200" t="str">
            <v>NA</v>
          </cell>
          <cell r="L200">
            <v>0.44041450777202074</v>
          </cell>
          <cell r="M200">
            <v>327</v>
          </cell>
          <cell r="Q200">
            <v>0.69182389937106914</v>
          </cell>
          <cell r="R200">
            <v>0.3081761006289308</v>
          </cell>
          <cell r="S200" t="str">
            <v>BAU</v>
          </cell>
          <cell r="T200" t="str">
            <v>BAU</v>
          </cell>
          <cell r="U200" t="str">
            <v>BAU</v>
          </cell>
          <cell r="V200" t="str">
            <v>NA</v>
          </cell>
          <cell r="W200" t="str">
            <v>LKR</v>
          </cell>
          <cell r="X200" t="str">
            <v>BAU</v>
          </cell>
          <cell r="Y200">
            <v>1900</v>
          </cell>
          <cell r="Z200">
            <v>5700</v>
          </cell>
          <cell r="AA200" t="str">
            <v/>
          </cell>
          <cell r="AB200" t="str">
            <v/>
          </cell>
          <cell r="AC200">
            <v>879.99</v>
          </cell>
          <cell r="AD200">
            <v>2640</v>
          </cell>
          <cell r="AE200" t="str">
            <v>LKR</v>
          </cell>
          <cell r="AF200"/>
          <cell r="AG200">
            <v>7</v>
          </cell>
          <cell r="AH200">
            <v>1900</v>
          </cell>
          <cell r="AI200">
            <v>13300</v>
          </cell>
          <cell r="AJ200" t="str">
            <v/>
          </cell>
          <cell r="AK200" t="str">
            <v/>
          </cell>
          <cell r="AL200">
            <v>879.99</v>
          </cell>
          <cell r="AM200">
            <v>6159.99</v>
          </cell>
        </row>
        <row r="201">
          <cell r="B201" t="str">
            <v>St. Helena</v>
          </cell>
          <cell r="C201" t="str">
            <v>Africa</v>
          </cell>
          <cell r="D201" t="str">
            <v>N</v>
          </cell>
          <cell r="E201" t="str">
            <v>NA</v>
          </cell>
          <cell r="F201" t="str">
            <v>USD</v>
          </cell>
          <cell r="G201" t="str">
            <v>N</v>
          </cell>
          <cell r="H201">
            <v>7.99</v>
          </cell>
          <cell r="I201">
            <v>9.99</v>
          </cell>
          <cell r="J201">
            <v>11.99</v>
          </cell>
          <cell r="K201" t="str">
            <v>NA</v>
          </cell>
          <cell r="L201" t="str">
            <v>NA</v>
          </cell>
          <cell r="M201" t="str">
            <v>NA</v>
          </cell>
          <cell r="Q201" t="str">
            <v>NA</v>
          </cell>
          <cell r="R201" t="str">
            <v>NA</v>
          </cell>
          <cell r="S201" t="str">
            <v>BAU</v>
          </cell>
          <cell r="T201" t="str">
            <v>BAU</v>
          </cell>
          <cell r="U201" t="str">
            <v>BAU</v>
          </cell>
          <cell r="V201" t="str">
            <v>Cote D'Ivoire</v>
          </cell>
          <cell r="W201" t="str">
            <v>SHP</v>
          </cell>
          <cell r="X201" t="str">
            <v>BAU</v>
          </cell>
          <cell r="Y201">
            <v>8.99</v>
          </cell>
          <cell r="Z201">
            <v>26.99</v>
          </cell>
          <cell r="AA201" t="str">
            <v/>
          </cell>
          <cell r="AB201" t="str">
            <v/>
          </cell>
          <cell r="AC201">
            <v>3.99</v>
          </cell>
          <cell r="AD201">
            <v>11.99</v>
          </cell>
          <cell r="AE201" t="str">
            <v>SHP</v>
          </cell>
          <cell r="AF201"/>
          <cell r="AG201">
            <v>7</v>
          </cell>
          <cell r="AH201">
            <v>8.99</v>
          </cell>
          <cell r="AI201">
            <v>62.99</v>
          </cell>
          <cell r="AJ201" t="str">
            <v/>
          </cell>
          <cell r="AK201" t="str">
            <v/>
          </cell>
          <cell r="AL201">
            <v>3.99</v>
          </cell>
          <cell r="AM201">
            <v>27.99</v>
          </cell>
        </row>
        <row r="202">
          <cell r="B202" t="str">
            <v>St. Kitts And Nevis</v>
          </cell>
          <cell r="C202" t="str">
            <v>Latin America</v>
          </cell>
          <cell r="D202" t="str">
            <v>N</v>
          </cell>
          <cell r="E202" t="str">
            <v>NA</v>
          </cell>
          <cell r="F202" t="str">
            <v>USD</v>
          </cell>
          <cell r="G202" t="str">
            <v>N</v>
          </cell>
          <cell r="H202">
            <v>8.99</v>
          </cell>
          <cell r="I202">
            <v>12.99</v>
          </cell>
          <cell r="J202">
            <v>15.99</v>
          </cell>
          <cell r="K202" t="str">
            <v>NA</v>
          </cell>
          <cell r="L202" t="str">
            <v>Negligible</v>
          </cell>
          <cell r="M202">
            <v>77</v>
          </cell>
          <cell r="Q202">
            <v>0.55421686746987953</v>
          </cell>
          <cell r="R202">
            <v>0.44578313253012047</v>
          </cell>
          <cell r="S202" t="str">
            <v>BAU</v>
          </cell>
          <cell r="T202" t="str">
            <v>BAU</v>
          </cell>
          <cell r="U202" t="str">
            <v>BAU</v>
          </cell>
          <cell r="V202" t="str">
            <v>Cayman Islands</v>
          </cell>
          <cell r="W202" t="str">
            <v>XCD</v>
          </cell>
          <cell r="X202" t="str">
            <v>BAU</v>
          </cell>
          <cell r="Y202">
            <v>37.99</v>
          </cell>
          <cell r="Z202">
            <v>114.99</v>
          </cell>
          <cell r="AA202" t="str">
            <v/>
          </cell>
          <cell r="AB202" t="str">
            <v/>
          </cell>
          <cell r="AC202">
            <v>23.99</v>
          </cell>
          <cell r="AD202">
            <v>71.989999999999995</v>
          </cell>
          <cell r="AE202" t="str">
            <v>XCD</v>
          </cell>
          <cell r="AF202"/>
          <cell r="AG202">
            <v>7</v>
          </cell>
          <cell r="AH202">
            <v>37.99</v>
          </cell>
          <cell r="AI202">
            <v>265.99</v>
          </cell>
          <cell r="AJ202" t="str">
            <v/>
          </cell>
          <cell r="AK202" t="str">
            <v/>
          </cell>
          <cell r="AL202">
            <v>23.99</v>
          </cell>
          <cell r="AM202">
            <v>167.99</v>
          </cell>
        </row>
        <row r="203">
          <cell r="B203" t="str">
            <v>St. Lucia</v>
          </cell>
          <cell r="C203" t="str">
            <v>Africa</v>
          </cell>
          <cell r="D203" t="str">
            <v>N</v>
          </cell>
          <cell r="E203" t="str">
            <v>NA</v>
          </cell>
          <cell r="F203" t="str">
            <v>USD</v>
          </cell>
          <cell r="G203" t="str">
            <v>N</v>
          </cell>
          <cell r="H203">
            <v>7.99</v>
          </cell>
          <cell r="I203">
            <v>10.99</v>
          </cell>
          <cell r="J203">
            <v>13.99</v>
          </cell>
          <cell r="K203" t="str">
            <v>NA</v>
          </cell>
          <cell r="L203" t="str">
            <v>Negligible</v>
          </cell>
          <cell r="M203">
            <v>87</v>
          </cell>
          <cell r="Q203">
            <v>0.69135802469135799</v>
          </cell>
          <cell r="R203">
            <v>0.30864197530864196</v>
          </cell>
          <cell r="S203" t="str">
            <v>BAU</v>
          </cell>
          <cell r="T203" t="str">
            <v>BAU</v>
          </cell>
          <cell r="U203" t="str">
            <v>BAU</v>
          </cell>
          <cell r="V203" t="str">
            <v>Reunion</v>
          </cell>
          <cell r="W203" t="str">
            <v>XCD</v>
          </cell>
          <cell r="X203" t="str">
            <v>BAU</v>
          </cell>
          <cell r="Y203">
            <v>37.99</v>
          </cell>
          <cell r="Z203">
            <v>114.99</v>
          </cell>
          <cell r="AA203" t="str">
            <v/>
          </cell>
          <cell r="AB203" t="str">
            <v/>
          </cell>
          <cell r="AC203">
            <v>23.99</v>
          </cell>
          <cell r="AD203">
            <v>71.989999999999995</v>
          </cell>
          <cell r="AE203" t="str">
            <v>XCD</v>
          </cell>
          <cell r="AF203"/>
          <cell r="AG203">
            <v>7</v>
          </cell>
          <cell r="AH203">
            <v>37.99</v>
          </cell>
          <cell r="AI203">
            <v>265.99</v>
          </cell>
          <cell r="AJ203" t="str">
            <v/>
          </cell>
          <cell r="AK203" t="str">
            <v/>
          </cell>
          <cell r="AL203">
            <v>23.99</v>
          </cell>
          <cell r="AM203">
            <v>167.99</v>
          </cell>
        </row>
        <row r="204">
          <cell r="B204" t="str">
            <v>St. Pierre And Miquelon</v>
          </cell>
          <cell r="C204" t="str">
            <v>Latin America</v>
          </cell>
          <cell r="D204" t="str">
            <v>N</v>
          </cell>
          <cell r="E204" t="str">
            <v>NA</v>
          </cell>
          <cell r="F204" t="str">
            <v>EUR</v>
          </cell>
          <cell r="G204" t="str">
            <v>Y</v>
          </cell>
          <cell r="H204">
            <v>7.99</v>
          </cell>
          <cell r="I204">
            <v>11.99</v>
          </cell>
          <cell r="J204">
            <v>15.99</v>
          </cell>
          <cell r="K204" t="str">
            <v>NA</v>
          </cell>
          <cell r="L204" t="str">
            <v>Negligible</v>
          </cell>
          <cell r="M204">
            <v>4</v>
          </cell>
          <cell r="Q204">
            <v>0.42857142857142855</v>
          </cell>
          <cell r="R204">
            <v>0.5714285714285714</v>
          </cell>
          <cell r="S204" t="str">
            <v>BAU</v>
          </cell>
          <cell r="T204" t="str">
            <v>BAU</v>
          </cell>
          <cell r="U204" t="str">
            <v>BAU</v>
          </cell>
          <cell r="V204" t="str">
            <v>Martinique</v>
          </cell>
          <cell r="W204" t="str">
            <v>EUR</v>
          </cell>
          <cell r="X204" t="str">
            <v>BAU</v>
          </cell>
          <cell r="Y204">
            <v>11.99</v>
          </cell>
          <cell r="Z204">
            <v>34.99</v>
          </cell>
          <cell r="AA204" t="str">
            <v/>
          </cell>
          <cell r="AB204" t="str">
            <v/>
          </cell>
          <cell r="AC204">
            <v>7.99</v>
          </cell>
          <cell r="AD204">
            <v>24.99</v>
          </cell>
          <cell r="AE204" t="str">
            <v>EUR</v>
          </cell>
          <cell r="AF204"/>
          <cell r="AG204">
            <v>7</v>
          </cell>
          <cell r="AH204">
            <v>11.99</v>
          </cell>
          <cell r="AI204">
            <v>83.99</v>
          </cell>
          <cell r="AJ204" t="str">
            <v/>
          </cell>
          <cell r="AK204" t="str">
            <v/>
          </cell>
          <cell r="AL204">
            <v>7.99</v>
          </cell>
          <cell r="AM204">
            <v>55.99</v>
          </cell>
        </row>
        <row r="205">
          <cell r="B205" t="str">
            <v>St. Vincent And The Grenadines</v>
          </cell>
          <cell r="C205" t="str">
            <v>Latin America</v>
          </cell>
          <cell r="D205" t="str">
            <v>N</v>
          </cell>
          <cell r="E205" t="str">
            <v>NA</v>
          </cell>
          <cell r="F205" t="str">
            <v>USD</v>
          </cell>
          <cell r="G205" t="str">
            <v>N</v>
          </cell>
          <cell r="H205">
            <v>7.99</v>
          </cell>
          <cell r="I205">
            <v>10.99</v>
          </cell>
          <cell r="J205">
            <v>13.99</v>
          </cell>
          <cell r="K205" t="str">
            <v>NA</v>
          </cell>
          <cell r="L205" t="str">
            <v>Negligible</v>
          </cell>
          <cell r="M205">
            <v>32</v>
          </cell>
          <cell r="Q205">
            <v>0.53846153846153844</v>
          </cell>
          <cell r="R205">
            <v>0.46153846153846156</v>
          </cell>
          <cell r="S205" t="str">
            <v>BAU</v>
          </cell>
          <cell r="T205" t="str">
            <v>BAU</v>
          </cell>
          <cell r="U205" t="str">
            <v>BAU</v>
          </cell>
          <cell r="V205" t="str">
            <v>Martinique</v>
          </cell>
          <cell r="W205" t="str">
            <v>XCD</v>
          </cell>
          <cell r="X205" t="str">
            <v>BAU</v>
          </cell>
          <cell r="Y205">
            <v>37.99</v>
          </cell>
          <cell r="Z205">
            <v>114.99</v>
          </cell>
          <cell r="AA205" t="str">
            <v/>
          </cell>
          <cell r="AB205" t="str">
            <v/>
          </cell>
          <cell r="AC205">
            <v>23.99</v>
          </cell>
          <cell r="AD205">
            <v>71.989999999999995</v>
          </cell>
          <cell r="AE205" t="str">
            <v>XCD</v>
          </cell>
          <cell r="AF205"/>
          <cell r="AG205">
            <v>7</v>
          </cell>
          <cell r="AH205">
            <v>37.99</v>
          </cell>
          <cell r="AI205">
            <v>265.99</v>
          </cell>
          <cell r="AJ205" t="str">
            <v/>
          </cell>
          <cell r="AK205" t="str">
            <v/>
          </cell>
          <cell r="AL205">
            <v>23.99</v>
          </cell>
          <cell r="AM205">
            <v>167.99</v>
          </cell>
        </row>
        <row r="206">
          <cell r="B206" t="str">
            <v>Suriname</v>
          </cell>
          <cell r="C206" t="str">
            <v>Latin America</v>
          </cell>
          <cell r="D206" t="str">
            <v>N</v>
          </cell>
          <cell r="E206">
            <v>4620</v>
          </cell>
          <cell r="F206" t="str">
            <v>USD</v>
          </cell>
          <cell r="G206" t="str">
            <v>N</v>
          </cell>
          <cell r="H206">
            <v>7.99</v>
          </cell>
          <cell r="I206">
            <v>10.99</v>
          </cell>
          <cell r="J206">
            <v>13.99</v>
          </cell>
          <cell r="K206" t="str">
            <v>NA</v>
          </cell>
          <cell r="L206" t="str">
            <v>Negligible</v>
          </cell>
          <cell r="M206">
            <v>52</v>
          </cell>
          <cell r="Q206">
            <v>0.90243902439024393</v>
          </cell>
          <cell r="R206">
            <v>9.7560975609756101E-2</v>
          </cell>
          <cell r="S206" t="str">
            <v>BAU</v>
          </cell>
          <cell r="T206" t="str">
            <v>BAU</v>
          </cell>
          <cell r="U206" t="str">
            <v>BAU</v>
          </cell>
          <cell r="V206" t="str">
            <v>Guatemala</v>
          </cell>
          <cell r="W206" t="str">
            <v>USD</v>
          </cell>
          <cell r="X206" t="str">
            <v>BAU</v>
          </cell>
          <cell r="Y206">
            <v>13.99</v>
          </cell>
          <cell r="Z206">
            <v>41.99</v>
          </cell>
          <cell r="AA206" t="str">
            <v/>
          </cell>
          <cell r="AB206" t="str">
            <v/>
          </cell>
          <cell r="AC206">
            <v>8.99</v>
          </cell>
          <cell r="AD206">
            <v>26.99</v>
          </cell>
          <cell r="AE206" t="str">
            <v>SRD</v>
          </cell>
          <cell r="AF206">
            <v>20.739000000000001</v>
          </cell>
          <cell r="AG206">
            <v>7</v>
          </cell>
          <cell r="AH206">
            <v>289</v>
          </cell>
          <cell r="AI206">
            <v>2020</v>
          </cell>
          <cell r="AJ206" t="str">
            <v/>
          </cell>
          <cell r="AK206" t="str">
            <v/>
          </cell>
          <cell r="AL206">
            <v>260</v>
          </cell>
          <cell r="AM206">
            <v>1820</v>
          </cell>
        </row>
        <row r="207">
          <cell r="B207" t="str">
            <v>Svalbard And Jan Mayen</v>
          </cell>
          <cell r="C207" t="str">
            <v>Europe</v>
          </cell>
          <cell r="D207" t="str">
            <v>N</v>
          </cell>
          <cell r="E207" t="str">
            <v>NA</v>
          </cell>
          <cell r="F207" t="str">
            <v>NOK</v>
          </cell>
          <cell r="G207" t="str">
            <v>Y</v>
          </cell>
          <cell r="H207">
            <v>89</v>
          </cell>
          <cell r="I207">
            <v>109</v>
          </cell>
          <cell r="J207">
            <v>159</v>
          </cell>
          <cell r="K207" t="str">
            <v>NA</v>
          </cell>
          <cell r="L207" t="str">
            <v>NA</v>
          </cell>
          <cell r="M207" t="str">
            <v>NA</v>
          </cell>
          <cell r="Q207" t="str">
            <v>NA</v>
          </cell>
          <cell r="R207" t="str">
            <v>NA</v>
          </cell>
          <cell r="S207" t="str">
            <v>BAU</v>
          </cell>
          <cell r="T207" t="str">
            <v>BAU</v>
          </cell>
          <cell r="U207" t="str">
            <v>BAU</v>
          </cell>
          <cell r="V207" t="str">
            <v>Norway</v>
          </cell>
          <cell r="W207" t="str">
            <v>NOK</v>
          </cell>
          <cell r="X207" t="str">
            <v>BAU</v>
          </cell>
          <cell r="Y207">
            <v>239.99</v>
          </cell>
          <cell r="Z207">
            <v>719.99</v>
          </cell>
          <cell r="AA207">
            <v>279.99</v>
          </cell>
          <cell r="AB207">
            <v>839.99</v>
          </cell>
          <cell r="AC207">
            <v>149.99</v>
          </cell>
          <cell r="AD207">
            <v>449.99</v>
          </cell>
          <cell r="AE207" t="str">
            <v>NOK</v>
          </cell>
          <cell r="AF207"/>
          <cell r="AG207">
            <v>7</v>
          </cell>
          <cell r="AH207">
            <v>239.99</v>
          </cell>
          <cell r="AI207">
            <v>1679.99</v>
          </cell>
          <cell r="AJ207">
            <v>279.99</v>
          </cell>
          <cell r="AK207">
            <v>1959.99</v>
          </cell>
          <cell r="AL207">
            <v>149.99</v>
          </cell>
          <cell r="AM207">
            <v>1049.99</v>
          </cell>
        </row>
        <row r="208">
          <cell r="B208" t="str">
            <v>Sweden</v>
          </cell>
          <cell r="C208" t="str">
            <v>Europe</v>
          </cell>
          <cell r="D208" t="str">
            <v>Y</v>
          </cell>
          <cell r="E208">
            <v>58639</v>
          </cell>
          <cell r="F208" t="str">
            <v>SEK</v>
          </cell>
          <cell r="G208" t="str">
            <v>Y</v>
          </cell>
          <cell r="H208">
            <v>99</v>
          </cell>
          <cell r="I208">
            <v>129</v>
          </cell>
          <cell r="J208">
            <v>179</v>
          </cell>
          <cell r="K208">
            <v>2.9111383372050856E-2</v>
          </cell>
          <cell r="L208">
            <v>-0.10924586776859502</v>
          </cell>
          <cell r="M208">
            <v>4125</v>
          </cell>
          <cell r="Q208">
            <v>0.47467796011999291</v>
          </cell>
          <cell r="R208">
            <v>0.52532203988000703</v>
          </cell>
          <cell r="S208">
            <v>4.5199999999999997E-2</v>
          </cell>
          <cell r="T208">
            <v>5.5199999999999999E-2</v>
          </cell>
          <cell r="U208">
            <v>0.22123893805309747</v>
          </cell>
          <cell r="V208" t="str">
            <v>NA</v>
          </cell>
          <cell r="W208" t="str">
            <v>SEK</v>
          </cell>
          <cell r="X208" t="str">
            <v>Steeper than BAU</v>
          </cell>
          <cell r="Y208">
            <v>179</v>
          </cell>
          <cell r="Z208">
            <v>539</v>
          </cell>
          <cell r="AA208">
            <v>269</v>
          </cell>
          <cell r="AB208">
            <v>814</v>
          </cell>
          <cell r="AC208">
            <v>159</v>
          </cell>
          <cell r="AD208">
            <v>499</v>
          </cell>
          <cell r="AE208" t="str">
            <v>SEK</v>
          </cell>
          <cell r="AF208"/>
          <cell r="AG208">
            <v>7</v>
          </cell>
          <cell r="AH208">
            <v>179</v>
          </cell>
          <cell r="AI208">
            <v>1250</v>
          </cell>
          <cell r="AJ208">
            <v>269</v>
          </cell>
          <cell r="AK208">
            <v>1880</v>
          </cell>
          <cell r="AL208">
            <v>159</v>
          </cell>
          <cell r="AM208">
            <v>1110</v>
          </cell>
        </row>
        <row r="209">
          <cell r="B209" t="str">
            <v>Switzerland</v>
          </cell>
          <cell r="C209" t="str">
            <v>Europe</v>
          </cell>
          <cell r="D209" t="str">
            <v>Y</v>
          </cell>
          <cell r="E209">
            <v>93515</v>
          </cell>
          <cell r="F209" t="str">
            <v>CHF</v>
          </cell>
          <cell r="G209" t="str">
            <v>Y</v>
          </cell>
          <cell r="H209">
            <v>11.9</v>
          </cell>
          <cell r="I209">
            <v>18.899999999999999</v>
          </cell>
          <cell r="J209">
            <v>24.9</v>
          </cell>
          <cell r="K209">
            <v>2.7287445539177845E-2</v>
          </cell>
          <cell r="L209">
            <v>4.5169385194479217E-2</v>
          </cell>
          <cell r="M209">
            <v>5077</v>
          </cell>
          <cell r="Q209">
            <v>0.60307591623036649</v>
          </cell>
          <cell r="R209">
            <v>0.39692408376963351</v>
          </cell>
          <cell r="S209">
            <v>5.74E-2</v>
          </cell>
          <cell r="T209">
            <v>5.2999999999999999E-2</v>
          </cell>
          <cell r="U209">
            <v>-7.6655052264808399E-2</v>
          </cell>
          <cell r="V209" t="str">
            <v>NA</v>
          </cell>
          <cell r="W209" t="str">
            <v>CHF</v>
          </cell>
          <cell r="X209" t="str">
            <v>Steeper than BAU</v>
          </cell>
          <cell r="Y209">
            <v>24.99</v>
          </cell>
          <cell r="Z209">
            <v>69.989999999999995</v>
          </cell>
          <cell r="AA209">
            <v>29.99</v>
          </cell>
          <cell r="AB209">
            <v>109.99</v>
          </cell>
          <cell r="AC209">
            <v>15.99</v>
          </cell>
          <cell r="AD209">
            <v>64.989999999999995</v>
          </cell>
          <cell r="AE209" t="str">
            <v>CHF</v>
          </cell>
          <cell r="AF209"/>
          <cell r="AG209">
            <v>7</v>
          </cell>
          <cell r="AH209">
            <v>24.99</v>
          </cell>
          <cell r="AI209">
            <v>174.99</v>
          </cell>
          <cell r="AJ209">
            <v>29.99</v>
          </cell>
          <cell r="AK209">
            <v>209.99</v>
          </cell>
          <cell r="AL209">
            <v>15.99</v>
          </cell>
          <cell r="AM209">
            <v>111.99</v>
          </cell>
        </row>
        <row r="210">
          <cell r="B210" t="str">
            <v>Taiwan</v>
          </cell>
          <cell r="C210" t="str">
            <v>NBA China</v>
          </cell>
          <cell r="D210" t="str">
            <v>Y</v>
          </cell>
          <cell r="E210">
            <v>33402</v>
          </cell>
          <cell r="F210" t="str">
            <v>TWD</v>
          </cell>
          <cell r="G210" t="str">
            <v>Y</v>
          </cell>
          <cell r="H210">
            <v>270</v>
          </cell>
          <cell r="I210">
            <v>330</v>
          </cell>
          <cell r="J210">
            <v>390</v>
          </cell>
          <cell r="K210">
            <v>1.0142619951206217E-2</v>
          </cell>
          <cell r="L210">
            <v>0.48364193234024788</v>
          </cell>
          <cell r="M210">
            <v>12810</v>
          </cell>
          <cell r="Q210">
            <v>0.5738738738738739</v>
          </cell>
          <cell r="R210">
            <v>0.4261261261261261</v>
          </cell>
          <cell r="S210" t="str">
            <v>BAU</v>
          </cell>
          <cell r="T210" t="str">
            <v>BAU</v>
          </cell>
          <cell r="U210" t="str">
            <v>BAU</v>
          </cell>
          <cell r="V210" t="str">
            <v>NA</v>
          </cell>
          <cell r="W210" t="str">
            <v>TWD</v>
          </cell>
          <cell r="X210" t="str">
            <v>BAU</v>
          </cell>
          <cell r="Y210">
            <v>440</v>
          </cell>
          <cell r="Z210">
            <v>1320</v>
          </cell>
          <cell r="AA210">
            <v>500</v>
          </cell>
          <cell r="AB210">
            <v>1500</v>
          </cell>
          <cell r="AC210">
            <v>280</v>
          </cell>
          <cell r="AD210">
            <v>840</v>
          </cell>
          <cell r="AE210" t="str">
            <v>TWD</v>
          </cell>
          <cell r="AF210"/>
          <cell r="AG210">
            <v>7</v>
          </cell>
          <cell r="AH210">
            <v>440</v>
          </cell>
          <cell r="AI210">
            <v>3080</v>
          </cell>
          <cell r="AJ210">
            <v>500</v>
          </cell>
          <cell r="AK210">
            <v>3500</v>
          </cell>
          <cell r="AL210">
            <v>280</v>
          </cell>
          <cell r="AM210">
            <v>1960</v>
          </cell>
        </row>
        <row r="211">
          <cell r="B211" t="str">
            <v>Tajikistan</v>
          </cell>
          <cell r="C211" t="str">
            <v>Asia</v>
          </cell>
          <cell r="D211" t="str">
            <v>N</v>
          </cell>
          <cell r="E211">
            <v>839</v>
          </cell>
          <cell r="F211" t="str">
            <v>EUR</v>
          </cell>
          <cell r="G211" t="str">
            <v>N</v>
          </cell>
          <cell r="H211">
            <v>9.39</v>
          </cell>
          <cell r="I211">
            <v>11.79</v>
          </cell>
          <cell r="J211">
            <v>13.99</v>
          </cell>
          <cell r="K211" t="str">
            <v>NA</v>
          </cell>
          <cell r="L211" t="str">
            <v>Negligible</v>
          </cell>
          <cell r="M211">
            <v>2</v>
          </cell>
          <cell r="Q211">
            <v>0.7142857142857143</v>
          </cell>
          <cell r="R211">
            <v>0.2857142857142857</v>
          </cell>
          <cell r="S211" t="str">
            <v>BAU</v>
          </cell>
          <cell r="T211" t="str">
            <v>BAU</v>
          </cell>
          <cell r="U211" t="str">
            <v>BAU</v>
          </cell>
          <cell r="V211" t="str">
            <v>Afghanistan</v>
          </cell>
          <cell r="W211" t="str">
            <v>TJS</v>
          </cell>
          <cell r="X211" t="str">
            <v>BAU</v>
          </cell>
          <cell r="Y211">
            <v>129.99</v>
          </cell>
          <cell r="Z211">
            <v>389.99</v>
          </cell>
          <cell r="AA211" t="str">
            <v/>
          </cell>
          <cell r="AB211" t="str">
            <v/>
          </cell>
          <cell r="AC211">
            <v>84.99</v>
          </cell>
          <cell r="AD211">
            <v>254.99</v>
          </cell>
          <cell r="AE211" t="str">
            <v>USD</v>
          </cell>
          <cell r="AF211">
            <v>7.6926700000000001E-2</v>
          </cell>
          <cell r="AG211">
            <v>7</v>
          </cell>
          <cell r="AH211">
            <v>9.99</v>
          </cell>
          <cell r="AI211">
            <v>69.989999999999995</v>
          </cell>
          <cell r="AJ211" t="str">
            <v/>
          </cell>
          <cell r="AK211" t="str">
            <v/>
          </cell>
          <cell r="AL211">
            <v>8.99</v>
          </cell>
          <cell r="AM211">
            <v>62.99</v>
          </cell>
        </row>
        <row r="212">
          <cell r="B212" t="str">
            <v>Tanzania</v>
          </cell>
          <cell r="C212" t="str">
            <v>Africa</v>
          </cell>
          <cell r="D212" t="str">
            <v>N</v>
          </cell>
          <cell r="E212">
            <v>1159</v>
          </cell>
          <cell r="F212" t="str">
            <v>USD</v>
          </cell>
          <cell r="G212" t="str">
            <v>N</v>
          </cell>
          <cell r="H212">
            <v>7.99</v>
          </cell>
          <cell r="I212">
            <v>9.99</v>
          </cell>
          <cell r="J212">
            <v>11.99</v>
          </cell>
          <cell r="K212" t="str">
            <v>NA</v>
          </cell>
          <cell r="L212">
            <v>9.625668449197855E-2</v>
          </cell>
          <cell r="M212">
            <v>256</v>
          </cell>
          <cell r="Q212">
            <v>0.60273972602739723</v>
          </cell>
          <cell r="R212">
            <v>0.39726027397260272</v>
          </cell>
          <cell r="S212" t="str">
            <v>BAU</v>
          </cell>
          <cell r="T212" t="str">
            <v>BAU</v>
          </cell>
          <cell r="U212" t="str">
            <v>BAU</v>
          </cell>
          <cell r="V212" t="str">
            <v>NA</v>
          </cell>
          <cell r="W212" t="str">
            <v>TZS</v>
          </cell>
          <cell r="X212" t="str">
            <v>BAU</v>
          </cell>
          <cell r="Y212">
            <v>25300</v>
          </cell>
          <cell r="Z212">
            <v>75900</v>
          </cell>
          <cell r="AA212" t="str">
            <v/>
          </cell>
          <cell r="AB212" t="str">
            <v/>
          </cell>
          <cell r="AC212">
            <v>11500</v>
          </cell>
          <cell r="AD212">
            <v>34500</v>
          </cell>
          <cell r="AE212" t="str">
            <v>TZS</v>
          </cell>
          <cell r="AF212"/>
          <cell r="AG212">
            <v>7</v>
          </cell>
          <cell r="AH212">
            <v>25300</v>
          </cell>
          <cell r="AI212">
            <v>177100</v>
          </cell>
          <cell r="AJ212" t="str">
            <v/>
          </cell>
          <cell r="AK212" t="str">
            <v/>
          </cell>
          <cell r="AL212">
            <v>11500</v>
          </cell>
          <cell r="AM212">
            <v>80500</v>
          </cell>
        </row>
        <row r="213">
          <cell r="B213" t="str">
            <v>Thailand</v>
          </cell>
          <cell r="C213" t="str">
            <v>Asia</v>
          </cell>
          <cell r="D213" t="str">
            <v>Y</v>
          </cell>
          <cell r="E213">
            <v>7809</v>
          </cell>
          <cell r="F213" t="str">
            <v>THB</v>
          </cell>
          <cell r="G213" t="str">
            <v>Y</v>
          </cell>
          <cell r="H213">
            <v>279</v>
          </cell>
          <cell r="I213">
            <v>349</v>
          </cell>
          <cell r="J213">
            <v>419</v>
          </cell>
          <cell r="K213">
            <v>1.2847004414803328E-2</v>
          </cell>
          <cell r="L213">
            <v>0.57863501483679536</v>
          </cell>
          <cell r="M213">
            <v>5918</v>
          </cell>
          <cell r="Q213">
            <v>0.54380603096984514</v>
          </cell>
          <cell r="R213">
            <v>0.45619396903015486</v>
          </cell>
          <cell r="S213" t="str">
            <v>BAU</v>
          </cell>
          <cell r="T213" t="str">
            <v>BAU</v>
          </cell>
          <cell r="U213" t="str">
            <v>BAU</v>
          </cell>
          <cell r="V213" t="str">
            <v>NA</v>
          </cell>
          <cell r="W213" t="str">
            <v>THB</v>
          </cell>
          <cell r="X213" t="str">
            <v>BAU</v>
          </cell>
          <cell r="Y213">
            <v>340</v>
          </cell>
          <cell r="Z213">
            <v>1020</v>
          </cell>
          <cell r="AA213">
            <v>410</v>
          </cell>
          <cell r="AB213">
            <v>1230</v>
          </cell>
          <cell r="AC213">
            <v>160</v>
          </cell>
          <cell r="AD213">
            <v>480</v>
          </cell>
          <cell r="AE213" t="str">
            <v>THB</v>
          </cell>
          <cell r="AF213"/>
          <cell r="AG213">
            <v>7</v>
          </cell>
          <cell r="AH213">
            <v>340</v>
          </cell>
          <cell r="AI213">
            <v>2380</v>
          </cell>
          <cell r="AJ213">
            <v>410</v>
          </cell>
          <cell r="AK213">
            <v>2870</v>
          </cell>
          <cell r="AL213">
            <v>160</v>
          </cell>
          <cell r="AM213">
            <v>1120</v>
          </cell>
        </row>
        <row r="214">
          <cell r="B214" t="str">
            <v>Timor-Leste</v>
          </cell>
          <cell r="C214" t="str">
            <v>Asia</v>
          </cell>
          <cell r="D214" t="str">
            <v>N</v>
          </cell>
          <cell r="E214" t="str">
            <v>NA</v>
          </cell>
          <cell r="F214" t="str">
            <v>USD</v>
          </cell>
          <cell r="G214" t="str">
            <v>Y</v>
          </cell>
          <cell r="H214">
            <v>7.99</v>
          </cell>
          <cell r="I214">
            <v>9.99</v>
          </cell>
          <cell r="J214">
            <v>11.99</v>
          </cell>
          <cell r="K214" t="str">
            <v>NA</v>
          </cell>
          <cell r="L214" t="str">
            <v>Negligible</v>
          </cell>
          <cell r="M214">
            <v>4</v>
          </cell>
          <cell r="Q214">
            <v>0.83333333333333337</v>
          </cell>
          <cell r="R214">
            <v>0.16666666666666666</v>
          </cell>
          <cell r="S214" t="str">
            <v>BAU</v>
          </cell>
          <cell r="T214" t="str">
            <v>BAU</v>
          </cell>
          <cell r="U214" t="str">
            <v>BAU</v>
          </cell>
          <cell r="V214" t="str">
            <v>French Polynesia</v>
          </cell>
          <cell r="W214" t="str">
            <v>USD</v>
          </cell>
          <cell r="X214" t="str">
            <v>BAU</v>
          </cell>
          <cell r="Y214">
            <v>10.99</v>
          </cell>
          <cell r="Z214">
            <v>32.99</v>
          </cell>
          <cell r="AA214" t="str">
            <v/>
          </cell>
          <cell r="AB214" t="str">
            <v/>
          </cell>
          <cell r="AC214">
            <v>4.99</v>
          </cell>
          <cell r="AD214">
            <v>14.99</v>
          </cell>
          <cell r="AE214" t="str">
            <v>USD</v>
          </cell>
          <cell r="AF214"/>
          <cell r="AG214">
            <v>7</v>
          </cell>
          <cell r="AH214">
            <v>10.99</v>
          </cell>
          <cell r="AI214">
            <v>76.989999999999995</v>
          </cell>
          <cell r="AJ214" t="str">
            <v/>
          </cell>
          <cell r="AK214" t="str">
            <v/>
          </cell>
          <cell r="AL214">
            <v>4.99</v>
          </cell>
          <cell r="AM214">
            <v>34.99</v>
          </cell>
        </row>
        <row r="215">
          <cell r="B215" t="str">
            <v>Togo</v>
          </cell>
          <cell r="C215" t="str">
            <v>Africa</v>
          </cell>
          <cell r="D215" t="str">
            <v>N</v>
          </cell>
          <cell r="E215">
            <v>1000</v>
          </cell>
          <cell r="F215" t="str">
            <v>USD</v>
          </cell>
          <cell r="G215" t="str">
            <v>N</v>
          </cell>
          <cell r="H215">
            <v>7.99</v>
          </cell>
          <cell r="I215">
            <v>9.99</v>
          </cell>
          <cell r="J215">
            <v>11.99</v>
          </cell>
          <cell r="K215" t="str">
            <v>NA</v>
          </cell>
          <cell r="L215" t="str">
            <v>Negligible</v>
          </cell>
          <cell r="M215">
            <v>17</v>
          </cell>
          <cell r="Q215">
            <v>0.66666666666666663</v>
          </cell>
          <cell r="R215">
            <v>0.33333333333333331</v>
          </cell>
          <cell r="S215" t="str">
            <v>BAU</v>
          </cell>
          <cell r="T215" t="str">
            <v>BAU</v>
          </cell>
          <cell r="U215" t="str">
            <v>BAU</v>
          </cell>
          <cell r="V215" t="str">
            <v>Uganda</v>
          </cell>
          <cell r="W215" t="str">
            <v>XOF</v>
          </cell>
          <cell r="X215" t="str">
            <v>BAU</v>
          </cell>
          <cell r="Y215">
            <v>6400</v>
          </cell>
          <cell r="Z215">
            <v>19200</v>
          </cell>
          <cell r="AA215" t="str">
            <v/>
          </cell>
          <cell r="AB215" t="str">
            <v/>
          </cell>
          <cell r="AC215">
            <v>2900</v>
          </cell>
          <cell r="AD215">
            <v>8700</v>
          </cell>
          <cell r="AE215" t="str">
            <v>XOF</v>
          </cell>
          <cell r="AF215"/>
          <cell r="AG215">
            <v>7</v>
          </cell>
          <cell r="AH215">
            <v>6400</v>
          </cell>
          <cell r="AI215">
            <v>44800</v>
          </cell>
          <cell r="AJ215" t="str">
            <v/>
          </cell>
          <cell r="AK215" t="str">
            <v/>
          </cell>
          <cell r="AL215">
            <v>2900</v>
          </cell>
          <cell r="AM215">
            <v>20300</v>
          </cell>
        </row>
        <row r="216">
          <cell r="B216" t="str">
            <v>Tokelau</v>
          </cell>
          <cell r="C216" t="str">
            <v>Asia</v>
          </cell>
          <cell r="D216" t="str">
            <v>N</v>
          </cell>
          <cell r="E216" t="str">
            <v>NA</v>
          </cell>
          <cell r="F216" t="str">
            <v>NZD</v>
          </cell>
          <cell r="G216" t="str">
            <v>Y</v>
          </cell>
          <cell r="H216">
            <v>12.99</v>
          </cell>
          <cell r="I216">
            <v>18.489999999999998</v>
          </cell>
          <cell r="J216">
            <v>24.99</v>
          </cell>
          <cell r="K216" t="str">
            <v>NA</v>
          </cell>
          <cell r="L216" t="str">
            <v>NA</v>
          </cell>
          <cell r="M216" t="str">
            <v>NA</v>
          </cell>
          <cell r="Q216" t="str">
            <v>NA</v>
          </cell>
          <cell r="R216" t="str">
            <v>NA</v>
          </cell>
          <cell r="S216" t="str">
            <v>BAU</v>
          </cell>
          <cell r="T216" t="str">
            <v>BAU</v>
          </cell>
          <cell r="U216" t="str">
            <v>BAU</v>
          </cell>
          <cell r="V216" t="str">
            <v>New Zealand</v>
          </cell>
          <cell r="W216" t="str">
            <v>NZD</v>
          </cell>
          <cell r="X216" t="str">
            <v>BAU</v>
          </cell>
          <cell r="Y216">
            <v>20.99</v>
          </cell>
          <cell r="Z216">
            <v>62.99</v>
          </cell>
          <cell r="AA216" t="str">
            <v/>
          </cell>
          <cell r="AB216" t="str">
            <v/>
          </cell>
          <cell r="AC216">
            <v>13.99</v>
          </cell>
          <cell r="AD216">
            <v>41.99</v>
          </cell>
          <cell r="AE216" t="str">
            <v>NZD</v>
          </cell>
          <cell r="AF216"/>
          <cell r="AG216">
            <v>7</v>
          </cell>
          <cell r="AH216">
            <v>20.99</v>
          </cell>
          <cell r="AI216">
            <v>146.99</v>
          </cell>
          <cell r="AJ216" t="str">
            <v/>
          </cell>
          <cell r="AK216" t="str">
            <v/>
          </cell>
          <cell r="AL216">
            <v>13.99</v>
          </cell>
          <cell r="AM216">
            <v>97.99</v>
          </cell>
        </row>
        <row r="217">
          <cell r="B217" t="str">
            <v>Tonga</v>
          </cell>
          <cell r="C217" t="str">
            <v>Asia</v>
          </cell>
          <cell r="D217" t="str">
            <v>N</v>
          </cell>
          <cell r="E217">
            <v>5010</v>
          </cell>
          <cell r="F217" t="str">
            <v>USD</v>
          </cell>
          <cell r="G217" t="str">
            <v>N</v>
          </cell>
          <cell r="H217">
            <v>7.99</v>
          </cell>
          <cell r="I217">
            <v>9.99</v>
          </cell>
          <cell r="J217">
            <v>11.99</v>
          </cell>
          <cell r="K217" t="str">
            <v>NA</v>
          </cell>
          <cell r="L217" t="str">
            <v>Negligible</v>
          </cell>
          <cell r="M217">
            <v>4</v>
          </cell>
          <cell r="Q217" t="str">
            <v>NA</v>
          </cell>
          <cell r="R217" t="str">
            <v>NA</v>
          </cell>
          <cell r="S217" t="str">
            <v>BAU</v>
          </cell>
          <cell r="T217" t="str">
            <v>BAU</v>
          </cell>
          <cell r="U217" t="str">
            <v>BAU</v>
          </cell>
          <cell r="V217" t="str">
            <v>Mongolia</v>
          </cell>
          <cell r="W217" t="str">
            <v>TOP</v>
          </cell>
          <cell r="X217" t="str">
            <v>BAU</v>
          </cell>
          <cell r="Y217">
            <v>31.99</v>
          </cell>
          <cell r="Z217">
            <v>94.99</v>
          </cell>
          <cell r="AA217" t="str">
            <v/>
          </cell>
          <cell r="AB217" t="str">
            <v/>
          </cell>
          <cell r="AC217">
            <v>19.989999999999998</v>
          </cell>
          <cell r="AD217">
            <v>59.99</v>
          </cell>
          <cell r="AE217" t="str">
            <v>TOP</v>
          </cell>
          <cell r="AF217"/>
          <cell r="AG217">
            <v>7</v>
          </cell>
          <cell r="AH217">
            <v>31.99</v>
          </cell>
          <cell r="AI217">
            <v>223.99</v>
          </cell>
          <cell r="AJ217" t="str">
            <v/>
          </cell>
          <cell r="AK217" t="str">
            <v/>
          </cell>
          <cell r="AL217">
            <v>19.989999999999998</v>
          </cell>
          <cell r="AM217">
            <v>139.99</v>
          </cell>
        </row>
        <row r="218">
          <cell r="B218" t="str">
            <v>Trinidad And Tobago</v>
          </cell>
          <cell r="C218" t="str">
            <v>Latin America</v>
          </cell>
          <cell r="D218" t="str">
            <v>N</v>
          </cell>
          <cell r="E218">
            <v>15353</v>
          </cell>
          <cell r="F218" t="str">
            <v>USD</v>
          </cell>
          <cell r="G218" t="str">
            <v>N</v>
          </cell>
          <cell r="H218">
            <v>8.99</v>
          </cell>
          <cell r="I218">
            <v>12.99</v>
          </cell>
          <cell r="J218">
            <v>15.99</v>
          </cell>
          <cell r="K218" t="str">
            <v>NA</v>
          </cell>
          <cell r="L218">
            <v>0.25465838509316763</v>
          </cell>
          <cell r="M218">
            <v>488</v>
          </cell>
          <cell r="Q218">
            <v>0.69028340080971662</v>
          </cell>
          <cell r="R218">
            <v>0.30971659919028338</v>
          </cell>
          <cell r="S218" t="str">
            <v>BAU</v>
          </cell>
          <cell r="T218" t="str">
            <v>BAU</v>
          </cell>
          <cell r="U218" t="str">
            <v>BAU</v>
          </cell>
          <cell r="V218" t="str">
            <v>NA</v>
          </cell>
          <cell r="W218" t="str">
            <v>TTD</v>
          </cell>
          <cell r="X218" t="str">
            <v>BAU</v>
          </cell>
          <cell r="Y218">
            <v>94.99</v>
          </cell>
          <cell r="Z218">
            <v>284.99</v>
          </cell>
          <cell r="AA218" t="str">
            <v/>
          </cell>
          <cell r="AB218" t="str">
            <v/>
          </cell>
          <cell r="AC218">
            <v>60.99</v>
          </cell>
          <cell r="AD218">
            <v>182.99</v>
          </cell>
          <cell r="AE218" t="str">
            <v>TTD</v>
          </cell>
          <cell r="AF218"/>
          <cell r="AG218">
            <v>7</v>
          </cell>
          <cell r="AH218">
            <v>94.99</v>
          </cell>
          <cell r="AI218">
            <v>664.99</v>
          </cell>
          <cell r="AJ218" t="str">
            <v/>
          </cell>
          <cell r="AK218" t="str">
            <v/>
          </cell>
          <cell r="AL218">
            <v>60.99</v>
          </cell>
          <cell r="AM218">
            <v>426.99</v>
          </cell>
        </row>
        <row r="219">
          <cell r="B219" t="str">
            <v>Tunisia</v>
          </cell>
          <cell r="C219" t="str">
            <v>Africa</v>
          </cell>
          <cell r="D219" t="str">
            <v>N</v>
          </cell>
          <cell r="E219">
            <v>3556</v>
          </cell>
          <cell r="F219" t="str">
            <v>USD</v>
          </cell>
          <cell r="G219" t="str">
            <v>N</v>
          </cell>
          <cell r="H219">
            <v>7.99</v>
          </cell>
          <cell r="I219">
            <v>9.99</v>
          </cell>
          <cell r="J219">
            <v>11.99</v>
          </cell>
          <cell r="K219" t="str">
            <v>NA</v>
          </cell>
          <cell r="L219" t="str">
            <v>Negligible</v>
          </cell>
          <cell r="M219">
            <v>80</v>
          </cell>
          <cell r="Q219">
            <v>0.85057471264367812</v>
          </cell>
          <cell r="R219">
            <v>0.14942528735632185</v>
          </cell>
          <cell r="S219" t="str">
            <v>BAU</v>
          </cell>
          <cell r="T219" t="str">
            <v>BAU</v>
          </cell>
          <cell r="U219" t="str">
            <v>BAU</v>
          </cell>
          <cell r="V219" t="str">
            <v>Ghana</v>
          </cell>
          <cell r="W219" t="str">
            <v>TND</v>
          </cell>
          <cell r="X219" t="str">
            <v>BAU</v>
          </cell>
          <cell r="Y219">
            <v>31.99</v>
          </cell>
          <cell r="Z219">
            <v>94.99</v>
          </cell>
          <cell r="AA219" t="str">
            <v/>
          </cell>
          <cell r="AB219" t="str">
            <v/>
          </cell>
          <cell r="AC219">
            <v>14.99</v>
          </cell>
          <cell r="AD219">
            <v>44.99</v>
          </cell>
          <cell r="AE219" t="str">
            <v>TND</v>
          </cell>
          <cell r="AF219"/>
          <cell r="AG219">
            <v>7</v>
          </cell>
          <cell r="AH219">
            <v>31.99</v>
          </cell>
          <cell r="AI219">
            <v>223.99</v>
          </cell>
          <cell r="AJ219" t="str">
            <v/>
          </cell>
          <cell r="AK219" t="str">
            <v/>
          </cell>
          <cell r="AL219">
            <v>14.99</v>
          </cell>
          <cell r="AM219">
            <v>104.99</v>
          </cell>
        </row>
        <row r="220">
          <cell r="B220" t="str">
            <v>Turkey</v>
          </cell>
          <cell r="C220" t="str">
            <v>Europe</v>
          </cell>
          <cell r="D220" t="str">
            <v>Y</v>
          </cell>
          <cell r="E220">
            <v>9407</v>
          </cell>
          <cell r="F220" t="str">
            <v>TRY</v>
          </cell>
          <cell r="G220" t="str">
            <v>Y</v>
          </cell>
          <cell r="H220">
            <v>26.99</v>
          </cell>
          <cell r="I220">
            <v>40.99</v>
          </cell>
          <cell r="J220">
            <v>54.99</v>
          </cell>
          <cell r="K220">
            <v>6.9639136544231237E-3</v>
          </cell>
          <cell r="L220">
            <v>0.33983666061705997</v>
          </cell>
          <cell r="M220">
            <v>3761</v>
          </cell>
          <cell r="Q220">
            <v>0.42444559051057246</v>
          </cell>
          <cell r="R220">
            <v>0.57555440948942749</v>
          </cell>
          <cell r="S220">
            <v>3.2599999999999997E-2</v>
          </cell>
          <cell r="T220">
            <v>4.3299999999999998E-2</v>
          </cell>
          <cell r="U220">
            <v>0.32822085889570563</v>
          </cell>
          <cell r="V220" t="str">
            <v>NA</v>
          </cell>
          <cell r="W220" t="str">
            <v>TRY</v>
          </cell>
          <cell r="X220" t="str">
            <v>Steeper than BAU</v>
          </cell>
          <cell r="Y220">
            <v>54.99</v>
          </cell>
          <cell r="Z220">
            <v>169.99</v>
          </cell>
          <cell r="AA220">
            <v>84.99</v>
          </cell>
          <cell r="AB220">
            <v>254.99</v>
          </cell>
          <cell r="AC220">
            <v>49.99</v>
          </cell>
          <cell r="AD220">
            <v>154.99</v>
          </cell>
          <cell r="AE220" t="str">
            <v>TRY</v>
          </cell>
          <cell r="AF220"/>
          <cell r="AG220">
            <v>7</v>
          </cell>
          <cell r="AH220">
            <v>54.99</v>
          </cell>
          <cell r="AI220">
            <v>384.99</v>
          </cell>
          <cell r="AJ220">
            <v>84.99</v>
          </cell>
          <cell r="AK220">
            <v>594.99</v>
          </cell>
          <cell r="AL220">
            <v>49.99</v>
          </cell>
          <cell r="AM220">
            <v>349.99</v>
          </cell>
        </row>
        <row r="221">
          <cell r="B221" t="str">
            <v>Turkmenistan</v>
          </cell>
          <cell r="C221" t="str">
            <v>Asia</v>
          </cell>
          <cell r="D221" t="str">
            <v>N</v>
          </cell>
          <cell r="E221">
            <v>8844</v>
          </cell>
          <cell r="F221" t="str">
            <v>EUR</v>
          </cell>
          <cell r="G221" t="str">
            <v>N</v>
          </cell>
          <cell r="H221">
            <v>7.99</v>
          </cell>
          <cell r="I221">
            <v>9.99</v>
          </cell>
          <cell r="J221">
            <v>11.99</v>
          </cell>
          <cell r="K221" t="str">
            <v>NA</v>
          </cell>
          <cell r="L221" t="str">
            <v>Negligible</v>
          </cell>
          <cell r="M221">
            <v>1</v>
          </cell>
          <cell r="Q221" t="str">
            <v>NA</v>
          </cell>
          <cell r="R221" t="str">
            <v>NA</v>
          </cell>
          <cell r="S221" t="str">
            <v>BAU</v>
          </cell>
          <cell r="T221" t="str">
            <v>BAU</v>
          </cell>
          <cell r="U221" t="str">
            <v>BAU</v>
          </cell>
          <cell r="V221" t="str">
            <v>Mongolia</v>
          </cell>
          <cell r="W221" t="str">
            <v>USD</v>
          </cell>
          <cell r="X221" t="str">
            <v>BAU</v>
          </cell>
          <cell r="Y221">
            <v>13.99</v>
          </cell>
          <cell r="Z221">
            <v>41.99</v>
          </cell>
          <cell r="AA221" t="str">
            <v/>
          </cell>
          <cell r="AB221" t="str">
            <v/>
          </cell>
          <cell r="AC221">
            <v>8.99</v>
          </cell>
          <cell r="AD221">
            <v>26.99</v>
          </cell>
          <cell r="AE221" t="str">
            <v>USD</v>
          </cell>
          <cell r="AF221"/>
          <cell r="AG221">
            <v>7</v>
          </cell>
          <cell r="AH221">
            <v>13.99</v>
          </cell>
          <cell r="AI221">
            <v>97.99</v>
          </cell>
          <cell r="AJ221" t="str">
            <v/>
          </cell>
          <cell r="AK221" t="str">
            <v/>
          </cell>
          <cell r="AL221">
            <v>8.99</v>
          </cell>
          <cell r="AM221">
            <v>62.99</v>
          </cell>
        </row>
        <row r="222">
          <cell r="B222" t="str">
            <v>Turks And Caicos Islands</v>
          </cell>
          <cell r="C222" t="str">
            <v>Latin America</v>
          </cell>
          <cell r="D222" t="str">
            <v>N</v>
          </cell>
          <cell r="E222">
            <v>2020</v>
          </cell>
          <cell r="F222" t="str">
            <v>USD</v>
          </cell>
          <cell r="G222" t="str">
            <v>Y</v>
          </cell>
          <cell r="H222">
            <v>8.99</v>
          </cell>
          <cell r="I222">
            <v>12.99</v>
          </cell>
          <cell r="J222">
            <v>15.99</v>
          </cell>
          <cell r="K222" t="str">
            <v>NA</v>
          </cell>
          <cell r="L222">
            <v>0.19230769230769229</v>
          </cell>
          <cell r="M222">
            <v>186</v>
          </cell>
          <cell r="Q222">
            <v>0.59134615384615385</v>
          </cell>
          <cell r="R222">
            <v>0.40865384615384615</v>
          </cell>
          <cell r="S222" t="str">
            <v>BAU</v>
          </cell>
          <cell r="T222" t="str">
            <v>BAU</v>
          </cell>
          <cell r="U222" t="str">
            <v>BAU</v>
          </cell>
          <cell r="V222" t="str">
            <v>NA</v>
          </cell>
          <cell r="W222" t="str">
            <v>USD</v>
          </cell>
          <cell r="X222" t="str">
            <v>BAU</v>
          </cell>
          <cell r="Y222">
            <v>13.99</v>
          </cell>
          <cell r="Z222">
            <v>41.99</v>
          </cell>
          <cell r="AA222" t="str">
            <v/>
          </cell>
          <cell r="AB222" t="str">
            <v/>
          </cell>
          <cell r="AC222">
            <v>8.99</v>
          </cell>
          <cell r="AD222">
            <v>26.99</v>
          </cell>
          <cell r="AE222" t="str">
            <v>USD</v>
          </cell>
          <cell r="AF222"/>
          <cell r="AG222">
            <v>7</v>
          </cell>
          <cell r="AH222">
            <v>13.99</v>
          </cell>
          <cell r="AI222">
            <v>97.99</v>
          </cell>
          <cell r="AJ222" t="str">
            <v/>
          </cell>
          <cell r="AK222" t="str">
            <v/>
          </cell>
          <cell r="AL222">
            <v>8.99</v>
          </cell>
          <cell r="AM222">
            <v>62.99</v>
          </cell>
        </row>
        <row r="223">
          <cell r="B223" t="str">
            <v>Tuvalu</v>
          </cell>
          <cell r="C223" t="str">
            <v>Asia</v>
          </cell>
          <cell r="D223" t="str">
            <v>N</v>
          </cell>
          <cell r="E223">
            <v>6004</v>
          </cell>
          <cell r="F223" t="str">
            <v>USD</v>
          </cell>
          <cell r="G223" t="str">
            <v>N</v>
          </cell>
          <cell r="H223">
            <v>7.99</v>
          </cell>
          <cell r="I223">
            <v>9.99</v>
          </cell>
          <cell r="J223">
            <v>11.99</v>
          </cell>
          <cell r="K223" t="str">
            <v>NA</v>
          </cell>
          <cell r="L223" t="str">
            <v>NA</v>
          </cell>
          <cell r="M223" t="str">
            <v>NA</v>
          </cell>
          <cell r="Q223" t="str">
            <v>NA</v>
          </cell>
          <cell r="R223" t="str">
            <v>NA</v>
          </cell>
          <cell r="S223" t="str">
            <v>BAU</v>
          </cell>
          <cell r="T223" t="str">
            <v>BAU</v>
          </cell>
          <cell r="U223" t="str">
            <v>BAU</v>
          </cell>
          <cell r="V223" t="str">
            <v>Mongolia</v>
          </cell>
          <cell r="W223" t="str">
            <v>AUD</v>
          </cell>
          <cell r="X223" t="str">
            <v>BAU</v>
          </cell>
          <cell r="Y223">
            <v>19.989999999999998</v>
          </cell>
          <cell r="Z223">
            <v>59.99</v>
          </cell>
          <cell r="AA223" t="str">
            <v/>
          </cell>
          <cell r="AB223" t="str">
            <v/>
          </cell>
          <cell r="AC223">
            <v>12.99</v>
          </cell>
          <cell r="AD223">
            <v>39.99</v>
          </cell>
          <cell r="AE223" t="str">
            <v>AUD</v>
          </cell>
          <cell r="AF223"/>
          <cell r="AG223">
            <v>7</v>
          </cell>
          <cell r="AH223">
            <v>19.989999999999998</v>
          </cell>
          <cell r="AI223">
            <v>139.99</v>
          </cell>
          <cell r="AJ223" t="str">
            <v/>
          </cell>
          <cell r="AK223" t="str">
            <v/>
          </cell>
          <cell r="AL223">
            <v>12.99</v>
          </cell>
          <cell r="AM223">
            <v>90.99</v>
          </cell>
        </row>
        <row r="224">
          <cell r="B224" t="str">
            <v>Uganda</v>
          </cell>
          <cell r="C224" t="str">
            <v>Africa</v>
          </cell>
          <cell r="D224" t="str">
            <v>N</v>
          </cell>
          <cell r="E224">
            <v>1018</v>
          </cell>
          <cell r="F224" t="str">
            <v>USD</v>
          </cell>
          <cell r="G224" t="str">
            <v>N</v>
          </cell>
          <cell r="H224">
            <v>7.99</v>
          </cell>
          <cell r="I224">
            <v>9.99</v>
          </cell>
          <cell r="J224">
            <v>11.99</v>
          </cell>
          <cell r="K224" t="str">
            <v>NA</v>
          </cell>
          <cell r="L224">
            <v>0.5161290322580645</v>
          </cell>
          <cell r="M224">
            <v>169</v>
          </cell>
          <cell r="Q224">
            <v>0.65492957746478875</v>
          </cell>
          <cell r="R224">
            <v>0.34507042253521125</v>
          </cell>
          <cell r="S224" t="str">
            <v>BAU</v>
          </cell>
          <cell r="T224" t="str">
            <v>BAU</v>
          </cell>
          <cell r="U224" t="str">
            <v>BAU</v>
          </cell>
          <cell r="V224" t="str">
            <v>NA</v>
          </cell>
          <cell r="W224" t="str">
            <v>UGX</v>
          </cell>
          <cell r="X224" t="str">
            <v>BAU</v>
          </cell>
          <cell r="Y224">
            <v>41200</v>
          </cell>
          <cell r="Z224">
            <v>123600</v>
          </cell>
          <cell r="AA224" t="str">
            <v/>
          </cell>
          <cell r="AB224" t="str">
            <v/>
          </cell>
          <cell r="AC224">
            <v>18700</v>
          </cell>
          <cell r="AD224">
            <v>56100</v>
          </cell>
          <cell r="AE224" t="str">
            <v>UGX</v>
          </cell>
          <cell r="AF224"/>
          <cell r="AG224">
            <v>7</v>
          </cell>
          <cell r="AH224">
            <v>41200</v>
          </cell>
          <cell r="AI224">
            <v>288400</v>
          </cell>
          <cell r="AJ224" t="str">
            <v/>
          </cell>
          <cell r="AK224" t="str">
            <v/>
          </cell>
          <cell r="AL224">
            <v>18700</v>
          </cell>
          <cell r="AM224">
            <v>130900</v>
          </cell>
        </row>
        <row r="225">
          <cell r="B225" t="str">
            <v>Ukraine</v>
          </cell>
          <cell r="C225" t="str">
            <v>Europe</v>
          </cell>
          <cell r="D225" t="str">
            <v>N</v>
          </cell>
          <cell r="E225">
            <v>4384</v>
          </cell>
          <cell r="F225" t="str">
            <v>EUR</v>
          </cell>
          <cell r="G225" t="str">
            <v>N</v>
          </cell>
          <cell r="H225">
            <v>4.99</v>
          </cell>
          <cell r="I225">
            <v>7.49</v>
          </cell>
          <cell r="J225">
            <v>9.99</v>
          </cell>
          <cell r="K225" t="str">
            <v>NA</v>
          </cell>
          <cell r="L225">
            <v>0.3443298969072166</v>
          </cell>
          <cell r="M225">
            <v>810</v>
          </cell>
          <cell r="Q225">
            <v>0.60943168077388155</v>
          </cell>
          <cell r="R225">
            <v>0.39056831922611851</v>
          </cell>
          <cell r="S225" t="str">
            <v>BAU</v>
          </cell>
          <cell r="T225" t="str">
            <v>BAU</v>
          </cell>
          <cell r="U225" t="str">
            <v>BAU</v>
          </cell>
          <cell r="V225" t="str">
            <v>NA</v>
          </cell>
          <cell r="W225" t="str">
            <v>UAH</v>
          </cell>
          <cell r="X225" t="str">
            <v>BAU</v>
          </cell>
          <cell r="Y225">
            <v>369.99</v>
          </cell>
          <cell r="Z225">
            <v>1109.99</v>
          </cell>
          <cell r="AA225" t="str">
            <v/>
          </cell>
          <cell r="AB225" t="str">
            <v/>
          </cell>
          <cell r="AC225">
            <v>239.99</v>
          </cell>
          <cell r="AD225">
            <v>719.99</v>
          </cell>
          <cell r="AE225" t="str">
            <v>UAH</v>
          </cell>
          <cell r="AF225"/>
          <cell r="AG225">
            <v>7</v>
          </cell>
          <cell r="AH225">
            <v>369.99</v>
          </cell>
          <cell r="AI225">
            <v>2589.9899999999998</v>
          </cell>
          <cell r="AJ225" t="str">
            <v/>
          </cell>
          <cell r="AK225" t="str">
            <v/>
          </cell>
          <cell r="AL225">
            <v>239.99</v>
          </cell>
          <cell r="AM225">
            <v>1679.99</v>
          </cell>
        </row>
        <row r="226">
          <cell r="B226" t="str">
            <v>United Arab Emirates</v>
          </cell>
          <cell r="C226" t="str">
            <v>Middle East</v>
          </cell>
          <cell r="D226" t="str">
            <v>Y</v>
          </cell>
          <cell r="E226">
            <v>43538</v>
          </cell>
          <cell r="F226" t="str">
            <v>AED</v>
          </cell>
          <cell r="G226" t="str">
            <v>Y</v>
          </cell>
          <cell r="H226">
            <v>29</v>
          </cell>
          <cell r="I226">
            <v>39</v>
          </cell>
          <cell r="J226">
            <v>56</v>
          </cell>
          <cell r="K226">
            <v>2.2989600195222924E-2</v>
          </cell>
          <cell r="L226">
            <v>0.17944899478778864</v>
          </cell>
          <cell r="M226">
            <v>1965</v>
          </cell>
          <cell r="Q226">
            <v>0.49312786339025405</v>
          </cell>
          <cell r="R226">
            <v>0.50687213660974595</v>
          </cell>
          <cell r="S226" t="str">
            <v>BAU</v>
          </cell>
          <cell r="T226" t="str">
            <v>BAU</v>
          </cell>
          <cell r="U226" t="str">
            <v>BAU</v>
          </cell>
          <cell r="V226" t="str">
            <v>NA</v>
          </cell>
          <cell r="W226" t="str">
            <v>AED</v>
          </cell>
          <cell r="X226" t="str">
            <v>BAU</v>
          </cell>
          <cell r="Y226">
            <v>83.99</v>
          </cell>
          <cell r="Z226">
            <v>249.99</v>
          </cell>
          <cell r="AA226">
            <v>99.99</v>
          </cell>
          <cell r="AB226">
            <v>299.99</v>
          </cell>
          <cell r="AC226">
            <v>43.99</v>
          </cell>
          <cell r="AD226">
            <v>131.99</v>
          </cell>
          <cell r="AE226" t="str">
            <v>AED</v>
          </cell>
          <cell r="AF226"/>
          <cell r="AG226">
            <v>7</v>
          </cell>
          <cell r="AH226">
            <v>83.99</v>
          </cell>
          <cell r="AI226">
            <v>587.99</v>
          </cell>
          <cell r="AJ226">
            <v>99.99</v>
          </cell>
          <cell r="AK226">
            <v>699.99</v>
          </cell>
          <cell r="AL226">
            <v>43.99</v>
          </cell>
          <cell r="AM226">
            <v>307.99</v>
          </cell>
        </row>
        <row r="227">
          <cell r="B227" t="str">
            <v>United Kingdom</v>
          </cell>
          <cell r="C227" t="str">
            <v>Europe</v>
          </cell>
          <cell r="D227" t="str">
            <v>Y</v>
          </cell>
          <cell r="E227">
            <v>46200</v>
          </cell>
          <cell r="F227" t="str">
            <v>GBP</v>
          </cell>
          <cell r="G227" t="str">
            <v>Y</v>
          </cell>
          <cell r="H227">
            <v>5.99</v>
          </cell>
          <cell r="I227">
            <v>9.99</v>
          </cell>
          <cell r="J227">
            <v>13.99</v>
          </cell>
          <cell r="K227">
            <v>2.0779862400672342E-2</v>
          </cell>
          <cell r="L227">
            <v>5.685428422400296E-2</v>
          </cell>
          <cell r="M227">
            <v>27627</v>
          </cell>
          <cell r="Q227">
            <v>0.45203364125189577</v>
          </cell>
          <cell r="R227">
            <v>0.54796635874810429</v>
          </cell>
          <cell r="S227">
            <v>6.4100000000000004E-2</v>
          </cell>
          <cell r="T227">
            <v>7.7399999999999997E-2</v>
          </cell>
          <cell r="U227">
            <v>0.20748829953198111</v>
          </cell>
          <cell r="V227" t="str">
            <v>NA</v>
          </cell>
          <cell r="W227" t="str">
            <v>GBP</v>
          </cell>
          <cell r="X227" t="str">
            <v>Steeper than BAU</v>
          </cell>
          <cell r="Y227">
            <v>14.99</v>
          </cell>
          <cell r="Z227">
            <v>44.99</v>
          </cell>
          <cell r="AA227">
            <v>21.99</v>
          </cell>
          <cell r="AB227">
            <v>64.989999999999995</v>
          </cell>
          <cell r="AC227">
            <v>13.99</v>
          </cell>
          <cell r="AD227">
            <v>41.99</v>
          </cell>
          <cell r="AE227" t="str">
            <v>GBP</v>
          </cell>
          <cell r="AF227"/>
          <cell r="AG227">
            <v>7</v>
          </cell>
          <cell r="AH227">
            <v>14.99</v>
          </cell>
          <cell r="AI227">
            <v>104.99</v>
          </cell>
          <cell r="AJ227">
            <v>21.99</v>
          </cell>
          <cell r="AK227">
            <v>153.99</v>
          </cell>
          <cell r="AL227">
            <v>13.99</v>
          </cell>
          <cell r="AM227">
            <v>97.99</v>
          </cell>
        </row>
        <row r="228">
          <cell r="B228" t="str">
            <v>Uruguay</v>
          </cell>
          <cell r="C228" t="str">
            <v>Latin America</v>
          </cell>
          <cell r="D228" t="str">
            <v>Y</v>
          </cell>
          <cell r="E228">
            <v>16965</v>
          </cell>
          <cell r="F228" t="str">
            <v>USD</v>
          </cell>
          <cell r="G228" t="str">
            <v>N</v>
          </cell>
          <cell r="H228">
            <v>8.99</v>
          </cell>
          <cell r="I228">
            <v>12.99</v>
          </cell>
          <cell r="J228">
            <v>15.99</v>
          </cell>
          <cell r="K228">
            <v>5.1136645138019722E-2</v>
          </cell>
          <cell r="L228">
            <v>0.23311016433353626</v>
          </cell>
          <cell r="M228">
            <v>2356</v>
          </cell>
          <cell r="Q228">
            <v>0.7171134020618557</v>
          </cell>
          <cell r="R228">
            <v>0.28288659793814436</v>
          </cell>
          <cell r="S228" t="str">
            <v>BAU</v>
          </cell>
          <cell r="T228" t="str">
            <v>BAU</v>
          </cell>
          <cell r="U228" t="str">
            <v>BAU</v>
          </cell>
          <cell r="V228" t="str">
            <v>NA</v>
          </cell>
          <cell r="W228" t="str">
            <v>UYU</v>
          </cell>
          <cell r="X228" t="str">
            <v>BAU</v>
          </cell>
          <cell r="Y228">
            <v>489.99</v>
          </cell>
          <cell r="Z228">
            <v>1469.99</v>
          </cell>
          <cell r="AA228" t="str">
            <v/>
          </cell>
          <cell r="AB228" t="str">
            <v/>
          </cell>
          <cell r="AC228">
            <v>319.99</v>
          </cell>
          <cell r="AD228">
            <v>959.99</v>
          </cell>
          <cell r="AE228" t="str">
            <v>UYU</v>
          </cell>
          <cell r="AF228"/>
          <cell r="AG228">
            <v>7</v>
          </cell>
          <cell r="AH228">
            <v>489.99</v>
          </cell>
          <cell r="AI228">
            <v>3429.99</v>
          </cell>
          <cell r="AJ228" t="str">
            <v/>
          </cell>
          <cell r="AK228" t="str">
            <v/>
          </cell>
          <cell r="AL228">
            <v>319.99</v>
          </cell>
          <cell r="AM228">
            <v>2239.9899999999998</v>
          </cell>
        </row>
        <row r="229">
          <cell r="B229" t="str">
            <v>Uzbekistan</v>
          </cell>
          <cell r="C229" t="str">
            <v>Asia</v>
          </cell>
          <cell r="D229" t="str">
            <v>N</v>
          </cell>
          <cell r="E229">
            <v>1901</v>
          </cell>
          <cell r="F229" t="str">
            <v>EUR</v>
          </cell>
          <cell r="G229" t="str">
            <v>N</v>
          </cell>
          <cell r="H229">
            <v>7.99</v>
          </cell>
          <cell r="I229">
            <v>9.99</v>
          </cell>
          <cell r="J229">
            <v>11.99</v>
          </cell>
          <cell r="K229" t="str">
            <v>NA</v>
          </cell>
          <cell r="L229" t="str">
            <v>Negligible</v>
          </cell>
          <cell r="M229">
            <v>30</v>
          </cell>
          <cell r="Q229">
            <v>0.85</v>
          </cell>
          <cell r="R229">
            <v>0.15</v>
          </cell>
          <cell r="S229" t="str">
            <v>BAU</v>
          </cell>
          <cell r="T229" t="str">
            <v>BAU</v>
          </cell>
          <cell r="U229" t="str">
            <v>BAU</v>
          </cell>
          <cell r="V229" t="str">
            <v>Cambodia</v>
          </cell>
          <cell r="W229" t="str">
            <v>UZS</v>
          </cell>
          <cell r="X229" t="str">
            <v>BAU</v>
          </cell>
          <cell r="Y229">
            <v>119000</v>
          </cell>
          <cell r="Z229">
            <v>357000</v>
          </cell>
          <cell r="AA229" t="str">
            <v/>
          </cell>
          <cell r="AB229" t="str">
            <v/>
          </cell>
          <cell r="AC229">
            <v>76600</v>
          </cell>
          <cell r="AD229">
            <v>229800</v>
          </cell>
          <cell r="AE229" t="str">
            <v>UZS</v>
          </cell>
          <cell r="AF229"/>
          <cell r="AG229">
            <v>7</v>
          </cell>
          <cell r="AH229">
            <v>119000</v>
          </cell>
          <cell r="AI229">
            <v>833000</v>
          </cell>
          <cell r="AJ229" t="str">
            <v/>
          </cell>
          <cell r="AK229" t="str">
            <v/>
          </cell>
          <cell r="AL229">
            <v>76600</v>
          </cell>
          <cell r="AM229">
            <v>536200</v>
          </cell>
        </row>
        <row r="230">
          <cell r="B230" t="str">
            <v>Vanuatu</v>
          </cell>
          <cell r="C230" t="str">
            <v>Asia</v>
          </cell>
          <cell r="D230" t="str">
            <v>N</v>
          </cell>
          <cell r="E230">
            <v>3235</v>
          </cell>
          <cell r="F230" t="str">
            <v>USD</v>
          </cell>
          <cell r="G230" t="str">
            <v>N</v>
          </cell>
          <cell r="H230">
            <v>7.99</v>
          </cell>
          <cell r="I230">
            <v>9.99</v>
          </cell>
          <cell r="J230">
            <v>11.99</v>
          </cell>
          <cell r="K230" t="str">
            <v>NA</v>
          </cell>
          <cell r="L230" t="str">
            <v>Negligible</v>
          </cell>
          <cell r="M230">
            <v>15</v>
          </cell>
          <cell r="Q230">
            <v>0.7857142857142857</v>
          </cell>
          <cell r="R230">
            <v>0.21428571428571427</v>
          </cell>
          <cell r="S230" t="str">
            <v>BAU</v>
          </cell>
          <cell r="T230" t="str">
            <v>BAU</v>
          </cell>
          <cell r="U230" t="str">
            <v>BAU</v>
          </cell>
          <cell r="V230" t="str">
            <v>Sri Lanka</v>
          </cell>
          <cell r="W230" t="str">
            <v>VUV</v>
          </cell>
          <cell r="X230" t="str">
            <v>BAU</v>
          </cell>
          <cell r="Y230">
            <v>1600</v>
          </cell>
          <cell r="Z230">
            <v>4800</v>
          </cell>
          <cell r="AA230" t="str">
            <v/>
          </cell>
          <cell r="AB230" t="str">
            <v/>
          </cell>
          <cell r="AC230">
            <v>1000</v>
          </cell>
          <cell r="AD230">
            <v>3000</v>
          </cell>
          <cell r="AE230" t="str">
            <v>VUV</v>
          </cell>
          <cell r="AF230"/>
          <cell r="AG230">
            <v>7</v>
          </cell>
          <cell r="AH230">
            <v>1600</v>
          </cell>
          <cell r="AI230">
            <v>11200</v>
          </cell>
          <cell r="AJ230" t="str">
            <v/>
          </cell>
          <cell r="AK230" t="str">
            <v/>
          </cell>
          <cell r="AL230">
            <v>1000</v>
          </cell>
          <cell r="AM230">
            <v>7000</v>
          </cell>
        </row>
        <row r="231">
          <cell r="B231" t="str">
            <v>Vatican City State</v>
          </cell>
          <cell r="C231" t="str">
            <v>Europe</v>
          </cell>
          <cell r="D231" t="str">
            <v>N</v>
          </cell>
          <cell r="E231" t="str">
            <v>NA</v>
          </cell>
          <cell r="F231" t="str">
            <v>EUR</v>
          </cell>
          <cell r="G231" t="str">
            <v>Y</v>
          </cell>
          <cell r="H231">
            <v>7.99</v>
          </cell>
          <cell r="I231">
            <v>12.99</v>
          </cell>
          <cell r="J231">
            <v>17.989999999999998</v>
          </cell>
          <cell r="K231" t="str">
            <v>NA</v>
          </cell>
          <cell r="L231" t="str">
            <v>Negligible</v>
          </cell>
          <cell r="M231">
            <v>1</v>
          </cell>
          <cell r="Q231" t="str">
            <v>NA</v>
          </cell>
          <cell r="R231" t="str">
            <v>NA</v>
          </cell>
          <cell r="S231" t="str">
            <v>BAU</v>
          </cell>
          <cell r="T231" t="str">
            <v>BAU</v>
          </cell>
          <cell r="U231" t="str">
            <v>BAU</v>
          </cell>
          <cell r="V231" t="str">
            <v>Spain</v>
          </cell>
          <cell r="W231" t="str">
            <v>EUR</v>
          </cell>
          <cell r="X231" t="str">
            <v>BAU</v>
          </cell>
          <cell r="Y231">
            <v>19.989999999999998</v>
          </cell>
          <cell r="Z231">
            <v>59.99</v>
          </cell>
          <cell r="AA231">
            <v>22.99</v>
          </cell>
          <cell r="AB231">
            <v>68.989999999999995</v>
          </cell>
          <cell r="AC231">
            <v>10.99</v>
          </cell>
          <cell r="AD231">
            <v>32.99</v>
          </cell>
          <cell r="AE231" t="str">
            <v>EUR</v>
          </cell>
          <cell r="AF231"/>
          <cell r="AG231">
            <v>7</v>
          </cell>
          <cell r="AH231">
            <v>19.989999999999998</v>
          </cell>
          <cell r="AI231">
            <v>139.99</v>
          </cell>
          <cell r="AJ231">
            <v>22.99</v>
          </cell>
          <cell r="AK231">
            <v>160.99</v>
          </cell>
          <cell r="AL231">
            <v>10.99</v>
          </cell>
          <cell r="AM231">
            <v>76.989999999999995</v>
          </cell>
        </row>
        <row r="232">
          <cell r="B232" t="str">
            <v>Venezuela</v>
          </cell>
          <cell r="C232" t="str">
            <v>Latin America</v>
          </cell>
          <cell r="D232" t="str">
            <v>N</v>
          </cell>
          <cell r="E232">
            <v>1627</v>
          </cell>
          <cell r="F232" t="str">
            <v>USD</v>
          </cell>
          <cell r="G232" t="str">
            <v>Y</v>
          </cell>
          <cell r="H232">
            <v>7.99</v>
          </cell>
          <cell r="I232">
            <v>10.99</v>
          </cell>
          <cell r="J232">
            <v>13.99</v>
          </cell>
          <cell r="K232" t="str">
            <v>NA</v>
          </cell>
          <cell r="L232">
            <v>0.73607038123167157</v>
          </cell>
          <cell r="M232">
            <v>691</v>
          </cell>
          <cell r="Q232">
            <v>0.64011379800853485</v>
          </cell>
          <cell r="R232">
            <v>0.35988620199146515</v>
          </cell>
          <cell r="S232" t="str">
            <v>BAU</v>
          </cell>
          <cell r="T232" t="str">
            <v>BAU</v>
          </cell>
          <cell r="U232" t="str">
            <v>BAU</v>
          </cell>
          <cell r="V232" t="str">
            <v>NA</v>
          </cell>
          <cell r="W232" t="str">
            <v>USD</v>
          </cell>
          <cell r="X232" t="str">
            <v>BAU</v>
          </cell>
          <cell r="Y232">
            <v>13.99</v>
          </cell>
          <cell r="Z232">
            <v>41.99</v>
          </cell>
          <cell r="AA232" t="str">
            <v/>
          </cell>
          <cell r="AB232" t="str">
            <v/>
          </cell>
          <cell r="AC232">
            <v>8.99</v>
          </cell>
          <cell r="AD232">
            <v>26.99</v>
          </cell>
          <cell r="AE232" t="str">
            <v>USD</v>
          </cell>
          <cell r="AF232"/>
          <cell r="AG232">
            <v>7</v>
          </cell>
          <cell r="AH232">
            <v>13.99</v>
          </cell>
          <cell r="AI232">
            <v>97.99</v>
          </cell>
          <cell r="AJ232" t="str">
            <v/>
          </cell>
          <cell r="AK232" t="str">
            <v/>
          </cell>
          <cell r="AL232">
            <v>8.99</v>
          </cell>
          <cell r="AM232">
            <v>62.99</v>
          </cell>
        </row>
        <row r="233">
          <cell r="B233" t="str">
            <v>Vietnam</v>
          </cell>
          <cell r="C233" t="str">
            <v>Asia</v>
          </cell>
          <cell r="D233" t="str">
            <v>Y</v>
          </cell>
          <cell r="E233">
            <v>3743</v>
          </cell>
          <cell r="F233" t="str">
            <v>VND</v>
          </cell>
          <cell r="G233" t="str">
            <v>Y</v>
          </cell>
          <cell r="H233">
            <v>180000</v>
          </cell>
          <cell r="I233">
            <v>220000</v>
          </cell>
          <cell r="J233">
            <v>260000</v>
          </cell>
          <cell r="K233">
            <v>1.2605290074596102E-2</v>
          </cell>
          <cell r="L233">
            <v>0.14250089063056648</v>
          </cell>
          <cell r="M233">
            <v>3368</v>
          </cell>
          <cell r="Q233">
            <v>0.89411407766990292</v>
          </cell>
          <cell r="R233">
            <v>0.10588592233009708</v>
          </cell>
          <cell r="S233" t="str">
            <v>BAU</v>
          </cell>
          <cell r="T233" t="str">
            <v>BAU</v>
          </cell>
          <cell r="U233" t="str">
            <v>BAU</v>
          </cell>
          <cell r="V233" t="str">
            <v>NA</v>
          </cell>
          <cell r="W233" t="str">
            <v>VND</v>
          </cell>
          <cell r="X233" t="str">
            <v>BAU</v>
          </cell>
          <cell r="Y233">
            <v>256000</v>
          </cell>
          <cell r="Z233">
            <v>768000</v>
          </cell>
          <cell r="AA233" t="str">
            <v/>
          </cell>
          <cell r="AB233" t="str">
            <v/>
          </cell>
          <cell r="AC233">
            <v>116000</v>
          </cell>
          <cell r="AD233">
            <v>348000</v>
          </cell>
          <cell r="AE233" t="str">
            <v>VND</v>
          </cell>
          <cell r="AF233"/>
          <cell r="AG233">
            <v>7</v>
          </cell>
          <cell r="AH233">
            <v>256000</v>
          </cell>
          <cell r="AI233">
            <v>1792000</v>
          </cell>
          <cell r="AJ233" t="str">
            <v/>
          </cell>
          <cell r="AK233" t="str">
            <v/>
          </cell>
          <cell r="AL233">
            <v>116000</v>
          </cell>
          <cell r="AM233">
            <v>812000</v>
          </cell>
        </row>
        <row r="234">
          <cell r="B234" t="str">
            <v>Wallis And Futuna</v>
          </cell>
          <cell r="C234" t="str">
            <v>Asia</v>
          </cell>
          <cell r="D234" t="str">
            <v>N</v>
          </cell>
          <cell r="E234" t="str">
            <v>NA</v>
          </cell>
          <cell r="F234" t="str">
            <v>USD</v>
          </cell>
          <cell r="G234" t="str">
            <v>N</v>
          </cell>
          <cell r="H234">
            <v>7.99</v>
          </cell>
          <cell r="I234">
            <v>9.99</v>
          </cell>
          <cell r="J234">
            <v>11.99</v>
          </cell>
          <cell r="K234" t="str">
            <v>NA</v>
          </cell>
          <cell r="L234" t="str">
            <v>Negligible</v>
          </cell>
          <cell r="M234">
            <v>3</v>
          </cell>
          <cell r="Q234" t="str">
            <v>NA</v>
          </cell>
          <cell r="R234" t="str">
            <v>NA</v>
          </cell>
          <cell r="S234" t="str">
            <v>BAU</v>
          </cell>
          <cell r="T234" t="str">
            <v>BAU</v>
          </cell>
          <cell r="U234" t="str">
            <v>BAU</v>
          </cell>
          <cell r="V234" t="str">
            <v>French Polynesia</v>
          </cell>
          <cell r="W234" t="str">
            <v>XPF</v>
          </cell>
          <cell r="X234" t="str">
            <v>BAU</v>
          </cell>
          <cell r="Y234">
            <v>1500</v>
          </cell>
          <cell r="Z234">
            <v>4500</v>
          </cell>
          <cell r="AA234" t="str">
            <v/>
          </cell>
          <cell r="AB234" t="str">
            <v/>
          </cell>
          <cell r="AC234">
            <v>950</v>
          </cell>
          <cell r="AD234">
            <v>2850</v>
          </cell>
          <cell r="AE234" t="str">
            <v>XPF</v>
          </cell>
          <cell r="AF234"/>
          <cell r="AG234">
            <v>7</v>
          </cell>
          <cell r="AH234">
            <v>1500</v>
          </cell>
          <cell r="AI234">
            <v>10500</v>
          </cell>
          <cell r="AJ234" t="str">
            <v/>
          </cell>
          <cell r="AK234" t="str">
            <v/>
          </cell>
          <cell r="AL234">
            <v>950</v>
          </cell>
          <cell r="AM234">
            <v>6650</v>
          </cell>
        </row>
        <row r="235">
          <cell r="B235" t="str">
            <v>Western Sahara</v>
          </cell>
          <cell r="C235" t="str">
            <v>Africa</v>
          </cell>
          <cell r="D235" t="str">
            <v>N</v>
          </cell>
          <cell r="E235" t="str">
            <v>NA</v>
          </cell>
          <cell r="F235" t="str">
            <v>USD</v>
          </cell>
          <cell r="G235" t="str">
            <v>N</v>
          </cell>
          <cell r="H235">
            <v>7.99</v>
          </cell>
          <cell r="I235">
            <v>9.99</v>
          </cell>
          <cell r="J235">
            <v>11.99</v>
          </cell>
          <cell r="K235" t="str">
            <v>NA</v>
          </cell>
          <cell r="L235" t="str">
            <v>NA</v>
          </cell>
          <cell r="M235" t="str">
            <v>NA</v>
          </cell>
          <cell r="Q235" t="str">
            <v>NA</v>
          </cell>
          <cell r="R235" t="str">
            <v>NA</v>
          </cell>
          <cell r="S235" t="str">
            <v>BAU</v>
          </cell>
          <cell r="T235" t="str">
            <v>BAU</v>
          </cell>
          <cell r="U235" t="str">
            <v>BAU</v>
          </cell>
          <cell r="V235" t="str">
            <v>Cote D'Ivoire</v>
          </cell>
          <cell r="W235" t="str">
            <v>USD</v>
          </cell>
          <cell r="X235" t="str">
            <v>BAU</v>
          </cell>
          <cell r="Y235">
            <v>10.99</v>
          </cell>
          <cell r="Z235">
            <v>32.99</v>
          </cell>
          <cell r="AA235" t="str">
            <v/>
          </cell>
          <cell r="AB235" t="str">
            <v/>
          </cell>
          <cell r="AC235">
            <v>4.99</v>
          </cell>
          <cell r="AD235">
            <v>14.99</v>
          </cell>
          <cell r="AE235" t="str">
            <v>MAD</v>
          </cell>
          <cell r="AF235">
            <v>9.8544999999999998</v>
          </cell>
          <cell r="AG235">
            <v>7</v>
          </cell>
          <cell r="AH235">
            <v>107</v>
          </cell>
          <cell r="AI235">
            <v>750</v>
          </cell>
          <cell r="AJ235" t="str">
            <v/>
          </cell>
          <cell r="AK235" t="str">
            <v/>
          </cell>
          <cell r="AL235">
            <v>96</v>
          </cell>
          <cell r="AM235">
            <v>660</v>
          </cell>
        </row>
        <row r="236">
          <cell r="B236" t="str">
            <v>Yemen</v>
          </cell>
          <cell r="C236" t="str">
            <v>Middle East</v>
          </cell>
          <cell r="D236" t="str">
            <v>N</v>
          </cell>
          <cell r="E236">
            <v>585</v>
          </cell>
          <cell r="F236" t="str">
            <v>USD</v>
          </cell>
          <cell r="G236" t="str">
            <v>N</v>
          </cell>
          <cell r="H236">
            <v>7.99</v>
          </cell>
          <cell r="I236">
            <v>9.99</v>
          </cell>
          <cell r="J236">
            <v>11.99</v>
          </cell>
          <cell r="K236" t="str">
            <v>NA</v>
          </cell>
          <cell r="L236" t="str">
            <v>Negligible</v>
          </cell>
          <cell r="M236">
            <v>4</v>
          </cell>
          <cell r="Q236" t="str">
            <v>NA</v>
          </cell>
          <cell r="R236" t="str">
            <v>NA</v>
          </cell>
          <cell r="S236" t="str">
            <v>BAU</v>
          </cell>
          <cell r="T236" t="str">
            <v>BAU</v>
          </cell>
          <cell r="U236" t="str">
            <v>BAU</v>
          </cell>
          <cell r="V236" t="str">
            <v>Lebanon</v>
          </cell>
          <cell r="W236" t="str">
            <v>YER</v>
          </cell>
          <cell r="X236" t="str">
            <v>BAU</v>
          </cell>
          <cell r="Y236">
            <v>3500</v>
          </cell>
          <cell r="Z236">
            <v>10500</v>
          </cell>
          <cell r="AA236" t="str">
            <v/>
          </cell>
          <cell r="AB236" t="str">
            <v/>
          </cell>
          <cell r="AC236">
            <v>2300</v>
          </cell>
          <cell r="AD236">
            <v>6900</v>
          </cell>
          <cell r="AE236" t="str">
            <v>YER</v>
          </cell>
          <cell r="AF236"/>
          <cell r="AG236">
            <v>7</v>
          </cell>
          <cell r="AH236">
            <v>3500</v>
          </cell>
          <cell r="AI236">
            <v>24500</v>
          </cell>
          <cell r="AJ236" t="str">
            <v/>
          </cell>
          <cell r="AK236" t="str">
            <v/>
          </cell>
          <cell r="AL236">
            <v>2300</v>
          </cell>
          <cell r="AM236">
            <v>16100</v>
          </cell>
        </row>
        <row r="237">
          <cell r="B237" t="str">
            <v>Zambia</v>
          </cell>
          <cell r="C237" t="str">
            <v>Africa</v>
          </cell>
          <cell r="D237" t="str">
            <v>N</v>
          </cell>
          <cell r="E237">
            <v>1115</v>
          </cell>
          <cell r="F237" t="str">
            <v>USD</v>
          </cell>
          <cell r="G237" t="str">
            <v>N</v>
          </cell>
          <cell r="H237">
            <v>9.2899999999999991</v>
          </cell>
          <cell r="I237">
            <v>11.59</v>
          </cell>
          <cell r="J237">
            <v>13.99</v>
          </cell>
          <cell r="K237" t="str">
            <v>NA</v>
          </cell>
          <cell r="L237" t="str">
            <v>Negligible</v>
          </cell>
          <cell r="M237">
            <v>100</v>
          </cell>
          <cell r="Q237" t="str">
            <v>NA</v>
          </cell>
          <cell r="R237" t="str">
            <v>NA</v>
          </cell>
          <cell r="S237" t="str">
            <v>BAU</v>
          </cell>
          <cell r="T237" t="str">
            <v>BAU</v>
          </cell>
          <cell r="U237" t="str">
            <v>BAU</v>
          </cell>
          <cell r="V237" t="str">
            <v>Uganda</v>
          </cell>
          <cell r="W237" t="str">
            <v>USD</v>
          </cell>
          <cell r="X237" t="str">
            <v>BAU</v>
          </cell>
          <cell r="Y237">
            <v>10.99</v>
          </cell>
          <cell r="Z237">
            <v>32.99</v>
          </cell>
          <cell r="AA237" t="str">
            <v/>
          </cell>
          <cell r="AB237" t="str">
            <v/>
          </cell>
          <cell r="AC237">
            <v>4.99</v>
          </cell>
          <cell r="AD237">
            <v>14.99</v>
          </cell>
          <cell r="AE237" t="str">
            <v>ZMW</v>
          </cell>
          <cell r="AF237">
            <v>16.925000000000001</v>
          </cell>
          <cell r="AG237">
            <v>7</v>
          </cell>
          <cell r="AH237">
            <v>185</v>
          </cell>
          <cell r="AI237">
            <v>1300</v>
          </cell>
          <cell r="AJ237" t="str">
            <v/>
          </cell>
          <cell r="AK237" t="str">
            <v/>
          </cell>
          <cell r="AL237">
            <v>167</v>
          </cell>
          <cell r="AM237">
            <v>1170</v>
          </cell>
        </row>
        <row r="238">
          <cell r="B238" t="str">
            <v>Zimbabwe</v>
          </cell>
          <cell r="C238" t="str">
            <v>Africa</v>
          </cell>
          <cell r="D238" t="str">
            <v>N</v>
          </cell>
          <cell r="E238">
            <v>1665</v>
          </cell>
          <cell r="F238" t="str">
            <v>USD</v>
          </cell>
          <cell r="G238" t="str">
            <v>Y</v>
          </cell>
          <cell r="H238">
            <v>8.99</v>
          </cell>
          <cell r="I238">
            <v>11.49</v>
          </cell>
          <cell r="J238">
            <v>13.99</v>
          </cell>
          <cell r="K238" t="str">
            <v>NA</v>
          </cell>
          <cell r="L238" t="str">
            <v>Negligible</v>
          </cell>
          <cell r="M238">
            <v>59</v>
          </cell>
          <cell r="Q238" t="str">
            <v>NA</v>
          </cell>
          <cell r="R238" t="str">
            <v>NA</v>
          </cell>
          <cell r="S238" t="str">
            <v>BAU</v>
          </cell>
          <cell r="T238" t="str">
            <v>BAU</v>
          </cell>
          <cell r="U238" t="str">
            <v>BAU</v>
          </cell>
          <cell r="V238" t="str">
            <v>Senegal</v>
          </cell>
          <cell r="W238" t="str">
            <v>USD</v>
          </cell>
          <cell r="X238" t="str">
            <v>BAU</v>
          </cell>
          <cell r="Y238">
            <v>8.99</v>
          </cell>
          <cell r="Z238">
            <v>26.99</v>
          </cell>
          <cell r="AA238" t="str">
            <v/>
          </cell>
          <cell r="AB238" t="str">
            <v/>
          </cell>
          <cell r="AC238">
            <v>3.99</v>
          </cell>
          <cell r="AD238">
            <v>11.99</v>
          </cell>
          <cell r="AE238" t="str">
            <v>USD</v>
          </cell>
          <cell r="AF238"/>
          <cell r="AG238">
            <v>7</v>
          </cell>
          <cell r="AH238">
            <v>8.99</v>
          </cell>
          <cell r="AI238">
            <v>62.99</v>
          </cell>
          <cell r="AJ238" t="str">
            <v/>
          </cell>
          <cell r="AK238" t="str">
            <v/>
          </cell>
          <cell r="AL238">
            <v>3.99</v>
          </cell>
          <cell r="AM238">
            <v>27.99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Afghanistan</v>
          </cell>
          <cell r="C3" t="str">
            <v>AF</v>
          </cell>
        </row>
        <row r="4">
          <cell r="B4" t="str">
            <v>Albania</v>
          </cell>
          <cell r="C4" t="str">
            <v>AL</v>
          </cell>
        </row>
        <row r="5">
          <cell r="B5" t="str">
            <v>Algeria</v>
          </cell>
          <cell r="C5" t="str">
            <v>DZ</v>
          </cell>
        </row>
        <row r="6">
          <cell r="B6" t="str">
            <v>Angola</v>
          </cell>
          <cell r="C6" t="str">
            <v>AO</v>
          </cell>
        </row>
        <row r="7">
          <cell r="B7" t="str">
            <v>Anguilla</v>
          </cell>
          <cell r="C7" t="str">
            <v>AI</v>
          </cell>
        </row>
        <row r="8">
          <cell r="B8" t="str">
            <v>Antigua and Barbuda</v>
          </cell>
          <cell r="C8" t="str">
            <v>AG</v>
          </cell>
        </row>
        <row r="9">
          <cell r="B9" t="str">
            <v>Argentina</v>
          </cell>
          <cell r="C9" t="str">
            <v>AR</v>
          </cell>
        </row>
        <row r="10">
          <cell r="B10" t="str">
            <v>Armenia</v>
          </cell>
          <cell r="C10" t="str">
            <v>AM</v>
          </cell>
        </row>
        <row r="11">
          <cell r="B11" t="str">
            <v>Australia</v>
          </cell>
          <cell r="C11" t="str">
            <v>AU</v>
          </cell>
        </row>
        <row r="12">
          <cell r="B12" t="str">
            <v>Austria</v>
          </cell>
          <cell r="C12" t="str">
            <v>AT</v>
          </cell>
        </row>
        <row r="13">
          <cell r="B13" t="str">
            <v>Azerbaijan</v>
          </cell>
          <cell r="C13" t="str">
            <v>AZ</v>
          </cell>
        </row>
        <row r="14">
          <cell r="B14" t="str">
            <v>Bahamas</v>
          </cell>
          <cell r="C14" t="str">
            <v>BS</v>
          </cell>
        </row>
        <row r="15">
          <cell r="B15" t="str">
            <v>Bahrain</v>
          </cell>
          <cell r="C15" t="str">
            <v>BH</v>
          </cell>
        </row>
        <row r="16">
          <cell r="B16" t="str">
            <v>Barbados</v>
          </cell>
          <cell r="C16" t="str">
            <v>BB</v>
          </cell>
        </row>
        <row r="17">
          <cell r="B17" t="str">
            <v>Belarus</v>
          </cell>
          <cell r="C17" t="str">
            <v>BY</v>
          </cell>
        </row>
        <row r="18">
          <cell r="B18" t="str">
            <v>Belgium</v>
          </cell>
          <cell r="C18" t="str">
            <v>BE</v>
          </cell>
        </row>
        <row r="19">
          <cell r="B19" t="str">
            <v>Belize</v>
          </cell>
          <cell r="C19" t="str">
            <v>BZ</v>
          </cell>
        </row>
        <row r="20">
          <cell r="B20" t="str">
            <v>Benin</v>
          </cell>
          <cell r="C20" t="str">
            <v>BJ</v>
          </cell>
        </row>
        <row r="21">
          <cell r="B21" t="str">
            <v>Bermuda</v>
          </cell>
          <cell r="C21" t="str">
            <v>BM</v>
          </cell>
        </row>
        <row r="22">
          <cell r="B22" t="str">
            <v>Bhutan</v>
          </cell>
          <cell r="C22" t="str">
            <v>BT</v>
          </cell>
        </row>
        <row r="23">
          <cell r="B23" t="str">
            <v>Bolivia</v>
          </cell>
          <cell r="C23" t="str">
            <v>BO</v>
          </cell>
        </row>
        <row r="24">
          <cell r="B24" t="str">
            <v>Bosnia And Herzegovina</v>
          </cell>
          <cell r="C24" t="str">
            <v>BA</v>
          </cell>
        </row>
        <row r="25">
          <cell r="B25" t="str">
            <v>Botswana</v>
          </cell>
          <cell r="C25" t="str">
            <v>BW</v>
          </cell>
        </row>
        <row r="26">
          <cell r="B26" t="str">
            <v>Brazil</v>
          </cell>
          <cell r="C26" t="str">
            <v>BR</v>
          </cell>
        </row>
        <row r="27">
          <cell r="B27" t="str">
            <v>British Virgin Islands</v>
          </cell>
          <cell r="C27" t="str">
            <v>VG</v>
          </cell>
        </row>
        <row r="28">
          <cell r="B28" t="str">
            <v>Brunei</v>
          </cell>
          <cell r="C28" t="str">
            <v>BN</v>
          </cell>
        </row>
        <row r="29">
          <cell r="B29" t="str">
            <v>Bulgaria</v>
          </cell>
          <cell r="C29" t="str">
            <v>BG</v>
          </cell>
        </row>
        <row r="30">
          <cell r="B30" t="str">
            <v>Burkina Faso</v>
          </cell>
          <cell r="C30" t="str">
            <v>BF</v>
          </cell>
        </row>
        <row r="31">
          <cell r="B31" t="str">
            <v>Cambodia</v>
          </cell>
          <cell r="C31" t="str">
            <v>KH</v>
          </cell>
        </row>
        <row r="32">
          <cell r="B32" t="str">
            <v>Cameroon</v>
          </cell>
          <cell r="C32" t="str">
            <v>CM</v>
          </cell>
        </row>
        <row r="33">
          <cell r="B33" t="str">
            <v>Canada</v>
          </cell>
          <cell r="C33" t="str">
            <v>CA</v>
          </cell>
        </row>
        <row r="34">
          <cell r="B34" t="str">
            <v>Cape Verde</v>
          </cell>
          <cell r="C34" t="str">
            <v>CV</v>
          </cell>
        </row>
        <row r="35">
          <cell r="B35" t="str">
            <v>Cayman Islands</v>
          </cell>
          <cell r="C35" t="str">
            <v>KY</v>
          </cell>
        </row>
        <row r="36">
          <cell r="B36" t="str">
            <v>Chad</v>
          </cell>
          <cell r="C36" t="str">
            <v>TD</v>
          </cell>
        </row>
        <row r="37">
          <cell r="B37" t="str">
            <v>Chile</v>
          </cell>
          <cell r="C37" t="str">
            <v>CL</v>
          </cell>
        </row>
        <row r="38">
          <cell r="B38" t="str">
            <v>Colombia</v>
          </cell>
          <cell r="C38" t="str">
            <v>CO</v>
          </cell>
        </row>
        <row r="39">
          <cell r="B39" t="str">
            <v>Congo</v>
          </cell>
          <cell r="C39" t="str">
            <v>CG</v>
          </cell>
        </row>
        <row r="40">
          <cell r="B40" t="str">
            <v>Costa Rica</v>
          </cell>
          <cell r="C40" t="str">
            <v>CR</v>
          </cell>
        </row>
        <row r="41">
          <cell r="B41" t="str">
            <v>Cote D'Ivoire</v>
          </cell>
          <cell r="C41" t="str">
            <v>CI</v>
          </cell>
        </row>
        <row r="42">
          <cell r="B42" t="str">
            <v>Croatia</v>
          </cell>
          <cell r="C42" t="str">
            <v>HR</v>
          </cell>
        </row>
        <row r="43">
          <cell r="B43" t="str">
            <v>Cyprus</v>
          </cell>
          <cell r="C43" t="str">
            <v>CY</v>
          </cell>
        </row>
        <row r="44">
          <cell r="B44" t="str">
            <v>Czech Republic</v>
          </cell>
          <cell r="C44" t="str">
            <v>CZ</v>
          </cell>
        </row>
        <row r="45">
          <cell r="B45" t="str">
            <v>Denmark</v>
          </cell>
          <cell r="C45" t="str">
            <v>DK</v>
          </cell>
        </row>
        <row r="46">
          <cell r="B46" t="str">
            <v>Dominica</v>
          </cell>
          <cell r="C46" t="str">
            <v>DM</v>
          </cell>
        </row>
        <row r="47">
          <cell r="B47" t="str">
            <v>Dominican Republic</v>
          </cell>
          <cell r="C47" t="str">
            <v>DO</v>
          </cell>
        </row>
        <row r="48">
          <cell r="B48" t="str">
            <v>Ecuador</v>
          </cell>
          <cell r="C48" t="str">
            <v>EC</v>
          </cell>
        </row>
        <row r="49">
          <cell r="B49" t="str">
            <v>Egypt</v>
          </cell>
          <cell r="C49" t="str">
            <v>EG</v>
          </cell>
        </row>
        <row r="50">
          <cell r="B50" t="str">
            <v>El Salvador</v>
          </cell>
          <cell r="C50" t="str">
            <v>SV</v>
          </cell>
        </row>
        <row r="51">
          <cell r="B51" t="str">
            <v>Estonia</v>
          </cell>
          <cell r="C51" t="str">
            <v>EE</v>
          </cell>
        </row>
        <row r="52">
          <cell r="B52" t="str">
            <v>eSwatini</v>
          </cell>
          <cell r="C52" t="str">
            <v>SZ</v>
          </cell>
        </row>
        <row r="53">
          <cell r="B53" t="str">
            <v>Fiji</v>
          </cell>
          <cell r="C53" t="str">
            <v>FJ</v>
          </cell>
        </row>
        <row r="54">
          <cell r="B54" t="str">
            <v>Finland</v>
          </cell>
          <cell r="C54" t="str">
            <v>FI</v>
          </cell>
        </row>
        <row r="55">
          <cell r="B55" t="str">
            <v>France</v>
          </cell>
          <cell r="C55" t="str">
            <v>FR</v>
          </cell>
        </row>
        <row r="56">
          <cell r="B56" t="str">
            <v>Gabon</v>
          </cell>
          <cell r="C56" t="str">
            <v>GA</v>
          </cell>
        </row>
        <row r="57">
          <cell r="B57" t="str">
            <v>Gambia</v>
          </cell>
          <cell r="C57" t="str">
            <v>GM</v>
          </cell>
        </row>
        <row r="58">
          <cell r="B58" t="str">
            <v>Georgia</v>
          </cell>
          <cell r="C58" t="str">
            <v>GE</v>
          </cell>
        </row>
        <row r="59">
          <cell r="B59" t="str">
            <v>Germany</v>
          </cell>
          <cell r="C59" t="str">
            <v>DE</v>
          </cell>
        </row>
        <row r="60">
          <cell r="B60" t="str">
            <v>Ghana</v>
          </cell>
          <cell r="C60" t="str">
            <v>GH</v>
          </cell>
        </row>
        <row r="61">
          <cell r="B61" t="str">
            <v>Greece</v>
          </cell>
          <cell r="C61" t="str">
            <v>GR</v>
          </cell>
        </row>
        <row r="62">
          <cell r="B62" t="str">
            <v>Grenada</v>
          </cell>
          <cell r="C62" t="str">
            <v>GD</v>
          </cell>
        </row>
        <row r="63">
          <cell r="B63" t="str">
            <v>Guatemala</v>
          </cell>
          <cell r="C63" t="str">
            <v>GT</v>
          </cell>
        </row>
        <row r="64">
          <cell r="B64" t="str">
            <v>Guinea-Bissau</v>
          </cell>
          <cell r="C64" t="str">
            <v>GW</v>
          </cell>
        </row>
        <row r="65">
          <cell r="B65" t="str">
            <v>Guyana</v>
          </cell>
          <cell r="C65" t="str">
            <v>GY</v>
          </cell>
        </row>
        <row r="66">
          <cell r="B66" t="str">
            <v>Honduras</v>
          </cell>
          <cell r="C66" t="str">
            <v>HN</v>
          </cell>
        </row>
        <row r="67">
          <cell r="B67" t="str">
            <v>Hong Kong</v>
          </cell>
          <cell r="C67" t="str">
            <v>HK</v>
          </cell>
        </row>
        <row r="68">
          <cell r="B68" t="str">
            <v>Hungary</v>
          </cell>
          <cell r="C68" t="str">
            <v>HU</v>
          </cell>
        </row>
        <row r="69">
          <cell r="B69" t="str">
            <v>Iceland</v>
          </cell>
          <cell r="C69" t="str">
            <v>IS</v>
          </cell>
        </row>
        <row r="70">
          <cell r="B70" t="str">
            <v>India</v>
          </cell>
          <cell r="C70" t="str">
            <v>IN</v>
          </cell>
        </row>
        <row r="71">
          <cell r="B71" t="str">
            <v>Indonesia</v>
          </cell>
          <cell r="C71" t="str">
            <v>ID</v>
          </cell>
        </row>
        <row r="72">
          <cell r="B72" t="str">
            <v>Iraq</v>
          </cell>
          <cell r="C72" t="str">
            <v>IQ</v>
          </cell>
        </row>
        <row r="73">
          <cell r="B73" t="str">
            <v>Ireland</v>
          </cell>
          <cell r="C73" t="str">
            <v>IE</v>
          </cell>
        </row>
        <row r="74">
          <cell r="B74" t="str">
            <v>Israel</v>
          </cell>
          <cell r="C74" t="str">
            <v>IL</v>
          </cell>
        </row>
        <row r="75">
          <cell r="B75" t="str">
            <v>Italy</v>
          </cell>
          <cell r="C75" t="str">
            <v>IT</v>
          </cell>
        </row>
        <row r="76">
          <cell r="B76" t="str">
            <v>Jamaica</v>
          </cell>
          <cell r="C76" t="str">
            <v>JM</v>
          </cell>
        </row>
        <row r="77">
          <cell r="B77" t="str">
            <v>Jordan</v>
          </cell>
          <cell r="C77" t="str">
            <v>JO</v>
          </cell>
        </row>
        <row r="78">
          <cell r="B78" t="str">
            <v>Kazakhstan</v>
          </cell>
          <cell r="C78" t="str">
            <v>KZ</v>
          </cell>
        </row>
        <row r="79">
          <cell r="B79" t="str">
            <v>Kenya</v>
          </cell>
          <cell r="C79" t="str">
            <v>KE</v>
          </cell>
        </row>
        <row r="80">
          <cell r="B80" t="str">
            <v>Kosovo</v>
          </cell>
          <cell r="C80" t="str">
            <v>XK</v>
          </cell>
        </row>
        <row r="81">
          <cell r="B81" t="str">
            <v>Kuwait</v>
          </cell>
          <cell r="C81" t="str">
            <v>KW</v>
          </cell>
        </row>
        <row r="82">
          <cell r="B82" t="str">
            <v>Kyrgyzstan</v>
          </cell>
          <cell r="C82" t="str">
            <v>KG</v>
          </cell>
        </row>
        <row r="83">
          <cell r="B83" t="str">
            <v>Laos</v>
          </cell>
          <cell r="C83" t="str">
            <v>LA</v>
          </cell>
        </row>
        <row r="84">
          <cell r="B84" t="str">
            <v>Latvia</v>
          </cell>
          <cell r="C84" t="str">
            <v>LV</v>
          </cell>
        </row>
        <row r="85">
          <cell r="B85" t="str">
            <v>Lebanon</v>
          </cell>
          <cell r="C85" t="str">
            <v>LB</v>
          </cell>
        </row>
        <row r="86">
          <cell r="B86" t="str">
            <v>Liberia</v>
          </cell>
          <cell r="C86" t="str">
            <v>LR</v>
          </cell>
        </row>
        <row r="87">
          <cell r="B87" t="str">
            <v>Libya</v>
          </cell>
          <cell r="C87" t="str">
            <v>LY</v>
          </cell>
        </row>
        <row r="88">
          <cell r="B88" t="str">
            <v>Lithuania</v>
          </cell>
          <cell r="C88" t="str">
            <v>LT</v>
          </cell>
        </row>
        <row r="89">
          <cell r="B89" t="str">
            <v>Luxembourg</v>
          </cell>
          <cell r="C89" t="str">
            <v>LU</v>
          </cell>
        </row>
        <row r="90">
          <cell r="B90" t="str">
            <v>Macao</v>
          </cell>
          <cell r="C90" t="str">
            <v>MO</v>
          </cell>
        </row>
        <row r="91">
          <cell r="B91" t="str">
            <v>Macedonia</v>
          </cell>
          <cell r="C91" t="str">
            <v>MK</v>
          </cell>
        </row>
        <row r="92">
          <cell r="B92" t="str">
            <v>Madagascar</v>
          </cell>
          <cell r="C92" t="str">
            <v>MG</v>
          </cell>
        </row>
        <row r="93">
          <cell r="B93" t="str">
            <v>Malawi</v>
          </cell>
          <cell r="C93" t="str">
            <v>MW</v>
          </cell>
        </row>
        <row r="94">
          <cell r="B94" t="str">
            <v>Malaysia</v>
          </cell>
          <cell r="C94" t="str">
            <v>MY</v>
          </cell>
        </row>
        <row r="95">
          <cell r="B95" t="str">
            <v>Maldives</v>
          </cell>
          <cell r="C95" t="str">
            <v>MV</v>
          </cell>
        </row>
        <row r="96">
          <cell r="B96" t="str">
            <v>Mali</v>
          </cell>
          <cell r="C96" t="str">
            <v>ML</v>
          </cell>
        </row>
        <row r="97">
          <cell r="B97" t="str">
            <v>Malta</v>
          </cell>
          <cell r="C97" t="str">
            <v>MT</v>
          </cell>
        </row>
        <row r="98">
          <cell r="B98" t="str">
            <v>Mauritania</v>
          </cell>
          <cell r="C98" t="str">
            <v>MR</v>
          </cell>
        </row>
        <row r="99">
          <cell r="B99" t="str">
            <v>Mauritius</v>
          </cell>
          <cell r="C99" t="str">
            <v>MU</v>
          </cell>
        </row>
        <row r="100">
          <cell r="B100" t="str">
            <v>Mexico</v>
          </cell>
          <cell r="C100" t="str">
            <v>MX</v>
          </cell>
        </row>
        <row r="101">
          <cell r="B101" t="str">
            <v>Micronesia</v>
          </cell>
          <cell r="C101" t="str">
            <v>FM</v>
          </cell>
        </row>
        <row r="102">
          <cell r="B102" t="str">
            <v>Moldova</v>
          </cell>
          <cell r="C102" t="str">
            <v>MD</v>
          </cell>
        </row>
        <row r="103">
          <cell r="B103" t="str">
            <v>Mongolia</v>
          </cell>
          <cell r="C103" t="str">
            <v>MN</v>
          </cell>
        </row>
        <row r="104">
          <cell r="B104" t="str">
            <v>Montenegro</v>
          </cell>
          <cell r="C104" t="str">
            <v>ME</v>
          </cell>
        </row>
        <row r="105">
          <cell r="B105" t="str">
            <v>Montserrat</v>
          </cell>
          <cell r="C105" t="str">
            <v>MS</v>
          </cell>
        </row>
        <row r="106">
          <cell r="B106" t="str">
            <v>Morocco</v>
          </cell>
          <cell r="C106" t="str">
            <v>MA</v>
          </cell>
        </row>
        <row r="107">
          <cell r="B107" t="str">
            <v>Mozambique</v>
          </cell>
          <cell r="C107" t="str">
            <v>MZ</v>
          </cell>
        </row>
        <row r="108">
          <cell r="B108" t="str">
            <v>Myanmar</v>
          </cell>
          <cell r="C108" t="str">
            <v>MM</v>
          </cell>
        </row>
        <row r="109">
          <cell r="B109" t="str">
            <v>Namibia</v>
          </cell>
          <cell r="C109" t="str">
            <v>NA</v>
          </cell>
        </row>
        <row r="110">
          <cell r="B110" t="str">
            <v>Nauru</v>
          </cell>
          <cell r="C110" t="str">
            <v>NR</v>
          </cell>
        </row>
        <row r="111">
          <cell r="B111" t="str">
            <v>Nepal</v>
          </cell>
          <cell r="C111" t="str">
            <v>NP</v>
          </cell>
        </row>
        <row r="112">
          <cell r="B112" t="str">
            <v>Netherlands</v>
          </cell>
          <cell r="C112" t="str">
            <v>NL</v>
          </cell>
        </row>
        <row r="113">
          <cell r="B113" t="str">
            <v>New Zealand</v>
          </cell>
          <cell r="C113" t="str">
            <v>NZ</v>
          </cell>
        </row>
        <row r="114">
          <cell r="B114" t="str">
            <v>Nicaragua</v>
          </cell>
          <cell r="C114" t="str">
            <v>NI</v>
          </cell>
        </row>
        <row r="115">
          <cell r="B115" t="str">
            <v>Niger</v>
          </cell>
          <cell r="C115" t="str">
            <v>NE</v>
          </cell>
        </row>
        <row r="116">
          <cell r="B116" t="str">
            <v>Nigeria</v>
          </cell>
          <cell r="C116" t="str">
            <v>NG</v>
          </cell>
        </row>
        <row r="117">
          <cell r="B117" t="str">
            <v>Norway</v>
          </cell>
          <cell r="C117" t="str">
            <v>NO</v>
          </cell>
        </row>
        <row r="118">
          <cell r="B118" t="str">
            <v>Oman</v>
          </cell>
          <cell r="C118" t="str">
            <v>OM</v>
          </cell>
        </row>
        <row r="119">
          <cell r="B119" t="str">
            <v>Pakistan</v>
          </cell>
          <cell r="C119" t="str">
            <v>PK</v>
          </cell>
        </row>
        <row r="120">
          <cell r="B120" t="str">
            <v>Palau</v>
          </cell>
          <cell r="C120" t="str">
            <v>PW</v>
          </cell>
        </row>
        <row r="121">
          <cell r="B121" t="str">
            <v>Panama</v>
          </cell>
          <cell r="C121" t="str">
            <v>PA</v>
          </cell>
        </row>
        <row r="122">
          <cell r="B122" t="str">
            <v>Papua New Guinea</v>
          </cell>
          <cell r="C122" t="str">
            <v>PG</v>
          </cell>
        </row>
        <row r="123">
          <cell r="B123" t="str">
            <v>Paraguay</v>
          </cell>
          <cell r="C123" t="str">
            <v>PY</v>
          </cell>
        </row>
        <row r="124">
          <cell r="B124" t="str">
            <v>Peru</v>
          </cell>
          <cell r="C124" t="str">
            <v>PE</v>
          </cell>
        </row>
        <row r="125">
          <cell r="B125" t="str">
            <v>Philippines</v>
          </cell>
          <cell r="C125" t="str">
            <v>PH</v>
          </cell>
        </row>
        <row r="126">
          <cell r="B126" t="str">
            <v>Poland</v>
          </cell>
          <cell r="C126" t="str">
            <v>PL</v>
          </cell>
        </row>
        <row r="127">
          <cell r="B127" t="str">
            <v>Portugal</v>
          </cell>
          <cell r="C127" t="str">
            <v>PT</v>
          </cell>
        </row>
        <row r="128">
          <cell r="B128" t="str">
            <v>Qatar</v>
          </cell>
          <cell r="C128" t="str">
            <v>QA</v>
          </cell>
        </row>
        <row r="129">
          <cell r="B129" t="str">
            <v>Romania</v>
          </cell>
          <cell r="C129" t="str">
            <v>RO</v>
          </cell>
        </row>
        <row r="130">
          <cell r="B130" t="str">
            <v>Russia</v>
          </cell>
          <cell r="C130" t="str">
            <v>RU</v>
          </cell>
        </row>
        <row r="131">
          <cell r="B131" t="str">
            <v>Rwanda</v>
          </cell>
          <cell r="C131" t="str">
            <v>RW</v>
          </cell>
        </row>
        <row r="132">
          <cell r="B132" t="str">
            <v>Sao Tome And Principe</v>
          </cell>
          <cell r="C132" t="str">
            <v>ST</v>
          </cell>
        </row>
        <row r="133">
          <cell r="B133" t="str">
            <v>Saudi Arabia</v>
          </cell>
          <cell r="C133" t="str">
            <v>SA</v>
          </cell>
        </row>
        <row r="134">
          <cell r="B134" t="str">
            <v>Senegal</v>
          </cell>
          <cell r="C134" t="str">
            <v>SN</v>
          </cell>
        </row>
        <row r="135">
          <cell r="B135" t="str">
            <v>Serbia</v>
          </cell>
          <cell r="C135" t="str">
            <v>RS</v>
          </cell>
        </row>
        <row r="136">
          <cell r="B136" t="str">
            <v>Seychelles</v>
          </cell>
          <cell r="C136" t="str">
            <v>SC</v>
          </cell>
        </row>
        <row r="137">
          <cell r="B137" t="str">
            <v>Sierra Leone</v>
          </cell>
          <cell r="C137" t="str">
            <v>SL</v>
          </cell>
        </row>
        <row r="138">
          <cell r="B138" t="str">
            <v>Singapore</v>
          </cell>
          <cell r="C138" t="str">
            <v>SG</v>
          </cell>
        </row>
        <row r="139">
          <cell r="B139" t="str">
            <v>Slovakia</v>
          </cell>
          <cell r="C139" t="str">
            <v>SK</v>
          </cell>
        </row>
        <row r="140">
          <cell r="B140" t="str">
            <v>Slovenia</v>
          </cell>
          <cell r="C140" t="str">
            <v>SI</v>
          </cell>
        </row>
        <row r="141">
          <cell r="B141" t="str">
            <v>Solomon Islands</v>
          </cell>
          <cell r="C141" t="str">
            <v>SB</v>
          </cell>
        </row>
        <row r="142">
          <cell r="B142" t="str">
            <v>South Africa</v>
          </cell>
          <cell r="C142" t="str">
            <v>ZA</v>
          </cell>
        </row>
        <row r="143">
          <cell r="B143" t="str">
            <v>South Korea</v>
          </cell>
          <cell r="C143" t="str">
            <v>KR</v>
          </cell>
        </row>
        <row r="144">
          <cell r="B144" t="str">
            <v>Spain</v>
          </cell>
          <cell r="C144" t="str">
            <v>ES</v>
          </cell>
        </row>
        <row r="145">
          <cell r="B145" t="str">
            <v>Sri Lanka</v>
          </cell>
          <cell r="C145" t="str">
            <v>LK</v>
          </cell>
        </row>
        <row r="146">
          <cell r="B146" t="str">
            <v>St. Kitts and Nevis</v>
          </cell>
          <cell r="C146" t="str">
            <v>KN</v>
          </cell>
        </row>
        <row r="147">
          <cell r="B147" t="str">
            <v>St. Lucia</v>
          </cell>
          <cell r="C147" t="str">
            <v>LC</v>
          </cell>
        </row>
        <row r="148">
          <cell r="B148" t="str">
            <v>St. Vincent and The Grenadines</v>
          </cell>
          <cell r="C148" t="str">
            <v>VC</v>
          </cell>
        </row>
        <row r="149">
          <cell r="B149" t="str">
            <v>Suriname</v>
          </cell>
          <cell r="C149" t="str">
            <v>SR</v>
          </cell>
        </row>
        <row r="150">
          <cell r="B150" t="str">
            <v>Sweden</v>
          </cell>
          <cell r="C150" t="str">
            <v>SE</v>
          </cell>
        </row>
        <row r="151">
          <cell r="B151" t="str">
            <v>Switzerland</v>
          </cell>
          <cell r="C151" t="str">
            <v>CH</v>
          </cell>
        </row>
        <row r="152">
          <cell r="B152" t="str">
            <v>Taiwan</v>
          </cell>
          <cell r="C152" t="str">
            <v>TW</v>
          </cell>
        </row>
        <row r="153">
          <cell r="B153" t="str">
            <v>Tajikistan</v>
          </cell>
          <cell r="C153" t="str">
            <v>TJ</v>
          </cell>
        </row>
        <row r="154">
          <cell r="B154" t="str">
            <v>Tanzania</v>
          </cell>
          <cell r="C154" t="str">
            <v>TZ</v>
          </cell>
        </row>
        <row r="155">
          <cell r="B155" t="str">
            <v>Thailand</v>
          </cell>
          <cell r="C155" t="str">
            <v>TH</v>
          </cell>
        </row>
        <row r="156">
          <cell r="B156" t="str">
            <v>Tonga</v>
          </cell>
          <cell r="C156" t="str">
            <v>TO</v>
          </cell>
        </row>
        <row r="157">
          <cell r="B157" t="str">
            <v>Trinidad and Tobago</v>
          </cell>
          <cell r="C157" t="str">
            <v>TT</v>
          </cell>
        </row>
        <row r="158">
          <cell r="B158" t="str">
            <v>Tunisia</v>
          </cell>
          <cell r="C158" t="str">
            <v>TN</v>
          </cell>
        </row>
        <row r="159">
          <cell r="B159" t="str">
            <v>Turkey</v>
          </cell>
          <cell r="C159" t="str">
            <v>TR</v>
          </cell>
        </row>
        <row r="160">
          <cell r="B160" t="str">
            <v>Turkmenistan</v>
          </cell>
          <cell r="C160" t="str">
            <v>TM</v>
          </cell>
        </row>
        <row r="161">
          <cell r="B161" t="str">
            <v>Turks and Caicos Islands</v>
          </cell>
          <cell r="C161" t="str">
            <v>TC</v>
          </cell>
        </row>
        <row r="162">
          <cell r="B162" t="str">
            <v>Uganda</v>
          </cell>
          <cell r="C162" t="str">
            <v>UG</v>
          </cell>
        </row>
        <row r="163">
          <cell r="B163" t="str">
            <v>Ukraine</v>
          </cell>
          <cell r="C163" t="str">
            <v>UA</v>
          </cell>
        </row>
        <row r="164">
          <cell r="B164" t="str">
            <v>United Arab Emirates</v>
          </cell>
          <cell r="C164" t="str">
            <v>AE</v>
          </cell>
        </row>
        <row r="165">
          <cell r="B165" t="str">
            <v>United Kingdom</v>
          </cell>
          <cell r="C165" t="str">
            <v>GB</v>
          </cell>
        </row>
        <row r="166">
          <cell r="B166" t="str">
            <v>Uruguay</v>
          </cell>
          <cell r="C166" t="str">
            <v>UY</v>
          </cell>
        </row>
        <row r="167">
          <cell r="B167" t="str">
            <v>Uzbekistan</v>
          </cell>
          <cell r="C167" t="str">
            <v>UZ</v>
          </cell>
        </row>
        <row r="168">
          <cell r="B168" t="str">
            <v>Vanuatu</v>
          </cell>
          <cell r="C168" t="str">
            <v>VU</v>
          </cell>
        </row>
        <row r="169">
          <cell r="B169" t="str">
            <v>Venezuela</v>
          </cell>
          <cell r="C169" t="str">
            <v>VE</v>
          </cell>
        </row>
        <row r="170">
          <cell r="B170" t="str">
            <v>Vietnam</v>
          </cell>
          <cell r="C170" t="str">
            <v>VN</v>
          </cell>
        </row>
        <row r="171">
          <cell r="B171" t="str">
            <v>Yemen</v>
          </cell>
          <cell r="C171" t="str">
            <v>YE</v>
          </cell>
        </row>
        <row r="172">
          <cell r="B172" t="str">
            <v>Zambia</v>
          </cell>
          <cell r="C172" t="str">
            <v>ZM</v>
          </cell>
        </row>
        <row r="173">
          <cell r="B173" t="str">
            <v>Zimbabwe</v>
          </cell>
          <cell r="C173" t="str">
            <v>ZW</v>
          </cell>
        </row>
      </sheetData>
      <sheetData sheetId="16"/>
      <sheetData sheetId="17">
        <row r="3">
          <cell r="B3" t="str">
            <v>Albania</v>
          </cell>
          <cell r="C3" t="str">
            <v>AL</v>
          </cell>
        </row>
        <row r="4">
          <cell r="B4" t="str">
            <v>Algeria</v>
          </cell>
          <cell r="C4" t="str">
            <v>DZ</v>
          </cell>
        </row>
        <row r="5">
          <cell r="B5" t="str">
            <v>Angola</v>
          </cell>
          <cell r="C5" t="str">
            <v>AO</v>
          </cell>
        </row>
        <row r="6">
          <cell r="B6" t="str">
            <v>Antigua And Barbuda</v>
          </cell>
          <cell r="C6" t="str">
            <v>AG</v>
          </cell>
        </row>
        <row r="7">
          <cell r="B7" t="str">
            <v>Argentina</v>
          </cell>
          <cell r="C7" t="str">
            <v>AR</v>
          </cell>
        </row>
        <row r="8">
          <cell r="B8" t="str">
            <v>Armenia</v>
          </cell>
          <cell r="C8" t="str">
            <v>AM</v>
          </cell>
        </row>
        <row r="9">
          <cell r="B9" t="str">
            <v>Aruba</v>
          </cell>
          <cell r="C9" t="str">
            <v>AW</v>
          </cell>
        </row>
        <row r="10">
          <cell r="B10" t="str">
            <v>Australia</v>
          </cell>
          <cell r="C10" t="str">
            <v>AU</v>
          </cell>
        </row>
        <row r="11">
          <cell r="B11" t="str">
            <v>Austria</v>
          </cell>
          <cell r="C11" t="str">
            <v>AT</v>
          </cell>
        </row>
        <row r="12">
          <cell r="B12" t="str">
            <v>Azerbaijan</v>
          </cell>
          <cell r="C12" t="str">
            <v>AZ</v>
          </cell>
        </row>
        <row r="13">
          <cell r="B13" t="str">
            <v>Bahamas</v>
          </cell>
          <cell r="C13" t="str">
            <v>BS</v>
          </cell>
        </row>
        <row r="14">
          <cell r="B14" t="str">
            <v>Bahrain</v>
          </cell>
          <cell r="C14" t="str">
            <v>BH</v>
          </cell>
        </row>
        <row r="15">
          <cell r="B15" t="str">
            <v>Bangladesh</v>
          </cell>
          <cell r="C15" t="str">
            <v>BD</v>
          </cell>
        </row>
        <row r="16">
          <cell r="B16" t="str">
            <v>Belarus</v>
          </cell>
          <cell r="C16" t="str">
            <v>BY</v>
          </cell>
        </row>
        <row r="17">
          <cell r="B17" t="str">
            <v>Belgium</v>
          </cell>
          <cell r="C17" t="str">
            <v>BE</v>
          </cell>
        </row>
        <row r="18">
          <cell r="B18" t="str">
            <v>Belize</v>
          </cell>
          <cell r="C18" t="str">
            <v>BZ</v>
          </cell>
        </row>
        <row r="19">
          <cell r="B19" t="str">
            <v>Benin</v>
          </cell>
          <cell r="C19" t="str">
            <v>BJ</v>
          </cell>
        </row>
        <row r="20">
          <cell r="B20" t="str">
            <v>Bermuda</v>
          </cell>
          <cell r="C20" t="str">
            <v>BM</v>
          </cell>
        </row>
        <row r="21">
          <cell r="B21" t="str">
            <v>Bolivia</v>
          </cell>
          <cell r="C21" t="str">
            <v>BO</v>
          </cell>
        </row>
        <row r="22">
          <cell r="B22" t="str">
            <v>Bosnia And Herzegovina</v>
          </cell>
          <cell r="C22" t="str">
            <v>BA</v>
          </cell>
        </row>
        <row r="23">
          <cell r="B23" t="str">
            <v>Botswana</v>
          </cell>
          <cell r="C23" t="str">
            <v>BW</v>
          </cell>
        </row>
        <row r="24">
          <cell r="B24" t="str">
            <v>Brazil</v>
          </cell>
          <cell r="C24" t="str">
            <v>BR</v>
          </cell>
        </row>
        <row r="25">
          <cell r="B25" t="str">
            <v>British Virgin Islands</v>
          </cell>
          <cell r="C25" t="str">
            <v>VG</v>
          </cell>
        </row>
        <row r="26">
          <cell r="B26" t="str">
            <v>Bulgaria</v>
          </cell>
          <cell r="C26" t="str">
            <v>BG</v>
          </cell>
        </row>
        <row r="27">
          <cell r="B27" t="str">
            <v>Burkina Faso</v>
          </cell>
          <cell r="C27" t="str">
            <v>BF</v>
          </cell>
        </row>
        <row r="28">
          <cell r="B28" t="str">
            <v>Cambodia</v>
          </cell>
          <cell r="C28" t="str">
            <v>KH</v>
          </cell>
        </row>
        <row r="29">
          <cell r="B29" t="str">
            <v>Cameroon</v>
          </cell>
          <cell r="C29" t="str">
            <v>CM</v>
          </cell>
        </row>
        <row r="30">
          <cell r="B30" t="str">
            <v>Canada</v>
          </cell>
          <cell r="C30" t="str">
            <v>CA</v>
          </cell>
        </row>
        <row r="31">
          <cell r="B31" t="str">
            <v>Cape Verde</v>
          </cell>
          <cell r="C31" t="str">
            <v>CV</v>
          </cell>
        </row>
        <row r="32">
          <cell r="B32" t="str">
            <v>Cayman Islands</v>
          </cell>
          <cell r="C32" t="str">
            <v>KY</v>
          </cell>
        </row>
        <row r="33">
          <cell r="B33" t="str">
            <v>Central African Republic</v>
          </cell>
          <cell r="C33" t="str">
            <v>CF</v>
          </cell>
        </row>
        <row r="34">
          <cell r="B34" t="str">
            <v>Chad</v>
          </cell>
          <cell r="C34" t="str">
            <v>TD</v>
          </cell>
        </row>
        <row r="35">
          <cell r="B35" t="str">
            <v>Chile</v>
          </cell>
          <cell r="C35" t="str">
            <v>CL</v>
          </cell>
        </row>
        <row r="36">
          <cell r="B36" t="str">
            <v>Colombia</v>
          </cell>
          <cell r="C36" t="str">
            <v>CO</v>
          </cell>
        </row>
        <row r="37">
          <cell r="B37" t="str">
            <v>Comoros</v>
          </cell>
          <cell r="C37" t="str">
            <v>KM</v>
          </cell>
        </row>
        <row r="38">
          <cell r="B38" t="str">
            <v>Congo</v>
          </cell>
          <cell r="C38" t="str">
            <v>CG</v>
          </cell>
        </row>
        <row r="39">
          <cell r="B39" t="str">
            <v>Costa Rica</v>
          </cell>
          <cell r="C39" t="str">
            <v>CR</v>
          </cell>
        </row>
        <row r="40">
          <cell r="B40" t="str">
            <v>Cote D'Ivoire</v>
          </cell>
          <cell r="C40" t="str">
            <v>CI</v>
          </cell>
        </row>
        <row r="41">
          <cell r="B41" t="str">
            <v>Croatia</v>
          </cell>
          <cell r="C41" t="str">
            <v>HR</v>
          </cell>
        </row>
        <row r="42">
          <cell r="B42" t="str">
            <v>Cyprus</v>
          </cell>
          <cell r="C42" t="str">
            <v>CY</v>
          </cell>
        </row>
        <row r="43">
          <cell r="B43" t="str">
            <v>Czech Republic</v>
          </cell>
          <cell r="C43" t="str">
            <v>CZ</v>
          </cell>
        </row>
        <row r="44">
          <cell r="B44" t="str">
            <v>Democratic Republic of Congo</v>
          </cell>
          <cell r="C44" t="str">
            <v>CD</v>
          </cell>
        </row>
        <row r="45">
          <cell r="B45" t="str">
            <v>Denmark</v>
          </cell>
          <cell r="C45" t="str">
            <v>DK</v>
          </cell>
        </row>
        <row r="46">
          <cell r="B46" t="str">
            <v>Djibouti</v>
          </cell>
          <cell r="C46" t="str">
            <v>DJ</v>
          </cell>
        </row>
        <row r="47">
          <cell r="B47" t="str">
            <v>Dominica</v>
          </cell>
          <cell r="C47" t="str">
            <v>DM</v>
          </cell>
        </row>
        <row r="48">
          <cell r="B48" t="str">
            <v>Dominican Republic</v>
          </cell>
          <cell r="C48" t="str">
            <v>DO</v>
          </cell>
        </row>
        <row r="49">
          <cell r="B49" t="str">
            <v>Ecuador</v>
          </cell>
          <cell r="C49" t="str">
            <v>EC</v>
          </cell>
        </row>
        <row r="50">
          <cell r="B50" t="str">
            <v>Egypt</v>
          </cell>
          <cell r="C50" t="str">
            <v>EG</v>
          </cell>
        </row>
        <row r="51">
          <cell r="B51" t="str">
            <v>El Salvador</v>
          </cell>
          <cell r="C51" t="str">
            <v>SV</v>
          </cell>
        </row>
        <row r="52">
          <cell r="B52" t="str">
            <v>Eritrea</v>
          </cell>
          <cell r="C52" t="str">
            <v>ER</v>
          </cell>
        </row>
        <row r="53">
          <cell r="B53" t="str">
            <v>Estonia</v>
          </cell>
          <cell r="C53" t="str">
            <v>EE</v>
          </cell>
        </row>
        <row r="54">
          <cell r="B54" t="str">
            <v>Fiji</v>
          </cell>
          <cell r="C54" t="str">
            <v>FJ</v>
          </cell>
        </row>
        <row r="55">
          <cell r="B55" t="str">
            <v>Finland</v>
          </cell>
          <cell r="C55" t="str">
            <v>FI</v>
          </cell>
        </row>
        <row r="56">
          <cell r="B56" t="str">
            <v>France</v>
          </cell>
          <cell r="C56" t="str">
            <v>FR</v>
          </cell>
        </row>
        <row r="57">
          <cell r="B57" t="str">
            <v>Gabon</v>
          </cell>
          <cell r="C57" t="str">
            <v>GA</v>
          </cell>
        </row>
        <row r="58">
          <cell r="B58" t="str">
            <v>Gambia</v>
          </cell>
          <cell r="C58" t="str">
            <v>GM</v>
          </cell>
        </row>
        <row r="59">
          <cell r="B59" t="str">
            <v>Georgia</v>
          </cell>
          <cell r="C59" t="str">
            <v>GE</v>
          </cell>
        </row>
        <row r="60">
          <cell r="B60" t="str">
            <v>Germany</v>
          </cell>
          <cell r="C60" t="str">
            <v>DE</v>
          </cell>
        </row>
        <row r="61">
          <cell r="B61" t="str">
            <v>Ghana</v>
          </cell>
          <cell r="C61" t="str">
            <v>GH</v>
          </cell>
        </row>
        <row r="62">
          <cell r="B62" t="str">
            <v>Gibraltar</v>
          </cell>
          <cell r="C62" t="str">
            <v>GI</v>
          </cell>
        </row>
        <row r="63">
          <cell r="B63" t="str">
            <v>Greece</v>
          </cell>
          <cell r="C63" t="str">
            <v>GR</v>
          </cell>
        </row>
        <row r="64">
          <cell r="B64" t="str">
            <v>Grenada</v>
          </cell>
          <cell r="C64" t="str">
            <v>GD</v>
          </cell>
        </row>
        <row r="65">
          <cell r="B65" t="str">
            <v>Guatemala</v>
          </cell>
          <cell r="C65" t="str">
            <v>GT</v>
          </cell>
        </row>
        <row r="66">
          <cell r="B66" t="str">
            <v>Guinea</v>
          </cell>
          <cell r="C66" t="str">
            <v>GN</v>
          </cell>
        </row>
        <row r="67">
          <cell r="B67" t="str">
            <v>Guinea-Bissau</v>
          </cell>
          <cell r="C67" t="str">
            <v>GW</v>
          </cell>
        </row>
        <row r="68">
          <cell r="B68" t="str">
            <v>Haiti</v>
          </cell>
          <cell r="C68" t="str">
            <v>HT</v>
          </cell>
        </row>
        <row r="69">
          <cell r="B69" t="str">
            <v>Honduras</v>
          </cell>
          <cell r="C69" t="str">
            <v>HN</v>
          </cell>
        </row>
        <row r="70">
          <cell r="B70" t="str">
            <v>Hong Kong</v>
          </cell>
          <cell r="C70" t="str">
            <v>HK</v>
          </cell>
        </row>
        <row r="71">
          <cell r="B71" t="str">
            <v>Hungary</v>
          </cell>
          <cell r="C71" t="str">
            <v>HU</v>
          </cell>
        </row>
        <row r="72">
          <cell r="B72" t="str">
            <v>Iceland</v>
          </cell>
          <cell r="C72" t="str">
            <v>IS</v>
          </cell>
        </row>
        <row r="73">
          <cell r="B73" t="str">
            <v>India</v>
          </cell>
          <cell r="C73" t="str">
            <v>IN</v>
          </cell>
        </row>
        <row r="74">
          <cell r="B74" t="str">
            <v>Indonesia</v>
          </cell>
          <cell r="C74" t="str">
            <v>ID</v>
          </cell>
        </row>
        <row r="75">
          <cell r="B75" t="str">
            <v>Iraq</v>
          </cell>
          <cell r="C75" t="str">
            <v>IQ</v>
          </cell>
        </row>
        <row r="76">
          <cell r="B76" t="str">
            <v>Ireland</v>
          </cell>
          <cell r="C76" t="str">
            <v>IE</v>
          </cell>
        </row>
        <row r="77">
          <cell r="B77" t="str">
            <v>Israel</v>
          </cell>
          <cell r="C77" t="str">
            <v>IL</v>
          </cell>
        </row>
        <row r="78">
          <cell r="B78" t="str">
            <v>Italy</v>
          </cell>
          <cell r="C78" t="str">
            <v>IT</v>
          </cell>
        </row>
        <row r="79">
          <cell r="B79" t="str">
            <v>Jamaica</v>
          </cell>
          <cell r="C79" t="str">
            <v>JM</v>
          </cell>
        </row>
        <row r="80">
          <cell r="B80" t="str">
            <v>Japan</v>
          </cell>
          <cell r="C80" t="e">
            <v>#N/A</v>
          </cell>
        </row>
        <row r="81">
          <cell r="B81" t="str">
            <v>Jordan</v>
          </cell>
          <cell r="C81" t="str">
            <v>JO</v>
          </cell>
        </row>
        <row r="82">
          <cell r="B82" t="str">
            <v>Kazakhstan</v>
          </cell>
          <cell r="C82" t="str">
            <v>KZ</v>
          </cell>
        </row>
        <row r="83">
          <cell r="B83" t="str">
            <v>Kenya</v>
          </cell>
          <cell r="C83" t="str">
            <v>KE</v>
          </cell>
        </row>
        <row r="84">
          <cell r="B84" t="str">
            <v>Kuwait</v>
          </cell>
          <cell r="C84" t="str">
            <v>KW</v>
          </cell>
        </row>
        <row r="85">
          <cell r="B85" t="str">
            <v>Kyrgyzstan</v>
          </cell>
          <cell r="C85" t="str">
            <v>KG</v>
          </cell>
        </row>
        <row r="86">
          <cell r="B86" t="str">
            <v>Laos</v>
          </cell>
          <cell r="C86" t="str">
            <v>LA</v>
          </cell>
        </row>
        <row r="87">
          <cell r="B87" t="str">
            <v>Latvia</v>
          </cell>
          <cell r="C87" t="str">
            <v>LV</v>
          </cell>
        </row>
        <row r="88">
          <cell r="B88" t="str">
            <v>Lebanon</v>
          </cell>
          <cell r="C88" t="str">
            <v>LB</v>
          </cell>
        </row>
        <row r="89">
          <cell r="B89" t="str">
            <v>Liberia</v>
          </cell>
          <cell r="C89" t="str">
            <v>LR</v>
          </cell>
        </row>
        <row r="90">
          <cell r="B90" t="str">
            <v>Libya</v>
          </cell>
          <cell r="C90" t="str">
            <v>LY</v>
          </cell>
        </row>
        <row r="91">
          <cell r="B91" t="str">
            <v>Liechtenstein</v>
          </cell>
          <cell r="C91" t="str">
            <v>LI</v>
          </cell>
        </row>
        <row r="92">
          <cell r="B92" t="str">
            <v>Lithuania</v>
          </cell>
          <cell r="C92" t="str">
            <v>LT</v>
          </cell>
        </row>
        <row r="93">
          <cell r="B93" t="str">
            <v>Luxembourg</v>
          </cell>
          <cell r="C93" t="str">
            <v>LU</v>
          </cell>
        </row>
        <row r="94">
          <cell r="B94" t="str">
            <v>Macao</v>
          </cell>
          <cell r="C94" t="str">
            <v>MO</v>
          </cell>
        </row>
        <row r="95">
          <cell r="B95" t="str">
            <v>Macedonia</v>
          </cell>
          <cell r="C95" t="str">
            <v>MK</v>
          </cell>
        </row>
        <row r="96">
          <cell r="B96" t="str">
            <v>Malaysia</v>
          </cell>
          <cell r="C96" t="str">
            <v>MY</v>
          </cell>
        </row>
        <row r="97">
          <cell r="B97" t="str">
            <v>Maldives</v>
          </cell>
          <cell r="C97" t="str">
            <v>MV</v>
          </cell>
        </row>
        <row r="98">
          <cell r="B98" t="str">
            <v>Mali</v>
          </cell>
          <cell r="C98" t="str">
            <v>ML</v>
          </cell>
        </row>
        <row r="99">
          <cell r="B99" t="str">
            <v>Malta</v>
          </cell>
          <cell r="C99" t="str">
            <v>MT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oEgqHNZgkmImDpIlaxhE1xbkwjq_WNOuMr9DOdOegpIQGSmM5SuRLHOjZwx6Yds" itemId="016K5XORTHIQKEI2IK3FC2L6CDFNKQLLO7">
      <xxl21:absoluteUrl r:id="rId3"/>
    </xxl21:alternateUrls>
    <sheetNames>
      <sheetName val="__FDSCACHE__"/>
      <sheetName val="Version-Level Changes"/>
      <sheetName val="SKU &amp; Platform Availability -&gt;"/>
      <sheetName val="DOM"/>
      <sheetName val="INT"/>
      <sheetName val="Pricing by Platform -&gt;"/>
      <sheetName val="DOM Web"/>
      <sheetName val="INT Web"/>
      <sheetName val="Student Plan Web"/>
      <sheetName val="Gifting Web"/>
      <sheetName val="Apple"/>
      <sheetName val="Google"/>
      <sheetName val="Amazon"/>
      <sheetName val="Roku"/>
      <sheetName val="Samsung"/>
      <sheetName val="Internal Only -&gt;"/>
      <sheetName val="INT Tax"/>
      <sheetName val="Addt'l Payment Methods"/>
      <sheetName val="FT and Intro Offer Details"/>
      <sheetName val="Web FT Deflection"/>
      <sheetName val="Web Upsell Mapping"/>
      <sheetName val="Pre-AR Web Cancel Deflection"/>
      <sheetName val="Post-AR Web Cancel Deflection"/>
      <sheetName val="Cancel Deflection - Apple"/>
      <sheetName val="Winback - Apple"/>
      <sheetName val="Winback - Google"/>
      <sheetName val="Markets w &amp; wo Commercials"/>
      <sheetName val="Markets Not Selling LP"/>
      <sheetName val="Platform Avail by Country"/>
      <sheetName val="Platform Sales Avail by Country"/>
      <sheetName val="Country &amp; Code Abbreviation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</row>
        <row r="5">
          <cell r="B5" t="str">
            <v>Afghanistan</v>
          </cell>
          <cell r="C5" t="str">
            <v>Asia</v>
          </cell>
          <cell r="E5" t="str">
            <v>USD</v>
          </cell>
          <cell r="F5">
            <v>71.989999999999995</v>
          </cell>
          <cell r="G5">
            <v>11.99</v>
          </cell>
          <cell r="H5">
            <v>53.99</v>
          </cell>
          <cell r="I5">
            <v>8.99</v>
          </cell>
          <cell r="J5">
            <v>47.99</v>
          </cell>
          <cell r="K5">
            <v>7.99</v>
          </cell>
          <cell r="L5">
            <v>6.0041701417848206</v>
          </cell>
          <cell r="M5">
            <v>1.3337041156840934</v>
          </cell>
          <cell r="N5">
            <v>6.0055617352614012</v>
          </cell>
          <cell r="O5">
            <v>6.0062578222778473</v>
          </cell>
          <cell r="P5">
            <v>0.88876529477196886</v>
          </cell>
          <cell r="Q5" t="str">
            <v>USD</v>
          </cell>
          <cell r="R5">
            <v>71.989999999999995</v>
          </cell>
          <cell r="S5">
            <v>11.99</v>
          </cell>
          <cell r="T5">
            <v>53.99</v>
          </cell>
          <cell r="U5">
            <v>8.99</v>
          </cell>
          <cell r="V5">
            <v>47.99</v>
          </cell>
          <cell r="W5">
            <v>7.99</v>
          </cell>
        </row>
        <row r="6">
          <cell r="B6" t="str">
            <v>Aland Islands</v>
          </cell>
          <cell r="C6" t="str">
            <v>Europe</v>
          </cell>
          <cell r="E6" t="str">
            <v>EUR</v>
          </cell>
          <cell r="F6">
            <v>119.99</v>
          </cell>
          <cell r="G6">
            <v>19.989999999999998</v>
          </cell>
          <cell r="H6">
            <v>89.99</v>
          </cell>
          <cell r="I6">
            <v>14.99</v>
          </cell>
          <cell r="J6">
            <v>79.989999999999995</v>
          </cell>
          <cell r="K6">
            <v>12.99</v>
          </cell>
          <cell r="L6">
            <v>6.002501250625313</v>
          </cell>
          <cell r="M6">
            <v>1.333555703802535</v>
          </cell>
          <cell r="N6">
            <v>6.0033355570380253</v>
          </cell>
          <cell r="O6">
            <v>6.157813702848344</v>
          </cell>
          <cell r="P6">
            <v>0.86657771847898601</v>
          </cell>
          <cell r="Q6" t="str">
            <v>EUR</v>
          </cell>
          <cell r="R6">
            <v>119.99</v>
          </cell>
          <cell r="S6">
            <v>19.989999999999998</v>
          </cell>
          <cell r="T6">
            <v>89.99</v>
          </cell>
          <cell r="U6">
            <v>14.99</v>
          </cell>
          <cell r="V6">
            <v>79.989999999999995</v>
          </cell>
          <cell r="W6">
            <v>12.99</v>
          </cell>
        </row>
        <row r="7">
          <cell r="B7" t="str">
            <v>Albania</v>
          </cell>
          <cell r="C7" t="str">
            <v>Europe</v>
          </cell>
          <cell r="E7" t="str">
            <v>ALL</v>
          </cell>
          <cell r="F7">
            <v>9719.99</v>
          </cell>
          <cell r="G7">
            <v>1619.99</v>
          </cell>
          <cell r="H7">
            <v>7199.99</v>
          </cell>
          <cell r="I7">
            <v>1199.99</v>
          </cell>
          <cell r="J7">
            <v>6479.99</v>
          </cell>
          <cell r="K7">
            <v>1079.99</v>
          </cell>
          <cell r="L7">
            <v>6.0000308643880516</v>
          </cell>
          <cell r="M7">
            <v>1.3500029166909724</v>
          </cell>
          <cell r="N7">
            <v>6.0000416670138916</v>
          </cell>
          <cell r="O7">
            <v>6.0000462967249693</v>
          </cell>
          <cell r="P7">
            <v>0.89999916665972213</v>
          </cell>
          <cell r="Q7" t="str">
            <v>ALL</v>
          </cell>
          <cell r="R7">
            <v>9719.99</v>
          </cell>
          <cell r="S7">
            <v>1619.99</v>
          </cell>
          <cell r="T7">
            <v>7199.99</v>
          </cell>
          <cell r="U7">
            <v>1199.99</v>
          </cell>
          <cell r="V7">
            <v>6479.99</v>
          </cell>
          <cell r="W7">
            <v>1079.99</v>
          </cell>
        </row>
        <row r="8">
          <cell r="B8" t="str">
            <v>Algeria</v>
          </cell>
          <cell r="C8" t="str">
            <v>Africa</v>
          </cell>
          <cell r="E8" t="str">
            <v>DZD</v>
          </cell>
          <cell r="F8">
            <v>8099.99</v>
          </cell>
          <cell r="G8">
            <v>1349.99</v>
          </cell>
          <cell r="H8">
            <v>5999.99</v>
          </cell>
          <cell r="I8">
            <v>999.99</v>
          </cell>
          <cell r="J8">
            <v>5399.99</v>
          </cell>
          <cell r="K8">
            <v>899.99</v>
          </cell>
          <cell r="L8">
            <v>6.0000370373113876</v>
          </cell>
          <cell r="M8">
            <v>1.3500035000350004</v>
          </cell>
          <cell r="N8">
            <v>6.0000500005000044</v>
          </cell>
          <cell r="O8">
            <v>6.0000555561728461</v>
          </cell>
          <cell r="P8">
            <v>0.89999899998999988</v>
          </cell>
          <cell r="Q8" t="str">
            <v>DZD</v>
          </cell>
          <cell r="R8">
            <v>8099.99</v>
          </cell>
          <cell r="S8">
            <v>1349.99</v>
          </cell>
          <cell r="T8">
            <v>5999.99</v>
          </cell>
          <cell r="U8">
            <v>999.99</v>
          </cell>
          <cell r="V8">
            <v>5399.99</v>
          </cell>
          <cell r="W8">
            <v>899.99</v>
          </cell>
        </row>
        <row r="9">
          <cell r="B9" t="str">
            <v>American Samoa</v>
          </cell>
          <cell r="C9" t="str">
            <v>Asia</v>
          </cell>
          <cell r="E9" t="str">
            <v>USD</v>
          </cell>
          <cell r="F9">
            <v>129.99</v>
          </cell>
          <cell r="G9">
            <v>18.989999999999998</v>
          </cell>
          <cell r="H9">
            <v>83.99</v>
          </cell>
          <cell r="I9">
            <v>13.99</v>
          </cell>
          <cell r="J9">
            <v>77.989999999999995</v>
          </cell>
          <cell r="K9">
            <v>12.99</v>
          </cell>
          <cell r="L9">
            <v>6.8451816745655618</v>
          </cell>
          <cell r="M9">
            <v>1.3573981415296639</v>
          </cell>
          <cell r="N9">
            <v>6.003573981415296</v>
          </cell>
          <cell r="O9">
            <v>6.0038491147036179</v>
          </cell>
          <cell r="P9">
            <v>0.9285203716940672</v>
          </cell>
          <cell r="Q9" t="str">
            <v>USD</v>
          </cell>
          <cell r="R9">
            <v>129.99</v>
          </cell>
          <cell r="S9">
            <v>18.989999999999998</v>
          </cell>
          <cell r="T9">
            <v>83.99</v>
          </cell>
          <cell r="U9">
            <v>13.99</v>
          </cell>
          <cell r="V9">
            <v>77.989999999999995</v>
          </cell>
          <cell r="W9">
            <v>12.99</v>
          </cell>
        </row>
        <row r="10">
          <cell r="B10" t="str">
            <v>Andorra</v>
          </cell>
          <cell r="C10" t="str">
            <v>Europe</v>
          </cell>
          <cell r="E10" t="str">
            <v>EUR</v>
          </cell>
          <cell r="F10">
            <v>159.99</v>
          </cell>
          <cell r="G10">
            <v>22.99</v>
          </cell>
          <cell r="H10">
            <v>109.99</v>
          </cell>
          <cell r="I10">
            <v>17.989999999999998</v>
          </cell>
          <cell r="J10">
            <v>99.99</v>
          </cell>
          <cell r="K10">
            <v>15.99</v>
          </cell>
          <cell r="L10">
            <v>6.9591126576772515</v>
          </cell>
          <cell r="M10">
            <v>1.2779321845469707</v>
          </cell>
          <cell r="N10">
            <v>6.1139521956642584</v>
          </cell>
          <cell r="O10">
            <v>6.2532833020637897</v>
          </cell>
          <cell r="P10">
            <v>0.88882712618121185</v>
          </cell>
          <cell r="Q10" t="str">
            <v>EUR</v>
          </cell>
          <cell r="R10">
            <v>159.99</v>
          </cell>
          <cell r="S10">
            <v>22.99</v>
          </cell>
          <cell r="T10">
            <v>109.99</v>
          </cell>
          <cell r="U10">
            <v>17.989999999999998</v>
          </cell>
          <cell r="V10">
            <v>99.99</v>
          </cell>
          <cell r="W10">
            <v>15.99</v>
          </cell>
        </row>
        <row r="11">
          <cell r="B11" t="str">
            <v>Angola</v>
          </cell>
          <cell r="C11" t="str">
            <v>Africa</v>
          </cell>
          <cell r="E11" t="str">
            <v>USD</v>
          </cell>
          <cell r="F11">
            <v>71.989999999999995</v>
          </cell>
          <cell r="G11">
            <v>11.99</v>
          </cell>
          <cell r="H11">
            <v>53.99</v>
          </cell>
          <cell r="I11">
            <v>8.99</v>
          </cell>
          <cell r="J11">
            <v>47.99</v>
          </cell>
          <cell r="K11">
            <v>7.99</v>
          </cell>
          <cell r="L11">
            <v>6.0041701417848206</v>
          </cell>
          <cell r="M11">
            <v>1.3337041156840934</v>
          </cell>
          <cell r="N11">
            <v>6.0055617352614012</v>
          </cell>
          <cell r="O11">
            <v>6.0062578222778473</v>
          </cell>
          <cell r="P11">
            <v>0.88876529477196886</v>
          </cell>
          <cell r="Q11" t="str">
            <v>USD</v>
          </cell>
          <cell r="R11">
            <v>71.989999999999995</v>
          </cell>
          <cell r="S11">
            <v>11.99</v>
          </cell>
          <cell r="T11">
            <v>53.99</v>
          </cell>
          <cell r="U11">
            <v>8.99</v>
          </cell>
          <cell r="V11">
            <v>47.99</v>
          </cell>
          <cell r="W11">
            <v>7.99</v>
          </cell>
        </row>
        <row r="12">
          <cell r="B12" t="str">
            <v>Anguilla</v>
          </cell>
          <cell r="C12" t="str">
            <v>Latin America</v>
          </cell>
          <cell r="E12" t="str">
            <v>XCD</v>
          </cell>
          <cell r="F12">
            <v>269.99</v>
          </cell>
          <cell r="G12">
            <v>44.99</v>
          </cell>
          <cell r="H12">
            <v>197.99</v>
          </cell>
          <cell r="I12">
            <v>32.99</v>
          </cell>
          <cell r="J12">
            <v>179.99</v>
          </cell>
          <cell r="K12">
            <v>29.99</v>
          </cell>
          <cell r="L12">
            <v>6.001111358079573</v>
          </cell>
          <cell r="M12">
            <v>1.36374658987572</v>
          </cell>
          <cell r="N12">
            <v>6.0015156107911487</v>
          </cell>
          <cell r="O12">
            <v>6.0016672224074696</v>
          </cell>
          <cell r="P12">
            <v>0.90906335253106996</v>
          </cell>
          <cell r="Q12" t="str">
            <v>XCD</v>
          </cell>
          <cell r="R12">
            <v>269.99</v>
          </cell>
          <cell r="S12">
            <v>44.99</v>
          </cell>
          <cell r="T12">
            <v>197.99</v>
          </cell>
          <cell r="U12">
            <v>32.99</v>
          </cell>
          <cell r="V12">
            <v>179.99</v>
          </cell>
          <cell r="W12">
            <v>29.99</v>
          </cell>
        </row>
        <row r="13">
          <cell r="B13" t="str">
            <v>Antarctica</v>
          </cell>
          <cell r="C13" t="str">
            <v>Europe</v>
          </cell>
          <cell r="E13" t="str">
            <v>USD</v>
          </cell>
          <cell r="F13">
            <v>154.99</v>
          </cell>
          <cell r="G13">
            <v>21.99</v>
          </cell>
          <cell r="H13">
            <v>99.99</v>
          </cell>
          <cell r="I13">
            <v>16.989999999999998</v>
          </cell>
          <cell r="J13">
            <v>89.99</v>
          </cell>
          <cell r="K13">
            <v>14.99</v>
          </cell>
          <cell r="L13">
            <v>7.0482037289677137</v>
          </cell>
          <cell r="M13">
            <v>1.2942907592701589</v>
          </cell>
          <cell r="N13">
            <v>5.8852266038846386</v>
          </cell>
          <cell r="O13">
            <v>6.0033355570380253</v>
          </cell>
          <cell r="P13">
            <v>0.88228369629193648</v>
          </cell>
          <cell r="Q13" t="str">
            <v>USD</v>
          </cell>
          <cell r="R13">
            <v>154.99</v>
          </cell>
          <cell r="S13">
            <v>21.99</v>
          </cell>
          <cell r="T13">
            <v>99.99</v>
          </cell>
          <cell r="U13">
            <v>16.989999999999998</v>
          </cell>
          <cell r="V13">
            <v>89.99</v>
          </cell>
          <cell r="W13">
            <v>14.99</v>
          </cell>
        </row>
        <row r="14">
          <cell r="B14" t="str">
            <v>Antigua And Barbuda</v>
          </cell>
          <cell r="C14" t="str">
            <v>Latin America</v>
          </cell>
          <cell r="E14" t="str">
            <v>XCD</v>
          </cell>
          <cell r="F14">
            <v>305.99</v>
          </cell>
          <cell r="G14">
            <v>50.99</v>
          </cell>
          <cell r="H14">
            <v>227.99</v>
          </cell>
          <cell r="I14">
            <v>37.99</v>
          </cell>
          <cell r="J14">
            <v>203.99</v>
          </cell>
          <cell r="K14">
            <v>33.99</v>
          </cell>
          <cell r="L14">
            <v>6.0009805844283193</v>
          </cell>
          <cell r="M14">
            <v>1.3421953145564622</v>
          </cell>
          <cell r="N14">
            <v>6.0013161358252169</v>
          </cell>
          <cell r="O14">
            <v>6.0014710208884967</v>
          </cell>
          <cell r="P14">
            <v>0.89470913398262697</v>
          </cell>
          <cell r="Q14" t="str">
            <v>XCD</v>
          </cell>
          <cell r="R14">
            <v>305.99</v>
          </cell>
          <cell r="S14">
            <v>50.99</v>
          </cell>
          <cell r="T14">
            <v>227.99</v>
          </cell>
          <cell r="U14">
            <v>37.99</v>
          </cell>
          <cell r="V14">
            <v>203.99</v>
          </cell>
          <cell r="W14">
            <v>33.99</v>
          </cell>
        </row>
        <row r="15">
          <cell r="B15" t="str">
            <v>Argentina</v>
          </cell>
          <cell r="C15" t="str">
            <v>Latin America</v>
          </cell>
          <cell r="D15" t="str">
            <v>C</v>
          </cell>
          <cell r="E15" t="str">
            <v>ARS</v>
          </cell>
          <cell r="F15">
            <v>138599.99</v>
          </cell>
          <cell r="G15">
            <v>23099.99</v>
          </cell>
          <cell r="H15">
            <v>109999.99</v>
          </cell>
          <cell r="I15">
            <v>17999.990000000002</v>
          </cell>
          <cell r="J15">
            <v>97499.99</v>
          </cell>
          <cell r="K15">
            <v>15999.99</v>
          </cell>
          <cell r="L15">
            <v>6.0000021645031003</v>
          </cell>
          <cell r="M15">
            <v>1.2833334907408283</v>
          </cell>
          <cell r="N15">
            <v>6.1111139506188614</v>
          </cell>
          <cell r="O15">
            <v>6.0937531835957399</v>
          </cell>
          <cell r="P15">
            <v>0.88888882716045947</v>
          </cell>
          <cell r="Q15" t="str">
            <v>ARS</v>
          </cell>
          <cell r="R15">
            <v>206519.99</v>
          </cell>
          <cell r="S15">
            <v>34419.99</v>
          </cell>
          <cell r="T15">
            <v>163899.98510000002</v>
          </cell>
          <cell r="U15">
            <v>26819.985100000002</v>
          </cell>
          <cell r="V15">
            <v>145279.99</v>
          </cell>
          <cell r="W15">
            <v>23839.985099999998</v>
          </cell>
        </row>
        <row r="16">
          <cell r="B16" t="str">
            <v>Armenia</v>
          </cell>
          <cell r="C16" t="str">
            <v>Middle East</v>
          </cell>
          <cell r="E16" t="str">
            <v>AMD</v>
          </cell>
          <cell r="F16">
            <v>54269.99</v>
          </cell>
          <cell r="G16">
            <v>9039.99</v>
          </cell>
          <cell r="H16">
            <v>40199.99</v>
          </cell>
          <cell r="I16">
            <v>6699.99</v>
          </cell>
          <cell r="J16">
            <v>36179.99</v>
          </cell>
          <cell r="K16">
            <v>6029.99</v>
          </cell>
          <cell r="L16">
            <v>6.0033241187213706</v>
          </cell>
          <cell r="M16">
            <v>1.3492542526182876</v>
          </cell>
          <cell r="N16">
            <v>6.0000074626977051</v>
          </cell>
          <cell r="O16">
            <v>6.0000082918877142</v>
          </cell>
          <cell r="P16">
            <v>0.89999985074604594</v>
          </cell>
          <cell r="Q16" t="str">
            <v>AMD</v>
          </cell>
          <cell r="R16">
            <v>54269.99</v>
          </cell>
          <cell r="S16">
            <v>9039.99</v>
          </cell>
          <cell r="T16">
            <v>40199.99</v>
          </cell>
          <cell r="U16">
            <v>6699.99</v>
          </cell>
          <cell r="V16">
            <v>36179.99</v>
          </cell>
          <cell r="W16">
            <v>6029.99</v>
          </cell>
        </row>
        <row r="17">
          <cell r="B17" t="str">
            <v>Aruba</v>
          </cell>
          <cell r="C17" t="str">
            <v>Latin America</v>
          </cell>
          <cell r="E17" t="str">
            <v>AWG</v>
          </cell>
          <cell r="F17">
            <v>179.99</v>
          </cell>
          <cell r="G17">
            <v>29.99</v>
          </cell>
          <cell r="H17">
            <v>131.99</v>
          </cell>
          <cell r="I17">
            <v>21.99</v>
          </cell>
          <cell r="J17">
            <v>119.99</v>
          </cell>
          <cell r="K17">
            <v>19.989999999999998</v>
          </cell>
          <cell r="L17">
            <v>6.0016672224074696</v>
          </cell>
          <cell r="M17">
            <v>1.3638017280582082</v>
          </cell>
          <cell r="N17">
            <v>6.0022737608003647</v>
          </cell>
          <cell r="O17">
            <v>6.002501250625313</v>
          </cell>
          <cell r="P17">
            <v>0.90904956798544789</v>
          </cell>
          <cell r="Q17" t="str">
            <v>AWG</v>
          </cell>
          <cell r="R17">
            <v>179.99</v>
          </cell>
          <cell r="S17">
            <v>29.99</v>
          </cell>
          <cell r="T17">
            <v>131.99</v>
          </cell>
          <cell r="U17">
            <v>21.99</v>
          </cell>
          <cell r="V17">
            <v>119.99</v>
          </cell>
          <cell r="W17">
            <v>19.989999999999998</v>
          </cell>
        </row>
        <row r="18">
          <cell r="B18" t="str">
            <v>Australia</v>
          </cell>
          <cell r="C18" t="str">
            <v>Asia</v>
          </cell>
          <cell r="D18" t="str">
            <v>B</v>
          </cell>
          <cell r="E18" t="str">
            <v>AUD</v>
          </cell>
          <cell r="F18">
            <v>229.99</v>
          </cell>
          <cell r="G18">
            <v>32.99</v>
          </cell>
          <cell r="H18">
            <v>174.99</v>
          </cell>
          <cell r="I18">
            <v>24.99</v>
          </cell>
          <cell r="J18">
            <v>153.99</v>
          </cell>
          <cell r="K18">
            <v>21.99</v>
          </cell>
          <cell r="L18">
            <v>6.9715065171264019</v>
          </cell>
          <cell r="M18">
            <v>1.3201280512204883</v>
          </cell>
          <cell r="N18">
            <v>7.0024009603841542</v>
          </cell>
          <cell r="O18">
            <v>7.0027285129604371</v>
          </cell>
          <cell r="P18">
            <v>0.87995198079231696</v>
          </cell>
          <cell r="Q18" t="str">
            <v>AUD</v>
          </cell>
          <cell r="R18">
            <v>229.99</v>
          </cell>
          <cell r="S18">
            <v>32.99</v>
          </cell>
          <cell r="T18">
            <v>174.99</v>
          </cell>
          <cell r="U18">
            <v>24.99</v>
          </cell>
          <cell r="V18">
            <v>153.99</v>
          </cell>
          <cell r="W18">
            <v>21.99</v>
          </cell>
        </row>
        <row r="19">
          <cell r="B19" t="str">
            <v>Austria</v>
          </cell>
          <cell r="C19" t="str">
            <v>Europe</v>
          </cell>
          <cell r="E19" t="str">
            <v>EUR</v>
          </cell>
          <cell r="F19">
            <v>159.99</v>
          </cell>
          <cell r="G19">
            <v>23.99</v>
          </cell>
          <cell r="H19">
            <v>116.99</v>
          </cell>
          <cell r="I19">
            <v>17.989999999999998</v>
          </cell>
          <cell r="J19">
            <v>104.99</v>
          </cell>
          <cell r="K19">
            <v>15.99</v>
          </cell>
          <cell r="L19">
            <v>6.6690287619841611</v>
          </cell>
          <cell r="M19">
            <v>1.3335186214563646</v>
          </cell>
          <cell r="N19">
            <v>6.5030572540300167</v>
          </cell>
          <cell r="O19">
            <v>6.5659787367104432</v>
          </cell>
          <cell r="P19">
            <v>0.88882712618121185</v>
          </cell>
          <cell r="Q19" t="str">
            <v>EUR</v>
          </cell>
          <cell r="R19">
            <v>159.99</v>
          </cell>
          <cell r="S19">
            <v>23.99</v>
          </cell>
          <cell r="T19">
            <v>116.99</v>
          </cell>
          <cell r="U19">
            <v>17.989999999999998</v>
          </cell>
          <cell r="V19">
            <v>104.99</v>
          </cell>
          <cell r="W19">
            <v>15.99</v>
          </cell>
        </row>
        <row r="20">
          <cell r="B20" t="str">
            <v>Azerbaijan</v>
          </cell>
          <cell r="C20" t="str">
            <v>Middle East</v>
          </cell>
          <cell r="E20" t="str">
            <v>AZN</v>
          </cell>
          <cell r="F20">
            <v>179.99</v>
          </cell>
          <cell r="G20">
            <v>29.99</v>
          </cell>
          <cell r="H20">
            <v>129.99</v>
          </cell>
          <cell r="I20">
            <v>21.99</v>
          </cell>
          <cell r="J20">
            <v>119.99</v>
          </cell>
          <cell r="K20">
            <v>19.989999999999998</v>
          </cell>
          <cell r="L20">
            <v>6.0016672224074696</v>
          </cell>
          <cell r="M20">
            <v>1.3638017280582082</v>
          </cell>
          <cell r="N20">
            <v>5.9113233287858122</v>
          </cell>
          <cell r="O20">
            <v>6.002501250625313</v>
          </cell>
          <cell r="P20">
            <v>0.90904956798544789</v>
          </cell>
          <cell r="Q20" t="str">
            <v>AZN</v>
          </cell>
          <cell r="R20">
            <v>179.99</v>
          </cell>
          <cell r="S20">
            <v>29.99</v>
          </cell>
          <cell r="T20">
            <v>129.99</v>
          </cell>
          <cell r="U20">
            <v>21.99</v>
          </cell>
          <cell r="V20">
            <v>119.99</v>
          </cell>
          <cell r="W20">
            <v>19.989999999999998</v>
          </cell>
        </row>
        <row r="21">
          <cell r="B21" t="str">
            <v>Bahamas</v>
          </cell>
          <cell r="C21" t="str">
            <v>Latin America</v>
          </cell>
          <cell r="E21" t="str">
            <v>BSD</v>
          </cell>
          <cell r="F21">
            <v>95.99</v>
          </cell>
          <cell r="G21">
            <v>15.99</v>
          </cell>
          <cell r="H21">
            <v>71.989999999999995</v>
          </cell>
          <cell r="I21">
            <v>11.99</v>
          </cell>
          <cell r="J21">
            <v>65.989999999999995</v>
          </cell>
          <cell r="K21">
            <v>10.99</v>
          </cell>
          <cell r="L21">
            <v>6.0031269543464658</v>
          </cell>
          <cell r="M21">
            <v>1.3336113427856546</v>
          </cell>
          <cell r="N21">
            <v>6.0041701417848206</v>
          </cell>
          <cell r="O21">
            <v>6.0045495905368513</v>
          </cell>
          <cell r="P21">
            <v>0.91659716430358629</v>
          </cell>
          <cell r="Q21" t="str">
            <v>BSD</v>
          </cell>
          <cell r="R21">
            <v>95.99</v>
          </cell>
          <cell r="S21">
            <v>15.99</v>
          </cell>
          <cell r="T21">
            <v>71.989999999999995</v>
          </cell>
          <cell r="U21">
            <v>11.99</v>
          </cell>
          <cell r="V21">
            <v>65.989999999999995</v>
          </cell>
          <cell r="W21">
            <v>10.99</v>
          </cell>
        </row>
        <row r="22">
          <cell r="B22" t="str">
            <v>Bahrain</v>
          </cell>
          <cell r="C22" t="str">
            <v>Middle East</v>
          </cell>
          <cell r="E22" t="str">
            <v>BHD</v>
          </cell>
          <cell r="F22">
            <v>59.999000000000002</v>
          </cell>
          <cell r="G22">
            <v>8.9990000000000006</v>
          </cell>
          <cell r="H22">
            <v>49.999000000000002</v>
          </cell>
          <cell r="I22">
            <v>6.9989999999999997</v>
          </cell>
          <cell r="J22">
            <v>39.999000000000002</v>
          </cell>
          <cell r="K22">
            <v>5.9989999999999997</v>
          </cell>
          <cell r="L22">
            <v>6.6672963662629181</v>
          </cell>
          <cell r="M22">
            <v>1.2857551078725533</v>
          </cell>
          <cell r="N22">
            <v>7.1437348192598948</v>
          </cell>
          <cell r="O22">
            <v>6.6676112685447579</v>
          </cell>
          <cell r="P22">
            <v>0.85712244606372334</v>
          </cell>
          <cell r="Q22" t="str">
            <v>BHD</v>
          </cell>
          <cell r="R22">
            <v>59.999000000000002</v>
          </cell>
          <cell r="S22">
            <v>8.9990000000000006</v>
          </cell>
          <cell r="T22">
            <v>49.999000000000002</v>
          </cell>
          <cell r="U22">
            <v>6.9989999999999997</v>
          </cell>
          <cell r="V22">
            <v>39.999000000000002</v>
          </cell>
          <cell r="W22">
            <v>5.9989999999999997</v>
          </cell>
        </row>
        <row r="23">
          <cell r="B23" t="str">
            <v>Bangladesh</v>
          </cell>
          <cell r="C23" t="str">
            <v>Asia</v>
          </cell>
          <cell r="E23" t="str">
            <v>BDT</v>
          </cell>
          <cell r="F23">
            <v>6071.99</v>
          </cell>
          <cell r="G23">
            <v>1011.99</v>
          </cell>
          <cell r="H23">
            <v>4499.99</v>
          </cell>
          <cell r="I23">
            <v>749.99</v>
          </cell>
          <cell r="J23">
            <v>4049.99</v>
          </cell>
          <cell r="K23">
            <v>674.99</v>
          </cell>
          <cell r="L23">
            <v>6.0000494076028419</v>
          </cell>
          <cell r="M23">
            <v>1.3493379911732157</v>
          </cell>
          <cell r="N23">
            <v>6.0000666675555667</v>
          </cell>
          <cell r="O23">
            <v>6.0000740751714838</v>
          </cell>
          <cell r="P23">
            <v>0.89999866664888861</v>
          </cell>
          <cell r="Q23" t="str">
            <v>BDT</v>
          </cell>
          <cell r="R23">
            <v>6071.99</v>
          </cell>
          <cell r="S23">
            <v>1011.99</v>
          </cell>
          <cell r="T23">
            <v>4499.99</v>
          </cell>
          <cell r="U23">
            <v>749.99</v>
          </cell>
          <cell r="V23">
            <v>4049.99</v>
          </cell>
          <cell r="W23">
            <v>674.99</v>
          </cell>
        </row>
        <row r="24">
          <cell r="B24" t="str">
            <v>Barbados</v>
          </cell>
          <cell r="C24" t="str">
            <v>Latin America</v>
          </cell>
          <cell r="E24" t="str">
            <v>BBD</v>
          </cell>
          <cell r="F24">
            <v>209.99</v>
          </cell>
          <cell r="G24">
            <v>34.99</v>
          </cell>
          <cell r="H24">
            <v>155.99</v>
          </cell>
          <cell r="I24">
            <v>25.99</v>
          </cell>
          <cell r="J24">
            <v>137.99</v>
          </cell>
          <cell r="K24">
            <v>22.99</v>
          </cell>
          <cell r="L24">
            <v>6.0014289797084883</v>
          </cell>
          <cell r="M24">
            <v>1.3462870334744135</v>
          </cell>
          <cell r="N24">
            <v>6.0019238168526368</v>
          </cell>
          <cell r="O24">
            <v>6.0021748586341896</v>
          </cell>
          <cell r="P24">
            <v>0.88457098884186225</v>
          </cell>
          <cell r="Q24" t="str">
            <v>BBD</v>
          </cell>
          <cell r="R24">
            <v>209.99</v>
          </cell>
          <cell r="S24">
            <v>34.99</v>
          </cell>
          <cell r="T24">
            <v>155.99</v>
          </cell>
          <cell r="U24">
            <v>25.99</v>
          </cell>
          <cell r="V24">
            <v>137.99</v>
          </cell>
          <cell r="W24">
            <v>22.99</v>
          </cell>
        </row>
        <row r="25">
          <cell r="B25" t="str">
            <v>Belarus</v>
          </cell>
          <cell r="C25" t="str">
            <v>Europe</v>
          </cell>
          <cell r="D25"/>
          <cell r="E25" t="str">
            <v>BYN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/>
          <cell r="M25"/>
          <cell r="N25"/>
          <cell r="O25"/>
          <cell r="P25"/>
          <cell r="Q25" t="str">
            <v>BYN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Belgium</v>
          </cell>
          <cell r="C26" t="str">
            <v>Europe</v>
          </cell>
          <cell r="D26" t="str">
            <v>E~</v>
          </cell>
          <cell r="E26" t="str">
            <v>EUR</v>
          </cell>
          <cell r="F26">
            <v>169.99</v>
          </cell>
          <cell r="G26">
            <v>25.99</v>
          </cell>
          <cell r="H26">
            <v>124.99</v>
          </cell>
          <cell r="I26">
            <v>18.989999999999998</v>
          </cell>
          <cell r="J26">
            <v>109.99</v>
          </cell>
          <cell r="K26">
            <v>16.989999999999998</v>
          </cell>
          <cell r="L26">
            <v>6.5405925355906129</v>
          </cell>
          <cell r="M26">
            <v>1.3686150605581886</v>
          </cell>
          <cell r="N26">
            <v>6.5818852027382837</v>
          </cell>
          <cell r="O26">
            <v>6.4738081224249564</v>
          </cell>
          <cell r="P26">
            <v>0.89468141126908896</v>
          </cell>
          <cell r="Q26" t="str">
            <v>EUR</v>
          </cell>
          <cell r="R26">
            <v>169.99</v>
          </cell>
          <cell r="S26">
            <v>25.99</v>
          </cell>
          <cell r="T26">
            <v>124.99</v>
          </cell>
          <cell r="U26">
            <v>18.989999999999998</v>
          </cell>
          <cell r="V26">
            <v>109.99</v>
          </cell>
          <cell r="W26">
            <v>16.989999999999998</v>
          </cell>
        </row>
        <row r="27">
          <cell r="B27" t="str">
            <v>Belize</v>
          </cell>
          <cell r="C27" t="str">
            <v>Latin America</v>
          </cell>
          <cell r="E27" t="str">
            <v>BZD</v>
          </cell>
          <cell r="F27">
            <v>149.99</v>
          </cell>
          <cell r="G27">
            <v>24.99</v>
          </cell>
          <cell r="H27">
            <v>107.99</v>
          </cell>
          <cell r="I27">
            <v>17.989999999999998</v>
          </cell>
          <cell r="J27">
            <v>95.99</v>
          </cell>
          <cell r="K27">
            <v>15.99</v>
          </cell>
          <cell r="L27">
            <v>6.0020008003201291</v>
          </cell>
          <cell r="M27">
            <v>1.3891050583657587</v>
          </cell>
          <cell r="N27">
            <v>6.0027793218454697</v>
          </cell>
          <cell r="O27">
            <v>6.0031269543464658</v>
          </cell>
          <cell r="P27">
            <v>0.88882712618121185</v>
          </cell>
          <cell r="Q27" t="str">
            <v>BZD</v>
          </cell>
          <cell r="R27">
            <v>149.99</v>
          </cell>
          <cell r="S27">
            <v>24.99</v>
          </cell>
          <cell r="T27">
            <v>107.99</v>
          </cell>
          <cell r="U27">
            <v>17.989999999999998</v>
          </cell>
          <cell r="V27">
            <v>95.99</v>
          </cell>
          <cell r="W27">
            <v>15.99</v>
          </cell>
        </row>
        <row r="28">
          <cell r="B28" t="str">
            <v>Benin</v>
          </cell>
          <cell r="C28" t="str">
            <v>Africa</v>
          </cell>
          <cell r="E28" t="str">
            <v>XOF</v>
          </cell>
          <cell r="F28">
            <v>43740</v>
          </cell>
          <cell r="G28">
            <v>7290</v>
          </cell>
          <cell r="H28">
            <v>32400</v>
          </cell>
          <cell r="I28">
            <v>5400</v>
          </cell>
          <cell r="J28">
            <v>29160</v>
          </cell>
          <cell r="K28">
            <v>4860</v>
          </cell>
          <cell r="L28">
            <v>6</v>
          </cell>
          <cell r="M28">
            <v>1.35</v>
          </cell>
          <cell r="N28">
            <v>6</v>
          </cell>
          <cell r="O28">
            <v>6</v>
          </cell>
          <cell r="P28">
            <v>0.9</v>
          </cell>
          <cell r="Q28" t="str">
            <v>XOF</v>
          </cell>
          <cell r="R28">
            <v>43740</v>
          </cell>
          <cell r="S28">
            <v>7290</v>
          </cell>
          <cell r="T28">
            <v>32400</v>
          </cell>
          <cell r="U28">
            <v>5400</v>
          </cell>
          <cell r="V28">
            <v>29160</v>
          </cell>
          <cell r="W28">
            <v>4860</v>
          </cell>
        </row>
        <row r="29">
          <cell r="B29" t="str">
            <v>Bermuda</v>
          </cell>
          <cell r="C29" t="str">
            <v>Latin America</v>
          </cell>
          <cell r="E29" t="str">
            <v>BMD</v>
          </cell>
          <cell r="F29">
            <v>95.99</v>
          </cell>
          <cell r="G29">
            <v>15.99</v>
          </cell>
          <cell r="H29">
            <v>71.989999999999995</v>
          </cell>
          <cell r="I29">
            <v>11.99</v>
          </cell>
          <cell r="J29">
            <v>65.989999999999995</v>
          </cell>
          <cell r="K29">
            <v>10.99</v>
          </cell>
          <cell r="L29">
            <v>6.0031269543464658</v>
          </cell>
          <cell r="M29">
            <v>1.3336113427856546</v>
          </cell>
          <cell r="N29">
            <v>6.0041701417848206</v>
          </cell>
          <cell r="O29">
            <v>6.0045495905368513</v>
          </cell>
          <cell r="P29">
            <v>0.91659716430358629</v>
          </cell>
          <cell r="Q29" t="str">
            <v>BMD</v>
          </cell>
          <cell r="R29">
            <v>95.99</v>
          </cell>
          <cell r="S29">
            <v>15.99</v>
          </cell>
          <cell r="T29">
            <v>71.989999999999995</v>
          </cell>
          <cell r="U29">
            <v>11.99</v>
          </cell>
          <cell r="V29">
            <v>65.989999999999995</v>
          </cell>
          <cell r="W29">
            <v>10.99</v>
          </cell>
        </row>
        <row r="30">
          <cell r="B30" t="str">
            <v>Bhutan</v>
          </cell>
          <cell r="C30" t="str">
            <v>Asia</v>
          </cell>
          <cell r="E30" t="str">
            <v>USD</v>
          </cell>
          <cell r="F30">
            <v>71.989999999999995</v>
          </cell>
          <cell r="G30">
            <v>11.99</v>
          </cell>
          <cell r="H30">
            <v>53.99</v>
          </cell>
          <cell r="I30">
            <v>8.99</v>
          </cell>
          <cell r="J30">
            <v>47.99</v>
          </cell>
          <cell r="K30">
            <v>7.99</v>
          </cell>
          <cell r="L30">
            <v>6.0041701417848206</v>
          </cell>
          <cell r="M30">
            <v>1.3337041156840934</v>
          </cell>
          <cell r="N30">
            <v>6.0055617352614012</v>
          </cell>
          <cell r="O30">
            <v>6.0062578222778473</v>
          </cell>
          <cell r="P30">
            <v>0.88876529477196886</v>
          </cell>
          <cell r="Q30" t="str">
            <v>USD</v>
          </cell>
          <cell r="R30">
            <v>71.989999999999995</v>
          </cell>
          <cell r="S30">
            <v>11.99</v>
          </cell>
          <cell r="T30">
            <v>53.99</v>
          </cell>
          <cell r="U30">
            <v>8.99</v>
          </cell>
          <cell r="V30">
            <v>47.99</v>
          </cell>
          <cell r="W30">
            <v>7.99</v>
          </cell>
        </row>
        <row r="31">
          <cell r="B31" t="str">
            <v>Bolivia</v>
          </cell>
          <cell r="C31" t="str">
            <v>Latin America</v>
          </cell>
          <cell r="E31" t="str">
            <v>BOB</v>
          </cell>
          <cell r="F31">
            <v>559.99</v>
          </cell>
          <cell r="G31">
            <v>92.99</v>
          </cell>
          <cell r="H31">
            <v>409.99</v>
          </cell>
          <cell r="I31">
            <v>68.989999999999995</v>
          </cell>
          <cell r="J31">
            <v>369.99</v>
          </cell>
          <cell r="K31">
            <v>61.99</v>
          </cell>
          <cell r="L31">
            <v>6.022045381223788</v>
          </cell>
          <cell r="M31">
            <v>1.3478765038411364</v>
          </cell>
          <cell r="N31">
            <v>5.9427453254094802</v>
          </cell>
          <cell r="O31">
            <v>5.9685433134376513</v>
          </cell>
          <cell r="P31">
            <v>0.89853601971300201</v>
          </cell>
          <cell r="Q31" t="str">
            <v>BOB</v>
          </cell>
          <cell r="R31">
            <v>559.99</v>
          </cell>
          <cell r="S31">
            <v>92.99</v>
          </cell>
          <cell r="T31">
            <v>409.99</v>
          </cell>
          <cell r="U31">
            <v>68.989999999999995</v>
          </cell>
          <cell r="V31">
            <v>369.99</v>
          </cell>
          <cell r="W31">
            <v>61.99</v>
          </cell>
        </row>
        <row r="32">
          <cell r="B32" t="str">
            <v>Bonaire, St. Eustatius, &amp; Saba</v>
          </cell>
          <cell r="C32" t="str">
            <v>Europe</v>
          </cell>
          <cell r="E32" t="str">
            <v>USD</v>
          </cell>
          <cell r="F32">
            <v>89.99</v>
          </cell>
          <cell r="G32">
            <v>14.99</v>
          </cell>
          <cell r="H32">
            <v>69.989999999999995</v>
          </cell>
          <cell r="I32">
            <v>10.99</v>
          </cell>
          <cell r="J32">
            <v>59.99</v>
          </cell>
          <cell r="K32">
            <v>9.99</v>
          </cell>
          <cell r="L32">
            <v>6.0033355570380253</v>
          </cell>
          <cell r="M32">
            <v>1.3639672429481347</v>
          </cell>
          <cell r="N32">
            <v>6.3685168334849855</v>
          </cell>
          <cell r="O32">
            <v>6.005005005005005</v>
          </cell>
          <cell r="P32">
            <v>0.90900818926296634</v>
          </cell>
          <cell r="Q32" t="str">
            <v>USD</v>
          </cell>
          <cell r="R32">
            <v>89.99</v>
          </cell>
          <cell r="S32">
            <v>14.99</v>
          </cell>
          <cell r="T32">
            <v>69.989999999999995</v>
          </cell>
          <cell r="U32">
            <v>10.99</v>
          </cell>
          <cell r="V32">
            <v>59.99</v>
          </cell>
          <cell r="W32">
            <v>9.99</v>
          </cell>
        </row>
        <row r="33">
          <cell r="B33" t="str">
            <v>Bosnia And Herzegovina</v>
          </cell>
          <cell r="C33" t="str">
            <v>Europe</v>
          </cell>
          <cell r="E33" t="str">
            <v>BAM</v>
          </cell>
          <cell r="F33">
            <v>149.99</v>
          </cell>
          <cell r="G33">
            <v>24.99</v>
          </cell>
          <cell r="H33">
            <v>109.99</v>
          </cell>
          <cell r="I33">
            <v>17.989999999999998</v>
          </cell>
          <cell r="J33">
            <v>99.99</v>
          </cell>
          <cell r="K33">
            <v>15.99</v>
          </cell>
          <cell r="L33">
            <v>6.0020008003201291</v>
          </cell>
          <cell r="M33">
            <v>1.3891050583657587</v>
          </cell>
          <cell r="N33">
            <v>6.1139521956642584</v>
          </cell>
          <cell r="O33">
            <v>6.2532833020637897</v>
          </cell>
          <cell r="P33">
            <v>0.88882712618121185</v>
          </cell>
          <cell r="Q33" t="str">
            <v>BAM</v>
          </cell>
          <cell r="R33">
            <v>149.99</v>
          </cell>
          <cell r="S33">
            <v>24.99</v>
          </cell>
          <cell r="T33">
            <v>109.99</v>
          </cell>
          <cell r="U33">
            <v>17.989999999999998</v>
          </cell>
          <cell r="V33">
            <v>99.99</v>
          </cell>
          <cell r="W33">
            <v>15.99</v>
          </cell>
        </row>
        <row r="34">
          <cell r="B34" t="str">
            <v>Botswana</v>
          </cell>
          <cell r="C34" t="str">
            <v>Africa</v>
          </cell>
          <cell r="E34" t="str">
            <v>BWP</v>
          </cell>
          <cell r="F34">
            <v>665.99</v>
          </cell>
          <cell r="G34">
            <v>110.99</v>
          </cell>
          <cell r="H34">
            <v>491.99</v>
          </cell>
          <cell r="I34">
            <v>81.99</v>
          </cell>
          <cell r="J34">
            <v>443.99</v>
          </cell>
          <cell r="K34">
            <v>73.989999999999995</v>
          </cell>
          <cell r="L34">
            <v>6.0004504910352283</v>
          </cell>
          <cell r="M34">
            <v>1.3537016709354799</v>
          </cell>
          <cell r="N34">
            <v>6.0006098304671305</v>
          </cell>
          <cell r="O34">
            <v>6.0006757669955402</v>
          </cell>
          <cell r="P34">
            <v>0.9024271252591779</v>
          </cell>
          <cell r="Q34" t="str">
            <v>BWP</v>
          </cell>
          <cell r="R34">
            <v>665.99</v>
          </cell>
          <cell r="S34">
            <v>110.99</v>
          </cell>
          <cell r="T34">
            <v>491.99</v>
          </cell>
          <cell r="U34">
            <v>81.99</v>
          </cell>
          <cell r="V34">
            <v>443.99</v>
          </cell>
          <cell r="W34">
            <v>73.989999999999995</v>
          </cell>
        </row>
        <row r="35">
          <cell r="B35" t="str">
            <v>Bouvet Island</v>
          </cell>
          <cell r="C35" t="str">
            <v>Europe</v>
          </cell>
          <cell r="E35" t="str">
            <v>NOK</v>
          </cell>
          <cell r="F35">
            <v>1399.99</v>
          </cell>
          <cell r="G35">
            <v>199.99</v>
          </cell>
          <cell r="H35">
            <v>899.99</v>
          </cell>
          <cell r="I35">
            <v>149.99</v>
          </cell>
          <cell r="J35">
            <v>839.99</v>
          </cell>
          <cell r="K35">
            <v>139.99</v>
          </cell>
          <cell r="L35">
            <v>7.0003000150007502</v>
          </cell>
          <cell r="M35">
            <v>1.3333555570371358</v>
          </cell>
          <cell r="N35">
            <v>6.0003333555570366</v>
          </cell>
          <cell r="O35">
            <v>6.0003571683691685</v>
          </cell>
          <cell r="P35">
            <v>0.93332888859257279</v>
          </cell>
          <cell r="Q35" t="str">
            <v>NOK</v>
          </cell>
          <cell r="R35">
            <v>1399.99</v>
          </cell>
          <cell r="S35">
            <v>199.99</v>
          </cell>
          <cell r="T35">
            <v>899.99</v>
          </cell>
          <cell r="U35">
            <v>149.99</v>
          </cell>
          <cell r="V35">
            <v>839.99</v>
          </cell>
          <cell r="W35">
            <v>139.99</v>
          </cell>
        </row>
        <row r="36">
          <cell r="B36" t="str">
            <v>Brazil</v>
          </cell>
          <cell r="C36" t="str">
            <v>Latin America</v>
          </cell>
          <cell r="D36" t="str">
            <v>C</v>
          </cell>
          <cell r="E36" t="str">
            <v>BRL</v>
          </cell>
          <cell r="F36">
            <v>489.99</v>
          </cell>
          <cell r="G36">
            <v>69.989999999999995</v>
          </cell>
          <cell r="H36">
            <v>384.99</v>
          </cell>
          <cell r="I36">
            <v>54.99</v>
          </cell>
          <cell r="J36">
            <v>349.99</v>
          </cell>
          <cell r="K36">
            <v>49.99</v>
          </cell>
          <cell r="L36">
            <v>7.0008572653236181</v>
          </cell>
          <cell r="M36">
            <v>1.2727768685215493</v>
          </cell>
          <cell r="N36">
            <v>7.0010911074740863</v>
          </cell>
          <cell r="O36">
            <v>7.0012002400480098</v>
          </cell>
          <cell r="P36">
            <v>0.90907437715948358</v>
          </cell>
          <cell r="Q36" t="str">
            <v>BRL</v>
          </cell>
          <cell r="R36">
            <v>489.99</v>
          </cell>
          <cell r="S36">
            <v>69.989999999999995</v>
          </cell>
          <cell r="T36">
            <v>384.99</v>
          </cell>
          <cell r="U36">
            <v>54.99</v>
          </cell>
          <cell r="V36">
            <v>349.99</v>
          </cell>
          <cell r="W36">
            <v>49.99</v>
          </cell>
        </row>
        <row r="37">
          <cell r="B37" t="str">
            <v>British Indian Ocean Territory</v>
          </cell>
          <cell r="C37" t="str">
            <v>Asia</v>
          </cell>
          <cell r="E37" t="str">
            <v>USD</v>
          </cell>
          <cell r="F37">
            <v>77.989999999999995</v>
          </cell>
          <cell r="G37">
            <v>12.99</v>
          </cell>
          <cell r="H37">
            <v>59.99</v>
          </cell>
          <cell r="I37">
            <v>9.99</v>
          </cell>
          <cell r="J37">
            <v>53.99</v>
          </cell>
          <cell r="K37">
            <v>8.99</v>
          </cell>
          <cell r="L37">
            <v>6.0038491147036179</v>
          </cell>
          <cell r="M37">
            <v>1.3003003003003002</v>
          </cell>
          <cell r="N37">
            <v>6.005005005005005</v>
          </cell>
          <cell r="O37">
            <v>6.0055617352614012</v>
          </cell>
          <cell r="P37">
            <v>0.89989989989989994</v>
          </cell>
          <cell r="Q37" t="str">
            <v>USD</v>
          </cell>
          <cell r="R37">
            <v>77.989999999999995</v>
          </cell>
          <cell r="S37">
            <v>12.99</v>
          </cell>
          <cell r="T37">
            <v>59.99</v>
          </cell>
          <cell r="U37">
            <v>9.99</v>
          </cell>
          <cell r="V37">
            <v>53.99</v>
          </cell>
          <cell r="W37">
            <v>8.99</v>
          </cell>
        </row>
        <row r="38">
          <cell r="B38" t="str">
            <v>British Virgin Islands</v>
          </cell>
          <cell r="C38" t="str">
            <v>Latin America</v>
          </cell>
          <cell r="E38" t="str">
            <v>USD</v>
          </cell>
          <cell r="F38">
            <v>102.99</v>
          </cell>
          <cell r="G38">
            <v>16.989999999999998</v>
          </cell>
          <cell r="H38">
            <v>71.989999999999995</v>
          </cell>
          <cell r="I38">
            <v>11.99</v>
          </cell>
          <cell r="J38">
            <v>65.989999999999995</v>
          </cell>
          <cell r="K38">
            <v>10.99</v>
          </cell>
          <cell r="L38">
            <v>6.0618010594467338</v>
          </cell>
          <cell r="M38">
            <v>1.4170141784820682</v>
          </cell>
          <cell r="N38">
            <v>6.0041701417848206</v>
          </cell>
          <cell r="O38">
            <v>6.0045495905368513</v>
          </cell>
          <cell r="P38">
            <v>0.91659716430358629</v>
          </cell>
          <cell r="Q38" t="str">
            <v>USD</v>
          </cell>
          <cell r="R38">
            <v>102.99</v>
          </cell>
          <cell r="S38">
            <v>16.989999999999998</v>
          </cell>
          <cell r="T38">
            <v>71.989999999999995</v>
          </cell>
          <cell r="U38">
            <v>11.99</v>
          </cell>
          <cell r="V38">
            <v>65.989999999999995</v>
          </cell>
          <cell r="W38">
            <v>10.99</v>
          </cell>
        </row>
        <row r="39">
          <cell r="B39" t="str">
            <v>Brunei</v>
          </cell>
          <cell r="C39" t="str">
            <v>Asia</v>
          </cell>
          <cell r="E39" t="str">
            <v>BND</v>
          </cell>
          <cell r="F39">
            <v>107.99</v>
          </cell>
          <cell r="G39">
            <v>17.989999999999998</v>
          </cell>
          <cell r="H39">
            <v>77.989999999999995</v>
          </cell>
          <cell r="I39">
            <v>12.99</v>
          </cell>
          <cell r="J39">
            <v>71.989999999999995</v>
          </cell>
          <cell r="K39">
            <v>11.99</v>
          </cell>
          <cell r="L39">
            <v>6.0027793218454697</v>
          </cell>
          <cell r="M39">
            <v>1.3849114703618166</v>
          </cell>
          <cell r="N39">
            <v>6.0038491147036179</v>
          </cell>
          <cell r="O39">
            <v>6.0041701417848206</v>
          </cell>
          <cell r="P39">
            <v>0.92301770592763666</v>
          </cell>
          <cell r="Q39" t="str">
            <v>BND</v>
          </cell>
          <cell r="R39">
            <v>107.99</v>
          </cell>
          <cell r="S39">
            <v>17.989999999999998</v>
          </cell>
          <cell r="T39">
            <v>77.989999999999995</v>
          </cell>
          <cell r="U39">
            <v>12.99</v>
          </cell>
          <cell r="V39">
            <v>71.989999999999995</v>
          </cell>
          <cell r="W39">
            <v>11.99</v>
          </cell>
        </row>
        <row r="40">
          <cell r="B40" t="str">
            <v>Bulgaria</v>
          </cell>
          <cell r="C40" t="str">
            <v>Europe</v>
          </cell>
          <cell r="E40" t="str">
            <v>BGN</v>
          </cell>
          <cell r="F40">
            <v>184.99</v>
          </cell>
          <cell r="G40">
            <v>28.99</v>
          </cell>
          <cell r="H40">
            <v>136.99</v>
          </cell>
          <cell r="I40">
            <v>20.99</v>
          </cell>
          <cell r="J40">
            <v>119.99</v>
          </cell>
          <cell r="K40">
            <v>18.989999999999998</v>
          </cell>
          <cell r="L40">
            <v>6.3811659192825116</v>
          </cell>
          <cell r="M40">
            <v>1.3811338732729872</v>
          </cell>
          <cell r="N40">
            <v>6.5264411624583145</v>
          </cell>
          <cell r="O40">
            <v>6.3185887309110065</v>
          </cell>
          <cell r="P40">
            <v>0.90471653168175326</v>
          </cell>
          <cell r="Q40" t="str">
            <v>BGN</v>
          </cell>
          <cell r="R40">
            <v>184.99</v>
          </cell>
          <cell r="S40">
            <v>28.99</v>
          </cell>
          <cell r="T40">
            <v>136.99</v>
          </cell>
          <cell r="U40">
            <v>20.99</v>
          </cell>
          <cell r="V40">
            <v>119.99</v>
          </cell>
          <cell r="W40">
            <v>18.989999999999998</v>
          </cell>
        </row>
        <row r="41">
          <cell r="B41" t="str">
            <v>Burkina Faso</v>
          </cell>
          <cell r="C41" t="str">
            <v>Africa</v>
          </cell>
          <cell r="E41" t="str">
            <v>XOF</v>
          </cell>
          <cell r="F41">
            <v>43740</v>
          </cell>
          <cell r="G41">
            <v>7290</v>
          </cell>
          <cell r="H41">
            <v>32400</v>
          </cell>
          <cell r="I41">
            <v>5400</v>
          </cell>
          <cell r="J41">
            <v>29160</v>
          </cell>
          <cell r="K41">
            <v>4860</v>
          </cell>
          <cell r="L41">
            <v>6</v>
          </cell>
          <cell r="M41">
            <v>1.35</v>
          </cell>
          <cell r="N41">
            <v>6</v>
          </cell>
          <cell r="O41">
            <v>6</v>
          </cell>
          <cell r="P41">
            <v>0.9</v>
          </cell>
          <cell r="Q41" t="str">
            <v>XOF</v>
          </cell>
          <cell r="R41">
            <v>43740</v>
          </cell>
          <cell r="S41">
            <v>7290</v>
          </cell>
          <cell r="T41">
            <v>32400</v>
          </cell>
          <cell r="U41">
            <v>5400</v>
          </cell>
          <cell r="V41">
            <v>29160</v>
          </cell>
          <cell r="W41">
            <v>4860</v>
          </cell>
        </row>
        <row r="42">
          <cell r="B42" t="str">
            <v>Burundi</v>
          </cell>
          <cell r="C42" t="str">
            <v>Africa</v>
          </cell>
          <cell r="E42" t="str">
            <v>USD</v>
          </cell>
          <cell r="F42">
            <v>71.989999999999995</v>
          </cell>
          <cell r="G42">
            <v>11.99</v>
          </cell>
          <cell r="H42">
            <v>53.99</v>
          </cell>
          <cell r="I42">
            <v>8.99</v>
          </cell>
          <cell r="J42">
            <v>47.99</v>
          </cell>
          <cell r="K42">
            <v>7.99</v>
          </cell>
          <cell r="L42">
            <v>6.0041701417848206</v>
          </cell>
          <cell r="M42">
            <v>1.3337041156840934</v>
          </cell>
          <cell r="N42">
            <v>6.0055617352614012</v>
          </cell>
          <cell r="O42">
            <v>6.0062578222778473</v>
          </cell>
          <cell r="P42">
            <v>0.88876529477196886</v>
          </cell>
          <cell r="Q42" t="str">
            <v>USD</v>
          </cell>
          <cell r="R42">
            <v>71.989999999999995</v>
          </cell>
          <cell r="S42">
            <v>11.99</v>
          </cell>
          <cell r="T42">
            <v>53.99</v>
          </cell>
          <cell r="U42">
            <v>8.99</v>
          </cell>
          <cell r="V42">
            <v>47.99</v>
          </cell>
          <cell r="W42">
            <v>7.99</v>
          </cell>
        </row>
        <row r="43">
          <cell r="B43" t="str">
            <v>Cambodia</v>
          </cell>
          <cell r="C43" t="str">
            <v>Asia</v>
          </cell>
          <cell r="E43" t="str">
            <v>KHR</v>
          </cell>
          <cell r="F43">
            <v>294180</v>
          </cell>
          <cell r="G43">
            <v>49030</v>
          </cell>
          <cell r="H43">
            <v>217920</v>
          </cell>
          <cell r="I43">
            <v>36320</v>
          </cell>
          <cell r="J43">
            <v>196140</v>
          </cell>
          <cell r="K43">
            <v>32690</v>
          </cell>
          <cell r="L43">
            <v>6</v>
          </cell>
          <cell r="M43">
            <v>1.3499449339207048</v>
          </cell>
          <cell r="N43">
            <v>6</v>
          </cell>
          <cell r="O43">
            <v>6</v>
          </cell>
          <cell r="P43">
            <v>0.9000550660792952</v>
          </cell>
          <cell r="Q43" t="str">
            <v>KHR</v>
          </cell>
          <cell r="R43">
            <v>294180</v>
          </cell>
          <cell r="S43">
            <v>49030</v>
          </cell>
          <cell r="T43">
            <v>217920</v>
          </cell>
          <cell r="U43">
            <v>36320</v>
          </cell>
          <cell r="V43">
            <v>196140</v>
          </cell>
          <cell r="W43">
            <v>32690</v>
          </cell>
        </row>
        <row r="44">
          <cell r="B44" t="str">
            <v>Cameroon</v>
          </cell>
          <cell r="C44" t="str">
            <v>Africa</v>
          </cell>
          <cell r="E44" t="str">
            <v>XAF</v>
          </cell>
          <cell r="F44">
            <v>43740</v>
          </cell>
          <cell r="G44">
            <v>7290</v>
          </cell>
          <cell r="H44">
            <v>32400</v>
          </cell>
          <cell r="I44">
            <v>5400</v>
          </cell>
          <cell r="J44">
            <v>29160</v>
          </cell>
          <cell r="K44">
            <v>4860</v>
          </cell>
          <cell r="L44">
            <v>6</v>
          </cell>
          <cell r="M44">
            <v>1.35</v>
          </cell>
          <cell r="N44">
            <v>6</v>
          </cell>
          <cell r="O44">
            <v>6</v>
          </cell>
          <cell r="P44">
            <v>0.9</v>
          </cell>
          <cell r="Q44" t="str">
            <v>XAF</v>
          </cell>
          <cell r="R44">
            <v>43740</v>
          </cell>
          <cell r="S44">
            <v>7290</v>
          </cell>
          <cell r="T44">
            <v>32400</v>
          </cell>
          <cell r="U44">
            <v>5400</v>
          </cell>
          <cell r="V44">
            <v>29160</v>
          </cell>
          <cell r="W44">
            <v>4860</v>
          </cell>
        </row>
        <row r="45">
          <cell r="B45" t="str">
            <v>Canada</v>
          </cell>
          <cell r="C45" t="str">
            <v>Canada</v>
          </cell>
          <cell r="D45" t="str">
            <v>A</v>
          </cell>
          <cell r="E45" t="str">
            <v>CAD</v>
          </cell>
          <cell r="F45">
            <v>184.99</v>
          </cell>
          <cell r="G45">
            <v>27.99</v>
          </cell>
          <cell r="H45">
            <v>129.99</v>
          </cell>
          <cell r="I45">
            <v>19.989999999999998</v>
          </cell>
          <cell r="J45">
            <v>114.99</v>
          </cell>
          <cell r="K45">
            <v>17.989999999999998</v>
          </cell>
          <cell r="L45">
            <v>6.6091461236155773</v>
          </cell>
          <cell r="M45">
            <v>1.400200100050025</v>
          </cell>
          <cell r="N45">
            <v>6.5027513756878452</v>
          </cell>
          <cell r="O45">
            <v>6.3918843802112288</v>
          </cell>
          <cell r="P45">
            <v>0.89994997498749374</v>
          </cell>
          <cell r="Q45" t="str">
            <v>CAD</v>
          </cell>
          <cell r="R45">
            <v>184.99</v>
          </cell>
          <cell r="S45">
            <v>27.99</v>
          </cell>
          <cell r="T45">
            <v>129.99</v>
          </cell>
          <cell r="U45">
            <v>19.989999999999998</v>
          </cell>
          <cell r="V45">
            <v>114.99</v>
          </cell>
          <cell r="W45">
            <v>17.989999999999998</v>
          </cell>
        </row>
        <row r="46">
          <cell r="B46" t="str">
            <v>Cape Verde</v>
          </cell>
          <cell r="C46" t="str">
            <v>Africa</v>
          </cell>
          <cell r="E46" t="str">
            <v>CVE</v>
          </cell>
          <cell r="F46">
            <v>7369</v>
          </cell>
          <cell r="G46">
            <v>1229</v>
          </cell>
          <cell r="H46">
            <v>5459</v>
          </cell>
          <cell r="I46">
            <v>909</v>
          </cell>
          <cell r="J46">
            <v>4919</v>
          </cell>
          <cell r="K46">
            <v>819</v>
          </cell>
          <cell r="L46">
            <v>5.9959316517493901</v>
          </cell>
          <cell r="M46">
            <v>1.352035203520352</v>
          </cell>
          <cell r="N46">
            <v>6.0055005500550056</v>
          </cell>
          <cell r="O46">
            <v>6.0061050061050061</v>
          </cell>
          <cell r="P46">
            <v>0.90099009900990101</v>
          </cell>
          <cell r="Q46" t="str">
            <v>CVE</v>
          </cell>
          <cell r="R46">
            <v>7369</v>
          </cell>
          <cell r="S46">
            <v>1229</v>
          </cell>
          <cell r="T46">
            <v>5459</v>
          </cell>
          <cell r="U46">
            <v>909</v>
          </cell>
          <cell r="V46">
            <v>4919</v>
          </cell>
          <cell r="W46">
            <v>819</v>
          </cell>
        </row>
        <row r="47">
          <cell r="B47" t="str">
            <v>Cayman Islands</v>
          </cell>
          <cell r="C47" t="str">
            <v>Latin America</v>
          </cell>
          <cell r="E47" t="str">
            <v>USD</v>
          </cell>
          <cell r="F47">
            <v>102.99</v>
          </cell>
          <cell r="G47">
            <v>16.989999999999998</v>
          </cell>
          <cell r="H47">
            <v>71.989999999999995</v>
          </cell>
          <cell r="I47">
            <v>11.99</v>
          </cell>
          <cell r="J47">
            <v>65.989999999999995</v>
          </cell>
          <cell r="K47">
            <v>10.99</v>
          </cell>
          <cell r="L47">
            <v>6.0618010594467338</v>
          </cell>
          <cell r="M47">
            <v>1.4170141784820682</v>
          </cell>
          <cell r="N47">
            <v>6.0041701417848206</v>
          </cell>
          <cell r="O47">
            <v>6.0045495905368513</v>
          </cell>
          <cell r="P47">
            <v>0.91659716430358629</v>
          </cell>
          <cell r="Q47" t="str">
            <v>USD</v>
          </cell>
          <cell r="R47">
            <v>102.99</v>
          </cell>
          <cell r="S47">
            <v>16.989999999999998</v>
          </cell>
          <cell r="T47">
            <v>71.989999999999995</v>
          </cell>
          <cell r="U47">
            <v>11.99</v>
          </cell>
          <cell r="V47">
            <v>65.989999999999995</v>
          </cell>
          <cell r="W47">
            <v>10.99</v>
          </cell>
        </row>
        <row r="48">
          <cell r="B48" t="str">
            <v>Central African Republic</v>
          </cell>
          <cell r="C48" t="str">
            <v>Africa</v>
          </cell>
          <cell r="E48" t="str">
            <v>XAF</v>
          </cell>
          <cell r="F48">
            <v>44580</v>
          </cell>
          <cell r="G48">
            <v>7430</v>
          </cell>
          <cell r="H48">
            <v>33000</v>
          </cell>
          <cell r="I48">
            <v>5500</v>
          </cell>
          <cell r="J48">
            <v>29700</v>
          </cell>
          <cell r="K48">
            <v>4950</v>
          </cell>
          <cell r="L48">
            <v>6</v>
          </cell>
          <cell r="M48">
            <v>1.3509090909090908</v>
          </cell>
          <cell r="N48">
            <v>6</v>
          </cell>
          <cell r="O48">
            <v>6</v>
          </cell>
          <cell r="P48">
            <v>0.9</v>
          </cell>
          <cell r="Q48" t="str">
            <v>XAF</v>
          </cell>
          <cell r="R48">
            <v>44580</v>
          </cell>
          <cell r="S48">
            <v>7430</v>
          </cell>
          <cell r="T48">
            <v>33000</v>
          </cell>
          <cell r="U48">
            <v>5500</v>
          </cell>
          <cell r="V48">
            <v>29700</v>
          </cell>
          <cell r="W48">
            <v>4950</v>
          </cell>
        </row>
        <row r="49">
          <cell r="B49" t="str">
            <v>Chad</v>
          </cell>
          <cell r="C49" t="str">
            <v>Africa</v>
          </cell>
          <cell r="E49" t="str">
            <v>XAF</v>
          </cell>
          <cell r="F49">
            <v>43740</v>
          </cell>
          <cell r="G49">
            <v>7290</v>
          </cell>
          <cell r="H49">
            <v>32400</v>
          </cell>
          <cell r="I49">
            <v>5400</v>
          </cell>
          <cell r="J49">
            <v>29160</v>
          </cell>
          <cell r="K49">
            <v>4860</v>
          </cell>
          <cell r="L49">
            <v>6</v>
          </cell>
          <cell r="M49">
            <v>1.35</v>
          </cell>
          <cell r="N49">
            <v>6</v>
          </cell>
          <cell r="O49">
            <v>6</v>
          </cell>
          <cell r="P49">
            <v>0.9</v>
          </cell>
          <cell r="Q49" t="str">
            <v>XAF</v>
          </cell>
          <cell r="R49">
            <v>43740</v>
          </cell>
          <cell r="S49">
            <v>7290</v>
          </cell>
          <cell r="T49">
            <v>32400</v>
          </cell>
          <cell r="U49">
            <v>5400</v>
          </cell>
          <cell r="V49">
            <v>29160</v>
          </cell>
          <cell r="W49">
            <v>4860</v>
          </cell>
        </row>
        <row r="50">
          <cell r="B50" t="str">
            <v>Chile</v>
          </cell>
          <cell r="C50" t="str">
            <v>Latin America</v>
          </cell>
          <cell r="D50" t="str">
            <v>E~</v>
          </cell>
          <cell r="E50" t="str">
            <v>CLP</v>
          </cell>
          <cell r="F50">
            <v>137900</v>
          </cell>
          <cell r="G50">
            <v>22900</v>
          </cell>
          <cell r="H50">
            <v>96300</v>
          </cell>
          <cell r="I50">
            <v>15900</v>
          </cell>
          <cell r="J50">
            <v>67400</v>
          </cell>
          <cell r="K50">
            <v>11200</v>
          </cell>
          <cell r="L50">
            <v>6.0218340611353716</v>
          </cell>
          <cell r="M50">
            <v>1.4402515723270439</v>
          </cell>
          <cell r="N50">
            <v>6.0566037735849054</v>
          </cell>
          <cell r="O50">
            <v>6.0178571428571432</v>
          </cell>
          <cell r="P50">
            <v>0.70440251572327039</v>
          </cell>
          <cell r="Q50" t="str">
            <v>CLP</v>
          </cell>
          <cell r="R50">
            <v>137900</v>
          </cell>
          <cell r="S50">
            <v>22900</v>
          </cell>
          <cell r="T50">
            <v>96300</v>
          </cell>
          <cell r="U50">
            <v>15900</v>
          </cell>
          <cell r="V50">
            <v>67400</v>
          </cell>
          <cell r="W50">
            <v>11200</v>
          </cell>
        </row>
        <row r="51">
          <cell r="B51" t="str">
            <v>Christmas Island</v>
          </cell>
          <cell r="C51" t="str">
            <v>Asia</v>
          </cell>
          <cell r="E51" t="str">
            <v>AUD</v>
          </cell>
          <cell r="F51">
            <v>107.99</v>
          </cell>
          <cell r="G51">
            <v>17.989999999999998</v>
          </cell>
          <cell r="H51">
            <v>77.989999999999995</v>
          </cell>
          <cell r="I51">
            <v>12.99</v>
          </cell>
          <cell r="J51">
            <v>71.989999999999995</v>
          </cell>
          <cell r="K51">
            <v>11.99</v>
          </cell>
          <cell r="L51">
            <v>6.0027793218454697</v>
          </cell>
          <cell r="M51">
            <v>1.3849114703618166</v>
          </cell>
          <cell r="N51">
            <v>6.0038491147036179</v>
          </cell>
          <cell r="O51">
            <v>6.0041701417848206</v>
          </cell>
          <cell r="P51">
            <v>0.92301770592763666</v>
          </cell>
          <cell r="Q51" t="str">
            <v>AUD</v>
          </cell>
          <cell r="R51">
            <v>107.99</v>
          </cell>
          <cell r="S51">
            <v>17.989999999999998</v>
          </cell>
          <cell r="T51">
            <v>77.989999999999995</v>
          </cell>
          <cell r="U51">
            <v>12.99</v>
          </cell>
          <cell r="V51">
            <v>71.989999999999995</v>
          </cell>
          <cell r="W51">
            <v>11.99</v>
          </cell>
        </row>
        <row r="52">
          <cell r="B52" t="str">
            <v>Cocos (Keeling) Island</v>
          </cell>
          <cell r="C52" t="str">
            <v>Asia</v>
          </cell>
          <cell r="E52" t="str">
            <v>AUD</v>
          </cell>
          <cell r="F52">
            <v>161.99</v>
          </cell>
          <cell r="G52">
            <v>26.99</v>
          </cell>
          <cell r="H52">
            <v>119.99</v>
          </cell>
          <cell r="I52">
            <v>19.989999999999998</v>
          </cell>
          <cell r="J52">
            <v>107.99</v>
          </cell>
          <cell r="K52">
            <v>17.989999999999998</v>
          </cell>
          <cell r="L52">
            <v>6.0018525379770296</v>
          </cell>
          <cell r="M52">
            <v>1.3501750875437719</v>
          </cell>
          <cell r="N52">
            <v>6.002501250625313</v>
          </cell>
          <cell r="O52">
            <v>6.0027793218454697</v>
          </cell>
          <cell r="P52">
            <v>0.89994997498749374</v>
          </cell>
          <cell r="Q52" t="str">
            <v>AUD</v>
          </cell>
          <cell r="R52">
            <v>161.99</v>
          </cell>
          <cell r="S52">
            <v>26.99</v>
          </cell>
          <cell r="T52">
            <v>119.99</v>
          </cell>
          <cell r="U52">
            <v>19.989999999999998</v>
          </cell>
          <cell r="V52">
            <v>107.99</v>
          </cell>
          <cell r="W52">
            <v>17.989999999999998</v>
          </cell>
        </row>
        <row r="53">
          <cell r="B53" t="str">
            <v>Colombia</v>
          </cell>
          <cell r="C53" t="str">
            <v>Latin America</v>
          </cell>
          <cell r="E53" t="str">
            <v>COP</v>
          </cell>
          <cell r="F53">
            <v>335900</v>
          </cell>
          <cell r="G53">
            <v>55900</v>
          </cell>
          <cell r="H53">
            <v>248900</v>
          </cell>
          <cell r="I53">
            <v>41400</v>
          </cell>
          <cell r="J53">
            <v>223900</v>
          </cell>
          <cell r="K53">
            <v>37400</v>
          </cell>
          <cell r="L53">
            <v>6.0089445438282647</v>
          </cell>
          <cell r="M53">
            <v>1.3502415458937198</v>
          </cell>
          <cell r="N53">
            <v>6.0120772946859899</v>
          </cell>
          <cell r="O53">
            <v>5.9866310160427805</v>
          </cell>
          <cell r="P53">
            <v>0.90338164251207731</v>
          </cell>
          <cell r="Q53" t="str">
            <v>COP</v>
          </cell>
          <cell r="R53">
            <v>335900</v>
          </cell>
          <cell r="S53">
            <v>55900</v>
          </cell>
          <cell r="T53">
            <v>248900</v>
          </cell>
          <cell r="U53">
            <v>41400</v>
          </cell>
          <cell r="V53">
            <v>223900</v>
          </cell>
          <cell r="W53">
            <v>37400</v>
          </cell>
        </row>
        <row r="54">
          <cell r="B54" t="str">
            <v>Comoros</v>
          </cell>
          <cell r="C54" t="str">
            <v>Africa</v>
          </cell>
          <cell r="E54" t="str">
            <v>KMF</v>
          </cell>
          <cell r="F54">
            <v>33240</v>
          </cell>
          <cell r="G54">
            <v>5540</v>
          </cell>
          <cell r="H54">
            <v>24600</v>
          </cell>
          <cell r="I54">
            <v>4100</v>
          </cell>
          <cell r="J54">
            <v>22140</v>
          </cell>
          <cell r="K54">
            <v>3690</v>
          </cell>
          <cell r="L54">
            <v>6</v>
          </cell>
          <cell r="M54">
            <v>1.351219512195122</v>
          </cell>
          <cell r="N54">
            <v>6</v>
          </cell>
          <cell r="O54">
            <v>6</v>
          </cell>
          <cell r="P54">
            <v>0.9</v>
          </cell>
          <cell r="Q54" t="str">
            <v>KMF</v>
          </cell>
          <cell r="R54">
            <v>33240</v>
          </cell>
          <cell r="S54">
            <v>5540</v>
          </cell>
          <cell r="T54">
            <v>24600</v>
          </cell>
          <cell r="U54">
            <v>4100</v>
          </cell>
          <cell r="V54">
            <v>22140</v>
          </cell>
          <cell r="W54">
            <v>3690</v>
          </cell>
        </row>
        <row r="55">
          <cell r="B55" t="str">
            <v>Congo</v>
          </cell>
          <cell r="C55" t="str">
            <v>Africa</v>
          </cell>
          <cell r="E55" t="str">
            <v>XAF</v>
          </cell>
          <cell r="F55">
            <v>43740</v>
          </cell>
          <cell r="G55">
            <v>7290</v>
          </cell>
          <cell r="H55">
            <v>32400</v>
          </cell>
          <cell r="I55">
            <v>5400</v>
          </cell>
          <cell r="J55">
            <v>29160</v>
          </cell>
          <cell r="K55">
            <v>4860</v>
          </cell>
          <cell r="L55">
            <v>6</v>
          </cell>
          <cell r="M55">
            <v>1.35</v>
          </cell>
          <cell r="N55">
            <v>6</v>
          </cell>
          <cell r="O55">
            <v>6</v>
          </cell>
          <cell r="P55">
            <v>0.9</v>
          </cell>
          <cell r="Q55" t="str">
            <v>XAF</v>
          </cell>
          <cell r="R55">
            <v>43740</v>
          </cell>
          <cell r="S55">
            <v>7290</v>
          </cell>
          <cell r="T55">
            <v>32400</v>
          </cell>
          <cell r="U55">
            <v>5400</v>
          </cell>
          <cell r="V55">
            <v>29160</v>
          </cell>
          <cell r="W55">
            <v>4860</v>
          </cell>
        </row>
        <row r="56">
          <cell r="B56" t="str">
            <v>Cook Islands</v>
          </cell>
          <cell r="C56" t="str">
            <v>Asia</v>
          </cell>
          <cell r="E56" t="str">
            <v>NZD</v>
          </cell>
          <cell r="F56">
            <v>203.99</v>
          </cell>
          <cell r="G56">
            <v>33.99</v>
          </cell>
          <cell r="H56">
            <v>149.99</v>
          </cell>
          <cell r="I56">
            <v>24.99</v>
          </cell>
          <cell r="J56">
            <v>144.99</v>
          </cell>
          <cell r="K56">
            <v>21.99</v>
          </cell>
          <cell r="L56">
            <v>6.0014710208884967</v>
          </cell>
          <cell r="M56">
            <v>1.3601440576230495</v>
          </cell>
          <cell r="N56">
            <v>6.0020008003201291</v>
          </cell>
          <cell r="O56">
            <v>6.5934515688949533</v>
          </cell>
          <cell r="P56">
            <v>0.87995198079231696</v>
          </cell>
          <cell r="Q56" t="str">
            <v>NZD</v>
          </cell>
          <cell r="R56">
            <v>203.99</v>
          </cell>
          <cell r="S56">
            <v>33.99</v>
          </cell>
          <cell r="T56">
            <v>149.99</v>
          </cell>
          <cell r="U56">
            <v>24.99</v>
          </cell>
          <cell r="V56">
            <v>144.99</v>
          </cell>
          <cell r="W56">
            <v>21.99</v>
          </cell>
        </row>
        <row r="57">
          <cell r="B57" t="str">
            <v>Costa Rica</v>
          </cell>
          <cell r="C57" t="str">
            <v>Latin America</v>
          </cell>
          <cell r="E57" t="str">
            <v>CRC</v>
          </cell>
          <cell r="F57">
            <v>78000</v>
          </cell>
          <cell r="G57">
            <v>13000</v>
          </cell>
          <cell r="H57">
            <v>60000</v>
          </cell>
          <cell r="I57">
            <v>10000</v>
          </cell>
          <cell r="J57">
            <v>54000</v>
          </cell>
          <cell r="K57">
            <v>9000</v>
          </cell>
          <cell r="L57">
            <v>6</v>
          </cell>
          <cell r="M57">
            <v>1.3</v>
          </cell>
          <cell r="N57">
            <v>6</v>
          </cell>
          <cell r="O57">
            <v>6</v>
          </cell>
          <cell r="P57">
            <v>0.9</v>
          </cell>
          <cell r="Q57" t="str">
            <v>CRC</v>
          </cell>
          <cell r="R57">
            <v>78000</v>
          </cell>
          <cell r="S57">
            <v>13000</v>
          </cell>
          <cell r="T57">
            <v>60000</v>
          </cell>
          <cell r="U57">
            <v>10000</v>
          </cell>
          <cell r="V57">
            <v>54000</v>
          </cell>
          <cell r="W57">
            <v>9000</v>
          </cell>
        </row>
        <row r="58">
          <cell r="B58" t="str">
            <v>Cote D'Ivoire</v>
          </cell>
          <cell r="C58" t="str">
            <v>Africa</v>
          </cell>
          <cell r="E58" t="str">
            <v>XOF</v>
          </cell>
          <cell r="F58">
            <v>44580</v>
          </cell>
          <cell r="G58">
            <v>7430</v>
          </cell>
          <cell r="H58">
            <v>33000</v>
          </cell>
          <cell r="I58">
            <v>5500</v>
          </cell>
          <cell r="J58">
            <v>29700</v>
          </cell>
          <cell r="K58">
            <v>4950</v>
          </cell>
          <cell r="L58">
            <v>6</v>
          </cell>
          <cell r="M58">
            <v>1.3509090909090908</v>
          </cell>
          <cell r="N58">
            <v>6</v>
          </cell>
          <cell r="O58">
            <v>6</v>
          </cell>
          <cell r="P58">
            <v>0.9</v>
          </cell>
          <cell r="Q58" t="str">
            <v>XOF</v>
          </cell>
          <cell r="R58">
            <v>44580</v>
          </cell>
          <cell r="S58">
            <v>7430</v>
          </cell>
          <cell r="T58">
            <v>33000</v>
          </cell>
          <cell r="U58">
            <v>5500</v>
          </cell>
          <cell r="V58">
            <v>29700</v>
          </cell>
          <cell r="W58">
            <v>4950</v>
          </cell>
        </row>
        <row r="59">
          <cell r="B59" t="str">
            <v>Croatia</v>
          </cell>
          <cell r="C59" t="str">
            <v>Europe</v>
          </cell>
          <cell r="E59" t="str">
            <v>EUR</v>
          </cell>
          <cell r="F59">
            <v>107.99</v>
          </cell>
          <cell r="G59">
            <v>17.989999999999998</v>
          </cell>
          <cell r="H59">
            <v>71.989999999999995</v>
          </cell>
          <cell r="I59">
            <v>11.99</v>
          </cell>
          <cell r="J59">
            <v>66.989999999999995</v>
          </cell>
          <cell r="K59">
            <v>10.99</v>
          </cell>
          <cell r="L59">
            <v>6.0027793218454697</v>
          </cell>
          <cell r="M59">
            <v>1.5004170141784818</v>
          </cell>
          <cell r="N59">
            <v>6.0041701417848206</v>
          </cell>
          <cell r="O59">
            <v>6.0955414012738851</v>
          </cell>
          <cell r="P59">
            <v>0.91659716430358629</v>
          </cell>
          <cell r="Q59" t="str">
            <v>EUR</v>
          </cell>
          <cell r="R59">
            <v>107.99</v>
          </cell>
          <cell r="S59">
            <v>17.989999999999998</v>
          </cell>
          <cell r="T59">
            <v>71.989999999999995</v>
          </cell>
          <cell r="U59">
            <v>11.99</v>
          </cell>
          <cell r="V59">
            <v>66.989999999999995</v>
          </cell>
          <cell r="W59">
            <v>10.99</v>
          </cell>
        </row>
        <row r="60">
          <cell r="B60" t="str">
            <v>Curacao</v>
          </cell>
          <cell r="C60" t="str">
            <v>Latin America</v>
          </cell>
          <cell r="E60" t="str">
            <v>ANG</v>
          </cell>
          <cell r="F60">
            <v>167.99</v>
          </cell>
          <cell r="G60">
            <v>27.99</v>
          </cell>
          <cell r="H60">
            <v>125.99</v>
          </cell>
          <cell r="I60">
            <v>20.99</v>
          </cell>
          <cell r="J60">
            <v>113.99</v>
          </cell>
          <cell r="K60">
            <v>18.989999999999998</v>
          </cell>
          <cell r="L60">
            <v>6.0017863522686676</v>
          </cell>
          <cell r="M60">
            <v>1.3334921391138637</v>
          </cell>
          <cell r="N60">
            <v>6.0023820867079563</v>
          </cell>
          <cell r="O60">
            <v>6.0026329647182726</v>
          </cell>
          <cell r="P60">
            <v>0.90471653168175326</v>
          </cell>
          <cell r="Q60" t="str">
            <v>ANG</v>
          </cell>
          <cell r="R60">
            <v>167.99</v>
          </cell>
          <cell r="S60">
            <v>27.99</v>
          </cell>
          <cell r="T60">
            <v>125.99</v>
          </cell>
          <cell r="U60">
            <v>20.99</v>
          </cell>
          <cell r="V60">
            <v>113.99</v>
          </cell>
          <cell r="W60">
            <v>18.989999999999998</v>
          </cell>
        </row>
        <row r="61">
          <cell r="B61" t="str">
            <v>Cyprus</v>
          </cell>
          <cell r="C61" t="str">
            <v>Europe</v>
          </cell>
          <cell r="E61" t="str">
            <v>EUR</v>
          </cell>
          <cell r="F61">
            <v>89.99</v>
          </cell>
          <cell r="G61">
            <v>12.99</v>
          </cell>
          <cell r="H61">
            <v>69.989999999999995</v>
          </cell>
          <cell r="I61">
            <v>9.99</v>
          </cell>
          <cell r="J61">
            <v>59.99</v>
          </cell>
          <cell r="K61">
            <v>8.99</v>
          </cell>
          <cell r="L61">
            <v>6.9276366435719776</v>
          </cell>
          <cell r="M61">
            <v>1.3003003003003002</v>
          </cell>
          <cell r="N61">
            <v>7.0060060060060056</v>
          </cell>
          <cell r="O61">
            <v>6.6729699666295881</v>
          </cell>
          <cell r="P61">
            <v>0.89989989989989994</v>
          </cell>
          <cell r="Q61" t="str">
            <v>EUR</v>
          </cell>
          <cell r="R61">
            <v>89.99</v>
          </cell>
          <cell r="S61">
            <v>12.99</v>
          </cell>
          <cell r="T61">
            <v>69.989999999999995</v>
          </cell>
          <cell r="U61">
            <v>9.99</v>
          </cell>
          <cell r="V61">
            <v>59.99</v>
          </cell>
          <cell r="W61">
            <v>8.99</v>
          </cell>
        </row>
        <row r="62">
          <cell r="B62" t="str">
            <v>Czech Republic</v>
          </cell>
          <cell r="C62" t="str">
            <v>Europe</v>
          </cell>
          <cell r="E62" t="str">
            <v>CZK</v>
          </cell>
          <cell r="F62">
            <v>3599.99</v>
          </cell>
          <cell r="G62">
            <v>549.99</v>
          </cell>
          <cell r="H62">
            <v>2399.9899999999998</v>
          </cell>
          <cell r="I62">
            <v>399.99</v>
          </cell>
          <cell r="J62">
            <v>2159.9899999999998</v>
          </cell>
          <cell r="K62">
            <v>359.99</v>
          </cell>
          <cell r="L62">
            <v>6.545555373734067</v>
          </cell>
          <cell r="M62">
            <v>1.3750093752343808</v>
          </cell>
          <cell r="N62">
            <v>6.0001250031250777</v>
          </cell>
          <cell r="O62">
            <v>6.0001388927470201</v>
          </cell>
          <cell r="P62">
            <v>0.89999749993749845</v>
          </cell>
          <cell r="Q62" t="str">
            <v>CZK</v>
          </cell>
          <cell r="R62">
            <v>3599.99</v>
          </cell>
          <cell r="S62">
            <v>549.99</v>
          </cell>
          <cell r="T62">
            <v>2399.9899999999998</v>
          </cell>
          <cell r="U62">
            <v>399.99</v>
          </cell>
          <cell r="V62">
            <v>2159.9899999999998</v>
          </cell>
          <cell r="W62">
            <v>359.99</v>
          </cell>
        </row>
        <row r="63">
          <cell r="B63" t="str">
            <v>Democratic Republic of Congo</v>
          </cell>
          <cell r="C63" t="str">
            <v>Africa</v>
          </cell>
          <cell r="E63" t="str">
            <v>USD</v>
          </cell>
          <cell r="F63">
            <v>71.989999999999995</v>
          </cell>
          <cell r="G63">
            <v>11.99</v>
          </cell>
          <cell r="H63">
            <v>53.99</v>
          </cell>
          <cell r="I63">
            <v>8.99</v>
          </cell>
          <cell r="J63">
            <v>47.99</v>
          </cell>
          <cell r="K63">
            <v>7.99</v>
          </cell>
          <cell r="L63">
            <v>6.0041701417848206</v>
          </cell>
          <cell r="M63">
            <v>1.3337041156840934</v>
          </cell>
          <cell r="N63">
            <v>6.0055617352614012</v>
          </cell>
          <cell r="O63">
            <v>6.0062578222778473</v>
          </cell>
          <cell r="P63">
            <v>0.88876529477196886</v>
          </cell>
          <cell r="Q63" t="str">
            <v>USD</v>
          </cell>
          <cell r="R63">
            <v>71.989999999999995</v>
          </cell>
          <cell r="S63">
            <v>11.99</v>
          </cell>
          <cell r="T63">
            <v>53.99</v>
          </cell>
          <cell r="U63">
            <v>8.99</v>
          </cell>
          <cell r="V63">
            <v>47.99</v>
          </cell>
          <cell r="W63">
            <v>7.99</v>
          </cell>
        </row>
        <row r="64">
          <cell r="B64" t="str">
            <v>Denmark</v>
          </cell>
          <cell r="C64" t="str">
            <v>Europe</v>
          </cell>
          <cell r="E64" t="str">
            <v>DKK</v>
          </cell>
          <cell r="F64">
            <v>1299.99</v>
          </cell>
          <cell r="G64">
            <v>199.99</v>
          </cell>
          <cell r="H64">
            <v>899.99</v>
          </cell>
          <cell r="I64">
            <v>139.99</v>
          </cell>
          <cell r="J64">
            <v>779.99</v>
          </cell>
          <cell r="K64">
            <v>129.99</v>
          </cell>
          <cell r="L64">
            <v>6.5002750137506871</v>
          </cell>
          <cell r="M64">
            <v>1.4286020430030717</v>
          </cell>
          <cell r="N64">
            <v>6.4289592113722405</v>
          </cell>
          <cell r="O64">
            <v>6.0003846449726899</v>
          </cell>
          <cell r="P64">
            <v>0.92856632616615475</v>
          </cell>
          <cell r="Q64" t="str">
            <v>DKK</v>
          </cell>
          <cell r="R64">
            <v>1299.99</v>
          </cell>
          <cell r="S64">
            <v>199.99</v>
          </cell>
          <cell r="T64">
            <v>899.99</v>
          </cell>
          <cell r="U64">
            <v>139.99</v>
          </cell>
          <cell r="V64">
            <v>779.99</v>
          </cell>
          <cell r="W64">
            <v>129.99</v>
          </cell>
        </row>
        <row r="65">
          <cell r="B65" t="str">
            <v>Djibouti</v>
          </cell>
          <cell r="C65" t="str">
            <v>Africa</v>
          </cell>
          <cell r="E65" t="str">
            <v>DJF</v>
          </cell>
          <cell r="F65">
            <v>10560</v>
          </cell>
          <cell r="G65">
            <v>1760</v>
          </cell>
          <cell r="H65">
            <v>7800</v>
          </cell>
          <cell r="I65">
            <v>1300</v>
          </cell>
          <cell r="J65">
            <v>7020</v>
          </cell>
          <cell r="K65">
            <v>1170</v>
          </cell>
          <cell r="L65">
            <v>6</v>
          </cell>
          <cell r="M65">
            <v>1.3538461538461539</v>
          </cell>
          <cell r="N65">
            <v>6</v>
          </cell>
          <cell r="O65">
            <v>6</v>
          </cell>
          <cell r="P65">
            <v>0.9</v>
          </cell>
          <cell r="Q65" t="str">
            <v>DJF</v>
          </cell>
          <cell r="R65">
            <v>10560</v>
          </cell>
          <cell r="S65">
            <v>1760</v>
          </cell>
          <cell r="T65">
            <v>7800</v>
          </cell>
          <cell r="U65">
            <v>1300</v>
          </cell>
          <cell r="V65">
            <v>7020</v>
          </cell>
          <cell r="W65">
            <v>1170</v>
          </cell>
        </row>
        <row r="66">
          <cell r="B66" t="str">
            <v>Dominica</v>
          </cell>
          <cell r="C66" t="str">
            <v>Latin America</v>
          </cell>
          <cell r="E66" t="str">
            <v>XCD</v>
          </cell>
          <cell r="F66">
            <v>305.99</v>
          </cell>
          <cell r="G66">
            <v>50.99</v>
          </cell>
          <cell r="H66">
            <v>227.99</v>
          </cell>
          <cell r="I66">
            <v>37.99</v>
          </cell>
          <cell r="J66">
            <v>203.99</v>
          </cell>
          <cell r="K66">
            <v>33.99</v>
          </cell>
          <cell r="L66">
            <v>6.0009805844283193</v>
          </cell>
          <cell r="M66">
            <v>1.3421953145564622</v>
          </cell>
          <cell r="N66">
            <v>6.0013161358252169</v>
          </cell>
          <cell r="O66">
            <v>6.0014710208884967</v>
          </cell>
          <cell r="P66">
            <v>0.89470913398262697</v>
          </cell>
          <cell r="Q66" t="str">
            <v>XCD</v>
          </cell>
          <cell r="R66">
            <v>305.99</v>
          </cell>
          <cell r="S66">
            <v>50.99</v>
          </cell>
          <cell r="T66">
            <v>227.99</v>
          </cell>
          <cell r="U66">
            <v>37.99</v>
          </cell>
          <cell r="V66">
            <v>203.99</v>
          </cell>
          <cell r="W66">
            <v>33.99</v>
          </cell>
        </row>
        <row r="67">
          <cell r="B67" t="str">
            <v>Dominican Republic</v>
          </cell>
          <cell r="C67" t="str">
            <v>Latin America</v>
          </cell>
          <cell r="D67" t="str">
            <v>D</v>
          </cell>
          <cell r="E67" t="str">
            <v>DOP</v>
          </cell>
          <cell r="F67">
            <v>7499.99</v>
          </cell>
          <cell r="G67">
            <v>1249.99</v>
          </cell>
          <cell r="H67">
            <v>5219.99</v>
          </cell>
          <cell r="I67">
            <v>869.99</v>
          </cell>
          <cell r="J67">
            <v>4697.99</v>
          </cell>
          <cell r="K67">
            <v>782.99</v>
          </cell>
          <cell r="L67">
            <v>6.0000400003200021</v>
          </cell>
          <cell r="M67">
            <v>1.4367866297313763</v>
          </cell>
          <cell r="N67">
            <v>6.000057471924964</v>
          </cell>
          <cell r="O67">
            <v>6.0000638577759613</v>
          </cell>
          <cell r="P67">
            <v>0.89999885056150075</v>
          </cell>
          <cell r="Q67" t="str">
            <v>DOP</v>
          </cell>
          <cell r="R67">
            <v>7499.99</v>
          </cell>
          <cell r="S67">
            <v>1249.99</v>
          </cell>
          <cell r="T67">
            <v>5219.99</v>
          </cell>
          <cell r="U67">
            <v>869.99</v>
          </cell>
          <cell r="V67">
            <v>4697.99</v>
          </cell>
          <cell r="W67">
            <v>782.99</v>
          </cell>
        </row>
        <row r="68">
          <cell r="B68" t="str">
            <v>Ecuador</v>
          </cell>
          <cell r="C68" t="str">
            <v>Latin America</v>
          </cell>
          <cell r="E68" t="str">
            <v>USD</v>
          </cell>
          <cell r="F68">
            <v>102.99</v>
          </cell>
          <cell r="G68">
            <v>16.989999999999998</v>
          </cell>
          <cell r="H68">
            <v>71.989999999999995</v>
          </cell>
          <cell r="I68">
            <v>11.99</v>
          </cell>
          <cell r="J68">
            <v>65.989999999999995</v>
          </cell>
          <cell r="K68">
            <v>10.99</v>
          </cell>
          <cell r="L68">
            <v>6.0618010594467338</v>
          </cell>
          <cell r="M68">
            <v>1.4170141784820682</v>
          </cell>
          <cell r="N68">
            <v>6.0041701417848206</v>
          </cell>
          <cell r="O68">
            <v>6.0045495905368513</v>
          </cell>
          <cell r="P68">
            <v>0.91659716430358629</v>
          </cell>
          <cell r="Q68" t="str">
            <v>USD</v>
          </cell>
          <cell r="R68">
            <v>102.99</v>
          </cell>
          <cell r="S68">
            <v>16.989999999999998</v>
          </cell>
          <cell r="T68">
            <v>71.989999999999995</v>
          </cell>
          <cell r="U68">
            <v>11.99</v>
          </cell>
          <cell r="V68">
            <v>65.989999999999995</v>
          </cell>
          <cell r="W68">
            <v>10.99</v>
          </cell>
        </row>
        <row r="69">
          <cell r="B69" t="str">
            <v>Egypt</v>
          </cell>
          <cell r="C69" t="str">
            <v>Africa</v>
          </cell>
          <cell r="E69" t="str">
            <v>EGP</v>
          </cell>
          <cell r="F69">
            <v>1799</v>
          </cell>
          <cell r="G69">
            <v>299</v>
          </cell>
          <cell r="H69">
            <v>1199</v>
          </cell>
          <cell r="I69">
            <v>199</v>
          </cell>
          <cell r="J69">
            <v>1079</v>
          </cell>
          <cell r="K69">
            <v>179</v>
          </cell>
          <cell r="L69">
            <v>6.0167224080267561</v>
          </cell>
          <cell r="M69">
            <v>1.5025125628140703</v>
          </cell>
          <cell r="N69">
            <v>6.025125628140704</v>
          </cell>
          <cell r="O69">
            <v>6.027932960893855</v>
          </cell>
          <cell r="P69">
            <v>0.89949748743718594</v>
          </cell>
          <cell r="Q69" t="str">
            <v>EGP</v>
          </cell>
          <cell r="R69">
            <v>2359</v>
          </cell>
          <cell r="S69">
            <v>399</v>
          </cell>
          <cell r="T69">
            <v>1569</v>
          </cell>
          <cell r="U69">
            <v>259</v>
          </cell>
          <cell r="V69">
            <v>1419</v>
          </cell>
          <cell r="W69">
            <v>239</v>
          </cell>
        </row>
        <row r="70">
          <cell r="B70" t="str">
            <v>El Salvador</v>
          </cell>
          <cell r="C70" t="str">
            <v>Latin America</v>
          </cell>
          <cell r="E70" t="str">
            <v>USD</v>
          </cell>
          <cell r="F70">
            <v>96.99</v>
          </cell>
          <cell r="G70">
            <v>15.99</v>
          </cell>
          <cell r="H70">
            <v>65.989999999999995</v>
          </cell>
          <cell r="I70">
            <v>10.99</v>
          </cell>
          <cell r="J70">
            <v>59.99</v>
          </cell>
          <cell r="K70">
            <v>9.99</v>
          </cell>
          <cell r="L70">
            <v>6.0656660412757972</v>
          </cell>
          <cell r="M70">
            <v>1.4549590536851684</v>
          </cell>
          <cell r="N70">
            <v>6.0045495905368513</v>
          </cell>
          <cell r="O70">
            <v>6.005005005005005</v>
          </cell>
          <cell r="P70">
            <v>0.90900818926296634</v>
          </cell>
          <cell r="Q70" t="str">
            <v>USD</v>
          </cell>
          <cell r="R70">
            <v>96.99</v>
          </cell>
          <cell r="S70">
            <v>15.99</v>
          </cell>
          <cell r="T70">
            <v>65.989999999999995</v>
          </cell>
          <cell r="U70">
            <v>10.99</v>
          </cell>
          <cell r="V70">
            <v>59.99</v>
          </cell>
          <cell r="W70">
            <v>9.99</v>
          </cell>
        </row>
        <row r="71">
          <cell r="B71" t="str">
            <v>Equatorial Guinea</v>
          </cell>
          <cell r="C71" t="str">
            <v>Africa</v>
          </cell>
          <cell r="E71" t="str">
            <v>XAF</v>
          </cell>
          <cell r="F71">
            <v>34020</v>
          </cell>
          <cell r="G71">
            <v>5670</v>
          </cell>
          <cell r="H71">
            <v>25200</v>
          </cell>
          <cell r="I71">
            <v>4200</v>
          </cell>
          <cell r="J71">
            <v>22680</v>
          </cell>
          <cell r="K71">
            <v>3780</v>
          </cell>
          <cell r="L71">
            <v>6</v>
          </cell>
          <cell r="M71">
            <v>1.35</v>
          </cell>
          <cell r="N71">
            <v>6</v>
          </cell>
          <cell r="O71">
            <v>6</v>
          </cell>
          <cell r="P71">
            <v>0.9</v>
          </cell>
          <cell r="Q71" t="str">
            <v>XAF</v>
          </cell>
          <cell r="R71">
            <v>34020</v>
          </cell>
          <cell r="S71">
            <v>5670</v>
          </cell>
          <cell r="T71">
            <v>25200</v>
          </cell>
          <cell r="U71">
            <v>4200</v>
          </cell>
          <cell r="V71">
            <v>22680</v>
          </cell>
          <cell r="W71">
            <v>3780</v>
          </cell>
        </row>
        <row r="72">
          <cell r="B72" t="str">
            <v>Eritrea</v>
          </cell>
          <cell r="C72" t="str">
            <v>Africa</v>
          </cell>
          <cell r="E72" t="str">
            <v>USD</v>
          </cell>
          <cell r="F72">
            <v>71.989999999999995</v>
          </cell>
          <cell r="G72">
            <v>11.99</v>
          </cell>
          <cell r="H72">
            <v>53.99</v>
          </cell>
          <cell r="I72">
            <v>8.99</v>
          </cell>
          <cell r="J72">
            <v>47.99</v>
          </cell>
          <cell r="K72">
            <v>7.99</v>
          </cell>
          <cell r="L72">
            <v>6.0041701417848206</v>
          </cell>
          <cell r="M72">
            <v>1.3337041156840934</v>
          </cell>
          <cell r="N72">
            <v>6.0055617352614012</v>
          </cell>
          <cell r="O72">
            <v>6.0062578222778473</v>
          </cell>
          <cell r="P72">
            <v>0.88876529477196886</v>
          </cell>
          <cell r="Q72" t="str">
            <v>USD</v>
          </cell>
          <cell r="R72">
            <v>71.989999999999995</v>
          </cell>
          <cell r="S72">
            <v>11.99</v>
          </cell>
          <cell r="T72">
            <v>53.99</v>
          </cell>
          <cell r="U72">
            <v>8.99</v>
          </cell>
          <cell r="V72">
            <v>47.99</v>
          </cell>
          <cell r="W72">
            <v>7.99</v>
          </cell>
        </row>
        <row r="73">
          <cell r="B73" t="str">
            <v>Estonia</v>
          </cell>
          <cell r="C73" t="str">
            <v>Europe</v>
          </cell>
          <cell r="E73" t="str">
            <v>EUR</v>
          </cell>
          <cell r="F73">
            <v>99.99</v>
          </cell>
          <cell r="G73">
            <v>15.99</v>
          </cell>
          <cell r="H73">
            <v>74.989999999999995</v>
          </cell>
          <cell r="I73">
            <v>11.99</v>
          </cell>
          <cell r="J73">
            <v>64.989999999999995</v>
          </cell>
          <cell r="K73">
            <v>10.99</v>
          </cell>
          <cell r="L73">
            <v>6.2532833020637897</v>
          </cell>
          <cell r="M73">
            <v>1.3336113427856546</v>
          </cell>
          <cell r="N73">
            <v>6.2543786488740611</v>
          </cell>
          <cell r="O73">
            <v>5.9135577797998176</v>
          </cell>
          <cell r="P73">
            <v>0.91659716430358629</v>
          </cell>
          <cell r="Q73" t="str">
            <v>EUR</v>
          </cell>
          <cell r="R73">
            <v>99.99</v>
          </cell>
          <cell r="S73">
            <v>15.99</v>
          </cell>
          <cell r="T73">
            <v>74.989999999999995</v>
          </cell>
          <cell r="U73">
            <v>11.99</v>
          </cell>
          <cell r="V73">
            <v>64.989999999999995</v>
          </cell>
          <cell r="W73">
            <v>10.99</v>
          </cell>
        </row>
        <row r="74">
          <cell r="B74" t="str">
            <v>eSwatini</v>
          </cell>
          <cell r="C74" t="str">
            <v>Africa</v>
          </cell>
          <cell r="E74" t="str">
            <v>SZL</v>
          </cell>
          <cell r="F74">
            <v>1295.99</v>
          </cell>
          <cell r="G74">
            <v>215.99</v>
          </cell>
          <cell r="H74">
            <v>959.99</v>
          </cell>
          <cell r="I74">
            <v>159.99</v>
          </cell>
          <cell r="J74">
            <v>863.99</v>
          </cell>
          <cell r="K74">
            <v>143.99</v>
          </cell>
          <cell r="L74">
            <v>6.0002314921987123</v>
          </cell>
          <cell r="M74">
            <v>1.3500218763672729</v>
          </cell>
          <cell r="N74">
            <v>6.0003125195324705</v>
          </cell>
          <cell r="O74">
            <v>6.0003472463365508</v>
          </cell>
          <cell r="P74">
            <v>0.89999374960935064</v>
          </cell>
          <cell r="Q74" t="str">
            <v>SZL</v>
          </cell>
          <cell r="R74">
            <v>1295.99</v>
          </cell>
          <cell r="S74">
            <v>215.99</v>
          </cell>
          <cell r="T74">
            <v>959.99</v>
          </cell>
          <cell r="U74">
            <v>159.99</v>
          </cell>
          <cell r="V74">
            <v>863.99</v>
          </cell>
          <cell r="W74">
            <v>143.99</v>
          </cell>
        </row>
        <row r="75">
          <cell r="B75" t="str">
            <v>Ethiopia</v>
          </cell>
          <cell r="C75" t="str">
            <v>Africa</v>
          </cell>
          <cell r="E75" t="str">
            <v>ETB</v>
          </cell>
          <cell r="F75">
            <v>2591.9899999999998</v>
          </cell>
          <cell r="G75">
            <v>431.99</v>
          </cell>
          <cell r="H75">
            <v>1919.99</v>
          </cell>
          <cell r="I75">
            <v>319.99</v>
          </cell>
          <cell r="J75">
            <v>1727.99</v>
          </cell>
          <cell r="K75">
            <v>287.99</v>
          </cell>
          <cell r="L75">
            <v>6.0001157434199861</v>
          </cell>
          <cell r="M75">
            <v>1.3500109378418075</v>
          </cell>
          <cell r="N75">
            <v>6.000156254882965</v>
          </cell>
          <cell r="O75">
            <v>6.0001736171394837</v>
          </cell>
          <cell r="P75">
            <v>0.8999968749023407</v>
          </cell>
          <cell r="Q75" t="str">
            <v>ETB</v>
          </cell>
          <cell r="R75">
            <v>2591.9899999999998</v>
          </cell>
          <cell r="S75">
            <v>431.99</v>
          </cell>
          <cell r="T75">
            <v>1919.99</v>
          </cell>
          <cell r="U75">
            <v>319.99</v>
          </cell>
          <cell r="V75">
            <v>1727.99</v>
          </cell>
          <cell r="W75">
            <v>287.99</v>
          </cell>
        </row>
        <row r="76">
          <cell r="B76" t="str">
            <v>Falkland Islands</v>
          </cell>
          <cell r="C76" t="str">
            <v>Latin America</v>
          </cell>
          <cell r="E76" t="str">
            <v>FKP</v>
          </cell>
          <cell r="F76">
            <v>60</v>
          </cell>
          <cell r="G76">
            <v>10</v>
          </cell>
          <cell r="H76">
            <v>50</v>
          </cell>
          <cell r="I76">
            <v>7</v>
          </cell>
          <cell r="J76">
            <v>40</v>
          </cell>
          <cell r="K76">
            <v>6</v>
          </cell>
          <cell r="L76">
            <v>6</v>
          </cell>
          <cell r="M76">
            <v>1.4285714285714286</v>
          </cell>
          <cell r="N76">
            <v>7.1428571428571432</v>
          </cell>
          <cell r="O76">
            <v>6.666666666666667</v>
          </cell>
          <cell r="P76">
            <v>0.8571428571428571</v>
          </cell>
          <cell r="Q76" t="str">
            <v>FKP</v>
          </cell>
          <cell r="R76">
            <v>60</v>
          </cell>
          <cell r="S76">
            <v>10</v>
          </cell>
          <cell r="T76">
            <v>50</v>
          </cell>
          <cell r="U76">
            <v>7</v>
          </cell>
          <cell r="V76">
            <v>40</v>
          </cell>
          <cell r="W76">
            <v>6</v>
          </cell>
        </row>
        <row r="77">
          <cell r="B77" t="str">
            <v>Faroe Islands</v>
          </cell>
          <cell r="C77" t="str">
            <v>Europe</v>
          </cell>
          <cell r="E77" t="str">
            <v>DKK</v>
          </cell>
          <cell r="F77">
            <v>1139.99</v>
          </cell>
          <cell r="G77">
            <v>189.99</v>
          </cell>
          <cell r="H77">
            <v>829.99</v>
          </cell>
          <cell r="I77">
            <v>139.99</v>
          </cell>
          <cell r="J77">
            <v>779.99</v>
          </cell>
          <cell r="K77">
            <v>129.99</v>
          </cell>
          <cell r="L77">
            <v>6.000263171745881</v>
          </cell>
          <cell r="M77">
            <v>1.3571683691692265</v>
          </cell>
          <cell r="N77">
            <v>5.928923494535324</v>
          </cell>
          <cell r="O77">
            <v>6.0003846449726899</v>
          </cell>
          <cell r="P77">
            <v>0.92856632616615475</v>
          </cell>
          <cell r="Q77" t="str">
            <v>DKK</v>
          </cell>
          <cell r="R77">
            <v>1139.99</v>
          </cell>
          <cell r="S77">
            <v>189.99</v>
          </cell>
          <cell r="T77">
            <v>829.99</v>
          </cell>
          <cell r="U77">
            <v>139.99</v>
          </cell>
          <cell r="V77">
            <v>779.99</v>
          </cell>
          <cell r="W77">
            <v>129.99</v>
          </cell>
        </row>
        <row r="78">
          <cell r="B78" t="str">
            <v>Fiji</v>
          </cell>
          <cell r="C78" t="str">
            <v>Asia</v>
          </cell>
          <cell r="E78" t="str">
            <v>FJD</v>
          </cell>
          <cell r="F78">
            <v>179.99</v>
          </cell>
          <cell r="G78">
            <v>29.99</v>
          </cell>
          <cell r="H78">
            <v>131.99</v>
          </cell>
          <cell r="I78">
            <v>21.99</v>
          </cell>
          <cell r="J78">
            <v>119.99</v>
          </cell>
          <cell r="K78">
            <v>19.989999999999998</v>
          </cell>
          <cell r="L78">
            <v>6.0016672224074696</v>
          </cell>
          <cell r="M78">
            <v>1.3638017280582082</v>
          </cell>
          <cell r="N78">
            <v>6.0022737608003647</v>
          </cell>
          <cell r="O78">
            <v>6.002501250625313</v>
          </cell>
          <cell r="P78">
            <v>0.90904956798544789</v>
          </cell>
          <cell r="Q78" t="str">
            <v>FJD</v>
          </cell>
          <cell r="R78">
            <v>179.99</v>
          </cell>
          <cell r="S78">
            <v>29.99</v>
          </cell>
          <cell r="T78">
            <v>131.99</v>
          </cell>
          <cell r="U78">
            <v>21.99</v>
          </cell>
          <cell r="V78">
            <v>119.99</v>
          </cell>
          <cell r="W78">
            <v>19.989999999999998</v>
          </cell>
        </row>
        <row r="79">
          <cell r="B79" t="str">
            <v>Finland</v>
          </cell>
          <cell r="C79" t="str">
            <v>Europe</v>
          </cell>
          <cell r="E79" t="str">
            <v>EUR</v>
          </cell>
          <cell r="F79">
            <v>129.99</v>
          </cell>
          <cell r="G79">
            <v>19.989999999999998</v>
          </cell>
          <cell r="H79">
            <v>99.99</v>
          </cell>
          <cell r="I79">
            <v>14.99</v>
          </cell>
          <cell r="J79">
            <v>89.99</v>
          </cell>
          <cell r="K79">
            <v>13.99</v>
          </cell>
          <cell r="L79">
            <v>6.5027513756878452</v>
          </cell>
          <cell r="M79">
            <v>1.333555703802535</v>
          </cell>
          <cell r="N79">
            <v>6.6704469646430953</v>
          </cell>
          <cell r="O79">
            <v>6.432451751250893</v>
          </cell>
          <cell r="P79">
            <v>0.93328885923949301</v>
          </cell>
          <cell r="Q79" t="str">
            <v>EUR</v>
          </cell>
          <cell r="R79">
            <v>129.99</v>
          </cell>
          <cell r="S79">
            <v>19.989999999999998</v>
          </cell>
          <cell r="T79">
            <v>99.99</v>
          </cell>
          <cell r="U79">
            <v>14.99</v>
          </cell>
          <cell r="V79">
            <v>89.99</v>
          </cell>
          <cell r="W79">
            <v>13.99</v>
          </cell>
        </row>
        <row r="80">
          <cell r="B80" t="str">
            <v>France</v>
          </cell>
          <cell r="C80" t="str">
            <v>Europe</v>
          </cell>
          <cell r="D80" t="str">
            <v>B</v>
          </cell>
          <cell r="E80" t="str">
            <v>EUR</v>
          </cell>
          <cell r="F80">
            <v>199.99</v>
          </cell>
          <cell r="G80">
            <v>28.99</v>
          </cell>
          <cell r="H80">
            <v>146.99</v>
          </cell>
          <cell r="I80">
            <v>21.99</v>
          </cell>
          <cell r="J80">
            <v>134.99</v>
          </cell>
          <cell r="K80">
            <v>19.989999999999998</v>
          </cell>
          <cell r="L80">
            <v>6.8985857192135223</v>
          </cell>
          <cell r="M80">
            <v>1.3183265120509322</v>
          </cell>
          <cell r="N80">
            <v>6.6844020009095049</v>
          </cell>
          <cell r="O80">
            <v>6.7528764382191104</v>
          </cell>
          <cell r="P80">
            <v>0.90904956798544789</v>
          </cell>
          <cell r="Q80" t="str">
            <v>EUR</v>
          </cell>
          <cell r="R80">
            <v>199.99</v>
          </cell>
          <cell r="S80">
            <v>28.99</v>
          </cell>
          <cell r="T80">
            <v>146.99</v>
          </cell>
          <cell r="U80">
            <v>21.99</v>
          </cell>
          <cell r="V80">
            <v>134.99</v>
          </cell>
          <cell r="W80">
            <v>19.989999999999998</v>
          </cell>
        </row>
        <row r="81">
          <cell r="B81" t="str">
            <v>French Guiana</v>
          </cell>
          <cell r="C81" t="str">
            <v>Latin America</v>
          </cell>
          <cell r="E81" t="str">
            <v>EUR</v>
          </cell>
          <cell r="F81">
            <v>77.989999999999995</v>
          </cell>
          <cell r="G81">
            <v>12.99</v>
          </cell>
          <cell r="H81">
            <v>59.99</v>
          </cell>
          <cell r="I81">
            <v>9.99</v>
          </cell>
          <cell r="J81">
            <v>53.99</v>
          </cell>
          <cell r="K81">
            <v>8.99</v>
          </cell>
          <cell r="L81">
            <v>6.0038491147036179</v>
          </cell>
          <cell r="M81">
            <v>1.3003003003003002</v>
          </cell>
          <cell r="N81">
            <v>6.005005005005005</v>
          </cell>
          <cell r="O81">
            <v>6.0055617352614012</v>
          </cell>
          <cell r="P81">
            <v>0.89989989989989994</v>
          </cell>
          <cell r="Q81" t="str">
            <v>EUR</v>
          </cell>
          <cell r="R81">
            <v>77.989999999999995</v>
          </cell>
          <cell r="S81">
            <v>12.99</v>
          </cell>
          <cell r="T81">
            <v>59.99</v>
          </cell>
          <cell r="U81">
            <v>9.99</v>
          </cell>
          <cell r="V81">
            <v>53.99</v>
          </cell>
          <cell r="W81">
            <v>8.99</v>
          </cell>
        </row>
        <row r="82">
          <cell r="B82" t="str">
            <v>French Polynesia</v>
          </cell>
          <cell r="C82" t="str">
            <v>Asia</v>
          </cell>
          <cell r="E82" t="str">
            <v>XPF</v>
          </cell>
          <cell r="F82">
            <v>8100</v>
          </cell>
          <cell r="G82">
            <v>1350</v>
          </cell>
          <cell r="H82">
            <v>6000</v>
          </cell>
          <cell r="I82">
            <v>1000</v>
          </cell>
          <cell r="J82">
            <v>5400</v>
          </cell>
          <cell r="K82">
            <v>900</v>
          </cell>
          <cell r="L82">
            <v>6</v>
          </cell>
          <cell r="M82">
            <v>1.35</v>
          </cell>
          <cell r="N82">
            <v>6</v>
          </cell>
          <cell r="O82">
            <v>6</v>
          </cell>
          <cell r="P82">
            <v>0.9</v>
          </cell>
          <cell r="Q82" t="str">
            <v>XPF</v>
          </cell>
          <cell r="R82">
            <v>8100</v>
          </cell>
          <cell r="S82">
            <v>1350</v>
          </cell>
          <cell r="T82">
            <v>6000</v>
          </cell>
          <cell r="U82">
            <v>1000</v>
          </cell>
          <cell r="V82">
            <v>5400</v>
          </cell>
          <cell r="W82">
            <v>900</v>
          </cell>
        </row>
        <row r="83">
          <cell r="B83" t="str">
            <v>French Southern Territories</v>
          </cell>
          <cell r="C83" t="str">
            <v>Europe</v>
          </cell>
          <cell r="E83" t="str">
            <v>EUR</v>
          </cell>
          <cell r="F83">
            <v>119.99</v>
          </cell>
          <cell r="G83">
            <v>19.989999999999998</v>
          </cell>
          <cell r="H83">
            <v>89.99</v>
          </cell>
          <cell r="I83">
            <v>14.99</v>
          </cell>
          <cell r="J83">
            <v>79.989999999999995</v>
          </cell>
          <cell r="K83">
            <v>12.99</v>
          </cell>
          <cell r="L83">
            <v>6.002501250625313</v>
          </cell>
          <cell r="M83">
            <v>1.333555703802535</v>
          </cell>
          <cell r="N83">
            <v>6.0033355570380253</v>
          </cell>
          <cell r="O83">
            <v>6.157813702848344</v>
          </cell>
          <cell r="P83">
            <v>0.86657771847898601</v>
          </cell>
          <cell r="Q83" t="str">
            <v>EUR</v>
          </cell>
          <cell r="R83">
            <v>119.99</v>
          </cell>
          <cell r="S83">
            <v>19.989999999999998</v>
          </cell>
          <cell r="T83">
            <v>89.99</v>
          </cell>
          <cell r="U83">
            <v>14.99</v>
          </cell>
          <cell r="V83">
            <v>79.989999999999995</v>
          </cell>
          <cell r="W83">
            <v>12.99</v>
          </cell>
        </row>
        <row r="84">
          <cell r="B84" t="str">
            <v>Gabon</v>
          </cell>
          <cell r="C84" t="str">
            <v>Africa</v>
          </cell>
          <cell r="E84" t="str">
            <v>XAF</v>
          </cell>
          <cell r="F84">
            <v>34020</v>
          </cell>
          <cell r="G84">
            <v>5670</v>
          </cell>
          <cell r="H84">
            <v>25200</v>
          </cell>
          <cell r="I84">
            <v>4200</v>
          </cell>
          <cell r="J84">
            <v>22680</v>
          </cell>
          <cell r="K84">
            <v>3780</v>
          </cell>
          <cell r="L84">
            <v>6</v>
          </cell>
          <cell r="M84">
            <v>1.35</v>
          </cell>
          <cell r="N84">
            <v>6</v>
          </cell>
          <cell r="O84">
            <v>6</v>
          </cell>
          <cell r="P84">
            <v>0.9</v>
          </cell>
          <cell r="Q84" t="str">
            <v>XAF</v>
          </cell>
          <cell r="R84">
            <v>34020</v>
          </cell>
          <cell r="S84">
            <v>5670</v>
          </cell>
          <cell r="T84">
            <v>25200</v>
          </cell>
          <cell r="U84">
            <v>4200</v>
          </cell>
          <cell r="V84">
            <v>22680</v>
          </cell>
          <cell r="W84">
            <v>3780</v>
          </cell>
        </row>
        <row r="85">
          <cell r="B85" t="str">
            <v>Gambia</v>
          </cell>
          <cell r="C85" t="str">
            <v>Africa</v>
          </cell>
          <cell r="E85" t="str">
            <v>GMD</v>
          </cell>
          <cell r="F85">
            <v>4451.99</v>
          </cell>
          <cell r="G85">
            <v>741.99</v>
          </cell>
          <cell r="H85">
            <v>3299.99</v>
          </cell>
          <cell r="I85">
            <v>549.99</v>
          </cell>
          <cell r="J85">
            <v>2969.99</v>
          </cell>
          <cell r="K85">
            <v>494.99</v>
          </cell>
          <cell r="L85">
            <v>6.0000673863529155</v>
          </cell>
          <cell r="M85">
            <v>1.3490972563137511</v>
          </cell>
          <cell r="N85">
            <v>6.0000909107438316</v>
          </cell>
          <cell r="O85">
            <v>6.0001010121416591</v>
          </cell>
          <cell r="P85">
            <v>0.89999818178512336</v>
          </cell>
          <cell r="Q85" t="str">
            <v>GMD</v>
          </cell>
          <cell r="R85">
            <v>4451.99</v>
          </cell>
          <cell r="S85">
            <v>741.99</v>
          </cell>
          <cell r="T85">
            <v>3299.99</v>
          </cell>
          <cell r="U85">
            <v>549.99</v>
          </cell>
          <cell r="V85">
            <v>2969.99</v>
          </cell>
          <cell r="W85">
            <v>494.99</v>
          </cell>
        </row>
        <row r="86">
          <cell r="B86" t="str">
            <v>Georgia</v>
          </cell>
          <cell r="C86" t="str">
            <v>Middle East</v>
          </cell>
          <cell r="E86" t="str">
            <v>GEL</v>
          </cell>
          <cell r="F86">
            <v>299.99</v>
          </cell>
          <cell r="G86">
            <v>50.99</v>
          </cell>
          <cell r="H86">
            <v>229.99</v>
          </cell>
          <cell r="I86">
            <v>37.99</v>
          </cell>
          <cell r="J86">
            <v>199.99</v>
          </cell>
          <cell r="K86">
            <v>33.99</v>
          </cell>
          <cell r="L86">
            <v>5.8833104530300062</v>
          </cell>
          <cell r="M86">
            <v>1.3421953145564622</v>
          </cell>
          <cell r="N86">
            <v>6.0539615688339037</v>
          </cell>
          <cell r="O86">
            <v>5.883789349808767</v>
          </cell>
          <cell r="P86">
            <v>0.89470913398262697</v>
          </cell>
          <cell r="Q86" t="str">
            <v>GEL</v>
          </cell>
          <cell r="R86">
            <v>299.99</v>
          </cell>
          <cell r="S86">
            <v>50.99</v>
          </cell>
          <cell r="T86">
            <v>229.99</v>
          </cell>
          <cell r="U86">
            <v>37.99</v>
          </cell>
          <cell r="V86">
            <v>199.99</v>
          </cell>
          <cell r="W86">
            <v>33.99</v>
          </cell>
        </row>
        <row r="87">
          <cell r="B87" t="str">
            <v>Germany</v>
          </cell>
          <cell r="C87" t="str">
            <v>Europe</v>
          </cell>
          <cell r="D87" t="str">
            <v>B</v>
          </cell>
          <cell r="E87" t="str">
            <v>EUR</v>
          </cell>
          <cell r="F87">
            <v>189.99</v>
          </cell>
          <cell r="G87">
            <v>27.99</v>
          </cell>
          <cell r="H87">
            <v>139.99</v>
          </cell>
          <cell r="I87">
            <v>19.989999999999998</v>
          </cell>
          <cell r="J87">
            <v>124.99</v>
          </cell>
          <cell r="K87">
            <v>17.989999999999998</v>
          </cell>
          <cell r="L87">
            <v>6.7877813504823159</v>
          </cell>
          <cell r="M87">
            <v>1.400200100050025</v>
          </cell>
          <cell r="N87">
            <v>7.0030015007503765</v>
          </cell>
          <cell r="O87">
            <v>6.9477487493051697</v>
          </cell>
          <cell r="P87">
            <v>0.89994997498749374</v>
          </cell>
          <cell r="Q87" t="str">
            <v>EUR</v>
          </cell>
          <cell r="R87">
            <v>189.99</v>
          </cell>
          <cell r="S87">
            <v>27.99</v>
          </cell>
          <cell r="T87">
            <v>139.99</v>
          </cell>
          <cell r="U87">
            <v>19.989999999999998</v>
          </cell>
          <cell r="V87">
            <v>124.99</v>
          </cell>
          <cell r="W87">
            <v>17.989999999999998</v>
          </cell>
        </row>
        <row r="88">
          <cell r="B88" t="str">
            <v>Ghana</v>
          </cell>
          <cell r="C88" t="str">
            <v>Africa</v>
          </cell>
          <cell r="E88" t="str">
            <v>GHS</v>
          </cell>
          <cell r="F88">
            <v>620</v>
          </cell>
          <cell r="G88">
            <v>104</v>
          </cell>
          <cell r="H88">
            <v>440</v>
          </cell>
          <cell r="I88">
            <v>74</v>
          </cell>
          <cell r="J88">
            <v>384</v>
          </cell>
          <cell r="K88">
            <v>64</v>
          </cell>
          <cell r="L88">
            <v>5.9615384615384617</v>
          </cell>
          <cell r="M88">
            <v>1.4054054054054055</v>
          </cell>
          <cell r="N88">
            <v>5.9459459459459456</v>
          </cell>
          <cell r="O88">
            <v>6</v>
          </cell>
          <cell r="P88">
            <v>0.86486486486486491</v>
          </cell>
          <cell r="Q88" t="str">
            <v>GHS</v>
          </cell>
          <cell r="R88">
            <v>679</v>
          </cell>
          <cell r="S88">
            <v>114</v>
          </cell>
          <cell r="T88">
            <v>479</v>
          </cell>
          <cell r="U88">
            <v>79</v>
          </cell>
          <cell r="V88">
            <v>419</v>
          </cell>
          <cell r="W88">
            <v>69</v>
          </cell>
        </row>
        <row r="89">
          <cell r="B89" t="str">
            <v>Gibraltar</v>
          </cell>
          <cell r="C89" t="str">
            <v>Europe</v>
          </cell>
          <cell r="E89" t="str">
            <v>GIP</v>
          </cell>
          <cell r="F89">
            <v>124.99</v>
          </cell>
          <cell r="G89">
            <v>17.989999999999998</v>
          </cell>
          <cell r="H89">
            <v>79.989999999999995</v>
          </cell>
          <cell r="I89">
            <v>12.99</v>
          </cell>
          <cell r="J89">
            <v>69.989999999999995</v>
          </cell>
          <cell r="K89">
            <v>11.99</v>
          </cell>
          <cell r="L89">
            <v>6.9477487493051697</v>
          </cell>
          <cell r="M89">
            <v>1.3849114703618166</v>
          </cell>
          <cell r="N89">
            <v>6.157813702848344</v>
          </cell>
          <cell r="O89">
            <v>5.8373644703919929</v>
          </cell>
          <cell r="P89">
            <v>0.92301770592763666</v>
          </cell>
          <cell r="Q89" t="str">
            <v>GIP</v>
          </cell>
          <cell r="R89">
            <v>124.99</v>
          </cell>
          <cell r="S89">
            <v>17.989999999999998</v>
          </cell>
          <cell r="T89">
            <v>79.989999999999995</v>
          </cell>
          <cell r="U89">
            <v>12.99</v>
          </cell>
          <cell r="V89">
            <v>69.989999999999995</v>
          </cell>
          <cell r="W89">
            <v>11.99</v>
          </cell>
        </row>
        <row r="90">
          <cell r="B90" t="str">
            <v>Greece</v>
          </cell>
          <cell r="C90" t="str">
            <v>Europe</v>
          </cell>
          <cell r="D90" t="str">
            <v>E~</v>
          </cell>
          <cell r="E90" t="str">
            <v>EUR</v>
          </cell>
          <cell r="F90">
            <v>117.99</v>
          </cell>
          <cell r="G90">
            <v>16.989999999999998</v>
          </cell>
          <cell r="H90">
            <v>89.99</v>
          </cell>
          <cell r="I90">
            <v>12.99</v>
          </cell>
          <cell r="J90">
            <v>79.989999999999995</v>
          </cell>
          <cell r="K90">
            <v>11.99</v>
          </cell>
          <cell r="L90">
            <v>6.9446733372572105</v>
          </cell>
          <cell r="M90">
            <v>1.3079291762894534</v>
          </cell>
          <cell r="N90">
            <v>6.9276366435719776</v>
          </cell>
          <cell r="O90">
            <v>6.6713928273561294</v>
          </cell>
          <cell r="P90">
            <v>0.92301770592763666</v>
          </cell>
          <cell r="Q90" t="str">
            <v>EUR</v>
          </cell>
          <cell r="R90">
            <v>117.99</v>
          </cell>
          <cell r="S90">
            <v>16.989999999999998</v>
          </cell>
          <cell r="T90">
            <v>89.99</v>
          </cell>
          <cell r="U90">
            <v>12.99</v>
          </cell>
          <cell r="V90">
            <v>79.989999999999995</v>
          </cell>
          <cell r="W90">
            <v>11.99</v>
          </cell>
        </row>
        <row r="91">
          <cell r="B91" t="str">
            <v>Greenland</v>
          </cell>
          <cell r="C91" t="str">
            <v>Europe</v>
          </cell>
          <cell r="E91" t="str">
            <v>DKK</v>
          </cell>
          <cell r="F91">
            <v>1079.99</v>
          </cell>
          <cell r="G91">
            <v>179.99</v>
          </cell>
          <cell r="H91">
            <v>829.99</v>
          </cell>
          <cell r="I91">
            <v>139.99</v>
          </cell>
          <cell r="J91">
            <v>779.99</v>
          </cell>
          <cell r="K91">
            <v>129.99</v>
          </cell>
          <cell r="L91">
            <v>6.0002777932107341</v>
          </cell>
          <cell r="M91">
            <v>1.285734695335381</v>
          </cell>
          <cell r="N91">
            <v>5.928923494535324</v>
          </cell>
          <cell r="O91">
            <v>6.0003846449726899</v>
          </cell>
          <cell r="P91">
            <v>0.92856632616615475</v>
          </cell>
          <cell r="Q91" t="str">
            <v>DKK</v>
          </cell>
          <cell r="R91">
            <v>1079.99</v>
          </cell>
          <cell r="S91">
            <v>179.99</v>
          </cell>
          <cell r="T91">
            <v>829.99</v>
          </cell>
          <cell r="U91">
            <v>139.99</v>
          </cell>
          <cell r="V91">
            <v>779.99</v>
          </cell>
          <cell r="W91">
            <v>129.99</v>
          </cell>
        </row>
        <row r="92">
          <cell r="B92" t="str">
            <v>Grenada</v>
          </cell>
          <cell r="C92" t="str">
            <v>Latin America</v>
          </cell>
          <cell r="E92" t="str">
            <v>XCD</v>
          </cell>
          <cell r="F92">
            <v>305.99</v>
          </cell>
          <cell r="G92">
            <v>50.99</v>
          </cell>
          <cell r="H92">
            <v>227.99</v>
          </cell>
          <cell r="I92">
            <v>37.99</v>
          </cell>
          <cell r="J92">
            <v>203.99</v>
          </cell>
          <cell r="K92">
            <v>33.99</v>
          </cell>
          <cell r="L92">
            <v>6.0009805844283193</v>
          </cell>
          <cell r="M92">
            <v>1.3421953145564622</v>
          </cell>
          <cell r="N92">
            <v>6.0013161358252169</v>
          </cell>
          <cell r="O92">
            <v>6.0014710208884967</v>
          </cell>
          <cell r="P92">
            <v>0.89470913398262697</v>
          </cell>
          <cell r="Q92" t="str">
            <v>XCD</v>
          </cell>
          <cell r="R92">
            <v>305.99</v>
          </cell>
          <cell r="S92">
            <v>50.99</v>
          </cell>
          <cell r="T92">
            <v>227.99</v>
          </cell>
          <cell r="U92">
            <v>37.99</v>
          </cell>
          <cell r="V92">
            <v>203.99</v>
          </cell>
          <cell r="W92">
            <v>33.99</v>
          </cell>
        </row>
        <row r="93">
          <cell r="B93" t="str">
            <v>Guadeloupe</v>
          </cell>
          <cell r="C93" t="str">
            <v>Latin America</v>
          </cell>
          <cell r="E93" t="str">
            <v>EUR</v>
          </cell>
          <cell r="F93">
            <v>84.99</v>
          </cell>
          <cell r="G93">
            <v>13.99</v>
          </cell>
          <cell r="H93">
            <v>59.99</v>
          </cell>
          <cell r="I93">
            <v>9.99</v>
          </cell>
          <cell r="J93">
            <v>53.99</v>
          </cell>
          <cell r="K93">
            <v>8.99</v>
          </cell>
          <cell r="L93">
            <v>6.0750536097212287</v>
          </cell>
          <cell r="M93">
            <v>1.4004004004004005</v>
          </cell>
          <cell r="N93">
            <v>6.005005005005005</v>
          </cell>
          <cell r="O93">
            <v>6.0055617352614012</v>
          </cell>
          <cell r="P93">
            <v>0.89989989989989994</v>
          </cell>
          <cell r="Q93" t="str">
            <v>EUR</v>
          </cell>
          <cell r="R93">
            <v>84.99</v>
          </cell>
          <cell r="S93">
            <v>13.99</v>
          </cell>
          <cell r="T93">
            <v>59.99</v>
          </cell>
          <cell r="U93">
            <v>9.99</v>
          </cell>
          <cell r="V93">
            <v>53.99</v>
          </cell>
          <cell r="W93">
            <v>8.99</v>
          </cell>
        </row>
        <row r="94">
          <cell r="B94" t="str">
            <v>Guatemala</v>
          </cell>
          <cell r="C94" t="str">
            <v>Latin America</v>
          </cell>
          <cell r="E94" t="str">
            <v>GTQ</v>
          </cell>
          <cell r="F94">
            <v>749.99</v>
          </cell>
          <cell r="G94">
            <v>124.99</v>
          </cell>
          <cell r="H94">
            <v>509.99</v>
          </cell>
          <cell r="I94">
            <v>84.99</v>
          </cell>
          <cell r="J94">
            <v>455.99</v>
          </cell>
          <cell r="K94">
            <v>75.989999999999995</v>
          </cell>
          <cell r="L94">
            <v>6.0004000320025606</v>
          </cell>
          <cell r="M94">
            <v>1.4706436051300154</v>
          </cell>
          <cell r="N94">
            <v>6.0005883045064126</v>
          </cell>
          <cell r="O94">
            <v>6.0006579813133314</v>
          </cell>
          <cell r="P94">
            <v>0.89410518884574652</v>
          </cell>
          <cell r="Q94" t="str">
            <v>GTQ</v>
          </cell>
          <cell r="R94">
            <v>749.99</v>
          </cell>
          <cell r="S94">
            <v>124.99</v>
          </cell>
          <cell r="T94">
            <v>509.99</v>
          </cell>
          <cell r="U94">
            <v>84.99</v>
          </cell>
          <cell r="V94">
            <v>455.99</v>
          </cell>
          <cell r="W94">
            <v>75.989999999999995</v>
          </cell>
        </row>
        <row r="95">
          <cell r="B95" t="str">
            <v>Guernsey</v>
          </cell>
          <cell r="C95" t="str">
            <v>Europe</v>
          </cell>
          <cell r="E95" t="str">
            <v>GBP</v>
          </cell>
          <cell r="F95">
            <v>139.99</v>
          </cell>
          <cell r="G95">
            <v>19.989999999999998</v>
          </cell>
          <cell r="H95">
            <v>89.99</v>
          </cell>
          <cell r="I95">
            <v>14.99</v>
          </cell>
          <cell r="J95">
            <v>79.989999999999995</v>
          </cell>
          <cell r="K95">
            <v>12.99</v>
          </cell>
          <cell r="L95">
            <v>7.0030015007503765</v>
          </cell>
          <cell r="M95">
            <v>1.333555703802535</v>
          </cell>
          <cell r="N95">
            <v>6.0033355570380253</v>
          </cell>
          <cell r="O95">
            <v>6.157813702848344</v>
          </cell>
          <cell r="P95">
            <v>0.86657771847898601</v>
          </cell>
          <cell r="Q95" t="str">
            <v>GBP</v>
          </cell>
          <cell r="R95">
            <v>139.99</v>
          </cell>
          <cell r="S95">
            <v>19.989999999999998</v>
          </cell>
          <cell r="T95">
            <v>89.99</v>
          </cell>
          <cell r="U95">
            <v>14.99</v>
          </cell>
          <cell r="V95">
            <v>79.989999999999995</v>
          </cell>
          <cell r="W95">
            <v>12.99</v>
          </cell>
        </row>
        <row r="96">
          <cell r="B96" t="str">
            <v>Guinea</v>
          </cell>
          <cell r="C96" t="str">
            <v>Africa</v>
          </cell>
          <cell r="E96" t="str">
            <v>GNF</v>
          </cell>
          <cell r="F96">
            <v>654480</v>
          </cell>
          <cell r="G96">
            <v>109080</v>
          </cell>
          <cell r="H96">
            <v>484800</v>
          </cell>
          <cell r="I96">
            <v>80800</v>
          </cell>
          <cell r="J96">
            <v>436320</v>
          </cell>
          <cell r="K96">
            <v>72720</v>
          </cell>
          <cell r="L96">
            <v>6</v>
          </cell>
          <cell r="M96">
            <v>1.35</v>
          </cell>
          <cell r="N96">
            <v>6</v>
          </cell>
          <cell r="O96">
            <v>6</v>
          </cell>
          <cell r="P96">
            <v>0.9</v>
          </cell>
          <cell r="Q96" t="str">
            <v>GNF</v>
          </cell>
          <cell r="R96">
            <v>654480</v>
          </cell>
          <cell r="S96">
            <v>109080</v>
          </cell>
          <cell r="T96">
            <v>484800</v>
          </cell>
          <cell r="U96">
            <v>80800</v>
          </cell>
          <cell r="V96">
            <v>436320</v>
          </cell>
          <cell r="W96">
            <v>72720</v>
          </cell>
        </row>
        <row r="97">
          <cell r="B97" t="str">
            <v>Guinea-Bissau</v>
          </cell>
          <cell r="C97" t="str">
            <v>Africa</v>
          </cell>
          <cell r="E97" t="str">
            <v>XOF</v>
          </cell>
          <cell r="F97">
            <v>43740</v>
          </cell>
          <cell r="G97">
            <v>7290</v>
          </cell>
          <cell r="H97">
            <v>32400</v>
          </cell>
          <cell r="I97">
            <v>5400</v>
          </cell>
          <cell r="J97">
            <v>29160</v>
          </cell>
          <cell r="K97">
            <v>4860</v>
          </cell>
          <cell r="L97">
            <v>6</v>
          </cell>
          <cell r="M97">
            <v>1.35</v>
          </cell>
          <cell r="N97">
            <v>6</v>
          </cell>
          <cell r="O97">
            <v>6</v>
          </cell>
          <cell r="P97">
            <v>0.9</v>
          </cell>
          <cell r="Q97" t="str">
            <v>XOF</v>
          </cell>
          <cell r="R97">
            <v>43740</v>
          </cell>
          <cell r="S97">
            <v>7290</v>
          </cell>
          <cell r="T97">
            <v>32400</v>
          </cell>
          <cell r="U97">
            <v>5400</v>
          </cell>
          <cell r="V97">
            <v>29160</v>
          </cell>
          <cell r="W97">
            <v>4860</v>
          </cell>
        </row>
        <row r="98">
          <cell r="B98" t="str">
            <v>Guyana</v>
          </cell>
          <cell r="C98" t="str">
            <v>Latin America</v>
          </cell>
          <cell r="E98" t="str">
            <v>GYD</v>
          </cell>
          <cell r="F98">
            <v>25199.99</v>
          </cell>
          <cell r="G98">
            <v>4199.99</v>
          </cell>
          <cell r="H98">
            <v>17399.990000000002</v>
          </cell>
          <cell r="I98">
            <v>2899.99</v>
          </cell>
          <cell r="J98">
            <v>15659.99</v>
          </cell>
          <cell r="K98">
            <v>2609.9899999999998</v>
          </cell>
          <cell r="L98">
            <v>6.0000119047902505</v>
          </cell>
          <cell r="M98">
            <v>1.4482774078531306</v>
          </cell>
          <cell r="N98">
            <v>6.0000172414387647</v>
          </cell>
          <cell r="O98">
            <v>6.000019157161522</v>
          </cell>
          <cell r="P98">
            <v>0.89999965517122471</v>
          </cell>
          <cell r="Q98" t="str">
            <v>GYD</v>
          </cell>
          <cell r="R98">
            <v>25199.99</v>
          </cell>
          <cell r="S98">
            <v>4199.99</v>
          </cell>
          <cell r="T98">
            <v>17399.990000000002</v>
          </cell>
          <cell r="U98">
            <v>2899.99</v>
          </cell>
          <cell r="V98">
            <v>15659.99</v>
          </cell>
          <cell r="W98">
            <v>2609.9899999999998</v>
          </cell>
        </row>
        <row r="99">
          <cell r="B99" t="str">
            <v>Haiti</v>
          </cell>
          <cell r="C99" t="str">
            <v>Latin America</v>
          </cell>
          <cell r="E99" t="str">
            <v>HTG</v>
          </cell>
          <cell r="F99">
            <v>12960</v>
          </cell>
          <cell r="G99">
            <v>2160</v>
          </cell>
          <cell r="H99">
            <v>9600</v>
          </cell>
          <cell r="I99">
            <v>1600</v>
          </cell>
          <cell r="J99">
            <v>8640</v>
          </cell>
          <cell r="K99">
            <v>1440</v>
          </cell>
          <cell r="L99">
            <v>6</v>
          </cell>
          <cell r="M99">
            <v>1.35</v>
          </cell>
          <cell r="N99">
            <v>6</v>
          </cell>
          <cell r="O99">
            <v>6</v>
          </cell>
          <cell r="P99">
            <v>0.9</v>
          </cell>
          <cell r="Q99" t="str">
            <v>HTG</v>
          </cell>
          <cell r="R99">
            <v>12960</v>
          </cell>
          <cell r="S99">
            <v>2160</v>
          </cell>
          <cell r="T99">
            <v>9600</v>
          </cell>
          <cell r="U99">
            <v>1600</v>
          </cell>
          <cell r="V99">
            <v>8640</v>
          </cell>
          <cell r="W99">
            <v>1440</v>
          </cell>
        </row>
        <row r="100">
          <cell r="B100" t="str">
            <v>Heard And Mcdonald Islands</v>
          </cell>
          <cell r="C100" t="str">
            <v>India</v>
          </cell>
          <cell r="E100" t="str">
            <v>AUD</v>
          </cell>
          <cell r="F100">
            <v>107.99</v>
          </cell>
          <cell r="G100">
            <v>17.989999999999998</v>
          </cell>
          <cell r="H100">
            <v>77.989999999999995</v>
          </cell>
          <cell r="I100">
            <v>12.99</v>
          </cell>
          <cell r="J100">
            <v>71.989999999999995</v>
          </cell>
          <cell r="K100">
            <v>11.99</v>
          </cell>
          <cell r="L100">
            <v>6.0027793218454697</v>
          </cell>
          <cell r="M100">
            <v>1.3849114703618166</v>
          </cell>
          <cell r="N100">
            <v>6.0038491147036179</v>
          </cell>
          <cell r="O100">
            <v>6.0041701417848206</v>
          </cell>
          <cell r="P100">
            <v>0.92301770592763666</v>
          </cell>
          <cell r="Q100" t="str">
            <v>AUD</v>
          </cell>
          <cell r="R100">
            <v>107.99</v>
          </cell>
          <cell r="S100">
            <v>17.989999999999998</v>
          </cell>
          <cell r="T100">
            <v>77.989999999999995</v>
          </cell>
          <cell r="U100">
            <v>12.99</v>
          </cell>
          <cell r="V100">
            <v>71.989999999999995</v>
          </cell>
          <cell r="W100">
            <v>11.99</v>
          </cell>
        </row>
        <row r="101">
          <cell r="B101" t="str">
            <v>Honduras</v>
          </cell>
          <cell r="C101" t="str">
            <v>Latin America</v>
          </cell>
          <cell r="E101" t="str">
            <v>HNL</v>
          </cell>
          <cell r="F101">
            <v>1919.99</v>
          </cell>
          <cell r="G101">
            <v>319.99</v>
          </cell>
          <cell r="H101">
            <v>1319.99</v>
          </cell>
          <cell r="I101">
            <v>219.99</v>
          </cell>
          <cell r="J101">
            <v>1187.99</v>
          </cell>
          <cell r="K101">
            <v>197.99</v>
          </cell>
          <cell r="L101">
            <v>6.000156254882965</v>
          </cell>
          <cell r="M101">
            <v>1.4545661166416655</v>
          </cell>
          <cell r="N101">
            <v>6.0002272830583205</v>
          </cell>
          <cell r="O101">
            <v>6.0002525380069702</v>
          </cell>
          <cell r="P101">
            <v>0.89999545433883354</v>
          </cell>
          <cell r="Q101" t="str">
            <v>HNL</v>
          </cell>
          <cell r="R101">
            <v>1919.99</v>
          </cell>
          <cell r="S101">
            <v>319.99</v>
          </cell>
          <cell r="T101">
            <v>1319.99</v>
          </cell>
          <cell r="U101">
            <v>219.99</v>
          </cell>
          <cell r="V101">
            <v>1187.99</v>
          </cell>
          <cell r="W101">
            <v>197.99</v>
          </cell>
        </row>
        <row r="102">
          <cell r="B102" t="str">
            <v>Hong Kong</v>
          </cell>
          <cell r="C102" t="str">
            <v>NBA China</v>
          </cell>
          <cell r="D102" t="str">
            <v>B</v>
          </cell>
          <cell r="E102" t="str">
            <v>HKD</v>
          </cell>
          <cell r="F102">
            <v>1149</v>
          </cell>
          <cell r="G102">
            <v>164</v>
          </cell>
          <cell r="H102">
            <v>759</v>
          </cell>
          <cell r="I102">
            <v>109</v>
          </cell>
          <cell r="J102">
            <v>699</v>
          </cell>
          <cell r="K102">
            <v>100</v>
          </cell>
          <cell r="L102">
            <v>7.0060975609756095</v>
          </cell>
          <cell r="M102">
            <v>1.5045871559633028</v>
          </cell>
          <cell r="N102">
            <v>6.9633027522935782</v>
          </cell>
          <cell r="O102">
            <v>6.99</v>
          </cell>
          <cell r="P102">
            <v>0.91743119266055051</v>
          </cell>
          <cell r="Q102" t="str">
            <v>HKD</v>
          </cell>
          <cell r="R102">
            <v>1149</v>
          </cell>
          <cell r="S102">
            <v>164</v>
          </cell>
          <cell r="T102">
            <v>759</v>
          </cell>
          <cell r="U102">
            <v>109</v>
          </cell>
          <cell r="V102">
            <v>699</v>
          </cell>
          <cell r="W102">
            <v>100</v>
          </cell>
        </row>
        <row r="103">
          <cell r="B103" t="str">
            <v>Hungary</v>
          </cell>
          <cell r="C103" t="str">
            <v>Europe</v>
          </cell>
          <cell r="E103" t="str">
            <v>HUF</v>
          </cell>
          <cell r="F103">
            <v>33999</v>
          </cell>
          <cell r="G103">
            <v>5499</v>
          </cell>
          <cell r="H103">
            <v>25999</v>
          </cell>
          <cell r="I103">
            <v>4199</v>
          </cell>
          <cell r="J103">
            <v>23499</v>
          </cell>
          <cell r="K103">
            <v>3799</v>
          </cell>
          <cell r="L103">
            <v>6.1827605019094385</v>
          </cell>
          <cell r="M103">
            <v>1.3095975232198143</v>
          </cell>
          <cell r="N103">
            <v>6.1917123124553468</v>
          </cell>
          <cell r="O103">
            <v>6.1855751513556196</v>
          </cell>
          <cell r="P103">
            <v>0.90473922362467252</v>
          </cell>
          <cell r="Q103" t="str">
            <v>HUF</v>
          </cell>
          <cell r="R103">
            <v>33999</v>
          </cell>
          <cell r="S103">
            <v>5499</v>
          </cell>
          <cell r="T103">
            <v>25999</v>
          </cell>
          <cell r="U103">
            <v>4199</v>
          </cell>
          <cell r="V103">
            <v>23499</v>
          </cell>
          <cell r="W103">
            <v>3799</v>
          </cell>
        </row>
        <row r="104">
          <cell r="B104" t="str">
            <v>Iceland</v>
          </cell>
          <cell r="C104" t="str">
            <v>Europe</v>
          </cell>
          <cell r="E104" t="str">
            <v>ISK</v>
          </cell>
          <cell r="F104">
            <v>32999.99</v>
          </cell>
          <cell r="G104">
            <v>5099.99</v>
          </cell>
          <cell r="H104">
            <v>23999.99</v>
          </cell>
          <cell r="I104">
            <v>3699.99</v>
          </cell>
          <cell r="J104">
            <v>19979.99285715193</v>
          </cell>
          <cell r="K104">
            <v>3329.99</v>
          </cell>
          <cell r="L104">
            <v>6.470598961958749</v>
          </cell>
          <cell r="M104">
            <v>1.3783794010254082</v>
          </cell>
          <cell r="N104">
            <v>6.486501314868419</v>
          </cell>
          <cell r="O104">
            <v>6.0000158730662649</v>
          </cell>
          <cell r="P104">
            <v>0.89999972972899922</v>
          </cell>
          <cell r="Q104" t="str">
            <v>ISK</v>
          </cell>
          <cell r="R104">
            <v>32999.99</v>
          </cell>
          <cell r="S104">
            <v>5099.99</v>
          </cell>
          <cell r="T104">
            <v>23999.99</v>
          </cell>
          <cell r="U104">
            <v>3699.99</v>
          </cell>
          <cell r="V104">
            <v>19979.99285715193</v>
          </cell>
          <cell r="W104">
            <v>3329.99</v>
          </cell>
        </row>
        <row r="105">
          <cell r="B105" t="str">
            <v>India</v>
          </cell>
          <cell r="C105" t="str">
            <v>India</v>
          </cell>
          <cell r="D105" t="str">
            <v>D</v>
          </cell>
          <cell r="E105" t="str">
            <v>INR</v>
          </cell>
          <cell r="F105">
            <v>2099</v>
          </cell>
          <cell r="G105">
            <v>329</v>
          </cell>
          <cell r="H105">
            <v>1499</v>
          </cell>
          <cell r="I105">
            <v>219</v>
          </cell>
          <cell r="J105">
            <v>0</v>
          </cell>
          <cell r="K105">
            <v>0</v>
          </cell>
          <cell r="L105">
            <v>6.3799392097264436</v>
          </cell>
          <cell r="M105">
            <v>1.5022831050228311</v>
          </cell>
          <cell r="N105">
            <v>6.8447488584474883</v>
          </cell>
          <cell r="O105"/>
          <cell r="P105"/>
          <cell r="Q105" t="str">
            <v>INR</v>
          </cell>
          <cell r="R105">
            <v>2099</v>
          </cell>
          <cell r="S105">
            <v>329</v>
          </cell>
          <cell r="T105">
            <v>1499</v>
          </cell>
          <cell r="U105">
            <v>219</v>
          </cell>
          <cell r="V105">
            <v>1269</v>
          </cell>
          <cell r="W105">
            <v>199</v>
          </cell>
        </row>
        <row r="106">
          <cell r="B106" t="str">
            <v>Indonesia</v>
          </cell>
          <cell r="C106" t="str">
            <v>Asia</v>
          </cell>
          <cell r="D106" t="str">
            <v>E~</v>
          </cell>
          <cell r="E106" t="str">
            <v>IDR</v>
          </cell>
          <cell r="F106">
            <v>1200000</v>
          </cell>
          <cell r="G106">
            <v>200000</v>
          </cell>
          <cell r="H106">
            <v>945000</v>
          </cell>
          <cell r="I106">
            <v>135000</v>
          </cell>
          <cell r="J106">
            <v>732000</v>
          </cell>
          <cell r="K106">
            <v>122000</v>
          </cell>
          <cell r="L106">
            <v>6</v>
          </cell>
          <cell r="M106">
            <v>1.4814814814814814</v>
          </cell>
          <cell r="N106">
            <v>7</v>
          </cell>
          <cell r="O106">
            <v>6</v>
          </cell>
          <cell r="P106">
            <v>0.90370370370370368</v>
          </cell>
          <cell r="Q106" t="str">
            <v>IDR</v>
          </cell>
          <cell r="R106">
            <v>1200000</v>
          </cell>
          <cell r="S106">
            <v>200000</v>
          </cell>
          <cell r="T106">
            <v>945000</v>
          </cell>
          <cell r="U106">
            <v>135000</v>
          </cell>
          <cell r="V106">
            <v>732000</v>
          </cell>
          <cell r="W106">
            <v>122000</v>
          </cell>
        </row>
        <row r="107">
          <cell r="B107" t="str">
            <v>Iraq</v>
          </cell>
          <cell r="C107" t="str">
            <v>Middle East</v>
          </cell>
          <cell r="E107" t="str">
            <v>USD</v>
          </cell>
          <cell r="F107">
            <v>99.99</v>
          </cell>
          <cell r="G107">
            <v>16.989999999999998</v>
          </cell>
          <cell r="H107">
            <v>74.989999999999995</v>
          </cell>
          <cell r="I107">
            <v>12.99</v>
          </cell>
          <cell r="J107">
            <v>0</v>
          </cell>
          <cell r="K107">
            <v>0</v>
          </cell>
          <cell r="L107">
            <v>5.8852266038846386</v>
          </cell>
          <cell r="M107">
            <v>1.3079291762894534</v>
          </cell>
          <cell r="N107">
            <v>5.772902232486528</v>
          </cell>
          <cell r="O107" t="e">
            <v>#DIV/0!</v>
          </cell>
          <cell r="P107">
            <v>0</v>
          </cell>
          <cell r="Q107" t="str">
            <v>USD</v>
          </cell>
          <cell r="R107">
            <v>99.99</v>
          </cell>
          <cell r="S107">
            <v>16.989999999999998</v>
          </cell>
          <cell r="T107">
            <v>74.989999999999995</v>
          </cell>
          <cell r="U107">
            <v>12.99</v>
          </cell>
          <cell r="V107">
            <v>64.989999999999995</v>
          </cell>
          <cell r="W107">
            <v>10.99</v>
          </cell>
        </row>
        <row r="108">
          <cell r="B108" t="str">
            <v>Ireland</v>
          </cell>
          <cell r="C108" t="str">
            <v>Europe</v>
          </cell>
          <cell r="E108" t="str">
            <v>EUR</v>
          </cell>
          <cell r="F108">
            <v>159.99</v>
          </cell>
          <cell r="G108">
            <v>24.99</v>
          </cell>
          <cell r="H108">
            <v>121.99</v>
          </cell>
          <cell r="I108">
            <v>18.989999999999998</v>
          </cell>
          <cell r="J108">
            <v>109.99</v>
          </cell>
          <cell r="K108">
            <v>16.989999999999998</v>
          </cell>
          <cell r="L108">
            <v>6.4021608643457393</v>
          </cell>
          <cell r="M108">
            <v>1.315955766192733</v>
          </cell>
          <cell r="N108">
            <v>6.4239073196419172</v>
          </cell>
          <cell r="O108">
            <v>6.4738081224249564</v>
          </cell>
          <cell r="P108">
            <v>0.89468141126908896</v>
          </cell>
          <cell r="Q108" t="str">
            <v>EUR</v>
          </cell>
          <cell r="R108">
            <v>159.99</v>
          </cell>
          <cell r="S108">
            <v>24.99</v>
          </cell>
          <cell r="T108">
            <v>121.99</v>
          </cell>
          <cell r="U108">
            <v>18.989999999999998</v>
          </cell>
          <cell r="V108">
            <v>109.99</v>
          </cell>
          <cell r="W108">
            <v>16.989999999999998</v>
          </cell>
        </row>
        <row r="109">
          <cell r="B109" t="str">
            <v>Isle Of Man</v>
          </cell>
          <cell r="C109" t="str">
            <v>Europe</v>
          </cell>
          <cell r="E109" t="str">
            <v>USD</v>
          </cell>
          <cell r="F109">
            <v>179.99</v>
          </cell>
          <cell r="G109">
            <v>25.99</v>
          </cell>
          <cell r="H109">
            <v>119.99</v>
          </cell>
          <cell r="I109">
            <v>19.989999999999998</v>
          </cell>
          <cell r="J109">
            <v>109.99</v>
          </cell>
          <cell r="K109">
            <v>17.989999999999998</v>
          </cell>
          <cell r="L109">
            <v>6.9253559061177388</v>
          </cell>
          <cell r="M109">
            <v>1.3001500750375188</v>
          </cell>
          <cell r="N109">
            <v>6.002501250625313</v>
          </cell>
          <cell r="O109">
            <v>6.1139521956642584</v>
          </cell>
          <cell r="P109">
            <v>0.89994997498749374</v>
          </cell>
          <cell r="Q109" t="str">
            <v>USD</v>
          </cell>
          <cell r="R109">
            <v>179.99</v>
          </cell>
          <cell r="S109">
            <v>25.99</v>
          </cell>
          <cell r="T109">
            <v>119.99</v>
          </cell>
          <cell r="U109">
            <v>19.989999999999998</v>
          </cell>
          <cell r="V109">
            <v>109.99</v>
          </cell>
          <cell r="W109">
            <v>17.989999999999998</v>
          </cell>
        </row>
        <row r="110">
          <cell r="B110" t="str">
            <v>Israel</v>
          </cell>
          <cell r="C110" t="str">
            <v>Europe</v>
          </cell>
          <cell r="D110" t="str">
            <v>E~</v>
          </cell>
          <cell r="E110" t="str">
            <v>ILS</v>
          </cell>
          <cell r="F110">
            <v>569.99</v>
          </cell>
          <cell r="G110">
            <v>87.99</v>
          </cell>
          <cell r="H110">
            <v>419.99</v>
          </cell>
          <cell r="I110">
            <v>64.989999999999995</v>
          </cell>
          <cell r="J110">
            <v>369.99</v>
          </cell>
          <cell r="K110">
            <v>57.99</v>
          </cell>
          <cell r="L110">
            <v>6.4778952153653826</v>
          </cell>
          <cell r="M110">
            <v>1.3539006000923219</v>
          </cell>
          <cell r="N110">
            <v>6.4623788275119258</v>
          </cell>
          <cell r="O110">
            <v>6.3802379720641493</v>
          </cell>
          <cell r="P110">
            <v>0.89229112171103253</v>
          </cell>
          <cell r="Q110" t="str">
            <v>ILS</v>
          </cell>
          <cell r="R110">
            <v>569.99</v>
          </cell>
          <cell r="S110">
            <v>87.99</v>
          </cell>
          <cell r="T110">
            <v>419.99</v>
          </cell>
          <cell r="U110">
            <v>64.989999999999995</v>
          </cell>
          <cell r="V110">
            <v>369.99</v>
          </cell>
          <cell r="W110">
            <v>57.99</v>
          </cell>
        </row>
        <row r="111">
          <cell r="B111" t="str">
            <v>Italy</v>
          </cell>
          <cell r="C111" t="str">
            <v>Europe</v>
          </cell>
          <cell r="D111" t="str">
            <v>B</v>
          </cell>
          <cell r="E111" t="str">
            <v>EUR</v>
          </cell>
          <cell r="F111">
            <v>149.99</v>
          </cell>
          <cell r="G111">
            <v>21.99</v>
          </cell>
          <cell r="H111">
            <v>109.99</v>
          </cell>
          <cell r="I111">
            <v>15.99</v>
          </cell>
          <cell r="J111">
            <v>94.99</v>
          </cell>
          <cell r="K111">
            <v>13.99</v>
          </cell>
          <cell r="L111">
            <v>6.8208276489313331</v>
          </cell>
          <cell r="M111">
            <v>1.3752345215759849</v>
          </cell>
          <cell r="N111">
            <v>6.8786741713570976</v>
          </cell>
          <cell r="O111">
            <v>6.7898498927805573</v>
          </cell>
          <cell r="P111">
            <v>0.87492182614133829</v>
          </cell>
          <cell r="Q111" t="str">
            <v>EUR</v>
          </cell>
          <cell r="R111">
            <v>149.99</v>
          </cell>
          <cell r="S111">
            <v>21.99</v>
          </cell>
          <cell r="T111">
            <v>109.99</v>
          </cell>
          <cell r="U111">
            <v>15.99</v>
          </cell>
          <cell r="V111">
            <v>94.99</v>
          </cell>
          <cell r="W111">
            <v>13.99</v>
          </cell>
        </row>
        <row r="112">
          <cell r="B112" t="str">
            <v>Jamaica</v>
          </cell>
          <cell r="C112" t="str">
            <v>Latin America</v>
          </cell>
          <cell r="E112" t="str">
            <v>JMD</v>
          </cell>
          <cell r="F112">
            <v>14399.99</v>
          </cell>
          <cell r="G112">
            <v>2399.9899999999998</v>
          </cell>
          <cell r="H112">
            <v>10199.99</v>
          </cell>
          <cell r="I112">
            <v>1699.99</v>
          </cell>
          <cell r="J112">
            <v>8999.99</v>
          </cell>
          <cell r="K112">
            <v>1499.99</v>
          </cell>
          <cell r="L112">
            <v>6.0000208334201401</v>
          </cell>
          <cell r="M112">
            <v>1.4117671280419295</v>
          </cell>
          <cell r="N112">
            <v>6.0000294119377173</v>
          </cell>
          <cell r="O112">
            <v>6.0000333335555567</v>
          </cell>
          <cell r="P112">
            <v>0.88235224913087729</v>
          </cell>
          <cell r="Q112" t="str">
            <v>JMD</v>
          </cell>
          <cell r="R112">
            <v>14399.99</v>
          </cell>
          <cell r="S112">
            <v>2399.9899999999998</v>
          </cell>
          <cell r="T112">
            <v>10199.99</v>
          </cell>
          <cell r="U112">
            <v>1699.99</v>
          </cell>
          <cell r="V112">
            <v>8999.99</v>
          </cell>
          <cell r="W112">
            <v>1499.99</v>
          </cell>
        </row>
        <row r="113">
          <cell r="B113" t="str">
            <v>Japan</v>
          </cell>
          <cell r="C113" t="str">
            <v>Asia</v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/>
          <cell r="M113"/>
          <cell r="N113"/>
          <cell r="O113"/>
          <cell r="P113"/>
          <cell r="Q113" t="str">
            <v>JPY</v>
          </cell>
          <cell r="R113">
            <v>25190</v>
          </cell>
          <cell r="S113">
            <v>4190</v>
          </cell>
          <cell r="T113">
            <v>19190</v>
          </cell>
          <cell r="U113">
            <v>3190</v>
          </cell>
          <cell r="V113">
            <v>17390</v>
          </cell>
          <cell r="W113">
            <v>2890</v>
          </cell>
        </row>
        <row r="114">
          <cell r="B114" t="str">
            <v>Jersey</v>
          </cell>
          <cell r="C114" t="str">
            <v>Europe</v>
          </cell>
          <cell r="E114" t="str">
            <v>USD</v>
          </cell>
          <cell r="F114">
            <v>179.99</v>
          </cell>
          <cell r="G114">
            <v>25.99</v>
          </cell>
          <cell r="H114">
            <v>119.99</v>
          </cell>
          <cell r="I114">
            <v>19.989999999999998</v>
          </cell>
          <cell r="J114">
            <v>109.99</v>
          </cell>
          <cell r="K114">
            <v>17.989999999999998</v>
          </cell>
          <cell r="L114">
            <v>6.9253559061177388</v>
          </cell>
          <cell r="M114">
            <v>1.3001500750375188</v>
          </cell>
          <cell r="N114">
            <v>6.002501250625313</v>
          </cell>
          <cell r="O114">
            <v>6.1139521956642584</v>
          </cell>
          <cell r="P114">
            <v>0.89994997498749374</v>
          </cell>
          <cell r="Q114" t="str">
            <v>USD</v>
          </cell>
          <cell r="R114">
            <v>179.99</v>
          </cell>
          <cell r="S114">
            <v>25.99</v>
          </cell>
          <cell r="T114">
            <v>119.99</v>
          </cell>
          <cell r="U114">
            <v>19.989999999999998</v>
          </cell>
          <cell r="V114">
            <v>109.99</v>
          </cell>
          <cell r="W114">
            <v>17.989999999999998</v>
          </cell>
        </row>
        <row r="115">
          <cell r="B115" t="str">
            <v>Jordan</v>
          </cell>
          <cell r="C115" t="str">
            <v>Middle East</v>
          </cell>
          <cell r="E115" t="str">
            <v>JOD</v>
          </cell>
          <cell r="F115">
            <v>79.998999999999995</v>
          </cell>
          <cell r="G115">
            <v>11.999000000000001</v>
          </cell>
          <cell r="H115">
            <v>59.999000000000002</v>
          </cell>
          <cell r="I115">
            <v>8.9990000000000006</v>
          </cell>
          <cell r="J115">
            <v>49.999000000000002</v>
          </cell>
          <cell r="K115">
            <v>7.9989999999999997</v>
          </cell>
          <cell r="L115">
            <v>6.6671389282440199</v>
          </cell>
          <cell r="M115">
            <v>1.3333703744860539</v>
          </cell>
          <cell r="N115">
            <v>6.6672963662629181</v>
          </cell>
          <cell r="O115">
            <v>6.2506563320415056</v>
          </cell>
          <cell r="P115">
            <v>0.88887654183798193</v>
          </cell>
          <cell r="Q115" t="str">
            <v>JOD</v>
          </cell>
          <cell r="R115">
            <v>79.998999999999995</v>
          </cell>
          <cell r="S115">
            <v>11.999000000000001</v>
          </cell>
          <cell r="T115">
            <v>59.999000000000002</v>
          </cell>
          <cell r="U115">
            <v>8.9990000000000006</v>
          </cell>
          <cell r="V115">
            <v>49.999000000000002</v>
          </cell>
          <cell r="W115">
            <v>7.9989999999999997</v>
          </cell>
        </row>
        <row r="116">
          <cell r="B116" t="str">
            <v>Kazakhstan</v>
          </cell>
          <cell r="C116" t="str">
            <v>Asia</v>
          </cell>
          <cell r="E116" t="str">
            <v>KZT</v>
          </cell>
          <cell r="F116">
            <v>37260</v>
          </cell>
          <cell r="G116">
            <v>6210</v>
          </cell>
          <cell r="H116">
            <v>27600</v>
          </cell>
          <cell r="I116">
            <v>4600</v>
          </cell>
          <cell r="J116">
            <v>24840</v>
          </cell>
          <cell r="K116">
            <v>4140</v>
          </cell>
          <cell r="L116">
            <v>6</v>
          </cell>
          <cell r="M116">
            <v>1.35</v>
          </cell>
          <cell r="N116">
            <v>6</v>
          </cell>
          <cell r="O116">
            <v>6</v>
          </cell>
          <cell r="P116">
            <v>0.9</v>
          </cell>
          <cell r="Q116" t="str">
            <v>KZT</v>
          </cell>
          <cell r="R116">
            <v>37260</v>
          </cell>
          <cell r="S116">
            <v>6210</v>
          </cell>
          <cell r="T116">
            <v>27600</v>
          </cell>
          <cell r="U116">
            <v>4600</v>
          </cell>
          <cell r="V116">
            <v>24840</v>
          </cell>
          <cell r="W116">
            <v>4140</v>
          </cell>
        </row>
        <row r="117">
          <cell r="B117" t="str">
            <v>Kenya</v>
          </cell>
          <cell r="C117" t="str">
            <v>Africa</v>
          </cell>
          <cell r="E117" t="str">
            <v>KES</v>
          </cell>
          <cell r="F117">
            <v>8940</v>
          </cell>
          <cell r="G117">
            <v>1490</v>
          </cell>
          <cell r="H117">
            <v>6600</v>
          </cell>
          <cell r="I117">
            <v>1100</v>
          </cell>
          <cell r="J117">
            <v>5940</v>
          </cell>
          <cell r="K117">
            <v>990</v>
          </cell>
          <cell r="L117">
            <v>6</v>
          </cell>
          <cell r="M117">
            <v>1.3545454545454545</v>
          </cell>
          <cell r="N117">
            <v>6</v>
          </cell>
          <cell r="O117">
            <v>6</v>
          </cell>
          <cell r="P117">
            <v>0.9</v>
          </cell>
          <cell r="Q117" t="str">
            <v>KES</v>
          </cell>
          <cell r="R117">
            <v>8940</v>
          </cell>
          <cell r="S117">
            <v>1490</v>
          </cell>
          <cell r="T117">
            <v>6600</v>
          </cell>
          <cell r="U117">
            <v>1100</v>
          </cell>
          <cell r="V117">
            <v>5940</v>
          </cell>
          <cell r="W117">
            <v>990</v>
          </cell>
        </row>
        <row r="118">
          <cell r="B118" t="str">
            <v>Kiribati</v>
          </cell>
          <cell r="C118" t="str">
            <v>Asia</v>
          </cell>
          <cell r="E118" t="str">
            <v>AUD</v>
          </cell>
          <cell r="F118">
            <v>107.99</v>
          </cell>
          <cell r="G118">
            <v>17.989999999999998</v>
          </cell>
          <cell r="H118">
            <v>77.989999999999995</v>
          </cell>
          <cell r="I118">
            <v>12.99</v>
          </cell>
          <cell r="J118">
            <v>71.989999999999995</v>
          </cell>
          <cell r="K118">
            <v>11.99</v>
          </cell>
          <cell r="L118">
            <v>6.0027793218454697</v>
          </cell>
          <cell r="M118">
            <v>1.3849114703618166</v>
          </cell>
          <cell r="N118">
            <v>6.0038491147036179</v>
          </cell>
          <cell r="O118">
            <v>6.0041701417848206</v>
          </cell>
          <cell r="P118">
            <v>0.92301770592763666</v>
          </cell>
          <cell r="Q118" t="str">
            <v>AUD</v>
          </cell>
          <cell r="R118">
            <v>107.99</v>
          </cell>
          <cell r="S118">
            <v>17.989999999999998</v>
          </cell>
          <cell r="T118">
            <v>77.989999999999995</v>
          </cell>
          <cell r="U118">
            <v>12.99</v>
          </cell>
          <cell r="V118">
            <v>71.989999999999995</v>
          </cell>
          <cell r="W118">
            <v>11.99</v>
          </cell>
        </row>
        <row r="119">
          <cell r="B119" t="str">
            <v>Kosovo</v>
          </cell>
          <cell r="C119" t="str">
            <v>Europe</v>
          </cell>
          <cell r="E119" t="str">
            <v>EUR</v>
          </cell>
          <cell r="F119">
            <v>47.99</v>
          </cell>
          <cell r="G119">
            <v>7.99</v>
          </cell>
          <cell r="H119">
            <v>35.99</v>
          </cell>
          <cell r="I119">
            <v>5.99</v>
          </cell>
          <cell r="J119">
            <v>29.99</v>
          </cell>
          <cell r="K119">
            <v>4.99</v>
          </cell>
          <cell r="L119">
            <v>6.0062578222778473</v>
          </cell>
          <cell r="M119">
            <v>1.333889816360601</v>
          </cell>
          <cell r="N119">
            <v>6.0083472454090154</v>
          </cell>
          <cell r="O119">
            <v>6.0100200400801596</v>
          </cell>
          <cell r="P119">
            <v>0.8330550918196995</v>
          </cell>
          <cell r="Q119" t="str">
            <v>EUR</v>
          </cell>
          <cell r="R119">
            <v>47.99</v>
          </cell>
          <cell r="S119">
            <v>7.99</v>
          </cell>
          <cell r="T119">
            <v>35.99</v>
          </cell>
          <cell r="U119">
            <v>5.99</v>
          </cell>
          <cell r="V119">
            <v>29.99</v>
          </cell>
          <cell r="W119">
            <v>4.99</v>
          </cell>
        </row>
        <row r="120">
          <cell r="B120" t="str">
            <v>Kuwait</v>
          </cell>
          <cell r="C120" t="str">
            <v>Middle East</v>
          </cell>
          <cell r="E120" t="str">
            <v>KWD</v>
          </cell>
          <cell r="F120">
            <v>64.998999999999995</v>
          </cell>
          <cell r="G120">
            <v>9.9990000000000006</v>
          </cell>
          <cell r="H120">
            <v>49.999000000000002</v>
          </cell>
          <cell r="I120">
            <v>6.9989999999999997</v>
          </cell>
          <cell r="J120" t="str">
            <v/>
          </cell>
          <cell r="K120" t="str">
            <v/>
          </cell>
          <cell r="L120">
            <v>6.5005500550054993</v>
          </cell>
          <cell r="M120">
            <v>1.4286326618088301</v>
          </cell>
          <cell r="N120">
            <v>7.1437348192598948</v>
          </cell>
          <cell r="O120" t="e">
            <v>#VALUE!</v>
          </cell>
          <cell r="P120" t="e">
            <v>#VALUE!</v>
          </cell>
          <cell r="Q120" t="str">
            <v>KWD</v>
          </cell>
          <cell r="R120">
            <v>64.998999999999995</v>
          </cell>
          <cell r="S120">
            <v>9.9990000000000006</v>
          </cell>
          <cell r="T120">
            <v>49.999000000000002</v>
          </cell>
          <cell r="U120">
            <v>6.9989999999999997</v>
          </cell>
          <cell r="V120">
            <v>44.999100000000006</v>
          </cell>
          <cell r="W120">
            <v>5.9989999999999997</v>
          </cell>
        </row>
        <row r="121">
          <cell r="B121" t="str">
            <v>Kyrgyzstan</v>
          </cell>
          <cell r="C121" t="str">
            <v>Asia</v>
          </cell>
          <cell r="E121" t="str">
            <v>KGS</v>
          </cell>
          <cell r="F121">
            <v>7937.99</v>
          </cell>
          <cell r="G121">
            <v>1322.99</v>
          </cell>
          <cell r="H121">
            <v>5879.99</v>
          </cell>
          <cell r="I121">
            <v>979.99</v>
          </cell>
          <cell r="J121">
            <v>5291.99</v>
          </cell>
          <cell r="K121">
            <v>881.99</v>
          </cell>
          <cell r="L121">
            <v>6.0000377931805984</v>
          </cell>
          <cell r="M121">
            <v>1.3500035714650149</v>
          </cell>
          <cell r="N121">
            <v>6.000051020928785</v>
          </cell>
          <cell r="O121">
            <v>6.0000566899851471</v>
          </cell>
          <cell r="P121">
            <v>0.89999897958142427</v>
          </cell>
          <cell r="Q121" t="str">
            <v>KGS</v>
          </cell>
          <cell r="R121">
            <v>7937.99</v>
          </cell>
          <cell r="S121">
            <v>1322.99</v>
          </cell>
          <cell r="T121">
            <v>5879.99</v>
          </cell>
          <cell r="U121">
            <v>979.99</v>
          </cell>
          <cell r="V121">
            <v>5291.99</v>
          </cell>
          <cell r="W121">
            <v>881.99</v>
          </cell>
        </row>
        <row r="122">
          <cell r="B122" t="str">
            <v>Laos</v>
          </cell>
          <cell r="C122" t="str">
            <v>Asia</v>
          </cell>
          <cell r="E122" t="str">
            <v>LAK</v>
          </cell>
          <cell r="F122">
            <v>770340</v>
          </cell>
          <cell r="G122">
            <v>128390</v>
          </cell>
          <cell r="H122">
            <v>570600</v>
          </cell>
          <cell r="I122">
            <v>95100</v>
          </cell>
          <cell r="J122">
            <v>513540</v>
          </cell>
          <cell r="K122">
            <v>85590</v>
          </cell>
          <cell r="L122">
            <v>6</v>
          </cell>
          <cell r="M122">
            <v>1.3500525762355415</v>
          </cell>
          <cell r="N122">
            <v>6</v>
          </cell>
          <cell r="O122">
            <v>6</v>
          </cell>
          <cell r="P122">
            <v>0.9</v>
          </cell>
          <cell r="Q122" t="str">
            <v>LAK</v>
          </cell>
          <cell r="R122">
            <v>770340</v>
          </cell>
          <cell r="S122">
            <v>128390</v>
          </cell>
          <cell r="T122">
            <v>570600</v>
          </cell>
          <cell r="U122">
            <v>95100</v>
          </cell>
          <cell r="V122">
            <v>513540</v>
          </cell>
          <cell r="W122">
            <v>85590</v>
          </cell>
        </row>
        <row r="123">
          <cell r="B123" t="str">
            <v>Latvia</v>
          </cell>
          <cell r="C123" t="str">
            <v>Europe</v>
          </cell>
          <cell r="E123" t="str">
            <v>EUR</v>
          </cell>
          <cell r="F123">
            <v>91.99</v>
          </cell>
          <cell r="G123">
            <v>14.99</v>
          </cell>
          <cell r="H123">
            <v>67.989999999999995</v>
          </cell>
          <cell r="I123">
            <v>10.99</v>
          </cell>
          <cell r="J123">
            <v>59.99</v>
          </cell>
          <cell r="K123">
            <v>9.99</v>
          </cell>
          <cell r="L123">
            <v>6.1367578385590393</v>
          </cell>
          <cell r="M123">
            <v>1.3639672429481347</v>
          </cell>
          <cell r="N123">
            <v>6.186533212010918</v>
          </cell>
          <cell r="O123">
            <v>6.005005005005005</v>
          </cell>
          <cell r="P123">
            <v>0.90900818926296634</v>
          </cell>
          <cell r="Q123" t="str">
            <v>EUR</v>
          </cell>
          <cell r="R123">
            <v>91.99</v>
          </cell>
          <cell r="S123">
            <v>14.99</v>
          </cell>
          <cell r="T123">
            <v>67.989999999999995</v>
          </cell>
          <cell r="U123">
            <v>10.99</v>
          </cell>
          <cell r="V123">
            <v>59.99</v>
          </cell>
          <cell r="W123">
            <v>9.99</v>
          </cell>
        </row>
        <row r="124">
          <cell r="B124" t="str">
            <v>Lebanon</v>
          </cell>
          <cell r="C124" t="str">
            <v>Middle East</v>
          </cell>
          <cell r="E124" t="str">
            <v>USD</v>
          </cell>
          <cell r="F124">
            <v>34.99</v>
          </cell>
          <cell r="G124">
            <v>4.99</v>
          </cell>
          <cell r="H124">
            <v>27.99</v>
          </cell>
          <cell r="I124">
            <v>3.99</v>
          </cell>
          <cell r="J124">
            <v>17.989999999999998</v>
          </cell>
          <cell r="K124">
            <v>2.99</v>
          </cell>
          <cell r="L124">
            <v>7.0120240480961922</v>
          </cell>
          <cell r="M124">
            <v>1.2506265664160401</v>
          </cell>
          <cell r="N124">
            <v>7.0150375939849621</v>
          </cell>
          <cell r="O124">
            <v>6.0167224080267552</v>
          </cell>
          <cell r="P124">
            <v>0.74937343358395991</v>
          </cell>
          <cell r="Q124" t="str">
            <v>USD</v>
          </cell>
          <cell r="R124">
            <v>34.99</v>
          </cell>
          <cell r="S124">
            <v>4.99</v>
          </cell>
          <cell r="T124">
            <v>27.99</v>
          </cell>
          <cell r="U124">
            <v>3.99</v>
          </cell>
          <cell r="V124">
            <v>17.989999999999998</v>
          </cell>
          <cell r="W124">
            <v>2.99</v>
          </cell>
        </row>
        <row r="125">
          <cell r="B125" t="str">
            <v>Lesotho</v>
          </cell>
          <cell r="C125" t="str">
            <v>Africa</v>
          </cell>
          <cell r="E125" t="str">
            <v>USD</v>
          </cell>
          <cell r="F125">
            <v>71.989999999999995</v>
          </cell>
          <cell r="G125">
            <v>11.99</v>
          </cell>
          <cell r="H125">
            <v>53.99</v>
          </cell>
          <cell r="I125">
            <v>8.99</v>
          </cell>
          <cell r="J125">
            <v>47.99</v>
          </cell>
          <cell r="K125">
            <v>7.99</v>
          </cell>
          <cell r="L125">
            <v>6.0041701417848206</v>
          </cell>
          <cell r="M125">
            <v>1.3337041156840934</v>
          </cell>
          <cell r="N125">
            <v>6.0055617352614012</v>
          </cell>
          <cell r="O125">
            <v>6.0062578222778473</v>
          </cell>
          <cell r="P125">
            <v>0.88876529477196886</v>
          </cell>
          <cell r="Q125" t="str">
            <v>USD</v>
          </cell>
          <cell r="R125">
            <v>71.989999999999995</v>
          </cell>
          <cell r="S125">
            <v>11.99</v>
          </cell>
          <cell r="T125">
            <v>53.99</v>
          </cell>
          <cell r="U125">
            <v>8.99</v>
          </cell>
          <cell r="V125">
            <v>47.99</v>
          </cell>
          <cell r="W125">
            <v>7.99</v>
          </cell>
        </row>
        <row r="126">
          <cell r="B126" t="str">
            <v>Liberia</v>
          </cell>
          <cell r="C126" t="str">
            <v>Africa</v>
          </cell>
          <cell r="E126" t="str">
            <v>USD</v>
          </cell>
          <cell r="F126">
            <v>71.989999999999995</v>
          </cell>
          <cell r="G126">
            <v>11.99</v>
          </cell>
          <cell r="H126">
            <v>53.99</v>
          </cell>
          <cell r="I126">
            <v>8.99</v>
          </cell>
          <cell r="J126">
            <v>47.99</v>
          </cell>
          <cell r="K126">
            <v>7.99</v>
          </cell>
          <cell r="L126">
            <v>6.0041701417848206</v>
          </cell>
          <cell r="M126">
            <v>1.3337041156840934</v>
          </cell>
          <cell r="N126">
            <v>6.0055617352614012</v>
          </cell>
          <cell r="O126">
            <v>6.0062578222778473</v>
          </cell>
          <cell r="P126">
            <v>0.88876529477196886</v>
          </cell>
          <cell r="Q126" t="str">
            <v>USD</v>
          </cell>
          <cell r="R126">
            <v>71.989999999999995</v>
          </cell>
          <cell r="S126">
            <v>11.99</v>
          </cell>
          <cell r="T126">
            <v>53.99</v>
          </cell>
          <cell r="U126">
            <v>8.99</v>
          </cell>
          <cell r="V126">
            <v>47.99</v>
          </cell>
          <cell r="W126">
            <v>7.99</v>
          </cell>
        </row>
        <row r="127">
          <cell r="B127" t="str">
            <v>Libya</v>
          </cell>
          <cell r="C127" t="str">
            <v>Africa</v>
          </cell>
          <cell r="E127" t="str">
            <v>USD</v>
          </cell>
          <cell r="F127">
            <v>79.989999999999995</v>
          </cell>
          <cell r="G127">
            <v>13.99</v>
          </cell>
          <cell r="H127">
            <v>59.99</v>
          </cell>
          <cell r="I127">
            <v>9.99</v>
          </cell>
          <cell r="J127">
            <v>54.99</v>
          </cell>
          <cell r="K127">
            <v>8.99</v>
          </cell>
          <cell r="L127">
            <v>5.7176554681915652</v>
          </cell>
          <cell r="M127">
            <v>1.4004004004004005</v>
          </cell>
          <cell r="N127">
            <v>6.005005005005005</v>
          </cell>
          <cell r="O127">
            <v>6.1167964404894324</v>
          </cell>
          <cell r="P127">
            <v>0.89989989989989994</v>
          </cell>
          <cell r="Q127" t="str">
            <v>USD</v>
          </cell>
          <cell r="R127">
            <v>79.989999999999995</v>
          </cell>
          <cell r="S127">
            <v>13.99</v>
          </cell>
          <cell r="T127">
            <v>59.99</v>
          </cell>
          <cell r="U127">
            <v>9.99</v>
          </cell>
          <cell r="V127">
            <v>54.99</v>
          </cell>
          <cell r="W127">
            <v>8.99</v>
          </cell>
        </row>
        <row r="128">
          <cell r="B128" t="str">
            <v>Liechtenstein</v>
          </cell>
          <cell r="C128" t="str">
            <v>Europe</v>
          </cell>
          <cell r="E128" t="str">
            <v>CHF</v>
          </cell>
          <cell r="F128">
            <v>189.99</v>
          </cell>
          <cell r="G128">
            <v>31.99</v>
          </cell>
          <cell r="H128">
            <v>149.99</v>
          </cell>
          <cell r="I128">
            <v>24.99</v>
          </cell>
          <cell r="J128">
            <v>129.99</v>
          </cell>
          <cell r="K128">
            <v>21.99</v>
          </cell>
          <cell r="L128">
            <v>5.9390434510784624</v>
          </cell>
          <cell r="M128">
            <v>1.2801120448179273</v>
          </cell>
          <cell r="N128">
            <v>6.0020008003201291</v>
          </cell>
          <cell r="O128">
            <v>5.9113233287858122</v>
          </cell>
          <cell r="P128">
            <v>0.87995198079231696</v>
          </cell>
          <cell r="Q128" t="str">
            <v>CHF</v>
          </cell>
          <cell r="R128">
            <v>189.99</v>
          </cell>
          <cell r="S128">
            <v>31.99</v>
          </cell>
          <cell r="T128">
            <v>149.99</v>
          </cell>
          <cell r="U128">
            <v>24.99</v>
          </cell>
          <cell r="V128">
            <v>129.99</v>
          </cell>
          <cell r="W128">
            <v>21.99</v>
          </cell>
        </row>
        <row r="129">
          <cell r="B129" t="str">
            <v>Lithuania</v>
          </cell>
          <cell r="C129" t="str">
            <v>Europe</v>
          </cell>
          <cell r="E129" t="str">
            <v>EUR</v>
          </cell>
          <cell r="F129">
            <v>94.99</v>
          </cell>
          <cell r="G129">
            <v>14.99</v>
          </cell>
          <cell r="H129">
            <v>69.989999999999995</v>
          </cell>
          <cell r="I129">
            <v>10.99</v>
          </cell>
          <cell r="J129">
            <v>59.99</v>
          </cell>
          <cell r="K129">
            <v>9.99</v>
          </cell>
          <cell r="L129">
            <v>6.3368912608405603</v>
          </cell>
          <cell r="M129">
            <v>1.3639672429481347</v>
          </cell>
          <cell r="N129">
            <v>6.3685168334849855</v>
          </cell>
          <cell r="O129">
            <v>6.005005005005005</v>
          </cell>
          <cell r="P129">
            <v>0.90900818926296634</v>
          </cell>
          <cell r="Q129" t="str">
            <v>EUR</v>
          </cell>
          <cell r="R129">
            <v>94.99</v>
          </cell>
          <cell r="S129">
            <v>14.99</v>
          </cell>
          <cell r="T129">
            <v>69.989999999999995</v>
          </cell>
          <cell r="U129">
            <v>10.99</v>
          </cell>
          <cell r="V129">
            <v>59.99</v>
          </cell>
          <cell r="W129">
            <v>9.99</v>
          </cell>
        </row>
        <row r="130">
          <cell r="B130" t="str">
            <v>Luxembourg</v>
          </cell>
          <cell r="C130" t="str">
            <v>Europe</v>
          </cell>
          <cell r="E130" t="str">
            <v>EUR</v>
          </cell>
          <cell r="F130">
            <v>194.99</v>
          </cell>
          <cell r="G130">
            <v>28.99</v>
          </cell>
          <cell r="H130">
            <v>149.99</v>
          </cell>
          <cell r="I130">
            <v>21.99</v>
          </cell>
          <cell r="J130">
            <v>134.99</v>
          </cell>
          <cell r="K130">
            <v>19.989999999999998</v>
          </cell>
          <cell r="L130">
            <v>6.7261124525698524</v>
          </cell>
          <cell r="M130">
            <v>1.3183265120509322</v>
          </cell>
          <cell r="N130">
            <v>6.8208276489313331</v>
          </cell>
          <cell r="O130">
            <v>6.7528764382191104</v>
          </cell>
          <cell r="P130">
            <v>0.90904956798544789</v>
          </cell>
          <cell r="Q130" t="str">
            <v>EUR</v>
          </cell>
          <cell r="R130">
            <v>194.99</v>
          </cell>
          <cell r="S130">
            <v>28.99</v>
          </cell>
          <cell r="T130">
            <v>149.99</v>
          </cell>
          <cell r="U130">
            <v>21.99</v>
          </cell>
          <cell r="V130">
            <v>134.99</v>
          </cell>
          <cell r="W130">
            <v>19.989999999999998</v>
          </cell>
        </row>
        <row r="131">
          <cell r="B131" t="str">
            <v>Macao</v>
          </cell>
          <cell r="C131" t="str">
            <v>NBA China</v>
          </cell>
          <cell r="E131" t="str">
            <v>MOP</v>
          </cell>
          <cell r="F131">
            <v>869.99</v>
          </cell>
          <cell r="G131">
            <v>124.99</v>
          </cell>
          <cell r="H131">
            <v>629.99</v>
          </cell>
          <cell r="I131">
            <v>89.99</v>
          </cell>
          <cell r="J131">
            <v>549.99</v>
          </cell>
          <cell r="K131">
            <v>80.989999999999995</v>
          </cell>
          <cell r="L131">
            <v>6.9604768381470521</v>
          </cell>
          <cell r="M131">
            <v>1.388932103567063</v>
          </cell>
          <cell r="N131">
            <v>7.0006667407489722</v>
          </cell>
          <cell r="O131">
            <v>6.7908383751080388</v>
          </cell>
          <cell r="P131">
            <v>0.89998888765418383</v>
          </cell>
          <cell r="Q131" t="str">
            <v>MOP</v>
          </cell>
          <cell r="R131">
            <v>869.99</v>
          </cell>
          <cell r="S131">
            <v>124.99</v>
          </cell>
          <cell r="T131">
            <v>629.99</v>
          </cell>
          <cell r="U131">
            <v>89.99</v>
          </cell>
          <cell r="V131">
            <v>549.99</v>
          </cell>
          <cell r="W131">
            <v>80.989999999999995</v>
          </cell>
        </row>
        <row r="132">
          <cell r="B132" t="str">
            <v>Macedonia</v>
          </cell>
          <cell r="C132" t="str">
            <v>Europe</v>
          </cell>
          <cell r="E132" t="str">
            <v>MKD</v>
          </cell>
          <cell r="F132">
            <v>5499.99</v>
          </cell>
          <cell r="G132">
            <v>909.99</v>
          </cell>
          <cell r="H132">
            <v>3899.99</v>
          </cell>
          <cell r="I132">
            <v>649.99</v>
          </cell>
          <cell r="J132">
            <v>3509.99</v>
          </cell>
          <cell r="K132">
            <v>584.99</v>
          </cell>
          <cell r="L132">
            <v>6.044011472653545</v>
          </cell>
          <cell r="M132">
            <v>1.4000061539408299</v>
          </cell>
          <cell r="N132">
            <v>6.0000769242603731</v>
          </cell>
          <cell r="O132">
            <v>6.0000854715465213</v>
          </cell>
          <cell r="P132">
            <v>0.89999846151479257</v>
          </cell>
          <cell r="Q132" t="str">
            <v>MKD</v>
          </cell>
          <cell r="R132">
            <v>5499.99</v>
          </cell>
          <cell r="S132">
            <v>909.99</v>
          </cell>
          <cell r="T132">
            <v>3899.99</v>
          </cell>
          <cell r="U132">
            <v>649.99</v>
          </cell>
          <cell r="V132">
            <v>3509.99</v>
          </cell>
          <cell r="W132">
            <v>584.99</v>
          </cell>
        </row>
        <row r="133">
          <cell r="B133" t="str">
            <v>Madagascar</v>
          </cell>
          <cell r="C133" t="str">
            <v>Africa</v>
          </cell>
          <cell r="E133" t="str">
            <v>USD</v>
          </cell>
          <cell r="F133">
            <v>71.989999999999995</v>
          </cell>
          <cell r="G133">
            <v>11.99</v>
          </cell>
          <cell r="H133">
            <v>53.99</v>
          </cell>
          <cell r="I133">
            <v>8.99</v>
          </cell>
          <cell r="J133">
            <v>47.99</v>
          </cell>
          <cell r="K133">
            <v>7.99</v>
          </cell>
          <cell r="L133">
            <v>6.0041701417848206</v>
          </cell>
          <cell r="M133">
            <v>1.3337041156840934</v>
          </cell>
          <cell r="N133">
            <v>6.0055617352614012</v>
          </cell>
          <cell r="O133">
            <v>6.0062578222778473</v>
          </cell>
          <cell r="P133">
            <v>0.88876529477196886</v>
          </cell>
          <cell r="Q133" t="str">
            <v>USD</v>
          </cell>
          <cell r="R133">
            <v>71.989999999999995</v>
          </cell>
          <cell r="S133">
            <v>11.99</v>
          </cell>
          <cell r="T133">
            <v>53.99</v>
          </cell>
          <cell r="U133">
            <v>8.99</v>
          </cell>
          <cell r="V133">
            <v>47.99</v>
          </cell>
          <cell r="W133">
            <v>7.99</v>
          </cell>
        </row>
        <row r="134">
          <cell r="B134" t="str">
            <v>Malawi</v>
          </cell>
          <cell r="C134" t="str">
            <v>Africa</v>
          </cell>
          <cell r="E134" t="str">
            <v>MWK</v>
          </cell>
          <cell r="F134">
            <v>59129.99</v>
          </cell>
          <cell r="G134">
            <v>9854.99</v>
          </cell>
          <cell r="H134">
            <v>43799.99</v>
          </cell>
          <cell r="I134">
            <v>7299.99</v>
          </cell>
          <cell r="J134">
            <v>39419.99</v>
          </cell>
          <cell r="K134">
            <v>6569.99</v>
          </cell>
          <cell r="L134">
            <v>6.0000050735718657</v>
          </cell>
          <cell r="M134">
            <v>1.3500004794527116</v>
          </cell>
          <cell r="N134">
            <v>6.0000068493244507</v>
          </cell>
          <cell r="O134">
            <v>6.0000076103616591</v>
          </cell>
          <cell r="P134">
            <v>0.89999986301351098</v>
          </cell>
          <cell r="Q134" t="str">
            <v>MWK</v>
          </cell>
          <cell r="R134">
            <v>59129.99</v>
          </cell>
          <cell r="S134">
            <v>9854.99</v>
          </cell>
          <cell r="T134">
            <v>43799.99</v>
          </cell>
          <cell r="U134">
            <v>7299.99</v>
          </cell>
          <cell r="V134">
            <v>39419.99</v>
          </cell>
          <cell r="W134">
            <v>6569.99</v>
          </cell>
        </row>
        <row r="135">
          <cell r="B135" t="str">
            <v>Malaysia</v>
          </cell>
          <cell r="C135" t="str">
            <v>Asia</v>
          </cell>
          <cell r="E135" t="str">
            <v>MYR</v>
          </cell>
          <cell r="F135">
            <v>389.99</v>
          </cell>
          <cell r="G135">
            <v>64.989999999999995</v>
          </cell>
          <cell r="H135">
            <v>319.99</v>
          </cell>
          <cell r="I135">
            <v>45.99</v>
          </cell>
          <cell r="J135">
            <v>249.99</v>
          </cell>
          <cell r="K135">
            <v>39.99</v>
          </cell>
          <cell r="L135">
            <v>6.0007693491306364</v>
          </cell>
          <cell r="M135">
            <v>1.4131332898456184</v>
          </cell>
          <cell r="N135">
            <v>6.9578169167210264</v>
          </cell>
          <cell r="O135">
            <v>6.2513128282070518</v>
          </cell>
          <cell r="P135">
            <v>0.86953685583822571</v>
          </cell>
          <cell r="Q135" t="str">
            <v>MYR</v>
          </cell>
          <cell r="R135">
            <v>389.99</v>
          </cell>
          <cell r="S135">
            <v>64.989999999999995</v>
          </cell>
          <cell r="T135">
            <v>319.99</v>
          </cell>
          <cell r="U135">
            <v>45.99</v>
          </cell>
          <cell r="V135">
            <v>249.99</v>
          </cell>
          <cell r="W135">
            <v>39.99</v>
          </cell>
        </row>
        <row r="136">
          <cell r="B136" t="str">
            <v>Maldives</v>
          </cell>
          <cell r="C136" t="str">
            <v>Asia</v>
          </cell>
          <cell r="E136" t="str">
            <v>MVR</v>
          </cell>
          <cell r="F136">
            <v>1091.99</v>
          </cell>
          <cell r="G136">
            <v>181.99</v>
          </cell>
          <cell r="H136">
            <v>809.99</v>
          </cell>
          <cell r="I136">
            <v>134.99</v>
          </cell>
          <cell r="J136">
            <v>725.99</v>
          </cell>
          <cell r="K136">
            <v>120.99</v>
          </cell>
          <cell r="L136">
            <v>6.00027474037035</v>
          </cell>
          <cell r="M136">
            <v>1.3481739388102822</v>
          </cell>
          <cell r="N136">
            <v>6.0003703978072442</v>
          </cell>
          <cell r="O136">
            <v>6.0004132572939914</v>
          </cell>
          <cell r="P136">
            <v>0.89628861397140525</v>
          </cell>
          <cell r="Q136" t="str">
            <v>MVR</v>
          </cell>
          <cell r="R136">
            <v>1091.99</v>
          </cell>
          <cell r="S136">
            <v>181.99</v>
          </cell>
          <cell r="T136">
            <v>809.99</v>
          </cell>
          <cell r="U136">
            <v>134.99</v>
          </cell>
          <cell r="V136">
            <v>725.99</v>
          </cell>
          <cell r="W136">
            <v>120.99</v>
          </cell>
        </row>
        <row r="137">
          <cell r="B137" t="str">
            <v>Mali</v>
          </cell>
          <cell r="C137" t="str">
            <v>Africa</v>
          </cell>
          <cell r="E137" t="str">
            <v>XOF</v>
          </cell>
          <cell r="F137">
            <v>43740</v>
          </cell>
          <cell r="G137">
            <v>7290</v>
          </cell>
          <cell r="H137">
            <v>32400</v>
          </cell>
          <cell r="I137">
            <v>5400</v>
          </cell>
          <cell r="J137">
            <v>29160</v>
          </cell>
          <cell r="K137">
            <v>4860</v>
          </cell>
          <cell r="L137">
            <v>6</v>
          </cell>
          <cell r="M137">
            <v>1.35</v>
          </cell>
          <cell r="N137">
            <v>6</v>
          </cell>
          <cell r="O137">
            <v>6</v>
          </cell>
          <cell r="P137">
            <v>0.9</v>
          </cell>
          <cell r="Q137" t="str">
            <v>XOF</v>
          </cell>
          <cell r="R137">
            <v>43740</v>
          </cell>
          <cell r="S137">
            <v>7290</v>
          </cell>
          <cell r="T137">
            <v>32400</v>
          </cell>
          <cell r="U137">
            <v>5400</v>
          </cell>
          <cell r="V137">
            <v>29160</v>
          </cell>
          <cell r="W137">
            <v>4860</v>
          </cell>
        </row>
        <row r="138">
          <cell r="B138" t="str">
            <v>Malta</v>
          </cell>
          <cell r="C138" t="str">
            <v>Europe</v>
          </cell>
          <cell r="E138" t="str">
            <v>EUR</v>
          </cell>
          <cell r="F138">
            <v>129.99</v>
          </cell>
          <cell r="G138">
            <v>21.99</v>
          </cell>
          <cell r="H138">
            <v>99.99</v>
          </cell>
          <cell r="I138">
            <v>16.989999999999998</v>
          </cell>
          <cell r="J138">
            <v>89.99</v>
          </cell>
          <cell r="K138">
            <v>14.99</v>
          </cell>
          <cell r="L138">
            <v>5.9113233287858122</v>
          </cell>
          <cell r="M138">
            <v>1.2942907592701589</v>
          </cell>
          <cell r="N138">
            <v>5.8852266038846386</v>
          </cell>
          <cell r="O138">
            <v>6.0033355570380253</v>
          </cell>
          <cell r="P138">
            <v>0.88228369629193648</v>
          </cell>
          <cell r="Q138" t="str">
            <v>EUR</v>
          </cell>
          <cell r="R138">
            <v>129.99</v>
          </cell>
          <cell r="S138">
            <v>21.99</v>
          </cell>
          <cell r="T138">
            <v>99.99</v>
          </cell>
          <cell r="U138">
            <v>16.989999999999998</v>
          </cell>
          <cell r="V138">
            <v>89.99</v>
          </cell>
          <cell r="W138">
            <v>14.99</v>
          </cell>
        </row>
        <row r="139">
          <cell r="B139" t="str">
            <v>Marshall Islands</v>
          </cell>
          <cell r="C139" t="str">
            <v>Asia</v>
          </cell>
          <cell r="E139" t="str">
            <v>USD</v>
          </cell>
          <cell r="F139">
            <v>129.99</v>
          </cell>
          <cell r="G139">
            <v>18.989999999999998</v>
          </cell>
          <cell r="H139">
            <v>83.99</v>
          </cell>
          <cell r="I139">
            <v>13.99</v>
          </cell>
          <cell r="J139">
            <v>77.989999999999995</v>
          </cell>
          <cell r="K139">
            <v>12.99</v>
          </cell>
          <cell r="L139">
            <v>6.8451816745655618</v>
          </cell>
          <cell r="M139">
            <v>1.3573981415296639</v>
          </cell>
          <cell r="N139">
            <v>6.003573981415296</v>
          </cell>
          <cell r="O139">
            <v>6.0038491147036179</v>
          </cell>
          <cell r="P139">
            <v>0.9285203716940672</v>
          </cell>
          <cell r="Q139" t="str">
            <v>USD</v>
          </cell>
          <cell r="R139">
            <v>129.99</v>
          </cell>
          <cell r="S139">
            <v>18.989999999999998</v>
          </cell>
          <cell r="T139">
            <v>83.99</v>
          </cell>
          <cell r="U139">
            <v>13.99</v>
          </cell>
          <cell r="V139">
            <v>77.989999999999995</v>
          </cell>
          <cell r="W139">
            <v>12.99</v>
          </cell>
        </row>
        <row r="140">
          <cell r="B140" t="str">
            <v>Martinique</v>
          </cell>
          <cell r="C140" t="str">
            <v>Latin America</v>
          </cell>
          <cell r="E140" t="str">
            <v>EUR</v>
          </cell>
          <cell r="F140">
            <v>89.99</v>
          </cell>
          <cell r="G140">
            <v>14.99</v>
          </cell>
          <cell r="H140">
            <v>64.989999999999995</v>
          </cell>
          <cell r="I140">
            <v>10.99</v>
          </cell>
          <cell r="J140">
            <v>59.99</v>
          </cell>
          <cell r="K140">
            <v>9.99</v>
          </cell>
          <cell r="L140">
            <v>6.0033355570380253</v>
          </cell>
          <cell r="M140">
            <v>1.3639672429481347</v>
          </cell>
          <cell r="N140">
            <v>5.9135577797998176</v>
          </cell>
          <cell r="O140">
            <v>6.005005005005005</v>
          </cell>
          <cell r="P140">
            <v>0.90900818926296634</v>
          </cell>
          <cell r="Q140" t="str">
            <v>EUR</v>
          </cell>
          <cell r="R140">
            <v>89.99</v>
          </cell>
          <cell r="S140">
            <v>14.99</v>
          </cell>
          <cell r="T140">
            <v>64.989999999999995</v>
          </cell>
          <cell r="U140">
            <v>10.99</v>
          </cell>
          <cell r="V140">
            <v>59.99</v>
          </cell>
          <cell r="W140">
            <v>9.99</v>
          </cell>
        </row>
        <row r="141">
          <cell r="B141" t="str">
            <v>Mauritania</v>
          </cell>
          <cell r="C141" t="str">
            <v>Africa</v>
          </cell>
          <cell r="E141" t="str">
            <v>USD</v>
          </cell>
          <cell r="F141">
            <v>71.989999999999995</v>
          </cell>
          <cell r="G141">
            <v>11.99</v>
          </cell>
          <cell r="H141">
            <v>53.99</v>
          </cell>
          <cell r="I141">
            <v>8.99</v>
          </cell>
          <cell r="J141">
            <v>47.99</v>
          </cell>
          <cell r="K141">
            <v>7.99</v>
          </cell>
          <cell r="L141">
            <v>6.0041701417848206</v>
          </cell>
          <cell r="M141">
            <v>1.3337041156840934</v>
          </cell>
          <cell r="N141">
            <v>6.0055617352614012</v>
          </cell>
          <cell r="O141">
            <v>6.0062578222778473</v>
          </cell>
          <cell r="P141">
            <v>0.88876529477196886</v>
          </cell>
          <cell r="Q141" t="str">
            <v>USD</v>
          </cell>
          <cell r="R141">
            <v>71.989999999999995</v>
          </cell>
          <cell r="S141">
            <v>11.99</v>
          </cell>
          <cell r="T141">
            <v>53.99</v>
          </cell>
          <cell r="U141">
            <v>8.99</v>
          </cell>
          <cell r="V141">
            <v>47.99</v>
          </cell>
          <cell r="W141">
            <v>7.99</v>
          </cell>
        </row>
        <row r="142">
          <cell r="B142" t="str">
            <v>Mauritius</v>
          </cell>
          <cell r="C142" t="str">
            <v>Africa</v>
          </cell>
          <cell r="E142" t="str">
            <v>MUR</v>
          </cell>
          <cell r="F142">
            <v>2591.9899999999998</v>
          </cell>
          <cell r="G142">
            <v>431.99</v>
          </cell>
          <cell r="H142">
            <v>1919.99</v>
          </cell>
          <cell r="I142">
            <v>319.99</v>
          </cell>
          <cell r="J142">
            <v>1727.99</v>
          </cell>
          <cell r="K142">
            <v>287.99</v>
          </cell>
          <cell r="L142">
            <v>6.0001157434199861</v>
          </cell>
          <cell r="M142">
            <v>1.3500109378418075</v>
          </cell>
          <cell r="N142">
            <v>6.000156254882965</v>
          </cell>
          <cell r="O142">
            <v>6.0001736171394837</v>
          </cell>
          <cell r="P142">
            <v>0.8999968749023407</v>
          </cell>
          <cell r="Q142" t="str">
            <v>MUR</v>
          </cell>
          <cell r="R142">
            <v>2591.9899999999998</v>
          </cell>
          <cell r="S142">
            <v>431.99</v>
          </cell>
          <cell r="T142">
            <v>1919.99</v>
          </cell>
          <cell r="U142">
            <v>319.99</v>
          </cell>
          <cell r="V142">
            <v>1727.99</v>
          </cell>
          <cell r="W142">
            <v>287.99</v>
          </cell>
        </row>
        <row r="143">
          <cell r="B143" t="str">
            <v>Mayotte</v>
          </cell>
          <cell r="C143" t="str">
            <v>Africa</v>
          </cell>
          <cell r="E143" t="str">
            <v>EUR</v>
          </cell>
          <cell r="F143">
            <v>77.989999999999995</v>
          </cell>
          <cell r="G143">
            <v>12.99</v>
          </cell>
          <cell r="H143">
            <v>59.99</v>
          </cell>
          <cell r="I143">
            <v>9.99</v>
          </cell>
          <cell r="J143">
            <v>53.99</v>
          </cell>
          <cell r="K143">
            <v>8.99</v>
          </cell>
          <cell r="L143">
            <v>6.0038491147036179</v>
          </cell>
          <cell r="M143">
            <v>1.3003003003003002</v>
          </cell>
          <cell r="N143">
            <v>6.005005005005005</v>
          </cell>
          <cell r="O143">
            <v>6.0055617352614012</v>
          </cell>
          <cell r="P143">
            <v>0.89989989989989994</v>
          </cell>
          <cell r="Q143" t="str">
            <v>EUR</v>
          </cell>
          <cell r="R143">
            <v>77.989999999999995</v>
          </cell>
          <cell r="S143">
            <v>12.99</v>
          </cell>
          <cell r="T143">
            <v>59.99</v>
          </cell>
          <cell r="U143">
            <v>9.99</v>
          </cell>
          <cell r="V143">
            <v>53.99</v>
          </cell>
          <cell r="W143">
            <v>8.99</v>
          </cell>
        </row>
        <row r="144">
          <cell r="B144" t="str">
            <v>Mexico</v>
          </cell>
          <cell r="C144" t="str">
            <v>Latin America</v>
          </cell>
          <cell r="D144" t="str">
            <v>C</v>
          </cell>
          <cell r="E144" t="str">
            <v>MXN</v>
          </cell>
          <cell r="F144">
            <v>1990</v>
          </cell>
          <cell r="G144">
            <v>290</v>
          </cell>
          <cell r="H144">
            <v>1470</v>
          </cell>
          <cell r="I144">
            <v>210</v>
          </cell>
          <cell r="J144">
            <v>1330</v>
          </cell>
          <cell r="K144">
            <v>190</v>
          </cell>
          <cell r="L144">
            <v>6.8620689655172411</v>
          </cell>
          <cell r="M144">
            <v>1.3809523809523809</v>
          </cell>
          <cell r="N144">
            <v>7</v>
          </cell>
          <cell r="O144">
            <v>7</v>
          </cell>
          <cell r="P144">
            <v>0.90476190476190477</v>
          </cell>
          <cell r="Q144" t="str">
            <v>MXN</v>
          </cell>
          <cell r="R144">
            <v>1990</v>
          </cell>
          <cell r="S144">
            <v>290</v>
          </cell>
          <cell r="T144">
            <v>1470</v>
          </cell>
          <cell r="U144">
            <v>210</v>
          </cell>
          <cell r="V144">
            <v>1330</v>
          </cell>
          <cell r="W144">
            <v>190</v>
          </cell>
        </row>
        <row r="145">
          <cell r="B145" t="str">
            <v>Micronesia</v>
          </cell>
          <cell r="C145" t="str">
            <v>Asia</v>
          </cell>
          <cell r="E145" t="str">
            <v>USD</v>
          </cell>
          <cell r="F145">
            <v>129.99</v>
          </cell>
          <cell r="G145">
            <v>18.989999999999998</v>
          </cell>
          <cell r="H145">
            <v>83.99</v>
          </cell>
          <cell r="I145">
            <v>13.99</v>
          </cell>
          <cell r="J145">
            <v>77.989999999999995</v>
          </cell>
          <cell r="K145">
            <v>12.99</v>
          </cell>
          <cell r="L145">
            <v>6.8451816745655618</v>
          </cell>
          <cell r="M145">
            <v>1.3573981415296639</v>
          </cell>
          <cell r="N145">
            <v>6.003573981415296</v>
          </cell>
          <cell r="O145">
            <v>6.0038491147036179</v>
          </cell>
          <cell r="P145">
            <v>0.9285203716940672</v>
          </cell>
          <cell r="Q145" t="str">
            <v>USD</v>
          </cell>
          <cell r="R145">
            <v>129.99</v>
          </cell>
          <cell r="S145">
            <v>18.989999999999998</v>
          </cell>
          <cell r="T145">
            <v>83.99</v>
          </cell>
          <cell r="U145">
            <v>13.99</v>
          </cell>
          <cell r="V145">
            <v>77.989999999999995</v>
          </cell>
          <cell r="W145">
            <v>12.99</v>
          </cell>
        </row>
        <row r="146">
          <cell r="B146" t="str">
            <v>Moldova</v>
          </cell>
          <cell r="C146" t="str">
            <v>Europe</v>
          </cell>
          <cell r="E146" t="str">
            <v>MDL</v>
          </cell>
          <cell r="F146">
            <v>1499.99</v>
          </cell>
          <cell r="G146">
            <v>249.99</v>
          </cell>
          <cell r="H146">
            <v>1109.99</v>
          </cell>
          <cell r="I146">
            <v>184.99</v>
          </cell>
          <cell r="J146">
            <v>999.99</v>
          </cell>
          <cell r="K146">
            <v>165.99</v>
          </cell>
          <cell r="L146">
            <v>6.0002000080003199</v>
          </cell>
          <cell r="M146">
            <v>1.3513703443429375</v>
          </cell>
          <cell r="N146">
            <v>6.0002702848802638</v>
          </cell>
          <cell r="O146">
            <v>6.024399060184348</v>
          </cell>
          <cell r="P146">
            <v>0.89729174549975677</v>
          </cell>
          <cell r="Q146" t="str">
            <v>MDL</v>
          </cell>
          <cell r="R146">
            <v>1499.99</v>
          </cell>
          <cell r="S146">
            <v>249.99</v>
          </cell>
          <cell r="T146">
            <v>1109.99</v>
          </cell>
          <cell r="U146">
            <v>184.99</v>
          </cell>
          <cell r="V146">
            <v>999.99</v>
          </cell>
          <cell r="W146">
            <v>165.99</v>
          </cell>
        </row>
        <row r="147">
          <cell r="B147" t="str">
            <v>Monaco</v>
          </cell>
          <cell r="C147" t="str">
            <v>Europe</v>
          </cell>
          <cell r="E147" t="str">
            <v>EUR</v>
          </cell>
          <cell r="F147">
            <v>119.99</v>
          </cell>
          <cell r="G147">
            <v>19.989999999999998</v>
          </cell>
          <cell r="H147">
            <v>89.99</v>
          </cell>
          <cell r="I147">
            <v>14.99</v>
          </cell>
          <cell r="J147">
            <v>79.989999999999995</v>
          </cell>
          <cell r="K147">
            <v>12.99</v>
          </cell>
          <cell r="L147">
            <v>6.002501250625313</v>
          </cell>
          <cell r="M147">
            <v>1.333555703802535</v>
          </cell>
          <cell r="N147">
            <v>6.0033355570380253</v>
          </cell>
          <cell r="O147">
            <v>6.157813702848344</v>
          </cell>
          <cell r="P147">
            <v>0.86657771847898601</v>
          </cell>
          <cell r="Q147" t="str">
            <v>EUR</v>
          </cell>
          <cell r="R147">
            <v>119.99</v>
          </cell>
          <cell r="S147">
            <v>19.989999999999998</v>
          </cell>
          <cell r="T147">
            <v>89.99</v>
          </cell>
          <cell r="U147">
            <v>14.99</v>
          </cell>
          <cell r="V147">
            <v>79.989999999999995</v>
          </cell>
          <cell r="W147">
            <v>12.99</v>
          </cell>
        </row>
        <row r="148">
          <cell r="B148" t="str">
            <v>Mongolia</v>
          </cell>
          <cell r="C148" t="str">
            <v>Asia</v>
          </cell>
          <cell r="E148" t="str">
            <v>MNT</v>
          </cell>
          <cell r="F148">
            <v>245900</v>
          </cell>
          <cell r="G148">
            <v>40880</v>
          </cell>
          <cell r="H148">
            <v>175200</v>
          </cell>
          <cell r="I148">
            <v>29200</v>
          </cell>
          <cell r="J148">
            <v>157680</v>
          </cell>
          <cell r="K148">
            <v>26280</v>
          </cell>
          <cell r="L148">
            <v>6.0151663405088058</v>
          </cell>
          <cell r="M148">
            <v>1.4</v>
          </cell>
          <cell r="N148">
            <v>6</v>
          </cell>
          <cell r="O148">
            <v>6</v>
          </cell>
          <cell r="P148">
            <v>0.9</v>
          </cell>
          <cell r="Q148" t="str">
            <v>MNT</v>
          </cell>
          <cell r="R148">
            <v>245900</v>
          </cell>
          <cell r="S148">
            <v>40880</v>
          </cell>
          <cell r="T148">
            <v>175200</v>
          </cell>
          <cell r="U148">
            <v>29200</v>
          </cell>
          <cell r="V148">
            <v>157680</v>
          </cell>
          <cell r="W148">
            <v>26280</v>
          </cell>
        </row>
        <row r="149">
          <cell r="B149" t="str">
            <v>Montenegro</v>
          </cell>
          <cell r="C149" t="str">
            <v>Europe</v>
          </cell>
          <cell r="E149" t="str">
            <v>EUR</v>
          </cell>
          <cell r="F149">
            <v>79.989999999999995</v>
          </cell>
          <cell r="G149">
            <v>12.99</v>
          </cell>
          <cell r="H149">
            <v>59.99</v>
          </cell>
          <cell r="I149">
            <v>9.99</v>
          </cell>
          <cell r="J149">
            <v>49.99</v>
          </cell>
          <cell r="K149">
            <v>8.99</v>
          </cell>
          <cell r="L149">
            <v>6.157813702848344</v>
          </cell>
          <cell r="M149">
            <v>1.3003003003003002</v>
          </cell>
          <cell r="N149">
            <v>6.005005005005005</v>
          </cell>
          <cell r="O149">
            <v>5.5606229143492767</v>
          </cell>
          <cell r="P149">
            <v>0.89989989989989994</v>
          </cell>
          <cell r="Q149" t="str">
            <v>EUR</v>
          </cell>
          <cell r="R149">
            <v>79.989999999999995</v>
          </cell>
          <cell r="S149">
            <v>12.99</v>
          </cell>
          <cell r="T149">
            <v>59.99</v>
          </cell>
          <cell r="U149">
            <v>9.99</v>
          </cell>
          <cell r="V149">
            <v>49.99</v>
          </cell>
          <cell r="W149">
            <v>8.99</v>
          </cell>
        </row>
        <row r="150">
          <cell r="B150" t="str">
            <v>Montserrat</v>
          </cell>
          <cell r="C150" t="str">
            <v>Latin America</v>
          </cell>
          <cell r="E150" t="str">
            <v>XCD</v>
          </cell>
          <cell r="F150">
            <v>269.99</v>
          </cell>
          <cell r="G150">
            <v>44.99</v>
          </cell>
          <cell r="H150">
            <v>197.99</v>
          </cell>
          <cell r="I150">
            <v>32.99</v>
          </cell>
          <cell r="J150">
            <v>179.99</v>
          </cell>
          <cell r="K150">
            <v>29.99</v>
          </cell>
          <cell r="L150">
            <v>6.001111358079573</v>
          </cell>
          <cell r="M150">
            <v>1.36374658987572</v>
          </cell>
          <cell r="N150">
            <v>6.0015156107911487</v>
          </cell>
          <cell r="O150">
            <v>6.0016672224074696</v>
          </cell>
          <cell r="P150">
            <v>0.90906335253106996</v>
          </cell>
          <cell r="Q150" t="str">
            <v>XCD</v>
          </cell>
          <cell r="R150">
            <v>269.99</v>
          </cell>
          <cell r="S150">
            <v>44.99</v>
          </cell>
          <cell r="T150">
            <v>197.99</v>
          </cell>
          <cell r="U150">
            <v>32.99</v>
          </cell>
          <cell r="V150">
            <v>179.99</v>
          </cell>
          <cell r="W150">
            <v>29.99</v>
          </cell>
        </row>
        <row r="151">
          <cell r="B151" t="str">
            <v>Morocco</v>
          </cell>
          <cell r="C151" t="str">
            <v>Africa</v>
          </cell>
          <cell r="E151" t="str">
            <v>MAD</v>
          </cell>
          <cell r="F151">
            <v>720</v>
          </cell>
          <cell r="G151">
            <v>120</v>
          </cell>
          <cell r="H151">
            <v>540</v>
          </cell>
          <cell r="I151">
            <v>90</v>
          </cell>
          <cell r="J151">
            <v>480</v>
          </cell>
          <cell r="K151">
            <v>80</v>
          </cell>
          <cell r="L151">
            <v>6</v>
          </cell>
          <cell r="M151">
            <v>1.3333333333333333</v>
          </cell>
          <cell r="N151">
            <v>6</v>
          </cell>
          <cell r="O151">
            <v>6</v>
          </cell>
          <cell r="P151">
            <v>0.88888888888888884</v>
          </cell>
          <cell r="Q151" t="str">
            <v>MAD</v>
          </cell>
          <cell r="R151">
            <v>720</v>
          </cell>
          <cell r="S151">
            <v>120</v>
          </cell>
          <cell r="T151">
            <v>540</v>
          </cell>
          <cell r="U151">
            <v>90</v>
          </cell>
          <cell r="V151">
            <v>480</v>
          </cell>
          <cell r="W151">
            <v>80</v>
          </cell>
        </row>
        <row r="152">
          <cell r="B152" t="str">
            <v>Mozambique</v>
          </cell>
          <cell r="C152" t="str">
            <v>Africa</v>
          </cell>
          <cell r="E152" t="str">
            <v>USD</v>
          </cell>
          <cell r="F152">
            <v>71.989999999999995</v>
          </cell>
          <cell r="G152">
            <v>11.99</v>
          </cell>
          <cell r="H152">
            <v>53.99</v>
          </cell>
          <cell r="I152">
            <v>8.99</v>
          </cell>
          <cell r="J152">
            <v>47.99</v>
          </cell>
          <cell r="K152">
            <v>7.99</v>
          </cell>
          <cell r="L152">
            <v>6.0041701417848206</v>
          </cell>
          <cell r="M152">
            <v>1.3337041156840934</v>
          </cell>
          <cell r="N152">
            <v>6.0055617352614012</v>
          </cell>
          <cell r="O152">
            <v>6.0062578222778473</v>
          </cell>
          <cell r="P152">
            <v>0.88876529477196886</v>
          </cell>
          <cell r="Q152" t="str">
            <v>USD</v>
          </cell>
          <cell r="R152">
            <v>71.989999999999995</v>
          </cell>
          <cell r="S152">
            <v>11.99</v>
          </cell>
          <cell r="T152">
            <v>53.99</v>
          </cell>
          <cell r="U152">
            <v>8.99</v>
          </cell>
          <cell r="V152">
            <v>47.99</v>
          </cell>
          <cell r="W152">
            <v>7.99</v>
          </cell>
        </row>
        <row r="153">
          <cell r="B153" t="str">
            <v>Myanmar</v>
          </cell>
          <cell r="C153" t="str">
            <v>Asia</v>
          </cell>
          <cell r="E153" t="str">
            <v>MMK</v>
          </cell>
          <cell r="F153">
            <v>129600</v>
          </cell>
          <cell r="G153">
            <v>21600</v>
          </cell>
          <cell r="H153">
            <v>96000</v>
          </cell>
          <cell r="I153">
            <v>16000</v>
          </cell>
          <cell r="J153">
            <v>86400</v>
          </cell>
          <cell r="K153">
            <v>14399.99</v>
          </cell>
          <cell r="L153">
            <v>6</v>
          </cell>
          <cell r="M153">
            <v>1.35</v>
          </cell>
          <cell r="N153">
            <v>6</v>
          </cell>
          <cell r="O153">
            <v>6.0000041666695605</v>
          </cell>
          <cell r="P153">
            <v>0.89999937499999993</v>
          </cell>
          <cell r="Q153" t="str">
            <v>MMK</v>
          </cell>
          <cell r="R153">
            <v>129600</v>
          </cell>
          <cell r="S153">
            <v>21600</v>
          </cell>
          <cell r="T153">
            <v>96000</v>
          </cell>
          <cell r="U153">
            <v>16000</v>
          </cell>
          <cell r="V153">
            <v>86400</v>
          </cell>
          <cell r="W153">
            <v>14399.99</v>
          </cell>
        </row>
        <row r="154">
          <cell r="B154" t="str">
            <v>Namibia</v>
          </cell>
          <cell r="C154" t="str">
            <v>Africa</v>
          </cell>
          <cell r="E154" t="str">
            <v>NAD</v>
          </cell>
          <cell r="F154">
            <v>851.99</v>
          </cell>
          <cell r="G154">
            <v>141.99</v>
          </cell>
          <cell r="H154">
            <v>629.99</v>
          </cell>
          <cell r="I154">
            <v>104.99</v>
          </cell>
          <cell r="J154">
            <v>563.99</v>
          </cell>
          <cell r="K154">
            <v>93.99</v>
          </cell>
          <cell r="L154">
            <v>6.0003521374744695</v>
          </cell>
          <cell r="M154">
            <v>1.3524145156681591</v>
          </cell>
          <cell r="N154">
            <v>6.0004762358319841</v>
          </cell>
          <cell r="O154">
            <v>6.0005319714863283</v>
          </cell>
          <cell r="P154">
            <v>0.89522811696352034</v>
          </cell>
          <cell r="Q154" t="str">
            <v>NAD</v>
          </cell>
          <cell r="R154">
            <v>851.99</v>
          </cell>
          <cell r="S154">
            <v>141.99</v>
          </cell>
          <cell r="T154">
            <v>629.99</v>
          </cell>
          <cell r="U154">
            <v>104.99</v>
          </cell>
          <cell r="V154">
            <v>563.99</v>
          </cell>
          <cell r="W154">
            <v>93.99</v>
          </cell>
        </row>
        <row r="155">
          <cell r="B155" t="str">
            <v>Nauru</v>
          </cell>
          <cell r="C155" t="str">
            <v>Asia</v>
          </cell>
          <cell r="E155" t="str">
            <v>AUD</v>
          </cell>
          <cell r="F155">
            <v>107.99</v>
          </cell>
          <cell r="G155">
            <v>17.989999999999998</v>
          </cell>
          <cell r="H155">
            <v>77.989999999999995</v>
          </cell>
          <cell r="I155">
            <v>12.99</v>
          </cell>
          <cell r="J155">
            <v>71.989999999999995</v>
          </cell>
          <cell r="K155">
            <v>11.99</v>
          </cell>
          <cell r="L155">
            <v>6.0027793218454697</v>
          </cell>
          <cell r="M155">
            <v>1.3849114703618166</v>
          </cell>
          <cell r="N155">
            <v>6.0038491147036179</v>
          </cell>
          <cell r="O155">
            <v>6.0041701417848206</v>
          </cell>
          <cell r="P155">
            <v>0.92301770592763666</v>
          </cell>
          <cell r="Q155" t="str">
            <v>AUD</v>
          </cell>
          <cell r="R155">
            <v>107.99</v>
          </cell>
          <cell r="S155">
            <v>17.989999999999998</v>
          </cell>
          <cell r="T155">
            <v>77.989999999999995</v>
          </cell>
          <cell r="U155">
            <v>12.99</v>
          </cell>
          <cell r="V155">
            <v>71.989999999999995</v>
          </cell>
          <cell r="W155">
            <v>11.99</v>
          </cell>
        </row>
        <row r="156">
          <cell r="B156" t="str">
            <v>Nepal</v>
          </cell>
          <cell r="C156" t="str">
            <v>Asia</v>
          </cell>
          <cell r="E156" t="str">
            <v>NPR</v>
          </cell>
          <cell r="F156">
            <v>9719.99</v>
          </cell>
          <cell r="G156">
            <v>1619.99</v>
          </cell>
          <cell r="H156">
            <v>7199.99</v>
          </cell>
          <cell r="I156">
            <v>1199.99</v>
          </cell>
          <cell r="J156">
            <v>6479.99</v>
          </cell>
          <cell r="K156">
            <v>1079.99</v>
          </cell>
          <cell r="L156">
            <v>6.0000308643880516</v>
          </cell>
          <cell r="M156">
            <v>1.3500029166909724</v>
          </cell>
          <cell r="N156">
            <v>6.0000416670138916</v>
          </cell>
          <cell r="O156">
            <v>6.0000462967249693</v>
          </cell>
          <cell r="P156">
            <v>0.89999916665972213</v>
          </cell>
          <cell r="Q156" t="str">
            <v>NPR</v>
          </cell>
          <cell r="R156">
            <v>9719.99</v>
          </cell>
          <cell r="S156">
            <v>1619.99</v>
          </cell>
          <cell r="T156">
            <v>7199.99</v>
          </cell>
          <cell r="U156">
            <v>1199.99</v>
          </cell>
          <cell r="V156">
            <v>6479.99</v>
          </cell>
          <cell r="W156">
            <v>1079.99</v>
          </cell>
        </row>
        <row r="157">
          <cell r="B157" t="str">
            <v>Netherlands</v>
          </cell>
          <cell r="C157" t="str">
            <v>Europe</v>
          </cell>
          <cell r="D157" t="str">
            <v>E~</v>
          </cell>
          <cell r="E157" t="str">
            <v>EUR</v>
          </cell>
          <cell r="F157">
            <v>149.99</v>
          </cell>
          <cell r="G157">
            <v>22.99</v>
          </cell>
          <cell r="H157">
            <v>109.99</v>
          </cell>
          <cell r="I157">
            <v>16.989999999999998</v>
          </cell>
          <cell r="J157">
            <v>94.99</v>
          </cell>
          <cell r="K157">
            <v>14.99</v>
          </cell>
          <cell r="L157">
            <v>6.5241409308394962</v>
          </cell>
          <cell r="M157">
            <v>1.3531489111241908</v>
          </cell>
          <cell r="N157">
            <v>6.4738081224249564</v>
          </cell>
          <cell r="O157">
            <v>6.3368912608405603</v>
          </cell>
          <cell r="P157">
            <v>0.88228369629193648</v>
          </cell>
          <cell r="Q157" t="str">
            <v>EUR</v>
          </cell>
          <cell r="R157">
            <v>149.99</v>
          </cell>
          <cell r="S157">
            <v>22.99</v>
          </cell>
          <cell r="T157">
            <v>109.99</v>
          </cell>
          <cell r="U157">
            <v>16.989999999999998</v>
          </cell>
          <cell r="V157">
            <v>94.99</v>
          </cell>
          <cell r="W157">
            <v>14.99</v>
          </cell>
        </row>
        <row r="158">
          <cell r="B158" t="str">
            <v>Netherlands Antilles</v>
          </cell>
          <cell r="C158" t="str">
            <v>Latin America</v>
          </cell>
          <cell r="D158"/>
          <cell r="E158" t="str">
            <v>ANG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str">
            <v>ANG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New Caledonia</v>
          </cell>
          <cell r="C159" t="str">
            <v>Asia</v>
          </cell>
          <cell r="E159" t="str">
            <v>XPF</v>
          </cell>
          <cell r="F159">
            <v>8100</v>
          </cell>
          <cell r="G159">
            <v>1350</v>
          </cell>
          <cell r="H159">
            <v>6000</v>
          </cell>
          <cell r="I159">
            <v>1000</v>
          </cell>
          <cell r="J159">
            <v>5400</v>
          </cell>
          <cell r="K159">
            <v>900</v>
          </cell>
          <cell r="L159">
            <v>6</v>
          </cell>
          <cell r="M159">
            <v>1.35</v>
          </cell>
          <cell r="N159">
            <v>6</v>
          </cell>
          <cell r="O159">
            <v>6</v>
          </cell>
          <cell r="P159">
            <v>0.9</v>
          </cell>
          <cell r="Q159" t="str">
            <v>XPF</v>
          </cell>
          <cell r="R159">
            <v>8100</v>
          </cell>
          <cell r="S159">
            <v>1350</v>
          </cell>
          <cell r="T159">
            <v>6000</v>
          </cell>
          <cell r="U159">
            <v>1000</v>
          </cell>
          <cell r="V159">
            <v>5400</v>
          </cell>
          <cell r="W159">
            <v>900</v>
          </cell>
        </row>
        <row r="160">
          <cell r="B160" t="str">
            <v>New Zealand</v>
          </cell>
          <cell r="C160" t="str">
            <v>Asia</v>
          </cell>
          <cell r="D160" t="str">
            <v>B</v>
          </cell>
          <cell r="E160" t="str">
            <v>NZD</v>
          </cell>
          <cell r="F160">
            <v>219.99</v>
          </cell>
          <cell r="G160">
            <v>33.99</v>
          </cell>
          <cell r="H160">
            <v>159.99</v>
          </cell>
          <cell r="I160">
            <v>24.99</v>
          </cell>
          <cell r="J160">
            <v>144.99</v>
          </cell>
          <cell r="K160">
            <v>21.99</v>
          </cell>
          <cell r="L160">
            <v>6.4721977052074138</v>
          </cell>
          <cell r="M160">
            <v>1.3601440576230495</v>
          </cell>
          <cell r="N160">
            <v>6.4021608643457393</v>
          </cell>
          <cell r="O160">
            <v>6.5934515688949533</v>
          </cell>
          <cell r="P160">
            <v>0.87995198079231696</v>
          </cell>
          <cell r="Q160" t="str">
            <v>NZD</v>
          </cell>
          <cell r="R160">
            <v>219.99</v>
          </cell>
          <cell r="S160">
            <v>33.99</v>
          </cell>
          <cell r="T160">
            <v>159.99</v>
          </cell>
          <cell r="U160">
            <v>24.99</v>
          </cell>
          <cell r="V160">
            <v>144.99</v>
          </cell>
          <cell r="W160">
            <v>21.99</v>
          </cell>
        </row>
        <row r="161">
          <cell r="B161" t="str">
            <v>Nicaragua</v>
          </cell>
          <cell r="C161" t="str">
            <v>Latin America</v>
          </cell>
          <cell r="E161" t="str">
            <v>NIO</v>
          </cell>
          <cell r="F161">
            <v>2993.99</v>
          </cell>
          <cell r="G161">
            <v>498.99</v>
          </cell>
          <cell r="H161">
            <v>2219.9899999999998</v>
          </cell>
          <cell r="I161">
            <v>369.99</v>
          </cell>
          <cell r="J161">
            <v>1997.99</v>
          </cell>
          <cell r="K161">
            <v>332.99</v>
          </cell>
          <cell r="L161">
            <v>6.0001002024088654</v>
          </cell>
          <cell r="M161">
            <v>1.3486580718397794</v>
          </cell>
          <cell r="N161">
            <v>6.0001351387875337</v>
          </cell>
          <cell r="O161">
            <v>6.0001501546592992</v>
          </cell>
          <cell r="P161">
            <v>0.89999729722424926</v>
          </cell>
          <cell r="Q161" t="str">
            <v>NIO</v>
          </cell>
          <cell r="R161">
            <v>2993.99</v>
          </cell>
          <cell r="S161">
            <v>498.99</v>
          </cell>
          <cell r="T161">
            <v>2219.9899999999998</v>
          </cell>
          <cell r="U161">
            <v>369.99</v>
          </cell>
          <cell r="V161">
            <v>1997.99</v>
          </cell>
          <cell r="W161">
            <v>332.99</v>
          </cell>
        </row>
        <row r="162">
          <cell r="B162" t="str">
            <v>Niger</v>
          </cell>
          <cell r="C162" t="str">
            <v>Africa</v>
          </cell>
          <cell r="E162" t="str">
            <v>XOF</v>
          </cell>
          <cell r="F162">
            <v>43740</v>
          </cell>
          <cell r="G162">
            <v>7290</v>
          </cell>
          <cell r="H162">
            <v>32400</v>
          </cell>
          <cell r="I162">
            <v>5400</v>
          </cell>
          <cell r="J162">
            <v>29160</v>
          </cell>
          <cell r="K162">
            <v>4860</v>
          </cell>
          <cell r="L162">
            <v>6</v>
          </cell>
          <cell r="M162">
            <v>1.35</v>
          </cell>
          <cell r="N162">
            <v>6</v>
          </cell>
          <cell r="O162">
            <v>6</v>
          </cell>
          <cell r="P162">
            <v>0.9</v>
          </cell>
          <cell r="Q162" t="str">
            <v>XOF</v>
          </cell>
          <cell r="R162">
            <v>43740</v>
          </cell>
          <cell r="S162">
            <v>7290</v>
          </cell>
          <cell r="T162">
            <v>32400</v>
          </cell>
          <cell r="U162">
            <v>5400</v>
          </cell>
          <cell r="V162">
            <v>29160</v>
          </cell>
          <cell r="W162">
            <v>4860</v>
          </cell>
        </row>
        <row r="163">
          <cell r="B163" t="str">
            <v>Nigeria</v>
          </cell>
          <cell r="C163" t="str">
            <v>Africa</v>
          </cell>
          <cell r="E163" t="str">
            <v>NGN</v>
          </cell>
          <cell r="F163">
            <v>34900</v>
          </cell>
          <cell r="G163">
            <v>5800</v>
          </cell>
          <cell r="H163">
            <v>25900</v>
          </cell>
          <cell r="I163">
            <v>4300</v>
          </cell>
          <cell r="J163">
            <v>23500</v>
          </cell>
          <cell r="K163">
            <v>3900</v>
          </cell>
          <cell r="L163">
            <v>6.0172413793103452</v>
          </cell>
          <cell r="M163">
            <v>1.3488372093023255</v>
          </cell>
          <cell r="N163">
            <v>6.0232558139534884</v>
          </cell>
          <cell r="O163">
            <v>6.0256410256410255</v>
          </cell>
          <cell r="P163">
            <v>0.90697674418604646</v>
          </cell>
          <cell r="Q163" t="str">
            <v>NGN</v>
          </cell>
          <cell r="R163">
            <v>46900</v>
          </cell>
          <cell r="S163">
            <v>7900</v>
          </cell>
          <cell r="T163">
            <v>34900</v>
          </cell>
          <cell r="U163">
            <v>5900</v>
          </cell>
          <cell r="V163">
            <v>31900</v>
          </cell>
          <cell r="W163">
            <v>5400</v>
          </cell>
        </row>
        <row r="164">
          <cell r="B164" t="str">
            <v>Niue</v>
          </cell>
          <cell r="C164" t="str">
            <v>Asia</v>
          </cell>
          <cell r="E164" t="str">
            <v>NZD</v>
          </cell>
          <cell r="F164">
            <v>203.99</v>
          </cell>
          <cell r="G164">
            <v>33.99</v>
          </cell>
          <cell r="H164">
            <v>149.99</v>
          </cell>
          <cell r="I164">
            <v>24.99</v>
          </cell>
          <cell r="J164">
            <v>144.99</v>
          </cell>
          <cell r="K164">
            <v>21.99</v>
          </cell>
          <cell r="L164">
            <v>6.0014710208884967</v>
          </cell>
          <cell r="M164">
            <v>1.3601440576230495</v>
          </cell>
          <cell r="N164">
            <v>6.0020008003201291</v>
          </cell>
          <cell r="O164">
            <v>6.5934515688949533</v>
          </cell>
          <cell r="P164">
            <v>0.87995198079231696</v>
          </cell>
          <cell r="Q164" t="str">
            <v>NZD</v>
          </cell>
          <cell r="R164">
            <v>203.99</v>
          </cell>
          <cell r="S164">
            <v>33.99</v>
          </cell>
          <cell r="T164">
            <v>149.99</v>
          </cell>
          <cell r="U164">
            <v>24.99</v>
          </cell>
          <cell r="V164">
            <v>144.99</v>
          </cell>
          <cell r="W164">
            <v>21.99</v>
          </cell>
        </row>
        <row r="165">
          <cell r="B165" t="str">
            <v>Norfolk Island</v>
          </cell>
          <cell r="C165" t="str">
            <v>Asia</v>
          </cell>
          <cell r="E165" t="str">
            <v>AUD</v>
          </cell>
          <cell r="F165">
            <v>161.99</v>
          </cell>
          <cell r="G165">
            <v>26.99</v>
          </cell>
          <cell r="H165">
            <v>119.99</v>
          </cell>
          <cell r="I165">
            <v>19.989999999999998</v>
          </cell>
          <cell r="J165">
            <v>107.99</v>
          </cell>
          <cell r="K165">
            <v>17.989999999999998</v>
          </cell>
          <cell r="L165">
            <v>6.0018525379770296</v>
          </cell>
          <cell r="M165">
            <v>1.3501750875437719</v>
          </cell>
          <cell r="N165">
            <v>6.002501250625313</v>
          </cell>
          <cell r="O165">
            <v>6.0027793218454697</v>
          </cell>
          <cell r="P165">
            <v>0.89994997498749374</v>
          </cell>
          <cell r="Q165" t="str">
            <v>AUD</v>
          </cell>
          <cell r="R165">
            <v>161.99</v>
          </cell>
          <cell r="S165">
            <v>26.99</v>
          </cell>
          <cell r="T165">
            <v>119.99</v>
          </cell>
          <cell r="U165">
            <v>19.989999999999998</v>
          </cell>
          <cell r="V165">
            <v>107.99</v>
          </cell>
          <cell r="W165">
            <v>17.989999999999998</v>
          </cell>
        </row>
        <row r="166">
          <cell r="B166" t="str">
            <v>Northern Mariana Islands</v>
          </cell>
          <cell r="C166" t="str">
            <v>Asia</v>
          </cell>
          <cell r="E166" t="str">
            <v>USD</v>
          </cell>
          <cell r="F166">
            <v>129.99</v>
          </cell>
          <cell r="G166">
            <v>18.989999999999998</v>
          </cell>
          <cell r="H166">
            <v>83.99</v>
          </cell>
          <cell r="I166">
            <v>13.99</v>
          </cell>
          <cell r="J166">
            <v>77.989999999999995</v>
          </cell>
          <cell r="K166">
            <v>12.99</v>
          </cell>
          <cell r="L166">
            <v>6.8451816745655618</v>
          </cell>
          <cell r="M166">
            <v>1.3573981415296639</v>
          </cell>
          <cell r="N166">
            <v>6.003573981415296</v>
          </cell>
          <cell r="O166">
            <v>6.0038491147036179</v>
          </cell>
          <cell r="P166">
            <v>0.9285203716940672</v>
          </cell>
          <cell r="Q166" t="str">
            <v>USD</v>
          </cell>
          <cell r="R166">
            <v>129.99</v>
          </cell>
          <cell r="S166">
            <v>18.989999999999998</v>
          </cell>
          <cell r="T166">
            <v>83.99</v>
          </cell>
          <cell r="U166">
            <v>13.99</v>
          </cell>
          <cell r="V166">
            <v>77.989999999999995</v>
          </cell>
          <cell r="W166">
            <v>12.99</v>
          </cell>
        </row>
        <row r="167">
          <cell r="B167" t="str">
            <v>North Korea</v>
          </cell>
          <cell r="C167" t="str">
            <v>Asia</v>
          </cell>
          <cell r="D167"/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/>
          <cell r="M167"/>
          <cell r="N167"/>
          <cell r="O167"/>
          <cell r="P167"/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</row>
        <row r="168">
          <cell r="B168" t="str">
            <v>Norway</v>
          </cell>
          <cell r="C168" t="str">
            <v>Europe</v>
          </cell>
          <cell r="E168" t="str">
            <v>NOK</v>
          </cell>
          <cell r="F168">
            <v>1399.99</v>
          </cell>
          <cell r="G168">
            <v>209.99</v>
          </cell>
          <cell r="H168">
            <v>999.99</v>
          </cell>
          <cell r="I168">
            <v>149.99</v>
          </cell>
          <cell r="J168">
            <v>979.99</v>
          </cell>
          <cell r="K168">
            <v>139.99</v>
          </cell>
          <cell r="L168">
            <v>6.6669365207867042</v>
          </cell>
          <cell r="M168">
            <v>1.400026668444563</v>
          </cell>
          <cell r="N168">
            <v>6.6670444696313087</v>
          </cell>
          <cell r="O168">
            <v>7.0004286020430024</v>
          </cell>
          <cell r="P168">
            <v>0.93332888859257279</v>
          </cell>
          <cell r="Q168" t="str">
            <v>NOK</v>
          </cell>
          <cell r="R168">
            <v>1399.99</v>
          </cell>
          <cell r="S168">
            <v>209.99</v>
          </cell>
          <cell r="T168">
            <v>999.99</v>
          </cell>
          <cell r="U168">
            <v>149.99</v>
          </cell>
          <cell r="V168">
            <v>979.99</v>
          </cell>
          <cell r="W168">
            <v>139.99</v>
          </cell>
        </row>
        <row r="169">
          <cell r="B169" t="str">
            <v>Oman</v>
          </cell>
          <cell r="C169" t="str">
            <v>Middle East</v>
          </cell>
          <cell r="E169" t="str">
            <v>OMR</v>
          </cell>
          <cell r="F169">
            <v>29.998999999999999</v>
          </cell>
          <cell r="G169">
            <v>4.9989999999999997</v>
          </cell>
          <cell r="H169">
            <v>23.998999999999999</v>
          </cell>
          <cell r="I169">
            <v>3.9990000000000001</v>
          </cell>
          <cell r="J169">
            <v>17.998999999999999</v>
          </cell>
          <cell r="K169">
            <v>2.9990000000000001</v>
          </cell>
          <cell r="L169">
            <v>6.001000200040008</v>
          </cell>
          <cell r="M169">
            <v>1.2500625156289071</v>
          </cell>
          <cell r="N169">
            <v>6.0012503125781445</v>
          </cell>
          <cell r="O169">
            <v>6.0016672224074687</v>
          </cell>
          <cell r="P169">
            <v>0.74993748437109276</v>
          </cell>
          <cell r="Q169" t="str">
            <v>OMR</v>
          </cell>
          <cell r="R169">
            <v>29.998999999999999</v>
          </cell>
          <cell r="S169">
            <v>4.9989999999999997</v>
          </cell>
          <cell r="T169">
            <v>23.998999999999999</v>
          </cell>
          <cell r="U169">
            <v>3.9990000000000001</v>
          </cell>
          <cell r="V169">
            <v>17.998999999999999</v>
          </cell>
          <cell r="W169">
            <v>2.9990000000000001</v>
          </cell>
        </row>
        <row r="170">
          <cell r="B170" t="str">
            <v>Pakistan</v>
          </cell>
          <cell r="C170" t="str">
            <v>Asia</v>
          </cell>
          <cell r="E170" t="str">
            <v>PKR</v>
          </cell>
          <cell r="F170">
            <v>12180</v>
          </cell>
          <cell r="G170">
            <v>2030</v>
          </cell>
          <cell r="H170">
            <v>9000</v>
          </cell>
          <cell r="I170">
            <v>1500</v>
          </cell>
          <cell r="J170">
            <v>8100</v>
          </cell>
          <cell r="K170">
            <v>1350</v>
          </cell>
          <cell r="L170">
            <v>6</v>
          </cell>
          <cell r="M170">
            <v>1.3533333333333333</v>
          </cell>
          <cell r="N170">
            <v>6</v>
          </cell>
          <cell r="O170">
            <v>6</v>
          </cell>
          <cell r="P170">
            <v>0.9</v>
          </cell>
          <cell r="Q170" t="str">
            <v>PKR</v>
          </cell>
          <cell r="R170">
            <v>12180</v>
          </cell>
          <cell r="S170">
            <v>2030</v>
          </cell>
          <cell r="T170">
            <v>9000</v>
          </cell>
          <cell r="U170">
            <v>1500</v>
          </cell>
          <cell r="V170">
            <v>8100</v>
          </cell>
          <cell r="W170">
            <v>1350</v>
          </cell>
        </row>
        <row r="171">
          <cell r="B171" t="str">
            <v>Palau</v>
          </cell>
          <cell r="C171" t="str">
            <v>Asia</v>
          </cell>
          <cell r="E171" t="str">
            <v>USD</v>
          </cell>
          <cell r="F171">
            <v>129.99</v>
          </cell>
          <cell r="G171">
            <v>18.989999999999998</v>
          </cell>
          <cell r="H171">
            <v>83.99</v>
          </cell>
          <cell r="I171">
            <v>13.99</v>
          </cell>
          <cell r="J171">
            <v>77.989999999999995</v>
          </cell>
          <cell r="K171">
            <v>12.99</v>
          </cell>
          <cell r="L171">
            <v>6.8451816745655618</v>
          </cell>
          <cell r="M171">
            <v>1.3573981415296639</v>
          </cell>
          <cell r="N171">
            <v>6.003573981415296</v>
          </cell>
          <cell r="O171">
            <v>6.0038491147036179</v>
          </cell>
          <cell r="P171">
            <v>0.9285203716940672</v>
          </cell>
          <cell r="Q171" t="str">
            <v>USD</v>
          </cell>
          <cell r="R171">
            <v>129.99</v>
          </cell>
          <cell r="S171">
            <v>18.989999999999998</v>
          </cell>
          <cell r="T171">
            <v>83.99</v>
          </cell>
          <cell r="U171">
            <v>13.99</v>
          </cell>
          <cell r="V171">
            <v>77.989999999999995</v>
          </cell>
          <cell r="W171">
            <v>12.99</v>
          </cell>
        </row>
        <row r="172">
          <cell r="B172" t="str">
            <v>Palestinian Territory</v>
          </cell>
          <cell r="C172" t="str">
            <v>Middle East</v>
          </cell>
          <cell r="E172" t="str">
            <v>ILS</v>
          </cell>
          <cell r="F172">
            <v>239.99</v>
          </cell>
          <cell r="G172">
            <v>39.99</v>
          </cell>
          <cell r="H172">
            <v>179.99</v>
          </cell>
          <cell r="I172">
            <v>29.99</v>
          </cell>
          <cell r="J172">
            <v>159.99</v>
          </cell>
          <cell r="K172">
            <v>26.99</v>
          </cell>
          <cell r="L172">
            <v>6.0012503125781445</v>
          </cell>
          <cell r="M172">
            <v>1.3334444814938313</v>
          </cell>
          <cell r="N172">
            <v>6.0016672224074696</v>
          </cell>
          <cell r="O172">
            <v>5.9277510188958882</v>
          </cell>
          <cell r="P172">
            <v>0.89996665555185063</v>
          </cell>
          <cell r="Q172" t="str">
            <v>ILS</v>
          </cell>
          <cell r="R172">
            <v>239.99</v>
          </cell>
          <cell r="S172">
            <v>39.99</v>
          </cell>
          <cell r="T172">
            <v>179.99</v>
          </cell>
          <cell r="U172">
            <v>29.99</v>
          </cell>
          <cell r="V172">
            <v>159.99</v>
          </cell>
          <cell r="W172">
            <v>26.99</v>
          </cell>
        </row>
        <row r="173">
          <cell r="B173" t="str">
            <v>Panama</v>
          </cell>
          <cell r="C173" t="str">
            <v>Latin America</v>
          </cell>
          <cell r="E173" t="str">
            <v>USD</v>
          </cell>
          <cell r="F173">
            <v>113.99</v>
          </cell>
          <cell r="G173">
            <v>18.989999999999998</v>
          </cell>
          <cell r="H173">
            <v>83.99</v>
          </cell>
          <cell r="I173">
            <v>13.99</v>
          </cell>
          <cell r="J173">
            <v>77.989999999999995</v>
          </cell>
          <cell r="K173">
            <v>12.99</v>
          </cell>
          <cell r="L173">
            <v>6.0026329647182726</v>
          </cell>
          <cell r="M173">
            <v>1.3573981415296639</v>
          </cell>
          <cell r="N173">
            <v>6.003573981415296</v>
          </cell>
          <cell r="O173">
            <v>6.0038491147036179</v>
          </cell>
          <cell r="P173">
            <v>0.9285203716940672</v>
          </cell>
          <cell r="Q173" t="str">
            <v>USD</v>
          </cell>
          <cell r="R173">
            <v>113.99</v>
          </cell>
          <cell r="S173">
            <v>18.989999999999998</v>
          </cell>
          <cell r="T173">
            <v>83.99</v>
          </cell>
          <cell r="U173">
            <v>13.99</v>
          </cell>
          <cell r="V173">
            <v>77.989999999999995</v>
          </cell>
          <cell r="W173">
            <v>12.99</v>
          </cell>
        </row>
        <row r="174">
          <cell r="B174" t="str">
            <v>Papua New Guinea</v>
          </cell>
          <cell r="C174" t="str">
            <v>Asia</v>
          </cell>
          <cell r="E174" t="str">
            <v>PGK</v>
          </cell>
          <cell r="F174">
            <v>239.99</v>
          </cell>
          <cell r="G174">
            <v>39.99</v>
          </cell>
          <cell r="H174">
            <v>179.99</v>
          </cell>
          <cell r="I174">
            <v>29.99</v>
          </cell>
          <cell r="J174">
            <v>161.99</v>
          </cell>
          <cell r="K174">
            <v>26.99</v>
          </cell>
          <cell r="L174">
            <v>6.0012503125781445</v>
          </cell>
          <cell r="M174">
            <v>1.3334444814938313</v>
          </cell>
          <cell r="N174">
            <v>6.0016672224074696</v>
          </cell>
          <cell r="O174">
            <v>6.0018525379770296</v>
          </cell>
          <cell r="P174">
            <v>0.89996665555185063</v>
          </cell>
          <cell r="Q174" t="str">
            <v>PGK</v>
          </cell>
          <cell r="R174">
            <v>239.99</v>
          </cell>
          <cell r="S174">
            <v>39.99</v>
          </cell>
          <cell r="T174">
            <v>179.99</v>
          </cell>
          <cell r="U174">
            <v>29.99</v>
          </cell>
          <cell r="V174">
            <v>161.99</v>
          </cell>
          <cell r="W174">
            <v>26.99</v>
          </cell>
        </row>
        <row r="175">
          <cell r="B175" t="str">
            <v>Paraguay</v>
          </cell>
          <cell r="C175" t="str">
            <v>Latin America</v>
          </cell>
          <cell r="E175" t="str">
            <v>PYG</v>
          </cell>
          <cell r="F175">
            <v>557280</v>
          </cell>
          <cell r="G175">
            <v>92880</v>
          </cell>
          <cell r="H175">
            <v>412800</v>
          </cell>
          <cell r="I175">
            <v>68800</v>
          </cell>
          <cell r="J175">
            <v>371520</v>
          </cell>
          <cell r="K175">
            <v>61920</v>
          </cell>
          <cell r="L175">
            <v>6</v>
          </cell>
          <cell r="M175">
            <v>1.35</v>
          </cell>
          <cell r="N175">
            <v>6</v>
          </cell>
          <cell r="O175">
            <v>6</v>
          </cell>
          <cell r="P175">
            <v>0.9</v>
          </cell>
          <cell r="Q175" t="str">
            <v>PYG</v>
          </cell>
          <cell r="R175">
            <v>557280</v>
          </cell>
          <cell r="S175">
            <v>92880</v>
          </cell>
          <cell r="T175">
            <v>412800</v>
          </cell>
          <cell r="U175">
            <v>68800</v>
          </cell>
          <cell r="V175">
            <v>371520</v>
          </cell>
          <cell r="W175">
            <v>61920</v>
          </cell>
        </row>
        <row r="176">
          <cell r="B176" t="str">
            <v>Peru</v>
          </cell>
          <cell r="C176" t="str">
            <v>Latin America</v>
          </cell>
          <cell r="E176" t="str">
            <v>PEN</v>
          </cell>
          <cell r="F176">
            <v>377.99</v>
          </cell>
          <cell r="G176">
            <v>62.99</v>
          </cell>
          <cell r="H176">
            <v>281.99</v>
          </cell>
          <cell r="I176">
            <v>46.99</v>
          </cell>
          <cell r="J176">
            <v>251.99</v>
          </cell>
          <cell r="K176">
            <v>41.99</v>
          </cell>
          <cell r="L176">
            <v>6.0007937767899664</v>
          </cell>
          <cell r="M176">
            <v>1.3404979782932538</v>
          </cell>
          <cell r="N176">
            <v>6.001064056182166</v>
          </cell>
          <cell r="O176">
            <v>6.0011907597046914</v>
          </cell>
          <cell r="P176">
            <v>0.89359438178335815</v>
          </cell>
          <cell r="Q176" t="str">
            <v>PEN</v>
          </cell>
          <cell r="R176">
            <v>377.99</v>
          </cell>
          <cell r="S176">
            <v>62.99</v>
          </cell>
          <cell r="T176">
            <v>281.99</v>
          </cell>
          <cell r="U176">
            <v>46.99</v>
          </cell>
          <cell r="V176">
            <v>251.99</v>
          </cell>
          <cell r="W176">
            <v>41.99</v>
          </cell>
        </row>
        <row r="177">
          <cell r="B177" t="str">
            <v>Philippines</v>
          </cell>
          <cell r="C177" t="str">
            <v>Asia</v>
          </cell>
          <cell r="D177" t="str">
            <v>C</v>
          </cell>
          <cell r="E177" t="str">
            <v>PHP</v>
          </cell>
          <cell r="F177">
            <v>4499</v>
          </cell>
          <cell r="G177">
            <v>749</v>
          </cell>
          <cell r="H177">
            <v>3499</v>
          </cell>
          <cell r="I177">
            <v>499</v>
          </cell>
          <cell r="J177">
            <v>2899</v>
          </cell>
          <cell r="K177">
            <v>449</v>
          </cell>
          <cell r="L177">
            <v>6.0066755674232306</v>
          </cell>
          <cell r="M177">
            <v>1.5010020040080161</v>
          </cell>
          <cell r="N177">
            <v>7.0120240480961922</v>
          </cell>
          <cell r="O177">
            <v>6.4565701559020043</v>
          </cell>
          <cell r="P177">
            <v>0.8997995991983968</v>
          </cell>
          <cell r="Q177" t="str">
            <v>PHP</v>
          </cell>
          <cell r="R177">
            <v>5039</v>
          </cell>
          <cell r="S177">
            <v>839</v>
          </cell>
          <cell r="T177">
            <v>3919</v>
          </cell>
          <cell r="U177">
            <v>559</v>
          </cell>
          <cell r="V177">
            <v>3249</v>
          </cell>
          <cell r="W177">
            <v>499</v>
          </cell>
        </row>
        <row r="178">
          <cell r="B178" t="str">
            <v>Pitcairn Island</v>
          </cell>
          <cell r="C178" t="str">
            <v>Asia</v>
          </cell>
          <cell r="E178" t="str">
            <v>NZD</v>
          </cell>
          <cell r="F178">
            <v>113.99</v>
          </cell>
          <cell r="G178">
            <v>18.989999999999998</v>
          </cell>
          <cell r="H178">
            <v>83.99</v>
          </cell>
          <cell r="I178">
            <v>13.99</v>
          </cell>
          <cell r="J178">
            <v>77.989999999999995</v>
          </cell>
          <cell r="K178">
            <v>12.99</v>
          </cell>
          <cell r="L178">
            <v>6.0026329647182726</v>
          </cell>
          <cell r="M178">
            <v>1.3573981415296639</v>
          </cell>
          <cell r="N178">
            <v>6.003573981415296</v>
          </cell>
          <cell r="O178">
            <v>6.0038491147036179</v>
          </cell>
          <cell r="P178">
            <v>0.9285203716940672</v>
          </cell>
          <cell r="Q178" t="str">
            <v>NZD</v>
          </cell>
          <cell r="R178">
            <v>113.99</v>
          </cell>
          <cell r="S178">
            <v>18.989999999999998</v>
          </cell>
          <cell r="T178">
            <v>83.99</v>
          </cell>
          <cell r="U178">
            <v>13.99</v>
          </cell>
          <cell r="V178">
            <v>77.989999999999995</v>
          </cell>
          <cell r="W178">
            <v>12.99</v>
          </cell>
        </row>
        <row r="179">
          <cell r="B179" t="str">
            <v>Poland</v>
          </cell>
          <cell r="C179" t="str">
            <v>Europe</v>
          </cell>
          <cell r="D179" t="str">
            <v>E~</v>
          </cell>
          <cell r="E179" t="str">
            <v>PLN</v>
          </cell>
          <cell r="F179">
            <v>539.99</v>
          </cell>
          <cell r="G179">
            <v>82.99</v>
          </cell>
          <cell r="H179">
            <v>399.99</v>
          </cell>
          <cell r="I179">
            <v>61.99</v>
          </cell>
          <cell r="J179">
            <v>354.99</v>
          </cell>
          <cell r="K179">
            <v>54.99</v>
          </cell>
          <cell r="L179">
            <v>6.506687552717195</v>
          </cell>
          <cell r="M179">
            <v>1.3387643168252943</v>
          </cell>
          <cell r="N179">
            <v>6.4524923374737861</v>
          </cell>
          <cell r="O179">
            <v>6.4555373704309877</v>
          </cell>
          <cell r="P179">
            <v>0.88707856105823524</v>
          </cell>
          <cell r="Q179" t="str">
            <v>PLN</v>
          </cell>
          <cell r="R179">
            <v>539.99</v>
          </cell>
          <cell r="S179">
            <v>82.99</v>
          </cell>
          <cell r="T179">
            <v>399.99</v>
          </cell>
          <cell r="U179">
            <v>61.99</v>
          </cell>
          <cell r="V179">
            <v>354.99</v>
          </cell>
          <cell r="W179">
            <v>54.99</v>
          </cell>
        </row>
        <row r="180">
          <cell r="B180" t="str">
            <v>Portugal</v>
          </cell>
          <cell r="C180" t="str">
            <v>Europe</v>
          </cell>
          <cell r="E180" t="str">
            <v>EUR</v>
          </cell>
          <cell r="F180">
            <v>129.99</v>
          </cell>
          <cell r="G180">
            <v>19.989999999999998</v>
          </cell>
          <cell r="H180">
            <v>97.99</v>
          </cell>
          <cell r="I180">
            <v>14.99</v>
          </cell>
          <cell r="J180">
            <v>84.99</v>
          </cell>
          <cell r="K180">
            <v>12.99</v>
          </cell>
          <cell r="L180">
            <v>6.5027513756878452</v>
          </cell>
          <cell r="M180">
            <v>1.333555703802535</v>
          </cell>
          <cell r="N180">
            <v>6.5370246831220813</v>
          </cell>
          <cell r="O180">
            <v>6.5427251732101608</v>
          </cell>
          <cell r="P180">
            <v>0.86657771847898601</v>
          </cell>
          <cell r="Q180" t="str">
            <v>EUR</v>
          </cell>
          <cell r="R180">
            <v>129.99</v>
          </cell>
          <cell r="S180">
            <v>19.989999999999998</v>
          </cell>
          <cell r="T180">
            <v>97.99</v>
          </cell>
          <cell r="U180">
            <v>14.99</v>
          </cell>
          <cell r="V180">
            <v>84.99</v>
          </cell>
          <cell r="W180">
            <v>12.99</v>
          </cell>
        </row>
        <row r="181">
          <cell r="B181" t="str">
            <v>Qatar</v>
          </cell>
          <cell r="C181" t="str">
            <v>Middle East</v>
          </cell>
          <cell r="E181" t="str">
            <v>QAR</v>
          </cell>
          <cell r="F181">
            <v>679.99</v>
          </cell>
          <cell r="G181">
            <v>96.99</v>
          </cell>
          <cell r="H181">
            <v>524.99</v>
          </cell>
          <cell r="I181">
            <v>74.989999999999995</v>
          </cell>
          <cell r="J181">
            <v>469.99</v>
          </cell>
          <cell r="K181">
            <v>66.989999999999995</v>
          </cell>
          <cell r="L181">
            <v>7.0109289617486343</v>
          </cell>
          <cell r="M181">
            <v>1.2933724496599546</v>
          </cell>
          <cell r="N181">
            <v>7.0008001066808916</v>
          </cell>
          <cell r="O181">
            <v>7.0158232572025678</v>
          </cell>
          <cell r="P181">
            <v>0.89331910921456192</v>
          </cell>
          <cell r="Q181" t="str">
            <v>QAR</v>
          </cell>
          <cell r="R181">
            <v>679.99</v>
          </cell>
          <cell r="S181">
            <v>96.99</v>
          </cell>
          <cell r="T181">
            <v>524.99</v>
          </cell>
          <cell r="U181">
            <v>74.989999999999995</v>
          </cell>
          <cell r="V181">
            <v>469.99</v>
          </cell>
          <cell r="W181">
            <v>66.989999999999995</v>
          </cell>
        </row>
        <row r="182">
          <cell r="B182" t="str">
            <v>Reunion</v>
          </cell>
          <cell r="C182" t="str">
            <v>Africa</v>
          </cell>
          <cell r="E182" t="str">
            <v>EUR</v>
          </cell>
          <cell r="F182">
            <v>77.989999999999995</v>
          </cell>
          <cell r="G182">
            <v>12.99</v>
          </cell>
          <cell r="H182">
            <v>59.99</v>
          </cell>
          <cell r="I182">
            <v>9.99</v>
          </cell>
          <cell r="J182">
            <v>53.99</v>
          </cell>
          <cell r="K182">
            <v>8.99</v>
          </cell>
          <cell r="L182">
            <v>6.0038491147036179</v>
          </cell>
          <cell r="M182">
            <v>1.3003003003003002</v>
          </cell>
          <cell r="N182">
            <v>6.005005005005005</v>
          </cell>
          <cell r="O182">
            <v>6.0055617352614012</v>
          </cell>
          <cell r="P182">
            <v>0.89989989989989994</v>
          </cell>
          <cell r="Q182" t="str">
            <v>EUR</v>
          </cell>
          <cell r="R182">
            <v>77.989999999999995</v>
          </cell>
          <cell r="S182">
            <v>12.99</v>
          </cell>
          <cell r="T182">
            <v>59.99</v>
          </cell>
          <cell r="U182">
            <v>9.99</v>
          </cell>
          <cell r="V182">
            <v>53.99</v>
          </cell>
          <cell r="W182">
            <v>8.99</v>
          </cell>
        </row>
        <row r="183">
          <cell r="B183" t="str">
            <v>Romania</v>
          </cell>
          <cell r="C183" t="str">
            <v>Europe</v>
          </cell>
          <cell r="E183" t="str">
            <v>RON</v>
          </cell>
          <cell r="F183">
            <v>549.99</v>
          </cell>
          <cell r="G183">
            <v>81.99</v>
          </cell>
          <cell r="H183">
            <v>394.99</v>
          </cell>
          <cell r="I183">
            <v>58.99</v>
          </cell>
          <cell r="J183">
            <v>354.99</v>
          </cell>
          <cell r="K183">
            <v>52.99</v>
          </cell>
          <cell r="L183">
            <v>6.7080131723380907</v>
          </cell>
          <cell r="M183">
            <v>1.3898965926428206</v>
          </cell>
          <cell r="N183">
            <v>6.6958806577385994</v>
          </cell>
          <cell r="O183">
            <v>6.6991885261370072</v>
          </cell>
          <cell r="P183">
            <v>0.89828784539752504</v>
          </cell>
          <cell r="Q183" t="str">
            <v>RON</v>
          </cell>
          <cell r="R183">
            <v>549.99</v>
          </cell>
          <cell r="S183">
            <v>81.99</v>
          </cell>
          <cell r="T183">
            <v>394.99</v>
          </cell>
          <cell r="U183">
            <v>58.99</v>
          </cell>
          <cell r="V183">
            <v>354.99</v>
          </cell>
          <cell r="W183">
            <v>52.99</v>
          </cell>
        </row>
        <row r="184">
          <cell r="B184" t="str">
            <v>Russia</v>
          </cell>
          <cell r="C184" t="str">
            <v>Europe</v>
          </cell>
          <cell r="D184"/>
          <cell r="E184" t="str">
            <v>RUB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/>
          <cell r="M184"/>
          <cell r="N184"/>
          <cell r="O184"/>
          <cell r="P184"/>
          <cell r="Q184" t="str">
            <v>RUB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</row>
        <row r="185">
          <cell r="B185" t="str">
            <v>Rwanda</v>
          </cell>
          <cell r="C185" t="str">
            <v>Africa</v>
          </cell>
          <cell r="E185" t="str">
            <v>RWF</v>
          </cell>
          <cell r="F185">
            <v>81000</v>
          </cell>
          <cell r="G185">
            <v>13500</v>
          </cell>
          <cell r="H185">
            <v>60000</v>
          </cell>
          <cell r="I185">
            <v>10000</v>
          </cell>
          <cell r="J185">
            <v>54000</v>
          </cell>
          <cell r="K185">
            <v>9000</v>
          </cell>
          <cell r="L185">
            <v>6</v>
          </cell>
          <cell r="M185">
            <v>1.35</v>
          </cell>
          <cell r="N185">
            <v>6</v>
          </cell>
          <cell r="O185">
            <v>6</v>
          </cell>
          <cell r="P185">
            <v>0.9</v>
          </cell>
          <cell r="Q185" t="str">
            <v>RWF</v>
          </cell>
          <cell r="R185">
            <v>81000</v>
          </cell>
          <cell r="S185">
            <v>13500</v>
          </cell>
          <cell r="T185">
            <v>60000</v>
          </cell>
          <cell r="U185">
            <v>10000</v>
          </cell>
          <cell r="V185">
            <v>54000</v>
          </cell>
          <cell r="W185">
            <v>9000</v>
          </cell>
        </row>
        <row r="186">
          <cell r="B186" t="str">
            <v>Saint Martin (French Part)</v>
          </cell>
          <cell r="C186" t="str">
            <v>Latin America</v>
          </cell>
          <cell r="E186" t="str">
            <v>EUR</v>
          </cell>
          <cell r="F186">
            <v>89.99</v>
          </cell>
          <cell r="G186">
            <v>14.99</v>
          </cell>
          <cell r="H186">
            <v>65.989999999999995</v>
          </cell>
          <cell r="I186">
            <v>10.99</v>
          </cell>
          <cell r="J186">
            <v>59.99</v>
          </cell>
          <cell r="K186">
            <v>9.99</v>
          </cell>
          <cell r="L186">
            <v>6.0033355570380253</v>
          </cell>
          <cell r="M186">
            <v>1.3639672429481347</v>
          </cell>
          <cell r="N186">
            <v>6.0045495905368513</v>
          </cell>
          <cell r="O186">
            <v>6.005005005005005</v>
          </cell>
          <cell r="P186">
            <v>0.90900818926296634</v>
          </cell>
          <cell r="Q186" t="str">
            <v>EUR</v>
          </cell>
          <cell r="R186">
            <v>89.99</v>
          </cell>
          <cell r="S186">
            <v>14.99</v>
          </cell>
          <cell r="T186">
            <v>65.989999999999995</v>
          </cell>
          <cell r="U186">
            <v>10.99</v>
          </cell>
          <cell r="V186">
            <v>59.99</v>
          </cell>
          <cell r="W186">
            <v>9.99</v>
          </cell>
        </row>
        <row r="187">
          <cell r="B187" t="str">
            <v>Samoa</v>
          </cell>
          <cell r="C187" t="str">
            <v>Asia</v>
          </cell>
          <cell r="E187" t="str">
            <v>WST</v>
          </cell>
          <cell r="F187">
            <v>161.99</v>
          </cell>
          <cell r="G187">
            <v>26.99</v>
          </cell>
          <cell r="H187">
            <v>119.99</v>
          </cell>
          <cell r="I187">
            <v>19.989999999999998</v>
          </cell>
          <cell r="J187">
            <v>107.99</v>
          </cell>
          <cell r="K187">
            <v>17.989999999999998</v>
          </cell>
          <cell r="L187">
            <v>6.0018525379770296</v>
          </cell>
          <cell r="M187">
            <v>1.3501750875437719</v>
          </cell>
          <cell r="N187">
            <v>6.002501250625313</v>
          </cell>
          <cell r="O187">
            <v>6.0027793218454697</v>
          </cell>
          <cell r="P187">
            <v>0.89994997498749374</v>
          </cell>
          <cell r="Q187" t="str">
            <v>WST</v>
          </cell>
          <cell r="R187">
            <v>161.99</v>
          </cell>
          <cell r="S187">
            <v>26.99</v>
          </cell>
          <cell r="T187">
            <v>119.99</v>
          </cell>
          <cell r="U187">
            <v>19.989999999999998</v>
          </cell>
          <cell r="V187">
            <v>107.99</v>
          </cell>
          <cell r="W187">
            <v>17.989999999999998</v>
          </cell>
        </row>
        <row r="188">
          <cell r="B188" t="str">
            <v>San Marino</v>
          </cell>
          <cell r="C188" t="str">
            <v>Europe</v>
          </cell>
          <cell r="E188" t="str">
            <v>EUR</v>
          </cell>
          <cell r="F188">
            <v>159.99</v>
          </cell>
          <cell r="G188">
            <v>22.99</v>
          </cell>
          <cell r="H188">
            <v>109.99</v>
          </cell>
          <cell r="I188">
            <v>17.989999999999998</v>
          </cell>
          <cell r="J188">
            <v>99.99</v>
          </cell>
          <cell r="K188">
            <v>15.99</v>
          </cell>
          <cell r="L188">
            <v>6.9591126576772515</v>
          </cell>
          <cell r="M188">
            <v>1.2779321845469707</v>
          </cell>
          <cell r="N188">
            <v>6.1139521956642584</v>
          </cell>
          <cell r="O188">
            <v>6.2532833020637897</v>
          </cell>
          <cell r="P188">
            <v>0.88882712618121185</v>
          </cell>
          <cell r="Q188" t="str">
            <v>EUR</v>
          </cell>
          <cell r="R188">
            <v>159.99</v>
          </cell>
          <cell r="S188">
            <v>22.99</v>
          </cell>
          <cell r="T188">
            <v>109.99</v>
          </cell>
          <cell r="U188">
            <v>17.989999999999998</v>
          </cell>
          <cell r="V188">
            <v>99.99</v>
          </cell>
          <cell r="W188">
            <v>15.99</v>
          </cell>
        </row>
        <row r="189">
          <cell r="B189" t="str">
            <v>Sao Tome And Principe</v>
          </cell>
          <cell r="C189" t="str">
            <v>Africa</v>
          </cell>
          <cell r="E189" t="str">
            <v>USD</v>
          </cell>
          <cell r="F189">
            <v>77.989999999999995</v>
          </cell>
          <cell r="G189">
            <v>12.99</v>
          </cell>
          <cell r="H189">
            <v>59.99</v>
          </cell>
          <cell r="I189">
            <v>9.99</v>
          </cell>
          <cell r="J189">
            <v>53.99</v>
          </cell>
          <cell r="K189">
            <v>8.99</v>
          </cell>
          <cell r="L189">
            <v>6.0038491147036179</v>
          </cell>
          <cell r="M189">
            <v>1.3003003003003002</v>
          </cell>
          <cell r="N189">
            <v>6.005005005005005</v>
          </cell>
          <cell r="O189">
            <v>6.0055617352614012</v>
          </cell>
          <cell r="P189">
            <v>0.89989989989989994</v>
          </cell>
          <cell r="Q189" t="str">
            <v>USD</v>
          </cell>
          <cell r="R189">
            <v>77.989999999999995</v>
          </cell>
          <cell r="S189">
            <v>12.99</v>
          </cell>
          <cell r="T189">
            <v>59.99</v>
          </cell>
          <cell r="U189">
            <v>9.99</v>
          </cell>
          <cell r="V189">
            <v>53.99</v>
          </cell>
          <cell r="W189">
            <v>8.99</v>
          </cell>
        </row>
        <row r="190">
          <cell r="B190" t="str">
            <v>Saudi Arabia</v>
          </cell>
          <cell r="C190" t="str">
            <v>Middle East</v>
          </cell>
          <cell r="E190" t="str">
            <v>SAR</v>
          </cell>
          <cell r="F190">
            <v>526.99</v>
          </cell>
          <cell r="G190">
            <v>84.99</v>
          </cell>
          <cell r="H190">
            <v>384.99</v>
          </cell>
          <cell r="I190">
            <v>61.99</v>
          </cell>
          <cell r="J190">
            <v>334.99</v>
          </cell>
          <cell r="K190">
            <v>53.99</v>
          </cell>
          <cell r="L190">
            <v>6.2006118366866696</v>
          </cell>
          <cell r="M190">
            <v>1.3710275850943698</v>
          </cell>
          <cell r="N190">
            <v>6.2105178254557183</v>
          </cell>
          <cell r="O190">
            <v>6.2046675310242634</v>
          </cell>
          <cell r="P190">
            <v>0.87094692692369735</v>
          </cell>
          <cell r="Q190" t="str">
            <v>SAR</v>
          </cell>
          <cell r="R190">
            <v>526.99</v>
          </cell>
          <cell r="S190">
            <v>84.99</v>
          </cell>
          <cell r="T190">
            <v>384.99</v>
          </cell>
          <cell r="U190">
            <v>61.99</v>
          </cell>
          <cell r="V190">
            <v>334.99</v>
          </cell>
          <cell r="W190">
            <v>53.99</v>
          </cell>
        </row>
        <row r="191">
          <cell r="B191" t="str">
            <v>Senegal</v>
          </cell>
          <cell r="C191" t="str">
            <v>Africa</v>
          </cell>
          <cell r="E191" t="str">
            <v>XOF</v>
          </cell>
          <cell r="F191">
            <v>43740</v>
          </cell>
          <cell r="G191">
            <v>7290</v>
          </cell>
          <cell r="H191">
            <v>32400</v>
          </cell>
          <cell r="I191">
            <v>5400</v>
          </cell>
          <cell r="J191">
            <v>29160</v>
          </cell>
          <cell r="K191">
            <v>4860</v>
          </cell>
          <cell r="L191">
            <v>6</v>
          </cell>
          <cell r="M191">
            <v>1.35</v>
          </cell>
          <cell r="N191">
            <v>6</v>
          </cell>
          <cell r="O191">
            <v>6</v>
          </cell>
          <cell r="P191">
            <v>0.9</v>
          </cell>
          <cell r="Q191" t="str">
            <v>XOF</v>
          </cell>
          <cell r="R191">
            <v>43740</v>
          </cell>
          <cell r="S191">
            <v>7290</v>
          </cell>
          <cell r="T191">
            <v>32400</v>
          </cell>
          <cell r="U191">
            <v>5400</v>
          </cell>
          <cell r="V191">
            <v>29160</v>
          </cell>
          <cell r="W191">
            <v>4860</v>
          </cell>
        </row>
        <row r="192">
          <cell r="B192" t="str">
            <v>Serbia</v>
          </cell>
          <cell r="C192" t="str">
            <v>Europe</v>
          </cell>
          <cell r="E192" t="str">
            <v>RSD</v>
          </cell>
          <cell r="F192">
            <v>10309.99</v>
          </cell>
          <cell r="G192">
            <v>1649.99</v>
          </cell>
          <cell r="H192">
            <v>7499.99</v>
          </cell>
          <cell r="I192">
            <v>1199.99</v>
          </cell>
          <cell r="J192">
            <v>6749.99</v>
          </cell>
          <cell r="K192">
            <v>1079.99</v>
          </cell>
          <cell r="L192">
            <v>6.2485166576767126</v>
          </cell>
          <cell r="M192">
            <v>1.3750031250260419</v>
          </cell>
          <cell r="N192">
            <v>6.2500437503645863</v>
          </cell>
          <cell r="O192">
            <v>6.2500486115612182</v>
          </cell>
          <cell r="P192">
            <v>0.89999916665972213</v>
          </cell>
          <cell r="Q192" t="str">
            <v>RSD</v>
          </cell>
          <cell r="R192">
            <v>10309.99</v>
          </cell>
          <cell r="S192">
            <v>1649.99</v>
          </cell>
          <cell r="T192">
            <v>7499.99</v>
          </cell>
          <cell r="U192">
            <v>1199.99</v>
          </cell>
          <cell r="V192">
            <v>6749.99</v>
          </cell>
          <cell r="W192">
            <v>1079.99</v>
          </cell>
        </row>
        <row r="193">
          <cell r="B193" t="str">
            <v>Seychelles</v>
          </cell>
          <cell r="C193" t="str">
            <v>Africa</v>
          </cell>
          <cell r="E193" t="str">
            <v>SCR</v>
          </cell>
          <cell r="F193">
            <v>809.99</v>
          </cell>
          <cell r="G193">
            <v>134.99</v>
          </cell>
          <cell r="H193">
            <v>599.99</v>
          </cell>
          <cell r="I193">
            <v>99.99</v>
          </cell>
          <cell r="J193">
            <v>539.99</v>
          </cell>
          <cell r="K193">
            <v>89.99</v>
          </cell>
          <cell r="L193">
            <v>6.0003703978072442</v>
          </cell>
          <cell r="M193">
            <v>1.3500350035003501</v>
          </cell>
          <cell r="N193">
            <v>6.0005000500050008</v>
          </cell>
          <cell r="O193">
            <v>6.0005556172908108</v>
          </cell>
          <cell r="P193">
            <v>0.89998999899989995</v>
          </cell>
          <cell r="Q193" t="str">
            <v>SCR</v>
          </cell>
          <cell r="R193">
            <v>809.99</v>
          </cell>
          <cell r="S193">
            <v>134.99</v>
          </cell>
          <cell r="T193">
            <v>599.99</v>
          </cell>
          <cell r="U193">
            <v>99.99</v>
          </cell>
          <cell r="V193">
            <v>539.99</v>
          </cell>
          <cell r="W193">
            <v>89.99</v>
          </cell>
        </row>
        <row r="194">
          <cell r="B194" t="str">
            <v>Sierra Leone</v>
          </cell>
          <cell r="C194" t="str">
            <v>Africa</v>
          </cell>
          <cell r="E194" t="str">
            <v>SLL</v>
          </cell>
          <cell r="F194">
            <v>792180</v>
          </cell>
          <cell r="G194">
            <v>132030</v>
          </cell>
          <cell r="H194">
            <v>586800</v>
          </cell>
          <cell r="I194">
            <v>97800</v>
          </cell>
          <cell r="J194">
            <v>528120</v>
          </cell>
          <cell r="K194">
            <v>88020</v>
          </cell>
          <cell r="L194">
            <v>6</v>
          </cell>
          <cell r="M194">
            <v>1.35</v>
          </cell>
          <cell r="N194">
            <v>6</v>
          </cell>
          <cell r="O194">
            <v>6</v>
          </cell>
          <cell r="P194">
            <v>0.9</v>
          </cell>
          <cell r="Q194" t="str">
            <v>SLL</v>
          </cell>
          <cell r="R194">
            <v>792180</v>
          </cell>
          <cell r="S194">
            <v>132030</v>
          </cell>
          <cell r="T194">
            <v>586800</v>
          </cell>
          <cell r="U194">
            <v>97800</v>
          </cell>
          <cell r="V194">
            <v>528120</v>
          </cell>
          <cell r="W194">
            <v>88020</v>
          </cell>
        </row>
        <row r="195">
          <cell r="B195" t="str">
            <v>Singapore</v>
          </cell>
          <cell r="C195" t="str">
            <v>Asia</v>
          </cell>
          <cell r="D195" t="str">
            <v>E~</v>
          </cell>
          <cell r="E195" t="str">
            <v>SGD</v>
          </cell>
          <cell r="F195">
            <v>184.99</v>
          </cell>
          <cell r="G195">
            <v>26.984999999999999</v>
          </cell>
          <cell r="H195">
            <v>124.99</v>
          </cell>
          <cell r="I195">
            <v>17.989999999999998</v>
          </cell>
          <cell r="J195">
            <v>104.99</v>
          </cell>
          <cell r="K195">
            <v>14.99</v>
          </cell>
          <cell r="L195">
            <v>6.8552899759125445</v>
          </cell>
          <cell r="M195">
            <v>1.5</v>
          </cell>
          <cell r="N195">
            <v>6.9477487493051697</v>
          </cell>
          <cell r="O195">
            <v>7.0040026684456302</v>
          </cell>
          <cell r="P195">
            <v>0.83324068927181771</v>
          </cell>
          <cell r="Q195" t="str">
            <v>SGD</v>
          </cell>
          <cell r="R195">
            <v>184.99</v>
          </cell>
          <cell r="S195">
            <v>26.984999999999999</v>
          </cell>
          <cell r="T195">
            <v>124.99</v>
          </cell>
          <cell r="U195">
            <v>17.989999999999998</v>
          </cell>
          <cell r="V195">
            <v>104.99</v>
          </cell>
          <cell r="W195">
            <v>14.99</v>
          </cell>
        </row>
        <row r="196">
          <cell r="B196" t="str">
            <v>Sint Maarten (Dutch Part)</v>
          </cell>
          <cell r="C196" t="str">
            <v>Latin America</v>
          </cell>
          <cell r="E196" t="str">
            <v>ANG</v>
          </cell>
          <cell r="F196">
            <v>169.99</v>
          </cell>
          <cell r="G196">
            <v>24.99</v>
          </cell>
          <cell r="H196">
            <v>124.99</v>
          </cell>
          <cell r="I196">
            <v>19.989999999999998</v>
          </cell>
          <cell r="J196">
            <v>114.99</v>
          </cell>
          <cell r="K196">
            <v>18.989999999999998</v>
          </cell>
          <cell r="L196">
            <v>6.8023209283713495</v>
          </cell>
          <cell r="M196">
            <v>1.2501250625312657</v>
          </cell>
          <cell r="N196">
            <v>6.2526263131565782</v>
          </cell>
          <cell r="O196">
            <v>6.0552922590837284</v>
          </cell>
          <cell r="P196">
            <v>0.94997498749374687</v>
          </cell>
          <cell r="Q196" t="str">
            <v>ANG</v>
          </cell>
          <cell r="R196">
            <v>169.99</v>
          </cell>
          <cell r="S196">
            <v>24.99</v>
          </cell>
          <cell r="T196">
            <v>124.99</v>
          </cell>
          <cell r="U196">
            <v>19.989999999999998</v>
          </cell>
          <cell r="V196">
            <v>114.99</v>
          </cell>
          <cell r="W196">
            <v>18.989999999999998</v>
          </cell>
        </row>
        <row r="197">
          <cell r="B197" t="str">
            <v>Slovakia</v>
          </cell>
          <cell r="C197" t="str">
            <v>Europe</v>
          </cell>
          <cell r="E197" t="str">
            <v>EUR</v>
          </cell>
          <cell r="F197">
            <v>94.99</v>
          </cell>
          <cell r="G197">
            <v>14.99</v>
          </cell>
          <cell r="H197">
            <v>69.989999999999995</v>
          </cell>
          <cell r="I197">
            <v>10.99</v>
          </cell>
          <cell r="J197">
            <v>59.99</v>
          </cell>
          <cell r="K197">
            <v>9.99</v>
          </cell>
          <cell r="L197">
            <v>6.3368912608405603</v>
          </cell>
          <cell r="M197">
            <v>1.3639672429481347</v>
          </cell>
          <cell r="N197">
            <v>6.3685168334849855</v>
          </cell>
          <cell r="O197">
            <v>6.005005005005005</v>
          </cell>
          <cell r="P197">
            <v>0.90900818926296634</v>
          </cell>
          <cell r="Q197" t="str">
            <v>EUR</v>
          </cell>
          <cell r="R197">
            <v>94.99</v>
          </cell>
          <cell r="S197">
            <v>14.99</v>
          </cell>
          <cell r="T197">
            <v>69.989999999999995</v>
          </cell>
          <cell r="U197">
            <v>10.99</v>
          </cell>
          <cell r="V197">
            <v>59.99</v>
          </cell>
          <cell r="W197">
            <v>9.99</v>
          </cell>
        </row>
        <row r="198">
          <cell r="B198" t="str">
            <v>Slovenia</v>
          </cell>
          <cell r="C198" t="str">
            <v>Europe</v>
          </cell>
          <cell r="E198" t="str">
            <v>EUR</v>
          </cell>
          <cell r="F198">
            <v>121.99</v>
          </cell>
          <cell r="G198">
            <v>18.989999999999998</v>
          </cell>
          <cell r="H198">
            <v>89.99</v>
          </cell>
          <cell r="I198">
            <v>13.99</v>
          </cell>
          <cell r="J198">
            <v>79.989999999999995</v>
          </cell>
          <cell r="K198">
            <v>12.99</v>
          </cell>
          <cell r="L198">
            <v>6.4239073196419172</v>
          </cell>
          <cell r="M198">
            <v>1.3573981415296639</v>
          </cell>
          <cell r="N198">
            <v>6.432451751250893</v>
          </cell>
          <cell r="O198">
            <v>6.157813702848344</v>
          </cell>
          <cell r="P198">
            <v>0.9285203716940672</v>
          </cell>
          <cell r="Q198" t="str">
            <v>EUR</v>
          </cell>
          <cell r="R198">
            <v>121.99</v>
          </cell>
          <cell r="S198">
            <v>18.989999999999998</v>
          </cell>
          <cell r="T198">
            <v>89.99</v>
          </cell>
          <cell r="U198">
            <v>13.99</v>
          </cell>
          <cell r="V198">
            <v>79.989999999999995</v>
          </cell>
          <cell r="W198">
            <v>12.99</v>
          </cell>
        </row>
        <row r="199">
          <cell r="B199" t="str">
            <v>Solomon Islands</v>
          </cell>
          <cell r="C199" t="str">
            <v>Asia</v>
          </cell>
          <cell r="E199" t="str">
            <v>SBD</v>
          </cell>
          <cell r="F199">
            <v>563.99</v>
          </cell>
          <cell r="G199">
            <v>93.99</v>
          </cell>
          <cell r="H199">
            <v>419.99</v>
          </cell>
          <cell r="I199">
            <v>69.989999999999995</v>
          </cell>
          <cell r="J199">
            <v>377.99</v>
          </cell>
          <cell r="K199">
            <v>62.99</v>
          </cell>
          <cell r="L199">
            <v>6.0005319714863283</v>
          </cell>
          <cell r="M199">
            <v>1.3429061294470639</v>
          </cell>
          <cell r="N199">
            <v>6.0007143877696816</v>
          </cell>
          <cell r="O199">
            <v>6.0007937767899664</v>
          </cell>
          <cell r="P199">
            <v>0.89998571224460644</v>
          </cell>
          <cell r="Q199" t="str">
            <v>SBD</v>
          </cell>
          <cell r="R199">
            <v>563.99</v>
          </cell>
          <cell r="S199">
            <v>93.99</v>
          </cell>
          <cell r="T199">
            <v>419.99</v>
          </cell>
          <cell r="U199">
            <v>69.989999999999995</v>
          </cell>
          <cell r="V199">
            <v>377.99</v>
          </cell>
          <cell r="W199">
            <v>62.99</v>
          </cell>
        </row>
        <row r="200">
          <cell r="B200" t="str">
            <v>Somalia</v>
          </cell>
          <cell r="C200" t="str">
            <v>Africa</v>
          </cell>
          <cell r="E200" t="str">
            <v>SOS</v>
          </cell>
          <cell r="F200">
            <v>33889.99</v>
          </cell>
          <cell r="G200">
            <v>5649.99</v>
          </cell>
          <cell r="H200">
            <v>25039.99</v>
          </cell>
          <cell r="I200">
            <v>4174.99</v>
          </cell>
          <cell r="J200">
            <v>22549.99</v>
          </cell>
          <cell r="K200">
            <v>3754.99</v>
          </cell>
          <cell r="L200">
            <v>5.9982389349361682</v>
          </cell>
          <cell r="M200">
            <v>1.3532942593874477</v>
          </cell>
          <cell r="N200">
            <v>5.9976167607587092</v>
          </cell>
          <cell r="O200">
            <v>6.0053395614901781</v>
          </cell>
          <cell r="P200">
            <v>0.899400956648998</v>
          </cell>
          <cell r="Q200" t="str">
            <v>SOS</v>
          </cell>
          <cell r="R200">
            <v>33889.99</v>
          </cell>
          <cell r="S200">
            <v>5649.99</v>
          </cell>
          <cell r="T200">
            <v>25039.99</v>
          </cell>
          <cell r="U200">
            <v>4174.99</v>
          </cell>
          <cell r="V200">
            <v>22549.99</v>
          </cell>
          <cell r="W200">
            <v>3754.99</v>
          </cell>
        </row>
        <row r="201">
          <cell r="B201" t="str">
            <v>South Africa</v>
          </cell>
          <cell r="C201" t="str">
            <v>Africa</v>
          </cell>
          <cell r="D201" t="str">
            <v>D</v>
          </cell>
          <cell r="E201" t="str">
            <v>ZAR</v>
          </cell>
          <cell r="F201">
            <v>1133.99</v>
          </cell>
          <cell r="G201">
            <v>188.99</v>
          </cell>
          <cell r="H201">
            <v>839.99</v>
          </cell>
          <cell r="I201">
            <v>139.99</v>
          </cell>
          <cell r="J201">
            <v>755.99</v>
          </cell>
          <cell r="K201">
            <v>125.99</v>
          </cell>
          <cell r="L201">
            <v>6.0002645642626593</v>
          </cell>
          <cell r="M201">
            <v>1.3500250017858417</v>
          </cell>
          <cell r="N201">
            <v>6.0003571683691685</v>
          </cell>
          <cell r="O201">
            <v>6.0003968568934045</v>
          </cell>
          <cell r="P201">
            <v>0.89999285663261652</v>
          </cell>
          <cell r="Q201" t="str">
            <v>ZAR</v>
          </cell>
          <cell r="R201">
            <v>1133.99</v>
          </cell>
          <cell r="S201">
            <v>188.99</v>
          </cell>
          <cell r="T201">
            <v>839.99</v>
          </cell>
          <cell r="U201">
            <v>139.99</v>
          </cell>
          <cell r="V201">
            <v>755.99</v>
          </cell>
          <cell r="W201">
            <v>125.99</v>
          </cell>
        </row>
        <row r="202">
          <cell r="B202" t="str">
            <v>South Georgia (Sgssi)</v>
          </cell>
          <cell r="C202" t="str">
            <v>Europe</v>
          </cell>
          <cell r="E202" t="str">
            <v>GBP</v>
          </cell>
          <cell r="F202">
            <v>89.99</v>
          </cell>
          <cell r="G202">
            <v>12.99</v>
          </cell>
          <cell r="H202">
            <v>69.989999999999995</v>
          </cell>
          <cell r="I202">
            <v>9.99</v>
          </cell>
          <cell r="J202">
            <v>59.99</v>
          </cell>
          <cell r="K202">
            <v>8.99</v>
          </cell>
          <cell r="L202">
            <v>6.9276366435719776</v>
          </cell>
          <cell r="M202">
            <v>1.3003003003003002</v>
          </cell>
          <cell r="N202">
            <v>7.0060060060060056</v>
          </cell>
          <cell r="O202">
            <v>6.6729699666295881</v>
          </cell>
          <cell r="P202">
            <v>0.89989989989989994</v>
          </cell>
          <cell r="Q202" t="str">
            <v>GBP</v>
          </cell>
          <cell r="R202">
            <v>89.99</v>
          </cell>
          <cell r="S202">
            <v>12.99</v>
          </cell>
          <cell r="T202">
            <v>69.989999999999995</v>
          </cell>
          <cell r="U202">
            <v>9.99</v>
          </cell>
          <cell r="V202">
            <v>59.99</v>
          </cell>
          <cell r="W202">
            <v>8.99</v>
          </cell>
        </row>
        <row r="203">
          <cell r="B203" t="str">
            <v>South Korea</v>
          </cell>
          <cell r="C203" t="str">
            <v>Asia</v>
          </cell>
          <cell r="D203" t="str">
            <v>E~</v>
          </cell>
          <cell r="E203" t="str">
            <v>KRW</v>
          </cell>
          <cell r="F203">
            <v>189990</v>
          </cell>
          <cell r="G203">
            <v>29990</v>
          </cell>
          <cell r="H203">
            <v>129990</v>
          </cell>
          <cell r="I203">
            <v>20000</v>
          </cell>
          <cell r="J203">
            <v>115000</v>
          </cell>
          <cell r="K203">
            <v>18000</v>
          </cell>
          <cell r="L203">
            <v>6.3351117039013003</v>
          </cell>
          <cell r="M203">
            <v>1.4995000000000001</v>
          </cell>
          <cell r="N203">
            <v>6.4995000000000003</v>
          </cell>
          <cell r="O203">
            <v>6.3888888888888893</v>
          </cell>
          <cell r="P203">
            <v>0.9</v>
          </cell>
          <cell r="Q203" t="str">
            <v>KRW</v>
          </cell>
          <cell r="R203">
            <v>189990</v>
          </cell>
          <cell r="S203">
            <v>29990</v>
          </cell>
          <cell r="T203">
            <v>129990</v>
          </cell>
          <cell r="U203">
            <v>20000</v>
          </cell>
          <cell r="V203">
            <v>115000</v>
          </cell>
          <cell r="W203">
            <v>18000</v>
          </cell>
        </row>
        <row r="204">
          <cell r="B204" t="str">
            <v>South Sudan</v>
          </cell>
          <cell r="C204" t="str">
            <v>Middle East</v>
          </cell>
          <cell r="E204" t="str">
            <v>USD</v>
          </cell>
          <cell r="F204">
            <v>71.989999999999995</v>
          </cell>
          <cell r="G204">
            <v>11.99</v>
          </cell>
          <cell r="H204">
            <v>53.99</v>
          </cell>
          <cell r="I204">
            <v>8.99</v>
          </cell>
          <cell r="J204">
            <v>47.99</v>
          </cell>
          <cell r="K204">
            <v>7.99</v>
          </cell>
          <cell r="L204">
            <v>6.0041701417848206</v>
          </cell>
          <cell r="M204">
            <v>1.3337041156840934</v>
          </cell>
          <cell r="N204">
            <v>6.0055617352614012</v>
          </cell>
          <cell r="O204">
            <v>6.0062578222778473</v>
          </cell>
          <cell r="P204">
            <v>0.88876529477196886</v>
          </cell>
          <cell r="Q204" t="str">
            <v>USD</v>
          </cell>
          <cell r="R204">
            <v>71.989999999999995</v>
          </cell>
          <cell r="S204">
            <v>11.99</v>
          </cell>
          <cell r="T204">
            <v>53.99</v>
          </cell>
          <cell r="U204">
            <v>8.99</v>
          </cell>
          <cell r="V204">
            <v>47.99</v>
          </cell>
          <cell r="W204">
            <v>7.99</v>
          </cell>
        </row>
        <row r="205">
          <cell r="B205" t="str">
            <v>Spain</v>
          </cell>
          <cell r="C205" t="str">
            <v>Europe</v>
          </cell>
          <cell r="D205" t="str">
            <v>B</v>
          </cell>
          <cell r="E205" t="str">
            <v>EUR</v>
          </cell>
          <cell r="F205">
            <v>139.99</v>
          </cell>
          <cell r="G205">
            <v>19.989999999999998</v>
          </cell>
          <cell r="H205">
            <v>109.99</v>
          </cell>
          <cell r="I205">
            <v>15.99</v>
          </cell>
          <cell r="J205">
            <v>94.99</v>
          </cell>
          <cell r="K205">
            <v>13.99</v>
          </cell>
          <cell r="L205">
            <v>7.0030015007503765</v>
          </cell>
          <cell r="M205">
            <v>1.2501563477173232</v>
          </cell>
          <cell r="N205">
            <v>6.8786741713570976</v>
          </cell>
          <cell r="O205">
            <v>6.7898498927805573</v>
          </cell>
          <cell r="P205">
            <v>0.87492182614133829</v>
          </cell>
          <cell r="Q205" t="str">
            <v>EUR</v>
          </cell>
          <cell r="R205">
            <v>139.99</v>
          </cell>
          <cell r="S205">
            <v>19.989999999999998</v>
          </cell>
          <cell r="T205">
            <v>109.99</v>
          </cell>
          <cell r="U205">
            <v>15.99</v>
          </cell>
          <cell r="V205">
            <v>94.99</v>
          </cell>
          <cell r="W205">
            <v>13.99</v>
          </cell>
        </row>
        <row r="206">
          <cell r="B206" t="str">
            <v>Sri Lanka</v>
          </cell>
          <cell r="C206" t="str">
            <v>Asia</v>
          </cell>
          <cell r="E206" t="str">
            <v>LKR</v>
          </cell>
          <cell r="F206">
            <v>15420</v>
          </cell>
          <cell r="G206">
            <v>2570</v>
          </cell>
          <cell r="H206">
            <v>11400</v>
          </cell>
          <cell r="I206">
            <v>1900</v>
          </cell>
          <cell r="J206">
            <v>10260</v>
          </cell>
          <cell r="K206">
            <v>1710</v>
          </cell>
          <cell r="L206">
            <v>6</v>
          </cell>
          <cell r="M206">
            <v>1.3526315789473684</v>
          </cell>
          <cell r="N206">
            <v>6</v>
          </cell>
          <cell r="O206">
            <v>6</v>
          </cell>
          <cell r="P206">
            <v>0.9</v>
          </cell>
          <cell r="Q206" t="str">
            <v>LKR</v>
          </cell>
          <cell r="R206">
            <v>15420</v>
          </cell>
          <cell r="S206">
            <v>2570</v>
          </cell>
          <cell r="T206">
            <v>11400</v>
          </cell>
          <cell r="U206">
            <v>1900</v>
          </cell>
          <cell r="V206">
            <v>10260</v>
          </cell>
          <cell r="W206">
            <v>1710</v>
          </cell>
        </row>
        <row r="207">
          <cell r="B207" t="str">
            <v>St. Barthelemy</v>
          </cell>
          <cell r="C207" t="str">
            <v>Latin America</v>
          </cell>
          <cell r="E207" t="str">
            <v>EUR</v>
          </cell>
          <cell r="F207">
            <v>77.989999999999995</v>
          </cell>
          <cell r="G207">
            <v>12.99</v>
          </cell>
          <cell r="H207">
            <v>59.99</v>
          </cell>
          <cell r="I207">
            <v>9.99</v>
          </cell>
          <cell r="J207">
            <v>53.99</v>
          </cell>
          <cell r="K207">
            <v>8.99</v>
          </cell>
          <cell r="L207">
            <v>6.0038491147036179</v>
          </cell>
          <cell r="M207">
            <v>1.3003003003003002</v>
          </cell>
          <cell r="N207">
            <v>6.005005005005005</v>
          </cell>
          <cell r="O207">
            <v>6.0055617352614012</v>
          </cell>
          <cell r="P207">
            <v>0.89989989989989994</v>
          </cell>
          <cell r="Q207" t="str">
            <v>EUR</v>
          </cell>
          <cell r="R207">
            <v>77.989999999999995</v>
          </cell>
          <cell r="S207">
            <v>12.99</v>
          </cell>
          <cell r="T207">
            <v>59.99</v>
          </cell>
          <cell r="U207">
            <v>9.99</v>
          </cell>
          <cell r="V207">
            <v>53.99</v>
          </cell>
          <cell r="W207">
            <v>8.99</v>
          </cell>
        </row>
        <row r="208">
          <cell r="B208" t="str">
            <v>St. Helena</v>
          </cell>
          <cell r="C208" t="str">
            <v>Africa</v>
          </cell>
          <cell r="E208" t="str">
            <v>SHP</v>
          </cell>
          <cell r="F208">
            <v>53.99</v>
          </cell>
          <cell r="G208">
            <v>8.99</v>
          </cell>
          <cell r="H208">
            <v>41.99</v>
          </cell>
          <cell r="I208">
            <v>6.99</v>
          </cell>
          <cell r="J208">
            <v>35.99</v>
          </cell>
          <cell r="K208">
            <v>5.99</v>
          </cell>
          <cell r="L208">
            <v>6.0055617352614012</v>
          </cell>
          <cell r="M208">
            <v>1.2861230329041489</v>
          </cell>
          <cell r="N208">
            <v>6.0071530758226039</v>
          </cell>
          <cell r="O208">
            <v>6.0083472454090154</v>
          </cell>
          <cell r="P208">
            <v>0.85693848354792557</v>
          </cell>
          <cell r="Q208" t="str">
            <v>SHP</v>
          </cell>
          <cell r="R208">
            <v>53.99</v>
          </cell>
          <cell r="S208">
            <v>8.99</v>
          </cell>
          <cell r="T208">
            <v>41.99</v>
          </cell>
          <cell r="U208">
            <v>6.99</v>
          </cell>
          <cell r="V208">
            <v>35.99</v>
          </cell>
          <cell r="W208">
            <v>5.99</v>
          </cell>
        </row>
        <row r="209">
          <cell r="B209" t="str">
            <v>St. Kitts And Nevis</v>
          </cell>
          <cell r="C209" t="str">
            <v>Latin America</v>
          </cell>
          <cell r="E209" t="str">
            <v>XCD</v>
          </cell>
          <cell r="F209">
            <v>269.99</v>
          </cell>
          <cell r="G209">
            <v>44.99</v>
          </cell>
          <cell r="H209">
            <v>197.99</v>
          </cell>
          <cell r="I209">
            <v>32.99</v>
          </cell>
          <cell r="J209">
            <v>179.99</v>
          </cell>
          <cell r="K209">
            <v>29.99</v>
          </cell>
          <cell r="L209">
            <v>6.001111358079573</v>
          </cell>
          <cell r="M209">
            <v>1.36374658987572</v>
          </cell>
          <cell r="N209">
            <v>6.0015156107911487</v>
          </cell>
          <cell r="O209">
            <v>6.0016672224074696</v>
          </cell>
          <cell r="P209">
            <v>0.90906335253106996</v>
          </cell>
          <cell r="Q209" t="str">
            <v>XCD</v>
          </cell>
          <cell r="R209">
            <v>269.99</v>
          </cell>
          <cell r="S209">
            <v>44.99</v>
          </cell>
          <cell r="T209">
            <v>197.99</v>
          </cell>
          <cell r="U209">
            <v>32.99</v>
          </cell>
          <cell r="V209">
            <v>179.99</v>
          </cell>
          <cell r="W209">
            <v>29.99</v>
          </cell>
        </row>
        <row r="210">
          <cell r="B210" t="str">
            <v>St. Lucia</v>
          </cell>
          <cell r="C210" t="str">
            <v>Africa</v>
          </cell>
          <cell r="E210" t="str">
            <v>XCD</v>
          </cell>
          <cell r="F210">
            <v>239.99</v>
          </cell>
          <cell r="G210">
            <v>39.99</v>
          </cell>
          <cell r="H210">
            <v>179.99</v>
          </cell>
          <cell r="I210">
            <v>29.99</v>
          </cell>
          <cell r="J210">
            <v>161.99</v>
          </cell>
          <cell r="K210">
            <v>26.99</v>
          </cell>
          <cell r="L210">
            <v>6.0012503125781445</v>
          </cell>
          <cell r="M210">
            <v>1.3334444814938313</v>
          </cell>
          <cell r="N210">
            <v>6.0016672224074696</v>
          </cell>
          <cell r="O210">
            <v>6.0018525379770296</v>
          </cell>
          <cell r="P210">
            <v>0.89996665555185063</v>
          </cell>
          <cell r="Q210" t="str">
            <v>XCD</v>
          </cell>
          <cell r="R210">
            <v>239.99</v>
          </cell>
          <cell r="S210">
            <v>39.99</v>
          </cell>
          <cell r="T210">
            <v>179.99</v>
          </cell>
          <cell r="U210">
            <v>29.99</v>
          </cell>
          <cell r="V210">
            <v>161.99</v>
          </cell>
          <cell r="W210">
            <v>26.99</v>
          </cell>
        </row>
        <row r="211">
          <cell r="B211" t="str">
            <v>St. Pierre And Miquelon</v>
          </cell>
          <cell r="C211" t="str">
            <v>Latin America</v>
          </cell>
          <cell r="E211" t="str">
            <v>EUR</v>
          </cell>
          <cell r="F211">
            <v>77.989999999999995</v>
          </cell>
          <cell r="G211">
            <v>12.99</v>
          </cell>
          <cell r="H211">
            <v>59.99</v>
          </cell>
          <cell r="I211">
            <v>9.99</v>
          </cell>
          <cell r="J211">
            <v>53.99</v>
          </cell>
          <cell r="K211">
            <v>8.99</v>
          </cell>
          <cell r="L211">
            <v>6.0038491147036179</v>
          </cell>
          <cell r="M211">
            <v>1.3003003003003002</v>
          </cell>
          <cell r="N211">
            <v>6.005005005005005</v>
          </cell>
          <cell r="O211">
            <v>6.0055617352614012</v>
          </cell>
          <cell r="P211">
            <v>0.89989989989989994</v>
          </cell>
          <cell r="Q211" t="str">
            <v>EUR</v>
          </cell>
          <cell r="R211">
            <v>77.989999999999995</v>
          </cell>
          <cell r="S211">
            <v>12.99</v>
          </cell>
          <cell r="T211">
            <v>59.99</v>
          </cell>
          <cell r="U211">
            <v>9.99</v>
          </cell>
          <cell r="V211">
            <v>53.99</v>
          </cell>
          <cell r="W211">
            <v>8.99</v>
          </cell>
        </row>
        <row r="212">
          <cell r="B212" t="str">
            <v>St. Vincent And The Grenadines</v>
          </cell>
          <cell r="C212" t="str">
            <v>Latin America</v>
          </cell>
          <cell r="E212" t="str">
            <v>XCD</v>
          </cell>
          <cell r="F212">
            <v>239.99</v>
          </cell>
          <cell r="G212">
            <v>39.99</v>
          </cell>
          <cell r="H212">
            <v>179.99</v>
          </cell>
          <cell r="I212">
            <v>29.99</v>
          </cell>
          <cell r="J212">
            <v>161.99</v>
          </cell>
          <cell r="K212">
            <v>26.99</v>
          </cell>
          <cell r="L212">
            <v>6.0012503125781445</v>
          </cell>
          <cell r="M212">
            <v>1.3334444814938313</v>
          </cell>
          <cell r="N212">
            <v>6.0016672224074696</v>
          </cell>
          <cell r="O212">
            <v>6.0018525379770296</v>
          </cell>
          <cell r="P212">
            <v>0.89996665555185063</v>
          </cell>
          <cell r="Q212" t="str">
            <v>XCD</v>
          </cell>
          <cell r="R212">
            <v>239.99</v>
          </cell>
          <cell r="S212">
            <v>39.99</v>
          </cell>
          <cell r="T212">
            <v>179.99</v>
          </cell>
          <cell r="U212">
            <v>29.99</v>
          </cell>
          <cell r="V212">
            <v>161.99</v>
          </cell>
          <cell r="W212">
            <v>26.99</v>
          </cell>
        </row>
        <row r="213">
          <cell r="B213" t="str">
            <v>Sudan</v>
          </cell>
          <cell r="C213" t="str">
            <v>Africa</v>
          </cell>
          <cell r="E213" t="str">
            <v>USD</v>
          </cell>
          <cell r="F213">
            <v>84.99</v>
          </cell>
          <cell r="G213">
            <v>13.99</v>
          </cell>
          <cell r="H213">
            <v>59.99</v>
          </cell>
          <cell r="I213">
            <v>9.99</v>
          </cell>
          <cell r="J213">
            <v>54.99</v>
          </cell>
          <cell r="K213">
            <v>8.99</v>
          </cell>
          <cell r="L213">
            <v>6.0750536097212287</v>
          </cell>
          <cell r="M213">
            <v>1.4004004004004005</v>
          </cell>
          <cell r="N213">
            <v>6.005005005005005</v>
          </cell>
          <cell r="O213">
            <v>6.1167964404894324</v>
          </cell>
          <cell r="P213">
            <v>0.89989989989989994</v>
          </cell>
          <cell r="Q213" t="str">
            <v>USD</v>
          </cell>
          <cell r="R213">
            <v>84.99</v>
          </cell>
          <cell r="S213">
            <v>13.99</v>
          </cell>
          <cell r="T213">
            <v>59.99</v>
          </cell>
          <cell r="U213">
            <v>9.99</v>
          </cell>
          <cell r="V213">
            <v>54.99</v>
          </cell>
          <cell r="W213">
            <v>8.99</v>
          </cell>
        </row>
        <row r="214">
          <cell r="B214" t="str">
            <v>Suriname</v>
          </cell>
          <cell r="C214" t="str">
            <v>Latin America</v>
          </cell>
          <cell r="E214" t="str">
            <v>SRD</v>
          </cell>
          <cell r="F214">
            <v>1860</v>
          </cell>
          <cell r="G214">
            <v>310</v>
          </cell>
          <cell r="H214">
            <v>1360</v>
          </cell>
          <cell r="I214">
            <v>227</v>
          </cell>
          <cell r="J214">
            <v>1200</v>
          </cell>
          <cell r="K214">
            <v>200</v>
          </cell>
          <cell r="L214">
            <v>6</v>
          </cell>
          <cell r="M214">
            <v>1.3656387665198237</v>
          </cell>
          <cell r="N214">
            <v>5.9911894273127757</v>
          </cell>
          <cell r="O214">
            <v>6</v>
          </cell>
          <cell r="P214">
            <v>0.88105726872246692</v>
          </cell>
          <cell r="Q214" t="str">
            <v>SRD</v>
          </cell>
          <cell r="R214">
            <v>1860</v>
          </cell>
          <cell r="S214">
            <v>310</v>
          </cell>
          <cell r="T214">
            <v>1360</v>
          </cell>
          <cell r="U214">
            <v>227</v>
          </cell>
          <cell r="V214">
            <v>1200</v>
          </cell>
          <cell r="W214">
            <v>200</v>
          </cell>
        </row>
        <row r="215">
          <cell r="B215" t="str">
            <v>Svalbard And Jan Mayen</v>
          </cell>
          <cell r="C215" t="str">
            <v>Europe</v>
          </cell>
          <cell r="E215" t="str">
            <v>NOK</v>
          </cell>
          <cell r="F215">
            <v>1399.99</v>
          </cell>
          <cell r="G215">
            <v>199.99</v>
          </cell>
          <cell r="H215">
            <v>899.99</v>
          </cell>
          <cell r="I215">
            <v>149.99</v>
          </cell>
          <cell r="J215">
            <v>839.99</v>
          </cell>
          <cell r="K215">
            <v>139.99</v>
          </cell>
          <cell r="L215">
            <v>7.0003000150007502</v>
          </cell>
          <cell r="M215">
            <v>1.3333555570371358</v>
          </cell>
          <cell r="N215">
            <v>6.0003333555570366</v>
          </cell>
          <cell r="O215">
            <v>6.0003571683691685</v>
          </cell>
          <cell r="P215">
            <v>0.93332888859257279</v>
          </cell>
          <cell r="Q215" t="str">
            <v>NOK</v>
          </cell>
          <cell r="R215">
            <v>1399.99</v>
          </cell>
          <cell r="S215">
            <v>199.99</v>
          </cell>
          <cell r="T215">
            <v>899.99</v>
          </cell>
          <cell r="U215">
            <v>149.99</v>
          </cell>
          <cell r="V215">
            <v>839.99</v>
          </cell>
          <cell r="W215">
            <v>139.99</v>
          </cell>
        </row>
        <row r="216">
          <cell r="B216" t="str">
            <v>Sweden</v>
          </cell>
          <cell r="C216" t="str">
            <v>Europe</v>
          </cell>
          <cell r="D216" t="str">
            <v>E~</v>
          </cell>
          <cell r="E216" t="str">
            <v>SEK</v>
          </cell>
          <cell r="F216">
            <v>1469.99</v>
          </cell>
          <cell r="G216">
            <v>219.99</v>
          </cell>
          <cell r="H216">
            <v>1069.99</v>
          </cell>
          <cell r="I216">
            <v>159.99</v>
          </cell>
          <cell r="J216">
            <v>969.99</v>
          </cell>
          <cell r="K216">
            <v>144.99</v>
          </cell>
          <cell r="L216">
            <v>6.682076458020819</v>
          </cell>
          <cell r="M216">
            <v>1.3750234389649354</v>
          </cell>
          <cell r="N216">
            <v>6.6878554909681851</v>
          </cell>
          <cell r="O216">
            <v>6.6900475894889295</v>
          </cell>
          <cell r="P216">
            <v>0.90624414025876621</v>
          </cell>
          <cell r="Q216" t="str">
            <v>SEK</v>
          </cell>
          <cell r="R216">
            <v>1469.99</v>
          </cell>
          <cell r="S216">
            <v>219.99</v>
          </cell>
          <cell r="T216">
            <v>1069.99</v>
          </cell>
          <cell r="U216">
            <v>159.99</v>
          </cell>
          <cell r="V216">
            <v>969.99</v>
          </cell>
          <cell r="W216">
            <v>144.99</v>
          </cell>
        </row>
        <row r="217">
          <cell r="B217" t="str">
            <v>Switzerland</v>
          </cell>
          <cell r="C217" t="str">
            <v>Europe</v>
          </cell>
          <cell r="D217" t="str">
            <v>E~</v>
          </cell>
          <cell r="E217" t="str">
            <v>CHF</v>
          </cell>
          <cell r="F217">
            <v>219.99</v>
          </cell>
          <cell r="G217">
            <v>33.99</v>
          </cell>
          <cell r="H217">
            <v>159.99</v>
          </cell>
          <cell r="I217">
            <v>24.99</v>
          </cell>
          <cell r="J217">
            <v>139.99</v>
          </cell>
          <cell r="K217">
            <v>21.99</v>
          </cell>
          <cell r="L217">
            <v>6.4721977052074138</v>
          </cell>
          <cell r="M217">
            <v>1.3601440576230495</v>
          </cell>
          <cell r="N217">
            <v>6.4021608643457393</v>
          </cell>
          <cell r="O217">
            <v>6.3660754888585727</v>
          </cell>
          <cell r="P217">
            <v>0.87995198079231696</v>
          </cell>
          <cell r="Q217" t="str">
            <v>CHF</v>
          </cell>
          <cell r="R217">
            <v>219.99</v>
          </cell>
          <cell r="S217">
            <v>33.99</v>
          </cell>
          <cell r="T217">
            <v>159.99</v>
          </cell>
          <cell r="U217">
            <v>24.99</v>
          </cell>
          <cell r="V217">
            <v>139.99</v>
          </cell>
          <cell r="W217">
            <v>21.99</v>
          </cell>
        </row>
        <row r="218">
          <cell r="B218" t="str">
            <v>Syria</v>
          </cell>
          <cell r="C218" t="str">
            <v>Middle East</v>
          </cell>
          <cell r="D218"/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/>
          <cell r="M218"/>
          <cell r="N218"/>
          <cell r="O218"/>
          <cell r="P218"/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</row>
        <row r="219">
          <cell r="B219" t="str">
            <v>Taiwan</v>
          </cell>
          <cell r="C219" t="str">
            <v>NBA China</v>
          </cell>
          <cell r="D219" t="str">
            <v>B</v>
          </cell>
          <cell r="E219" t="str">
            <v>TWD</v>
          </cell>
          <cell r="F219">
            <v>3590</v>
          </cell>
          <cell r="G219">
            <v>540</v>
          </cell>
          <cell r="H219">
            <v>2720</v>
          </cell>
          <cell r="I219">
            <v>390</v>
          </cell>
          <cell r="J219">
            <v>2450</v>
          </cell>
          <cell r="K219">
            <v>350</v>
          </cell>
          <cell r="L219">
            <v>6.6481481481481479</v>
          </cell>
          <cell r="M219">
            <v>1.3846153846153846</v>
          </cell>
          <cell r="N219">
            <v>6.9743589743589745</v>
          </cell>
          <cell r="O219">
            <v>7</v>
          </cell>
          <cell r="P219">
            <v>0.89743589743589747</v>
          </cell>
          <cell r="Q219" t="str">
            <v>TWD</v>
          </cell>
          <cell r="R219">
            <v>3590</v>
          </cell>
          <cell r="S219">
            <v>540</v>
          </cell>
          <cell r="T219">
            <v>2720</v>
          </cell>
          <cell r="U219">
            <v>390</v>
          </cell>
          <cell r="V219">
            <v>2450</v>
          </cell>
          <cell r="W219">
            <v>350</v>
          </cell>
        </row>
        <row r="220">
          <cell r="B220" t="str">
            <v>Tajikistan</v>
          </cell>
          <cell r="C220" t="str">
            <v>Asia</v>
          </cell>
          <cell r="E220" t="str">
            <v>USD</v>
          </cell>
          <cell r="F220">
            <v>71.989999999999995</v>
          </cell>
          <cell r="G220">
            <v>11.99</v>
          </cell>
          <cell r="H220">
            <v>53.99</v>
          </cell>
          <cell r="I220">
            <v>8.99</v>
          </cell>
          <cell r="J220">
            <v>47.99</v>
          </cell>
          <cell r="K220">
            <v>7.99</v>
          </cell>
          <cell r="L220">
            <v>6.0041701417848206</v>
          </cell>
          <cell r="M220">
            <v>1.3337041156840934</v>
          </cell>
          <cell r="N220">
            <v>6.0055617352614012</v>
          </cell>
          <cell r="O220">
            <v>6.0062578222778473</v>
          </cell>
          <cell r="P220">
            <v>0.88876529477196886</v>
          </cell>
          <cell r="Q220" t="str">
            <v>USD</v>
          </cell>
          <cell r="R220">
            <v>71.989999999999995</v>
          </cell>
          <cell r="S220">
            <v>11.99</v>
          </cell>
          <cell r="T220">
            <v>53.99</v>
          </cell>
          <cell r="U220">
            <v>8.99</v>
          </cell>
          <cell r="V220">
            <v>47.99</v>
          </cell>
          <cell r="W220">
            <v>7.99</v>
          </cell>
        </row>
        <row r="221">
          <cell r="B221" t="str">
            <v>Tanzania</v>
          </cell>
          <cell r="C221" t="str">
            <v>Africa</v>
          </cell>
          <cell r="E221" t="str">
            <v>TZS</v>
          </cell>
          <cell r="F221">
            <v>169320</v>
          </cell>
          <cell r="G221">
            <v>28220</v>
          </cell>
          <cell r="H221">
            <v>125400</v>
          </cell>
          <cell r="I221">
            <v>20900</v>
          </cell>
          <cell r="J221">
            <v>112860</v>
          </cell>
          <cell r="K221">
            <v>18810</v>
          </cell>
          <cell r="L221">
            <v>6</v>
          </cell>
          <cell r="M221">
            <v>1.3502392344497607</v>
          </cell>
          <cell r="N221">
            <v>6</v>
          </cell>
          <cell r="O221">
            <v>6</v>
          </cell>
          <cell r="P221">
            <v>0.9</v>
          </cell>
          <cell r="Q221" t="str">
            <v>TZS</v>
          </cell>
          <cell r="R221">
            <v>169320</v>
          </cell>
          <cell r="S221">
            <v>28220</v>
          </cell>
          <cell r="T221">
            <v>125400</v>
          </cell>
          <cell r="U221">
            <v>20900</v>
          </cell>
          <cell r="V221">
            <v>112860</v>
          </cell>
          <cell r="W221">
            <v>18810</v>
          </cell>
        </row>
        <row r="222">
          <cell r="B222" t="str">
            <v>Thailand</v>
          </cell>
          <cell r="C222" t="str">
            <v>Asia</v>
          </cell>
          <cell r="D222" t="str">
            <v>E~</v>
          </cell>
          <cell r="E222" t="str">
            <v>THB</v>
          </cell>
          <cell r="F222">
            <v>2919</v>
          </cell>
          <cell r="G222">
            <v>449</v>
          </cell>
          <cell r="H222">
            <v>2100</v>
          </cell>
          <cell r="I222">
            <v>300</v>
          </cell>
          <cell r="J222">
            <v>1890</v>
          </cell>
          <cell r="K222">
            <v>270</v>
          </cell>
          <cell r="L222">
            <v>6.5011135857461024</v>
          </cell>
          <cell r="M222">
            <v>1.4966666666666666</v>
          </cell>
          <cell r="N222">
            <v>7</v>
          </cell>
          <cell r="O222">
            <v>7</v>
          </cell>
          <cell r="P222">
            <v>0.9</v>
          </cell>
          <cell r="Q222" t="str">
            <v>THB</v>
          </cell>
          <cell r="R222">
            <v>2919</v>
          </cell>
          <cell r="S222">
            <v>449</v>
          </cell>
          <cell r="T222">
            <v>2100</v>
          </cell>
          <cell r="U222">
            <v>300</v>
          </cell>
          <cell r="V222">
            <v>1890</v>
          </cell>
          <cell r="W222">
            <v>270</v>
          </cell>
        </row>
        <row r="223">
          <cell r="B223" t="str">
            <v>Timor-Leste</v>
          </cell>
          <cell r="C223" t="str">
            <v>Asia</v>
          </cell>
          <cell r="E223" t="str">
            <v>USD</v>
          </cell>
          <cell r="F223">
            <v>71.989999999999995</v>
          </cell>
          <cell r="G223">
            <v>11.99</v>
          </cell>
          <cell r="H223">
            <v>53.99</v>
          </cell>
          <cell r="I223">
            <v>8.99</v>
          </cell>
          <cell r="J223">
            <v>47.99</v>
          </cell>
          <cell r="K223">
            <v>7.99</v>
          </cell>
          <cell r="L223">
            <v>6.0041701417848206</v>
          </cell>
          <cell r="M223">
            <v>1.3337041156840934</v>
          </cell>
          <cell r="N223">
            <v>6.0055617352614012</v>
          </cell>
          <cell r="O223">
            <v>6.0062578222778473</v>
          </cell>
          <cell r="P223">
            <v>0.88876529477196886</v>
          </cell>
          <cell r="Q223" t="str">
            <v>USD</v>
          </cell>
          <cell r="R223">
            <v>71.989999999999995</v>
          </cell>
          <cell r="S223">
            <v>11.99</v>
          </cell>
          <cell r="T223">
            <v>53.99</v>
          </cell>
          <cell r="U223">
            <v>8.99</v>
          </cell>
          <cell r="V223">
            <v>47.99</v>
          </cell>
          <cell r="W223">
            <v>7.99</v>
          </cell>
        </row>
        <row r="224">
          <cell r="B224" t="str">
            <v>Togo</v>
          </cell>
          <cell r="C224" t="str">
            <v>Africa</v>
          </cell>
          <cell r="E224" t="str">
            <v>XOF</v>
          </cell>
          <cell r="F224">
            <v>43740</v>
          </cell>
          <cell r="G224">
            <v>7290</v>
          </cell>
          <cell r="H224">
            <v>32400</v>
          </cell>
          <cell r="I224">
            <v>5400</v>
          </cell>
          <cell r="J224">
            <v>29160</v>
          </cell>
          <cell r="K224">
            <v>4860</v>
          </cell>
          <cell r="L224">
            <v>6</v>
          </cell>
          <cell r="M224">
            <v>1.35</v>
          </cell>
          <cell r="N224">
            <v>6</v>
          </cell>
          <cell r="O224">
            <v>6</v>
          </cell>
          <cell r="P224">
            <v>0.9</v>
          </cell>
          <cell r="Q224" t="str">
            <v>XOF</v>
          </cell>
          <cell r="R224">
            <v>43740</v>
          </cell>
          <cell r="S224">
            <v>7290</v>
          </cell>
          <cell r="T224">
            <v>32400</v>
          </cell>
          <cell r="U224">
            <v>5400</v>
          </cell>
          <cell r="V224">
            <v>29160</v>
          </cell>
          <cell r="W224">
            <v>4860</v>
          </cell>
        </row>
        <row r="225">
          <cell r="B225" t="str">
            <v>Tokelau</v>
          </cell>
          <cell r="C225" t="str">
            <v>Asia</v>
          </cell>
          <cell r="E225" t="str">
            <v>NZD</v>
          </cell>
          <cell r="F225">
            <v>203.99</v>
          </cell>
          <cell r="G225">
            <v>33.99</v>
          </cell>
          <cell r="H225">
            <v>149.99</v>
          </cell>
          <cell r="I225">
            <v>24.99</v>
          </cell>
          <cell r="J225">
            <v>144.99</v>
          </cell>
          <cell r="K225">
            <v>21.99</v>
          </cell>
          <cell r="L225">
            <v>6.0014710208884967</v>
          </cell>
          <cell r="M225">
            <v>1.3601440576230495</v>
          </cell>
          <cell r="N225">
            <v>6.0020008003201291</v>
          </cell>
          <cell r="O225">
            <v>6.5934515688949533</v>
          </cell>
          <cell r="P225">
            <v>0.87995198079231696</v>
          </cell>
          <cell r="Q225" t="str">
            <v>NZD</v>
          </cell>
          <cell r="R225">
            <v>203.99</v>
          </cell>
          <cell r="S225">
            <v>33.99</v>
          </cell>
          <cell r="T225">
            <v>149.99</v>
          </cell>
          <cell r="U225">
            <v>24.99</v>
          </cell>
          <cell r="V225">
            <v>144.99</v>
          </cell>
          <cell r="W225">
            <v>21.99</v>
          </cell>
        </row>
        <row r="226">
          <cell r="B226" t="str">
            <v>Tonga</v>
          </cell>
          <cell r="C226" t="str">
            <v>Asia</v>
          </cell>
          <cell r="E226" t="str">
            <v>TOP</v>
          </cell>
          <cell r="F226">
            <v>185.99</v>
          </cell>
          <cell r="G226">
            <v>30.99</v>
          </cell>
          <cell r="H226">
            <v>137.99</v>
          </cell>
          <cell r="I226">
            <v>22.99</v>
          </cell>
          <cell r="J226">
            <v>125.99</v>
          </cell>
          <cell r="K226">
            <v>20.99</v>
          </cell>
          <cell r="L226">
            <v>6.0016134236850602</v>
          </cell>
          <cell r="M226">
            <v>1.3479773814702045</v>
          </cell>
          <cell r="N226">
            <v>6.0021748586341896</v>
          </cell>
          <cell r="O226">
            <v>6.0023820867079563</v>
          </cell>
          <cell r="P226">
            <v>0.91300565463244887</v>
          </cell>
          <cell r="Q226" t="str">
            <v>TOP</v>
          </cell>
          <cell r="R226">
            <v>185.99</v>
          </cell>
          <cell r="S226">
            <v>30.99</v>
          </cell>
          <cell r="T226">
            <v>137.99</v>
          </cell>
          <cell r="U226">
            <v>22.99</v>
          </cell>
          <cell r="V226">
            <v>125.99</v>
          </cell>
          <cell r="W226">
            <v>20.99</v>
          </cell>
        </row>
        <row r="227">
          <cell r="B227" t="str">
            <v>Trinidad And Tobago</v>
          </cell>
          <cell r="C227" t="str">
            <v>Latin America</v>
          </cell>
          <cell r="E227" t="str">
            <v>TTD</v>
          </cell>
          <cell r="F227">
            <v>689.99</v>
          </cell>
          <cell r="G227">
            <v>114.99</v>
          </cell>
          <cell r="H227">
            <v>485.99</v>
          </cell>
          <cell r="I227">
            <v>80.989999999999995</v>
          </cell>
          <cell r="J227">
            <v>437.99</v>
          </cell>
          <cell r="K227">
            <v>72.989999999999995</v>
          </cell>
          <cell r="L227">
            <v>6.0004348204191675</v>
          </cell>
          <cell r="M227">
            <v>1.4198049141869367</v>
          </cell>
          <cell r="N227">
            <v>6.0006173601679222</v>
          </cell>
          <cell r="O227">
            <v>6.0006850253459385</v>
          </cell>
          <cell r="P227">
            <v>0.90122237313248543</v>
          </cell>
          <cell r="Q227" t="str">
            <v>TTD</v>
          </cell>
          <cell r="R227">
            <v>689.99</v>
          </cell>
          <cell r="S227">
            <v>114.99</v>
          </cell>
          <cell r="T227">
            <v>485.99</v>
          </cell>
          <cell r="U227">
            <v>80.989999999999995</v>
          </cell>
          <cell r="V227">
            <v>437.99</v>
          </cell>
          <cell r="W227">
            <v>72.989999999999995</v>
          </cell>
        </row>
        <row r="228">
          <cell r="B228" t="str">
            <v>Tunisia</v>
          </cell>
          <cell r="C228" t="str">
            <v>Africa</v>
          </cell>
          <cell r="E228" t="str">
            <v>TND</v>
          </cell>
          <cell r="F228">
            <v>215.999</v>
          </cell>
          <cell r="G228">
            <v>35.999000000000002</v>
          </cell>
          <cell r="H228">
            <v>161.999</v>
          </cell>
          <cell r="I228">
            <v>26.998999999999999</v>
          </cell>
          <cell r="J228">
            <v>143.999</v>
          </cell>
          <cell r="K228">
            <v>23.998999999999999</v>
          </cell>
          <cell r="L228">
            <v>6.0001388927470201</v>
          </cell>
          <cell r="M228">
            <v>1.3333456794696101</v>
          </cell>
          <cell r="N228">
            <v>6.0001851920441496</v>
          </cell>
          <cell r="O228">
            <v>6.0002083420142505</v>
          </cell>
          <cell r="P228">
            <v>0.88888477351012996</v>
          </cell>
          <cell r="Q228" t="str">
            <v>TND</v>
          </cell>
          <cell r="R228">
            <v>215.999</v>
          </cell>
          <cell r="S228">
            <v>35.999000000000002</v>
          </cell>
          <cell r="T228">
            <v>161.999</v>
          </cell>
          <cell r="U228">
            <v>26.998999999999999</v>
          </cell>
          <cell r="V228">
            <v>143.999</v>
          </cell>
          <cell r="W228">
            <v>23.998999999999999</v>
          </cell>
        </row>
        <row r="229">
          <cell r="B229" t="str">
            <v>Turkey</v>
          </cell>
          <cell r="C229" t="str">
            <v>Europe</v>
          </cell>
          <cell r="D229" t="str">
            <v>D</v>
          </cell>
          <cell r="E229" t="str">
            <v>TRY</v>
          </cell>
          <cell r="F229">
            <v>839.99</v>
          </cell>
          <cell r="G229">
            <v>129.99</v>
          </cell>
          <cell r="H229">
            <v>619.99</v>
          </cell>
          <cell r="I229">
            <v>94.99</v>
          </cell>
          <cell r="J229">
            <v>554.99</v>
          </cell>
          <cell r="K229">
            <v>84.99</v>
          </cell>
          <cell r="L229">
            <v>6.461958612200938</v>
          </cell>
          <cell r="M229">
            <v>1.3684598378776716</v>
          </cell>
          <cell r="N229">
            <v>6.5268975681650705</v>
          </cell>
          <cell r="O229">
            <v>6.5300623602776806</v>
          </cell>
          <cell r="P229">
            <v>0.89472576060637965</v>
          </cell>
          <cell r="Q229" t="str">
            <v>TRY</v>
          </cell>
          <cell r="R229">
            <v>1249.99</v>
          </cell>
          <cell r="S229">
            <v>192.99</v>
          </cell>
          <cell r="T229">
            <v>924.99</v>
          </cell>
          <cell r="U229">
            <v>141.99</v>
          </cell>
          <cell r="V229">
            <v>826.99</v>
          </cell>
          <cell r="W229">
            <v>126.99</v>
          </cell>
        </row>
        <row r="230">
          <cell r="B230" t="str">
            <v>Turkmenistan</v>
          </cell>
          <cell r="C230" t="str">
            <v>Asia</v>
          </cell>
          <cell r="E230" t="str">
            <v>USD</v>
          </cell>
          <cell r="F230">
            <v>89.99</v>
          </cell>
          <cell r="G230">
            <v>14.99</v>
          </cell>
          <cell r="H230">
            <v>65.989999999999995</v>
          </cell>
          <cell r="I230">
            <v>10.99</v>
          </cell>
          <cell r="J230">
            <v>59.99</v>
          </cell>
          <cell r="K230">
            <v>9.99</v>
          </cell>
          <cell r="L230">
            <v>6.0033355570380253</v>
          </cell>
          <cell r="M230">
            <v>1.3639672429481347</v>
          </cell>
          <cell r="N230">
            <v>6.0045495905368513</v>
          </cell>
          <cell r="O230">
            <v>6.005005005005005</v>
          </cell>
          <cell r="P230">
            <v>0.90900818926296634</v>
          </cell>
          <cell r="Q230" t="str">
            <v>USD</v>
          </cell>
          <cell r="R230">
            <v>89.99</v>
          </cell>
          <cell r="S230">
            <v>14.99</v>
          </cell>
          <cell r="T230">
            <v>65.989999999999995</v>
          </cell>
          <cell r="U230">
            <v>10.99</v>
          </cell>
          <cell r="V230">
            <v>59.99</v>
          </cell>
          <cell r="W230">
            <v>9.99</v>
          </cell>
        </row>
        <row r="231">
          <cell r="B231" t="str">
            <v>Turks And Caicos Islands</v>
          </cell>
          <cell r="C231" t="str">
            <v>Latin America</v>
          </cell>
          <cell r="E231" t="str">
            <v>USD</v>
          </cell>
          <cell r="F231">
            <v>102.99</v>
          </cell>
          <cell r="G231">
            <v>16.989999999999998</v>
          </cell>
          <cell r="H231">
            <v>71.989999999999995</v>
          </cell>
          <cell r="I231">
            <v>11.99</v>
          </cell>
          <cell r="J231">
            <v>65.989999999999995</v>
          </cell>
          <cell r="K231">
            <v>10.99</v>
          </cell>
          <cell r="L231">
            <v>6.0618010594467338</v>
          </cell>
          <cell r="M231">
            <v>1.4170141784820682</v>
          </cell>
          <cell r="N231">
            <v>6.0041701417848206</v>
          </cell>
          <cell r="O231">
            <v>6.0045495905368513</v>
          </cell>
          <cell r="P231">
            <v>0.91659716430358629</v>
          </cell>
          <cell r="Q231" t="str">
            <v>USD</v>
          </cell>
          <cell r="R231">
            <v>102.99</v>
          </cell>
          <cell r="S231">
            <v>16.989999999999998</v>
          </cell>
          <cell r="T231">
            <v>71.989999999999995</v>
          </cell>
          <cell r="U231">
            <v>11.99</v>
          </cell>
          <cell r="V231">
            <v>65.989999999999995</v>
          </cell>
          <cell r="W231">
            <v>10.99</v>
          </cell>
        </row>
        <row r="232">
          <cell r="B232" t="str">
            <v>Tuvalu</v>
          </cell>
          <cell r="C232" t="str">
            <v>Asia</v>
          </cell>
          <cell r="E232" t="str">
            <v>AUD</v>
          </cell>
          <cell r="F232">
            <v>113.99</v>
          </cell>
          <cell r="G232">
            <v>18.989999999999998</v>
          </cell>
          <cell r="H232">
            <v>83.99</v>
          </cell>
          <cell r="I232">
            <v>13.99</v>
          </cell>
          <cell r="J232">
            <v>77.989999999999995</v>
          </cell>
          <cell r="K232">
            <v>12.99</v>
          </cell>
          <cell r="L232">
            <v>6.0026329647182726</v>
          </cell>
          <cell r="M232">
            <v>1.3573981415296639</v>
          </cell>
          <cell r="N232">
            <v>6.003573981415296</v>
          </cell>
          <cell r="O232">
            <v>6.0038491147036179</v>
          </cell>
          <cell r="P232">
            <v>0.9285203716940672</v>
          </cell>
          <cell r="Q232" t="str">
            <v>AUD</v>
          </cell>
          <cell r="R232">
            <v>113.99</v>
          </cell>
          <cell r="S232">
            <v>18.989999999999998</v>
          </cell>
          <cell r="T232">
            <v>83.99</v>
          </cell>
          <cell r="U232">
            <v>13.99</v>
          </cell>
          <cell r="V232">
            <v>77.989999999999995</v>
          </cell>
          <cell r="W232">
            <v>12.99</v>
          </cell>
        </row>
        <row r="233">
          <cell r="B233" t="str">
            <v>Uganda</v>
          </cell>
          <cell r="C233" t="str">
            <v>Africa</v>
          </cell>
          <cell r="E233" t="str">
            <v>UGX</v>
          </cell>
          <cell r="F233">
            <v>261660</v>
          </cell>
          <cell r="G233">
            <v>43610</v>
          </cell>
          <cell r="H233">
            <v>193800</v>
          </cell>
          <cell r="I233">
            <v>32300</v>
          </cell>
          <cell r="J233">
            <v>174420</v>
          </cell>
          <cell r="K233">
            <v>29070</v>
          </cell>
          <cell r="L233">
            <v>6</v>
          </cell>
          <cell r="M233">
            <v>1.3501547987616098</v>
          </cell>
          <cell r="N233">
            <v>6</v>
          </cell>
          <cell r="O233">
            <v>6</v>
          </cell>
          <cell r="P233">
            <v>0.9</v>
          </cell>
          <cell r="Q233" t="str">
            <v>UGX</v>
          </cell>
          <cell r="R233">
            <v>261660</v>
          </cell>
          <cell r="S233">
            <v>43610</v>
          </cell>
          <cell r="T233">
            <v>193800</v>
          </cell>
          <cell r="U233">
            <v>32300</v>
          </cell>
          <cell r="V233">
            <v>174420</v>
          </cell>
          <cell r="W233">
            <v>29070</v>
          </cell>
        </row>
        <row r="234">
          <cell r="B234" t="str">
            <v>Ukraine</v>
          </cell>
          <cell r="C234" t="str">
            <v>Europe</v>
          </cell>
          <cell r="E234" t="str">
            <v>UAH</v>
          </cell>
          <cell r="F234">
            <v>1699.99</v>
          </cell>
          <cell r="G234">
            <v>282.99</v>
          </cell>
          <cell r="H234">
            <v>1259.99</v>
          </cell>
          <cell r="I234">
            <v>209.99</v>
          </cell>
          <cell r="J234">
            <v>1129.99</v>
          </cell>
          <cell r="K234">
            <v>188.99</v>
          </cell>
          <cell r="L234">
            <v>6.0072440722287004</v>
          </cell>
          <cell r="M234">
            <v>1.3476356016953188</v>
          </cell>
          <cell r="N234">
            <v>6.0002381065765036</v>
          </cell>
          <cell r="O234">
            <v>5.9790994232499068</v>
          </cell>
          <cell r="P234">
            <v>0.89999523786846991</v>
          </cell>
          <cell r="Q234" t="str">
            <v>UAH</v>
          </cell>
          <cell r="R234">
            <v>1699.99</v>
          </cell>
          <cell r="S234">
            <v>282.99</v>
          </cell>
          <cell r="T234">
            <v>1259.99</v>
          </cell>
          <cell r="U234">
            <v>209.99</v>
          </cell>
          <cell r="V234">
            <v>1129.99</v>
          </cell>
          <cell r="W234">
            <v>188.99</v>
          </cell>
        </row>
        <row r="235">
          <cell r="B235" t="str">
            <v>United Arab Emirates</v>
          </cell>
          <cell r="C235" t="str">
            <v>Middle East</v>
          </cell>
          <cell r="E235" t="str">
            <v>AED</v>
          </cell>
          <cell r="F235">
            <v>559.99</v>
          </cell>
          <cell r="G235">
            <v>86.99</v>
          </cell>
          <cell r="H235">
            <v>399.99</v>
          </cell>
          <cell r="I235">
            <v>61.99</v>
          </cell>
          <cell r="J235">
            <v>354.99</v>
          </cell>
          <cell r="K235">
            <v>54.99</v>
          </cell>
          <cell r="L235">
            <v>6.4374065984595932</v>
          </cell>
          <cell r="M235">
            <v>1.4032908533634456</v>
          </cell>
          <cell r="N235">
            <v>6.4524923374737861</v>
          </cell>
          <cell r="O235">
            <v>6.4555373704309877</v>
          </cell>
          <cell r="P235">
            <v>0.88707856105823524</v>
          </cell>
          <cell r="Q235" t="str">
            <v>AED</v>
          </cell>
          <cell r="R235">
            <v>559.99</v>
          </cell>
          <cell r="S235">
            <v>86.99</v>
          </cell>
          <cell r="T235">
            <v>399.99</v>
          </cell>
          <cell r="U235">
            <v>61.99</v>
          </cell>
          <cell r="V235">
            <v>354.99</v>
          </cell>
          <cell r="W235">
            <v>54.99</v>
          </cell>
        </row>
        <row r="236">
          <cell r="B236" t="str">
            <v>United Kingdom</v>
          </cell>
          <cell r="C236" t="str">
            <v>Europe</v>
          </cell>
          <cell r="D236" t="str">
            <v>B</v>
          </cell>
          <cell r="E236" t="str">
            <v>GBP</v>
          </cell>
          <cell r="F236">
            <v>149.99</v>
          </cell>
          <cell r="G236">
            <v>22.99</v>
          </cell>
          <cell r="H236">
            <v>114.99</v>
          </cell>
          <cell r="I236">
            <v>16.989999999999998</v>
          </cell>
          <cell r="J236">
            <v>99.99</v>
          </cell>
          <cell r="K236">
            <v>14.99</v>
          </cell>
          <cell r="L236">
            <v>6.5241409308394962</v>
          </cell>
          <cell r="M236">
            <v>1.3531489111241908</v>
          </cell>
          <cell r="N236">
            <v>6.7680988816951153</v>
          </cell>
          <cell r="O236">
            <v>6.6704469646430953</v>
          </cell>
          <cell r="P236">
            <v>0.88228369629193648</v>
          </cell>
          <cell r="Q236" t="str">
            <v>GBP</v>
          </cell>
          <cell r="R236">
            <v>149.99</v>
          </cell>
          <cell r="S236">
            <v>22.99</v>
          </cell>
          <cell r="T236">
            <v>114.99</v>
          </cell>
          <cell r="U236">
            <v>16.989999999999998</v>
          </cell>
          <cell r="V236">
            <v>99.99</v>
          </cell>
          <cell r="W236">
            <v>14.99</v>
          </cell>
        </row>
        <row r="237">
          <cell r="B237" t="str">
            <v>Uruguay</v>
          </cell>
          <cell r="C237" t="str">
            <v>Latin America</v>
          </cell>
          <cell r="E237" t="str">
            <v>UYU</v>
          </cell>
          <cell r="F237">
            <v>3965.99</v>
          </cell>
          <cell r="G237">
            <v>660.99</v>
          </cell>
          <cell r="H237">
            <v>2939.99</v>
          </cell>
          <cell r="I237">
            <v>489.99</v>
          </cell>
          <cell r="J237">
            <v>2645.99</v>
          </cell>
          <cell r="K237">
            <v>440.99</v>
          </cell>
          <cell r="L237">
            <v>6.000075644109593</v>
          </cell>
          <cell r="M237">
            <v>1.3489867140145717</v>
          </cell>
          <cell r="N237">
            <v>6.0001020428988339</v>
          </cell>
          <cell r="O237">
            <v>6.0001133812558098</v>
          </cell>
          <cell r="P237">
            <v>0.8999979591420233</v>
          </cell>
          <cell r="Q237" t="str">
            <v>UYU</v>
          </cell>
          <cell r="R237">
            <v>3965.99</v>
          </cell>
          <cell r="S237">
            <v>660.99</v>
          </cell>
          <cell r="T237">
            <v>2939.99</v>
          </cell>
          <cell r="U237">
            <v>489.99</v>
          </cell>
          <cell r="V237">
            <v>2645.99</v>
          </cell>
          <cell r="W237">
            <v>440.99</v>
          </cell>
        </row>
        <row r="238">
          <cell r="B238" t="str">
            <v>Uzbekistan</v>
          </cell>
          <cell r="C238" t="str">
            <v>Asia</v>
          </cell>
          <cell r="E238" t="str">
            <v>UZS</v>
          </cell>
          <cell r="F238">
            <v>923400</v>
          </cell>
          <cell r="G238">
            <v>153900</v>
          </cell>
          <cell r="H238">
            <v>683400</v>
          </cell>
          <cell r="I238">
            <v>113900</v>
          </cell>
          <cell r="J238">
            <v>614400</v>
          </cell>
          <cell r="K238">
            <v>102400</v>
          </cell>
          <cell r="L238">
            <v>6</v>
          </cell>
          <cell r="M238">
            <v>1.3511852502194908</v>
          </cell>
          <cell r="N238">
            <v>6</v>
          </cell>
          <cell r="O238">
            <v>6</v>
          </cell>
          <cell r="P238">
            <v>0.8990342405618964</v>
          </cell>
          <cell r="Q238" t="str">
            <v>UZS</v>
          </cell>
          <cell r="R238">
            <v>923400</v>
          </cell>
          <cell r="S238">
            <v>153900</v>
          </cell>
          <cell r="T238">
            <v>683400</v>
          </cell>
          <cell r="U238">
            <v>113900</v>
          </cell>
          <cell r="V238">
            <v>614400</v>
          </cell>
          <cell r="W238">
            <v>102400</v>
          </cell>
        </row>
        <row r="239">
          <cell r="B239" t="str">
            <v>Vanuatu</v>
          </cell>
          <cell r="C239" t="str">
            <v>Asia</v>
          </cell>
          <cell r="E239" t="str">
            <v>VUV</v>
          </cell>
          <cell r="F239">
            <v>7320</v>
          </cell>
          <cell r="G239">
            <v>1220</v>
          </cell>
          <cell r="H239">
            <v>5400</v>
          </cell>
          <cell r="I239">
            <v>900</v>
          </cell>
          <cell r="J239">
            <v>4860</v>
          </cell>
          <cell r="K239">
            <v>810</v>
          </cell>
          <cell r="L239">
            <v>6</v>
          </cell>
          <cell r="M239">
            <v>1.3555555555555556</v>
          </cell>
          <cell r="N239">
            <v>6</v>
          </cell>
          <cell r="O239">
            <v>6</v>
          </cell>
          <cell r="P239">
            <v>0.9</v>
          </cell>
          <cell r="Q239" t="str">
            <v>VUV</v>
          </cell>
          <cell r="R239">
            <v>7320</v>
          </cell>
          <cell r="S239">
            <v>1220</v>
          </cell>
          <cell r="T239">
            <v>5400</v>
          </cell>
          <cell r="U239">
            <v>900</v>
          </cell>
          <cell r="V239">
            <v>4860</v>
          </cell>
          <cell r="W239">
            <v>810</v>
          </cell>
        </row>
        <row r="240">
          <cell r="B240" t="str">
            <v>Vatican City State</v>
          </cell>
          <cell r="C240" t="str">
            <v>Europe</v>
          </cell>
          <cell r="E240" t="str">
            <v>EUR</v>
          </cell>
          <cell r="F240">
            <v>129.99</v>
          </cell>
          <cell r="G240">
            <v>18.989999999999998</v>
          </cell>
          <cell r="H240">
            <v>89.99</v>
          </cell>
          <cell r="I240">
            <v>14.99</v>
          </cell>
          <cell r="J240">
            <v>79.989999999999995</v>
          </cell>
          <cell r="K240">
            <v>12.99</v>
          </cell>
          <cell r="L240">
            <v>6.8451816745655618</v>
          </cell>
          <cell r="M240">
            <v>1.266844563042028</v>
          </cell>
          <cell r="N240">
            <v>6.0033355570380253</v>
          </cell>
          <cell r="O240">
            <v>6.157813702848344</v>
          </cell>
          <cell r="P240">
            <v>0.86657771847898601</v>
          </cell>
          <cell r="Q240" t="str">
            <v>EUR</v>
          </cell>
          <cell r="R240">
            <v>129.99</v>
          </cell>
          <cell r="S240">
            <v>18.989999999999998</v>
          </cell>
          <cell r="T240">
            <v>89.99</v>
          </cell>
          <cell r="U240">
            <v>14.99</v>
          </cell>
          <cell r="V240">
            <v>79.989999999999995</v>
          </cell>
          <cell r="W240">
            <v>12.99</v>
          </cell>
        </row>
        <row r="241">
          <cell r="B241" t="str">
            <v>Venezuela</v>
          </cell>
          <cell r="C241" t="str">
            <v>Latin America</v>
          </cell>
          <cell r="E241" t="str">
            <v>USD</v>
          </cell>
          <cell r="F241">
            <v>95.99</v>
          </cell>
          <cell r="G241">
            <v>15.99</v>
          </cell>
          <cell r="H241">
            <v>71.989999999999995</v>
          </cell>
          <cell r="I241">
            <v>11.99</v>
          </cell>
          <cell r="J241">
            <v>65.989999999999995</v>
          </cell>
          <cell r="K241">
            <v>10.99</v>
          </cell>
          <cell r="L241">
            <v>6.0031269543464658</v>
          </cell>
          <cell r="M241">
            <v>1.3336113427856546</v>
          </cell>
          <cell r="N241">
            <v>6.0041701417848206</v>
          </cell>
          <cell r="O241">
            <v>6.0045495905368513</v>
          </cell>
          <cell r="P241">
            <v>0.91659716430358629</v>
          </cell>
          <cell r="Q241" t="str">
            <v>USD</v>
          </cell>
          <cell r="R241">
            <v>95.99</v>
          </cell>
          <cell r="S241">
            <v>15.99</v>
          </cell>
          <cell r="T241">
            <v>71.989999999999995</v>
          </cell>
          <cell r="U241">
            <v>11.99</v>
          </cell>
          <cell r="V241">
            <v>65.989999999999995</v>
          </cell>
          <cell r="W241">
            <v>10.99</v>
          </cell>
        </row>
        <row r="242">
          <cell r="B242" t="str">
            <v>Vietnam</v>
          </cell>
          <cell r="C242" t="str">
            <v>Asia</v>
          </cell>
          <cell r="E242" t="str">
            <v>VND</v>
          </cell>
          <cell r="F242">
            <v>1999900</v>
          </cell>
          <cell r="G242">
            <v>309000</v>
          </cell>
          <cell r="H242">
            <v>1539000</v>
          </cell>
          <cell r="I242">
            <v>220000</v>
          </cell>
          <cell r="J242">
            <v>1379000</v>
          </cell>
          <cell r="K242">
            <v>199000</v>
          </cell>
          <cell r="L242">
            <v>6.4721682847896442</v>
          </cell>
          <cell r="M242">
            <v>1.4045454545454545</v>
          </cell>
          <cell r="N242">
            <v>6.9954545454545451</v>
          </cell>
          <cell r="O242">
            <v>6.9296482412060305</v>
          </cell>
          <cell r="P242">
            <v>0.90454545454545454</v>
          </cell>
          <cell r="Q242" t="str">
            <v>VND</v>
          </cell>
          <cell r="R242">
            <v>1999900</v>
          </cell>
          <cell r="S242">
            <v>309000</v>
          </cell>
          <cell r="T242">
            <v>1539000</v>
          </cell>
          <cell r="U242">
            <v>220000</v>
          </cell>
          <cell r="V242">
            <v>1379000</v>
          </cell>
          <cell r="W242">
            <v>199000</v>
          </cell>
        </row>
        <row r="243">
          <cell r="B243" t="str">
            <v>Wallis And Futuna</v>
          </cell>
          <cell r="C243" t="str">
            <v>Asia</v>
          </cell>
          <cell r="E243" t="str">
            <v>XPF</v>
          </cell>
          <cell r="F243">
            <v>8100</v>
          </cell>
          <cell r="G243">
            <v>1350</v>
          </cell>
          <cell r="H243">
            <v>6000</v>
          </cell>
          <cell r="I243">
            <v>1000</v>
          </cell>
          <cell r="J243">
            <v>5400</v>
          </cell>
          <cell r="K243">
            <v>900</v>
          </cell>
          <cell r="L243">
            <v>6</v>
          </cell>
          <cell r="M243">
            <v>1.35</v>
          </cell>
          <cell r="N243">
            <v>6</v>
          </cell>
          <cell r="O243">
            <v>6</v>
          </cell>
          <cell r="P243">
            <v>0.9</v>
          </cell>
          <cell r="Q243" t="str">
            <v>XPF</v>
          </cell>
          <cell r="R243">
            <v>8100</v>
          </cell>
          <cell r="S243">
            <v>1350</v>
          </cell>
          <cell r="T243">
            <v>6000</v>
          </cell>
          <cell r="U243">
            <v>1000</v>
          </cell>
          <cell r="V243">
            <v>5400</v>
          </cell>
          <cell r="W243">
            <v>900</v>
          </cell>
        </row>
        <row r="244">
          <cell r="B244" t="str">
            <v>Western Sahara</v>
          </cell>
          <cell r="C244" t="str">
            <v>Africa</v>
          </cell>
          <cell r="E244" t="str">
            <v>MAD</v>
          </cell>
          <cell r="F244">
            <v>720</v>
          </cell>
          <cell r="G244">
            <v>120</v>
          </cell>
          <cell r="H244">
            <v>540</v>
          </cell>
          <cell r="I244">
            <v>90</v>
          </cell>
          <cell r="J244">
            <v>480</v>
          </cell>
          <cell r="K244">
            <v>80</v>
          </cell>
          <cell r="L244">
            <v>6</v>
          </cell>
          <cell r="M244">
            <v>1.3333333333333333</v>
          </cell>
          <cell r="N244">
            <v>6</v>
          </cell>
          <cell r="O244">
            <v>6</v>
          </cell>
          <cell r="P244">
            <v>0.88888888888888884</v>
          </cell>
          <cell r="Q244" t="str">
            <v>MAD</v>
          </cell>
          <cell r="R244">
            <v>720</v>
          </cell>
          <cell r="S244">
            <v>120</v>
          </cell>
          <cell r="T244">
            <v>540</v>
          </cell>
          <cell r="U244">
            <v>90</v>
          </cell>
          <cell r="V244">
            <v>480</v>
          </cell>
          <cell r="W244">
            <v>80</v>
          </cell>
        </row>
        <row r="245">
          <cell r="B245" t="str">
            <v>Yemen</v>
          </cell>
          <cell r="C245" t="str">
            <v>Middle East</v>
          </cell>
          <cell r="E245" t="str">
            <v>YER</v>
          </cell>
          <cell r="F245">
            <v>19439.990000000002</v>
          </cell>
          <cell r="G245">
            <v>3239.99</v>
          </cell>
          <cell r="H245">
            <v>14399.99</v>
          </cell>
          <cell r="I245">
            <v>2399.9899999999998</v>
          </cell>
          <cell r="J245">
            <v>12959.99</v>
          </cell>
          <cell r="K245">
            <v>2159.9899999999998</v>
          </cell>
          <cell r="L245">
            <v>6.0000154321463963</v>
          </cell>
          <cell r="M245">
            <v>1.3500014583394098</v>
          </cell>
          <cell r="N245">
            <v>6.0000208334201401</v>
          </cell>
          <cell r="O245">
            <v>6.0000231482553161</v>
          </cell>
          <cell r="P245">
            <v>0.89999958333159724</v>
          </cell>
          <cell r="Q245" t="str">
            <v>YER</v>
          </cell>
          <cell r="R245">
            <v>19439.990000000002</v>
          </cell>
          <cell r="S245">
            <v>3239.99</v>
          </cell>
          <cell r="T245">
            <v>14399.99</v>
          </cell>
          <cell r="U245">
            <v>2399.9899999999998</v>
          </cell>
          <cell r="V245">
            <v>12959.99</v>
          </cell>
          <cell r="W245">
            <v>2159.9899999999998</v>
          </cell>
        </row>
        <row r="246">
          <cell r="B246" t="str">
            <v>Zambia</v>
          </cell>
          <cell r="C246" t="str">
            <v>Africa</v>
          </cell>
          <cell r="E246" t="str">
            <v>ZMW</v>
          </cell>
          <cell r="F246">
            <v>1980</v>
          </cell>
          <cell r="G246">
            <v>330</v>
          </cell>
          <cell r="H246">
            <v>1440</v>
          </cell>
          <cell r="I246">
            <v>240</v>
          </cell>
          <cell r="J246">
            <v>1320</v>
          </cell>
          <cell r="K246">
            <v>220</v>
          </cell>
          <cell r="L246">
            <v>6</v>
          </cell>
          <cell r="M246">
            <v>1.375</v>
          </cell>
          <cell r="N246">
            <v>6</v>
          </cell>
          <cell r="O246">
            <v>6</v>
          </cell>
          <cell r="P246">
            <v>0.91666666666666663</v>
          </cell>
          <cell r="Q246" t="str">
            <v>ZMW</v>
          </cell>
          <cell r="R246">
            <v>1980</v>
          </cell>
          <cell r="S246">
            <v>330</v>
          </cell>
          <cell r="T246">
            <v>1440</v>
          </cell>
          <cell r="U246">
            <v>240</v>
          </cell>
          <cell r="V246">
            <v>1320</v>
          </cell>
          <cell r="W246">
            <v>220</v>
          </cell>
        </row>
        <row r="247">
          <cell r="B247" t="str">
            <v>Zimbabwe</v>
          </cell>
          <cell r="C247" t="str">
            <v>Africa</v>
          </cell>
          <cell r="E247" t="str">
            <v>USD</v>
          </cell>
          <cell r="F247">
            <v>71.989999999999995</v>
          </cell>
          <cell r="G247">
            <v>11.99</v>
          </cell>
          <cell r="H247">
            <v>53.99</v>
          </cell>
          <cell r="I247">
            <v>8.99</v>
          </cell>
          <cell r="J247">
            <v>47.99</v>
          </cell>
          <cell r="K247">
            <v>7.99</v>
          </cell>
          <cell r="L247">
            <v>6.0041701417848206</v>
          </cell>
          <cell r="M247">
            <v>1.3337041156840934</v>
          </cell>
          <cell r="N247">
            <v>6.0055617352614012</v>
          </cell>
          <cell r="O247">
            <v>6.0062578222778473</v>
          </cell>
          <cell r="P247">
            <v>0.88876529477196886</v>
          </cell>
          <cell r="Q247" t="str">
            <v>USD</v>
          </cell>
          <cell r="R247">
            <v>71.989999999999995</v>
          </cell>
          <cell r="S247">
            <v>11.99</v>
          </cell>
          <cell r="T247">
            <v>53.99</v>
          </cell>
          <cell r="U247">
            <v>8.99</v>
          </cell>
          <cell r="V247">
            <v>47.99</v>
          </cell>
          <cell r="W247">
            <v>7.99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Inputs -&gt;"/>
      <sheetName val="Pricing Scenario - Maintain"/>
      <sheetName val="Subscription Method - Expand"/>
      <sheetName val="DOM SKU &amp; Platform Avail."/>
      <sheetName val="INTL SKU &amp; Platform Avail."/>
      <sheetName val="DOM Pricing"/>
      <sheetName val="INTL Web Pricing -&gt;"/>
      <sheetName val="vs. FY22 SoS -&gt;"/>
      <sheetName val="Scenario - Maintain"/>
      <sheetName val="Subscriptions"/>
      <sheetName val="Single Game REFERENCE"/>
      <sheetName val="Single Game"/>
      <sheetName val="Commercial"/>
      <sheetName val="Other Platform Pricing -&gt;"/>
      <sheetName val="Apple"/>
      <sheetName val="Apple Tiers for Single Games"/>
      <sheetName val="Google"/>
      <sheetName val="Amazon"/>
      <sheetName val="Roku"/>
      <sheetName val="Internal Only -&gt;"/>
      <sheetName val="Free Trial Details"/>
      <sheetName val="Post-Purchase Upgrade&amp;Downgrade"/>
      <sheetName val="Post-Purchase Change Details"/>
      <sheetName val="Markets Not Selling LP"/>
      <sheetName val="Country &amp; Code Abbreviation"/>
      <sheetName val="FX Rates"/>
      <sheetName val="Platform Avail by Country"/>
      <sheetName val="Platform Sales Avail by Country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6</v>
          </cell>
          <cell r="M1">
            <v>12</v>
          </cell>
          <cell r="Q1">
            <v>16</v>
          </cell>
        </row>
        <row r="4">
          <cell r="B4" t="str">
            <v>Afghanistan</v>
          </cell>
          <cell r="C4" t="str">
            <v>Asia</v>
          </cell>
          <cell r="D4" t="str">
            <v>N</v>
          </cell>
          <cell r="E4" t="str">
            <v>BAU</v>
          </cell>
          <cell r="F4" t="str">
            <v>USD</v>
          </cell>
          <cell r="G4" t="str">
            <v/>
          </cell>
          <cell r="H4" t="str">
            <v/>
          </cell>
          <cell r="I4">
            <v>49.99</v>
          </cell>
          <cell r="J4">
            <v>10.99</v>
          </cell>
          <cell r="K4">
            <v>24.99</v>
          </cell>
          <cell r="L4">
            <v>4.99</v>
          </cell>
          <cell r="M4" t="str">
            <v>USD</v>
          </cell>
          <cell r="N4">
            <v>71.989999999999995</v>
          </cell>
          <cell r="O4">
            <v>11.99</v>
          </cell>
          <cell r="P4">
            <v>53.99</v>
          </cell>
          <cell r="Q4">
            <v>8.99</v>
          </cell>
          <cell r="R4">
            <v>47.99</v>
          </cell>
          <cell r="S4">
            <v>7.99</v>
          </cell>
        </row>
        <row r="5">
          <cell r="B5" t="str">
            <v>Aland Islands</v>
          </cell>
          <cell r="C5" t="str">
            <v>Europe</v>
          </cell>
          <cell r="D5" t="str">
            <v>N</v>
          </cell>
          <cell r="E5" t="str">
            <v>BAU</v>
          </cell>
          <cell r="F5" t="str">
            <v>EUR</v>
          </cell>
          <cell r="G5">
            <v>139.99</v>
          </cell>
          <cell r="H5">
            <v>27.99</v>
          </cell>
          <cell r="I5">
            <v>119.99</v>
          </cell>
          <cell r="J5">
            <v>24.99</v>
          </cell>
          <cell r="K5">
            <v>74.989999999999995</v>
          </cell>
          <cell r="L5">
            <v>14.99</v>
          </cell>
          <cell r="M5" t="str">
            <v>EUR</v>
          </cell>
          <cell r="N5">
            <v>119.99</v>
          </cell>
          <cell r="O5">
            <v>19.989999999999998</v>
          </cell>
          <cell r="P5">
            <v>89.99</v>
          </cell>
          <cell r="Q5">
            <v>14.99</v>
          </cell>
          <cell r="R5">
            <v>79.989999999999995</v>
          </cell>
          <cell r="S5">
            <v>12.99</v>
          </cell>
        </row>
        <row r="6">
          <cell r="B6" t="str">
            <v>Albania</v>
          </cell>
          <cell r="C6" t="str">
            <v>Europe</v>
          </cell>
          <cell r="D6" t="str">
            <v>N</v>
          </cell>
          <cell r="E6" t="str">
            <v>BAU</v>
          </cell>
          <cell r="F6" t="str">
            <v>ALL</v>
          </cell>
          <cell r="G6" t="str">
            <v/>
          </cell>
          <cell r="H6" t="str">
            <v/>
          </cell>
          <cell r="I6">
            <v>7600</v>
          </cell>
          <cell r="J6">
            <v>1500</v>
          </cell>
          <cell r="K6">
            <v>4900</v>
          </cell>
          <cell r="L6">
            <v>969.99</v>
          </cell>
          <cell r="M6" t="str">
            <v>ALL</v>
          </cell>
          <cell r="N6">
            <v>9719.99</v>
          </cell>
          <cell r="O6">
            <v>1619.99</v>
          </cell>
          <cell r="P6">
            <v>7199.99</v>
          </cell>
          <cell r="Q6">
            <v>1199.99</v>
          </cell>
          <cell r="R6">
            <v>6479.99</v>
          </cell>
          <cell r="S6">
            <v>1079.99</v>
          </cell>
        </row>
        <row r="7">
          <cell r="B7" t="str">
            <v>Algeria</v>
          </cell>
          <cell r="C7" t="str">
            <v>Africa</v>
          </cell>
          <cell r="D7" t="str">
            <v>N</v>
          </cell>
          <cell r="E7" t="str">
            <v>BAU</v>
          </cell>
          <cell r="F7" t="str">
            <v>DZD</v>
          </cell>
          <cell r="G7" t="str">
            <v/>
          </cell>
          <cell r="H7" t="str">
            <v/>
          </cell>
          <cell r="I7">
            <v>6000</v>
          </cell>
          <cell r="J7">
            <v>1300</v>
          </cell>
          <cell r="K7">
            <v>3000</v>
          </cell>
          <cell r="L7">
            <v>599.99</v>
          </cell>
          <cell r="M7" t="str">
            <v>DZD</v>
          </cell>
          <cell r="N7">
            <v>8099.99</v>
          </cell>
          <cell r="O7">
            <v>1349.99</v>
          </cell>
          <cell r="P7">
            <v>5999.99</v>
          </cell>
          <cell r="Q7">
            <v>999.99</v>
          </cell>
          <cell r="R7">
            <v>5399.99</v>
          </cell>
          <cell r="S7">
            <v>899.99</v>
          </cell>
        </row>
        <row r="8">
          <cell r="B8" t="str">
            <v>American Samoa</v>
          </cell>
          <cell r="C8" t="str">
            <v>Asia</v>
          </cell>
          <cell r="D8" t="str">
            <v>N</v>
          </cell>
          <cell r="E8" t="str">
            <v>BAU</v>
          </cell>
          <cell r="F8" t="str">
            <v>USD</v>
          </cell>
          <cell r="G8" t="str">
            <v/>
          </cell>
          <cell r="H8" t="str">
            <v/>
          </cell>
          <cell r="I8">
            <v>69.989999999999995</v>
          </cell>
          <cell r="J8">
            <v>13.99</v>
          </cell>
          <cell r="K8">
            <v>44.99</v>
          </cell>
          <cell r="L8">
            <v>8.99</v>
          </cell>
          <cell r="M8" t="str">
            <v>USD</v>
          </cell>
          <cell r="N8">
            <v>113.99</v>
          </cell>
          <cell r="O8">
            <v>18.989999999999998</v>
          </cell>
          <cell r="P8">
            <v>83.99</v>
          </cell>
          <cell r="Q8">
            <v>13.99</v>
          </cell>
          <cell r="R8">
            <v>77.989999999999995</v>
          </cell>
          <cell r="S8">
            <v>12.99</v>
          </cell>
        </row>
        <row r="9">
          <cell r="B9" t="str">
            <v>Andorra</v>
          </cell>
          <cell r="C9" t="str">
            <v>Europe</v>
          </cell>
          <cell r="D9" t="str">
            <v>N</v>
          </cell>
          <cell r="E9" t="str">
            <v>BAU</v>
          </cell>
          <cell r="F9" t="str">
            <v>EUR</v>
          </cell>
          <cell r="G9">
            <v>119.99</v>
          </cell>
          <cell r="H9">
            <v>22.99</v>
          </cell>
          <cell r="I9">
            <v>97.99</v>
          </cell>
          <cell r="J9">
            <v>19.989999999999998</v>
          </cell>
          <cell r="K9">
            <v>52.99</v>
          </cell>
          <cell r="L9">
            <v>10.99</v>
          </cell>
          <cell r="M9" t="str">
            <v>EUR</v>
          </cell>
          <cell r="N9">
            <v>139.99</v>
          </cell>
          <cell r="O9">
            <v>22.99</v>
          </cell>
          <cell r="P9">
            <v>109.99</v>
          </cell>
          <cell r="Q9">
            <v>17.989999999999998</v>
          </cell>
          <cell r="R9">
            <v>99.99</v>
          </cell>
          <cell r="S9">
            <v>15.99</v>
          </cell>
        </row>
        <row r="10">
          <cell r="B10" t="str">
            <v>Angola</v>
          </cell>
          <cell r="C10" t="str">
            <v>Africa</v>
          </cell>
          <cell r="D10" t="str">
            <v>N</v>
          </cell>
          <cell r="E10" t="str">
            <v>BAU</v>
          </cell>
          <cell r="F10" t="str">
            <v>USD</v>
          </cell>
          <cell r="G10" t="str">
            <v/>
          </cell>
          <cell r="H10" t="str">
            <v/>
          </cell>
          <cell r="I10">
            <v>49.99</v>
          </cell>
          <cell r="J10">
            <v>10.99</v>
          </cell>
          <cell r="K10">
            <v>24.99</v>
          </cell>
          <cell r="L10">
            <v>4.99</v>
          </cell>
          <cell r="M10" t="str">
            <v>USD</v>
          </cell>
          <cell r="N10">
            <v>71.989999999999995</v>
          </cell>
          <cell r="O10">
            <v>11.99</v>
          </cell>
          <cell r="P10">
            <v>53.99</v>
          </cell>
          <cell r="Q10">
            <v>8.99</v>
          </cell>
          <cell r="R10">
            <v>47.99</v>
          </cell>
          <cell r="S10">
            <v>7.99</v>
          </cell>
        </row>
        <row r="11">
          <cell r="B11" t="str">
            <v>Anguilla</v>
          </cell>
          <cell r="C11" t="str">
            <v>Latin America</v>
          </cell>
          <cell r="D11" t="str">
            <v>N</v>
          </cell>
          <cell r="E11" t="str">
            <v>BAU</v>
          </cell>
          <cell r="F11" t="str">
            <v>XCD</v>
          </cell>
          <cell r="G11" t="str">
            <v/>
          </cell>
          <cell r="H11" t="str">
            <v/>
          </cell>
          <cell r="I11">
            <v>189.99</v>
          </cell>
          <cell r="J11">
            <v>37.99</v>
          </cell>
          <cell r="K11">
            <v>119.99</v>
          </cell>
          <cell r="L11">
            <v>23.99</v>
          </cell>
          <cell r="M11" t="str">
            <v>XCD</v>
          </cell>
          <cell r="N11">
            <v>269.99</v>
          </cell>
          <cell r="O11">
            <v>44.99</v>
          </cell>
          <cell r="P11">
            <v>197.99</v>
          </cell>
          <cell r="Q11">
            <v>32.99</v>
          </cell>
          <cell r="R11">
            <v>179.99</v>
          </cell>
          <cell r="S11">
            <v>29.99</v>
          </cell>
        </row>
        <row r="12">
          <cell r="B12" t="str">
            <v>Antarctica</v>
          </cell>
          <cell r="C12" t="str">
            <v>Europe</v>
          </cell>
          <cell r="D12" t="str">
            <v>N</v>
          </cell>
          <cell r="E12" t="str">
            <v>BAU</v>
          </cell>
          <cell r="F12" t="str">
            <v>USD</v>
          </cell>
          <cell r="G12">
            <v>159.99</v>
          </cell>
          <cell r="H12">
            <v>31.99</v>
          </cell>
          <cell r="I12">
            <v>139.99</v>
          </cell>
          <cell r="J12">
            <v>27.99</v>
          </cell>
          <cell r="K12">
            <v>84.99</v>
          </cell>
          <cell r="L12">
            <v>16.989999999999998</v>
          </cell>
          <cell r="M12" t="str">
            <v>USD</v>
          </cell>
          <cell r="N12">
            <v>129.99</v>
          </cell>
          <cell r="O12">
            <v>21.99</v>
          </cell>
          <cell r="P12">
            <v>99.99</v>
          </cell>
          <cell r="Q12">
            <v>16.989999999999998</v>
          </cell>
          <cell r="R12">
            <v>89.99</v>
          </cell>
          <cell r="S12">
            <v>14.99</v>
          </cell>
        </row>
        <row r="13">
          <cell r="B13" t="str">
            <v>Antigua And Barbuda</v>
          </cell>
          <cell r="C13" t="str">
            <v>Latin America</v>
          </cell>
          <cell r="D13" t="str">
            <v>N</v>
          </cell>
          <cell r="E13" t="str">
            <v>BAU</v>
          </cell>
          <cell r="F13" t="str">
            <v>XCD</v>
          </cell>
          <cell r="G13" t="str">
            <v/>
          </cell>
          <cell r="H13" t="str">
            <v/>
          </cell>
          <cell r="I13">
            <v>189.99</v>
          </cell>
          <cell r="J13">
            <v>37.99</v>
          </cell>
          <cell r="K13">
            <v>119.99</v>
          </cell>
          <cell r="L13">
            <v>23.99</v>
          </cell>
          <cell r="M13" t="str">
            <v>XCD</v>
          </cell>
          <cell r="N13">
            <v>305.99</v>
          </cell>
          <cell r="O13">
            <v>50.99</v>
          </cell>
          <cell r="P13">
            <v>227.99</v>
          </cell>
          <cell r="Q13">
            <v>37.99</v>
          </cell>
          <cell r="R13">
            <v>203.99</v>
          </cell>
          <cell r="S13">
            <v>33.99</v>
          </cell>
        </row>
        <row r="14">
          <cell r="B14" t="str">
            <v>Argentina</v>
          </cell>
          <cell r="C14" t="str">
            <v>Latin America</v>
          </cell>
          <cell r="D14" t="str">
            <v>Y</v>
          </cell>
          <cell r="E14" t="str">
            <v>BAU</v>
          </cell>
          <cell r="F14" t="str">
            <v>ARS</v>
          </cell>
          <cell r="G14">
            <v>7083.9999999999991</v>
          </cell>
          <cell r="H14">
            <v>579.99</v>
          </cell>
          <cell r="I14">
            <v>6160</v>
          </cell>
          <cell r="J14">
            <v>479.99</v>
          </cell>
          <cell r="K14">
            <v>2200</v>
          </cell>
          <cell r="L14">
            <v>219.99</v>
          </cell>
          <cell r="M14" t="str">
            <v>ARS</v>
          </cell>
          <cell r="N14">
            <v>3743.99</v>
          </cell>
          <cell r="O14">
            <v>623.99</v>
          </cell>
          <cell r="P14">
            <v>2879.99</v>
          </cell>
          <cell r="Q14">
            <v>479.99</v>
          </cell>
          <cell r="R14">
            <v>2591.9899999999998</v>
          </cell>
          <cell r="S14">
            <v>431.99</v>
          </cell>
        </row>
        <row r="15">
          <cell r="B15" t="str">
            <v>Armenia</v>
          </cell>
          <cell r="C15" t="str">
            <v>Middle East</v>
          </cell>
          <cell r="D15" t="str">
            <v>N</v>
          </cell>
          <cell r="E15" t="str">
            <v>BAU</v>
          </cell>
          <cell r="F15" t="str">
            <v>AMD</v>
          </cell>
          <cell r="G15" t="str">
            <v/>
          </cell>
          <cell r="H15" t="str">
            <v/>
          </cell>
          <cell r="I15">
            <v>33500</v>
          </cell>
          <cell r="J15">
            <v>6700</v>
          </cell>
          <cell r="K15">
            <v>21500</v>
          </cell>
          <cell r="L15">
            <v>4300</v>
          </cell>
          <cell r="M15" t="str">
            <v>AMD</v>
          </cell>
          <cell r="N15">
            <v>54269.99</v>
          </cell>
          <cell r="O15">
            <v>9039.99</v>
          </cell>
          <cell r="P15">
            <v>40199.99</v>
          </cell>
          <cell r="Q15">
            <v>6699.99</v>
          </cell>
          <cell r="R15">
            <v>36179.99</v>
          </cell>
          <cell r="S15">
            <v>6029.99</v>
          </cell>
        </row>
        <row r="16">
          <cell r="B16" t="str">
            <v>Aruba</v>
          </cell>
          <cell r="C16" t="str">
            <v>Latin America</v>
          </cell>
          <cell r="D16" t="str">
            <v>N</v>
          </cell>
          <cell r="E16" t="str">
            <v>BAU</v>
          </cell>
          <cell r="F16" t="str">
            <v>AWG</v>
          </cell>
          <cell r="G16" t="str">
            <v/>
          </cell>
          <cell r="H16" t="str">
            <v/>
          </cell>
          <cell r="I16">
            <v>129.99</v>
          </cell>
          <cell r="J16">
            <v>24.99</v>
          </cell>
          <cell r="K16">
            <v>80.989999999999995</v>
          </cell>
          <cell r="L16">
            <v>15.99</v>
          </cell>
          <cell r="M16" t="str">
            <v>AWG</v>
          </cell>
          <cell r="N16">
            <v>179.99</v>
          </cell>
          <cell r="O16">
            <v>29.99</v>
          </cell>
          <cell r="P16">
            <v>131.99</v>
          </cell>
          <cell r="Q16">
            <v>21.99</v>
          </cell>
          <cell r="R16">
            <v>119.99</v>
          </cell>
          <cell r="S16">
            <v>19.989999999999998</v>
          </cell>
        </row>
        <row r="17">
          <cell r="B17" t="str">
            <v>Australia</v>
          </cell>
          <cell r="C17" t="str">
            <v>Asia</v>
          </cell>
          <cell r="D17" t="str">
            <v>Y</v>
          </cell>
          <cell r="E17" t="str">
            <v>BAU</v>
          </cell>
          <cell r="F17" t="str">
            <v>AUD</v>
          </cell>
          <cell r="G17">
            <v>389.99</v>
          </cell>
          <cell r="H17">
            <v>51.99</v>
          </cell>
          <cell r="I17">
            <v>299.99</v>
          </cell>
          <cell r="J17">
            <v>39.99</v>
          </cell>
          <cell r="K17">
            <v>169.99</v>
          </cell>
          <cell r="L17">
            <v>19.989999999999998</v>
          </cell>
          <cell r="M17" t="str">
            <v>AUD</v>
          </cell>
          <cell r="N17">
            <v>209.99</v>
          </cell>
          <cell r="O17">
            <v>29.99</v>
          </cell>
          <cell r="P17">
            <v>154.99</v>
          </cell>
          <cell r="Q17">
            <v>21.99</v>
          </cell>
          <cell r="R17">
            <v>119.99</v>
          </cell>
          <cell r="S17">
            <v>19.989999999999998</v>
          </cell>
        </row>
        <row r="18">
          <cell r="B18" t="str">
            <v>Austria</v>
          </cell>
          <cell r="C18" t="str">
            <v>Europe</v>
          </cell>
          <cell r="D18" t="str">
            <v>Y</v>
          </cell>
          <cell r="E18" t="str">
            <v>Steeper than BAU</v>
          </cell>
          <cell r="F18" t="str">
            <v>EUR</v>
          </cell>
          <cell r="G18">
            <v>229.99</v>
          </cell>
          <cell r="H18">
            <v>29.99</v>
          </cell>
          <cell r="I18">
            <v>199.99</v>
          </cell>
          <cell r="J18">
            <v>24.99</v>
          </cell>
          <cell r="K18">
            <v>109.99</v>
          </cell>
          <cell r="L18">
            <v>14.99</v>
          </cell>
          <cell r="M18" t="str">
            <v>EUR</v>
          </cell>
          <cell r="N18">
            <v>139.99</v>
          </cell>
          <cell r="O18">
            <v>23.99</v>
          </cell>
          <cell r="P18">
            <v>109.99</v>
          </cell>
          <cell r="Q18">
            <v>17.989999999999998</v>
          </cell>
          <cell r="R18">
            <v>99.99</v>
          </cell>
          <cell r="S18">
            <v>15.99</v>
          </cell>
        </row>
        <row r="19">
          <cell r="B19" t="str">
            <v>Azerbaijan</v>
          </cell>
          <cell r="C19" t="str">
            <v>Middle East</v>
          </cell>
          <cell r="D19" t="str">
            <v>N</v>
          </cell>
          <cell r="E19" t="str">
            <v>BAU</v>
          </cell>
          <cell r="F19" t="str">
            <v>AZN</v>
          </cell>
          <cell r="G19" t="str">
            <v/>
          </cell>
          <cell r="H19" t="str">
            <v/>
          </cell>
          <cell r="I19">
            <v>119.99</v>
          </cell>
          <cell r="J19">
            <v>23.99</v>
          </cell>
          <cell r="K19">
            <v>75.989999999999995</v>
          </cell>
          <cell r="L19">
            <v>14.99</v>
          </cell>
          <cell r="M19" t="str">
            <v>AZN</v>
          </cell>
          <cell r="N19">
            <v>179.99</v>
          </cell>
          <cell r="O19">
            <v>29.99</v>
          </cell>
          <cell r="P19">
            <v>129.99</v>
          </cell>
          <cell r="Q19">
            <v>21.99</v>
          </cell>
          <cell r="R19">
            <v>119.99</v>
          </cell>
          <cell r="S19">
            <v>19.989999999999998</v>
          </cell>
        </row>
        <row r="20">
          <cell r="B20" t="str">
            <v>Bahamas</v>
          </cell>
          <cell r="C20" t="str">
            <v>Latin America</v>
          </cell>
          <cell r="D20" t="str">
            <v>N</v>
          </cell>
          <cell r="E20" t="str">
            <v>BAU</v>
          </cell>
          <cell r="F20" t="str">
            <v>BSD</v>
          </cell>
          <cell r="G20" t="str">
            <v/>
          </cell>
          <cell r="H20" t="str">
            <v/>
          </cell>
          <cell r="I20">
            <v>69.989999999999995</v>
          </cell>
          <cell r="J20">
            <v>13.99</v>
          </cell>
          <cell r="K20">
            <v>44.99</v>
          </cell>
          <cell r="L20">
            <v>8.99</v>
          </cell>
          <cell r="M20" t="str">
            <v>BSD</v>
          </cell>
          <cell r="N20">
            <v>95.99</v>
          </cell>
          <cell r="O20">
            <v>15.99</v>
          </cell>
          <cell r="P20">
            <v>71.989999999999995</v>
          </cell>
          <cell r="Q20">
            <v>11.99</v>
          </cell>
          <cell r="R20">
            <v>65.989999999999995</v>
          </cell>
          <cell r="S20">
            <v>10.99</v>
          </cell>
        </row>
        <row r="21">
          <cell r="B21" t="str">
            <v>Bahrain</v>
          </cell>
          <cell r="C21" t="str">
            <v>Middle East</v>
          </cell>
          <cell r="D21" t="str">
            <v>N</v>
          </cell>
          <cell r="E21" t="str">
            <v>BAU</v>
          </cell>
          <cell r="F21" t="str">
            <v>BHD</v>
          </cell>
          <cell r="G21">
            <v>49.99</v>
          </cell>
          <cell r="H21">
            <v>9.99</v>
          </cell>
          <cell r="I21">
            <v>40.99</v>
          </cell>
          <cell r="J21">
            <v>8.99</v>
          </cell>
          <cell r="K21">
            <v>22.99</v>
          </cell>
          <cell r="L21">
            <v>4.99</v>
          </cell>
          <cell r="M21" t="str">
            <v>BHD</v>
          </cell>
          <cell r="N21">
            <v>49.999000000000002</v>
          </cell>
          <cell r="O21">
            <v>8.9990000000000006</v>
          </cell>
          <cell r="P21">
            <v>39.999000000000002</v>
          </cell>
          <cell r="Q21">
            <v>6.9989999999999997</v>
          </cell>
          <cell r="R21">
            <v>29.998999999999999</v>
          </cell>
          <cell r="S21">
            <v>5.9989999999999997</v>
          </cell>
        </row>
        <row r="22">
          <cell r="B22" t="str">
            <v>Bangladesh</v>
          </cell>
          <cell r="C22" t="str">
            <v>Asia</v>
          </cell>
          <cell r="D22" t="str">
            <v>N</v>
          </cell>
          <cell r="E22" t="str">
            <v>BAU</v>
          </cell>
          <cell r="F22" t="str">
            <v>BDT</v>
          </cell>
          <cell r="G22" t="str">
            <v/>
          </cell>
          <cell r="H22" t="str">
            <v/>
          </cell>
          <cell r="I22">
            <v>4200</v>
          </cell>
          <cell r="J22">
            <v>929.99</v>
          </cell>
          <cell r="K22">
            <v>2100</v>
          </cell>
          <cell r="L22">
            <v>419.99</v>
          </cell>
          <cell r="M22" t="str">
            <v>BDT</v>
          </cell>
          <cell r="N22">
            <v>6071.99</v>
          </cell>
          <cell r="O22">
            <v>1011.99</v>
          </cell>
          <cell r="P22">
            <v>4499.99</v>
          </cell>
          <cell r="Q22">
            <v>749.99</v>
          </cell>
          <cell r="R22">
            <v>4049.99</v>
          </cell>
          <cell r="S22">
            <v>674.99</v>
          </cell>
        </row>
        <row r="23">
          <cell r="B23" t="str">
            <v>Barbados</v>
          </cell>
          <cell r="C23" t="str">
            <v>Latin America</v>
          </cell>
          <cell r="D23" t="str">
            <v>N</v>
          </cell>
          <cell r="E23" t="str">
            <v>BAU</v>
          </cell>
          <cell r="F23" t="str">
            <v>BBD</v>
          </cell>
          <cell r="G23" t="str">
            <v/>
          </cell>
          <cell r="H23" t="str">
            <v/>
          </cell>
          <cell r="I23">
            <v>139.99</v>
          </cell>
          <cell r="J23">
            <v>27.99</v>
          </cell>
          <cell r="K23">
            <v>89.99</v>
          </cell>
          <cell r="L23">
            <v>17.989999999999998</v>
          </cell>
          <cell r="M23" t="str">
            <v>BBD</v>
          </cell>
          <cell r="N23">
            <v>209.99</v>
          </cell>
          <cell r="O23">
            <v>34.99</v>
          </cell>
          <cell r="P23">
            <v>155.99</v>
          </cell>
          <cell r="Q23">
            <v>25.99</v>
          </cell>
          <cell r="R23">
            <v>137.99</v>
          </cell>
          <cell r="S23">
            <v>22.99</v>
          </cell>
        </row>
        <row r="24">
          <cell r="B24" t="str">
            <v>Belarus</v>
          </cell>
          <cell r="C24" t="str">
            <v>Europe</v>
          </cell>
          <cell r="D24" t="str">
            <v>N</v>
          </cell>
          <cell r="E24" t="str">
            <v>BAU</v>
          </cell>
          <cell r="F24" t="str">
            <v>USD</v>
          </cell>
          <cell r="G24" t="str">
            <v/>
          </cell>
          <cell r="H24" t="str">
            <v/>
          </cell>
          <cell r="I24">
            <v>69.989999999999995</v>
          </cell>
          <cell r="J24">
            <v>13.99</v>
          </cell>
          <cell r="K24">
            <v>44.99</v>
          </cell>
          <cell r="L24">
            <v>8.99</v>
          </cell>
          <cell r="M24" t="str">
            <v>BYN</v>
          </cell>
          <cell r="N24"/>
          <cell r="O24"/>
          <cell r="P24"/>
          <cell r="Q24"/>
          <cell r="R24"/>
          <cell r="S24"/>
        </row>
        <row r="25">
          <cell r="B25" t="str">
            <v>Belgium</v>
          </cell>
          <cell r="C25" t="str">
            <v>Europe</v>
          </cell>
          <cell r="D25" t="str">
            <v>Y</v>
          </cell>
          <cell r="E25" t="str">
            <v>Steeper than BAU</v>
          </cell>
          <cell r="F25" t="str">
            <v>EUR</v>
          </cell>
          <cell r="G25">
            <v>229.99</v>
          </cell>
          <cell r="H25">
            <v>29.99</v>
          </cell>
          <cell r="I25">
            <v>199.99</v>
          </cell>
          <cell r="J25">
            <v>24.99</v>
          </cell>
          <cell r="K25">
            <v>109.99</v>
          </cell>
          <cell r="L25">
            <v>14.99</v>
          </cell>
          <cell r="M25" t="str">
            <v>EUR</v>
          </cell>
          <cell r="N25">
            <v>149.99</v>
          </cell>
          <cell r="O25">
            <v>25.99</v>
          </cell>
          <cell r="P25">
            <v>109.99</v>
          </cell>
          <cell r="Q25">
            <v>18.989999999999998</v>
          </cell>
          <cell r="R25">
            <v>99.99</v>
          </cell>
          <cell r="S25">
            <v>16.989999999999998</v>
          </cell>
        </row>
        <row r="26">
          <cell r="B26" t="str">
            <v>Belize</v>
          </cell>
          <cell r="C26" t="str">
            <v>Latin America</v>
          </cell>
          <cell r="D26" t="str">
            <v>N</v>
          </cell>
          <cell r="E26" t="str">
            <v>BAU</v>
          </cell>
          <cell r="F26" t="str">
            <v>BZD</v>
          </cell>
          <cell r="G26" t="str">
            <v/>
          </cell>
          <cell r="H26" t="str">
            <v/>
          </cell>
          <cell r="I26">
            <v>99.99</v>
          </cell>
          <cell r="J26">
            <v>21.99</v>
          </cell>
          <cell r="K26">
            <v>49.99</v>
          </cell>
          <cell r="L26">
            <v>9.99</v>
          </cell>
          <cell r="M26" t="str">
            <v>BZD</v>
          </cell>
          <cell r="N26">
            <v>143.99</v>
          </cell>
          <cell r="O26">
            <v>23.99</v>
          </cell>
          <cell r="P26">
            <v>107.99</v>
          </cell>
          <cell r="Q26">
            <v>17.989999999999998</v>
          </cell>
          <cell r="R26">
            <v>95.99</v>
          </cell>
          <cell r="S26">
            <v>15.99</v>
          </cell>
        </row>
        <row r="27">
          <cell r="B27" t="str">
            <v>Benin</v>
          </cell>
          <cell r="C27" t="str">
            <v>Africa</v>
          </cell>
          <cell r="D27" t="str">
            <v>N</v>
          </cell>
          <cell r="E27" t="str">
            <v>BAU</v>
          </cell>
          <cell r="F27" t="str">
            <v>XOF</v>
          </cell>
          <cell r="G27" t="str">
            <v/>
          </cell>
          <cell r="H27" t="str">
            <v/>
          </cell>
          <cell r="I27">
            <v>29100</v>
          </cell>
          <cell r="J27">
            <v>6400</v>
          </cell>
          <cell r="K27">
            <v>14500</v>
          </cell>
          <cell r="L27">
            <v>2900</v>
          </cell>
          <cell r="M27" t="str">
            <v>XOF</v>
          </cell>
          <cell r="N27">
            <v>43740</v>
          </cell>
          <cell r="O27">
            <v>7290</v>
          </cell>
          <cell r="P27">
            <v>32400</v>
          </cell>
          <cell r="Q27">
            <v>5400</v>
          </cell>
          <cell r="R27">
            <v>29160</v>
          </cell>
          <cell r="S27">
            <v>4860</v>
          </cell>
        </row>
        <row r="28">
          <cell r="B28" t="str">
            <v>Bermuda</v>
          </cell>
          <cell r="C28" t="str">
            <v>Domestic</v>
          </cell>
          <cell r="D28" t="str">
            <v>N</v>
          </cell>
          <cell r="E28" t="str">
            <v>BAU</v>
          </cell>
          <cell r="F28" t="str">
            <v>BMD</v>
          </cell>
          <cell r="G28" t="str">
            <v/>
          </cell>
          <cell r="H28" t="str">
            <v/>
          </cell>
          <cell r="I28">
            <v>69.989999999999995</v>
          </cell>
          <cell r="J28">
            <v>13.99</v>
          </cell>
          <cell r="K28">
            <v>44.99</v>
          </cell>
          <cell r="L28">
            <v>8.99</v>
          </cell>
          <cell r="M28" t="str">
            <v>BMD</v>
          </cell>
          <cell r="N28">
            <v>95.99</v>
          </cell>
          <cell r="O28">
            <v>15.99</v>
          </cell>
          <cell r="P28">
            <v>71.989999999999995</v>
          </cell>
          <cell r="Q28">
            <v>11.99</v>
          </cell>
          <cell r="R28">
            <v>65.989999999999995</v>
          </cell>
          <cell r="S28">
            <v>10.99</v>
          </cell>
        </row>
        <row r="29">
          <cell r="B29" t="str">
            <v>Bhutan</v>
          </cell>
          <cell r="C29" t="str">
            <v>Asia</v>
          </cell>
          <cell r="D29" t="str">
            <v>N</v>
          </cell>
          <cell r="E29" t="str">
            <v>BAU</v>
          </cell>
          <cell r="F29" t="str">
            <v>USD</v>
          </cell>
          <cell r="G29" t="str">
            <v/>
          </cell>
          <cell r="H29" t="str">
            <v/>
          </cell>
          <cell r="I29">
            <v>49.99</v>
          </cell>
          <cell r="J29">
            <v>10.99</v>
          </cell>
          <cell r="K29">
            <v>24.99</v>
          </cell>
          <cell r="L29">
            <v>4.99</v>
          </cell>
          <cell r="M29" t="str">
            <v>USD</v>
          </cell>
          <cell r="N29">
            <v>71.989999999999995</v>
          </cell>
          <cell r="O29">
            <v>11.99</v>
          </cell>
          <cell r="P29">
            <v>53.99</v>
          </cell>
          <cell r="Q29">
            <v>8.99</v>
          </cell>
          <cell r="R29">
            <v>47.99</v>
          </cell>
          <cell r="S29">
            <v>7.99</v>
          </cell>
        </row>
        <row r="30">
          <cell r="B30" t="str">
            <v>Bolivia</v>
          </cell>
          <cell r="C30" t="str">
            <v>Europe</v>
          </cell>
          <cell r="D30" t="str">
            <v>N</v>
          </cell>
          <cell r="E30" t="str">
            <v>BAU</v>
          </cell>
          <cell r="F30" t="str">
            <v>BOB</v>
          </cell>
          <cell r="G30" t="str">
            <v/>
          </cell>
          <cell r="H30" t="str">
            <v/>
          </cell>
          <cell r="I30">
            <v>349.99</v>
          </cell>
          <cell r="J30">
            <v>75.989999999999995</v>
          </cell>
          <cell r="K30">
            <v>169.99</v>
          </cell>
          <cell r="L30">
            <v>33.99</v>
          </cell>
          <cell r="M30" t="str">
            <v>BOB</v>
          </cell>
          <cell r="N30">
            <v>559.99</v>
          </cell>
          <cell r="O30">
            <v>92.99</v>
          </cell>
          <cell r="P30">
            <v>409.99</v>
          </cell>
          <cell r="Q30">
            <v>68.989999999999995</v>
          </cell>
          <cell r="R30">
            <v>369.99</v>
          </cell>
          <cell r="S30">
            <v>61.99</v>
          </cell>
        </row>
        <row r="31">
          <cell r="B31" t="str">
            <v>Bonaire</v>
          </cell>
          <cell r="C31" t="str">
            <v>Europe</v>
          </cell>
          <cell r="D31" t="str">
            <v>N</v>
          </cell>
          <cell r="E31" t="str">
            <v>BAU</v>
          </cell>
          <cell r="F31" t="str">
            <v>USD</v>
          </cell>
          <cell r="G31" t="str">
            <v/>
          </cell>
          <cell r="H31" t="str">
            <v/>
          </cell>
          <cell r="I31">
            <v>69.989999999999995</v>
          </cell>
          <cell r="J31">
            <v>13.99</v>
          </cell>
          <cell r="K31">
            <v>44.99</v>
          </cell>
          <cell r="L31">
            <v>8.99</v>
          </cell>
          <cell r="M31" t="str">
            <v>USD</v>
          </cell>
          <cell r="N31">
            <v>89.99</v>
          </cell>
          <cell r="O31">
            <v>14.99</v>
          </cell>
          <cell r="P31">
            <v>59.99</v>
          </cell>
          <cell r="Q31">
            <v>10.99</v>
          </cell>
          <cell r="R31">
            <v>59.99</v>
          </cell>
          <cell r="S31">
            <v>9.99</v>
          </cell>
        </row>
        <row r="32">
          <cell r="B32" t="str">
            <v>Bosnia And Herzegovina</v>
          </cell>
          <cell r="C32" t="str">
            <v>Europe</v>
          </cell>
          <cell r="D32" t="str">
            <v>N</v>
          </cell>
          <cell r="E32" t="str">
            <v>BAU</v>
          </cell>
          <cell r="F32" t="str">
            <v>BAM</v>
          </cell>
          <cell r="G32" t="str">
            <v/>
          </cell>
          <cell r="H32" t="str">
            <v/>
          </cell>
          <cell r="I32">
            <v>189.99</v>
          </cell>
          <cell r="J32">
            <v>23.99</v>
          </cell>
          <cell r="K32">
            <v>129.99</v>
          </cell>
          <cell r="L32">
            <v>15.99</v>
          </cell>
          <cell r="M32" t="str">
            <v>BAM</v>
          </cell>
          <cell r="N32">
            <v>139.99</v>
          </cell>
          <cell r="O32">
            <v>23.99</v>
          </cell>
          <cell r="P32">
            <v>109.99</v>
          </cell>
          <cell r="Q32">
            <v>17.989999999999998</v>
          </cell>
          <cell r="R32">
            <v>99.99</v>
          </cell>
          <cell r="S32">
            <v>15.99</v>
          </cell>
        </row>
        <row r="33">
          <cell r="B33" t="str">
            <v>Botswana</v>
          </cell>
          <cell r="C33" t="str">
            <v>Africa</v>
          </cell>
          <cell r="D33" t="str">
            <v>N</v>
          </cell>
          <cell r="E33" t="str">
            <v>BAU</v>
          </cell>
          <cell r="F33" t="str">
            <v>BWP</v>
          </cell>
          <cell r="G33" t="str">
            <v/>
          </cell>
          <cell r="H33" t="str">
            <v/>
          </cell>
          <cell r="I33">
            <v>539.99</v>
          </cell>
          <cell r="J33">
            <v>119.99</v>
          </cell>
          <cell r="K33">
            <v>269.99</v>
          </cell>
          <cell r="L33">
            <v>53.99</v>
          </cell>
          <cell r="M33" t="str">
            <v>BWP</v>
          </cell>
          <cell r="N33">
            <v>665.99</v>
          </cell>
          <cell r="O33">
            <v>110.99</v>
          </cell>
          <cell r="P33">
            <v>491.99</v>
          </cell>
          <cell r="Q33">
            <v>81.99</v>
          </cell>
          <cell r="R33">
            <v>443.99</v>
          </cell>
          <cell r="S33">
            <v>73.989999999999995</v>
          </cell>
        </row>
        <row r="34">
          <cell r="B34" t="str">
            <v>Bouvet Island</v>
          </cell>
          <cell r="C34" t="str">
            <v>Europe</v>
          </cell>
          <cell r="D34" t="str">
            <v>N</v>
          </cell>
          <cell r="E34" t="str">
            <v>BAU</v>
          </cell>
          <cell r="F34" t="str">
            <v>NOK</v>
          </cell>
          <cell r="G34">
            <v>1400</v>
          </cell>
          <cell r="H34">
            <v>279.99</v>
          </cell>
          <cell r="I34">
            <v>1200</v>
          </cell>
          <cell r="J34">
            <v>239.99</v>
          </cell>
          <cell r="K34">
            <v>739.99</v>
          </cell>
          <cell r="L34">
            <v>149.99</v>
          </cell>
          <cell r="M34" t="str">
            <v>NOK</v>
          </cell>
          <cell r="N34">
            <v>1199.99</v>
          </cell>
          <cell r="O34">
            <v>199.99</v>
          </cell>
          <cell r="P34">
            <v>899.99</v>
          </cell>
          <cell r="Q34">
            <v>149.99</v>
          </cell>
          <cell r="R34">
            <v>839.99</v>
          </cell>
          <cell r="S34">
            <v>139.99</v>
          </cell>
        </row>
        <row r="35">
          <cell r="B35" t="str">
            <v>Brazil</v>
          </cell>
          <cell r="C35" t="str">
            <v>Latin America</v>
          </cell>
          <cell r="D35" t="str">
            <v>Y</v>
          </cell>
          <cell r="E35" t="str">
            <v>BAU</v>
          </cell>
          <cell r="F35" t="str">
            <v>BRL</v>
          </cell>
          <cell r="G35">
            <v>419.99</v>
          </cell>
          <cell r="H35">
            <v>59.99</v>
          </cell>
          <cell r="I35">
            <v>399.99</v>
          </cell>
          <cell r="J35">
            <v>50.99</v>
          </cell>
          <cell r="K35">
            <v>189.99</v>
          </cell>
          <cell r="L35">
            <v>18.989999999999998</v>
          </cell>
          <cell r="M35" t="str">
            <v>BRL</v>
          </cell>
          <cell r="N35">
            <v>395.99</v>
          </cell>
          <cell r="O35">
            <v>65.989999999999995</v>
          </cell>
          <cell r="P35">
            <v>305.99</v>
          </cell>
          <cell r="Q35">
            <v>50.99</v>
          </cell>
          <cell r="R35">
            <v>275.99</v>
          </cell>
          <cell r="S35">
            <v>45.99</v>
          </cell>
        </row>
        <row r="36">
          <cell r="B36" t="str">
            <v>British Indian Ocean Territory</v>
          </cell>
          <cell r="C36" t="str">
            <v>Asia</v>
          </cell>
          <cell r="D36" t="str">
            <v>N</v>
          </cell>
          <cell r="E36" t="str">
            <v>BAU</v>
          </cell>
          <cell r="F36" t="str">
            <v>USD</v>
          </cell>
          <cell r="G36" t="str">
            <v/>
          </cell>
          <cell r="H36" t="str">
            <v/>
          </cell>
          <cell r="I36">
            <v>69.989999999999995</v>
          </cell>
          <cell r="J36">
            <v>13.99</v>
          </cell>
          <cell r="K36">
            <v>44.99</v>
          </cell>
          <cell r="L36">
            <v>8.99</v>
          </cell>
          <cell r="M36" t="str">
            <v>USD</v>
          </cell>
          <cell r="N36">
            <v>77.989999999999995</v>
          </cell>
          <cell r="O36">
            <v>12.99</v>
          </cell>
          <cell r="P36">
            <v>59.99</v>
          </cell>
          <cell r="Q36">
            <v>9.99</v>
          </cell>
          <cell r="R36">
            <v>53.99</v>
          </cell>
          <cell r="S36">
            <v>8.99</v>
          </cell>
        </row>
        <row r="37">
          <cell r="B37" t="str">
            <v>British Virgin Islands</v>
          </cell>
          <cell r="C37" t="str">
            <v>Latin America</v>
          </cell>
          <cell r="D37" t="str">
            <v>N</v>
          </cell>
          <cell r="E37" t="str">
            <v>BAU</v>
          </cell>
          <cell r="F37" t="str">
            <v>USD</v>
          </cell>
          <cell r="G37" t="str">
            <v/>
          </cell>
          <cell r="H37" t="str">
            <v/>
          </cell>
          <cell r="I37">
            <v>69.989999999999995</v>
          </cell>
          <cell r="J37">
            <v>13.99</v>
          </cell>
          <cell r="K37">
            <v>44.99</v>
          </cell>
          <cell r="L37">
            <v>8.99</v>
          </cell>
          <cell r="M37" t="str">
            <v>USD</v>
          </cell>
          <cell r="N37">
            <v>95.99</v>
          </cell>
          <cell r="O37">
            <v>15.99</v>
          </cell>
          <cell r="P37">
            <v>71.989999999999995</v>
          </cell>
          <cell r="Q37">
            <v>11.99</v>
          </cell>
          <cell r="R37">
            <v>65.989999999999995</v>
          </cell>
          <cell r="S37">
            <v>10.99</v>
          </cell>
        </row>
        <row r="38">
          <cell r="B38" t="str">
            <v>Brunei</v>
          </cell>
          <cell r="C38" t="str">
            <v>Asia</v>
          </cell>
          <cell r="D38" t="str">
            <v>N</v>
          </cell>
          <cell r="E38" t="str">
            <v>BAU</v>
          </cell>
          <cell r="F38" t="str">
            <v>BND</v>
          </cell>
          <cell r="G38" t="str">
            <v/>
          </cell>
          <cell r="H38" t="str">
            <v/>
          </cell>
          <cell r="I38">
            <v>95.99</v>
          </cell>
          <cell r="J38">
            <v>18.989999999999998</v>
          </cell>
          <cell r="K38">
            <v>60.99</v>
          </cell>
          <cell r="L38">
            <v>11.99</v>
          </cell>
          <cell r="M38" t="str">
            <v>BND</v>
          </cell>
          <cell r="N38">
            <v>107.99</v>
          </cell>
          <cell r="O38">
            <v>17.989999999999998</v>
          </cell>
          <cell r="P38">
            <v>77.989999999999995</v>
          </cell>
          <cell r="Q38">
            <v>12.99</v>
          </cell>
          <cell r="R38">
            <v>71.989999999999995</v>
          </cell>
          <cell r="S38">
            <v>11.99</v>
          </cell>
        </row>
        <row r="39">
          <cell r="B39" t="str">
            <v>Bulgaria</v>
          </cell>
          <cell r="C39" t="str">
            <v>Europe</v>
          </cell>
          <cell r="D39" t="str">
            <v>N</v>
          </cell>
          <cell r="E39" t="str">
            <v>BAU</v>
          </cell>
          <cell r="F39" t="str">
            <v>BGN</v>
          </cell>
          <cell r="G39" t="str">
            <v/>
          </cell>
          <cell r="H39" t="str">
            <v/>
          </cell>
          <cell r="I39">
            <v>119.99</v>
          </cell>
          <cell r="J39">
            <v>23.99</v>
          </cell>
          <cell r="K39">
            <v>77.989999999999995</v>
          </cell>
          <cell r="L39">
            <v>15.99</v>
          </cell>
          <cell r="M39" t="str">
            <v>BGN</v>
          </cell>
          <cell r="N39">
            <v>159.99</v>
          </cell>
          <cell r="O39">
            <v>26.99</v>
          </cell>
          <cell r="P39">
            <v>119.99</v>
          </cell>
          <cell r="Q39">
            <v>19.989999999999998</v>
          </cell>
          <cell r="R39">
            <v>109.99</v>
          </cell>
          <cell r="S39">
            <v>17.989999999999998</v>
          </cell>
        </row>
        <row r="40">
          <cell r="B40" t="str">
            <v>Burkina Faso</v>
          </cell>
          <cell r="C40" t="str">
            <v>Africa</v>
          </cell>
          <cell r="D40" t="str">
            <v>N</v>
          </cell>
          <cell r="E40" t="str">
            <v>BAU</v>
          </cell>
          <cell r="F40" t="str">
            <v>XOF</v>
          </cell>
          <cell r="G40" t="str">
            <v/>
          </cell>
          <cell r="H40" t="str">
            <v/>
          </cell>
          <cell r="I40">
            <v>29100</v>
          </cell>
          <cell r="J40">
            <v>6400</v>
          </cell>
          <cell r="K40">
            <v>14500</v>
          </cell>
          <cell r="L40">
            <v>2900</v>
          </cell>
          <cell r="M40" t="str">
            <v>XOF</v>
          </cell>
          <cell r="N40">
            <v>43740</v>
          </cell>
          <cell r="O40">
            <v>7290</v>
          </cell>
          <cell r="P40">
            <v>32400</v>
          </cell>
          <cell r="Q40">
            <v>5400</v>
          </cell>
          <cell r="R40">
            <v>29160</v>
          </cell>
          <cell r="S40">
            <v>4860</v>
          </cell>
        </row>
        <row r="41">
          <cell r="B41" t="str">
            <v>Burundi</v>
          </cell>
          <cell r="C41" t="str">
            <v>Africa</v>
          </cell>
          <cell r="D41" t="str">
            <v>N</v>
          </cell>
          <cell r="E41" t="str">
            <v>BAU</v>
          </cell>
          <cell r="F41" t="str">
            <v>USD</v>
          </cell>
          <cell r="G41" t="str">
            <v/>
          </cell>
          <cell r="H41" t="str">
            <v/>
          </cell>
          <cell r="I41">
            <v>49.99</v>
          </cell>
          <cell r="J41">
            <v>10.99</v>
          </cell>
          <cell r="K41">
            <v>24.99</v>
          </cell>
          <cell r="L41">
            <v>4.99</v>
          </cell>
          <cell r="M41" t="str">
            <v>USD</v>
          </cell>
          <cell r="N41">
            <v>71.989999999999995</v>
          </cell>
          <cell r="O41">
            <v>11.99</v>
          </cell>
          <cell r="P41">
            <v>53.99</v>
          </cell>
          <cell r="Q41">
            <v>8.99</v>
          </cell>
          <cell r="R41">
            <v>47.99</v>
          </cell>
          <cell r="S41">
            <v>7.99</v>
          </cell>
        </row>
        <row r="42">
          <cell r="B42" t="str">
            <v>Cambodia</v>
          </cell>
          <cell r="C42" t="str">
            <v>Asia</v>
          </cell>
          <cell r="D42" t="str">
            <v>N</v>
          </cell>
          <cell r="E42" t="str">
            <v>BAU</v>
          </cell>
          <cell r="F42" t="str">
            <v>KHR</v>
          </cell>
          <cell r="G42" t="str">
            <v/>
          </cell>
          <cell r="H42" t="str">
            <v/>
          </cell>
          <cell r="I42">
            <v>203000</v>
          </cell>
          <cell r="J42">
            <v>44700</v>
          </cell>
          <cell r="K42">
            <v>102000</v>
          </cell>
          <cell r="L42">
            <v>20300</v>
          </cell>
          <cell r="M42" t="str">
            <v>KHR</v>
          </cell>
          <cell r="N42">
            <v>294180</v>
          </cell>
          <cell r="O42">
            <v>49030</v>
          </cell>
          <cell r="P42">
            <v>217920</v>
          </cell>
          <cell r="Q42">
            <v>36320</v>
          </cell>
          <cell r="R42">
            <v>196140</v>
          </cell>
          <cell r="S42">
            <v>32690</v>
          </cell>
        </row>
        <row r="43">
          <cell r="B43" t="str">
            <v>Cameroon</v>
          </cell>
          <cell r="C43" t="str">
            <v>Africa</v>
          </cell>
          <cell r="D43" t="str">
            <v>N</v>
          </cell>
          <cell r="E43" t="str">
            <v>BAU</v>
          </cell>
          <cell r="F43" t="str">
            <v>XAF</v>
          </cell>
          <cell r="G43" t="str">
            <v/>
          </cell>
          <cell r="H43" t="str">
            <v/>
          </cell>
          <cell r="I43">
            <v>29100</v>
          </cell>
          <cell r="J43">
            <v>6400</v>
          </cell>
          <cell r="K43">
            <v>14500</v>
          </cell>
          <cell r="L43">
            <v>2900</v>
          </cell>
          <cell r="M43" t="str">
            <v>XAF</v>
          </cell>
          <cell r="N43">
            <v>43740</v>
          </cell>
          <cell r="O43">
            <v>7290</v>
          </cell>
          <cell r="P43">
            <v>32400</v>
          </cell>
          <cell r="Q43">
            <v>5400</v>
          </cell>
          <cell r="R43">
            <v>29160</v>
          </cell>
          <cell r="S43">
            <v>4860</v>
          </cell>
        </row>
        <row r="44">
          <cell r="B44" t="str">
            <v>Canada</v>
          </cell>
          <cell r="C44" t="str">
            <v>Canada</v>
          </cell>
          <cell r="D44" t="str">
            <v>Y</v>
          </cell>
          <cell r="E44" t="str">
            <v>BAU</v>
          </cell>
          <cell r="F44" t="str">
            <v>CAD</v>
          </cell>
          <cell r="G44">
            <v>179.99</v>
          </cell>
          <cell r="H44">
            <v>36.99</v>
          </cell>
          <cell r="I44">
            <v>139.99</v>
          </cell>
          <cell r="J44">
            <v>29.99</v>
          </cell>
          <cell r="K44">
            <v>89.99</v>
          </cell>
          <cell r="L44">
            <v>19.989999999999998</v>
          </cell>
          <cell r="M44" t="str">
            <v>CAD</v>
          </cell>
          <cell r="N44">
            <v>179.99</v>
          </cell>
          <cell r="O44">
            <v>25.99</v>
          </cell>
          <cell r="P44">
            <v>119.99</v>
          </cell>
          <cell r="Q44">
            <v>19.989999999999998</v>
          </cell>
          <cell r="R44">
            <v>107.99</v>
          </cell>
          <cell r="S44">
            <v>17.989999999999998</v>
          </cell>
        </row>
        <row r="45">
          <cell r="B45" t="str">
            <v>Cape Verde</v>
          </cell>
          <cell r="C45" t="str">
            <v>Africa</v>
          </cell>
          <cell r="D45" t="str">
            <v>N</v>
          </cell>
          <cell r="E45" t="str">
            <v>BAU</v>
          </cell>
          <cell r="F45" t="str">
            <v>CVE</v>
          </cell>
          <cell r="G45" t="str">
            <v/>
          </cell>
          <cell r="H45" t="str">
            <v/>
          </cell>
          <cell r="I45">
            <v>4900</v>
          </cell>
          <cell r="J45">
            <v>1100</v>
          </cell>
          <cell r="K45">
            <v>2400</v>
          </cell>
          <cell r="L45">
            <v>489.99</v>
          </cell>
          <cell r="M45" t="str">
            <v>CVE</v>
          </cell>
          <cell r="N45">
            <v>7369</v>
          </cell>
          <cell r="O45">
            <v>1229</v>
          </cell>
          <cell r="P45">
            <v>5459</v>
          </cell>
          <cell r="Q45">
            <v>909</v>
          </cell>
          <cell r="R45">
            <v>4919</v>
          </cell>
          <cell r="S45">
            <v>819</v>
          </cell>
        </row>
        <row r="46">
          <cell r="B46" t="str">
            <v>Cayman Islands</v>
          </cell>
          <cell r="C46" t="str">
            <v>Latin America</v>
          </cell>
          <cell r="D46" t="str">
            <v>N</v>
          </cell>
          <cell r="E46" t="str">
            <v>BAU</v>
          </cell>
          <cell r="F46" t="str">
            <v>USD</v>
          </cell>
          <cell r="G46" t="str">
            <v/>
          </cell>
          <cell r="H46" t="str">
            <v/>
          </cell>
          <cell r="I46">
            <v>69.989999999999995</v>
          </cell>
          <cell r="J46">
            <v>13.99</v>
          </cell>
          <cell r="K46">
            <v>44.99</v>
          </cell>
          <cell r="L46">
            <v>8.99</v>
          </cell>
          <cell r="M46" t="str">
            <v>USD</v>
          </cell>
          <cell r="N46">
            <v>95.99</v>
          </cell>
          <cell r="O46">
            <v>15.99</v>
          </cell>
          <cell r="P46">
            <v>71.989999999999995</v>
          </cell>
          <cell r="Q46">
            <v>11.99</v>
          </cell>
          <cell r="R46">
            <v>65.989999999999995</v>
          </cell>
          <cell r="S46">
            <v>10.99</v>
          </cell>
        </row>
        <row r="47">
          <cell r="B47" t="str">
            <v>Central African Republic</v>
          </cell>
          <cell r="C47" t="str">
            <v>Africa</v>
          </cell>
          <cell r="D47" t="str">
            <v>N</v>
          </cell>
          <cell r="E47" t="str">
            <v>BAU</v>
          </cell>
          <cell r="F47" t="str">
            <v>XAF</v>
          </cell>
          <cell r="G47" t="str">
            <v/>
          </cell>
          <cell r="H47" t="str">
            <v/>
          </cell>
          <cell r="I47">
            <v>24900</v>
          </cell>
          <cell r="J47">
            <v>5500</v>
          </cell>
          <cell r="K47">
            <v>12500</v>
          </cell>
          <cell r="L47">
            <v>2500</v>
          </cell>
          <cell r="M47" t="str">
            <v>XAF</v>
          </cell>
          <cell r="N47">
            <v>44580</v>
          </cell>
          <cell r="O47">
            <v>7430</v>
          </cell>
          <cell r="P47">
            <v>33000</v>
          </cell>
          <cell r="Q47">
            <v>5500</v>
          </cell>
          <cell r="R47">
            <v>29700</v>
          </cell>
          <cell r="S47">
            <v>4950</v>
          </cell>
        </row>
        <row r="48">
          <cell r="B48" t="str">
            <v>Chad</v>
          </cell>
          <cell r="C48" t="str">
            <v>Africa</v>
          </cell>
          <cell r="D48" t="str">
            <v>N</v>
          </cell>
          <cell r="E48" t="str">
            <v>BAU</v>
          </cell>
          <cell r="F48" t="str">
            <v>XAF</v>
          </cell>
          <cell r="G48" t="str">
            <v/>
          </cell>
          <cell r="H48" t="str">
            <v/>
          </cell>
          <cell r="I48">
            <v>29100</v>
          </cell>
          <cell r="J48">
            <v>6400</v>
          </cell>
          <cell r="K48">
            <v>14500</v>
          </cell>
          <cell r="L48">
            <v>2900</v>
          </cell>
          <cell r="M48" t="str">
            <v>XAF</v>
          </cell>
          <cell r="N48">
            <v>43740</v>
          </cell>
          <cell r="O48">
            <v>7290</v>
          </cell>
          <cell r="P48">
            <v>32400</v>
          </cell>
          <cell r="Q48">
            <v>5400</v>
          </cell>
          <cell r="R48">
            <v>29160</v>
          </cell>
          <cell r="S48">
            <v>4860</v>
          </cell>
        </row>
        <row r="49">
          <cell r="B49" t="str">
            <v>Chile</v>
          </cell>
          <cell r="C49" t="str">
            <v>Latin America</v>
          </cell>
          <cell r="D49" t="str">
            <v>Y</v>
          </cell>
          <cell r="E49" t="str">
            <v>BAU</v>
          </cell>
          <cell r="F49" t="str">
            <v>CLP</v>
          </cell>
          <cell r="G49">
            <v>104000</v>
          </cell>
          <cell r="H49">
            <v>14200</v>
          </cell>
          <cell r="I49">
            <v>90500</v>
          </cell>
          <cell r="J49">
            <v>11800</v>
          </cell>
          <cell r="K49">
            <v>55700</v>
          </cell>
          <cell r="L49">
            <v>7000</v>
          </cell>
          <cell r="M49" t="str">
            <v>CLP</v>
          </cell>
          <cell r="N49">
            <v>92040</v>
          </cell>
          <cell r="O49">
            <v>15340</v>
          </cell>
          <cell r="P49">
            <v>70800</v>
          </cell>
          <cell r="Q49">
            <v>11800</v>
          </cell>
          <cell r="R49">
            <v>63720</v>
          </cell>
          <cell r="S49">
            <v>10620</v>
          </cell>
        </row>
        <row r="50">
          <cell r="B50" t="str">
            <v>Christmas Island</v>
          </cell>
          <cell r="C50" t="str">
            <v>Asia</v>
          </cell>
          <cell r="D50" t="str">
            <v>N</v>
          </cell>
          <cell r="E50" t="str">
            <v>BAU</v>
          </cell>
          <cell r="F50" t="str">
            <v>AUD</v>
          </cell>
          <cell r="G50" t="str">
            <v/>
          </cell>
          <cell r="H50" t="str">
            <v/>
          </cell>
          <cell r="I50">
            <v>99.99</v>
          </cell>
          <cell r="J50">
            <v>19.989999999999998</v>
          </cell>
          <cell r="K50">
            <v>64.989999999999995</v>
          </cell>
          <cell r="L50">
            <v>12.99</v>
          </cell>
          <cell r="M50" t="str">
            <v>AUD</v>
          </cell>
          <cell r="N50">
            <v>107.99</v>
          </cell>
          <cell r="O50">
            <v>17.989999999999998</v>
          </cell>
          <cell r="P50">
            <v>77.989999999999995</v>
          </cell>
          <cell r="Q50">
            <v>12.99</v>
          </cell>
          <cell r="R50">
            <v>71.989999999999995</v>
          </cell>
          <cell r="S50">
            <v>11.99</v>
          </cell>
        </row>
        <row r="51">
          <cell r="B51" t="str">
            <v>Cocos (Keeling) Island</v>
          </cell>
          <cell r="C51" t="str">
            <v>Asia</v>
          </cell>
          <cell r="D51" t="str">
            <v>N</v>
          </cell>
          <cell r="E51" t="str">
            <v>BAU</v>
          </cell>
          <cell r="F51" t="str">
            <v>AUD</v>
          </cell>
          <cell r="G51" t="str">
            <v/>
          </cell>
          <cell r="H51" t="str">
            <v/>
          </cell>
          <cell r="I51">
            <v>99.99</v>
          </cell>
          <cell r="J51">
            <v>19.989999999999998</v>
          </cell>
          <cell r="K51">
            <v>64.989999999999995</v>
          </cell>
          <cell r="L51">
            <v>12.99</v>
          </cell>
          <cell r="M51" t="str">
            <v>AUD</v>
          </cell>
          <cell r="N51">
            <v>161.99</v>
          </cell>
          <cell r="O51">
            <v>26.99</v>
          </cell>
          <cell r="P51">
            <v>119.99</v>
          </cell>
          <cell r="Q51">
            <v>19.989999999999998</v>
          </cell>
          <cell r="R51">
            <v>107.99</v>
          </cell>
          <cell r="S51">
            <v>17.989999999999998</v>
          </cell>
        </row>
        <row r="52">
          <cell r="B52" t="str">
            <v>Colombia</v>
          </cell>
          <cell r="C52" t="str">
            <v>Latin America</v>
          </cell>
          <cell r="D52" t="str">
            <v>Y</v>
          </cell>
          <cell r="E52" t="str">
            <v>Steeper than BAU</v>
          </cell>
          <cell r="F52" t="str">
            <v>COP</v>
          </cell>
          <cell r="G52" t="str">
            <v/>
          </cell>
          <cell r="H52" t="str">
            <v/>
          </cell>
          <cell r="I52">
            <v>228000</v>
          </cell>
          <cell r="J52">
            <v>45700</v>
          </cell>
          <cell r="K52">
            <v>147000</v>
          </cell>
          <cell r="L52">
            <v>29300</v>
          </cell>
          <cell r="M52" t="str">
            <v>COP</v>
          </cell>
          <cell r="N52">
            <v>305400</v>
          </cell>
          <cell r="O52">
            <v>50900</v>
          </cell>
          <cell r="P52">
            <v>226200</v>
          </cell>
          <cell r="Q52">
            <v>37700</v>
          </cell>
          <cell r="R52">
            <v>203580</v>
          </cell>
          <cell r="S52">
            <v>33930</v>
          </cell>
        </row>
        <row r="53">
          <cell r="B53" t="str">
            <v>Comoros</v>
          </cell>
          <cell r="C53" t="str">
            <v>Africa</v>
          </cell>
          <cell r="D53" t="str">
            <v>N</v>
          </cell>
          <cell r="E53" t="str">
            <v>BAU</v>
          </cell>
          <cell r="F53" t="str">
            <v>KMF</v>
          </cell>
          <cell r="G53" t="str">
            <v/>
          </cell>
          <cell r="H53" t="str">
            <v/>
          </cell>
          <cell r="I53">
            <v>21800</v>
          </cell>
          <cell r="J53">
            <v>4800</v>
          </cell>
          <cell r="K53">
            <v>10900</v>
          </cell>
          <cell r="L53">
            <v>2200</v>
          </cell>
          <cell r="M53" t="str">
            <v>KMF</v>
          </cell>
          <cell r="N53">
            <v>33240</v>
          </cell>
          <cell r="O53">
            <v>5540</v>
          </cell>
          <cell r="P53">
            <v>24600</v>
          </cell>
          <cell r="Q53">
            <v>4100</v>
          </cell>
          <cell r="R53">
            <v>22140</v>
          </cell>
          <cell r="S53">
            <v>3690</v>
          </cell>
        </row>
        <row r="54">
          <cell r="B54" t="str">
            <v>Congo</v>
          </cell>
          <cell r="C54" t="str">
            <v>Africa</v>
          </cell>
          <cell r="D54" t="str">
            <v>N</v>
          </cell>
          <cell r="E54" t="str">
            <v>BAU</v>
          </cell>
          <cell r="F54" t="str">
            <v>XAF</v>
          </cell>
          <cell r="G54" t="str">
            <v/>
          </cell>
          <cell r="H54" t="str">
            <v/>
          </cell>
          <cell r="I54">
            <v>29100</v>
          </cell>
          <cell r="J54">
            <v>6400</v>
          </cell>
          <cell r="K54">
            <v>14500</v>
          </cell>
          <cell r="L54">
            <v>2900</v>
          </cell>
          <cell r="M54" t="str">
            <v>XAF</v>
          </cell>
          <cell r="N54">
            <v>43740</v>
          </cell>
          <cell r="O54">
            <v>7290</v>
          </cell>
          <cell r="P54">
            <v>32400</v>
          </cell>
          <cell r="Q54">
            <v>5400</v>
          </cell>
          <cell r="R54">
            <v>29160</v>
          </cell>
          <cell r="S54">
            <v>4860</v>
          </cell>
        </row>
        <row r="55">
          <cell r="B55" t="str">
            <v>Cook Islands</v>
          </cell>
          <cell r="C55" t="str">
            <v>Asia</v>
          </cell>
          <cell r="D55" t="str">
            <v>N</v>
          </cell>
          <cell r="E55" t="str">
            <v>BAU</v>
          </cell>
          <cell r="F55" t="str">
            <v>NZD</v>
          </cell>
          <cell r="G55" t="str">
            <v/>
          </cell>
          <cell r="H55" t="str">
            <v/>
          </cell>
          <cell r="I55">
            <v>109.99</v>
          </cell>
          <cell r="J55">
            <v>20.99</v>
          </cell>
          <cell r="K55">
            <v>68.989999999999995</v>
          </cell>
          <cell r="L55">
            <v>13.99</v>
          </cell>
          <cell r="M55" t="str">
            <v>NZD</v>
          </cell>
          <cell r="N55">
            <v>203.99</v>
          </cell>
          <cell r="O55">
            <v>33.99</v>
          </cell>
          <cell r="P55">
            <v>149.99</v>
          </cell>
          <cell r="Q55">
            <v>24.99</v>
          </cell>
          <cell r="R55">
            <v>131.99</v>
          </cell>
          <cell r="S55">
            <v>21.99</v>
          </cell>
        </row>
        <row r="56">
          <cell r="B56" t="str">
            <v>Costa Rica</v>
          </cell>
          <cell r="C56" t="str">
            <v>Latin America</v>
          </cell>
          <cell r="D56" t="str">
            <v>Y</v>
          </cell>
          <cell r="E56" t="str">
            <v>BAU</v>
          </cell>
          <cell r="F56" t="str">
            <v>CRC</v>
          </cell>
          <cell r="G56">
            <v>88400</v>
          </cell>
          <cell r="H56">
            <v>11800</v>
          </cell>
          <cell r="I56">
            <v>76600</v>
          </cell>
          <cell r="J56">
            <v>10000</v>
          </cell>
          <cell r="K56">
            <v>47100</v>
          </cell>
          <cell r="L56">
            <v>5900</v>
          </cell>
          <cell r="M56" t="str">
            <v>CRC</v>
          </cell>
          <cell r="N56">
            <v>78000</v>
          </cell>
          <cell r="O56">
            <v>13000</v>
          </cell>
          <cell r="P56">
            <v>60000</v>
          </cell>
          <cell r="Q56">
            <v>10000</v>
          </cell>
          <cell r="R56">
            <v>54000</v>
          </cell>
          <cell r="S56">
            <v>9000</v>
          </cell>
        </row>
        <row r="57">
          <cell r="B57" t="str">
            <v>Cote D'Ivoire</v>
          </cell>
          <cell r="C57" t="str">
            <v>Africa</v>
          </cell>
          <cell r="D57" t="str">
            <v>N</v>
          </cell>
          <cell r="E57" t="str">
            <v>BAU</v>
          </cell>
          <cell r="F57" t="str">
            <v>XOF</v>
          </cell>
          <cell r="G57" t="str">
            <v/>
          </cell>
          <cell r="H57" t="str">
            <v/>
          </cell>
          <cell r="I57">
            <v>24900</v>
          </cell>
          <cell r="J57">
            <v>5500</v>
          </cell>
          <cell r="K57">
            <v>12500</v>
          </cell>
          <cell r="L57">
            <v>2500</v>
          </cell>
          <cell r="M57" t="str">
            <v>XOF</v>
          </cell>
          <cell r="N57">
            <v>44580</v>
          </cell>
          <cell r="O57">
            <v>7430</v>
          </cell>
          <cell r="P57">
            <v>33000</v>
          </cell>
          <cell r="Q57">
            <v>5500</v>
          </cell>
          <cell r="R57">
            <v>29700</v>
          </cell>
          <cell r="S57">
            <v>4950</v>
          </cell>
        </row>
        <row r="58">
          <cell r="B58" t="str">
            <v>Croatia</v>
          </cell>
          <cell r="C58" t="str">
            <v>Europe</v>
          </cell>
          <cell r="D58" t="str">
            <v>N</v>
          </cell>
          <cell r="E58" t="str">
            <v>BAU</v>
          </cell>
          <cell r="F58" t="str">
            <v>HRK</v>
          </cell>
          <cell r="G58">
            <v>1265</v>
          </cell>
          <cell r="H58">
            <v>149</v>
          </cell>
          <cell r="I58">
            <v>1100</v>
          </cell>
          <cell r="J58">
            <v>129.99</v>
          </cell>
          <cell r="K58">
            <v>659.99</v>
          </cell>
          <cell r="L58">
            <v>71.989999999999995</v>
          </cell>
          <cell r="M58" t="str">
            <v>HRK</v>
          </cell>
          <cell r="N58">
            <v>649.99</v>
          </cell>
          <cell r="O58">
            <v>107.99</v>
          </cell>
          <cell r="P58">
            <v>479.99</v>
          </cell>
          <cell r="Q58">
            <v>79.989999999999995</v>
          </cell>
          <cell r="R58">
            <v>429.99</v>
          </cell>
          <cell r="S58">
            <v>71.989999999999995</v>
          </cell>
        </row>
        <row r="59">
          <cell r="B59" t="str">
            <v>Curacao</v>
          </cell>
          <cell r="C59" t="str">
            <v>Latin America</v>
          </cell>
          <cell r="D59" t="str">
            <v>N</v>
          </cell>
          <cell r="E59" t="str">
            <v>BAU</v>
          </cell>
          <cell r="F59" t="str">
            <v>ANG</v>
          </cell>
          <cell r="G59" t="str">
            <v/>
          </cell>
          <cell r="H59" t="str">
            <v/>
          </cell>
          <cell r="I59">
            <v>129.99</v>
          </cell>
          <cell r="J59">
            <v>24.99</v>
          </cell>
          <cell r="K59">
            <v>80.989999999999995</v>
          </cell>
          <cell r="L59">
            <v>15.99</v>
          </cell>
          <cell r="M59" t="str">
            <v>ANG</v>
          </cell>
          <cell r="N59">
            <v>167.99</v>
          </cell>
          <cell r="O59">
            <v>27.99</v>
          </cell>
          <cell r="P59">
            <v>125.99</v>
          </cell>
          <cell r="Q59">
            <v>20.99</v>
          </cell>
          <cell r="R59">
            <v>113.99</v>
          </cell>
          <cell r="S59">
            <v>18.989999999999998</v>
          </cell>
        </row>
        <row r="60">
          <cell r="B60" t="str">
            <v>Cyprus</v>
          </cell>
          <cell r="C60" t="str">
            <v>Europe</v>
          </cell>
          <cell r="D60" t="str">
            <v>N</v>
          </cell>
          <cell r="E60" t="str">
            <v>BAU</v>
          </cell>
          <cell r="F60" t="str">
            <v>EUR</v>
          </cell>
          <cell r="G60" t="str">
            <v/>
          </cell>
          <cell r="H60" t="str">
            <v/>
          </cell>
          <cell r="I60">
            <v>61.99</v>
          </cell>
          <cell r="J60">
            <v>11.99</v>
          </cell>
          <cell r="K60">
            <v>39.99</v>
          </cell>
          <cell r="L60">
            <v>7.99</v>
          </cell>
          <cell r="M60" t="str">
            <v>EUR</v>
          </cell>
          <cell r="N60">
            <v>79.989999999999995</v>
          </cell>
          <cell r="O60">
            <v>12.99</v>
          </cell>
          <cell r="P60">
            <v>59.99</v>
          </cell>
          <cell r="Q60">
            <v>9.99</v>
          </cell>
          <cell r="R60">
            <v>49.99</v>
          </cell>
          <cell r="S60">
            <v>8.99</v>
          </cell>
        </row>
        <row r="61">
          <cell r="B61" t="str">
            <v>Czech Republic</v>
          </cell>
          <cell r="C61" t="str">
            <v>Europe</v>
          </cell>
          <cell r="D61" t="str">
            <v>N</v>
          </cell>
          <cell r="E61" t="str">
            <v>BAU</v>
          </cell>
          <cell r="F61" t="str">
            <v>CZK</v>
          </cell>
          <cell r="G61">
            <v>2645</v>
          </cell>
          <cell r="H61">
            <v>517</v>
          </cell>
          <cell r="I61">
            <v>2300</v>
          </cell>
          <cell r="J61">
            <v>449.99</v>
          </cell>
          <cell r="K61">
            <v>1200</v>
          </cell>
          <cell r="L61">
            <v>249.99</v>
          </cell>
          <cell r="M61" t="str">
            <v>CZK</v>
          </cell>
          <cell r="N61">
            <v>3119.99</v>
          </cell>
          <cell r="O61">
            <v>519.99</v>
          </cell>
          <cell r="P61">
            <v>2399.9899999999998</v>
          </cell>
          <cell r="Q61">
            <v>399.99</v>
          </cell>
          <cell r="R61">
            <v>2159.9899999999998</v>
          </cell>
          <cell r="S61">
            <v>359.99</v>
          </cell>
        </row>
        <row r="62">
          <cell r="B62" t="str">
            <v>Democratic Republic of Congo</v>
          </cell>
          <cell r="C62" t="str">
            <v>Africa</v>
          </cell>
          <cell r="D62" t="str">
            <v>N</v>
          </cell>
          <cell r="E62" t="str">
            <v>BAU</v>
          </cell>
          <cell r="F62" t="str">
            <v>CDF</v>
          </cell>
          <cell r="G62" t="str">
            <v/>
          </cell>
          <cell r="H62" t="str">
            <v/>
          </cell>
          <cell r="I62">
            <v>81000</v>
          </cell>
          <cell r="J62">
            <v>17800</v>
          </cell>
          <cell r="K62">
            <v>40500</v>
          </cell>
          <cell r="L62">
            <v>8100</v>
          </cell>
          <cell r="M62" t="str">
            <v>USD</v>
          </cell>
          <cell r="N62">
            <v>71.989999999999995</v>
          </cell>
          <cell r="O62">
            <v>11.99</v>
          </cell>
          <cell r="P62">
            <v>53.99</v>
          </cell>
          <cell r="Q62">
            <v>8.99</v>
          </cell>
          <cell r="R62">
            <v>47.99</v>
          </cell>
          <cell r="S62">
            <v>7.99</v>
          </cell>
        </row>
        <row r="63">
          <cell r="B63" t="str">
            <v>Denmark</v>
          </cell>
          <cell r="C63" t="str">
            <v>Europe</v>
          </cell>
          <cell r="D63" t="str">
            <v>Y</v>
          </cell>
          <cell r="E63" t="str">
            <v>Steeper than BAU</v>
          </cell>
          <cell r="F63" t="str">
            <v>DKK</v>
          </cell>
          <cell r="G63">
            <v>1700</v>
          </cell>
          <cell r="H63">
            <v>209.99</v>
          </cell>
          <cell r="I63">
            <v>1500</v>
          </cell>
          <cell r="J63">
            <v>189.99</v>
          </cell>
          <cell r="K63">
            <v>859.99</v>
          </cell>
          <cell r="L63">
            <v>109.99</v>
          </cell>
          <cell r="M63" t="str">
            <v>DKK</v>
          </cell>
          <cell r="N63">
            <v>1139.99</v>
          </cell>
          <cell r="O63">
            <v>189.99</v>
          </cell>
          <cell r="P63">
            <v>899.99</v>
          </cell>
          <cell r="Q63">
            <v>139.99</v>
          </cell>
          <cell r="R63">
            <v>779.99</v>
          </cell>
          <cell r="S63">
            <v>129.99</v>
          </cell>
        </row>
        <row r="64">
          <cell r="B64" t="str">
            <v>Djibouti</v>
          </cell>
          <cell r="C64" t="str">
            <v>Africa</v>
          </cell>
          <cell r="D64" t="str">
            <v>N</v>
          </cell>
          <cell r="E64" t="str">
            <v>BAU</v>
          </cell>
          <cell r="F64" t="str">
            <v>DJF</v>
          </cell>
          <cell r="G64" t="str">
            <v/>
          </cell>
          <cell r="H64" t="str">
            <v/>
          </cell>
          <cell r="I64">
            <v>8900</v>
          </cell>
          <cell r="J64">
            <v>2000</v>
          </cell>
          <cell r="K64">
            <v>4400</v>
          </cell>
          <cell r="L64">
            <v>890</v>
          </cell>
          <cell r="M64" t="str">
            <v>DJF</v>
          </cell>
          <cell r="N64">
            <v>10560</v>
          </cell>
          <cell r="O64">
            <v>1760</v>
          </cell>
          <cell r="P64">
            <v>7800</v>
          </cell>
          <cell r="Q64">
            <v>1300</v>
          </cell>
          <cell r="R64">
            <v>7020</v>
          </cell>
          <cell r="S64">
            <v>1170</v>
          </cell>
        </row>
        <row r="65">
          <cell r="B65" t="str">
            <v>Dominica</v>
          </cell>
          <cell r="C65" t="str">
            <v>Latin America</v>
          </cell>
          <cell r="D65" t="str">
            <v>N</v>
          </cell>
          <cell r="E65" t="str">
            <v>BAU</v>
          </cell>
          <cell r="F65" t="str">
            <v>XCD</v>
          </cell>
          <cell r="G65" t="str">
            <v/>
          </cell>
          <cell r="H65" t="str">
            <v/>
          </cell>
          <cell r="I65">
            <v>189.99</v>
          </cell>
          <cell r="J65">
            <v>37.99</v>
          </cell>
          <cell r="K65">
            <v>119.99</v>
          </cell>
          <cell r="L65">
            <v>23.99</v>
          </cell>
          <cell r="M65" t="str">
            <v>XCD</v>
          </cell>
          <cell r="N65">
            <v>305.99</v>
          </cell>
          <cell r="O65">
            <v>50.99</v>
          </cell>
          <cell r="P65">
            <v>227.99</v>
          </cell>
          <cell r="Q65">
            <v>37.99</v>
          </cell>
          <cell r="R65">
            <v>203.99</v>
          </cell>
          <cell r="S65">
            <v>33.99</v>
          </cell>
        </row>
        <row r="66">
          <cell r="B66" t="str">
            <v>Dominican Republic</v>
          </cell>
          <cell r="C66" t="str">
            <v>Latin America</v>
          </cell>
          <cell r="D66" t="str">
            <v>Y</v>
          </cell>
          <cell r="E66" t="str">
            <v>BAU</v>
          </cell>
          <cell r="F66" t="str">
            <v>DOP</v>
          </cell>
          <cell r="G66">
            <v>7700</v>
          </cell>
          <cell r="H66">
            <v>1000</v>
          </cell>
          <cell r="I66">
            <v>6600</v>
          </cell>
          <cell r="J66">
            <v>869.99</v>
          </cell>
          <cell r="K66">
            <v>4100</v>
          </cell>
          <cell r="L66">
            <v>509.99</v>
          </cell>
          <cell r="M66" t="str">
            <v>DOP</v>
          </cell>
          <cell r="N66">
            <v>6785.99</v>
          </cell>
          <cell r="O66">
            <v>1130.99</v>
          </cell>
          <cell r="P66">
            <v>5219.99</v>
          </cell>
          <cell r="Q66">
            <v>869.99</v>
          </cell>
          <cell r="R66">
            <v>4697.99</v>
          </cell>
          <cell r="S66">
            <v>782.99</v>
          </cell>
        </row>
        <row r="67">
          <cell r="B67" t="str">
            <v>Ecuador</v>
          </cell>
          <cell r="C67" t="str">
            <v>Latin America</v>
          </cell>
          <cell r="D67" t="str">
            <v>N</v>
          </cell>
          <cell r="E67" t="str">
            <v>BAU</v>
          </cell>
          <cell r="F67" t="str">
            <v>USD</v>
          </cell>
          <cell r="G67" t="str">
            <v/>
          </cell>
          <cell r="H67" t="str">
            <v/>
          </cell>
          <cell r="I67">
            <v>69.989999999999995</v>
          </cell>
          <cell r="J67">
            <v>13.99</v>
          </cell>
          <cell r="K67">
            <v>44.99</v>
          </cell>
          <cell r="L67">
            <v>8.99</v>
          </cell>
          <cell r="M67" t="str">
            <v>USD</v>
          </cell>
          <cell r="N67">
            <v>95.99</v>
          </cell>
          <cell r="O67">
            <v>15.99</v>
          </cell>
          <cell r="P67">
            <v>71.989999999999995</v>
          </cell>
          <cell r="Q67">
            <v>11.99</v>
          </cell>
          <cell r="R67">
            <v>65.989999999999995</v>
          </cell>
          <cell r="S67">
            <v>10.99</v>
          </cell>
        </row>
        <row r="68">
          <cell r="B68" t="str">
            <v>Egypt</v>
          </cell>
          <cell r="C68" t="str">
            <v>Africa</v>
          </cell>
          <cell r="D68" t="str">
            <v>N</v>
          </cell>
          <cell r="E68" t="str">
            <v>BAU</v>
          </cell>
          <cell r="F68" t="str">
            <v>EGP</v>
          </cell>
          <cell r="G68" t="str">
            <v/>
          </cell>
          <cell r="H68" t="str">
            <v/>
          </cell>
          <cell r="I68">
            <v>839.99</v>
          </cell>
          <cell r="J68">
            <v>179.99</v>
          </cell>
          <cell r="K68">
            <v>419.99</v>
          </cell>
          <cell r="L68">
            <v>83.99</v>
          </cell>
          <cell r="M68" t="str">
            <v>EGP</v>
          </cell>
          <cell r="N68">
            <v>1320</v>
          </cell>
          <cell r="O68">
            <v>220</v>
          </cell>
          <cell r="P68">
            <v>960</v>
          </cell>
          <cell r="Q68">
            <v>160</v>
          </cell>
          <cell r="R68">
            <v>840</v>
          </cell>
          <cell r="S68">
            <v>140</v>
          </cell>
        </row>
        <row r="69">
          <cell r="B69" t="str">
            <v>El Salvador</v>
          </cell>
          <cell r="C69" t="str">
            <v>Latin America</v>
          </cell>
          <cell r="D69" t="str">
            <v>N</v>
          </cell>
          <cell r="E69" t="str">
            <v>BAU</v>
          </cell>
          <cell r="F69" t="str">
            <v>USD</v>
          </cell>
          <cell r="G69" t="str">
            <v/>
          </cell>
          <cell r="H69" t="str">
            <v/>
          </cell>
          <cell r="I69">
            <v>49.99</v>
          </cell>
          <cell r="J69">
            <v>10.99</v>
          </cell>
          <cell r="K69">
            <v>24.99</v>
          </cell>
          <cell r="L69">
            <v>4.99</v>
          </cell>
          <cell r="M69" t="str">
            <v>USD</v>
          </cell>
          <cell r="N69">
            <v>89.99</v>
          </cell>
          <cell r="O69">
            <v>14.99</v>
          </cell>
          <cell r="P69">
            <v>65.989999999999995</v>
          </cell>
          <cell r="Q69">
            <v>10.99</v>
          </cell>
          <cell r="R69">
            <v>59.99</v>
          </cell>
          <cell r="S69">
            <v>9.99</v>
          </cell>
        </row>
        <row r="70">
          <cell r="B70" t="str">
            <v>Equatorial Guinea</v>
          </cell>
          <cell r="C70" t="str">
            <v>Africa</v>
          </cell>
          <cell r="D70" t="str">
            <v>N</v>
          </cell>
          <cell r="E70" t="str">
            <v>BAU</v>
          </cell>
          <cell r="F70" t="str">
            <v>XAF</v>
          </cell>
          <cell r="G70" t="str">
            <v/>
          </cell>
          <cell r="H70" t="str">
            <v/>
          </cell>
          <cell r="I70">
            <v>29100</v>
          </cell>
          <cell r="J70">
            <v>6400</v>
          </cell>
          <cell r="K70">
            <v>14500</v>
          </cell>
          <cell r="L70">
            <v>2900</v>
          </cell>
          <cell r="M70" t="str">
            <v>XAF</v>
          </cell>
          <cell r="N70">
            <v>34020</v>
          </cell>
          <cell r="O70">
            <v>5670</v>
          </cell>
          <cell r="P70">
            <v>25200</v>
          </cell>
          <cell r="Q70">
            <v>4200</v>
          </cell>
          <cell r="R70">
            <v>22680</v>
          </cell>
          <cell r="S70">
            <v>3780</v>
          </cell>
        </row>
        <row r="71">
          <cell r="B71" t="str">
            <v>Eritrea</v>
          </cell>
          <cell r="C71" t="str">
            <v>Africa</v>
          </cell>
          <cell r="D71" t="str">
            <v>N</v>
          </cell>
          <cell r="E71" t="str">
            <v>BAU</v>
          </cell>
          <cell r="F71" t="str">
            <v>USD</v>
          </cell>
          <cell r="G71" t="str">
            <v/>
          </cell>
          <cell r="H71" t="str">
            <v/>
          </cell>
          <cell r="I71">
            <v>49.99</v>
          </cell>
          <cell r="J71">
            <v>10.99</v>
          </cell>
          <cell r="K71">
            <v>24.99</v>
          </cell>
          <cell r="L71">
            <v>4.99</v>
          </cell>
          <cell r="M71" t="str">
            <v>USD</v>
          </cell>
          <cell r="N71">
            <v>71.989999999999995</v>
          </cell>
          <cell r="O71">
            <v>11.99</v>
          </cell>
          <cell r="P71">
            <v>53.99</v>
          </cell>
          <cell r="Q71">
            <v>8.99</v>
          </cell>
          <cell r="R71">
            <v>47.99</v>
          </cell>
          <cell r="S71">
            <v>7.99</v>
          </cell>
        </row>
        <row r="72">
          <cell r="B72" t="str">
            <v>Estonia</v>
          </cell>
          <cell r="C72" t="str">
            <v>Europe</v>
          </cell>
          <cell r="D72" t="str">
            <v>N</v>
          </cell>
          <cell r="E72" t="str">
            <v>BAU</v>
          </cell>
          <cell r="F72" t="str">
            <v>EUR</v>
          </cell>
          <cell r="G72" t="str">
            <v/>
          </cell>
          <cell r="H72" t="str">
            <v/>
          </cell>
          <cell r="I72">
            <v>61.99</v>
          </cell>
          <cell r="J72">
            <v>11.99</v>
          </cell>
          <cell r="K72">
            <v>39.99</v>
          </cell>
          <cell r="L72">
            <v>7.99</v>
          </cell>
          <cell r="M72" t="str">
            <v>EUR</v>
          </cell>
          <cell r="N72">
            <v>99.99</v>
          </cell>
          <cell r="O72">
            <v>15.99</v>
          </cell>
          <cell r="P72">
            <v>69.989999999999995</v>
          </cell>
          <cell r="Q72">
            <v>11.99</v>
          </cell>
          <cell r="R72">
            <v>59.99</v>
          </cell>
          <cell r="S72">
            <v>10.99</v>
          </cell>
        </row>
        <row r="73">
          <cell r="B73" t="str">
            <v>eSwatini</v>
          </cell>
          <cell r="C73" t="str">
            <v>Africa</v>
          </cell>
          <cell r="D73" t="str">
            <v>N</v>
          </cell>
          <cell r="E73" t="str">
            <v>BAU</v>
          </cell>
          <cell r="F73" t="str">
            <v>SZL</v>
          </cell>
          <cell r="G73" t="str">
            <v/>
          </cell>
          <cell r="H73" t="str">
            <v/>
          </cell>
          <cell r="I73">
            <v>739.99</v>
          </cell>
          <cell r="J73">
            <v>159.99</v>
          </cell>
          <cell r="K73">
            <v>369.99</v>
          </cell>
          <cell r="L73">
            <v>73.989999999999995</v>
          </cell>
          <cell r="M73" t="str">
            <v>SZL</v>
          </cell>
          <cell r="N73">
            <v>1295.99</v>
          </cell>
          <cell r="O73">
            <v>215.99</v>
          </cell>
          <cell r="P73">
            <v>959.99</v>
          </cell>
          <cell r="Q73">
            <v>159.99</v>
          </cell>
          <cell r="R73">
            <v>863.99</v>
          </cell>
          <cell r="S73">
            <v>143.99</v>
          </cell>
        </row>
        <row r="74">
          <cell r="B74" t="str">
            <v>Ethiopia</v>
          </cell>
          <cell r="C74" t="str">
            <v>Africa</v>
          </cell>
          <cell r="D74" t="str">
            <v>N</v>
          </cell>
          <cell r="E74" t="str">
            <v>BAU</v>
          </cell>
          <cell r="F74" t="str">
            <v>ETB</v>
          </cell>
          <cell r="G74" t="str">
            <v/>
          </cell>
          <cell r="H74" t="str">
            <v/>
          </cell>
          <cell r="I74">
            <v>1500</v>
          </cell>
          <cell r="J74">
            <v>319.99</v>
          </cell>
          <cell r="K74">
            <v>729.99</v>
          </cell>
          <cell r="L74">
            <v>149.99</v>
          </cell>
          <cell r="M74" t="str">
            <v>ETB</v>
          </cell>
          <cell r="N74">
            <v>2591.9899999999998</v>
          </cell>
          <cell r="O74">
            <v>431.99</v>
          </cell>
          <cell r="P74">
            <v>1919.99</v>
          </cell>
          <cell r="Q74">
            <v>319.99</v>
          </cell>
          <cell r="R74">
            <v>1727.99</v>
          </cell>
          <cell r="S74">
            <v>287.99</v>
          </cell>
        </row>
        <row r="75">
          <cell r="B75" t="str">
            <v>Falkland Islands</v>
          </cell>
          <cell r="C75" t="str">
            <v>Latin America</v>
          </cell>
          <cell r="D75" t="str">
            <v>N</v>
          </cell>
          <cell r="E75" t="str">
            <v>BAU</v>
          </cell>
          <cell r="F75" t="str">
            <v>USD</v>
          </cell>
          <cell r="G75" t="str">
            <v/>
          </cell>
          <cell r="H75" t="str">
            <v/>
          </cell>
          <cell r="I75">
            <v>49.99</v>
          </cell>
          <cell r="J75">
            <v>10.99</v>
          </cell>
          <cell r="K75">
            <v>24.99</v>
          </cell>
          <cell r="L75">
            <v>4.99</v>
          </cell>
          <cell r="M75" t="str">
            <v>FKP</v>
          </cell>
          <cell r="N75">
            <v>60</v>
          </cell>
          <cell r="O75">
            <v>10</v>
          </cell>
          <cell r="P75">
            <v>40</v>
          </cell>
          <cell r="Q75">
            <v>7</v>
          </cell>
          <cell r="R75">
            <v>60</v>
          </cell>
          <cell r="S75">
            <v>10</v>
          </cell>
        </row>
        <row r="76">
          <cell r="B76" t="str">
            <v>Faroe Islands</v>
          </cell>
          <cell r="C76" t="str">
            <v>Europe</v>
          </cell>
          <cell r="D76" t="str">
            <v>N</v>
          </cell>
          <cell r="E76" t="str">
            <v>BAU</v>
          </cell>
          <cell r="F76" t="str">
            <v>EUR</v>
          </cell>
          <cell r="G76">
            <v>139.99</v>
          </cell>
          <cell r="H76">
            <v>27.99</v>
          </cell>
          <cell r="I76">
            <v>119.99</v>
          </cell>
          <cell r="J76">
            <v>24.99</v>
          </cell>
          <cell r="K76">
            <v>74.989999999999995</v>
          </cell>
          <cell r="L76">
            <v>14.99</v>
          </cell>
          <cell r="M76" t="str">
            <v>DKK</v>
          </cell>
          <cell r="N76">
            <v>1139.99</v>
          </cell>
          <cell r="O76">
            <v>189.99</v>
          </cell>
          <cell r="P76">
            <v>829.99</v>
          </cell>
          <cell r="Q76">
            <v>139.99</v>
          </cell>
          <cell r="R76">
            <v>779.99</v>
          </cell>
          <cell r="S76">
            <v>129.99</v>
          </cell>
        </row>
        <row r="77">
          <cell r="B77" t="str">
            <v>Fiji</v>
          </cell>
          <cell r="C77" t="str">
            <v>Asia</v>
          </cell>
          <cell r="D77" t="str">
            <v>N</v>
          </cell>
          <cell r="E77" t="str">
            <v>BAU</v>
          </cell>
          <cell r="F77" t="str">
            <v>FJD</v>
          </cell>
          <cell r="G77" t="str">
            <v/>
          </cell>
          <cell r="H77" t="str">
            <v/>
          </cell>
          <cell r="I77">
            <v>149.99</v>
          </cell>
          <cell r="J77">
            <v>29.99</v>
          </cell>
          <cell r="K77">
            <v>96.99</v>
          </cell>
          <cell r="L77">
            <v>18.989999999999998</v>
          </cell>
          <cell r="M77" t="str">
            <v>FJD</v>
          </cell>
          <cell r="N77">
            <v>179.99</v>
          </cell>
          <cell r="O77">
            <v>29.99</v>
          </cell>
          <cell r="P77">
            <v>131.99</v>
          </cell>
          <cell r="Q77">
            <v>21.99</v>
          </cell>
          <cell r="R77">
            <v>119.99</v>
          </cell>
          <cell r="S77">
            <v>19.989999999999998</v>
          </cell>
        </row>
        <row r="78">
          <cell r="B78" t="str">
            <v>Finland</v>
          </cell>
          <cell r="C78" t="str">
            <v>Europe</v>
          </cell>
          <cell r="D78" t="str">
            <v>Y</v>
          </cell>
          <cell r="E78" t="str">
            <v>Steeper than BAU</v>
          </cell>
          <cell r="F78" t="str">
            <v>EUR</v>
          </cell>
          <cell r="G78">
            <v>229.99</v>
          </cell>
          <cell r="H78">
            <v>29.99</v>
          </cell>
          <cell r="I78">
            <v>199.99</v>
          </cell>
          <cell r="J78">
            <v>24.99</v>
          </cell>
          <cell r="K78">
            <v>109.99</v>
          </cell>
          <cell r="L78">
            <v>14.99</v>
          </cell>
          <cell r="M78" t="str">
            <v>EUR</v>
          </cell>
          <cell r="N78">
            <v>119.99</v>
          </cell>
          <cell r="O78">
            <v>19.989999999999998</v>
          </cell>
          <cell r="P78">
            <v>99.99</v>
          </cell>
          <cell r="Q78">
            <v>14.99</v>
          </cell>
          <cell r="R78">
            <v>89.99</v>
          </cell>
          <cell r="S78">
            <v>13.99</v>
          </cell>
        </row>
        <row r="79">
          <cell r="B79" t="str">
            <v>France</v>
          </cell>
          <cell r="C79" t="str">
            <v>Europe</v>
          </cell>
          <cell r="D79" t="str">
            <v>Y</v>
          </cell>
          <cell r="E79" t="str">
            <v>Steeper than BAU</v>
          </cell>
          <cell r="F79" t="str">
            <v>EUR</v>
          </cell>
          <cell r="G79">
            <v>229.99</v>
          </cell>
          <cell r="H79">
            <v>29.99</v>
          </cell>
          <cell r="I79">
            <v>199.99</v>
          </cell>
          <cell r="J79">
            <v>24.99</v>
          </cell>
          <cell r="K79">
            <v>109.99</v>
          </cell>
          <cell r="L79">
            <v>14.99</v>
          </cell>
          <cell r="M79" t="str">
            <v>EUR</v>
          </cell>
          <cell r="N79">
            <v>149.99</v>
          </cell>
          <cell r="O79">
            <v>23.99</v>
          </cell>
          <cell r="P79">
            <v>119.99</v>
          </cell>
          <cell r="Q79">
            <v>17.989999999999998</v>
          </cell>
          <cell r="R79">
            <v>109.99</v>
          </cell>
          <cell r="S79">
            <v>16.989999999999998</v>
          </cell>
        </row>
        <row r="80">
          <cell r="B80" t="str">
            <v>French Guiana</v>
          </cell>
          <cell r="C80" t="str">
            <v>Latin America</v>
          </cell>
          <cell r="D80" t="str">
            <v>N</v>
          </cell>
          <cell r="E80" t="str">
            <v>BAU</v>
          </cell>
          <cell r="F80" t="str">
            <v>EUR</v>
          </cell>
          <cell r="G80" t="str">
            <v/>
          </cell>
          <cell r="H80" t="str">
            <v/>
          </cell>
          <cell r="I80">
            <v>61.99</v>
          </cell>
          <cell r="J80">
            <v>11.99</v>
          </cell>
          <cell r="K80">
            <v>39.99</v>
          </cell>
          <cell r="L80">
            <v>7.99</v>
          </cell>
          <cell r="M80" t="str">
            <v>EUR</v>
          </cell>
          <cell r="N80">
            <v>77.989999999999995</v>
          </cell>
          <cell r="O80">
            <v>12.99</v>
          </cell>
          <cell r="P80">
            <v>59.99</v>
          </cell>
          <cell r="Q80">
            <v>9.99</v>
          </cell>
          <cell r="R80">
            <v>53.99</v>
          </cell>
          <cell r="S80">
            <v>8.99</v>
          </cell>
        </row>
        <row r="81">
          <cell r="B81" t="str">
            <v>French Polynesia</v>
          </cell>
          <cell r="C81" t="str">
            <v>Asia</v>
          </cell>
          <cell r="D81" t="str">
            <v>N</v>
          </cell>
          <cell r="E81" t="str">
            <v>BAU</v>
          </cell>
          <cell r="F81" t="str">
            <v>XPF</v>
          </cell>
          <cell r="G81" t="str">
            <v/>
          </cell>
          <cell r="H81" t="str">
            <v/>
          </cell>
          <cell r="I81">
            <v>7400</v>
          </cell>
          <cell r="J81">
            <v>1500</v>
          </cell>
          <cell r="K81">
            <v>4800</v>
          </cell>
          <cell r="L81">
            <v>950</v>
          </cell>
          <cell r="M81" t="str">
            <v>XPF</v>
          </cell>
          <cell r="N81">
            <v>8100</v>
          </cell>
          <cell r="O81">
            <v>1350</v>
          </cell>
          <cell r="P81">
            <v>6000</v>
          </cell>
          <cell r="Q81">
            <v>1000</v>
          </cell>
          <cell r="R81">
            <v>5400</v>
          </cell>
          <cell r="S81">
            <v>900</v>
          </cell>
        </row>
        <row r="82">
          <cell r="B82" t="str">
            <v>French Southern Territories</v>
          </cell>
          <cell r="C82" t="str">
            <v>Europe</v>
          </cell>
          <cell r="D82" t="str">
            <v>N</v>
          </cell>
          <cell r="E82" t="str">
            <v>BAU</v>
          </cell>
          <cell r="F82" t="str">
            <v>EUR</v>
          </cell>
          <cell r="G82">
            <v>139.99</v>
          </cell>
          <cell r="H82">
            <v>27.99</v>
          </cell>
          <cell r="I82">
            <v>119.99</v>
          </cell>
          <cell r="J82">
            <v>24.99</v>
          </cell>
          <cell r="K82">
            <v>74.989999999999995</v>
          </cell>
          <cell r="L82">
            <v>14.99</v>
          </cell>
          <cell r="M82" t="str">
            <v>EUR</v>
          </cell>
          <cell r="N82">
            <v>119.99</v>
          </cell>
          <cell r="O82">
            <v>19.989999999999998</v>
          </cell>
          <cell r="P82">
            <v>89.99</v>
          </cell>
          <cell r="Q82">
            <v>14.99</v>
          </cell>
          <cell r="R82">
            <v>79.989999999999995</v>
          </cell>
          <cell r="S82">
            <v>12.99</v>
          </cell>
        </row>
        <row r="83">
          <cell r="B83" t="str">
            <v>Gabon</v>
          </cell>
          <cell r="C83" t="str">
            <v>Africa</v>
          </cell>
          <cell r="D83" t="str">
            <v>N</v>
          </cell>
          <cell r="E83" t="str">
            <v>BAU</v>
          </cell>
          <cell r="F83" t="str">
            <v>XAF</v>
          </cell>
          <cell r="G83" t="str">
            <v/>
          </cell>
          <cell r="H83" t="str">
            <v/>
          </cell>
          <cell r="I83">
            <v>29100</v>
          </cell>
          <cell r="J83">
            <v>6400</v>
          </cell>
          <cell r="K83">
            <v>14500</v>
          </cell>
          <cell r="L83">
            <v>2900</v>
          </cell>
          <cell r="M83" t="str">
            <v>XAF</v>
          </cell>
          <cell r="N83">
            <v>34020</v>
          </cell>
          <cell r="O83">
            <v>5670</v>
          </cell>
          <cell r="P83">
            <v>25200</v>
          </cell>
          <cell r="Q83">
            <v>4200</v>
          </cell>
          <cell r="R83">
            <v>22680</v>
          </cell>
          <cell r="S83">
            <v>3780</v>
          </cell>
        </row>
        <row r="84">
          <cell r="B84" t="str">
            <v>Gambia</v>
          </cell>
          <cell r="C84" t="str">
            <v>Africa</v>
          </cell>
          <cell r="D84" t="str">
            <v>N</v>
          </cell>
          <cell r="E84" t="str">
            <v>BAU</v>
          </cell>
          <cell r="F84" t="str">
            <v>GMD</v>
          </cell>
          <cell r="G84" t="str">
            <v/>
          </cell>
          <cell r="H84" t="str">
            <v/>
          </cell>
          <cell r="I84">
            <v>2500</v>
          </cell>
          <cell r="J84">
            <v>549.99</v>
          </cell>
          <cell r="K84">
            <v>1200</v>
          </cell>
          <cell r="L84">
            <v>249.99</v>
          </cell>
          <cell r="M84" t="str">
            <v>GMD</v>
          </cell>
          <cell r="N84">
            <v>4451.99</v>
          </cell>
          <cell r="O84">
            <v>741.99</v>
          </cell>
          <cell r="P84">
            <v>3299.99</v>
          </cell>
          <cell r="Q84">
            <v>549.99</v>
          </cell>
          <cell r="R84">
            <v>2969.99</v>
          </cell>
          <cell r="S84">
            <v>494.99</v>
          </cell>
        </row>
        <row r="85">
          <cell r="B85" t="str">
            <v>Georgia</v>
          </cell>
          <cell r="C85" t="str">
            <v>Middle East</v>
          </cell>
          <cell r="D85" t="str">
            <v>N</v>
          </cell>
          <cell r="E85" t="str">
            <v>BAU</v>
          </cell>
          <cell r="F85" t="str">
            <v>GEL</v>
          </cell>
          <cell r="G85" t="str">
            <v/>
          </cell>
          <cell r="H85" t="str">
            <v/>
          </cell>
          <cell r="I85">
            <v>189.99</v>
          </cell>
          <cell r="J85">
            <v>37.99</v>
          </cell>
          <cell r="K85">
            <v>119.99</v>
          </cell>
          <cell r="L85">
            <v>24.99</v>
          </cell>
          <cell r="M85" t="str">
            <v>GEL</v>
          </cell>
          <cell r="N85">
            <v>299.99</v>
          </cell>
          <cell r="O85">
            <v>50.99</v>
          </cell>
          <cell r="P85">
            <v>229.99</v>
          </cell>
          <cell r="Q85">
            <v>37.99</v>
          </cell>
          <cell r="R85">
            <v>199.99</v>
          </cell>
          <cell r="S85">
            <v>33.99</v>
          </cell>
        </row>
        <row r="86">
          <cell r="B86" t="str">
            <v>Germany</v>
          </cell>
          <cell r="C86" t="str">
            <v>Europe</v>
          </cell>
          <cell r="D86" t="str">
            <v>Y</v>
          </cell>
          <cell r="E86" t="str">
            <v>Steeper than BAU</v>
          </cell>
          <cell r="F86" t="str">
            <v>EUR</v>
          </cell>
          <cell r="G86">
            <v>229.99</v>
          </cell>
          <cell r="H86">
            <v>29.99</v>
          </cell>
          <cell r="I86">
            <v>199.99</v>
          </cell>
          <cell r="J86">
            <v>24.99</v>
          </cell>
          <cell r="K86">
            <v>109.99</v>
          </cell>
          <cell r="L86">
            <v>14.99</v>
          </cell>
          <cell r="M86" t="str">
            <v>EUR</v>
          </cell>
          <cell r="N86">
            <v>149.99</v>
          </cell>
          <cell r="O86">
            <v>23.99</v>
          </cell>
          <cell r="P86">
            <v>119.99</v>
          </cell>
          <cell r="Q86">
            <v>17.989999999999998</v>
          </cell>
          <cell r="R86">
            <v>109.99</v>
          </cell>
          <cell r="S86">
            <v>16.989999999999998</v>
          </cell>
        </row>
        <row r="87">
          <cell r="B87" t="str">
            <v>Ghana</v>
          </cell>
          <cell r="C87" t="str">
            <v>Africa</v>
          </cell>
          <cell r="D87" t="str">
            <v>N</v>
          </cell>
          <cell r="E87" t="str">
            <v>BAU</v>
          </cell>
          <cell r="F87" t="str">
            <v>USD</v>
          </cell>
          <cell r="G87" t="str">
            <v/>
          </cell>
          <cell r="H87" t="str">
            <v/>
          </cell>
          <cell r="I87">
            <v>49.99</v>
          </cell>
          <cell r="J87">
            <v>10.99</v>
          </cell>
          <cell r="K87">
            <v>24.99</v>
          </cell>
          <cell r="L87">
            <v>4.99</v>
          </cell>
          <cell r="M87" t="str">
            <v>GHS</v>
          </cell>
          <cell r="N87">
            <v>540</v>
          </cell>
          <cell r="O87">
            <v>90</v>
          </cell>
          <cell r="P87">
            <v>390</v>
          </cell>
          <cell r="Q87">
            <v>65</v>
          </cell>
          <cell r="R87">
            <v>360</v>
          </cell>
          <cell r="S87">
            <v>60</v>
          </cell>
        </row>
        <row r="88">
          <cell r="B88" t="str">
            <v>Gibraltar</v>
          </cell>
          <cell r="C88" t="str">
            <v>Europe</v>
          </cell>
          <cell r="D88" t="str">
            <v>N</v>
          </cell>
          <cell r="E88" t="str">
            <v>BAU</v>
          </cell>
          <cell r="F88" t="str">
            <v>GIP</v>
          </cell>
          <cell r="G88">
            <v>129.99</v>
          </cell>
          <cell r="H88">
            <v>24.99</v>
          </cell>
          <cell r="I88">
            <v>109.99</v>
          </cell>
          <cell r="J88">
            <v>21.99</v>
          </cell>
          <cell r="K88">
            <v>66.989999999999995</v>
          </cell>
          <cell r="L88">
            <v>12.99</v>
          </cell>
          <cell r="M88" t="str">
            <v>GIP</v>
          </cell>
          <cell r="N88">
            <v>109.99</v>
          </cell>
          <cell r="O88">
            <v>17.989999999999998</v>
          </cell>
          <cell r="P88">
            <v>79.989999999999995</v>
          </cell>
          <cell r="Q88">
            <v>12.99</v>
          </cell>
          <cell r="R88">
            <v>69.989999999999995</v>
          </cell>
          <cell r="S88">
            <v>11.99</v>
          </cell>
        </row>
        <row r="89">
          <cell r="B89" t="str">
            <v>Greece</v>
          </cell>
          <cell r="C89" t="str">
            <v>Europe</v>
          </cell>
          <cell r="D89" t="str">
            <v>Y</v>
          </cell>
          <cell r="E89" t="str">
            <v>BAU</v>
          </cell>
          <cell r="F89" t="str">
            <v>EUR</v>
          </cell>
          <cell r="G89">
            <v>109.99</v>
          </cell>
          <cell r="H89">
            <v>11.99</v>
          </cell>
          <cell r="I89">
            <v>94.99</v>
          </cell>
          <cell r="J89">
            <v>9.99</v>
          </cell>
          <cell r="K89">
            <v>59.99</v>
          </cell>
          <cell r="L89">
            <v>6.99</v>
          </cell>
          <cell r="M89" t="str">
            <v>EUR</v>
          </cell>
          <cell r="N89">
            <v>79.989999999999995</v>
          </cell>
          <cell r="O89">
            <v>12.99</v>
          </cell>
          <cell r="P89">
            <v>59.99</v>
          </cell>
          <cell r="Q89">
            <v>9.99</v>
          </cell>
          <cell r="R89">
            <v>49.99</v>
          </cell>
          <cell r="S89">
            <v>8.99</v>
          </cell>
        </row>
        <row r="90">
          <cell r="B90" t="str">
            <v>Greenland</v>
          </cell>
          <cell r="C90" t="str">
            <v>Europe</v>
          </cell>
          <cell r="D90" t="str">
            <v>N</v>
          </cell>
          <cell r="E90" t="str">
            <v>BAU</v>
          </cell>
          <cell r="F90" t="str">
            <v>DKK</v>
          </cell>
          <cell r="G90">
            <v>1100</v>
          </cell>
          <cell r="H90">
            <v>209.99</v>
          </cell>
          <cell r="I90">
            <v>929.99</v>
          </cell>
          <cell r="J90">
            <v>189.99</v>
          </cell>
          <cell r="K90">
            <v>559.99</v>
          </cell>
          <cell r="L90">
            <v>109.99</v>
          </cell>
          <cell r="M90" t="str">
            <v>DKK</v>
          </cell>
          <cell r="N90">
            <v>1079.99</v>
          </cell>
          <cell r="O90">
            <v>179.99</v>
          </cell>
          <cell r="P90">
            <v>829.99</v>
          </cell>
          <cell r="Q90">
            <v>139.99</v>
          </cell>
          <cell r="R90">
            <v>779.99</v>
          </cell>
          <cell r="S90">
            <v>129.99</v>
          </cell>
        </row>
        <row r="91">
          <cell r="B91" t="str">
            <v>Grenada</v>
          </cell>
          <cell r="C91" t="str">
            <v>Latin America</v>
          </cell>
          <cell r="D91" t="str">
            <v>N</v>
          </cell>
          <cell r="E91" t="str">
            <v>BAU</v>
          </cell>
          <cell r="F91" t="str">
            <v>XCD</v>
          </cell>
          <cell r="G91" t="str">
            <v/>
          </cell>
          <cell r="H91" t="str">
            <v/>
          </cell>
          <cell r="I91">
            <v>189.99</v>
          </cell>
          <cell r="J91">
            <v>37.99</v>
          </cell>
          <cell r="K91">
            <v>119.99</v>
          </cell>
          <cell r="L91">
            <v>23.99</v>
          </cell>
          <cell r="M91" t="str">
            <v>XCD</v>
          </cell>
          <cell r="N91">
            <v>305.99</v>
          </cell>
          <cell r="O91">
            <v>50.99</v>
          </cell>
          <cell r="P91">
            <v>227.99</v>
          </cell>
          <cell r="Q91">
            <v>37.99</v>
          </cell>
          <cell r="R91">
            <v>203.99</v>
          </cell>
          <cell r="S91">
            <v>33.99</v>
          </cell>
        </row>
        <row r="92">
          <cell r="B92" t="str">
            <v>Guadeloupe</v>
          </cell>
          <cell r="C92" t="str">
            <v>Latin America</v>
          </cell>
          <cell r="D92" t="str">
            <v>N</v>
          </cell>
          <cell r="E92" t="str">
            <v>BAU</v>
          </cell>
          <cell r="F92" t="str">
            <v>EUR</v>
          </cell>
          <cell r="G92" t="str">
            <v/>
          </cell>
          <cell r="H92" t="str">
            <v/>
          </cell>
          <cell r="I92">
            <v>61.99</v>
          </cell>
          <cell r="J92">
            <v>11.99</v>
          </cell>
          <cell r="K92">
            <v>39.99</v>
          </cell>
          <cell r="L92">
            <v>7.99</v>
          </cell>
          <cell r="M92" t="str">
            <v>EUR</v>
          </cell>
          <cell r="N92">
            <v>77.989999999999995</v>
          </cell>
          <cell r="O92">
            <v>12.99</v>
          </cell>
          <cell r="P92">
            <v>59.99</v>
          </cell>
          <cell r="Q92">
            <v>9.99</v>
          </cell>
          <cell r="R92">
            <v>53.99</v>
          </cell>
          <cell r="S92">
            <v>8.99</v>
          </cell>
        </row>
        <row r="93">
          <cell r="B93" t="str">
            <v>Guatemala</v>
          </cell>
          <cell r="C93" t="str">
            <v>Latin America</v>
          </cell>
          <cell r="D93" t="str">
            <v>N</v>
          </cell>
          <cell r="E93" t="str">
            <v>BAU</v>
          </cell>
          <cell r="F93" t="str">
            <v>GTQ</v>
          </cell>
          <cell r="G93" t="str">
            <v/>
          </cell>
          <cell r="H93" t="str">
            <v/>
          </cell>
          <cell r="I93">
            <v>379.99</v>
          </cell>
          <cell r="J93">
            <v>84.99</v>
          </cell>
          <cell r="K93">
            <v>189.99</v>
          </cell>
          <cell r="L93">
            <v>37.99</v>
          </cell>
          <cell r="M93" t="str">
            <v>GTQ</v>
          </cell>
          <cell r="N93">
            <v>689.99</v>
          </cell>
          <cell r="O93">
            <v>114.99</v>
          </cell>
          <cell r="P93">
            <v>509.99</v>
          </cell>
          <cell r="Q93">
            <v>84.99</v>
          </cell>
          <cell r="R93">
            <v>455.99</v>
          </cell>
          <cell r="S93">
            <v>75.989999999999995</v>
          </cell>
        </row>
        <row r="94">
          <cell r="B94" t="str">
            <v>Guernsey</v>
          </cell>
          <cell r="C94" t="str">
            <v>Europe</v>
          </cell>
          <cell r="D94" t="str">
            <v>N</v>
          </cell>
          <cell r="E94" t="str">
            <v>BAU</v>
          </cell>
          <cell r="F94" t="str">
            <v>USD</v>
          </cell>
          <cell r="G94">
            <v>159.99</v>
          </cell>
          <cell r="H94">
            <v>31.99</v>
          </cell>
          <cell r="I94">
            <v>139.99</v>
          </cell>
          <cell r="J94">
            <v>27.99</v>
          </cell>
          <cell r="K94">
            <v>84.99</v>
          </cell>
          <cell r="L94">
            <v>16.989999999999998</v>
          </cell>
          <cell r="M94" t="str">
            <v>GBP</v>
          </cell>
          <cell r="N94">
            <v>119.99</v>
          </cell>
          <cell r="O94">
            <v>19.989999999999998</v>
          </cell>
          <cell r="P94">
            <v>89.99</v>
          </cell>
          <cell r="Q94">
            <v>14.99</v>
          </cell>
          <cell r="R94">
            <v>79.989999999999995</v>
          </cell>
          <cell r="S94">
            <v>12.99</v>
          </cell>
        </row>
        <row r="95">
          <cell r="B95" t="str">
            <v>Guinea</v>
          </cell>
          <cell r="C95" t="str">
            <v>Africa</v>
          </cell>
          <cell r="D95" t="str">
            <v>N</v>
          </cell>
          <cell r="E95" t="str">
            <v>BAU</v>
          </cell>
          <cell r="F95" t="str">
            <v>GNF</v>
          </cell>
          <cell r="G95" t="str">
            <v/>
          </cell>
          <cell r="H95" t="str">
            <v/>
          </cell>
          <cell r="I95">
            <v>462000</v>
          </cell>
          <cell r="J95">
            <v>101000</v>
          </cell>
          <cell r="K95">
            <v>231000</v>
          </cell>
          <cell r="L95">
            <v>46100</v>
          </cell>
          <cell r="M95" t="str">
            <v>GNF</v>
          </cell>
          <cell r="N95">
            <v>654480</v>
          </cell>
          <cell r="O95">
            <v>109080</v>
          </cell>
          <cell r="P95">
            <v>484800</v>
          </cell>
          <cell r="Q95">
            <v>80800</v>
          </cell>
          <cell r="R95">
            <v>436320</v>
          </cell>
          <cell r="S95">
            <v>72720</v>
          </cell>
        </row>
        <row r="96">
          <cell r="B96" t="str">
            <v>Guinea-Bissau</v>
          </cell>
          <cell r="C96" t="str">
            <v>Africa</v>
          </cell>
          <cell r="D96" t="str">
            <v>N</v>
          </cell>
          <cell r="E96" t="str">
            <v>BAU</v>
          </cell>
          <cell r="F96" t="str">
            <v>XOF</v>
          </cell>
          <cell r="G96" t="str">
            <v/>
          </cell>
          <cell r="H96" t="str">
            <v/>
          </cell>
          <cell r="I96">
            <v>29100</v>
          </cell>
          <cell r="J96">
            <v>6400</v>
          </cell>
          <cell r="K96">
            <v>14500</v>
          </cell>
          <cell r="L96">
            <v>2900</v>
          </cell>
          <cell r="M96" t="str">
            <v>XOF</v>
          </cell>
          <cell r="N96">
            <v>43740</v>
          </cell>
          <cell r="O96">
            <v>7290</v>
          </cell>
          <cell r="P96">
            <v>32400</v>
          </cell>
          <cell r="Q96">
            <v>5400</v>
          </cell>
          <cell r="R96">
            <v>29160</v>
          </cell>
          <cell r="S96">
            <v>4860</v>
          </cell>
        </row>
        <row r="97">
          <cell r="B97" t="str">
            <v>Guyana</v>
          </cell>
          <cell r="C97" t="str">
            <v>Latin America</v>
          </cell>
          <cell r="D97" t="str">
            <v>N</v>
          </cell>
          <cell r="E97" t="str">
            <v>BAU</v>
          </cell>
          <cell r="F97" t="str">
            <v>GYD</v>
          </cell>
          <cell r="G97" t="str">
            <v/>
          </cell>
          <cell r="H97" t="str">
            <v/>
          </cell>
          <cell r="I97">
            <v>14600</v>
          </cell>
          <cell r="J97">
            <v>2900</v>
          </cell>
          <cell r="K97">
            <v>9400</v>
          </cell>
          <cell r="L97">
            <v>1900</v>
          </cell>
          <cell r="M97" t="str">
            <v>GYD</v>
          </cell>
          <cell r="N97">
            <v>23489.99</v>
          </cell>
          <cell r="O97">
            <v>3914.99</v>
          </cell>
          <cell r="P97">
            <v>17399.990000000002</v>
          </cell>
          <cell r="Q97">
            <v>2899.99</v>
          </cell>
          <cell r="R97">
            <v>15659.99</v>
          </cell>
          <cell r="S97">
            <v>2609.9899999999998</v>
          </cell>
        </row>
        <row r="98">
          <cell r="B98" t="str">
            <v>Haiti</v>
          </cell>
          <cell r="C98" t="str">
            <v>Latin America</v>
          </cell>
          <cell r="D98" t="str">
            <v>N</v>
          </cell>
          <cell r="E98" t="str">
            <v>BAU</v>
          </cell>
          <cell r="F98" t="str">
            <v>HTG</v>
          </cell>
          <cell r="G98" t="str">
            <v/>
          </cell>
          <cell r="H98" t="str">
            <v/>
          </cell>
          <cell r="I98">
            <v>6500</v>
          </cell>
          <cell r="J98">
            <v>1300</v>
          </cell>
          <cell r="K98">
            <v>4200</v>
          </cell>
          <cell r="L98">
            <v>829.99</v>
          </cell>
          <cell r="M98" t="str">
            <v>HTG</v>
          </cell>
          <cell r="N98">
            <v>10560</v>
          </cell>
          <cell r="O98">
            <v>1760</v>
          </cell>
          <cell r="P98">
            <v>7800</v>
          </cell>
          <cell r="Q98">
            <v>1300</v>
          </cell>
          <cell r="R98">
            <v>7020</v>
          </cell>
          <cell r="S98">
            <v>1170</v>
          </cell>
        </row>
        <row r="99">
          <cell r="B99" t="str">
            <v>Heard And Mcdonald Islands</v>
          </cell>
          <cell r="C99" t="str">
            <v>India</v>
          </cell>
          <cell r="D99" t="str">
            <v>N</v>
          </cell>
          <cell r="E99" t="str">
            <v>BAU</v>
          </cell>
          <cell r="F99" t="str">
            <v>AUD</v>
          </cell>
          <cell r="G99">
            <v>229.99</v>
          </cell>
          <cell r="H99">
            <v>45.99</v>
          </cell>
          <cell r="I99">
            <v>199.99</v>
          </cell>
          <cell r="J99">
            <v>40.99</v>
          </cell>
          <cell r="K99">
            <v>119.99</v>
          </cell>
          <cell r="L99">
            <v>23.99</v>
          </cell>
          <cell r="M99" t="str">
            <v>AUD</v>
          </cell>
          <cell r="N99">
            <v>107.99</v>
          </cell>
          <cell r="O99">
            <v>17.989999999999998</v>
          </cell>
          <cell r="P99">
            <v>77.989999999999995</v>
          </cell>
          <cell r="Q99">
            <v>12.99</v>
          </cell>
          <cell r="R99">
            <v>71.989999999999995</v>
          </cell>
          <cell r="S99">
            <v>11.99</v>
          </cell>
        </row>
        <row r="100">
          <cell r="B100" t="str">
            <v>Honduras</v>
          </cell>
          <cell r="C100" t="str">
            <v>Latin America</v>
          </cell>
          <cell r="D100" t="str">
            <v>N</v>
          </cell>
          <cell r="E100" t="str">
            <v>BAU</v>
          </cell>
          <cell r="F100" t="str">
            <v>HNL</v>
          </cell>
          <cell r="G100" t="str">
            <v/>
          </cell>
          <cell r="H100" t="str">
            <v/>
          </cell>
          <cell r="I100">
            <v>1200</v>
          </cell>
          <cell r="J100">
            <v>269.99</v>
          </cell>
          <cell r="K100">
            <v>609.99</v>
          </cell>
          <cell r="L100">
            <v>119.99</v>
          </cell>
          <cell r="M100" t="str">
            <v>HNL</v>
          </cell>
          <cell r="N100">
            <v>1781.99</v>
          </cell>
          <cell r="O100">
            <v>296.99</v>
          </cell>
          <cell r="P100">
            <v>1319.99</v>
          </cell>
          <cell r="Q100">
            <v>219.99</v>
          </cell>
          <cell r="R100">
            <v>1187.99</v>
          </cell>
          <cell r="S100">
            <v>197.99</v>
          </cell>
        </row>
        <row r="101">
          <cell r="B101" t="str">
            <v>Hong Kong</v>
          </cell>
          <cell r="C101" t="str">
            <v>NBA China</v>
          </cell>
          <cell r="D101" t="str">
            <v>Y</v>
          </cell>
          <cell r="E101" t="str">
            <v>Steeper than BAU</v>
          </cell>
          <cell r="F101" t="str">
            <v>HKD</v>
          </cell>
          <cell r="G101">
            <v>1500</v>
          </cell>
          <cell r="H101">
            <v>199.99</v>
          </cell>
          <cell r="I101">
            <v>1300</v>
          </cell>
          <cell r="J101">
            <v>169.99</v>
          </cell>
          <cell r="K101">
            <v>779.99</v>
          </cell>
          <cell r="L101">
            <v>89.99</v>
          </cell>
          <cell r="M101" t="str">
            <v>HKD</v>
          </cell>
          <cell r="N101">
            <v>900</v>
          </cell>
          <cell r="O101">
            <v>150</v>
          </cell>
          <cell r="P101">
            <v>650</v>
          </cell>
          <cell r="Q101">
            <v>109</v>
          </cell>
          <cell r="R101">
            <v>600</v>
          </cell>
          <cell r="S101">
            <v>100</v>
          </cell>
        </row>
        <row r="102">
          <cell r="B102" t="str">
            <v>Hungary</v>
          </cell>
          <cell r="C102" t="str">
            <v>Europe</v>
          </cell>
          <cell r="D102" t="str">
            <v>Y</v>
          </cell>
          <cell r="E102" t="str">
            <v>BAU</v>
          </cell>
          <cell r="F102" t="str">
            <v>HUF</v>
          </cell>
          <cell r="G102">
            <v>37100</v>
          </cell>
          <cell r="H102">
            <v>4600</v>
          </cell>
          <cell r="I102">
            <v>31400</v>
          </cell>
          <cell r="J102">
            <v>4000</v>
          </cell>
          <cell r="K102">
            <v>20900</v>
          </cell>
          <cell r="L102">
            <v>2600</v>
          </cell>
          <cell r="M102" t="str">
            <v>HUF</v>
          </cell>
          <cell r="N102">
            <v>31199</v>
          </cell>
          <cell r="O102">
            <v>5199</v>
          </cell>
          <cell r="P102">
            <v>23999</v>
          </cell>
          <cell r="Q102">
            <v>3999</v>
          </cell>
          <cell r="R102">
            <v>21599</v>
          </cell>
          <cell r="S102">
            <v>3599</v>
          </cell>
        </row>
        <row r="103">
          <cell r="B103" t="str">
            <v>Iceland</v>
          </cell>
          <cell r="C103" t="str">
            <v>Europe</v>
          </cell>
          <cell r="D103" t="str">
            <v>N</v>
          </cell>
          <cell r="E103" t="str">
            <v>BAU</v>
          </cell>
          <cell r="F103" t="str">
            <v>ISK</v>
          </cell>
          <cell r="G103">
            <v>23400</v>
          </cell>
          <cell r="H103">
            <v>4700</v>
          </cell>
          <cell r="I103">
            <v>17600</v>
          </cell>
          <cell r="J103">
            <v>3500</v>
          </cell>
          <cell r="K103">
            <v>10700</v>
          </cell>
          <cell r="L103">
            <v>2100</v>
          </cell>
          <cell r="M103" t="str">
            <v>ISK</v>
          </cell>
          <cell r="N103">
            <v>27299.99</v>
          </cell>
          <cell r="O103">
            <v>4549.99</v>
          </cell>
          <cell r="P103">
            <v>20999.99</v>
          </cell>
          <cell r="Q103">
            <v>3499.99</v>
          </cell>
          <cell r="R103">
            <v>18899.990000000002</v>
          </cell>
          <cell r="S103">
            <v>3149.99</v>
          </cell>
        </row>
        <row r="104">
          <cell r="B104" t="str">
            <v>India</v>
          </cell>
          <cell r="C104" t="str">
            <v>India</v>
          </cell>
          <cell r="D104" t="str">
            <v>Y</v>
          </cell>
          <cell r="E104" t="str">
            <v>BAU</v>
          </cell>
          <cell r="F104" t="str">
            <v>INR</v>
          </cell>
          <cell r="G104"/>
          <cell r="H104"/>
          <cell r="I104">
            <v>1499</v>
          </cell>
          <cell r="J104">
            <v>199</v>
          </cell>
          <cell r="K104">
            <v>0</v>
          </cell>
          <cell r="L104">
            <v>0</v>
          </cell>
          <cell r="M104" t="str">
            <v>INR</v>
          </cell>
          <cell r="N104">
            <v>1999</v>
          </cell>
          <cell r="O104">
            <v>299</v>
          </cell>
          <cell r="P104">
            <v>1499</v>
          </cell>
          <cell r="Q104">
            <v>219</v>
          </cell>
          <cell r="R104"/>
          <cell r="S104"/>
        </row>
        <row r="105">
          <cell r="B105" t="str">
            <v>Indonesia</v>
          </cell>
          <cell r="C105" t="str">
            <v>Asia</v>
          </cell>
          <cell r="D105" t="str">
            <v>Y</v>
          </cell>
          <cell r="E105" t="str">
            <v>BAU</v>
          </cell>
          <cell r="F105" t="str">
            <v>IDR</v>
          </cell>
          <cell r="G105">
            <v>1529000</v>
          </cell>
          <cell r="H105">
            <v>183000</v>
          </cell>
          <cell r="I105">
            <v>1286000</v>
          </cell>
          <cell r="J105">
            <v>154000</v>
          </cell>
          <cell r="K105">
            <v>700000</v>
          </cell>
          <cell r="L105">
            <v>70000</v>
          </cell>
          <cell r="M105" t="str">
            <v>IDR</v>
          </cell>
          <cell r="N105">
            <v>1093500</v>
          </cell>
          <cell r="O105">
            <v>182250</v>
          </cell>
          <cell r="P105">
            <v>810000</v>
          </cell>
          <cell r="Q105">
            <v>135000</v>
          </cell>
          <cell r="R105">
            <v>594000</v>
          </cell>
          <cell r="S105">
            <v>108000</v>
          </cell>
        </row>
        <row r="106">
          <cell r="B106" t="str">
            <v>Iraq</v>
          </cell>
          <cell r="C106" t="str">
            <v>Middle East</v>
          </cell>
          <cell r="D106" t="str">
            <v>N</v>
          </cell>
          <cell r="E106" t="str">
            <v>NA</v>
          </cell>
          <cell r="F106"/>
          <cell r="G106"/>
          <cell r="H106"/>
          <cell r="I106"/>
          <cell r="J106"/>
          <cell r="K106"/>
          <cell r="L106"/>
          <cell r="M106" t="str">
            <v>USD</v>
          </cell>
          <cell r="N106">
            <v>99.99</v>
          </cell>
          <cell r="O106">
            <v>16.989999999999998</v>
          </cell>
          <cell r="P106">
            <v>74.989999999999995</v>
          </cell>
          <cell r="Q106">
            <v>12.99</v>
          </cell>
          <cell r="R106">
            <v>64.989999999999995</v>
          </cell>
          <cell r="S106">
            <v>10.99</v>
          </cell>
        </row>
        <row r="107">
          <cell r="B107" t="str">
            <v>Ireland</v>
          </cell>
          <cell r="C107" t="str">
            <v>Europe</v>
          </cell>
          <cell r="D107" t="str">
            <v>Y</v>
          </cell>
          <cell r="E107" t="str">
            <v>Steeper than BAU</v>
          </cell>
          <cell r="F107" t="str">
            <v>EUR</v>
          </cell>
          <cell r="G107">
            <v>239.99</v>
          </cell>
          <cell r="H107">
            <v>33.99</v>
          </cell>
          <cell r="I107">
            <v>209.99</v>
          </cell>
          <cell r="J107">
            <v>27.99</v>
          </cell>
          <cell r="K107">
            <v>109.99</v>
          </cell>
          <cell r="L107">
            <v>16.989999999999998</v>
          </cell>
          <cell r="M107" t="str">
            <v>EUR</v>
          </cell>
          <cell r="N107">
            <v>139.99</v>
          </cell>
          <cell r="O107">
            <v>23.99</v>
          </cell>
          <cell r="P107">
            <v>109.99</v>
          </cell>
          <cell r="Q107">
            <v>17.989999999999998</v>
          </cell>
          <cell r="R107">
            <v>99.99</v>
          </cell>
          <cell r="S107">
            <v>15.99</v>
          </cell>
        </row>
        <row r="108">
          <cell r="B108" t="str">
            <v>Isle Of Man</v>
          </cell>
          <cell r="C108" t="str">
            <v>Europe</v>
          </cell>
          <cell r="D108" t="str">
            <v>N</v>
          </cell>
          <cell r="E108" t="str">
            <v>BAU</v>
          </cell>
          <cell r="F108" t="str">
            <v>USD</v>
          </cell>
          <cell r="G108">
            <v>159.99</v>
          </cell>
          <cell r="H108">
            <v>31.99</v>
          </cell>
          <cell r="I108">
            <v>139.99</v>
          </cell>
          <cell r="J108">
            <v>27.99</v>
          </cell>
          <cell r="K108">
            <v>84.99</v>
          </cell>
          <cell r="L108">
            <v>16.989999999999998</v>
          </cell>
          <cell r="M108" t="str">
            <v>USD</v>
          </cell>
          <cell r="N108">
            <v>149.99</v>
          </cell>
          <cell r="O108">
            <v>25.99</v>
          </cell>
          <cell r="P108">
            <v>119.99</v>
          </cell>
          <cell r="Q108">
            <v>19.989999999999998</v>
          </cell>
          <cell r="R108">
            <v>109.99</v>
          </cell>
          <cell r="S108">
            <v>17.989999999999998</v>
          </cell>
        </row>
        <row r="109">
          <cell r="B109" t="str">
            <v>Israel</v>
          </cell>
          <cell r="C109" t="str">
            <v>Europe</v>
          </cell>
          <cell r="D109" t="str">
            <v>Y</v>
          </cell>
          <cell r="E109" t="str">
            <v>Steeper than BAU</v>
          </cell>
          <cell r="F109" t="str">
            <v>ILS</v>
          </cell>
          <cell r="G109">
            <v>869.99</v>
          </cell>
          <cell r="H109">
            <v>94.99</v>
          </cell>
          <cell r="I109">
            <v>759.99</v>
          </cell>
          <cell r="J109">
            <v>82.99</v>
          </cell>
          <cell r="K109">
            <v>469.99</v>
          </cell>
          <cell r="L109">
            <v>42.99</v>
          </cell>
          <cell r="M109" t="str">
            <v>ILS</v>
          </cell>
          <cell r="N109">
            <v>519.99</v>
          </cell>
          <cell r="O109">
            <v>87.99</v>
          </cell>
          <cell r="P109">
            <v>389.99</v>
          </cell>
          <cell r="Q109">
            <v>64.989999999999995</v>
          </cell>
          <cell r="R109">
            <v>349.99</v>
          </cell>
          <cell r="S109">
            <v>57.99</v>
          </cell>
        </row>
        <row r="110">
          <cell r="B110" t="str">
            <v>Italy</v>
          </cell>
          <cell r="C110" t="str">
            <v>Europe</v>
          </cell>
          <cell r="D110" t="str">
            <v>Y</v>
          </cell>
          <cell r="E110" t="str">
            <v>Steeper than BAU</v>
          </cell>
          <cell r="F110" t="str">
            <v>EUR</v>
          </cell>
          <cell r="G110">
            <v>199.99</v>
          </cell>
          <cell r="H110">
            <v>23.99</v>
          </cell>
          <cell r="I110">
            <v>169.99</v>
          </cell>
          <cell r="J110">
            <v>19.989999999999998</v>
          </cell>
          <cell r="K110">
            <v>89.99</v>
          </cell>
          <cell r="L110">
            <v>9.99</v>
          </cell>
          <cell r="M110" t="str">
            <v>EUR</v>
          </cell>
          <cell r="N110">
            <v>129.99</v>
          </cell>
          <cell r="O110">
            <v>19.989999999999998</v>
          </cell>
          <cell r="P110">
            <v>99.99</v>
          </cell>
          <cell r="Q110">
            <v>14.99</v>
          </cell>
          <cell r="R110">
            <v>89.99</v>
          </cell>
          <cell r="S110">
            <v>13.99</v>
          </cell>
        </row>
        <row r="111">
          <cell r="B111" t="str">
            <v>Jamaica</v>
          </cell>
          <cell r="C111" t="str">
            <v>Latin America</v>
          </cell>
          <cell r="D111" t="str">
            <v>N</v>
          </cell>
          <cell r="E111" t="str">
            <v>BAU</v>
          </cell>
          <cell r="F111" t="str">
            <v>JMD</v>
          </cell>
          <cell r="G111" t="str">
            <v/>
          </cell>
          <cell r="H111" t="str">
            <v/>
          </cell>
          <cell r="I111">
            <v>9100</v>
          </cell>
          <cell r="J111">
            <v>1800</v>
          </cell>
          <cell r="K111">
            <v>5900</v>
          </cell>
          <cell r="L111">
            <v>1200</v>
          </cell>
          <cell r="M111" t="str">
            <v>JMD</v>
          </cell>
          <cell r="N111">
            <v>12959.99</v>
          </cell>
          <cell r="O111">
            <v>2159.9899999999998</v>
          </cell>
          <cell r="P111">
            <v>9599.99</v>
          </cell>
          <cell r="Q111">
            <v>1599.99</v>
          </cell>
          <cell r="R111">
            <v>8639.99</v>
          </cell>
          <cell r="S111">
            <v>1439.99</v>
          </cell>
        </row>
        <row r="112">
          <cell r="B112" t="str">
            <v>Jersey</v>
          </cell>
          <cell r="C112" t="str">
            <v>Europe</v>
          </cell>
          <cell r="D112" t="str">
            <v>N</v>
          </cell>
          <cell r="E112" t="str">
            <v>BAU</v>
          </cell>
          <cell r="F112" t="str">
            <v>USD</v>
          </cell>
          <cell r="G112">
            <v>159.99</v>
          </cell>
          <cell r="H112">
            <v>31.99</v>
          </cell>
          <cell r="I112">
            <v>139.99</v>
          </cell>
          <cell r="J112">
            <v>27.99</v>
          </cell>
          <cell r="K112">
            <v>84.99</v>
          </cell>
          <cell r="L112">
            <v>16.989999999999998</v>
          </cell>
          <cell r="M112" t="str">
            <v>USD</v>
          </cell>
          <cell r="N112">
            <v>149.99</v>
          </cell>
          <cell r="O112">
            <v>25.99</v>
          </cell>
          <cell r="P112">
            <v>119.99</v>
          </cell>
          <cell r="Q112">
            <v>19.989999999999998</v>
          </cell>
          <cell r="R112">
            <v>109.99</v>
          </cell>
          <cell r="S112">
            <v>17.989999999999998</v>
          </cell>
        </row>
        <row r="113">
          <cell r="B113" t="str">
            <v>Jordan</v>
          </cell>
          <cell r="C113" t="str">
            <v>Middle East</v>
          </cell>
          <cell r="D113" t="str">
            <v>N</v>
          </cell>
          <cell r="E113" t="str">
            <v>BAU</v>
          </cell>
          <cell r="F113" t="str">
            <v>JOD</v>
          </cell>
          <cell r="G113" t="str">
            <v/>
          </cell>
          <cell r="H113" t="str">
            <v/>
          </cell>
          <cell r="I113">
            <v>49.99</v>
          </cell>
          <cell r="J113">
            <v>9.99</v>
          </cell>
          <cell r="K113">
            <v>31.99</v>
          </cell>
          <cell r="L113">
            <v>5.99</v>
          </cell>
          <cell r="M113" t="str">
            <v>JOD</v>
          </cell>
          <cell r="N113">
            <v>69.998999999999995</v>
          </cell>
          <cell r="O113">
            <v>11.999000000000001</v>
          </cell>
          <cell r="P113">
            <v>59.999000000000002</v>
          </cell>
          <cell r="Q113">
            <v>8.9990000000000006</v>
          </cell>
          <cell r="R113">
            <v>49.999000000000002</v>
          </cell>
          <cell r="S113">
            <v>7.9989999999999997</v>
          </cell>
        </row>
        <row r="114">
          <cell r="B114" t="str">
            <v>Kazakhstan</v>
          </cell>
          <cell r="C114" t="str">
            <v>Asia</v>
          </cell>
          <cell r="D114" t="str">
            <v>N</v>
          </cell>
          <cell r="E114" t="str">
            <v>BAU</v>
          </cell>
          <cell r="F114" t="str">
            <v>KZT</v>
          </cell>
          <cell r="G114" t="str">
            <v/>
          </cell>
          <cell r="H114" t="str">
            <v/>
          </cell>
          <cell r="I114">
            <v>27000</v>
          </cell>
          <cell r="J114">
            <v>5400</v>
          </cell>
          <cell r="K114">
            <v>17300</v>
          </cell>
          <cell r="L114">
            <v>3500</v>
          </cell>
          <cell r="M114" t="str">
            <v>KZT</v>
          </cell>
          <cell r="N114">
            <v>37260</v>
          </cell>
          <cell r="O114">
            <v>6210</v>
          </cell>
          <cell r="P114">
            <v>27600</v>
          </cell>
          <cell r="Q114">
            <v>4600</v>
          </cell>
          <cell r="R114">
            <v>24840</v>
          </cell>
          <cell r="S114">
            <v>4140</v>
          </cell>
        </row>
        <row r="115">
          <cell r="B115" t="str">
            <v>Kenya</v>
          </cell>
          <cell r="C115" t="str">
            <v>Africa</v>
          </cell>
          <cell r="D115" t="str">
            <v>N</v>
          </cell>
          <cell r="E115" t="str">
            <v>BAU</v>
          </cell>
          <cell r="F115" t="str">
            <v>KES</v>
          </cell>
          <cell r="G115" t="str">
            <v/>
          </cell>
          <cell r="H115" t="str">
            <v/>
          </cell>
          <cell r="I115">
            <v>5100</v>
          </cell>
          <cell r="J115">
            <v>1100</v>
          </cell>
          <cell r="K115">
            <v>2500</v>
          </cell>
          <cell r="L115">
            <v>509.99</v>
          </cell>
          <cell r="M115" t="str">
            <v>KES</v>
          </cell>
          <cell r="N115">
            <v>8940</v>
          </cell>
          <cell r="O115">
            <v>1490</v>
          </cell>
          <cell r="P115">
            <v>6600</v>
          </cell>
          <cell r="Q115">
            <v>1100</v>
          </cell>
          <cell r="R115">
            <v>5940</v>
          </cell>
          <cell r="S115">
            <v>990</v>
          </cell>
        </row>
        <row r="116">
          <cell r="B116" t="str">
            <v>Kiribati</v>
          </cell>
          <cell r="C116" t="str">
            <v>Asia</v>
          </cell>
          <cell r="D116" t="str">
            <v>N</v>
          </cell>
          <cell r="E116" t="str">
            <v>BAU</v>
          </cell>
          <cell r="F116" t="str">
            <v>AUD</v>
          </cell>
          <cell r="G116" t="str">
            <v/>
          </cell>
          <cell r="H116" t="str">
            <v/>
          </cell>
          <cell r="I116">
            <v>99.99</v>
          </cell>
          <cell r="J116">
            <v>19.989999999999998</v>
          </cell>
          <cell r="K116">
            <v>64.989999999999995</v>
          </cell>
          <cell r="L116">
            <v>12.99</v>
          </cell>
          <cell r="M116" t="str">
            <v>AUD</v>
          </cell>
          <cell r="N116">
            <v>107.99</v>
          </cell>
          <cell r="O116">
            <v>17.989999999999998</v>
          </cell>
          <cell r="P116">
            <v>77.989999999999995</v>
          </cell>
          <cell r="Q116">
            <v>12.99</v>
          </cell>
          <cell r="R116">
            <v>71.989999999999995</v>
          </cell>
          <cell r="S116">
            <v>11.99</v>
          </cell>
        </row>
        <row r="117">
          <cell r="B117" t="str">
            <v>Kosovo</v>
          </cell>
          <cell r="C117" t="str">
            <v>Europe</v>
          </cell>
          <cell r="D117" t="str">
            <v>N</v>
          </cell>
          <cell r="E117" t="str">
            <v>BAU</v>
          </cell>
          <cell r="F117" t="str">
            <v>EUR</v>
          </cell>
          <cell r="G117">
            <v>119.99</v>
          </cell>
          <cell r="H117">
            <v>13.99</v>
          </cell>
          <cell r="I117">
            <v>97.99</v>
          </cell>
          <cell r="J117">
            <v>12.99</v>
          </cell>
          <cell r="K117">
            <v>64.989999999999995</v>
          </cell>
          <cell r="L117">
            <v>7.99</v>
          </cell>
          <cell r="M117" t="str">
            <v>EUR</v>
          </cell>
          <cell r="N117"/>
          <cell r="O117"/>
          <cell r="P117"/>
          <cell r="Q117"/>
          <cell r="R117"/>
          <cell r="S117"/>
        </row>
        <row r="118">
          <cell r="B118" t="str">
            <v>Kuwait</v>
          </cell>
          <cell r="C118" t="str">
            <v>Middle East</v>
          </cell>
          <cell r="D118" t="str">
            <v>N</v>
          </cell>
          <cell r="E118" t="str">
            <v>BAU</v>
          </cell>
          <cell r="F118" t="str">
            <v>KWD</v>
          </cell>
          <cell r="G118">
            <v>39.99</v>
          </cell>
          <cell r="H118">
            <v>7.99</v>
          </cell>
          <cell r="I118">
            <v>32.99</v>
          </cell>
          <cell r="J118">
            <v>6.99</v>
          </cell>
          <cell r="K118">
            <v>17.989999999999998</v>
          </cell>
          <cell r="L118">
            <v>3.99</v>
          </cell>
          <cell r="M118" t="str">
            <v>KWD</v>
          </cell>
          <cell r="N118">
            <v>49.999000000000002</v>
          </cell>
          <cell r="O118">
            <v>8.9990000000000006</v>
          </cell>
          <cell r="P118">
            <v>39.999000000000002</v>
          </cell>
          <cell r="Q118">
            <v>6.9989999999999997</v>
          </cell>
          <cell r="R118">
            <v>29.998999999999999</v>
          </cell>
          <cell r="S118">
            <v>5.9989999999999997</v>
          </cell>
        </row>
        <row r="119">
          <cell r="B119" t="str">
            <v>Kyrgyzstan</v>
          </cell>
          <cell r="C119" t="str">
            <v>Asia</v>
          </cell>
          <cell r="D119" t="str">
            <v>N</v>
          </cell>
          <cell r="E119" t="str">
            <v>BAU</v>
          </cell>
          <cell r="F119" t="str">
            <v>KGS</v>
          </cell>
          <cell r="G119" t="str">
            <v/>
          </cell>
          <cell r="H119" t="str">
            <v/>
          </cell>
          <cell r="I119">
            <v>4900</v>
          </cell>
          <cell r="J119">
            <v>979.99</v>
          </cell>
          <cell r="K119">
            <v>3100</v>
          </cell>
          <cell r="L119">
            <v>629.99</v>
          </cell>
          <cell r="M119" t="str">
            <v>KGS</v>
          </cell>
          <cell r="N119">
            <v>7937.99</v>
          </cell>
          <cell r="O119">
            <v>1322.99</v>
          </cell>
          <cell r="P119">
            <v>5879.99</v>
          </cell>
          <cell r="Q119">
            <v>979.99</v>
          </cell>
          <cell r="R119">
            <v>5291.99</v>
          </cell>
          <cell r="S119">
            <v>881.99</v>
          </cell>
        </row>
        <row r="120">
          <cell r="B120" t="str">
            <v>Laos</v>
          </cell>
          <cell r="C120" t="str">
            <v>Asia</v>
          </cell>
          <cell r="D120" t="str">
            <v>N</v>
          </cell>
          <cell r="E120" t="str">
            <v>BAU</v>
          </cell>
          <cell r="F120" t="str">
            <v>LAK</v>
          </cell>
          <cell r="G120" t="str">
            <v/>
          </cell>
          <cell r="H120" t="str">
            <v/>
          </cell>
          <cell r="I120">
            <v>433000</v>
          </cell>
          <cell r="J120">
            <v>95100</v>
          </cell>
          <cell r="K120">
            <v>216000</v>
          </cell>
          <cell r="L120">
            <v>43200</v>
          </cell>
          <cell r="M120" t="str">
            <v>LAK</v>
          </cell>
          <cell r="N120">
            <v>770340</v>
          </cell>
          <cell r="O120">
            <v>128390</v>
          </cell>
          <cell r="P120">
            <v>570600</v>
          </cell>
          <cell r="Q120">
            <v>95100</v>
          </cell>
          <cell r="R120">
            <v>513540</v>
          </cell>
          <cell r="S120">
            <v>85590</v>
          </cell>
        </row>
        <row r="121">
          <cell r="B121" t="str">
            <v>Latvia</v>
          </cell>
          <cell r="C121" t="str">
            <v>Europe</v>
          </cell>
          <cell r="D121" t="str">
            <v>N</v>
          </cell>
          <cell r="E121" t="str">
            <v>BAU</v>
          </cell>
          <cell r="F121" t="str">
            <v>EUR</v>
          </cell>
          <cell r="G121" t="str">
            <v/>
          </cell>
          <cell r="H121" t="str">
            <v/>
          </cell>
          <cell r="I121">
            <v>61.99</v>
          </cell>
          <cell r="J121">
            <v>11.99</v>
          </cell>
          <cell r="K121">
            <v>39.99</v>
          </cell>
          <cell r="L121">
            <v>7.99</v>
          </cell>
          <cell r="M121" t="str">
            <v>EUR</v>
          </cell>
          <cell r="N121">
            <v>79.989999999999995</v>
          </cell>
          <cell r="O121">
            <v>12.99</v>
          </cell>
          <cell r="P121">
            <v>59.99</v>
          </cell>
          <cell r="Q121">
            <v>9.99</v>
          </cell>
          <cell r="R121">
            <v>49.99</v>
          </cell>
          <cell r="S121">
            <v>8.99</v>
          </cell>
        </row>
        <row r="122">
          <cell r="B122" t="str">
            <v>Lebanon</v>
          </cell>
          <cell r="C122" t="str">
            <v>Middle East</v>
          </cell>
          <cell r="D122" t="str">
            <v>N</v>
          </cell>
          <cell r="E122" t="str">
            <v>BAU</v>
          </cell>
          <cell r="F122" t="str">
            <v>LBP</v>
          </cell>
          <cell r="G122" t="str">
            <v/>
          </cell>
          <cell r="H122" t="str">
            <v/>
          </cell>
          <cell r="I122">
            <v>106000</v>
          </cell>
          <cell r="J122">
            <v>21100</v>
          </cell>
          <cell r="K122">
            <v>67800</v>
          </cell>
          <cell r="L122">
            <v>13600</v>
          </cell>
          <cell r="M122" t="str">
            <v>LBP</v>
          </cell>
          <cell r="N122">
            <v>113999.99</v>
          </cell>
          <cell r="O122">
            <v>18899.990000000002</v>
          </cell>
          <cell r="P122">
            <v>83999.99</v>
          </cell>
          <cell r="Q122">
            <v>13999.99</v>
          </cell>
          <cell r="R122">
            <v>75599.990000000005</v>
          </cell>
          <cell r="S122">
            <v>12599.99</v>
          </cell>
        </row>
        <row r="123">
          <cell r="B123" t="str">
            <v>Lesotho</v>
          </cell>
          <cell r="C123" t="str">
            <v>Africa</v>
          </cell>
          <cell r="D123" t="str">
            <v>N</v>
          </cell>
          <cell r="E123" t="str">
            <v>BAU</v>
          </cell>
          <cell r="F123" t="str">
            <v>USD</v>
          </cell>
          <cell r="G123" t="str">
            <v/>
          </cell>
          <cell r="H123" t="str">
            <v/>
          </cell>
          <cell r="I123">
            <v>49.99</v>
          </cell>
          <cell r="J123">
            <v>10.99</v>
          </cell>
          <cell r="K123">
            <v>24.99</v>
          </cell>
          <cell r="L123">
            <v>4.99</v>
          </cell>
          <cell r="M123" t="str">
            <v>USD</v>
          </cell>
          <cell r="N123">
            <v>71.989999999999995</v>
          </cell>
          <cell r="O123">
            <v>11.99</v>
          </cell>
          <cell r="P123">
            <v>53.99</v>
          </cell>
          <cell r="Q123">
            <v>8.99</v>
          </cell>
          <cell r="R123">
            <v>47.99</v>
          </cell>
          <cell r="S123">
            <v>7.99</v>
          </cell>
        </row>
        <row r="124">
          <cell r="B124" t="str">
            <v>Liberia</v>
          </cell>
          <cell r="C124" t="str">
            <v>Africa</v>
          </cell>
          <cell r="D124" t="str">
            <v>N</v>
          </cell>
          <cell r="E124" t="str">
            <v>BAU</v>
          </cell>
          <cell r="F124" t="str">
            <v>LRD</v>
          </cell>
          <cell r="G124" t="str">
            <v/>
          </cell>
          <cell r="H124" t="str">
            <v/>
          </cell>
          <cell r="I124">
            <v>8500</v>
          </cell>
          <cell r="J124">
            <v>1900</v>
          </cell>
          <cell r="K124">
            <v>4200</v>
          </cell>
          <cell r="L124">
            <v>849.99</v>
          </cell>
          <cell r="M124" t="str">
            <v>USD</v>
          </cell>
          <cell r="N124">
            <v>71.989999999999995</v>
          </cell>
          <cell r="O124">
            <v>11.99</v>
          </cell>
          <cell r="P124">
            <v>53.99</v>
          </cell>
          <cell r="Q124">
            <v>8.99</v>
          </cell>
          <cell r="R124">
            <v>47.99</v>
          </cell>
          <cell r="S124">
            <v>7.99</v>
          </cell>
        </row>
        <row r="125">
          <cell r="B125" t="str">
            <v>Libya</v>
          </cell>
          <cell r="C125" t="str">
            <v>Africa</v>
          </cell>
          <cell r="D125" t="str">
            <v>N</v>
          </cell>
          <cell r="E125" t="str">
            <v>NA</v>
          </cell>
          <cell r="F125"/>
          <cell r="G125"/>
          <cell r="H125"/>
          <cell r="I125"/>
          <cell r="J125"/>
          <cell r="K125"/>
          <cell r="L125"/>
          <cell r="M125" t="str">
            <v>USD</v>
          </cell>
          <cell r="N125">
            <v>79.989999999999995</v>
          </cell>
          <cell r="O125">
            <v>13.99</v>
          </cell>
          <cell r="P125">
            <v>59.99</v>
          </cell>
          <cell r="Q125">
            <v>9.99</v>
          </cell>
          <cell r="R125">
            <v>54.99</v>
          </cell>
          <cell r="S125">
            <v>8.99</v>
          </cell>
        </row>
        <row r="126">
          <cell r="B126" t="str">
            <v>Liechtenstein</v>
          </cell>
          <cell r="C126" t="str">
            <v>Europe</v>
          </cell>
          <cell r="D126" t="str">
            <v>N</v>
          </cell>
          <cell r="E126" t="str">
            <v>BAU</v>
          </cell>
          <cell r="F126" t="str">
            <v>CHF</v>
          </cell>
          <cell r="G126">
            <v>159.99</v>
          </cell>
          <cell r="H126">
            <v>31.99</v>
          </cell>
          <cell r="I126">
            <v>139.99</v>
          </cell>
          <cell r="J126">
            <v>27.99</v>
          </cell>
          <cell r="K126">
            <v>84.99</v>
          </cell>
          <cell r="L126">
            <v>16.989999999999998</v>
          </cell>
          <cell r="M126" t="str">
            <v>CHF</v>
          </cell>
          <cell r="N126">
            <v>189.99</v>
          </cell>
          <cell r="O126">
            <v>31.99</v>
          </cell>
          <cell r="P126">
            <v>149.99</v>
          </cell>
          <cell r="Q126">
            <v>24.99</v>
          </cell>
          <cell r="R126">
            <v>129.99</v>
          </cell>
          <cell r="S126">
            <v>21.99</v>
          </cell>
        </row>
        <row r="127">
          <cell r="B127" t="str">
            <v>Lithuania</v>
          </cell>
          <cell r="C127" t="str">
            <v>Europe</v>
          </cell>
          <cell r="D127" t="str">
            <v>N</v>
          </cell>
          <cell r="E127" t="str">
            <v>BAU</v>
          </cell>
          <cell r="F127" t="str">
            <v>EUR</v>
          </cell>
          <cell r="G127" t="str">
            <v/>
          </cell>
          <cell r="H127" t="str">
            <v/>
          </cell>
          <cell r="I127">
            <v>61.99</v>
          </cell>
          <cell r="J127">
            <v>11.99</v>
          </cell>
          <cell r="K127">
            <v>39.99</v>
          </cell>
          <cell r="L127">
            <v>7.99</v>
          </cell>
          <cell r="M127" t="str">
            <v>EUR</v>
          </cell>
          <cell r="N127">
            <v>79.989999999999995</v>
          </cell>
          <cell r="O127">
            <v>12.99</v>
          </cell>
          <cell r="P127">
            <v>59.99</v>
          </cell>
          <cell r="Q127">
            <v>9.99</v>
          </cell>
          <cell r="R127">
            <v>49.99</v>
          </cell>
          <cell r="S127">
            <v>8.99</v>
          </cell>
        </row>
        <row r="128">
          <cell r="B128" t="str">
            <v>Luxembourg</v>
          </cell>
          <cell r="C128" t="str">
            <v>Europe</v>
          </cell>
          <cell r="D128" t="str">
            <v>N</v>
          </cell>
          <cell r="E128" t="str">
            <v>BAU</v>
          </cell>
          <cell r="F128" t="str">
            <v>EUR</v>
          </cell>
          <cell r="G128">
            <v>229.99</v>
          </cell>
          <cell r="H128">
            <v>27.99</v>
          </cell>
          <cell r="I128">
            <v>199.99</v>
          </cell>
          <cell r="J128">
            <v>24.99</v>
          </cell>
          <cell r="K128">
            <v>109.99</v>
          </cell>
          <cell r="L128">
            <v>14.99</v>
          </cell>
          <cell r="M128" t="str">
            <v>EUR</v>
          </cell>
          <cell r="N128">
            <v>169.99</v>
          </cell>
          <cell r="O128">
            <v>28.99</v>
          </cell>
          <cell r="P128">
            <v>129.99</v>
          </cell>
          <cell r="Q128">
            <v>21.99</v>
          </cell>
          <cell r="R128">
            <v>119.99</v>
          </cell>
          <cell r="S128">
            <v>19.989999999999998</v>
          </cell>
        </row>
        <row r="129">
          <cell r="B129" t="str">
            <v>Macao</v>
          </cell>
          <cell r="C129" t="str">
            <v>NBA China</v>
          </cell>
          <cell r="D129" t="str">
            <v>N</v>
          </cell>
          <cell r="E129" t="str">
            <v>BAU</v>
          </cell>
          <cell r="F129" t="str">
            <v>MOP</v>
          </cell>
          <cell r="G129">
            <v>1500</v>
          </cell>
          <cell r="H129">
            <v>199.99</v>
          </cell>
          <cell r="I129">
            <v>1300</v>
          </cell>
          <cell r="J129">
            <v>179.99</v>
          </cell>
          <cell r="K129">
            <v>799.99</v>
          </cell>
          <cell r="L129">
            <v>92.99</v>
          </cell>
          <cell r="M129" t="str">
            <v>MOP</v>
          </cell>
          <cell r="N129">
            <v>725.99</v>
          </cell>
          <cell r="O129">
            <v>120.99</v>
          </cell>
          <cell r="P129">
            <v>539.99</v>
          </cell>
          <cell r="Q129">
            <v>89.99</v>
          </cell>
          <cell r="R129">
            <v>485.99</v>
          </cell>
          <cell r="S129">
            <v>80.989999999999995</v>
          </cell>
        </row>
        <row r="130">
          <cell r="B130" t="str">
            <v>Macedonia</v>
          </cell>
          <cell r="C130" t="str">
            <v>Europe</v>
          </cell>
          <cell r="D130" t="str">
            <v>N</v>
          </cell>
          <cell r="E130" t="str">
            <v>BAU</v>
          </cell>
          <cell r="F130" t="str">
            <v>MKD</v>
          </cell>
          <cell r="G130" t="str">
            <v/>
          </cell>
          <cell r="H130" t="str">
            <v/>
          </cell>
          <cell r="I130">
            <v>6000</v>
          </cell>
          <cell r="J130">
            <v>759.99</v>
          </cell>
          <cell r="K130">
            <v>4000</v>
          </cell>
          <cell r="L130">
            <v>489.99</v>
          </cell>
          <cell r="M130" t="str">
            <v>MKD</v>
          </cell>
          <cell r="N130">
            <v>5259.99</v>
          </cell>
          <cell r="O130">
            <v>876.99</v>
          </cell>
          <cell r="P130">
            <v>3899.99</v>
          </cell>
          <cell r="Q130">
            <v>649.99</v>
          </cell>
          <cell r="R130">
            <v>3509.99</v>
          </cell>
          <cell r="S130">
            <v>584.99</v>
          </cell>
        </row>
        <row r="131">
          <cell r="B131" t="str">
            <v>Madagascar</v>
          </cell>
          <cell r="C131" t="str">
            <v>Africa</v>
          </cell>
          <cell r="D131" t="str">
            <v>N</v>
          </cell>
          <cell r="E131" t="str">
            <v>BAU</v>
          </cell>
          <cell r="F131" t="str">
            <v>USD</v>
          </cell>
          <cell r="G131" t="str">
            <v/>
          </cell>
          <cell r="H131" t="str">
            <v/>
          </cell>
          <cell r="I131">
            <v>49.99</v>
          </cell>
          <cell r="J131">
            <v>10.99</v>
          </cell>
          <cell r="K131">
            <v>24.99</v>
          </cell>
          <cell r="L131">
            <v>4.99</v>
          </cell>
          <cell r="M131" t="str">
            <v>USD</v>
          </cell>
          <cell r="N131">
            <v>71.989999999999995</v>
          </cell>
          <cell r="O131">
            <v>11.99</v>
          </cell>
          <cell r="P131">
            <v>53.99</v>
          </cell>
          <cell r="Q131">
            <v>8.99</v>
          </cell>
          <cell r="R131">
            <v>47.99</v>
          </cell>
          <cell r="S131">
            <v>7.99</v>
          </cell>
        </row>
        <row r="132">
          <cell r="B132" t="str">
            <v>Malawi</v>
          </cell>
          <cell r="C132" t="str">
            <v>Africa</v>
          </cell>
          <cell r="D132" t="str">
            <v>N</v>
          </cell>
          <cell r="E132" t="str">
            <v>BAU</v>
          </cell>
          <cell r="F132" t="str">
            <v>MWK</v>
          </cell>
          <cell r="G132" t="str">
            <v/>
          </cell>
          <cell r="H132" t="str">
            <v/>
          </cell>
          <cell r="I132">
            <v>37300</v>
          </cell>
          <cell r="J132">
            <v>8200</v>
          </cell>
          <cell r="K132">
            <v>18600</v>
          </cell>
          <cell r="L132">
            <v>3700</v>
          </cell>
          <cell r="M132" t="str">
            <v>MWK</v>
          </cell>
          <cell r="N132">
            <v>59129.99</v>
          </cell>
          <cell r="O132">
            <v>9854.99</v>
          </cell>
          <cell r="P132">
            <v>43799.99</v>
          </cell>
          <cell r="Q132">
            <v>7299.99</v>
          </cell>
          <cell r="R132">
            <v>39419.99</v>
          </cell>
          <cell r="S132">
            <v>6569.99</v>
          </cell>
        </row>
        <row r="133">
          <cell r="B133" t="str">
            <v>Malaysia</v>
          </cell>
          <cell r="C133" t="str">
            <v>Asia</v>
          </cell>
          <cell r="D133" t="str">
            <v>Y</v>
          </cell>
          <cell r="E133" t="str">
            <v>BAU</v>
          </cell>
          <cell r="F133" t="str">
            <v>MYR</v>
          </cell>
          <cell r="G133">
            <v>459.99</v>
          </cell>
          <cell r="H133">
            <v>55.99</v>
          </cell>
          <cell r="I133">
            <v>379.99</v>
          </cell>
          <cell r="J133">
            <v>45.99</v>
          </cell>
          <cell r="K133">
            <v>209.99</v>
          </cell>
          <cell r="L133">
            <v>20.99</v>
          </cell>
          <cell r="M133" t="str">
            <v>MYR</v>
          </cell>
          <cell r="N133">
            <v>359.99</v>
          </cell>
          <cell r="O133">
            <v>59.99</v>
          </cell>
          <cell r="P133">
            <v>275.99</v>
          </cell>
          <cell r="Q133">
            <v>45.99</v>
          </cell>
          <cell r="R133">
            <v>204.99</v>
          </cell>
          <cell r="S133">
            <v>36.99</v>
          </cell>
        </row>
        <row r="134">
          <cell r="B134" t="str">
            <v>Maldives</v>
          </cell>
          <cell r="C134" t="str">
            <v>Asia</v>
          </cell>
          <cell r="D134" t="str">
            <v>N</v>
          </cell>
          <cell r="E134" t="str">
            <v>BAU</v>
          </cell>
          <cell r="F134" t="str">
            <v>MVR</v>
          </cell>
          <cell r="G134" t="str">
            <v/>
          </cell>
          <cell r="H134" t="str">
            <v/>
          </cell>
          <cell r="I134">
            <v>1100</v>
          </cell>
          <cell r="J134">
            <v>219.99</v>
          </cell>
          <cell r="K134">
            <v>689.99</v>
          </cell>
          <cell r="L134">
            <v>139.99</v>
          </cell>
          <cell r="M134" t="str">
            <v>MVR</v>
          </cell>
          <cell r="N134">
            <v>1091.99</v>
          </cell>
          <cell r="O134">
            <v>181.99</v>
          </cell>
          <cell r="P134">
            <v>809.99</v>
          </cell>
          <cell r="Q134">
            <v>134.99</v>
          </cell>
          <cell r="R134">
            <v>725.99</v>
          </cell>
          <cell r="S134">
            <v>120.99</v>
          </cell>
        </row>
        <row r="135">
          <cell r="B135" t="str">
            <v>Mali</v>
          </cell>
          <cell r="C135" t="str">
            <v>Africa</v>
          </cell>
          <cell r="D135" t="str">
            <v>N</v>
          </cell>
          <cell r="E135" t="str">
            <v>BAU</v>
          </cell>
          <cell r="F135" t="str">
            <v>XOF</v>
          </cell>
          <cell r="G135" t="str">
            <v/>
          </cell>
          <cell r="H135" t="str">
            <v/>
          </cell>
          <cell r="I135">
            <v>29100</v>
          </cell>
          <cell r="J135">
            <v>6400</v>
          </cell>
          <cell r="K135">
            <v>14500</v>
          </cell>
          <cell r="L135">
            <v>2900</v>
          </cell>
          <cell r="M135" t="str">
            <v>XOF</v>
          </cell>
          <cell r="N135">
            <v>43740</v>
          </cell>
          <cell r="O135">
            <v>7290</v>
          </cell>
          <cell r="P135">
            <v>32400</v>
          </cell>
          <cell r="Q135">
            <v>5400</v>
          </cell>
          <cell r="R135">
            <v>29160</v>
          </cell>
          <cell r="S135">
            <v>4860</v>
          </cell>
        </row>
        <row r="136">
          <cell r="B136" t="str">
            <v>Malta</v>
          </cell>
          <cell r="C136" t="str">
            <v>Europe</v>
          </cell>
          <cell r="D136" t="str">
            <v>N</v>
          </cell>
          <cell r="E136" t="str">
            <v>BAU</v>
          </cell>
          <cell r="F136" t="str">
            <v>EUR</v>
          </cell>
          <cell r="G136">
            <v>119.99</v>
          </cell>
          <cell r="H136">
            <v>22.99</v>
          </cell>
          <cell r="I136">
            <v>97.99</v>
          </cell>
          <cell r="J136">
            <v>19.989999999999998</v>
          </cell>
          <cell r="K136">
            <v>52.99</v>
          </cell>
          <cell r="L136">
            <v>10.99</v>
          </cell>
          <cell r="M136" t="str">
            <v>EUR</v>
          </cell>
          <cell r="N136">
            <v>129.99</v>
          </cell>
          <cell r="O136">
            <v>21.99</v>
          </cell>
          <cell r="P136">
            <v>99.99</v>
          </cell>
          <cell r="Q136">
            <v>16.989999999999998</v>
          </cell>
          <cell r="R136">
            <v>89.99</v>
          </cell>
          <cell r="S136">
            <v>14.99</v>
          </cell>
        </row>
        <row r="137">
          <cell r="B137" t="str">
            <v>Marshall Islands</v>
          </cell>
          <cell r="C137" t="str">
            <v>Asia</v>
          </cell>
          <cell r="D137" t="str">
            <v>N</v>
          </cell>
          <cell r="E137" t="str">
            <v>BAU</v>
          </cell>
          <cell r="F137" t="str">
            <v>USD</v>
          </cell>
          <cell r="G137" t="str">
            <v/>
          </cell>
          <cell r="H137" t="str">
            <v/>
          </cell>
          <cell r="I137">
            <v>69.989999999999995</v>
          </cell>
          <cell r="J137">
            <v>13.99</v>
          </cell>
          <cell r="K137">
            <v>44.99</v>
          </cell>
          <cell r="L137">
            <v>8.99</v>
          </cell>
          <cell r="M137" t="str">
            <v>USD</v>
          </cell>
          <cell r="N137">
            <v>113.99</v>
          </cell>
          <cell r="O137">
            <v>18.989999999999998</v>
          </cell>
          <cell r="P137">
            <v>83.99</v>
          </cell>
          <cell r="Q137">
            <v>13.99</v>
          </cell>
          <cell r="R137">
            <v>77.989999999999995</v>
          </cell>
          <cell r="S137">
            <v>12.99</v>
          </cell>
        </row>
        <row r="138">
          <cell r="B138" t="str">
            <v>Martinique</v>
          </cell>
          <cell r="C138" t="str">
            <v>Latin America</v>
          </cell>
          <cell r="D138" t="str">
            <v>N</v>
          </cell>
          <cell r="E138" t="str">
            <v>BAU</v>
          </cell>
          <cell r="F138" t="str">
            <v>EUR</v>
          </cell>
          <cell r="G138" t="str">
            <v/>
          </cell>
          <cell r="H138" t="str">
            <v/>
          </cell>
          <cell r="I138">
            <v>61.99</v>
          </cell>
          <cell r="J138">
            <v>11.99</v>
          </cell>
          <cell r="K138">
            <v>39.99</v>
          </cell>
          <cell r="L138">
            <v>7.99</v>
          </cell>
          <cell r="M138" t="str">
            <v>EUR</v>
          </cell>
          <cell r="N138">
            <v>77.989999999999995</v>
          </cell>
          <cell r="O138">
            <v>12.99</v>
          </cell>
          <cell r="P138">
            <v>59.99</v>
          </cell>
          <cell r="Q138">
            <v>9.99</v>
          </cell>
          <cell r="R138">
            <v>53.99</v>
          </cell>
          <cell r="S138">
            <v>8.99</v>
          </cell>
        </row>
        <row r="139">
          <cell r="B139" t="str">
            <v>Mauritania</v>
          </cell>
          <cell r="C139" t="str">
            <v>Africa</v>
          </cell>
          <cell r="D139" t="str">
            <v>N</v>
          </cell>
          <cell r="E139" t="str">
            <v>BAU</v>
          </cell>
          <cell r="F139" t="str">
            <v>USD</v>
          </cell>
          <cell r="G139" t="str">
            <v/>
          </cell>
          <cell r="H139" t="str">
            <v/>
          </cell>
          <cell r="I139">
            <v>49.99</v>
          </cell>
          <cell r="J139">
            <v>10.99</v>
          </cell>
          <cell r="K139">
            <v>24.99</v>
          </cell>
          <cell r="L139">
            <v>4.99</v>
          </cell>
          <cell r="M139" t="str">
            <v>USD</v>
          </cell>
          <cell r="N139">
            <v>71.989999999999995</v>
          </cell>
          <cell r="O139">
            <v>11.99</v>
          </cell>
          <cell r="P139">
            <v>53.99</v>
          </cell>
          <cell r="Q139">
            <v>8.99</v>
          </cell>
          <cell r="R139">
            <v>47.99</v>
          </cell>
          <cell r="S139">
            <v>7.99</v>
          </cell>
        </row>
        <row r="140">
          <cell r="B140" t="str">
            <v>Mauritius</v>
          </cell>
          <cell r="C140" t="str">
            <v>Africa</v>
          </cell>
          <cell r="D140" t="str">
            <v>N</v>
          </cell>
          <cell r="E140" t="str">
            <v>BAU</v>
          </cell>
          <cell r="F140" t="str">
            <v>MUR</v>
          </cell>
          <cell r="G140" t="str">
            <v/>
          </cell>
          <cell r="H140" t="str">
            <v/>
          </cell>
          <cell r="I140">
            <v>2000</v>
          </cell>
          <cell r="J140">
            <v>439.99</v>
          </cell>
          <cell r="K140">
            <v>1000</v>
          </cell>
          <cell r="L140">
            <v>199.99</v>
          </cell>
          <cell r="M140" t="str">
            <v>MUR</v>
          </cell>
          <cell r="N140">
            <v>2591.9899999999998</v>
          </cell>
          <cell r="O140">
            <v>431.99</v>
          </cell>
          <cell r="P140">
            <v>1919.99</v>
          </cell>
          <cell r="Q140">
            <v>319.99</v>
          </cell>
          <cell r="R140">
            <v>1727.99</v>
          </cell>
          <cell r="S140">
            <v>287.99</v>
          </cell>
        </row>
        <row r="141">
          <cell r="B141" t="str">
            <v>Mayotte</v>
          </cell>
          <cell r="C141" t="str">
            <v>Africa</v>
          </cell>
          <cell r="D141" t="str">
            <v>N</v>
          </cell>
          <cell r="E141" t="str">
            <v>BAU</v>
          </cell>
          <cell r="F141" t="str">
            <v>EUR</v>
          </cell>
          <cell r="G141" t="str">
            <v/>
          </cell>
          <cell r="H141" t="str">
            <v/>
          </cell>
          <cell r="I141">
            <v>43.99</v>
          </cell>
          <cell r="J141">
            <v>9.99</v>
          </cell>
          <cell r="K141">
            <v>21.99</v>
          </cell>
          <cell r="L141">
            <v>3.99</v>
          </cell>
          <cell r="M141" t="str">
            <v>EUR</v>
          </cell>
          <cell r="N141">
            <v>77.989999999999995</v>
          </cell>
          <cell r="O141">
            <v>12.99</v>
          </cell>
          <cell r="P141">
            <v>59.99</v>
          </cell>
          <cell r="Q141">
            <v>9.99</v>
          </cell>
          <cell r="R141">
            <v>53.99</v>
          </cell>
          <cell r="S141">
            <v>8.99</v>
          </cell>
        </row>
        <row r="142">
          <cell r="B142" t="str">
            <v>Mexico</v>
          </cell>
          <cell r="C142" t="str">
            <v>Latin America</v>
          </cell>
          <cell r="D142" t="str">
            <v>Y</v>
          </cell>
          <cell r="E142" t="str">
            <v>BAU</v>
          </cell>
          <cell r="F142" t="str">
            <v>MXN</v>
          </cell>
          <cell r="G142">
            <v>2000</v>
          </cell>
          <cell r="H142">
            <v>250</v>
          </cell>
          <cell r="I142">
            <v>1700</v>
          </cell>
          <cell r="J142">
            <v>210</v>
          </cell>
          <cell r="K142">
            <v>960</v>
          </cell>
          <cell r="L142">
            <v>96</v>
          </cell>
          <cell r="M142" t="str">
            <v>MXN</v>
          </cell>
          <cell r="N142">
            <v>1620</v>
          </cell>
          <cell r="O142">
            <v>270</v>
          </cell>
          <cell r="P142">
            <v>1260</v>
          </cell>
          <cell r="Q142">
            <v>210</v>
          </cell>
          <cell r="R142">
            <v>1140</v>
          </cell>
          <cell r="S142">
            <v>190</v>
          </cell>
        </row>
        <row r="143">
          <cell r="B143" t="str">
            <v>Micronesia</v>
          </cell>
          <cell r="C143" t="str">
            <v>Asia</v>
          </cell>
          <cell r="D143" t="str">
            <v>N</v>
          </cell>
          <cell r="E143" t="str">
            <v>BAU</v>
          </cell>
          <cell r="F143" t="str">
            <v>USD</v>
          </cell>
          <cell r="G143" t="str">
            <v/>
          </cell>
          <cell r="H143" t="str">
            <v/>
          </cell>
          <cell r="I143">
            <v>69.989999999999995</v>
          </cell>
          <cell r="J143">
            <v>13.99</v>
          </cell>
          <cell r="K143">
            <v>44.99</v>
          </cell>
          <cell r="L143">
            <v>8.99</v>
          </cell>
          <cell r="M143" t="str">
            <v>USD</v>
          </cell>
          <cell r="N143">
            <v>113.99</v>
          </cell>
          <cell r="O143">
            <v>18.989999999999998</v>
          </cell>
          <cell r="P143">
            <v>83.99</v>
          </cell>
          <cell r="Q143">
            <v>13.99</v>
          </cell>
          <cell r="R143">
            <v>77.989999999999995</v>
          </cell>
          <cell r="S143">
            <v>12.99</v>
          </cell>
        </row>
        <row r="144">
          <cell r="B144" t="str">
            <v>Moldova</v>
          </cell>
          <cell r="C144" t="str">
            <v>Europe</v>
          </cell>
          <cell r="D144" t="str">
            <v>N</v>
          </cell>
          <cell r="E144" t="str">
            <v>BAU</v>
          </cell>
          <cell r="F144" t="str">
            <v>MDL</v>
          </cell>
          <cell r="G144" t="str">
            <v/>
          </cell>
          <cell r="H144" t="str">
            <v/>
          </cell>
          <cell r="I144">
            <v>1300</v>
          </cell>
          <cell r="J144">
            <v>249.99</v>
          </cell>
          <cell r="K144">
            <v>809.99</v>
          </cell>
          <cell r="L144">
            <v>159.99</v>
          </cell>
          <cell r="M144" t="str">
            <v>MDL</v>
          </cell>
          <cell r="N144">
            <v>1499.99</v>
          </cell>
          <cell r="O144">
            <v>249.99</v>
          </cell>
          <cell r="P144">
            <v>1109.99</v>
          </cell>
          <cell r="Q144">
            <v>184.99</v>
          </cell>
          <cell r="R144">
            <v>999.99</v>
          </cell>
          <cell r="S144">
            <v>165.99</v>
          </cell>
        </row>
        <row r="145">
          <cell r="B145" t="str">
            <v>Monaco</v>
          </cell>
          <cell r="C145" t="str">
            <v>Europe</v>
          </cell>
          <cell r="D145" t="str">
            <v>N</v>
          </cell>
          <cell r="E145" t="str">
            <v>BAU</v>
          </cell>
          <cell r="F145" t="str">
            <v>EUR</v>
          </cell>
          <cell r="G145">
            <v>139.99</v>
          </cell>
          <cell r="H145">
            <v>27.99</v>
          </cell>
          <cell r="I145">
            <v>119.99</v>
          </cell>
          <cell r="J145">
            <v>24.99</v>
          </cell>
          <cell r="K145">
            <v>74.989999999999995</v>
          </cell>
          <cell r="L145">
            <v>14.99</v>
          </cell>
          <cell r="M145" t="str">
            <v>EUR</v>
          </cell>
          <cell r="N145">
            <v>119.99</v>
          </cell>
          <cell r="O145">
            <v>19.989999999999998</v>
          </cell>
          <cell r="P145">
            <v>89.99</v>
          </cell>
          <cell r="Q145">
            <v>14.99</v>
          </cell>
          <cell r="R145">
            <v>79.989999999999995</v>
          </cell>
          <cell r="S145">
            <v>12.99</v>
          </cell>
        </row>
        <row r="146">
          <cell r="B146" t="str">
            <v>Mongolia</v>
          </cell>
          <cell r="C146" t="str">
            <v>Asia</v>
          </cell>
          <cell r="D146" t="str">
            <v>N</v>
          </cell>
          <cell r="E146" t="str">
            <v>BAU</v>
          </cell>
          <cell r="F146" t="str">
            <v>MNT</v>
          </cell>
          <cell r="G146" t="str">
            <v/>
          </cell>
          <cell r="H146" t="str">
            <v/>
          </cell>
          <cell r="I146">
            <v>133000</v>
          </cell>
          <cell r="J146">
            <v>29200</v>
          </cell>
          <cell r="K146">
            <v>66500</v>
          </cell>
          <cell r="L146">
            <v>13300</v>
          </cell>
          <cell r="M146" t="str">
            <v>MNT</v>
          </cell>
          <cell r="N146">
            <v>236520</v>
          </cell>
          <cell r="O146">
            <v>39420</v>
          </cell>
          <cell r="P146">
            <v>175200</v>
          </cell>
          <cell r="Q146">
            <v>29200</v>
          </cell>
          <cell r="R146">
            <v>157680</v>
          </cell>
          <cell r="S146">
            <v>26280</v>
          </cell>
        </row>
        <row r="147">
          <cell r="B147" t="str">
            <v>Montenegro</v>
          </cell>
          <cell r="C147" t="str">
            <v>Europe</v>
          </cell>
          <cell r="D147" t="str">
            <v>N</v>
          </cell>
          <cell r="E147" t="str">
            <v>BAU</v>
          </cell>
          <cell r="F147" t="str">
            <v>EUR</v>
          </cell>
          <cell r="G147" t="str">
            <v/>
          </cell>
          <cell r="H147" t="str">
            <v/>
          </cell>
          <cell r="I147">
            <v>97.99</v>
          </cell>
          <cell r="J147">
            <v>11.99</v>
          </cell>
          <cell r="K147">
            <v>64.989999999999995</v>
          </cell>
          <cell r="L147">
            <v>7.99</v>
          </cell>
          <cell r="M147" t="str">
            <v>EUR</v>
          </cell>
          <cell r="N147">
            <v>79.989999999999995</v>
          </cell>
          <cell r="O147">
            <v>12.99</v>
          </cell>
          <cell r="P147">
            <v>59.99</v>
          </cell>
          <cell r="Q147">
            <v>9.99</v>
          </cell>
          <cell r="R147">
            <v>49.99</v>
          </cell>
          <cell r="S147">
            <v>8.99</v>
          </cell>
        </row>
        <row r="148">
          <cell r="B148" t="str">
            <v>Montserrat</v>
          </cell>
          <cell r="C148" t="str">
            <v>Latin America</v>
          </cell>
          <cell r="D148" t="str">
            <v>N</v>
          </cell>
          <cell r="E148" t="str">
            <v>BAU</v>
          </cell>
          <cell r="F148" t="str">
            <v>XCD</v>
          </cell>
          <cell r="G148" t="str">
            <v/>
          </cell>
          <cell r="H148" t="str">
            <v/>
          </cell>
          <cell r="I148">
            <v>189.99</v>
          </cell>
          <cell r="J148">
            <v>37.99</v>
          </cell>
          <cell r="K148">
            <v>119.99</v>
          </cell>
          <cell r="L148">
            <v>23.99</v>
          </cell>
          <cell r="M148" t="str">
            <v>XCD</v>
          </cell>
          <cell r="N148">
            <v>269.99</v>
          </cell>
          <cell r="O148">
            <v>44.99</v>
          </cell>
          <cell r="P148">
            <v>197.99</v>
          </cell>
          <cell r="Q148">
            <v>32.99</v>
          </cell>
          <cell r="R148">
            <v>179.99</v>
          </cell>
          <cell r="S148">
            <v>29.99</v>
          </cell>
        </row>
        <row r="149">
          <cell r="B149" t="str">
            <v>Morocco</v>
          </cell>
          <cell r="C149" t="str">
            <v>Africa</v>
          </cell>
          <cell r="D149" t="str">
            <v>N</v>
          </cell>
          <cell r="E149" t="str">
            <v>BAU</v>
          </cell>
          <cell r="F149" t="str">
            <v>MAD</v>
          </cell>
          <cell r="G149" t="str">
            <v/>
          </cell>
          <cell r="H149" t="str">
            <v/>
          </cell>
          <cell r="I149">
            <v>479.99</v>
          </cell>
          <cell r="J149">
            <v>109.99</v>
          </cell>
          <cell r="K149">
            <v>239.99</v>
          </cell>
          <cell r="L149">
            <v>47.99</v>
          </cell>
          <cell r="M149" t="str">
            <v>MAD</v>
          </cell>
          <cell r="N149">
            <v>720</v>
          </cell>
          <cell r="O149">
            <v>120</v>
          </cell>
          <cell r="P149">
            <v>540</v>
          </cell>
          <cell r="Q149">
            <v>90</v>
          </cell>
          <cell r="R149">
            <v>480</v>
          </cell>
          <cell r="S149">
            <v>80</v>
          </cell>
        </row>
        <row r="150">
          <cell r="B150" t="str">
            <v>Mozambique</v>
          </cell>
          <cell r="C150" t="str">
            <v>Africa</v>
          </cell>
          <cell r="D150" t="str">
            <v>N</v>
          </cell>
          <cell r="E150" t="str">
            <v>BAU</v>
          </cell>
          <cell r="F150" t="str">
            <v>USD</v>
          </cell>
          <cell r="G150" t="str">
            <v/>
          </cell>
          <cell r="H150" t="str">
            <v/>
          </cell>
          <cell r="I150">
            <v>49.99</v>
          </cell>
          <cell r="J150">
            <v>10.99</v>
          </cell>
          <cell r="K150">
            <v>24.99</v>
          </cell>
          <cell r="L150">
            <v>4.99</v>
          </cell>
          <cell r="M150" t="str">
            <v>USD</v>
          </cell>
          <cell r="N150">
            <v>71.989999999999995</v>
          </cell>
          <cell r="O150">
            <v>11.99</v>
          </cell>
          <cell r="P150">
            <v>53.99</v>
          </cell>
          <cell r="Q150">
            <v>8.99</v>
          </cell>
          <cell r="R150">
            <v>47.99</v>
          </cell>
          <cell r="S150">
            <v>7.99</v>
          </cell>
        </row>
        <row r="151">
          <cell r="B151" t="str">
            <v>Myanmar</v>
          </cell>
          <cell r="C151" t="str">
            <v>Asia</v>
          </cell>
          <cell r="D151" t="str">
            <v>N</v>
          </cell>
          <cell r="E151" t="str">
            <v>BAU</v>
          </cell>
          <cell r="F151" t="str">
            <v>USD</v>
          </cell>
          <cell r="G151" t="str">
            <v/>
          </cell>
          <cell r="H151" t="str">
            <v/>
          </cell>
          <cell r="I151">
            <v>54.99</v>
          </cell>
          <cell r="J151">
            <v>11.99</v>
          </cell>
          <cell r="K151">
            <v>27.99</v>
          </cell>
          <cell r="L151">
            <v>5.99</v>
          </cell>
          <cell r="M151" t="str">
            <v>MMK</v>
          </cell>
          <cell r="N151">
            <v>129600</v>
          </cell>
          <cell r="O151">
            <v>21600</v>
          </cell>
          <cell r="P151">
            <v>96000</v>
          </cell>
          <cell r="Q151">
            <v>16000</v>
          </cell>
          <cell r="R151">
            <v>86400</v>
          </cell>
          <cell r="S151">
            <v>14400</v>
          </cell>
        </row>
        <row r="152">
          <cell r="B152" t="str">
            <v>Namibia</v>
          </cell>
          <cell r="C152" t="str">
            <v>Africa</v>
          </cell>
          <cell r="D152" t="str">
            <v>N</v>
          </cell>
          <cell r="E152" t="str">
            <v>BAU</v>
          </cell>
          <cell r="F152" t="str">
            <v>NAD</v>
          </cell>
          <cell r="G152" t="str">
            <v/>
          </cell>
          <cell r="H152" t="str">
            <v/>
          </cell>
          <cell r="I152">
            <v>739.99</v>
          </cell>
          <cell r="J152">
            <v>159.99</v>
          </cell>
          <cell r="K152">
            <v>369.99</v>
          </cell>
          <cell r="L152">
            <v>73.989999999999995</v>
          </cell>
          <cell r="M152" t="str">
            <v>NAD</v>
          </cell>
          <cell r="N152">
            <v>851.99</v>
          </cell>
          <cell r="O152">
            <v>141.99</v>
          </cell>
          <cell r="P152">
            <v>629.99</v>
          </cell>
          <cell r="Q152">
            <v>104.99</v>
          </cell>
          <cell r="R152">
            <v>563.99</v>
          </cell>
          <cell r="S152">
            <v>93.99</v>
          </cell>
        </row>
        <row r="153">
          <cell r="B153" t="str">
            <v>Nauru</v>
          </cell>
          <cell r="C153" t="str">
            <v>Asia</v>
          </cell>
          <cell r="D153" t="str">
            <v>N</v>
          </cell>
          <cell r="E153" t="str">
            <v>BAU</v>
          </cell>
          <cell r="F153" t="str">
            <v>AUD</v>
          </cell>
          <cell r="G153" t="str">
            <v/>
          </cell>
          <cell r="H153" t="str">
            <v/>
          </cell>
          <cell r="I153">
            <v>99.99</v>
          </cell>
          <cell r="J153">
            <v>19.989999999999998</v>
          </cell>
          <cell r="K153">
            <v>64.989999999999995</v>
          </cell>
          <cell r="L153">
            <v>12.99</v>
          </cell>
          <cell r="M153" t="str">
            <v>AUD</v>
          </cell>
          <cell r="N153">
            <v>107.99</v>
          </cell>
          <cell r="O153">
            <v>17.989999999999998</v>
          </cell>
          <cell r="P153">
            <v>77.989999999999995</v>
          </cell>
          <cell r="Q153">
            <v>12.99</v>
          </cell>
          <cell r="R153">
            <v>71.989999999999995</v>
          </cell>
          <cell r="S153">
            <v>11.99</v>
          </cell>
        </row>
        <row r="154">
          <cell r="B154" t="str">
            <v>Nepal</v>
          </cell>
          <cell r="C154" t="str">
            <v>Asia</v>
          </cell>
          <cell r="D154" t="str">
            <v>N</v>
          </cell>
          <cell r="E154" t="str">
            <v>BAU</v>
          </cell>
          <cell r="F154" t="str">
            <v>NPR</v>
          </cell>
          <cell r="G154" t="str">
            <v/>
          </cell>
          <cell r="H154" t="str">
            <v/>
          </cell>
          <cell r="I154">
            <v>5600</v>
          </cell>
          <cell r="J154">
            <v>1200</v>
          </cell>
          <cell r="K154">
            <v>2800</v>
          </cell>
          <cell r="L154">
            <v>559.99</v>
          </cell>
          <cell r="M154" t="str">
            <v>NPR</v>
          </cell>
          <cell r="N154">
            <v>9719.99</v>
          </cell>
          <cell r="O154">
            <v>1619.99</v>
          </cell>
          <cell r="P154">
            <v>7199.99</v>
          </cell>
          <cell r="Q154">
            <v>1199.99</v>
          </cell>
          <cell r="R154">
            <v>6479.99</v>
          </cell>
          <cell r="S154">
            <v>1079.99</v>
          </cell>
        </row>
        <row r="155">
          <cell r="B155" t="str">
            <v>Netherlands</v>
          </cell>
          <cell r="C155" t="str">
            <v>Europe</v>
          </cell>
          <cell r="D155" t="str">
            <v>Y</v>
          </cell>
          <cell r="E155" t="str">
            <v>Steeper than BAU</v>
          </cell>
          <cell r="F155" t="str">
            <v>EUR</v>
          </cell>
          <cell r="G155">
            <v>229.99</v>
          </cell>
          <cell r="H155">
            <v>29.99</v>
          </cell>
          <cell r="I155">
            <v>199.99</v>
          </cell>
          <cell r="J155">
            <v>24.99</v>
          </cell>
          <cell r="K155">
            <v>109.99</v>
          </cell>
          <cell r="L155">
            <v>9.99</v>
          </cell>
          <cell r="M155" t="str">
            <v>EUR</v>
          </cell>
          <cell r="N155">
            <v>139.99</v>
          </cell>
          <cell r="O155">
            <v>22.99</v>
          </cell>
          <cell r="P155">
            <v>99.99</v>
          </cell>
          <cell r="Q155">
            <v>16.989999999999998</v>
          </cell>
          <cell r="R155">
            <v>89.99</v>
          </cell>
          <cell r="S155">
            <v>14.99</v>
          </cell>
        </row>
        <row r="156">
          <cell r="B156" t="str">
            <v>Netherlands Antilles</v>
          </cell>
          <cell r="C156" t="str">
            <v>Latin America</v>
          </cell>
          <cell r="D156" t="str">
            <v>N</v>
          </cell>
          <cell r="E156" t="str">
            <v>BAU</v>
          </cell>
          <cell r="F156" t="str">
            <v>ANG</v>
          </cell>
          <cell r="G156" t="str">
            <v/>
          </cell>
          <cell r="H156" t="str">
            <v/>
          </cell>
          <cell r="I156">
            <v>129.99</v>
          </cell>
          <cell r="J156">
            <v>24.99</v>
          </cell>
          <cell r="K156">
            <v>80.989999999999995</v>
          </cell>
          <cell r="L156">
            <v>15.99</v>
          </cell>
          <cell r="M156" t="str">
            <v>ANG</v>
          </cell>
          <cell r="N156">
            <v>167.99</v>
          </cell>
          <cell r="O156">
            <v>27.99</v>
          </cell>
          <cell r="P156">
            <v>125.99</v>
          </cell>
          <cell r="Q156">
            <v>20.99</v>
          </cell>
          <cell r="R156">
            <v>113.99</v>
          </cell>
          <cell r="S156">
            <v>18.989999999999998</v>
          </cell>
        </row>
        <row r="157">
          <cell r="B157" t="str">
            <v>New Caledonia</v>
          </cell>
          <cell r="C157" t="str">
            <v>Asia</v>
          </cell>
          <cell r="D157" t="str">
            <v>N</v>
          </cell>
          <cell r="E157" t="str">
            <v>BAU</v>
          </cell>
          <cell r="F157" t="str">
            <v>XPF</v>
          </cell>
          <cell r="G157" t="str">
            <v/>
          </cell>
          <cell r="H157" t="str">
            <v/>
          </cell>
          <cell r="I157">
            <v>7400</v>
          </cell>
          <cell r="J157">
            <v>1500</v>
          </cell>
          <cell r="K157">
            <v>4800</v>
          </cell>
          <cell r="L157">
            <v>950</v>
          </cell>
          <cell r="M157" t="str">
            <v>XPF</v>
          </cell>
          <cell r="N157">
            <v>8100</v>
          </cell>
          <cell r="O157">
            <v>1350</v>
          </cell>
          <cell r="P157">
            <v>6000</v>
          </cell>
          <cell r="Q157">
            <v>1000</v>
          </cell>
          <cell r="R157">
            <v>5400</v>
          </cell>
          <cell r="S157">
            <v>900</v>
          </cell>
        </row>
        <row r="158">
          <cell r="B158" t="str">
            <v>New Zealand</v>
          </cell>
          <cell r="C158" t="str">
            <v>Asia</v>
          </cell>
          <cell r="D158" t="str">
            <v>Y</v>
          </cell>
          <cell r="E158" t="str">
            <v>Steeper than BAU</v>
          </cell>
          <cell r="F158" t="str">
            <v>NZD</v>
          </cell>
          <cell r="G158">
            <v>414.99</v>
          </cell>
          <cell r="H158">
            <v>54.99</v>
          </cell>
          <cell r="I158">
            <v>319.99</v>
          </cell>
          <cell r="J158">
            <v>41.99</v>
          </cell>
          <cell r="K158">
            <v>179.99</v>
          </cell>
          <cell r="L158">
            <v>20.99</v>
          </cell>
          <cell r="M158" t="str">
            <v>NZD</v>
          </cell>
          <cell r="N158">
            <v>203.99</v>
          </cell>
          <cell r="O158">
            <v>33.99</v>
          </cell>
          <cell r="P158">
            <v>149.99</v>
          </cell>
          <cell r="Q158">
            <v>24.99</v>
          </cell>
          <cell r="R158">
            <v>131.99</v>
          </cell>
          <cell r="S158">
            <v>21.99</v>
          </cell>
        </row>
        <row r="159">
          <cell r="B159" t="str">
            <v>Nicaragua</v>
          </cell>
          <cell r="C159" t="str">
            <v>Latin America</v>
          </cell>
          <cell r="D159" t="str">
            <v>N</v>
          </cell>
          <cell r="E159" t="str">
            <v>BAU</v>
          </cell>
          <cell r="F159" t="str">
            <v>NIO</v>
          </cell>
          <cell r="G159" t="str">
            <v/>
          </cell>
          <cell r="H159" t="str">
            <v/>
          </cell>
          <cell r="I159">
            <v>1700</v>
          </cell>
          <cell r="J159">
            <v>369.99</v>
          </cell>
          <cell r="K159">
            <v>829.99</v>
          </cell>
          <cell r="L159">
            <v>169.99</v>
          </cell>
          <cell r="M159" t="str">
            <v>NIO</v>
          </cell>
          <cell r="N159">
            <v>2993.99</v>
          </cell>
          <cell r="O159">
            <v>498.99</v>
          </cell>
          <cell r="P159">
            <v>2219.9899999999998</v>
          </cell>
          <cell r="Q159">
            <v>369.99</v>
          </cell>
          <cell r="R159">
            <v>1997.99</v>
          </cell>
          <cell r="S159">
            <v>332.99</v>
          </cell>
        </row>
        <row r="160">
          <cell r="B160" t="str">
            <v>Niger</v>
          </cell>
          <cell r="C160" t="str">
            <v>Africa</v>
          </cell>
          <cell r="D160" t="str">
            <v>N</v>
          </cell>
          <cell r="E160" t="str">
            <v>BAU</v>
          </cell>
          <cell r="F160" t="str">
            <v>XOF</v>
          </cell>
          <cell r="G160" t="str">
            <v/>
          </cell>
          <cell r="H160" t="str">
            <v/>
          </cell>
          <cell r="I160">
            <v>29100</v>
          </cell>
          <cell r="J160">
            <v>6400</v>
          </cell>
          <cell r="K160">
            <v>14500</v>
          </cell>
          <cell r="L160">
            <v>2900</v>
          </cell>
          <cell r="M160" t="str">
            <v>XOF</v>
          </cell>
          <cell r="N160">
            <v>43740</v>
          </cell>
          <cell r="O160">
            <v>7290</v>
          </cell>
          <cell r="P160">
            <v>32400</v>
          </cell>
          <cell r="Q160">
            <v>5400</v>
          </cell>
          <cell r="R160">
            <v>29160</v>
          </cell>
          <cell r="S160">
            <v>4860</v>
          </cell>
        </row>
        <row r="161">
          <cell r="B161" t="str">
            <v>Nigeria</v>
          </cell>
          <cell r="C161" t="str">
            <v>Africa</v>
          </cell>
          <cell r="D161" t="str">
            <v>N</v>
          </cell>
          <cell r="E161" t="str">
            <v>BAU</v>
          </cell>
          <cell r="F161" t="str">
            <v>NGN</v>
          </cell>
          <cell r="G161" t="str">
            <v/>
          </cell>
          <cell r="H161" t="str">
            <v/>
          </cell>
          <cell r="I161">
            <v>18000</v>
          </cell>
          <cell r="J161">
            <v>4000</v>
          </cell>
          <cell r="K161">
            <v>9000</v>
          </cell>
          <cell r="L161">
            <v>1800</v>
          </cell>
          <cell r="M161" t="str">
            <v>NGN</v>
          </cell>
          <cell r="N161">
            <v>32400</v>
          </cell>
          <cell r="O161">
            <v>5400</v>
          </cell>
          <cell r="P161">
            <v>24000</v>
          </cell>
          <cell r="Q161">
            <v>4000</v>
          </cell>
          <cell r="R161">
            <v>21600</v>
          </cell>
          <cell r="S161">
            <v>3600</v>
          </cell>
        </row>
        <row r="162">
          <cell r="B162" t="str">
            <v>Niue</v>
          </cell>
          <cell r="C162" t="str">
            <v>Asia</v>
          </cell>
          <cell r="D162" t="str">
            <v>N</v>
          </cell>
          <cell r="E162" t="str">
            <v>BAU</v>
          </cell>
          <cell r="F162" t="str">
            <v>NZD</v>
          </cell>
          <cell r="G162" t="str">
            <v/>
          </cell>
          <cell r="H162" t="str">
            <v/>
          </cell>
          <cell r="I162">
            <v>109.99</v>
          </cell>
          <cell r="J162">
            <v>20.99</v>
          </cell>
          <cell r="K162">
            <v>68.989999999999995</v>
          </cell>
          <cell r="L162">
            <v>13.99</v>
          </cell>
          <cell r="M162" t="str">
            <v>NZD</v>
          </cell>
          <cell r="N162">
            <v>203.99</v>
          </cell>
          <cell r="O162">
            <v>33.99</v>
          </cell>
          <cell r="P162">
            <v>149.99</v>
          </cell>
          <cell r="Q162">
            <v>24.99</v>
          </cell>
          <cell r="R162">
            <v>131.99</v>
          </cell>
          <cell r="S162">
            <v>21.99</v>
          </cell>
        </row>
        <row r="163">
          <cell r="B163" t="str">
            <v>Norfolk Island</v>
          </cell>
          <cell r="C163" t="str">
            <v>Asia</v>
          </cell>
          <cell r="D163" t="str">
            <v>N</v>
          </cell>
          <cell r="E163" t="str">
            <v>BAU</v>
          </cell>
          <cell r="F163" t="str">
            <v>AUD</v>
          </cell>
          <cell r="G163" t="str">
            <v/>
          </cell>
          <cell r="H163" t="str">
            <v/>
          </cell>
          <cell r="I163">
            <v>99.99</v>
          </cell>
          <cell r="J163">
            <v>19.989999999999998</v>
          </cell>
          <cell r="K163">
            <v>64.989999999999995</v>
          </cell>
          <cell r="L163">
            <v>12.99</v>
          </cell>
          <cell r="M163" t="str">
            <v>AUD</v>
          </cell>
          <cell r="N163">
            <v>161.99</v>
          </cell>
          <cell r="O163">
            <v>26.99</v>
          </cell>
          <cell r="P163">
            <v>119.99</v>
          </cell>
          <cell r="Q163">
            <v>19.989999999999998</v>
          </cell>
          <cell r="R163">
            <v>107.99</v>
          </cell>
          <cell r="S163">
            <v>17.989999999999998</v>
          </cell>
        </row>
        <row r="164">
          <cell r="B164" t="str">
            <v>Northern Mariana Islands</v>
          </cell>
          <cell r="C164" t="str">
            <v>Asia</v>
          </cell>
          <cell r="D164" t="str">
            <v>N</v>
          </cell>
          <cell r="E164" t="str">
            <v>BAU</v>
          </cell>
          <cell r="F164" t="str">
            <v>USD</v>
          </cell>
          <cell r="G164" t="str">
            <v/>
          </cell>
          <cell r="H164" t="str">
            <v/>
          </cell>
          <cell r="I164">
            <v>69.989999999999995</v>
          </cell>
          <cell r="J164">
            <v>13.99</v>
          </cell>
          <cell r="K164">
            <v>44.99</v>
          </cell>
          <cell r="L164">
            <v>8.99</v>
          </cell>
          <cell r="M164" t="str">
            <v>USD</v>
          </cell>
          <cell r="N164">
            <v>113.99</v>
          </cell>
          <cell r="O164">
            <v>18.989999999999998</v>
          </cell>
          <cell r="P164">
            <v>83.99</v>
          </cell>
          <cell r="Q164">
            <v>13.99</v>
          </cell>
          <cell r="R164">
            <v>77.989999999999995</v>
          </cell>
          <cell r="S164">
            <v>12.99</v>
          </cell>
        </row>
        <row r="165">
          <cell r="B165" t="str">
            <v>Norway</v>
          </cell>
          <cell r="C165" t="str">
            <v>Europe</v>
          </cell>
          <cell r="D165" t="str">
            <v>Y</v>
          </cell>
          <cell r="E165" t="str">
            <v>Steeper than BAU</v>
          </cell>
          <cell r="F165" t="str">
            <v>NOK</v>
          </cell>
          <cell r="G165">
            <v>2300</v>
          </cell>
          <cell r="H165">
            <v>279.99</v>
          </cell>
          <cell r="I165">
            <v>2000</v>
          </cell>
          <cell r="J165">
            <v>239.99</v>
          </cell>
          <cell r="K165">
            <v>1100</v>
          </cell>
          <cell r="L165">
            <v>149.99</v>
          </cell>
          <cell r="M165" t="str">
            <v>NOK</v>
          </cell>
          <cell r="N165">
            <v>1199.99</v>
          </cell>
          <cell r="O165">
            <v>199.99</v>
          </cell>
          <cell r="P165">
            <v>999.99</v>
          </cell>
          <cell r="Q165">
            <v>149.99</v>
          </cell>
          <cell r="R165">
            <v>839.99</v>
          </cell>
          <cell r="S165">
            <v>139.99</v>
          </cell>
        </row>
        <row r="166">
          <cell r="B166" t="str">
            <v>Oman</v>
          </cell>
          <cell r="C166" t="str">
            <v>Middle East</v>
          </cell>
          <cell r="D166" t="str">
            <v>N</v>
          </cell>
          <cell r="E166" t="str">
            <v>BAU</v>
          </cell>
          <cell r="F166" t="str">
            <v>OMR</v>
          </cell>
          <cell r="G166" t="str">
            <v/>
          </cell>
          <cell r="H166" t="str">
            <v/>
          </cell>
          <cell r="I166">
            <v>26.99</v>
          </cell>
          <cell r="J166">
            <v>4.99</v>
          </cell>
          <cell r="K166">
            <v>16.989999999999998</v>
          </cell>
          <cell r="L166">
            <v>2.99</v>
          </cell>
          <cell r="M166" t="str">
            <v>OMR</v>
          </cell>
          <cell r="N166">
            <v>29.998999999999999</v>
          </cell>
          <cell r="O166">
            <v>4.9989999999999997</v>
          </cell>
          <cell r="P166">
            <v>23.998999999999999</v>
          </cell>
          <cell r="Q166">
            <v>3.9990000000000001</v>
          </cell>
          <cell r="R166">
            <v>17.998999999999999</v>
          </cell>
          <cell r="S166">
            <v>2.9990000000000001</v>
          </cell>
        </row>
        <row r="167">
          <cell r="B167" t="str">
            <v>Pakistan</v>
          </cell>
          <cell r="C167" t="str">
            <v>Asia</v>
          </cell>
          <cell r="D167" t="str">
            <v>N</v>
          </cell>
          <cell r="E167" t="str">
            <v>BAU</v>
          </cell>
          <cell r="F167" t="str">
            <v>PKR</v>
          </cell>
          <cell r="G167" t="str">
            <v/>
          </cell>
          <cell r="H167" t="str">
            <v/>
          </cell>
          <cell r="I167">
            <v>10700</v>
          </cell>
          <cell r="J167">
            <v>2100</v>
          </cell>
          <cell r="K167">
            <v>6900</v>
          </cell>
          <cell r="L167">
            <v>1400</v>
          </cell>
          <cell r="M167" t="str">
            <v>PKR</v>
          </cell>
          <cell r="N167">
            <v>12180</v>
          </cell>
          <cell r="O167">
            <v>2030</v>
          </cell>
          <cell r="P167">
            <v>9000</v>
          </cell>
          <cell r="Q167">
            <v>1500</v>
          </cell>
          <cell r="R167">
            <v>8100</v>
          </cell>
          <cell r="S167">
            <v>1350</v>
          </cell>
        </row>
        <row r="168">
          <cell r="B168" t="str">
            <v>Palau</v>
          </cell>
          <cell r="C168" t="str">
            <v>Asia</v>
          </cell>
          <cell r="D168" t="str">
            <v>N</v>
          </cell>
          <cell r="E168" t="str">
            <v>BAU</v>
          </cell>
          <cell r="F168" t="str">
            <v>USD</v>
          </cell>
          <cell r="G168" t="str">
            <v/>
          </cell>
          <cell r="H168" t="str">
            <v/>
          </cell>
          <cell r="I168">
            <v>69.989999999999995</v>
          </cell>
          <cell r="J168">
            <v>13.99</v>
          </cell>
          <cell r="K168">
            <v>44.99</v>
          </cell>
          <cell r="L168">
            <v>8.99</v>
          </cell>
          <cell r="M168" t="str">
            <v>USD</v>
          </cell>
          <cell r="N168">
            <v>113.99</v>
          </cell>
          <cell r="O168">
            <v>18.989999999999998</v>
          </cell>
          <cell r="P168">
            <v>83.99</v>
          </cell>
          <cell r="Q168">
            <v>13.99</v>
          </cell>
          <cell r="R168">
            <v>77.989999999999995</v>
          </cell>
          <cell r="S168">
            <v>12.99</v>
          </cell>
        </row>
        <row r="169">
          <cell r="B169" t="str">
            <v>Palestinian Territory</v>
          </cell>
          <cell r="C169" t="str">
            <v>Middle East</v>
          </cell>
          <cell r="D169" t="str">
            <v>N</v>
          </cell>
          <cell r="E169" t="str">
            <v>BAU</v>
          </cell>
          <cell r="F169" t="str">
            <v>ILS</v>
          </cell>
          <cell r="G169" t="str">
            <v/>
          </cell>
          <cell r="H169" t="str">
            <v/>
          </cell>
          <cell r="I169">
            <v>249.99</v>
          </cell>
          <cell r="J169">
            <v>49.99</v>
          </cell>
          <cell r="K169">
            <v>159.99</v>
          </cell>
          <cell r="L169">
            <v>31.99</v>
          </cell>
          <cell r="M169" t="str">
            <v>ILS</v>
          </cell>
          <cell r="N169">
            <v>239.99</v>
          </cell>
          <cell r="O169">
            <v>39.99</v>
          </cell>
          <cell r="P169">
            <v>179.99</v>
          </cell>
          <cell r="Q169">
            <v>29.99</v>
          </cell>
          <cell r="R169">
            <v>159.99</v>
          </cell>
          <cell r="S169">
            <v>26.99</v>
          </cell>
        </row>
        <row r="170">
          <cell r="B170" t="str">
            <v>Panama</v>
          </cell>
          <cell r="C170" t="str">
            <v>Latin America</v>
          </cell>
          <cell r="D170" t="str">
            <v>N</v>
          </cell>
          <cell r="E170" t="str">
            <v>BAU</v>
          </cell>
          <cell r="F170" t="str">
            <v>USD</v>
          </cell>
          <cell r="G170" t="str">
            <v/>
          </cell>
          <cell r="H170" t="str">
            <v/>
          </cell>
          <cell r="I170">
            <v>69.989999999999995</v>
          </cell>
          <cell r="J170">
            <v>13.99</v>
          </cell>
          <cell r="K170">
            <v>44.99</v>
          </cell>
          <cell r="L170">
            <v>8.99</v>
          </cell>
          <cell r="M170" t="str">
            <v>USD</v>
          </cell>
          <cell r="N170">
            <v>113.99</v>
          </cell>
          <cell r="O170">
            <v>18.989999999999998</v>
          </cell>
          <cell r="P170">
            <v>83.99</v>
          </cell>
          <cell r="Q170">
            <v>13.99</v>
          </cell>
          <cell r="R170">
            <v>77.989999999999995</v>
          </cell>
          <cell r="S170">
            <v>12.99</v>
          </cell>
        </row>
        <row r="171">
          <cell r="B171" t="str">
            <v>Papua New Guinea</v>
          </cell>
          <cell r="C171" t="str">
            <v>Asia</v>
          </cell>
          <cell r="D171" t="str">
            <v>N</v>
          </cell>
          <cell r="E171" t="str">
            <v>BAU</v>
          </cell>
          <cell r="F171" t="str">
            <v>PGK</v>
          </cell>
          <cell r="G171" t="str">
            <v/>
          </cell>
          <cell r="H171" t="str">
            <v/>
          </cell>
          <cell r="I171">
            <v>169.99</v>
          </cell>
          <cell r="J171">
            <v>36.99</v>
          </cell>
          <cell r="K171">
            <v>83.99</v>
          </cell>
          <cell r="L171">
            <v>16.989999999999998</v>
          </cell>
          <cell r="M171" t="str">
            <v>PGK</v>
          </cell>
          <cell r="N171">
            <v>239.99</v>
          </cell>
          <cell r="O171">
            <v>39.99</v>
          </cell>
          <cell r="P171">
            <v>179.99</v>
          </cell>
          <cell r="Q171">
            <v>29.99</v>
          </cell>
          <cell r="R171">
            <v>161.99</v>
          </cell>
          <cell r="S171">
            <v>26.99</v>
          </cell>
        </row>
        <row r="172">
          <cell r="B172" t="str">
            <v>Paraguay</v>
          </cell>
          <cell r="C172" t="str">
            <v>Latin America</v>
          </cell>
          <cell r="D172" t="str">
            <v>N</v>
          </cell>
          <cell r="E172" t="str">
            <v>BAU</v>
          </cell>
          <cell r="F172" t="str">
            <v>PYG</v>
          </cell>
          <cell r="G172" t="str">
            <v/>
          </cell>
          <cell r="H172" t="str">
            <v/>
          </cell>
          <cell r="I172">
            <v>313000</v>
          </cell>
          <cell r="J172">
            <v>68800</v>
          </cell>
          <cell r="K172">
            <v>156000</v>
          </cell>
          <cell r="L172">
            <v>31200</v>
          </cell>
          <cell r="M172" t="str">
            <v>PYG</v>
          </cell>
          <cell r="N172">
            <v>557280</v>
          </cell>
          <cell r="O172">
            <v>92880</v>
          </cell>
          <cell r="P172">
            <v>412800</v>
          </cell>
          <cell r="Q172">
            <v>68800</v>
          </cell>
          <cell r="R172">
            <v>371520</v>
          </cell>
          <cell r="S172">
            <v>61920</v>
          </cell>
        </row>
        <row r="173">
          <cell r="B173" t="str">
            <v>Peru</v>
          </cell>
          <cell r="C173" t="str">
            <v>Latin America</v>
          </cell>
          <cell r="D173" t="str">
            <v>Y</v>
          </cell>
          <cell r="E173" t="str">
            <v>BAU</v>
          </cell>
          <cell r="F173" t="str">
            <v>PEN</v>
          </cell>
          <cell r="G173" t="str">
            <v/>
          </cell>
          <cell r="H173" t="str">
            <v/>
          </cell>
          <cell r="I173">
            <v>249.99</v>
          </cell>
          <cell r="J173">
            <v>46.99</v>
          </cell>
          <cell r="K173">
            <v>149.99</v>
          </cell>
          <cell r="L173">
            <v>29.99</v>
          </cell>
          <cell r="M173" t="str">
            <v>PEN</v>
          </cell>
          <cell r="N173">
            <v>377.99</v>
          </cell>
          <cell r="O173">
            <v>62.99</v>
          </cell>
          <cell r="P173">
            <v>281.99</v>
          </cell>
          <cell r="Q173">
            <v>46.99</v>
          </cell>
          <cell r="R173">
            <v>251.99</v>
          </cell>
          <cell r="S173">
            <v>41.99</v>
          </cell>
        </row>
        <row r="174">
          <cell r="B174" t="str">
            <v>Philippines</v>
          </cell>
          <cell r="C174" t="str">
            <v>Asia</v>
          </cell>
          <cell r="D174" t="str">
            <v>Y</v>
          </cell>
          <cell r="E174" t="str">
            <v>BAU</v>
          </cell>
          <cell r="F174" t="str">
            <v>PHP</v>
          </cell>
          <cell r="G174">
            <v>5400</v>
          </cell>
          <cell r="H174">
            <v>660</v>
          </cell>
          <cell r="I174">
            <v>4700</v>
          </cell>
          <cell r="J174">
            <v>570</v>
          </cell>
          <cell r="K174">
            <v>2600</v>
          </cell>
          <cell r="L174">
            <v>260</v>
          </cell>
          <cell r="M174" t="str">
            <v>PHP</v>
          </cell>
          <cell r="N174">
            <v>3900</v>
          </cell>
          <cell r="O174">
            <v>650</v>
          </cell>
          <cell r="P174">
            <v>2990</v>
          </cell>
          <cell r="Q174">
            <v>499</v>
          </cell>
          <cell r="R174">
            <v>2199</v>
          </cell>
          <cell r="S174">
            <v>399</v>
          </cell>
        </row>
        <row r="175">
          <cell r="B175" t="str">
            <v>Pitcairn Island</v>
          </cell>
          <cell r="C175" t="str">
            <v>Asia</v>
          </cell>
          <cell r="D175" t="str">
            <v>N</v>
          </cell>
          <cell r="E175" t="str">
            <v>BAU</v>
          </cell>
          <cell r="F175" t="str">
            <v>NZD</v>
          </cell>
          <cell r="G175" t="str">
            <v/>
          </cell>
          <cell r="H175" t="str">
            <v/>
          </cell>
          <cell r="I175">
            <v>109.99</v>
          </cell>
          <cell r="J175">
            <v>20.99</v>
          </cell>
          <cell r="K175">
            <v>68.989999999999995</v>
          </cell>
          <cell r="L175">
            <v>13.99</v>
          </cell>
          <cell r="M175" t="str">
            <v>NZD</v>
          </cell>
          <cell r="N175">
            <v>113.99</v>
          </cell>
          <cell r="O175">
            <v>18.989999999999998</v>
          </cell>
          <cell r="P175">
            <v>83.99</v>
          </cell>
          <cell r="Q175">
            <v>13.99</v>
          </cell>
          <cell r="R175">
            <v>77.989999999999995</v>
          </cell>
          <cell r="S175">
            <v>12.99</v>
          </cell>
        </row>
        <row r="176">
          <cell r="B176" t="str">
            <v>Poland</v>
          </cell>
          <cell r="C176" t="str">
            <v>Europe</v>
          </cell>
          <cell r="D176" t="str">
            <v>Y</v>
          </cell>
          <cell r="E176" t="str">
            <v>Steeper than BAU</v>
          </cell>
          <cell r="F176" t="str">
            <v>PLN</v>
          </cell>
          <cell r="G176">
            <v>679.99</v>
          </cell>
          <cell r="H176">
            <v>86.99</v>
          </cell>
          <cell r="I176">
            <v>599.99</v>
          </cell>
          <cell r="J176">
            <v>74.989999999999995</v>
          </cell>
          <cell r="K176">
            <v>379.99</v>
          </cell>
          <cell r="L176">
            <v>41.99</v>
          </cell>
          <cell r="M176" t="str">
            <v>PLN</v>
          </cell>
          <cell r="N176">
            <v>479.99</v>
          </cell>
          <cell r="O176">
            <v>80.989999999999995</v>
          </cell>
          <cell r="P176">
            <v>359.99</v>
          </cell>
          <cell r="Q176">
            <v>59.99</v>
          </cell>
          <cell r="R176">
            <v>319.99</v>
          </cell>
          <cell r="S176">
            <v>53.99</v>
          </cell>
        </row>
        <row r="177">
          <cell r="B177" t="str">
            <v>Portugal</v>
          </cell>
          <cell r="C177" t="str">
            <v>Europe</v>
          </cell>
          <cell r="D177" t="str">
            <v>Y</v>
          </cell>
          <cell r="E177" t="str">
            <v>BAU</v>
          </cell>
          <cell r="F177" t="str">
            <v>EUR</v>
          </cell>
          <cell r="G177">
            <v>149.99</v>
          </cell>
          <cell r="H177">
            <v>16.989999999999998</v>
          </cell>
          <cell r="I177">
            <v>129.99</v>
          </cell>
          <cell r="J177">
            <v>14.99</v>
          </cell>
          <cell r="K177">
            <v>79.989999999999995</v>
          </cell>
          <cell r="L177">
            <v>8.99</v>
          </cell>
          <cell r="M177" t="str">
            <v>EUR</v>
          </cell>
          <cell r="N177">
            <v>109.99</v>
          </cell>
          <cell r="O177">
            <v>18.989999999999998</v>
          </cell>
          <cell r="P177">
            <v>89.99</v>
          </cell>
          <cell r="Q177">
            <v>14.99</v>
          </cell>
          <cell r="R177">
            <v>79.989999999999995</v>
          </cell>
          <cell r="S177">
            <v>12.99</v>
          </cell>
        </row>
        <row r="178">
          <cell r="B178" t="str">
            <v>Qatar</v>
          </cell>
          <cell r="C178" t="str">
            <v>Middle East</v>
          </cell>
          <cell r="D178" t="str">
            <v>N</v>
          </cell>
          <cell r="E178" t="str">
            <v>BAU</v>
          </cell>
          <cell r="F178" t="str">
            <v>QAR</v>
          </cell>
          <cell r="G178">
            <v>479.99</v>
          </cell>
          <cell r="H178">
            <v>99.99</v>
          </cell>
          <cell r="I178">
            <v>399.99</v>
          </cell>
          <cell r="J178">
            <v>83.99</v>
          </cell>
          <cell r="K178">
            <v>219.99</v>
          </cell>
          <cell r="L178">
            <v>43.99</v>
          </cell>
          <cell r="M178" t="str">
            <v>QAR</v>
          </cell>
          <cell r="N178">
            <v>579.99</v>
          </cell>
          <cell r="O178">
            <v>96.99</v>
          </cell>
          <cell r="P178">
            <v>449.99</v>
          </cell>
          <cell r="Q178">
            <v>74.989999999999995</v>
          </cell>
          <cell r="R178">
            <v>399.99</v>
          </cell>
          <cell r="S178">
            <v>66.989999999999995</v>
          </cell>
        </row>
        <row r="179">
          <cell r="B179" t="str">
            <v>Reunion</v>
          </cell>
          <cell r="C179" t="str">
            <v>Africa</v>
          </cell>
          <cell r="D179" t="str">
            <v>N</v>
          </cell>
          <cell r="E179" t="str">
            <v>BAU</v>
          </cell>
          <cell r="F179" t="str">
            <v>EUR</v>
          </cell>
          <cell r="G179" t="str">
            <v/>
          </cell>
          <cell r="H179" t="str">
            <v/>
          </cell>
          <cell r="I179">
            <v>43.99</v>
          </cell>
          <cell r="J179">
            <v>9.99</v>
          </cell>
          <cell r="K179">
            <v>21.99</v>
          </cell>
          <cell r="L179">
            <v>3.99</v>
          </cell>
          <cell r="M179" t="str">
            <v>EUR</v>
          </cell>
          <cell r="N179">
            <v>77.989999999999995</v>
          </cell>
          <cell r="O179">
            <v>12.99</v>
          </cell>
          <cell r="P179">
            <v>59.99</v>
          </cell>
          <cell r="Q179">
            <v>9.99</v>
          </cell>
          <cell r="R179">
            <v>53.99</v>
          </cell>
          <cell r="S179">
            <v>8.99</v>
          </cell>
        </row>
        <row r="180">
          <cell r="B180" t="str">
            <v>Romania</v>
          </cell>
          <cell r="C180" t="str">
            <v>Europe</v>
          </cell>
          <cell r="D180" t="str">
            <v>Y</v>
          </cell>
          <cell r="E180" t="str">
            <v>BAU</v>
          </cell>
          <cell r="F180" t="str">
            <v>RON</v>
          </cell>
          <cell r="G180" t="str">
            <v/>
          </cell>
          <cell r="H180" t="str">
            <v/>
          </cell>
          <cell r="I180">
            <v>289.99</v>
          </cell>
          <cell r="J180">
            <v>58.99</v>
          </cell>
          <cell r="K180">
            <v>189.99</v>
          </cell>
          <cell r="L180">
            <v>37.99</v>
          </cell>
          <cell r="M180" t="str">
            <v>RON</v>
          </cell>
          <cell r="N180">
            <v>479.99</v>
          </cell>
          <cell r="O180">
            <v>79.989999999999995</v>
          </cell>
          <cell r="P180">
            <v>349.99</v>
          </cell>
          <cell r="Q180">
            <v>58.99</v>
          </cell>
          <cell r="R180">
            <v>319.99</v>
          </cell>
          <cell r="S180">
            <v>52.99</v>
          </cell>
        </row>
        <row r="181">
          <cell r="B181" t="str">
            <v>Russia</v>
          </cell>
          <cell r="C181" t="str">
            <v>Europe</v>
          </cell>
          <cell r="D181" t="str">
            <v>Y</v>
          </cell>
          <cell r="E181" t="str">
            <v>Steeper than BAU</v>
          </cell>
          <cell r="F181" t="str">
            <v>RUB</v>
          </cell>
          <cell r="G181">
            <v>11600</v>
          </cell>
          <cell r="H181">
            <v>2100</v>
          </cell>
          <cell r="I181">
            <v>10300</v>
          </cell>
          <cell r="J181">
            <v>1300</v>
          </cell>
          <cell r="K181">
            <v>6500</v>
          </cell>
          <cell r="L181">
            <v>709.99</v>
          </cell>
          <cell r="M181" t="str">
            <v>RUB</v>
          </cell>
          <cell r="N181"/>
          <cell r="O181"/>
          <cell r="P181"/>
          <cell r="Q181"/>
          <cell r="R181"/>
          <cell r="S181"/>
        </row>
        <row r="182">
          <cell r="B182" t="str">
            <v>Rwanda</v>
          </cell>
          <cell r="C182" t="str">
            <v>Africa</v>
          </cell>
          <cell r="D182" t="str">
            <v>N</v>
          </cell>
          <cell r="E182" t="str">
            <v>BAU</v>
          </cell>
          <cell r="F182" t="str">
            <v>RWF</v>
          </cell>
          <cell r="G182" t="str">
            <v/>
          </cell>
          <cell r="H182" t="str">
            <v/>
          </cell>
          <cell r="I182">
            <v>45300</v>
          </cell>
          <cell r="J182">
            <v>10000</v>
          </cell>
          <cell r="K182">
            <v>22600</v>
          </cell>
          <cell r="L182">
            <v>4500</v>
          </cell>
          <cell r="M182" t="str">
            <v>RWF</v>
          </cell>
          <cell r="N182">
            <v>81000</v>
          </cell>
          <cell r="O182">
            <v>13500</v>
          </cell>
          <cell r="P182">
            <v>60000</v>
          </cell>
          <cell r="Q182">
            <v>10000</v>
          </cell>
          <cell r="R182">
            <v>54000</v>
          </cell>
          <cell r="S182">
            <v>9000</v>
          </cell>
        </row>
        <row r="183">
          <cell r="B183" t="str">
            <v>Saint Martin (French Part)</v>
          </cell>
          <cell r="C183" t="str">
            <v>Latin America</v>
          </cell>
          <cell r="D183" t="str">
            <v>N</v>
          </cell>
          <cell r="E183" t="str">
            <v>BAU</v>
          </cell>
          <cell r="F183" t="str">
            <v>EUR</v>
          </cell>
          <cell r="G183" t="str">
            <v/>
          </cell>
          <cell r="H183" t="str">
            <v/>
          </cell>
          <cell r="I183">
            <v>61.99</v>
          </cell>
          <cell r="J183">
            <v>11.99</v>
          </cell>
          <cell r="K183">
            <v>39.99</v>
          </cell>
          <cell r="L183">
            <v>7.99</v>
          </cell>
          <cell r="M183" t="str">
            <v>EUR</v>
          </cell>
          <cell r="N183">
            <v>89.99</v>
          </cell>
          <cell r="O183">
            <v>14.99</v>
          </cell>
          <cell r="P183">
            <v>65.989999999999995</v>
          </cell>
          <cell r="Q183">
            <v>10.99</v>
          </cell>
          <cell r="R183">
            <v>59.99</v>
          </cell>
          <cell r="S183">
            <v>9.99</v>
          </cell>
        </row>
        <row r="184">
          <cell r="B184" t="str">
            <v>Samoa</v>
          </cell>
          <cell r="C184" t="str">
            <v>Asia</v>
          </cell>
          <cell r="D184" t="str">
            <v>N</v>
          </cell>
          <cell r="E184" t="str">
            <v>BAU</v>
          </cell>
          <cell r="F184" t="str">
            <v>WST</v>
          </cell>
          <cell r="G184" t="str">
            <v/>
          </cell>
          <cell r="H184" t="str">
            <v/>
          </cell>
          <cell r="I184">
            <v>179.99</v>
          </cell>
          <cell r="J184">
            <v>36.99</v>
          </cell>
          <cell r="K184">
            <v>119.99</v>
          </cell>
          <cell r="L184">
            <v>23.99</v>
          </cell>
          <cell r="M184" t="str">
            <v>WST</v>
          </cell>
          <cell r="N184">
            <v>161.99</v>
          </cell>
          <cell r="O184">
            <v>26.99</v>
          </cell>
          <cell r="P184">
            <v>119.99</v>
          </cell>
          <cell r="Q184">
            <v>19.989999999999998</v>
          </cell>
          <cell r="R184">
            <v>107.99</v>
          </cell>
          <cell r="S184">
            <v>17.989999999999998</v>
          </cell>
        </row>
        <row r="185">
          <cell r="B185" t="str">
            <v>San Marino</v>
          </cell>
          <cell r="C185" t="str">
            <v>Europe</v>
          </cell>
          <cell r="D185" t="str">
            <v>N</v>
          </cell>
          <cell r="E185" t="str">
            <v>BAU</v>
          </cell>
          <cell r="F185" t="str">
            <v>EUR</v>
          </cell>
          <cell r="G185">
            <v>119.99</v>
          </cell>
          <cell r="H185">
            <v>22.99</v>
          </cell>
          <cell r="I185">
            <v>97.99</v>
          </cell>
          <cell r="J185">
            <v>19.989999999999998</v>
          </cell>
          <cell r="K185">
            <v>52.99</v>
          </cell>
          <cell r="L185">
            <v>10.99</v>
          </cell>
          <cell r="M185" t="str">
            <v>EUR</v>
          </cell>
          <cell r="N185">
            <v>139.99</v>
          </cell>
          <cell r="O185">
            <v>22.99</v>
          </cell>
          <cell r="P185">
            <v>109.99</v>
          </cell>
          <cell r="Q185">
            <v>17.989999999999998</v>
          </cell>
          <cell r="R185">
            <v>99.99</v>
          </cell>
          <cell r="S185">
            <v>15.99</v>
          </cell>
        </row>
        <row r="186">
          <cell r="B186" t="str">
            <v>Sao Tome And Principe</v>
          </cell>
          <cell r="C186" t="str">
            <v>Africa</v>
          </cell>
          <cell r="D186" t="str">
            <v>N</v>
          </cell>
          <cell r="E186" t="str">
            <v>BAU</v>
          </cell>
          <cell r="F186" t="str">
            <v>USD</v>
          </cell>
          <cell r="G186" t="str">
            <v/>
          </cell>
          <cell r="H186" t="str">
            <v/>
          </cell>
          <cell r="I186">
            <v>49.99</v>
          </cell>
          <cell r="J186">
            <v>10.99</v>
          </cell>
          <cell r="K186">
            <v>24.99</v>
          </cell>
          <cell r="L186">
            <v>4.99</v>
          </cell>
          <cell r="M186" t="str">
            <v>USD</v>
          </cell>
          <cell r="N186">
            <v>77.989999999999995</v>
          </cell>
          <cell r="O186">
            <v>12.99</v>
          </cell>
          <cell r="P186">
            <v>59.99</v>
          </cell>
          <cell r="Q186">
            <v>9.99</v>
          </cell>
          <cell r="R186">
            <v>53.99</v>
          </cell>
          <cell r="S186">
            <v>8.99</v>
          </cell>
        </row>
        <row r="187">
          <cell r="B187" t="str">
            <v>Saudi Arabia</v>
          </cell>
          <cell r="C187" t="str">
            <v>Middle East</v>
          </cell>
          <cell r="D187" t="str">
            <v>Y</v>
          </cell>
          <cell r="E187" t="str">
            <v>Steeper than BAU</v>
          </cell>
          <cell r="F187" t="str">
            <v>SAR</v>
          </cell>
          <cell r="G187">
            <v>489.99</v>
          </cell>
          <cell r="H187">
            <v>99.99</v>
          </cell>
          <cell r="I187">
            <v>409.99</v>
          </cell>
          <cell r="J187">
            <v>85.99</v>
          </cell>
          <cell r="K187">
            <v>219.99</v>
          </cell>
          <cell r="L187">
            <v>44.99</v>
          </cell>
          <cell r="M187" t="str">
            <v>SAR</v>
          </cell>
          <cell r="N187">
            <v>479.99</v>
          </cell>
          <cell r="O187">
            <v>77.989999999999995</v>
          </cell>
          <cell r="P187">
            <v>359.99</v>
          </cell>
          <cell r="Q187">
            <v>59.99</v>
          </cell>
          <cell r="R187">
            <v>319.99</v>
          </cell>
          <cell r="S187">
            <v>53.99</v>
          </cell>
        </row>
        <row r="188">
          <cell r="B188" t="str">
            <v>Senegal</v>
          </cell>
          <cell r="C188" t="str">
            <v>Africa</v>
          </cell>
          <cell r="D188" t="str">
            <v>N</v>
          </cell>
          <cell r="E188" t="str">
            <v>BAU</v>
          </cell>
          <cell r="F188" t="str">
            <v>XOF</v>
          </cell>
          <cell r="G188" t="str">
            <v/>
          </cell>
          <cell r="H188" t="str">
            <v/>
          </cell>
          <cell r="I188">
            <v>29100</v>
          </cell>
          <cell r="J188">
            <v>6400</v>
          </cell>
          <cell r="K188">
            <v>14500</v>
          </cell>
          <cell r="L188">
            <v>2900</v>
          </cell>
          <cell r="M188" t="str">
            <v>XOF</v>
          </cell>
          <cell r="N188">
            <v>43740</v>
          </cell>
          <cell r="O188">
            <v>7290</v>
          </cell>
          <cell r="P188">
            <v>32400</v>
          </cell>
          <cell r="Q188">
            <v>5400</v>
          </cell>
          <cell r="R188">
            <v>29160</v>
          </cell>
          <cell r="S188">
            <v>4860</v>
          </cell>
        </row>
        <row r="189">
          <cell r="B189" t="str">
            <v>Serbia</v>
          </cell>
          <cell r="C189" t="str">
            <v>Europe</v>
          </cell>
          <cell r="D189" t="str">
            <v>N</v>
          </cell>
          <cell r="E189" t="str">
            <v>BAU</v>
          </cell>
          <cell r="F189" t="str">
            <v>RSD</v>
          </cell>
          <cell r="G189">
            <v>13700</v>
          </cell>
          <cell r="H189">
            <v>1700</v>
          </cell>
          <cell r="I189">
            <v>11600</v>
          </cell>
          <cell r="J189">
            <v>1500</v>
          </cell>
          <cell r="K189">
            <v>7700</v>
          </cell>
          <cell r="L189">
            <v>949.99</v>
          </cell>
          <cell r="M189" t="str">
            <v>RSD</v>
          </cell>
          <cell r="N189">
            <v>9719.99</v>
          </cell>
          <cell r="O189">
            <v>1619.99</v>
          </cell>
          <cell r="P189">
            <v>7199.99</v>
          </cell>
          <cell r="Q189">
            <v>1199.99</v>
          </cell>
          <cell r="R189">
            <v>6479.99</v>
          </cell>
          <cell r="S189">
            <v>1079.99</v>
          </cell>
        </row>
        <row r="190">
          <cell r="B190" t="str">
            <v>Seychelles</v>
          </cell>
          <cell r="C190" t="str">
            <v>Africa</v>
          </cell>
          <cell r="D190" t="str">
            <v>N</v>
          </cell>
          <cell r="E190" t="str">
            <v>BAU</v>
          </cell>
          <cell r="F190" t="str">
            <v>SCR</v>
          </cell>
          <cell r="G190" t="str">
            <v/>
          </cell>
          <cell r="H190" t="str">
            <v/>
          </cell>
          <cell r="I190">
            <v>679.99</v>
          </cell>
          <cell r="J190">
            <v>149.99</v>
          </cell>
          <cell r="K190">
            <v>339.99</v>
          </cell>
          <cell r="L190">
            <v>67.989999999999995</v>
          </cell>
          <cell r="M190" t="str">
            <v>SCR</v>
          </cell>
          <cell r="N190">
            <v>809.99</v>
          </cell>
          <cell r="O190">
            <v>134.99</v>
          </cell>
          <cell r="P190">
            <v>599.99</v>
          </cell>
          <cell r="Q190">
            <v>99.99</v>
          </cell>
          <cell r="R190">
            <v>539.99</v>
          </cell>
          <cell r="S190">
            <v>89.99</v>
          </cell>
        </row>
        <row r="191">
          <cell r="B191" t="str">
            <v>Sierra Leone</v>
          </cell>
          <cell r="C191" t="str">
            <v>Africa</v>
          </cell>
          <cell r="D191" t="str">
            <v>N</v>
          </cell>
          <cell r="E191" t="str">
            <v>BAU</v>
          </cell>
          <cell r="F191" t="str">
            <v>SLL</v>
          </cell>
          <cell r="G191" t="str">
            <v/>
          </cell>
          <cell r="H191" t="str">
            <v/>
          </cell>
          <cell r="I191">
            <v>445000</v>
          </cell>
          <cell r="J191">
            <v>97800</v>
          </cell>
          <cell r="K191">
            <v>222000</v>
          </cell>
          <cell r="L191">
            <v>44400</v>
          </cell>
          <cell r="M191" t="str">
            <v>SLL</v>
          </cell>
          <cell r="N191">
            <v>792180</v>
          </cell>
          <cell r="O191">
            <v>132030</v>
          </cell>
          <cell r="P191">
            <v>586800</v>
          </cell>
          <cell r="Q191">
            <v>97800</v>
          </cell>
          <cell r="R191">
            <v>528120</v>
          </cell>
          <cell r="S191">
            <v>88020</v>
          </cell>
        </row>
        <row r="192">
          <cell r="B192" t="str">
            <v>Singapore</v>
          </cell>
          <cell r="C192" t="str">
            <v>Asia</v>
          </cell>
          <cell r="D192" t="str">
            <v>Y</v>
          </cell>
          <cell r="E192" t="str">
            <v>Steeper than BAU</v>
          </cell>
          <cell r="F192" t="str">
            <v>SGD</v>
          </cell>
          <cell r="G192">
            <v>329.99</v>
          </cell>
          <cell r="H192">
            <v>35.99</v>
          </cell>
          <cell r="I192">
            <v>289.99</v>
          </cell>
          <cell r="J192">
            <v>30.99</v>
          </cell>
          <cell r="K192">
            <v>179.99</v>
          </cell>
          <cell r="L192">
            <v>15.99</v>
          </cell>
          <cell r="M192" t="str">
            <v>SGD</v>
          </cell>
          <cell r="N192">
            <v>174.99</v>
          </cell>
          <cell r="O192">
            <v>24.99</v>
          </cell>
          <cell r="P192">
            <v>124.99</v>
          </cell>
          <cell r="Q192">
            <v>17.989999999999998</v>
          </cell>
          <cell r="R192">
            <v>84.99</v>
          </cell>
          <cell r="S192">
            <v>14.99</v>
          </cell>
        </row>
        <row r="193">
          <cell r="B193" t="str">
            <v>Slovakia</v>
          </cell>
          <cell r="C193" t="str">
            <v>Europe</v>
          </cell>
          <cell r="D193" t="str">
            <v>N</v>
          </cell>
          <cell r="E193" t="str">
            <v>BAU</v>
          </cell>
          <cell r="F193" t="str">
            <v>EUR</v>
          </cell>
          <cell r="G193" t="str">
            <v/>
          </cell>
          <cell r="H193" t="str">
            <v/>
          </cell>
          <cell r="I193">
            <v>88.99</v>
          </cell>
          <cell r="J193">
            <v>17.989999999999998</v>
          </cell>
          <cell r="K193">
            <v>48.99</v>
          </cell>
          <cell r="L193">
            <v>9.99</v>
          </cell>
          <cell r="M193" t="str">
            <v>EUR</v>
          </cell>
          <cell r="N193">
            <v>89.99</v>
          </cell>
          <cell r="O193">
            <v>14.99</v>
          </cell>
          <cell r="P193">
            <v>59.99</v>
          </cell>
          <cell r="Q193">
            <v>10.99</v>
          </cell>
          <cell r="R193">
            <v>59.99</v>
          </cell>
          <cell r="S193">
            <v>9.99</v>
          </cell>
        </row>
        <row r="194">
          <cell r="B194" t="str">
            <v>Slovenia</v>
          </cell>
          <cell r="C194" t="str">
            <v>Europe</v>
          </cell>
          <cell r="D194" t="str">
            <v>Y</v>
          </cell>
          <cell r="E194" t="str">
            <v>Steeper than BAU</v>
          </cell>
          <cell r="F194" t="str">
            <v>EUR</v>
          </cell>
          <cell r="G194">
            <v>149.99</v>
          </cell>
          <cell r="H194">
            <v>16.989999999999998</v>
          </cell>
          <cell r="I194">
            <v>129.99</v>
          </cell>
          <cell r="J194">
            <v>14.99</v>
          </cell>
          <cell r="K194">
            <v>79.989999999999995</v>
          </cell>
          <cell r="L194">
            <v>8.99</v>
          </cell>
          <cell r="M194" t="str">
            <v>EUR</v>
          </cell>
          <cell r="N194">
            <v>109.99</v>
          </cell>
          <cell r="O194">
            <v>17.989999999999998</v>
          </cell>
          <cell r="P194">
            <v>89.99</v>
          </cell>
          <cell r="Q194">
            <v>13.99</v>
          </cell>
          <cell r="R194">
            <v>79.989999999999995</v>
          </cell>
          <cell r="S194">
            <v>12.99</v>
          </cell>
        </row>
        <row r="195">
          <cell r="B195" t="str">
            <v>Solomon Islands</v>
          </cell>
          <cell r="C195" t="str">
            <v>Asia</v>
          </cell>
          <cell r="D195" t="str">
            <v>N</v>
          </cell>
          <cell r="E195" t="str">
            <v>BAU</v>
          </cell>
          <cell r="F195" t="str">
            <v>SBD</v>
          </cell>
          <cell r="G195" t="str">
            <v/>
          </cell>
          <cell r="H195" t="str">
            <v/>
          </cell>
          <cell r="I195">
            <v>559.99</v>
          </cell>
          <cell r="J195">
            <v>109.99</v>
          </cell>
          <cell r="K195">
            <v>359.99</v>
          </cell>
          <cell r="L195">
            <v>71.989999999999995</v>
          </cell>
          <cell r="M195" t="str">
            <v>SBD</v>
          </cell>
          <cell r="N195">
            <v>563.99</v>
          </cell>
          <cell r="O195">
            <v>93.99</v>
          </cell>
          <cell r="P195">
            <v>419.99</v>
          </cell>
          <cell r="Q195">
            <v>69.989999999999995</v>
          </cell>
          <cell r="R195">
            <v>377.99</v>
          </cell>
          <cell r="S195">
            <v>62.99</v>
          </cell>
        </row>
        <row r="196">
          <cell r="B196" t="str">
            <v>South Africa</v>
          </cell>
          <cell r="C196" t="str">
            <v>Africa</v>
          </cell>
          <cell r="D196" t="str">
            <v>Y</v>
          </cell>
          <cell r="E196" t="str">
            <v>Steeper than BAU</v>
          </cell>
          <cell r="F196" t="str">
            <v>ZAR</v>
          </cell>
          <cell r="G196" t="str">
            <v/>
          </cell>
          <cell r="H196" t="str">
            <v/>
          </cell>
          <cell r="I196">
            <v>739.99</v>
          </cell>
          <cell r="J196">
            <v>159.99</v>
          </cell>
          <cell r="K196">
            <v>369.99</v>
          </cell>
          <cell r="L196">
            <v>73.989999999999995</v>
          </cell>
          <cell r="M196" t="str">
            <v>ZAR</v>
          </cell>
          <cell r="N196">
            <v>1133.99</v>
          </cell>
          <cell r="O196">
            <v>188.99</v>
          </cell>
          <cell r="P196">
            <v>839.99</v>
          </cell>
          <cell r="Q196">
            <v>139.99</v>
          </cell>
          <cell r="R196">
            <v>755.99</v>
          </cell>
          <cell r="S196">
            <v>125.99</v>
          </cell>
        </row>
        <row r="197">
          <cell r="B197" t="str">
            <v>South Georgia (Sgssi)</v>
          </cell>
          <cell r="C197" t="str">
            <v>Europe</v>
          </cell>
          <cell r="D197" t="str">
            <v>N</v>
          </cell>
          <cell r="E197" t="str">
            <v>BAU</v>
          </cell>
          <cell r="F197" t="str">
            <v>GBP</v>
          </cell>
          <cell r="G197">
            <v>129.99</v>
          </cell>
          <cell r="H197">
            <v>24.99</v>
          </cell>
          <cell r="I197">
            <v>109.99</v>
          </cell>
          <cell r="J197">
            <v>21.99</v>
          </cell>
          <cell r="K197">
            <v>66.989999999999995</v>
          </cell>
          <cell r="L197">
            <v>12.99</v>
          </cell>
          <cell r="M197" t="str">
            <v>GBP</v>
          </cell>
          <cell r="N197">
            <v>79.989999999999995</v>
          </cell>
          <cell r="O197">
            <v>12.99</v>
          </cell>
          <cell r="P197">
            <v>59.99</v>
          </cell>
          <cell r="Q197">
            <v>9.99</v>
          </cell>
          <cell r="R197">
            <v>49.99</v>
          </cell>
          <cell r="S197">
            <v>8.99</v>
          </cell>
        </row>
        <row r="198">
          <cell r="B198" t="str">
            <v>South Korea</v>
          </cell>
          <cell r="C198" t="str">
            <v>Asia</v>
          </cell>
          <cell r="D198" t="str">
            <v>Y</v>
          </cell>
          <cell r="E198" t="str">
            <v>BAU</v>
          </cell>
          <cell r="F198" t="str">
            <v>KRW</v>
          </cell>
          <cell r="G198">
            <v>225000</v>
          </cell>
          <cell r="H198">
            <v>30000</v>
          </cell>
          <cell r="I198">
            <v>193000</v>
          </cell>
          <cell r="J198">
            <v>25700</v>
          </cell>
          <cell r="K198">
            <v>129000</v>
          </cell>
          <cell r="L198">
            <v>17100</v>
          </cell>
          <cell r="M198" t="str">
            <v>KRW</v>
          </cell>
          <cell r="N198">
            <v>162000</v>
          </cell>
          <cell r="O198">
            <v>27000</v>
          </cell>
          <cell r="P198">
            <v>120000</v>
          </cell>
          <cell r="Q198">
            <v>20000</v>
          </cell>
          <cell r="R198">
            <v>99000</v>
          </cell>
          <cell r="S198">
            <v>18000</v>
          </cell>
        </row>
        <row r="199">
          <cell r="B199" t="str">
            <v>Spain</v>
          </cell>
          <cell r="C199" t="str">
            <v>Europe</v>
          </cell>
          <cell r="D199" t="str">
            <v>Y</v>
          </cell>
          <cell r="E199" t="str">
            <v>BAU</v>
          </cell>
          <cell r="F199" t="str">
            <v>EUR</v>
          </cell>
          <cell r="G199">
            <v>159.99</v>
          </cell>
          <cell r="H199">
            <v>17.989999999999998</v>
          </cell>
          <cell r="I199">
            <v>129.99</v>
          </cell>
          <cell r="J199">
            <v>14.99</v>
          </cell>
          <cell r="K199">
            <v>79.989999999999995</v>
          </cell>
          <cell r="L199">
            <v>9.99</v>
          </cell>
          <cell r="M199" t="str">
            <v>EUR</v>
          </cell>
          <cell r="N199">
            <v>129.99</v>
          </cell>
          <cell r="O199">
            <v>19.989999999999998</v>
          </cell>
          <cell r="P199">
            <v>99.99</v>
          </cell>
          <cell r="Q199">
            <v>14.99</v>
          </cell>
          <cell r="R199">
            <v>89.99</v>
          </cell>
          <cell r="S199">
            <v>13.99</v>
          </cell>
        </row>
        <row r="200">
          <cell r="B200" t="str">
            <v>Sri Lanka</v>
          </cell>
          <cell r="C200" t="str">
            <v>Asia</v>
          </cell>
          <cell r="D200" t="str">
            <v>N</v>
          </cell>
          <cell r="E200" t="str">
            <v>BAU</v>
          </cell>
          <cell r="F200" t="str">
            <v>LKR</v>
          </cell>
          <cell r="G200" t="str">
            <v/>
          </cell>
          <cell r="H200" t="str">
            <v/>
          </cell>
          <cell r="I200">
            <v>8800</v>
          </cell>
          <cell r="J200">
            <v>1900</v>
          </cell>
          <cell r="K200">
            <v>4400</v>
          </cell>
          <cell r="L200">
            <v>879.99</v>
          </cell>
          <cell r="M200" t="str">
            <v>LKR</v>
          </cell>
          <cell r="N200">
            <v>15420</v>
          </cell>
          <cell r="O200">
            <v>2570</v>
          </cell>
          <cell r="P200">
            <v>11400</v>
          </cell>
          <cell r="Q200">
            <v>1900</v>
          </cell>
          <cell r="R200">
            <v>10260</v>
          </cell>
          <cell r="S200">
            <v>1710</v>
          </cell>
        </row>
        <row r="201">
          <cell r="B201" t="str">
            <v>St. Helena</v>
          </cell>
          <cell r="C201" t="str">
            <v>Africa</v>
          </cell>
          <cell r="D201" t="str">
            <v>N</v>
          </cell>
          <cell r="E201" t="str">
            <v>BAU</v>
          </cell>
          <cell r="F201" t="str">
            <v>SHP</v>
          </cell>
          <cell r="G201" t="str">
            <v/>
          </cell>
          <cell r="H201" t="str">
            <v/>
          </cell>
          <cell r="I201">
            <v>38.99</v>
          </cell>
          <cell r="J201">
            <v>8.99</v>
          </cell>
          <cell r="K201">
            <v>19.989999999999998</v>
          </cell>
          <cell r="L201">
            <v>3.99</v>
          </cell>
          <cell r="M201" t="str">
            <v>SHP</v>
          </cell>
          <cell r="N201">
            <v>53.99</v>
          </cell>
          <cell r="O201">
            <v>8.99</v>
          </cell>
          <cell r="P201">
            <v>41.99</v>
          </cell>
          <cell r="Q201">
            <v>6.99</v>
          </cell>
          <cell r="R201">
            <v>35.99</v>
          </cell>
          <cell r="S201">
            <v>5.99</v>
          </cell>
        </row>
        <row r="202">
          <cell r="B202" t="str">
            <v>St. Kitts And Nevis</v>
          </cell>
          <cell r="C202" t="str">
            <v>Latin America</v>
          </cell>
          <cell r="D202" t="str">
            <v>N</v>
          </cell>
          <cell r="E202" t="str">
            <v>BAU</v>
          </cell>
          <cell r="F202" t="str">
            <v>XCD</v>
          </cell>
          <cell r="G202" t="str">
            <v/>
          </cell>
          <cell r="H202" t="str">
            <v/>
          </cell>
          <cell r="I202">
            <v>189.99</v>
          </cell>
          <cell r="J202">
            <v>37.99</v>
          </cell>
          <cell r="K202">
            <v>119.99</v>
          </cell>
          <cell r="L202">
            <v>23.99</v>
          </cell>
          <cell r="M202" t="str">
            <v>XCD</v>
          </cell>
          <cell r="N202">
            <v>269.99</v>
          </cell>
          <cell r="O202">
            <v>44.99</v>
          </cell>
          <cell r="P202">
            <v>197.99</v>
          </cell>
          <cell r="Q202">
            <v>32.99</v>
          </cell>
          <cell r="R202">
            <v>179.99</v>
          </cell>
          <cell r="S202">
            <v>29.99</v>
          </cell>
        </row>
        <row r="203">
          <cell r="B203" t="str">
            <v>St. Lucia</v>
          </cell>
          <cell r="C203" t="str">
            <v>Africa</v>
          </cell>
          <cell r="D203" t="str">
            <v>N</v>
          </cell>
          <cell r="E203" t="str">
            <v>BAU</v>
          </cell>
          <cell r="F203" t="str">
            <v>XCD</v>
          </cell>
          <cell r="G203" t="str">
            <v/>
          </cell>
          <cell r="H203" t="str">
            <v/>
          </cell>
          <cell r="I203">
            <v>189.99</v>
          </cell>
          <cell r="J203">
            <v>37.99</v>
          </cell>
          <cell r="K203">
            <v>119.99</v>
          </cell>
          <cell r="L203">
            <v>23.99</v>
          </cell>
          <cell r="M203" t="str">
            <v>XCD</v>
          </cell>
          <cell r="N203">
            <v>239.99</v>
          </cell>
          <cell r="O203">
            <v>39.99</v>
          </cell>
          <cell r="P203">
            <v>179.99</v>
          </cell>
          <cell r="Q203">
            <v>29.99</v>
          </cell>
          <cell r="R203">
            <v>161.99</v>
          </cell>
          <cell r="S203">
            <v>26.99</v>
          </cell>
        </row>
        <row r="204">
          <cell r="B204" t="str">
            <v>St. Pierre And Miquelon</v>
          </cell>
          <cell r="C204" t="str">
            <v>Latin America</v>
          </cell>
          <cell r="D204" t="str">
            <v>N</v>
          </cell>
          <cell r="E204" t="str">
            <v>BAU</v>
          </cell>
          <cell r="F204" t="str">
            <v>EUR</v>
          </cell>
          <cell r="G204" t="str">
            <v/>
          </cell>
          <cell r="H204" t="str">
            <v/>
          </cell>
          <cell r="I204">
            <v>61.99</v>
          </cell>
          <cell r="J204">
            <v>11.99</v>
          </cell>
          <cell r="K204">
            <v>39.99</v>
          </cell>
          <cell r="L204">
            <v>7.99</v>
          </cell>
          <cell r="M204" t="str">
            <v>EUR</v>
          </cell>
          <cell r="N204">
            <v>77.989999999999995</v>
          </cell>
          <cell r="O204">
            <v>12.99</v>
          </cell>
          <cell r="P204">
            <v>59.99</v>
          </cell>
          <cell r="Q204">
            <v>9.99</v>
          </cell>
          <cell r="R204">
            <v>53.99</v>
          </cell>
          <cell r="S204">
            <v>8.99</v>
          </cell>
        </row>
        <row r="205">
          <cell r="B205" t="str">
            <v>St. Vincent And The Grenadines</v>
          </cell>
          <cell r="C205" t="str">
            <v>Latin America</v>
          </cell>
          <cell r="D205" t="str">
            <v>N</v>
          </cell>
          <cell r="E205" t="str">
            <v>BAU</v>
          </cell>
          <cell r="F205" t="str">
            <v>XCD</v>
          </cell>
          <cell r="G205" t="str">
            <v/>
          </cell>
          <cell r="H205" t="str">
            <v/>
          </cell>
          <cell r="I205">
            <v>189.99</v>
          </cell>
          <cell r="J205">
            <v>37.99</v>
          </cell>
          <cell r="K205">
            <v>119.99</v>
          </cell>
          <cell r="L205">
            <v>23.99</v>
          </cell>
          <cell r="M205" t="str">
            <v>XCD</v>
          </cell>
          <cell r="N205">
            <v>239.99</v>
          </cell>
          <cell r="O205">
            <v>39.99</v>
          </cell>
          <cell r="P205">
            <v>179.99</v>
          </cell>
          <cell r="Q205">
            <v>29.99</v>
          </cell>
          <cell r="R205">
            <v>161.99</v>
          </cell>
          <cell r="S205">
            <v>26.99</v>
          </cell>
        </row>
        <row r="206">
          <cell r="B206" t="str">
            <v>Suriname</v>
          </cell>
          <cell r="C206" t="str">
            <v>Latin America</v>
          </cell>
          <cell r="D206" t="str">
            <v>N</v>
          </cell>
          <cell r="E206" t="str">
            <v>BAU</v>
          </cell>
          <cell r="F206" t="str">
            <v>USD</v>
          </cell>
          <cell r="G206" t="str">
            <v/>
          </cell>
          <cell r="H206" t="str">
            <v/>
          </cell>
          <cell r="I206">
            <v>69.989999999999995</v>
          </cell>
          <cell r="J206">
            <v>13.99</v>
          </cell>
          <cell r="K206">
            <v>44.99</v>
          </cell>
          <cell r="L206">
            <v>8.99</v>
          </cell>
          <cell r="M206" t="str">
            <v>SRD</v>
          </cell>
          <cell r="N206">
            <v>1860</v>
          </cell>
          <cell r="O206">
            <v>310</v>
          </cell>
          <cell r="P206">
            <v>1360</v>
          </cell>
          <cell r="Q206">
            <v>227</v>
          </cell>
          <cell r="R206">
            <v>1200</v>
          </cell>
          <cell r="S206">
            <v>200</v>
          </cell>
        </row>
        <row r="207">
          <cell r="B207" t="str">
            <v>Svalbard And Jan Mayen</v>
          </cell>
          <cell r="C207" t="str">
            <v>Europe</v>
          </cell>
          <cell r="D207" t="str">
            <v>N</v>
          </cell>
          <cell r="E207" t="str">
            <v>BAU</v>
          </cell>
          <cell r="F207" t="str">
            <v>NOK</v>
          </cell>
          <cell r="G207">
            <v>1400</v>
          </cell>
          <cell r="H207">
            <v>279.99</v>
          </cell>
          <cell r="I207">
            <v>1200</v>
          </cell>
          <cell r="J207">
            <v>239.99</v>
          </cell>
          <cell r="K207">
            <v>739.99</v>
          </cell>
          <cell r="L207">
            <v>149.99</v>
          </cell>
          <cell r="M207" t="str">
            <v>NOK</v>
          </cell>
          <cell r="N207">
            <v>1199.99</v>
          </cell>
          <cell r="O207">
            <v>199.99</v>
          </cell>
          <cell r="P207">
            <v>899.99</v>
          </cell>
          <cell r="Q207">
            <v>149.99</v>
          </cell>
          <cell r="R207">
            <v>839.99</v>
          </cell>
          <cell r="S207">
            <v>139.99</v>
          </cell>
        </row>
        <row r="208">
          <cell r="B208" t="str">
            <v>Sweden</v>
          </cell>
          <cell r="C208" t="str">
            <v>Europe</v>
          </cell>
          <cell r="D208" t="str">
            <v>Y</v>
          </cell>
          <cell r="E208" t="str">
            <v>Steeper than BAU</v>
          </cell>
          <cell r="F208" t="str">
            <v>SEK</v>
          </cell>
          <cell r="G208">
            <v>2500</v>
          </cell>
          <cell r="H208">
            <v>299.99</v>
          </cell>
          <cell r="I208">
            <v>2100</v>
          </cell>
          <cell r="J208">
            <v>269.99</v>
          </cell>
          <cell r="K208">
            <v>1200</v>
          </cell>
          <cell r="L208">
            <v>159.99</v>
          </cell>
          <cell r="M208" t="str">
            <v>SEK</v>
          </cell>
          <cell r="N208">
            <v>1199.99</v>
          </cell>
          <cell r="O208">
            <v>199.99</v>
          </cell>
          <cell r="P208">
            <v>999.99</v>
          </cell>
          <cell r="Q208">
            <v>149.99</v>
          </cell>
          <cell r="R208">
            <v>839.99</v>
          </cell>
          <cell r="S208">
            <v>139.99</v>
          </cell>
        </row>
        <row r="209">
          <cell r="B209" t="str">
            <v>Switzerland</v>
          </cell>
          <cell r="C209" t="str">
            <v>Europe</v>
          </cell>
          <cell r="D209" t="str">
            <v>Y</v>
          </cell>
          <cell r="E209" t="str">
            <v>Steeper than BAU</v>
          </cell>
          <cell r="F209" t="str">
            <v>CHF</v>
          </cell>
          <cell r="G209">
            <v>259.99</v>
          </cell>
          <cell r="H209">
            <v>31.99</v>
          </cell>
          <cell r="I209">
            <v>219.99</v>
          </cell>
          <cell r="J209">
            <v>27.99</v>
          </cell>
          <cell r="K209">
            <v>129.99</v>
          </cell>
          <cell r="L209">
            <v>16.989999999999998</v>
          </cell>
          <cell r="M209" t="str">
            <v>CHF</v>
          </cell>
          <cell r="N209">
            <v>189.99</v>
          </cell>
          <cell r="O209">
            <v>31.99</v>
          </cell>
          <cell r="P209">
            <v>149.99</v>
          </cell>
          <cell r="Q209">
            <v>24.99</v>
          </cell>
          <cell r="R209">
            <v>129.99</v>
          </cell>
          <cell r="S209">
            <v>21.99</v>
          </cell>
        </row>
        <row r="210">
          <cell r="B210" t="str">
            <v>Taiwan</v>
          </cell>
          <cell r="C210" t="str">
            <v>NBA China</v>
          </cell>
          <cell r="D210" t="str">
            <v>Y</v>
          </cell>
          <cell r="E210" t="str">
            <v>BAU</v>
          </cell>
          <cell r="F210" t="str">
            <v>TWD</v>
          </cell>
          <cell r="G210">
            <v>4100</v>
          </cell>
          <cell r="H210">
            <v>500</v>
          </cell>
          <cell r="I210">
            <v>3500</v>
          </cell>
          <cell r="J210">
            <v>440</v>
          </cell>
          <cell r="K210">
            <v>2300</v>
          </cell>
          <cell r="L210">
            <v>280</v>
          </cell>
          <cell r="M210" t="str">
            <v>TWD</v>
          </cell>
          <cell r="N210">
            <v>3060</v>
          </cell>
          <cell r="O210">
            <v>510</v>
          </cell>
          <cell r="P210">
            <v>2340</v>
          </cell>
          <cell r="Q210">
            <v>390</v>
          </cell>
          <cell r="R210">
            <v>2100</v>
          </cell>
          <cell r="S210">
            <v>350</v>
          </cell>
        </row>
        <row r="211">
          <cell r="B211" t="str">
            <v>Tajikistan</v>
          </cell>
          <cell r="C211" t="str">
            <v>Asia</v>
          </cell>
          <cell r="D211" t="str">
            <v>N</v>
          </cell>
          <cell r="E211" t="str">
            <v>BAU</v>
          </cell>
          <cell r="F211" t="str">
            <v>TJS</v>
          </cell>
          <cell r="G211" t="str">
            <v/>
          </cell>
          <cell r="H211" t="str">
            <v/>
          </cell>
          <cell r="I211">
            <v>659.99</v>
          </cell>
          <cell r="J211">
            <v>129.99</v>
          </cell>
          <cell r="K211">
            <v>419.99</v>
          </cell>
          <cell r="L211">
            <v>84.99</v>
          </cell>
          <cell r="M211" t="str">
            <v>USD</v>
          </cell>
          <cell r="N211">
            <v>71.989999999999995</v>
          </cell>
          <cell r="O211">
            <v>11.99</v>
          </cell>
          <cell r="P211">
            <v>53.99</v>
          </cell>
          <cell r="Q211">
            <v>8.99</v>
          </cell>
          <cell r="R211">
            <v>47.99</v>
          </cell>
          <cell r="S211">
            <v>7.99</v>
          </cell>
        </row>
        <row r="212">
          <cell r="B212" t="str">
            <v>Tanzania</v>
          </cell>
          <cell r="C212" t="str">
            <v>Africa</v>
          </cell>
          <cell r="D212" t="str">
            <v>N</v>
          </cell>
          <cell r="E212" t="str">
            <v>BAU</v>
          </cell>
          <cell r="F212" t="str">
            <v>TZS</v>
          </cell>
          <cell r="G212" t="str">
            <v/>
          </cell>
          <cell r="H212" t="str">
            <v/>
          </cell>
          <cell r="I212">
            <v>115000</v>
          </cell>
          <cell r="J212">
            <v>25300</v>
          </cell>
          <cell r="K212">
            <v>57500</v>
          </cell>
          <cell r="L212">
            <v>11500</v>
          </cell>
          <cell r="M212" t="str">
            <v>TZS</v>
          </cell>
          <cell r="N212">
            <v>169320</v>
          </cell>
          <cell r="O212">
            <v>28220</v>
          </cell>
          <cell r="P212">
            <v>125400</v>
          </cell>
          <cell r="Q212">
            <v>20900</v>
          </cell>
          <cell r="R212">
            <v>112860</v>
          </cell>
          <cell r="S212">
            <v>18810</v>
          </cell>
        </row>
        <row r="213">
          <cell r="B213" t="str">
            <v>Thailand</v>
          </cell>
          <cell r="C213" t="str">
            <v>Asia</v>
          </cell>
          <cell r="D213" t="str">
            <v>Y</v>
          </cell>
          <cell r="E213" t="str">
            <v>BAU</v>
          </cell>
          <cell r="F213" t="str">
            <v>THB</v>
          </cell>
          <cell r="G213">
            <v>3300</v>
          </cell>
          <cell r="H213">
            <v>409.99</v>
          </cell>
          <cell r="I213">
            <v>2800</v>
          </cell>
          <cell r="J213">
            <v>339.99</v>
          </cell>
          <cell r="K213">
            <v>1600</v>
          </cell>
          <cell r="L213">
            <v>159.99</v>
          </cell>
          <cell r="M213" t="str">
            <v>THB</v>
          </cell>
          <cell r="N213">
            <v>2340</v>
          </cell>
          <cell r="O213">
            <v>390</v>
          </cell>
          <cell r="P213">
            <v>1800</v>
          </cell>
          <cell r="Q213">
            <v>300</v>
          </cell>
          <cell r="R213">
            <v>1320</v>
          </cell>
          <cell r="S213">
            <v>240</v>
          </cell>
        </row>
        <row r="214">
          <cell r="B214" t="str">
            <v>Timor-Leste</v>
          </cell>
          <cell r="C214" t="str">
            <v>Asia</v>
          </cell>
          <cell r="D214" t="str">
            <v>N</v>
          </cell>
          <cell r="E214" t="str">
            <v>BAU</v>
          </cell>
          <cell r="F214" t="str">
            <v>USD</v>
          </cell>
          <cell r="G214" t="str">
            <v/>
          </cell>
          <cell r="H214" t="str">
            <v/>
          </cell>
          <cell r="I214">
            <v>49.99</v>
          </cell>
          <cell r="J214">
            <v>10.99</v>
          </cell>
          <cell r="K214">
            <v>24.99</v>
          </cell>
          <cell r="L214">
            <v>4.99</v>
          </cell>
          <cell r="M214" t="str">
            <v>USD</v>
          </cell>
          <cell r="N214">
            <v>71.989999999999995</v>
          </cell>
          <cell r="O214">
            <v>11.99</v>
          </cell>
          <cell r="P214">
            <v>53.99</v>
          </cell>
          <cell r="Q214">
            <v>8.99</v>
          </cell>
          <cell r="R214">
            <v>47.99</v>
          </cell>
          <cell r="S214">
            <v>7.99</v>
          </cell>
        </row>
        <row r="215">
          <cell r="B215" t="str">
            <v>Togo</v>
          </cell>
          <cell r="C215" t="str">
            <v>Africa</v>
          </cell>
          <cell r="D215" t="str">
            <v>N</v>
          </cell>
          <cell r="E215" t="str">
            <v>BAU</v>
          </cell>
          <cell r="F215" t="str">
            <v>XOF</v>
          </cell>
          <cell r="G215" t="str">
            <v/>
          </cell>
          <cell r="H215" t="str">
            <v/>
          </cell>
          <cell r="I215">
            <v>29100</v>
          </cell>
          <cell r="J215">
            <v>6400</v>
          </cell>
          <cell r="K215">
            <v>14500</v>
          </cell>
          <cell r="L215">
            <v>2900</v>
          </cell>
          <cell r="M215" t="str">
            <v>XOF</v>
          </cell>
          <cell r="N215">
            <v>43740</v>
          </cell>
          <cell r="O215">
            <v>7290</v>
          </cell>
          <cell r="P215">
            <v>32400</v>
          </cell>
          <cell r="Q215">
            <v>5400</v>
          </cell>
          <cell r="R215">
            <v>29160</v>
          </cell>
          <cell r="S215">
            <v>4860</v>
          </cell>
        </row>
        <row r="216">
          <cell r="B216" t="str">
            <v>Tokelau</v>
          </cell>
          <cell r="C216" t="str">
            <v>Asia</v>
          </cell>
          <cell r="D216" t="str">
            <v>N</v>
          </cell>
          <cell r="E216" t="str">
            <v>BAU</v>
          </cell>
          <cell r="F216" t="str">
            <v>NZD</v>
          </cell>
          <cell r="G216" t="str">
            <v/>
          </cell>
          <cell r="H216" t="str">
            <v/>
          </cell>
          <cell r="I216">
            <v>109.99</v>
          </cell>
          <cell r="J216">
            <v>20.99</v>
          </cell>
          <cell r="K216">
            <v>68.989999999999995</v>
          </cell>
          <cell r="L216">
            <v>13.99</v>
          </cell>
          <cell r="M216" t="str">
            <v>NZD</v>
          </cell>
          <cell r="N216">
            <v>203.99</v>
          </cell>
          <cell r="O216">
            <v>33.99</v>
          </cell>
          <cell r="P216">
            <v>149.99</v>
          </cell>
          <cell r="Q216">
            <v>24.99</v>
          </cell>
          <cell r="R216">
            <v>131.99</v>
          </cell>
          <cell r="S216">
            <v>21.99</v>
          </cell>
        </row>
        <row r="217">
          <cell r="B217" t="str">
            <v>Tonga</v>
          </cell>
          <cell r="C217" t="str">
            <v>Asia</v>
          </cell>
          <cell r="D217" t="str">
            <v>N</v>
          </cell>
          <cell r="E217" t="str">
            <v>BAU</v>
          </cell>
          <cell r="F217" t="str">
            <v>TOP</v>
          </cell>
          <cell r="G217" t="str">
            <v/>
          </cell>
          <cell r="H217" t="str">
            <v/>
          </cell>
          <cell r="I217">
            <v>159.99</v>
          </cell>
          <cell r="J217">
            <v>31.99</v>
          </cell>
          <cell r="K217">
            <v>99.99</v>
          </cell>
          <cell r="L217">
            <v>19.989999999999998</v>
          </cell>
          <cell r="M217" t="str">
            <v>TOP</v>
          </cell>
          <cell r="N217">
            <v>185.99</v>
          </cell>
          <cell r="O217">
            <v>30.99</v>
          </cell>
          <cell r="P217">
            <v>137.99</v>
          </cell>
          <cell r="Q217">
            <v>22.99</v>
          </cell>
          <cell r="R217">
            <v>125.99</v>
          </cell>
          <cell r="S217">
            <v>20.99</v>
          </cell>
        </row>
        <row r="218">
          <cell r="B218" t="str">
            <v>Trinidad And Tobago</v>
          </cell>
          <cell r="C218" t="str">
            <v>Latin America</v>
          </cell>
          <cell r="D218" t="str">
            <v>N</v>
          </cell>
          <cell r="E218" t="str">
            <v>BAU</v>
          </cell>
          <cell r="F218" t="str">
            <v>TTD</v>
          </cell>
          <cell r="G218" t="str">
            <v/>
          </cell>
          <cell r="H218" t="str">
            <v/>
          </cell>
          <cell r="I218">
            <v>479.99</v>
          </cell>
          <cell r="J218">
            <v>94.99</v>
          </cell>
          <cell r="K218">
            <v>309.99</v>
          </cell>
          <cell r="L218">
            <v>60.99</v>
          </cell>
          <cell r="M218" t="str">
            <v>TTD</v>
          </cell>
          <cell r="N218">
            <v>653.99</v>
          </cell>
          <cell r="O218">
            <v>108.99</v>
          </cell>
          <cell r="P218">
            <v>485.99</v>
          </cell>
          <cell r="Q218">
            <v>80.989999999999995</v>
          </cell>
          <cell r="R218">
            <v>437.99</v>
          </cell>
          <cell r="S218">
            <v>72.989999999999995</v>
          </cell>
        </row>
        <row r="219">
          <cell r="B219" t="str">
            <v>Tunisia</v>
          </cell>
          <cell r="C219" t="str">
            <v>Africa</v>
          </cell>
          <cell r="D219" t="str">
            <v>N</v>
          </cell>
          <cell r="E219" t="str">
            <v>BAU</v>
          </cell>
          <cell r="F219" t="str">
            <v>TND</v>
          </cell>
          <cell r="G219" t="str">
            <v/>
          </cell>
          <cell r="H219" t="str">
            <v/>
          </cell>
          <cell r="I219">
            <v>149.99</v>
          </cell>
          <cell r="J219">
            <v>31.99</v>
          </cell>
          <cell r="K219">
            <v>73.989999999999995</v>
          </cell>
          <cell r="L219">
            <v>14.99</v>
          </cell>
          <cell r="M219" t="str">
            <v>TND</v>
          </cell>
          <cell r="N219">
            <v>215.999</v>
          </cell>
          <cell r="O219">
            <v>35.999000000000002</v>
          </cell>
          <cell r="P219">
            <v>161.999</v>
          </cell>
          <cell r="Q219">
            <v>26.998999999999999</v>
          </cell>
          <cell r="R219">
            <v>143.999</v>
          </cell>
          <cell r="S219">
            <v>23.998999999999999</v>
          </cell>
        </row>
        <row r="220">
          <cell r="B220" t="str">
            <v>Turkey</v>
          </cell>
          <cell r="C220" t="str">
            <v>Europe</v>
          </cell>
          <cell r="D220" t="str">
            <v>Y</v>
          </cell>
          <cell r="E220" t="str">
            <v>Steeper than BAU</v>
          </cell>
          <cell r="F220" t="str">
            <v>TRY</v>
          </cell>
          <cell r="G220">
            <v>759.99</v>
          </cell>
          <cell r="H220">
            <v>93.99</v>
          </cell>
          <cell r="I220">
            <v>649.99</v>
          </cell>
          <cell r="J220">
            <v>81.99</v>
          </cell>
          <cell r="K220">
            <v>429.99</v>
          </cell>
          <cell r="L220">
            <v>52.99</v>
          </cell>
          <cell r="M220" t="str">
            <v>TRY</v>
          </cell>
          <cell r="N220">
            <v>439.99</v>
          </cell>
          <cell r="O220">
            <v>73.989999999999995</v>
          </cell>
          <cell r="P220">
            <v>329.99</v>
          </cell>
          <cell r="Q220">
            <v>54.99</v>
          </cell>
          <cell r="R220">
            <v>289.99</v>
          </cell>
          <cell r="S220">
            <v>48.99</v>
          </cell>
        </row>
        <row r="221">
          <cell r="B221" t="str">
            <v>Turkmenistan</v>
          </cell>
          <cell r="C221" t="str">
            <v>Asia</v>
          </cell>
          <cell r="D221" t="str">
            <v>N</v>
          </cell>
          <cell r="E221" t="str">
            <v>BAU</v>
          </cell>
          <cell r="F221" t="str">
            <v>USD</v>
          </cell>
          <cell r="G221" t="str">
            <v/>
          </cell>
          <cell r="H221" t="str">
            <v/>
          </cell>
          <cell r="I221">
            <v>69.989999999999995</v>
          </cell>
          <cell r="J221">
            <v>13.99</v>
          </cell>
          <cell r="K221">
            <v>44.99</v>
          </cell>
          <cell r="L221">
            <v>8.99</v>
          </cell>
          <cell r="M221" t="str">
            <v>USD</v>
          </cell>
          <cell r="N221">
            <v>89.99</v>
          </cell>
          <cell r="O221">
            <v>14.99</v>
          </cell>
          <cell r="P221">
            <v>65.989999999999995</v>
          </cell>
          <cell r="Q221">
            <v>10.99</v>
          </cell>
          <cell r="R221">
            <v>59.99</v>
          </cell>
          <cell r="S221">
            <v>9.99</v>
          </cell>
        </row>
        <row r="222">
          <cell r="B222" t="str">
            <v>Turks And Caicos Islands</v>
          </cell>
          <cell r="C222" t="str">
            <v>Latin America</v>
          </cell>
          <cell r="D222" t="str">
            <v>N</v>
          </cell>
          <cell r="E222" t="str">
            <v>BAU</v>
          </cell>
          <cell r="F222" t="str">
            <v>USD</v>
          </cell>
          <cell r="G222" t="str">
            <v/>
          </cell>
          <cell r="H222" t="str">
            <v/>
          </cell>
          <cell r="I222">
            <v>69.989999999999995</v>
          </cell>
          <cell r="J222">
            <v>13.99</v>
          </cell>
          <cell r="K222">
            <v>44.99</v>
          </cell>
          <cell r="L222">
            <v>8.99</v>
          </cell>
          <cell r="M222" t="str">
            <v>USD</v>
          </cell>
          <cell r="N222">
            <v>95.99</v>
          </cell>
          <cell r="O222">
            <v>15.99</v>
          </cell>
          <cell r="P222">
            <v>71.989999999999995</v>
          </cell>
          <cell r="Q222">
            <v>11.99</v>
          </cell>
          <cell r="R222">
            <v>65.989999999999995</v>
          </cell>
          <cell r="S222">
            <v>10.99</v>
          </cell>
        </row>
        <row r="223">
          <cell r="B223" t="str">
            <v>Tuvalu</v>
          </cell>
          <cell r="C223" t="str">
            <v>Asia</v>
          </cell>
          <cell r="D223" t="str">
            <v>N</v>
          </cell>
          <cell r="E223" t="str">
            <v>BAU</v>
          </cell>
          <cell r="F223" t="str">
            <v>AUD</v>
          </cell>
          <cell r="G223" t="str">
            <v/>
          </cell>
          <cell r="H223" t="str">
            <v/>
          </cell>
          <cell r="I223">
            <v>99.99</v>
          </cell>
          <cell r="J223">
            <v>19.989999999999998</v>
          </cell>
          <cell r="K223">
            <v>64.989999999999995</v>
          </cell>
          <cell r="L223">
            <v>12.99</v>
          </cell>
          <cell r="M223" t="str">
            <v>AUD</v>
          </cell>
          <cell r="N223">
            <v>113.99</v>
          </cell>
          <cell r="O223">
            <v>18.989999999999998</v>
          </cell>
          <cell r="P223">
            <v>83.99</v>
          </cell>
          <cell r="Q223">
            <v>13.99</v>
          </cell>
          <cell r="R223">
            <v>77.989999999999995</v>
          </cell>
          <cell r="S223">
            <v>12.99</v>
          </cell>
        </row>
        <row r="224">
          <cell r="B224" t="str">
            <v>Uganda</v>
          </cell>
          <cell r="C224" t="str">
            <v>Africa</v>
          </cell>
          <cell r="D224" t="str">
            <v>N</v>
          </cell>
          <cell r="E224" t="str">
            <v>BAU</v>
          </cell>
          <cell r="F224" t="str">
            <v>UGX</v>
          </cell>
          <cell r="G224" t="str">
            <v/>
          </cell>
          <cell r="H224" t="str">
            <v/>
          </cell>
          <cell r="I224">
            <v>187000</v>
          </cell>
          <cell r="J224">
            <v>41200</v>
          </cell>
          <cell r="K224">
            <v>93600</v>
          </cell>
          <cell r="L224">
            <v>18700</v>
          </cell>
          <cell r="M224" t="str">
            <v>UGX</v>
          </cell>
          <cell r="N224">
            <v>261660</v>
          </cell>
          <cell r="O224">
            <v>43610</v>
          </cell>
          <cell r="P224">
            <v>193800</v>
          </cell>
          <cell r="Q224">
            <v>32300</v>
          </cell>
          <cell r="R224">
            <v>174420</v>
          </cell>
          <cell r="S224">
            <v>29070</v>
          </cell>
        </row>
        <row r="225">
          <cell r="B225" t="str">
            <v>Ukraine</v>
          </cell>
          <cell r="C225" t="str">
            <v>Europe</v>
          </cell>
          <cell r="D225" t="str">
            <v>N</v>
          </cell>
          <cell r="E225" t="str">
            <v>BAU</v>
          </cell>
          <cell r="F225" t="str">
            <v>UAH</v>
          </cell>
          <cell r="G225" t="str">
            <v/>
          </cell>
          <cell r="H225" t="str">
            <v/>
          </cell>
          <cell r="I225">
            <v>1900</v>
          </cell>
          <cell r="J225">
            <v>369.99</v>
          </cell>
          <cell r="K225">
            <v>1200</v>
          </cell>
          <cell r="L225">
            <v>239.99</v>
          </cell>
          <cell r="M225" t="str">
            <v>UAH</v>
          </cell>
          <cell r="N225">
            <v>1699.99</v>
          </cell>
          <cell r="O225">
            <v>282.99</v>
          </cell>
          <cell r="P225">
            <v>1259.99</v>
          </cell>
          <cell r="Q225">
            <v>209.99</v>
          </cell>
          <cell r="R225">
            <v>1129.99</v>
          </cell>
          <cell r="S225">
            <v>188.99</v>
          </cell>
        </row>
        <row r="226">
          <cell r="B226" t="str">
            <v>United Arab Emirates</v>
          </cell>
          <cell r="C226" t="str">
            <v>Middle East</v>
          </cell>
          <cell r="D226" t="str">
            <v>Y</v>
          </cell>
          <cell r="E226" t="str">
            <v>BAU</v>
          </cell>
          <cell r="F226" t="str">
            <v>AED</v>
          </cell>
          <cell r="G226">
            <v>929.99</v>
          </cell>
          <cell r="H226">
            <v>99.99</v>
          </cell>
          <cell r="I226">
            <v>769.99</v>
          </cell>
          <cell r="J226">
            <v>83.99</v>
          </cell>
          <cell r="K226">
            <v>479.99</v>
          </cell>
          <cell r="L226">
            <v>43.99</v>
          </cell>
          <cell r="M226" t="str">
            <v>AED</v>
          </cell>
          <cell r="N226">
            <v>479.99</v>
          </cell>
          <cell r="O226">
            <v>79.989999999999995</v>
          </cell>
          <cell r="P226">
            <v>349.99</v>
          </cell>
          <cell r="Q226">
            <v>58.99</v>
          </cell>
          <cell r="R226">
            <v>299.99</v>
          </cell>
          <cell r="S226">
            <v>49.99</v>
          </cell>
        </row>
        <row r="227">
          <cell r="B227" t="str">
            <v>United Kingdom</v>
          </cell>
          <cell r="C227" t="str">
            <v>Europe</v>
          </cell>
          <cell r="D227" t="str">
            <v>Y</v>
          </cell>
          <cell r="E227" t="str">
            <v>Steeper than BAU</v>
          </cell>
          <cell r="F227" t="str">
            <v>GBP</v>
          </cell>
          <cell r="G227">
            <v>209.99</v>
          </cell>
          <cell r="H227">
            <v>29.99</v>
          </cell>
          <cell r="I227">
            <v>179.99</v>
          </cell>
          <cell r="J227">
            <v>24.99</v>
          </cell>
          <cell r="K227">
            <v>99.99</v>
          </cell>
          <cell r="L227">
            <v>14.99</v>
          </cell>
          <cell r="M227" t="str">
            <v>GBP</v>
          </cell>
          <cell r="N227">
            <v>129.99</v>
          </cell>
          <cell r="O227">
            <v>19.989999999999998</v>
          </cell>
          <cell r="P227">
            <v>99.99</v>
          </cell>
          <cell r="Q227">
            <v>14.99</v>
          </cell>
          <cell r="R227">
            <v>89.99</v>
          </cell>
          <cell r="S227">
            <v>13.99</v>
          </cell>
        </row>
        <row r="228">
          <cell r="B228" t="str">
            <v>Uruguay</v>
          </cell>
          <cell r="C228" t="str">
            <v>Latin America</v>
          </cell>
          <cell r="D228" t="str">
            <v>Y</v>
          </cell>
          <cell r="E228" t="str">
            <v>BAU</v>
          </cell>
          <cell r="F228" t="str">
            <v>UYU</v>
          </cell>
          <cell r="G228" t="str">
            <v/>
          </cell>
          <cell r="H228" t="str">
            <v/>
          </cell>
          <cell r="I228">
            <v>2500</v>
          </cell>
          <cell r="J228">
            <v>489.99</v>
          </cell>
          <cell r="K228">
            <v>1600</v>
          </cell>
          <cell r="L228">
            <v>319.99</v>
          </cell>
          <cell r="M228" t="str">
            <v>UYU</v>
          </cell>
          <cell r="N228">
            <v>3965.99</v>
          </cell>
          <cell r="O228">
            <v>660.99</v>
          </cell>
          <cell r="P228">
            <v>2939.99</v>
          </cell>
          <cell r="Q228">
            <v>489.99</v>
          </cell>
          <cell r="R228">
            <v>2645.99</v>
          </cell>
          <cell r="S228">
            <v>440.99</v>
          </cell>
        </row>
        <row r="229">
          <cell r="B229" t="str">
            <v>Uzbekistan</v>
          </cell>
          <cell r="C229" t="str">
            <v>Asia</v>
          </cell>
          <cell r="D229" t="str">
            <v>N</v>
          </cell>
          <cell r="E229" t="str">
            <v>BAU</v>
          </cell>
          <cell r="F229" t="str">
            <v>UZS</v>
          </cell>
          <cell r="G229" t="str">
            <v/>
          </cell>
          <cell r="H229" t="str">
            <v/>
          </cell>
          <cell r="I229">
            <v>596000</v>
          </cell>
          <cell r="J229">
            <v>119000</v>
          </cell>
          <cell r="K229">
            <v>383000</v>
          </cell>
          <cell r="L229">
            <v>76600</v>
          </cell>
          <cell r="M229" t="str">
            <v>UZS</v>
          </cell>
          <cell r="N229">
            <v>797880</v>
          </cell>
          <cell r="O229">
            <v>132980</v>
          </cell>
          <cell r="P229">
            <v>591000</v>
          </cell>
          <cell r="Q229">
            <v>98500</v>
          </cell>
          <cell r="R229">
            <v>531900</v>
          </cell>
          <cell r="S229">
            <v>88650</v>
          </cell>
        </row>
        <row r="230">
          <cell r="B230" t="str">
            <v>Vanuatu</v>
          </cell>
          <cell r="C230" t="str">
            <v>Asia</v>
          </cell>
          <cell r="D230" t="str">
            <v>N</v>
          </cell>
          <cell r="E230" t="str">
            <v>BAU</v>
          </cell>
          <cell r="F230" t="str">
            <v>VUV</v>
          </cell>
          <cell r="G230" t="str">
            <v/>
          </cell>
          <cell r="H230" t="str">
            <v/>
          </cell>
          <cell r="I230">
            <v>8100</v>
          </cell>
          <cell r="J230">
            <v>1600</v>
          </cell>
          <cell r="K230">
            <v>5200</v>
          </cell>
          <cell r="L230">
            <v>1000</v>
          </cell>
          <cell r="M230" t="str">
            <v>VUV</v>
          </cell>
          <cell r="N230">
            <v>7320</v>
          </cell>
          <cell r="O230">
            <v>1220</v>
          </cell>
          <cell r="P230">
            <v>5400</v>
          </cell>
          <cell r="Q230">
            <v>900</v>
          </cell>
          <cell r="R230">
            <v>4860</v>
          </cell>
          <cell r="S230">
            <v>810</v>
          </cell>
        </row>
        <row r="231">
          <cell r="B231" t="str">
            <v>Vatican City State</v>
          </cell>
          <cell r="C231" t="str">
            <v>Europe</v>
          </cell>
          <cell r="D231" t="str">
            <v>N</v>
          </cell>
          <cell r="E231" t="str">
            <v>BAU</v>
          </cell>
          <cell r="F231" t="str">
            <v>EUR</v>
          </cell>
          <cell r="G231">
            <v>119.99</v>
          </cell>
          <cell r="H231">
            <v>22.99</v>
          </cell>
          <cell r="I231">
            <v>97.99</v>
          </cell>
          <cell r="J231">
            <v>19.989999999999998</v>
          </cell>
          <cell r="K231">
            <v>52.99</v>
          </cell>
          <cell r="L231">
            <v>10.99</v>
          </cell>
          <cell r="M231" t="str">
            <v>EUR</v>
          </cell>
          <cell r="N231">
            <v>109.99</v>
          </cell>
          <cell r="O231">
            <v>18.989999999999998</v>
          </cell>
          <cell r="P231">
            <v>89.99</v>
          </cell>
          <cell r="Q231">
            <v>14.99</v>
          </cell>
          <cell r="R231">
            <v>79.989999999999995</v>
          </cell>
          <cell r="S231">
            <v>12.99</v>
          </cell>
        </row>
        <row r="232">
          <cell r="B232" t="str">
            <v>Venezuela</v>
          </cell>
          <cell r="C232" t="str">
            <v>Latin America</v>
          </cell>
          <cell r="D232" t="str">
            <v>N</v>
          </cell>
          <cell r="E232" t="str">
            <v>BAU</v>
          </cell>
          <cell r="F232" t="str">
            <v>USD</v>
          </cell>
          <cell r="G232" t="str">
            <v/>
          </cell>
          <cell r="H232" t="str">
            <v/>
          </cell>
          <cell r="I232">
            <v>69.989999999999995</v>
          </cell>
          <cell r="J232">
            <v>13.99</v>
          </cell>
          <cell r="K232">
            <v>44.99</v>
          </cell>
          <cell r="L232">
            <v>8.99</v>
          </cell>
          <cell r="M232" t="str">
            <v>USD</v>
          </cell>
          <cell r="N232">
            <v>95.99</v>
          </cell>
          <cell r="O232">
            <v>15.99</v>
          </cell>
          <cell r="P232">
            <v>71.989999999999995</v>
          </cell>
          <cell r="Q232">
            <v>11.99</v>
          </cell>
          <cell r="R232">
            <v>65.989999999999995</v>
          </cell>
          <cell r="S232">
            <v>10.99</v>
          </cell>
        </row>
        <row r="233">
          <cell r="B233" t="str">
            <v>Vietnam</v>
          </cell>
          <cell r="C233" t="str">
            <v>Asia</v>
          </cell>
          <cell r="D233" t="str">
            <v>Y</v>
          </cell>
          <cell r="E233" t="str">
            <v>BAU</v>
          </cell>
          <cell r="F233" t="str">
            <v>VND</v>
          </cell>
          <cell r="G233" t="str">
            <v/>
          </cell>
          <cell r="H233" t="str">
            <v/>
          </cell>
          <cell r="I233">
            <v>1165000</v>
          </cell>
          <cell r="J233">
            <v>256000</v>
          </cell>
          <cell r="K233">
            <v>582000</v>
          </cell>
          <cell r="L233">
            <v>116000</v>
          </cell>
          <cell r="M233" t="str">
            <v>VND</v>
          </cell>
          <cell r="N233">
            <v>1782000</v>
          </cell>
          <cell r="O233">
            <v>297000</v>
          </cell>
          <cell r="P233">
            <v>1320000</v>
          </cell>
          <cell r="Q233">
            <v>220000</v>
          </cell>
          <cell r="R233">
            <v>968000</v>
          </cell>
          <cell r="S233">
            <v>176000</v>
          </cell>
        </row>
        <row r="234">
          <cell r="B234" t="str">
            <v>Wallis And Futuna</v>
          </cell>
          <cell r="C234" t="str">
            <v>Asia</v>
          </cell>
          <cell r="D234" t="str">
            <v>N</v>
          </cell>
          <cell r="E234" t="str">
            <v>BAU</v>
          </cell>
          <cell r="F234" t="str">
            <v>XPF</v>
          </cell>
          <cell r="G234" t="str">
            <v/>
          </cell>
          <cell r="H234" t="str">
            <v/>
          </cell>
          <cell r="I234">
            <v>7400</v>
          </cell>
          <cell r="J234">
            <v>1500</v>
          </cell>
          <cell r="K234">
            <v>4800</v>
          </cell>
          <cell r="L234">
            <v>950</v>
          </cell>
          <cell r="M234" t="str">
            <v>XPF</v>
          </cell>
          <cell r="N234">
            <v>8100</v>
          </cell>
          <cell r="O234">
            <v>1350</v>
          </cell>
          <cell r="P234">
            <v>6000</v>
          </cell>
          <cell r="Q234">
            <v>1000</v>
          </cell>
          <cell r="R234">
            <v>5400</v>
          </cell>
          <cell r="S234">
            <v>900</v>
          </cell>
        </row>
        <row r="235">
          <cell r="B235" t="str">
            <v>Western Sahara</v>
          </cell>
          <cell r="C235" t="str">
            <v>Africa</v>
          </cell>
          <cell r="D235" t="str">
            <v>N</v>
          </cell>
          <cell r="E235" t="str">
            <v>BAU</v>
          </cell>
          <cell r="F235" t="str">
            <v>USD</v>
          </cell>
          <cell r="G235" t="str">
            <v/>
          </cell>
          <cell r="H235" t="str">
            <v/>
          </cell>
          <cell r="I235">
            <v>49.99</v>
          </cell>
          <cell r="J235">
            <v>10.99</v>
          </cell>
          <cell r="K235">
            <v>24.99</v>
          </cell>
          <cell r="L235">
            <v>4.99</v>
          </cell>
          <cell r="M235" t="str">
            <v>MAD</v>
          </cell>
          <cell r="N235">
            <v>720</v>
          </cell>
          <cell r="O235">
            <v>120</v>
          </cell>
          <cell r="P235">
            <v>540</v>
          </cell>
          <cell r="Q235">
            <v>90</v>
          </cell>
          <cell r="R235">
            <v>480</v>
          </cell>
          <cell r="S235">
            <v>80</v>
          </cell>
        </row>
        <row r="236">
          <cell r="B236" t="str">
            <v>Yemen</v>
          </cell>
          <cell r="C236" t="str">
            <v>Middle East</v>
          </cell>
          <cell r="D236" t="str">
            <v>N</v>
          </cell>
          <cell r="E236" t="str">
            <v>BAU</v>
          </cell>
          <cell r="F236" t="str">
            <v>YER</v>
          </cell>
          <cell r="G236" t="str">
            <v/>
          </cell>
          <cell r="H236" t="str">
            <v/>
          </cell>
          <cell r="I236">
            <v>17500</v>
          </cell>
          <cell r="J236">
            <v>3500</v>
          </cell>
          <cell r="K236">
            <v>11300</v>
          </cell>
          <cell r="L236">
            <v>2300</v>
          </cell>
          <cell r="M236" t="str">
            <v>YER</v>
          </cell>
          <cell r="N236">
            <v>19439.990000000002</v>
          </cell>
          <cell r="O236">
            <v>3239.99</v>
          </cell>
          <cell r="P236">
            <v>14399.99</v>
          </cell>
          <cell r="Q236">
            <v>2399.9899999999998</v>
          </cell>
          <cell r="R236">
            <v>12959.99</v>
          </cell>
          <cell r="S236">
            <v>2159.9899999999998</v>
          </cell>
        </row>
        <row r="237">
          <cell r="B237" t="str">
            <v>Zambia</v>
          </cell>
          <cell r="C237" t="str">
            <v>Africa</v>
          </cell>
          <cell r="D237" t="str">
            <v>N</v>
          </cell>
          <cell r="E237" t="str">
            <v>BAU</v>
          </cell>
          <cell r="F237" t="str">
            <v>USD</v>
          </cell>
          <cell r="G237" t="str">
            <v/>
          </cell>
          <cell r="H237" t="str">
            <v/>
          </cell>
          <cell r="I237">
            <v>49.99</v>
          </cell>
          <cell r="J237">
            <v>10.99</v>
          </cell>
          <cell r="K237">
            <v>24.99</v>
          </cell>
          <cell r="L237">
            <v>4.99</v>
          </cell>
          <cell r="M237" t="str">
            <v>ZMW</v>
          </cell>
          <cell r="N237">
            <v>1380</v>
          </cell>
          <cell r="O237">
            <v>230</v>
          </cell>
          <cell r="P237">
            <v>1010</v>
          </cell>
          <cell r="Q237">
            <v>169</v>
          </cell>
          <cell r="R237">
            <v>900</v>
          </cell>
          <cell r="S237">
            <v>150</v>
          </cell>
        </row>
        <row r="238">
          <cell r="B238" t="str">
            <v>Zimbabwe</v>
          </cell>
          <cell r="C238" t="str">
            <v>Africa</v>
          </cell>
          <cell r="D238" t="str">
            <v>N</v>
          </cell>
          <cell r="E238" t="str">
            <v>BAU</v>
          </cell>
          <cell r="F238" t="str">
            <v>USD</v>
          </cell>
          <cell r="G238" t="str">
            <v/>
          </cell>
          <cell r="H238" t="str">
            <v/>
          </cell>
          <cell r="I238">
            <v>42.99</v>
          </cell>
          <cell r="J238">
            <v>8.99</v>
          </cell>
          <cell r="K238">
            <v>20.99</v>
          </cell>
          <cell r="L238">
            <v>3.99</v>
          </cell>
          <cell r="M238" t="str">
            <v>USD</v>
          </cell>
          <cell r="N238">
            <v>71.989999999999995</v>
          </cell>
          <cell r="O238">
            <v>11.99</v>
          </cell>
          <cell r="P238">
            <v>53.99</v>
          </cell>
          <cell r="Q238">
            <v>8.99</v>
          </cell>
          <cell r="R238">
            <v>47.99</v>
          </cell>
          <cell r="S238">
            <v>7.99</v>
          </cell>
        </row>
      </sheetData>
      <sheetData sheetId="11"/>
      <sheetData sheetId="12">
        <row r="4">
          <cell r="B4" t="str">
            <v>Afghanistan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oEgqHNZgkmImDpIlaxhE1xbkwjq_WNOuMr9DOdOegpIQGSmM5SuRLHOjZwx6Yds" itemId="016K5XORRKXPFF3K56URDKHDRJYNA3BNPY">
      <xxl21:absoluteUrl r:id="rId3"/>
    </xxl21:alternateUrls>
    <sheetNames>
      <sheetName val="__FDSCACHE__"/>
      <sheetName val="Version-Level Changes"/>
      <sheetName val="SKU &amp; Platform Availability -&gt;"/>
      <sheetName val="DOM"/>
      <sheetName val="INT"/>
      <sheetName val="Pricing by Platform -&gt;"/>
      <sheetName val="DOM Web"/>
      <sheetName val="INT Web"/>
      <sheetName val="Student Plan Web"/>
      <sheetName val="Gifting Web"/>
      <sheetName val="Apple"/>
      <sheetName val="Google"/>
      <sheetName val="Amazon"/>
      <sheetName val="Roku"/>
      <sheetName val="Samsung"/>
      <sheetName val="Internal Only -&gt;"/>
      <sheetName val="INT Tax"/>
      <sheetName val="Addt'l Payment Methods"/>
      <sheetName val="FT and Intro Offer Details"/>
      <sheetName val="Web FT Deflection"/>
      <sheetName val="Web Upsell Mapping"/>
      <sheetName val="Pre-AR Web Cancel Deflection"/>
      <sheetName val="Post-AR Web Cancel Deflection"/>
      <sheetName val="Winback - Apple"/>
      <sheetName val="Cancel Deflection - Apple"/>
      <sheetName val="Winback - Google"/>
      <sheetName val="Markets w &amp; wo Commercials"/>
      <sheetName val="Markets Not Selling LP"/>
      <sheetName val="Platform Avail by Country"/>
      <sheetName val="Platform Sales Avail by Country"/>
      <sheetName val="Country &amp; Code Abbreviation"/>
      <sheetName val="FX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3">
          <cell r="A3" t="str">
            <v>Afghanistan</v>
          </cell>
          <cell r="B3" t="str">
            <v>AF</v>
          </cell>
          <cell r="C3" t="str">
            <v>USD</v>
          </cell>
          <cell r="D3" t="str">
            <v>USD</v>
          </cell>
          <cell r="E3">
            <v>71.989999999999995</v>
          </cell>
          <cell r="F3">
            <v>11.99</v>
          </cell>
          <cell r="G3">
            <v>53.99</v>
          </cell>
          <cell r="H3">
            <v>8.99</v>
          </cell>
          <cell r="I3">
            <v>3.99</v>
          </cell>
          <cell r="J3">
            <v>3.99</v>
          </cell>
          <cell r="K3">
            <v>1.99</v>
          </cell>
          <cell r="L3">
            <v>1.99</v>
          </cell>
        </row>
        <row r="4">
          <cell r="A4" t="str">
            <v>Albania</v>
          </cell>
          <cell r="B4" t="str">
            <v>AL</v>
          </cell>
          <cell r="C4" t="str">
            <v>ALL</v>
          </cell>
          <cell r="D4" t="str">
            <v>USD</v>
          </cell>
          <cell r="E4">
            <v>104.99</v>
          </cell>
          <cell r="F4">
            <v>16.989999999999998</v>
          </cell>
          <cell r="G4">
            <v>77.989999999999995</v>
          </cell>
          <cell r="H4">
            <v>12.99</v>
          </cell>
          <cell r="I4">
            <v>4.99</v>
          </cell>
          <cell r="J4">
            <v>4.99</v>
          </cell>
          <cell r="K4">
            <v>3.99</v>
          </cell>
          <cell r="L4">
            <v>3.99</v>
          </cell>
          <cell r="M4"/>
        </row>
        <row r="5">
          <cell r="A5" t="str">
            <v>Algeria</v>
          </cell>
          <cell r="B5" t="str">
            <v>DZ</v>
          </cell>
          <cell r="C5" t="str">
            <v>DZD</v>
          </cell>
          <cell r="D5" t="str">
            <v>USD</v>
          </cell>
          <cell r="E5">
            <v>59.99</v>
          </cell>
          <cell r="F5">
            <v>9.99</v>
          </cell>
          <cell r="G5">
            <v>44.99</v>
          </cell>
          <cell r="H5">
            <v>6.99</v>
          </cell>
          <cell r="I5">
            <v>1.99</v>
          </cell>
          <cell r="J5">
            <v>1.99</v>
          </cell>
          <cell r="K5">
            <v>0.99</v>
          </cell>
          <cell r="L5">
            <v>0.99</v>
          </cell>
          <cell r="M5"/>
        </row>
        <row r="6">
          <cell r="A6" t="str">
            <v>Angola</v>
          </cell>
          <cell r="B6" t="str">
            <v>AO</v>
          </cell>
          <cell r="C6" t="str">
            <v>USD</v>
          </cell>
          <cell r="D6" t="str">
            <v>USD</v>
          </cell>
          <cell r="E6">
            <v>71.989999999999995</v>
          </cell>
          <cell r="F6">
            <v>11.99</v>
          </cell>
          <cell r="G6">
            <v>53.99</v>
          </cell>
          <cell r="H6">
            <v>8.99</v>
          </cell>
          <cell r="I6">
            <v>3.99</v>
          </cell>
          <cell r="J6">
            <v>3.99</v>
          </cell>
          <cell r="K6">
            <v>1.99</v>
          </cell>
          <cell r="L6">
            <v>1.99</v>
          </cell>
          <cell r="M6"/>
        </row>
        <row r="7">
          <cell r="A7" t="str">
            <v>Anguilla</v>
          </cell>
          <cell r="B7" t="str">
            <v>AI</v>
          </cell>
          <cell r="C7" t="str">
            <v>XCD</v>
          </cell>
          <cell r="D7" t="str">
            <v>USD</v>
          </cell>
          <cell r="E7">
            <v>99.99</v>
          </cell>
          <cell r="F7">
            <v>16.989999999999998</v>
          </cell>
          <cell r="G7">
            <v>72.989999999999995</v>
          </cell>
          <cell r="H7">
            <v>11.99</v>
          </cell>
          <cell r="I7">
            <v>3.99</v>
          </cell>
          <cell r="J7">
            <v>3.99</v>
          </cell>
          <cell r="K7">
            <v>2.99</v>
          </cell>
          <cell r="L7">
            <v>2.99</v>
          </cell>
          <cell r="M7"/>
        </row>
        <row r="8">
          <cell r="A8" t="str">
            <v>Antigua and Barbuda</v>
          </cell>
          <cell r="B8" t="str">
            <v>AG</v>
          </cell>
          <cell r="C8" t="str">
            <v>XCD</v>
          </cell>
          <cell r="D8" t="str">
            <v>USD</v>
          </cell>
          <cell r="E8">
            <v>112.99</v>
          </cell>
          <cell r="F8">
            <v>18.989999999999998</v>
          </cell>
          <cell r="G8">
            <v>83.99</v>
          </cell>
          <cell r="H8">
            <v>13.99</v>
          </cell>
          <cell r="I8">
            <v>4.99</v>
          </cell>
          <cell r="J8">
            <v>3.99</v>
          </cell>
          <cell r="K8">
            <v>2.99</v>
          </cell>
          <cell r="L8">
            <v>1.99</v>
          </cell>
          <cell r="M8"/>
        </row>
        <row r="9">
          <cell r="A9" t="str">
            <v>Argentina</v>
          </cell>
          <cell r="B9" t="str">
            <v>AR</v>
          </cell>
          <cell r="C9" t="str">
            <v>ARS</v>
          </cell>
          <cell r="D9" t="str">
            <v>USD</v>
          </cell>
          <cell r="E9">
            <v>79.989999999999995</v>
          </cell>
          <cell r="F9">
            <v>12.99</v>
          </cell>
          <cell r="G9">
            <v>59.99</v>
          </cell>
          <cell r="H9">
            <v>9.99</v>
          </cell>
          <cell r="I9">
            <v>3.99</v>
          </cell>
          <cell r="J9">
            <v>3.99</v>
          </cell>
          <cell r="K9">
            <v>2.99</v>
          </cell>
          <cell r="L9">
            <v>2.99</v>
          </cell>
          <cell r="M9"/>
        </row>
        <row r="10">
          <cell r="A10" t="str">
            <v>Armenia</v>
          </cell>
          <cell r="B10" t="str">
            <v>AM</v>
          </cell>
          <cell r="C10" t="str">
            <v>AMD</v>
          </cell>
          <cell r="D10" t="str">
            <v>USD</v>
          </cell>
          <cell r="E10">
            <v>139.99</v>
          </cell>
          <cell r="F10">
            <v>22.99</v>
          </cell>
          <cell r="G10">
            <v>103.99</v>
          </cell>
          <cell r="H10">
            <v>16.989999999999998</v>
          </cell>
          <cell r="I10">
            <v>4.99</v>
          </cell>
          <cell r="J10">
            <v>4.99</v>
          </cell>
          <cell r="K10">
            <v>3.49</v>
          </cell>
          <cell r="L10">
            <v>3.49</v>
          </cell>
          <cell r="M10"/>
        </row>
        <row r="11">
          <cell r="A11" t="str">
            <v>Australia</v>
          </cell>
          <cell r="B11" t="str">
            <v>AU</v>
          </cell>
          <cell r="C11" t="str">
            <v>AUD</v>
          </cell>
          <cell r="D11" t="str">
            <v>AUD</v>
          </cell>
          <cell r="E11">
            <v>229.99</v>
          </cell>
          <cell r="F11">
            <v>32.99</v>
          </cell>
          <cell r="G11">
            <v>174.99</v>
          </cell>
          <cell r="H11">
            <v>24.99</v>
          </cell>
          <cell r="I11">
            <v>9.99</v>
          </cell>
          <cell r="J11">
            <v>7.99</v>
          </cell>
          <cell r="K11">
            <v>5.99</v>
          </cell>
          <cell r="L11">
            <v>3.99</v>
          </cell>
          <cell r="M11"/>
        </row>
        <row r="12">
          <cell r="A12" t="str">
            <v>Austria</v>
          </cell>
          <cell r="B12" t="str">
            <v>AT</v>
          </cell>
          <cell r="C12" t="str">
            <v>EUR</v>
          </cell>
          <cell r="D12" t="str">
            <v>EUR</v>
          </cell>
          <cell r="E12">
            <v>159.99</v>
          </cell>
          <cell r="F12">
            <v>23.99</v>
          </cell>
          <cell r="G12">
            <v>116.99</v>
          </cell>
          <cell r="H12">
            <v>17.989999999999998</v>
          </cell>
          <cell r="I12">
            <v>5.99</v>
          </cell>
          <cell r="J12">
            <v>4.99</v>
          </cell>
          <cell r="K12">
            <v>3.99</v>
          </cell>
          <cell r="L12">
            <v>2.99</v>
          </cell>
          <cell r="M12"/>
        </row>
        <row r="13">
          <cell r="A13" t="str">
            <v>Azerbaijan</v>
          </cell>
          <cell r="B13" t="str">
            <v>AZ</v>
          </cell>
          <cell r="C13" t="str">
            <v>AZN</v>
          </cell>
          <cell r="D13" t="str">
            <v>USD</v>
          </cell>
          <cell r="E13">
            <v>105.99</v>
          </cell>
          <cell r="F13">
            <v>17.989999999999998</v>
          </cell>
          <cell r="G13">
            <v>76.989999999999995</v>
          </cell>
          <cell r="H13">
            <v>12.99</v>
          </cell>
          <cell r="I13">
            <v>4.99</v>
          </cell>
          <cell r="J13">
            <v>3.99</v>
          </cell>
          <cell r="K13">
            <v>2.99</v>
          </cell>
          <cell r="L13">
            <v>1.99</v>
          </cell>
          <cell r="M13"/>
        </row>
        <row r="14">
          <cell r="A14" t="str">
            <v>Bahamas</v>
          </cell>
          <cell r="B14" t="str">
            <v>BS</v>
          </cell>
          <cell r="C14" t="str">
            <v>BSD</v>
          </cell>
          <cell r="D14" t="str">
            <v>USD</v>
          </cell>
          <cell r="E14">
            <v>95.99</v>
          </cell>
          <cell r="F14">
            <v>15.99</v>
          </cell>
          <cell r="G14">
            <v>71.989999999999995</v>
          </cell>
          <cell r="H14">
            <v>11.99</v>
          </cell>
          <cell r="I14">
            <v>4.49</v>
          </cell>
          <cell r="J14">
            <v>3.49</v>
          </cell>
          <cell r="K14">
            <v>2.29</v>
          </cell>
          <cell r="L14">
            <v>1.0900000000000001</v>
          </cell>
          <cell r="M14"/>
        </row>
        <row r="15">
          <cell r="A15" t="str">
            <v>Bahrain</v>
          </cell>
          <cell r="B15" t="str">
            <v>BH</v>
          </cell>
          <cell r="C15" t="str">
            <v>BHD</v>
          </cell>
          <cell r="D15" t="str">
            <v>USD</v>
          </cell>
          <cell r="E15">
            <v>159.99</v>
          </cell>
          <cell r="F15">
            <v>23.99</v>
          </cell>
          <cell r="G15">
            <v>132.99</v>
          </cell>
          <cell r="H15">
            <v>18.989999999999998</v>
          </cell>
          <cell r="I15">
            <v>6.99</v>
          </cell>
          <cell r="J15">
            <v>6.99</v>
          </cell>
          <cell r="K15">
            <v>3.99</v>
          </cell>
          <cell r="L15">
            <v>3.99</v>
          </cell>
          <cell r="M15"/>
        </row>
        <row r="16">
          <cell r="A16" t="str">
            <v>Barbados</v>
          </cell>
          <cell r="B16" t="str">
            <v>BB</v>
          </cell>
          <cell r="C16" t="str">
            <v>BBD</v>
          </cell>
          <cell r="D16" t="str">
            <v>USD</v>
          </cell>
          <cell r="E16">
            <v>104.99</v>
          </cell>
          <cell r="F16">
            <v>17.989999999999998</v>
          </cell>
          <cell r="G16">
            <v>77.989999999999995</v>
          </cell>
          <cell r="H16">
            <v>12.99</v>
          </cell>
          <cell r="I16">
            <v>4.99</v>
          </cell>
          <cell r="J16">
            <v>4.99</v>
          </cell>
          <cell r="K16">
            <v>3.49</v>
          </cell>
          <cell r="L16">
            <v>3.49</v>
          </cell>
          <cell r="M16"/>
        </row>
        <row r="17">
          <cell r="A17" t="str">
            <v>Belarus</v>
          </cell>
          <cell r="B17" t="str">
            <v>BY</v>
          </cell>
          <cell r="C17" t="str">
            <v>BYN</v>
          </cell>
          <cell r="D17" t="str">
            <v>USD</v>
          </cell>
          <cell r="E17">
            <v>-0.01</v>
          </cell>
          <cell r="F17">
            <v>-0.01</v>
          </cell>
          <cell r="G17">
            <v>-0.01</v>
          </cell>
          <cell r="H17">
            <v>-0.01</v>
          </cell>
          <cell r="I17"/>
          <cell r="J17"/>
          <cell r="K17"/>
          <cell r="L17"/>
          <cell r="M17"/>
        </row>
        <row r="18">
          <cell r="A18" t="str">
            <v>Belgium</v>
          </cell>
          <cell r="B18" t="str">
            <v>BE</v>
          </cell>
          <cell r="C18" t="str">
            <v>EUR</v>
          </cell>
          <cell r="D18" t="str">
            <v>EUR</v>
          </cell>
          <cell r="E18">
            <v>169.99</v>
          </cell>
          <cell r="F18">
            <v>25.99</v>
          </cell>
          <cell r="G18">
            <v>124.99</v>
          </cell>
          <cell r="H18">
            <v>18.989999999999998</v>
          </cell>
          <cell r="I18">
            <v>6.99</v>
          </cell>
          <cell r="J18">
            <v>4.99</v>
          </cell>
          <cell r="K18">
            <v>3.99</v>
          </cell>
          <cell r="L18">
            <v>2.99</v>
          </cell>
          <cell r="M18"/>
        </row>
        <row r="19">
          <cell r="A19" t="str">
            <v>Belize</v>
          </cell>
          <cell r="B19" t="str">
            <v>BZ</v>
          </cell>
          <cell r="C19" t="str">
            <v>BZD</v>
          </cell>
          <cell r="D19" t="str">
            <v>USD</v>
          </cell>
          <cell r="E19">
            <v>74.989999999999995</v>
          </cell>
          <cell r="F19">
            <v>11.99</v>
          </cell>
          <cell r="G19">
            <v>53.99</v>
          </cell>
          <cell r="H19">
            <v>8.99</v>
          </cell>
          <cell r="I19">
            <v>2.99</v>
          </cell>
          <cell r="J19">
            <v>2.99</v>
          </cell>
          <cell r="K19">
            <v>1.99</v>
          </cell>
          <cell r="L19">
            <v>1.99</v>
          </cell>
          <cell r="M19"/>
        </row>
        <row r="20">
          <cell r="A20" t="str">
            <v>Benin</v>
          </cell>
          <cell r="B20" t="str">
            <v>BJ</v>
          </cell>
          <cell r="C20" t="str">
            <v>XOF</v>
          </cell>
          <cell r="D20" t="str">
            <v>USD</v>
          </cell>
          <cell r="E20">
            <v>72.989999999999995</v>
          </cell>
          <cell r="F20">
            <v>11.99</v>
          </cell>
          <cell r="G20">
            <v>54.99</v>
          </cell>
          <cell r="H20">
            <v>8.99</v>
          </cell>
          <cell r="I20">
            <v>2.99</v>
          </cell>
          <cell r="J20">
            <v>2.99</v>
          </cell>
          <cell r="K20">
            <v>1.99</v>
          </cell>
          <cell r="L20">
            <v>1.99</v>
          </cell>
          <cell r="M20"/>
        </row>
        <row r="21">
          <cell r="A21" t="str">
            <v>Bermuda</v>
          </cell>
          <cell r="B21" t="str">
            <v>BM</v>
          </cell>
          <cell r="C21" t="str">
            <v>BMD</v>
          </cell>
          <cell r="D21" t="str">
            <v>USD</v>
          </cell>
          <cell r="E21">
            <v>95.99</v>
          </cell>
          <cell r="F21">
            <v>15.99</v>
          </cell>
          <cell r="G21">
            <v>71.989999999999995</v>
          </cell>
          <cell r="H21">
            <v>11.99</v>
          </cell>
          <cell r="I21">
            <v>4.99</v>
          </cell>
          <cell r="J21">
            <v>3.99</v>
          </cell>
          <cell r="K21">
            <v>2.99</v>
          </cell>
          <cell r="L21">
            <v>1.99</v>
          </cell>
          <cell r="M21"/>
        </row>
        <row r="22">
          <cell r="A22" t="str">
            <v>Bhutan</v>
          </cell>
          <cell r="B22" t="str">
            <v>BT</v>
          </cell>
          <cell r="C22" t="str">
            <v>USD</v>
          </cell>
          <cell r="D22" t="str">
            <v>USD</v>
          </cell>
          <cell r="E22">
            <v>71.989999999999995</v>
          </cell>
          <cell r="F22">
            <v>11.99</v>
          </cell>
          <cell r="G22">
            <v>53.99</v>
          </cell>
          <cell r="H22">
            <v>8.99</v>
          </cell>
          <cell r="I22">
            <v>3.99</v>
          </cell>
          <cell r="J22">
            <v>3.99</v>
          </cell>
          <cell r="K22">
            <v>1.99</v>
          </cell>
          <cell r="L22">
            <v>1.99</v>
          </cell>
          <cell r="M22"/>
        </row>
        <row r="23">
          <cell r="A23" t="str">
            <v>Bolivia</v>
          </cell>
          <cell r="B23" t="str">
            <v>BO</v>
          </cell>
          <cell r="C23" t="str">
            <v>BOB</v>
          </cell>
          <cell r="D23" t="str">
            <v>USD</v>
          </cell>
          <cell r="E23">
            <v>80.989999999999995</v>
          </cell>
          <cell r="F23">
            <v>12.99</v>
          </cell>
          <cell r="G23">
            <v>59.99</v>
          </cell>
          <cell r="H23">
            <v>9.99</v>
          </cell>
          <cell r="I23">
            <v>3.99</v>
          </cell>
          <cell r="J23">
            <v>2.99</v>
          </cell>
          <cell r="K23">
            <v>1.99</v>
          </cell>
          <cell r="L23">
            <v>0.99</v>
          </cell>
          <cell r="M23"/>
        </row>
        <row r="24">
          <cell r="A24" t="str">
            <v>Bosnia And Herzegovina</v>
          </cell>
          <cell r="B24" t="str">
            <v>BA</v>
          </cell>
          <cell r="C24" t="str">
            <v>BAM</v>
          </cell>
          <cell r="D24" t="str">
            <v>EUR</v>
          </cell>
          <cell r="E24">
            <v>76.989999999999995</v>
          </cell>
          <cell r="F24">
            <v>12.99</v>
          </cell>
          <cell r="G24">
            <v>54.99</v>
          </cell>
          <cell r="H24">
            <v>8.99</v>
          </cell>
          <cell r="I24">
            <v>2.99</v>
          </cell>
          <cell r="J24">
            <v>2.99</v>
          </cell>
          <cell r="K24">
            <v>1.99</v>
          </cell>
          <cell r="L24">
            <v>1.99</v>
          </cell>
          <cell r="M24"/>
        </row>
        <row r="25">
          <cell r="A25" t="str">
            <v>Botswana</v>
          </cell>
          <cell r="B25" t="str">
            <v>BW</v>
          </cell>
          <cell r="C25" t="str">
            <v>BWP</v>
          </cell>
          <cell r="D25" t="str">
            <v>USD</v>
          </cell>
          <cell r="E25">
            <v>53.99</v>
          </cell>
          <cell r="F25">
            <v>8.99</v>
          </cell>
          <cell r="G25">
            <v>39.99</v>
          </cell>
          <cell r="H25">
            <v>5.99</v>
          </cell>
          <cell r="I25">
            <v>1.99</v>
          </cell>
          <cell r="J25">
            <v>1.99</v>
          </cell>
          <cell r="K25">
            <v>0.99</v>
          </cell>
          <cell r="L25">
            <v>0.99</v>
          </cell>
          <cell r="M25"/>
        </row>
        <row r="26">
          <cell r="A26" t="str">
            <v>Brazil</v>
          </cell>
          <cell r="B26" t="str">
            <v>BR</v>
          </cell>
          <cell r="C26" t="str">
            <v>BRL</v>
          </cell>
          <cell r="D26" t="str">
            <v>BRL</v>
          </cell>
          <cell r="E26">
            <v>489.9</v>
          </cell>
          <cell r="F26">
            <v>69.900000000000006</v>
          </cell>
          <cell r="G26">
            <v>384.9</v>
          </cell>
          <cell r="H26">
            <v>54.99</v>
          </cell>
          <cell r="I26">
            <v>22.9</v>
          </cell>
          <cell r="J26">
            <v>16.899999999999999</v>
          </cell>
          <cell r="K26">
            <v>10.9</v>
          </cell>
          <cell r="L26">
            <v>4.9000000000000004</v>
          </cell>
          <cell r="M26"/>
        </row>
        <row r="27">
          <cell r="A27" t="str">
            <v>British Virgin Islands</v>
          </cell>
          <cell r="B27" t="str">
            <v>VG</v>
          </cell>
          <cell r="C27" t="str">
            <v>USD</v>
          </cell>
          <cell r="D27" t="str">
            <v>USD</v>
          </cell>
          <cell r="E27">
            <v>102.99</v>
          </cell>
          <cell r="F27">
            <v>16.989999999999998</v>
          </cell>
          <cell r="G27">
            <v>71.989999999999995</v>
          </cell>
          <cell r="H27">
            <v>11.99</v>
          </cell>
          <cell r="I27">
            <v>4.99</v>
          </cell>
          <cell r="J27">
            <v>3.99</v>
          </cell>
          <cell r="K27">
            <v>2.99</v>
          </cell>
          <cell r="L27">
            <v>1.99</v>
          </cell>
          <cell r="M27"/>
        </row>
        <row r="28">
          <cell r="A28" t="str">
            <v>Brunei</v>
          </cell>
          <cell r="B28" t="str">
            <v>BN</v>
          </cell>
          <cell r="C28" t="str">
            <v>BND</v>
          </cell>
          <cell r="D28" t="str">
            <v>USD</v>
          </cell>
          <cell r="E28">
            <v>79.989999999999995</v>
          </cell>
          <cell r="F28">
            <v>12.99</v>
          </cell>
          <cell r="G28">
            <v>57.99</v>
          </cell>
          <cell r="H28">
            <v>9.99</v>
          </cell>
          <cell r="I28">
            <v>3.99</v>
          </cell>
          <cell r="J28">
            <v>2.99</v>
          </cell>
          <cell r="K28">
            <v>1.99</v>
          </cell>
          <cell r="L28">
            <v>0.99</v>
          </cell>
          <cell r="M28"/>
        </row>
        <row r="29">
          <cell r="A29" t="str">
            <v>Bulgaria</v>
          </cell>
          <cell r="B29" t="str">
            <v>BG</v>
          </cell>
          <cell r="C29" t="str">
            <v>EUR</v>
          </cell>
          <cell r="D29" t="str">
            <v>EUR</v>
          </cell>
          <cell r="E29">
            <v>92.99</v>
          </cell>
          <cell r="F29">
            <v>14.99</v>
          </cell>
          <cell r="G29">
            <v>68.989999999999995</v>
          </cell>
          <cell r="H29">
            <v>10.99</v>
          </cell>
          <cell r="I29">
            <v>4.99</v>
          </cell>
          <cell r="J29">
            <v>4.99</v>
          </cell>
          <cell r="K29">
            <v>2.99</v>
          </cell>
          <cell r="L29">
            <v>2.99</v>
          </cell>
          <cell r="M29"/>
        </row>
        <row r="30">
          <cell r="A30" t="str">
            <v>Burkina Faso</v>
          </cell>
          <cell r="B30" t="str">
            <v>BF</v>
          </cell>
          <cell r="C30" t="str">
            <v>XOF</v>
          </cell>
          <cell r="D30" t="str">
            <v>USD</v>
          </cell>
          <cell r="E30">
            <v>72.989999999999995</v>
          </cell>
          <cell r="F30">
            <v>11.99</v>
          </cell>
          <cell r="G30">
            <v>54.99</v>
          </cell>
          <cell r="H30">
            <v>8.99</v>
          </cell>
          <cell r="I30">
            <v>2.99</v>
          </cell>
          <cell r="J30">
            <v>2.99</v>
          </cell>
          <cell r="K30">
            <v>1.99</v>
          </cell>
          <cell r="L30">
            <v>1.99</v>
          </cell>
          <cell r="M30"/>
        </row>
        <row r="31">
          <cell r="A31" t="str">
            <v>Cambodia</v>
          </cell>
          <cell r="B31" t="str">
            <v>KH</v>
          </cell>
          <cell r="C31" t="str">
            <v>KHR</v>
          </cell>
          <cell r="D31" t="str">
            <v>USD</v>
          </cell>
          <cell r="E31">
            <v>71.989999999999995</v>
          </cell>
          <cell r="F31">
            <v>11.99</v>
          </cell>
          <cell r="G31">
            <v>53.99</v>
          </cell>
          <cell r="H31">
            <v>8.99</v>
          </cell>
          <cell r="I31">
            <v>3.49</v>
          </cell>
          <cell r="J31">
            <v>3.49</v>
          </cell>
          <cell r="K31">
            <v>1.0900000000000001</v>
          </cell>
          <cell r="L31">
            <v>1.0900000000000001</v>
          </cell>
          <cell r="M31"/>
        </row>
        <row r="32">
          <cell r="A32" t="str">
            <v>Cameroon</v>
          </cell>
          <cell r="B32" t="str">
            <v>CM</v>
          </cell>
          <cell r="C32" t="str">
            <v>XAF</v>
          </cell>
          <cell r="D32" t="str">
            <v>USD</v>
          </cell>
          <cell r="E32">
            <v>71.989999999999995</v>
          </cell>
          <cell r="F32">
            <v>11.99</v>
          </cell>
          <cell r="G32">
            <v>53.99</v>
          </cell>
          <cell r="H32">
            <v>8.99</v>
          </cell>
          <cell r="I32">
            <v>3.49</v>
          </cell>
          <cell r="J32">
            <v>3.49</v>
          </cell>
          <cell r="K32">
            <v>2.4900000000000002</v>
          </cell>
          <cell r="L32">
            <v>2.4900000000000002</v>
          </cell>
          <cell r="M32"/>
        </row>
        <row r="33">
          <cell r="A33" t="str">
            <v>Canada</v>
          </cell>
          <cell r="B33" t="str">
            <v>CA</v>
          </cell>
          <cell r="C33" t="str">
            <v>CAD</v>
          </cell>
          <cell r="D33" t="str">
            <v>CAD</v>
          </cell>
          <cell r="E33">
            <v>184.99</v>
          </cell>
          <cell r="F33">
            <v>27.99</v>
          </cell>
          <cell r="G33">
            <v>129.99</v>
          </cell>
          <cell r="H33">
            <v>19.989999999999998</v>
          </cell>
          <cell r="I33">
            <v>6.99</v>
          </cell>
          <cell r="J33">
            <v>5.49</v>
          </cell>
          <cell r="K33">
            <v>3.99</v>
          </cell>
          <cell r="L33">
            <v>2.79</v>
          </cell>
          <cell r="M33"/>
        </row>
        <row r="34">
          <cell r="A34" t="str">
            <v>Cape Verde</v>
          </cell>
          <cell r="B34" t="str">
            <v>CV</v>
          </cell>
          <cell r="C34" t="str">
            <v>CVE</v>
          </cell>
          <cell r="D34" t="str">
            <v>USD</v>
          </cell>
          <cell r="E34">
            <v>72.989999999999995</v>
          </cell>
          <cell r="F34">
            <v>11.99</v>
          </cell>
          <cell r="G34">
            <v>53.99</v>
          </cell>
          <cell r="H34">
            <v>8.99</v>
          </cell>
          <cell r="I34">
            <v>2.99</v>
          </cell>
          <cell r="J34">
            <v>2.99</v>
          </cell>
          <cell r="K34">
            <v>1.99</v>
          </cell>
          <cell r="L34">
            <v>1.99</v>
          </cell>
          <cell r="M34"/>
        </row>
        <row r="35">
          <cell r="A35" t="str">
            <v>Cayman Islands</v>
          </cell>
          <cell r="B35" t="str">
            <v>KY</v>
          </cell>
          <cell r="C35" t="str">
            <v>USD</v>
          </cell>
          <cell r="D35" t="str">
            <v>USD</v>
          </cell>
          <cell r="E35">
            <v>102.99</v>
          </cell>
          <cell r="F35">
            <v>16.989999999999998</v>
          </cell>
          <cell r="G35">
            <v>71.989999999999995</v>
          </cell>
          <cell r="H35">
            <v>11.99</v>
          </cell>
          <cell r="I35">
            <v>4.99</v>
          </cell>
          <cell r="J35">
            <v>3.99</v>
          </cell>
          <cell r="K35">
            <v>2.99</v>
          </cell>
          <cell r="L35">
            <v>1.99</v>
          </cell>
          <cell r="M35"/>
        </row>
        <row r="36">
          <cell r="A36" t="str">
            <v>Chad</v>
          </cell>
          <cell r="B36" t="str">
            <v>TD</v>
          </cell>
          <cell r="C36" t="str">
            <v>XAF</v>
          </cell>
          <cell r="D36" t="str">
            <v>USD</v>
          </cell>
          <cell r="E36">
            <v>72.989999999999995</v>
          </cell>
          <cell r="F36">
            <v>11.99</v>
          </cell>
          <cell r="G36">
            <v>53.99</v>
          </cell>
          <cell r="H36">
            <v>8.99</v>
          </cell>
          <cell r="I36">
            <v>2.99</v>
          </cell>
          <cell r="J36">
            <v>2.99</v>
          </cell>
          <cell r="K36">
            <v>1.99</v>
          </cell>
          <cell r="L36">
            <v>1.99</v>
          </cell>
          <cell r="M36"/>
        </row>
        <row r="37">
          <cell r="A37" t="str">
            <v>Chile</v>
          </cell>
          <cell r="B37" t="str">
            <v>CL</v>
          </cell>
          <cell r="C37" t="str">
            <v>CLP</v>
          </cell>
          <cell r="D37" t="str">
            <v>CLP</v>
          </cell>
          <cell r="E37">
            <v>137990</v>
          </cell>
          <cell r="F37">
            <v>22900</v>
          </cell>
          <cell r="G37">
            <v>96990</v>
          </cell>
          <cell r="H37">
            <v>15900</v>
          </cell>
          <cell r="I37">
            <v>5900</v>
          </cell>
          <cell r="J37">
            <v>5400</v>
          </cell>
          <cell r="K37">
            <v>4900</v>
          </cell>
          <cell r="L37">
            <v>4400</v>
          </cell>
          <cell r="M37"/>
        </row>
        <row r="38">
          <cell r="A38" t="str">
            <v>Colombia</v>
          </cell>
          <cell r="B38" t="str">
            <v>CO</v>
          </cell>
          <cell r="C38" t="str">
            <v>COP</v>
          </cell>
          <cell r="D38" t="str">
            <v>COP</v>
          </cell>
          <cell r="E38">
            <v>334900</v>
          </cell>
          <cell r="F38">
            <v>55900</v>
          </cell>
          <cell r="G38">
            <v>249000</v>
          </cell>
          <cell r="H38">
            <v>41500</v>
          </cell>
          <cell r="I38">
            <v>17900</v>
          </cell>
          <cell r="J38">
            <v>13500</v>
          </cell>
          <cell r="K38">
            <v>8900</v>
          </cell>
          <cell r="L38">
            <v>4500</v>
          </cell>
          <cell r="M38"/>
        </row>
        <row r="39">
          <cell r="A39" t="str">
            <v>Congo</v>
          </cell>
          <cell r="B39" t="str">
            <v>CG</v>
          </cell>
          <cell r="C39" t="str">
            <v>XAF</v>
          </cell>
          <cell r="D39" t="str">
            <v>USD</v>
          </cell>
          <cell r="E39">
            <v>72.989999999999995</v>
          </cell>
          <cell r="F39">
            <v>11.99</v>
          </cell>
          <cell r="G39">
            <v>53.99</v>
          </cell>
          <cell r="H39">
            <v>8.99</v>
          </cell>
          <cell r="I39">
            <v>2.99</v>
          </cell>
          <cell r="J39">
            <v>2.99</v>
          </cell>
          <cell r="K39">
            <v>1.99</v>
          </cell>
          <cell r="L39">
            <v>1.99</v>
          </cell>
          <cell r="M39"/>
        </row>
        <row r="40">
          <cell r="A40" t="str">
            <v>Costa Rica</v>
          </cell>
          <cell r="B40" t="str">
            <v>CR</v>
          </cell>
          <cell r="C40" t="str">
            <v>CRC</v>
          </cell>
          <cell r="D40" t="str">
            <v>USD</v>
          </cell>
          <cell r="E40">
            <v>147.99</v>
          </cell>
          <cell r="F40">
            <v>24.99</v>
          </cell>
          <cell r="G40">
            <v>113.99</v>
          </cell>
          <cell r="H40">
            <v>18.989999999999998</v>
          </cell>
          <cell r="I40">
            <v>6.99</v>
          </cell>
          <cell r="J40">
            <v>5.99</v>
          </cell>
          <cell r="K40">
            <v>4.99</v>
          </cell>
          <cell r="L40">
            <v>3.99</v>
          </cell>
          <cell r="M40"/>
        </row>
        <row r="41">
          <cell r="A41" t="str">
            <v>Cote D'Ivoire</v>
          </cell>
          <cell r="B41" t="str">
            <v>CI</v>
          </cell>
          <cell r="C41" t="str">
            <v>XOF</v>
          </cell>
          <cell r="D41" t="str">
            <v>USD</v>
          </cell>
          <cell r="E41">
            <v>73.989999999999995</v>
          </cell>
          <cell r="F41">
            <v>11.99</v>
          </cell>
          <cell r="G41">
            <v>54.99</v>
          </cell>
          <cell r="H41">
            <v>8.99</v>
          </cell>
          <cell r="I41">
            <v>2.99</v>
          </cell>
          <cell r="J41">
            <v>2.99</v>
          </cell>
          <cell r="K41">
            <v>1.99</v>
          </cell>
          <cell r="L41">
            <v>1.99</v>
          </cell>
          <cell r="M41"/>
        </row>
        <row r="42">
          <cell r="A42" t="str">
            <v>Croatia</v>
          </cell>
          <cell r="B42" t="str">
            <v>HR</v>
          </cell>
          <cell r="C42" t="str">
            <v>EUR</v>
          </cell>
          <cell r="D42" t="str">
            <v>EUR</v>
          </cell>
          <cell r="E42">
            <v>107.99</v>
          </cell>
          <cell r="F42">
            <v>17.989999999999998</v>
          </cell>
          <cell r="G42">
            <v>71.989999999999995</v>
          </cell>
          <cell r="H42">
            <v>11.99</v>
          </cell>
          <cell r="I42">
            <v>3.99</v>
          </cell>
          <cell r="J42">
            <v>3.99</v>
          </cell>
          <cell r="K42">
            <v>1.99</v>
          </cell>
          <cell r="L42">
            <v>1.99</v>
          </cell>
          <cell r="M42"/>
        </row>
        <row r="43">
          <cell r="A43" t="str">
            <v>Cyprus</v>
          </cell>
          <cell r="B43" t="str">
            <v>CY</v>
          </cell>
          <cell r="C43" t="str">
            <v>EUR</v>
          </cell>
          <cell r="D43" t="str">
            <v>EUR</v>
          </cell>
          <cell r="E43">
            <v>89.99</v>
          </cell>
          <cell r="F43">
            <v>12.99</v>
          </cell>
          <cell r="G43">
            <v>69.989999999999995</v>
          </cell>
          <cell r="H43">
            <v>9.99</v>
          </cell>
          <cell r="I43">
            <v>3.99</v>
          </cell>
          <cell r="J43">
            <v>3.99</v>
          </cell>
          <cell r="K43">
            <v>1.99</v>
          </cell>
          <cell r="L43">
            <v>1.99</v>
          </cell>
          <cell r="M43"/>
        </row>
        <row r="44">
          <cell r="A44" t="str">
            <v>Czech Republic</v>
          </cell>
          <cell r="B44" t="str">
            <v>CZ</v>
          </cell>
          <cell r="C44" t="str">
            <v>CZK</v>
          </cell>
          <cell r="D44" t="str">
            <v>CZK</v>
          </cell>
          <cell r="E44">
            <v>3599</v>
          </cell>
          <cell r="F44">
            <v>549.99</v>
          </cell>
          <cell r="G44">
            <v>2400</v>
          </cell>
          <cell r="H44">
            <v>399.99</v>
          </cell>
          <cell r="I44">
            <v>149</v>
          </cell>
          <cell r="J44">
            <v>149</v>
          </cell>
          <cell r="K44">
            <v>79</v>
          </cell>
          <cell r="L44">
            <v>79</v>
          </cell>
          <cell r="M44"/>
        </row>
        <row r="45">
          <cell r="A45" t="str">
            <v>Democratic Republic of Congo</v>
          </cell>
          <cell r="B45" t="str">
            <v>CD</v>
          </cell>
          <cell r="C45" t="str">
            <v>USD</v>
          </cell>
          <cell r="D45" t="str">
            <v>USD</v>
          </cell>
          <cell r="E45">
            <v>71.989999999999995</v>
          </cell>
          <cell r="F45">
            <v>11.99</v>
          </cell>
          <cell r="G45">
            <v>53.99</v>
          </cell>
          <cell r="H45">
            <v>8.99</v>
          </cell>
          <cell r="I45">
            <v>2.99</v>
          </cell>
          <cell r="J45">
            <v>2.99</v>
          </cell>
          <cell r="K45">
            <v>1.99</v>
          </cell>
          <cell r="L45">
            <v>1.99</v>
          </cell>
          <cell r="M45"/>
        </row>
        <row r="46">
          <cell r="A46" t="str">
            <v>Denmark</v>
          </cell>
          <cell r="B46" t="str">
            <v>DK</v>
          </cell>
          <cell r="C46" t="str">
            <v>DKK</v>
          </cell>
          <cell r="D46" t="str">
            <v>DKK</v>
          </cell>
          <cell r="E46">
            <v>1300</v>
          </cell>
          <cell r="F46">
            <v>200</v>
          </cell>
          <cell r="G46">
            <v>900</v>
          </cell>
          <cell r="H46">
            <v>140</v>
          </cell>
          <cell r="I46">
            <v>49</v>
          </cell>
          <cell r="J46">
            <v>49</v>
          </cell>
          <cell r="K46">
            <v>25</v>
          </cell>
          <cell r="L46">
            <v>25</v>
          </cell>
          <cell r="M46"/>
        </row>
        <row r="47">
          <cell r="A47" t="str">
            <v>Dominica</v>
          </cell>
          <cell r="B47" t="str">
            <v>DM</v>
          </cell>
          <cell r="C47" t="str">
            <v>XCD</v>
          </cell>
          <cell r="D47" t="str">
            <v>USD</v>
          </cell>
          <cell r="E47">
            <v>112.99</v>
          </cell>
          <cell r="F47">
            <v>18.989999999999998</v>
          </cell>
          <cell r="G47">
            <v>83.99</v>
          </cell>
          <cell r="H47">
            <v>13.99</v>
          </cell>
          <cell r="I47">
            <v>4.99</v>
          </cell>
          <cell r="J47">
            <v>3.99</v>
          </cell>
          <cell r="K47">
            <v>2.99</v>
          </cell>
          <cell r="L47">
            <v>1.99</v>
          </cell>
          <cell r="M47"/>
        </row>
        <row r="48">
          <cell r="A48" t="str">
            <v>Dominican Republic</v>
          </cell>
          <cell r="B48" t="str">
            <v>DO</v>
          </cell>
          <cell r="C48" t="str">
            <v>DOP</v>
          </cell>
          <cell r="D48" t="str">
            <v>USD</v>
          </cell>
          <cell r="E48">
            <v>126.99</v>
          </cell>
          <cell r="F48">
            <v>19.989999999999998</v>
          </cell>
          <cell r="G48">
            <v>94.99</v>
          </cell>
          <cell r="H48">
            <v>15.99</v>
          </cell>
          <cell r="I48">
            <v>5.99</v>
          </cell>
          <cell r="J48">
            <v>4.99</v>
          </cell>
          <cell r="K48">
            <v>3.99</v>
          </cell>
          <cell r="L48">
            <v>2.99</v>
          </cell>
          <cell r="M48"/>
        </row>
        <row r="49">
          <cell r="A49" t="str">
            <v>Ecuador</v>
          </cell>
          <cell r="B49" t="str">
            <v>EC</v>
          </cell>
          <cell r="C49" t="str">
            <v>USD</v>
          </cell>
          <cell r="D49" t="str">
            <v>USD</v>
          </cell>
          <cell r="E49">
            <v>102.99</v>
          </cell>
          <cell r="F49">
            <v>16.989999999999998</v>
          </cell>
          <cell r="G49">
            <v>71.989999999999995</v>
          </cell>
          <cell r="H49">
            <v>11.99</v>
          </cell>
          <cell r="I49">
            <v>4.99</v>
          </cell>
          <cell r="J49">
            <v>3.99</v>
          </cell>
          <cell r="K49">
            <v>2.99</v>
          </cell>
          <cell r="L49">
            <v>1.99</v>
          </cell>
          <cell r="M49"/>
        </row>
        <row r="50">
          <cell r="A50" t="str">
            <v>Egypt</v>
          </cell>
          <cell r="B50" t="str">
            <v>EG</v>
          </cell>
          <cell r="C50" t="str">
            <v>EGP</v>
          </cell>
          <cell r="D50" t="str">
            <v>EGP</v>
          </cell>
          <cell r="E50">
            <v>2349.9899999999998</v>
          </cell>
          <cell r="F50">
            <v>399</v>
          </cell>
          <cell r="G50">
            <v>1569.99</v>
          </cell>
          <cell r="H50">
            <v>259</v>
          </cell>
          <cell r="I50">
            <v>94.99</v>
          </cell>
          <cell r="J50">
            <v>94.99</v>
          </cell>
          <cell r="K50">
            <v>54.99</v>
          </cell>
          <cell r="L50">
            <v>54.99</v>
          </cell>
          <cell r="M50"/>
        </row>
        <row r="51">
          <cell r="A51" t="str">
            <v>El Salvador</v>
          </cell>
          <cell r="B51" t="str">
            <v>SV</v>
          </cell>
          <cell r="C51" t="str">
            <v>USD</v>
          </cell>
          <cell r="D51" t="str">
            <v>USD</v>
          </cell>
          <cell r="E51">
            <v>96.99</v>
          </cell>
          <cell r="F51">
            <v>15.99</v>
          </cell>
          <cell r="G51">
            <v>65.989999999999995</v>
          </cell>
          <cell r="H51">
            <v>10.99</v>
          </cell>
          <cell r="I51">
            <v>4.99</v>
          </cell>
          <cell r="J51">
            <v>3.99</v>
          </cell>
          <cell r="K51">
            <v>2.99</v>
          </cell>
          <cell r="L51">
            <v>1.99</v>
          </cell>
          <cell r="M51"/>
        </row>
        <row r="52">
          <cell r="A52" t="str">
            <v>Estonia</v>
          </cell>
          <cell r="B52" t="str">
            <v>EE</v>
          </cell>
          <cell r="C52" t="str">
            <v>EUR</v>
          </cell>
          <cell r="D52" t="str">
            <v>EUR</v>
          </cell>
          <cell r="E52">
            <v>99.99</v>
          </cell>
          <cell r="F52">
            <v>15.99</v>
          </cell>
          <cell r="G52">
            <v>74.989999999999995</v>
          </cell>
          <cell r="H52">
            <v>11.99</v>
          </cell>
          <cell r="I52">
            <v>4.99</v>
          </cell>
          <cell r="J52">
            <v>3.99</v>
          </cell>
          <cell r="K52">
            <v>2.99</v>
          </cell>
          <cell r="L52">
            <v>1.99</v>
          </cell>
          <cell r="M52"/>
        </row>
        <row r="53">
          <cell r="A53" t="str">
            <v>eSwatini</v>
          </cell>
          <cell r="B53" t="str">
            <v>SZ</v>
          </cell>
          <cell r="C53" t="str">
            <v>SZL</v>
          </cell>
          <cell r="D53" t="str">
            <v>USD</v>
          </cell>
          <cell r="E53">
            <v>71.989999999999995</v>
          </cell>
          <cell r="F53">
            <v>11.99</v>
          </cell>
          <cell r="G53">
            <v>52.99</v>
          </cell>
          <cell r="H53">
            <v>8.99</v>
          </cell>
          <cell r="I53">
            <v>2.99</v>
          </cell>
          <cell r="J53">
            <v>2.99</v>
          </cell>
          <cell r="K53">
            <v>1.99</v>
          </cell>
          <cell r="L53">
            <v>1.99</v>
          </cell>
          <cell r="M53"/>
        </row>
        <row r="54">
          <cell r="A54" t="str">
            <v>Fiji</v>
          </cell>
          <cell r="B54" t="str">
            <v>FJ</v>
          </cell>
          <cell r="C54" t="str">
            <v>FJD</v>
          </cell>
          <cell r="D54" t="str">
            <v>USD</v>
          </cell>
          <cell r="E54">
            <v>81.99</v>
          </cell>
          <cell r="F54">
            <v>13.99</v>
          </cell>
          <cell r="G54">
            <v>59.99</v>
          </cell>
          <cell r="H54">
            <v>9.99</v>
          </cell>
          <cell r="I54">
            <v>3.99</v>
          </cell>
          <cell r="J54">
            <v>3.99</v>
          </cell>
          <cell r="K54">
            <v>1.99</v>
          </cell>
          <cell r="L54">
            <v>1.99</v>
          </cell>
          <cell r="M54"/>
        </row>
        <row r="55">
          <cell r="A55" t="str">
            <v>Finland</v>
          </cell>
          <cell r="B55" t="str">
            <v>FI</v>
          </cell>
          <cell r="C55" t="str">
            <v>EUR</v>
          </cell>
          <cell r="D55" t="str">
            <v>EUR</v>
          </cell>
          <cell r="E55">
            <v>129.99</v>
          </cell>
          <cell r="F55">
            <v>19.989999999999998</v>
          </cell>
          <cell r="G55">
            <v>99.99</v>
          </cell>
          <cell r="H55">
            <v>14.99</v>
          </cell>
          <cell r="I55">
            <v>4.99</v>
          </cell>
          <cell r="J55">
            <v>3.99</v>
          </cell>
          <cell r="K55">
            <v>2.99</v>
          </cell>
          <cell r="L55">
            <v>1.99</v>
          </cell>
          <cell r="M55"/>
        </row>
        <row r="56">
          <cell r="A56" t="str">
            <v>France</v>
          </cell>
          <cell r="B56" t="str">
            <v>FR</v>
          </cell>
          <cell r="C56" t="str">
            <v>EUR</v>
          </cell>
          <cell r="D56" t="str">
            <v>EUR</v>
          </cell>
          <cell r="E56">
            <v>199.99</v>
          </cell>
          <cell r="F56">
            <v>28.99</v>
          </cell>
          <cell r="G56">
            <v>146.99</v>
          </cell>
          <cell r="H56">
            <v>21.99</v>
          </cell>
          <cell r="I56">
            <v>7.99</v>
          </cell>
          <cell r="J56">
            <v>5.99</v>
          </cell>
          <cell r="K56">
            <v>3.99</v>
          </cell>
          <cell r="L56">
            <v>1.9900000000000002</v>
          </cell>
          <cell r="M56"/>
        </row>
        <row r="57">
          <cell r="A57" t="str">
            <v>Gabon</v>
          </cell>
          <cell r="B57" t="str">
            <v>GA</v>
          </cell>
          <cell r="C57" t="str">
            <v>XAF</v>
          </cell>
          <cell r="D57" t="str">
            <v>USD</v>
          </cell>
          <cell r="E57">
            <v>54.99</v>
          </cell>
          <cell r="F57">
            <v>8.99</v>
          </cell>
          <cell r="G57">
            <v>41.99</v>
          </cell>
          <cell r="H57">
            <v>6.99</v>
          </cell>
          <cell r="I57">
            <v>2.99</v>
          </cell>
          <cell r="J57">
            <v>2.99</v>
          </cell>
          <cell r="K57">
            <v>1.99</v>
          </cell>
          <cell r="L57">
            <v>1.99</v>
          </cell>
          <cell r="M57"/>
        </row>
        <row r="58">
          <cell r="A58" t="str">
            <v>Gambia</v>
          </cell>
          <cell r="B58" t="str">
            <v>GM</v>
          </cell>
          <cell r="C58" t="str">
            <v>GMD</v>
          </cell>
          <cell r="D58" t="str">
            <v>USD</v>
          </cell>
          <cell r="E58">
            <v>74.989999999999995</v>
          </cell>
          <cell r="F58">
            <v>13.99</v>
          </cell>
          <cell r="G58">
            <v>59.99</v>
          </cell>
          <cell r="H58">
            <v>9.99</v>
          </cell>
          <cell r="I58">
            <v>3.99</v>
          </cell>
          <cell r="J58">
            <v>2.99</v>
          </cell>
          <cell r="K58">
            <v>1.99</v>
          </cell>
          <cell r="L58">
            <v>0.99</v>
          </cell>
          <cell r="M58"/>
        </row>
        <row r="59">
          <cell r="A59" t="str">
            <v>Georgia</v>
          </cell>
          <cell r="B59" t="str">
            <v>GE</v>
          </cell>
          <cell r="C59" t="str">
            <v>GEL</v>
          </cell>
          <cell r="D59" t="str">
            <v>USD</v>
          </cell>
          <cell r="E59">
            <v>113.99</v>
          </cell>
          <cell r="F59">
            <v>19.989999999999998</v>
          </cell>
          <cell r="G59">
            <v>87.99</v>
          </cell>
          <cell r="H59">
            <v>13.99</v>
          </cell>
          <cell r="I59">
            <v>4.99</v>
          </cell>
          <cell r="J59">
            <v>3.49</v>
          </cell>
          <cell r="K59">
            <v>2.4900000000000002</v>
          </cell>
          <cell r="L59">
            <v>1.19</v>
          </cell>
          <cell r="M59"/>
        </row>
        <row r="60">
          <cell r="A60" t="str">
            <v>Germany</v>
          </cell>
          <cell r="B60" t="str">
            <v>DE</v>
          </cell>
          <cell r="C60" t="str">
            <v>EUR</v>
          </cell>
          <cell r="D60" t="str">
            <v>EUR</v>
          </cell>
          <cell r="E60">
            <v>189.99</v>
          </cell>
          <cell r="F60">
            <v>27.99</v>
          </cell>
          <cell r="G60">
            <v>139.99</v>
          </cell>
          <cell r="H60">
            <v>19.989999999999998</v>
          </cell>
          <cell r="I60">
            <v>6.99</v>
          </cell>
          <cell r="J60">
            <v>5.99</v>
          </cell>
          <cell r="K60">
            <v>4.99</v>
          </cell>
          <cell r="L60">
            <v>3.99</v>
          </cell>
          <cell r="M60"/>
        </row>
        <row r="61">
          <cell r="A61" t="str">
            <v>Ghana</v>
          </cell>
          <cell r="B61" t="str">
            <v>GH</v>
          </cell>
          <cell r="C61" t="str">
            <v>GHS</v>
          </cell>
          <cell r="D61" t="str">
            <v>USD</v>
          </cell>
          <cell r="E61">
            <v>49.99</v>
          </cell>
          <cell r="F61">
            <v>7.99</v>
          </cell>
          <cell r="G61">
            <v>34.99</v>
          </cell>
          <cell r="H61">
            <v>5.99</v>
          </cell>
          <cell r="I61">
            <v>2.99</v>
          </cell>
          <cell r="J61">
            <v>2.99</v>
          </cell>
          <cell r="K61">
            <v>1.99</v>
          </cell>
          <cell r="L61">
            <v>1.99</v>
          </cell>
          <cell r="M61"/>
        </row>
        <row r="62">
          <cell r="A62" t="str">
            <v>Greece</v>
          </cell>
          <cell r="B62" t="str">
            <v>GR</v>
          </cell>
          <cell r="C62" t="str">
            <v>EUR</v>
          </cell>
          <cell r="D62" t="str">
            <v>EUR</v>
          </cell>
          <cell r="E62">
            <v>117.99</v>
          </cell>
          <cell r="F62">
            <v>16.989999999999998</v>
          </cell>
          <cell r="G62">
            <v>89.99</v>
          </cell>
          <cell r="H62">
            <v>12.99</v>
          </cell>
          <cell r="I62">
            <v>3.99</v>
          </cell>
          <cell r="J62">
            <v>3.99</v>
          </cell>
          <cell r="K62">
            <v>1.99</v>
          </cell>
          <cell r="L62">
            <v>1.99</v>
          </cell>
          <cell r="M62"/>
        </row>
        <row r="63">
          <cell r="A63" t="str">
            <v>Grenada</v>
          </cell>
          <cell r="B63" t="str">
            <v>GD</v>
          </cell>
          <cell r="C63" t="str">
            <v>XCD</v>
          </cell>
          <cell r="D63" t="str">
            <v>USD</v>
          </cell>
          <cell r="E63">
            <v>112.99</v>
          </cell>
          <cell r="F63">
            <v>18.989999999999998</v>
          </cell>
          <cell r="G63">
            <v>83.99</v>
          </cell>
          <cell r="H63">
            <v>13.99</v>
          </cell>
          <cell r="I63">
            <v>4.99</v>
          </cell>
          <cell r="J63">
            <v>3.99</v>
          </cell>
          <cell r="K63">
            <v>2.99</v>
          </cell>
          <cell r="L63">
            <v>1.99</v>
          </cell>
          <cell r="M63"/>
        </row>
        <row r="64">
          <cell r="A64" t="str">
            <v>Guatemala</v>
          </cell>
          <cell r="B64" t="str">
            <v>GT</v>
          </cell>
          <cell r="C64" t="str">
            <v>GTQ</v>
          </cell>
          <cell r="D64" t="str">
            <v>USD</v>
          </cell>
          <cell r="E64">
            <v>96.99</v>
          </cell>
          <cell r="F64">
            <v>15.99</v>
          </cell>
          <cell r="G64">
            <v>66.989999999999995</v>
          </cell>
          <cell r="H64">
            <v>10.99</v>
          </cell>
          <cell r="I64">
            <v>3.99</v>
          </cell>
          <cell r="J64">
            <v>3.99</v>
          </cell>
          <cell r="K64">
            <v>2.99</v>
          </cell>
          <cell r="L64">
            <v>2.99</v>
          </cell>
          <cell r="M64"/>
        </row>
        <row r="65">
          <cell r="A65" t="str">
            <v>Guinea-Bissau</v>
          </cell>
          <cell r="B65" t="str">
            <v>GW</v>
          </cell>
          <cell r="C65" t="str">
            <v>XOF</v>
          </cell>
          <cell r="D65" t="str">
            <v>USD</v>
          </cell>
          <cell r="E65">
            <v>72.989999999999995</v>
          </cell>
          <cell r="F65">
            <v>11.99</v>
          </cell>
          <cell r="G65">
            <v>54.99</v>
          </cell>
          <cell r="H65">
            <v>8.99</v>
          </cell>
          <cell r="I65">
            <v>2.99</v>
          </cell>
          <cell r="J65">
            <v>2.99</v>
          </cell>
          <cell r="K65">
            <v>1.99</v>
          </cell>
          <cell r="L65">
            <v>1.99</v>
          </cell>
          <cell r="M65"/>
        </row>
        <row r="66">
          <cell r="A66" t="str">
            <v>Guyana</v>
          </cell>
          <cell r="B66" t="str">
            <v>GY</v>
          </cell>
          <cell r="C66" t="str">
            <v>GYD</v>
          </cell>
          <cell r="D66" t="str">
            <v>USD</v>
          </cell>
          <cell r="E66">
            <v>119.99</v>
          </cell>
          <cell r="F66">
            <v>19.989999999999998</v>
          </cell>
          <cell r="G66">
            <v>82.99</v>
          </cell>
          <cell r="H66">
            <v>13.99</v>
          </cell>
          <cell r="I66">
            <v>4.99</v>
          </cell>
          <cell r="J66">
            <v>3.99</v>
          </cell>
          <cell r="K66">
            <v>2.99</v>
          </cell>
          <cell r="L66">
            <v>1.99</v>
          </cell>
          <cell r="M66"/>
        </row>
        <row r="67">
          <cell r="A67" t="str">
            <v>Honduras</v>
          </cell>
          <cell r="B67" t="str">
            <v>HN</v>
          </cell>
          <cell r="C67" t="str">
            <v>HNL</v>
          </cell>
          <cell r="D67" t="str">
            <v>USD</v>
          </cell>
          <cell r="E67">
            <v>76.989999999999995</v>
          </cell>
          <cell r="F67">
            <v>12.99</v>
          </cell>
          <cell r="G67">
            <v>53.99</v>
          </cell>
          <cell r="H67">
            <v>8.99</v>
          </cell>
          <cell r="I67">
            <v>2.99</v>
          </cell>
          <cell r="J67">
            <v>2.99</v>
          </cell>
          <cell r="K67">
            <v>1.99</v>
          </cell>
          <cell r="L67">
            <v>1.99</v>
          </cell>
          <cell r="M67"/>
        </row>
        <row r="68">
          <cell r="A68" t="str">
            <v>Hong Kong</v>
          </cell>
          <cell r="B68" t="str">
            <v>HK</v>
          </cell>
          <cell r="C68" t="str">
            <v>HKD</v>
          </cell>
          <cell r="D68" t="str">
            <v>HKD</v>
          </cell>
          <cell r="E68">
            <v>1149</v>
          </cell>
          <cell r="F68">
            <v>163</v>
          </cell>
          <cell r="G68">
            <v>759</v>
          </cell>
          <cell r="H68">
            <v>109</v>
          </cell>
          <cell r="I68">
            <v>48</v>
          </cell>
          <cell r="J68">
            <v>38</v>
          </cell>
          <cell r="K68">
            <v>28</v>
          </cell>
          <cell r="L68">
            <v>23</v>
          </cell>
          <cell r="M68"/>
        </row>
        <row r="69">
          <cell r="A69" t="str">
            <v>Hungary</v>
          </cell>
          <cell r="B69" t="str">
            <v>HU</v>
          </cell>
          <cell r="C69" t="str">
            <v>HUF</v>
          </cell>
          <cell r="D69" t="str">
            <v>HUF</v>
          </cell>
          <cell r="E69">
            <v>33999</v>
          </cell>
          <cell r="F69">
            <v>5500</v>
          </cell>
          <cell r="G69">
            <v>25999</v>
          </cell>
          <cell r="H69">
            <v>4200</v>
          </cell>
          <cell r="I69">
            <v>1690</v>
          </cell>
          <cell r="J69">
            <v>1690</v>
          </cell>
          <cell r="K69">
            <v>799</v>
          </cell>
          <cell r="L69">
            <v>799</v>
          </cell>
          <cell r="M69"/>
        </row>
        <row r="70">
          <cell r="A70" t="str">
            <v>Iceland</v>
          </cell>
          <cell r="B70" t="str">
            <v>IS</v>
          </cell>
          <cell r="C70" t="str">
            <v>ISK</v>
          </cell>
          <cell r="D70" t="str">
            <v>USD</v>
          </cell>
          <cell r="E70">
            <v>239.99</v>
          </cell>
          <cell r="F70">
            <v>36.99</v>
          </cell>
          <cell r="G70">
            <v>174.99</v>
          </cell>
          <cell r="H70">
            <v>26.99</v>
          </cell>
          <cell r="I70">
            <v>9.99</v>
          </cell>
          <cell r="J70">
            <v>9.99</v>
          </cell>
          <cell r="K70">
            <v>5.99</v>
          </cell>
          <cell r="L70">
            <v>5.99</v>
          </cell>
          <cell r="M70"/>
        </row>
        <row r="71">
          <cell r="A71" t="str">
            <v>India</v>
          </cell>
          <cell r="B71" t="str">
            <v>IN</v>
          </cell>
          <cell r="C71" t="str">
            <v>INR</v>
          </cell>
          <cell r="D71" t="str">
            <v>INR</v>
          </cell>
          <cell r="E71">
            <v>2099</v>
          </cell>
          <cell r="F71">
            <v>329</v>
          </cell>
          <cell r="G71">
            <v>1499</v>
          </cell>
          <cell r="H71">
            <v>219</v>
          </cell>
          <cell r="I71">
            <v>179</v>
          </cell>
          <cell r="J71">
            <v>135</v>
          </cell>
          <cell r="K71">
            <v>89</v>
          </cell>
          <cell r="L71">
            <v>45</v>
          </cell>
          <cell r="M71"/>
        </row>
        <row r="72">
          <cell r="A72" t="str">
            <v>Indonesia</v>
          </cell>
          <cell r="B72" t="str">
            <v>ID</v>
          </cell>
          <cell r="C72" t="str">
            <v>IDR</v>
          </cell>
          <cell r="D72" t="str">
            <v>IDR</v>
          </cell>
          <cell r="E72">
            <v>1119000</v>
          </cell>
          <cell r="F72">
            <v>200000</v>
          </cell>
          <cell r="G72">
            <v>945000</v>
          </cell>
          <cell r="H72">
            <v>135000</v>
          </cell>
          <cell r="I72">
            <v>65000</v>
          </cell>
          <cell r="J72">
            <v>65000</v>
          </cell>
          <cell r="K72">
            <v>35000</v>
          </cell>
          <cell r="L72">
            <v>35000</v>
          </cell>
          <cell r="M72"/>
        </row>
        <row r="73">
          <cell r="A73" t="str">
            <v>Iraq</v>
          </cell>
          <cell r="B73" t="str">
            <v>IQ</v>
          </cell>
          <cell r="C73" t="str">
            <v>USD</v>
          </cell>
          <cell r="D73" t="str">
            <v>USD</v>
          </cell>
          <cell r="E73">
            <v>99.99</v>
          </cell>
          <cell r="F73">
            <v>16.989999999999998</v>
          </cell>
          <cell r="G73">
            <v>74.989999999999995</v>
          </cell>
          <cell r="H73">
            <v>12.99</v>
          </cell>
          <cell r="I73">
            <v>4.99</v>
          </cell>
          <cell r="J73">
            <v>3.99</v>
          </cell>
          <cell r="K73">
            <v>2.99</v>
          </cell>
          <cell r="L73">
            <v>1.99</v>
          </cell>
          <cell r="M73"/>
        </row>
        <row r="74">
          <cell r="A74" t="str">
            <v>Ireland</v>
          </cell>
          <cell r="B74" t="str">
            <v>IE</v>
          </cell>
          <cell r="C74" t="str">
            <v>EUR</v>
          </cell>
          <cell r="D74" t="str">
            <v>EUR</v>
          </cell>
          <cell r="E74">
            <v>159.99</v>
          </cell>
          <cell r="F74">
            <v>24.99</v>
          </cell>
          <cell r="G74">
            <v>121.99</v>
          </cell>
          <cell r="H74">
            <v>18.989999999999998</v>
          </cell>
          <cell r="I74">
            <v>6.99</v>
          </cell>
          <cell r="J74">
            <v>5.99</v>
          </cell>
          <cell r="K74">
            <v>4.99</v>
          </cell>
          <cell r="L74">
            <v>3.99</v>
          </cell>
          <cell r="M74"/>
        </row>
        <row r="75">
          <cell r="A75" t="str">
            <v>Israel</v>
          </cell>
          <cell r="B75" t="str">
            <v>IL</v>
          </cell>
          <cell r="C75" t="str">
            <v>ILS</v>
          </cell>
          <cell r="D75" t="str">
            <v>ILS</v>
          </cell>
          <cell r="E75">
            <v>569.9</v>
          </cell>
          <cell r="F75">
            <v>88</v>
          </cell>
          <cell r="G75">
            <v>419.9</v>
          </cell>
          <cell r="H75">
            <v>65</v>
          </cell>
          <cell r="I75">
            <v>25.9</v>
          </cell>
          <cell r="J75">
            <v>19.899999999999999</v>
          </cell>
          <cell r="K75">
            <v>13.9</v>
          </cell>
          <cell r="L75">
            <v>10.9</v>
          </cell>
          <cell r="M75"/>
        </row>
        <row r="76">
          <cell r="A76" t="str">
            <v>Italy</v>
          </cell>
          <cell r="B76" t="str">
            <v>IT</v>
          </cell>
          <cell r="C76" t="str">
            <v>EUR</v>
          </cell>
          <cell r="D76" t="str">
            <v>EUR</v>
          </cell>
          <cell r="E76">
            <v>149.99</v>
          </cell>
          <cell r="F76">
            <v>21.99</v>
          </cell>
          <cell r="G76">
            <v>109.99</v>
          </cell>
          <cell r="H76">
            <v>15.99</v>
          </cell>
          <cell r="I76">
            <v>5.99</v>
          </cell>
          <cell r="J76">
            <v>4.99</v>
          </cell>
          <cell r="K76">
            <v>3.99</v>
          </cell>
          <cell r="L76">
            <v>2.99</v>
          </cell>
          <cell r="M76"/>
        </row>
        <row r="77">
          <cell r="A77" t="str">
            <v>Jamaica</v>
          </cell>
          <cell r="B77" t="str">
            <v>JM</v>
          </cell>
          <cell r="C77" t="str">
            <v>JMD</v>
          </cell>
          <cell r="D77" t="str">
            <v>USD</v>
          </cell>
          <cell r="E77">
            <v>91.99</v>
          </cell>
          <cell r="F77">
            <v>14.99</v>
          </cell>
          <cell r="G77">
            <v>64.989999999999995</v>
          </cell>
          <cell r="H77">
            <v>10.99</v>
          </cell>
          <cell r="I77">
            <v>3.99</v>
          </cell>
          <cell r="J77">
            <v>3.99</v>
          </cell>
          <cell r="K77">
            <v>1.99</v>
          </cell>
          <cell r="L77">
            <v>1.99</v>
          </cell>
          <cell r="M77"/>
        </row>
        <row r="78">
          <cell r="A78" t="str">
            <v>Japan</v>
          </cell>
          <cell r="B78" t="str">
            <v>JP</v>
          </cell>
          <cell r="C78" t="str">
            <v>JPY</v>
          </cell>
          <cell r="D78" t="str">
            <v>JPY</v>
          </cell>
          <cell r="E78">
            <v>25000</v>
          </cell>
          <cell r="F78">
            <v>4190</v>
          </cell>
          <cell r="G78">
            <v>19000</v>
          </cell>
          <cell r="H78">
            <v>3190</v>
          </cell>
          <cell r="I78">
            <v>1190</v>
          </cell>
          <cell r="J78">
            <v>940</v>
          </cell>
          <cell r="K78">
            <v>690</v>
          </cell>
          <cell r="L78">
            <v>440</v>
          </cell>
          <cell r="M78"/>
        </row>
        <row r="79">
          <cell r="A79" t="str">
            <v>Jordan</v>
          </cell>
          <cell r="B79" t="str">
            <v>JO</v>
          </cell>
          <cell r="C79" t="str">
            <v>JOD</v>
          </cell>
          <cell r="D79" t="str">
            <v>USD</v>
          </cell>
          <cell r="E79">
            <v>112.99</v>
          </cell>
          <cell r="F79">
            <v>16.989999999999998</v>
          </cell>
          <cell r="G79">
            <v>84.99</v>
          </cell>
          <cell r="H79">
            <v>12.99</v>
          </cell>
          <cell r="I79">
            <v>4.99</v>
          </cell>
          <cell r="J79">
            <v>3.99</v>
          </cell>
          <cell r="K79">
            <v>2.99</v>
          </cell>
          <cell r="L79">
            <v>1.99</v>
          </cell>
          <cell r="M79"/>
        </row>
        <row r="80">
          <cell r="A80" t="str">
            <v>Kazakhstan</v>
          </cell>
          <cell r="B80" t="str">
            <v>KZ</v>
          </cell>
          <cell r="C80" t="str">
            <v>KZT</v>
          </cell>
          <cell r="D80" t="str">
            <v>KZT</v>
          </cell>
          <cell r="E80">
            <v>37490</v>
          </cell>
          <cell r="F80">
            <v>6190</v>
          </cell>
          <cell r="G80">
            <v>27490</v>
          </cell>
          <cell r="H80">
            <v>4600</v>
          </cell>
          <cell r="I80">
            <v>1990</v>
          </cell>
          <cell r="J80">
            <v>1990</v>
          </cell>
          <cell r="K80">
            <v>999</v>
          </cell>
          <cell r="L80">
            <v>999</v>
          </cell>
          <cell r="M80"/>
        </row>
        <row r="81">
          <cell r="A81" t="str">
            <v>Kenya</v>
          </cell>
          <cell r="B81" t="str">
            <v>KE</v>
          </cell>
          <cell r="C81" t="str">
            <v>KES</v>
          </cell>
          <cell r="D81" t="str">
            <v>USD</v>
          </cell>
          <cell r="E81">
            <v>74.989999999999995</v>
          </cell>
          <cell r="F81">
            <v>12.99</v>
          </cell>
          <cell r="G81">
            <v>54.99</v>
          </cell>
          <cell r="H81">
            <v>8.99</v>
          </cell>
          <cell r="I81">
            <v>3.99</v>
          </cell>
          <cell r="J81">
            <v>3.99</v>
          </cell>
          <cell r="K81">
            <v>2.4900000000000002</v>
          </cell>
          <cell r="L81">
            <v>2.4900000000000002</v>
          </cell>
          <cell r="M81"/>
        </row>
        <row r="82">
          <cell r="A82" t="str">
            <v>South Korea</v>
          </cell>
          <cell r="B82" t="str">
            <v>KR</v>
          </cell>
          <cell r="C82" t="str">
            <v>KRW</v>
          </cell>
          <cell r="D82" t="str">
            <v>KRW</v>
          </cell>
          <cell r="E82">
            <v>190000</v>
          </cell>
          <cell r="F82">
            <v>30000</v>
          </cell>
          <cell r="G82">
            <v>130000</v>
          </cell>
          <cell r="H82">
            <v>20000</v>
          </cell>
          <cell r="I82">
            <v>7500</v>
          </cell>
          <cell r="J82">
            <v>7500</v>
          </cell>
          <cell r="K82">
            <v>3900</v>
          </cell>
          <cell r="L82">
            <v>3900</v>
          </cell>
          <cell r="M82"/>
        </row>
        <row r="83">
          <cell r="A83" t="str">
            <v>Kosovo</v>
          </cell>
          <cell r="B83" t="str">
            <v>XK</v>
          </cell>
          <cell r="C83" t="str">
            <v>EUR</v>
          </cell>
          <cell r="D83" t="str">
            <v>EUR</v>
          </cell>
          <cell r="E83">
            <v>47.99</v>
          </cell>
          <cell r="F83">
            <v>7.99</v>
          </cell>
          <cell r="G83">
            <v>35.99</v>
          </cell>
          <cell r="H83">
            <v>5.99</v>
          </cell>
          <cell r="I83">
            <v>2.99</v>
          </cell>
          <cell r="J83">
            <v>2.99</v>
          </cell>
          <cell r="K83">
            <v>1.99</v>
          </cell>
          <cell r="L83">
            <v>1.99</v>
          </cell>
          <cell r="M83"/>
        </row>
        <row r="84">
          <cell r="A84" t="str">
            <v>Kuwait</v>
          </cell>
          <cell r="B84" t="str">
            <v>KW</v>
          </cell>
          <cell r="C84" t="str">
            <v>KWD</v>
          </cell>
          <cell r="D84" t="str">
            <v>USD</v>
          </cell>
          <cell r="E84">
            <v>214.99</v>
          </cell>
          <cell r="F84">
            <v>32.99</v>
          </cell>
          <cell r="G84">
            <v>162.99</v>
          </cell>
          <cell r="H84">
            <v>22.99</v>
          </cell>
          <cell r="I84">
            <v>6.99</v>
          </cell>
          <cell r="J84">
            <v>6.99</v>
          </cell>
          <cell r="K84">
            <v>3.99</v>
          </cell>
          <cell r="L84">
            <v>3.99</v>
          </cell>
          <cell r="M84"/>
        </row>
        <row r="85">
          <cell r="A85" t="str">
            <v>Kyrgyzstan</v>
          </cell>
          <cell r="B85" t="str">
            <v>KG</v>
          </cell>
          <cell r="C85" t="str">
            <v>KGS</v>
          </cell>
          <cell r="D85" t="str">
            <v>USD</v>
          </cell>
          <cell r="E85">
            <v>96.99</v>
          </cell>
          <cell r="F85">
            <v>15.99</v>
          </cell>
          <cell r="G85">
            <v>71.989999999999995</v>
          </cell>
          <cell r="H85">
            <v>11.99</v>
          </cell>
          <cell r="I85">
            <v>4.49</v>
          </cell>
          <cell r="J85">
            <v>3.49</v>
          </cell>
          <cell r="K85">
            <v>2.29</v>
          </cell>
          <cell r="L85">
            <v>1.0900000000000001</v>
          </cell>
          <cell r="M85"/>
        </row>
        <row r="86">
          <cell r="A86" t="str">
            <v>Laos</v>
          </cell>
          <cell r="B86" t="str">
            <v>LA</v>
          </cell>
          <cell r="C86" t="str">
            <v>LAK</v>
          </cell>
          <cell r="D86" t="str">
            <v>USD</v>
          </cell>
          <cell r="E86">
            <v>59.99</v>
          </cell>
          <cell r="F86">
            <v>9.99</v>
          </cell>
          <cell r="G86">
            <v>44.99</v>
          </cell>
          <cell r="H86">
            <v>6.99</v>
          </cell>
          <cell r="I86">
            <v>2.99</v>
          </cell>
          <cell r="J86">
            <v>2.99</v>
          </cell>
          <cell r="K86">
            <v>1.99</v>
          </cell>
          <cell r="L86">
            <v>1.99</v>
          </cell>
          <cell r="M86"/>
        </row>
        <row r="87">
          <cell r="A87" t="str">
            <v>Latvia</v>
          </cell>
          <cell r="B87" t="str">
            <v>LV</v>
          </cell>
          <cell r="C87" t="str">
            <v>EUR</v>
          </cell>
          <cell r="D87" t="str">
            <v>EUR</v>
          </cell>
          <cell r="E87">
            <v>91.99</v>
          </cell>
          <cell r="F87">
            <v>14.99</v>
          </cell>
          <cell r="G87">
            <v>67.989999999999995</v>
          </cell>
          <cell r="H87">
            <v>10.99</v>
          </cell>
          <cell r="I87">
            <v>3.99</v>
          </cell>
          <cell r="J87">
            <v>3.99</v>
          </cell>
          <cell r="K87">
            <v>1.99</v>
          </cell>
          <cell r="L87">
            <v>1.99</v>
          </cell>
          <cell r="M87"/>
        </row>
        <row r="88">
          <cell r="A88" t="str">
            <v>Lebanon</v>
          </cell>
          <cell r="B88" t="str">
            <v>LB</v>
          </cell>
          <cell r="C88" t="str">
            <v>USD</v>
          </cell>
          <cell r="D88" t="str">
            <v>USD</v>
          </cell>
          <cell r="E88">
            <v>34.99</v>
          </cell>
          <cell r="F88">
            <v>4.99</v>
          </cell>
          <cell r="G88">
            <v>27.99</v>
          </cell>
          <cell r="H88">
            <v>3.99</v>
          </cell>
          <cell r="I88">
            <v>2.99</v>
          </cell>
          <cell r="J88">
            <v>2.99</v>
          </cell>
          <cell r="K88">
            <v>1.99</v>
          </cell>
          <cell r="L88">
            <v>1.99</v>
          </cell>
          <cell r="M88"/>
        </row>
        <row r="89">
          <cell r="A89" t="str">
            <v>Liberia</v>
          </cell>
          <cell r="B89" t="str">
            <v>LR</v>
          </cell>
          <cell r="C89" t="str">
            <v>USD</v>
          </cell>
          <cell r="D89" t="str">
            <v>USD</v>
          </cell>
          <cell r="E89">
            <v>71.989999999999995</v>
          </cell>
          <cell r="F89">
            <v>11.99</v>
          </cell>
          <cell r="G89">
            <v>53.99</v>
          </cell>
          <cell r="H89">
            <v>8.99</v>
          </cell>
          <cell r="I89">
            <v>3.99</v>
          </cell>
          <cell r="J89">
            <v>3.99</v>
          </cell>
          <cell r="K89">
            <v>1.99</v>
          </cell>
          <cell r="L89">
            <v>1.99</v>
          </cell>
          <cell r="M89"/>
        </row>
        <row r="90">
          <cell r="A90" t="str">
            <v>Libya</v>
          </cell>
          <cell r="B90" t="str">
            <v>LY</v>
          </cell>
          <cell r="C90" t="str">
            <v>USD</v>
          </cell>
          <cell r="D90" t="str">
            <v>USD</v>
          </cell>
          <cell r="E90">
            <v>79.989999999999995</v>
          </cell>
          <cell r="F90">
            <v>13.99</v>
          </cell>
          <cell r="G90">
            <v>59.99</v>
          </cell>
          <cell r="H90">
            <v>9.99</v>
          </cell>
          <cell r="I90">
            <v>3.99</v>
          </cell>
          <cell r="J90">
            <v>3.99</v>
          </cell>
          <cell r="K90">
            <v>1.99</v>
          </cell>
          <cell r="L90">
            <v>1.99</v>
          </cell>
          <cell r="M90"/>
        </row>
        <row r="91">
          <cell r="A91" t="str">
            <v>Lithuania</v>
          </cell>
          <cell r="B91" t="str">
            <v>LT</v>
          </cell>
          <cell r="C91" t="str">
            <v>EUR</v>
          </cell>
          <cell r="D91" t="str">
            <v>EUR</v>
          </cell>
          <cell r="E91">
            <v>94.99</v>
          </cell>
          <cell r="F91">
            <v>14.99</v>
          </cell>
          <cell r="G91">
            <v>69.989999999999995</v>
          </cell>
          <cell r="H91">
            <v>10.99</v>
          </cell>
          <cell r="I91">
            <v>3.99</v>
          </cell>
          <cell r="J91">
            <v>3.99</v>
          </cell>
          <cell r="K91">
            <v>1.99</v>
          </cell>
          <cell r="L91">
            <v>1.99</v>
          </cell>
          <cell r="M91"/>
        </row>
        <row r="92">
          <cell r="A92" t="str">
            <v>Luxembourg</v>
          </cell>
          <cell r="B92" t="str">
            <v>LU</v>
          </cell>
          <cell r="C92" t="str">
            <v>EUR</v>
          </cell>
          <cell r="D92" t="str">
            <v>EUR</v>
          </cell>
          <cell r="E92">
            <v>194.99</v>
          </cell>
          <cell r="F92">
            <v>28.99</v>
          </cell>
          <cell r="G92">
            <v>149.99</v>
          </cell>
          <cell r="H92">
            <v>21.99</v>
          </cell>
          <cell r="I92">
            <v>7.99</v>
          </cell>
          <cell r="J92">
            <v>7.99</v>
          </cell>
          <cell r="K92">
            <v>3.99</v>
          </cell>
          <cell r="L92">
            <v>3.99</v>
          </cell>
          <cell r="M92"/>
        </row>
        <row r="93">
          <cell r="A93" t="str">
            <v>Macao</v>
          </cell>
          <cell r="B93" t="str">
            <v>MO</v>
          </cell>
          <cell r="C93" t="str">
            <v>MOP</v>
          </cell>
          <cell r="D93" t="str">
            <v>USD</v>
          </cell>
          <cell r="E93">
            <v>107.99</v>
          </cell>
          <cell r="F93">
            <v>15.99</v>
          </cell>
          <cell r="G93">
            <v>77.989999999999995</v>
          </cell>
          <cell r="H93">
            <v>10.99</v>
          </cell>
          <cell r="I93">
            <v>3.99</v>
          </cell>
          <cell r="J93">
            <v>2.99</v>
          </cell>
          <cell r="K93">
            <v>1.99</v>
          </cell>
          <cell r="L93">
            <v>1.99</v>
          </cell>
          <cell r="M93"/>
        </row>
        <row r="94">
          <cell r="A94" t="str">
            <v>Macedonia</v>
          </cell>
          <cell r="B94" t="str">
            <v>MK</v>
          </cell>
          <cell r="C94" t="str">
            <v>MKD</v>
          </cell>
          <cell r="D94" t="str">
            <v>USD</v>
          </cell>
          <cell r="E94">
            <v>96.99</v>
          </cell>
          <cell r="F94">
            <v>15.99</v>
          </cell>
          <cell r="G94">
            <v>69.989999999999995</v>
          </cell>
          <cell r="H94">
            <v>10.99</v>
          </cell>
          <cell r="I94">
            <v>3.99</v>
          </cell>
          <cell r="J94">
            <v>2.99</v>
          </cell>
          <cell r="K94">
            <v>2.99</v>
          </cell>
          <cell r="L94">
            <v>1.99</v>
          </cell>
          <cell r="M94"/>
        </row>
        <row r="95">
          <cell r="A95" t="str">
            <v>Madagascar</v>
          </cell>
          <cell r="B95" t="str">
            <v>MG</v>
          </cell>
          <cell r="C95" t="str">
            <v>USD</v>
          </cell>
          <cell r="D95" t="str">
            <v>USD</v>
          </cell>
          <cell r="E95">
            <v>71.989999999999995</v>
          </cell>
          <cell r="F95">
            <v>11.99</v>
          </cell>
          <cell r="G95">
            <v>53.99</v>
          </cell>
          <cell r="H95">
            <v>8.99</v>
          </cell>
          <cell r="I95">
            <v>3.99</v>
          </cell>
          <cell r="J95">
            <v>3.99</v>
          </cell>
          <cell r="K95">
            <v>1.99</v>
          </cell>
          <cell r="L95">
            <v>1.99</v>
          </cell>
          <cell r="M95"/>
        </row>
        <row r="96">
          <cell r="A96" t="str">
            <v>Malawi</v>
          </cell>
          <cell r="B96" t="str">
            <v>MW</v>
          </cell>
          <cell r="C96" t="str">
            <v>MWK</v>
          </cell>
          <cell r="D96" t="str">
            <v>USD</v>
          </cell>
          <cell r="E96">
            <v>33.99</v>
          </cell>
          <cell r="F96">
            <v>5.99</v>
          </cell>
          <cell r="G96">
            <v>24.99</v>
          </cell>
          <cell r="H96">
            <v>3.99</v>
          </cell>
          <cell r="I96">
            <v>1.99</v>
          </cell>
          <cell r="J96">
            <v>1.99</v>
          </cell>
          <cell r="K96">
            <v>0.99</v>
          </cell>
          <cell r="L96">
            <v>0.99</v>
          </cell>
          <cell r="M96"/>
        </row>
        <row r="97">
          <cell r="A97" t="str">
            <v>Malaysia</v>
          </cell>
          <cell r="B97" t="str">
            <v>MY</v>
          </cell>
          <cell r="C97" t="str">
            <v>MYR</v>
          </cell>
          <cell r="D97" t="str">
            <v>MYR</v>
          </cell>
          <cell r="E97">
            <v>389.9</v>
          </cell>
          <cell r="F97">
            <v>64.900000000000006</v>
          </cell>
          <cell r="G97">
            <v>319.89999999999998</v>
          </cell>
          <cell r="H97">
            <v>45.99</v>
          </cell>
          <cell r="I97">
            <v>16.899999999999999</v>
          </cell>
          <cell r="J97">
            <v>16.899999999999999</v>
          </cell>
          <cell r="K97">
            <v>7.9</v>
          </cell>
          <cell r="L97">
            <v>7.9</v>
          </cell>
          <cell r="M97"/>
        </row>
        <row r="98">
          <cell r="A98" t="str">
            <v>Maldives</v>
          </cell>
          <cell r="B98" t="str">
            <v>MV</v>
          </cell>
          <cell r="C98" t="str">
            <v>MVR</v>
          </cell>
          <cell r="D98" t="str">
            <v>USD</v>
          </cell>
          <cell r="E98">
            <v>70.989999999999995</v>
          </cell>
          <cell r="F98">
            <v>11.99</v>
          </cell>
          <cell r="G98">
            <v>52.99</v>
          </cell>
          <cell r="H98">
            <v>8.99</v>
          </cell>
          <cell r="I98">
            <v>3.99</v>
          </cell>
          <cell r="J98">
            <v>2.99</v>
          </cell>
          <cell r="K98">
            <v>1.99</v>
          </cell>
          <cell r="L98">
            <v>0.99</v>
          </cell>
          <cell r="M98"/>
        </row>
        <row r="99">
          <cell r="A99" t="str">
            <v>Mali</v>
          </cell>
          <cell r="B99" t="str">
            <v>ML</v>
          </cell>
          <cell r="C99" t="str">
            <v>XOF</v>
          </cell>
          <cell r="D99" t="str">
            <v>USD</v>
          </cell>
          <cell r="E99">
            <v>72.989999999999995</v>
          </cell>
          <cell r="F99">
            <v>11.99</v>
          </cell>
          <cell r="G99">
            <v>54.99</v>
          </cell>
          <cell r="H99">
            <v>8.99</v>
          </cell>
          <cell r="I99">
            <v>2.99</v>
          </cell>
          <cell r="J99">
            <v>2.99</v>
          </cell>
          <cell r="K99">
            <v>1.99</v>
          </cell>
          <cell r="L99">
            <v>1.99</v>
          </cell>
          <cell r="M99"/>
        </row>
        <row r="100">
          <cell r="A100" t="str">
            <v>Malta</v>
          </cell>
          <cell r="B100" t="str">
            <v>MT</v>
          </cell>
          <cell r="C100" t="str">
            <v>EUR</v>
          </cell>
          <cell r="D100" t="str">
            <v>EUR</v>
          </cell>
          <cell r="E100">
            <v>129.99</v>
          </cell>
          <cell r="F100">
            <v>21.99</v>
          </cell>
          <cell r="G100">
            <v>99.99</v>
          </cell>
          <cell r="H100">
            <v>16.989999999999998</v>
          </cell>
          <cell r="I100">
            <v>5.99</v>
          </cell>
          <cell r="J100">
            <v>4.99</v>
          </cell>
          <cell r="K100">
            <v>3.99</v>
          </cell>
          <cell r="L100">
            <v>2.99</v>
          </cell>
          <cell r="M100"/>
        </row>
        <row r="101">
          <cell r="A101" t="str">
            <v>Mauritania</v>
          </cell>
          <cell r="B101" t="str">
            <v>MR</v>
          </cell>
          <cell r="C101" t="str">
            <v>USD</v>
          </cell>
          <cell r="D101" t="str">
            <v>USD</v>
          </cell>
          <cell r="E101">
            <v>71.989999999999995</v>
          </cell>
          <cell r="F101">
            <v>11.99</v>
          </cell>
          <cell r="G101">
            <v>53.99</v>
          </cell>
          <cell r="H101">
            <v>8.99</v>
          </cell>
          <cell r="I101">
            <v>3.99</v>
          </cell>
          <cell r="J101">
            <v>3.99</v>
          </cell>
          <cell r="K101">
            <v>1.99</v>
          </cell>
          <cell r="L101">
            <v>1.99</v>
          </cell>
          <cell r="M101"/>
        </row>
        <row r="102">
          <cell r="A102" t="str">
            <v>Mauritius</v>
          </cell>
          <cell r="B102" t="str">
            <v>MU</v>
          </cell>
          <cell r="C102" t="str">
            <v>MUR</v>
          </cell>
          <cell r="D102" t="str">
            <v>USD</v>
          </cell>
          <cell r="E102">
            <v>59.99</v>
          </cell>
          <cell r="F102">
            <v>9.99</v>
          </cell>
          <cell r="G102">
            <v>43.99</v>
          </cell>
          <cell r="H102">
            <v>6.99</v>
          </cell>
          <cell r="I102">
            <v>2.99</v>
          </cell>
          <cell r="J102">
            <v>1.99</v>
          </cell>
          <cell r="K102">
            <v>1.99</v>
          </cell>
          <cell r="L102">
            <v>0.99</v>
          </cell>
          <cell r="M102"/>
        </row>
        <row r="103">
          <cell r="A103" t="str">
            <v>Mexico</v>
          </cell>
          <cell r="B103" t="str">
            <v>MX</v>
          </cell>
          <cell r="C103" t="str">
            <v>MXN</v>
          </cell>
          <cell r="D103" t="str">
            <v>MXN</v>
          </cell>
          <cell r="E103">
            <v>1990</v>
          </cell>
          <cell r="F103">
            <v>290</v>
          </cell>
          <cell r="G103">
            <v>1470</v>
          </cell>
          <cell r="H103">
            <v>210</v>
          </cell>
          <cell r="I103">
            <v>99</v>
          </cell>
          <cell r="J103">
            <v>74</v>
          </cell>
          <cell r="K103">
            <v>49</v>
          </cell>
          <cell r="L103">
            <v>24</v>
          </cell>
          <cell r="M103"/>
        </row>
        <row r="104">
          <cell r="A104" t="str">
            <v>Micronesia</v>
          </cell>
          <cell r="B104" t="str">
            <v>FM</v>
          </cell>
          <cell r="C104" t="str">
            <v>USD</v>
          </cell>
          <cell r="D104" t="str">
            <v>USD</v>
          </cell>
          <cell r="E104">
            <v>129.99</v>
          </cell>
          <cell r="F104">
            <v>18.989999999999998</v>
          </cell>
          <cell r="G104">
            <v>83.99</v>
          </cell>
          <cell r="H104">
            <v>13.99</v>
          </cell>
          <cell r="I104">
            <v>4.99</v>
          </cell>
          <cell r="J104">
            <v>3.99</v>
          </cell>
          <cell r="K104">
            <v>2.99</v>
          </cell>
          <cell r="L104">
            <v>1.9900000000000002</v>
          </cell>
          <cell r="M104"/>
        </row>
        <row r="105">
          <cell r="A105" t="str">
            <v>Moldova</v>
          </cell>
          <cell r="B105" t="str">
            <v>MD</v>
          </cell>
          <cell r="C105" t="str">
            <v>MDL</v>
          </cell>
          <cell r="D105" t="str">
            <v>USD</v>
          </cell>
          <cell r="E105">
            <v>84.99</v>
          </cell>
          <cell r="F105">
            <v>13.99</v>
          </cell>
          <cell r="G105">
            <v>62.99</v>
          </cell>
          <cell r="H105">
            <v>9.99</v>
          </cell>
          <cell r="I105">
            <v>3.99</v>
          </cell>
          <cell r="J105">
            <v>3.99</v>
          </cell>
          <cell r="K105">
            <v>1.9900000000000002</v>
          </cell>
          <cell r="L105">
            <v>1.9900000000000002</v>
          </cell>
          <cell r="M105"/>
        </row>
        <row r="106">
          <cell r="A106" t="str">
            <v>Mongolia</v>
          </cell>
          <cell r="B106" t="str">
            <v>MN</v>
          </cell>
          <cell r="C106" t="str">
            <v>MNT</v>
          </cell>
          <cell r="D106" t="str">
            <v>USD</v>
          </cell>
          <cell r="E106">
            <v>74.989999999999995</v>
          </cell>
          <cell r="F106">
            <v>11.99</v>
          </cell>
          <cell r="G106">
            <v>54.99</v>
          </cell>
          <cell r="H106">
            <v>8.99</v>
          </cell>
          <cell r="I106">
            <v>3.99</v>
          </cell>
          <cell r="J106">
            <v>2.99</v>
          </cell>
          <cell r="K106">
            <v>1.99</v>
          </cell>
          <cell r="L106">
            <v>0.99</v>
          </cell>
          <cell r="M106"/>
        </row>
        <row r="107">
          <cell r="A107" t="str">
            <v>Montenegro</v>
          </cell>
          <cell r="B107" t="str">
            <v>ME</v>
          </cell>
          <cell r="C107" t="str">
            <v>EUR</v>
          </cell>
          <cell r="D107" t="str">
            <v>EUR</v>
          </cell>
          <cell r="E107">
            <v>79.989999999999995</v>
          </cell>
          <cell r="F107">
            <v>12.99</v>
          </cell>
          <cell r="G107">
            <v>59.99</v>
          </cell>
          <cell r="H107">
            <v>9.99</v>
          </cell>
          <cell r="I107">
            <v>3.29</v>
          </cell>
          <cell r="J107">
            <v>3.29</v>
          </cell>
          <cell r="K107">
            <v>1.69</v>
          </cell>
          <cell r="L107">
            <v>1.69</v>
          </cell>
          <cell r="M107"/>
        </row>
        <row r="108">
          <cell r="A108" t="str">
            <v>Montserrat</v>
          </cell>
          <cell r="B108" t="str">
            <v>MS</v>
          </cell>
          <cell r="C108" t="str">
            <v>XCD</v>
          </cell>
          <cell r="D108" t="str">
            <v>USD</v>
          </cell>
          <cell r="E108">
            <v>99.99</v>
          </cell>
          <cell r="F108">
            <v>16.989999999999998</v>
          </cell>
          <cell r="G108">
            <v>72.989999999999995</v>
          </cell>
          <cell r="H108">
            <v>11.99</v>
          </cell>
          <cell r="I108">
            <v>4.99</v>
          </cell>
          <cell r="J108">
            <v>3.99</v>
          </cell>
          <cell r="K108">
            <v>2.99</v>
          </cell>
          <cell r="L108">
            <v>1.99</v>
          </cell>
          <cell r="M108"/>
        </row>
        <row r="109">
          <cell r="A109" t="str">
            <v>Morocco</v>
          </cell>
          <cell r="B109" t="str">
            <v>MA</v>
          </cell>
          <cell r="C109" t="str">
            <v>MAD</v>
          </cell>
          <cell r="D109" t="str">
            <v>USD</v>
          </cell>
          <cell r="E109">
            <v>72.989999999999995</v>
          </cell>
          <cell r="F109">
            <v>11.99</v>
          </cell>
          <cell r="G109">
            <v>54.99</v>
          </cell>
          <cell r="H109">
            <v>8.99</v>
          </cell>
          <cell r="I109">
            <v>2.99</v>
          </cell>
          <cell r="J109">
            <v>2.99</v>
          </cell>
          <cell r="K109">
            <v>1.99</v>
          </cell>
          <cell r="L109">
            <v>1.99</v>
          </cell>
          <cell r="M109"/>
        </row>
        <row r="110">
          <cell r="A110" t="str">
            <v>Mozambique</v>
          </cell>
          <cell r="B110" t="str">
            <v>MZ</v>
          </cell>
          <cell r="C110" t="str">
            <v>USD</v>
          </cell>
          <cell r="D110" t="str">
            <v>USD</v>
          </cell>
          <cell r="E110">
            <v>71.989999999999995</v>
          </cell>
          <cell r="F110">
            <v>11.99</v>
          </cell>
          <cell r="G110">
            <v>53.99</v>
          </cell>
          <cell r="H110">
            <v>8.99</v>
          </cell>
          <cell r="I110">
            <v>3.99</v>
          </cell>
          <cell r="J110">
            <v>3.99</v>
          </cell>
          <cell r="K110">
            <v>1.99</v>
          </cell>
          <cell r="L110">
            <v>1.99</v>
          </cell>
          <cell r="M110"/>
        </row>
        <row r="111">
          <cell r="A111" t="str">
            <v>Myanmar</v>
          </cell>
          <cell r="B111" t="str">
            <v>MM</v>
          </cell>
          <cell r="C111" t="str">
            <v>MMK</v>
          </cell>
          <cell r="D111" t="str">
            <v>USD</v>
          </cell>
          <cell r="E111">
            <v>64.989999999999995</v>
          </cell>
          <cell r="F111">
            <v>10.99</v>
          </cell>
          <cell r="G111">
            <v>49.99</v>
          </cell>
          <cell r="H111">
            <v>7.99</v>
          </cell>
          <cell r="I111">
            <v>2.99</v>
          </cell>
          <cell r="J111">
            <v>1.99</v>
          </cell>
          <cell r="K111">
            <v>1.99</v>
          </cell>
          <cell r="L111">
            <v>0.99</v>
          </cell>
          <cell r="M111"/>
        </row>
        <row r="112">
          <cell r="A112" t="str">
            <v>Namibia</v>
          </cell>
          <cell r="B112" t="str">
            <v>NA</v>
          </cell>
          <cell r="C112" t="str">
            <v>NAD</v>
          </cell>
          <cell r="D112" t="str">
            <v>USD</v>
          </cell>
          <cell r="E112">
            <v>52.99</v>
          </cell>
          <cell r="F112">
            <v>8.99</v>
          </cell>
          <cell r="G112">
            <v>38.99</v>
          </cell>
          <cell r="H112">
            <v>5.99</v>
          </cell>
          <cell r="I112">
            <v>1.99</v>
          </cell>
          <cell r="J112">
            <v>1.99</v>
          </cell>
          <cell r="K112">
            <v>0.99</v>
          </cell>
          <cell r="L112">
            <v>0.99</v>
          </cell>
          <cell r="M112"/>
        </row>
        <row r="113">
          <cell r="A113" t="str">
            <v>Nauru</v>
          </cell>
          <cell r="B113" t="str">
            <v>NR</v>
          </cell>
          <cell r="C113" t="str">
            <v>AUD</v>
          </cell>
          <cell r="D113" t="str">
            <v>USD</v>
          </cell>
          <cell r="E113">
            <v>74.989999999999995</v>
          </cell>
          <cell r="F113">
            <v>11.99</v>
          </cell>
          <cell r="G113">
            <v>52.99</v>
          </cell>
          <cell r="H113">
            <v>8.99</v>
          </cell>
          <cell r="I113">
            <v>2.99</v>
          </cell>
          <cell r="J113">
            <v>2.99</v>
          </cell>
          <cell r="K113">
            <v>1.99</v>
          </cell>
          <cell r="L113">
            <v>0.99</v>
          </cell>
          <cell r="M113"/>
        </row>
        <row r="114">
          <cell r="A114" t="str">
            <v>Nepal</v>
          </cell>
          <cell r="B114" t="str">
            <v>NP</v>
          </cell>
          <cell r="C114" t="str">
            <v>NPR</v>
          </cell>
          <cell r="D114" t="str">
            <v>USD</v>
          </cell>
          <cell r="E114">
            <v>78.989999999999995</v>
          </cell>
          <cell r="F114">
            <v>12.99</v>
          </cell>
          <cell r="G114">
            <v>57.99</v>
          </cell>
          <cell r="H114">
            <v>8.99</v>
          </cell>
          <cell r="I114">
            <v>2.99</v>
          </cell>
          <cell r="J114">
            <v>2.99</v>
          </cell>
          <cell r="K114">
            <v>1.99</v>
          </cell>
          <cell r="L114">
            <v>1.99</v>
          </cell>
          <cell r="M114"/>
        </row>
        <row r="115">
          <cell r="A115" t="str">
            <v>Netherlands</v>
          </cell>
          <cell r="B115" t="str">
            <v>NL</v>
          </cell>
          <cell r="C115" t="str">
            <v>EUR</v>
          </cell>
          <cell r="D115" t="str">
            <v>EUR</v>
          </cell>
          <cell r="E115">
            <v>149.99</v>
          </cell>
          <cell r="F115">
            <v>22.99</v>
          </cell>
          <cell r="G115">
            <v>109.99</v>
          </cell>
          <cell r="H115">
            <v>16.989999999999998</v>
          </cell>
          <cell r="I115">
            <v>5.99</v>
          </cell>
          <cell r="J115">
            <v>4.99</v>
          </cell>
          <cell r="K115">
            <v>3.99</v>
          </cell>
          <cell r="L115">
            <v>2.99</v>
          </cell>
          <cell r="M115"/>
        </row>
        <row r="116">
          <cell r="A116" t="str">
            <v>New Zealand</v>
          </cell>
          <cell r="B116" t="str">
            <v>NZ</v>
          </cell>
          <cell r="C116" t="str">
            <v>NZD</v>
          </cell>
          <cell r="D116" t="str">
            <v>NZD</v>
          </cell>
          <cell r="E116">
            <v>219.99</v>
          </cell>
          <cell r="F116">
            <v>33.99</v>
          </cell>
          <cell r="G116">
            <v>159.99</v>
          </cell>
          <cell r="H116">
            <v>24.99</v>
          </cell>
          <cell r="I116">
            <v>8.99</v>
          </cell>
          <cell r="J116">
            <v>8.99</v>
          </cell>
          <cell r="K116">
            <v>4.99</v>
          </cell>
          <cell r="L116">
            <v>4.99</v>
          </cell>
          <cell r="M116"/>
        </row>
        <row r="117">
          <cell r="A117" t="str">
            <v>Nicaragua</v>
          </cell>
          <cell r="B117" t="str">
            <v>NI</v>
          </cell>
          <cell r="C117" t="str">
            <v>NIO</v>
          </cell>
          <cell r="D117" t="str">
            <v>USD</v>
          </cell>
          <cell r="E117">
            <v>81.99</v>
          </cell>
          <cell r="F117">
            <v>13.99</v>
          </cell>
          <cell r="G117">
            <v>59.99</v>
          </cell>
          <cell r="H117">
            <v>9.99</v>
          </cell>
          <cell r="I117">
            <v>3.99</v>
          </cell>
          <cell r="J117">
            <v>3.99</v>
          </cell>
          <cell r="K117">
            <v>1.99</v>
          </cell>
          <cell r="L117">
            <v>1.99</v>
          </cell>
          <cell r="M117"/>
        </row>
        <row r="118">
          <cell r="A118" t="str">
            <v>Niger</v>
          </cell>
          <cell r="B118" t="str">
            <v>NE</v>
          </cell>
          <cell r="C118" t="str">
            <v>XOF</v>
          </cell>
          <cell r="D118" t="str">
            <v>USD</v>
          </cell>
          <cell r="E118">
            <v>72.989999999999995</v>
          </cell>
          <cell r="F118">
            <v>11.99</v>
          </cell>
          <cell r="G118">
            <v>54.99</v>
          </cell>
          <cell r="H118">
            <v>8.99</v>
          </cell>
          <cell r="I118">
            <v>2.99</v>
          </cell>
          <cell r="J118">
            <v>2.99</v>
          </cell>
          <cell r="K118">
            <v>1.99</v>
          </cell>
          <cell r="L118">
            <v>1.99</v>
          </cell>
          <cell r="M118"/>
        </row>
        <row r="119">
          <cell r="A119" t="str">
            <v>Nigeria</v>
          </cell>
          <cell r="B119" t="str">
            <v>NG</v>
          </cell>
          <cell r="C119" t="str">
            <v>NGN</v>
          </cell>
          <cell r="D119" t="str">
            <v>NGN</v>
          </cell>
          <cell r="E119">
            <v>46900</v>
          </cell>
          <cell r="F119">
            <v>7900</v>
          </cell>
          <cell r="G119">
            <v>34900</v>
          </cell>
          <cell r="H119">
            <v>5900</v>
          </cell>
          <cell r="I119">
            <v>2190</v>
          </cell>
          <cell r="J119">
            <v>2190</v>
          </cell>
          <cell r="K119">
            <v>1290</v>
          </cell>
          <cell r="L119">
            <v>1290</v>
          </cell>
          <cell r="M119"/>
        </row>
        <row r="120">
          <cell r="A120" t="str">
            <v>Norway</v>
          </cell>
          <cell r="B120" t="str">
            <v>NO</v>
          </cell>
          <cell r="C120" t="str">
            <v>NOK</v>
          </cell>
          <cell r="D120" t="str">
            <v>NOK</v>
          </cell>
          <cell r="E120">
            <v>1399</v>
          </cell>
          <cell r="F120">
            <v>210</v>
          </cell>
          <cell r="G120">
            <v>1000</v>
          </cell>
          <cell r="H120">
            <v>150</v>
          </cell>
          <cell r="I120">
            <v>55</v>
          </cell>
          <cell r="J120">
            <v>44</v>
          </cell>
          <cell r="K120">
            <v>33</v>
          </cell>
          <cell r="L120">
            <v>22</v>
          </cell>
          <cell r="M120"/>
        </row>
        <row r="121">
          <cell r="A121" t="str">
            <v>Oman</v>
          </cell>
          <cell r="B121" t="str">
            <v>OM</v>
          </cell>
          <cell r="C121" t="str">
            <v>OMR</v>
          </cell>
          <cell r="D121" t="str">
            <v>USD</v>
          </cell>
          <cell r="E121">
            <v>77.989999999999995</v>
          </cell>
          <cell r="F121">
            <v>12.99</v>
          </cell>
          <cell r="G121">
            <v>61.99</v>
          </cell>
          <cell r="H121">
            <v>9.99</v>
          </cell>
          <cell r="I121">
            <v>4.99</v>
          </cell>
          <cell r="J121">
            <v>4.99</v>
          </cell>
          <cell r="K121">
            <v>2.99</v>
          </cell>
          <cell r="L121">
            <v>2.99</v>
          </cell>
          <cell r="M121"/>
        </row>
        <row r="122">
          <cell r="A122" t="str">
            <v>Pakistan</v>
          </cell>
          <cell r="B122" t="str">
            <v>PK</v>
          </cell>
          <cell r="C122" t="str">
            <v>PKR</v>
          </cell>
          <cell r="D122" t="str">
            <v>PKR</v>
          </cell>
          <cell r="E122">
            <v>12200</v>
          </cell>
          <cell r="F122">
            <v>2049</v>
          </cell>
          <cell r="G122">
            <v>9000</v>
          </cell>
          <cell r="H122">
            <v>1500</v>
          </cell>
          <cell r="I122">
            <v>720</v>
          </cell>
          <cell r="J122">
            <v>720</v>
          </cell>
          <cell r="K122">
            <v>370</v>
          </cell>
          <cell r="L122">
            <v>370</v>
          </cell>
          <cell r="M122"/>
        </row>
        <row r="123">
          <cell r="A123" t="str">
            <v>Palau</v>
          </cell>
          <cell r="B123" t="str">
            <v>PW</v>
          </cell>
          <cell r="C123" t="str">
            <v>USD</v>
          </cell>
          <cell r="D123" t="str">
            <v>USD</v>
          </cell>
          <cell r="E123">
            <v>129.99</v>
          </cell>
          <cell r="F123">
            <v>18.989999999999998</v>
          </cell>
          <cell r="G123">
            <v>83.99</v>
          </cell>
          <cell r="H123">
            <v>13.99</v>
          </cell>
          <cell r="I123">
            <v>4.99</v>
          </cell>
          <cell r="J123">
            <v>3.99</v>
          </cell>
          <cell r="K123">
            <v>2.99</v>
          </cell>
          <cell r="L123">
            <v>1.9900000000000002</v>
          </cell>
          <cell r="M123"/>
        </row>
        <row r="124">
          <cell r="A124" t="str">
            <v>Panama</v>
          </cell>
          <cell r="B124" t="str">
            <v>PA</v>
          </cell>
          <cell r="C124" t="str">
            <v>USD</v>
          </cell>
          <cell r="D124" t="str">
            <v>USD</v>
          </cell>
          <cell r="E124">
            <v>113.99</v>
          </cell>
          <cell r="F124">
            <v>18.989999999999998</v>
          </cell>
          <cell r="G124">
            <v>83.99</v>
          </cell>
          <cell r="H124">
            <v>13.99</v>
          </cell>
          <cell r="I124">
            <v>4.99</v>
          </cell>
          <cell r="J124">
            <v>3.99</v>
          </cell>
          <cell r="K124">
            <v>2.99</v>
          </cell>
          <cell r="L124">
            <v>1.9900000000000002</v>
          </cell>
          <cell r="M124"/>
        </row>
        <row r="125">
          <cell r="A125" t="str">
            <v>Papua New Guinea</v>
          </cell>
          <cell r="B125" t="str">
            <v>PG</v>
          </cell>
          <cell r="C125" t="str">
            <v>PGK</v>
          </cell>
          <cell r="D125" t="str">
            <v>USD</v>
          </cell>
          <cell r="E125">
            <v>67.989999999999995</v>
          </cell>
          <cell r="F125">
            <v>10.99</v>
          </cell>
          <cell r="G125">
            <v>50.99</v>
          </cell>
          <cell r="H125">
            <v>7.99</v>
          </cell>
          <cell r="I125">
            <v>2.99</v>
          </cell>
          <cell r="J125">
            <v>1.99</v>
          </cell>
          <cell r="K125">
            <v>1.99</v>
          </cell>
          <cell r="L125">
            <v>0.99</v>
          </cell>
          <cell r="M125"/>
        </row>
        <row r="126">
          <cell r="A126" t="str">
            <v>Paraguay</v>
          </cell>
          <cell r="B126" t="str">
            <v>PY</v>
          </cell>
          <cell r="C126" t="str">
            <v>PYG</v>
          </cell>
          <cell r="D126" t="str">
            <v>USD</v>
          </cell>
          <cell r="E126">
            <v>79.989999999999995</v>
          </cell>
          <cell r="F126">
            <v>12.99</v>
          </cell>
          <cell r="G126">
            <v>59.99</v>
          </cell>
          <cell r="H126">
            <v>9.99</v>
          </cell>
          <cell r="I126">
            <v>3.99</v>
          </cell>
          <cell r="J126">
            <v>3.99</v>
          </cell>
          <cell r="K126">
            <v>1.99</v>
          </cell>
          <cell r="L126">
            <v>1.99</v>
          </cell>
          <cell r="M126"/>
        </row>
        <row r="127">
          <cell r="A127" t="str">
            <v>Peru</v>
          </cell>
          <cell r="B127" t="str">
            <v>PE</v>
          </cell>
          <cell r="C127" t="str">
            <v>PEN</v>
          </cell>
          <cell r="D127" t="str">
            <v>PEN</v>
          </cell>
          <cell r="E127">
            <v>379</v>
          </cell>
          <cell r="F127">
            <v>63</v>
          </cell>
          <cell r="G127">
            <v>279.89999999999998</v>
          </cell>
          <cell r="H127">
            <v>46.99</v>
          </cell>
          <cell r="I127">
            <v>17.899999999999999</v>
          </cell>
          <cell r="J127">
            <v>17.899999999999999</v>
          </cell>
          <cell r="K127">
            <v>10.9</v>
          </cell>
          <cell r="L127">
            <v>10.9</v>
          </cell>
          <cell r="M127"/>
        </row>
        <row r="128">
          <cell r="A128" t="str">
            <v>Philippines</v>
          </cell>
          <cell r="B128" t="str">
            <v>PH</v>
          </cell>
          <cell r="C128" t="str">
            <v>PHP</v>
          </cell>
          <cell r="D128" t="str">
            <v>PHP</v>
          </cell>
          <cell r="E128">
            <v>5050</v>
          </cell>
          <cell r="F128">
            <v>839</v>
          </cell>
          <cell r="G128">
            <v>3900</v>
          </cell>
          <cell r="H128">
            <v>559</v>
          </cell>
          <cell r="I128">
            <v>209</v>
          </cell>
          <cell r="J128">
            <v>209</v>
          </cell>
          <cell r="K128">
            <v>119</v>
          </cell>
          <cell r="L128">
            <v>119</v>
          </cell>
          <cell r="M128"/>
        </row>
        <row r="129">
          <cell r="A129" t="str">
            <v>Poland</v>
          </cell>
          <cell r="B129" t="str">
            <v>PL</v>
          </cell>
          <cell r="C129" t="str">
            <v>PLN</v>
          </cell>
          <cell r="D129" t="str">
            <v>PLN</v>
          </cell>
          <cell r="E129">
            <v>539.99</v>
          </cell>
          <cell r="F129">
            <v>82.99</v>
          </cell>
          <cell r="G129">
            <v>399.99</v>
          </cell>
          <cell r="H129">
            <v>61.99</v>
          </cell>
          <cell r="I129">
            <v>24.99</v>
          </cell>
          <cell r="J129">
            <v>19.989999999999998</v>
          </cell>
          <cell r="K129">
            <v>14.99</v>
          </cell>
          <cell r="L129">
            <v>9.99</v>
          </cell>
          <cell r="M129"/>
        </row>
        <row r="130">
          <cell r="A130" t="str">
            <v>Portugal</v>
          </cell>
          <cell r="B130" t="str">
            <v>PT</v>
          </cell>
          <cell r="C130" t="str">
            <v>EUR</v>
          </cell>
          <cell r="D130" t="str">
            <v>EUR</v>
          </cell>
          <cell r="E130">
            <v>129.99</v>
          </cell>
          <cell r="F130">
            <v>19.989999999999998</v>
          </cell>
          <cell r="G130">
            <v>97.99</v>
          </cell>
          <cell r="H130">
            <v>14.99</v>
          </cell>
          <cell r="I130">
            <v>4.99</v>
          </cell>
          <cell r="J130">
            <v>4.99</v>
          </cell>
          <cell r="K130">
            <v>2.99</v>
          </cell>
          <cell r="L130">
            <v>1.99</v>
          </cell>
          <cell r="M130"/>
        </row>
        <row r="131">
          <cell r="A131" t="str">
            <v>Qatar</v>
          </cell>
          <cell r="B131" t="str">
            <v>QA</v>
          </cell>
          <cell r="C131" t="str">
            <v>QAR</v>
          </cell>
          <cell r="D131" t="str">
            <v>QAR</v>
          </cell>
          <cell r="E131">
            <v>679.99</v>
          </cell>
          <cell r="F131">
            <v>96.99</v>
          </cell>
          <cell r="G131">
            <v>529.99</v>
          </cell>
          <cell r="H131">
            <v>74.989999999999995</v>
          </cell>
          <cell r="I131">
            <v>24.99</v>
          </cell>
          <cell r="J131">
            <v>20.99</v>
          </cell>
          <cell r="K131">
            <v>14.99</v>
          </cell>
          <cell r="L131">
            <v>10.99</v>
          </cell>
          <cell r="M131"/>
        </row>
        <row r="132">
          <cell r="A132" t="str">
            <v>Romania</v>
          </cell>
          <cell r="B132" t="str">
            <v>RO</v>
          </cell>
          <cell r="C132" t="str">
            <v>RON</v>
          </cell>
          <cell r="D132" t="str">
            <v>RON</v>
          </cell>
          <cell r="E132">
            <v>549.99</v>
          </cell>
          <cell r="F132">
            <v>81.99</v>
          </cell>
          <cell r="G132">
            <v>394.99</v>
          </cell>
          <cell r="H132">
            <v>58.99</v>
          </cell>
          <cell r="I132">
            <v>19.989999999999998</v>
          </cell>
          <cell r="J132">
            <v>19.989999999999998</v>
          </cell>
          <cell r="K132">
            <v>9.99</v>
          </cell>
          <cell r="L132">
            <v>9.99</v>
          </cell>
          <cell r="M132"/>
        </row>
        <row r="133">
          <cell r="A133" t="str">
            <v>Russia</v>
          </cell>
          <cell r="B133" t="str">
            <v>RU</v>
          </cell>
          <cell r="C133" t="str">
            <v>RUB</v>
          </cell>
          <cell r="D133" t="str">
            <v>RUB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/>
          <cell r="J133"/>
          <cell r="K133"/>
          <cell r="L133"/>
          <cell r="M133"/>
        </row>
        <row r="134">
          <cell r="A134" t="str">
            <v>Rwanda</v>
          </cell>
          <cell r="B134" t="str">
            <v>RW</v>
          </cell>
          <cell r="C134" t="str">
            <v>RWF</v>
          </cell>
          <cell r="D134" t="str">
            <v>USD</v>
          </cell>
          <cell r="E134">
            <v>78.989999999999995</v>
          </cell>
          <cell r="F134">
            <v>12.99</v>
          </cell>
          <cell r="G134">
            <v>58.99</v>
          </cell>
          <cell r="H134">
            <v>9.99</v>
          </cell>
          <cell r="I134">
            <v>3.99</v>
          </cell>
          <cell r="J134">
            <v>2.99</v>
          </cell>
          <cell r="K134">
            <v>1.99</v>
          </cell>
          <cell r="L134">
            <v>0.99</v>
          </cell>
          <cell r="M134"/>
        </row>
        <row r="135">
          <cell r="A135" t="str">
            <v>Sao Tome And Principe</v>
          </cell>
          <cell r="B135" t="str">
            <v>ST</v>
          </cell>
          <cell r="C135" t="str">
            <v>USD</v>
          </cell>
          <cell r="D135" t="str">
            <v>USD</v>
          </cell>
          <cell r="E135">
            <v>77.989999999999995</v>
          </cell>
          <cell r="F135">
            <v>12.99</v>
          </cell>
          <cell r="G135">
            <v>59.99</v>
          </cell>
          <cell r="H135">
            <v>9.99</v>
          </cell>
          <cell r="I135">
            <v>3.99</v>
          </cell>
          <cell r="J135">
            <v>3.99</v>
          </cell>
          <cell r="K135">
            <v>1.99</v>
          </cell>
          <cell r="L135">
            <v>1.99</v>
          </cell>
          <cell r="M135"/>
        </row>
        <row r="136">
          <cell r="A136" t="str">
            <v>Saudi Arabia</v>
          </cell>
          <cell r="B136" t="str">
            <v>SA</v>
          </cell>
          <cell r="C136" t="str">
            <v>SAR</v>
          </cell>
          <cell r="D136" t="str">
            <v>SAR</v>
          </cell>
          <cell r="E136">
            <v>529.99</v>
          </cell>
          <cell r="F136">
            <v>84.99</v>
          </cell>
          <cell r="G136">
            <v>384.99</v>
          </cell>
          <cell r="H136">
            <v>61.99</v>
          </cell>
          <cell r="I136">
            <v>22.99</v>
          </cell>
          <cell r="J136">
            <v>17.989999999999998</v>
          </cell>
          <cell r="K136">
            <v>12.989999999999998</v>
          </cell>
          <cell r="L136">
            <v>7.9899999999999984</v>
          </cell>
          <cell r="M136"/>
        </row>
        <row r="137">
          <cell r="A137" t="str">
            <v>Senegal</v>
          </cell>
          <cell r="B137" t="str">
            <v>SN</v>
          </cell>
          <cell r="C137" t="str">
            <v>XOF</v>
          </cell>
          <cell r="D137" t="str">
            <v>USD</v>
          </cell>
          <cell r="E137">
            <v>72.989999999999995</v>
          </cell>
          <cell r="F137">
            <v>11.99</v>
          </cell>
          <cell r="G137">
            <v>53.99</v>
          </cell>
          <cell r="H137">
            <v>8.99</v>
          </cell>
          <cell r="I137">
            <v>3.99</v>
          </cell>
          <cell r="J137">
            <v>3.99</v>
          </cell>
          <cell r="K137">
            <v>1.99</v>
          </cell>
          <cell r="L137">
            <v>1.99</v>
          </cell>
          <cell r="M137"/>
        </row>
        <row r="138">
          <cell r="A138" t="str">
            <v>Serbia</v>
          </cell>
          <cell r="B138" t="str">
            <v>RS</v>
          </cell>
          <cell r="C138" t="str">
            <v>RSD</v>
          </cell>
          <cell r="D138" t="str">
            <v>EUR</v>
          </cell>
          <cell r="E138">
            <v>87.99</v>
          </cell>
          <cell r="F138">
            <v>13.99</v>
          </cell>
          <cell r="G138">
            <v>63.99</v>
          </cell>
          <cell r="H138">
            <v>9.99</v>
          </cell>
          <cell r="I138">
            <v>3.99</v>
          </cell>
          <cell r="J138">
            <v>3.99</v>
          </cell>
          <cell r="K138">
            <v>1.99</v>
          </cell>
          <cell r="L138">
            <v>1.99</v>
          </cell>
          <cell r="M138"/>
        </row>
        <row r="139">
          <cell r="A139" t="str">
            <v>Seychelles</v>
          </cell>
          <cell r="B139" t="str">
            <v>SC</v>
          </cell>
          <cell r="C139" t="str">
            <v>SCR</v>
          </cell>
          <cell r="D139" t="str">
            <v>USD</v>
          </cell>
          <cell r="E139">
            <v>57.99</v>
          </cell>
          <cell r="F139">
            <v>9.99</v>
          </cell>
          <cell r="G139">
            <v>42.99</v>
          </cell>
          <cell r="H139">
            <v>6.99</v>
          </cell>
          <cell r="I139">
            <v>2.99</v>
          </cell>
          <cell r="J139">
            <v>2.99</v>
          </cell>
          <cell r="K139">
            <v>1.99</v>
          </cell>
          <cell r="L139">
            <v>1.99</v>
          </cell>
          <cell r="M139"/>
        </row>
        <row r="140">
          <cell r="A140" t="str">
            <v>Sierra Leone</v>
          </cell>
          <cell r="B140" t="str">
            <v>SL</v>
          </cell>
          <cell r="C140" t="str">
            <v>SLL</v>
          </cell>
          <cell r="D140" t="str">
            <v>USD</v>
          </cell>
          <cell r="E140">
            <v>59.99</v>
          </cell>
          <cell r="F140">
            <v>9.99</v>
          </cell>
          <cell r="G140">
            <v>44.99</v>
          </cell>
          <cell r="H140">
            <v>6.99</v>
          </cell>
          <cell r="I140">
            <v>2.99</v>
          </cell>
          <cell r="J140">
            <v>1.99</v>
          </cell>
          <cell r="K140">
            <v>1.99</v>
          </cell>
          <cell r="L140">
            <v>0.99</v>
          </cell>
          <cell r="M140"/>
        </row>
        <row r="141">
          <cell r="A141" t="str">
            <v>Singapore</v>
          </cell>
          <cell r="B141" t="str">
            <v>SG</v>
          </cell>
          <cell r="C141" t="str">
            <v>SGD</v>
          </cell>
          <cell r="D141" t="str">
            <v>SGD</v>
          </cell>
          <cell r="E141">
            <v>184.98</v>
          </cell>
          <cell r="F141">
            <v>26.984999999999999</v>
          </cell>
          <cell r="G141">
            <v>124.98</v>
          </cell>
          <cell r="H141">
            <v>17.98</v>
          </cell>
          <cell r="I141">
            <v>5.98</v>
          </cell>
          <cell r="J141">
            <v>5.98</v>
          </cell>
          <cell r="K141">
            <v>2.98</v>
          </cell>
          <cell r="L141">
            <v>2.98</v>
          </cell>
          <cell r="M141"/>
        </row>
        <row r="142">
          <cell r="A142" t="str">
            <v>Slovakia</v>
          </cell>
          <cell r="B142" t="str">
            <v>SK</v>
          </cell>
          <cell r="C142" t="str">
            <v>EUR</v>
          </cell>
          <cell r="D142" t="str">
            <v>EUR</v>
          </cell>
          <cell r="E142">
            <v>94.99</v>
          </cell>
          <cell r="F142">
            <v>14.99</v>
          </cell>
          <cell r="G142">
            <v>69.989999999999995</v>
          </cell>
          <cell r="H142">
            <v>10.99</v>
          </cell>
          <cell r="I142">
            <v>4.99</v>
          </cell>
          <cell r="J142">
            <v>3.99</v>
          </cell>
          <cell r="K142">
            <v>2.99</v>
          </cell>
          <cell r="L142">
            <v>1.99</v>
          </cell>
          <cell r="M142"/>
        </row>
        <row r="143">
          <cell r="A143" t="str">
            <v>Slovenia</v>
          </cell>
          <cell r="B143" t="str">
            <v>SI</v>
          </cell>
          <cell r="C143" t="str">
            <v>EUR</v>
          </cell>
          <cell r="D143" t="str">
            <v>EUR</v>
          </cell>
          <cell r="E143">
            <v>121.99</v>
          </cell>
          <cell r="F143">
            <v>18.989999999999998</v>
          </cell>
          <cell r="G143">
            <v>89.99</v>
          </cell>
          <cell r="H143">
            <v>13.99</v>
          </cell>
          <cell r="I143">
            <v>4.99</v>
          </cell>
          <cell r="J143">
            <v>3.99</v>
          </cell>
          <cell r="K143">
            <v>2.99</v>
          </cell>
          <cell r="L143">
            <v>1.99</v>
          </cell>
          <cell r="M143"/>
        </row>
        <row r="144">
          <cell r="A144" t="str">
            <v>Solomon Islands</v>
          </cell>
          <cell r="B144" t="str">
            <v>SB</v>
          </cell>
          <cell r="C144" t="str">
            <v>SBD</v>
          </cell>
          <cell r="D144" t="str">
            <v>USD</v>
          </cell>
          <cell r="E144">
            <v>69.989999999999995</v>
          </cell>
          <cell r="F144">
            <v>10.99</v>
          </cell>
          <cell r="G144">
            <v>51.99</v>
          </cell>
          <cell r="H144">
            <v>7.99</v>
          </cell>
          <cell r="I144">
            <v>2.99</v>
          </cell>
          <cell r="J144">
            <v>1.99</v>
          </cell>
          <cell r="K144">
            <v>1.99</v>
          </cell>
          <cell r="L144">
            <v>0.99</v>
          </cell>
          <cell r="M144"/>
        </row>
        <row r="145">
          <cell r="A145" t="str">
            <v>South Africa</v>
          </cell>
          <cell r="B145" t="str">
            <v>ZA</v>
          </cell>
          <cell r="C145" t="str">
            <v>ZAR</v>
          </cell>
          <cell r="D145" t="str">
            <v>ZAR</v>
          </cell>
          <cell r="E145">
            <v>1129.99</v>
          </cell>
          <cell r="F145">
            <v>189</v>
          </cell>
          <cell r="G145">
            <v>839.99</v>
          </cell>
          <cell r="H145">
            <v>139.99</v>
          </cell>
          <cell r="I145">
            <v>64.989999999999995</v>
          </cell>
          <cell r="J145">
            <v>64.989999999999995</v>
          </cell>
          <cell r="K145">
            <v>32.99</v>
          </cell>
          <cell r="L145">
            <v>32.99</v>
          </cell>
          <cell r="M145"/>
        </row>
        <row r="146">
          <cell r="A146" t="str">
            <v>Spain</v>
          </cell>
          <cell r="B146" t="str">
            <v>ES</v>
          </cell>
          <cell r="C146" t="str">
            <v>EUR</v>
          </cell>
          <cell r="D146" t="str">
            <v>EUR</v>
          </cell>
          <cell r="E146">
            <v>139.99</v>
          </cell>
          <cell r="F146">
            <v>19.989999999999998</v>
          </cell>
          <cell r="G146">
            <v>109.99</v>
          </cell>
          <cell r="H146">
            <v>15.99</v>
          </cell>
          <cell r="I146">
            <v>5.99</v>
          </cell>
          <cell r="J146">
            <v>4.99</v>
          </cell>
          <cell r="K146">
            <v>3.99</v>
          </cell>
          <cell r="L146">
            <v>2.99</v>
          </cell>
          <cell r="M146"/>
        </row>
        <row r="147">
          <cell r="A147" t="str">
            <v>Sri Lanka</v>
          </cell>
          <cell r="B147" t="str">
            <v>LK</v>
          </cell>
          <cell r="C147" t="str">
            <v>LKR</v>
          </cell>
          <cell r="D147" t="str">
            <v>USD</v>
          </cell>
          <cell r="E147">
            <v>49.99</v>
          </cell>
          <cell r="F147">
            <v>7.99</v>
          </cell>
          <cell r="G147">
            <v>37.99</v>
          </cell>
          <cell r="H147">
            <v>5.99</v>
          </cell>
          <cell r="I147">
            <v>1.99</v>
          </cell>
          <cell r="J147">
            <v>1.99</v>
          </cell>
          <cell r="K147">
            <v>0.99</v>
          </cell>
          <cell r="L147">
            <v>0.99</v>
          </cell>
          <cell r="M147"/>
        </row>
        <row r="148">
          <cell r="A148" t="str">
            <v>St. Kitts and Nevis</v>
          </cell>
          <cell r="B148" t="str">
            <v>KN</v>
          </cell>
          <cell r="C148" t="str">
            <v>XCD</v>
          </cell>
          <cell r="D148" t="str">
            <v>USD</v>
          </cell>
          <cell r="E148">
            <v>99.99</v>
          </cell>
          <cell r="F148">
            <v>16.989999999999998</v>
          </cell>
          <cell r="G148">
            <v>72.989999999999995</v>
          </cell>
          <cell r="H148">
            <v>11.99</v>
          </cell>
          <cell r="I148">
            <v>4.99</v>
          </cell>
          <cell r="J148">
            <v>3.99</v>
          </cell>
          <cell r="K148">
            <v>2.99</v>
          </cell>
          <cell r="L148">
            <v>1.99</v>
          </cell>
          <cell r="M148"/>
        </row>
        <row r="149">
          <cell r="A149" t="str">
            <v>St. Lucia</v>
          </cell>
          <cell r="B149" t="str">
            <v>LC</v>
          </cell>
          <cell r="C149" t="str">
            <v>XCD</v>
          </cell>
          <cell r="D149" t="str">
            <v>USD</v>
          </cell>
          <cell r="E149">
            <v>88.99</v>
          </cell>
          <cell r="F149">
            <v>14.99</v>
          </cell>
          <cell r="G149">
            <v>66.989999999999995</v>
          </cell>
          <cell r="H149">
            <v>10.99</v>
          </cell>
          <cell r="I149">
            <v>3.99</v>
          </cell>
          <cell r="J149">
            <v>2.99</v>
          </cell>
          <cell r="K149">
            <v>1.99</v>
          </cell>
          <cell r="L149">
            <v>0.99</v>
          </cell>
          <cell r="M149"/>
        </row>
        <row r="150">
          <cell r="A150" t="str">
            <v>St. Vincent and The Grenadines</v>
          </cell>
          <cell r="B150" t="str">
            <v>VC</v>
          </cell>
          <cell r="C150" t="str">
            <v>XCD</v>
          </cell>
          <cell r="D150" t="str">
            <v>USD</v>
          </cell>
          <cell r="E150">
            <v>89.99</v>
          </cell>
          <cell r="F150">
            <v>14.99</v>
          </cell>
          <cell r="G150">
            <v>66.989999999999995</v>
          </cell>
          <cell r="H150">
            <v>10.99</v>
          </cell>
          <cell r="I150">
            <v>3.99</v>
          </cell>
          <cell r="J150">
            <v>2.99</v>
          </cell>
          <cell r="K150">
            <v>1.99</v>
          </cell>
          <cell r="L150">
            <v>0.99</v>
          </cell>
          <cell r="M150"/>
        </row>
        <row r="151">
          <cell r="A151" t="str">
            <v>Suriname</v>
          </cell>
          <cell r="B151" t="str">
            <v>SR</v>
          </cell>
          <cell r="C151" t="str">
            <v>SRD</v>
          </cell>
          <cell r="D151" t="str">
            <v>USD</v>
          </cell>
          <cell r="E151">
            <v>69.989999999999995</v>
          </cell>
          <cell r="F151">
            <v>9.99</v>
          </cell>
          <cell r="G151">
            <v>62.99</v>
          </cell>
          <cell r="H151">
            <v>8.99</v>
          </cell>
          <cell r="I151">
            <v>3.99</v>
          </cell>
          <cell r="J151">
            <v>3.99</v>
          </cell>
          <cell r="K151">
            <v>1.99</v>
          </cell>
          <cell r="L151">
            <v>1.99</v>
          </cell>
          <cell r="M151"/>
        </row>
        <row r="152">
          <cell r="A152" t="str">
            <v>Sweden</v>
          </cell>
          <cell r="B152" t="str">
            <v>SE</v>
          </cell>
          <cell r="C152" t="str">
            <v>SEK</v>
          </cell>
          <cell r="D152" t="str">
            <v>SEK</v>
          </cell>
          <cell r="E152">
            <v>1470</v>
          </cell>
          <cell r="F152">
            <v>220</v>
          </cell>
          <cell r="G152">
            <v>1070</v>
          </cell>
          <cell r="H152">
            <v>160</v>
          </cell>
          <cell r="I152">
            <v>55</v>
          </cell>
          <cell r="J152">
            <v>45</v>
          </cell>
          <cell r="K152">
            <v>30</v>
          </cell>
          <cell r="L152">
            <v>20</v>
          </cell>
          <cell r="M152"/>
        </row>
        <row r="153">
          <cell r="A153" t="str">
            <v>Switzerland</v>
          </cell>
          <cell r="B153" t="str">
            <v>CH</v>
          </cell>
          <cell r="C153" t="str">
            <v>CHF</v>
          </cell>
          <cell r="D153" t="str">
            <v>CHF</v>
          </cell>
          <cell r="E153">
            <v>220</v>
          </cell>
          <cell r="F153">
            <v>34</v>
          </cell>
          <cell r="G153">
            <v>160</v>
          </cell>
          <cell r="H153">
            <v>25</v>
          </cell>
          <cell r="I153">
            <v>9</v>
          </cell>
          <cell r="J153">
            <v>7</v>
          </cell>
          <cell r="K153">
            <v>6</v>
          </cell>
          <cell r="L153">
            <v>4</v>
          </cell>
          <cell r="M153"/>
        </row>
        <row r="154">
          <cell r="A154" t="str">
            <v>Taiwan</v>
          </cell>
          <cell r="B154" t="str">
            <v>TW</v>
          </cell>
          <cell r="C154" t="str">
            <v>TWD</v>
          </cell>
          <cell r="D154" t="str">
            <v>TWD</v>
          </cell>
          <cell r="E154">
            <v>3590</v>
          </cell>
          <cell r="F154">
            <v>540</v>
          </cell>
          <cell r="G154">
            <v>2700</v>
          </cell>
          <cell r="H154">
            <v>390</v>
          </cell>
          <cell r="I154">
            <v>130</v>
          </cell>
          <cell r="J154">
            <v>130</v>
          </cell>
          <cell r="K154">
            <v>70</v>
          </cell>
          <cell r="L154">
            <v>70</v>
          </cell>
          <cell r="M154"/>
        </row>
        <row r="155">
          <cell r="A155" t="str">
            <v>Tajikistan</v>
          </cell>
          <cell r="B155" t="str">
            <v>TJ</v>
          </cell>
          <cell r="C155" t="str">
            <v>USD</v>
          </cell>
          <cell r="D155" t="str">
            <v>USD</v>
          </cell>
          <cell r="E155">
            <v>71.989999999999995</v>
          </cell>
          <cell r="F155">
            <v>11.99</v>
          </cell>
          <cell r="G155">
            <v>53.99</v>
          </cell>
          <cell r="H155">
            <v>8.99</v>
          </cell>
          <cell r="I155">
            <v>3.49</v>
          </cell>
          <cell r="J155">
            <v>3.49</v>
          </cell>
          <cell r="K155">
            <v>1.19</v>
          </cell>
          <cell r="L155">
            <v>1.19</v>
          </cell>
          <cell r="M155"/>
        </row>
        <row r="156">
          <cell r="A156" t="str">
            <v>Tanzania</v>
          </cell>
          <cell r="B156" t="str">
            <v>TZ</v>
          </cell>
          <cell r="C156" t="str">
            <v>TZS</v>
          </cell>
          <cell r="D156" t="str">
            <v>TZS</v>
          </cell>
          <cell r="E156">
            <v>169000</v>
          </cell>
          <cell r="F156">
            <v>28000</v>
          </cell>
          <cell r="G156">
            <v>125900</v>
          </cell>
          <cell r="H156">
            <v>20900</v>
          </cell>
          <cell r="I156">
            <v>8900</v>
          </cell>
          <cell r="J156">
            <v>8900</v>
          </cell>
          <cell r="K156">
            <v>4500</v>
          </cell>
          <cell r="L156">
            <v>4500</v>
          </cell>
          <cell r="M156"/>
        </row>
        <row r="157">
          <cell r="A157" t="str">
            <v>Thailand</v>
          </cell>
          <cell r="B157" t="str">
            <v>TH</v>
          </cell>
          <cell r="C157" t="str">
            <v>THB</v>
          </cell>
          <cell r="D157" t="str">
            <v>THB</v>
          </cell>
          <cell r="E157">
            <v>2900</v>
          </cell>
          <cell r="F157">
            <v>449</v>
          </cell>
          <cell r="G157">
            <v>2100</v>
          </cell>
          <cell r="H157">
            <v>300</v>
          </cell>
          <cell r="I157">
            <v>149</v>
          </cell>
          <cell r="J157">
            <v>149</v>
          </cell>
          <cell r="K157">
            <v>69</v>
          </cell>
          <cell r="L157">
            <v>69</v>
          </cell>
          <cell r="M157"/>
        </row>
        <row r="158">
          <cell r="A158" t="str">
            <v>Tonga</v>
          </cell>
          <cell r="B158" t="str">
            <v>TO</v>
          </cell>
          <cell r="C158" t="str">
            <v>TOP</v>
          </cell>
          <cell r="D158" t="str">
            <v>USD</v>
          </cell>
          <cell r="E158">
            <v>79.989999999999995</v>
          </cell>
          <cell r="F158">
            <v>12.99</v>
          </cell>
          <cell r="G158">
            <v>58.99</v>
          </cell>
          <cell r="H158">
            <v>9.99</v>
          </cell>
          <cell r="I158">
            <v>3.99</v>
          </cell>
          <cell r="J158">
            <v>2.99</v>
          </cell>
          <cell r="K158">
            <v>1.99</v>
          </cell>
          <cell r="L158">
            <v>0.99</v>
          </cell>
          <cell r="M158"/>
        </row>
        <row r="159">
          <cell r="A159" t="str">
            <v>Trinidad and Tobago</v>
          </cell>
          <cell r="B159" t="str">
            <v>TT</v>
          </cell>
          <cell r="C159" t="str">
            <v>TTD</v>
          </cell>
          <cell r="D159" t="str">
            <v>USD</v>
          </cell>
          <cell r="E159">
            <v>101.99</v>
          </cell>
          <cell r="F159">
            <v>16.989999999999998</v>
          </cell>
          <cell r="G159">
            <v>71.989999999999995</v>
          </cell>
          <cell r="H159">
            <v>11.99</v>
          </cell>
          <cell r="I159">
            <v>3.99</v>
          </cell>
          <cell r="J159">
            <v>3.99</v>
          </cell>
          <cell r="K159">
            <v>2.99</v>
          </cell>
          <cell r="L159">
            <v>1.99</v>
          </cell>
          <cell r="M159"/>
        </row>
        <row r="160">
          <cell r="A160" t="str">
            <v>Tunisia</v>
          </cell>
          <cell r="B160" t="str">
            <v>TN</v>
          </cell>
          <cell r="C160" t="str">
            <v>TND</v>
          </cell>
          <cell r="D160" t="str">
            <v>USD</v>
          </cell>
          <cell r="E160">
            <v>69.989999999999995</v>
          </cell>
          <cell r="F160">
            <v>11.99</v>
          </cell>
          <cell r="G160">
            <v>51.99</v>
          </cell>
          <cell r="H160">
            <v>8.99</v>
          </cell>
          <cell r="I160">
            <v>2.99</v>
          </cell>
          <cell r="J160">
            <v>2.99</v>
          </cell>
          <cell r="K160">
            <v>1.99</v>
          </cell>
          <cell r="L160">
            <v>1.99</v>
          </cell>
          <cell r="M160"/>
        </row>
        <row r="161">
          <cell r="A161" t="str">
            <v>Turkey</v>
          </cell>
          <cell r="B161" t="str">
            <v>TR</v>
          </cell>
          <cell r="C161" t="str">
            <v>TRY</v>
          </cell>
          <cell r="D161" t="str">
            <v>TRY</v>
          </cell>
          <cell r="E161">
            <v>1249.99</v>
          </cell>
          <cell r="F161">
            <v>189.99</v>
          </cell>
          <cell r="G161">
            <v>919.99</v>
          </cell>
          <cell r="H161">
            <v>139.99</v>
          </cell>
          <cell r="I161">
            <v>52.99</v>
          </cell>
          <cell r="J161">
            <v>52.99</v>
          </cell>
          <cell r="K161">
            <v>29.99</v>
          </cell>
          <cell r="L161">
            <v>29.99</v>
          </cell>
          <cell r="M161"/>
        </row>
        <row r="162">
          <cell r="A162" t="str">
            <v>Turkmenistan</v>
          </cell>
          <cell r="B162" t="str">
            <v>TM</v>
          </cell>
          <cell r="C162" t="str">
            <v>USD</v>
          </cell>
          <cell r="D162" t="str">
            <v>USD</v>
          </cell>
          <cell r="E162">
            <v>89.99</v>
          </cell>
          <cell r="F162">
            <v>14.99</v>
          </cell>
          <cell r="G162">
            <v>65.989999999999995</v>
          </cell>
          <cell r="H162">
            <v>10.99</v>
          </cell>
          <cell r="I162">
            <v>4.99</v>
          </cell>
          <cell r="J162">
            <v>3.99</v>
          </cell>
          <cell r="K162">
            <v>2.99</v>
          </cell>
          <cell r="L162">
            <v>1.9900000000000002</v>
          </cell>
          <cell r="M162"/>
        </row>
        <row r="163">
          <cell r="A163" t="str">
            <v>Turks and Caicos Islands</v>
          </cell>
          <cell r="B163" t="str">
            <v>TC</v>
          </cell>
          <cell r="C163" t="str">
            <v>USD</v>
          </cell>
          <cell r="D163" t="str">
            <v>USD</v>
          </cell>
          <cell r="E163">
            <v>102.99</v>
          </cell>
          <cell r="F163">
            <v>16.989999999999998</v>
          </cell>
          <cell r="G163">
            <v>71.989999999999995</v>
          </cell>
          <cell r="H163">
            <v>11.99</v>
          </cell>
          <cell r="I163">
            <v>4.99</v>
          </cell>
          <cell r="J163">
            <v>3.99</v>
          </cell>
          <cell r="K163">
            <v>2.99</v>
          </cell>
          <cell r="L163">
            <v>1.9900000000000002</v>
          </cell>
          <cell r="M163"/>
        </row>
        <row r="164">
          <cell r="A164" t="str">
            <v>Uganda</v>
          </cell>
          <cell r="B164" t="str">
            <v>UG</v>
          </cell>
          <cell r="C164" t="str">
            <v>UGX</v>
          </cell>
          <cell r="D164" t="str">
            <v>USD</v>
          </cell>
          <cell r="E164">
            <v>72.989999999999995</v>
          </cell>
          <cell r="F164">
            <v>11.99</v>
          </cell>
          <cell r="G164">
            <v>53.99</v>
          </cell>
          <cell r="H164">
            <v>8.99</v>
          </cell>
          <cell r="I164">
            <v>2.99</v>
          </cell>
          <cell r="J164">
            <v>2.99</v>
          </cell>
          <cell r="K164">
            <v>1.99</v>
          </cell>
          <cell r="L164">
            <v>1.99</v>
          </cell>
          <cell r="M164"/>
        </row>
        <row r="165">
          <cell r="A165" t="str">
            <v>Ukraine</v>
          </cell>
          <cell r="B165" t="str">
            <v>UA</v>
          </cell>
          <cell r="C165" t="str">
            <v>UAH</v>
          </cell>
          <cell r="D165" t="str">
            <v>USD</v>
          </cell>
          <cell r="E165"/>
          <cell r="F165"/>
          <cell r="G165"/>
          <cell r="H165"/>
          <cell r="I165"/>
          <cell r="J165"/>
          <cell r="K165"/>
          <cell r="L165"/>
          <cell r="M165"/>
        </row>
        <row r="166">
          <cell r="A166" t="str">
            <v>United Arab Emirates</v>
          </cell>
          <cell r="B166" t="str">
            <v>AE</v>
          </cell>
          <cell r="C166" t="str">
            <v>AED</v>
          </cell>
          <cell r="D166" t="str">
            <v>AED</v>
          </cell>
          <cell r="E166">
            <v>559.99</v>
          </cell>
          <cell r="F166">
            <v>86.99</v>
          </cell>
          <cell r="G166">
            <v>399.99</v>
          </cell>
          <cell r="H166">
            <v>61.99</v>
          </cell>
          <cell r="I166">
            <v>18.989999999999998</v>
          </cell>
          <cell r="J166">
            <v>15.989999999999998</v>
          </cell>
          <cell r="K166">
            <v>11.99</v>
          </cell>
          <cell r="L166">
            <v>8.99</v>
          </cell>
          <cell r="M166"/>
        </row>
        <row r="167">
          <cell r="A167" t="str">
            <v>United Kingdom</v>
          </cell>
          <cell r="B167" t="str">
            <v>GB</v>
          </cell>
          <cell r="C167" t="str">
            <v>GBP</v>
          </cell>
          <cell r="D167" t="str">
            <v>GBP</v>
          </cell>
          <cell r="E167">
            <v>149.99</v>
          </cell>
          <cell r="F167">
            <v>22.99</v>
          </cell>
          <cell r="G167">
            <v>114.99</v>
          </cell>
          <cell r="H167">
            <v>16.989999999999998</v>
          </cell>
          <cell r="I167">
            <v>6.99</v>
          </cell>
          <cell r="J167">
            <v>5.99</v>
          </cell>
          <cell r="K167">
            <v>4.99</v>
          </cell>
          <cell r="L167">
            <v>3.99</v>
          </cell>
          <cell r="M167"/>
        </row>
        <row r="168">
          <cell r="A168" t="str">
            <v>United States</v>
          </cell>
          <cell r="B168" t="str">
            <v>US</v>
          </cell>
          <cell r="C168" t="str">
            <v>USD</v>
          </cell>
          <cell r="D168" t="str">
            <v>USD</v>
          </cell>
          <cell r="E168">
            <v>159.99</v>
          </cell>
          <cell r="F168">
            <v>24.99</v>
          </cell>
          <cell r="G168">
            <v>109.99</v>
          </cell>
          <cell r="H168">
            <v>16.989999999999998</v>
          </cell>
          <cell r="I168">
            <v>6.99</v>
          </cell>
          <cell r="J168">
            <v>4.99</v>
          </cell>
          <cell r="K168">
            <v>2.99</v>
          </cell>
          <cell r="L168">
            <v>0.99</v>
          </cell>
          <cell r="M168"/>
        </row>
        <row r="169">
          <cell r="A169" t="str">
            <v>Uruguay</v>
          </cell>
          <cell r="B169" t="str">
            <v>UY</v>
          </cell>
          <cell r="C169" t="str">
            <v>UYU</v>
          </cell>
          <cell r="D169" t="str">
            <v>USD</v>
          </cell>
          <cell r="E169">
            <v>104.99</v>
          </cell>
          <cell r="F169">
            <v>17.989999999999998</v>
          </cell>
          <cell r="G169">
            <v>77.989999999999995</v>
          </cell>
          <cell r="H169">
            <v>12.99</v>
          </cell>
          <cell r="I169">
            <v>3.99</v>
          </cell>
          <cell r="J169">
            <v>2.99</v>
          </cell>
          <cell r="K169">
            <v>1.99</v>
          </cell>
          <cell r="L169">
            <v>0.99</v>
          </cell>
          <cell r="M169"/>
        </row>
        <row r="170">
          <cell r="A170" t="str">
            <v>Uzbekistan</v>
          </cell>
          <cell r="B170" t="str">
            <v>UZ</v>
          </cell>
          <cell r="C170" t="str">
            <v>UZS</v>
          </cell>
          <cell r="D170" t="str">
            <v>USD</v>
          </cell>
          <cell r="E170">
            <v>72.989999999999995</v>
          </cell>
          <cell r="F170">
            <v>11.99</v>
          </cell>
          <cell r="G170">
            <v>54.99</v>
          </cell>
          <cell r="H170">
            <v>8.99</v>
          </cell>
          <cell r="I170">
            <v>2.4900000000000002</v>
          </cell>
          <cell r="J170">
            <v>2.4900000000000002</v>
          </cell>
          <cell r="K170">
            <v>1.19</v>
          </cell>
          <cell r="L170">
            <v>1.19</v>
          </cell>
          <cell r="M170"/>
        </row>
        <row r="171">
          <cell r="A171" t="str">
            <v>Vanuatu</v>
          </cell>
          <cell r="B171" t="str">
            <v>VU</v>
          </cell>
          <cell r="C171" t="str">
            <v>VUV</v>
          </cell>
          <cell r="D171" t="str">
            <v>USD</v>
          </cell>
          <cell r="E171">
            <v>61.99</v>
          </cell>
          <cell r="F171">
            <v>10.99</v>
          </cell>
          <cell r="G171">
            <v>44.99</v>
          </cell>
          <cell r="H171">
            <v>7.99</v>
          </cell>
          <cell r="I171">
            <v>2.99</v>
          </cell>
          <cell r="J171">
            <v>2.99</v>
          </cell>
          <cell r="K171">
            <v>1.99</v>
          </cell>
          <cell r="L171">
            <v>1.99</v>
          </cell>
          <cell r="M171"/>
        </row>
        <row r="172">
          <cell r="A172" t="str">
            <v>Venezuela</v>
          </cell>
          <cell r="B172" t="str">
            <v>VE</v>
          </cell>
          <cell r="C172" t="str">
            <v>USD</v>
          </cell>
          <cell r="D172" t="str">
            <v>USD</v>
          </cell>
          <cell r="E172">
            <v>95.99</v>
          </cell>
          <cell r="F172">
            <v>15.99</v>
          </cell>
          <cell r="G172">
            <v>71.989999999999995</v>
          </cell>
          <cell r="H172">
            <v>11.99</v>
          </cell>
          <cell r="I172">
            <v>4.99</v>
          </cell>
          <cell r="J172">
            <v>3.99</v>
          </cell>
          <cell r="K172">
            <v>2.99</v>
          </cell>
          <cell r="L172">
            <v>1.9900000000000002</v>
          </cell>
          <cell r="M172"/>
        </row>
        <row r="173">
          <cell r="A173" t="str">
            <v>Vietnam</v>
          </cell>
          <cell r="B173" t="str">
            <v>VN</v>
          </cell>
          <cell r="C173" t="str">
            <v>VND</v>
          </cell>
          <cell r="D173" t="str">
            <v>VND</v>
          </cell>
          <cell r="E173">
            <v>1999000</v>
          </cell>
          <cell r="F173">
            <v>309000</v>
          </cell>
          <cell r="G173">
            <v>1549000</v>
          </cell>
          <cell r="H173">
            <v>220000</v>
          </cell>
          <cell r="I173">
            <v>89000</v>
          </cell>
          <cell r="J173">
            <v>89000</v>
          </cell>
          <cell r="K173">
            <v>45000</v>
          </cell>
          <cell r="L173">
            <v>45000</v>
          </cell>
          <cell r="M173"/>
        </row>
        <row r="174">
          <cell r="A174" t="str">
            <v>Yemen</v>
          </cell>
          <cell r="B174" t="str">
            <v>YE</v>
          </cell>
          <cell r="C174" t="str">
            <v>USD</v>
          </cell>
          <cell r="D174" t="str">
            <v>USD</v>
          </cell>
          <cell r="E174">
            <v>77.989999999999995</v>
          </cell>
          <cell r="F174">
            <v>12.99</v>
          </cell>
          <cell r="G174">
            <v>57.99</v>
          </cell>
          <cell r="H174">
            <v>9.99</v>
          </cell>
          <cell r="I174">
            <v>3.99</v>
          </cell>
          <cell r="J174">
            <v>2.99</v>
          </cell>
          <cell r="K174">
            <v>1.99</v>
          </cell>
          <cell r="L174">
            <v>0.99</v>
          </cell>
          <cell r="M174"/>
        </row>
        <row r="175">
          <cell r="A175" t="str">
            <v>Zambia</v>
          </cell>
          <cell r="B175" t="str">
            <v>ZM</v>
          </cell>
          <cell r="C175" t="str">
            <v>ZMW</v>
          </cell>
          <cell r="D175" t="str">
            <v>USD</v>
          </cell>
          <cell r="E175">
            <v>79.989999999999995</v>
          </cell>
          <cell r="F175">
            <v>12.99</v>
          </cell>
          <cell r="G175">
            <v>57.99</v>
          </cell>
          <cell r="H175">
            <v>9.99</v>
          </cell>
          <cell r="I175">
            <v>3.99</v>
          </cell>
          <cell r="J175">
            <v>2.99</v>
          </cell>
          <cell r="K175">
            <v>2.99</v>
          </cell>
          <cell r="L175">
            <v>1.99</v>
          </cell>
          <cell r="M175"/>
        </row>
        <row r="176">
          <cell r="A176" t="str">
            <v>Zimbabwe</v>
          </cell>
          <cell r="B176" t="str">
            <v>ZW</v>
          </cell>
          <cell r="C176" t="str">
            <v>USD</v>
          </cell>
          <cell r="D176" t="str">
            <v>USD</v>
          </cell>
          <cell r="E176">
            <v>71.989999999999995</v>
          </cell>
          <cell r="F176">
            <v>11.99</v>
          </cell>
          <cell r="G176">
            <v>53.99</v>
          </cell>
          <cell r="H176">
            <v>8.99</v>
          </cell>
          <cell r="I176">
            <v>3.99</v>
          </cell>
          <cell r="J176">
            <v>3.99</v>
          </cell>
          <cell r="K176">
            <v>2.99</v>
          </cell>
          <cell r="L176">
            <v>2.99</v>
          </cell>
        </row>
      </sheetData>
      <sheetData sheetId="11">
        <row r="1"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</row>
        <row r="3">
          <cell r="B3" t="str">
            <v>Albania</v>
          </cell>
          <cell r="C3" t="str">
            <v>AL</v>
          </cell>
          <cell r="D3" t="str">
            <v>ALL</v>
          </cell>
          <cell r="E3" t="str">
            <v>USD</v>
          </cell>
          <cell r="F3">
            <v>104.99</v>
          </cell>
          <cell r="G3">
            <v>16.989999999999998</v>
          </cell>
          <cell r="H3">
            <v>77.989999999999995</v>
          </cell>
          <cell r="I3">
            <v>12.99</v>
          </cell>
          <cell r="J3">
            <v>4.99</v>
          </cell>
          <cell r="K3">
            <v>4.99</v>
          </cell>
          <cell r="L3">
            <v>3.99</v>
          </cell>
          <cell r="M3">
            <v>3.99</v>
          </cell>
        </row>
        <row r="4">
          <cell r="B4" t="str">
            <v>Algeria</v>
          </cell>
          <cell r="C4" t="str">
            <v>DZ</v>
          </cell>
          <cell r="D4" t="str">
            <v>DZD</v>
          </cell>
          <cell r="E4" t="str">
            <v>DZD</v>
          </cell>
          <cell r="F4">
            <v>8099.99</v>
          </cell>
          <cell r="G4">
            <v>1349.99</v>
          </cell>
          <cell r="H4">
            <v>5999.99</v>
          </cell>
          <cell r="I4">
            <v>999.99</v>
          </cell>
          <cell r="J4">
            <v>349.99</v>
          </cell>
          <cell r="K4">
            <v>279.99</v>
          </cell>
          <cell r="L4">
            <v>209.99</v>
          </cell>
          <cell r="M4">
            <v>139.99</v>
          </cell>
        </row>
        <row r="5">
          <cell r="B5" t="str">
            <v>Angola</v>
          </cell>
          <cell r="C5" t="str">
            <v>AO</v>
          </cell>
          <cell r="D5" t="str">
            <v>USD</v>
          </cell>
          <cell r="E5" t="str">
            <v>USD</v>
          </cell>
          <cell r="F5">
            <v>71.989999999999995</v>
          </cell>
          <cell r="G5">
            <v>11.99</v>
          </cell>
          <cell r="H5">
            <v>53.99</v>
          </cell>
          <cell r="I5">
            <v>8.99</v>
          </cell>
          <cell r="J5">
            <v>3.99</v>
          </cell>
          <cell r="K5">
            <v>3.99</v>
          </cell>
          <cell r="L5">
            <v>1.99</v>
          </cell>
          <cell r="M5">
            <v>1.99</v>
          </cell>
        </row>
        <row r="6">
          <cell r="B6" t="str">
            <v>Antigua And Barbuda</v>
          </cell>
          <cell r="C6" t="str">
            <v>AG</v>
          </cell>
          <cell r="D6" t="str">
            <v>XCD</v>
          </cell>
          <cell r="E6" t="str">
            <v>USD</v>
          </cell>
          <cell r="F6">
            <v>112.99</v>
          </cell>
          <cell r="G6">
            <v>18.989999999999998</v>
          </cell>
          <cell r="H6">
            <v>83.99</v>
          </cell>
          <cell r="I6">
            <v>13.99</v>
          </cell>
          <cell r="J6">
            <v>4.99</v>
          </cell>
          <cell r="K6">
            <v>3.99</v>
          </cell>
          <cell r="L6">
            <v>2.99</v>
          </cell>
          <cell r="M6">
            <v>1.99</v>
          </cell>
        </row>
        <row r="7">
          <cell r="B7" t="str">
            <v>Argentina</v>
          </cell>
          <cell r="C7" t="str">
            <v>AR</v>
          </cell>
          <cell r="D7" t="str">
            <v>ARS</v>
          </cell>
          <cell r="E7" t="str">
            <v>USD</v>
          </cell>
          <cell r="F7">
            <v>79.989999999999995</v>
          </cell>
          <cell r="G7">
            <v>12.99</v>
          </cell>
          <cell r="H7">
            <v>59.99</v>
          </cell>
          <cell r="I7">
            <v>9.99</v>
          </cell>
          <cell r="J7">
            <v>3.99</v>
          </cell>
          <cell r="K7">
            <v>3.99</v>
          </cell>
          <cell r="L7">
            <v>2.99</v>
          </cell>
          <cell r="M7">
            <v>2.99</v>
          </cell>
        </row>
        <row r="8">
          <cell r="B8" t="str">
            <v>Armenia</v>
          </cell>
          <cell r="C8" t="str">
            <v>AM</v>
          </cell>
          <cell r="D8" t="str">
            <v>AMD</v>
          </cell>
          <cell r="E8" t="str">
            <v>USD</v>
          </cell>
          <cell r="F8">
            <v>139.99</v>
          </cell>
          <cell r="G8">
            <v>22.99</v>
          </cell>
          <cell r="H8">
            <v>103.99</v>
          </cell>
          <cell r="I8">
            <v>16.989999999999998</v>
          </cell>
          <cell r="J8">
            <v>4.99</v>
          </cell>
          <cell r="K8">
            <v>4.99</v>
          </cell>
          <cell r="L8">
            <v>3.49</v>
          </cell>
          <cell r="M8">
            <v>3.49</v>
          </cell>
        </row>
        <row r="9">
          <cell r="B9" t="str">
            <v>Aruba</v>
          </cell>
          <cell r="C9" t="str">
            <v>AW</v>
          </cell>
          <cell r="D9" t="str">
            <v>AWG</v>
          </cell>
          <cell r="E9" t="str">
            <v>USD</v>
          </cell>
          <cell r="F9">
            <v>99.99</v>
          </cell>
          <cell r="G9">
            <v>16.989999999999998</v>
          </cell>
          <cell r="H9">
            <v>74.989999999999995</v>
          </cell>
          <cell r="I9">
            <v>11.99</v>
          </cell>
          <cell r="J9">
            <v>3.99</v>
          </cell>
          <cell r="K9">
            <v>2.99</v>
          </cell>
          <cell r="L9">
            <v>1.99</v>
          </cell>
          <cell r="M9">
            <v>0.99</v>
          </cell>
        </row>
        <row r="10">
          <cell r="B10" t="str">
            <v>Australia</v>
          </cell>
          <cell r="C10" t="str">
            <v>AU</v>
          </cell>
          <cell r="D10" t="str">
            <v>AUD</v>
          </cell>
          <cell r="E10" t="str">
            <v>AUD</v>
          </cell>
          <cell r="F10">
            <v>229.99</v>
          </cell>
          <cell r="G10">
            <v>32.99</v>
          </cell>
          <cell r="H10">
            <v>174.99</v>
          </cell>
          <cell r="I10">
            <v>24.99</v>
          </cell>
          <cell r="J10">
            <v>9.99</v>
          </cell>
          <cell r="K10">
            <v>7.99</v>
          </cell>
          <cell r="L10">
            <v>5.99</v>
          </cell>
          <cell r="M10">
            <v>3.99</v>
          </cell>
        </row>
        <row r="11">
          <cell r="B11" t="str">
            <v>Austria</v>
          </cell>
          <cell r="C11" t="str">
            <v>AT</v>
          </cell>
          <cell r="D11" t="str">
            <v>EUR</v>
          </cell>
          <cell r="E11" t="str">
            <v>EUR</v>
          </cell>
          <cell r="F11">
            <v>159.99</v>
          </cell>
          <cell r="G11">
            <v>23.99</v>
          </cell>
          <cell r="H11">
            <v>116.99</v>
          </cell>
          <cell r="I11">
            <v>17.989999999999998</v>
          </cell>
          <cell r="J11">
            <v>5.99</v>
          </cell>
          <cell r="K11">
            <v>4.99</v>
          </cell>
          <cell r="L11">
            <v>3.99</v>
          </cell>
          <cell r="M11">
            <v>2.99</v>
          </cell>
        </row>
        <row r="12">
          <cell r="B12" t="str">
            <v>Azerbaijan</v>
          </cell>
          <cell r="C12" t="str">
            <v>AZ</v>
          </cell>
          <cell r="D12" t="str">
            <v>AZN</v>
          </cell>
          <cell r="E12" t="str">
            <v>USD</v>
          </cell>
          <cell r="F12">
            <v>105.99</v>
          </cell>
          <cell r="G12">
            <v>17.989999999999998</v>
          </cell>
          <cell r="H12">
            <v>76.989999999999995</v>
          </cell>
          <cell r="I12">
            <v>12.99</v>
          </cell>
          <cell r="J12">
            <v>4.99</v>
          </cell>
          <cell r="K12">
            <v>3.99</v>
          </cell>
          <cell r="L12">
            <v>2.99</v>
          </cell>
          <cell r="M12">
            <v>1.99</v>
          </cell>
        </row>
        <row r="13">
          <cell r="B13" t="str">
            <v>Bahamas</v>
          </cell>
          <cell r="C13" t="str">
            <v>BS</v>
          </cell>
          <cell r="D13" t="str">
            <v>BSD</v>
          </cell>
          <cell r="E13" t="str">
            <v>USD</v>
          </cell>
          <cell r="F13">
            <v>95.99</v>
          </cell>
          <cell r="G13">
            <v>15.99</v>
          </cell>
          <cell r="H13">
            <v>71.989999999999995</v>
          </cell>
          <cell r="I13">
            <v>11.99</v>
          </cell>
          <cell r="J13">
            <v>4.49</v>
          </cell>
          <cell r="K13">
            <v>3.49</v>
          </cell>
          <cell r="L13">
            <v>2.29</v>
          </cell>
          <cell r="M13">
            <v>1.0900000000000001</v>
          </cell>
        </row>
        <row r="14">
          <cell r="B14" t="str">
            <v>Bahrain</v>
          </cell>
          <cell r="C14" t="str">
            <v>BH</v>
          </cell>
          <cell r="D14" t="str">
            <v>BHD</v>
          </cell>
          <cell r="E14" t="str">
            <v>USD</v>
          </cell>
          <cell r="F14">
            <v>159.99</v>
          </cell>
          <cell r="G14">
            <v>23.99</v>
          </cell>
          <cell r="H14">
            <v>132.99</v>
          </cell>
          <cell r="I14">
            <v>18.989999999999998</v>
          </cell>
          <cell r="J14">
            <v>6.99</v>
          </cell>
          <cell r="K14">
            <v>6.99</v>
          </cell>
          <cell r="L14">
            <v>3.99</v>
          </cell>
          <cell r="M14">
            <v>3.99</v>
          </cell>
        </row>
        <row r="15">
          <cell r="B15" t="str">
            <v>Bangladesh</v>
          </cell>
          <cell r="C15" t="str">
            <v>BD</v>
          </cell>
          <cell r="D15" t="str">
            <v>BDT</v>
          </cell>
          <cell r="E15" t="str">
            <v>BDT</v>
          </cell>
          <cell r="F15">
            <v>6071.99</v>
          </cell>
          <cell r="G15">
            <v>1011.99</v>
          </cell>
          <cell r="H15">
            <v>4499.99</v>
          </cell>
          <cell r="I15">
            <v>749.99</v>
          </cell>
          <cell r="J15">
            <v>249.99</v>
          </cell>
          <cell r="K15">
            <v>199.99</v>
          </cell>
          <cell r="L15">
            <v>149.99</v>
          </cell>
          <cell r="M15">
            <v>99.990000000000009</v>
          </cell>
        </row>
        <row r="16">
          <cell r="B16" t="str">
            <v>Belarus</v>
          </cell>
          <cell r="C16" t="str">
            <v>BY</v>
          </cell>
          <cell r="D16" t="str">
            <v>BYN</v>
          </cell>
          <cell r="E16" t="str">
            <v>USD</v>
          </cell>
          <cell r="F16"/>
          <cell r="G16"/>
          <cell r="H16"/>
          <cell r="I16"/>
          <cell r="J16"/>
          <cell r="K16"/>
          <cell r="L16"/>
          <cell r="M16"/>
        </row>
        <row r="17">
          <cell r="B17" t="str">
            <v>Belgium</v>
          </cell>
          <cell r="C17" t="str">
            <v>BE</v>
          </cell>
          <cell r="D17" t="str">
            <v>EUR</v>
          </cell>
          <cell r="E17" t="str">
            <v>EUR</v>
          </cell>
          <cell r="F17">
            <v>169.99</v>
          </cell>
          <cell r="G17">
            <v>25.99</v>
          </cell>
          <cell r="H17">
            <v>124.99</v>
          </cell>
          <cell r="I17">
            <v>18.989999999999998</v>
          </cell>
          <cell r="J17">
            <v>6.99</v>
          </cell>
          <cell r="K17">
            <v>4.99</v>
          </cell>
          <cell r="L17">
            <v>3.99</v>
          </cell>
          <cell r="M17">
            <v>2.99</v>
          </cell>
        </row>
        <row r="18">
          <cell r="B18" t="str">
            <v>Belize</v>
          </cell>
          <cell r="C18" t="str">
            <v>BZ</v>
          </cell>
          <cell r="D18" t="str">
            <v>BZD</v>
          </cell>
          <cell r="E18" t="str">
            <v>USD</v>
          </cell>
          <cell r="F18">
            <v>74.989999999999995</v>
          </cell>
          <cell r="G18">
            <v>11.99</v>
          </cell>
          <cell r="H18">
            <v>53.99</v>
          </cell>
          <cell r="I18">
            <v>8.99</v>
          </cell>
          <cell r="J18">
            <v>2.99</v>
          </cell>
          <cell r="K18">
            <v>2.99</v>
          </cell>
          <cell r="L18">
            <v>1.99</v>
          </cell>
          <cell r="M18">
            <v>1.99</v>
          </cell>
        </row>
        <row r="19">
          <cell r="B19" t="str">
            <v>Benin</v>
          </cell>
          <cell r="C19" t="str">
            <v>BJ</v>
          </cell>
          <cell r="D19" t="str">
            <v>XOF</v>
          </cell>
          <cell r="E19" t="str">
            <v>EUR</v>
          </cell>
          <cell r="F19">
            <v>66.989999999999995</v>
          </cell>
          <cell r="G19">
            <v>10.99</v>
          </cell>
          <cell r="H19">
            <v>48.99</v>
          </cell>
          <cell r="I19">
            <v>7.99</v>
          </cell>
          <cell r="J19">
            <v>2.99</v>
          </cell>
          <cell r="K19">
            <v>2.99</v>
          </cell>
          <cell r="L19">
            <v>1.99</v>
          </cell>
          <cell r="M19">
            <v>1.99</v>
          </cell>
        </row>
        <row r="20">
          <cell r="B20" t="str">
            <v>Bermuda</v>
          </cell>
          <cell r="C20" t="str">
            <v>BM</v>
          </cell>
          <cell r="D20" t="str">
            <v>BMD</v>
          </cell>
          <cell r="E20" t="str">
            <v>USD</v>
          </cell>
          <cell r="F20">
            <v>95.99</v>
          </cell>
          <cell r="G20">
            <v>15.99</v>
          </cell>
          <cell r="H20">
            <v>71.989999999999995</v>
          </cell>
          <cell r="I20">
            <v>11.99</v>
          </cell>
          <cell r="J20">
            <v>4.99</v>
          </cell>
          <cell r="K20">
            <v>3.99</v>
          </cell>
          <cell r="L20">
            <v>2.99</v>
          </cell>
          <cell r="M20">
            <v>1.99</v>
          </cell>
        </row>
        <row r="21">
          <cell r="B21" t="str">
            <v>Bolivia</v>
          </cell>
          <cell r="C21" t="str">
            <v>BO</v>
          </cell>
          <cell r="D21" t="str">
            <v>BOB</v>
          </cell>
          <cell r="E21" t="str">
            <v>BOB</v>
          </cell>
          <cell r="F21">
            <v>559.99</v>
          </cell>
          <cell r="G21">
            <v>92.99</v>
          </cell>
          <cell r="H21">
            <v>409.99</v>
          </cell>
          <cell r="I21">
            <v>68.989999999999995</v>
          </cell>
          <cell r="J21">
            <v>24.99</v>
          </cell>
          <cell r="K21">
            <v>19.989999999999998</v>
          </cell>
          <cell r="L21">
            <v>14.989999999999998</v>
          </cell>
          <cell r="M21">
            <v>9.9899999999999984</v>
          </cell>
        </row>
        <row r="22">
          <cell r="B22" t="str">
            <v>Bosnia And Herzegovina</v>
          </cell>
          <cell r="C22" t="str">
            <v>BA</v>
          </cell>
          <cell r="D22" t="str">
            <v>BAM</v>
          </cell>
          <cell r="E22" t="str">
            <v>USD</v>
          </cell>
          <cell r="F22">
            <v>82.99</v>
          </cell>
          <cell r="G22">
            <v>13.99</v>
          </cell>
          <cell r="H22">
            <v>59.99</v>
          </cell>
          <cell r="I22">
            <v>9.99</v>
          </cell>
          <cell r="J22">
            <v>4.99</v>
          </cell>
          <cell r="K22">
            <v>4.99</v>
          </cell>
          <cell r="L22">
            <v>2.99</v>
          </cell>
          <cell r="M22">
            <v>2.99</v>
          </cell>
        </row>
        <row r="23">
          <cell r="B23" t="str">
            <v>Botswana</v>
          </cell>
          <cell r="C23" t="str">
            <v>BW</v>
          </cell>
          <cell r="D23" t="str">
            <v>BWP</v>
          </cell>
          <cell r="E23" t="str">
            <v>USD</v>
          </cell>
          <cell r="F23">
            <v>53.99</v>
          </cell>
          <cell r="G23">
            <v>8.99</v>
          </cell>
          <cell r="H23">
            <v>39.99</v>
          </cell>
          <cell r="I23">
            <v>5.99</v>
          </cell>
          <cell r="J23">
            <v>1.99</v>
          </cell>
          <cell r="K23">
            <v>1.99</v>
          </cell>
          <cell r="L23">
            <v>0.99</v>
          </cell>
          <cell r="M23">
            <v>0.99</v>
          </cell>
        </row>
        <row r="24">
          <cell r="B24" t="str">
            <v>Brazil</v>
          </cell>
          <cell r="C24" t="str">
            <v>BR</v>
          </cell>
          <cell r="D24" t="str">
            <v>BRL</v>
          </cell>
          <cell r="E24" t="str">
            <v>BRL</v>
          </cell>
          <cell r="F24">
            <v>489.9</v>
          </cell>
          <cell r="G24">
            <v>69.900000000000006</v>
          </cell>
          <cell r="H24">
            <v>384.9</v>
          </cell>
          <cell r="I24">
            <v>54.99</v>
          </cell>
          <cell r="J24">
            <v>22.9</v>
          </cell>
          <cell r="K24">
            <v>16.899999999999999</v>
          </cell>
          <cell r="L24">
            <v>10.9</v>
          </cell>
          <cell r="M24">
            <v>4.9000000000000004</v>
          </cell>
        </row>
        <row r="25">
          <cell r="B25" t="str">
            <v>British Virgin Islands</v>
          </cell>
          <cell r="C25" t="str">
            <v>VG</v>
          </cell>
          <cell r="D25" t="str">
            <v>USD</v>
          </cell>
          <cell r="E25" t="str">
            <v>USD</v>
          </cell>
          <cell r="F25">
            <v>102.99</v>
          </cell>
          <cell r="G25">
            <v>16.989999999999998</v>
          </cell>
          <cell r="H25">
            <v>71.989999999999995</v>
          </cell>
          <cell r="I25">
            <v>11.99</v>
          </cell>
          <cell r="J25">
            <v>4.99</v>
          </cell>
          <cell r="K25">
            <v>3.99</v>
          </cell>
          <cell r="L25">
            <v>2.99</v>
          </cell>
          <cell r="M25">
            <v>1.99</v>
          </cell>
        </row>
        <row r="26">
          <cell r="B26" t="str">
            <v>Bulgaria</v>
          </cell>
          <cell r="C26" t="str">
            <v>BG</v>
          </cell>
          <cell r="D26" t="str">
            <v>EUR</v>
          </cell>
          <cell r="E26" t="str">
            <v>EUR</v>
          </cell>
          <cell r="F26">
            <v>92.99</v>
          </cell>
          <cell r="G26">
            <v>14.99</v>
          </cell>
          <cell r="H26">
            <v>68.989999999999995</v>
          </cell>
          <cell r="I26">
            <v>10.99</v>
          </cell>
          <cell r="J26">
            <v>4.99</v>
          </cell>
          <cell r="K26">
            <v>4.99</v>
          </cell>
          <cell r="L26">
            <v>2.99</v>
          </cell>
          <cell r="M26">
            <v>2.99</v>
          </cell>
        </row>
        <row r="27">
          <cell r="B27" t="str">
            <v>Burkina Faso</v>
          </cell>
          <cell r="C27" t="str">
            <v>BF</v>
          </cell>
          <cell r="D27" t="str">
            <v>XOF</v>
          </cell>
          <cell r="E27" t="str">
            <v>EUR</v>
          </cell>
          <cell r="F27">
            <v>66.989999999999995</v>
          </cell>
          <cell r="G27">
            <v>10.99</v>
          </cell>
          <cell r="H27">
            <v>48.99</v>
          </cell>
          <cell r="I27">
            <v>7.99</v>
          </cell>
          <cell r="J27">
            <v>2.99</v>
          </cell>
          <cell r="K27">
            <v>2.99</v>
          </cell>
          <cell r="L27">
            <v>1.99</v>
          </cell>
          <cell r="M27">
            <v>1.99</v>
          </cell>
        </row>
        <row r="28">
          <cell r="B28" t="str">
            <v>Cambodia</v>
          </cell>
          <cell r="C28" t="str">
            <v>KH</v>
          </cell>
          <cell r="D28" t="str">
            <v>KHR</v>
          </cell>
          <cell r="E28" t="str">
            <v>USD</v>
          </cell>
          <cell r="F28">
            <v>71.989999999999995</v>
          </cell>
          <cell r="G28">
            <v>11.99</v>
          </cell>
          <cell r="H28">
            <v>53.99</v>
          </cell>
          <cell r="I28">
            <v>8.99</v>
          </cell>
          <cell r="J28">
            <v>3.49</v>
          </cell>
          <cell r="K28">
            <v>3.49</v>
          </cell>
          <cell r="L28">
            <v>1.0900000000000001</v>
          </cell>
          <cell r="M28">
            <v>1.0900000000000001</v>
          </cell>
        </row>
        <row r="29">
          <cell r="B29" t="str">
            <v>Cameroon</v>
          </cell>
          <cell r="C29" t="str">
            <v>CM</v>
          </cell>
          <cell r="D29" t="str">
            <v>XAF</v>
          </cell>
          <cell r="E29" t="str">
            <v>XAF</v>
          </cell>
          <cell r="F29">
            <v>14580</v>
          </cell>
          <cell r="G29">
            <v>7290</v>
          </cell>
          <cell r="H29">
            <v>10800</v>
          </cell>
          <cell r="I29">
            <v>5400</v>
          </cell>
          <cell r="J29">
            <v>2000</v>
          </cell>
          <cell r="K29">
            <v>1500</v>
          </cell>
          <cell r="L29">
            <v>1000</v>
          </cell>
          <cell r="M29">
            <v>500</v>
          </cell>
        </row>
        <row r="30">
          <cell r="B30" t="str">
            <v>Canada</v>
          </cell>
          <cell r="C30" t="str">
            <v>CA</v>
          </cell>
          <cell r="D30" t="str">
            <v>CAD</v>
          </cell>
          <cell r="E30" t="str">
            <v>CAD</v>
          </cell>
          <cell r="F30">
            <v>184.99</v>
          </cell>
          <cell r="G30">
            <v>27.99</v>
          </cell>
          <cell r="H30">
            <v>129.99</v>
          </cell>
          <cell r="I30">
            <v>19.989999999999998</v>
          </cell>
          <cell r="J30">
            <v>6.99</v>
          </cell>
          <cell r="K30">
            <v>5.49</v>
          </cell>
          <cell r="L30">
            <v>3.99</v>
          </cell>
          <cell r="M30">
            <v>2.79</v>
          </cell>
        </row>
        <row r="31">
          <cell r="B31" t="str">
            <v>Cape Verde</v>
          </cell>
          <cell r="C31" t="str">
            <v>CV</v>
          </cell>
          <cell r="D31" t="str">
            <v>CVE</v>
          </cell>
          <cell r="E31" t="str">
            <v>USD</v>
          </cell>
          <cell r="F31">
            <v>72.989999999999995</v>
          </cell>
          <cell r="G31">
            <v>11.99</v>
          </cell>
          <cell r="H31">
            <v>53.99</v>
          </cell>
          <cell r="I31">
            <v>8.99</v>
          </cell>
          <cell r="J31">
            <v>2.99</v>
          </cell>
          <cell r="K31">
            <v>2.99</v>
          </cell>
          <cell r="L31">
            <v>1.99</v>
          </cell>
          <cell r="M31">
            <v>1.99</v>
          </cell>
        </row>
        <row r="32">
          <cell r="B32" t="str">
            <v>Cayman Islands</v>
          </cell>
          <cell r="C32" t="str">
            <v>KY</v>
          </cell>
          <cell r="D32" t="str">
            <v>USD</v>
          </cell>
          <cell r="E32" t="str">
            <v>USD</v>
          </cell>
          <cell r="F32">
            <v>102.99</v>
          </cell>
          <cell r="G32">
            <v>16.989999999999998</v>
          </cell>
          <cell r="H32">
            <v>71.989999999999995</v>
          </cell>
          <cell r="I32">
            <v>11.99</v>
          </cell>
          <cell r="J32">
            <v>4.99</v>
          </cell>
          <cell r="K32">
            <v>3.99</v>
          </cell>
          <cell r="L32">
            <v>2.99</v>
          </cell>
          <cell r="M32">
            <v>1.99</v>
          </cell>
        </row>
        <row r="33">
          <cell r="B33" t="str">
            <v>Central African Republic</v>
          </cell>
          <cell r="C33" t="str">
            <v>CF</v>
          </cell>
          <cell r="D33" t="str">
            <v>XAF</v>
          </cell>
          <cell r="E33" t="str">
            <v>EUR</v>
          </cell>
          <cell r="F33">
            <v>67.989999999999995</v>
          </cell>
          <cell r="G33">
            <v>10.99</v>
          </cell>
          <cell r="H33">
            <v>49.99</v>
          </cell>
          <cell r="I33">
            <v>7.99</v>
          </cell>
          <cell r="J33">
            <v>2.99</v>
          </cell>
          <cell r="K33">
            <v>2.99</v>
          </cell>
          <cell r="L33">
            <v>1.99</v>
          </cell>
          <cell r="M33">
            <v>1.99</v>
          </cell>
        </row>
        <row r="34">
          <cell r="B34" t="str">
            <v>Chad</v>
          </cell>
          <cell r="C34" t="str">
            <v>TD</v>
          </cell>
          <cell r="D34" t="str">
            <v>XAF</v>
          </cell>
          <cell r="E34" t="str">
            <v>USD</v>
          </cell>
          <cell r="F34">
            <v>72.989999999999995</v>
          </cell>
          <cell r="G34">
            <v>11.99</v>
          </cell>
          <cell r="H34">
            <v>53.99</v>
          </cell>
          <cell r="I34">
            <v>8.99</v>
          </cell>
          <cell r="J34">
            <v>2.99</v>
          </cell>
          <cell r="K34">
            <v>2.99</v>
          </cell>
          <cell r="L34">
            <v>1.99</v>
          </cell>
          <cell r="M34">
            <v>1.99</v>
          </cell>
        </row>
        <row r="35">
          <cell r="B35" t="str">
            <v>Chile</v>
          </cell>
          <cell r="C35" t="str">
            <v>CL</v>
          </cell>
          <cell r="D35" t="str">
            <v>CLP</v>
          </cell>
          <cell r="E35" t="str">
            <v>CLP</v>
          </cell>
          <cell r="F35">
            <v>137990</v>
          </cell>
          <cell r="G35">
            <v>22900</v>
          </cell>
          <cell r="H35">
            <v>96990</v>
          </cell>
          <cell r="I35">
            <v>15900</v>
          </cell>
          <cell r="J35">
            <v>5900</v>
          </cell>
          <cell r="K35">
            <v>5400</v>
          </cell>
          <cell r="L35">
            <v>4900</v>
          </cell>
          <cell r="M35">
            <v>4400</v>
          </cell>
        </row>
        <row r="36">
          <cell r="B36" t="str">
            <v>Colombia</v>
          </cell>
          <cell r="C36" t="str">
            <v>CO</v>
          </cell>
          <cell r="D36" t="str">
            <v>COP</v>
          </cell>
          <cell r="E36" t="str">
            <v>COP</v>
          </cell>
          <cell r="F36">
            <v>334900</v>
          </cell>
          <cell r="G36">
            <v>55900</v>
          </cell>
          <cell r="H36">
            <v>248900</v>
          </cell>
          <cell r="I36">
            <v>41500</v>
          </cell>
          <cell r="J36">
            <v>17900</v>
          </cell>
          <cell r="K36">
            <v>13500</v>
          </cell>
          <cell r="L36">
            <v>8900</v>
          </cell>
          <cell r="M36">
            <v>4500</v>
          </cell>
        </row>
        <row r="37">
          <cell r="B37" t="str">
            <v>Comoros</v>
          </cell>
          <cell r="C37" t="str">
            <v>KM</v>
          </cell>
          <cell r="D37" t="str">
            <v>KMF</v>
          </cell>
          <cell r="E37" t="str">
            <v>USD</v>
          </cell>
          <cell r="F37">
            <v>73.989999999999995</v>
          </cell>
          <cell r="G37">
            <v>11.99</v>
          </cell>
          <cell r="H37">
            <v>54.99</v>
          </cell>
          <cell r="I37">
            <v>8.99</v>
          </cell>
          <cell r="J37">
            <v>3.99</v>
          </cell>
          <cell r="K37">
            <v>2.99</v>
          </cell>
          <cell r="L37">
            <v>1.99</v>
          </cell>
          <cell r="M37">
            <v>0.99</v>
          </cell>
        </row>
        <row r="38">
          <cell r="B38" t="str">
            <v>Congo</v>
          </cell>
          <cell r="C38" t="str">
            <v>CG</v>
          </cell>
          <cell r="D38" t="str">
            <v>XAF</v>
          </cell>
          <cell r="E38" t="str">
            <v>USD</v>
          </cell>
          <cell r="F38">
            <v>72.989999999999995</v>
          </cell>
          <cell r="G38">
            <v>11.99</v>
          </cell>
          <cell r="H38">
            <v>53.99</v>
          </cell>
          <cell r="I38">
            <v>8.99</v>
          </cell>
          <cell r="J38">
            <v>2.99</v>
          </cell>
          <cell r="K38">
            <v>2.99</v>
          </cell>
          <cell r="L38">
            <v>1.99</v>
          </cell>
          <cell r="M38">
            <v>1.99</v>
          </cell>
        </row>
        <row r="39">
          <cell r="B39" t="str">
            <v>Costa Rica</v>
          </cell>
          <cell r="C39" t="str">
            <v>CR</v>
          </cell>
          <cell r="D39" t="str">
            <v>CRC</v>
          </cell>
          <cell r="E39" t="str">
            <v>CRC</v>
          </cell>
          <cell r="F39">
            <v>78000</v>
          </cell>
          <cell r="G39">
            <v>13000</v>
          </cell>
          <cell r="H39">
            <v>60000</v>
          </cell>
          <cell r="I39">
            <v>10000</v>
          </cell>
          <cell r="J39">
            <v>3500</v>
          </cell>
          <cell r="K39">
            <v>2800</v>
          </cell>
          <cell r="L39">
            <v>2100</v>
          </cell>
          <cell r="M39">
            <v>1400</v>
          </cell>
        </row>
        <row r="40">
          <cell r="B40" t="str">
            <v>Cote D'Ivoire</v>
          </cell>
          <cell r="C40" t="str">
            <v>CI</v>
          </cell>
          <cell r="D40" t="str">
            <v>XOF</v>
          </cell>
          <cell r="E40" t="str">
            <v>XOF</v>
          </cell>
          <cell r="F40">
            <v>14860</v>
          </cell>
          <cell r="G40">
            <v>7430</v>
          </cell>
          <cell r="H40">
            <v>11000</v>
          </cell>
          <cell r="I40">
            <v>5500</v>
          </cell>
          <cell r="J40">
            <v>2000</v>
          </cell>
          <cell r="K40">
            <v>1500</v>
          </cell>
          <cell r="L40">
            <v>1000</v>
          </cell>
          <cell r="M40">
            <v>500</v>
          </cell>
        </row>
        <row r="41">
          <cell r="B41" t="str">
            <v>Croatia</v>
          </cell>
          <cell r="C41" t="str">
            <v>HR</v>
          </cell>
          <cell r="D41" t="str">
            <v>EUR</v>
          </cell>
          <cell r="E41" t="str">
            <v>EUR</v>
          </cell>
          <cell r="F41">
            <v>107.99</v>
          </cell>
          <cell r="G41">
            <v>17.989999999999998</v>
          </cell>
          <cell r="H41">
            <v>71.989999999999995</v>
          </cell>
          <cell r="I41">
            <v>11.99</v>
          </cell>
          <cell r="J41">
            <v>3.99</v>
          </cell>
          <cell r="K41">
            <v>3.99</v>
          </cell>
          <cell r="L41">
            <v>1.99</v>
          </cell>
          <cell r="M41">
            <v>1.99</v>
          </cell>
        </row>
        <row r="42">
          <cell r="B42" t="str">
            <v>Cyprus</v>
          </cell>
          <cell r="C42" t="str">
            <v>CY</v>
          </cell>
          <cell r="D42" t="str">
            <v>EUR</v>
          </cell>
          <cell r="E42" t="str">
            <v>EUR</v>
          </cell>
          <cell r="F42">
            <v>89.99</v>
          </cell>
          <cell r="G42">
            <v>12.99</v>
          </cell>
          <cell r="H42">
            <v>69.989999999999995</v>
          </cell>
          <cell r="I42">
            <v>9.99</v>
          </cell>
          <cell r="J42">
            <v>3.99</v>
          </cell>
          <cell r="K42">
            <v>3.99</v>
          </cell>
          <cell r="L42">
            <v>1.99</v>
          </cell>
          <cell r="M42">
            <v>1.99</v>
          </cell>
        </row>
        <row r="43">
          <cell r="B43" t="str">
            <v>Czech Republic</v>
          </cell>
          <cell r="C43" t="str">
            <v>CZ</v>
          </cell>
          <cell r="D43" t="str">
            <v>CZK</v>
          </cell>
          <cell r="E43" t="str">
            <v>CZK</v>
          </cell>
          <cell r="F43">
            <v>3599</v>
          </cell>
          <cell r="G43">
            <v>549.99</v>
          </cell>
          <cell r="H43">
            <v>2400</v>
          </cell>
          <cell r="I43">
            <v>399.99</v>
          </cell>
          <cell r="J43">
            <v>149</v>
          </cell>
          <cell r="K43">
            <v>149</v>
          </cell>
          <cell r="L43">
            <v>79</v>
          </cell>
          <cell r="M43">
            <v>79</v>
          </cell>
        </row>
        <row r="44">
          <cell r="B44" t="str">
            <v>Democratic Republic of Congo</v>
          </cell>
          <cell r="C44" t="str">
            <v>CD</v>
          </cell>
          <cell r="D44" t="str">
            <v>USD</v>
          </cell>
          <cell r="E44" t="str">
            <v>USD</v>
          </cell>
          <cell r="F44">
            <v>71.989999999999995</v>
          </cell>
          <cell r="G44">
            <v>11.99</v>
          </cell>
          <cell r="H44">
            <v>53.99</v>
          </cell>
          <cell r="I44">
            <v>8.99</v>
          </cell>
          <cell r="J44">
            <v>2.99</v>
          </cell>
          <cell r="K44">
            <v>2.99</v>
          </cell>
          <cell r="L44">
            <v>1.99</v>
          </cell>
          <cell r="M44">
            <v>1.99</v>
          </cell>
        </row>
        <row r="45">
          <cell r="B45" t="str">
            <v>Denmark</v>
          </cell>
          <cell r="C45" t="str">
            <v>DK</v>
          </cell>
          <cell r="D45" t="str">
            <v>DKK</v>
          </cell>
          <cell r="E45" t="str">
            <v>DKK</v>
          </cell>
          <cell r="F45">
            <v>1300</v>
          </cell>
          <cell r="G45">
            <v>200</v>
          </cell>
          <cell r="H45">
            <v>900</v>
          </cell>
          <cell r="I45">
            <v>140</v>
          </cell>
          <cell r="J45">
            <v>49</v>
          </cell>
          <cell r="K45">
            <v>49</v>
          </cell>
          <cell r="L45">
            <v>25</v>
          </cell>
          <cell r="M45">
            <v>25</v>
          </cell>
        </row>
        <row r="46">
          <cell r="B46" t="str">
            <v>Djibouti</v>
          </cell>
          <cell r="C46" t="str">
            <v>DJ</v>
          </cell>
          <cell r="D46" t="str">
            <v>DJF</v>
          </cell>
          <cell r="E46" t="str">
            <v>USD</v>
          </cell>
          <cell r="F46">
            <v>59.99</v>
          </cell>
          <cell r="G46">
            <v>9.99</v>
          </cell>
          <cell r="H46">
            <v>43.99</v>
          </cell>
          <cell r="I46">
            <v>7.99</v>
          </cell>
          <cell r="J46">
            <v>3.99</v>
          </cell>
          <cell r="K46">
            <v>2.99</v>
          </cell>
          <cell r="L46">
            <v>1.99</v>
          </cell>
          <cell r="M46">
            <v>0.99</v>
          </cell>
        </row>
        <row r="47">
          <cell r="B47" t="str">
            <v>Dominica</v>
          </cell>
          <cell r="C47" t="str">
            <v>DM</v>
          </cell>
          <cell r="D47" t="str">
            <v>XCD</v>
          </cell>
          <cell r="E47" t="str">
            <v>USD</v>
          </cell>
          <cell r="F47">
            <v>112.99</v>
          </cell>
          <cell r="G47">
            <v>18.989999999999998</v>
          </cell>
          <cell r="H47">
            <v>83.99</v>
          </cell>
          <cell r="I47">
            <v>13.99</v>
          </cell>
          <cell r="J47">
            <v>4.99</v>
          </cell>
          <cell r="K47">
            <v>3.99</v>
          </cell>
          <cell r="L47">
            <v>2.99</v>
          </cell>
          <cell r="M47">
            <v>1.99</v>
          </cell>
        </row>
        <row r="48">
          <cell r="B48" t="str">
            <v>Dominican Republic</v>
          </cell>
          <cell r="C48" t="str">
            <v>DO</v>
          </cell>
          <cell r="D48" t="str">
            <v>DOP</v>
          </cell>
          <cell r="E48" t="str">
            <v>USD</v>
          </cell>
          <cell r="F48">
            <v>126.99</v>
          </cell>
          <cell r="G48">
            <v>19.989999999999998</v>
          </cell>
          <cell r="H48">
            <v>94.99</v>
          </cell>
          <cell r="I48">
            <v>15.99</v>
          </cell>
          <cell r="J48">
            <v>5.99</v>
          </cell>
          <cell r="K48">
            <v>4.99</v>
          </cell>
          <cell r="L48">
            <v>3.99</v>
          </cell>
          <cell r="M48">
            <v>2.99</v>
          </cell>
        </row>
        <row r="49">
          <cell r="B49" t="str">
            <v>Ecuador</v>
          </cell>
          <cell r="C49" t="str">
            <v>EC</v>
          </cell>
          <cell r="D49" t="str">
            <v>USD</v>
          </cell>
          <cell r="E49" t="str">
            <v>USD</v>
          </cell>
          <cell r="F49">
            <v>102.99</v>
          </cell>
          <cell r="G49">
            <v>16.989999999999998</v>
          </cell>
          <cell r="H49">
            <v>71.989999999999995</v>
          </cell>
          <cell r="I49">
            <v>11.99</v>
          </cell>
          <cell r="J49">
            <v>4.99</v>
          </cell>
          <cell r="K49">
            <v>3.99</v>
          </cell>
          <cell r="L49">
            <v>2.99</v>
          </cell>
          <cell r="M49">
            <v>1.99</v>
          </cell>
        </row>
        <row r="50">
          <cell r="B50" t="str">
            <v>Egypt</v>
          </cell>
          <cell r="C50" t="str">
            <v>EG</v>
          </cell>
          <cell r="D50" t="str">
            <v>EGP</v>
          </cell>
          <cell r="E50" t="str">
            <v>EGP</v>
          </cell>
          <cell r="F50">
            <v>2349</v>
          </cell>
          <cell r="G50">
            <v>399</v>
          </cell>
          <cell r="H50">
            <v>1569</v>
          </cell>
          <cell r="I50">
            <v>259</v>
          </cell>
          <cell r="J50">
            <v>94.99</v>
          </cell>
          <cell r="K50">
            <v>94.99</v>
          </cell>
          <cell r="L50">
            <v>54.99</v>
          </cell>
          <cell r="M50">
            <v>54.99</v>
          </cell>
        </row>
        <row r="51">
          <cell r="B51" t="str">
            <v>El Salvador</v>
          </cell>
          <cell r="C51" t="str">
            <v>SV</v>
          </cell>
          <cell r="D51" t="str">
            <v>USD</v>
          </cell>
          <cell r="E51" t="str">
            <v>USD</v>
          </cell>
          <cell r="F51">
            <v>96.99</v>
          </cell>
          <cell r="G51">
            <v>15.99</v>
          </cell>
          <cell r="H51">
            <v>65.989999999999995</v>
          </cell>
          <cell r="I51">
            <v>10.99</v>
          </cell>
          <cell r="J51">
            <v>4.99</v>
          </cell>
          <cell r="K51">
            <v>3.99</v>
          </cell>
          <cell r="L51">
            <v>2.99</v>
          </cell>
          <cell r="M51">
            <v>1.99</v>
          </cell>
        </row>
        <row r="52">
          <cell r="B52" t="str">
            <v>Eritrea</v>
          </cell>
          <cell r="C52" t="str">
            <v>ER</v>
          </cell>
          <cell r="D52" t="str">
            <v>USD</v>
          </cell>
          <cell r="E52" t="str">
            <v>USD</v>
          </cell>
          <cell r="F52">
            <v>71.989999999999995</v>
          </cell>
          <cell r="G52">
            <v>11.99</v>
          </cell>
          <cell r="H52">
            <v>53.99</v>
          </cell>
          <cell r="I52">
            <v>8.99</v>
          </cell>
          <cell r="J52">
            <v>2.99</v>
          </cell>
          <cell r="K52">
            <v>2.4900000000000002</v>
          </cell>
          <cell r="L52">
            <v>1.9900000000000002</v>
          </cell>
          <cell r="M52">
            <v>1.4900000000000002</v>
          </cell>
        </row>
        <row r="53">
          <cell r="B53" t="str">
            <v>Estonia</v>
          </cell>
          <cell r="C53" t="str">
            <v>EE</v>
          </cell>
          <cell r="D53" t="str">
            <v>EUR</v>
          </cell>
          <cell r="E53" t="str">
            <v>EUR</v>
          </cell>
          <cell r="F53">
            <v>99.99</v>
          </cell>
          <cell r="G53">
            <v>15.99</v>
          </cell>
          <cell r="H53">
            <v>74.989999999999995</v>
          </cell>
          <cell r="I53">
            <v>11.99</v>
          </cell>
          <cell r="J53">
            <v>4.99</v>
          </cell>
          <cell r="K53">
            <v>3.99</v>
          </cell>
          <cell r="L53">
            <v>2.99</v>
          </cell>
          <cell r="M53">
            <v>1.99</v>
          </cell>
        </row>
        <row r="54">
          <cell r="B54" t="str">
            <v>Fiji</v>
          </cell>
          <cell r="C54" t="str">
            <v>FJ</v>
          </cell>
          <cell r="D54" t="str">
            <v>FJD</v>
          </cell>
          <cell r="E54" t="str">
            <v>USD</v>
          </cell>
          <cell r="F54">
            <v>81.99</v>
          </cell>
          <cell r="G54">
            <v>13.99</v>
          </cell>
          <cell r="H54">
            <v>59.99</v>
          </cell>
          <cell r="I54">
            <v>9.99</v>
          </cell>
          <cell r="J54">
            <v>3.99</v>
          </cell>
          <cell r="K54">
            <v>3.99</v>
          </cell>
          <cell r="L54">
            <v>1.99</v>
          </cell>
          <cell r="M54">
            <v>1.99</v>
          </cell>
        </row>
        <row r="55">
          <cell r="B55" t="str">
            <v>Finland</v>
          </cell>
          <cell r="C55" t="str">
            <v>FI</v>
          </cell>
          <cell r="D55" t="str">
            <v>EUR</v>
          </cell>
          <cell r="E55" t="str">
            <v>EUR</v>
          </cell>
          <cell r="F55">
            <v>129.99</v>
          </cell>
          <cell r="G55">
            <v>19.989999999999998</v>
          </cell>
          <cell r="H55">
            <v>99.99</v>
          </cell>
          <cell r="I55">
            <v>14.99</v>
          </cell>
          <cell r="J55">
            <v>4.99</v>
          </cell>
          <cell r="K55">
            <v>3.99</v>
          </cell>
          <cell r="L55">
            <v>2.99</v>
          </cell>
          <cell r="M55">
            <v>1.99</v>
          </cell>
        </row>
        <row r="56">
          <cell r="B56" t="str">
            <v>France</v>
          </cell>
          <cell r="C56" t="str">
            <v>FR</v>
          </cell>
          <cell r="D56" t="str">
            <v>EUR</v>
          </cell>
          <cell r="E56" t="str">
            <v>EUR</v>
          </cell>
          <cell r="F56">
            <v>199.99</v>
          </cell>
          <cell r="G56">
            <v>28.99</v>
          </cell>
          <cell r="H56">
            <v>146.99</v>
          </cell>
          <cell r="I56">
            <v>21.99</v>
          </cell>
          <cell r="J56">
            <v>7.99</v>
          </cell>
          <cell r="K56">
            <v>5.99</v>
          </cell>
          <cell r="L56">
            <v>3.99</v>
          </cell>
          <cell r="M56">
            <v>1.9900000000000002</v>
          </cell>
        </row>
        <row r="57">
          <cell r="B57" t="str">
            <v>Gabon</v>
          </cell>
          <cell r="C57" t="str">
            <v>GA</v>
          </cell>
          <cell r="D57" t="str">
            <v>XAF</v>
          </cell>
          <cell r="E57" t="str">
            <v>EUR</v>
          </cell>
          <cell r="F57">
            <v>51.99</v>
          </cell>
          <cell r="G57">
            <v>8.99</v>
          </cell>
          <cell r="H57">
            <v>37.99</v>
          </cell>
          <cell r="I57">
            <v>5.99</v>
          </cell>
          <cell r="J57">
            <v>2.99</v>
          </cell>
          <cell r="K57">
            <v>2.99</v>
          </cell>
          <cell r="L57">
            <v>1.99</v>
          </cell>
          <cell r="M57">
            <v>1.99</v>
          </cell>
        </row>
        <row r="58">
          <cell r="B58" t="str">
            <v>Gambia</v>
          </cell>
          <cell r="C58" t="str">
            <v>GM</v>
          </cell>
          <cell r="D58" t="str">
            <v>GMD</v>
          </cell>
          <cell r="E58" t="str">
            <v>USD</v>
          </cell>
          <cell r="F58">
            <v>74.989999999999995</v>
          </cell>
          <cell r="G58">
            <v>13.99</v>
          </cell>
          <cell r="H58">
            <v>59.99</v>
          </cell>
          <cell r="I58">
            <v>9.99</v>
          </cell>
          <cell r="J58">
            <v>3.99</v>
          </cell>
          <cell r="K58">
            <v>2.99</v>
          </cell>
          <cell r="L58">
            <v>1.99</v>
          </cell>
          <cell r="M58">
            <v>0.99</v>
          </cell>
        </row>
        <row r="59">
          <cell r="B59" t="str">
            <v>Georgia</v>
          </cell>
          <cell r="C59" t="str">
            <v>GE</v>
          </cell>
          <cell r="D59" t="str">
            <v>GEL</v>
          </cell>
          <cell r="E59" t="str">
            <v>GEL</v>
          </cell>
          <cell r="F59">
            <v>299.99</v>
          </cell>
          <cell r="G59">
            <v>50.99</v>
          </cell>
          <cell r="H59">
            <v>229.99</v>
          </cell>
          <cell r="I59">
            <v>37.99</v>
          </cell>
          <cell r="J59">
            <v>12.99</v>
          </cell>
          <cell r="K59">
            <v>10.49</v>
          </cell>
          <cell r="L59">
            <v>7.99</v>
          </cell>
          <cell r="M59">
            <v>5.49</v>
          </cell>
        </row>
        <row r="60">
          <cell r="B60" t="str">
            <v>Germany</v>
          </cell>
          <cell r="C60" t="str">
            <v>DE</v>
          </cell>
          <cell r="D60" t="str">
            <v>EUR</v>
          </cell>
          <cell r="E60" t="str">
            <v>EUR</v>
          </cell>
          <cell r="F60">
            <v>189.99</v>
          </cell>
          <cell r="G60">
            <v>27.99</v>
          </cell>
          <cell r="H60">
            <v>139.99</v>
          </cell>
          <cell r="I60">
            <v>19.989999999999998</v>
          </cell>
          <cell r="J60">
            <v>6.99</v>
          </cell>
          <cell r="K60">
            <v>5.99</v>
          </cell>
          <cell r="L60">
            <v>4.99</v>
          </cell>
          <cell r="M60">
            <v>3.99</v>
          </cell>
        </row>
        <row r="61">
          <cell r="B61" t="str">
            <v>Ghana</v>
          </cell>
          <cell r="C61" t="str">
            <v>GH</v>
          </cell>
          <cell r="D61" t="str">
            <v>GHS</v>
          </cell>
          <cell r="E61" t="str">
            <v>GHS</v>
          </cell>
          <cell r="F61">
            <v>679</v>
          </cell>
          <cell r="G61">
            <v>114</v>
          </cell>
          <cell r="H61">
            <v>479</v>
          </cell>
          <cell r="I61">
            <v>79</v>
          </cell>
          <cell r="J61">
            <v>29</v>
          </cell>
          <cell r="K61">
            <v>20</v>
          </cell>
          <cell r="L61">
            <v>16</v>
          </cell>
          <cell r="M61">
            <v>12</v>
          </cell>
        </row>
        <row r="62">
          <cell r="B62" t="str">
            <v>Gibraltar</v>
          </cell>
          <cell r="C62" t="str">
            <v>GI</v>
          </cell>
          <cell r="D62" t="str">
            <v>GIP</v>
          </cell>
          <cell r="E62" t="str">
            <v>GBP</v>
          </cell>
          <cell r="F62">
            <v>124.99</v>
          </cell>
          <cell r="G62">
            <v>17.989999999999998</v>
          </cell>
          <cell r="H62">
            <v>79.989999999999995</v>
          </cell>
          <cell r="I62">
            <v>12.99</v>
          </cell>
          <cell r="J62">
            <v>4.99</v>
          </cell>
          <cell r="K62">
            <v>3.99</v>
          </cell>
          <cell r="L62">
            <v>2.99</v>
          </cell>
          <cell r="M62">
            <v>1.99</v>
          </cell>
        </row>
        <row r="63">
          <cell r="B63" t="str">
            <v>Greece</v>
          </cell>
          <cell r="C63" t="str">
            <v>GR</v>
          </cell>
          <cell r="D63" t="str">
            <v>EUR</v>
          </cell>
          <cell r="E63" t="str">
            <v>EUR</v>
          </cell>
          <cell r="F63">
            <v>117.99</v>
          </cell>
          <cell r="G63">
            <v>16.989999999999998</v>
          </cell>
          <cell r="H63">
            <v>89.99</v>
          </cell>
          <cell r="I63">
            <v>12.99</v>
          </cell>
          <cell r="J63">
            <v>3.99</v>
          </cell>
          <cell r="K63">
            <v>3.99</v>
          </cell>
          <cell r="L63">
            <v>1.99</v>
          </cell>
          <cell r="M63">
            <v>1.99</v>
          </cell>
        </row>
        <row r="64">
          <cell r="B64" t="str">
            <v>Grenada</v>
          </cell>
          <cell r="C64" t="str">
            <v>GD</v>
          </cell>
          <cell r="D64" t="str">
            <v>XCD</v>
          </cell>
          <cell r="E64" t="str">
            <v>USD</v>
          </cell>
          <cell r="F64">
            <v>112.99</v>
          </cell>
          <cell r="G64">
            <v>18.989999999999998</v>
          </cell>
          <cell r="H64">
            <v>83.99</v>
          </cell>
          <cell r="I64">
            <v>13.99</v>
          </cell>
          <cell r="J64">
            <v>4.99</v>
          </cell>
          <cell r="K64">
            <v>3.99</v>
          </cell>
          <cell r="L64">
            <v>2.99</v>
          </cell>
          <cell r="M64">
            <v>1.99</v>
          </cell>
        </row>
        <row r="65">
          <cell r="B65" t="str">
            <v>Guatemala</v>
          </cell>
          <cell r="C65" t="str">
            <v>GT</v>
          </cell>
          <cell r="D65" t="str">
            <v>GTQ</v>
          </cell>
          <cell r="E65" t="str">
            <v>USD</v>
          </cell>
          <cell r="F65">
            <v>96.99</v>
          </cell>
          <cell r="G65">
            <v>15.99</v>
          </cell>
          <cell r="H65">
            <v>66.989999999999995</v>
          </cell>
          <cell r="I65">
            <v>10.99</v>
          </cell>
          <cell r="J65">
            <v>3.99</v>
          </cell>
          <cell r="K65">
            <v>3.99</v>
          </cell>
          <cell r="L65">
            <v>2.99</v>
          </cell>
          <cell r="M65">
            <v>2.99</v>
          </cell>
        </row>
        <row r="66">
          <cell r="B66" t="str">
            <v>Guinea</v>
          </cell>
          <cell r="C66" t="str">
            <v>GN</v>
          </cell>
          <cell r="D66" t="str">
            <v>GNF</v>
          </cell>
          <cell r="E66" t="str">
            <v>USD</v>
          </cell>
          <cell r="F66">
            <v>74.989999999999995</v>
          </cell>
          <cell r="G66">
            <v>12.99</v>
          </cell>
          <cell r="H66">
            <v>55.99</v>
          </cell>
          <cell r="I66">
            <v>8.99</v>
          </cell>
          <cell r="J66">
            <v>2.99</v>
          </cell>
          <cell r="K66">
            <v>2.99</v>
          </cell>
          <cell r="L66">
            <v>1.99</v>
          </cell>
          <cell r="M66">
            <v>1.99</v>
          </cell>
        </row>
        <row r="67">
          <cell r="B67" t="str">
            <v>Guinea-Bissau</v>
          </cell>
          <cell r="C67" t="str">
            <v>GW</v>
          </cell>
          <cell r="D67" t="str">
            <v>XOF</v>
          </cell>
          <cell r="E67" t="str">
            <v>EUR</v>
          </cell>
          <cell r="F67">
            <v>66.989999999999995</v>
          </cell>
          <cell r="G67">
            <v>10.99</v>
          </cell>
          <cell r="H67">
            <v>48.99</v>
          </cell>
          <cell r="I67">
            <v>7.99</v>
          </cell>
          <cell r="J67">
            <v>2.99</v>
          </cell>
          <cell r="K67">
            <v>2.99</v>
          </cell>
          <cell r="L67">
            <v>1.99</v>
          </cell>
          <cell r="M67">
            <v>1.99</v>
          </cell>
        </row>
        <row r="68">
          <cell r="B68" t="str">
            <v>Haiti</v>
          </cell>
          <cell r="C68" t="str">
            <v>HT</v>
          </cell>
          <cell r="D68" t="str">
            <v>HTG</v>
          </cell>
          <cell r="E68" t="str">
            <v>USD</v>
          </cell>
          <cell r="F68">
            <v>96.99</v>
          </cell>
          <cell r="G68">
            <v>15.99</v>
          </cell>
          <cell r="H68">
            <v>71.989999999999995</v>
          </cell>
          <cell r="I68">
            <v>11.99</v>
          </cell>
          <cell r="J68">
            <v>3.99</v>
          </cell>
          <cell r="K68">
            <v>2.99</v>
          </cell>
          <cell r="L68">
            <v>1.99</v>
          </cell>
          <cell r="M68">
            <v>0.99</v>
          </cell>
        </row>
        <row r="69">
          <cell r="B69" t="str">
            <v>Honduras</v>
          </cell>
          <cell r="C69" t="str">
            <v>HN</v>
          </cell>
          <cell r="D69" t="str">
            <v>HNL</v>
          </cell>
          <cell r="E69" t="str">
            <v>USD</v>
          </cell>
          <cell r="F69">
            <v>76.989999999999995</v>
          </cell>
          <cell r="G69">
            <v>12.99</v>
          </cell>
          <cell r="H69">
            <v>53.99</v>
          </cell>
          <cell r="I69">
            <v>8.99</v>
          </cell>
          <cell r="J69">
            <v>2.99</v>
          </cell>
          <cell r="K69">
            <v>2.99</v>
          </cell>
          <cell r="L69">
            <v>1.99</v>
          </cell>
          <cell r="M69">
            <v>1.99</v>
          </cell>
        </row>
        <row r="70">
          <cell r="B70" t="str">
            <v>Hong Kong</v>
          </cell>
          <cell r="C70" t="str">
            <v>HK</v>
          </cell>
          <cell r="D70" t="str">
            <v>HKD</v>
          </cell>
          <cell r="E70" t="str">
            <v>HKD</v>
          </cell>
          <cell r="F70">
            <v>1149</v>
          </cell>
          <cell r="G70">
            <v>163</v>
          </cell>
          <cell r="H70">
            <v>759</v>
          </cell>
          <cell r="I70">
            <v>109</v>
          </cell>
          <cell r="J70">
            <v>48</v>
          </cell>
          <cell r="K70">
            <v>38</v>
          </cell>
          <cell r="L70">
            <v>28</v>
          </cell>
          <cell r="M70">
            <v>23</v>
          </cell>
        </row>
        <row r="71">
          <cell r="B71" t="str">
            <v>Hungary</v>
          </cell>
          <cell r="C71" t="str">
            <v>HU</v>
          </cell>
          <cell r="D71" t="str">
            <v>HUF</v>
          </cell>
          <cell r="E71" t="str">
            <v>HUF</v>
          </cell>
          <cell r="F71">
            <v>33999</v>
          </cell>
          <cell r="G71">
            <v>5500</v>
          </cell>
          <cell r="H71">
            <v>25999</v>
          </cell>
          <cell r="I71">
            <v>4200</v>
          </cell>
          <cell r="J71">
            <v>1690</v>
          </cell>
          <cell r="K71">
            <v>1690</v>
          </cell>
          <cell r="L71">
            <v>799</v>
          </cell>
          <cell r="M71">
            <v>799</v>
          </cell>
        </row>
        <row r="72">
          <cell r="B72" t="str">
            <v>Iceland</v>
          </cell>
          <cell r="C72" t="str">
            <v>IS</v>
          </cell>
          <cell r="D72" t="str">
            <v>ISK</v>
          </cell>
          <cell r="E72" t="str">
            <v>EUR</v>
          </cell>
          <cell r="F72">
            <v>231.99</v>
          </cell>
          <cell r="G72">
            <v>35.99</v>
          </cell>
          <cell r="H72">
            <v>168.99</v>
          </cell>
          <cell r="I72">
            <v>25.99</v>
          </cell>
          <cell r="J72">
            <v>8.99</v>
          </cell>
          <cell r="K72">
            <v>8.99</v>
          </cell>
          <cell r="L72">
            <v>4.99</v>
          </cell>
          <cell r="M72">
            <v>4.99</v>
          </cell>
        </row>
        <row r="73">
          <cell r="B73" t="str">
            <v>India</v>
          </cell>
          <cell r="C73" t="str">
            <v>IN</v>
          </cell>
          <cell r="D73" t="str">
            <v>INR</v>
          </cell>
          <cell r="E73" t="str">
            <v>INR</v>
          </cell>
          <cell r="F73">
            <v>2099</v>
          </cell>
          <cell r="G73">
            <v>329</v>
          </cell>
          <cell r="H73">
            <v>1499</v>
          </cell>
          <cell r="I73">
            <v>219</v>
          </cell>
          <cell r="J73">
            <v>179</v>
          </cell>
          <cell r="K73">
            <v>135</v>
          </cell>
          <cell r="L73">
            <v>89</v>
          </cell>
          <cell r="M73">
            <v>45</v>
          </cell>
        </row>
        <row r="74">
          <cell r="B74" t="str">
            <v>Indonesia</v>
          </cell>
          <cell r="C74" t="str">
            <v>ID</v>
          </cell>
          <cell r="D74" t="str">
            <v>IDR</v>
          </cell>
          <cell r="E74" t="str">
            <v>IDR</v>
          </cell>
          <cell r="F74">
            <v>1200000</v>
          </cell>
          <cell r="G74">
            <v>200000</v>
          </cell>
          <cell r="H74">
            <v>945000</v>
          </cell>
          <cell r="I74">
            <v>135000</v>
          </cell>
          <cell r="J74">
            <v>65000</v>
          </cell>
          <cell r="K74">
            <v>65000</v>
          </cell>
          <cell r="L74">
            <v>35000</v>
          </cell>
          <cell r="M74">
            <v>35000</v>
          </cell>
        </row>
        <row r="75">
          <cell r="B75" t="str">
            <v>Iraq</v>
          </cell>
          <cell r="C75" t="str">
            <v>IQ</v>
          </cell>
          <cell r="D75" t="str">
            <v>USD</v>
          </cell>
          <cell r="E75" t="str">
            <v>IQD</v>
          </cell>
          <cell r="F75">
            <v>145660</v>
          </cell>
          <cell r="G75">
            <v>24750</v>
          </cell>
          <cell r="H75">
            <v>109240</v>
          </cell>
          <cell r="I75">
            <v>18920</v>
          </cell>
          <cell r="J75">
            <v>7270</v>
          </cell>
          <cell r="K75">
            <v>5810</v>
          </cell>
          <cell r="L75">
            <v>4360</v>
          </cell>
          <cell r="M75">
            <v>2900</v>
          </cell>
        </row>
        <row r="76">
          <cell r="B76" t="str">
            <v>Ireland</v>
          </cell>
          <cell r="C76" t="str">
            <v>IE</v>
          </cell>
          <cell r="D76" t="str">
            <v>EUR</v>
          </cell>
          <cell r="E76" t="str">
            <v>EUR</v>
          </cell>
          <cell r="F76">
            <v>159.99</v>
          </cell>
          <cell r="G76">
            <v>24.99</v>
          </cell>
          <cell r="H76">
            <v>121.99</v>
          </cell>
          <cell r="I76">
            <v>18.989999999999998</v>
          </cell>
          <cell r="J76">
            <v>6.99</v>
          </cell>
          <cell r="K76">
            <v>5.99</v>
          </cell>
          <cell r="L76">
            <v>4.99</v>
          </cell>
          <cell r="M76">
            <v>3.99</v>
          </cell>
        </row>
        <row r="77">
          <cell r="B77" t="str">
            <v>Israel</v>
          </cell>
          <cell r="C77" t="str">
            <v>IL</v>
          </cell>
          <cell r="D77" t="str">
            <v>ILS</v>
          </cell>
          <cell r="E77" t="str">
            <v>ILS</v>
          </cell>
          <cell r="F77">
            <v>569.9</v>
          </cell>
          <cell r="G77">
            <v>88</v>
          </cell>
          <cell r="H77">
            <v>419.9</v>
          </cell>
          <cell r="I77">
            <v>65</v>
          </cell>
          <cell r="J77">
            <v>25.9</v>
          </cell>
          <cell r="K77">
            <v>19.899999999999999</v>
          </cell>
          <cell r="L77">
            <v>13.9</v>
          </cell>
          <cell r="M77">
            <v>10.9</v>
          </cell>
        </row>
        <row r="78">
          <cell r="B78" t="str">
            <v>Italy</v>
          </cell>
          <cell r="C78" t="str">
            <v>IT</v>
          </cell>
          <cell r="D78" t="str">
            <v>EUR</v>
          </cell>
          <cell r="E78" t="str">
            <v>EUR</v>
          </cell>
          <cell r="F78">
            <v>149.99</v>
          </cell>
          <cell r="G78">
            <v>21.99</v>
          </cell>
          <cell r="H78">
            <v>109.99</v>
          </cell>
          <cell r="I78">
            <v>15.99</v>
          </cell>
          <cell r="J78">
            <v>5.99</v>
          </cell>
          <cell r="K78">
            <v>4.99</v>
          </cell>
          <cell r="L78">
            <v>3.99</v>
          </cell>
          <cell r="M78">
            <v>2.99</v>
          </cell>
        </row>
        <row r="79">
          <cell r="B79" t="str">
            <v>Jamaica</v>
          </cell>
          <cell r="C79" t="str">
            <v>JM</v>
          </cell>
          <cell r="D79" t="str">
            <v>JMD</v>
          </cell>
          <cell r="E79" t="str">
            <v>USD</v>
          </cell>
          <cell r="F79">
            <v>91.99</v>
          </cell>
          <cell r="G79">
            <v>14.99</v>
          </cell>
          <cell r="H79">
            <v>64.989999999999995</v>
          </cell>
          <cell r="I79">
            <v>10.99</v>
          </cell>
          <cell r="J79">
            <v>3.99</v>
          </cell>
          <cell r="K79">
            <v>3.99</v>
          </cell>
          <cell r="L79">
            <v>1.99</v>
          </cell>
          <cell r="M79">
            <v>1.99</v>
          </cell>
        </row>
        <row r="80">
          <cell r="B80" t="str">
            <v>Japan</v>
          </cell>
          <cell r="C80" t="str">
            <v>JP</v>
          </cell>
          <cell r="D80" t="str">
            <v>JPY</v>
          </cell>
          <cell r="E80" t="str">
            <v>JPY</v>
          </cell>
          <cell r="F80">
            <v>25000</v>
          </cell>
          <cell r="G80">
            <v>4190</v>
          </cell>
          <cell r="H80">
            <v>19000</v>
          </cell>
          <cell r="I80">
            <v>3190</v>
          </cell>
          <cell r="J80">
            <v>1190</v>
          </cell>
          <cell r="K80">
            <v>940</v>
          </cell>
          <cell r="L80">
            <v>690</v>
          </cell>
          <cell r="M80">
            <v>440</v>
          </cell>
        </row>
        <row r="81">
          <cell r="B81" t="str">
            <v>Jordan</v>
          </cell>
          <cell r="C81" t="str">
            <v>JO</v>
          </cell>
          <cell r="D81" t="str">
            <v>JOD</v>
          </cell>
          <cell r="E81" t="str">
            <v>JOD</v>
          </cell>
          <cell r="F81">
            <v>79.998999999999995</v>
          </cell>
          <cell r="G81">
            <v>11.999000000000001</v>
          </cell>
          <cell r="H81">
            <v>59.999000000000002</v>
          </cell>
          <cell r="I81">
            <v>8.9990000000000006</v>
          </cell>
          <cell r="J81">
            <v>2.9990000000000001</v>
          </cell>
          <cell r="K81">
            <v>2.4990000000000001</v>
          </cell>
          <cell r="L81">
            <v>1.9990000000000001</v>
          </cell>
          <cell r="M81">
            <v>1.4990000000000001</v>
          </cell>
        </row>
        <row r="82">
          <cell r="B82" t="str">
            <v>Kazakhstan</v>
          </cell>
          <cell r="C82" t="str">
            <v>KZ</v>
          </cell>
          <cell r="D82" t="str">
            <v>KZT</v>
          </cell>
          <cell r="E82" t="str">
            <v>KZT</v>
          </cell>
          <cell r="F82">
            <v>37490</v>
          </cell>
          <cell r="G82">
            <v>6190</v>
          </cell>
          <cell r="H82">
            <v>27490</v>
          </cell>
          <cell r="I82">
            <v>4600</v>
          </cell>
          <cell r="J82">
            <v>1990</v>
          </cell>
          <cell r="K82">
            <v>1990</v>
          </cell>
          <cell r="L82">
            <v>999</v>
          </cell>
          <cell r="M82">
            <v>999</v>
          </cell>
        </row>
        <row r="83">
          <cell r="B83" t="str">
            <v>Kenya</v>
          </cell>
          <cell r="C83" t="str">
            <v>KE</v>
          </cell>
          <cell r="D83" t="str">
            <v>KES</v>
          </cell>
          <cell r="E83" t="str">
            <v>KES</v>
          </cell>
          <cell r="F83">
            <v>8940</v>
          </cell>
          <cell r="G83">
            <v>1490</v>
          </cell>
          <cell r="H83">
            <v>6600</v>
          </cell>
          <cell r="I83">
            <v>1100</v>
          </cell>
          <cell r="J83">
            <v>490</v>
          </cell>
          <cell r="K83">
            <v>420</v>
          </cell>
          <cell r="L83">
            <v>350</v>
          </cell>
          <cell r="M83">
            <v>280</v>
          </cell>
        </row>
        <row r="84">
          <cell r="B84" t="str">
            <v>Kuwait</v>
          </cell>
          <cell r="C84" t="str">
            <v>KW</v>
          </cell>
          <cell r="D84" t="str">
            <v>KWD</v>
          </cell>
          <cell r="E84" t="str">
            <v>USD</v>
          </cell>
          <cell r="F84">
            <v>214.99</v>
          </cell>
          <cell r="G84">
            <v>32.99</v>
          </cell>
          <cell r="H84">
            <v>162.99</v>
          </cell>
          <cell r="I84">
            <v>22.99</v>
          </cell>
          <cell r="J84">
            <v>6.99</v>
          </cell>
          <cell r="K84">
            <v>6.99</v>
          </cell>
          <cell r="L84">
            <v>3.99</v>
          </cell>
          <cell r="M84">
            <v>3.99</v>
          </cell>
        </row>
        <row r="85">
          <cell r="B85" t="str">
            <v>Kyrgyzstan</v>
          </cell>
          <cell r="C85" t="str">
            <v>KG</v>
          </cell>
          <cell r="D85" t="str">
            <v>KGS</v>
          </cell>
          <cell r="E85" t="str">
            <v>USD</v>
          </cell>
          <cell r="F85">
            <v>96.99</v>
          </cell>
          <cell r="G85">
            <v>15.99</v>
          </cell>
          <cell r="H85">
            <v>71.989999999999995</v>
          </cell>
          <cell r="I85">
            <v>11.99</v>
          </cell>
          <cell r="J85">
            <v>4.49</v>
          </cell>
          <cell r="K85">
            <v>3.49</v>
          </cell>
          <cell r="L85">
            <v>2.29</v>
          </cell>
          <cell r="M85">
            <v>1.0900000000000001</v>
          </cell>
        </row>
        <row r="86">
          <cell r="B86" t="str">
            <v>Laos</v>
          </cell>
          <cell r="C86" t="str">
            <v>LA</v>
          </cell>
          <cell r="D86" t="str">
            <v>LAK</v>
          </cell>
          <cell r="E86" t="str">
            <v>USD</v>
          </cell>
          <cell r="F86">
            <v>59.99</v>
          </cell>
          <cell r="G86">
            <v>9.99</v>
          </cell>
          <cell r="H86">
            <v>44.99</v>
          </cell>
          <cell r="I86">
            <v>6.99</v>
          </cell>
          <cell r="J86">
            <v>2.99</v>
          </cell>
          <cell r="K86">
            <v>2.99</v>
          </cell>
          <cell r="L86">
            <v>1.99</v>
          </cell>
          <cell r="M86">
            <v>1.99</v>
          </cell>
        </row>
        <row r="87">
          <cell r="B87" t="str">
            <v>Latvia</v>
          </cell>
          <cell r="C87" t="str">
            <v>LV</v>
          </cell>
          <cell r="D87" t="str">
            <v>EUR</v>
          </cell>
          <cell r="E87" t="str">
            <v>EUR</v>
          </cell>
          <cell r="F87">
            <v>91.99</v>
          </cell>
          <cell r="G87">
            <v>14.99</v>
          </cell>
          <cell r="H87">
            <v>67.989999999999995</v>
          </cell>
          <cell r="I87">
            <v>10.99</v>
          </cell>
          <cell r="J87">
            <v>3.99</v>
          </cell>
          <cell r="K87">
            <v>3.99</v>
          </cell>
          <cell r="L87">
            <v>1.99</v>
          </cell>
          <cell r="M87">
            <v>1.99</v>
          </cell>
        </row>
        <row r="88">
          <cell r="B88" t="str">
            <v>Lebanon</v>
          </cell>
          <cell r="C88" t="str">
            <v>LB</v>
          </cell>
          <cell r="D88" t="str">
            <v>USD</v>
          </cell>
          <cell r="E88" t="str">
            <v>USD</v>
          </cell>
          <cell r="F88">
            <v>34.99</v>
          </cell>
          <cell r="G88">
            <v>4.99</v>
          </cell>
          <cell r="H88">
            <v>27.99</v>
          </cell>
          <cell r="I88">
            <v>3.99</v>
          </cell>
          <cell r="J88">
            <v>2.99</v>
          </cell>
          <cell r="K88">
            <v>2.99</v>
          </cell>
          <cell r="L88">
            <v>1.99</v>
          </cell>
          <cell r="M88">
            <v>1.99</v>
          </cell>
        </row>
        <row r="89">
          <cell r="B89" t="str">
            <v>Liberia</v>
          </cell>
          <cell r="C89" t="str">
            <v>LR</v>
          </cell>
          <cell r="D89" t="str">
            <v>USD</v>
          </cell>
          <cell r="E89" t="str">
            <v>USD</v>
          </cell>
          <cell r="F89">
            <v>71.989999999999995</v>
          </cell>
          <cell r="G89">
            <v>11.99</v>
          </cell>
          <cell r="H89">
            <v>53.99</v>
          </cell>
          <cell r="I89">
            <v>8.99</v>
          </cell>
          <cell r="J89">
            <v>3.99</v>
          </cell>
          <cell r="K89">
            <v>3.99</v>
          </cell>
          <cell r="L89">
            <v>1.99</v>
          </cell>
          <cell r="M89">
            <v>1.99</v>
          </cell>
        </row>
        <row r="90">
          <cell r="B90" t="str">
            <v>Libya</v>
          </cell>
          <cell r="C90" t="str">
            <v>LY</v>
          </cell>
          <cell r="D90" t="str">
            <v>USD</v>
          </cell>
          <cell r="E90" t="str">
            <v>USD</v>
          </cell>
          <cell r="F90">
            <v>79.989999999999995</v>
          </cell>
          <cell r="G90">
            <v>13.99</v>
          </cell>
          <cell r="H90">
            <v>59.99</v>
          </cell>
          <cell r="I90">
            <v>9.99</v>
          </cell>
          <cell r="J90">
            <v>3.99</v>
          </cell>
          <cell r="K90">
            <v>3.99</v>
          </cell>
          <cell r="L90">
            <v>1.99</v>
          </cell>
          <cell r="M90">
            <v>1.99</v>
          </cell>
        </row>
        <row r="91">
          <cell r="B91" t="str">
            <v>Liechtenstein</v>
          </cell>
          <cell r="C91" t="str">
            <v>LI</v>
          </cell>
          <cell r="D91" t="str">
            <v>CHF</v>
          </cell>
          <cell r="E91" t="str">
            <v>CHF</v>
          </cell>
          <cell r="F91">
            <v>189.99</v>
          </cell>
          <cell r="G91">
            <v>31.99</v>
          </cell>
          <cell r="H91">
            <v>149.99</v>
          </cell>
          <cell r="I91">
            <v>24.99</v>
          </cell>
          <cell r="J91">
            <v>8.99</v>
          </cell>
          <cell r="K91">
            <v>7.49</v>
          </cell>
          <cell r="L91">
            <v>5.99</v>
          </cell>
          <cell r="M91">
            <v>4.49</v>
          </cell>
        </row>
        <row r="92">
          <cell r="B92" t="str">
            <v>Lithuania</v>
          </cell>
          <cell r="C92" t="str">
            <v>LT</v>
          </cell>
          <cell r="D92" t="str">
            <v>EUR</v>
          </cell>
          <cell r="E92" t="str">
            <v>EUR</v>
          </cell>
          <cell r="F92">
            <v>94.99</v>
          </cell>
          <cell r="G92">
            <v>14.99</v>
          </cell>
          <cell r="H92">
            <v>69.989999999999995</v>
          </cell>
          <cell r="I92">
            <v>10.99</v>
          </cell>
          <cell r="J92">
            <v>3.99</v>
          </cell>
          <cell r="K92">
            <v>3.99</v>
          </cell>
          <cell r="L92">
            <v>1.99</v>
          </cell>
          <cell r="M92">
            <v>1.99</v>
          </cell>
        </row>
        <row r="93">
          <cell r="B93" t="str">
            <v>Luxembourg</v>
          </cell>
          <cell r="C93" t="str">
            <v>LU</v>
          </cell>
          <cell r="D93" t="str">
            <v>EUR</v>
          </cell>
          <cell r="E93" t="str">
            <v>EUR</v>
          </cell>
          <cell r="F93">
            <v>194.99</v>
          </cell>
          <cell r="G93">
            <v>28.99</v>
          </cell>
          <cell r="H93">
            <v>149.99</v>
          </cell>
          <cell r="I93">
            <v>21.99</v>
          </cell>
          <cell r="J93">
            <v>7.99</v>
          </cell>
          <cell r="K93">
            <v>7.99</v>
          </cell>
          <cell r="L93">
            <v>3.99</v>
          </cell>
          <cell r="M93">
            <v>3.99</v>
          </cell>
        </row>
        <row r="94">
          <cell r="B94" t="str">
            <v>Macao</v>
          </cell>
          <cell r="C94" t="str">
            <v>MO</v>
          </cell>
          <cell r="D94" t="str">
            <v>MOP</v>
          </cell>
          <cell r="E94" t="str">
            <v>MOP</v>
          </cell>
          <cell r="F94">
            <v>869.99</v>
          </cell>
          <cell r="G94">
            <v>124.99</v>
          </cell>
          <cell r="H94">
            <v>629.99</v>
          </cell>
          <cell r="I94">
            <v>89.99</v>
          </cell>
          <cell r="J94">
            <v>30.99</v>
          </cell>
          <cell r="K94">
            <v>24.99</v>
          </cell>
          <cell r="L94">
            <v>18.989999999999998</v>
          </cell>
          <cell r="M94">
            <v>12.989999999999998</v>
          </cell>
        </row>
        <row r="95">
          <cell r="B95" t="str">
            <v>Malaysia</v>
          </cell>
          <cell r="C95" t="str">
            <v>MY</v>
          </cell>
          <cell r="D95" t="str">
            <v>MYR</v>
          </cell>
          <cell r="E95" t="str">
            <v>MYR</v>
          </cell>
          <cell r="F95">
            <v>389.9</v>
          </cell>
          <cell r="G95">
            <v>64.900000000000006</v>
          </cell>
          <cell r="H95">
            <v>319.89999999999998</v>
          </cell>
          <cell r="I95">
            <v>45.99</v>
          </cell>
          <cell r="J95">
            <v>16.899999999999999</v>
          </cell>
          <cell r="K95">
            <v>16.899999999999999</v>
          </cell>
          <cell r="L95">
            <v>7.9</v>
          </cell>
          <cell r="M95">
            <v>7.9</v>
          </cell>
        </row>
        <row r="96">
          <cell r="B96" t="str">
            <v>Maldives</v>
          </cell>
          <cell r="C96" t="str">
            <v>MV</v>
          </cell>
          <cell r="D96" t="str">
            <v>MVR</v>
          </cell>
          <cell r="E96" t="str">
            <v>USD</v>
          </cell>
          <cell r="F96">
            <v>70.989999999999995</v>
          </cell>
          <cell r="G96">
            <v>11.99</v>
          </cell>
          <cell r="H96">
            <v>52.99</v>
          </cell>
          <cell r="I96">
            <v>8.99</v>
          </cell>
          <cell r="J96">
            <v>3.99</v>
          </cell>
          <cell r="K96">
            <v>2.99</v>
          </cell>
          <cell r="L96">
            <v>1.99</v>
          </cell>
          <cell r="M96">
            <v>0.99</v>
          </cell>
        </row>
        <row r="97">
          <cell r="B97" t="str">
            <v>Mali</v>
          </cell>
          <cell r="C97" t="str">
            <v>ML</v>
          </cell>
          <cell r="D97" t="str">
            <v>XOF</v>
          </cell>
          <cell r="E97" t="str">
            <v>EUR</v>
          </cell>
          <cell r="F97">
            <v>66.989999999999995</v>
          </cell>
          <cell r="G97">
            <v>10.99</v>
          </cell>
          <cell r="H97">
            <v>48.99</v>
          </cell>
          <cell r="I97">
            <v>7.99</v>
          </cell>
          <cell r="J97">
            <v>2.99</v>
          </cell>
          <cell r="K97">
            <v>2.99</v>
          </cell>
          <cell r="L97">
            <v>1.99</v>
          </cell>
          <cell r="M97">
            <v>1.99</v>
          </cell>
        </row>
        <row r="98">
          <cell r="B98" t="str">
            <v>Malta</v>
          </cell>
          <cell r="C98" t="str">
            <v>MT</v>
          </cell>
          <cell r="D98" t="str">
            <v>EUR</v>
          </cell>
          <cell r="E98" t="str">
            <v>EUR</v>
          </cell>
          <cell r="F98">
            <v>129.99</v>
          </cell>
          <cell r="G98">
            <v>21.99</v>
          </cell>
          <cell r="H98">
            <v>99.99</v>
          </cell>
          <cell r="I98">
            <v>16.989999999999998</v>
          </cell>
          <cell r="J98">
            <v>5.99</v>
          </cell>
          <cell r="K98">
            <v>4.99</v>
          </cell>
          <cell r="L98">
            <v>3.99</v>
          </cell>
          <cell r="M98">
            <v>2.99</v>
          </cell>
        </row>
        <row r="99">
          <cell r="B99" t="str">
            <v>Mauritius</v>
          </cell>
          <cell r="C99" t="str">
            <v>MU</v>
          </cell>
          <cell r="D99" t="str">
            <v>MUR</v>
          </cell>
          <cell r="E99" t="str">
            <v>USD</v>
          </cell>
          <cell r="F99">
            <v>59.99</v>
          </cell>
          <cell r="G99">
            <v>9.99</v>
          </cell>
          <cell r="H99">
            <v>43.99</v>
          </cell>
          <cell r="I99">
            <v>6.99</v>
          </cell>
          <cell r="J99">
            <v>2.99</v>
          </cell>
          <cell r="K99">
            <v>1.99</v>
          </cell>
          <cell r="L99">
            <v>1.99</v>
          </cell>
          <cell r="M99">
            <v>0.99</v>
          </cell>
        </row>
        <row r="100">
          <cell r="B100" t="str">
            <v>Mexico</v>
          </cell>
          <cell r="C100" t="str">
            <v>MX</v>
          </cell>
          <cell r="D100" t="str">
            <v>MXN</v>
          </cell>
          <cell r="E100" t="str">
            <v>MXN</v>
          </cell>
          <cell r="F100">
            <v>1990</v>
          </cell>
          <cell r="G100">
            <v>290</v>
          </cell>
          <cell r="H100">
            <v>1470</v>
          </cell>
          <cell r="I100">
            <v>210</v>
          </cell>
          <cell r="J100">
            <v>99</v>
          </cell>
          <cell r="K100">
            <v>74</v>
          </cell>
          <cell r="L100">
            <v>49</v>
          </cell>
          <cell r="M100">
            <v>24</v>
          </cell>
        </row>
        <row r="101">
          <cell r="B101" t="str">
            <v>Micronesia</v>
          </cell>
          <cell r="C101" t="str">
            <v>FM</v>
          </cell>
          <cell r="D101" t="str">
            <v>USD</v>
          </cell>
          <cell r="E101" t="str">
            <v>USD</v>
          </cell>
          <cell r="F101">
            <v>129.99</v>
          </cell>
          <cell r="G101">
            <v>18.989999999999998</v>
          </cell>
          <cell r="H101">
            <v>83.99</v>
          </cell>
          <cell r="I101">
            <v>13.99</v>
          </cell>
          <cell r="J101">
            <v>4.99</v>
          </cell>
          <cell r="K101">
            <v>3.99</v>
          </cell>
          <cell r="L101">
            <v>2.99</v>
          </cell>
          <cell r="M101">
            <v>1.9900000000000002</v>
          </cell>
        </row>
        <row r="102">
          <cell r="B102" t="str">
            <v>Moldova</v>
          </cell>
          <cell r="C102" t="str">
            <v>MD</v>
          </cell>
          <cell r="D102" t="str">
            <v>MDL</v>
          </cell>
          <cell r="E102" t="str">
            <v>USD</v>
          </cell>
          <cell r="F102">
            <v>84.99</v>
          </cell>
          <cell r="G102">
            <v>13.99</v>
          </cell>
          <cell r="H102">
            <v>62.99</v>
          </cell>
          <cell r="I102">
            <v>9.99</v>
          </cell>
          <cell r="J102">
            <v>3.99</v>
          </cell>
          <cell r="K102">
            <v>3.99</v>
          </cell>
          <cell r="L102">
            <v>1.9900000000000002</v>
          </cell>
          <cell r="M102">
            <v>1.9900000000000002</v>
          </cell>
        </row>
        <row r="103">
          <cell r="B103" t="str">
            <v>Monaco</v>
          </cell>
          <cell r="C103" t="str">
            <v>MC</v>
          </cell>
          <cell r="D103" t="str">
            <v>EUR</v>
          </cell>
          <cell r="E103" t="str">
            <v>EUR</v>
          </cell>
          <cell r="F103">
            <v>119.99</v>
          </cell>
          <cell r="G103">
            <v>19.989999999999998</v>
          </cell>
          <cell r="H103">
            <v>89.99</v>
          </cell>
          <cell r="I103">
            <v>14.99</v>
          </cell>
          <cell r="J103">
            <v>4.99</v>
          </cell>
          <cell r="K103">
            <v>3.99</v>
          </cell>
          <cell r="L103">
            <v>2.99</v>
          </cell>
          <cell r="M103">
            <v>1.9900000000000002</v>
          </cell>
        </row>
        <row r="104">
          <cell r="B104" t="str">
            <v>Morocco</v>
          </cell>
          <cell r="C104" t="str">
            <v>MA</v>
          </cell>
          <cell r="D104" t="str">
            <v>MAD</v>
          </cell>
          <cell r="E104" t="str">
            <v>MAD</v>
          </cell>
          <cell r="F104">
            <v>720</v>
          </cell>
          <cell r="G104">
            <v>120</v>
          </cell>
          <cell r="H104">
            <v>540</v>
          </cell>
          <cell r="I104">
            <v>90</v>
          </cell>
          <cell r="J104">
            <v>30</v>
          </cell>
          <cell r="K104">
            <v>25</v>
          </cell>
          <cell r="L104">
            <v>20</v>
          </cell>
          <cell r="M104">
            <v>15</v>
          </cell>
        </row>
        <row r="105">
          <cell r="B105" t="str">
            <v>Mozambique</v>
          </cell>
          <cell r="C105" t="str">
            <v>MZ</v>
          </cell>
          <cell r="D105" t="str">
            <v>USD</v>
          </cell>
          <cell r="E105" t="str">
            <v>USD</v>
          </cell>
          <cell r="F105">
            <v>71.989999999999995</v>
          </cell>
          <cell r="G105">
            <v>11.99</v>
          </cell>
          <cell r="H105">
            <v>53.99</v>
          </cell>
          <cell r="I105">
            <v>8.99</v>
          </cell>
          <cell r="J105">
            <v>3.99</v>
          </cell>
          <cell r="K105">
            <v>3.99</v>
          </cell>
          <cell r="L105">
            <v>1.99</v>
          </cell>
          <cell r="M105">
            <v>1.99</v>
          </cell>
        </row>
        <row r="106">
          <cell r="B106" t="str">
            <v>Myanmar</v>
          </cell>
          <cell r="C106" t="str">
            <v>MM</v>
          </cell>
          <cell r="D106" t="str">
            <v>MMK</v>
          </cell>
          <cell r="E106" t="str">
            <v>MMK</v>
          </cell>
          <cell r="F106">
            <v>129600</v>
          </cell>
          <cell r="G106">
            <v>21600</v>
          </cell>
          <cell r="H106">
            <v>96000</v>
          </cell>
          <cell r="I106">
            <v>16000</v>
          </cell>
          <cell r="J106">
            <v>5600</v>
          </cell>
          <cell r="K106">
            <v>4600</v>
          </cell>
          <cell r="L106">
            <v>3600</v>
          </cell>
          <cell r="M106">
            <v>2600</v>
          </cell>
        </row>
        <row r="107">
          <cell r="B107" t="str">
            <v>Namibia</v>
          </cell>
          <cell r="C107" t="str">
            <v>NA</v>
          </cell>
          <cell r="D107" t="str">
            <v>NAD</v>
          </cell>
          <cell r="E107" t="str">
            <v>USD</v>
          </cell>
          <cell r="F107">
            <v>52.99</v>
          </cell>
          <cell r="G107">
            <v>8.99</v>
          </cell>
          <cell r="H107">
            <v>38.99</v>
          </cell>
          <cell r="I107">
            <v>5.99</v>
          </cell>
          <cell r="J107">
            <v>1.99</v>
          </cell>
          <cell r="K107">
            <v>1.99</v>
          </cell>
          <cell r="L107">
            <v>0.99</v>
          </cell>
          <cell r="M107">
            <v>0.99</v>
          </cell>
        </row>
        <row r="108">
          <cell r="B108" t="str">
            <v>Nepal</v>
          </cell>
          <cell r="C108" t="str">
            <v>NP</v>
          </cell>
          <cell r="D108" t="str">
            <v>NPR</v>
          </cell>
          <cell r="E108" t="str">
            <v>USD</v>
          </cell>
          <cell r="F108">
            <v>78.989999999999995</v>
          </cell>
          <cell r="G108">
            <v>12.99</v>
          </cell>
          <cell r="H108">
            <v>57.99</v>
          </cell>
          <cell r="I108">
            <v>8.99</v>
          </cell>
          <cell r="J108">
            <v>2.99</v>
          </cell>
          <cell r="K108">
            <v>2.99</v>
          </cell>
          <cell r="L108">
            <v>1.99</v>
          </cell>
          <cell r="M108">
            <v>1.99</v>
          </cell>
        </row>
        <row r="109">
          <cell r="B109" t="str">
            <v>Netherlands</v>
          </cell>
          <cell r="C109" t="str">
            <v>NL</v>
          </cell>
          <cell r="D109" t="str">
            <v>EUR</v>
          </cell>
          <cell r="E109" t="str">
            <v>EUR</v>
          </cell>
          <cell r="F109">
            <v>149.99</v>
          </cell>
          <cell r="G109">
            <v>22.99</v>
          </cell>
          <cell r="H109">
            <v>109.99</v>
          </cell>
          <cell r="I109">
            <v>16.989999999999998</v>
          </cell>
          <cell r="J109">
            <v>5.99</v>
          </cell>
          <cell r="K109">
            <v>4.99</v>
          </cell>
          <cell r="L109">
            <v>3.99</v>
          </cell>
          <cell r="M109">
            <v>2.99</v>
          </cell>
        </row>
        <row r="110">
          <cell r="B110" t="str">
            <v>New Zealand</v>
          </cell>
          <cell r="C110" t="str">
            <v>NZ</v>
          </cell>
          <cell r="D110" t="str">
            <v>NZD</v>
          </cell>
          <cell r="E110" t="str">
            <v>NZD</v>
          </cell>
          <cell r="F110">
            <v>219.99</v>
          </cell>
          <cell r="G110">
            <v>33.99</v>
          </cell>
          <cell r="H110">
            <v>159.99</v>
          </cell>
          <cell r="I110">
            <v>24.99</v>
          </cell>
          <cell r="J110">
            <v>8.99</v>
          </cell>
          <cell r="K110">
            <v>8.99</v>
          </cell>
          <cell r="L110">
            <v>4.99</v>
          </cell>
          <cell r="M110">
            <v>4.99</v>
          </cell>
        </row>
        <row r="111">
          <cell r="B111" t="str">
            <v>Nicaragua</v>
          </cell>
          <cell r="C111" t="str">
            <v>NI</v>
          </cell>
          <cell r="D111" t="str">
            <v>NIO</v>
          </cell>
          <cell r="E111" t="str">
            <v>USD</v>
          </cell>
          <cell r="F111">
            <v>81.99</v>
          </cell>
          <cell r="G111">
            <v>13.99</v>
          </cell>
          <cell r="H111">
            <v>59.99</v>
          </cell>
          <cell r="I111">
            <v>9.99</v>
          </cell>
          <cell r="J111">
            <v>3.99</v>
          </cell>
          <cell r="K111">
            <v>3.99</v>
          </cell>
          <cell r="L111">
            <v>1.99</v>
          </cell>
          <cell r="M111">
            <v>1.99</v>
          </cell>
        </row>
        <row r="112">
          <cell r="B112" t="str">
            <v>Niger</v>
          </cell>
          <cell r="C112" t="str">
            <v>NE</v>
          </cell>
          <cell r="D112" t="str">
            <v>XOF</v>
          </cell>
          <cell r="E112" t="str">
            <v>EUR</v>
          </cell>
          <cell r="F112">
            <v>66.989999999999995</v>
          </cell>
          <cell r="G112">
            <v>10.99</v>
          </cell>
          <cell r="H112">
            <v>48.99</v>
          </cell>
          <cell r="I112">
            <v>7.99</v>
          </cell>
          <cell r="J112">
            <v>2.99</v>
          </cell>
          <cell r="K112">
            <v>2.99</v>
          </cell>
          <cell r="L112">
            <v>1.99</v>
          </cell>
          <cell r="M112">
            <v>1.99</v>
          </cell>
        </row>
        <row r="113">
          <cell r="B113" t="str">
            <v>Nigeria</v>
          </cell>
          <cell r="C113" t="str">
            <v>NG</v>
          </cell>
          <cell r="D113" t="str">
            <v>NGN</v>
          </cell>
          <cell r="E113" t="str">
            <v>NGN</v>
          </cell>
          <cell r="F113">
            <v>46900</v>
          </cell>
          <cell r="G113">
            <v>7900</v>
          </cell>
          <cell r="H113">
            <v>34900</v>
          </cell>
          <cell r="I113">
            <v>5900</v>
          </cell>
          <cell r="J113">
            <v>2190</v>
          </cell>
          <cell r="K113">
            <v>2190</v>
          </cell>
          <cell r="L113">
            <v>1290</v>
          </cell>
          <cell r="M113">
            <v>1290</v>
          </cell>
        </row>
        <row r="114">
          <cell r="B114" t="str">
            <v>Macedonia</v>
          </cell>
          <cell r="C114" t="str">
            <v>MK</v>
          </cell>
          <cell r="D114" t="str">
            <v>MKD</v>
          </cell>
          <cell r="E114" t="str">
            <v>USD</v>
          </cell>
          <cell r="F114">
            <v>96.99</v>
          </cell>
          <cell r="G114">
            <v>15.99</v>
          </cell>
          <cell r="H114">
            <v>69.989999999999995</v>
          </cell>
          <cell r="I114">
            <v>10.99</v>
          </cell>
          <cell r="J114">
            <v>3.99</v>
          </cell>
          <cell r="K114">
            <v>2.99</v>
          </cell>
          <cell r="L114">
            <v>2.99</v>
          </cell>
          <cell r="M114">
            <v>1.99</v>
          </cell>
        </row>
        <row r="115">
          <cell r="B115" t="str">
            <v>Norway</v>
          </cell>
          <cell r="C115" t="str">
            <v>NO</v>
          </cell>
          <cell r="D115" t="str">
            <v>NOK</v>
          </cell>
          <cell r="E115" t="str">
            <v>NOK</v>
          </cell>
          <cell r="F115">
            <v>1399</v>
          </cell>
          <cell r="G115">
            <v>210</v>
          </cell>
          <cell r="H115">
            <v>1000</v>
          </cell>
          <cell r="I115">
            <v>150</v>
          </cell>
          <cell r="J115">
            <v>55</v>
          </cell>
          <cell r="K115">
            <v>44</v>
          </cell>
          <cell r="L115">
            <v>33</v>
          </cell>
          <cell r="M115">
            <v>22</v>
          </cell>
        </row>
        <row r="116">
          <cell r="B116" t="str">
            <v>Oman</v>
          </cell>
          <cell r="C116" t="str">
            <v>OM</v>
          </cell>
          <cell r="D116" t="str">
            <v>OMR</v>
          </cell>
          <cell r="E116" t="str">
            <v>USD</v>
          </cell>
          <cell r="F116">
            <v>77.989999999999995</v>
          </cell>
          <cell r="G116">
            <v>12.99</v>
          </cell>
          <cell r="H116">
            <v>61.99</v>
          </cell>
          <cell r="I116">
            <v>9.99</v>
          </cell>
          <cell r="J116">
            <v>4.99</v>
          </cell>
          <cell r="K116">
            <v>4.99</v>
          </cell>
          <cell r="L116">
            <v>2.99</v>
          </cell>
          <cell r="M116">
            <v>2.99</v>
          </cell>
        </row>
        <row r="117">
          <cell r="B117" t="str">
            <v>Pakistan</v>
          </cell>
          <cell r="C117" t="str">
            <v>PK</v>
          </cell>
          <cell r="D117" t="str">
            <v>PKR</v>
          </cell>
          <cell r="E117" t="str">
            <v>PKR</v>
          </cell>
          <cell r="F117">
            <v>12200</v>
          </cell>
          <cell r="G117">
            <v>2049</v>
          </cell>
          <cell r="H117">
            <v>9000</v>
          </cell>
          <cell r="I117">
            <v>1500</v>
          </cell>
          <cell r="J117">
            <v>720</v>
          </cell>
          <cell r="K117">
            <v>720</v>
          </cell>
          <cell r="L117">
            <v>370</v>
          </cell>
          <cell r="M117">
            <v>370</v>
          </cell>
        </row>
        <row r="118">
          <cell r="B118" t="str">
            <v>Panama</v>
          </cell>
          <cell r="C118" t="str">
            <v>PA</v>
          </cell>
          <cell r="D118" t="str">
            <v>USD</v>
          </cell>
          <cell r="E118" t="str">
            <v>USD</v>
          </cell>
          <cell r="F118">
            <v>113.99</v>
          </cell>
          <cell r="G118">
            <v>18.989999999999998</v>
          </cell>
          <cell r="H118">
            <v>83.99</v>
          </cell>
          <cell r="I118">
            <v>13.99</v>
          </cell>
          <cell r="J118">
            <v>4.99</v>
          </cell>
          <cell r="K118">
            <v>3.99</v>
          </cell>
          <cell r="L118">
            <v>2.99</v>
          </cell>
          <cell r="M118">
            <v>1.9900000000000002</v>
          </cell>
        </row>
        <row r="119">
          <cell r="B119" t="str">
            <v>Papua New Guinea</v>
          </cell>
          <cell r="C119" t="str">
            <v>PG</v>
          </cell>
          <cell r="D119" t="str">
            <v>PGK</v>
          </cell>
          <cell r="E119" t="str">
            <v>USD</v>
          </cell>
          <cell r="F119">
            <v>67.989999999999995</v>
          </cell>
          <cell r="G119">
            <v>10.99</v>
          </cell>
          <cell r="H119">
            <v>50.99</v>
          </cell>
          <cell r="I119">
            <v>7.99</v>
          </cell>
          <cell r="J119">
            <v>2.99</v>
          </cell>
          <cell r="K119">
            <v>1.99</v>
          </cell>
          <cell r="L119">
            <v>1.99</v>
          </cell>
          <cell r="M119">
            <v>0.99</v>
          </cell>
        </row>
        <row r="120">
          <cell r="B120" t="str">
            <v>Paraguay</v>
          </cell>
          <cell r="C120" t="str">
            <v>PY</v>
          </cell>
          <cell r="D120" t="str">
            <v>PYG</v>
          </cell>
          <cell r="E120" t="str">
            <v>PYG</v>
          </cell>
          <cell r="F120">
            <v>557280</v>
          </cell>
          <cell r="G120">
            <v>92880</v>
          </cell>
          <cell r="H120">
            <v>412800</v>
          </cell>
          <cell r="I120">
            <v>68800</v>
          </cell>
          <cell r="J120">
            <v>24100</v>
          </cell>
          <cell r="K120">
            <v>24100</v>
          </cell>
          <cell r="L120">
            <v>14100</v>
          </cell>
          <cell r="M120">
            <v>14100</v>
          </cell>
        </row>
        <row r="121">
          <cell r="B121" t="str">
            <v>Peru</v>
          </cell>
          <cell r="C121" t="str">
            <v>PE</v>
          </cell>
          <cell r="D121" t="str">
            <v>PEN</v>
          </cell>
          <cell r="E121" t="str">
            <v>PEN</v>
          </cell>
          <cell r="F121">
            <v>379</v>
          </cell>
          <cell r="G121">
            <v>63</v>
          </cell>
          <cell r="H121">
            <v>279.99</v>
          </cell>
          <cell r="I121">
            <v>46.99</v>
          </cell>
          <cell r="J121">
            <v>17.899999999999999</v>
          </cell>
          <cell r="K121">
            <v>17.899999999999999</v>
          </cell>
          <cell r="L121">
            <v>10.9</v>
          </cell>
          <cell r="M121">
            <v>10.9</v>
          </cell>
        </row>
        <row r="122">
          <cell r="B122" t="str">
            <v>Philippines</v>
          </cell>
          <cell r="C122" t="str">
            <v>PH</v>
          </cell>
          <cell r="D122" t="str">
            <v>PHP</v>
          </cell>
          <cell r="E122" t="str">
            <v>PHP</v>
          </cell>
          <cell r="F122">
            <v>5050</v>
          </cell>
          <cell r="G122">
            <v>839</v>
          </cell>
          <cell r="H122">
            <v>3900</v>
          </cell>
          <cell r="I122">
            <v>559</v>
          </cell>
          <cell r="J122">
            <v>209</v>
          </cell>
          <cell r="K122">
            <v>209</v>
          </cell>
          <cell r="L122">
            <v>119</v>
          </cell>
          <cell r="M122">
            <v>119</v>
          </cell>
        </row>
        <row r="123">
          <cell r="B123" t="str">
            <v>Poland</v>
          </cell>
          <cell r="C123" t="str">
            <v>PL</v>
          </cell>
          <cell r="D123" t="str">
            <v>PLN</v>
          </cell>
          <cell r="E123" t="str">
            <v>PLN</v>
          </cell>
          <cell r="F123">
            <v>539.99</v>
          </cell>
          <cell r="G123">
            <v>82.99</v>
          </cell>
          <cell r="H123">
            <v>399.99</v>
          </cell>
          <cell r="I123">
            <v>61.99</v>
          </cell>
          <cell r="J123">
            <v>24.99</v>
          </cell>
          <cell r="K123">
            <v>19.989999999999998</v>
          </cell>
          <cell r="L123">
            <v>14.99</v>
          </cell>
          <cell r="M123">
            <v>9.99</v>
          </cell>
        </row>
        <row r="124">
          <cell r="B124" t="str">
            <v>Portugal</v>
          </cell>
          <cell r="C124" t="str">
            <v>PT</v>
          </cell>
          <cell r="D124" t="str">
            <v>EUR</v>
          </cell>
          <cell r="E124" t="str">
            <v>EUR</v>
          </cell>
          <cell r="F124">
            <v>129.99</v>
          </cell>
          <cell r="G124">
            <v>19.989999999999998</v>
          </cell>
          <cell r="H124">
            <v>97.99</v>
          </cell>
          <cell r="I124">
            <v>14.99</v>
          </cell>
          <cell r="J124">
            <v>4.99</v>
          </cell>
          <cell r="K124">
            <v>4.99</v>
          </cell>
          <cell r="L124">
            <v>2.99</v>
          </cell>
          <cell r="M124">
            <v>1.99</v>
          </cell>
        </row>
        <row r="125">
          <cell r="B125" t="str">
            <v>Qatar</v>
          </cell>
          <cell r="C125" t="str">
            <v>QA</v>
          </cell>
          <cell r="D125" t="str">
            <v>QAR</v>
          </cell>
          <cell r="E125" t="str">
            <v>QAR</v>
          </cell>
          <cell r="F125">
            <v>679.99</v>
          </cell>
          <cell r="G125">
            <v>96.99</v>
          </cell>
          <cell r="H125">
            <v>529.99</v>
          </cell>
          <cell r="I125">
            <v>74.989999999999995</v>
          </cell>
          <cell r="J125">
            <v>24.99</v>
          </cell>
          <cell r="K125">
            <v>20.99</v>
          </cell>
          <cell r="L125">
            <v>14.99</v>
          </cell>
          <cell r="M125">
            <v>10.99</v>
          </cell>
        </row>
        <row r="126">
          <cell r="B126" t="str">
            <v>Romania</v>
          </cell>
          <cell r="C126" t="str">
            <v>RO</v>
          </cell>
          <cell r="D126" t="str">
            <v>RON</v>
          </cell>
          <cell r="E126" t="str">
            <v>RON</v>
          </cell>
          <cell r="F126">
            <v>549.99</v>
          </cell>
          <cell r="G126">
            <v>81.99</v>
          </cell>
          <cell r="H126">
            <v>394.99</v>
          </cell>
          <cell r="I126">
            <v>58.99</v>
          </cell>
          <cell r="J126">
            <v>19.989999999999998</v>
          </cell>
          <cell r="K126">
            <v>19.989999999999998</v>
          </cell>
          <cell r="L126">
            <v>9.99</v>
          </cell>
          <cell r="M126">
            <v>9.99</v>
          </cell>
        </row>
        <row r="127">
          <cell r="B127" t="str">
            <v>Russia</v>
          </cell>
          <cell r="C127" t="str">
            <v>RU</v>
          </cell>
          <cell r="D127" t="str">
            <v>RUB</v>
          </cell>
          <cell r="E127" t="str">
            <v>RUB</v>
          </cell>
          <cell r="F127"/>
          <cell r="G127"/>
          <cell r="H127"/>
          <cell r="I127"/>
          <cell r="J127"/>
          <cell r="K127"/>
          <cell r="L127"/>
          <cell r="M127"/>
        </row>
        <row r="128">
          <cell r="B128" t="str">
            <v>Rwanda</v>
          </cell>
          <cell r="C128" t="str">
            <v>RW</v>
          </cell>
          <cell r="D128" t="str">
            <v>RWF</v>
          </cell>
          <cell r="E128" t="str">
            <v>USD</v>
          </cell>
          <cell r="F128">
            <v>78.989999999999995</v>
          </cell>
          <cell r="G128">
            <v>12.99</v>
          </cell>
          <cell r="H128">
            <v>58.99</v>
          </cell>
          <cell r="I128">
            <v>9.99</v>
          </cell>
          <cell r="J128">
            <v>3.99</v>
          </cell>
          <cell r="K128">
            <v>2.99</v>
          </cell>
          <cell r="L128">
            <v>1.99</v>
          </cell>
          <cell r="M128">
            <v>0.99</v>
          </cell>
        </row>
        <row r="129">
          <cell r="B129" t="str">
            <v>Samoa</v>
          </cell>
          <cell r="C129" t="str">
            <v>WS</v>
          </cell>
          <cell r="D129" t="str">
            <v>WST</v>
          </cell>
          <cell r="E129" t="str">
            <v>USD</v>
          </cell>
          <cell r="F129">
            <v>59.99</v>
          </cell>
          <cell r="G129">
            <v>9.99</v>
          </cell>
          <cell r="H129">
            <v>43.99</v>
          </cell>
          <cell r="I129">
            <v>6.99</v>
          </cell>
          <cell r="J129">
            <v>2.99</v>
          </cell>
          <cell r="K129">
            <v>2.99</v>
          </cell>
          <cell r="L129">
            <v>0.99</v>
          </cell>
          <cell r="M129">
            <v>0.99</v>
          </cell>
        </row>
        <row r="130">
          <cell r="B130" t="str">
            <v>San Marino</v>
          </cell>
          <cell r="C130" t="str">
            <v>SM</v>
          </cell>
          <cell r="D130" t="str">
            <v>EUR</v>
          </cell>
          <cell r="E130" t="str">
            <v>EUR</v>
          </cell>
          <cell r="F130">
            <v>159.99</v>
          </cell>
          <cell r="G130">
            <v>22.99</v>
          </cell>
          <cell r="H130">
            <v>109.99</v>
          </cell>
          <cell r="I130">
            <v>17.989999999999998</v>
          </cell>
          <cell r="J130">
            <v>5.99</v>
          </cell>
          <cell r="K130">
            <v>4.99</v>
          </cell>
          <cell r="L130">
            <v>3.99</v>
          </cell>
          <cell r="M130">
            <v>2.99</v>
          </cell>
        </row>
        <row r="131">
          <cell r="B131" t="str">
            <v>Saudi Arabia</v>
          </cell>
          <cell r="C131" t="str">
            <v>SA</v>
          </cell>
          <cell r="D131" t="str">
            <v>SAR</v>
          </cell>
          <cell r="E131" t="str">
            <v>SAR</v>
          </cell>
          <cell r="F131">
            <v>529.99</v>
          </cell>
          <cell r="G131">
            <v>84.99</v>
          </cell>
          <cell r="H131">
            <v>384.99</v>
          </cell>
          <cell r="I131">
            <v>61.99</v>
          </cell>
          <cell r="J131">
            <v>22.99</v>
          </cell>
          <cell r="K131">
            <v>17.989999999999998</v>
          </cell>
          <cell r="L131">
            <v>12.989999999999998</v>
          </cell>
          <cell r="M131">
            <v>7.9899999999999984</v>
          </cell>
        </row>
        <row r="132">
          <cell r="B132" t="str">
            <v>Senegal</v>
          </cell>
          <cell r="C132" t="str">
            <v>SN</v>
          </cell>
          <cell r="D132" t="str">
            <v>XOF</v>
          </cell>
          <cell r="E132" t="str">
            <v>XOF</v>
          </cell>
          <cell r="F132">
            <v>14580</v>
          </cell>
          <cell r="G132">
            <v>7290</v>
          </cell>
          <cell r="H132">
            <v>10800</v>
          </cell>
          <cell r="I132">
            <v>5400</v>
          </cell>
          <cell r="J132">
            <v>2000</v>
          </cell>
          <cell r="K132">
            <v>1500</v>
          </cell>
          <cell r="L132">
            <v>1000</v>
          </cell>
          <cell r="M132">
            <v>500</v>
          </cell>
        </row>
        <row r="133">
          <cell r="B133" t="str">
            <v>Serbia</v>
          </cell>
          <cell r="C133" t="str">
            <v>RS</v>
          </cell>
          <cell r="D133" t="str">
            <v>RSD</v>
          </cell>
          <cell r="E133" t="str">
            <v>RSD</v>
          </cell>
          <cell r="F133">
            <v>10309.99</v>
          </cell>
          <cell r="G133">
            <v>1649.99</v>
          </cell>
          <cell r="H133">
            <v>7499.99</v>
          </cell>
          <cell r="I133">
            <v>1199.99</v>
          </cell>
          <cell r="J133">
            <v>419.99</v>
          </cell>
          <cell r="K133">
            <v>349.99</v>
          </cell>
          <cell r="L133">
            <v>279.99</v>
          </cell>
          <cell r="M133">
            <v>209.99</v>
          </cell>
        </row>
        <row r="134">
          <cell r="B134" t="str">
            <v>Seychelles</v>
          </cell>
          <cell r="C134" t="str">
            <v>SC</v>
          </cell>
          <cell r="D134" t="str">
            <v>SCR</v>
          </cell>
          <cell r="E134" t="str">
            <v>USD</v>
          </cell>
          <cell r="F134">
            <v>57.99</v>
          </cell>
          <cell r="G134">
            <v>9.99</v>
          </cell>
          <cell r="H134">
            <v>42.99</v>
          </cell>
          <cell r="I134">
            <v>6.99</v>
          </cell>
          <cell r="J134">
            <v>2.99</v>
          </cell>
          <cell r="K134">
            <v>2.99</v>
          </cell>
          <cell r="L134">
            <v>1.99</v>
          </cell>
          <cell r="M134">
            <v>1.99</v>
          </cell>
        </row>
        <row r="135">
          <cell r="B135" t="str">
            <v>Sierra Leone</v>
          </cell>
          <cell r="C135" t="str">
            <v>SL</v>
          </cell>
          <cell r="D135" t="str">
            <v>SLL</v>
          </cell>
          <cell r="E135" t="str">
            <v>USD</v>
          </cell>
          <cell r="F135">
            <v>59.99</v>
          </cell>
          <cell r="G135">
            <v>9.99</v>
          </cell>
          <cell r="H135">
            <v>44.99</v>
          </cell>
          <cell r="I135">
            <v>6.99</v>
          </cell>
          <cell r="J135">
            <v>2.99</v>
          </cell>
          <cell r="K135">
            <v>1.99</v>
          </cell>
          <cell r="L135">
            <v>1.99</v>
          </cell>
          <cell r="M135">
            <v>0.99</v>
          </cell>
        </row>
        <row r="136">
          <cell r="B136" t="str">
            <v>Singapore</v>
          </cell>
          <cell r="C136" t="str">
            <v>SG</v>
          </cell>
          <cell r="D136" t="str">
            <v>SGD</v>
          </cell>
          <cell r="E136" t="str">
            <v>SGD</v>
          </cell>
          <cell r="F136">
            <v>184.98</v>
          </cell>
          <cell r="G136">
            <v>26.984999999999999</v>
          </cell>
          <cell r="H136">
            <v>124.98</v>
          </cell>
          <cell r="I136">
            <v>17.98</v>
          </cell>
          <cell r="J136">
            <v>5.98</v>
          </cell>
          <cell r="K136">
            <v>5.98</v>
          </cell>
          <cell r="L136">
            <v>2.98</v>
          </cell>
          <cell r="M136">
            <v>2.98</v>
          </cell>
        </row>
        <row r="137">
          <cell r="B137" t="str">
            <v>Slovakia</v>
          </cell>
          <cell r="C137" t="str">
            <v>SK</v>
          </cell>
          <cell r="D137" t="str">
            <v>EUR</v>
          </cell>
          <cell r="E137" t="str">
            <v>EUR</v>
          </cell>
          <cell r="F137">
            <v>94.99</v>
          </cell>
          <cell r="G137">
            <v>14.99</v>
          </cell>
          <cell r="H137">
            <v>69.989999999999995</v>
          </cell>
          <cell r="I137">
            <v>10.99</v>
          </cell>
          <cell r="J137">
            <v>4.99</v>
          </cell>
          <cell r="K137">
            <v>3.99</v>
          </cell>
          <cell r="L137">
            <v>2.99</v>
          </cell>
          <cell r="M137">
            <v>1.99</v>
          </cell>
        </row>
        <row r="138">
          <cell r="B138" t="str">
            <v>Slovenia</v>
          </cell>
          <cell r="C138" t="str">
            <v>SI</v>
          </cell>
          <cell r="D138" t="str">
            <v>EUR</v>
          </cell>
          <cell r="E138" t="str">
            <v>EUR</v>
          </cell>
          <cell r="F138">
            <v>121.99</v>
          </cell>
          <cell r="G138">
            <v>18.989999999999998</v>
          </cell>
          <cell r="H138">
            <v>89.99</v>
          </cell>
          <cell r="I138">
            <v>13.99</v>
          </cell>
          <cell r="J138">
            <v>4.99</v>
          </cell>
          <cell r="K138">
            <v>3.99</v>
          </cell>
          <cell r="L138">
            <v>2.99</v>
          </cell>
          <cell r="M138">
            <v>1.99</v>
          </cell>
        </row>
        <row r="139">
          <cell r="B139" t="str">
            <v>Solomon Islands</v>
          </cell>
          <cell r="C139" t="str">
            <v>SB</v>
          </cell>
          <cell r="D139" t="str">
            <v>SBD</v>
          </cell>
          <cell r="E139" t="str">
            <v>USD</v>
          </cell>
          <cell r="F139">
            <v>69.989999999999995</v>
          </cell>
          <cell r="G139">
            <v>10.99</v>
          </cell>
          <cell r="H139">
            <v>51.99</v>
          </cell>
          <cell r="I139">
            <v>7.99</v>
          </cell>
          <cell r="J139">
            <v>2.99</v>
          </cell>
          <cell r="K139">
            <v>1.99</v>
          </cell>
          <cell r="L139">
            <v>1.99</v>
          </cell>
          <cell r="M139">
            <v>0.99</v>
          </cell>
        </row>
        <row r="140">
          <cell r="B140" t="str">
            <v>Somalia</v>
          </cell>
          <cell r="C140" t="str">
            <v>SO</v>
          </cell>
          <cell r="D140" t="str">
            <v>SOS</v>
          </cell>
          <cell r="E140" t="str">
            <v>USD</v>
          </cell>
          <cell r="F140">
            <v>59.99</v>
          </cell>
          <cell r="G140">
            <v>9.99</v>
          </cell>
          <cell r="H140">
            <v>44.99</v>
          </cell>
          <cell r="I140">
            <v>7.99</v>
          </cell>
          <cell r="J140">
            <v>2.99</v>
          </cell>
          <cell r="K140">
            <v>2.99</v>
          </cell>
          <cell r="L140">
            <v>1.99</v>
          </cell>
          <cell r="M140">
            <v>1.99</v>
          </cell>
        </row>
        <row r="141">
          <cell r="B141" t="str">
            <v>South Africa</v>
          </cell>
          <cell r="C141" t="str">
            <v>ZA</v>
          </cell>
          <cell r="D141" t="str">
            <v>ZAR</v>
          </cell>
          <cell r="E141" t="str">
            <v>ZAR</v>
          </cell>
          <cell r="F141">
            <v>1129.99</v>
          </cell>
          <cell r="G141">
            <v>188.99</v>
          </cell>
          <cell r="H141">
            <v>839.99</v>
          </cell>
          <cell r="I141">
            <v>139.99</v>
          </cell>
          <cell r="J141">
            <v>64.989999999999995</v>
          </cell>
          <cell r="K141">
            <v>64.989999999999995</v>
          </cell>
          <cell r="L141">
            <v>32.99</v>
          </cell>
          <cell r="M141">
            <v>32.99</v>
          </cell>
        </row>
        <row r="142">
          <cell r="B142" t="str">
            <v>South Korea</v>
          </cell>
          <cell r="C142" t="str">
            <v>KR</v>
          </cell>
          <cell r="D142" t="str">
            <v>KRW</v>
          </cell>
          <cell r="E142" t="str">
            <v>KRW</v>
          </cell>
          <cell r="F142">
            <v>190000</v>
          </cell>
          <cell r="G142">
            <v>30000</v>
          </cell>
          <cell r="H142">
            <v>130000</v>
          </cell>
          <cell r="I142">
            <v>20000</v>
          </cell>
          <cell r="J142">
            <v>7500</v>
          </cell>
          <cell r="K142">
            <v>7500</v>
          </cell>
          <cell r="L142">
            <v>3900</v>
          </cell>
          <cell r="M142">
            <v>3900</v>
          </cell>
        </row>
        <row r="143">
          <cell r="B143" t="str">
            <v>Spain</v>
          </cell>
          <cell r="C143" t="str">
            <v>ES</v>
          </cell>
          <cell r="D143" t="str">
            <v>EUR</v>
          </cell>
          <cell r="E143" t="str">
            <v>EUR</v>
          </cell>
          <cell r="F143">
            <v>139.99</v>
          </cell>
          <cell r="G143">
            <v>19.989999999999998</v>
          </cell>
          <cell r="H143">
            <v>109.99</v>
          </cell>
          <cell r="I143">
            <v>15.99</v>
          </cell>
          <cell r="J143">
            <v>5.99</v>
          </cell>
          <cell r="K143">
            <v>4.99</v>
          </cell>
          <cell r="L143">
            <v>3.99</v>
          </cell>
          <cell r="M143">
            <v>2.99</v>
          </cell>
        </row>
        <row r="144">
          <cell r="B144" t="str">
            <v>Sri Lanka</v>
          </cell>
          <cell r="C144" t="str">
            <v>LK</v>
          </cell>
          <cell r="D144" t="str">
            <v>LKR</v>
          </cell>
          <cell r="E144" t="str">
            <v>LKR</v>
          </cell>
          <cell r="F144">
            <v>15420</v>
          </cell>
          <cell r="G144">
            <v>2570</v>
          </cell>
          <cell r="H144">
            <v>11400</v>
          </cell>
          <cell r="I144">
            <v>1900</v>
          </cell>
          <cell r="J144">
            <v>700</v>
          </cell>
          <cell r="K144">
            <v>700</v>
          </cell>
          <cell r="L144">
            <v>400</v>
          </cell>
          <cell r="M144">
            <v>400</v>
          </cell>
        </row>
        <row r="145">
          <cell r="B145" t="str">
            <v>St. Kitts And Nevis</v>
          </cell>
          <cell r="C145" t="str">
            <v>KN</v>
          </cell>
          <cell r="D145" t="str">
            <v>XCD</v>
          </cell>
          <cell r="E145" t="str">
            <v>USD</v>
          </cell>
          <cell r="F145">
            <v>99.99</v>
          </cell>
          <cell r="G145">
            <v>16.989999999999998</v>
          </cell>
          <cell r="H145">
            <v>72.989999999999995</v>
          </cell>
          <cell r="I145">
            <v>11.99</v>
          </cell>
          <cell r="J145">
            <v>4.99</v>
          </cell>
          <cell r="K145">
            <v>3.99</v>
          </cell>
          <cell r="L145">
            <v>2.99</v>
          </cell>
          <cell r="M145">
            <v>1.99</v>
          </cell>
        </row>
        <row r="146">
          <cell r="B146" t="str">
            <v>St. Lucia</v>
          </cell>
          <cell r="C146" t="str">
            <v>LC</v>
          </cell>
          <cell r="D146" t="str">
            <v>XCD</v>
          </cell>
          <cell r="E146" t="str">
            <v>USD</v>
          </cell>
          <cell r="F146">
            <v>88.99</v>
          </cell>
          <cell r="G146">
            <v>14.99</v>
          </cell>
          <cell r="H146">
            <v>66.989999999999995</v>
          </cell>
          <cell r="I146">
            <v>10.99</v>
          </cell>
          <cell r="J146">
            <v>3.99</v>
          </cell>
          <cell r="K146">
            <v>2.99</v>
          </cell>
          <cell r="L146">
            <v>1.99</v>
          </cell>
          <cell r="M146">
            <v>0.99</v>
          </cell>
        </row>
        <row r="147">
          <cell r="B147" t="str">
            <v>Suriname</v>
          </cell>
          <cell r="C147" t="str">
            <v>SR</v>
          </cell>
          <cell r="D147" t="str">
            <v>SRD</v>
          </cell>
          <cell r="E147" t="str">
            <v>USD</v>
          </cell>
          <cell r="F147">
            <v>69.989999999999995</v>
          </cell>
          <cell r="G147">
            <v>9.99</v>
          </cell>
          <cell r="H147">
            <v>62.99</v>
          </cell>
          <cell r="I147">
            <v>8.99</v>
          </cell>
          <cell r="J147">
            <v>3.99</v>
          </cell>
          <cell r="K147">
            <v>3.99</v>
          </cell>
          <cell r="L147">
            <v>1.99</v>
          </cell>
          <cell r="M147">
            <v>1.99</v>
          </cell>
        </row>
        <row r="148">
          <cell r="B148" t="str">
            <v>Sweden</v>
          </cell>
          <cell r="C148" t="str">
            <v>SE</v>
          </cell>
          <cell r="D148" t="str">
            <v>SEK</v>
          </cell>
          <cell r="E148" t="str">
            <v>SEK</v>
          </cell>
          <cell r="F148">
            <v>1470</v>
          </cell>
          <cell r="G148">
            <v>220</v>
          </cell>
          <cell r="H148">
            <v>1070</v>
          </cell>
          <cell r="I148">
            <v>160</v>
          </cell>
          <cell r="J148">
            <v>55</v>
          </cell>
          <cell r="K148">
            <v>45</v>
          </cell>
          <cell r="L148">
            <v>30</v>
          </cell>
          <cell r="M148">
            <v>20</v>
          </cell>
        </row>
        <row r="149">
          <cell r="B149" t="str">
            <v>Switzerland</v>
          </cell>
          <cell r="C149" t="str">
            <v>CH</v>
          </cell>
          <cell r="D149" t="str">
            <v>CHF</v>
          </cell>
          <cell r="E149" t="str">
            <v>CHF</v>
          </cell>
          <cell r="F149">
            <v>220</v>
          </cell>
          <cell r="G149">
            <v>34</v>
          </cell>
          <cell r="H149">
            <v>160</v>
          </cell>
          <cell r="I149">
            <v>25</v>
          </cell>
          <cell r="J149">
            <v>9</v>
          </cell>
          <cell r="K149">
            <v>7</v>
          </cell>
          <cell r="L149">
            <v>6</v>
          </cell>
          <cell r="M149">
            <v>4</v>
          </cell>
        </row>
        <row r="150">
          <cell r="B150" t="str">
            <v>Taiwan</v>
          </cell>
          <cell r="C150" t="str">
            <v>TW</v>
          </cell>
          <cell r="D150" t="str">
            <v>TWD</v>
          </cell>
          <cell r="E150" t="str">
            <v>TWD</v>
          </cell>
          <cell r="F150">
            <v>3590</v>
          </cell>
          <cell r="G150">
            <v>540</v>
          </cell>
          <cell r="H150">
            <v>2700</v>
          </cell>
          <cell r="I150">
            <v>390</v>
          </cell>
          <cell r="J150">
            <v>130</v>
          </cell>
          <cell r="K150">
            <v>130</v>
          </cell>
          <cell r="L150">
            <v>70</v>
          </cell>
          <cell r="M150">
            <v>70</v>
          </cell>
        </row>
        <row r="151">
          <cell r="B151" t="str">
            <v>Tajikistan</v>
          </cell>
          <cell r="C151" t="str">
            <v>TJ</v>
          </cell>
          <cell r="D151" t="str">
            <v>USD</v>
          </cell>
          <cell r="E151" t="str">
            <v>USD</v>
          </cell>
          <cell r="F151">
            <v>71.989999999999995</v>
          </cell>
          <cell r="G151">
            <v>11.99</v>
          </cell>
          <cell r="H151">
            <v>53.99</v>
          </cell>
          <cell r="I151">
            <v>8.99</v>
          </cell>
          <cell r="J151">
            <v>3.49</v>
          </cell>
          <cell r="K151">
            <v>3.49</v>
          </cell>
          <cell r="L151">
            <v>1.19</v>
          </cell>
          <cell r="M151">
            <v>1.19</v>
          </cell>
        </row>
        <row r="152">
          <cell r="B152" t="str">
            <v>Tanzania</v>
          </cell>
          <cell r="C152" t="str">
            <v>TZ</v>
          </cell>
          <cell r="D152" t="str">
            <v>TZS</v>
          </cell>
          <cell r="E152" t="str">
            <v>TZS</v>
          </cell>
          <cell r="F152">
            <v>169000</v>
          </cell>
          <cell r="G152">
            <v>28000</v>
          </cell>
          <cell r="H152">
            <v>125900</v>
          </cell>
          <cell r="I152">
            <v>20900</v>
          </cell>
          <cell r="J152">
            <v>8900</v>
          </cell>
          <cell r="K152">
            <v>8900</v>
          </cell>
          <cell r="L152">
            <v>4500</v>
          </cell>
          <cell r="M152">
            <v>4500</v>
          </cell>
        </row>
        <row r="153">
          <cell r="B153" t="str">
            <v>Thailand</v>
          </cell>
          <cell r="C153" t="str">
            <v>TH</v>
          </cell>
          <cell r="D153" t="str">
            <v>THB</v>
          </cell>
          <cell r="E153" t="str">
            <v>THB</v>
          </cell>
          <cell r="F153">
            <v>2900</v>
          </cell>
          <cell r="G153">
            <v>449</v>
          </cell>
          <cell r="H153">
            <v>2100</v>
          </cell>
          <cell r="I153">
            <v>300</v>
          </cell>
          <cell r="J153">
            <v>149</v>
          </cell>
          <cell r="K153">
            <v>149</v>
          </cell>
          <cell r="L153">
            <v>69</v>
          </cell>
          <cell r="M153">
            <v>69</v>
          </cell>
        </row>
        <row r="154">
          <cell r="B154" t="str">
            <v>Togo</v>
          </cell>
          <cell r="C154" t="str">
            <v>TG</v>
          </cell>
          <cell r="D154" t="str">
            <v>XOF</v>
          </cell>
          <cell r="E154" t="str">
            <v>EUR</v>
          </cell>
          <cell r="F154">
            <v>66.989999999999995</v>
          </cell>
          <cell r="G154">
            <v>10.99</v>
          </cell>
          <cell r="H154">
            <v>48.99</v>
          </cell>
          <cell r="I154">
            <v>7.99</v>
          </cell>
          <cell r="J154">
            <v>2.99</v>
          </cell>
          <cell r="K154">
            <v>2.99</v>
          </cell>
          <cell r="L154">
            <v>1.99</v>
          </cell>
          <cell r="M154">
            <v>1.99</v>
          </cell>
        </row>
        <row r="155">
          <cell r="B155" t="str">
            <v>Tonga</v>
          </cell>
          <cell r="C155" t="str">
            <v>TO</v>
          </cell>
          <cell r="D155" t="str">
            <v>TOP</v>
          </cell>
          <cell r="E155" t="str">
            <v>USD</v>
          </cell>
          <cell r="F155">
            <v>79.989999999999995</v>
          </cell>
          <cell r="G155">
            <v>12.99</v>
          </cell>
          <cell r="H155">
            <v>58.99</v>
          </cell>
          <cell r="I155">
            <v>9.99</v>
          </cell>
          <cell r="J155">
            <v>3.99</v>
          </cell>
          <cell r="K155">
            <v>2.99</v>
          </cell>
          <cell r="L155">
            <v>1.99</v>
          </cell>
          <cell r="M155">
            <v>0.99</v>
          </cell>
        </row>
        <row r="156">
          <cell r="B156" t="str">
            <v>Trinidad And Tobago</v>
          </cell>
          <cell r="C156" t="str">
            <v>TT</v>
          </cell>
          <cell r="D156" t="str">
            <v>TTD</v>
          </cell>
          <cell r="E156" t="str">
            <v>USD</v>
          </cell>
          <cell r="F156">
            <v>101.99</v>
          </cell>
          <cell r="G156">
            <v>16.989999999999998</v>
          </cell>
          <cell r="H156">
            <v>71.989999999999995</v>
          </cell>
          <cell r="I156">
            <v>11.99</v>
          </cell>
          <cell r="J156">
            <v>3.99</v>
          </cell>
          <cell r="K156">
            <v>3.99</v>
          </cell>
          <cell r="L156">
            <v>2.99</v>
          </cell>
          <cell r="M156">
            <v>1.99</v>
          </cell>
        </row>
        <row r="157">
          <cell r="B157" t="str">
            <v>Tunisia</v>
          </cell>
          <cell r="C157" t="str">
            <v>TN</v>
          </cell>
          <cell r="D157" t="str">
            <v>TND</v>
          </cell>
          <cell r="E157" t="str">
            <v>USD</v>
          </cell>
          <cell r="F157">
            <v>69.989999999999995</v>
          </cell>
          <cell r="G157">
            <v>11.99</v>
          </cell>
          <cell r="H157">
            <v>51.99</v>
          </cell>
          <cell r="I157">
            <v>8.99</v>
          </cell>
          <cell r="J157">
            <v>2.99</v>
          </cell>
          <cell r="K157">
            <v>2.99</v>
          </cell>
          <cell r="L157">
            <v>1.99</v>
          </cell>
          <cell r="M157">
            <v>1.99</v>
          </cell>
        </row>
        <row r="158">
          <cell r="B158" t="str">
            <v>Turkey</v>
          </cell>
          <cell r="C158" t="str">
            <v>TR</v>
          </cell>
          <cell r="D158" t="str">
            <v>TRY</v>
          </cell>
          <cell r="E158" t="str">
            <v>TRY</v>
          </cell>
          <cell r="F158">
            <v>1249.99</v>
          </cell>
          <cell r="G158">
            <v>189.99</v>
          </cell>
          <cell r="H158">
            <v>919.99</v>
          </cell>
          <cell r="I158">
            <v>139.99</v>
          </cell>
          <cell r="J158">
            <v>52.99</v>
          </cell>
          <cell r="K158">
            <v>52.99</v>
          </cell>
          <cell r="L158">
            <v>29.99</v>
          </cell>
          <cell r="M158">
            <v>29.99</v>
          </cell>
        </row>
        <row r="159">
          <cell r="B159" t="str">
            <v>Turkmenistan</v>
          </cell>
          <cell r="C159" t="str">
            <v>TM</v>
          </cell>
          <cell r="D159" t="str">
            <v>USD</v>
          </cell>
          <cell r="E159" t="str">
            <v>USD</v>
          </cell>
          <cell r="F159">
            <v>89.99</v>
          </cell>
          <cell r="G159">
            <v>14.99</v>
          </cell>
          <cell r="H159">
            <v>65.989999999999995</v>
          </cell>
          <cell r="I159">
            <v>10.99</v>
          </cell>
          <cell r="J159">
            <v>4.99</v>
          </cell>
          <cell r="K159">
            <v>3.99</v>
          </cell>
          <cell r="L159">
            <v>2.99</v>
          </cell>
          <cell r="M159">
            <v>1.9900000000000002</v>
          </cell>
        </row>
        <row r="160">
          <cell r="B160" t="str">
            <v>Turks and Caicos Islands</v>
          </cell>
          <cell r="C160" t="str">
            <v>TC</v>
          </cell>
          <cell r="D160" t="str">
            <v>USD</v>
          </cell>
          <cell r="E160" t="str">
            <v>USD</v>
          </cell>
          <cell r="F160">
            <v>102.99</v>
          </cell>
          <cell r="G160">
            <v>16.989999999999998</v>
          </cell>
          <cell r="H160">
            <v>71.989999999999995</v>
          </cell>
          <cell r="I160">
            <v>11.99</v>
          </cell>
          <cell r="J160">
            <v>4.99</v>
          </cell>
          <cell r="K160">
            <v>3.99</v>
          </cell>
          <cell r="L160">
            <v>2.99</v>
          </cell>
          <cell r="M160">
            <v>1.9900000000000002</v>
          </cell>
        </row>
        <row r="161">
          <cell r="B161" t="str">
            <v>Uganda</v>
          </cell>
          <cell r="C161" t="str">
            <v>UG</v>
          </cell>
          <cell r="D161" t="str">
            <v>UGX</v>
          </cell>
          <cell r="E161" t="str">
            <v>USD</v>
          </cell>
          <cell r="F161">
            <v>72.989999999999995</v>
          </cell>
          <cell r="G161">
            <v>11.99</v>
          </cell>
          <cell r="H161">
            <v>53.99</v>
          </cell>
          <cell r="I161">
            <v>8.99</v>
          </cell>
          <cell r="J161">
            <v>2.99</v>
          </cell>
          <cell r="K161">
            <v>2.99</v>
          </cell>
          <cell r="L161">
            <v>1.99</v>
          </cell>
          <cell r="M161">
            <v>1.99</v>
          </cell>
        </row>
        <row r="162">
          <cell r="B162" t="str">
            <v>Ukraine</v>
          </cell>
          <cell r="C162" t="str">
            <v>UA</v>
          </cell>
          <cell r="D162" t="str">
            <v>UAH</v>
          </cell>
          <cell r="E162" t="str">
            <v>UAH</v>
          </cell>
          <cell r="F162"/>
          <cell r="G162"/>
          <cell r="H162"/>
          <cell r="I162"/>
          <cell r="J162"/>
          <cell r="K162"/>
          <cell r="L162"/>
          <cell r="M162"/>
        </row>
        <row r="163">
          <cell r="B163" t="str">
            <v>United Arab Emirates</v>
          </cell>
          <cell r="C163" t="str">
            <v>AE</v>
          </cell>
          <cell r="D163" t="str">
            <v>AED</v>
          </cell>
          <cell r="E163" t="str">
            <v>AED</v>
          </cell>
          <cell r="F163">
            <v>559.99</v>
          </cell>
          <cell r="G163">
            <v>86.99</v>
          </cell>
          <cell r="H163">
            <v>399.99</v>
          </cell>
          <cell r="I163">
            <v>61.99</v>
          </cell>
          <cell r="J163">
            <v>18.989999999999998</v>
          </cell>
          <cell r="K163">
            <v>15.989999999999998</v>
          </cell>
          <cell r="L163">
            <v>11.99</v>
          </cell>
          <cell r="M163">
            <v>8.99</v>
          </cell>
        </row>
        <row r="164">
          <cell r="B164" t="str">
            <v>United Kingdom</v>
          </cell>
          <cell r="C164" t="str">
            <v>GB</v>
          </cell>
          <cell r="D164" t="str">
            <v>GBP</v>
          </cell>
          <cell r="E164" t="str">
            <v>GBP</v>
          </cell>
          <cell r="F164">
            <v>149.99</v>
          </cell>
          <cell r="G164">
            <v>22.99</v>
          </cell>
          <cell r="H164">
            <v>114.99</v>
          </cell>
          <cell r="I164">
            <v>16.989999999999998</v>
          </cell>
          <cell r="J164">
            <v>6.99</v>
          </cell>
          <cell r="K164">
            <v>5.99</v>
          </cell>
          <cell r="L164">
            <v>4.99</v>
          </cell>
          <cell r="M164">
            <v>3.99</v>
          </cell>
        </row>
        <row r="165">
          <cell r="B165" t="str">
            <v>United States</v>
          </cell>
          <cell r="C165" t="str">
            <v>US</v>
          </cell>
          <cell r="D165" t="str">
            <v>USD</v>
          </cell>
          <cell r="E165" t="str">
            <v>USD</v>
          </cell>
          <cell r="F165">
            <v>159.99</v>
          </cell>
          <cell r="G165">
            <v>24.99</v>
          </cell>
          <cell r="H165">
            <v>109.99</v>
          </cell>
          <cell r="I165">
            <v>16.989999999999998</v>
          </cell>
          <cell r="J165">
            <v>6.99</v>
          </cell>
          <cell r="K165">
            <v>4.99</v>
          </cell>
          <cell r="L165">
            <v>2.99</v>
          </cell>
          <cell r="M165">
            <v>0.99</v>
          </cell>
        </row>
        <row r="166">
          <cell r="B166" t="str">
            <v>Uruguay</v>
          </cell>
          <cell r="C166" t="str">
            <v>UY</v>
          </cell>
          <cell r="D166" t="str">
            <v>UYU</v>
          </cell>
          <cell r="E166" t="str">
            <v>USD</v>
          </cell>
          <cell r="F166">
            <v>104.99</v>
          </cell>
          <cell r="G166">
            <v>17.989999999999998</v>
          </cell>
          <cell r="H166">
            <v>77.989999999999995</v>
          </cell>
          <cell r="I166">
            <v>12.99</v>
          </cell>
          <cell r="J166">
            <v>3.99</v>
          </cell>
          <cell r="K166">
            <v>2.99</v>
          </cell>
          <cell r="L166">
            <v>1.99</v>
          </cell>
          <cell r="M166">
            <v>0.99</v>
          </cell>
        </row>
        <row r="167">
          <cell r="B167" t="str">
            <v>Uzbekistan</v>
          </cell>
          <cell r="C167" t="str">
            <v>UZ</v>
          </cell>
          <cell r="D167" t="str">
            <v>UZS</v>
          </cell>
          <cell r="E167" t="str">
            <v>USD</v>
          </cell>
          <cell r="F167">
            <v>72.989999999999995</v>
          </cell>
          <cell r="G167">
            <v>11.99</v>
          </cell>
          <cell r="H167">
            <v>54.99</v>
          </cell>
          <cell r="I167">
            <v>8.99</v>
          </cell>
          <cell r="J167">
            <v>2.4900000000000002</v>
          </cell>
          <cell r="K167">
            <v>2.4900000000000002</v>
          </cell>
          <cell r="L167">
            <v>1.19</v>
          </cell>
          <cell r="M167">
            <v>1.19</v>
          </cell>
        </row>
        <row r="168">
          <cell r="B168" t="str">
            <v>Vanuatu</v>
          </cell>
          <cell r="C168" t="str">
            <v>VU</v>
          </cell>
          <cell r="D168" t="str">
            <v>VUV</v>
          </cell>
          <cell r="E168" t="str">
            <v>USD</v>
          </cell>
          <cell r="F168">
            <v>61.99</v>
          </cell>
          <cell r="G168">
            <v>10.99</v>
          </cell>
          <cell r="H168">
            <v>44.99</v>
          </cell>
          <cell r="I168">
            <v>7.99</v>
          </cell>
          <cell r="J168">
            <v>2.99</v>
          </cell>
          <cell r="K168">
            <v>2.99</v>
          </cell>
          <cell r="L168">
            <v>1.99</v>
          </cell>
          <cell r="M168">
            <v>1.99</v>
          </cell>
        </row>
        <row r="169">
          <cell r="B169" t="str">
            <v>Vatican City State</v>
          </cell>
          <cell r="C169" t="str">
            <v>VA</v>
          </cell>
          <cell r="D169" t="str">
            <v>EUR</v>
          </cell>
          <cell r="E169" t="str">
            <v>EUR</v>
          </cell>
          <cell r="F169">
            <v>129.99</v>
          </cell>
          <cell r="G169">
            <v>18.989999999999998</v>
          </cell>
          <cell r="H169">
            <v>89.99</v>
          </cell>
          <cell r="I169">
            <v>14.99</v>
          </cell>
          <cell r="J169">
            <v>4.99</v>
          </cell>
          <cell r="K169">
            <v>3.99</v>
          </cell>
          <cell r="L169">
            <v>2.99</v>
          </cell>
          <cell r="M169">
            <v>1.9900000000000002</v>
          </cell>
        </row>
        <row r="170">
          <cell r="B170" t="str">
            <v>Venezuela</v>
          </cell>
          <cell r="C170" t="str">
            <v>VE</v>
          </cell>
          <cell r="D170" t="str">
            <v>USD</v>
          </cell>
          <cell r="E170" t="str">
            <v>USD</v>
          </cell>
          <cell r="F170">
            <v>95.99</v>
          </cell>
          <cell r="G170">
            <v>15.99</v>
          </cell>
          <cell r="H170">
            <v>71.989999999999995</v>
          </cell>
          <cell r="I170">
            <v>11.99</v>
          </cell>
          <cell r="J170">
            <v>4.99</v>
          </cell>
          <cell r="K170">
            <v>3.99</v>
          </cell>
          <cell r="L170">
            <v>2.99</v>
          </cell>
          <cell r="M170">
            <v>1.9900000000000002</v>
          </cell>
        </row>
        <row r="171">
          <cell r="B171" t="str">
            <v>Vietnam</v>
          </cell>
          <cell r="C171" t="str">
            <v>VN</v>
          </cell>
          <cell r="D171" t="str">
            <v>VND</v>
          </cell>
          <cell r="E171" t="str">
            <v>VND</v>
          </cell>
          <cell r="F171">
            <v>1999000</v>
          </cell>
          <cell r="G171">
            <v>309000</v>
          </cell>
          <cell r="H171">
            <v>1549000</v>
          </cell>
          <cell r="I171">
            <v>220000</v>
          </cell>
          <cell r="J171">
            <v>89000</v>
          </cell>
          <cell r="K171">
            <v>89000</v>
          </cell>
          <cell r="L171">
            <v>45000</v>
          </cell>
          <cell r="M171">
            <v>45000</v>
          </cell>
        </row>
        <row r="172">
          <cell r="B172" t="str">
            <v>Yemen</v>
          </cell>
          <cell r="C172" t="str">
            <v>YE</v>
          </cell>
          <cell r="D172" t="str">
            <v>USD</v>
          </cell>
          <cell r="E172" t="str">
            <v>USD</v>
          </cell>
          <cell r="F172">
            <v>77.989999999999995</v>
          </cell>
          <cell r="G172">
            <v>12.99</v>
          </cell>
          <cell r="H172">
            <v>57.99</v>
          </cell>
          <cell r="I172">
            <v>9.99</v>
          </cell>
          <cell r="J172">
            <v>3.99</v>
          </cell>
          <cell r="K172">
            <v>2.99</v>
          </cell>
          <cell r="L172">
            <v>1.99</v>
          </cell>
          <cell r="M172">
            <v>0.99</v>
          </cell>
        </row>
        <row r="173">
          <cell r="B173" t="str">
            <v>Zambia</v>
          </cell>
          <cell r="C173" t="str">
            <v>ZM</v>
          </cell>
          <cell r="D173" t="str">
            <v>ZMW</v>
          </cell>
          <cell r="E173" t="str">
            <v>USD</v>
          </cell>
          <cell r="F173">
            <v>79.989999999999995</v>
          </cell>
          <cell r="G173">
            <v>12.99</v>
          </cell>
          <cell r="H173">
            <v>57.99</v>
          </cell>
          <cell r="I173">
            <v>9.99</v>
          </cell>
          <cell r="J173">
            <v>3.99</v>
          </cell>
          <cell r="K173">
            <v>2.99</v>
          </cell>
          <cell r="L173">
            <v>2.99</v>
          </cell>
          <cell r="M173">
            <v>1.99</v>
          </cell>
        </row>
        <row r="174">
          <cell r="B174" t="str">
            <v>Zimbabwe</v>
          </cell>
          <cell r="C174" t="str">
            <v>ZW</v>
          </cell>
          <cell r="D174" t="str">
            <v>USD</v>
          </cell>
          <cell r="E174" t="str">
            <v>USD</v>
          </cell>
          <cell r="F174">
            <v>71.989999999999995</v>
          </cell>
          <cell r="G174">
            <v>11.99</v>
          </cell>
          <cell r="H174">
            <v>53.99</v>
          </cell>
          <cell r="I174">
            <v>8.99</v>
          </cell>
          <cell r="J174">
            <v>2.99</v>
          </cell>
          <cell r="K174">
            <v>2.99</v>
          </cell>
          <cell r="L174">
            <v>1.99</v>
          </cell>
          <cell r="M174">
            <v>1.99</v>
          </cell>
        </row>
      </sheetData>
      <sheetData sheetId="12">
        <row r="1">
          <cell r="F1">
            <v>5</v>
          </cell>
          <cell r="G1">
            <v>6</v>
          </cell>
          <cell r="H1">
            <v>7</v>
          </cell>
          <cell r="I1">
            <v>8</v>
          </cell>
        </row>
        <row r="3">
          <cell r="B3" t="str">
            <v>Australia</v>
          </cell>
          <cell r="C3" t="str">
            <v>AU</v>
          </cell>
          <cell r="D3" t="str">
            <v>AUD</v>
          </cell>
          <cell r="E3" t="str">
            <v>AUD</v>
          </cell>
          <cell r="F3">
            <v>229.99</v>
          </cell>
          <cell r="G3">
            <v>32.99</v>
          </cell>
          <cell r="H3">
            <v>174.99</v>
          </cell>
          <cell r="I3">
            <v>24.99</v>
          </cell>
        </row>
        <row r="4">
          <cell r="B4" t="str">
            <v>Brazil</v>
          </cell>
          <cell r="C4" t="str">
            <v>BR</v>
          </cell>
          <cell r="D4" t="str">
            <v>BRL</v>
          </cell>
          <cell r="E4" t="str">
            <v>BRL</v>
          </cell>
          <cell r="F4">
            <v>489.99</v>
          </cell>
          <cell r="G4">
            <v>69.989999999999995</v>
          </cell>
          <cell r="H4">
            <v>384.99</v>
          </cell>
          <cell r="I4">
            <v>54.99</v>
          </cell>
        </row>
        <row r="5">
          <cell r="B5" t="str">
            <v>Canada</v>
          </cell>
          <cell r="C5" t="str">
            <v>CA</v>
          </cell>
          <cell r="D5" t="str">
            <v>CAD</v>
          </cell>
          <cell r="E5" t="str">
            <v>CAD</v>
          </cell>
          <cell r="F5">
            <v>184.99</v>
          </cell>
          <cell r="G5">
            <v>27.99</v>
          </cell>
          <cell r="H5">
            <v>129.99</v>
          </cell>
          <cell r="I5">
            <v>19.989999999999998</v>
          </cell>
        </row>
        <row r="6">
          <cell r="B6" t="str">
            <v>France</v>
          </cell>
          <cell r="C6" t="str">
            <v>FR</v>
          </cell>
          <cell r="D6" t="str">
            <v>EUR</v>
          </cell>
          <cell r="E6" t="str">
            <v>EUR</v>
          </cell>
          <cell r="F6">
            <v>199.99</v>
          </cell>
          <cell r="G6">
            <v>28.99</v>
          </cell>
          <cell r="H6">
            <v>146.99</v>
          </cell>
          <cell r="I6">
            <v>21.99</v>
          </cell>
        </row>
        <row r="7">
          <cell r="B7" t="str">
            <v>Germany</v>
          </cell>
          <cell r="C7" t="str">
            <v>DE</v>
          </cell>
          <cell r="D7" t="str">
            <v>EUR</v>
          </cell>
          <cell r="E7" t="str">
            <v>EUR</v>
          </cell>
          <cell r="F7">
            <v>189.99</v>
          </cell>
          <cell r="G7">
            <v>27.99</v>
          </cell>
          <cell r="H7">
            <v>139.99</v>
          </cell>
          <cell r="I7">
            <v>19.989999999999998</v>
          </cell>
        </row>
        <row r="8">
          <cell r="B8" t="str">
            <v>India</v>
          </cell>
          <cell r="C8" t="str">
            <v>IN</v>
          </cell>
          <cell r="D8" t="str">
            <v>INR</v>
          </cell>
          <cell r="E8" t="str">
            <v>INR</v>
          </cell>
          <cell r="F8">
            <v>2099</v>
          </cell>
          <cell r="G8">
            <v>329</v>
          </cell>
          <cell r="H8">
            <v>1499</v>
          </cell>
          <cell r="I8">
            <v>219</v>
          </cell>
        </row>
        <row r="9">
          <cell r="B9" t="str">
            <v>Italy</v>
          </cell>
          <cell r="C9" t="str">
            <v>IT</v>
          </cell>
          <cell r="D9" t="str">
            <v>EUR</v>
          </cell>
          <cell r="E9" t="str">
            <v>EUR</v>
          </cell>
          <cell r="F9">
            <v>149.99</v>
          </cell>
          <cell r="G9">
            <v>21.99</v>
          </cell>
          <cell r="H9">
            <v>109.99</v>
          </cell>
          <cell r="I9">
            <v>15.99</v>
          </cell>
        </row>
        <row r="10">
          <cell r="B10" t="str">
            <v>Japan</v>
          </cell>
          <cell r="C10" t="str">
            <v>JP</v>
          </cell>
          <cell r="D10" t="str">
            <v>JPY</v>
          </cell>
          <cell r="E10" t="str">
            <v>JPY</v>
          </cell>
          <cell r="F10">
            <v>25000</v>
          </cell>
          <cell r="G10">
            <v>4190</v>
          </cell>
          <cell r="H10">
            <v>19000</v>
          </cell>
          <cell r="I10">
            <v>3190</v>
          </cell>
        </row>
        <row r="11">
          <cell r="B11" t="str">
            <v>Mexico</v>
          </cell>
          <cell r="C11" t="str">
            <v>MX</v>
          </cell>
          <cell r="D11" t="str">
            <v>MXN</v>
          </cell>
          <cell r="E11" t="str">
            <v>MXN</v>
          </cell>
          <cell r="F11">
            <v>1990</v>
          </cell>
          <cell r="G11">
            <v>290</v>
          </cell>
          <cell r="H11">
            <v>1470</v>
          </cell>
          <cell r="I11">
            <v>210</v>
          </cell>
        </row>
        <row r="12">
          <cell r="B12" t="str">
            <v>Spain</v>
          </cell>
          <cell r="C12" t="str">
            <v>ES</v>
          </cell>
          <cell r="D12" t="str">
            <v>EUR</v>
          </cell>
          <cell r="E12" t="str">
            <v>EUR</v>
          </cell>
          <cell r="F12">
            <v>139.99</v>
          </cell>
          <cell r="G12">
            <v>19.989999999999998</v>
          </cell>
          <cell r="H12">
            <v>109.99</v>
          </cell>
          <cell r="I12">
            <v>15.99</v>
          </cell>
        </row>
        <row r="13">
          <cell r="B13" t="str">
            <v>United Kingdom</v>
          </cell>
          <cell r="C13" t="str">
            <v>GB</v>
          </cell>
          <cell r="D13" t="str">
            <v>GBP</v>
          </cell>
          <cell r="E13" t="str">
            <v>GBP</v>
          </cell>
          <cell r="F13">
            <v>149.99</v>
          </cell>
          <cell r="G13">
            <v>22.99</v>
          </cell>
          <cell r="H13">
            <v>114.99</v>
          </cell>
          <cell r="I13">
            <v>16.989999999999998</v>
          </cell>
        </row>
        <row r="14">
          <cell r="B14" t="str">
            <v>United States</v>
          </cell>
          <cell r="C14" t="str">
            <v>US</v>
          </cell>
          <cell r="D14" t="str">
            <v>USD</v>
          </cell>
          <cell r="E14" t="str">
            <v>USD</v>
          </cell>
          <cell r="F14">
            <v>159.99</v>
          </cell>
          <cell r="G14">
            <v>24.99</v>
          </cell>
          <cell r="H14">
            <v>109.99</v>
          </cell>
          <cell r="I14">
            <v>16.989999999999998</v>
          </cell>
        </row>
      </sheetData>
      <sheetData sheetId="13"/>
      <sheetData sheetId="14">
        <row r="1">
          <cell r="F1">
            <v>5</v>
          </cell>
          <cell r="G1">
            <v>6</v>
          </cell>
          <cell r="H1">
            <v>7</v>
          </cell>
          <cell r="I1">
            <v>8</v>
          </cell>
        </row>
        <row r="3">
          <cell r="B3" t="str">
            <v>United States</v>
          </cell>
          <cell r="C3" t="str">
            <v>US</v>
          </cell>
          <cell r="D3" t="str">
            <v>USD</v>
          </cell>
          <cell r="E3" t="str">
            <v>USD</v>
          </cell>
          <cell r="F3">
            <v>159.99</v>
          </cell>
          <cell r="G3">
            <v>24.99</v>
          </cell>
          <cell r="H3">
            <v>109.99</v>
          </cell>
          <cell r="I3">
            <v>16.989999999999998</v>
          </cell>
        </row>
        <row r="4">
          <cell r="B4" t="str">
            <v>United Arab Emirates</v>
          </cell>
          <cell r="C4" t="str">
            <v>AE</v>
          </cell>
          <cell r="D4" t="str">
            <v>AED</v>
          </cell>
          <cell r="E4" t="str">
            <v>AED</v>
          </cell>
          <cell r="F4">
            <v>559.99</v>
          </cell>
          <cell r="G4">
            <v>86.99</v>
          </cell>
          <cell r="H4">
            <v>399.99</v>
          </cell>
          <cell r="I4">
            <v>61.99</v>
          </cell>
        </row>
        <row r="5">
          <cell r="B5" t="str">
            <v>Albania</v>
          </cell>
          <cell r="C5" t="str">
            <v>AL</v>
          </cell>
          <cell r="D5" t="str">
            <v>ALL</v>
          </cell>
          <cell r="E5" t="str">
            <v>USD</v>
          </cell>
          <cell r="F5">
            <v>104.99</v>
          </cell>
          <cell r="G5">
            <v>16.989999999999998</v>
          </cell>
          <cell r="H5">
            <v>77.989999999999995</v>
          </cell>
          <cell r="I5">
            <v>12.99</v>
          </cell>
        </row>
        <row r="6">
          <cell r="B6" t="str">
            <v>Armenia</v>
          </cell>
          <cell r="C6" t="str">
            <v>AM</v>
          </cell>
          <cell r="D6" t="str">
            <v>AMD</v>
          </cell>
          <cell r="E6" t="str">
            <v>USD</v>
          </cell>
          <cell r="F6">
            <v>139.99</v>
          </cell>
          <cell r="G6">
            <v>22.99</v>
          </cell>
          <cell r="H6">
            <v>103.99</v>
          </cell>
          <cell r="I6">
            <v>16.989999999999998</v>
          </cell>
        </row>
        <row r="7">
          <cell r="B7" t="str">
            <v>Argentina</v>
          </cell>
          <cell r="C7" t="str">
            <v>AR</v>
          </cell>
          <cell r="D7" t="str">
            <v>ARS</v>
          </cell>
          <cell r="E7" t="str">
            <v>USD</v>
          </cell>
          <cell r="F7">
            <v>79.989999999999995</v>
          </cell>
          <cell r="G7">
            <v>12.99</v>
          </cell>
          <cell r="H7">
            <v>59.99</v>
          </cell>
          <cell r="I7">
            <v>9.99</v>
          </cell>
        </row>
        <row r="8">
          <cell r="B8" t="str">
            <v>Austria</v>
          </cell>
          <cell r="C8" t="str">
            <v>AT</v>
          </cell>
          <cell r="D8" t="str">
            <v>EUR</v>
          </cell>
          <cell r="E8" t="str">
            <v>EUR</v>
          </cell>
          <cell r="F8">
            <v>159.99</v>
          </cell>
          <cell r="G8">
            <v>23.99</v>
          </cell>
          <cell r="H8">
            <v>116.99</v>
          </cell>
          <cell r="I8">
            <v>17.989999999999998</v>
          </cell>
        </row>
        <row r="9">
          <cell r="B9" t="str">
            <v>Australia</v>
          </cell>
          <cell r="C9" t="str">
            <v>AU</v>
          </cell>
          <cell r="D9" t="str">
            <v>AUD</v>
          </cell>
          <cell r="E9" t="str">
            <v>AUD</v>
          </cell>
          <cell r="F9">
            <v>229.99</v>
          </cell>
          <cell r="G9">
            <v>32.99</v>
          </cell>
          <cell r="H9">
            <v>174.99</v>
          </cell>
          <cell r="I9">
            <v>24.99</v>
          </cell>
        </row>
        <row r="10">
          <cell r="B10" t="str">
            <v>Aland Islands</v>
          </cell>
          <cell r="C10" t="str">
            <v>AX</v>
          </cell>
          <cell r="D10" t="str">
            <v>EUR</v>
          </cell>
          <cell r="E10" t="str">
            <v>EUR</v>
          </cell>
          <cell r="F10">
            <v>119.99</v>
          </cell>
          <cell r="G10">
            <v>19.989999999999998</v>
          </cell>
          <cell r="H10">
            <v>89.99</v>
          </cell>
          <cell r="I10">
            <v>14.99</v>
          </cell>
        </row>
        <row r="11">
          <cell r="B11" t="str">
            <v>Azerbaijan</v>
          </cell>
          <cell r="C11" t="str">
            <v>AZ</v>
          </cell>
          <cell r="D11" t="str">
            <v>AZN</v>
          </cell>
          <cell r="E11" t="str">
            <v>USD</v>
          </cell>
          <cell r="F11">
            <v>105.99</v>
          </cell>
          <cell r="G11">
            <v>17.989999999999998</v>
          </cell>
          <cell r="H11">
            <v>76.989999999999995</v>
          </cell>
          <cell r="I11">
            <v>12.99</v>
          </cell>
        </row>
        <row r="12">
          <cell r="B12" t="str">
            <v>Bosnia And Herzegovina</v>
          </cell>
          <cell r="C12" t="str">
            <v>BA</v>
          </cell>
          <cell r="D12" t="str">
            <v>BAM</v>
          </cell>
          <cell r="E12" t="str">
            <v>USD</v>
          </cell>
          <cell r="F12">
            <v>82.99</v>
          </cell>
          <cell r="G12">
            <v>13.99</v>
          </cell>
          <cell r="H12">
            <v>59.99</v>
          </cell>
          <cell r="I12">
            <v>9.99</v>
          </cell>
        </row>
        <row r="13">
          <cell r="B13" t="str">
            <v>Bangladesh</v>
          </cell>
          <cell r="C13" t="str">
            <v>BD</v>
          </cell>
          <cell r="D13" t="str">
            <v>BDT</v>
          </cell>
          <cell r="E13" t="str">
            <v>USD</v>
          </cell>
          <cell r="F13">
            <v>48.99</v>
          </cell>
          <cell r="G13">
            <v>7.99</v>
          </cell>
          <cell r="H13">
            <v>36.99</v>
          </cell>
          <cell r="I13">
            <v>5.99</v>
          </cell>
        </row>
        <row r="14">
          <cell r="B14" t="str">
            <v>Belgium</v>
          </cell>
          <cell r="C14" t="str">
            <v>BE</v>
          </cell>
          <cell r="D14" t="str">
            <v>EUR</v>
          </cell>
          <cell r="E14" t="str">
            <v>EUR</v>
          </cell>
          <cell r="F14">
            <v>169.99</v>
          </cell>
          <cell r="G14">
            <v>25.99</v>
          </cell>
          <cell r="H14">
            <v>124.99</v>
          </cell>
          <cell r="I14">
            <v>18.989999999999998</v>
          </cell>
        </row>
        <row r="15">
          <cell r="B15" t="str">
            <v>Bulgaria</v>
          </cell>
          <cell r="C15" t="str">
            <v>BG</v>
          </cell>
          <cell r="D15" t="str">
            <v>EUR</v>
          </cell>
          <cell r="E15" t="str">
            <v>EUR</v>
          </cell>
          <cell r="F15">
            <v>92.99</v>
          </cell>
          <cell r="G15">
            <v>14.99</v>
          </cell>
          <cell r="H15">
            <v>68.989999999999995</v>
          </cell>
          <cell r="I15">
            <v>10.99</v>
          </cell>
        </row>
        <row r="16">
          <cell r="B16" t="str">
            <v>Bahrain</v>
          </cell>
          <cell r="C16" t="str">
            <v>BH</v>
          </cell>
          <cell r="D16" t="str">
            <v>BHD</v>
          </cell>
          <cell r="E16" t="str">
            <v>BHD</v>
          </cell>
          <cell r="F16">
            <v>59.999000000000002</v>
          </cell>
          <cell r="G16">
            <v>8.9990000000000006</v>
          </cell>
          <cell r="H16">
            <v>49.999000000000002</v>
          </cell>
          <cell r="I16">
            <v>6.9989999999999997</v>
          </cell>
        </row>
        <row r="17">
          <cell r="B17" t="str">
            <v>Bolivia</v>
          </cell>
          <cell r="C17" t="str">
            <v>BO</v>
          </cell>
          <cell r="D17" t="str">
            <v>BOB</v>
          </cell>
          <cell r="E17" t="str">
            <v>USD</v>
          </cell>
          <cell r="F17">
            <v>80.989999999999995</v>
          </cell>
          <cell r="G17">
            <v>12.99</v>
          </cell>
          <cell r="H17">
            <v>59.99</v>
          </cell>
          <cell r="I17">
            <v>9.99</v>
          </cell>
        </row>
        <row r="18">
          <cell r="B18" t="str">
            <v>Brazil</v>
          </cell>
          <cell r="C18" t="str">
            <v>BR</v>
          </cell>
          <cell r="D18" t="str">
            <v>BRL</v>
          </cell>
          <cell r="E18" t="str">
            <v>BRL</v>
          </cell>
          <cell r="F18">
            <v>489.99</v>
          </cell>
          <cell r="G18">
            <v>69.989999999999995</v>
          </cell>
          <cell r="H18">
            <v>384.99</v>
          </cell>
          <cell r="I18">
            <v>54.99</v>
          </cell>
        </row>
        <row r="19">
          <cell r="B19" t="str">
            <v>Bahamas</v>
          </cell>
          <cell r="C19" t="str">
            <v>BS</v>
          </cell>
          <cell r="D19" t="str">
            <v>BSD</v>
          </cell>
          <cell r="E19" t="str">
            <v>USD</v>
          </cell>
          <cell r="F19">
            <v>95.99</v>
          </cell>
          <cell r="G19">
            <v>15.99</v>
          </cell>
          <cell r="H19">
            <v>71.989999999999995</v>
          </cell>
          <cell r="I19">
            <v>11.99</v>
          </cell>
        </row>
        <row r="20">
          <cell r="B20" t="str">
            <v>Belarus</v>
          </cell>
          <cell r="C20" t="str">
            <v>BY</v>
          </cell>
          <cell r="D20" t="str">
            <v>BYN</v>
          </cell>
          <cell r="E20" t="str">
            <v>USD</v>
          </cell>
          <cell r="F20"/>
          <cell r="G20"/>
          <cell r="H20"/>
          <cell r="I20"/>
        </row>
        <row r="21">
          <cell r="B21" t="str">
            <v>Canada</v>
          </cell>
          <cell r="C21" t="str">
            <v>CA</v>
          </cell>
          <cell r="D21" t="str">
            <v>CAD</v>
          </cell>
          <cell r="E21" t="str">
            <v>CAD</v>
          </cell>
          <cell r="F21">
            <v>184.99</v>
          </cell>
          <cell r="G21">
            <v>27.99</v>
          </cell>
          <cell r="H21">
            <v>129.99</v>
          </cell>
          <cell r="I21">
            <v>19.989999999999998</v>
          </cell>
        </row>
        <row r="22">
          <cell r="B22" t="str">
            <v>Switzerland</v>
          </cell>
          <cell r="C22" t="str">
            <v>CH</v>
          </cell>
          <cell r="D22" t="str">
            <v>CHF</v>
          </cell>
          <cell r="E22" t="str">
            <v>CHF</v>
          </cell>
          <cell r="F22">
            <v>219.99</v>
          </cell>
          <cell r="G22">
            <v>33.99</v>
          </cell>
          <cell r="H22">
            <v>159.99</v>
          </cell>
          <cell r="I22">
            <v>24.99</v>
          </cell>
        </row>
        <row r="23">
          <cell r="B23" t="str">
            <v>Chile</v>
          </cell>
          <cell r="C23" t="str">
            <v>CL</v>
          </cell>
          <cell r="D23" t="str">
            <v>CLP</v>
          </cell>
          <cell r="E23" t="str">
            <v>CLP</v>
          </cell>
          <cell r="F23">
            <v>137900</v>
          </cell>
          <cell r="G23">
            <v>22900</v>
          </cell>
          <cell r="H23">
            <v>96300</v>
          </cell>
          <cell r="I23">
            <v>15900</v>
          </cell>
        </row>
        <row r="24">
          <cell r="B24" t="str">
            <v>Colombia</v>
          </cell>
          <cell r="C24" t="str">
            <v>CO</v>
          </cell>
          <cell r="D24" t="str">
            <v>COP</v>
          </cell>
          <cell r="E24" t="str">
            <v>COP</v>
          </cell>
          <cell r="F24">
            <v>335900</v>
          </cell>
          <cell r="G24">
            <v>55900</v>
          </cell>
          <cell r="H24">
            <v>248900</v>
          </cell>
          <cell r="I24">
            <v>41400</v>
          </cell>
        </row>
        <row r="25">
          <cell r="B25" t="str">
            <v>Costa Rica</v>
          </cell>
          <cell r="C25" t="str">
            <v>CR</v>
          </cell>
          <cell r="D25" t="str">
            <v>CRC</v>
          </cell>
          <cell r="E25" t="str">
            <v>USD</v>
          </cell>
          <cell r="F25">
            <v>147.99</v>
          </cell>
          <cell r="G25">
            <v>24.99</v>
          </cell>
          <cell r="H25">
            <v>113.99</v>
          </cell>
          <cell r="I25">
            <v>18.989999999999998</v>
          </cell>
        </row>
        <row r="26">
          <cell r="B26" t="str">
            <v>Cyprus</v>
          </cell>
          <cell r="C26" t="str">
            <v>CY</v>
          </cell>
          <cell r="D26" t="str">
            <v>EUR</v>
          </cell>
          <cell r="E26" t="str">
            <v>EUR</v>
          </cell>
          <cell r="F26">
            <v>89.99</v>
          </cell>
          <cell r="G26">
            <v>12.99</v>
          </cell>
          <cell r="H26">
            <v>69.989999999999995</v>
          </cell>
          <cell r="I26">
            <v>9.99</v>
          </cell>
        </row>
        <row r="27">
          <cell r="B27" t="str">
            <v>Czech Republic</v>
          </cell>
          <cell r="C27" t="str">
            <v>CZ</v>
          </cell>
          <cell r="D27" t="str">
            <v>CZK</v>
          </cell>
          <cell r="E27" t="str">
            <v>CZK</v>
          </cell>
          <cell r="F27">
            <v>3599.99</v>
          </cell>
          <cell r="G27">
            <v>549.99</v>
          </cell>
          <cell r="H27">
            <v>2399.9899999999998</v>
          </cell>
          <cell r="I27">
            <v>399.99</v>
          </cell>
        </row>
        <row r="28">
          <cell r="B28" t="str">
            <v>Germany</v>
          </cell>
          <cell r="C28" t="str">
            <v>DE</v>
          </cell>
          <cell r="D28" t="str">
            <v>EUR</v>
          </cell>
          <cell r="E28" t="str">
            <v>EUR</v>
          </cell>
          <cell r="F28">
            <v>189.99</v>
          </cell>
          <cell r="G28">
            <v>27.99</v>
          </cell>
          <cell r="H28">
            <v>139.99</v>
          </cell>
          <cell r="I28">
            <v>19.989999999999998</v>
          </cell>
        </row>
        <row r="29">
          <cell r="B29" t="str">
            <v>Denmark</v>
          </cell>
          <cell r="C29" t="str">
            <v>DK</v>
          </cell>
          <cell r="D29" t="str">
            <v>DKK</v>
          </cell>
          <cell r="E29" t="str">
            <v>DKK</v>
          </cell>
          <cell r="F29">
            <v>1299.99</v>
          </cell>
          <cell r="G29">
            <v>199.99</v>
          </cell>
          <cell r="H29">
            <v>899.99</v>
          </cell>
          <cell r="I29">
            <v>139.99</v>
          </cell>
        </row>
        <row r="30">
          <cell r="B30" t="str">
            <v>Dominican Republic</v>
          </cell>
          <cell r="C30" t="str">
            <v>DO</v>
          </cell>
          <cell r="D30" t="str">
            <v>DOP</v>
          </cell>
          <cell r="E30" t="str">
            <v>USD</v>
          </cell>
          <cell r="F30">
            <v>126.99</v>
          </cell>
          <cell r="G30">
            <v>19.989999999999998</v>
          </cell>
          <cell r="H30">
            <v>94.99</v>
          </cell>
          <cell r="I30">
            <v>15.99</v>
          </cell>
        </row>
        <row r="31">
          <cell r="B31" t="str">
            <v>Algeria</v>
          </cell>
          <cell r="C31" t="str">
            <v>DZ</v>
          </cell>
          <cell r="D31" t="str">
            <v>DZD</v>
          </cell>
          <cell r="E31" t="str">
            <v>DZD</v>
          </cell>
          <cell r="F31">
            <v>8099.99</v>
          </cell>
          <cell r="G31">
            <v>1349.99</v>
          </cell>
          <cell r="H31">
            <v>5999.99</v>
          </cell>
          <cell r="I31">
            <v>999.99</v>
          </cell>
        </row>
        <row r="32">
          <cell r="B32" t="str">
            <v>Ecuador</v>
          </cell>
          <cell r="C32" t="str">
            <v>EC</v>
          </cell>
          <cell r="D32" t="str">
            <v>USD</v>
          </cell>
          <cell r="E32" t="str">
            <v>USD</v>
          </cell>
          <cell r="F32">
            <v>102.99</v>
          </cell>
          <cell r="G32">
            <v>16.989999999999998</v>
          </cell>
          <cell r="H32">
            <v>71.989999999999995</v>
          </cell>
          <cell r="I32">
            <v>11.99</v>
          </cell>
        </row>
        <row r="33">
          <cell r="B33" t="str">
            <v>Estonia</v>
          </cell>
          <cell r="C33" t="str">
            <v>EE</v>
          </cell>
          <cell r="D33" t="str">
            <v>EUR</v>
          </cell>
          <cell r="E33" t="str">
            <v>EUR</v>
          </cell>
          <cell r="F33">
            <v>99.99</v>
          </cell>
          <cell r="G33">
            <v>15.99</v>
          </cell>
          <cell r="H33">
            <v>74.989999999999995</v>
          </cell>
          <cell r="I33">
            <v>11.99</v>
          </cell>
        </row>
        <row r="34">
          <cell r="B34" t="str">
            <v>Egypt</v>
          </cell>
          <cell r="C34" t="str">
            <v>EG</v>
          </cell>
          <cell r="D34" t="str">
            <v>EGP</v>
          </cell>
          <cell r="E34" t="str">
            <v>EGP</v>
          </cell>
          <cell r="F34">
            <v>2359</v>
          </cell>
          <cell r="G34">
            <v>399</v>
          </cell>
          <cell r="H34">
            <v>1569</v>
          </cell>
          <cell r="I34">
            <v>259</v>
          </cell>
        </row>
        <row r="35">
          <cell r="B35" t="str">
            <v>Spain</v>
          </cell>
          <cell r="C35" t="str">
            <v>ES</v>
          </cell>
          <cell r="D35" t="str">
            <v>EUR</v>
          </cell>
          <cell r="E35" t="str">
            <v>EUR</v>
          </cell>
          <cell r="F35">
            <v>139.99</v>
          </cell>
          <cell r="G35">
            <v>19.989999999999998</v>
          </cell>
          <cell r="H35">
            <v>109.99</v>
          </cell>
          <cell r="I35">
            <v>15.99</v>
          </cell>
        </row>
        <row r="36">
          <cell r="B36" t="str">
            <v>Finland</v>
          </cell>
          <cell r="C36" t="str">
            <v>FI</v>
          </cell>
          <cell r="D36" t="str">
            <v>EUR</v>
          </cell>
          <cell r="E36" t="str">
            <v>EUR</v>
          </cell>
          <cell r="F36">
            <v>129.99</v>
          </cell>
          <cell r="G36">
            <v>19.989999999999998</v>
          </cell>
          <cell r="H36">
            <v>99.99</v>
          </cell>
          <cell r="I36">
            <v>14.99</v>
          </cell>
        </row>
        <row r="37">
          <cell r="B37" t="str">
            <v>Faroe Islands</v>
          </cell>
          <cell r="C37" t="str">
            <v>FO</v>
          </cell>
          <cell r="D37" t="str">
            <v>DKK</v>
          </cell>
          <cell r="E37" t="str">
            <v>DKK</v>
          </cell>
          <cell r="F37">
            <v>1139.99</v>
          </cell>
          <cell r="G37">
            <v>189.99</v>
          </cell>
          <cell r="H37">
            <v>829.99</v>
          </cell>
          <cell r="I37">
            <v>139.99</v>
          </cell>
        </row>
        <row r="38">
          <cell r="B38" t="str">
            <v>France</v>
          </cell>
          <cell r="C38" t="str">
            <v>FR</v>
          </cell>
          <cell r="D38" t="str">
            <v>EUR</v>
          </cell>
          <cell r="E38" t="str">
            <v>EUR</v>
          </cell>
          <cell r="F38">
            <v>199.99</v>
          </cell>
          <cell r="G38">
            <v>28.99</v>
          </cell>
          <cell r="H38">
            <v>146.99</v>
          </cell>
          <cell r="I38">
            <v>21.99</v>
          </cell>
        </row>
        <row r="39">
          <cell r="B39" t="str">
            <v>United Kingdom</v>
          </cell>
          <cell r="C39" t="str">
            <v>GB</v>
          </cell>
          <cell r="D39" t="str">
            <v>GBP</v>
          </cell>
          <cell r="E39" t="str">
            <v>GBP</v>
          </cell>
          <cell r="F39">
            <v>149.99</v>
          </cell>
          <cell r="G39">
            <v>22.99</v>
          </cell>
          <cell r="H39">
            <v>114.99</v>
          </cell>
          <cell r="I39">
            <v>16.989999999999998</v>
          </cell>
        </row>
        <row r="40">
          <cell r="B40" t="str">
            <v>Georgia</v>
          </cell>
          <cell r="C40" t="str">
            <v>GE</v>
          </cell>
          <cell r="D40" t="str">
            <v>GEL</v>
          </cell>
          <cell r="E40" t="str">
            <v>USD</v>
          </cell>
          <cell r="F40">
            <v>113.99</v>
          </cell>
          <cell r="G40">
            <v>19.989999999999998</v>
          </cell>
          <cell r="H40">
            <v>87.99</v>
          </cell>
          <cell r="I40">
            <v>13.99</v>
          </cell>
        </row>
        <row r="41">
          <cell r="B41" t="str">
            <v>Guernsey</v>
          </cell>
          <cell r="C41" t="str">
            <v>GG</v>
          </cell>
          <cell r="D41" t="str">
            <v>GBP</v>
          </cell>
          <cell r="E41" t="str">
            <v>GBP</v>
          </cell>
          <cell r="F41">
            <v>139.99</v>
          </cell>
          <cell r="G41">
            <v>19.989999999999998</v>
          </cell>
          <cell r="H41">
            <v>89.99</v>
          </cell>
          <cell r="I41">
            <v>14.99</v>
          </cell>
        </row>
        <row r="42">
          <cell r="B42" t="str">
            <v>Ghana</v>
          </cell>
          <cell r="C42" t="str">
            <v>GH</v>
          </cell>
          <cell r="D42" t="str">
            <v>GHS</v>
          </cell>
          <cell r="E42" t="str">
            <v>USD</v>
          </cell>
          <cell r="F42">
            <v>49.99</v>
          </cell>
          <cell r="G42">
            <v>7.99</v>
          </cell>
          <cell r="H42">
            <v>34.99</v>
          </cell>
          <cell r="I42">
            <v>5.99</v>
          </cell>
        </row>
        <row r="43">
          <cell r="B43" t="str">
            <v>Greenland</v>
          </cell>
          <cell r="C43" t="str">
            <v>GL</v>
          </cell>
          <cell r="D43" t="str">
            <v>DKK</v>
          </cell>
          <cell r="E43" t="str">
            <v>DKK</v>
          </cell>
          <cell r="F43">
            <v>1079.99</v>
          </cell>
          <cell r="G43">
            <v>179.99</v>
          </cell>
          <cell r="H43">
            <v>829.99</v>
          </cell>
          <cell r="I43">
            <v>139.99</v>
          </cell>
        </row>
        <row r="44">
          <cell r="B44" t="str">
            <v>Greece</v>
          </cell>
          <cell r="C44" t="str">
            <v>GR</v>
          </cell>
          <cell r="D44" t="str">
            <v>EUR</v>
          </cell>
          <cell r="E44" t="str">
            <v>EUR</v>
          </cell>
          <cell r="F44">
            <v>117.99</v>
          </cell>
          <cell r="G44">
            <v>16.989999999999998</v>
          </cell>
          <cell r="H44">
            <v>89.99</v>
          </cell>
          <cell r="I44">
            <v>12.99</v>
          </cell>
        </row>
        <row r="45">
          <cell r="B45" t="str">
            <v>Guatemala</v>
          </cell>
          <cell r="C45" t="str">
            <v>GT</v>
          </cell>
          <cell r="D45" t="str">
            <v>GTQ</v>
          </cell>
          <cell r="E45" t="str">
            <v>GTQ</v>
          </cell>
          <cell r="F45">
            <v>749.99</v>
          </cell>
          <cell r="G45">
            <v>124.99</v>
          </cell>
          <cell r="H45">
            <v>509.99</v>
          </cell>
          <cell r="I45">
            <v>84.99</v>
          </cell>
        </row>
        <row r="46">
          <cell r="B46" t="str">
            <v>Hong Kong</v>
          </cell>
          <cell r="C46" t="str">
            <v>HK</v>
          </cell>
          <cell r="D46" t="str">
            <v>HKD</v>
          </cell>
          <cell r="E46" t="str">
            <v>HKD</v>
          </cell>
          <cell r="F46">
            <v>1149</v>
          </cell>
          <cell r="G46">
            <v>164</v>
          </cell>
          <cell r="H46">
            <v>759</v>
          </cell>
          <cell r="I46">
            <v>109</v>
          </cell>
        </row>
        <row r="47">
          <cell r="B47" t="str">
            <v>Honduras</v>
          </cell>
          <cell r="C47" t="str">
            <v>HN</v>
          </cell>
          <cell r="D47" t="str">
            <v>HNL</v>
          </cell>
          <cell r="E47" t="str">
            <v>USD</v>
          </cell>
          <cell r="F47">
            <v>76.989999999999995</v>
          </cell>
          <cell r="G47">
            <v>12.99</v>
          </cell>
          <cell r="H47">
            <v>53.99</v>
          </cell>
          <cell r="I47">
            <v>8.99</v>
          </cell>
        </row>
        <row r="48">
          <cell r="B48" t="str">
            <v>Croatia</v>
          </cell>
          <cell r="C48" t="str">
            <v>HR</v>
          </cell>
          <cell r="D48" t="str">
            <v>EUR</v>
          </cell>
          <cell r="E48" t="str">
            <v>EUR</v>
          </cell>
          <cell r="F48">
            <v>107.99</v>
          </cell>
          <cell r="G48">
            <v>17.989999999999998</v>
          </cell>
          <cell r="H48">
            <v>71.989999999999995</v>
          </cell>
          <cell r="I48">
            <v>11.99</v>
          </cell>
        </row>
        <row r="49">
          <cell r="B49" t="str">
            <v>Hungary</v>
          </cell>
          <cell r="C49" t="str">
            <v>HU</v>
          </cell>
          <cell r="D49" t="str">
            <v>HUF</v>
          </cell>
          <cell r="E49" t="str">
            <v>HUF</v>
          </cell>
          <cell r="F49">
            <v>33999</v>
          </cell>
          <cell r="G49">
            <v>5499</v>
          </cell>
          <cell r="H49">
            <v>25999</v>
          </cell>
          <cell r="I49">
            <v>4199</v>
          </cell>
        </row>
        <row r="50">
          <cell r="B50" t="str">
            <v>Indonesia</v>
          </cell>
          <cell r="C50" t="str">
            <v>ID</v>
          </cell>
          <cell r="D50" t="str">
            <v>IDR</v>
          </cell>
          <cell r="E50" t="str">
            <v>IDR</v>
          </cell>
          <cell r="F50">
            <v>1200000</v>
          </cell>
          <cell r="G50">
            <v>200000</v>
          </cell>
          <cell r="H50">
            <v>945000</v>
          </cell>
          <cell r="I50">
            <v>135000</v>
          </cell>
        </row>
        <row r="51">
          <cell r="B51" t="str">
            <v>Ireland</v>
          </cell>
          <cell r="C51" t="str">
            <v>IE</v>
          </cell>
          <cell r="D51" t="str">
            <v>EUR</v>
          </cell>
          <cell r="E51" t="str">
            <v>EUR</v>
          </cell>
          <cell r="F51">
            <v>159.99</v>
          </cell>
          <cell r="G51">
            <v>24.99</v>
          </cell>
          <cell r="H51">
            <v>121.99</v>
          </cell>
          <cell r="I51">
            <v>18.989999999999998</v>
          </cell>
        </row>
        <row r="52">
          <cell r="B52" t="str">
            <v>Israel</v>
          </cell>
          <cell r="C52" t="str">
            <v>IL</v>
          </cell>
          <cell r="D52" t="str">
            <v>ILS</v>
          </cell>
          <cell r="E52" t="str">
            <v>ILS</v>
          </cell>
          <cell r="F52">
            <v>569.99</v>
          </cell>
          <cell r="G52">
            <v>87.99</v>
          </cell>
          <cell r="H52">
            <v>419.99</v>
          </cell>
          <cell r="I52">
            <v>64.989999999999995</v>
          </cell>
        </row>
        <row r="53">
          <cell r="B53" t="str">
            <v>Isle of Man</v>
          </cell>
          <cell r="C53" t="str">
            <v>IM</v>
          </cell>
          <cell r="D53" t="str">
            <v>USD</v>
          </cell>
          <cell r="E53" t="str">
            <v>GBP</v>
          </cell>
          <cell r="F53">
            <v>131.99</v>
          </cell>
          <cell r="G53">
            <v>18.989999999999998</v>
          </cell>
          <cell r="H53">
            <v>87.99</v>
          </cell>
          <cell r="I53">
            <v>14.99</v>
          </cell>
        </row>
        <row r="54">
          <cell r="B54" t="str">
            <v>India</v>
          </cell>
          <cell r="C54" t="str">
            <v>IN</v>
          </cell>
          <cell r="D54" t="str">
            <v>INR</v>
          </cell>
          <cell r="E54" t="str">
            <v>INR</v>
          </cell>
          <cell r="F54">
            <v>2099</v>
          </cell>
          <cell r="G54">
            <v>329</v>
          </cell>
          <cell r="H54">
            <v>1499</v>
          </cell>
          <cell r="I54">
            <v>219</v>
          </cell>
        </row>
        <row r="55">
          <cell r="B55" t="str">
            <v>Iraq</v>
          </cell>
          <cell r="C55" t="str">
            <v>IQ</v>
          </cell>
          <cell r="D55" t="str">
            <v>USD</v>
          </cell>
          <cell r="E55" t="str">
            <v>IQD</v>
          </cell>
          <cell r="F55">
            <v>145660</v>
          </cell>
          <cell r="G55">
            <v>24750</v>
          </cell>
          <cell r="H55">
            <v>109240</v>
          </cell>
          <cell r="I55">
            <v>18920</v>
          </cell>
        </row>
        <row r="56">
          <cell r="B56" t="str">
            <v>Iceland</v>
          </cell>
          <cell r="C56" t="str">
            <v>IS</v>
          </cell>
          <cell r="D56" t="str">
            <v>ISK</v>
          </cell>
          <cell r="E56" t="str">
            <v>USD</v>
          </cell>
          <cell r="F56">
            <v>239.99</v>
          </cell>
          <cell r="G56">
            <v>36.99</v>
          </cell>
          <cell r="H56">
            <v>174.99</v>
          </cell>
          <cell r="I56">
            <v>26.99</v>
          </cell>
        </row>
        <row r="57">
          <cell r="B57" t="str">
            <v>Italy</v>
          </cell>
          <cell r="C57" t="str">
            <v>IT</v>
          </cell>
          <cell r="D57" t="str">
            <v>EUR</v>
          </cell>
          <cell r="E57" t="str">
            <v>EUR</v>
          </cell>
          <cell r="F57">
            <v>149.99</v>
          </cell>
          <cell r="G57">
            <v>21.99</v>
          </cell>
          <cell r="H57">
            <v>109.99</v>
          </cell>
          <cell r="I57">
            <v>15.99</v>
          </cell>
        </row>
        <row r="58">
          <cell r="B58" t="str">
            <v>Jersey</v>
          </cell>
          <cell r="C58" t="str">
            <v>JE</v>
          </cell>
          <cell r="D58" t="str">
            <v>USD</v>
          </cell>
          <cell r="E58" t="str">
            <v>GBP</v>
          </cell>
          <cell r="F58">
            <v>131.99</v>
          </cell>
          <cell r="G58">
            <v>18.989999999999998</v>
          </cell>
          <cell r="H58">
            <v>87.99</v>
          </cell>
          <cell r="I58">
            <v>14.99</v>
          </cell>
        </row>
        <row r="59">
          <cell r="B59" t="str">
            <v>Jamaica</v>
          </cell>
          <cell r="C59" t="str">
            <v>JM</v>
          </cell>
          <cell r="D59" t="str">
            <v>JMD</v>
          </cell>
          <cell r="E59" t="str">
            <v>USD</v>
          </cell>
          <cell r="F59">
            <v>91.99</v>
          </cell>
          <cell r="G59">
            <v>14.99</v>
          </cell>
          <cell r="H59">
            <v>64.989999999999995</v>
          </cell>
          <cell r="I59">
            <v>10.99</v>
          </cell>
        </row>
        <row r="60">
          <cell r="B60" t="str">
            <v>Jordan</v>
          </cell>
          <cell r="C60" t="str">
            <v>JO</v>
          </cell>
          <cell r="D60" t="str">
            <v>JOD</v>
          </cell>
          <cell r="E60" t="str">
            <v>JOD</v>
          </cell>
          <cell r="F60">
            <v>79.998999999999995</v>
          </cell>
          <cell r="G60">
            <v>11.999000000000001</v>
          </cell>
          <cell r="H60">
            <v>59.999000000000002</v>
          </cell>
          <cell r="I60">
            <v>8.9990000000000006</v>
          </cell>
        </row>
        <row r="61">
          <cell r="B61" t="str">
            <v>Kenya</v>
          </cell>
          <cell r="C61" t="str">
            <v>KE</v>
          </cell>
          <cell r="D61" t="str">
            <v>KES</v>
          </cell>
          <cell r="E61" t="str">
            <v>KES</v>
          </cell>
          <cell r="F61">
            <v>8940</v>
          </cell>
          <cell r="G61">
            <v>1490</v>
          </cell>
          <cell r="H61">
            <v>6600</v>
          </cell>
          <cell r="I61">
            <v>1100</v>
          </cell>
        </row>
        <row r="62">
          <cell r="B62" t="str">
            <v>Kyrgyzstan</v>
          </cell>
          <cell r="C62" t="str">
            <v>KG</v>
          </cell>
          <cell r="D62" t="str">
            <v>KGS</v>
          </cell>
          <cell r="E62" t="str">
            <v>USD</v>
          </cell>
          <cell r="F62">
            <v>96.99</v>
          </cell>
          <cell r="G62">
            <v>15.99</v>
          </cell>
          <cell r="H62">
            <v>71.989999999999995</v>
          </cell>
          <cell r="I62">
            <v>11.99</v>
          </cell>
        </row>
        <row r="63">
          <cell r="B63" t="str">
            <v>Cambodia</v>
          </cell>
          <cell r="C63" t="str">
            <v>KH</v>
          </cell>
          <cell r="D63" t="str">
            <v>KHR</v>
          </cell>
          <cell r="E63" t="str">
            <v>USD</v>
          </cell>
          <cell r="F63">
            <v>71.989999999999995</v>
          </cell>
          <cell r="G63">
            <v>11.99</v>
          </cell>
          <cell r="H63">
            <v>53.99</v>
          </cell>
          <cell r="I63">
            <v>8.99</v>
          </cell>
        </row>
        <row r="64">
          <cell r="B64" t="str">
            <v>South Korea</v>
          </cell>
          <cell r="C64" t="str">
            <v>KR</v>
          </cell>
          <cell r="D64" t="str">
            <v>KRW</v>
          </cell>
          <cell r="E64" t="str">
            <v>KRW</v>
          </cell>
          <cell r="F64">
            <v>189990</v>
          </cell>
          <cell r="G64">
            <v>29990</v>
          </cell>
          <cell r="H64">
            <v>129990</v>
          </cell>
          <cell r="I64">
            <v>20000</v>
          </cell>
        </row>
        <row r="65">
          <cell r="B65" t="str">
            <v>Kuwait</v>
          </cell>
          <cell r="C65" t="str">
            <v>KW</v>
          </cell>
          <cell r="D65" t="str">
            <v>KWD</v>
          </cell>
          <cell r="E65" t="str">
            <v>KWD</v>
          </cell>
          <cell r="F65">
            <v>64.998999999999995</v>
          </cell>
          <cell r="G65">
            <v>9.9990000000000006</v>
          </cell>
          <cell r="H65">
            <v>49.999000000000002</v>
          </cell>
          <cell r="I65">
            <v>6.9989999999999997</v>
          </cell>
        </row>
        <row r="66">
          <cell r="B66" t="str">
            <v>Kazakhstan</v>
          </cell>
          <cell r="C66" t="str">
            <v>KZ</v>
          </cell>
          <cell r="D66" t="str">
            <v>KZT</v>
          </cell>
          <cell r="E66" t="str">
            <v>KZT</v>
          </cell>
          <cell r="F66">
            <v>37260</v>
          </cell>
          <cell r="G66">
            <v>6210</v>
          </cell>
          <cell r="H66">
            <v>27600</v>
          </cell>
          <cell r="I66">
            <v>4600</v>
          </cell>
        </row>
        <row r="67">
          <cell r="B67" t="str">
            <v>Laos</v>
          </cell>
          <cell r="C67" t="str">
            <v>LA</v>
          </cell>
          <cell r="D67" t="str">
            <v>LAK</v>
          </cell>
          <cell r="E67" t="str">
            <v>USD</v>
          </cell>
          <cell r="F67">
            <v>59.99</v>
          </cell>
          <cell r="G67">
            <v>9.99</v>
          </cell>
          <cell r="H67">
            <v>44.99</v>
          </cell>
          <cell r="I67">
            <v>6.99</v>
          </cell>
        </row>
        <row r="68">
          <cell r="B68" t="str">
            <v>Lebanon</v>
          </cell>
          <cell r="C68" t="str">
            <v>LB</v>
          </cell>
          <cell r="D68" t="str">
            <v>USD</v>
          </cell>
          <cell r="E68" t="str">
            <v>LBP</v>
          </cell>
          <cell r="F68">
            <v>3135000</v>
          </cell>
          <cell r="G68">
            <v>447000</v>
          </cell>
          <cell r="H68">
            <v>2508000</v>
          </cell>
          <cell r="I68">
            <v>358000</v>
          </cell>
        </row>
        <row r="69">
          <cell r="B69" t="str">
            <v>Liechtenstein</v>
          </cell>
          <cell r="C69" t="str">
            <v>LI</v>
          </cell>
          <cell r="D69" t="str">
            <v>CHF</v>
          </cell>
          <cell r="E69" t="str">
            <v>CHF</v>
          </cell>
          <cell r="F69">
            <v>189.99</v>
          </cell>
          <cell r="G69">
            <v>31.99</v>
          </cell>
          <cell r="H69">
            <v>149.99</v>
          </cell>
          <cell r="I69">
            <v>24.99</v>
          </cell>
        </row>
        <row r="70">
          <cell r="B70" t="str">
            <v>Sri Lanka</v>
          </cell>
          <cell r="C70" t="str">
            <v>LK</v>
          </cell>
          <cell r="D70" t="str">
            <v>LKR</v>
          </cell>
          <cell r="E70" t="str">
            <v>USD</v>
          </cell>
          <cell r="F70">
            <v>49.99</v>
          </cell>
          <cell r="G70">
            <v>7.99</v>
          </cell>
          <cell r="H70">
            <v>37.99</v>
          </cell>
          <cell r="I70">
            <v>5.99</v>
          </cell>
        </row>
        <row r="71">
          <cell r="B71" t="str">
            <v>Lithuania</v>
          </cell>
          <cell r="C71" t="str">
            <v>LT</v>
          </cell>
          <cell r="D71" t="str">
            <v>EUR</v>
          </cell>
          <cell r="E71" t="str">
            <v>EUR</v>
          </cell>
          <cell r="F71">
            <v>94.99</v>
          </cell>
          <cell r="G71">
            <v>14.99</v>
          </cell>
          <cell r="H71">
            <v>69.989999999999995</v>
          </cell>
          <cell r="I71">
            <v>10.99</v>
          </cell>
        </row>
        <row r="72">
          <cell r="B72" t="str">
            <v>Luxembourg</v>
          </cell>
          <cell r="C72" t="str">
            <v>LU</v>
          </cell>
          <cell r="D72" t="str">
            <v>EUR</v>
          </cell>
          <cell r="E72" t="str">
            <v>EUR</v>
          </cell>
          <cell r="F72">
            <v>194.99</v>
          </cell>
          <cell r="G72">
            <v>28.99</v>
          </cell>
          <cell r="H72">
            <v>149.99</v>
          </cell>
          <cell r="I72">
            <v>21.99</v>
          </cell>
        </row>
        <row r="73">
          <cell r="B73" t="str">
            <v>Latvia</v>
          </cell>
          <cell r="C73" t="str">
            <v>LV</v>
          </cell>
          <cell r="D73" t="str">
            <v>EUR</v>
          </cell>
          <cell r="E73" t="str">
            <v>EUR</v>
          </cell>
          <cell r="F73">
            <v>91.99</v>
          </cell>
          <cell r="G73">
            <v>14.99</v>
          </cell>
          <cell r="H73">
            <v>67.989999999999995</v>
          </cell>
          <cell r="I73">
            <v>10.99</v>
          </cell>
        </row>
        <row r="74">
          <cell r="B74" t="str">
            <v>Libya</v>
          </cell>
          <cell r="C74" t="str">
            <v>LY</v>
          </cell>
          <cell r="D74" t="str">
            <v>USD</v>
          </cell>
          <cell r="E74" t="str">
            <v>LYD</v>
          </cell>
          <cell r="F74">
            <v>429.99</v>
          </cell>
          <cell r="G74">
            <v>74.989999999999995</v>
          </cell>
          <cell r="H74">
            <v>319.99</v>
          </cell>
          <cell r="I74">
            <v>54.99</v>
          </cell>
        </row>
        <row r="75">
          <cell r="B75" t="str">
            <v>Morocco</v>
          </cell>
          <cell r="C75" t="str">
            <v>MA</v>
          </cell>
          <cell r="D75" t="str">
            <v>MAD</v>
          </cell>
          <cell r="E75" t="str">
            <v>MAD</v>
          </cell>
          <cell r="F75">
            <v>720</v>
          </cell>
          <cell r="G75">
            <v>120</v>
          </cell>
          <cell r="H75">
            <v>540</v>
          </cell>
          <cell r="I75">
            <v>90</v>
          </cell>
        </row>
        <row r="76">
          <cell r="B76" t="str">
            <v>Moldova</v>
          </cell>
          <cell r="C76" t="str">
            <v>MD</v>
          </cell>
          <cell r="D76" t="str">
            <v>MDL</v>
          </cell>
          <cell r="E76" t="str">
            <v>USD</v>
          </cell>
          <cell r="F76">
            <v>84.99</v>
          </cell>
          <cell r="G76">
            <v>13.99</v>
          </cell>
          <cell r="H76">
            <v>62.99</v>
          </cell>
          <cell r="I76">
            <v>9.99</v>
          </cell>
        </row>
        <row r="77">
          <cell r="B77" t="str">
            <v>Montenegro</v>
          </cell>
          <cell r="C77" t="str">
            <v>ME</v>
          </cell>
          <cell r="D77" t="str">
            <v>EUR</v>
          </cell>
          <cell r="E77" t="str">
            <v>USD</v>
          </cell>
          <cell r="F77">
            <v>93.99</v>
          </cell>
          <cell r="G77">
            <v>14.99</v>
          </cell>
          <cell r="H77">
            <v>70.989999999999995</v>
          </cell>
          <cell r="I77">
            <v>11.99</v>
          </cell>
        </row>
        <row r="78">
          <cell r="B78" t="str">
            <v>Macedonia</v>
          </cell>
          <cell r="C78" t="str">
            <v>MK</v>
          </cell>
          <cell r="D78" t="str">
            <v>MKD</v>
          </cell>
          <cell r="E78" t="str">
            <v>USD</v>
          </cell>
          <cell r="F78">
            <v>96.99</v>
          </cell>
          <cell r="G78">
            <v>15.99</v>
          </cell>
          <cell r="H78">
            <v>69.989999999999995</v>
          </cell>
          <cell r="I78">
            <v>10.99</v>
          </cell>
        </row>
        <row r="79">
          <cell r="B79" t="str">
            <v>Myanmar</v>
          </cell>
          <cell r="C79" t="str">
            <v>MM</v>
          </cell>
          <cell r="D79" t="str">
            <v>MMK</v>
          </cell>
          <cell r="E79" t="str">
            <v>USD</v>
          </cell>
          <cell r="F79">
            <v>64.989999999999995</v>
          </cell>
          <cell r="G79">
            <v>10.99</v>
          </cell>
          <cell r="H79">
            <v>49.99</v>
          </cell>
          <cell r="I79">
            <v>7.99</v>
          </cell>
        </row>
        <row r="80">
          <cell r="B80" t="str">
            <v>Mongolia</v>
          </cell>
          <cell r="C80" t="str">
            <v>MN</v>
          </cell>
          <cell r="D80" t="str">
            <v>MNT</v>
          </cell>
          <cell r="E80" t="str">
            <v>USD</v>
          </cell>
          <cell r="F80">
            <v>74.989999999999995</v>
          </cell>
          <cell r="G80">
            <v>11.99</v>
          </cell>
          <cell r="H80">
            <v>54.99</v>
          </cell>
          <cell r="I80">
            <v>8.99</v>
          </cell>
        </row>
        <row r="81">
          <cell r="B81" t="str">
            <v>Macao</v>
          </cell>
          <cell r="C81" t="str">
            <v>MO</v>
          </cell>
          <cell r="D81" t="str">
            <v>MOP</v>
          </cell>
          <cell r="E81" t="str">
            <v>USD</v>
          </cell>
          <cell r="F81">
            <v>107.99</v>
          </cell>
          <cell r="G81">
            <v>15.99</v>
          </cell>
          <cell r="H81">
            <v>77.989999999999995</v>
          </cell>
          <cell r="I81">
            <v>10.99</v>
          </cell>
        </row>
        <row r="82">
          <cell r="B82" t="str">
            <v>Malta</v>
          </cell>
          <cell r="C82" t="str">
            <v>MT</v>
          </cell>
          <cell r="D82" t="str">
            <v>EUR</v>
          </cell>
          <cell r="E82" t="str">
            <v>EUR</v>
          </cell>
          <cell r="F82">
            <v>129.99</v>
          </cell>
          <cell r="G82">
            <v>21.99</v>
          </cell>
          <cell r="H82">
            <v>99.99</v>
          </cell>
          <cell r="I82">
            <v>16.989999999999998</v>
          </cell>
        </row>
        <row r="83">
          <cell r="B83" t="str">
            <v>Mauritius</v>
          </cell>
          <cell r="C83" t="str">
            <v>MU</v>
          </cell>
          <cell r="D83" t="str">
            <v>MUR</v>
          </cell>
          <cell r="E83" t="str">
            <v>USD</v>
          </cell>
          <cell r="F83">
            <v>59.99</v>
          </cell>
          <cell r="G83">
            <v>9.99</v>
          </cell>
          <cell r="H83">
            <v>43.99</v>
          </cell>
          <cell r="I83">
            <v>6.99</v>
          </cell>
        </row>
        <row r="84">
          <cell r="B84" t="str">
            <v>Mexico</v>
          </cell>
          <cell r="C84" t="str">
            <v>MX</v>
          </cell>
          <cell r="D84" t="str">
            <v>MXN</v>
          </cell>
          <cell r="E84" t="str">
            <v>MXN</v>
          </cell>
          <cell r="F84">
            <v>1990</v>
          </cell>
          <cell r="G84">
            <v>290</v>
          </cell>
          <cell r="H84">
            <v>1470</v>
          </cell>
          <cell r="I84">
            <v>210</v>
          </cell>
        </row>
        <row r="85">
          <cell r="B85" t="str">
            <v>Malaysia</v>
          </cell>
          <cell r="C85" t="str">
            <v>MY</v>
          </cell>
          <cell r="D85" t="str">
            <v>MYR</v>
          </cell>
          <cell r="E85" t="str">
            <v>MYR</v>
          </cell>
          <cell r="F85">
            <v>389.99</v>
          </cell>
          <cell r="G85">
            <v>64.989999999999995</v>
          </cell>
          <cell r="H85">
            <v>319.99</v>
          </cell>
          <cell r="I85">
            <v>45.99</v>
          </cell>
        </row>
        <row r="86">
          <cell r="B86" t="str">
            <v>Nigeria</v>
          </cell>
          <cell r="C86" t="str">
            <v>NG</v>
          </cell>
          <cell r="D86" t="str">
            <v>NGN</v>
          </cell>
          <cell r="E86" t="str">
            <v>NGN</v>
          </cell>
          <cell r="F86">
            <v>46900</v>
          </cell>
          <cell r="G86">
            <v>7900</v>
          </cell>
          <cell r="H86">
            <v>34900</v>
          </cell>
          <cell r="I86">
            <v>5900</v>
          </cell>
        </row>
        <row r="87">
          <cell r="B87" t="str">
            <v>Nicaragua</v>
          </cell>
          <cell r="C87" t="str">
            <v>NI</v>
          </cell>
          <cell r="D87" t="str">
            <v>NIO</v>
          </cell>
          <cell r="E87" t="str">
            <v>USD</v>
          </cell>
          <cell r="F87">
            <v>81.99</v>
          </cell>
          <cell r="G87">
            <v>13.99</v>
          </cell>
          <cell r="H87">
            <v>59.99</v>
          </cell>
          <cell r="I87">
            <v>9.99</v>
          </cell>
        </row>
        <row r="88">
          <cell r="B88" t="str">
            <v>Netherlands</v>
          </cell>
          <cell r="C88" t="str">
            <v>NL</v>
          </cell>
          <cell r="D88" t="str">
            <v>EUR</v>
          </cell>
          <cell r="E88" t="str">
            <v>EUR</v>
          </cell>
          <cell r="F88">
            <v>149.99</v>
          </cell>
          <cell r="G88">
            <v>22.99</v>
          </cell>
          <cell r="H88">
            <v>109.99</v>
          </cell>
          <cell r="I88">
            <v>16.989999999999998</v>
          </cell>
        </row>
        <row r="89">
          <cell r="B89" t="str">
            <v>Norway</v>
          </cell>
          <cell r="C89" t="str">
            <v>NO</v>
          </cell>
          <cell r="D89" t="str">
            <v>NOK</v>
          </cell>
          <cell r="E89" t="str">
            <v>NOK</v>
          </cell>
          <cell r="F89">
            <v>1399.99</v>
          </cell>
          <cell r="G89">
            <v>209.99</v>
          </cell>
          <cell r="H89">
            <v>999.99</v>
          </cell>
          <cell r="I89">
            <v>149.99</v>
          </cell>
        </row>
        <row r="90">
          <cell r="B90" t="str">
            <v>Nepal</v>
          </cell>
          <cell r="C90" t="str">
            <v>NP</v>
          </cell>
          <cell r="D90" t="str">
            <v>NPR</v>
          </cell>
          <cell r="E90" t="str">
            <v>USD</v>
          </cell>
          <cell r="F90">
            <v>78.989999999999995</v>
          </cell>
          <cell r="G90">
            <v>12.99</v>
          </cell>
          <cell r="H90">
            <v>57.99</v>
          </cell>
          <cell r="I90">
            <v>8.99</v>
          </cell>
        </row>
        <row r="91">
          <cell r="B91" t="str">
            <v>New Zealand</v>
          </cell>
          <cell r="C91" t="str">
            <v>NZ</v>
          </cell>
          <cell r="D91" t="str">
            <v>NZD</v>
          </cell>
          <cell r="E91" t="str">
            <v>NZD</v>
          </cell>
          <cell r="F91">
            <v>219.99</v>
          </cell>
          <cell r="G91">
            <v>33.99</v>
          </cell>
          <cell r="H91">
            <v>159.99</v>
          </cell>
          <cell r="I91">
            <v>24.99</v>
          </cell>
        </row>
        <row r="92">
          <cell r="B92" t="str">
            <v>Oman</v>
          </cell>
          <cell r="C92" t="str">
            <v>OM</v>
          </cell>
          <cell r="D92" t="str">
            <v>OMR</v>
          </cell>
          <cell r="E92" t="str">
            <v>OMR</v>
          </cell>
          <cell r="F92">
            <v>29.998999999999999</v>
          </cell>
          <cell r="G92">
            <v>4.9989999999999997</v>
          </cell>
          <cell r="H92">
            <v>23.998999999999999</v>
          </cell>
          <cell r="I92">
            <v>3.9990000000000001</v>
          </cell>
        </row>
        <row r="93">
          <cell r="B93" t="str">
            <v>Panama</v>
          </cell>
          <cell r="C93" t="str">
            <v>PA</v>
          </cell>
          <cell r="D93" t="str">
            <v>USD</v>
          </cell>
          <cell r="E93" t="str">
            <v>USD</v>
          </cell>
          <cell r="F93">
            <v>113.99</v>
          </cell>
          <cell r="G93">
            <v>18.989999999999998</v>
          </cell>
          <cell r="H93">
            <v>83.99</v>
          </cell>
          <cell r="I93">
            <v>13.99</v>
          </cell>
        </row>
        <row r="94">
          <cell r="B94" t="str">
            <v>Peru</v>
          </cell>
          <cell r="C94" t="str">
            <v>PE</v>
          </cell>
          <cell r="D94" t="str">
            <v>PEN</v>
          </cell>
          <cell r="E94" t="str">
            <v>PEN</v>
          </cell>
          <cell r="F94">
            <v>377.99</v>
          </cell>
          <cell r="G94">
            <v>62.99</v>
          </cell>
          <cell r="H94">
            <v>281.99</v>
          </cell>
          <cell r="I94">
            <v>46.99</v>
          </cell>
        </row>
        <row r="95">
          <cell r="B95" t="str">
            <v>Philippines</v>
          </cell>
          <cell r="C95" t="str">
            <v>PH</v>
          </cell>
          <cell r="D95" t="str">
            <v>PHP</v>
          </cell>
          <cell r="E95" t="str">
            <v>PHP</v>
          </cell>
          <cell r="F95">
            <v>5039</v>
          </cell>
          <cell r="G95">
            <v>839</v>
          </cell>
          <cell r="H95">
            <v>3919</v>
          </cell>
          <cell r="I95">
            <v>559</v>
          </cell>
        </row>
        <row r="96">
          <cell r="B96" t="str">
            <v>Pakistan</v>
          </cell>
          <cell r="C96" t="str">
            <v>PK</v>
          </cell>
          <cell r="D96" t="str">
            <v>PKR</v>
          </cell>
          <cell r="E96" t="str">
            <v>USD</v>
          </cell>
          <cell r="F96">
            <v>42.99</v>
          </cell>
          <cell r="G96">
            <v>6.99</v>
          </cell>
          <cell r="H96">
            <v>31.99</v>
          </cell>
          <cell r="I96">
            <v>4.99</v>
          </cell>
        </row>
        <row r="97">
          <cell r="B97" t="str">
            <v>Poland</v>
          </cell>
          <cell r="C97" t="str">
            <v>PL</v>
          </cell>
          <cell r="D97" t="str">
            <v>PLN</v>
          </cell>
          <cell r="E97" t="str">
            <v>PLN</v>
          </cell>
          <cell r="F97">
            <v>539.99</v>
          </cell>
          <cell r="G97">
            <v>82.99</v>
          </cell>
          <cell r="H97">
            <v>399.99</v>
          </cell>
          <cell r="I97">
            <v>61.99</v>
          </cell>
        </row>
        <row r="98">
          <cell r="B98" t="str">
            <v>Portugal</v>
          </cell>
          <cell r="C98" t="str">
            <v>PT</v>
          </cell>
          <cell r="D98" t="str">
            <v>EUR</v>
          </cell>
          <cell r="E98" t="str">
            <v>EUR</v>
          </cell>
          <cell r="F98">
            <v>129.99</v>
          </cell>
          <cell r="G98">
            <v>19.989999999999998</v>
          </cell>
          <cell r="H98">
            <v>97.99</v>
          </cell>
          <cell r="I98">
            <v>14.99</v>
          </cell>
        </row>
        <row r="99">
          <cell r="B99" t="str">
            <v>Paraguay</v>
          </cell>
          <cell r="C99" t="str">
            <v>PY</v>
          </cell>
          <cell r="D99" t="str">
            <v>PYG</v>
          </cell>
          <cell r="E99" t="str">
            <v>USD</v>
          </cell>
          <cell r="F99">
            <v>79.989999999999995</v>
          </cell>
          <cell r="G99">
            <v>12.99</v>
          </cell>
          <cell r="H99">
            <v>59.99</v>
          </cell>
          <cell r="I99">
            <v>9.99</v>
          </cell>
        </row>
        <row r="100">
          <cell r="B100" t="str">
            <v>Qatar</v>
          </cell>
          <cell r="C100" t="str">
            <v>QA</v>
          </cell>
          <cell r="D100" t="str">
            <v>QAR</v>
          </cell>
          <cell r="E100" t="str">
            <v>QAR</v>
          </cell>
          <cell r="F100">
            <v>679.99</v>
          </cell>
          <cell r="G100">
            <v>96.99</v>
          </cell>
          <cell r="H100">
            <v>524.99</v>
          </cell>
          <cell r="I100">
            <v>74.989999999999995</v>
          </cell>
        </row>
        <row r="101">
          <cell r="B101" t="str">
            <v>Romania</v>
          </cell>
          <cell r="C101" t="str">
            <v>RO</v>
          </cell>
          <cell r="D101" t="str">
            <v>RON</v>
          </cell>
          <cell r="E101" t="str">
            <v>EUR</v>
          </cell>
          <cell r="F101">
            <v>108.99</v>
          </cell>
          <cell r="G101">
            <v>15.99</v>
          </cell>
          <cell r="H101">
            <v>77.989999999999995</v>
          </cell>
          <cell r="I101">
            <v>11.99</v>
          </cell>
        </row>
        <row r="102">
          <cell r="B102" t="str">
            <v>Serbia</v>
          </cell>
          <cell r="C102" t="str">
            <v>RS</v>
          </cell>
          <cell r="D102" t="str">
            <v>RSD</v>
          </cell>
          <cell r="E102" t="str">
            <v>RSD</v>
          </cell>
          <cell r="F102">
            <v>10309.99</v>
          </cell>
          <cell r="G102">
            <v>1649.99</v>
          </cell>
          <cell r="H102">
            <v>7499.99</v>
          </cell>
          <cell r="I102">
            <v>1199.99</v>
          </cell>
        </row>
        <row r="103">
          <cell r="B103" t="str">
            <v>Russia</v>
          </cell>
          <cell r="C103" t="str">
            <v>RU</v>
          </cell>
          <cell r="D103" t="str">
            <v>RUB</v>
          </cell>
          <cell r="E103" t="str">
            <v>RUB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B104" t="str">
            <v>Saudi Arabia</v>
          </cell>
          <cell r="C104" t="str">
            <v>SA</v>
          </cell>
          <cell r="D104" t="str">
            <v>SAR</v>
          </cell>
          <cell r="E104" t="str">
            <v>SAR</v>
          </cell>
          <cell r="F104">
            <v>526.99</v>
          </cell>
          <cell r="G104">
            <v>84.99</v>
          </cell>
          <cell r="H104">
            <v>384.99</v>
          </cell>
          <cell r="I104">
            <v>61.99</v>
          </cell>
        </row>
        <row r="105">
          <cell r="B105" t="str">
            <v>Sweden</v>
          </cell>
          <cell r="C105" t="str">
            <v>SE</v>
          </cell>
          <cell r="D105" t="str">
            <v>SEK</v>
          </cell>
          <cell r="E105" t="str">
            <v>SEK</v>
          </cell>
          <cell r="F105">
            <v>1469.99</v>
          </cell>
          <cell r="G105">
            <v>219.99</v>
          </cell>
          <cell r="H105">
            <v>1069.99</v>
          </cell>
          <cell r="I105">
            <v>159.99</v>
          </cell>
        </row>
        <row r="106">
          <cell r="B106" t="str">
            <v>Singapore</v>
          </cell>
          <cell r="C106" t="str">
            <v>SG</v>
          </cell>
          <cell r="D106" t="str">
            <v>SGD</v>
          </cell>
          <cell r="E106" t="str">
            <v>SGD</v>
          </cell>
          <cell r="F106">
            <v>184.99</v>
          </cell>
          <cell r="G106">
            <v>26.984999999999999</v>
          </cell>
          <cell r="H106">
            <v>124.99</v>
          </cell>
          <cell r="I106">
            <v>17.989999999999998</v>
          </cell>
        </row>
        <row r="107">
          <cell r="B107" t="str">
            <v>Slovenia</v>
          </cell>
          <cell r="C107" t="str">
            <v>SI</v>
          </cell>
          <cell r="D107" t="str">
            <v>EUR</v>
          </cell>
          <cell r="E107" t="str">
            <v>EUR</v>
          </cell>
          <cell r="F107">
            <v>121.99</v>
          </cell>
          <cell r="G107">
            <v>18.989999999999998</v>
          </cell>
          <cell r="H107">
            <v>89.99</v>
          </cell>
          <cell r="I107">
            <v>13.99</v>
          </cell>
        </row>
        <row r="108">
          <cell r="B108" t="str">
            <v>Slovakia</v>
          </cell>
          <cell r="C108" t="str">
            <v>SK</v>
          </cell>
          <cell r="D108" t="str">
            <v>EUR</v>
          </cell>
          <cell r="E108" t="str">
            <v>EUR</v>
          </cell>
          <cell r="F108">
            <v>94.99</v>
          </cell>
          <cell r="G108">
            <v>14.99</v>
          </cell>
          <cell r="H108">
            <v>69.989999999999995</v>
          </cell>
          <cell r="I108">
            <v>10.99</v>
          </cell>
        </row>
        <row r="109">
          <cell r="B109" t="str">
            <v>El Salvador</v>
          </cell>
          <cell r="C109" t="str">
            <v>SV</v>
          </cell>
          <cell r="D109" t="str">
            <v>USD</v>
          </cell>
          <cell r="E109" t="str">
            <v>USD</v>
          </cell>
          <cell r="F109">
            <v>96.99</v>
          </cell>
          <cell r="G109">
            <v>15.99</v>
          </cell>
          <cell r="H109">
            <v>65.989999999999995</v>
          </cell>
          <cell r="I109">
            <v>10.99</v>
          </cell>
        </row>
        <row r="110">
          <cell r="B110" t="str">
            <v>Thailand</v>
          </cell>
          <cell r="C110" t="str">
            <v>TH</v>
          </cell>
          <cell r="D110" t="str">
            <v>THB</v>
          </cell>
          <cell r="E110" t="str">
            <v>THB</v>
          </cell>
          <cell r="F110">
            <v>2919</v>
          </cell>
          <cell r="G110">
            <v>449</v>
          </cell>
          <cell r="H110">
            <v>2100</v>
          </cell>
          <cell r="I110">
            <v>300</v>
          </cell>
        </row>
        <row r="111">
          <cell r="B111" t="str">
            <v>Tajikistan</v>
          </cell>
          <cell r="C111" t="str">
            <v>TJ</v>
          </cell>
          <cell r="D111" t="str">
            <v>USD</v>
          </cell>
          <cell r="E111" t="str">
            <v>USD</v>
          </cell>
          <cell r="F111">
            <v>71.989999999999995</v>
          </cell>
          <cell r="G111">
            <v>11.99</v>
          </cell>
          <cell r="H111">
            <v>53.99</v>
          </cell>
          <cell r="I111">
            <v>8.99</v>
          </cell>
        </row>
        <row r="112">
          <cell r="B112" t="str">
            <v>Turkmenistan</v>
          </cell>
          <cell r="C112" t="str">
            <v>TM</v>
          </cell>
          <cell r="D112" t="str">
            <v>USD</v>
          </cell>
          <cell r="E112" t="str">
            <v>USD</v>
          </cell>
          <cell r="F112">
            <v>89.99</v>
          </cell>
          <cell r="G112">
            <v>14.99</v>
          </cell>
          <cell r="H112">
            <v>65.989999999999995</v>
          </cell>
          <cell r="I112">
            <v>10.99</v>
          </cell>
        </row>
        <row r="113">
          <cell r="B113" t="str">
            <v>Tunisia</v>
          </cell>
          <cell r="C113" t="str">
            <v>TN</v>
          </cell>
          <cell r="D113" t="str">
            <v>TND</v>
          </cell>
          <cell r="E113" t="str">
            <v>TND</v>
          </cell>
          <cell r="F113">
            <v>215.999</v>
          </cell>
          <cell r="G113">
            <v>35.999000000000002</v>
          </cell>
          <cell r="H113">
            <v>161.999</v>
          </cell>
          <cell r="I113">
            <v>26.998999999999999</v>
          </cell>
        </row>
        <row r="114">
          <cell r="B114" t="str">
            <v>Turkey</v>
          </cell>
          <cell r="C114" t="str">
            <v>TR</v>
          </cell>
          <cell r="D114" t="str">
            <v>TRY</v>
          </cell>
          <cell r="E114" t="str">
            <v>TRY</v>
          </cell>
          <cell r="F114">
            <v>1249.99</v>
          </cell>
          <cell r="G114">
            <v>192.99</v>
          </cell>
          <cell r="H114">
            <v>924.99</v>
          </cell>
          <cell r="I114">
            <v>141.99</v>
          </cell>
        </row>
        <row r="115">
          <cell r="B115" t="str">
            <v>Trinidad and Tobago</v>
          </cell>
          <cell r="C115" t="str">
            <v>TT</v>
          </cell>
          <cell r="D115" t="str">
            <v>TTD</v>
          </cell>
          <cell r="E115" t="str">
            <v>USD</v>
          </cell>
          <cell r="F115">
            <v>101.99</v>
          </cell>
          <cell r="G115">
            <v>16.989999999999998</v>
          </cell>
          <cell r="H115">
            <v>71.989999999999995</v>
          </cell>
          <cell r="I115">
            <v>11.99</v>
          </cell>
        </row>
        <row r="116">
          <cell r="B116" t="str">
            <v>Taiwan</v>
          </cell>
          <cell r="C116" t="str">
            <v>TW</v>
          </cell>
          <cell r="D116" t="str">
            <v>TWD</v>
          </cell>
          <cell r="E116" t="str">
            <v>TWD</v>
          </cell>
          <cell r="F116">
            <v>3590</v>
          </cell>
          <cell r="G116">
            <v>540</v>
          </cell>
          <cell r="H116">
            <v>2720</v>
          </cell>
          <cell r="I116">
            <v>390</v>
          </cell>
        </row>
        <row r="117">
          <cell r="B117" t="str">
            <v>Ukraine</v>
          </cell>
          <cell r="C117" t="str">
            <v>UA</v>
          </cell>
          <cell r="D117" t="str">
            <v>UAH</v>
          </cell>
          <cell r="E117" t="str">
            <v>UAH</v>
          </cell>
          <cell r="F117">
            <v>1699.99</v>
          </cell>
          <cell r="G117">
            <v>282.99</v>
          </cell>
          <cell r="H117">
            <v>1259.99</v>
          </cell>
          <cell r="I117">
            <v>209.99</v>
          </cell>
        </row>
        <row r="118">
          <cell r="B118" t="str">
            <v>Uruguay</v>
          </cell>
          <cell r="C118" t="str">
            <v>UY</v>
          </cell>
          <cell r="D118" t="str">
            <v>UYU</v>
          </cell>
          <cell r="E118" t="str">
            <v>USD</v>
          </cell>
          <cell r="F118">
            <v>104.99</v>
          </cell>
          <cell r="G118">
            <v>17.989999999999998</v>
          </cell>
          <cell r="H118">
            <v>77.989999999999995</v>
          </cell>
          <cell r="I118">
            <v>12.99</v>
          </cell>
        </row>
        <row r="119">
          <cell r="B119" t="str">
            <v>Uzbekistan</v>
          </cell>
          <cell r="C119" t="str">
            <v>UZ</v>
          </cell>
          <cell r="D119" t="str">
            <v>UZS</v>
          </cell>
          <cell r="E119" t="str">
            <v>USD</v>
          </cell>
          <cell r="F119">
            <v>72.989999999999995</v>
          </cell>
          <cell r="G119">
            <v>11.99</v>
          </cell>
          <cell r="H119">
            <v>54.99</v>
          </cell>
          <cell r="I119">
            <v>8.99</v>
          </cell>
        </row>
        <row r="120">
          <cell r="B120" t="str">
            <v>Venezuela</v>
          </cell>
          <cell r="C120" t="str">
            <v>VE</v>
          </cell>
          <cell r="D120" t="str">
            <v>USD</v>
          </cell>
          <cell r="E120" t="str">
            <v>USD</v>
          </cell>
          <cell r="F120">
            <v>95.99</v>
          </cell>
          <cell r="G120">
            <v>15.99</v>
          </cell>
          <cell r="H120">
            <v>71.989999999999995</v>
          </cell>
          <cell r="I120">
            <v>11.99</v>
          </cell>
        </row>
        <row r="121">
          <cell r="B121" t="str">
            <v>Vietnam</v>
          </cell>
          <cell r="C121" t="str">
            <v>VN</v>
          </cell>
          <cell r="D121" t="str">
            <v>VND</v>
          </cell>
          <cell r="E121" t="str">
            <v>VND</v>
          </cell>
          <cell r="F121">
            <v>1999900</v>
          </cell>
          <cell r="G121">
            <v>309000</v>
          </cell>
          <cell r="H121">
            <v>1539000</v>
          </cell>
          <cell r="I121">
            <v>220000</v>
          </cell>
        </row>
        <row r="122">
          <cell r="B122" t="str">
            <v>Yemen</v>
          </cell>
          <cell r="C122" t="str">
            <v>YE</v>
          </cell>
          <cell r="D122" t="str">
            <v>USD</v>
          </cell>
          <cell r="E122" t="str">
            <v>YER</v>
          </cell>
          <cell r="F122">
            <v>19439.990000000002</v>
          </cell>
          <cell r="G122">
            <v>3239.99</v>
          </cell>
          <cell r="H122">
            <v>14399.99</v>
          </cell>
          <cell r="I122">
            <v>2399.9899999999998</v>
          </cell>
        </row>
        <row r="123">
          <cell r="B123" t="str">
            <v>South Africa</v>
          </cell>
          <cell r="C123" t="str">
            <v>ZA</v>
          </cell>
          <cell r="D123" t="str">
            <v>ZAR</v>
          </cell>
          <cell r="E123" t="str">
            <v>ZAR</v>
          </cell>
          <cell r="F123">
            <v>1133.99</v>
          </cell>
          <cell r="G123">
            <v>188.99</v>
          </cell>
          <cell r="H123">
            <v>839.99</v>
          </cell>
          <cell r="I123">
            <v>139.99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Inputs -&gt;"/>
      <sheetName val="Pricing Scenario - Maintain"/>
      <sheetName val="Subscription Method - Expand"/>
      <sheetName val="DOM SKU &amp; Platform Avail."/>
      <sheetName val="INTL SKU &amp; Platform Avail."/>
      <sheetName val="DOM Pricing"/>
      <sheetName val="INTL Web Pricing -&gt;"/>
      <sheetName val="vs. FY22 SoS -&gt;"/>
      <sheetName val="Scenario - Maintain"/>
      <sheetName val="Subscriptions"/>
      <sheetName val="Single Game REFERENCE"/>
      <sheetName val="Single Game"/>
      <sheetName val="Commercial"/>
      <sheetName val="Other Platform Pricing -&gt;"/>
      <sheetName val="Apple"/>
      <sheetName val="Apple Tiers for Single Games"/>
      <sheetName val="Google"/>
      <sheetName val="Amazon"/>
      <sheetName val="Roku"/>
      <sheetName val="Internal Only -&gt;"/>
      <sheetName val="Free Trial Details"/>
      <sheetName val="Post-Purchase Upgrade&amp;Downgrade"/>
      <sheetName val="Post-Purchase Change Details"/>
      <sheetName val="Markets Not Selling LP"/>
      <sheetName val="Country &amp; Code Abbreviation"/>
      <sheetName val="FX Rates"/>
      <sheetName val="Platform Avail by Country"/>
      <sheetName val="Platform Sales Avail by Country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M1">
            <v>12</v>
          </cell>
          <cell r="N1">
            <v>13</v>
          </cell>
          <cell r="O1">
            <v>14</v>
          </cell>
          <cell r="P1">
            <v>15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</row>
        <row r="4">
          <cell r="B4" t="str">
            <v>Afghanistan</v>
          </cell>
          <cell r="C4" t="str">
            <v>Asia</v>
          </cell>
          <cell r="D4" t="str">
            <v>N</v>
          </cell>
          <cell r="E4" t="str">
            <v>USD</v>
          </cell>
          <cell r="F4">
            <v>10.99</v>
          </cell>
          <cell r="G4">
            <v>0.99</v>
          </cell>
          <cell r="H4">
            <v>0.99</v>
          </cell>
          <cell r="I4">
            <v>0.99</v>
          </cell>
          <cell r="J4">
            <v>0.99</v>
          </cell>
          <cell r="K4" t="str">
            <v>USD</v>
          </cell>
          <cell r="L4">
            <v>8.99</v>
          </cell>
          <cell r="M4">
            <v>3.99</v>
          </cell>
          <cell r="N4">
            <v>3.99</v>
          </cell>
          <cell r="O4">
            <v>1.99</v>
          </cell>
          <cell r="P4">
            <v>1.99</v>
          </cell>
          <cell r="Q4">
            <v>1</v>
          </cell>
          <cell r="R4">
            <v>3.99</v>
          </cell>
          <cell r="S4">
            <v>3.99</v>
          </cell>
          <cell r="T4">
            <v>1.99</v>
          </cell>
          <cell r="U4">
            <v>1.99</v>
          </cell>
        </row>
        <row r="5">
          <cell r="B5" t="str">
            <v>Aland Islands</v>
          </cell>
          <cell r="C5" t="str">
            <v>Europe</v>
          </cell>
          <cell r="D5" t="str">
            <v>N</v>
          </cell>
          <cell r="E5" t="str">
            <v>EUR</v>
          </cell>
          <cell r="F5">
            <v>24.99</v>
          </cell>
          <cell r="G5">
            <v>5.99</v>
          </cell>
          <cell r="H5">
            <v>5.99</v>
          </cell>
          <cell r="I5">
            <v>5.99</v>
          </cell>
          <cell r="J5">
            <v>5.99</v>
          </cell>
          <cell r="K5" t="str">
            <v>EUR</v>
          </cell>
          <cell r="L5">
            <v>14.99</v>
          </cell>
          <cell r="M5">
            <v>4.99</v>
          </cell>
          <cell r="N5">
            <v>3.99</v>
          </cell>
          <cell r="O5">
            <v>2.99</v>
          </cell>
          <cell r="P5">
            <v>1.9900000000000002</v>
          </cell>
          <cell r="Q5">
            <v>1.0543</v>
          </cell>
          <cell r="R5">
            <v>5.2609570000000003</v>
          </cell>
          <cell r="S5">
            <v>4.2066569999999999</v>
          </cell>
          <cell r="T5">
            <v>3.1523570000000003</v>
          </cell>
          <cell r="U5">
            <v>2.0980570000000003</v>
          </cell>
        </row>
        <row r="6">
          <cell r="B6" t="str">
            <v>Albania</v>
          </cell>
          <cell r="C6" t="str">
            <v>Europe</v>
          </cell>
          <cell r="D6" t="str">
            <v>N</v>
          </cell>
          <cell r="E6" t="str">
            <v>ALL</v>
          </cell>
          <cell r="F6">
            <v>1500</v>
          </cell>
          <cell r="G6">
            <v>319.99</v>
          </cell>
          <cell r="H6">
            <v>319.99</v>
          </cell>
          <cell r="I6">
            <v>219.99</v>
          </cell>
          <cell r="J6">
            <v>109.99</v>
          </cell>
          <cell r="K6" t="str">
            <v>ALL</v>
          </cell>
          <cell r="L6">
            <v>1199.99</v>
          </cell>
          <cell r="M6">
            <v>419.99</v>
          </cell>
          <cell r="N6">
            <v>349.99</v>
          </cell>
          <cell r="O6">
            <v>279.99</v>
          </cell>
          <cell r="P6">
            <v>209.99</v>
          </cell>
          <cell r="Q6">
            <v>8.7512030000000008E-3</v>
          </cell>
          <cell r="R6">
            <v>3.6754177479700005</v>
          </cell>
          <cell r="S6">
            <v>3.0628335379700005</v>
          </cell>
          <cell r="T6">
            <v>2.4502493279700004</v>
          </cell>
          <cell r="U6">
            <v>1.8376651179700003</v>
          </cell>
        </row>
        <row r="7">
          <cell r="B7" t="str">
            <v>Algeria</v>
          </cell>
          <cell r="C7" t="str">
            <v>Africa</v>
          </cell>
          <cell r="D7" t="str">
            <v>N</v>
          </cell>
          <cell r="E7" t="str">
            <v>DZD</v>
          </cell>
          <cell r="F7">
            <v>1300</v>
          </cell>
          <cell r="G7">
            <v>119.99</v>
          </cell>
          <cell r="H7">
            <v>119.99</v>
          </cell>
          <cell r="I7">
            <v>119.99</v>
          </cell>
          <cell r="J7">
            <v>119.99</v>
          </cell>
          <cell r="K7" t="str">
            <v>DZD</v>
          </cell>
          <cell r="L7">
            <v>999.99</v>
          </cell>
          <cell r="M7">
            <v>349.99</v>
          </cell>
          <cell r="N7">
            <v>279.99</v>
          </cell>
          <cell r="O7">
            <v>209.99</v>
          </cell>
          <cell r="P7">
            <v>139.99</v>
          </cell>
          <cell r="Q7">
            <v>6.8561005999999997E-3</v>
          </cell>
          <cell r="R7">
            <v>2.399566648994</v>
          </cell>
          <cell r="S7">
            <v>1.919639606994</v>
          </cell>
          <cell r="T7">
            <v>1.4397125649939999</v>
          </cell>
          <cell r="U7">
            <v>0.959785522994</v>
          </cell>
        </row>
        <row r="8">
          <cell r="B8" t="str">
            <v>American Samoa</v>
          </cell>
          <cell r="C8" t="str">
            <v>Asia</v>
          </cell>
          <cell r="D8" t="str">
            <v>N</v>
          </cell>
          <cell r="E8" t="str">
            <v>USD</v>
          </cell>
          <cell r="F8">
            <v>13.99</v>
          </cell>
          <cell r="G8">
            <v>2.99</v>
          </cell>
          <cell r="H8">
            <v>2.99</v>
          </cell>
          <cell r="I8">
            <v>1.99</v>
          </cell>
          <cell r="J8">
            <v>0.99</v>
          </cell>
          <cell r="K8" t="str">
            <v>USD</v>
          </cell>
          <cell r="L8">
            <v>13.99</v>
          </cell>
          <cell r="M8">
            <v>4.99</v>
          </cell>
          <cell r="N8">
            <v>3.99</v>
          </cell>
          <cell r="O8">
            <v>2.99</v>
          </cell>
          <cell r="P8">
            <v>1.9900000000000002</v>
          </cell>
          <cell r="Q8">
            <v>1</v>
          </cell>
          <cell r="R8">
            <v>4.99</v>
          </cell>
          <cell r="S8">
            <v>3.99</v>
          </cell>
          <cell r="T8">
            <v>2.99</v>
          </cell>
          <cell r="U8">
            <v>1.9900000000000002</v>
          </cell>
        </row>
        <row r="9">
          <cell r="B9" t="str">
            <v>Andorra</v>
          </cell>
          <cell r="C9" t="str">
            <v>Europe</v>
          </cell>
          <cell r="D9" t="str">
            <v>N</v>
          </cell>
          <cell r="E9" t="str">
            <v>EUR</v>
          </cell>
          <cell r="F9">
            <v>19.989999999999998</v>
          </cell>
          <cell r="G9">
            <v>2.99</v>
          </cell>
          <cell r="H9">
            <v>2.99</v>
          </cell>
          <cell r="I9">
            <v>1.99</v>
          </cell>
          <cell r="J9">
            <v>0.99</v>
          </cell>
          <cell r="K9" t="str">
            <v>EUR</v>
          </cell>
          <cell r="L9">
            <v>17.989999999999998</v>
          </cell>
          <cell r="M9">
            <v>5.99</v>
          </cell>
          <cell r="N9">
            <v>4.99</v>
          </cell>
          <cell r="O9">
            <v>3.99</v>
          </cell>
          <cell r="P9">
            <v>2.99</v>
          </cell>
          <cell r="Q9">
            <v>1.0543</v>
          </cell>
          <cell r="R9">
            <v>6.3152569999999999</v>
          </cell>
          <cell r="S9">
            <v>5.2609570000000003</v>
          </cell>
          <cell r="T9">
            <v>4.2066569999999999</v>
          </cell>
          <cell r="U9">
            <v>3.1523570000000003</v>
          </cell>
        </row>
        <row r="10">
          <cell r="B10" t="str">
            <v>Angola</v>
          </cell>
          <cell r="C10" t="str">
            <v>Africa</v>
          </cell>
          <cell r="D10" t="str">
            <v>N</v>
          </cell>
          <cell r="E10" t="str">
            <v>USD</v>
          </cell>
          <cell r="F10">
            <v>10.99</v>
          </cell>
          <cell r="G10">
            <v>0.99</v>
          </cell>
          <cell r="H10">
            <v>0.99</v>
          </cell>
          <cell r="I10">
            <v>0.99</v>
          </cell>
          <cell r="J10">
            <v>0.99</v>
          </cell>
          <cell r="K10" t="str">
            <v>USD</v>
          </cell>
          <cell r="L10">
            <v>8.99</v>
          </cell>
          <cell r="M10">
            <v>3.99</v>
          </cell>
          <cell r="N10">
            <v>3.99</v>
          </cell>
          <cell r="O10">
            <v>1.99</v>
          </cell>
          <cell r="P10">
            <v>1.99</v>
          </cell>
          <cell r="Q10">
            <v>1</v>
          </cell>
          <cell r="R10">
            <v>3.99</v>
          </cell>
          <cell r="S10">
            <v>3.99</v>
          </cell>
          <cell r="T10">
            <v>1.99</v>
          </cell>
          <cell r="U10">
            <v>1.99</v>
          </cell>
        </row>
        <row r="11">
          <cell r="B11" t="str">
            <v>Anguilla</v>
          </cell>
          <cell r="C11" t="str">
            <v>Latin America</v>
          </cell>
          <cell r="D11" t="str">
            <v>N</v>
          </cell>
          <cell r="E11" t="str">
            <v>XCD</v>
          </cell>
          <cell r="F11">
            <v>37.99</v>
          </cell>
          <cell r="G11">
            <v>7.99</v>
          </cell>
          <cell r="H11">
            <v>7.99</v>
          </cell>
          <cell r="I11">
            <v>4.99</v>
          </cell>
          <cell r="J11">
            <v>2.99</v>
          </cell>
          <cell r="K11" t="str">
            <v>XCD</v>
          </cell>
          <cell r="L11">
            <v>32.99</v>
          </cell>
          <cell r="M11">
            <v>11.99</v>
          </cell>
          <cell r="N11">
            <v>9.99</v>
          </cell>
          <cell r="O11">
            <v>7.99</v>
          </cell>
          <cell r="P11">
            <v>5.99</v>
          </cell>
          <cell r="Q11">
            <v>0.37037036000000001</v>
          </cell>
          <cell r="R11">
            <v>4.4407406164000003</v>
          </cell>
          <cell r="S11">
            <v>3.6999998964</v>
          </cell>
          <cell r="T11">
            <v>2.9592591764000002</v>
          </cell>
          <cell r="U11">
            <v>2.2185184564</v>
          </cell>
        </row>
        <row r="12">
          <cell r="B12" t="str">
            <v>Antarctica</v>
          </cell>
          <cell r="C12" t="str">
            <v>Europe</v>
          </cell>
          <cell r="D12" t="str">
            <v>N</v>
          </cell>
          <cell r="E12" t="str">
            <v>USD</v>
          </cell>
          <cell r="F12">
            <v>27.99</v>
          </cell>
          <cell r="G12">
            <v>6.99</v>
          </cell>
          <cell r="H12">
            <v>6.99</v>
          </cell>
          <cell r="I12">
            <v>6.99</v>
          </cell>
          <cell r="J12">
            <v>6.99</v>
          </cell>
          <cell r="K12" t="str">
            <v>USD</v>
          </cell>
          <cell r="L12">
            <v>16.989999999999998</v>
          </cell>
          <cell r="M12">
            <v>5.99</v>
          </cell>
          <cell r="N12">
            <v>4.99</v>
          </cell>
          <cell r="O12">
            <v>3.99</v>
          </cell>
          <cell r="P12">
            <v>2.99</v>
          </cell>
          <cell r="Q12">
            <v>1</v>
          </cell>
          <cell r="R12">
            <v>5.99</v>
          </cell>
          <cell r="S12">
            <v>4.99</v>
          </cell>
          <cell r="T12">
            <v>3.99</v>
          </cell>
          <cell r="U12">
            <v>2.99</v>
          </cell>
        </row>
        <row r="13">
          <cell r="B13" t="str">
            <v>Antigua And Barbuda</v>
          </cell>
          <cell r="C13" t="str">
            <v>Latin America</v>
          </cell>
          <cell r="D13" t="str">
            <v>N</v>
          </cell>
          <cell r="E13" t="str">
            <v>XCD</v>
          </cell>
          <cell r="F13">
            <v>37.99</v>
          </cell>
          <cell r="G13">
            <v>7.99</v>
          </cell>
          <cell r="H13">
            <v>7.99</v>
          </cell>
          <cell r="I13">
            <v>4.99</v>
          </cell>
          <cell r="J13">
            <v>2.99</v>
          </cell>
          <cell r="K13" t="str">
            <v>XCD</v>
          </cell>
          <cell r="L13">
            <v>37.99</v>
          </cell>
          <cell r="M13">
            <v>12.99</v>
          </cell>
          <cell r="N13">
            <v>10.49</v>
          </cell>
          <cell r="O13">
            <v>7.99</v>
          </cell>
          <cell r="P13">
            <v>5.49</v>
          </cell>
          <cell r="Q13">
            <v>0.37037036000000001</v>
          </cell>
          <cell r="R13">
            <v>4.8111109764000002</v>
          </cell>
          <cell r="S13">
            <v>3.8851850764</v>
          </cell>
          <cell r="T13">
            <v>2.9592591764000002</v>
          </cell>
          <cell r="U13">
            <v>2.0333332764000001</v>
          </cell>
        </row>
        <row r="14">
          <cell r="B14" t="str">
            <v>Argentina</v>
          </cell>
          <cell r="C14" t="str">
            <v>Latin America</v>
          </cell>
          <cell r="D14" t="str">
            <v>Y</v>
          </cell>
          <cell r="E14" t="str">
            <v>ARS</v>
          </cell>
          <cell r="F14">
            <v>479.99</v>
          </cell>
          <cell r="G14">
            <v>86.99</v>
          </cell>
          <cell r="H14">
            <v>86.99</v>
          </cell>
          <cell r="I14">
            <v>86.99</v>
          </cell>
          <cell r="J14">
            <v>86.99</v>
          </cell>
          <cell r="K14" t="str">
            <v>ARS</v>
          </cell>
          <cell r="L14">
            <v>699.99</v>
          </cell>
          <cell r="M14">
            <v>199.99</v>
          </cell>
          <cell r="N14">
            <v>159.99</v>
          </cell>
          <cell r="O14">
            <v>119.99000000000001</v>
          </cell>
          <cell r="P14">
            <v>79.990000000000009</v>
          </cell>
          <cell r="Q14">
            <v>8.5527104999999996E-3</v>
          </cell>
          <cell r="R14">
            <v>1.7104565728950001</v>
          </cell>
          <cell r="S14">
            <v>1.3683481528950001</v>
          </cell>
          <cell r="T14">
            <v>1.0262397328949999</v>
          </cell>
          <cell r="U14">
            <v>0.68413131289500007</v>
          </cell>
        </row>
        <row r="15">
          <cell r="B15" t="str">
            <v>Armenia</v>
          </cell>
          <cell r="C15" t="str">
            <v>Middle East</v>
          </cell>
          <cell r="D15" t="str">
            <v>N</v>
          </cell>
          <cell r="E15" t="str">
            <v>AMD</v>
          </cell>
          <cell r="F15">
            <v>6700</v>
          </cell>
          <cell r="G15">
            <v>1400</v>
          </cell>
          <cell r="H15">
            <v>1400</v>
          </cell>
          <cell r="I15">
            <v>949.99</v>
          </cell>
          <cell r="J15">
            <v>469.99</v>
          </cell>
          <cell r="K15" t="str">
            <v>AMD</v>
          </cell>
          <cell r="L15">
            <v>6699.99</v>
          </cell>
          <cell r="M15">
            <v>2499.9899999999998</v>
          </cell>
          <cell r="N15">
            <v>1999.9899999999998</v>
          </cell>
          <cell r="O15">
            <v>1499.9899999999998</v>
          </cell>
          <cell r="P15">
            <v>999.98999999999978</v>
          </cell>
          <cell r="Q15">
            <v>2.1038868E-3</v>
          </cell>
          <cell r="R15">
            <v>5.2596959611319996</v>
          </cell>
          <cell r="S15">
            <v>4.2077525611319997</v>
          </cell>
          <cell r="T15">
            <v>3.1558091611319994</v>
          </cell>
          <cell r="U15">
            <v>2.1038657611319995</v>
          </cell>
        </row>
        <row r="16">
          <cell r="B16" t="str">
            <v>Aruba</v>
          </cell>
          <cell r="C16" t="str">
            <v>Latin America</v>
          </cell>
          <cell r="D16" t="str">
            <v>N</v>
          </cell>
          <cell r="E16" t="str">
            <v>AWG</v>
          </cell>
          <cell r="F16">
            <v>24.99</v>
          </cell>
          <cell r="G16">
            <v>4.99</v>
          </cell>
          <cell r="H16">
            <v>4.99</v>
          </cell>
          <cell r="I16">
            <v>3.99</v>
          </cell>
          <cell r="J16">
            <v>1.99</v>
          </cell>
          <cell r="K16" t="str">
            <v>AWG</v>
          </cell>
          <cell r="L16">
            <v>21.99</v>
          </cell>
          <cell r="M16">
            <v>7.99</v>
          </cell>
          <cell r="N16">
            <v>6.49</v>
          </cell>
          <cell r="O16">
            <v>4.99</v>
          </cell>
          <cell r="P16">
            <v>3.49</v>
          </cell>
          <cell r="Q16">
            <v>0.55865925999999999</v>
          </cell>
          <cell r="R16">
            <v>4.4636874873999997</v>
          </cell>
          <cell r="S16">
            <v>3.6256985974</v>
          </cell>
          <cell r="T16">
            <v>2.7877097073999999</v>
          </cell>
          <cell r="U16">
            <v>1.9497208174</v>
          </cell>
        </row>
        <row r="17">
          <cell r="B17" t="str">
            <v>Australia</v>
          </cell>
          <cell r="C17" t="str">
            <v>Asia</v>
          </cell>
          <cell r="D17" t="str">
            <v>Y</v>
          </cell>
          <cell r="E17" t="str">
            <v>AUD</v>
          </cell>
          <cell r="F17">
            <v>39.99</v>
          </cell>
          <cell r="G17">
            <v>8.99</v>
          </cell>
          <cell r="H17">
            <v>5.99</v>
          </cell>
          <cell r="I17">
            <v>3.99</v>
          </cell>
          <cell r="J17">
            <v>2.99</v>
          </cell>
          <cell r="K17" t="str">
            <v>AUD</v>
          </cell>
          <cell r="L17">
            <v>21.99</v>
          </cell>
          <cell r="M17">
            <v>7.99</v>
          </cell>
          <cell r="N17">
            <v>7.99</v>
          </cell>
          <cell r="O17">
            <v>4.49</v>
          </cell>
          <cell r="P17">
            <v>4.49</v>
          </cell>
          <cell r="Q17">
            <v>0.69404995000000003</v>
          </cell>
          <cell r="R17">
            <v>5.5454591005000005</v>
          </cell>
          <cell r="S17">
            <v>5.5454591005000005</v>
          </cell>
          <cell r="T17">
            <v>3.1162842755000004</v>
          </cell>
          <cell r="U17">
            <v>3.1162842755000004</v>
          </cell>
        </row>
        <row r="18">
          <cell r="B18" t="str">
            <v>Austria</v>
          </cell>
          <cell r="C18" t="str">
            <v>Europe</v>
          </cell>
          <cell r="D18" t="str">
            <v>Y</v>
          </cell>
          <cell r="E18" t="str">
            <v>EUR</v>
          </cell>
          <cell r="F18">
            <v>24.99</v>
          </cell>
          <cell r="G18">
            <v>5.99</v>
          </cell>
          <cell r="H18">
            <v>5.99</v>
          </cell>
          <cell r="I18">
            <v>5.99</v>
          </cell>
          <cell r="J18">
            <v>5.99</v>
          </cell>
          <cell r="K18" t="str">
            <v>EUR</v>
          </cell>
          <cell r="L18">
            <v>17.989999999999998</v>
          </cell>
          <cell r="M18">
            <v>5.99</v>
          </cell>
          <cell r="N18">
            <v>4.99</v>
          </cell>
          <cell r="O18">
            <v>3.99</v>
          </cell>
          <cell r="P18">
            <v>2.99</v>
          </cell>
          <cell r="Q18">
            <v>1.0543</v>
          </cell>
          <cell r="R18">
            <v>6.3152569999999999</v>
          </cell>
          <cell r="S18">
            <v>5.2609570000000003</v>
          </cell>
          <cell r="T18">
            <v>4.2066569999999999</v>
          </cell>
          <cell r="U18">
            <v>3.1523570000000003</v>
          </cell>
        </row>
        <row r="19">
          <cell r="B19" t="str">
            <v>Azerbaijan</v>
          </cell>
          <cell r="C19" t="str">
            <v>Middle East</v>
          </cell>
          <cell r="D19" t="str">
            <v>N</v>
          </cell>
          <cell r="E19" t="str">
            <v>AZN</v>
          </cell>
          <cell r="F19">
            <v>23.99</v>
          </cell>
          <cell r="G19">
            <v>4.99</v>
          </cell>
          <cell r="H19">
            <v>4.99</v>
          </cell>
          <cell r="I19">
            <v>2.99</v>
          </cell>
          <cell r="J19">
            <v>1.99</v>
          </cell>
          <cell r="K19" t="str">
            <v>AZN</v>
          </cell>
          <cell r="L19">
            <v>21.99</v>
          </cell>
          <cell r="M19">
            <v>7.99</v>
          </cell>
          <cell r="N19">
            <v>6.49</v>
          </cell>
          <cell r="O19">
            <v>4.99</v>
          </cell>
          <cell r="P19">
            <v>3.49</v>
          </cell>
          <cell r="Q19">
            <v>0.58858149999999998</v>
          </cell>
          <cell r="R19">
            <v>4.7027661849999998</v>
          </cell>
          <cell r="S19">
            <v>3.8198939350000001</v>
          </cell>
          <cell r="T19">
            <v>2.9370216849999999</v>
          </cell>
          <cell r="U19">
            <v>2.0541494350000002</v>
          </cell>
        </row>
        <row r="20">
          <cell r="B20" t="str">
            <v>Bahamas</v>
          </cell>
          <cell r="C20" t="str">
            <v>Latin America</v>
          </cell>
          <cell r="D20" t="str">
            <v>N</v>
          </cell>
          <cell r="E20" t="str">
            <v>BSD</v>
          </cell>
          <cell r="F20">
            <v>13.99</v>
          </cell>
          <cell r="G20">
            <v>2.99</v>
          </cell>
          <cell r="H20">
            <v>2.99</v>
          </cell>
          <cell r="I20">
            <v>1.99</v>
          </cell>
          <cell r="J20">
            <v>0.99</v>
          </cell>
          <cell r="K20" t="str">
            <v>BSD</v>
          </cell>
          <cell r="L20">
            <v>11.99</v>
          </cell>
          <cell r="M20">
            <v>4.99</v>
          </cell>
          <cell r="N20">
            <v>3.99</v>
          </cell>
          <cell r="O20">
            <v>2.99</v>
          </cell>
          <cell r="P20">
            <v>1.9900000000000002</v>
          </cell>
          <cell r="Q20">
            <v>1</v>
          </cell>
          <cell r="R20">
            <v>4.99</v>
          </cell>
          <cell r="S20">
            <v>3.99</v>
          </cell>
          <cell r="T20">
            <v>2.99</v>
          </cell>
          <cell r="U20">
            <v>1.9900000000000002</v>
          </cell>
        </row>
        <row r="21">
          <cell r="B21" t="str">
            <v>Bahrain</v>
          </cell>
          <cell r="C21" t="str">
            <v>Middle East</v>
          </cell>
          <cell r="D21" t="str">
            <v>N</v>
          </cell>
          <cell r="E21" t="str">
            <v>BHD</v>
          </cell>
          <cell r="F21">
            <v>8.99</v>
          </cell>
          <cell r="G21">
            <v>0.99</v>
          </cell>
          <cell r="H21">
            <v>0.99</v>
          </cell>
          <cell r="I21">
            <v>0.99</v>
          </cell>
          <cell r="J21">
            <v>0.99</v>
          </cell>
          <cell r="K21" t="str">
            <v>BHD</v>
          </cell>
          <cell r="L21">
            <v>6.9989999999999997</v>
          </cell>
          <cell r="M21">
            <v>2.9990000000000001</v>
          </cell>
          <cell r="N21">
            <v>2.9990000000000001</v>
          </cell>
          <cell r="O21">
            <v>1.4990000000000001</v>
          </cell>
          <cell r="P21">
            <v>1.4990000000000001</v>
          </cell>
          <cell r="Q21">
            <v>2.65252</v>
          </cell>
          <cell r="R21">
            <v>7.9549074800000001</v>
          </cell>
          <cell r="S21">
            <v>7.9549074800000001</v>
          </cell>
          <cell r="T21">
            <v>3.9761274800000002</v>
          </cell>
          <cell r="U21">
            <v>3.9761274800000002</v>
          </cell>
        </row>
        <row r="22">
          <cell r="B22" t="str">
            <v>Bangladesh</v>
          </cell>
          <cell r="C22" t="str">
            <v>Asia</v>
          </cell>
          <cell r="D22" t="str">
            <v>N</v>
          </cell>
          <cell r="E22" t="str">
            <v>BDT</v>
          </cell>
          <cell r="F22">
            <v>929.99</v>
          </cell>
          <cell r="G22">
            <v>83.99</v>
          </cell>
          <cell r="H22">
            <v>83.99</v>
          </cell>
          <cell r="I22">
            <v>83.99</v>
          </cell>
          <cell r="J22">
            <v>83.99</v>
          </cell>
          <cell r="K22" t="str">
            <v>BDT</v>
          </cell>
          <cell r="L22">
            <v>749.99</v>
          </cell>
          <cell r="M22">
            <v>249.99</v>
          </cell>
          <cell r="N22">
            <v>199.99</v>
          </cell>
          <cell r="O22">
            <v>149.99</v>
          </cell>
          <cell r="P22">
            <v>99.990000000000009</v>
          </cell>
          <cell r="Q22">
            <v>1.1530701000000001E-2</v>
          </cell>
          <cell r="R22">
            <v>2.8825599429900004</v>
          </cell>
          <cell r="S22">
            <v>2.3060248929900005</v>
          </cell>
          <cell r="T22">
            <v>1.7294898429900003</v>
          </cell>
          <cell r="U22">
            <v>1.1529547929900001</v>
          </cell>
        </row>
        <row r="23">
          <cell r="B23" t="str">
            <v>Barbados</v>
          </cell>
          <cell r="C23" t="str">
            <v>Latin America</v>
          </cell>
          <cell r="D23" t="str">
            <v>N</v>
          </cell>
          <cell r="E23" t="str">
            <v>BBD</v>
          </cell>
          <cell r="F23">
            <v>27.99</v>
          </cell>
          <cell r="G23">
            <v>5.99</v>
          </cell>
          <cell r="H23">
            <v>5.99</v>
          </cell>
          <cell r="I23">
            <v>3.99</v>
          </cell>
          <cell r="J23">
            <v>1.99</v>
          </cell>
          <cell r="K23" t="str">
            <v>BBD</v>
          </cell>
          <cell r="L23">
            <v>25.99</v>
          </cell>
          <cell r="M23">
            <v>8.99</v>
          </cell>
          <cell r="N23">
            <v>7.49</v>
          </cell>
          <cell r="O23">
            <v>5.99</v>
          </cell>
          <cell r="P23">
            <v>4.49</v>
          </cell>
          <cell r="Q23">
            <v>0.5</v>
          </cell>
          <cell r="R23">
            <v>4.4950000000000001</v>
          </cell>
          <cell r="S23">
            <v>3.7450000000000001</v>
          </cell>
          <cell r="T23">
            <v>2.9950000000000001</v>
          </cell>
          <cell r="U23">
            <v>2.2450000000000001</v>
          </cell>
        </row>
        <row r="24">
          <cell r="B24" t="str">
            <v>Belarus</v>
          </cell>
          <cell r="C24" t="str">
            <v>Europe</v>
          </cell>
          <cell r="D24" t="str">
            <v>N</v>
          </cell>
          <cell r="E24" t="str">
            <v>USD</v>
          </cell>
          <cell r="F24">
            <v>13.99</v>
          </cell>
          <cell r="G24">
            <v>2.99</v>
          </cell>
          <cell r="H24">
            <v>2.99</v>
          </cell>
          <cell r="I24">
            <v>1.99</v>
          </cell>
          <cell r="J24">
            <v>0.99</v>
          </cell>
          <cell r="K24" t="str">
            <v>BYN</v>
          </cell>
          <cell r="L24"/>
          <cell r="M24"/>
          <cell r="N24"/>
          <cell r="O24"/>
          <cell r="P24"/>
          <cell r="Q24"/>
          <cell r="R24"/>
          <cell r="S24"/>
          <cell r="T24"/>
          <cell r="U24"/>
        </row>
        <row r="25">
          <cell r="B25" t="str">
            <v>Belgium</v>
          </cell>
          <cell r="C25" t="str">
            <v>Europe</v>
          </cell>
          <cell r="D25" t="str">
            <v>Y</v>
          </cell>
          <cell r="E25" t="str">
            <v>EUR</v>
          </cell>
          <cell r="F25">
            <v>24.99</v>
          </cell>
          <cell r="G25">
            <v>5.99</v>
          </cell>
          <cell r="H25">
            <v>5.99</v>
          </cell>
          <cell r="I25">
            <v>5.99</v>
          </cell>
          <cell r="J25">
            <v>5.99</v>
          </cell>
          <cell r="K25" t="str">
            <v>EUR</v>
          </cell>
          <cell r="L25">
            <v>18.989999999999998</v>
          </cell>
          <cell r="M25">
            <v>6.99</v>
          </cell>
          <cell r="N25">
            <v>4.99</v>
          </cell>
          <cell r="O25">
            <v>3.99</v>
          </cell>
          <cell r="P25">
            <v>2.99</v>
          </cell>
          <cell r="Q25">
            <v>1.0543</v>
          </cell>
          <cell r="R25">
            <v>7.3695570000000004</v>
          </cell>
          <cell r="S25">
            <v>5.2609570000000003</v>
          </cell>
          <cell r="T25">
            <v>4.2066569999999999</v>
          </cell>
          <cell r="U25">
            <v>3.1523570000000003</v>
          </cell>
        </row>
        <row r="26">
          <cell r="B26" t="str">
            <v>Belize</v>
          </cell>
          <cell r="C26" t="str">
            <v>Latin America</v>
          </cell>
          <cell r="D26" t="str">
            <v>N</v>
          </cell>
          <cell r="E26" t="str">
            <v>BZD</v>
          </cell>
          <cell r="F26">
            <v>21.99</v>
          </cell>
          <cell r="G26">
            <v>1.99</v>
          </cell>
          <cell r="H26">
            <v>1.99</v>
          </cell>
          <cell r="I26">
            <v>1.99</v>
          </cell>
          <cell r="J26">
            <v>1.99</v>
          </cell>
          <cell r="K26" t="str">
            <v>BZD</v>
          </cell>
          <cell r="L26">
            <v>17.989999999999998</v>
          </cell>
          <cell r="M26">
            <v>5.99</v>
          </cell>
          <cell r="N26">
            <v>4.99</v>
          </cell>
          <cell r="O26">
            <v>3.99</v>
          </cell>
          <cell r="P26">
            <v>2.99</v>
          </cell>
          <cell r="Q26">
            <v>0.5</v>
          </cell>
          <cell r="R26">
            <v>2.9950000000000001</v>
          </cell>
          <cell r="S26">
            <v>2.4950000000000001</v>
          </cell>
          <cell r="T26">
            <v>1.9950000000000001</v>
          </cell>
          <cell r="U26">
            <v>1.4950000000000001</v>
          </cell>
        </row>
        <row r="27">
          <cell r="B27" t="str">
            <v>Benin</v>
          </cell>
          <cell r="C27" t="str">
            <v>Africa</v>
          </cell>
          <cell r="D27" t="str">
            <v>N</v>
          </cell>
          <cell r="E27" t="str">
            <v>XOF</v>
          </cell>
          <cell r="F27">
            <v>6400</v>
          </cell>
          <cell r="G27">
            <v>580</v>
          </cell>
          <cell r="H27">
            <v>580</v>
          </cell>
          <cell r="I27">
            <v>580</v>
          </cell>
          <cell r="J27">
            <v>580</v>
          </cell>
          <cell r="K27" t="str">
            <v>XOF</v>
          </cell>
          <cell r="L27">
            <v>5400</v>
          </cell>
          <cell r="M27">
            <v>2000</v>
          </cell>
          <cell r="N27">
            <v>1600</v>
          </cell>
          <cell r="O27">
            <v>1200</v>
          </cell>
          <cell r="P27">
            <v>800</v>
          </cell>
          <cell r="Q27">
            <v>1.6072699E-3</v>
          </cell>
          <cell r="R27">
            <v>3.2145397999999998</v>
          </cell>
          <cell r="S27">
            <v>2.5716318400000002</v>
          </cell>
          <cell r="T27">
            <v>1.9287238799999999</v>
          </cell>
          <cell r="U27">
            <v>1.2858159200000001</v>
          </cell>
        </row>
        <row r="28">
          <cell r="B28" t="str">
            <v>Bermuda</v>
          </cell>
          <cell r="C28" t="str">
            <v>Domestic</v>
          </cell>
          <cell r="D28" t="str">
            <v>N</v>
          </cell>
          <cell r="E28" t="str">
            <v>BMD</v>
          </cell>
          <cell r="F28">
            <v>13.99</v>
          </cell>
          <cell r="G28">
            <v>2.99</v>
          </cell>
          <cell r="H28">
            <v>2.99</v>
          </cell>
          <cell r="I28">
            <v>1.99</v>
          </cell>
          <cell r="J28">
            <v>0.99</v>
          </cell>
          <cell r="K28" t="str">
            <v>BMD</v>
          </cell>
          <cell r="L28">
            <v>11.99</v>
          </cell>
          <cell r="M28">
            <v>4.99</v>
          </cell>
          <cell r="N28">
            <v>3.99</v>
          </cell>
          <cell r="O28">
            <v>2.99</v>
          </cell>
          <cell r="P28">
            <v>1.9900000000000002</v>
          </cell>
          <cell r="Q28">
            <v>1</v>
          </cell>
          <cell r="R28">
            <v>4.99</v>
          </cell>
          <cell r="S28">
            <v>3.99</v>
          </cell>
          <cell r="T28">
            <v>2.99</v>
          </cell>
          <cell r="U28">
            <v>1.9900000000000002</v>
          </cell>
        </row>
        <row r="29">
          <cell r="B29" t="str">
            <v>Bhutan</v>
          </cell>
          <cell r="C29" t="str">
            <v>Asia</v>
          </cell>
          <cell r="D29" t="str">
            <v>N</v>
          </cell>
          <cell r="E29" t="str">
            <v>USD</v>
          </cell>
          <cell r="F29">
            <v>10.99</v>
          </cell>
          <cell r="G29">
            <v>0.99</v>
          </cell>
          <cell r="H29">
            <v>0.99</v>
          </cell>
          <cell r="I29">
            <v>0.99</v>
          </cell>
          <cell r="J29">
            <v>0.99</v>
          </cell>
          <cell r="K29" t="str">
            <v>USD</v>
          </cell>
          <cell r="L29">
            <v>8.99</v>
          </cell>
          <cell r="M29">
            <v>3.99</v>
          </cell>
          <cell r="N29">
            <v>3.99</v>
          </cell>
          <cell r="O29">
            <v>1.99</v>
          </cell>
          <cell r="P29">
            <v>1.99</v>
          </cell>
          <cell r="Q29">
            <v>1</v>
          </cell>
          <cell r="R29">
            <v>3.99</v>
          </cell>
          <cell r="S29">
            <v>3.99</v>
          </cell>
          <cell r="T29">
            <v>1.99</v>
          </cell>
          <cell r="U29">
            <v>1.99</v>
          </cell>
        </row>
        <row r="30">
          <cell r="B30" t="str">
            <v>Bolivia</v>
          </cell>
          <cell r="C30" t="str">
            <v>Europe</v>
          </cell>
          <cell r="D30" t="str">
            <v>N</v>
          </cell>
          <cell r="E30" t="str">
            <v>BOB</v>
          </cell>
          <cell r="F30">
            <v>75.989999999999995</v>
          </cell>
          <cell r="G30">
            <v>6.99</v>
          </cell>
          <cell r="H30">
            <v>6.99</v>
          </cell>
          <cell r="I30">
            <v>6.99</v>
          </cell>
          <cell r="J30">
            <v>6.99</v>
          </cell>
          <cell r="K30" t="str">
            <v>BOB</v>
          </cell>
          <cell r="L30">
            <v>68.989999999999995</v>
          </cell>
          <cell r="M30">
            <v>24.99</v>
          </cell>
          <cell r="N30">
            <v>19.989999999999998</v>
          </cell>
          <cell r="O30">
            <v>14.989999999999998</v>
          </cell>
          <cell r="P30">
            <v>9.9899999999999984</v>
          </cell>
          <cell r="Q30">
            <v>0.14471780000000001</v>
          </cell>
          <cell r="R30">
            <v>3.6164978219999999</v>
          </cell>
          <cell r="S30">
            <v>2.8929088219999999</v>
          </cell>
          <cell r="T30">
            <v>2.1693198219999998</v>
          </cell>
          <cell r="U30">
            <v>1.4457308219999998</v>
          </cell>
        </row>
        <row r="31">
          <cell r="B31" t="str">
            <v>Bonaire</v>
          </cell>
          <cell r="C31" t="str">
            <v>Europe</v>
          </cell>
          <cell r="D31" t="str">
            <v>N</v>
          </cell>
          <cell r="E31" t="str">
            <v>USD</v>
          </cell>
          <cell r="F31">
            <v>13.99</v>
          </cell>
          <cell r="G31">
            <v>2.99</v>
          </cell>
          <cell r="H31">
            <v>2.99</v>
          </cell>
          <cell r="I31">
            <v>1.99</v>
          </cell>
          <cell r="J31">
            <v>0.99</v>
          </cell>
          <cell r="K31" t="str">
            <v>USD</v>
          </cell>
          <cell r="L31">
            <v>10.99</v>
          </cell>
          <cell r="M31">
            <v>4.99</v>
          </cell>
          <cell r="N31">
            <v>3.99</v>
          </cell>
          <cell r="O31">
            <v>2.99</v>
          </cell>
          <cell r="P31">
            <v>1.9900000000000002</v>
          </cell>
          <cell r="Q31">
            <v>1</v>
          </cell>
          <cell r="R31">
            <v>4.99</v>
          </cell>
          <cell r="S31">
            <v>3.99</v>
          </cell>
          <cell r="T31">
            <v>2.99</v>
          </cell>
          <cell r="U31">
            <v>1.9900000000000002</v>
          </cell>
        </row>
        <row r="32">
          <cell r="B32" t="str">
            <v>Bosnia And Herzegovina</v>
          </cell>
          <cell r="C32" t="str">
            <v>Europe</v>
          </cell>
          <cell r="D32" t="str">
            <v>N</v>
          </cell>
          <cell r="E32" t="str">
            <v>BAM</v>
          </cell>
          <cell r="F32">
            <v>23.99</v>
          </cell>
          <cell r="G32">
            <v>4.99</v>
          </cell>
          <cell r="H32">
            <v>4.99</v>
          </cell>
          <cell r="I32">
            <v>2.99</v>
          </cell>
          <cell r="J32">
            <v>1.99</v>
          </cell>
          <cell r="K32" t="str">
            <v>BAM</v>
          </cell>
          <cell r="L32">
            <v>17.989999999999998</v>
          </cell>
          <cell r="M32">
            <v>5.99</v>
          </cell>
          <cell r="N32">
            <v>4.99</v>
          </cell>
          <cell r="O32">
            <v>3.99</v>
          </cell>
          <cell r="P32">
            <v>2.99</v>
          </cell>
          <cell r="Q32">
            <v>0.53905449999999999</v>
          </cell>
          <cell r="R32">
            <v>3.2289364549999999</v>
          </cell>
          <cell r="S32">
            <v>2.6898819550000002</v>
          </cell>
          <cell r="T32">
            <v>2.1508274549999999</v>
          </cell>
          <cell r="U32">
            <v>1.6117729550000002</v>
          </cell>
        </row>
        <row r="33">
          <cell r="B33" t="str">
            <v>Botswana</v>
          </cell>
          <cell r="C33" t="str">
            <v>Africa</v>
          </cell>
          <cell r="D33" t="str">
            <v>N</v>
          </cell>
          <cell r="E33" t="str">
            <v>BWP</v>
          </cell>
          <cell r="F33">
            <v>119.99</v>
          </cell>
          <cell r="G33">
            <v>10.99</v>
          </cell>
          <cell r="H33">
            <v>10.99</v>
          </cell>
          <cell r="I33">
            <v>10.99</v>
          </cell>
          <cell r="J33">
            <v>10.99</v>
          </cell>
          <cell r="K33" t="str">
            <v>BWP</v>
          </cell>
          <cell r="L33">
            <v>81.99</v>
          </cell>
          <cell r="M33">
            <v>28.99</v>
          </cell>
          <cell r="N33">
            <v>23.99</v>
          </cell>
          <cell r="O33">
            <v>18.989999999999998</v>
          </cell>
          <cell r="P33">
            <v>13.989999999999998</v>
          </cell>
          <cell r="Q33">
            <v>8.1799999999999998E-2</v>
          </cell>
          <cell r="R33">
            <v>2.3713819999999997</v>
          </cell>
          <cell r="S33">
            <v>1.9623819999999998</v>
          </cell>
          <cell r="T33">
            <v>1.5533819999999998</v>
          </cell>
          <cell r="U33">
            <v>1.1443819999999998</v>
          </cell>
        </row>
        <row r="34">
          <cell r="B34" t="str">
            <v>Bouvet Island</v>
          </cell>
          <cell r="C34" t="str">
            <v>Europe</v>
          </cell>
          <cell r="D34" t="str">
            <v>N</v>
          </cell>
          <cell r="E34" t="str">
            <v>NOK</v>
          </cell>
          <cell r="F34">
            <v>239.99</v>
          </cell>
          <cell r="G34">
            <v>8.99</v>
          </cell>
          <cell r="H34">
            <v>8.99</v>
          </cell>
          <cell r="I34">
            <v>8.99</v>
          </cell>
          <cell r="J34">
            <v>8.99</v>
          </cell>
          <cell r="K34" t="str">
            <v>NOK</v>
          </cell>
          <cell r="L34">
            <v>149.99</v>
          </cell>
          <cell r="M34">
            <v>51.99</v>
          </cell>
          <cell r="N34">
            <v>41.99</v>
          </cell>
          <cell r="O34">
            <v>31.990000000000002</v>
          </cell>
          <cell r="P34">
            <v>21.990000000000002</v>
          </cell>
          <cell r="Q34">
            <v>0.10311352</v>
          </cell>
          <cell r="R34">
            <v>5.3608719048000006</v>
          </cell>
          <cell r="S34">
            <v>4.3297367048000002</v>
          </cell>
          <cell r="T34">
            <v>3.2986015048000001</v>
          </cell>
          <cell r="U34">
            <v>2.2674663048000001</v>
          </cell>
        </row>
        <row r="35">
          <cell r="B35" t="str">
            <v>Brazil</v>
          </cell>
          <cell r="C35" t="str">
            <v>Latin America</v>
          </cell>
          <cell r="D35" t="str">
            <v>Y</v>
          </cell>
          <cell r="E35" t="str">
            <v>BRL</v>
          </cell>
          <cell r="F35">
            <v>50.99</v>
          </cell>
          <cell r="G35">
            <v>3.99</v>
          </cell>
          <cell r="H35">
            <v>3.99</v>
          </cell>
          <cell r="I35">
            <v>3.99</v>
          </cell>
          <cell r="J35">
            <v>3.99</v>
          </cell>
          <cell r="K35" t="str">
            <v>BRL</v>
          </cell>
          <cell r="L35">
            <v>50.99</v>
          </cell>
          <cell r="M35">
            <v>22.9</v>
          </cell>
          <cell r="N35">
            <v>22.9</v>
          </cell>
          <cell r="O35">
            <v>10.9</v>
          </cell>
          <cell r="P35">
            <v>10.9</v>
          </cell>
          <cell r="Q35">
            <v>0.19405042</v>
          </cell>
          <cell r="R35">
            <v>4.4437546179999998</v>
          </cell>
          <cell r="S35">
            <v>4.4437546179999998</v>
          </cell>
          <cell r="T35">
            <v>2.115149578</v>
          </cell>
          <cell r="U35">
            <v>2.115149578</v>
          </cell>
        </row>
        <row r="36">
          <cell r="B36" t="str">
            <v>British Indian Ocean Territory</v>
          </cell>
          <cell r="C36" t="str">
            <v>Asia</v>
          </cell>
          <cell r="D36" t="str">
            <v>N</v>
          </cell>
          <cell r="E36" t="str">
            <v>USD</v>
          </cell>
          <cell r="F36">
            <v>13.99</v>
          </cell>
          <cell r="G36">
            <v>2.99</v>
          </cell>
          <cell r="H36">
            <v>2.99</v>
          </cell>
          <cell r="I36">
            <v>1.99</v>
          </cell>
          <cell r="J36">
            <v>0.99</v>
          </cell>
          <cell r="K36" t="str">
            <v>USD</v>
          </cell>
          <cell r="L36">
            <v>9.99</v>
          </cell>
          <cell r="M36">
            <v>3.49</v>
          </cell>
          <cell r="N36">
            <v>2.99</v>
          </cell>
          <cell r="O36">
            <v>2.4900000000000002</v>
          </cell>
          <cell r="P36">
            <v>1.99</v>
          </cell>
          <cell r="Q36">
            <v>1</v>
          </cell>
          <cell r="R36">
            <v>3.49</v>
          </cell>
          <cell r="S36">
            <v>2.99</v>
          </cell>
          <cell r="T36">
            <v>2.4900000000000002</v>
          </cell>
          <cell r="U36">
            <v>1.99</v>
          </cell>
        </row>
        <row r="37">
          <cell r="B37" t="str">
            <v>British Virgin Islands</v>
          </cell>
          <cell r="C37" t="str">
            <v>Latin America</v>
          </cell>
          <cell r="D37" t="str">
            <v>N</v>
          </cell>
          <cell r="E37" t="str">
            <v>USD</v>
          </cell>
          <cell r="F37">
            <v>13.99</v>
          </cell>
          <cell r="G37">
            <v>2.99</v>
          </cell>
          <cell r="H37">
            <v>2.99</v>
          </cell>
          <cell r="I37">
            <v>1.99</v>
          </cell>
          <cell r="J37">
            <v>0.99</v>
          </cell>
          <cell r="K37" t="str">
            <v>USD</v>
          </cell>
          <cell r="L37">
            <v>11.99</v>
          </cell>
          <cell r="M37">
            <v>4.99</v>
          </cell>
          <cell r="N37">
            <v>3.99</v>
          </cell>
          <cell r="O37">
            <v>2.99</v>
          </cell>
          <cell r="P37">
            <v>1.99</v>
          </cell>
          <cell r="Q37">
            <v>1</v>
          </cell>
          <cell r="R37">
            <v>4.99</v>
          </cell>
          <cell r="S37">
            <v>3.99</v>
          </cell>
          <cell r="T37">
            <v>2.99</v>
          </cell>
          <cell r="U37">
            <v>1.99</v>
          </cell>
        </row>
        <row r="38">
          <cell r="B38" t="str">
            <v>Brunei</v>
          </cell>
          <cell r="C38" t="str">
            <v>Asia</v>
          </cell>
          <cell r="D38" t="str">
            <v>N</v>
          </cell>
          <cell r="E38" t="str">
            <v>BND</v>
          </cell>
          <cell r="F38">
            <v>18.989999999999998</v>
          </cell>
          <cell r="G38">
            <v>3.99</v>
          </cell>
          <cell r="H38">
            <v>3.99</v>
          </cell>
          <cell r="I38">
            <v>2.99</v>
          </cell>
          <cell r="J38">
            <v>0.99</v>
          </cell>
          <cell r="K38" t="str">
            <v>BND</v>
          </cell>
          <cell r="L38">
            <v>12.99</v>
          </cell>
          <cell r="M38">
            <v>4.99</v>
          </cell>
          <cell r="N38">
            <v>3.99</v>
          </cell>
          <cell r="O38">
            <v>2.99</v>
          </cell>
          <cell r="P38">
            <v>1.9900000000000002</v>
          </cell>
          <cell r="Q38">
            <v>0.71908819999999996</v>
          </cell>
          <cell r="R38">
            <v>3.5882501179999999</v>
          </cell>
          <cell r="S38">
            <v>2.8691619180000001</v>
          </cell>
          <cell r="T38">
            <v>2.1500737179999998</v>
          </cell>
          <cell r="U38">
            <v>1.430985518</v>
          </cell>
        </row>
        <row r="39">
          <cell r="B39" t="str">
            <v>Bulgaria</v>
          </cell>
          <cell r="C39" t="str">
            <v>Europe</v>
          </cell>
          <cell r="D39" t="str">
            <v>N</v>
          </cell>
          <cell r="E39" t="str">
            <v>BGN</v>
          </cell>
          <cell r="F39">
            <v>23.99</v>
          </cell>
          <cell r="G39">
            <v>4.99</v>
          </cell>
          <cell r="H39">
            <v>4.99</v>
          </cell>
          <cell r="I39">
            <v>2.99</v>
          </cell>
          <cell r="J39">
            <v>1.99</v>
          </cell>
          <cell r="K39" t="str">
            <v>BGN</v>
          </cell>
          <cell r="L39">
            <v>19.989999999999998</v>
          </cell>
          <cell r="M39">
            <v>8.49</v>
          </cell>
          <cell r="N39">
            <v>8.49</v>
          </cell>
          <cell r="O39">
            <v>4.49</v>
          </cell>
          <cell r="P39">
            <v>4.49</v>
          </cell>
          <cell r="Q39">
            <v>0.53906905999999999</v>
          </cell>
          <cell r="R39">
            <v>4.5766963193999999</v>
          </cell>
          <cell r="S39">
            <v>4.5766963193999999</v>
          </cell>
          <cell r="T39">
            <v>2.4204200793999999</v>
          </cell>
          <cell r="U39">
            <v>2.4204200793999999</v>
          </cell>
        </row>
        <row r="40">
          <cell r="B40" t="str">
            <v>Burkina Faso</v>
          </cell>
          <cell r="C40" t="str">
            <v>Africa</v>
          </cell>
          <cell r="D40" t="str">
            <v>N</v>
          </cell>
          <cell r="E40" t="str">
            <v>XOF</v>
          </cell>
          <cell r="F40">
            <v>6400</v>
          </cell>
          <cell r="G40">
            <v>580</v>
          </cell>
          <cell r="H40">
            <v>580</v>
          </cell>
          <cell r="I40">
            <v>580</v>
          </cell>
          <cell r="J40">
            <v>580</v>
          </cell>
          <cell r="K40" t="str">
            <v>XOF</v>
          </cell>
          <cell r="L40">
            <v>5400</v>
          </cell>
          <cell r="M40">
            <v>2000</v>
          </cell>
          <cell r="N40">
            <v>1600</v>
          </cell>
          <cell r="O40">
            <v>1200</v>
          </cell>
          <cell r="P40">
            <v>800</v>
          </cell>
          <cell r="Q40">
            <v>1.6072699E-3</v>
          </cell>
          <cell r="R40">
            <v>3.2145397999999998</v>
          </cell>
          <cell r="S40">
            <v>2.5716318400000002</v>
          </cell>
          <cell r="T40">
            <v>1.9287238799999999</v>
          </cell>
          <cell r="U40">
            <v>1.2858159200000001</v>
          </cell>
        </row>
        <row r="41">
          <cell r="B41" t="str">
            <v>Burundi</v>
          </cell>
          <cell r="C41" t="str">
            <v>Africa</v>
          </cell>
          <cell r="D41" t="str">
            <v>N</v>
          </cell>
          <cell r="E41" t="str">
            <v>USD</v>
          </cell>
          <cell r="F41">
            <v>10.99</v>
          </cell>
          <cell r="G41">
            <v>0.99</v>
          </cell>
          <cell r="H41">
            <v>0.99</v>
          </cell>
          <cell r="I41">
            <v>0.99</v>
          </cell>
          <cell r="J41">
            <v>0.99</v>
          </cell>
          <cell r="K41" t="str">
            <v>USD</v>
          </cell>
          <cell r="L41">
            <v>8.99</v>
          </cell>
          <cell r="M41">
            <v>2.99</v>
          </cell>
          <cell r="N41">
            <v>2.4900000000000002</v>
          </cell>
          <cell r="O41">
            <v>1.9900000000000002</v>
          </cell>
          <cell r="P41">
            <v>1.4900000000000002</v>
          </cell>
          <cell r="Q41">
            <v>1</v>
          </cell>
          <cell r="R41">
            <v>2.99</v>
          </cell>
          <cell r="S41">
            <v>2.4900000000000002</v>
          </cell>
          <cell r="T41">
            <v>1.9900000000000002</v>
          </cell>
          <cell r="U41">
            <v>1.4900000000000002</v>
          </cell>
        </row>
        <row r="42">
          <cell r="B42" t="str">
            <v>Cambodia</v>
          </cell>
          <cell r="C42" t="str">
            <v>Asia</v>
          </cell>
          <cell r="D42" t="str">
            <v>N</v>
          </cell>
          <cell r="E42" t="str">
            <v>KHR</v>
          </cell>
          <cell r="F42">
            <v>44700</v>
          </cell>
          <cell r="G42">
            <v>4000</v>
          </cell>
          <cell r="H42">
            <v>4000</v>
          </cell>
          <cell r="I42">
            <v>4000</v>
          </cell>
          <cell r="J42">
            <v>4000</v>
          </cell>
          <cell r="K42" t="str">
            <v>KHR</v>
          </cell>
          <cell r="L42">
            <v>36320</v>
          </cell>
          <cell r="M42">
            <v>12710</v>
          </cell>
          <cell r="N42">
            <v>10210</v>
          </cell>
          <cell r="O42">
            <v>7710</v>
          </cell>
          <cell r="P42">
            <v>5210</v>
          </cell>
          <cell r="Q42">
            <v>2.4622925999999998E-4</v>
          </cell>
          <cell r="R42">
            <v>3.1295738945999996</v>
          </cell>
          <cell r="S42">
            <v>2.5140007445999997</v>
          </cell>
          <cell r="T42">
            <v>1.8984275945999998</v>
          </cell>
          <cell r="U42">
            <v>1.2828544445999999</v>
          </cell>
        </row>
        <row r="43">
          <cell r="B43" t="str">
            <v>Cameroon</v>
          </cell>
          <cell r="C43" t="str">
            <v>Africa</v>
          </cell>
          <cell r="D43" t="str">
            <v>N</v>
          </cell>
          <cell r="E43" t="str">
            <v>XAF</v>
          </cell>
          <cell r="F43">
            <v>6400</v>
          </cell>
          <cell r="G43">
            <v>580</v>
          </cell>
          <cell r="H43">
            <v>580</v>
          </cell>
          <cell r="I43">
            <v>580</v>
          </cell>
          <cell r="J43">
            <v>580</v>
          </cell>
          <cell r="K43" t="str">
            <v>XAF</v>
          </cell>
          <cell r="L43">
            <v>5400</v>
          </cell>
          <cell r="M43">
            <v>2000</v>
          </cell>
          <cell r="N43">
            <v>1600</v>
          </cell>
          <cell r="O43">
            <v>1200</v>
          </cell>
          <cell r="P43">
            <v>800</v>
          </cell>
          <cell r="Q43">
            <v>1.6072699E-3</v>
          </cell>
          <cell r="R43">
            <v>3.2145397999999998</v>
          </cell>
          <cell r="S43">
            <v>2.5716318400000002</v>
          </cell>
          <cell r="T43">
            <v>1.9287238799999999</v>
          </cell>
          <cell r="U43">
            <v>1.2858159200000001</v>
          </cell>
        </row>
        <row r="44">
          <cell r="B44" t="str">
            <v>Canada</v>
          </cell>
          <cell r="C44" t="str">
            <v>Canada</v>
          </cell>
          <cell r="D44" t="str">
            <v>Y</v>
          </cell>
          <cell r="E44" t="str">
            <v>CAD</v>
          </cell>
          <cell r="F44">
            <v>29.99</v>
          </cell>
          <cell r="G44">
            <v>6.99</v>
          </cell>
          <cell r="H44">
            <v>4.99</v>
          </cell>
          <cell r="I44">
            <v>3.99</v>
          </cell>
          <cell r="J44">
            <v>2.99</v>
          </cell>
          <cell r="K44" t="str">
            <v>CAD</v>
          </cell>
          <cell r="L44">
            <v>19.989999999999998</v>
          </cell>
          <cell r="M44">
            <v>6.99</v>
          </cell>
          <cell r="N44">
            <v>5.49</v>
          </cell>
          <cell r="O44">
            <v>3.99</v>
          </cell>
          <cell r="P44">
            <v>2.79</v>
          </cell>
          <cell r="Q44">
            <v>0.76840330000000001</v>
          </cell>
          <cell r="R44">
            <v>5.3711390670000005</v>
          </cell>
          <cell r="S44">
            <v>4.2185341169999999</v>
          </cell>
          <cell r="T44">
            <v>3.0659291670000002</v>
          </cell>
          <cell r="U44">
            <v>2.143845207</v>
          </cell>
        </row>
        <row r="45">
          <cell r="B45" t="str">
            <v>Cape Verde</v>
          </cell>
          <cell r="C45" t="str">
            <v>Africa</v>
          </cell>
          <cell r="D45" t="str">
            <v>N</v>
          </cell>
          <cell r="E45" t="str">
            <v>CVE</v>
          </cell>
          <cell r="F45">
            <v>1100</v>
          </cell>
          <cell r="G45">
            <v>96.99</v>
          </cell>
          <cell r="H45">
            <v>96.99</v>
          </cell>
          <cell r="I45">
            <v>96.99</v>
          </cell>
          <cell r="J45">
            <v>96.99</v>
          </cell>
          <cell r="K45" t="str">
            <v>CVE</v>
          </cell>
          <cell r="L45">
            <v>909</v>
          </cell>
          <cell r="M45">
            <v>319</v>
          </cell>
          <cell r="N45">
            <v>259</v>
          </cell>
          <cell r="O45">
            <v>199</v>
          </cell>
          <cell r="P45">
            <v>139</v>
          </cell>
          <cell r="Q45">
            <v>9.5315169999999998E-3</v>
          </cell>
          <cell r="R45">
            <v>3.040553923</v>
          </cell>
          <cell r="S45">
            <v>2.4686629029999998</v>
          </cell>
          <cell r="T45">
            <v>1.896771883</v>
          </cell>
          <cell r="U45">
            <v>1.324880863</v>
          </cell>
        </row>
        <row r="46">
          <cell r="B46" t="str">
            <v>Cayman Islands</v>
          </cell>
          <cell r="C46" t="str">
            <v>Latin America</v>
          </cell>
          <cell r="D46" t="str">
            <v>N</v>
          </cell>
          <cell r="E46" t="str">
            <v>USD</v>
          </cell>
          <cell r="F46">
            <v>13.99</v>
          </cell>
          <cell r="G46">
            <v>2.99</v>
          </cell>
          <cell r="H46">
            <v>2.99</v>
          </cell>
          <cell r="I46">
            <v>1.99</v>
          </cell>
          <cell r="J46">
            <v>0.99</v>
          </cell>
          <cell r="K46" t="str">
            <v>USD</v>
          </cell>
          <cell r="L46">
            <v>11.99</v>
          </cell>
          <cell r="M46">
            <v>4.99</v>
          </cell>
          <cell r="N46">
            <v>3.99</v>
          </cell>
          <cell r="O46">
            <v>2.99</v>
          </cell>
          <cell r="P46">
            <v>1.99</v>
          </cell>
          <cell r="Q46">
            <v>1</v>
          </cell>
          <cell r="R46">
            <v>4.99</v>
          </cell>
          <cell r="S46">
            <v>3.99</v>
          </cell>
          <cell r="T46">
            <v>2.99</v>
          </cell>
          <cell r="U46">
            <v>1.99</v>
          </cell>
        </row>
        <row r="47">
          <cell r="B47" t="str">
            <v>Central African Republic</v>
          </cell>
          <cell r="C47" t="str">
            <v>Africa</v>
          </cell>
          <cell r="D47" t="str">
            <v>N</v>
          </cell>
          <cell r="E47" t="str">
            <v>XAF</v>
          </cell>
          <cell r="F47">
            <v>5500</v>
          </cell>
          <cell r="G47">
            <v>580</v>
          </cell>
          <cell r="H47">
            <v>580</v>
          </cell>
          <cell r="I47">
            <v>580</v>
          </cell>
          <cell r="J47">
            <v>580</v>
          </cell>
          <cell r="K47" t="str">
            <v>XAF</v>
          </cell>
          <cell r="L47">
            <v>5500</v>
          </cell>
          <cell r="M47">
            <v>2000</v>
          </cell>
          <cell r="N47">
            <v>1600</v>
          </cell>
          <cell r="O47">
            <v>1200</v>
          </cell>
          <cell r="P47">
            <v>800</v>
          </cell>
          <cell r="Q47">
            <v>1.6072699E-3</v>
          </cell>
          <cell r="R47">
            <v>3.2145397999999998</v>
          </cell>
          <cell r="S47">
            <v>2.5716318400000002</v>
          </cell>
          <cell r="T47">
            <v>1.9287238799999999</v>
          </cell>
          <cell r="U47">
            <v>1.2858159200000001</v>
          </cell>
        </row>
        <row r="48">
          <cell r="B48" t="str">
            <v>Chad</v>
          </cell>
          <cell r="C48" t="str">
            <v>Africa</v>
          </cell>
          <cell r="D48" t="str">
            <v>N</v>
          </cell>
          <cell r="E48" t="str">
            <v>XAF</v>
          </cell>
          <cell r="F48">
            <v>6400</v>
          </cell>
          <cell r="G48">
            <v>580</v>
          </cell>
          <cell r="H48">
            <v>580</v>
          </cell>
          <cell r="I48">
            <v>580</v>
          </cell>
          <cell r="J48">
            <v>580</v>
          </cell>
          <cell r="K48" t="str">
            <v>XAF</v>
          </cell>
          <cell r="L48">
            <v>5400</v>
          </cell>
          <cell r="M48">
            <v>2000</v>
          </cell>
          <cell r="N48">
            <v>1600</v>
          </cell>
          <cell r="O48">
            <v>1200</v>
          </cell>
          <cell r="P48">
            <v>800</v>
          </cell>
          <cell r="Q48">
            <v>1.6072699E-3</v>
          </cell>
          <cell r="R48">
            <v>3.2145397999999998</v>
          </cell>
          <cell r="S48">
            <v>2.5716318400000002</v>
          </cell>
          <cell r="T48">
            <v>1.9287238799999999</v>
          </cell>
          <cell r="U48">
            <v>1.2858159200000001</v>
          </cell>
        </row>
        <row r="49">
          <cell r="B49" t="str">
            <v>Chile</v>
          </cell>
          <cell r="C49" t="str">
            <v>Latin America</v>
          </cell>
          <cell r="D49" t="str">
            <v>Y</v>
          </cell>
          <cell r="E49" t="str">
            <v>CLP</v>
          </cell>
          <cell r="F49">
            <v>11800</v>
          </cell>
          <cell r="G49">
            <v>2800</v>
          </cell>
          <cell r="H49">
            <v>2100</v>
          </cell>
          <cell r="I49">
            <v>1400</v>
          </cell>
          <cell r="J49">
            <v>690</v>
          </cell>
          <cell r="K49" t="str">
            <v>CLP</v>
          </cell>
          <cell r="L49">
            <v>11800</v>
          </cell>
          <cell r="M49">
            <v>3900</v>
          </cell>
          <cell r="N49">
            <v>3500</v>
          </cell>
          <cell r="O49">
            <v>2500</v>
          </cell>
          <cell r="P49">
            <v>1900</v>
          </cell>
          <cell r="Q49">
            <v>1.1496894999999999E-3</v>
          </cell>
          <cell r="R49">
            <v>4.4837890499999995</v>
          </cell>
          <cell r="S49">
            <v>4.0239132499999997</v>
          </cell>
          <cell r="T49">
            <v>2.8742237499999996</v>
          </cell>
          <cell r="U49">
            <v>2.1844100499999999</v>
          </cell>
        </row>
        <row r="50">
          <cell r="B50" t="str">
            <v>Christmas Island</v>
          </cell>
          <cell r="C50" t="str">
            <v>Asia</v>
          </cell>
          <cell r="D50" t="str">
            <v>N</v>
          </cell>
          <cell r="E50" t="str">
            <v>AUD</v>
          </cell>
          <cell r="F50">
            <v>19.989999999999998</v>
          </cell>
          <cell r="G50">
            <v>3.99</v>
          </cell>
          <cell r="H50">
            <v>3.99</v>
          </cell>
          <cell r="I50">
            <v>2.99</v>
          </cell>
          <cell r="J50">
            <v>0.99</v>
          </cell>
          <cell r="K50" t="str">
            <v>AUD</v>
          </cell>
          <cell r="L50">
            <v>12.99</v>
          </cell>
          <cell r="M50">
            <v>4.99</v>
          </cell>
          <cell r="N50">
            <v>3.99</v>
          </cell>
          <cell r="O50">
            <v>2.99</v>
          </cell>
          <cell r="P50">
            <v>1.9900000000000002</v>
          </cell>
          <cell r="Q50">
            <v>0.69404995000000003</v>
          </cell>
          <cell r="R50">
            <v>3.4633092505000005</v>
          </cell>
          <cell r="S50">
            <v>2.7692593005000004</v>
          </cell>
          <cell r="T50">
            <v>2.0752093505000002</v>
          </cell>
          <cell r="U50">
            <v>1.3811594005000003</v>
          </cell>
        </row>
        <row r="51">
          <cell r="B51" t="str">
            <v>Cocos (Keeling) Island</v>
          </cell>
          <cell r="C51" t="str">
            <v>Asia</v>
          </cell>
          <cell r="D51" t="str">
            <v>N</v>
          </cell>
          <cell r="E51" t="str">
            <v>AUD</v>
          </cell>
          <cell r="F51">
            <v>19.989999999999998</v>
          </cell>
          <cell r="G51">
            <v>3.99</v>
          </cell>
          <cell r="H51">
            <v>3.99</v>
          </cell>
          <cell r="I51">
            <v>2.99</v>
          </cell>
          <cell r="J51">
            <v>0.99</v>
          </cell>
          <cell r="K51" t="str">
            <v>AUD</v>
          </cell>
          <cell r="L51">
            <v>19.989999999999998</v>
          </cell>
          <cell r="M51">
            <v>6.99</v>
          </cell>
          <cell r="N51">
            <v>6.99</v>
          </cell>
          <cell r="O51">
            <v>3.99</v>
          </cell>
          <cell r="P51">
            <v>3.99</v>
          </cell>
          <cell r="Q51">
            <v>0.69404995000000003</v>
          </cell>
          <cell r="R51">
            <v>4.8514091505000003</v>
          </cell>
          <cell r="S51">
            <v>4.8514091505000003</v>
          </cell>
          <cell r="T51">
            <v>2.7692593005000004</v>
          </cell>
          <cell r="U51">
            <v>2.7692593005000004</v>
          </cell>
        </row>
        <row r="52">
          <cell r="B52" t="str">
            <v>Colombia</v>
          </cell>
          <cell r="C52" t="str">
            <v>Latin America</v>
          </cell>
          <cell r="D52" t="str">
            <v>Y</v>
          </cell>
          <cell r="E52" t="str">
            <v>COP</v>
          </cell>
          <cell r="F52">
            <v>45700</v>
          </cell>
          <cell r="G52">
            <v>9800</v>
          </cell>
          <cell r="H52">
            <v>9800</v>
          </cell>
          <cell r="I52">
            <v>6500</v>
          </cell>
          <cell r="J52">
            <v>3200</v>
          </cell>
          <cell r="K52" t="str">
            <v>COP</v>
          </cell>
          <cell r="L52">
            <v>37700</v>
          </cell>
          <cell r="M52">
            <v>17900</v>
          </cell>
          <cell r="N52">
            <v>17900</v>
          </cell>
          <cell r="O52">
            <v>8900</v>
          </cell>
          <cell r="P52">
            <v>8900</v>
          </cell>
          <cell r="Q52">
            <v>2.4431897000000001E-4</v>
          </cell>
          <cell r="R52">
            <v>4.3733095630000003</v>
          </cell>
          <cell r="S52">
            <v>4.3733095630000003</v>
          </cell>
          <cell r="T52">
            <v>2.174438833</v>
          </cell>
          <cell r="U52">
            <v>2.174438833</v>
          </cell>
        </row>
        <row r="53">
          <cell r="B53" t="str">
            <v>Comoros</v>
          </cell>
          <cell r="C53" t="str">
            <v>Africa</v>
          </cell>
          <cell r="D53" t="str">
            <v>N</v>
          </cell>
          <cell r="E53" t="str">
            <v>KMF</v>
          </cell>
          <cell r="F53">
            <v>4800</v>
          </cell>
          <cell r="G53">
            <v>430</v>
          </cell>
          <cell r="H53">
            <v>430</v>
          </cell>
          <cell r="I53">
            <v>430</v>
          </cell>
          <cell r="J53">
            <v>430</v>
          </cell>
          <cell r="K53" t="str">
            <v>KMF</v>
          </cell>
          <cell r="L53">
            <v>4100</v>
          </cell>
          <cell r="M53">
            <v>1400</v>
          </cell>
          <cell r="N53">
            <v>1150</v>
          </cell>
          <cell r="O53">
            <v>900</v>
          </cell>
          <cell r="P53">
            <v>650</v>
          </cell>
          <cell r="Q53">
            <v>2.1430265999999999E-3</v>
          </cell>
          <cell r="R53">
            <v>3.0002372399999997</v>
          </cell>
          <cell r="S53">
            <v>2.46448059</v>
          </cell>
          <cell r="T53">
            <v>1.9287239399999998</v>
          </cell>
          <cell r="U53">
            <v>1.3929672899999999</v>
          </cell>
        </row>
        <row r="54">
          <cell r="B54" t="str">
            <v>Congo</v>
          </cell>
          <cell r="C54" t="str">
            <v>Africa</v>
          </cell>
          <cell r="D54" t="str">
            <v>N</v>
          </cell>
          <cell r="E54" t="str">
            <v>XAF</v>
          </cell>
          <cell r="F54">
            <v>6400</v>
          </cell>
          <cell r="G54">
            <v>580</v>
          </cell>
          <cell r="H54">
            <v>580</v>
          </cell>
          <cell r="I54">
            <v>580</v>
          </cell>
          <cell r="J54">
            <v>580</v>
          </cell>
          <cell r="K54" t="str">
            <v>XAF</v>
          </cell>
          <cell r="L54">
            <v>5400</v>
          </cell>
          <cell r="M54">
            <v>2000</v>
          </cell>
          <cell r="N54">
            <v>1600</v>
          </cell>
          <cell r="O54">
            <v>1200</v>
          </cell>
          <cell r="P54">
            <v>800</v>
          </cell>
          <cell r="Q54">
            <v>1.6072699E-3</v>
          </cell>
          <cell r="R54">
            <v>3.2145397999999998</v>
          </cell>
          <cell r="S54">
            <v>2.5716318400000002</v>
          </cell>
          <cell r="T54">
            <v>1.9287238799999999</v>
          </cell>
          <cell r="U54">
            <v>1.2858159200000001</v>
          </cell>
        </row>
        <row r="55">
          <cell r="B55" t="str">
            <v>Cook Islands</v>
          </cell>
          <cell r="C55" t="str">
            <v>Asia</v>
          </cell>
          <cell r="D55" t="str">
            <v>N</v>
          </cell>
          <cell r="E55" t="str">
            <v>NZD</v>
          </cell>
          <cell r="F55">
            <v>20.99</v>
          </cell>
          <cell r="G55">
            <v>4.99</v>
          </cell>
          <cell r="H55">
            <v>4.99</v>
          </cell>
          <cell r="I55">
            <v>2.99</v>
          </cell>
          <cell r="J55">
            <v>1.99</v>
          </cell>
          <cell r="K55" t="str">
            <v>NZD</v>
          </cell>
          <cell r="L55">
            <v>24.99</v>
          </cell>
          <cell r="M55">
            <v>8.99</v>
          </cell>
          <cell r="N55">
            <v>7.49</v>
          </cell>
          <cell r="O55">
            <v>5.99</v>
          </cell>
          <cell r="P55">
            <v>4.49</v>
          </cell>
          <cell r="Q55">
            <v>0.62934999999999997</v>
          </cell>
          <cell r="R55">
            <v>5.6578564999999994</v>
          </cell>
          <cell r="S55">
            <v>4.7138314999999995</v>
          </cell>
          <cell r="T55">
            <v>3.7698065000000001</v>
          </cell>
          <cell r="U55">
            <v>2.8257815000000002</v>
          </cell>
        </row>
        <row r="56">
          <cell r="B56" t="str">
            <v>Costa Rica</v>
          </cell>
          <cell r="C56" t="str">
            <v>Latin America</v>
          </cell>
          <cell r="D56" t="str">
            <v>Y</v>
          </cell>
          <cell r="E56" t="str">
            <v>CRC</v>
          </cell>
          <cell r="F56">
            <v>10000</v>
          </cell>
          <cell r="G56">
            <v>2400</v>
          </cell>
          <cell r="H56">
            <v>1800</v>
          </cell>
          <cell r="I56">
            <v>1200</v>
          </cell>
          <cell r="J56">
            <v>579.99</v>
          </cell>
          <cell r="K56" t="str">
            <v>CRC</v>
          </cell>
          <cell r="L56">
            <v>10000</v>
          </cell>
          <cell r="M56">
            <v>3500</v>
          </cell>
          <cell r="N56">
            <v>2800</v>
          </cell>
          <cell r="O56">
            <v>2100</v>
          </cell>
          <cell r="P56">
            <v>1400</v>
          </cell>
          <cell r="Q56">
            <v>1.4946790000000001E-3</v>
          </cell>
          <cell r="R56">
            <v>5.2313765000000005</v>
          </cell>
          <cell r="S56">
            <v>4.1851012000000001</v>
          </cell>
          <cell r="T56">
            <v>3.1388259000000001</v>
          </cell>
          <cell r="U56">
            <v>2.0925506</v>
          </cell>
        </row>
        <row r="57">
          <cell r="B57" t="str">
            <v>Cote D'Ivoire</v>
          </cell>
          <cell r="C57" t="str">
            <v>Africa</v>
          </cell>
          <cell r="D57" t="str">
            <v>N</v>
          </cell>
          <cell r="E57" t="str">
            <v>XOF</v>
          </cell>
          <cell r="F57">
            <v>5500</v>
          </cell>
          <cell r="G57">
            <v>580</v>
          </cell>
          <cell r="H57">
            <v>580</v>
          </cell>
          <cell r="I57">
            <v>580</v>
          </cell>
          <cell r="J57">
            <v>580</v>
          </cell>
          <cell r="K57" t="str">
            <v>XOF</v>
          </cell>
          <cell r="L57">
            <v>5500</v>
          </cell>
          <cell r="M57">
            <v>2000</v>
          </cell>
          <cell r="N57">
            <v>1600</v>
          </cell>
          <cell r="O57">
            <v>1200</v>
          </cell>
          <cell r="P57">
            <v>800</v>
          </cell>
          <cell r="Q57">
            <v>1.6072699E-3</v>
          </cell>
          <cell r="R57">
            <v>3.2145397999999998</v>
          </cell>
          <cell r="S57">
            <v>2.5716318400000002</v>
          </cell>
          <cell r="T57">
            <v>1.9287238799999999</v>
          </cell>
          <cell r="U57">
            <v>1.2858159200000001</v>
          </cell>
        </row>
        <row r="58">
          <cell r="B58" t="str">
            <v>Croatia</v>
          </cell>
          <cell r="C58" t="str">
            <v>Europe</v>
          </cell>
          <cell r="D58" t="str">
            <v>N</v>
          </cell>
          <cell r="E58" t="str">
            <v>HRK</v>
          </cell>
          <cell r="F58">
            <v>129.99</v>
          </cell>
          <cell r="G58">
            <v>32.99</v>
          </cell>
          <cell r="H58">
            <v>25.99</v>
          </cell>
          <cell r="I58">
            <v>19.989999999999998</v>
          </cell>
          <cell r="J58">
            <v>12.99</v>
          </cell>
          <cell r="K58" t="str">
            <v>EUR</v>
          </cell>
          <cell r="L58">
            <v>9.99</v>
          </cell>
          <cell r="M58">
            <v>3.99</v>
          </cell>
          <cell r="N58">
            <v>3.99</v>
          </cell>
          <cell r="O58">
            <v>1.99</v>
          </cell>
          <cell r="P58">
            <v>1.99</v>
          </cell>
          <cell r="Q58">
            <v>1.0543</v>
          </cell>
          <cell r="R58">
            <v>4.2066569999999999</v>
          </cell>
          <cell r="S58">
            <v>4.2066569999999999</v>
          </cell>
          <cell r="T58">
            <v>2.0980569999999998</v>
          </cell>
          <cell r="U58">
            <v>2.0980569999999998</v>
          </cell>
        </row>
        <row r="59">
          <cell r="B59" t="str">
            <v>Curacao</v>
          </cell>
          <cell r="C59" t="str">
            <v>Latin America</v>
          </cell>
          <cell r="D59" t="str">
            <v>N</v>
          </cell>
          <cell r="E59" t="str">
            <v>ANG</v>
          </cell>
          <cell r="F59">
            <v>24.99</v>
          </cell>
          <cell r="G59">
            <v>4.99</v>
          </cell>
          <cell r="H59">
            <v>4.99</v>
          </cell>
          <cell r="I59">
            <v>3.99</v>
          </cell>
          <cell r="J59">
            <v>1.99</v>
          </cell>
          <cell r="K59" t="str">
            <v>ANG</v>
          </cell>
          <cell r="L59">
            <v>20.99</v>
          </cell>
          <cell r="M59">
            <v>6.99</v>
          </cell>
          <cell r="N59">
            <v>6.99</v>
          </cell>
          <cell r="O59">
            <v>3.99</v>
          </cell>
          <cell r="P59">
            <v>3.99</v>
          </cell>
          <cell r="Q59">
            <v>0.55865925999999999</v>
          </cell>
          <cell r="R59">
            <v>3.9050282273999999</v>
          </cell>
          <cell r="S59">
            <v>3.9050282273999999</v>
          </cell>
          <cell r="T59">
            <v>2.2290504474000001</v>
          </cell>
          <cell r="U59">
            <v>2.2290504474000001</v>
          </cell>
        </row>
        <row r="60">
          <cell r="B60" t="str">
            <v>Cyprus</v>
          </cell>
          <cell r="C60" t="str">
            <v>Europe</v>
          </cell>
          <cell r="D60" t="str">
            <v>N</v>
          </cell>
          <cell r="E60" t="str">
            <v>EUR</v>
          </cell>
          <cell r="F60">
            <v>11.99</v>
          </cell>
          <cell r="G60">
            <v>2.99</v>
          </cell>
          <cell r="H60">
            <v>2.99</v>
          </cell>
          <cell r="I60">
            <v>1.99</v>
          </cell>
          <cell r="J60">
            <v>0.99</v>
          </cell>
          <cell r="K60" t="str">
            <v>EUR</v>
          </cell>
          <cell r="L60">
            <v>9.99</v>
          </cell>
          <cell r="M60">
            <v>3.99</v>
          </cell>
          <cell r="N60">
            <v>3.99</v>
          </cell>
          <cell r="O60">
            <v>1.99</v>
          </cell>
          <cell r="P60">
            <v>1.99</v>
          </cell>
          <cell r="Q60">
            <v>1.0543</v>
          </cell>
          <cell r="R60">
            <v>4.2066569999999999</v>
          </cell>
          <cell r="S60">
            <v>4.2066569999999999</v>
          </cell>
          <cell r="T60">
            <v>2.0980569999999998</v>
          </cell>
          <cell r="U60">
            <v>2.0980569999999998</v>
          </cell>
        </row>
        <row r="61">
          <cell r="B61" t="str">
            <v>Czech Republic</v>
          </cell>
          <cell r="C61" t="str">
            <v>Europe</v>
          </cell>
          <cell r="D61" t="str">
            <v>N</v>
          </cell>
          <cell r="E61" t="str">
            <v>CZK</v>
          </cell>
          <cell r="F61">
            <v>449.99</v>
          </cell>
          <cell r="G61">
            <v>109.99</v>
          </cell>
          <cell r="H61">
            <v>89.99</v>
          </cell>
          <cell r="I61">
            <v>67.989999999999995</v>
          </cell>
          <cell r="J61">
            <v>44.99</v>
          </cell>
          <cell r="K61" t="str">
            <v>CZK</v>
          </cell>
          <cell r="L61">
            <v>399.99</v>
          </cell>
          <cell r="M61">
            <v>149</v>
          </cell>
          <cell r="N61">
            <v>149</v>
          </cell>
          <cell r="O61">
            <v>79</v>
          </cell>
          <cell r="P61">
            <v>79</v>
          </cell>
          <cell r="Q61">
            <v>4.2116433000000002E-2</v>
          </cell>
          <cell r="R61">
            <v>6.2753485170000003</v>
          </cell>
          <cell r="S61">
            <v>6.2753485170000003</v>
          </cell>
          <cell r="T61">
            <v>3.3271982070000004</v>
          </cell>
          <cell r="U61">
            <v>3.3271982070000004</v>
          </cell>
        </row>
        <row r="62">
          <cell r="B62" t="str">
            <v>Democratic Republic of Congo</v>
          </cell>
          <cell r="C62" t="str">
            <v>Africa</v>
          </cell>
          <cell r="D62" t="str">
            <v>N</v>
          </cell>
          <cell r="E62" t="str">
            <v>CDF</v>
          </cell>
          <cell r="F62">
            <v>17800</v>
          </cell>
          <cell r="G62">
            <v>1900</v>
          </cell>
          <cell r="H62">
            <v>1900</v>
          </cell>
          <cell r="I62">
            <v>1900</v>
          </cell>
          <cell r="J62">
            <v>1900</v>
          </cell>
          <cell r="K62" t="str">
            <v>USD</v>
          </cell>
          <cell r="L62">
            <v>8.99</v>
          </cell>
          <cell r="M62">
            <v>2.99</v>
          </cell>
          <cell r="N62">
            <v>2.4900000000000002</v>
          </cell>
          <cell r="O62">
            <v>1.9900000000000002</v>
          </cell>
          <cell r="P62">
            <v>1.4900000000000002</v>
          </cell>
          <cell r="Q62">
            <v>1</v>
          </cell>
          <cell r="R62">
            <v>2.99</v>
          </cell>
          <cell r="S62">
            <v>2.4900000000000002</v>
          </cell>
          <cell r="T62">
            <v>1.9900000000000002</v>
          </cell>
          <cell r="U62">
            <v>1.4900000000000002</v>
          </cell>
        </row>
        <row r="63">
          <cell r="B63" t="str">
            <v>Denmark</v>
          </cell>
          <cell r="C63" t="str">
            <v>Europe</v>
          </cell>
          <cell r="D63" t="str">
            <v>Y</v>
          </cell>
          <cell r="E63" t="str">
            <v>DKK</v>
          </cell>
          <cell r="F63">
            <v>189.99</v>
          </cell>
          <cell r="G63">
            <v>45.99</v>
          </cell>
          <cell r="H63">
            <v>45.99</v>
          </cell>
          <cell r="I63">
            <v>45.99</v>
          </cell>
          <cell r="J63">
            <v>45.99</v>
          </cell>
          <cell r="K63" t="str">
            <v>DKK</v>
          </cell>
          <cell r="L63">
            <v>139.99</v>
          </cell>
          <cell r="M63">
            <v>49</v>
          </cell>
          <cell r="N63">
            <v>49</v>
          </cell>
          <cell r="O63">
            <v>25</v>
          </cell>
          <cell r="P63">
            <v>25</v>
          </cell>
          <cell r="Q63">
            <v>0.14173137999999999</v>
          </cell>
          <cell r="R63">
            <v>6.9448376199999995</v>
          </cell>
          <cell r="S63">
            <v>6.9448376199999995</v>
          </cell>
          <cell r="T63">
            <v>3.5432844999999999</v>
          </cell>
          <cell r="U63">
            <v>3.5432844999999999</v>
          </cell>
        </row>
        <row r="64">
          <cell r="B64" t="str">
            <v>Djibouti</v>
          </cell>
          <cell r="C64" t="str">
            <v>Africa</v>
          </cell>
          <cell r="D64" t="str">
            <v>N</v>
          </cell>
          <cell r="E64" t="str">
            <v>DJF</v>
          </cell>
          <cell r="F64">
            <v>2000</v>
          </cell>
          <cell r="G64">
            <v>180</v>
          </cell>
          <cell r="H64">
            <v>180</v>
          </cell>
          <cell r="I64">
            <v>180</v>
          </cell>
          <cell r="J64">
            <v>180</v>
          </cell>
          <cell r="K64" t="str">
            <v>DJF</v>
          </cell>
          <cell r="L64">
            <v>1300</v>
          </cell>
          <cell r="M64">
            <v>500</v>
          </cell>
          <cell r="N64">
            <v>400</v>
          </cell>
          <cell r="O64">
            <v>300</v>
          </cell>
          <cell r="P64">
            <v>200</v>
          </cell>
          <cell r="Q64">
            <v>5.6051915000000004E-3</v>
          </cell>
          <cell r="R64">
            <v>2.8025957500000001</v>
          </cell>
          <cell r="S64">
            <v>2.2420766000000003</v>
          </cell>
          <cell r="T64">
            <v>1.6815574500000001</v>
          </cell>
          <cell r="U64">
            <v>1.1210383000000002</v>
          </cell>
        </row>
        <row r="65">
          <cell r="B65" t="str">
            <v>Dominica</v>
          </cell>
          <cell r="C65" t="str">
            <v>Latin America</v>
          </cell>
          <cell r="D65" t="str">
            <v>N</v>
          </cell>
          <cell r="E65" t="str">
            <v>XCD</v>
          </cell>
          <cell r="F65">
            <v>37.99</v>
          </cell>
          <cell r="G65">
            <v>7.99</v>
          </cell>
          <cell r="H65">
            <v>7.99</v>
          </cell>
          <cell r="I65">
            <v>4.99</v>
          </cell>
          <cell r="J65">
            <v>2.99</v>
          </cell>
          <cell r="K65" t="str">
            <v>XCD</v>
          </cell>
          <cell r="L65">
            <v>37.99</v>
          </cell>
          <cell r="M65">
            <v>12.99</v>
          </cell>
          <cell r="N65">
            <v>10.49</v>
          </cell>
          <cell r="O65">
            <v>7.99</v>
          </cell>
          <cell r="P65">
            <v>5.49</v>
          </cell>
          <cell r="Q65">
            <v>0.37037036000000001</v>
          </cell>
          <cell r="R65">
            <v>4.8111109764000002</v>
          </cell>
          <cell r="S65">
            <v>3.8851850764</v>
          </cell>
          <cell r="T65">
            <v>2.9592591764000002</v>
          </cell>
          <cell r="U65">
            <v>2.0333332764000001</v>
          </cell>
        </row>
        <row r="66">
          <cell r="B66" t="str">
            <v>Dominican Republic</v>
          </cell>
          <cell r="C66" t="str">
            <v>Latin America</v>
          </cell>
          <cell r="D66" t="str">
            <v>Y</v>
          </cell>
          <cell r="E66" t="str">
            <v>DOP</v>
          </cell>
          <cell r="F66">
            <v>869.99</v>
          </cell>
          <cell r="G66">
            <v>199.99</v>
          </cell>
          <cell r="H66">
            <v>149.99</v>
          </cell>
          <cell r="I66">
            <v>99.99</v>
          </cell>
          <cell r="J66">
            <v>50.99</v>
          </cell>
          <cell r="K66" t="str">
            <v>DOP</v>
          </cell>
          <cell r="L66">
            <v>869.99</v>
          </cell>
          <cell r="M66">
            <v>299.99</v>
          </cell>
          <cell r="N66">
            <v>249.99</v>
          </cell>
          <cell r="O66">
            <v>199.99</v>
          </cell>
          <cell r="P66">
            <v>149.99</v>
          </cell>
          <cell r="Q66">
            <v>1.8132366E-2</v>
          </cell>
          <cell r="R66">
            <v>5.4395284763400005</v>
          </cell>
          <cell r="S66">
            <v>4.5329101763400006</v>
          </cell>
          <cell r="T66">
            <v>3.6262918763400003</v>
          </cell>
          <cell r="U66">
            <v>2.7196735763400004</v>
          </cell>
        </row>
        <row r="67">
          <cell r="B67" t="str">
            <v>Ecuador</v>
          </cell>
          <cell r="C67" t="str">
            <v>Latin America</v>
          </cell>
          <cell r="D67" t="str">
            <v>N</v>
          </cell>
          <cell r="E67" t="str">
            <v>USD</v>
          </cell>
          <cell r="F67">
            <v>13.99</v>
          </cell>
          <cell r="G67">
            <v>2.99</v>
          </cell>
          <cell r="H67">
            <v>2.99</v>
          </cell>
          <cell r="I67">
            <v>1.99</v>
          </cell>
          <cell r="J67">
            <v>0.99</v>
          </cell>
          <cell r="K67" t="str">
            <v>USD</v>
          </cell>
          <cell r="L67">
            <v>11.99</v>
          </cell>
          <cell r="M67">
            <v>4.99</v>
          </cell>
          <cell r="N67">
            <v>3.99</v>
          </cell>
          <cell r="O67">
            <v>2.99</v>
          </cell>
          <cell r="P67">
            <v>1.99</v>
          </cell>
          <cell r="Q67">
            <v>1</v>
          </cell>
          <cell r="R67">
            <v>4.99</v>
          </cell>
          <cell r="S67">
            <v>3.99</v>
          </cell>
          <cell r="T67">
            <v>2.99</v>
          </cell>
          <cell r="U67">
            <v>1.99</v>
          </cell>
        </row>
        <row r="68">
          <cell r="B68" t="str">
            <v>Egypt</v>
          </cell>
          <cell r="C68" t="str">
            <v>Africa</v>
          </cell>
          <cell r="D68" t="str">
            <v>N</v>
          </cell>
          <cell r="E68" t="str">
            <v>EGP</v>
          </cell>
          <cell r="F68">
            <v>179.99</v>
          </cell>
          <cell r="G68">
            <v>16.989999999999998</v>
          </cell>
          <cell r="H68">
            <v>16.989999999999998</v>
          </cell>
          <cell r="I68">
            <v>16.989999999999998</v>
          </cell>
          <cell r="J68">
            <v>16.989999999999998</v>
          </cell>
          <cell r="K68" t="str">
            <v>EGP</v>
          </cell>
          <cell r="L68">
            <v>160</v>
          </cell>
          <cell r="M68">
            <v>64.989999999999995</v>
          </cell>
          <cell r="N68">
            <v>64.989999999999995</v>
          </cell>
          <cell r="O68">
            <v>32.99</v>
          </cell>
          <cell r="P68">
            <v>32.99</v>
          </cell>
          <cell r="Q68">
            <v>5.4112554E-2</v>
          </cell>
          <cell r="R68">
            <v>3.5167748844599998</v>
          </cell>
          <cell r="S68">
            <v>3.5167748844599998</v>
          </cell>
          <cell r="T68">
            <v>1.7851731564600002</v>
          </cell>
          <cell r="U68">
            <v>1.7851731564600002</v>
          </cell>
        </row>
        <row r="69">
          <cell r="B69" t="str">
            <v>El Salvador</v>
          </cell>
          <cell r="C69" t="str">
            <v>Latin America</v>
          </cell>
          <cell r="D69" t="str">
            <v>N</v>
          </cell>
          <cell r="E69" t="str">
            <v>USD</v>
          </cell>
          <cell r="F69">
            <v>10.99</v>
          </cell>
          <cell r="G69">
            <v>0.99</v>
          </cell>
          <cell r="H69">
            <v>0.99</v>
          </cell>
          <cell r="I69">
            <v>0.99</v>
          </cell>
          <cell r="J69">
            <v>0.99</v>
          </cell>
          <cell r="K69" t="str">
            <v>USD</v>
          </cell>
          <cell r="L69">
            <v>10.99</v>
          </cell>
          <cell r="M69">
            <v>4.99</v>
          </cell>
          <cell r="N69">
            <v>3.99</v>
          </cell>
          <cell r="O69">
            <v>2.99</v>
          </cell>
          <cell r="P69">
            <v>1.99</v>
          </cell>
          <cell r="Q69">
            <v>1</v>
          </cell>
          <cell r="R69">
            <v>4.99</v>
          </cell>
          <cell r="S69">
            <v>3.99</v>
          </cell>
          <cell r="T69">
            <v>2.99</v>
          </cell>
          <cell r="U69">
            <v>1.99</v>
          </cell>
        </row>
        <row r="70">
          <cell r="B70" t="str">
            <v>Equatorial Guinea</v>
          </cell>
          <cell r="C70" t="str">
            <v>Africa</v>
          </cell>
          <cell r="D70" t="str">
            <v>N</v>
          </cell>
          <cell r="E70" t="str">
            <v>XAF</v>
          </cell>
          <cell r="F70">
            <v>6400</v>
          </cell>
          <cell r="G70">
            <v>580</v>
          </cell>
          <cell r="H70">
            <v>580</v>
          </cell>
          <cell r="I70">
            <v>580</v>
          </cell>
          <cell r="J70">
            <v>580</v>
          </cell>
          <cell r="K70" t="str">
            <v>XAF</v>
          </cell>
          <cell r="L70">
            <v>4200</v>
          </cell>
          <cell r="M70">
            <v>1700</v>
          </cell>
          <cell r="N70">
            <v>1400</v>
          </cell>
          <cell r="O70">
            <v>1100</v>
          </cell>
          <cell r="P70">
            <v>800</v>
          </cell>
          <cell r="Q70">
            <v>1.6072699E-3</v>
          </cell>
          <cell r="R70">
            <v>2.7323588299999999</v>
          </cell>
          <cell r="S70">
            <v>2.25017786</v>
          </cell>
          <cell r="T70">
            <v>1.76799689</v>
          </cell>
          <cell r="U70">
            <v>1.2858159200000001</v>
          </cell>
        </row>
        <row r="71">
          <cell r="B71" t="str">
            <v>Eritrea</v>
          </cell>
          <cell r="C71" t="str">
            <v>Africa</v>
          </cell>
          <cell r="D71" t="str">
            <v>N</v>
          </cell>
          <cell r="E71" t="str">
            <v>USD</v>
          </cell>
          <cell r="F71">
            <v>10.99</v>
          </cell>
          <cell r="G71">
            <v>0.99</v>
          </cell>
          <cell r="H71">
            <v>0.99</v>
          </cell>
          <cell r="I71">
            <v>0.99</v>
          </cell>
          <cell r="J71">
            <v>0.99</v>
          </cell>
          <cell r="K71" t="str">
            <v>USD</v>
          </cell>
          <cell r="L71">
            <v>8.99</v>
          </cell>
          <cell r="M71">
            <v>2.99</v>
          </cell>
          <cell r="N71">
            <v>2.4900000000000002</v>
          </cell>
          <cell r="O71">
            <v>1.9900000000000002</v>
          </cell>
          <cell r="P71">
            <v>1.4900000000000002</v>
          </cell>
          <cell r="Q71">
            <v>1</v>
          </cell>
          <cell r="R71">
            <v>2.99</v>
          </cell>
          <cell r="S71">
            <v>2.4900000000000002</v>
          </cell>
          <cell r="T71">
            <v>1.9900000000000002</v>
          </cell>
          <cell r="U71">
            <v>1.4900000000000002</v>
          </cell>
        </row>
        <row r="72">
          <cell r="B72" t="str">
            <v>Estonia</v>
          </cell>
          <cell r="C72" t="str">
            <v>Europe</v>
          </cell>
          <cell r="D72" t="str">
            <v>N</v>
          </cell>
          <cell r="E72" t="str">
            <v>EUR</v>
          </cell>
          <cell r="F72">
            <v>11.99</v>
          </cell>
          <cell r="G72">
            <v>2.99</v>
          </cell>
          <cell r="H72">
            <v>2.99</v>
          </cell>
          <cell r="I72">
            <v>1.99</v>
          </cell>
          <cell r="J72">
            <v>0.99</v>
          </cell>
          <cell r="K72" t="str">
            <v>EUR</v>
          </cell>
          <cell r="L72">
            <v>11.99</v>
          </cell>
          <cell r="M72">
            <v>4.99</v>
          </cell>
          <cell r="N72">
            <v>3.99</v>
          </cell>
          <cell r="O72">
            <v>2.99</v>
          </cell>
          <cell r="P72">
            <v>1.99</v>
          </cell>
          <cell r="Q72">
            <v>1.0543</v>
          </cell>
          <cell r="R72">
            <v>5.2609570000000003</v>
          </cell>
          <cell r="S72">
            <v>4.2066569999999999</v>
          </cell>
          <cell r="T72">
            <v>3.1523570000000003</v>
          </cell>
          <cell r="U72">
            <v>2.0980569999999998</v>
          </cell>
        </row>
        <row r="73">
          <cell r="B73" t="str">
            <v>eSwatini</v>
          </cell>
          <cell r="C73" t="str">
            <v>Africa</v>
          </cell>
          <cell r="D73" t="str">
            <v>N</v>
          </cell>
          <cell r="E73" t="str">
            <v>SZL</v>
          </cell>
          <cell r="F73">
            <v>159.99</v>
          </cell>
          <cell r="G73">
            <v>14.99</v>
          </cell>
          <cell r="H73">
            <v>14.99</v>
          </cell>
          <cell r="I73">
            <v>14.99</v>
          </cell>
          <cell r="J73">
            <v>14.99</v>
          </cell>
          <cell r="K73" t="str">
            <v>SZL</v>
          </cell>
          <cell r="L73">
            <v>159.99</v>
          </cell>
          <cell r="M73">
            <v>54.99</v>
          </cell>
          <cell r="N73">
            <v>44.99</v>
          </cell>
          <cell r="O73">
            <v>34.99</v>
          </cell>
          <cell r="P73">
            <v>24.990000000000002</v>
          </cell>
          <cell r="Q73">
            <v>6.1938680000000003E-2</v>
          </cell>
          <cell r="R73">
            <v>3.4060080132000001</v>
          </cell>
          <cell r="S73">
            <v>2.7866212132000001</v>
          </cell>
          <cell r="T73">
            <v>2.1672344132000001</v>
          </cell>
          <cell r="U73">
            <v>1.5478476132000003</v>
          </cell>
        </row>
        <row r="74">
          <cell r="B74" t="str">
            <v>Ethiopia</v>
          </cell>
          <cell r="C74" t="str">
            <v>Africa</v>
          </cell>
          <cell r="D74" t="str">
            <v>N</v>
          </cell>
          <cell r="E74" t="str">
            <v>ETB</v>
          </cell>
          <cell r="F74">
            <v>319.99</v>
          </cell>
          <cell r="G74">
            <v>28.99</v>
          </cell>
          <cell r="H74">
            <v>28.99</v>
          </cell>
          <cell r="I74">
            <v>28.99</v>
          </cell>
          <cell r="J74">
            <v>28.99</v>
          </cell>
          <cell r="K74" t="str">
            <v>ETB</v>
          </cell>
          <cell r="L74">
            <v>319.99</v>
          </cell>
          <cell r="M74">
            <v>109.99</v>
          </cell>
          <cell r="N74">
            <v>89.99</v>
          </cell>
          <cell r="O74">
            <v>69.989999999999995</v>
          </cell>
          <cell r="P74">
            <v>49.989999999999995</v>
          </cell>
          <cell r="Q74">
            <v>1.9343369999999999E-2</v>
          </cell>
          <cell r="R74">
            <v>2.1275772662999999</v>
          </cell>
          <cell r="S74">
            <v>1.7407098662999998</v>
          </cell>
          <cell r="T74">
            <v>1.3538424662999997</v>
          </cell>
          <cell r="U74">
            <v>0.96697506629999985</v>
          </cell>
        </row>
        <row r="75">
          <cell r="B75" t="str">
            <v>Falkland Islands</v>
          </cell>
          <cell r="C75" t="str">
            <v>Latin America</v>
          </cell>
          <cell r="D75" t="str">
            <v>N</v>
          </cell>
          <cell r="E75" t="str">
            <v>USD</v>
          </cell>
          <cell r="F75">
            <v>10.99</v>
          </cell>
          <cell r="G75">
            <v>0.99</v>
          </cell>
          <cell r="H75">
            <v>0.99</v>
          </cell>
          <cell r="I75">
            <v>0.99</v>
          </cell>
          <cell r="J75">
            <v>0.99</v>
          </cell>
          <cell r="K75" t="str">
            <v>FKP</v>
          </cell>
          <cell r="L75">
            <v>7</v>
          </cell>
          <cell r="M75">
            <v>3</v>
          </cell>
          <cell r="N75">
            <v>3</v>
          </cell>
          <cell r="O75">
            <v>1</v>
          </cell>
          <cell r="P75">
            <v>1</v>
          </cell>
          <cell r="Q75">
            <v>1.2309000000000001</v>
          </cell>
          <cell r="R75">
            <v>3.6927000000000003</v>
          </cell>
          <cell r="S75">
            <v>3.6927000000000003</v>
          </cell>
          <cell r="T75">
            <v>1.2309000000000001</v>
          </cell>
          <cell r="U75">
            <v>1.2309000000000001</v>
          </cell>
        </row>
        <row r="76">
          <cell r="B76" t="str">
            <v>Faroe Islands</v>
          </cell>
          <cell r="C76" t="str">
            <v>Europe</v>
          </cell>
          <cell r="D76" t="str">
            <v>N</v>
          </cell>
          <cell r="E76" t="str">
            <v>EUR</v>
          </cell>
          <cell r="F76">
            <v>24.99</v>
          </cell>
          <cell r="G76">
            <v>0.99</v>
          </cell>
          <cell r="H76">
            <v>0.99</v>
          </cell>
          <cell r="I76">
            <v>0.99</v>
          </cell>
          <cell r="J76">
            <v>0.99</v>
          </cell>
          <cell r="K76" t="str">
            <v>DKK</v>
          </cell>
          <cell r="L76">
            <v>139.99</v>
          </cell>
          <cell r="M76">
            <v>49</v>
          </cell>
          <cell r="N76">
            <v>49</v>
          </cell>
          <cell r="O76">
            <v>29</v>
          </cell>
          <cell r="P76">
            <v>29</v>
          </cell>
          <cell r="Q76">
            <v>0.14173137999999999</v>
          </cell>
          <cell r="R76">
            <v>6.9448376199999995</v>
          </cell>
          <cell r="S76">
            <v>6.9448376199999995</v>
          </cell>
          <cell r="T76">
            <v>4.1102100199999994</v>
          </cell>
          <cell r="U76">
            <v>4.1102100199999994</v>
          </cell>
        </row>
        <row r="77">
          <cell r="B77" t="str">
            <v>Fiji</v>
          </cell>
          <cell r="C77" t="str">
            <v>Asia</v>
          </cell>
          <cell r="D77" t="str">
            <v>N</v>
          </cell>
          <cell r="E77" t="str">
            <v>FJD</v>
          </cell>
          <cell r="F77">
            <v>29.99</v>
          </cell>
          <cell r="G77">
            <v>5.99</v>
          </cell>
          <cell r="H77">
            <v>5.99</v>
          </cell>
          <cell r="I77">
            <v>3.99</v>
          </cell>
          <cell r="J77">
            <v>1.99</v>
          </cell>
          <cell r="K77" t="str">
            <v>FJD</v>
          </cell>
          <cell r="L77">
            <v>21.99</v>
          </cell>
          <cell r="M77">
            <v>7.99</v>
          </cell>
          <cell r="N77">
            <v>6.49</v>
          </cell>
          <cell r="O77">
            <v>4.99</v>
          </cell>
          <cell r="P77">
            <v>3.49</v>
          </cell>
          <cell r="Q77">
            <v>0.45733103000000003</v>
          </cell>
          <cell r="R77">
            <v>3.6540749297000001</v>
          </cell>
          <cell r="S77">
            <v>2.9680783847000001</v>
          </cell>
          <cell r="T77">
            <v>2.2820818397000004</v>
          </cell>
          <cell r="U77">
            <v>1.5960852947000002</v>
          </cell>
        </row>
        <row r="78">
          <cell r="B78" t="str">
            <v>Finland</v>
          </cell>
          <cell r="C78" t="str">
            <v>Europe</v>
          </cell>
          <cell r="D78" t="str">
            <v>Y</v>
          </cell>
          <cell r="E78" t="str">
            <v>EUR</v>
          </cell>
          <cell r="F78">
            <v>24.99</v>
          </cell>
          <cell r="G78">
            <v>5.99</v>
          </cell>
          <cell r="H78">
            <v>5.99</v>
          </cell>
          <cell r="I78">
            <v>5.99</v>
          </cell>
          <cell r="J78">
            <v>5.99</v>
          </cell>
          <cell r="K78" t="str">
            <v>EUR</v>
          </cell>
          <cell r="L78">
            <v>14.99</v>
          </cell>
          <cell r="M78">
            <v>4.99</v>
          </cell>
          <cell r="N78">
            <v>3.99</v>
          </cell>
          <cell r="O78">
            <v>2.99</v>
          </cell>
          <cell r="P78">
            <v>1.99</v>
          </cell>
          <cell r="Q78">
            <v>1.0543</v>
          </cell>
          <cell r="R78">
            <v>5.2609570000000003</v>
          </cell>
          <cell r="S78">
            <v>4.2066569999999999</v>
          </cell>
          <cell r="T78">
            <v>3.1523570000000003</v>
          </cell>
          <cell r="U78">
            <v>2.0980569999999998</v>
          </cell>
        </row>
        <row r="79">
          <cell r="B79" t="str">
            <v>France</v>
          </cell>
          <cell r="C79" t="str">
            <v>Europe</v>
          </cell>
          <cell r="D79" t="str">
            <v>Y</v>
          </cell>
          <cell r="E79" t="str">
            <v>EUR</v>
          </cell>
          <cell r="F79">
            <v>24.99</v>
          </cell>
          <cell r="G79">
            <v>5.99</v>
          </cell>
          <cell r="H79">
            <v>5.99</v>
          </cell>
          <cell r="I79">
            <v>5.99</v>
          </cell>
          <cell r="J79">
            <v>5.99</v>
          </cell>
          <cell r="K79" t="str">
            <v>EUR</v>
          </cell>
          <cell r="L79">
            <v>17.989999999999998</v>
          </cell>
          <cell r="M79">
            <v>5.99</v>
          </cell>
          <cell r="N79">
            <v>4.99</v>
          </cell>
          <cell r="O79">
            <v>3.99</v>
          </cell>
          <cell r="P79">
            <v>2.99</v>
          </cell>
          <cell r="Q79">
            <v>1.0543</v>
          </cell>
          <cell r="R79">
            <v>6.3152569999999999</v>
          </cell>
          <cell r="S79">
            <v>5.2609570000000003</v>
          </cell>
          <cell r="T79">
            <v>4.2066569999999999</v>
          </cell>
          <cell r="U79">
            <v>3.1523570000000003</v>
          </cell>
        </row>
        <row r="80">
          <cell r="B80" t="str">
            <v>French Guiana</v>
          </cell>
          <cell r="C80" t="str">
            <v>Latin America</v>
          </cell>
          <cell r="D80" t="str">
            <v>N</v>
          </cell>
          <cell r="E80" t="str">
            <v>EUR</v>
          </cell>
          <cell r="F80">
            <v>11.99</v>
          </cell>
          <cell r="G80">
            <v>2.99</v>
          </cell>
          <cell r="H80">
            <v>2.99</v>
          </cell>
          <cell r="I80">
            <v>1.99</v>
          </cell>
          <cell r="J80">
            <v>0.99</v>
          </cell>
          <cell r="K80" t="str">
            <v>EUR</v>
          </cell>
          <cell r="L80">
            <v>9.99</v>
          </cell>
          <cell r="M80">
            <v>3.99</v>
          </cell>
          <cell r="N80">
            <v>3.99</v>
          </cell>
          <cell r="O80">
            <v>1.9900000000000002</v>
          </cell>
          <cell r="P80">
            <v>1.9900000000000002</v>
          </cell>
          <cell r="Q80">
            <v>1.0543</v>
          </cell>
          <cell r="R80">
            <v>4.2066569999999999</v>
          </cell>
          <cell r="S80">
            <v>4.2066569999999999</v>
          </cell>
          <cell r="T80">
            <v>2.0980570000000003</v>
          </cell>
          <cell r="U80">
            <v>2.0980570000000003</v>
          </cell>
        </row>
        <row r="81">
          <cell r="B81" t="str">
            <v>French Polynesia</v>
          </cell>
          <cell r="C81" t="str">
            <v>Asia</v>
          </cell>
          <cell r="D81" t="str">
            <v>N</v>
          </cell>
          <cell r="E81" t="str">
            <v>XPF</v>
          </cell>
          <cell r="F81">
            <v>1500</v>
          </cell>
          <cell r="G81">
            <v>320</v>
          </cell>
          <cell r="H81">
            <v>320</v>
          </cell>
          <cell r="I81">
            <v>210</v>
          </cell>
          <cell r="J81">
            <v>100</v>
          </cell>
          <cell r="K81" t="str">
            <v>XPF</v>
          </cell>
          <cell r="L81">
            <v>1000</v>
          </cell>
          <cell r="M81">
            <v>350</v>
          </cell>
          <cell r="N81">
            <v>290</v>
          </cell>
          <cell r="O81">
            <v>230</v>
          </cell>
          <cell r="P81">
            <v>170</v>
          </cell>
          <cell r="Q81">
            <v>8.8350340000000003E-3</v>
          </cell>
          <cell r="R81">
            <v>3.0922619</v>
          </cell>
          <cell r="S81">
            <v>2.56215986</v>
          </cell>
          <cell r="T81">
            <v>2.0320578199999999</v>
          </cell>
          <cell r="U81">
            <v>1.5019557800000001</v>
          </cell>
        </row>
        <row r="82">
          <cell r="B82" t="str">
            <v>French Southern Territories</v>
          </cell>
          <cell r="C82" t="str">
            <v>Europe</v>
          </cell>
          <cell r="D82" t="str">
            <v>N</v>
          </cell>
          <cell r="E82" t="str">
            <v>EUR</v>
          </cell>
          <cell r="F82">
            <v>24.99</v>
          </cell>
          <cell r="G82">
            <v>0.99</v>
          </cell>
          <cell r="H82">
            <v>0.99</v>
          </cell>
          <cell r="I82">
            <v>0.99</v>
          </cell>
          <cell r="J82">
            <v>0.99</v>
          </cell>
          <cell r="K82" t="str">
            <v>EUR</v>
          </cell>
          <cell r="L82">
            <v>14.99</v>
          </cell>
          <cell r="M82">
            <v>4.99</v>
          </cell>
          <cell r="N82">
            <v>3.99</v>
          </cell>
          <cell r="O82">
            <v>2.99</v>
          </cell>
          <cell r="P82">
            <v>1.9900000000000002</v>
          </cell>
          <cell r="Q82">
            <v>1.0543</v>
          </cell>
          <cell r="R82">
            <v>5.2609570000000003</v>
          </cell>
          <cell r="S82">
            <v>4.2066569999999999</v>
          </cell>
          <cell r="T82">
            <v>3.1523570000000003</v>
          </cell>
          <cell r="U82">
            <v>2.0980570000000003</v>
          </cell>
        </row>
        <row r="83">
          <cell r="B83" t="str">
            <v>Gabon</v>
          </cell>
          <cell r="C83" t="str">
            <v>Africa</v>
          </cell>
          <cell r="D83" t="str">
            <v>N</v>
          </cell>
          <cell r="E83" t="str">
            <v>XAF</v>
          </cell>
          <cell r="F83">
            <v>6400</v>
          </cell>
          <cell r="G83">
            <v>580</v>
          </cell>
          <cell r="H83">
            <v>580</v>
          </cell>
          <cell r="I83">
            <v>580</v>
          </cell>
          <cell r="J83">
            <v>580</v>
          </cell>
          <cell r="K83" t="str">
            <v>XAF</v>
          </cell>
          <cell r="L83">
            <v>4200</v>
          </cell>
          <cell r="M83">
            <v>1700</v>
          </cell>
          <cell r="N83">
            <v>1400</v>
          </cell>
          <cell r="O83">
            <v>1100</v>
          </cell>
          <cell r="P83">
            <v>800</v>
          </cell>
          <cell r="Q83">
            <v>1.6072699E-3</v>
          </cell>
          <cell r="R83">
            <v>2.7323588299999999</v>
          </cell>
          <cell r="S83">
            <v>2.25017786</v>
          </cell>
          <cell r="T83">
            <v>1.76799689</v>
          </cell>
          <cell r="U83">
            <v>1.2858159200000001</v>
          </cell>
        </row>
        <row r="84">
          <cell r="B84" t="str">
            <v>Gambia</v>
          </cell>
          <cell r="C84" t="str">
            <v>Africa</v>
          </cell>
          <cell r="D84" t="str">
            <v>N</v>
          </cell>
          <cell r="E84" t="str">
            <v>GMD</v>
          </cell>
          <cell r="F84">
            <v>549.99</v>
          </cell>
          <cell r="G84">
            <v>48.99</v>
          </cell>
          <cell r="H84">
            <v>48.99</v>
          </cell>
          <cell r="I84">
            <v>48.99</v>
          </cell>
          <cell r="J84">
            <v>48.99</v>
          </cell>
          <cell r="K84" t="str">
            <v>GMD</v>
          </cell>
          <cell r="L84">
            <v>549.99</v>
          </cell>
          <cell r="M84">
            <v>199.99</v>
          </cell>
          <cell r="N84">
            <v>159.99</v>
          </cell>
          <cell r="O84">
            <v>119.99000000000001</v>
          </cell>
          <cell r="P84">
            <v>79.990000000000009</v>
          </cell>
          <cell r="Q84">
            <v>1.8518519000000001E-2</v>
          </cell>
          <cell r="R84">
            <v>3.7035186148100001</v>
          </cell>
          <cell r="S84">
            <v>2.9627778548100001</v>
          </cell>
          <cell r="T84">
            <v>2.2220370948100001</v>
          </cell>
          <cell r="U84">
            <v>1.4812963348100001</v>
          </cell>
        </row>
        <row r="85">
          <cell r="B85" t="str">
            <v>Georgia</v>
          </cell>
          <cell r="C85" t="str">
            <v>Middle East</v>
          </cell>
          <cell r="D85" t="str">
            <v>N</v>
          </cell>
          <cell r="E85" t="str">
            <v>GEL</v>
          </cell>
          <cell r="F85">
            <v>37.99</v>
          </cell>
          <cell r="G85">
            <v>7.99</v>
          </cell>
          <cell r="H85">
            <v>7.99</v>
          </cell>
          <cell r="I85">
            <v>4.99</v>
          </cell>
          <cell r="J85">
            <v>2.99</v>
          </cell>
          <cell r="K85" t="str">
            <v>GEL</v>
          </cell>
          <cell r="L85">
            <v>37.99</v>
          </cell>
          <cell r="M85">
            <v>12.99</v>
          </cell>
          <cell r="N85">
            <v>10.49</v>
          </cell>
          <cell r="O85">
            <v>7.99</v>
          </cell>
          <cell r="P85">
            <v>5.49</v>
          </cell>
          <cell r="Q85">
            <v>0.3305785</v>
          </cell>
          <cell r="R85">
            <v>4.2942147149999998</v>
          </cell>
          <cell r="S85">
            <v>3.4677684650000002</v>
          </cell>
          <cell r="T85">
            <v>2.6413222150000002</v>
          </cell>
          <cell r="U85">
            <v>1.8148759650000001</v>
          </cell>
        </row>
        <row r="86">
          <cell r="B86" t="str">
            <v>Germany</v>
          </cell>
          <cell r="C86" t="str">
            <v>Europe</v>
          </cell>
          <cell r="D86" t="str">
            <v>Y</v>
          </cell>
          <cell r="E86" t="str">
            <v>EUR</v>
          </cell>
          <cell r="F86">
            <v>24.99</v>
          </cell>
          <cell r="G86">
            <v>5.99</v>
          </cell>
          <cell r="H86">
            <v>5.99</v>
          </cell>
          <cell r="I86">
            <v>5.99</v>
          </cell>
          <cell r="J86">
            <v>5.99</v>
          </cell>
          <cell r="K86" t="str">
            <v>EUR</v>
          </cell>
          <cell r="L86">
            <v>17.989999999999998</v>
          </cell>
          <cell r="M86">
            <v>5.99</v>
          </cell>
          <cell r="N86">
            <v>4.99</v>
          </cell>
          <cell r="O86">
            <v>3.99</v>
          </cell>
          <cell r="P86">
            <v>2.99</v>
          </cell>
          <cell r="Q86">
            <v>1.0543</v>
          </cell>
          <cell r="R86">
            <v>6.3152569999999999</v>
          </cell>
          <cell r="S86">
            <v>5.2609570000000003</v>
          </cell>
          <cell r="T86">
            <v>4.2066569999999999</v>
          </cell>
          <cell r="U86">
            <v>3.1523570000000003</v>
          </cell>
        </row>
        <row r="87">
          <cell r="B87" t="str">
            <v>Ghana</v>
          </cell>
          <cell r="C87" t="str">
            <v>Africa</v>
          </cell>
          <cell r="D87" t="str">
            <v>N</v>
          </cell>
          <cell r="E87" t="str">
            <v>USD</v>
          </cell>
          <cell r="F87">
            <v>10.99</v>
          </cell>
          <cell r="G87">
            <v>0.99</v>
          </cell>
          <cell r="H87">
            <v>0.99</v>
          </cell>
          <cell r="I87">
            <v>0.99</v>
          </cell>
          <cell r="J87">
            <v>0.99</v>
          </cell>
          <cell r="K87" t="str">
            <v>GHS</v>
          </cell>
          <cell r="L87">
            <v>65</v>
          </cell>
          <cell r="M87">
            <v>20</v>
          </cell>
          <cell r="N87">
            <v>16</v>
          </cell>
          <cell r="O87">
            <v>12</v>
          </cell>
          <cell r="P87">
            <v>8</v>
          </cell>
          <cell r="Q87">
            <v>0.13289036000000001</v>
          </cell>
          <cell r="R87">
            <v>2.6578072000000001</v>
          </cell>
          <cell r="S87">
            <v>2.1262457600000002</v>
          </cell>
          <cell r="T87">
            <v>1.5946843200000003</v>
          </cell>
          <cell r="U87">
            <v>1.0631228800000001</v>
          </cell>
        </row>
        <row r="88">
          <cell r="B88" t="str">
            <v>Gibraltar</v>
          </cell>
          <cell r="C88" t="str">
            <v>Europe</v>
          </cell>
          <cell r="D88" t="str">
            <v>N</v>
          </cell>
          <cell r="E88" t="str">
            <v>GIP</v>
          </cell>
          <cell r="F88">
            <v>21.99</v>
          </cell>
          <cell r="G88">
            <v>0.99</v>
          </cell>
          <cell r="H88">
            <v>0.99</v>
          </cell>
          <cell r="I88">
            <v>0.99</v>
          </cell>
          <cell r="J88">
            <v>0.99</v>
          </cell>
          <cell r="K88" t="str">
            <v>GIP</v>
          </cell>
          <cell r="L88">
            <v>12.99</v>
          </cell>
          <cell r="M88">
            <v>4.99</v>
          </cell>
          <cell r="N88">
            <v>3.99</v>
          </cell>
          <cell r="O88">
            <v>2.99</v>
          </cell>
          <cell r="P88">
            <v>1.9900000000000002</v>
          </cell>
          <cell r="Q88">
            <v>1.2309000000000001</v>
          </cell>
          <cell r="R88">
            <v>6.1421910000000004</v>
          </cell>
          <cell r="S88">
            <v>4.9112910000000003</v>
          </cell>
          <cell r="T88">
            <v>3.6803910000000006</v>
          </cell>
          <cell r="U88">
            <v>2.4494910000000005</v>
          </cell>
        </row>
        <row r="89">
          <cell r="B89" t="str">
            <v>Greece</v>
          </cell>
          <cell r="C89" t="str">
            <v>Europe</v>
          </cell>
          <cell r="D89" t="str">
            <v>Y</v>
          </cell>
          <cell r="E89" t="str">
            <v>EUR</v>
          </cell>
          <cell r="F89">
            <v>9.99</v>
          </cell>
          <cell r="G89">
            <v>2.99</v>
          </cell>
          <cell r="H89">
            <v>2.99</v>
          </cell>
          <cell r="I89">
            <v>1.99</v>
          </cell>
          <cell r="J89">
            <v>0.99</v>
          </cell>
          <cell r="K89" t="str">
            <v>EUR</v>
          </cell>
          <cell r="L89">
            <v>12.99</v>
          </cell>
          <cell r="M89">
            <v>3.99</v>
          </cell>
          <cell r="N89">
            <v>3.99</v>
          </cell>
          <cell r="O89">
            <v>1.99</v>
          </cell>
          <cell r="P89">
            <v>1.99</v>
          </cell>
          <cell r="Q89">
            <v>1.0543</v>
          </cell>
          <cell r="R89">
            <v>4.2066569999999999</v>
          </cell>
          <cell r="S89">
            <v>4.2066569999999999</v>
          </cell>
          <cell r="T89">
            <v>2.0980569999999998</v>
          </cell>
          <cell r="U89">
            <v>2.0980569999999998</v>
          </cell>
        </row>
        <row r="90">
          <cell r="B90" t="str">
            <v>Greenland</v>
          </cell>
          <cell r="C90" t="str">
            <v>Europe</v>
          </cell>
          <cell r="D90" t="str">
            <v>N</v>
          </cell>
          <cell r="E90" t="str">
            <v>DKK</v>
          </cell>
          <cell r="F90">
            <v>189.99</v>
          </cell>
          <cell r="G90">
            <v>6.99</v>
          </cell>
          <cell r="H90">
            <v>6.99</v>
          </cell>
          <cell r="I90">
            <v>6.99</v>
          </cell>
          <cell r="J90">
            <v>6.99</v>
          </cell>
          <cell r="K90" t="str">
            <v>DKK</v>
          </cell>
          <cell r="L90">
            <v>139.99</v>
          </cell>
          <cell r="M90">
            <v>49</v>
          </cell>
          <cell r="N90">
            <v>49</v>
          </cell>
          <cell r="O90">
            <v>29</v>
          </cell>
          <cell r="P90">
            <v>29</v>
          </cell>
          <cell r="Q90">
            <v>0.14173137999999999</v>
          </cell>
          <cell r="R90">
            <v>6.9448376199999995</v>
          </cell>
          <cell r="S90">
            <v>6.9448376199999995</v>
          </cell>
          <cell r="T90">
            <v>4.1102100199999994</v>
          </cell>
          <cell r="U90">
            <v>4.1102100199999994</v>
          </cell>
        </row>
        <row r="91">
          <cell r="B91" t="str">
            <v>Grenada</v>
          </cell>
          <cell r="C91" t="str">
            <v>Latin America</v>
          </cell>
          <cell r="D91" t="str">
            <v>N</v>
          </cell>
          <cell r="E91" t="str">
            <v>XCD</v>
          </cell>
          <cell r="F91">
            <v>37.99</v>
          </cell>
          <cell r="G91">
            <v>7.99</v>
          </cell>
          <cell r="H91">
            <v>7.99</v>
          </cell>
          <cell r="I91">
            <v>4.99</v>
          </cell>
          <cell r="J91">
            <v>2.99</v>
          </cell>
          <cell r="K91" t="str">
            <v>XCD</v>
          </cell>
          <cell r="L91">
            <v>37.99</v>
          </cell>
          <cell r="M91">
            <v>12.99</v>
          </cell>
          <cell r="N91">
            <v>10.49</v>
          </cell>
          <cell r="O91">
            <v>7.99</v>
          </cell>
          <cell r="P91">
            <v>5.49</v>
          </cell>
          <cell r="Q91">
            <v>0.37037036000000001</v>
          </cell>
          <cell r="R91">
            <v>4.8111109764000002</v>
          </cell>
          <cell r="S91">
            <v>3.8851850764</v>
          </cell>
          <cell r="T91">
            <v>2.9592591764000002</v>
          </cell>
          <cell r="U91">
            <v>2.0333332764000001</v>
          </cell>
        </row>
        <row r="92">
          <cell r="B92" t="str">
            <v>Guadeloupe</v>
          </cell>
          <cell r="C92" t="str">
            <v>Latin America</v>
          </cell>
          <cell r="D92" t="str">
            <v>N</v>
          </cell>
          <cell r="E92" t="str">
            <v>EUR</v>
          </cell>
          <cell r="F92">
            <v>11.99</v>
          </cell>
          <cell r="G92">
            <v>2.99</v>
          </cell>
          <cell r="H92">
            <v>2.99</v>
          </cell>
          <cell r="I92">
            <v>1.99</v>
          </cell>
          <cell r="J92">
            <v>0.99</v>
          </cell>
          <cell r="K92" t="str">
            <v>EUR</v>
          </cell>
          <cell r="L92">
            <v>9.99</v>
          </cell>
          <cell r="M92">
            <v>3.99</v>
          </cell>
          <cell r="N92">
            <v>3.99</v>
          </cell>
          <cell r="O92">
            <v>1.9900000000000002</v>
          </cell>
          <cell r="P92">
            <v>1.9900000000000002</v>
          </cell>
          <cell r="Q92">
            <v>1.0543</v>
          </cell>
          <cell r="R92">
            <v>4.2066569999999999</v>
          </cell>
          <cell r="S92">
            <v>4.2066569999999999</v>
          </cell>
          <cell r="T92">
            <v>2.0980570000000003</v>
          </cell>
          <cell r="U92">
            <v>2.0980570000000003</v>
          </cell>
        </row>
        <row r="93">
          <cell r="B93" t="str">
            <v>Guatemala</v>
          </cell>
          <cell r="C93" t="str">
            <v>Latin America</v>
          </cell>
          <cell r="D93" t="str">
            <v>N</v>
          </cell>
          <cell r="E93" t="str">
            <v>GTQ</v>
          </cell>
          <cell r="F93">
            <v>84.99</v>
          </cell>
          <cell r="G93">
            <v>7.99</v>
          </cell>
          <cell r="H93">
            <v>7.99</v>
          </cell>
          <cell r="I93">
            <v>7.99</v>
          </cell>
          <cell r="J93">
            <v>7.99</v>
          </cell>
          <cell r="K93" t="str">
            <v>GTQ</v>
          </cell>
          <cell r="L93">
            <v>84.99</v>
          </cell>
          <cell r="M93">
            <v>29.99</v>
          </cell>
          <cell r="N93">
            <v>24.99</v>
          </cell>
          <cell r="O93">
            <v>19.989999999999998</v>
          </cell>
          <cell r="P93">
            <v>14.989999999999998</v>
          </cell>
          <cell r="Q93">
            <v>0.13049209000000001</v>
          </cell>
          <cell r="R93">
            <v>3.9134577790999998</v>
          </cell>
          <cell r="S93">
            <v>3.2609973290999998</v>
          </cell>
          <cell r="T93">
            <v>2.6085368790999999</v>
          </cell>
          <cell r="U93">
            <v>1.9560764290999999</v>
          </cell>
        </row>
        <row r="94">
          <cell r="B94" t="str">
            <v>Guernsey</v>
          </cell>
          <cell r="C94" t="str">
            <v>Europe</v>
          </cell>
          <cell r="D94" t="str">
            <v>N</v>
          </cell>
          <cell r="E94" t="str">
            <v>USD</v>
          </cell>
          <cell r="F94">
            <v>27.99</v>
          </cell>
          <cell r="G94">
            <v>0.99</v>
          </cell>
          <cell r="H94">
            <v>0.99</v>
          </cell>
          <cell r="I94">
            <v>0.99</v>
          </cell>
          <cell r="J94">
            <v>0.99</v>
          </cell>
          <cell r="K94" t="str">
            <v>GBP</v>
          </cell>
          <cell r="L94">
            <v>14.99</v>
          </cell>
          <cell r="M94">
            <v>4.99</v>
          </cell>
          <cell r="N94">
            <v>3.99</v>
          </cell>
          <cell r="O94">
            <v>2.99</v>
          </cell>
          <cell r="P94">
            <v>1.9900000000000002</v>
          </cell>
          <cell r="Q94">
            <v>1.2313000000000001</v>
          </cell>
          <cell r="R94">
            <v>6.1441870000000005</v>
          </cell>
          <cell r="S94">
            <v>4.9128870000000004</v>
          </cell>
          <cell r="T94">
            <v>3.6815870000000004</v>
          </cell>
          <cell r="U94">
            <v>2.4502870000000003</v>
          </cell>
        </row>
        <row r="95">
          <cell r="B95" t="str">
            <v>Guinea</v>
          </cell>
          <cell r="C95" t="str">
            <v>Africa</v>
          </cell>
          <cell r="D95" t="str">
            <v>N</v>
          </cell>
          <cell r="E95" t="str">
            <v>GNF</v>
          </cell>
          <cell r="F95">
            <v>101000</v>
          </cell>
          <cell r="G95">
            <v>9100</v>
          </cell>
          <cell r="H95">
            <v>9100</v>
          </cell>
          <cell r="I95">
            <v>9100</v>
          </cell>
          <cell r="J95">
            <v>9100</v>
          </cell>
          <cell r="K95" t="str">
            <v>GNF</v>
          </cell>
          <cell r="L95">
            <v>80800</v>
          </cell>
          <cell r="M95">
            <v>28300</v>
          </cell>
          <cell r="N95">
            <v>23300</v>
          </cell>
          <cell r="O95">
            <v>18300</v>
          </cell>
          <cell r="P95">
            <v>13300</v>
          </cell>
          <cell r="Q95">
            <v>1.14285715E-4</v>
          </cell>
          <cell r="R95">
            <v>3.2342857344999998</v>
          </cell>
          <cell r="S95">
            <v>2.6628571595000001</v>
          </cell>
          <cell r="T95">
            <v>2.0914285845</v>
          </cell>
          <cell r="U95">
            <v>1.5200000094999999</v>
          </cell>
        </row>
        <row r="96">
          <cell r="B96" t="str">
            <v>Guinea-Bissau</v>
          </cell>
          <cell r="C96" t="str">
            <v>Africa</v>
          </cell>
          <cell r="D96" t="str">
            <v>N</v>
          </cell>
          <cell r="E96" t="str">
            <v>XOF</v>
          </cell>
          <cell r="F96">
            <v>6400</v>
          </cell>
          <cell r="G96">
            <v>580</v>
          </cell>
          <cell r="H96">
            <v>580</v>
          </cell>
          <cell r="I96">
            <v>580</v>
          </cell>
          <cell r="J96">
            <v>580</v>
          </cell>
          <cell r="K96" t="str">
            <v>XOF</v>
          </cell>
          <cell r="L96">
            <v>5400</v>
          </cell>
          <cell r="M96">
            <v>2000</v>
          </cell>
          <cell r="N96">
            <v>1600</v>
          </cell>
          <cell r="O96">
            <v>1200</v>
          </cell>
          <cell r="P96">
            <v>800</v>
          </cell>
          <cell r="Q96">
            <v>1.6072699E-3</v>
          </cell>
          <cell r="R96">
            <v>3.2145397999999998</v>
          </cell>
          <cell r="S96">
            <v>2.5716318400000002</v>
          </cell>
          <cell r="T96">
            <v>1.9287238799999999</v>
          </cell>
          <cell r="U96">
            <v>1.2858159200000001</v>
          </cell>
        </row>
        <row r="97">
          <cell r="B97" t="str">
            <v>Guyana</v>
          </cell>
          <cell r="C97" t="str">
            <v>Latin America</v>
          </cell>
          <cell r="D97" t="str">
            <v>N</v>
          </cell>
          <cell r="E97" t="str">
            <v>GYD</v>
          </cell>
          <cell r="F97">
            <v>2900</v>
          </cell>
          <cell r="G97">
            <v>629.99</v>
          </cell>
          <cell r="H97">
            <v>629.99</v>
          </cell>
          <cell r="I97">
            <v>419.99</v>
          </cell>
          <cell r="J97">
            <v>209.99</v>
          </cell>
          <cell r="K97" t="str">
            <v>GYD</v>
          </cell>
          <cell r="L97">
            <v>2899.99</v>
          </cell>
          <cell r="M97">
            <v>1019.99</v>
          </cell>
          <cell r="N97">
            <v>819.99</v>
          </cell>
          <cell r="O97">
            <v>619.99</v>
          </cell>
          <cell r="P97">
            <v>419.99</v>
          </cell>
          <cell r="Q97">
            <v>4.7515930000000001E-3</v>
          </cell>
          <cell r="R97">
            <v>4.84657734407</v>
          </cell>
          <cell r="S97">
            <v>3.8962587440700003</v>
          </cell>
          <cell r="T97">
            <v>2.9459401440700002</v>
          </cell>
          <cell r="U97">
            <v>1.99562154407</v>
          </cell>
        </row>
        <row r="98">
          <cell r="B98" t="str">
            <v>Haiti</v>
          </cell>
          <cell r="C98" t="str">
            <v>Latin America</v>
          </cell>
          <cell r="D98" t="str">
            <v>N</v>
          </cell>
          <cell r="E98" t="str">
            <v>HTG</v>
          </cell>
          <cell r="F98">
            <v>1300</v>
          </cell>
          <cell r="G98">
            <v>279.99</v>
          </cell>
          <cell r="H98">
            <v>279.99</v>
          </cell>
          <cell r="I98">
            <v>179.99</v>
          </cell>
          <cell r="J98">
            <v>90.99</v>
          </cell>
          <cell r="K98" t="str">
            <v>HTG</v>
          </cell>
          <cell r="L98">
            <v>1300</v>
          </cell>
          <cell r="M98">
            <v>450</v>
          </cell>
          <cell r="N98">
            <v>370</v>
          </cell>
          <cell r="O98">
            <v>290</v>
          </cell>
          <cell r="P98">
            <v>210</v>
          </cell>
          <cell r="Q98">
            <v>9.2502139999999997E-3</v>
          </cell>
          <cell r="R98">
            <v>4.1625962999999997</v>
          </cell>
          <cell r="S98">
            <v>3.4225791800000001</v>
          </cell>
          <cell r="T98">
            <v>2.68256206</v>
          </cell>
          <cell r="U98">
            <v>1.9425449399999999</v>
          </cell>
        </row>
        <row r="99">
          <cell r="B99" t="str">
            <v>Heard And Mcdonald Islands</v>
          </cell>
          <cell r="C99" t="str">
            <v>India</v>
          </cell>
          <cell r="D99" t="str">
            <v>N</v>
          </cell>
          <cell r="E99" t="str">
            <v>AUD</v>
          </cell>
          <cell r="F99">
            <v>40.99</v>
          </cell>
          <cell r="G99">
            <v>0.99</v>
          </cell>
          <cell r="H99">
            <v>0.99</v>
          </cell>
          <cell r="I99">
            <v>0.99</v>
          </cell>
          <cell r="J99">
            <v>0.99</v>
          </cell>
          <cell r="K99" t="str">
            <v>AUD</v>
          </cell>
          <cell r="L99">
            <v>12.99</v>
          </cell>
          <cell r="M99">
            <v>4.99</v>
          </cell>
          <cell r="N99">
            <v>3.99</v>
          </cell>
          <cell r="O99">
            <v>2.99</v>
          </cell>
          <cell r="P99">
            <v>1.9900000000000002</v>
          </cell>
          <cell r="Q99">
            <v>0.69404995000000003</v>
          </cell>
          <cell r="R99">
            <v>3.4633092505000005</v>
          </cell>
          <cell r="S99">
            <v>2.7692593005000004</v>
          </cell>
          <cell r="T99">
            <v>2.0752093505000002</v>
          </cell>
          <cell r="U99">
            <v>1.3811594005000003</v>
          </cell>
        </row>
        <row r="100">
          <cell r="B100" t="str">
            <v>Honduras</v>
          </cell>
          <cell r="C100" t="str">
            <v>Latin America</v>
          </cell>
          <cell r="D100" t="str">
            <v>N</v>
          </cell>
          <cell r="E100" t="str">
            <v>HNL</v>
          </cell>
          <cell r="F100">
            <v>269.99</v>
          </cell>
          <cell r="G100">
            <v>23.99</v>
          </cell>
          <cell r="H100">
            <v>23.99</v>
          </cell>
          <cell r="I100">
            <v>23.99</v>
          </cell>
          <cell r="J100">
            <v>23.99</v>
          </cell>
          <cell r="K100" t="str">
            <v>HNL</v>
          </cell>
          <cell r="L100">
            <v>219.99</v>
          </cell>
          <cell r="M100">
            <v>79.989999999999995</v>
          </cell>
          <cell r="N100">
            <v>64.989999999999995</v>
          </cell>
          <cell r="O100">
            <v>49.989999999999995</v>
          </cell>
          <cell r="P100">
            <v>34.989999999999995</v>
          </cell>
          <cell r="Q100">
            <v>4.0726730000000003E-2</v>
          </cell>
          <cell r="R100">
            <v>3.2577311327</v>
          </cell>
          <cell r="S100">
            <v>2.6468301827</v>
          </cell>
          <cell r="T100">
            <v>2.0359292327</v>
          </cell>
          <cell r="U100">
            <v>1.4250282826999998</v>
          </cell>
        </row>
        <row r="101">
          <cell r="B101" t="str">
            <v>Hong Kong</v>
          </cell>
          <cell r="C101" t="str">
            <v>NBA China</v>
          </cell>
          <cell r="D101" t="str">
            <v>Y</v>
          </cell>
          <cell r="E101" t="str">
            <v>HKD</v>
          </cell>
          <cell r="F101">
            <v>169.99</v>
          </cell>
          <cell r="G101">
            <v>38.99</v>
          </cell>
          <cell r="H101">
            <v>30.99</v>
          </cell>
          <cell r="I101">
            <v>22.99</v>
          </cell>
          <cell r="J101">
            <v>15.99</v>
          </cell>
          <cell r="K101" t="str">
            <v>HKD</v>
          </cell>
          <cell r="L101">
            <v>109</v>
          </cell>
          <cell r="M101">
            <v>48</v>
          </cell>
          <cell r="N101">
            <v>38</v>
          </cell>
          <cell r="O101">
            <v>28</v>
          </cell>
          <cell r="P101">
            <v>23</v>
          </cell>
          <cell r="Q101">
            <v>0.12739016</v>
          </cell>
          <cell r="R101">
            <v>6.1147276799999997</v>
          </cell>
          <cell r="S101">
            <v>4.8408260800000003</v>
          </cell>
          <cell r="T101">
            <v>3.56692448</v>
          </cell>
          <cell r="U101">
            <v>2.9299736800000002</v>
          </cell>
        </row>
        <row r="102">
          <cell r="B102" t="str">
            <v>Hungary</v>
          </cell>
          <cell r="C102" t="str">
            <v>Europe</v>
          </cell>
          <cell r="D102" t="str">
            <v>Y</v>
          </cell>
          <cell r="E102" t="str">
            <v>HUF</v>
          </cell>
          <cell r="F102">
            <v>4000</v>
          </cell>
          <cell r="G102">
            <v>850</v>
          </cell>
          <cell r="H102">
            <v>850</v>
          </cell>
          <cell r="I102">
            <v>570</v>
          </cell>
          <cell r="J102">
            <v>280</v>
          </cell>
          <cell r="K102" t="str">
            <v>HUF</v>
          </cell>
          <cell r="L102">
            <v>3990</v>
          </cell>
          <cell r="M102">
            <v>1690</v>
          </cell>
          <cell r="N102">
            <v>1690</v>
          </cell>
          <cell r="O102">
            <v>800</v>
          </cell>
          <cell r="P102">
            <v>800</v>
          </cell>
          <cell r="Q102">
            <v>2.7742909999999999E-3</v>
          </cell>
          <cell r="R102">
            <v>4.68855179</v>
          </cell>
          <cell r="S102">
            <v>4.68855179</v>
          </cell>
          <cell r="T102">
            <v>2.2194327999999999</v>
          </cell>
          <cell r="U102">
            <v>2.2194327999999999</v>
          </cell>
        </row>
        <row r="103">
          <cell r="B103" t="str">
            <v>Iceland</v>
          </cell>
          <cell r="C103" t="str">
            <v>Europe</v>
          </cell>
          <cell r="D103" t="str">
            <v>N</v>
          </cell>
          <cell r="E103" t="str">
            <v>ISK</v>
          </cell>
          <cell r="F103">
            <v>3500</v>
          </cell>
          <cell r="G103">
            <v>880</v>
          </cell>
          <cell r="H103">
            <v>880</v>
          </cell>
          <cell r="I103">
            <v>880</v>
          </cell>
          <cell r="J103">
            <v>880</v>
          </cell>
          <cell r="K103" t="str">
            <v>ISK</v>
          </cell>
          <cell r="L103">
            <v>3499.99</v>
          </cell>
          <cell r="M103">
            <v>1200</v>
          </cell>
          <cell r="N103">
            <v>1000</v>
          </cell>
          <cell r="O103">
            <v>800</v>
          </cell>
          <cell r="P103">
            <v>600</v>
          </cell>
          <cell r="Q103">
            <v>7.5685902999999997E-3</v>
          </cell>
          <cell r="R103">
            <v>9.082308359999999</v>
          </cell>
          <cell r="S103">
            <v>7.5685902999999994</v>
          </cell>
          <cell r="T103">
            <v>6.0548722399999999</v>
          </cell>
          <cell r="U103">
            <v>4.5411541799999995</v>
          </cell>
        </row>
        <row r="104">
          <cell r="B104" t="str">
            <v>India</v>
          </cell>
          <cell r="C104" t="str">
            <v>India</v>
          </cell>
          <cell r="D104" t="str">
            <v>Y</v>
          </cell>
          <cell r="E104" t="str">
            <v>INR</v>
          </cell>
          <cell r="F104">
            <v>199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 t="str">
            <v>INR</v>
          </cell>
          <cell r="L104">
            <v>219</v>
          </cell>
          <cell r="M104">
            <v>179</v>
          </cell>
          <cell r="N104">
            <v>179</v>
          </cell>
          <cell r="O104">
            <v>89</v>
          </cell>
          <cell r="P104">
            <v>89</v>
          </cell>
          <cell r="Q104">
            <v>1.2932427999999999E-2</v>
          </cell>
          <cell r="R104">
            <v>2.3149046119999999</v>
          </cell>
          <cell r="S104">
            <v>2.3149046119999999</v>
          </cell>
          <cell r="T104">
            <v>1.1509860919999999</v>
          </cell>
          <cell r="U104">
            <v>1.1509860919999999</v>
          </cell>
        </row>
        <row r="105">
          <cell r="B105" t="str">
            <v>Indonesia</v>
          </cell>
          <cell r="C105" t="str">
            <v>Asia</v>
          </cell>
          <cell r="D105" t="str">
            <v>Y</v>
          </cell>
          <cell r="E105" t="str">
            <v>IDR</v>
          </cell>
          <cell r="F105">
            <v>154000</v>
          </cell>
          <cell r="G105">
            <v>14100</v>
          </cell>
          <cell r="H105">
            <v>14100</v>
          </cell>
          <cell r="I105">
            <v>14100</v>
          </cell>
          <cell r="J105">
            <v>14100</v>
          </cell>
          <cell r="K105" t="str">
            <v>IDR</v>
          </cell>
          <cell r="L105">
            <v>135000</v>
          </cell>
          <cell r="M105">
            <v>65000</v>
          </cell>
          <cell r="N105">
            <v>65000</v>
          </cell>
          <cell r="O105">
            <v>35000</v>
          </cell>
          <cell r="P105">
            <v>35000</v>
          </cell>
          <cell r="Q105">
            <v>6.8695469999999998E-5</v>
          </cell>
          <cell r="R105">
            <v>4.4652055499999994</v>
          </cell>
          <cell r="S105">
            <v>4.4652055499999994</v>
          </cell>
          <cell r="T105">
            <v>2.40434145</v>
          </cell>
          <cell r="U105">
            <v>2.40434145</v>
          </cell>
        </row>
        <row r="106">
          <cell r="B106" t="str">
            <v>Iraq</v>
          </cell>
          <cell r="C106" t="str">
            <v>Middle East</v>
          </cell>
          <cell r="D106" t="str">
            <v>N</v>
          </cell>
          <cell r="E106">
            <v>0</v>
          </cell>
          <cell r="F106" t="e">
            <v>#N/A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#N/A</v>
          </cell>
          <cell r="K106" t="str">
            <v>USD</v>
          </cell>
          <cell r="L106">
            <v>12.99</v>
          </cell>
          <cell r="M106">
            <v>4.99</v>
          </cell>
          <cell r="N106">
            <v>3.99</v>
          </cell>
          <cell r="O106">
            <v>2.99</v>
          </cell>
          <cell r="P106">
            <v>1.99</v>
          </cell>
          <cell r="Q106">
            <v>1</v>
          </cell>
          <cell r="R106">
            <v>4.99</v>
          </cell>
          <cell r="S106">
            <v>3.99</v>
          </cell>
          <cell r="T106">
            <v>2.99</v>
          </cell>
          <cell r="U106">
            <v>1.99</v>
          </cell>
        </row>
        <row r="107">
          <cell r="B107" t="str">
            <v>Ireland</v>
          </cell>
          <cell r="C107" t="str">
            <v>Europe</v>
          </cell>
          <cell r="D107" t="str">
            <v>Y</v>
          </cell>
          <cell r="E107" t="str">
            <v>EUR</v>
          </cell>
          <cell r="F107">
            <v>27.99</v>
          </cell>
          <cell r="G107">
            <v>5.99</v>
          </cell>
          <cell r="H107">
            <v>5.99</v>
          </cell>
          <cell r="I107">
            <v>5.99</v>
          </cell>
          <cell r="J107">
            <v>5.99</v>
          </cell>
          <cell r="K107" t="str">
            <v>EUR</v>
          </cell>
          <cell r="L107">
            <v>17.989999999999998</v>
          </cell>
          <cell r="M107">
            <v>5.99</v>
          </cell>
          <cell r="N107">
            <v>4.99</v>
          </cell>
          <cell r="O107">
            <v>3.99</v>
          </cell>
          <cell r="P107">
            <v>2.99</v>
          </cell>
          <cell r="Q107">
            <v>1.0543</v>
          </cell>
          <cell r="R107">
            <v>6.3152569999999999</v>
          </cell>
          <cell r="S107">
            <v>5.2609570000000003</v>
          </cell>
          <cell r="T107">
            <v>4.2066569999999999</v>
          </cell>
          <cell r="U107">
            <v>3.1523570000000003</v>
          </cell>
        </row>
        <row r="108">
          <cell r="B108" t="str">
            <v>Isle Of Man</v>
          </cell>
          <cell r="C108" t="str">
            <v>Europe</v>
          </cell>
          <cell r="D108" t="str">
            <v>N</v>
          </cell>
          <cell r="E108" t="str">
            <v>USD</v>
          </cell>
          <cell r="F108">
            <v>27.99</v>
          </cell>
          <cell r="G108">
            <v>0.99</v>
          </cell>
          <cell r="H108">
            <v>0.99</v>
          </cell>
          <cell r="I108">
            <v>0.99</v>
          </cell>
          <cell r="J108">
            <v>0.99</v>
          </cell>
          <cell r="K108" t="str">
            <v>USD</v>
          </cell>
          <cell r="L108">
            <v>19.989999999999998</v>
          </cell>
          <cell r="M108">
            <v>6.99</v>
          </cell>
          <cell r="N108">
            <v>6.99</v>
          </cell>
          <cell r="O108">
            <v>3.99</v>
          </cell>
          <cell r="P108">
            <v>3.99</v>
          </cell>
          <cell r="Q108">
            <v>1</v>
          </cell>
          <cell r="R108">
            <v>6.99</v>
          </cell>
          <cell r="S108">
            <v>6.99</v>
          </cell>
          <cell r="T108">
            <v>3.99</v>
          </cell>
          <cell r="U108">
            <v>3.99</v>
          </cell>
        </row>
        <row r="109">
          <cell r="B109" t="str">
            <v>Israel</v>
          </cell>
          <cell r="C109" t="str">
            <v>Europe</v>
          </cell>
          <cell r="D109" t="str">
            <v>Y</v>
          </cell>
          <cell r="E109" t="str">
            <v>ILS</v>
          </cell>
          <cell r="F109">
            <v>82.99</v>
          </cell>
          <cell r="G109">
            <v>21.99</v>
          </cell>
          <cell r="H109">
            <v>13.99</v>
          </cell>
          <cell r="I109">
            <v>10.99</v>
          </cell>
          <cell r="J109">
            <v>6.99</v>
          </cell>
          <cell r="K109" t="str">
            <v>ILS</v>
          </cell>
          <cell r="L109">
            <v>64.989999999999995</v>
          </cell>
          <cell r="M109">
            <v>25.9</v>
          </cell>
          <cell r="N109">
            <v>19.899999999999999</v>
          </cell>
          <cell r="O109">
            <v>13.9</v>
          </cell>
          <cell r="P109">
            <v>10.9</v>
          </cell>
          <cell r="Q109">
            <v>0.28877946999999998</v>
          </cell>
          <cell r="R109">
            <v>7.4793882729999988</v>
          </cell>
          <cell r="S109">
            <v>5.7467114529999996</v>
          </cell>
          <cell r="T109">
            <v>4.0140346329999996</v>
          </cell>
          <cell r="U109">
            <v>3.1476962230000001</v>
          </cell>
        </row>
        <row r="110">
          <cell r="B110" t="str">
            <v>Italy</v>
          </cell>
          <cell r="C110" t="str">
            <v>Europe</v>
          </cell>
          <cell r="D110" t="str">
            <v>Y</v>
          </cell>
          <cell r="E110" t="str">
            <v>EUR</v>
          </cell>
          <cell r="F110">
            <v>19.989999999999998</v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>EUR</v>
          </cell>
          <cell r="L110">
            <v>14.99</v>
          </cell>
          <cell r="M110"/>
          <cell r="N110"/>
          <cell r="O110"/>
          <cell r="P110"/>
          <cell r="Q110"/>
          <cell r="R110"/>
          <cell r="S110"/>
          <cell r="T110"/>
          <cell r="U110"/>
        </row>
        <row r="111">
          <cell r="B111" t="str">
            <v>Jamaica</v>
          </cell>
          <cell r="C111" t="str">
            <v>Latin America</v>
          </cell>
          <cell r="D111" t="str">
            <v>N</v>
          </cell>
          <cell r="E111" t="str">
            <v>JMD</v>
          </cell>
          <cell r="F111">
            <v>1800</v>
          </cell>
          <cell r="G111">
            <v>389.99</v>
          </cell>
          <cell r="H111">
            <v>389.99</v>
          </cell>
          <cell r="I111">
            <v>259.99</v>
          </cell>
          <cell r="J111">
            <v>129.99</v>
          </cell>
          <cell r="K111" t="str">
            <v>JMD</v>
          </cell>
          <cell r="L111">
            <v>1599.99</v>
          </cell>
          <cell r="M111">
            <v>549.99</v>
          </cell>
          <cell r="N111">
            <v>449.99</v>
          </cell>
          <cell r="O111">
            <v>349.99</v>
          </cell>
          <cell r="P111">
            <v>249.99</v>
          </cell>
          <cell r="Q111">
            <v>6.4545423000000003E-3</v>
          </cell>
          <cell r="R111">
            <v>3.5499337195770004</v>
          </cell>
          <cell r="S111">
            <v>2.9044794895770001</v>
          </cell>
          <cell r="T111">
            <v>2.2590252595770002</v>
          </cell>
          <cell r="U111">
            <v>1.613571029577</v>
          </cell>
        </row>
        <row r="112">
          <cell r="B112" t="str">
            <v>Jersey</v>
          </cell>
          <cell r="C112" t="str">
            <v>Europe</v>
          </cell>
          <cell r="D112" t="str">
            <v>N</v>
          </cell>
          <cell r="E112" t="str">
            <v>USD</v>
          </cell>
          <cell r="F112">
            <v>27.99</v>
          </cell>
          <cell r="G112">
            <v>0.99</v>
          </cell>
          <cell r="H112">
            <v>0.99</v>
          </cell>
          <cell r="I112">
            <v>0.99</v>
          </cell>
          <cell r="J112">
            <v>0.99</v>
          </cell>
          <cell r="K112" t="str">
            <v>USD</v>
          </cell>
          <cell r="L112">
            <v>19.989999999999998</v>
          </cell>
          <cell r="M112">
            <v>6.99</v>
          </cell>
          <cell r="N112">
            <v>6.99</v>
          </cell>
          <cell r="O112">
            <v>3.99</v>
          </cell>
          <cell r="P112">
            <v>3.99</v>
          </cell>
          <cell r="Q112">
            <v>1</v>
          </cell>
          <cell r="R112">
            <v>6.99</v>
          </cell>
          <cell r="S112">
            <v>6.99</v>
          </cell>
          <cell r="T112">
            <v>3.99</v>
          </cell>
          <cell r="U112">
            <v>3.99</v>
          </cell>
        </row>
        <row r="113">
          <cell r="B113" t="str">
            <v>Jordan</v>
          </cell>
          <cell r="C113" t="str">
            <v>Middle East</v>
          </cell>
          <cell r="D113" t="str">
            <v>N</v>
          </cell>
          <cell r="E113" t="str">
            <v>JOD</v>
          </cell>
          <cell r="F113">
            <v>9.99</v>
          </cell>
          <cell r="G113">
            <v>1.99</v>
          </cell>
          <cell r="H113">
            <v>1.99</v>
          </cell>
          <cell r="I113">
            <v>0.99</v>
          </cell>
          <cell r="J113">
            <v>0.99</v>
          </cell>
          <cell r="K113" t="str">
            <v>JOD</v>
          </cell>
          <cell r="L113">
            <v>8.9990000000000006</v>
          </cell>
          <cell r="M113">
            <v>2.9990000000000001</v>
          </cell>
          <cell r="N113">
            <v>2.4990000000000001</v>
          </cell>
          <cell r="O113">
            <v>1.9990000000000001</v>
          </cell>
          <cell r="P113">
            <v>1.4990000000000001</v>
          </cell>
          <cell r="Q113">
            <v>1.4104372000000001</v>
          </cell>
          <cell r="R113">
            <v>4.2299011628000001</v>
          </cell>
          <cell r="S113">
            <v>3.5246825628000003</v>
          </cell>
          <cell r="T113">
            <v>2.8194639628000004</v>
          </cell>
          <cell r="U113">
            <v>2.1142453628000002</v>
          </cell>
        </row>
        <row r="114">
          <cell r="B114" t="str">
            <v>Kazakhstan</v>
          </cell>
          <cell r="C114" t="str">
            <v>Asia</v>
          </cell>
          <cell r="D114" t="str">
            <v>N</v>
          </cell>
          <cell r="E114" t="str">
            <v>KZT</v>
          </cell>
          <cell r="F114">
            <v>5400</v>
          </cell>
          <cell r="G114">
            <v>1200</v>
          </cell>
          <cell r="H114">
            <v>1200</v>
          </cell>
          <cell r="I114">
            <v>769.99</v>
          </cell>
          <cell r="J114">
            <v>379.99</v>
          </cell>
          <cell r="K114" t="str">
            <v>KZT</v>
          </cell>
          <cell r="L114">
            <v>4600</v>
          </cell>
          <cell r="M114">
            <v>1990</v>
          </cell>
          <cell r="N114">
            <v>1990</v>
          </cell>
          <cell r="O114">
            <v>999</v>
          </cell>
          <cell r="P114">
            <v>999</v>
          </cell>
          <cell r="Q114">
            <v>2.2764263999999999E-3</v>
          </cell>
          <cell r="R114">
            <v>4.5300885360000001</v>
          </cell>
          <cell r="S114">
            <v>4.5300885360000001</v>
          </cell>
          <cell r="T114">
            <v>2.2741499736000002</v>
          </cell>
          <cell r="U114">
            <v>2.2741499736000002</v>
          </cell>
        </row>
        <row r="115">
          <cell r="B115" t="str">
            <v>Kenya</v>
          </cell>
          <cell r="C115" t="str">
            <v>Africa</v>
          </cell>
          <cell r="D115" t="str">
            <v>N</v>
          </cell>
          <cell r="E115" t="str">
            <v>KES</v>
          </cell>
          <cell r="F115">
            <v>1100</v>
          </cell>
          <cell r="G115">
            <v>99.99</v>
          </cell>
          <cell r="H115">
            <v>99.99</v>
          </cell>
          <cell r="I115">
            <v>99.99</v>
          </cell>
          <cell r="J115">
            <v>99.99</v>
          </cell>
          <cell r="K115" t="str">
            <v>KES</v>
          </cell>
          <cell r="L115">
            <v>1100</v>
          </cell>
          <cell r="M115">
            <v>390</v>
          </cell>
          <cell r="N115">
            <v>320</v>
          </cell>
          <cell r="O115">
            <v>250</v>
          </cell>
          <cell r="P115">
            <v>180</v>
          </cell>
          <cell r="Q115">
            <v>8.6169755000000004E-3</v>
          </cell>
          <cell r="R115">
            <v>3.3606204450000003</v>
          </cell>
          <cell r="S115">
            <v>2.75743216</v>
          </cell>
          <cell r="T115">
            <v>2.1542438750000001</v>
          </cell>
          <cell r="U115">
            <v>1.55105559</v>
          </cell>
        </row>
        <row r="116">
          <cell r="B116" t="str">
            <v>Kiribati</v>
          </cell>
          <cell r="C116" t="str">
            <v>Asia</v>
          </cell>
          <cell r="D116" t="str">
            <v>N</v>
          </cell>
          <cell r="E116" t="str">
            <v>AUD</v>
          </cell>
          <cell r="F116">
            <v>19.989999999999998</v>
          </cell>
          <cell r="G116">
            <v>3.99</v>
          </cell>
          <cell r="H116">
            <v>3.99</v>
          </cell>
          <cell r="I116">
            <v>2.99</v>
          </cell>
          <cell r="J116">
            <v>0.99</v>
          </cell>
          <cell r="K116" t="str">
            <v>AUD</v>
          </cell>
          <cell r="L116">
            <v>12.99</v>
          </cell>
          <cell r="M116">
            <v>4.99</v>
          </cell>
          <cell r="N116">
            <v>3.99</v>
          </cell>
          <cell r="O116">
            <v>2.99</v>
          </cell>
          <cell r="P116">
            <v>1.9900000000000002</v>
          </cell>
          <cell r="Q116">
            <v>0.69404995000000003</v>
          </cell>
          <cell r="R116">
            <v>3.4633092505000005</v>
          </cell>
          <cell r="S116">
            <v>2.7692593005000004</v>
          </cell>
          <cell r="T116">
            <v>2.0752093505000002</v>
          </cell>
          <cell r="U116">
            <v>1.3811594005000003</v>
          </cell>
        </row>
        <row r="117">
          <cell r="B117" t="str">
            <v>Kosovo</v>
          </cell>
          <cell r="C117" t="str">
            <v>Europe</v>
          </cell>
          <cell r="D117" t="str">
            <v>N</v>
          </cell>
          <cell r="E117" t="str">
            <v>EUR</v>
          </cell>
          <cell r="F117">
            <v>12.99</v>
          </cell>
          <cell r="G117">
            <v>2.99</v>
          </cell>
          <cell r="H117">
            <v>2.99</v>
          </cell>
          <cell r="I117">
            <v>1.99</v>
          </cell>
          <cell r="J117">
            <v>0.99</v>
          </cell>
          <cell r="K117" t="str">
            <v>EUR</v>
          </cell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</row>
        <row r="118">
          <cell r="B118" t="str">
            <v>Kuwait</v>
          </cell>
          <cell r="C118" t="str">
            <v>Middle East</v>
          </cell>
          <cell r="D118" t="str">
            <v>N</v>
          </cell>
          <cell r="E118" t="str">
            <v>KWD</v>
          </cell>
          <cell r="F118">
            <v>6.99</v>
          </cell>
          <cell r="G118">
            <v>1.99</v>
          </cell>
          <cell r="H118">
            <v>0.99</v>
          </cell>
          <cell r="I118">
            <v>0.99</v>
          </cell>
          <cell r="J118">
            <v>0.99</v>
          </cell>
          <cell r="K118" t="str">
            <v>KWD</v>
          </cell>
          <cell r="L118">
            <v>6.9989999999999997</v>
          </cell>
          <cell r="M118">
            <v>2.9990000000000001</v>
          </cell>
          <cell r="N118">
            <v>2.9990000000000001</v>
          </cell>
          <cell r="O118">
            <v>1.4990000000000001</v>
          </cell>
          <cell r="P118">
            <v>1.4990000000000001</v>
          </cell>
          <cell r="Q118">
            <v>3.2594523</v>
          </cell>
          <cell r="R118">
            <v>9.7750974477000003</v>
          </cell>
          <cell r="S118">
            <v>9.7750974477000003</v>
          </cell>
          <cell r="T118">
            <v>4.8859189977000002</v>
          </cell>
          <cell r="U118">
            <v>4.8859189977000002</v>
          </cell>
        </row>
        <row r="119">
          <cell r="B119" t="str">
            <v>Kyrgyzstan</v>
          </cell>
          <cell r="C119" t="str">
            <v>Asia</v>
          </cell>
          <cell r="D119" t="str">
            <v>N</v>
          </cell>
          <cell r="E119" t="str">
            <v>KGS</v>
          </cell>
          <cell r="F119">
            <v>979.99</v>
          </cell>
          <cell r="G119">
            <v>209.99</v>
          </cell>
          <cell r="H119">
            <v>209.99</v>
          </cell>
          <cell r="I119">
            <v>139.99</v>
          </cell>
          <cell r="J119">
            <v>68.989999999999995</v>
          </cell>
          <cell r="K119" t="str">
            <v>KGS</v>
          </cell>
          <cell r="L119">
            <v>979.99</v>
          </cell>
          <cell r="M119">
            <v>339.99</v>
          </cell>
          <cell r="N119">
            <v>279.99</v>
          </cell>
          <cell r="O119">
            <v>219.99</v>
          </cell>
          <cell r="P119">
            <v>159.99</v>
          </cell>
          <cell r="Q119">
            <v>1.2176737999999999E-2</v>
          </cell>
          <cell r="R119">
            <v>4.13996915262</v>
          </cell>
          <cell r="S119">
            <v>3.4093648726199999</v>
          </cell>
          <cell r="T119">
            <v>2.6787605926199998</v>
          </cell>
          <cell r="U119">
            <v>1.9481563126200001</v>
          </cell>
        </row>
        <row r="120">
          <cell r="B120" t="str">
            <v>Laos</v>
          </cell>
          <cell r="C120" t="str">
            <v>Asia</v>
          </cell>
          <cell r="D120" t="str">
            <v>N</v>
          </cell>
          <cell r="E120" t="str">
            <v>LAK</v>
          </cell>
          <cell r="F120">
            <v>95100</v>
          </cell>
          <cell r="G120">
            <v>8600</v>
          </cell>
          <cell r="H120">
            <v>8600</v>
          </cell>
          <cell r="I120">
            <v>8600</v>
          </cell>
          <cell r="J120">
            <v>8600</v>
          </cell>
          <cell r="K120" t="str">
            <v>LAK</v>
          </cell>
          <cell r="L120">
            <v>95100</v>
          </cell>
          <cell r="M120">
            <v>33300</v>
          </cell>
          <cell r="N120">
            <v>27300</v>
          </cell>
          <cell r="O120">
            <v>21300</v>
          </cell>
          <cell r="P120">
            <v>15300</v>
          </cell>
          <cell r="Q120">
            <v>7.8201039999999995E-5</v>
          </cell>
          <cell r="R120">
            <v>2.6040946319999998</v>
          </cell>
          <cell r="S120">
            <v>2.1348883919999997</v>
          </cell>
          <cell r="T120">
            <v>1.6656821519999998</v>
          </cell>
          <cell r="U120">
            <v>1.1964759119999999</v>
          </cell>
        </row>
        <row r="121">
          <cell r="B121" t="str">
            <v>Latvia</v>
          </cell>
          <cell r="C121" t="str">
            <v>Europe</v>
          </cell>
          <cell r="D121" t="str">
            <v>N</v>
          </cell>
          <cell r="E121" t="str">
            <v>EUR</v>
          </cell>
          <cell r="F121">
            <v>11.99</v>
          </cell>
          <cell r="G121">
            <v>2.99</v>
          </cell>
          <cell r="H121">
            <v>2.99</v>
          </cell>
          <cell r="I121">
            <v>1.99</v>
          </cell>
          <cell r="J121">
            <v>0.99</v>
          </cell>
          <cell r="K121" t="str">
            <v>EUR</v>
          </cell>
          <cell r="L121">
            <v>9.99</v>
          </cell>
          <cell r="M121">
            <v>3.99</v>
          </cell>
          <cell r="N121">
            <v>3.99</v>
          </cell>
          <cell r="O121">
            <v>1.99</v>
          </cell>
          <cell r="P121">
            <v>1.99</v>
          </cell>
          <cell r="Q121">
            <v>1.0543</v>
          </cell>
          <cell r="R121">
            <v>4.2066569999999999</v>
          </cell>
          <cell r="S121">
            <v>4.2066569999999999</v>
          </cell>
          <cell r="T121">
            <v>2.0980569999999998</v>
          </cell>
          <cell r="U121">
            <v>2.0980569999999998</v>
          </cell>
        </row>
        <row r="122">
          <cell r="B122" t="str">
            <v>Lebanon</v>
          </cell>
          <cell r="C122" t="str">
            <v>Middle East</v>
          </cell>
          <cell r="D122" t="str">
            <v>N</v>
          </cell>
          <cell r="E122" t="str">
            <v>LBP</v>
          </cell>
          <cell r="F122">
            <v>21100</v>
          </cell>
          <cell r="G122">
            <v>4500</v>
          </cell>
          <cell r="H122">
            <v>4500</v>
          </cell>
          <cell r="I122">
            <v>3000</v>
          </cell>
          <cell r="J122">
            <v>1500</v>
          </cell>
          <cell r="K122" t="str">
            <v>LBP</v>
          </cell>
          <cell r="L122">
            <v>13999.99</v>
          </cell>
          <cell r="M122">
            <v>4899.99</v>
          </cell>
          <cell r="N122">
            <v>3999.99</v>
          </cell>
          <cell r="O122">
            <v>3099.99</v>
          </cell>
          <cell r="P122">
            <v>2199.9899999999998</v>
          </cell>
          <cell r="Q122">
            <v>6.6128819999999996E-4</v>
          </cell>
          <cell r="R122">
            <v>3.2403055671179999</v>
          </cell>
          <cell r="S122">
            <v>2.6451461871179998</v>
          </cell>
          <cell r="T122">
            <v>2.0499868071179996</v>
          </cell>
          <cell r="U122">
            <v>1.4548274271179997</v>
          </cell>
        </row>
        <row r="123">
          <cell r="B123" t="str">
            <v>Lesotho</v>
          </cell>
          <cell r="C123" t="str">
            <v>Africa</v>
          </cell>
          <cell r="D123" t="str">
            <v>N</v>
          </cell>
          <cell r="E123" t="str">
            <v>USD</v>
          </cell>
          <cell r="F123">
            <v>10.99</v>
          </cell>
          <cell r="G123">
            <v>0.99</v>
          </cell>
          <cell r="H123">
            <v>0.99</v>
          </cell>
          <cell r="I123">
            <v>0.99</v>
          </cell>
          <cell r="J123">
            <v>0.99</v>
          </cell>
          <cell r="K123" t="str">
            <v>USD</v>
          </cell>
          <cell r="L123">
            <v>8.99</v>
          </cell>
          <cell r="M123">
            <v>2.99</v>
          </cell>
          <cell r="N123">
            <v>2.4900000000000002</v>
          </cell>
          <cell r="O123">
            <v>1.9900000000000002</v>
          </cell>
          <cell r="P123">
            <v>1.4900000000000002</v>
          </cell>
          <cell r="Q123">
            <v>1</v>
          </cell>
          <cell r="R123">
            <v>2.99</v>
          </cell>
          <cell r="S123">
            <v>2.4900000000000002</v>
          </cell>
          <cell r="T123">
            <v>1.9900000000000002</v>
          </cell>
          <cell r="U123">
            <v>1.4900000000000002</v>
          </cell>
        </row>
        <row r="124">
          <cell r="B124" t="str">
            <v>Liberia</v>
          </cell>
          <cell r="C124" t="str">
            <v>Africa</v>
          </cell>
          <cell r="D124" t="str">
            <v>N</v>
          </cell>
          <cell r="E124" t="str">
            <v>LRD</v>
          </cell>
          <cell r="F124">
            <v>1900</v>
          </cell>
          <cell r="G124">
            <v>199.99</v>
          </cell>
          <cell r="H124">
            <v>199.99</v>
          </cell>
          <cell r="I124">
            <v>199.99</v>
          </cell>
          <cell r="J124">
            <v>199.99</v>
          </cell>
          <cell r="K124" t="str">
            <v>USD</v>
          </cell>
          <cell r="L124">
            <v>8.99</v>
          </cell>
          <cell r="M124">
            <v>3.99</v>
          </cell>
          <cell r="N124">
            <v>3.99</v>
          </cell>
          <cell r="O124">
            <v>1.99</v>
          </cell>
          <cell r="P124">
            <v>1.99</v>
          </cell>
          <cell r="Q124">
            <v>1</v>
          </cell>
          <cell r="R124">
            <v>3.99</v>
          </cell>
          <cell r="S124">
            <v>3.99</v>
          </cell>
          <cell r="T124">
            <v>1.99</v>
          </cell>
          <cell r="U124">
            <v>1.99</v>
          </cell>
        </row>
        <row r="125">
          <cell r="B125" t="str">
            <v>Libya</v>
          </cell>
          <cell r="C125" t="str">
            <v>Africa</v>
          </cell>
          <cell r="D125" t="str">
            <v>N</v>
          </cell>
          <cell r="E125">
            <v>0</v>
          </cell>
          <cell r="F125" t="e">
            <v>#N/A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#N/A</v>
          </cell>
          <cell r="K125" t="str">
            <v>USD</v>
          </cell>
          <cell r="L125">
            <v>9.99</v>
          </cell>
          <cell r="M125">
            <v>3.99</v>
          </cell>
          <cell r="N125">
            <v>3.99</v>
          </cell>
          <cell r="O125">
            <v>1.99</v>
          </cell>
          <cell r="P125">
            <v>1.99</v>
          </cell>
          <cell r="Q125">
            <v>1</v>
          </cell>
          <cell r="R125">
            <v>3.99</v>
          </cell>
          <cell r="S125">
            <v>3.99</v>
          </cell>
          <cell r="T125">
            <v>1.99</v>
          </cell>
          <cell r="U125">
            <v>1.99</v>
          </cell>
        </row>
        <row r="126">
          <cell r="B126" t="str">
            <v>Liechtenstein</v>
          </cell>
          <cell r="C126" t="str">
            <v>Europe</v>
          </cell>
          <cell r="D126" t="str">
            <v>N</v>
          </cell>
          <cell r="E126" t="str">
            <v>CHF</v>
          </cell>
          <cell r="F126">
            <v>27.99</v>
          </cell>
          <cell r="G126">
            <v>0.99</v>
          </cell>
          <cell r="H126">
            <v>0.99</v>
          </cell>
          <cell r="I126">
            <v>0.99</v>
          </cell>
          <cell r="J126">
            <v>0.99</v>
          </cell>
          <cell r="K126" t="str">
            <v>CHF</v>
          </cell>
          <cell r="L126">
            <v>24.99</v>
          </cell>
          <cell r="M126">
            <v>8.99</v>
          </cell>
          <cell r="N126">
            <v>7.49</v>
          </cell>
          <cell r="O126">
            <v>5.99</v>
          </cell>
          <cell r="P126">
            <v>4.49</v>
          </cell>
          <cell r="Q126">
            <v>1.0064919000000001</v>
          </cell>
          <cell r="R126">
            <v>9.0483621810000017</v>
          </cell>
          <cell r="S126">
            <v>7.5386243310000012</v>
          </cell>
          <cell r="T126">
            <v>6.0288864810000007</v>
          </cell>
          <cell r="U126">
            <v>4.5191486310000011</v>
          </cell>
        </row>
        <row r="127">
          <cell r="B127" t="str">
            <v>Lithuania</v>
          </cell>
          <cell r="C127" t="str">
            <v>Europe</v>
          </cell>
          <cell r="D127" t="str">
            <v>N</v>
          </cell>
          <cell r="E127" t="str">
            <v>EUR</v>
          </cell>
          <cell r="F127">
            <v>11.99</v>
          </cell>
          <cell r="G127">
            <v>2.99</v>
          </cell>
          <cell r="H127">
            <v>2.99</v>
          </cell>
          <cell r="I127">
            <v>1.99</v>
          </cell>
          <cell r="J127">
            <v>0.99</v>
          </cell>
          <cell r="K127" t="str">
            <v>EUR</v>
          </cell>
          <cell r="L127">
            <v>9.99</v>
          </cell>
          <cell r="M127">
            <v>3.99</v>
          </cell>
          <cell r="N127">
            <v>3.99</v>
          </cell>
          <cell r="O127">
            <v>1.99</v>
          </cell>
          <cell r="P127">
            <v>1.99</v>
          </cell>
          <cell r="Q127">
            <v>1.0543</v>
          </cell>
          <cell r="R127">
            <v>4.2066569999999999</v>
          </cell>
          <cell r="S127">
            <v>4.2066569999999999</v>
          </cell>
          <cell r="T127">
            <v>2.0980569999999998</v>
          </cell>
          <cell r="U127">
            <v>2.0980569999999998</v>
          </cell>
        </row>
        <row r="128">
          <cell r="B128" t="str">
            <v>Luxembourg</v>
          </cell>
          <cell r="C128" t="str">
            <v>Europe</v>
          </cell>
          <cell r="D128" t="str">
            <v>N</v>
          </cell>
          <cell r="E128" t="str">
            <v>EUR</v>
          </cell>
          <cell r="F128">
            <v>24.99</v>
          </cell>
          <cell r="G128">
            <v>5.99</v>
          </cell>
          <cell r="H128">
            <v>5.99</v>
          </cell>
          <cell r="I128">
            <v>5.99</v>
          </cell>
          <cell r="J128">
            <v>5.99</v>
          </cell>
          <cell r="K128" t="str">
            <v>EUR</v>
          </cell>
          <cell r="L128">
            <v>21.99</v>
          </cell>
          <cell r="M128">
            <v>7.99</v>
          </cell>
          <cell r="N128">
            <v>7.99</v>
          </cell>
          <cell r="O128">
            <v>3.99</v>
          </cell>
          <cell r="P128">
            <v>3.99</v>
          </cell>
          <cell r="Q128">
            <v>1.0543</v>
          </cell>
          <cell r="R128">
            <v>8.4238569999999999</v>
          </cell>
          <cell r="S128">
            <v>8.4238569999999999</v>
          </cell>
          <cell r="T128">
            <v>4.2066569999999999</v>
          </cell>
          <cell r="U128">
            <v>4.2066569999999999</v>
          </cell>
        </row>
        <row r="129">
          <cell r="B129" t="str">
            <v>Macao</v>
          </cell>
          <cell r="C129" t="str">
            <v>NBA China</v>
          </cell>
          <cell r="D129" t="str">
            <v>N</v>
          </cell>
          <cell r="E129" t="str">
            <v>MOP</v>
          </cell>
          <cell r="F129">
            <v>179.99</v>
          </cell>
          <cell r="G129">
            <v>23.99</v>
          </cell>
          <cell r="H129">
            <v>23.99</v>
          </cell>
          <cell r="I129">
            <v>15.99</v>
          </cell>
          <cell r="J129">
            <v>7.99</v>
          </cell>
          <cell r="K129" t="str">
            <v>MOP</v>
          </cell>
          <cell r="L129">
            <v>89.99</v>
          </cell>
          <cell r="M129">
            <v>30.99</v>
          </cell>
          <cell r="N129">
            <v>24.99</v>
          </cell>
          <cell r="O129">
            <v>18.989999999999998</v>
          </cell>
          <cell r="P129">
            <v>12.989999999999998</v>
          </cell>
          <cell r="Q129">
            <v>0.12367973</v>
          </cell>
          <cell r="R129">
            <v>3.8328348326999997</v>
          </cell>
          <cell r="S129">
            <v>3.0907564527</v>
          </cell>
          <cell r="T129">
            <v>2.3486780726999998</v>
          </cell>
          <cell r="U129">
            <v>1.6065996926999999</v>
          </cell>
        </row>
        <row r="130">
          <cell r="B130" t="str">
            <v>Macedonia</v>
          </cell>
          <cell r="C130" t="str">
            <v>Europe</v>
          </cell>
          <cell r="D130" t="str">
            <v>N</v>
          </cell>
          <cell r="E130" t="str">
            <v>MKD</v>
          </cell>
          <cell r="F130">
            <v>759.99</v>
          </cell>
          <cell r="G130">
            <v>159.99</v>
          </cell>
          <cell r="H130">
            <v>159.99</v>
          </cell>
          <cell r="I130">
            <v>109.99</v>
          </cell>
          <cell r="J130">
            <v>53.99</v>
          </cell>
          <cell r="K130" t="str">
            <v>MKD</v>
          </cell>
          <cell r="L130">
            <v>649.99</v>
          </cell>
          <cell r="M130">
            <v>229.99</v>
          </cell>
          <cell r="N130">
            <v>189.99</v>
          </cell>
          <cell r="O130">
            <v>149.99</v>
          </cell>
          <cell r="P130">
            <v>109.99000000000001</v>
          </cell>
          <cell r="Q130">
            <v>1.7123288E-2</v>
          </cell>
          <cell r="R130">
            <v>3.9381850071200004</v>
          </cell>
          <cell r="S130">
            <v>3.2532534871200003</v>
          </cell>
          <cell r="T130">
            <v>2.5683219671200002</v>
          </cell>
          <cell r="U130">
            <v>1.8833904471200003</v>
          </cell>
        </row>
        <row r="131">
          <cell r="B131" t="str">
            <v>Madagascar</v>
          </cell>
          <cell r="C131" t="str">
            <v>Africa</v>
          </cell>
          <cell r="D131" t="str">
            <v>N</v>
          </cell>
          <cell r="E131" t="str">
            <v>USD</v>
          </cell>
          <cell r="F131">
            <v>10.99</v>
          </cell>
          <cell r="G131">
            <v>0.99</v>
          </cell>
          <cell r="H131">
            <v>0.99</v>
          </cell>
          <cell r="I131">
            <v>0.99</v>
          </cell>
          <cell r="J131">
            <v>0.99</v>
          </cell>
          <cell r="K131" t="str">
            <v>USD</v>
          </cell>
          <cell r="L131">
            <v>8.99</v>
          </cell>
          <cell r="M131">
            <v>3.99</v>
          </cell>
          <cell r="N131">
            <v>3.99</v>
          </cell>
          <cell r="O131">
            <v>1.99</v>
          </cell>
          <cell r="P131">
            <v>1.99</v>
          </cell>
          <cell r="Q131">
            <v>1</v>
          </cell>
          <cell r="R131">
            <v>3.99</v>
          </cell>
          <cell r="S131">
            <v>3.99</v>
          </cell>
          <cell r="T131">
            <v>1.99</v>
          </cell>
          <cell r="U131">
            <v>1.99</v>
          </cell>
        </row>
        <row r="132">
          <cell r="B132" t="str">
            <v>Malawi</v>
          </cell>
          <cell r="C132" t="str">
            <v>Africa</v>
          </cell>
          <cell r="D132" t="str">
            <v>N</v>
          </cell>
          <cell r="E132" t="str">
            <v>MWK</v>
          </cell>
          <cell r="F132">
            <v>8200</v>
          </cell>
          <cell r="G132">
            <v>739.99</v>
          </cell>
          <cell r="H132">
            <v>739.99</v>
          </cell>
          <cell r="I132">
            <v>739.99</v>
          </cell>
          <cell r="J132">
            <v>739.99</v>
          </cell>
          <cell r="K132" t="str">
            <v>MWK</v>
          </cell>
          <cell r="L132">
            <v>7299.99</v>
          </cell>
          <cell r="M132">
            <v>2499.9899999999998</v>
          </cell>
          <cell r="N132">
            <v>1999.9899999999998</v>
          </cell>
          <cell r="O132">
            <v>1499.9899999999998</v>
          </cell>
          <cell r="P132">
            <v>999.98999999999978</v>
          </cell>
          <cell r="Q132">
            <v>1.2245298000000001E-3</v>
          </cell>
          <cell r="R132">
            <v>3.061312254702</v>
          </cell>
          <cell r="S132">
            <v>2.449047354702</v>
          </cell>
          <cell r="T132">
            <v>1.8367824547019997</v>
          </cell>
          <cell r="U132">
            <v>1.2245175547019997</v>
          </cell>
        </row>
        <row r="133">
          <cell r="B133" t="str">
            <v>Malaysia</v>
          </cell>
          <cell r="C133" t="str">
            <v>Asia</v>
          </cell>
          <cell r="D133" t="str">
            <v>Y</v>
          </cell>
          <cell r="E133" t="str">
            <v>MYR</v>
          </cell>
          <cell r="F133">
            <v>45.99</v>
          </cell>
          <cell r="G133">
            <v>7.99</v>
          </cell>
          <cell r="H133">
            <v>7.99</v>
          </cell>
          <cell r="I133">
            <v>7.99</v>
          </cell>
          <cell r="J133">
            <v>7.99</v>
          </cell>
          <cell r="K133" t="str">
            <v>MYR</v>
          </cell>
          <cell r="L133">
            <v>45.99</v>
          </cell>
          <cell r="M133">
            <v>16.899999999999999</v>
          </cell>
          <cell r="N133">
            <v>16.899999999999999</v>
          </cell>
          <cell r="O133">
            <v>7.9</v>
          </cell>
          <cell r="P133">
            <v>7.9</v>
          </cell>
          <cell r="Q133">
            <v>0.22818026</v>
          </cell>
          <cell r="R133">
            <v>3.8562463939999998</v>
          </cell>
          <cell r="S133">
            <v>3.8562463939999998</v>
          </cell>
          <cell r="T133">
            <v>1.802624054</v>
          </cell>
          <cell r="U133">
            <v>1.802624054</v>
          </cell>
        </row>
        <row r="134">
          <cell r="B134" t="str">
            <v>Maldives</v>
          </cell>
          <cell r="C134" t="str">
            <v>Asia</v>
          </cell>
          <cell r="D134" t="str">
            <v>N</v>
          </cell>
          <cell r="E134" t="str">
            <v>MVR</v>
          </cell>
          <cell r="F134">
            <v>219.99</v>
          </cell>
          <cell r="G134">
            <v>45.99</v>
          </cell>
          <cell r="H134">
            <v>45.99</v>
          </cell>
          <cell r="I134">
            <v>30.99</v>
          </cell>
          <cell r="J134">
            <v>14.99</v>
          </cell>
          <cell r="K134" t="str">
            <v>MVR</v>
          </cell>
          <cell r="L134">
            <v>134.99</v>
          </cell>
          <cell r="M134">
            <v>49.99</v>
          </cell>
          <cell r="N134">
            <v>39.99</v>
          </cell>
          <cell r="O134">
            <v>29.990000000000002</v>
          </cell>
          <cell r="P134">
            <v>19.990000000000002</v>
          </cell>
          <cell r="Q134">
            <v>6.4892925000000004E-2</v>
          </cell>
          <cell r="R134">
            <v>3.2439973207500001</v>
          </cell>
          <cell r="S134">
            <v>2.5950680707500005</v>
          </cell>
          <cell r="T134">
            <v>1.9461388207500003</v>
          </cell>
          <cell r="U134">
            <v>1.2972095707500002</v>
          </cell>
        </row>
        <row r="135">
          <cell r="B135" t="str">
            <v>Mali</v>
          </cell>
          <cell r="C135" t="str">
            <v>Africa</v>
          </cell>
          <cell r="D135" t="str">
            <v>N</v>
          </cell>
          <cell r="E135" t="str">
            <v>XOF</v>
          </cell>
          <cell r="F135">
            <v>6400</v>
          </cell>
          <cell r="G135">
            <v>580</v>
          </cell>
          <cell r="H135">
            <v>580</v>
          </cell>
          <cell r="I135">
            <v>580</v>
          </cell>
          <cell r="J135">
            <v>580</v>
          </cell>
          <cell r="K135" t="str">
            <v>XOF</v>
          </cell>
          <cell r="L135">
            <v>5400</v>
          </cell>
          <cell r="M135">
            <v>2000</v>
          </cell>
          <cell r="N135">
            <v>1600</v>
          </cell>
          <cell r="O135">
            <v>1200</v>
          </cell>
          <cell r="P135">
            <v>800</v>
          </cell>
          <cell r="Q135">
            <v>1.6072699E-3</v>
          </cell>
          <cell r="R135">
            <v>3.2145397999999998</v>
          </cell>
          <cell r="S135">
            <v>2.5716318400000002</v>
          </cell>
          <cell r="T135">
            <v>1.9287238799999999</v>
          </cell>
          <cell r="U135">
            <v>1.2858159200000001</v>
          </cell>
        </row>
        <row r="136">
          <cell r="B136" t="str">
            <v>Malta</v>
          </cell>
          <cell r="C136" t="str">
            <v>Europe</v>
          </cell>
          <cell r="D136" t="str">
            <v>N</v>
          </cell>
          <cell r="E136" t="str">
            <v>EUR</v>
          </cell>
          <cell r="F136">
            <v>19.989999999999998</v>
          </cell>
          <cell r="G136">
            <v>4.99</v>
          </cell>
          <cell r="H136">
            <v>3.99</v>
          </cell>
          <cell r="I136">
            <v>2.99</v>
          </cell>
          <cell r="J136">
            <v>1.99</v>
          </cell>
          <cell r="K136" t="str">
            <v>EUR</v>
          </cell>
          <cell r="L136">
            <v>16.989999999999998</v>
          </cell>
          <cell r="M136">
            <v>5.99</v>
          </cell>
          <cell r="N136">
            <v>4.99</v>
          </cell>
          <cell r="O136">
            <v>3.99</v>
          </cell>
          <cell r="P136">
            <v>2.99</v>
          </cell>
          <cell r="Q136">
            <v>1.0543</v>
          </cell>
          <cell r="R136">
            <v>6.3152569999999999</v>
          </cell>
          <cell r="S136">
            <v>5.2609570000000003</v>
          </cell>
          <cell r="T136">
            <v>4.2066569999999999</v>
          </cell>
          <cell r="U136">
            <v>3.1523570000000003</v>
          </cell>
        </row>
        <row r="137">
          <cell r="B137" t="str">
            <v>Marshall Islands</v>
          </cell>
          <cell r="C137" t="str">
            <v>Asia</v>
          </cell>
          <cell r="D137" t="str">
            <v>N</v>
          </cell>
          <cell r="E137" t="str">
            <v>USD</v>
          </cell>
          <cell r="F137">
            <v>13.99</v>
          </cell>
          <cell r="G137">
            <v>2.99</v>
          </cell>
          <cell r="H137">
            <v>2.99</v>
          </cell>
          <cell r="I137">
            <v>1.99</v>
          </cell>
          <cell r="J137">
            <v>0.99</v>
          </cell>
          <cell r="K137" t="str">
            <v>USD</v>
          </cell>
          <cell r="L137">
            <v>13.99</v>
          </cell>
          <cell r="M137">
            <v>4.99</v>
          </cell>
          <cell r="N137">
            <v>3.99</v>
          </cell>
          <cell r="O137">
            <v>2.99</v>
          </cell>
          <cell r="P137">
            <v>1.9900000000000002</v>
          </cell>
          <cell r="Q137">
            <v>1</v>
          </cell>
          <cell r="R137">
            <v>4.99</v>
          </cell>
          <cell r="S137">
            <v>3.99</v>
          </cell>
          <cell r="T137">
            <v>2.99</v>
          </cell>
          <cell r="U137">
            <v>1.9900000000000002</v>
          </cell>
        </row>
        <row r="138">
          <cell r="B138" t="str">
            <v>Martinique</v>
          </cell>
          <cell r="C138" t="str">
            <v>Latin America</v>
          </cell>
          <cell r="D138" t="str">
            <v>N</v>
          </cell>
          <cell r="E138" t="str">
            <v>EUR</v>
          </cell>
          <cell r="F138">
            <v>11.99</v>
          </cell>
          <cell r="G138">
            <v>2.99</v>
          </cell>
          <cell r="H138">
            <v>2.99</v>
          </cell>
          <cell r="I138">
            <v>1.99</v>
          </cell>
          <cell r="J138">
            <v>0.99</v>
          </cell>
          <cell r="K138" t="str">
            <v>EUR</v>
          </cell>
          <cell r="L138">
            <v>9.99</v>
          </cell>
          <cell r="M138">
            <v>3.99</v>
          </cell>
          <cell r="N138">
            <v>3.99</v>
          </cell>
          <cell r="O138">
            <v>1.9900000000000002</v>
          </cell>
          <cell r="P138">
            <v>1.9900000000000002</v>
          </cell>
          <cell r="Q138">
            <v>1.0543</v>
          </cell>
          <cell r="R138">
            <v>4.2066569999999999</v>
          </cell>
          <cell r="S138">
            <v>4.2066569999999999</v>
          </cell>
          <cell r="T138">
            <v>2.0980570000000003</v>
          </cell>
          <cell r="U138">
            <v>2.0980570000000003</v>
          </cell>
        </row>
        <row r="139">
          <cell r="B139" t="str">
            <v>Mauritania</v>
          </cell>
          <cell r="C139" t="str">
            <v>Africa</v>
          </cell>
          <cell r="D139" t="str">
            <v>N</v>
          </cell>
          <cell r="E139" t="str">
            <v>USD</v>
          </cell>
          <cell r="F139">
            <v>10.99</v>
          </cell>
          <cell r="G139">
            <v>0.99</v>
          </cell>
          <cell r="H139">
            <v>0.99</v>
          </cell>
          <cell r="I139">
            <v>0.99</v>
          </cell>
          <cell r="J139">
            <v>0.99</v>
          </cell>
          <cell r="K139" t="str">
            <v>USD</v>
          </cell>
          <cell r="L139">
            <v>8.99</v>
          </cell>
          <cell r="M139">
            <v>3.99</v>
          </cell>
          <cell r="N139">
            <v>3.99</v>
          </cell>
          <cell r="O139">
            <v>1.99</v>
          </cell>
          <cell r="P139">
            <v>1.99</v>
          </cell>
          <cell r="Q139">
            <v>1</v>
          </cell>
          <cell r="R139">
            <v>3.99</v>
          </cell>
          <cell r="S139">
            <v>3.99</v>
          </cell>
          <cell r="T139">
            <v>1.99</v>
          </cell>
          <cell r="U139">
            <v>1.99</v>
          </cell>
        </row>
        <row r="140">
          <cell r="B140" t="str">
            <v>Mauritius</v>
          </cell>
          <cell r="C140" t="str">
            <v>Africa</v>
          </cell>
          <cell r="D140" t="str">
            <v>N</v>
          </cell>
          <cell r="E140" t="str">
            <v>MUR</v>
          </cell>
          <cell r="F140">
            <v>439.99</v>
          </cell>
          <cell r="G140">
            <v>49.99</v>
          </cell>
          <cell r="H140">
            <v>49.99</v>
          </cell>
          <cell r="I140">
            <v>49.99</v>
          </cell>
          <cell r="J140">
            <v>49.99</v>
          </cell>
          <cell r="K140" t="str">
            <v>MUR</v>
          </cell>
          <cell r="L140">
            <v>319.99</v>
          </cell>
          <cell r="M140">
            <v>109.99</v>
          </cell>
          <cell r="N140">
            <v>89.99</v>
          </cell>
          <cell r="O140">
            <v>69.989999999999995</v>
          </cell>
          <cell r="P140">
            <v>49.989999999999995</v>
          </cell>
          <cell r="Q140">
            <v>2.3121387E-2</v>
          </cell>
          <cell r="R140">
            <v>2.5431213561299999</v>
          </cell>
          <cell r="S140">
            <v>2.08069361613</v>
          </cell>
          <cell r="T140">
            <v>1.6182658761299999</v>
          </cell>
          <cell r="U140">
            <v>1.1558381361299999</v>
          </cell>
        </row>
        <row r="141">
          <cell r="B141" t="str">
            <v>Mayotte</v>
          </cell>
          <cell r="C141" t="str">
            <v>Africa</v>
          </cell>
          <cell r="D141" t="str">
            <v>N</v>
          </cell>
          <cell r="E141" t="str">
            <v>EUR</v>
          </cell>
          <cell r="F141">
            <v>9.99</v>
          </cell>
          <cell r="G141">
            <v>0.99</v>
          </cell>
          <cell r="H141">
            <v>0.99</v>
          </cell>
          <cell r="I141">
            <v>0.99</v>
          </cell>
          <cell r="J141">
            <v>0.99</v>
          </cell>
          <cell r="K141" t="str">
            <v>EUR</v>
          </cell>
          <cell r="L141">
            <v>9.99</v>
          </cell>
          <cell r="M141">
            <v>3.99</v>
          </cell>
          <cell r="N141">
            <v>3.99</v>
          </cell>
          <cell r="O141">
            <v>1.9900000000000002</v>
          </cell>
          <cell r="P141">
            <v>1.9900000000000002</v>
          </cell>
          <cell r="Q141">
            <v>1.0543</v>
          </cell>
          <cell r="R141">
            <v>4.2066569999999999</v>
          </cell>
          <cell r="S141">
            <v>4.2066569999999999</v>
          </cell>
          <cell r="T141">
            <v>2.0980570000000003</v>
          </cell>
          <cell r="U141">
            <v>2.0980570000000003</v>
          </cell>
        </row>
        <row r="142">
          <cell r="B142" t="str">
            <v>Mexico</v>
          </cell>
          <cell r="C142" t="str">
            <v>Latin America</v>
          </cell>
          <cell r="D142" t="str">
            <v>Y</v>
          </cell>
          <cell r="E142" t="str">
            <v>MXN</v>
          </cell>
          <cell r="F142">
            <v>210</v>
          </cell>
          <cell r="G142">
            <v>38</v>
          </cell>
          <cell r="H142">
            <v>38</v>
          </cell>
          <cell r="I142">
            <v>38</v>
          </cell>
          <cell r="J142">
            <v>38</v>
          </cell>
          <cell r="K142" t="str">
            <v>MXN</v>
          </cell>
          <cell r="L142">
            <v>210</v>
          </cell>
          <cell r="M142">
            <v>99</v>
          </cell>
          <cell r="N142">
            <v>99</v>
          </cell>
          <cell r="O142">
            <v>49</v>
          </cell>
          <cell r="P142">
            <v>49</v>
          </cell>
          <cell r="Q142">
            <v>4.9025618E-2</v>
          </cell>
          <cell r="R142">
            <v>4.853536182</v>
          </cell>
          <cell r="S142">
            <v>4.853536182</v>
          </cell>
          <cell r="T142">
            <v>2.402255282</v>
          </cell>
          <cell r="U142">
            <v>2.402255282</v>
          </cell>
        </row>
        <row r="143">
          <cell r="B143" t="str">
            <v>Micronesia</v>
          </cell>
          <cell r="C143" t="str">
            <v>Asia</v>
          </cell>
          <cell r="D143" t="str">
            <v>N</v>
          </cell>
          <cell r="E143" t="str">
            <v>USD</v>
          </cell>
          <cell r="F143">
            <v>13.99</v>
          </cell>
          <cell r="G143">
            <v>2.99</v>
          </cell>
          <cell r="H143">
            <v>2.99</v>
          </cell>
          <cell r="I143">
            <v>1.99</v>
          </cell>
          <cell r="J143">
            <v>0.99</v>
          </cell>
          <cell r="K143" t="str">
            <v>USD</v>
          </cell>
          <cell r="L143">
            <v>13.99</v>
          </cell>
          <cell r="M143">
            <v>4.99</v>
          </cell>
          <cell r="N143">
            <v>3.99</v>
          </cell>
          <cell r="O143">
            <v>2.99</v>
          </cell>
          <cell r="P143">
            <v>1.9900000000000002</v>
          </cell>
          <cell r="Q143">
            <v>1</v>
          </cell>
          <cell r="R143">
            <v>4.99</v>
          </cell>
          <cell r="S143">
            <v>3.99</v>
          </cell>
          <cell r="T143">
            <v>2.99</v>
          </cell>
          <cell r="U143">
            <v>1.9900000000000002</v>
          </cell>
        </row>
        <row r="144">
          <cell r="B144" t="str">
            <v>Moldova</v>
          </cell>
          <cell r="C144" t="str">
            <v>Europe</v>
          </cell>
          <cell r="D144" t="str">
            <v>N</v>
          </cell>
          <cell r="E144" t="str">
            <v>MDL</v>
          </cell>
          <cell r="F144">
            <v>249.99</v>
          </cell>
          <cell r="G144">
            <v>53.99</v>
          </cell>
          <cell r="H144">
            <v>53.99</v>
          </cell>
          <cell r="I144">
            <v>35.99</v>
          </cell>
          <cell r="J144">
            <v>17.989999999999998</v>
          </cell>
          <cell r="K144" t="str">
            <v>MDL</v>
          </cell>
          <cell r="L144">
            <v>184.99</v>
          </cell>
          <cell r="M144">
            <v>64.989999999999995</v>
          </cell>
          <cell r="N144">
            <v>53.989999999999995</v>
          </cell>
          <cell r="O144">
            <v>42.989999999999995</v>
          </cell>
          <cell r="P144">
            <v>31.989999999999995</v>
          </cell>
          <cell r="Q144">
            <v>5.3319119999999998E-2</v>
          </cell>
          <cell r="R144">
            <v>3.4652096087999995</v>
          </cell>
          <cell r="S144">
            <v>2.8786992887999996</v>
          </cell>
          <cell r="T144">
            <v>2.2921889687999997</v>
          </cell>
          <cell r="U144">
            <v>1.7056786487999998</v>
          </cell>
        </row>
        <row r="145">
          <cell r="B145" t="str">
            <v>Monaco</v>
          </cell>
          <cell r="C145" t="str">
            <v>Europe</v>
          </cell>
          <cell r="D145" t="str">
            <v>N</v>
          </cell>
          <cell r="E145" t="str">
            <v>EUR</v>
          </cell>
          <cell r="F145">
            <v>24.99</v>
          </cell>
          <cell r="G145">
            <v>0.99</v>
          </cell>
          <cell r="H145">
            <v>0.99</v>
          </cell>
          <cell r="I145">
            <v>0.99</v>
          </cell>
          <cell r="J145">
            <v>0.99</v>
          </cell>
          <cell r="K145" t="str">
            <v>EUR</v>
          </cell>
          <cell r="L145">
            <v>14.99</v>
          </cell>
          <cell r="M145">
            <v>4.99</v>
          </cell>
          <cell r="N145">
            <v>3.99</v>
          </cell>
          <cell r="O145">
            <v>2.99</v>
          </cell>
          <cell r="P145">
            <v>1.9900000000000002</v>
          </cell>
          <cell r="Q145">
            <v>1.0543</v>
          </cell>
          <cell r="R145">
            <v>5.2609570000000003</v>
          </cell>
          <cell r="S145">
            <v>4.2066569999999999</v>
          </cell>
          <cell r="T145">
            <v>3.1523570000000003</v>
          </cell>
          <cell r="U145">
            <v>2.0980570000000003</v>
          </cell>
        </row>
        <row r="146">
          <cell r="B146" t="str">
            <v>Mongolia</v>
          </cell>
          <cell r="C146" t="str">
            <v>Asia</v>
          </cell>
          <cell r="D146" t="str">
            <v>N</v>
          </cell>
          <cell r="E146" t="str">
            <v>MNT</v>
          </cell>
          <cell r="F146">
            <v>29200</v>
          </cell>
          <cell r="G146">
            <v>2600</v>
          </cell>
          <cell r="H146">
            <v>2600</v>
          </cell>
          <cell r="I146">
            <v>2600</v>
          </cell>
          <cell r="J146">
            <v>2600</v>
          </cell>
          <cell r="K146" t="str">
            <v>MNT</v>
          </cell>
          <cell r="L146">
            <v>29200</v>
          </cell>
          <cell r="M146">
            <v>10200</v>
          </cell>
          <cell r="N146">
            <v>8200</v>
          </cell>
          <cell r="O146">
            <v>6200</v>
          </cell>
          <cell r="P146">
            <v>4200</v>
          </cell>
          <cell r="Q146">
            <v>3.2154340000000001E-4</v>
          </cell>
          <cell r="R146">
            <v>3.27974268</v>
          </cell>
          <cell r="S146">
            <v>2.6366558800000002</v>
          </cell>
          <cell r="T146">
            <v>1.9935690800000001</v>
          </cell>
          <cell r="U146">
            <v>1.35048228</v>
          </cell>
        </row>
        <row r="147">
          <cell r="B147" t="str">
            <v>Montenegro</v>
          </cell>
          <cell r="C147" t="str">
            <v>Europe</v>
          </cell>
          <cell r="D147" t="str">
            <v>N</v>
          </cell>
          <cell r="E147" t="str">
            <v>EUR</v>
          </cell>
          <cell r="F147">
            <v>11.99</v>
          </cell>
          <cell r="G147">
            <v>2.99</v>
          </cell>
          <cell r="H147">
            <v>2.99</v>
          </cell>
          <cell r="I147">
            <v>1.99</v>
          </cell>
          <cell r="J147">
            <v>0.99</v>
          </cell>
          <cell r="K147" t="str">
            <v>EUR</v>
          </cell>
          <cell r="L147">
            <v>9.99</v>
          </cell>
          <cell r="M147">
            <v>3.29</v>
          </cell>
          <cell r="N147">
            <v>3.29</v>
          </cell>
          <cell r="O147">
            <v>1.69</v>
          </cell>
          <cell r="P147">
            <v>1.69</v>
          </cell>
          <cell r="Q147">
            <v>1.0543</v>
          </cell>
          <cell r="R147">
            <v>3.4686470000000003</v>
          </cell>
          <cell r="S147">
            <v>3.4686470000000003</v>
          </cell>
          <cell r="T147">
            <v>1.7817669999999999</v>
          </cell>
          <cell r="U147">
            <v>1.7817669999999999</v>
          </cell>
        </row>
        <row r="148">
          <cell r="B148" t="str">
            <v>Montserrat</v>
          </cell>
          <cell r="C148" t="str">
            <v>Latin America</v>
          </cell>
          <cell r="D148" t="str">
            <v>N</v>
          </cell>
          <cell r="E148" t="str">
            <v>XCD</v>
          </cell>
          <cell r="F148">
            <v>37.99</v>
          </cell>
          <cell r="G148">
            <v>7.99</v>
          </cell>
          <cell r="H148">
            <v>7.99</v>
          </cell>
          <cell r="I148">
            <v>4.99</v>
          </cell>
          <cell r="J148">
            <v>2.99</v>
          </cell>
          <cell r="K148" t="str">
            <v>XCD</v>
          </cell>
          <cell r="L148">
            <v>32.99</v>
          </cell>
          <cell r="M148">
            <v>11.99</v>
          </cell>
          <cell r="N148">
            <v>9.99</v>
          </cell>
          <cell r="O148">
            <v>7.99</v>
          </cell>
          <cell r="P148">
            <v>5.99</v>
          </cell>
          <cell r="Q148">
            <v>0.37037036000000001</v>
          </cell>
          <cell r="R148">
            <v>4.4407406164000003</v>
          </cell>
          <cell r="S148">
            <v>3.6999998964</v>
          </cell>
          <cell r="T148">
            <v>2.9592591764000002</v>
          </cell>
          <cell r="U148">
            <v>2.2185184564</v>
          </cell>
        </row>
        <row r="149">
          <cell r="B149" t="str">
            <v>Morocco</v>
          </cell>
          <cell r="C149" t="str">
            <v>Africa</v>
          </cell>
          <cell r="D149" t="str">
            <v>N</v>
          </cell>
          <cell r="E149" t="str">
            <v>MAD</v>
          </cell>
          <cell r="F149">
            <v>109.99</v>
          </cell>
          <cell r="G149">
            <v>9.99</v>
          </cell>
          <cell r="H149">
            <v>9.99</v>
          </cell>
          <cell r="I149">
            <v>9.99</v>
          </cell>
          <cell r="J149">
            <v>9.99</v>
          </cell>
          <cell r="K149" t="str">
            <v>MAD</v>
          </cell>
          <cell r="L149">
            <v>90</v>
          </cell>
          <cell r="M149">
            <v>30</v>
          </cell>
          <cell r="N149">
            <v>25</v>
          </cell>
          <cell r="O149">
            <v>20</v>
          </cell>
          <cell r="P149">
            <v>15</v>
          </cell>
          <cell r="Q149">
            <v>9.9615975999999995E-2</v>
          </cell>
          <cell r="R149">
            <v>2.98847928</v>
          </cell>
          <cell r="S149">
            <v>2.4903993999999998</v>
          </cell>
          <cell r="T149">
            <v>1.9923195199999999</v>
          </cell>
          <cell r="U149">
            <v>1.49423964</v>
          </cell>
        </row>
        <row r="150">
          <cell r="B150" t="str">
            <v>Mozambique</v>
          </cell>
          <cell r="C150" t="str">
            <v>Africa</v>
          </cell>
          <cell r="D150" t="str">
            <v>N</v>
          </cell>
          <cell r="E150" t="str">
            <v>USD</v>
          </cell>
          <cell r="F150">
            <v>10.99</v>
          </cell>
          <cell r="G150">
            <v>0.99</v>
          </cell>
          <cell r="H150">
            <v>0.99</v>
          </cell>
          <cell r="I150">
            <v>0.99</v>
          </cell>
          <cell r="J150">
            <v>0.99</v>
          </cell>
          <cell r="K150" t="str">
            <v>USD</v>
          </cell>
          <cell r="L150">
            <v>8.99</v>
          </cell>
          <cell r="M150">
            <v>3.99</v>
          </cell>
          <cell r="N150">
            <v>3.99</v>
          </cell>
          <cell r="O150">
            <v>1.99</v>
          </cell>
          <cell r="P150">
            <v>1.99</v>
          </cell>
          <cell r="Q150">
            <v>1</v>
          </cell>
          <cell r="R150">
            <v>3.99</v>
          </cell>
          <cell r="S150">
            <v>3.99</v>
          </cell>
          <cell r="T150">
            <v>1.99</v>
          </cell>
          <cell r="U150">
            <v>1.99</v>
          </cell>
        </row>
        <row r="151">
          <cell r="B151" t="str">
            <v>Myanmar</v>
          </cell>
          <cell r="C151" t="str">
            <v>Asia</v>
          </cell>
          <cell r="D151" t="str">
            <v>N</v>
          </cell>
          <cell r="E151" t="str">
            <v>USD</v>
          </cell>
          <cell r="F151">
            <v>11.99</v>
          </cell>
          <cell r="G151">
            <v>0.99</v>
          </cell>
          <cell r="H151">
            <v>0.99</v>
          </cell>
          <cell r="I151">
            <v>0.99</v>
          </cell>
          <cell r="J151">
            <v>0.99</v>
          </cell>
          <cell r="K151" t="str">
            <v>MMK</v>
          </cell>
          <cell r="L151">
            <v>16000</v>
          </cell>
          <cell r="M151">
            <v>5600</v>
          </cell>
          <cell r="N151">
            <v>4600</v>
          </cell>
          <cell r="O151">
            <v>3600</v>
          </cell>
          <cell r="P151">
            <v>2600</v>
          </cell>
          <cell r="Q151">
            <v>5.3815014000000003E-4</v>
          </cell>
          <cell r="R151">
            <v>3.0136407840000001</v>
          </cell>
          <cell r="S151">
            <v>2.4754906440000002</v>
          </cell>
          <cell r="T151">
            <v>1.937340504</v>
          </cell>
          <cell r="U151">
            <v>1.3991903640000001</v>
          </cell>
        </row>
        <row r="152">
          <cell r="B152" t="str">
            <v>Namibia</v>
          </cell>
          <cell r="C152" t="str">
            <v>Africa</v>
          </cell>
          <cell r="D152" t="str">
            <v>N</v>
          </cell>
          <cell r="E152" t="str">
            <v>NAD</v>
          </cell>
          <cell r="F152">
            <v>159.99</v>
          </cell>
          <cell r="G152">
            <v>14.99</v>
          </cell>
          <cell r="H152">
            <v>14.99</v>
          </cell>
          <cell r="I152">
            <v>14.99</v>
          </cell>
          <cell r="J152">
            <v>14.99</v>
          </cell>
          <cell r="K152" t="str">
            <v>NAD</v>
          </cell>
          <cell r="L152">
            <v>104.99</v>
          </cell>
          <cell r="M152">
            <v>36.99</v>
          </cell>
          <cell r="N152">
            <v>29.990000000000002</v>
          </cell>
          <cell r="O152">
            <v>22.990000000000002</v>
          </cell>
          <cell r="P152">
            <v>15.990000000000002</v>
          </cell>
          <cell r="Q152">
            <v>6.1938680000000003E-2</v>
          </cell>
          <cell r="R152">
            <v>2.2911117732000004</v>
          </cell>
          <cell r="S152">
            <v>1.8575410132000003</v>
          </cell>
          <cell r="T152">
            <v>1.4239702532000003</v>
          </cell>
          <cell r="U152">
            <v>0.9903994932000002</v>
          </cell>
        </row>
        <row r="153">
          <cell r="B153" t="str">
            <v>Nauru</v>
          </cell>
          <cell r="C153" t="str">
            <v>Asia</v>
          </cell>
          <cell r="D153" t="str">
            <v>N</v>
          </cell>
          <cell r="E153" t="str">
            <v>AUD</v>
          </cell>
          <cell r="F153">
            <v>19.989999999999998</v>
          </cell>
          <cell r="G153">
            <v>3.99</v>
          </cell>
          <cell r="H153">
            <v>3.99</v>
          </cell>
          <cell r="I153">
            <v>2.99</v>
          </cell>
          <cell r="J153">
            <v>0.99</v>
          </cell>
          <cell r="K153" t="str">
            <v>AUD</v>
          </cell>
          <cell r="L153">
            <v>12.99</v>
          </cell>
          <cell r="M153">
            <v>4.99</v>
          </cell>
          <cell r="N153">
            <v>3.99</v>
          </cell>
          <cell r="O153">
            <v>2.99</v>
          </cell>
          <cell r="P153">
            <v>1.9900000000000002</v>
          </cell>
          <cell r="Q153">
            <v>0.69404995000000003</v>
          </cell>
          <cell r="R153">
            <v>3.4633092505000005</v>
          </cell>
          <cell r="S153">
            <v>2.7692593005000004</v>
          </cell>
          <cell r="T153">
            <v>2.0752093505000002</v>
          </cell>
          <cell r="U153">
            <v>1.3811594005000003</v>
          </cell>
        </row>
        <row r="154">
          <cell r="B154" t="str">
            <v>Nepal</v>
          </cell>
          <cell r="C154" t="str">
            <v>Asia</v>
          </cell>
          <cell r="D154" t="str">
            <v>N</v>
          </cell>
          <cell r="E154" t="str">
            <v>NPR</v>
          </cell>
          <cell r="F154">
            <v>1200</v>
          </cell>
          <cell r="G154">
            <v>109.99</v>
          </cell>
          <cell r="H154">
            <v>109.99</v>
          </cell>
          <cell r="I154">
            <v>109.99</v>
          </cell>
          <cell r="J154">
            <v>109.99</v>
          </cell>
          <cell r="K154" t="str">
            <v>NPR</v>
          </cell>
          <cell r="L154">
            <v>1199.99</v>
          </cell>
          <cell r="M154">
            <v>419.99</v>
          </cell>
          <cell r="N154">
            <v>349.99</v>
          </cell>
          <cell r="O154">
            <v>279.99</v>
          </cell>
          <cell r="P154">
            <v>209.99</v>
          </cell>
          <cell r="Q154">
            <v>8.0827669999999994E-3</v>
          </cell>
          <cell r="R154">
            <v>3.3946813123299999</v>
          </cell>
          <cell r="S154">
            <v>2.8288876223299999</v>
          </cell>
          <cell r="T154">
            <v>2.2630939323299999</v>
          </cell>
          <cell r="U154">
            <v>1.6973002423299999</v>
          </cell>
        </row>
        <row r="155">
          <cell r="B155" t="str">
            <v>Netherlands</v>
          </cell>
          <cell r="C155" t="str">
            <v>Europe</v>
          </cell>
          <cell r="D155" t="str">
            <v>Y</v>
          </cell>
          <cell r="E155" t="str">
            <v>EUR</v>
          </cell>
          <cell r="F155">
            <v>24.99</v>
          </cell>
          <cell r="G155">
            <v>5.99</v>
          </cell>
          <cell r="H155">
            <v>5.99</v>
          </cell>
          <cell r="I155">
            <v>5.99</v>
          </cell>
          <cell r="J155">
            <v>5.99</v>
          </cell>
          <cell r="K155" t="str">
            <v>EUR</v>
          </cell>
          <cell r="L155">
            <v>16.989999999999998</v>
          </cell>
          <cell r="M155">
            <v>5.99</v>
          </cell>
          <cell r="N155">
            <v>4.99</v>
          </cell>
          <cell r="O155">
            <v>3.99</v>
          </cell>
          <cell r="P155">
            <v>2.99</v>
          </cell>
          <cell r="Q155">
            <v>1.0543</v>
          </cell>
          <cell r="R155">
            <v>6.3152569999999999</v>
          </cell>
          <cell r="S155">
            <v>5.2609570000000003</v>
          </cell>
          <cell r="T155">
            <v>4.2066569999999999</v>
          </cell>
          <cell r="U155">
            <v>3.1523570000000003</v>
          </cell>
        </row>
        <row r="156">
          <cell r="B156" t="str">
            <v>Netherlands Antilles</v>
          </cell>
          <cell r="C156" t="str">
            <v>Latin America</v>
          </cell>
          <cell r="D156" t="str">
            <v>N</v>
          </cell>
          <cell r="E156" t="str">
            <v>ANG</v>
          </cell>
          <cell r="F156">
            <v>24.99</v>
          </cell>
          <cell r="G156">
            <v>4.99</v>
          </cell>
          <cell r="H156">
            <v>4.99</v>
          </cell>
          <cell r="I156">
            <v>3.99</v>
          </cell>
          <cell r="J156">
            <v>1.99</v>
          </cell>
          <cell r="K156" t="str">
            <v>ANG</v>
          </cell>
          <cell r="L156">
            <v>20.99</v>
          </cell>
          <cell r="M156">
            <v>6.99</v>
          </cell>
          <cell r="N156">
            <v>6.99</v>
          </cell>
          <cell r="O156">
            <v>3.99</v>
          </cell>
          <cell r="P156">
            <v>3.99</v>
          </cell>
          <cell r="Q156">
            <v>0.55865925999999999</v>
          </cell>
          <cell r="R156">
            <v>3.9050282273999999</v>
          </cell>
          <cell r="S156">
            <v>3.9050282273999999</v>
          </cell>
          <cell r="T156">
            <v>2.2290504474000001</v>
          </cell>
          <cell r="U156">
            <v>2.2290504474000001</v>
          </cell>
        </row>
        <row r="157">
          <cell r="B157" t="str">
            <v>New Caledonia</v>
          </cell>
          <cell r="C157" t="str">
            <v>Asia</v>
          </cell>
          <cell r="D157" t="str">
            <v>N</v>
          </cell>
          <cell r="E157" t="str">
            <v>XPF</v>
          </cell>
          <cell r="F157">
            <v>1500</v>
          </cell>
          <cell r="G157">
            <v>320</v>
          </cell>
          <cell r="H157">
            <v>320</v>
          </cell>
          <cell r="I157">
            <v>210</v>
          </cell>
          <cell r="J157">
            <v>100</v>
          </cell>
          <cell r="K157" t="str">
            <v>XPF</v>
          </cell>
          <cell r="L157">
            <v>1000</v>
          </cell>
          <cell r="M157">
            <v>350</v>
          </cell>
          <cell r="N157">
            <v>290</v>
          </cell>
          <cell r="O157">
            <v>230</v>
          </cell>
          <cell r="P157">
            <v>170</v>
          </cell>
          <cell r="Q157">
            <v>8.8350340000000003E-3</v>
          </cell>
          <cell r="R157">
            <v>3.0922619</v>
          </cell>
          <cell r="S157">
            <v>2.56215986</v>
          </cell>
          <cell r="T157">
            <v>2.0320578199999999</v>
          </cell>
          <cell r="U157">
            <v>1.5019557800000001</v>
          </cell>
        </row>
        <row r="158">
          <cell r="B158" t="str">
            <v>New Zealand</v>
          </cell>
          <cell r="C158" t="str">
            <v>Asia</v>
          </cell>
          <cell r="D158" t="str">
            <v>Y</v>
          </cell>
          <cell r="E158" t="str">
            <v>NZD</v>
          </cell>
          <cell r="F158">
            <v>41.99</v>
          </cell>
          <cell r="G158">
            <v>10.99</v>
          </cell>
          <cell r="H158">
            <v>7.99</v>
          </cell>
          <cell r="I158">
            <v>4.99</v>
          </cell>
          <cell r="J158">
            <v>2.99</v>
          </cell>
          <cell r="K158" t="str">
            <v>NZD</v>
          </cell>
          <cell r="L158">
            <v>24.99</v>
          </cell>
          <cell r="M158">
            <v>8.99</v>
          </cell>
          <cell r="N158">
            <v>8.99</v>
          </cell>
          <cell r="O158">
            <v>4.99</v>
          </cell>
          <cell r="P158">
            <v>4.99</v>
          </cell>
          <cell r="Q158">
            <v>0.62934999999999997</v>
          </cell>
          <cell r="R158">
            <v>5.6578564999999994</v>
          </cell>
          <cell r="S158">
            <v>5.6578564999999994</v>
          </cell>
          <cell r="T158">
            <v>3.1404565</v>
          </cell>
          <cell r="U158">
            <v>3.1404565</v>
          </cell>
        </row>
        <row r="159">
          <cell r="B159" t="str">
            <v>Nicaragua</v>
          </cell>
          <cell r="C159" t="str">
            <v>Latin America</v>
          </cell>
          <cell r="D159" t="str">
            <v>N</v>
          </cell>
          <cell r="E159" t="str">
            <v>NIO</v>
          </cell>
          <cell r="F159">
            <v>369.99</v>
          </cell>
          <cell r="G159">
            <v>32.99</v>
          </cell>
          <cell r="H159">
            <v>32.99</v>
          </cell>
          <cell r="I159">
            <v>32.99</v>
          </cell>
          <cell r="J159">
            <v>32.99</v>
          </cell>
          <cell r="K159" t="str">
            <v>NIO</v>
          </cell>
          <cell r="L159">
            <v>369.99</v>
          </cell>
          <cell r="M159">
            <v>129.99</v>
          </cell>
          <cell r="N159">
            <v>104.99000000000001</v>
          </cell>
          <cell r="O159">
            <v>79.990000000000009</v>
          </cell>
          <cell r="P159">
            <v>54.990000000000009</v>
          </cell>
          <cell r="Q159">
            <v>2.7921263000000002E-2</v>
          </cell>
          <cell r="R159">
            <v>3.6294849773700006</v>
          </cell>
          <cell r="S159">
            <v>2.9314534023700003</v>
          </cell>
          <cell r="T159">
            <v>2.2334218273700004</v>
          </cell>
          <cell r="U159">
            <v>1.5353902523700003</v>
          </cell>
        </row>
        <row r="160">
          <cell r="B160" t="str">
            <v>Niger</v>
          </cell>
          <cell r="C160" t="str">
            <v>Africa</v>
          </cell>
          <cell r="D160" t="str">
            <v>N</v>
          </cell>
          <cell r="E160" t="str">
            <v>XOF</v>
          </cell>
          <cell r="F160">
            <v>6400</v>
          </cell>
          <cell r="G160">
            <v>580</v>
          </cell>
          <cell r="H160">
            <v>580</v>
          </cell>
          <cell r="I160">
            <v>580</v>
          </cell>
          <cell r="J160">
            <v>580</v>
          </cell>
          <cell r="K160" t="str">
            <v>XOF</v>
          </cell>
          <cell r="L160">
            <v>5400</v>
          </cell>
          <cell r="M160">
            <v>2000</v>
          </cell>
          <cell r="N160">
            <v>1600</v>
          </cell>
          <cell r="O160">
            <v>1200</v>
          </cell>
          <cell r="P160">
            <v>800</v>
          </cell>
          <cell r="Q160">
            <v>1.6072699E-3</v>
          </cell>
          <cell r="R160">
            <v>3.2145397999999998</v>
          </cell>
          <cell r="S160">
            <v>2.5716318400000002</v>
          </cell>
          <cell r="T160">
            <v>1.9287238799999999</v>
          </cell>
          <cell r="U160">
            <v>1.2858159200000001</v>
          </cell>
        </row>
        <row r="161">
          <cell r="B161" t="str">
            <v>Nigeria</v>
          </cell>
          <cell r="C161" t="str">
            <v>Africa</v>
          </cell>
          <cell r="D161" t="str">
            <v>N</v>
          </cell>
          <cell r="E161" t="str">
            <v>NGN</v>
          </cell>
          <cell r="F161">
            <v>4000</v>
          </cell>
          <cell r="G161">
            <v>359.99</v>
          </cell>
          <cell r="H161">
            <v>359.99</v>
          </cell>
          <cell r="I161">
            <v>359.99</v>
          </cell>
          <cell r="J161">
            <v>359.99</v>
          </cell>
          <cell r="K161" t="str">
            <v>NGN</v>
          </cell>
          <cell r="L161">
            <v>4000</v>
          </cell>
          <cell r="M161">
            <v>1600</v>
          </cell>
          <cell r="N161">
            <v>1600</v>
          </cell>
          <cell r="O161">
            <v>800</v>
          </cell>
          <cell r="P161">
            <v>800</v>
          </cell>
          <cell r="Q161">
            <v>2.4038461999999999E-3</v>
          </cell>
          <cell r="R161">
            <v>3.8461539199999999</v>
          </cell>
          <cell r="S161">
            <v>3.8461539199999999</v>
          </cell>
          <cell r="T161">
            <v>1.9230769599999999</v>
          </cell>
          <cell r="U161">
            <v>1.9230769599999999</v>
          </cell>
        </row>
        <row r="162">
          <cell r="B162" t="str">
            <v>Niue</v>
          </cell>
          <cell r="C162" t="str">
            <v>Asia</v>
          </cell>
          <cell r="D162" t="str">
            <v>N</v>
          </cell>
          <cell r="E162" t="str">
            <v>NZD</v>
          </cell>
          <cell r="F162">
            <v>20.99</v>
          </cell>
          <cell r="G162">
            <v>4.99</v>
          </cell>
          <cell r="H162">
            <v>4.99</v>
          </cell>
          <cell r="I162">
            <v>2.99</v>
          </cell>
          <cell r="J162">
            <v>1.99</v>
          </cell>
          <cell r="K162" t="str">
            <v>NZD</v>
          </cell>
          <cell r="L162">
            <v>24.99</v>
          </cell>
          <cell r="M162">
            <v>8.99</v>
          </cell>
          <cell r="N162">
            <v>7.49</v>
          </cell>
          <cell r="O162">
            <v>5.99</v>
          </cell>
          <cell r="P162">
            <v>4.49</v>
          </cell>
          <cell r="Q162">
            <v>0.62934999999999997</v>
          </cell>
          <cell r="R162">
            <v>5.6578564999999994</v>
          </cell>
          <cell r="S162">
            <v>4.7138314999999995</v>
          </cell>
          <cell r="T162">
            <v>3.7698065000000001</v>
          </cell>
          <cell r="U162">
            <v>2.8257815000000002</v>
          </cell>
        </row>
        <row r="163">
          <cell r="B163" t="str">
            <v>Norfolk Island</v>
          </cell>
          <cell r="C163" t="str">
            <v>Asia</v>
          </cell>
          <cell r="D163" t="str">
            <v>N</v>
          </cell>
          <cell r="E163" t="str">
            <v>AUD</v>
          </cell>
          <cell r="F163">
            <v>19.989999999999998</v>
          </cell>
          <cell r="G163">
            <v>3.99</v>
          </cell>
          <cell r="H163">
            <v>3.99</v>
          </cell>
          <cell r="I163">
            <v>2.99</v>
          </cell>
          <cell r="J163">
            <v>0.99</v>
          </cell>
          <cell r="K163" t="str">
            <v>AUD</v>
          </cell>
          <cell r="L163">
            <v>19.989999999999998</v>
          </cell>
          <cell r="M163">
            <v>6.99</v>
          </cell>
          <cell r="N163">
            <v>6.99</v>
          </cell>
          <cell r="O163">
            <v>3.99</v>
          </cell>
          <cell r="P163">
            <v>3.99</v>
          </cell>
          <cell r="Q163">
            <v>0.69404995000000003</v>
          </cell>
          <cell r="R163">
            <v>4.8514091505000003</v>
          </cell>
          <cell r="S163">
            <v>4.8514091505000003</v>
          </cell>
          <cell r="T163">
            <v>2.7692593005000004</v>
          </cell>
          <cell r="U163">
            <v>2.7692593005000004</v>
          </cell>
        </row>
        <row r="164">
          <cell r="B164" t="str">
            <v>Northern Mariana Islands</v>
          </cell>
          <cell r="C164" t="str">
            <v>Asia</v>
          </cell>
          <cell r="D164" t="str">
            <v>N</v>
          </cell>
          <cell r="E164" t="str">
            <v>USD</v>
          </cell>
          <cell r="F164">
            <v>13.99</v>
          </cell>
          <cell r="G164">
            <v>2.99</v>
          </cell>
          <cell r="H164">
            <v>2.99</v>
          </cell>
          <cell r="I164">
            <v>1.99</v>
          </cell>
          <cell r="J164">
            <v>0.99</v>
          </cell>
          <cell r="K164" t="str">
            <v>USD</v>
          </cell>
          <cell r="L164">
            <v>13.99</v>
          </cell>
          <cell r="M164">
            <v>4.99</v>
          </cell>
          <cell r="N164">
            <v>3.99</v>
          </cell>
          <cell r="O164">
            <v>2.99</v>
          </cell>
          <cell r="P164">
            <v>1.9900000000000002</v>
          </cell>
          <cell r="Q164">
            <v>1</v>
          </cell>
          <cell r="R164">
            <v>4.99</v>
          </cell>
          <cell r="S164">
            <v>3.99</v>
          </cell>
          <cell r="T164">
            <v>2.99</v>
          </cell>
          <cell r="U164">
            <v>1.9900000000000002</v>
          </cell>
        </row>
        <row r="165">
          <cell r="B165" t="str">
            <v>Norway</v>
          </cell>
          <cell r="C165" t="str">
            <v>Europe</v>
          </cell>
          <cell r="D165" t="str">
            <v>Y</v>
          </cell>
          <cell r="E165" t="str">
            <v>NOK</v>
          </cell>
          <cell r="F165">
            <v>239.99</v>
          </cell>
          <cell r="G165">
            <v>60.99</v>
          </cell>
          <cell r="H165">
            <v>60.99</v>
          </cell>
          <cell r="I165">
            <v>60.99</v>
          </cell>
          <cell r="J165">
            <v>60.99</v>
          </cell>
          <cell r="K165" t="str">
            <v>NOK</v>
          </cell>
          <cell r="L165">
            <v>149.99</v>
          </cell>
          <cell r="M165">
            <v>55</v>
          </cell>
          <cell r="N165">
            <v>44</v>
          </cell>
          <cell r="O165">
            <v>33</v>
          </cell>
          <cell r="P165">
            <v>22</v>
          </cell>
          <cell r="Q165">
            <v>0.10311352</v>
          </cell>
          <cell r="R165">
            <v>5.6712436000000004</v>
          </cell>
          <cell r="S165">
            <v>4.53699488</v>
          </cell>
          <cell r="T165">
            <v>3.40274616</v>
          </cell>
          <cell r="U165">
            <v>2.26849744</v>
          </cell>
        </row>
        <row r="166">
          <cell r="B166" t="str">
            <v>Oman</v>
          </cell>
          <cell r="C166" t="str">
            <v>Middle East</v>
          </cell>
          <cell r="D166" t="str">
            <v>N</v>
          </cell>
          <cell r="E166" t="str">
            <v>OMR</v>
          </cell>
          <cell r="F166">
            <v>4.99</v>
          </cell>
          <cell r="G166">
            <v>0.99</v>
          </cell>
          <cell r="H166">
            <v>0.99</v>
          </cell>
          <cell r="I166">
            <v>0.99</v>
          </cell>
          <cell r="J166">
            <v>0.99</v>
          </cell>
          <cell r="K166" t="str">
            <v>OMR</v>
          </cell>
          <cell r="L166">
            <v>3.9990000000000001</v>
          </cell>
          <cell r="M166">
            <v>1.9990000000000001</v>
          </cell>
          <cell r="N166">
            <v>1.9990000000000001</v>
          </cell>
          <cell r="O166">
            <v>0.99900000000000011</v>
          </cell>
          <cell r="P166">
            <v>0.99900000000000011</v>
          </cell>
          <cell r="Q166">
            <v>2.5974026000000001</v>
          </cell>
          <cell r="R166">
            <v>5.1922077974000009</v>
          </cell>
          <cell r="S166">
            <v>5.1922077974000009</v>
          </cell>
          <cell r="T166">
            <v>2.5948051974000004</v>
          </cell>
          <cell r="U166">
            <v>2.5948051974000004</v>
          </cell>
        </row>
        <row r="167">
          <cell r="B167" t="str">
            <v>Pakistan</v>
          </cell>
          <cell r="C167" t="str">
            <v>Asia</v>
          </cell>
          <cell r="D167" t="str">
            <v>N</v>
          </cell>
          <cell r="E167" t="str">
            <v>PKR</v>
          </cell>
          <cell r="F167">
            <v>2100</v>
          </cell>
          <cell r="G167">
            <v>459.99</v>
          </cell>
          <cell r="H167">
            <v>459.99</v>
          </cell>
          <cell r="I167">
            <v>299.99</v>
          </cell>
          <cell r="J167">
            <v>149.99</v>
          </cell>
          <cell r="K167" t="str">
            <v>PKR</v>
          </cell>
          <cell r="L167">
            <v>1500</v>
          </cell>
          <cell r="M167">
            <v>720</v>
          </cell>
          <cell r="N167">
            <v>720</v>
          </cell>
          <cell r="O167">
            <v>370</v>
          </cell>
          <cell r="P167">
            <v>370</v>
          </cell>
          <cell r="Q167">
            <v>5.3015244000000003E-3</v>
          </cell>
          <cell r="R167">
            <v>3.8170975680000003</v>
          </cell>
          <cell r="S167">
            <v>3.8170975680000003</v>
          </cell>
          <cell r="T167">
            <v>1.9615640280000002</v>
          </cell>
          <cell r="U167">
            <v>1.9615640280000002</v>
          </cell>
        </row>
        <row r="168">
          <cell r="B168" t="str">
            <v>Palau</v>
          </cell>
          <cell r="C168" t="str">
            <v>Asia</v>
          </cell>
          <cell r="D168" t="str">
            <v>N</v>
          </cell>
          <cell r="E168" t="str">
            <v>USD</v>
          </cell>
          <cell r="F168">
            <v>13.99</v>
          </cell>
          <cell r="G168">
            <v>2.99</v>
          </cell>
          <cell r="H168">
            <v>2.99</v>
          </cell>
          <cell r="I168">
            <v>1.99</v>
          </cell>
          <cell r="J168">
            <v>0.99</v>
          </cell>
          <cell r="K168" t="str">
            <v>USD</v>
          </cell>
          <cell r="L168">
            <v>13.99</v>
          </cell>
          <cell r="M168">
            <v>4.99</v>
          </cell>
          <cell r="N168">
            <v>3.99</v>
          </cell>
          <cell r="O168">
            <v>2.99</v>
          </cell>
          <cell r="P168">
            <v>1.9900000000000002</v>
          </cell>
          <cell r="Q168">
            <v>1</v>
          </cell>
          <cell r="R168">
            <v>4.99</v>
          </cell>
          <cell r="S168">
            <v>3.99</v>
          </cell>
          <cell r="T168">
            <v>2.99</v>
          </cell>
          <cell r="U168">
            <v>1.9900000000000002</v>
          </cell>
        </row>
        <row r="169">
          <cell r="B169" t="str">
            <v>Palestinian Territory</v>
          </cell>
          <cell r="C169" t="str">
            <v>Middle East</v>
          </cell>
          <cell r="D169" t="str">
            <v>N</v>
          </cell>
          <cell r="E169" t="str">
            <v>ILS</v>
          </cell>
          <cell r="F169">
            <v>49.99</v>
          </cell>
          <cell r="G169">
            <v>10.99</v>
          </cell>
          <cell r="H169">
            <v>10.99</v>
          </cell>
          <cell r="I169">
            <v>6.99</v>
          </cell>
          <cell r="J169">
            <v>3.99</v>
          </cell>
          <cell r="K169" t="str">
            <v>ILS</v>
          </cell>
          <cell r="L169">
            <v>29.99</v>
          </cell>
          <cell r="M169">
            <v>9.99</v>
          </cell>
          <cell r="N169">
            <v>7.99</v>
          </cell>
          <cell r="O169">
            <v>5.99</v>
          </cell>
          <cell r="P169">
            <v>3.99</v>
          </cell>
          <cell r="Q169">
            <v>0.28877946999999998</v>
          </cell>
          <cell r="R169">
            <v>2.8849069052999998</v>
          </cell>
          <cell r="S169">
            <v>2.3073479653</v>
          </cell>
          <cell r="T169">
            <v>1.7297890252999999</v>
          </cell>
          <cell r="U169">
            <v>1.1522300853</v>
          </cell>
        </row>
        <row r="170">
          <cell r="B170" t="str">
            <v>Panama</v>
          </cell>
          <cell r="C170" t="str">
            <v>Latin America</v>
          </cell>
          <cell r="D170" t="str">
            <v>N</v>
          </cell>
          <cell r="E170" t="str">
            <v>USD</v>
          </cell>
          <cell r="F170">
            <v>13.99</v>
          </cell>
          <cell r="G170">
            <v>2.99</v>
          </cell>
          <cell r="H170">
            <v>2.99</v>
          </cell>
          <cell r="I170">
            <v>1.99</v>
          </cell>
          <cell r="J170">
            <v>0.99</v>
          </cell>
          <cell r="K170" t="str">
            <v>USD</v>
          </cell>
          <cell r="L170">
            <v>13.99</v>
          </cell>
          <cell r="M170">
            <v>4.99</v>
          </cell>
          <cell r="N170">
            <v>3.99</v>
          </cell>
          <cell r="O170">
            <v>2.99</v>
          </cell>
          <cell r="P170">
            <v>1.9900000000000002</v>
          </cell>
          <cell r="Q170">
            <v>1</v>
          </cell>
          <cell r="R170">
            <v>4.99</v>
          </cell>
          <cell r="S170">
            <v>3.99</v>
          </cell>
          <cell r="T170">
            <v>2.99</v>
          </cell>
          <cell r="U170">
            <v>1.9900000000000002</v>
          </cell>
        </row>
        <row r="171">
          <cell r="B171" t="str">
            <v>Papua New Guinea</v>
          </cell>
          <cell r="C171" t="str">
            <v>Asia</v>
          </cell>
          <cell r="D171" t="str">
            <v>N</v>
          </cell>
          <cell r="E171" t="str">
            <v>PGK</v>
          </cell>
          <cell r="F171">
            <v>36.99</v>
          </cell>
          <cell r="G171">
            <v>2.99</v>
          </cell>
          <cell r="H171">
            <v>2.99</v>
          </cell>
          <cell r="I171">
            <v>2.99</v>
          </cell>
          <cell r="J171">
            <v>2.99</v>
          </cell>
          <cell r="K171" t="str">
            <v>PGK</v>
          </cell>
          <cell r="L171">
            <v>29.99</v>
          </cell>
          <cell r="M171">
            <v>9.99</v>
          </cell>
          <cell r="N171">
            <v>7.99</v>
          </cell>
          <cell r="O171">
            <v>5.99</v>
          </cell>
          <cell r="P171">
            <v>3.99</v>
          </cell>
          <cell r="Q171">
            <v>0.28374428000000002</v>
          </cell>
          <cell r="R171">
            <v>2.8346053572000001</v>
          </cell>
          <cell r="S171">
            <v>2.2671167972000004</v>
          </cell>
          <cell r="T171">
            <v>1.6996282372000002</v>
          </cell>
          <cell r="U171">
            <v>1.1321396772000001</v>
          </cell>
        </row>
        <row r="172">
          <cell r="B172" t="str">
            <v>Paraguay</v>
          </cell>
          <cell r="C172" t="str">
            <v>Latin America</v>
          </cell>
          <cell r="D172" t="str">
            <v>N</v>
          </cell>
          <cell r="E172" t="str">
            <v>PYG</v>
          </cell>
          <cell r="F172">
            <v>68800</v>
          </cell>
          <cell r="G172">
            <v>6200</v>
          </cell>
          <cell r="H172">
            <v>6200</v>
          </cell>
          <cell r="I172">
            <v>6200</v>
          </cell>
          <cell r="J172">
            <v>6200</v>
          </cell>
          <cell r="K172" t="str">
            <v>PYG</v>
          </cell>
          <cell r="L172">
            <v>68800</v>
          </cell>
          <cell r="M172">
            <v>24100</v>
          </cell>
          <cell r="N172">
            <v>24100</v>
          </cell>
          <cell r="O172">
            <v>14100</v>
          </cell>
          <cell r="P172">
            <v>14100</v>
          </cell>
          <cell r="Q172">
            <v>1.4565644999999999E-4</v>
          </cell>
          <cell r="R172">
            <v>3.5103204449999996</v>
          </cell>
          <cell r="S172">
            <v>3.5103204449999996</v>
          </cell>
          <cell r="T172">
            <v>2.0537559449999998</v>
          </cell>
          <cell r="U172">
            <v>2.0537559449999998</v>
          </cell>
        </row>
        <row r="173">
          <cell r="B173" t="str">
            <v>Peru</v>
          </cell>
          <cell r="C173" t="str">
            <v>Latin America</v>
          </cell>
          <cell r="D173" t="str">
            <v>Y</v>
          </cell>
          <cell r="E173" t="str">
            <v>PEN</v>
          </cell>
          <cell r="F173">
            <v>46.99</v>
          </cell>
          <cell r="G173">
            <v>9.99</v>
          </cell>
          <cell r="H173">
            <v>9.99</v>
          </cell>
          <cell r="I173">
            <v>6.99</v>
          </cell>
          <cell r="J173">
            <v>2.99</v>
          </cell>
          <cell r="K173" t="str">
            <v>PEN</v>
          </cell>
          <cell r="L173">
            <v>46.99</v>
          </cell>
          <cell r="M173">
            <v>17.899999999999999</v>
          </cell>
          <cell r="N173">
            <v>17.899999999999999</v>
          </cell>
          <cell r="O173">
            <v>10.9</v>
          </cell>
          <cell r="P173">
            <v>10.9</v>
          </cell>
          <cell r="Q173">
            <v>0.26184180000000001</v>
          </cell>
          <cell r="R173">
            <v>4.6869682199999998</v>
          </cell>
          <cell r="S173">
            <v>4.6869682199999998</v>
          </cell>
          <cell r="T173">
            <v>2.8540756200000001</v>
          </cell>
          <cell r="U173">
            <v>2.8540756200000001</v>
          </cell>
        </row>
        <row r="174">
          <cell r="B174" t="str">
            <v>Philippines</v>
          </cell>
          <cell r="C174" t="str">
            <v>Asia</v>
          </cell>
          <cell r="D174" t="str">
            <v>Y</v>
          </cell>
          <cell r="E174" t="str">
            <v>PHP</v>
          </cell>
          <cell r="F174">
            <v>570</v>
          </cell>
          <cell r="G174">
            <v>100</v>
          </cell>
          <cell r="H174">
            <v>100</v>
          </cell>
          <cell r="I174">
            <v>100</v>
          </cell>
          <cell r="J174">
            <v>100</v>
          </cell>
          <cell r="K174" t="str">
            <v>PHP</v>
          </cell>
          <cell r="L174">
            <v>499</v>
          </cell>
          <cell r="M174">
            <v>199</v>
          </cell>
          <cell r="N174">
            <v>199</v>
          </cell>
          <cell r="O174">
            <v>99</v>
          </cell>
          <cell r="P174">
            <v>99</v>
          </cell>
          <cell r="Q174">
            <v>1.9090345000000002E-2</v>
          </cell>
          <cell r="R174">
            <v>3.7989786550000004</v>
          </cell>
          <cell r="S174">
            <v>3.7989786550000004</v>
          </cell>
          <cell r="T174">
            <v>1.8899441550000002</v>
          </cell>
          <cell r="U174">
            <v>1.8899441550000002</v>
          </cell>
        </row>
        <row r="175">
          <cell r="B175" t="str">
            <v>Pitcairn Island</v>
          </cell>
          <cell r="C175" t="str">
            <v>Asia</v>
          </cell>
          <cell r="D175" t="str">
            <v>N</v>
          </cell>
          <cell r="E175" t="str">
            <v>NZD</v>
          </cell>
          <cell r="F175">
            <v>20.99</v>
          </cell>
          <cell r="G175">
            <v>4.99</v>
          </cell>
          <cell r="H175">
            <v>4.99</v>
          </cell>
          <cell r="I175">
            <v>2.99</v>
          </cell>
          <cell r="J175">
            <v>1.99</v>
          </cell>
          <cell r="K175" t="str">
            <v>NZD</v>
          </cell>
          <cell r="L175">
            <v>13.99</v>
          </cell>
          <cell r="M175">
            <v>4.99</v>
          </cell>
          <cell r="N175">
            <v>3.99</v>
          </cell>
          <cell r="O175">
            <v>2.99</v>
          </cell>
          <cell r="P175">
            <v>1.9900000000000002</v>
          </cell>
          <cell r="Q175">
            <v>0.62934999999999997</v>
          </cell>
          <cell r="R175">
            <v>3.1404565</v>
          </cell>
          <cell r="S175">
            <v>2.5111064999999999</v>
          </cell>
          <cell r="T175">
            <v>1.8817565000000001</v>
          </cell>
          <cell r="U175">
            <v>1.2524065</v>
          </cell>
        </row>
        <row r="176">
          <cell r="B176" t="str">
            <v>Poland</v>
          </cell>
          <cell r="C176" t="str">
            <v>Europe</v>
          </cell>
          <cell r="D176" t="str">
            <v>Y</v>
          </cell>
          <cell r="E176" t="str">
            <v>PLN</v>
          </cell>
          <cell r="F176">
            <v>74.989999999999995</v>
          </cell>
          <cell r="G176">
            <v>18.989999999999998</v>
          </cell>
          <cell r="H176">
            <v>14.99</v>
          </cell>
          <cell r="I176">
            <v>10.99</v>
          </cell>
          <cell r="J176">
            <v>7.99</v>
          </cell>
          <cell r="K176" t="str">
            <v>PLN</v>
          </cell>
          <cell r="L176">
            <v>69.989999999999995</v>
          </cell>
          <cell r="M176">
            <v>23.99</v>
          </cell>
          <cell r="N176">
            <v>23.99</v>
          </cell>
          <cell r="O176">
            <v>13.99</v>
          </cell>
          <cell r="P176">
            <v>13.99</v>
          </cell>
          <cell r="Q176">
            <v>0.22540289999999999</v>
          </cell>
          <cell r="R176">
            <v>5.4074155709999996</v>
          </cell>
          <cell r="S176">
            <v>5.4074155709999996</v>
          </cell>
          <cell r="T176">
            <v>3.153386571</v>
          </cell>
          <cell r="U176">
            <v>3.153386571</v>
          </cell>
        </row>
        <row r="177">
          <cell r="B177" t="str">
            <v>Portugal</v>
          </cell>
          <cell r="C177" t="str">
            <v>Europe</v>
          </cell>
          <cell r="D177" t="str">
            <v>Y</v>
          </cell>
          <cell r="E177" t="str">
            <v>EUR</v>
          </cell>
          <cell r="F177">
            <v>14.99</v>
          </cell>
          <cell r="G177">
            <v>3.99</v>
          </cell>
          <cell r="H177">
            <v>3.99</v>
          </cell>
          <cell r="I177">
            <v>2.99</v>
          </cell>
          <cell r="J177">
            <v>1.99</v>
          </cell>
          <cell r="K177" t="str">
            <v>EUR</v>
          </cell>
          <cell r="L177">
            <v>14.99</v>
          </cell>
          <cell r="M177">
            <v>4.99</v>
          </cell>
          <cell r="N177">
            <v>4.99</v>
          </cell>
          <cell r="O177">
            <v>2.99</v>
          </cell>
          <cell r="P177">
            <v>1.99</v>
          </cell>
          <cell r="Q177">
            <v>1.0543</v>
          </cell>
          <cell r="R177">
            <v>5.2609570000000003</v>
          </cell>
          <cell r="S177">
            <v>5.2609570000000003</v>
          </cell>
          <cell r="T177">
            <v>3.1523570000000003</v>
          </cell>
          <cell r="U177">
            <v>2.0980569999999998</v>
          </cell>
        </row>
        <row r="178">
          <cell r="B178" t="str">
            <v>Qatar</v>
          </cell>
          <cell r="C178" t="str">
            <v>Middle East</v>
          </cell>
          <cell r="D178" t="str">
            <v>N</v>
          </cell>
          <cell r="E178" t="str">
            <v>QAR</v>
          </cell>
          <cell r="F178">
            <v>83.99</v>
          </cell>
          <cell r="G178">
            <v>21.99</v>
          </cell>
          <cell r="H178">
            <v>14.99</v>
          </cell>
          <cell r="I178">
            <v>10.99</v>
          </cell>
          <cell r="J178">
            <v>6.99</v>
          </cell>
          <cell r="K178" t="str">
            <v>QAR</v>
          </cell>
          <cell r="L178">
            <v>74.989999999999995</v>
          </cell>
          <cell r="M178">
            <v>24.99</v>
          </cell>
          <cell r="N178">
            <v>20.99</v>
          </cell>
          <cell r="O178">
            <v>14.99</v>
          </cell>
          <cell r="P178">
            <v>10.99</v>
          </cell>
          <cell r="Q178">
            <v>0.27459326000000001</v>
          </cell>
          <cell r="R178">
            <v>6.8620855673999994</v>
          </cell>
          <cell r="S178">
            <v>5.7637125274000001</v>
          </cell>
          <cell r="T178">
            <v>4.1161529674000006</v>
          </cell>
          <cell r="U178">
            <v>3.0177799274000003</v>
          </cell>
        </row>
        <row r="179">
          <cell r="B179" t="str">
            <v>Reunion</v>
          </cell>
          <cell r="C179" t="str">
            <v>Africa</v>
          </cell>
          <cell r="D179" t="str">
            <v>N</v>
          </cell>
          <cell r="E179" t="str">
            <v>EUR</v>
          </cell>
          <cell r="F179">
            <v>9.99</v>
          </cell>
          <cell r="G179">
            <v>0.99</v>
          </cell>
          <cell r="H179">
            <v>0.99</v>
          </cell>
          <cell r="I179">
            <v>0.99</v>
          </cell>
          <cell r="J179">
            <v>0.99</v>
          </cell>
          <cell r="K179" t="str">
            <v>EUR</v>
          </cell>
          <cell r="L179">
            <v>9.99</v>
          </cell>
          <cell r="M179">
            <v>3.99</v>
          </cell>
          <cell r="N179">
            <v>3.99</v>
          </cell>
          <cell r="O179">
            <v>1.9900000000000002</v>
          </cell>
          <cell r="P179">
            <v>1.9900000000000002</v>
          </cell>
          <cell r="Q179">
            <v>1.0543</v>
          </cell>
          <cell r="R179">
            <v>4.2066569999999999</v>
          </cell>
          <cell r="S179">
            <v>4.2066569999999999</v>
          </cell>
          <cell r="T179">
            <v>2.0980570000000003</v>
          </cell>
          <cell r="U179">
            <v>2.0980570000000003</v>
          </cell>
        </row>
        <row r="180">
          <cell r="B180" t="str">
            <v>Romania</v>
          </cell>
          <cell r="C180" t="str">
            <v>Europe</v>
          </cell>
          <cell r="D180" t="str">
            <v>Y</v>
          </cell>
          <cell r="E180" t="str">
            <v>RON</v>
          </cell>
          <cell r="F180">
            <v>58.99</v>
          </cell>
          <cell r="G180">
            <v>12.99</v>
          </cell>
          <cell r="H180">
            <v>12.99</v>
          </cell>
          <cell r="I180">
            <v>7.99</v>
          </cell>
          <cell r="J180">
            <v>3.99</v>
          </cell>
          <cell r="K180" t="str">
            <v>RON</v>
          </cell>
          <cell r="L180">
            <v>58.99</v>
          </cell>
          <cell r="M180">
            <v>19.989999999999998</v>
          </cell>
          <cell r="N180">
            <v>19.989999999999998</v>
          </cell>
          <cell r="O180">
            <v>9.99</v>
          </cell>
          <cell r="P180">
            <v>9.99</v>
          </cell>
          <cell r="Q180">
            <v>0.21314918999999999</v>
          </cell>
          <cell r="R180">
            <v>4.2608523080999996</v>
          </cell>
          <cell r="S180">
            <v>4.2608523080999996</v>
          </cell>
          <cell r="T180">
            <v>2.1293604080999997</v>
          </cell>
          <cell r="U180">
            <v>2.1293604080999997</v>
          </cell>
        </row>
        <row r="181">
          <cell r="B181" t="str">
            <v>Russia</v>
          </cell>
          <cell r="C181" t="str">
            <v>Europe</v>
          </cell>
          <cell r="D181" t="str">
            <v>Y</v>
          </cell>
          <cell r="E181" t="str">
            <v>RUB</v>
          </cell>
          <cell r="F181">
            <v>1300</v>
          </cell>
          <cell r="G181">
            <v>319.99</v>
          </cell>
          <cell r="H181">
            <v>259.99</v>
          </cell>
          <cell r="I181">
            <v>189.99</v>
          </cell>
          <cell r="J181">
            <v>129.99</v>
          </cell>
          <cell r="K181" t="str">
            <v>RUB</v>
          </cell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</row>
        <row r="182">
          <cell r="B182" t="str">
            <v>Rwanda</v>
          </cell>
          <cell r="C182" t="str">
            <v>Africa</v>
          </cell>
          <cell r="D182" t="str">
            <v>N</v>
          </cell>
          <cell r="E182" t="str">
            <v>RWF</v>
          </cell>
          <cell r="F182">
            <v>10000</v>
          </cell>
          <cell r="G182">
            <v>900</v>
          </cell>
          <cell r="H182">
            <v>900</v>
          </cell>
          <cell r="I182">
            <v>900</v>
          </cell>
          <cell r="J182">
            <v>900</v>
          </cell>
          <cell r="K182" t="str">
            <v>RWF</v>
          </cell>
          <cell r="L182">
            <v>10000</v>
          </cell>
          <cell r="M182">
            <v>3500</v>
          </cell>
          <cell r="N182">
            <v>2900</v>
          </cell>
          <cell r="O182">
            <v>2300</v>
          </cell>
          <cell r="P182">
            <v>1700</v>
          </cell>
          <cell r="Q182">
            <v>9.806324999999999E-4</v>
          </cell>
          <cell r="R182">
            <v>3.4322137499999998</v>
          </cell>
          <cell r="S182">
            <v>2.8438342499999996</v>
          </cell>
          <cell r="T182">
            <v>2.2554547499999997</v>
          </cell>
          <cell r="U182">
            <v>1.6670752499999999</v>
          </cell>
        </row>
        <row r="183">
          <cell r="B183" t="str">
            <v>Saint Martin (French Part)</v>
          </cell>
          <cell r="C183" t="str">
            <v>Latin America</v>
          </cell>
          <cell r="D183" t="str">
            <v>N</v>
          </cell>
          <cell r="E183" t="str">
            <v>EUR</v>
          </cell>
          <cell r="F183">
            <v>11.99</v>
          </cell>
          <cell r="G183">
            <v>2.99</v>
          </cell>
          <cell r="H183">
            <v>2.99</v>
          </cell>
          <cell r="I183">
            <v>1.99</v>
          </cell>
          <cell r="J183">
            <v>0.99</v>
          </cell>
          <cell r="K183" t="str">
            <v>EUR</v>
          </cell>
          <cell r="L183">
            <v>10.99</v>
          </cell>
          <cell r="M183">
            <v>4.99</v>
          </cell>
          <cell r="N183">
            <v>3.99</v>
          </cell>
          <cell r="O183">
            <v>2.99</v>
          </cell>
          <cell r="P183">
            <v>1.9900000000000002</v>
          </cell>
          <cell r="Q183">
            <v>1.0543</v>
          </cell>
          <cell r="R183">
            <v>5.2609570000000003</v>
          </cell>
          <cell r="S183">
            <v>4.2066569999999999</v>
          </cell>
          <cell r="T183">
            <v>3.1523570000000003</v>
          </cell>
          <cell r="U183">
            <v>2.0980570000000003</v>
          </cell>
        </row>
        <row r="184">
          <cell r="B184" t="str">
            <v>Samoa</v>
          </cell>
          <cell r="C184" t="str">
            <v>Asia</v>
          </cell>
          <cell r="D184" t="str">
            <v>N</v>
          </cell>
          <cell r="E184" t="str">
            <v>WST</v>
          </cell>
          <cell r="F184">
            <v>36.99</v>
          </cell>
          <cell r="G184">
            <v>7.99</v>
          </cell>
          <cell r="H184">
            <v>7.99</v>
          </cell>
          <cell r="I184">
            <v>4.99</v>
          </cell>
          <cell r="J184">
            <v>2.99</v>
          </cell>
          <cell r="K184" t="str">
            <v>WST</v>
          </cell>
          <cell r="L184">
            <v>19.989999999999998</v>
          </cell>
          <cell r="M184">
            <v>6.99</v>
          </cell>
          <cell r="N184">
            <v>6.99</v>
          </cell>
          <cell r="O184">
            <v>3.99</v>
          </cell>
          <cell r="P184">
            <v>3.99</v>
          </cell>
          <cell r="Q184">
            <v>0.37419999999999998</v>
          </cell>
          <cell r="R184">
            <v>2.6156579999999998</v>
          </cell>
          <cell r="S184">
            <v>2.6156579999999998</v>
          </cell>
          <cell r="T184">
            <v>1.493058</v>
          </cell>
          <cell r="U184">
            <v>1.493058</v>
          </cell>
        </row>
        <row r="185">
          <cell r="B185" t="str">
            <v>San Marino</v>
          </cell>
          <cell r="C185" t="str">
            <v>Europe</v>
          </cell>
          <cell r="D185" t="str">
            <v>N</v>
          </cell>
          <cell r="E185" t="str">
            <v>EUR</v>
          </cell>
          <cell r="F185">
            <v>19.989999999999998</v>
          </cell>
          <cell r="G185">
            <v>4.99</v>
          </cell>
          <cell r="H185">
            <v>3.99</v>
          </cell>
          <cell r="I185">
            <v>2.99</v>
          </cell>
          <cell r="J185">
            <v>1.99</v>
          </cell>
          <cell r="K185" t="str">
            <v>EUR</v>
          </cell>
          <cell r="L185">
            <v>17.989999999999998</v>
          </cell>
          <cell r="M185">
            <v>5.99</v>
          </cell>
          <cell r="N185">
            <v>4.99</v>
          </cell>
          <cell r="O185">
            <v>3.99</v>
          </cell>
          <cell r="P185">
            <v>2.99</v>
          </cell>
          <cell r="Q185">
            <v>1.0543</v>
          </cell>
          <cell r="R185">
            <v>6.3152569999999999</v>
          </cell>
          <cell r="S185">
            <v>5.2609570000000003</v>
          </cell>
          <cell r="T185">
            <v>4.2066569999999999</v>
          </cell>
          <cell r="U185">
            <v>3.1523570000000003</v>
          </cell>
        </row>
        <row r="186">
          <cell r="B186" t="str">
            <v>Sao Tome And Principe</v>
          </cell>
          <cell r="C186" t="str">
            <v>Africa</v>
          </cell>
          <cell r="D186" t="str">
            <v>N</v>
          </cell>
          <cell r="E186" t="str">
            <v>USD</v>
          </cell>
          <cell r="F186">
            <v>10.99</v>
          </cell>
          <cell r="G186">
            <v>0.99</v>
          </cell>
          <cell r="H186">
            <v>0.99</v>
          </cell>
          <cell r="I186">
            <v>0.99</v>
          </cell>
          <cell r="J186">
            <v>0.99</v>
          </cell>
          <cell r="K186" t="str">
            <v>USD</v>
          </cell>
          <cell r="L186">
            <v>9.99</v>
          </cell>
          <cell r="M186">
            <v>3.99</v>
          </cell>
          <cell r="N186">
            <v>3.99</v>
          </cell>
          <cell r="O186">
            <v>1.99</v>
          </cell>
          <cell r="P186">
            <v>1.99</v>
          </cell>
          <cell r="Q186">
            <v>1</v>
          </cell>
          <cell r="R186">
            <v>3.99</v>
          </cell>
          <cell r="S186">
            <v>3.99</v>
          </cell>
          <cell r="T186">
            <v>1.99</v>
          </cell>
          <cell r="U186">
            <v>1.99</v>
          </cell>
        </row>
        <row r="187">
          <cell r="B187" t="str">
            <v>Saudi Arabia</v>
          </cell>
          <cell r="C187" t="str">
            <v>Middle East</v>
          </cell>
          <cell r="D187" t="str">
            <v>Y</v>
          </cell>
          <cell r="E187" t="str">
            <v>SAR</v>
          </cell>
          <cell r="F187">
            <v>85.99</v>
          </cell>
          <cell r="G187">
            <v>21.99</v>
          </cell>
          <cell r="H187">
            <v>14.99</v>
          </cell>
          <cell r="I187">
            <v>10.99</v>
          </cell>
          <cell r="J187">
            <v>6.99</v>
          </cell>
          <cell r="K187" t="str">
            <v>SAR</v>
          </cell>
          <cell r="L187">
            <v>59.99</v>
          </cell>
          <cell r="M187">
            <v>19.989999999999998</v>
          </cell>
          <cell r="N187">
            <v>17.989999999999998</v>
          </cell>
          <cell r="O187">
            <v>12.99</v>
          </cell>
          <cell r="P187">
            <v>7.99</v>
          </cell>
          <cell r="Q187">
            <v>0.26659557</v>
          </cell>
          <cell r="R187">
            <v>5.3292454442999997</v>
          </cell>
          <cell r="S187">
            <v>4.7960543042999992</v>
          </cell>
          <cell r="T187">
            <v>3.4630764543000003</v>
          </cell>
          <cell r="U187">
            <v>2.1300986043000001</v>
          </cell>
        </row>
        <row r="188">
          <cell r="B188" t="str">
            <v>Senegal</v>
          </cell>
          <cell r="C188" t="str">
            <v>Africa</v>
          </cell>
          <cell r="D188" t="str">
            <v>N</v>
          </cell>
          <cell r="E188" t="str">
            <v>XOF</v>
          </cell>
          <cell r="F188">
            <v>6400</v>
          </cell>
          <cell r="G188">
            <v>580</v>
          </cell>
          <cell r="H188">
            <v>580</v>
          </cell>
          <cell r="I188">
            <v>580</v>
          </cell>
          <cell r="J188">
            <v>580</v>
          </cell>
          <cell r="K188" t="str">
            <v>XOF</v>
          </cell>
          <cell r="L188">
            <v>5400</v>
          </cell>
          <cell r="M188">
            <v>2000</v>
          </cell>
          <cell r="N188">
            <v>1600</v>
          </cell>
          <cell r="O188">
            <v>1200</v>
          </cell>
          <cell r="P188">
            <v>800</v>
          </cell>
          <cell r="Q188">
            <v>1.6072699E-3</v>
          </cell>
          <cell r="R188">
            <v>3.2145397999999998</v>
          </cell>
          <cell r="S188">
            <v>2.5716318400000002</v>
          </cell>
          <cell r="T188">
            <v>1.9287238799999999</v>
          </cell>
          <cell r="U188">
            <v>1.2858159200000001</v>
          </cell>
        </row>
        <row r="189">
          <cell r="B189" t="str">
            <v>Serbia</v>
          </cell>
          <cell r="C189" t="str">
            <v>Europe</v>
          </cell>
          <cell r="D189" t="str">
            <v>N</v>
          </cell>
          <cell r="E189" t="str">
            <v>RSD</v>
          </cell>
          <cell r="F189">
            <v>1500</v>
          </cell>
          <cell r="G189">
            <v>309.99</v>
          </cell>
          <cell r="H189">
            <v>309.99</v>
          </cell>
          <cell r="I189">
            <v>209.99</v>
          </cell>
          <cell r="J189">
            <v>99.99</v>
          </cell>
          <cell r="K189" t="str">
            <v>RSD</v>
          </cell>
          <cell r="L189">
            <v>1199.99</v>
          </cell>
          <cell r="M189">
            <v>419.99</v>
          </cell>
          <cell r="N189">
            <v>349.99</v>
          </cell>
          <cell r="O189">
            <v>279.99</v>
          </cell>
          <cell r="P189">
            <v>209.99</v>
          </cell>
          <cell r="Q189">
            <v>8.9637859999999996E-3</v>
          </cell>
          <cell r="R189">
            <v>3.7647004821399999</v>
          </cell>
          <cell r="S189">
            <v>3.13723546214</v>
          </cell>
          <cell r="T189">
            <v>2.5097704421399998</v>
          </cell>
          <cell r="U189">
            <v>1.88230542214</v>
          </cell>
        </row>
        <row r="190">
          <cell r="B190" t="str">
            <v>Seychelles</v>
          </cell>
          <cell r="C190" t="str">
            <v>Africa</v>
          </cell>
          <cell r="D190" t="str">
            <v>N</v>
          </cell>
          <cell r="E190" t="str">
            <v>SCR</v>
          </cell>
          <cell r="F190">
            <v>149.99</v>
          </cell>
          <cell r="G190">
            <v>13.99</v>
          </cell>
          <cell r="H190">
            <v>13.99</v>
          </cell>
          <cell r="I190">
            <v>13.99</v>
          </cell>
          <cell r="J190">
            <v>13.99</v>
          </cell>
          <cell r="K190" t="str">
            <v>SCR</v>
          </cell>
          <cell r="L190">
            <v>99.99</v>
          </cell>
          <cell r="M190">
            <v>34.99</v>
          </cell>
          <cell r="N190">
            <v>28.990000000000002</v>
          </cell>
          <cell r="O190">
            <v>22.990000000000002</v>
          </cell>
          <cell r="P190">
            <v>16.990000000000002</v>
          </cell>
          <cell r="Q190">
            <v>6.9531839999999998E-2</v>
          </cell>
          <cell r="R190">
            <v>2.4329190816000001</v>
          </cell>
          <cell r="S190">
            <v>2.0157280416000001</v>
          </cell>
          <cell r="T190">
            <v>1.5985370016</v>
          </cell>
          <cell r="U190">
            <v>1.1813459616000002</v>
          </cell>
        </row>
        <row r="191">
          <cell r="B191" t="str">
            <v>Sierra Leone</v>
          </cell>
          <cell r="C191" t="str">
            <v>Africa</v>
          </cell>
          <cell r="D191" t="str">
            <v>N</v>
          </cell>
          <cell r="E191" t="str">
            <v>SLL</v>
          </cell>
          <cell r="F191">
            <v>97800</v>
          </cell>
          <cell r="G191">
            <v>8800</v>
          </cell>
          <cell r="H191">
            <v>8800</v>
          </cell>
          <cell r="I191">
            <v>8800</v>
          </cell>
          <cell r="J191">
            <v>8800</v>
          </cell>
          <cell r="K191" t="str">
            <v>SLL</v>
          </cell>
          <cell r="L191">
            <v>97800</v>
          </cell>
          <cell r="M191">
            <v>34200</v>
          </cell>
          <cell r="N191">
            <v>28200</v>
          </cell>
          <cell r="O191">
            <v>22200</v>
          </cell>
          <cell r="P191">
            <v>16200</v>
          </cell>
          <cell r="Q191">
            <v>7.782101E-5</v>
          </cell>
          <cell r="R191">
            <v>2.6614785419999998</v>
          </cell>
          <cell r="S191">
            <v>2.1945524820000002</v>
          </cell>
          <cell r="T191">
            <v>1.7276264219999999</v>
          </cell>
          <cell r="U191">
            <v>1.2607003619999999</v>
          </cell>
        </row>
        <row r="192">
          <cell r="B192" t="str">
            <v>Singapore</v>
          </cell>
          <cell r="C192" t="str">
            <v>Asia</v>
          </cell>
          <cell r="D192" t="str">
            <v>Y</v>
          </cell>
          <cell r="E192" t="str">
            <v>SGD</v>
          </cell>
          <cell r="F192">
            <v>30.99</v>
          </cell>
          <cell r="G192">
            <v>7.99</v>
          </cell>
          <cell r="H192">
            <v>4.99</v>
          </cell>
          <cell r="I192">
            <v>3.99</v>
          </cell>
          <cell r="J192">
            <v>2.99</v>
          </cell>
          <cell r="K192" t="str">
            <v>SGD</v>
          </cell>
          <cell r="L192">
            <v>17.989999999999998</v>
          </cell>
          <cell r="M192">
            <v>5.98</v>
          </cell>
          <cell r="N192">
            <v>5.98</v>
          </cell>
          <cell r="O192">
            <v>2.98</v>
          </cell>
          <cell r="P192">
            <v>2.98</v>
          </cell>
          <cell r="Q192">
            <v>0.71908819999999996</v>
          </cell>
          <cell r="R192">
            <v>4.3001474359999996</v>
          </cell>
          <cell r="S192">
            <v>4.3001474359999996</v>
          </cell>
          <cell r="T192">
            <v>2.1428828360000001</v>
          </cell>
          <cell r="U192">
            <v>2.1428828360000001</v>
          </cell>
        </row>
        <row r="193">
          <cell r="B193" t="str">
            <v>Slovakia</v>
          </cell>
          <cell r="C193" t="str">
            <v>Europe</v>
          </cell>
          <cell r="D193" t="str">
            <v>N</v>
          </cell>
          <cell r="E193" t="str">
            <v>EUR</v>
          </cell>
          <cell r="F193">
            <v>17.989999999999998</v>
          </cell>
          <cell r="G193">
            <v>2.99</v>
          </cell>
          <cell r="H193">
            <v>2.99</v>
          </cell>
          <cell r="I193">
            <v>1.99</v>
          </cell>
          <cell r="J193">
            <v>0.99</v>
          </cell>
          <cell r="K193" t="str">
            <v>EUR</v>
          </cell>
          <cell r="L193">
            <v>10.99</v>
          </cell>
          <cell r="M193">
            <v>4.99</v>
          </cell>
          <cell r="N193">
            <v>3.99</v>
          </cell>
          <cell r="O193">
            <v>2.99</v>
          </cell>
          <cell r="P193">
            <v>1.99</v>
          </cell>
          <cell r="Q193">
            <v>1.0543</v>
          </cell>
          <cell r="R193">
            <v>5.2609570000000003</v>
          </cell>
          <cell r="S193">
            <v>4.2066569999999999</v>
          </cell>
          <cell r="T193">
            <v>3.1523570000000003</v>
          </cell>
          <cell r="U193">
            <v>2.0980569999999998</v>
          </cell>
        </row>
        <row r="194">
          <cell r="B194" t="str">
            <v>Slovenia</v>
          </cell>
          <cell r="C194" t="str">
            <v>Europe</v>
          </cell>
          <cell r="D194" t="str">
            <v>Y</v>
          </cell>
          <cell r="E194" t="str">
            <v>EUR</v>
          </cell>
          <cell r="F194">
            <v>14.99</v>
          </cell>
          <cell r="G194">
            <v>3.99</v>
          </cell>
          <cell r="H194">
            <v>3.99</v>
          </cell>
          <cell r="I194">
            <v>2.99</v>
          </cell>
          <cell r="J194">
            <v>1.99</v>
          </cell>
          <cell r="K194" t="str">
            <v>EUR</v>
          </cell>
          <cell r="L194">
            <v>13.99</v>
          </cell>
          <cell r="M194">
            <v>4.99</v>
          </cell>
          <cell r="N194">
            <v>3.99</v>
          </cell>
          <cell r="O194">
            <v>2.99</v>
          </cell>
          <cell r="P194">
            <v>1.99</v>
          </cell>
          <cell r="Q194">
            <v>1.0543</v>
          </cell>
          <cell r="R194">
            <v>5.2609570000000003</v>
          </cell>
          <cell r="S194">
            <v>4.2066569999999999</v>
          </cell>
          <cell r="T194">
            <v>3.1523570000000003</v>
          </cell>
          <cell r="U194">
            <v>2.0980569999999998</v>
          </cell>
        </row>
        <row r="195">
          <cell r="B195" t="str">
            <v>Solomon Islands</v>
          </cell>
          <cell r="C195" t="str">
            <v>Asia</v>
          </cell>
          <cell r="D195" t="str">
            <v>N</v>
          </cell>
          <cell r="E195" t="str">
            <v>SBD</v>
          </cell>
          <cell r="F195">
            <v>109.99</v>
          </cell>
          <cell r="G195">
            <v>23.99</v>
          </cell>
          <cell r="H195">
            <v>23.99</v>
          </cell>
          <cell r="I195">
            <v>15.99</v>
          </cell>
          <cell r="J195">
            <v>7.99</v>
          </cell>
          <cell r="K195" t="str">
            <v>SBD</v>
          </cell>
          <cell r="L195">
            <v>69.989999999999995</v>
          </cell>
          <cell r="M195">
            <v>24.99</v>
          </cell>
          <cell r="N195">
            <v>19.989999999999998</v>
          </cell>
          <cell r="O195">
            <v>14.989999999999998</v>
          </cell>
          <cell r="P195">
            <v>9.9899999999999984</v>
          </cell>
          <cell r="Q195">
            <v>0.12379999999999999</v>
          </cell>
          <cell r="R195">
            <v>3.0937619999999995</v>
          </cell>
          <cell r="S195">
            <v>2.4747619999999997</v>
          </cell>
          <cell r="T195">
            <v>1.8557619999999997</v>
          </cell>
          <cell r="U195">
            <v>1.2367619999999997</v>
          </cell>
        </row>
        <row r="196">
          <cell r="B196" t="str">
            <v>South Africa</v>
          </cell>
          <cell r="C196" t="str">
            <v>Africa</v>
          </cell>
          <cell r="D196" t="str">
            <v>Y</v>
          </cell>
          <cell r="E196" t="str">
            <v>ZAR</v>
          </cell>
          <cell r="F196">
            <v>159.99</v>
          </cell>
          <cell r="G196">
            <v>14.99</v>
          </cell>
          <cell r="H196">
            <v>14.99</v>
          </cell>
          <cell r="I196">
            <v>14.99</v>
          </cell>
          <cell r="J196">
            <v>14.99</v>
          </cell>
          <cell r="K196" t="str">
            <v>ZAR</v>
          </cell>
          <cell r="L196">
            <v>139.99</v>
          </cell>
          <cell r="M196">
            <v>64.989999999999995</v>
          </cell>
          <cell r="N196">
            <v>64.989999999999995</v>
          </cell>
          <cell r="O196">
            <v>32.99</v>
          </cell>
          <cell r="P196">
            <v>32.99</v>
          </cell>
          <cell r="Q196">
            <v>6.1938680000000003E-2</v>
          </cell>
          <cell r="R196">
            <v>4.0253948132000001</v>
          </cell>
          <cell r="S196">
            <v>4.0253948132000001</v>
          </cell>
          <cell r="T196">
            <v>2.0433570532000003</v>
          </cell>
          <cell r="U196">
            <v>2.0433570532000003</v>
          </cell>
        </row>
        <row r="197">
          <cell r="B197" t="str">
            <v>South Georgia (Sgssi)</v>
          </cell>
          <cell r="C197" t="str">
            <v>Europe</v>
          </cell>
          <cell r="D197" t="str">
            <v>N</v>
          </cell>
          <cell r="E197" t="str">
            <v>GBP</v>
          </cell>
          <cell r="F197">
            <v>21.99</v>
          </cell>
          <cell r="G197">
            <v>0.99</v>
          </cell>
          <cell r="H197">
            <v>0.99</v>
          </cell>
          <cell r="I197">
            <v>0.99</v>
          </cell>
          <cell r="J197">
            <v>0.99</v>
          </cell>
          <cell r="K197" t="str">
            <v>GBP</v>
          </cell>
          <cell r="L197">
            <v>9.99</v>
          </cell>
          <cell r="M197">
            <v>3.99</v>
          </cell>
          <cell r="N197">
            <v>3.99</v>
          </cell>
          <cell r="O197">
            <v>1.9900000000000002</v>
          </cell>
          <cell r="P197">
            <v>1.9900000000000002</v>
          </cell>
          <cell r="Q197">
            <v>1.2313000000000001</v>
          </cell>
          <cell r="R197">
            <v>4.9128870000000004</v>
          </cell>
          <cell r="S197">
            <v>4.9128870000000004</v>
          </cell>
          <cell r="T197">
            <v>2.4502870000000003</v>
          </cell>
          <cell r="U197">
            <v>2.4502870000000003</v>
          </cell>
        </row>
        <row r="198">
          <cell r="B198" t="str">
            <v>South Korea</v>
          </cell>
          <cell r="C198" t="str">
            <v>Asia</v>
          </cell>
          <cell r="D198" t="str">
            <v>Y</v>
          </cell>
          <cell r="E198" t="str">
            <v>KRW</v>
          </cell>
          <cell r="F198">
            <v>25700</v>
          </cell>
          <cell r="G198">
            <v>5300</v>
          </cell>
          <cell r="H198">
            <v>4300</v>
          </cell>
          <cell r="I198">
            <v>3200</v>
          </cell>
          <cell r="J198">
            <v>2100</v>
          </cell>
          <cell r="K198" t="str">
            <v>KRW</v>
          </cell>
          <cell r="L198">
            <v>20000</v>
          </cell>
          <cell r="M198">
            <v>7500</v>
          </cell>
          <cell r="N198">
            <v>7500</v>
          </cell>
          <cell r="O198">
            <v>3900</v>
          </cell>
          <cell r="P198">
            <v>3900</v>
          </cell>
          <cell r="Q198">
            <v>7.8342280000000004E-4</v>
          </cell>
          <cell r="R198">
            <v>5.8756710000000005</v>
          </cell>
          <cell r="S198">
            <v>5.8756710000000005</v>
          </cell>
          <cell r="T198">
            <v>3.0553489200000001</v>
          </cell>
          <cell r="U198">
            <v>3.0553489200000001</v>
          </cell>
        </row>
        <row r="199">
          <cell r="B199" t="str">
            <v>Spain</v>
          </cell>
          <cell r="C199" t="str">
            <v>Europe</v>
          </cell>
          <cell r="D199" t="str">
            <v>Y</v>
          </cell>
          <cell r="E199" t="str">
            <v>EUR</v>
          </cell>
          <cell r="F199">
            <v>14.99</v>
          </cell>
          <cell r="G199">
            <v>3.99</v>
          </cell>
          <cell r="H199">
            <v>3.99</v>
          </cell>
          <cell r="I199">
            <v>3.99</v>
          </cell>
          <cell r="J199">
            <v>3.99</v>
          </cell>
          <cell r="K199" t="str">
            <v>EUR</v>
          </cell>
          <cell r="L199">
            <v>14.99</v>
          </cell>
          <cell r="M199">
            <v>4.99</v>
          </cell>
          <cell r="N199">
            <v>3.99</v>
          </cell>
          <cell r="O199">
            <v>2.99</v>
          </cell>
          <cell r="P199">
            <v>1.9900000000000002</v>
          </cell>
          <cell r="Q199">
            <v>1.0543</v>
          </cell>
          <cell r="R199">
            <v>5.2609570000000003</v>
          </cell>
          <cell r="S199">
            <v>4.2066569999999999</v>
          </cell>
          <cell r="T199">
            <v>3.1523570000000003</v>
          </cell>
          <cell r="U199">
            <v>2.0980570000000003</v>
          </cell>
        </row>
        <row r="200">
          <cell r="B200" t="str">
            <v>Sri Lanka</v>
          </cell>
          <cell r="C200" t="str">
            <v>Asia</v>
          </cell>
          <cell r="D200" t="str">
            <v>N</v>
          </cell>
          <cell r="E200" t="str">
            <v>LKR</v>
          </cell>
          <cell r="F200">
            <v>1900</v>
          </cell>
          <cell r="G200">
            <v>169.99</v>
          </cell>
          <cell r="H200">
            <v>169.99</v>
          </cell>
          <cell r="I200">
            <v>169.99</v>
          </cell>
          <cell r="J200">
            <v>169.99</v>
          </cell>
          <cell r="K200" t="str">
            <v>LKR</v>
          </cell>
          <cell r="L200">
            <v>1900</v>
          </cell>
          <cell r="M200">
            <v>700</v>
          </cell>
          <cell r="N200">
            <v>700</v>
          </cell>
          <cell r="O200">
            <v>400</v>
          </cell>
          <cell r="P200">
            <v>400</v>
          </cell>
          <cell r="Q200">
            <v>2.7397260000000001E-3</v>
          </cell>
          <cell r="R200">
            <v>1.9178082000000001</v>
          </cell>
          <cell r="S200">
            <v>1.9178082000000001</v>
          </cell>
          <cell r="T200">
            <v>1.0958904</v>
          </cell>
          <cell r="U200">
            <v>1.0958904</v>
          </cell>
        </row>
        <row r="201">
          <cell r="B201" t="str">
            <v>St. Helena</v>
          </cell>
          <cell r="C201" t="str">
            <v>Africa</v>
          </cell>
          <cell r="D201" t="str">
            <v>N</v>
          </cell>
          <cell r="E201" t="str">
            <v>SHP</v>
          </cell>
          <cell r="F201">
            <v>8.99</v>
          </cell>
          <cell r="G201">
            <v>0.99</v>
          </cell>
          <cell r="H201">
            <v>0.99</v>
          </cell>
          <cell r="I201">
            <v>0.99</v>
          </cell>
          <cell r="J201">
            <v>0.99</v>
          </cell>
          <cell r="K201" t="str">
            <v>SHP</v>
          </cell>
          <cell r="L201">
            <v>6.99</v>
          </cell>
          <cell r="M201">
            <v>2.99</v>
          </cell>
          <cell r="N201">
            <v>2.99</v>
          </cell>
          <cell r="O201">
            <v>1.49</v>
          </cell>
          <cell r="P201">
            <v>1.49</v>
          </cell>
          <cell r="Q201">
            <v>1.2309000000000001</v>
          </cell>
          <cell r="R201">
            <v>3.6803910000000006</v>
          </cell>
          <cell r="S201">
            <v>3.6803910000000006</v>
          </cell>
          <cell r="T201">
            <v>1.8340410000000003</v>
          </cell>
          <cell r="U201">
            <v>1.8340410000000003</v>
          </cell>
        </row>
        <row r="202">
          <cell r="B202" t="str">
            <v>St. Kitts And Nevis</v>
          </cell>
          <cell r="C202" t="str">
            <v>Latin America</v>
          </cell>
          <cell r="D202" t="str">
            <v>N</v>
          </cell>
          <cell r="E202" t="str">
            <v>XCD</v>
          </cell>
          <cell r="F202">
            <v>37.99</v>
          </cell>
          <cell r="G202">
            <v>7.99</v>
          </cell>
          <cell r="H202">
            <v>7.99</v>
          </cell>
          <cell r="I202">
            <v>4.99</v>
          </cell>
          <cell r="J202">
            <v>2.99</v>
          </cell>
          <cell r="K202" t="str">
            <v>XCD</v>
          </cell>
          <cell r="L202">
            <v>32.99</v>
          </cell>
          <cell r="M202">
            <v>11.99</v>
          </cell>
          <cell r="N202">
            <v>9.99</v>
          </cell>
          <cell r="O202">
            <v>7.99</v>
          </cell>
          <cell r="P202">
            <v>5.99</v>
          </cell>
          <cell r="Q202">
            <v>0.37037036000000001</v>
          </cell>
          <cell r="R202">
            <v>4.4407406164000003</v>
          </cell>
          <cell r="S202">
            <v>3.6999998964</v>
          </cell>
          <cell r="T202">
            <v>2.9592591764000002</v>
          </cell>
          <cell r="U202">
            <v>2.2185184564</v>
          </cell>
        </row>
        <row r="203">
          <cell r="B203" t="str">
            <v>St. Lucia</v>
          </cell>
          <cell r="C203" t="str">
            <v>Africa</v>
          </cell>
          <cell r="D203" t="str">
            <v>N</v>
          </cell>
          <cell r="E203" t="str">
            <v>XCD</v>
          </cell>
          <cell r="F203">
            <v>37.99</v>
          </cell>
          <cell r="G203">
            <v>7.99</v>
          </cell>
          <cell r="H203">
            <v>7.99</v>
          </cell>
          <cell r="I203">
            <v>4.99</v>
          </cell>
          <cell r="J203">
            <v>2.99</v>
          </cell>
          <cell r="K203" t="str">
            <v>XCD</v>
          </cell>
          <cell r="L203">
            <v>29.99</v>
          </cell>
          <cell r="M203">
            <v>9.99</v>
          </cell>
          <cell r="N203">
            <v>7.99</v>
          </cell>
          <cell r="O203">
            <v>5.99</v>
          </cell>
          <cell r="P203">
            <v>3.99</v>
          </cell>
          <cell r="Q203">
            <v>0.37037036000000001</v>
          </cell>
          <cell r="R203">
            <v>3.6999998964</v>
          </cell>
          <cell r="S203">
            <v>2.9592591764000002</v>
          </cell>
          <cell r="T203">
            <v>2.2185184564</v>
          </cell>
          <cell r="U203">
            <v>1.4777777364000002</v>
          </cell>
        </row>
        <row r="204">
          <cell r="B204" t="str">
            <v>St. Pierre And Miquelon</v>
          </cell>
          <cell r="C204" t="str">
            <v>Latin America</v>
          </cell>
          <cell r="D204" t="str">
            <v>N</v>
          </cell>
          <cell r="E204" t="str">
            <v>EUR</v>
          </cell>
          <cell r="F204">
            <v>11.99</v>
          </cell>
          <cell r="G204">
            <v>2.99</v>
          </cell>
          <cell r="H204">
            <v>2.99</v>
          </cell>
          <cell r="I204">
            <v>1.99</v>
          </cell>
          <cell r="J204">
            <v>0.99</v>
          </cell>
          <cell r="K204" t="str">
            <v>EUR</v>
          </cell>
          <cell r="L204">
            <v>9.99</v>
          </cell>
          <cell r="M204">
            <v>3.99</v>
          </cell>
          <cell r="N204">
            <v>3.99</v>
          </cell>
          <cell r="O204">
            <v>1.9900000000000002</v>
          </cell>
          <cell r="P204">
            <v>1.9900000000000002</v>
          </cell>
          <cell r="Q204">
            <v>1.0543</v>
          </cell>
          <cell r="R204">
            <v>4.2066569999999999</v>
          </cell>
          <cell r="S204">
            <v>4.2066569999999999</v>
          </cell>
          <cell r="T204">
            <v>2.0980570000000003</v>
          </cell>
          <cell r="U204">
            <v>2.0980570000000003</v>
          </cell>
        </row>
        <row r="205">
          <cell r="B205" t="str">
            <v>St. Vincent And The Grenadines</v>
          </cell>
          <cell r="C205" t="str">
            <v>Latin America</v>
          </cell>
          <cell r="D205" t="str">
            <v>N</v>
          </cell>
          <cell r="E205" t="str">
            <v>XCD</v>
          </cell>
          <cell r="F205">
            <v>37.99</v>
          </cell>
          <cell r="G205">
            <v>7.99</v>
          </cell>
          <cell r="H205">
            <v>7.99</v>
          </cell>
          <cell r="I205">
            <v>4.99</v>
          </cell>
          <cell r="J205">
            <v>2.99</v>
          </cell>
          <cell r="K205" t="str">
            <v>XCD</v>
          </cell>
          <cell r="L205">
            <v>29.99</v>
          </cell>
          <cell r="M205">
            <v>9.99</v>
          </cell>
          <cell r="N205">
            <v>7.99</v>
          </cell>
          <cell r="O205">
            <v>5.99</v>
          </cell>
          <cell r="P205">
            <v>3.99</v>
          </cell>
          <cell r="Q205">
            <v>0.37037036000000001</v>
          </cell>
          <cell r="R205">
            <v>3.6999998964</v>
          </cell>
          <cell r="S205">
            <v>2.9592591764000002</v>
          </cell>
          <cell r="T205">
            <v>2.2185184564</v>
          </cell>
          <cell r="U205">
            <v>1.4777777364000002</v>
          </cell>
        </row>
        <row r="206">
          <cell r="B206" t="str">
            <v>Suriname</v>
          </cell>
          <cell r="C206" t="str">
            <v>Latin America</v>
          </cell>
          <cell r="D206" t="str">
            <v>N</v>
          </cell>
          <cell r="E206" t="str">
            <v>USD</v>
          </cell>
          <cell r="F206">
            <v>13.99</v>
          </cell>
          <cell r="G206">
            <v>2.99</v>
          </cell>
          <cell r="H206">
            <v>2.99</v>
          </cell>
          <cell r="I206">
            <v>1.99</v>
          </cell>
          <cell r="J206">
            <v>0.99</v>
          </cell>
          <cell r="K206" t="str">
            <v>SRD</v>
          </cell>
          <cell r="L206">
            <v>227</v>
          </cell>
          <cell r="M206">
            <v>80</v>
          </cell>
          <cell r="N206">
            <v>65</v>
          </cell>
          <cell r="O206">
            <v>50</v>
          </cell>
          <cell r="P206">
            <v>35</v>
          </cell>
          <cell r="Q206">
            <v>4.7819432000000002E-2</v>
          </cell>
          <cell r="R206">
            <v>3.82555456</v>
          </cell>
          <cell r="S206">
            <v>3.10826308</v>
          </cell>
          <cell r="T206">
            <v>2.3909716000000003</v>
          </cell>
          <cell r="U206">
            <v>1.67368012</v>
          </cell>
        </row>
        <row r="207">
          <cell r="B207" t="str">
            <v>Svalbard And Jan Mayen</v>
          </cell>
          <cell r="C207" t="str">
            <v>Europe</v>
          </cell>
          <cell r="D207" t="str">
            <v>N</v>
          </cell>
          <cell r="E207" t="str">
            <v>NOK</v>
          </cell>
          <cell r="F207">
            <v>239.99</v>
          </cell>
          <cell r="G207">
            <v>8.99</v>
          </cell>
          <cell r="H207">
            <v>8.99</v>
          </cell>
          <cell r="I207">
            <v>8.99</v>
          </cell>
          <cell r="J207">
            <v>8.99</v>
          </cell>
          <cell r="K207" t="str">
            <v>NOK</v>
          </cell>
          <cell r="L207">
            <v>149.99</v>
          </cell>
          <cell r="M207">
            <v>51.99</v>
          </cell>
          <cell r="N207">
            <v>41.99</v>
          </cell>
          <cell r="O207">
            <v>31.990000000000002</v>
          </cell>
          <cell r="P207">
            <v>21.990000000000002</v>
          </cell>
          <cell r="Q207">
            <v>0.10311352</v>
          </cell>
          <cell r="R207">
            <v>5.3608719048000006</v>
          </cell>
          <cell r="S207">
            <v>4.3297367048000002</v>
          </cell>
          <cell r="T207">
            <v>3.2986015048000001</v>
          </cell>
          <cell r="U207">
            <v>2.2674663048000001</v>
          </cell>
        </row>
        <row r="208">
          <cell r="B208" t="str">
            <v>Sweden</v>
          </cell>
          <cell r="C208" t="str">
            <v>Europe</v>
          </cell>
          <cell r="D208" t="str">
            <v>Y</v>
          </cell>
          <cell r="E208" t="str">
            <v>SEK</v>
          </cell>
          <cell r="F208">
            <v>269.99</v>
          </cell>
          <cell r="G208">
            <v>65.989999999999995</v>
          </cell>
          <cell r="H208">
            <v>65.989999999999995</v>
          </cell>
          <cell r="I208">
            <v>65.989999999999995</v>
          </cell>
          <cell r="J208">
            <v>65.989999999999995</v>
          </cell>
          <cell r="K208" t="str">
            <v>SEK</v>
          </cell>
          <cell r="L208">
            <v>149.99</v>
          </cell>
          <cell r="M208">
            <v>55</v>
          </cell>
          <cell r="N208">
            <v>55</v>
          </cell>
          <cell r="O208">
            <v>30</v>
          </cell>
          <cell r="P208">
            <v>30</v>
          </cell>
          <cell r="Q208">
            <v>9.9485666E-2</v>
          </cell>
          <cell r="R208">
            <v>5.4717116299999997</v>
          </cell>
          <cell r="S208">
            <v>5.4717116299999997</v>
          </cell>
          <cell r="T208">
            <v>2.9845699799999998</v>
          </cell>
          <cell r="U208">
            <v>2.9845699799999998</v>
          </cell>
        </row>
        <row r="209">
          <cell r="B209" t="str">
            <v>Switzerland</v>
          </cell>
          <cell r="C209" t="str">
            <v>Europe</v>
          </cell>
          <cell r="D209" t="str">
            <v>Y</v>
          </cell>
          <cell r="E209" t="str">
            <v>CHF</v>
          </cell>
          <cell r="F209">
            <v>27.99</v>
          </cell>
          <cell r="G209">
            <v>6.99</v>
          </cell>
          <cell r="H209">
            <v>6.99</v>
          </cell>
          <cell r="I209">
            <v>6.99</v>
          </cell>
          <cell r="J209">
            <v>6.99</v>
          </cell>
          <cell r="K209" t="str">
            <v>CHF</v>
          </cell>
          <cell r="L209">
            <v>24.99</v>
          </cell>
          <cell r="M209">
            <v>9</v>
          </cell>
          <cell r="N209">
            <v>7</v>
          </cell>
          <cell r="O209">
            <v>6</v>
          </cell>
          <cell r="P209">
            <v>4</v>
          </cell>
          <cell r="Q209">
            <v>1.0064919000000001</v>
          </cell>
          <cell r="R209">
            <v>9.0584271000000012</v>
          </cell>
          <cell r="S209">
            <v>7.0454433000000005</v>
          </cell>
          <cell r="T209">
            <v>6.0389514000000002</v>
          </cell>
          <cell r="U209">
            <v>4.0259676000000004</v>
          </cell>
        </row>
        <row r="210">
          <cell r="B210" t="str">
            <v>Taiwan</v>
          </cell>
          <cell r="C210" t="str">
            <v>NBA China</v>
          </cell>
          <cell r="D210" t="str">
            <v>Y</v>
          </cell>
          <cell r="E210" t="str">
            <v>TWD</v>
          </cell>
          <cell r="F210">
            <v>440</v>
          </cell>
          <cell r="G210">
            <v>94</v>
          </cell>
          <cell r="H210">
            <v>94</v>
          </cell>
          <cell r="I210">
            <v>63</v>
          </cell>
          <cell r="J210">
            <v>31</v>
          </cell>
          <cell r="K210" t="str">
            <v>TWD</v>
          </cell>
          <cell r="L210">
            <v>390</v>
          </cell>
          <cell r="M210">
            <v>130</v>
          </cell>
          <cell r="N210">
            <v>130</v>
          </cell>
          <cell r="O210">
            <v>70</v>
          </cell>
          <cell r="P210">
            <v>70</v>
          </cell>
          <cell r="Q210">
            <v>3.3674570000000001E-2</v>
          </cell>
          <cell r="R210">
            <v>4.3776941000000003</v>
          </cell>
          <cell r="S210">
            <v>4.3776941000000003</v>
          </cell>
          <cell r="T210">
            <v>2.3572199</v>
          </cell>
          <cell r="U210">
            <v>2.3572199</v>
          </cell>
        </row>
        <row r="211">
          <cell r="B211" t="str">
            <v>Tajikistan</v>
          </cell>
          <cell r="C211" t="str">
            <v>Asia</v>
          </cell>
          <cell r="D211" t="str">
            <v>N</v>
          </cell>
          <cell r="E211" t="str">
            <v>TJS</v>
          </cell>
          <cell r="F211">
            <v>129.99</v>
          </cell>
          <cell r="G211">
            <v>27.99</v>
          </cell>
          <cell r="H211">
            <v>27.99</v>
          </cell>
          <cell r="I211">
            <v>18.989999999999998</v>
          </cell>
          <cell r="J211">
            <v>8.99</v>
          </cell>
          <cell r="K211" t="str">
            <v>USD</v>
          </cell>
          <cell r="L211">
            <v>8.99</v>
          </cell>
          <cell r="M211">
            <v>3.49</v>
          </cell>
          <cell r="N211">
            <v>3.49</v>
          </cell>
          <cell r="O211">
            <v>1.19</v>
          </cell>
          <cell r="P211">
            <v>1.19</v>
          </cell>
          <cell r="Q211">
            <v>1</v>
          </cell>
          <cell r="R211">
            <v>3.49</v>
          </cell>
          <cell r="S211">
            <v>3.49</v>
          </cell>
          <cell r="T211">
            <v>1.19</v>
          </cell>
          <cell r="U211">
            <v>1.19</v>
          </cell>
        </row>
        <row r="212">
          <cell r="B212" t="str">
            <v>Tanzania</v>
          </cell>
          <cell r="C212" t="str">
            <v>Africa</v>
          </cell>
          <cell r="D212" t="str">
            <v>N</v>
          </cell>
          <cell r="E212" t="str">
            <v>TZS</v>
          </cell>
          <cell r="F212">
            <v>25300</v>
          </cell>
          <cell r="G212">
            <v>2300</v>
          </cell>
          <cell r="H212">
            <v>2300</v>
          </cell>
          <cell r="I212">
            <v>2300</v>
          </cell>
          <cell r="J212">
            <v>2300</v>
          </cell>
          <cell r="K212" t="str">
            <v>TZS</v>
          </cell>
          <cell r="L212">
            <v>20900</v>
          </cell>
          <cell r="M212">
            <v>8900</v>
          </cell>
          <cell r="N212">
            <v>8900</v>
          </cell>
          <cell r="O212">
            <v>4500</v>
          </cell>
          <cell r="P212">
            <v>4500</v>
          </cell>
          <cell r="Q212">
            <v>4.3010751999999998E-4</v>
          </cell>
          <cell r="R212">
            <v>3.8279569279999999</v>
          </cell>
          <cell r="S212">
            <v>3.8279569279999999</v>
          </cell>
          <cell r="T212">
            <v>1.9354838399999998</v>
          </cell>
          <cell r="U212">
            <v>1.9354838399999998</v>
          </cell>
        </row>
        <row r="213">
          <cell r="B213" t="str">
            <v>Thailand</v>
          </cell>
          <cell r="C213" t="str">
            <v>Asia</v>
          </cell>
          <cell r="D213" t="str">
            <v>Y</v>
          </cell>
          <cell r="E213" t="str">
            <v>THB</v>
          </cell>
          <cell r="F213">
            <v>339.99</v>
          </cell>
          <cell r="G213">
            <v>61.99</v>
          </cell>
          <cell r="H213">
            <v>61.99</v>
          </cell>
          <cell r="I213">
            <v>61.99</v>
          </cell>
          <cell r="J213">
            <v>61.99</v>
          </cell>
          <cell r="K213" t="str">
            <v>THB</v>
          </cell>
          <cell r="L213">
            <v>300</v>
          </cell>
          <cell r="M213">
            <v>149</v>
          </cell>
          <cell r="N213">
            <v>149</v>
          </cell>
          <cell r="O213">
            <v>69</v>
          </cell>
          <cell r="P213">
            <v>69</v>
          </cell>
          <cell r="Q213">
            <v>2.8956131999999999E-2</v>
          </cell>
          <cell r="R213">
            <v>4.3144636680000001</v>
          </cell>
          <cell r="S213">
            <v>4.3144636680000001</v>
          </cell>
          <cell r="T213">
            <v>1.9979731079999998</v>
          </cell>
          <cell r="U213">
            <v>1.9979731079999998</v>
          </cell>
        </row>
        <row r="214">
          <cell r="B214" t="str">
            <v>Timor-Leste</v>
          </cell>
          <cell r="C214" t="str">
            <v>Asia</v>
          </cell>
          <cell r="D214" t="str">
            <v>N</v>
          </cell>
          <cell r="E214" t="str">
            <v>USD</v>
          </cell>
          <cell r="F214">
            <v>10.99</v>
          </cell>
          <cell r="G214">
            <v>0.99</v>
          </cell>
          <cell r="H214">
            <v>0.99</v>
          </cell>
          <cell r="I214">
            <v>0.99</v>
          </cell>
          <cell r="J214">
            <v>0.99</v>
          </cell>
          <cell r="K214" t="str">
            <v>USD</v>
          </cell>
          <cell r="L214">
            <v>8.99</v>
          </cell>
          <cell r="M214">
            <v>2.99</v>
          </cell>
          <cell r="N214">
            <v>2.4900000000000002</v>
          </cell>
          <cell r="O214">
            <v>1.9900000000000002</v>
          </cell>
          <cell r="P214">
            <v>1.4900000000000002</v>
          </cell>
          <cell r="Q214">
            <v>1</v>
          </cell>
          <cell r="R214">
            <v>2.99</v>
          </cell>
          <cell r="S214">
            <v>2.4900000000000002</v>
          </cell>
          <cell r="T214">
            <v>1.9900000000000002</v>
          </cell>
          <cell r="U214">
            <v>1.4900000000000002</v>
          </cell>
        </row>
        <row r="215">
          <cell r="B215" t="str">
            <v>Togo</v>
          </cell>
          <cell r="C215" t="str">
            <v>Africa</v>
          </cell>
          <cell r="D215" t="str">
            <v>N</v>
          </cell>
          <cell r="E215" t="str">
            <v>XOF</v>
          </cell>
          <cell r="F215">
            <v>6400</v>
          </cell>
          <cell r="G215">
            <v>580</v>
          </cell>
          <cell r="H215">
            <v>580</v>
          </cell>
          <cell r="I215">
            <v>580</v>
          </cell>
          <cell r="J215">
            <v>580</v>
          </cell>
          <cell r="K215" t="str">
            <v>XOF</v>
          </cell>
          <cell r="L215">
            <v>5400</v>
          </cell>
          <cell r="M215">
            <v>2000</v>
          </cell>
          <cell r="N215">
            <v>1600</v>
          </cell>
          <cell r="O215">
            <v>1200</v>
          </cell>
          <cell r="P215">
            <v>800</v>
          </cell>
          <cell r="Q215">
            <v>1.6072699E-3</v>
          </cell>
          <cell r="R215">
            <v>3.2145397999999998</v>
          </cell>
          <cell r="S215">
            <v>2.5716318400000002</v>
          </cell>
          <cell r="T215">
            <v>1.9287238799999999</v>
          </cell>
          <cell r="U215">
            <v>1.2858159200000001</v>
          </cell>
        </row>
        <row r="216">
          <cell r="B216" t="str">
            <v>Tokelau</v>
          </cell>
          <cell r="C216" t="str">
            <v>Asia</v>
          </cell>
          <cell r="D216" t="str">
            <v>N</v>
          </cell>
          <cell r="E216" t="str">
            <v>NZD</v>
          </cell>
          <cell r="F216">
            <v>20.99</v>
          </cell>
          <cell r="G216">
            <v>4.99</v>
          </cell>
          <cell r="H216">
            <v>4.99</v>
          </cell>
          <cell r="I216">
            <v>2.99</v>
          </cell>
          <cell r="J216">
            <v>1.99</v>
          </cell>
          <cell r="K216" t="str">
            <v>NZD</v>
          </cell>
          <cell r="L216">
            <v>24.99</v>
          </cell>
          <cell r="M216">
            <v>8.99</v>
          </cell>
          <cell r="N216">
            <v>7.49</v>
          </cell>
          <cell r="O216">
            <v>5.99</v>
          </cell>
          <cell r="P216">
            <v>4.49</v>
          </cell>
          <cell r="Q216">
            <v>0.62934999999999997</v>
          </cell>
          <cell r="R216">
            <v>5.6578564999999994</v>
          </cell>
          <cell r="S216">
            <v>4.7138314999999995</v>
          </cell>
          <cell r="T216">
            <v>3.7698065000000001</v>
          </cell>
          <cell r="U216">
            <v>2.8257815000000002</v>
          </cell>
        </row>
        <row r="217">
          <cell r="B217" t="str">
            <v>Tonga</v>
          </cell>
          <cell r="C217" t="str">
            <v>Asia</v>
          </cell>
          <cell r="D217" t="str">
            <v>N</v>
          </cell>
          <cell r="E217" t="str">
            <v>TOP</v>
          </cell>
          <cell r="F217">
            <v>31.99</v>
          </cell>
          <cell r="G217">
            <v>6.99</v>
          </cell>
          <cell r="H217">
            <v>6.99</v>
          </cell>
          <cell r="I217">
            <v>4.99</v>
          </cell>
          <cell r="J217">
            <v>1.99</v>
          </cell>
          <cell r="K217" t="str">
            <v>TOP</v>
          </cell>
          <cell r="L217">
            <v>22.99</v>
          </cell>
          <cell r="M217">
            <v>7.99</v>
          </cell>
          <cell r="N217">
            <v>6.49</v>
          </cell>
          <cell r="O217">
            <v>4.99</v>
          </cell>
          <cell r="P217">
            <v>3.49</v>
          </cell>
          <cell r="Q217">
            <v>0.43019997999999998</v>
          </cell>
          <cell r="R217">
            <v>3.4372978401999998</v>
          </cell>
          <cell r="S217">
            <v>2.7919978701999999</v>
          </cell>
          <cell r="T217">
            <v>2.1466979002</v>
          </cell>
          <cell r="U217">
            <v>1.5013979302</v>
          </cell>
        </row>
        <row r="218">
          <cell r="B218" t="str">
            <v>Trinidad And Tobago</v>
          </cell>
          <cell r="C218" t="str">
            <v>Latin America</v>
          </cell>
          <cell r="D218" t="str">
            <v>N</v>
          </cell>
          <cell r="E218" t="str">
            <v>TTD</v>
          </cell>
          <cell r="F218">
            <v>94.99</v>
          </cell>
          <cell r="G218">
            <v>19.989999999999998</v>
          </cell>
          <cell r="H218">
            <v>19.989999999999998</v>
          </cell>
          <cell r="I218">
            <v>13.99</v>
          </cell>
          <cell r="J218">
            <v>6.99</v>
          </cell>
          <cell r="K218" t="str">
            <v>TTD</v>
          </cell>
          <cell r="L218">
            <v>80.989999999999995</v>
          </cell>
          <cell r="M218">
            <v>29.99</v>
          </cell>
          <cell r="N218">
            <v>24.99</v>
          </cell>
          <cell r="O218">
            <v>19.989999999999998</v>
          </cell>
          <cell r="P218">
            <v>14.989999999999998</v>
          </cell>
          <cell r="Q218">
            <v>0.14781528999999999</v>
          </cell>
          <cell r="R218">
            <v>4.4329805470999997</v>
          </cell>
          <cell r="S218">
            <v>3.6939040970999995</v>
          </cell>
          <cell r="T218">
            <v>2.9548276470999997</v>
          </cell>
          <cell r="U218">
            <v>2.2157511970999995</v>
          </cell>
        </row>
        <row r="219">
          <cell r="B219" t="str">
            <v>Tunisia</v>
          </cell>
          <cell r="C219" t="str">
            <v>Africa</v>
          </cell>
          <cell r="D219" t="str">
            <v>N</v>
          </cell>
          <cell r="E219" t="str">
            <v>TND</v>
          </cell>
          <cell r="F219">
            <v>31.99</v>
          </cell>
          <cell r="G219">
            <v>2.99</v>
          </cell>
          <cell r="H219">
            <v>2.99</v>
          </cell>
          <cell r="I219">
            <v>2.99</v>
          </cell>
          <cell r="J219">
            <v>2.99</v>
          </cell>
          <cell r="K219" t="str">
            <v>TND</v>
          </cell>
          <cell r="L219">
            <v>26.998999999999999</v>
          </cell>
          <cell r="M219">
            <v>8.9990000000000006</v>
          </cell>
          <cell r="N219">
            <v>7.4990000000000006</v>
          </cell>
          <cell r="O219">
            <v>5.9990000000000006</v>
          </cell>
          <cell r="P219">
            <v>4.4990000000000006</v>
          </cell>
          <cell r="Q219">
            <v>0.32354608000000001</v>
          </cell>
          <cell r="R219">
            <v>2.9115911739200002</v>
          </cell>
          <cell r="S219">
            <v>2.4262720539200004</v>
          </cell>
          <cell r="T219">
            <v>1.9409529339200002</v>
          </cell>
          <cell r="U219">
            <v>1.4556338139200002</v>
          </cell>
        </row>
        <row r="220">
          <cell r="B220" t="str">
            <v>Turkey</v>
          </cell>
          <cell r="C220" t="str">
            <v>Europe</v>
          </cell>
          <cell r="D220" t="str">
            <v>Y</v>
          </cell>
          <cell r="E220" t="str">
            <v>TRY</v>
          </cell>
          <cell r="F220">
            <v>81.99</v>
          </cell>
          <cell r="G220">
            <v>17.989999999999998</v>
          </cell>
          <cell r="H220">
            <v>17.989999999999998</v>
          </cell>
          <cell r="I220">
            <v>11.99</v>
          </cell>
          <cell r="J220">
            <v>5.99</v>
          </cell>
          <cell r="K220" t="str">
            <v>TRY</v>
          </cell>
          <cell r="L220">
            <v>79.989999999999995</v>
          </cell>
          <cell r="M220">
            <v>34.99</v>
          </cell>
          <cell r="N220">
            <v>34.99</v>
          </cell>
          <cell r="O220">
            <v>16.989999999999998</v>
          </cell>
          <cell r="P220">
            <v>16.989999999999998</v>
          </cell>
          <cell r="Q220">
            <v>6.558667E-2</v>
          </cell>
          <cell r="R220">
            <v>2.2948775832999999</v>
          </cell>
          <cell r="S220">
            <v>2.2948775832999999</v>
          </cell>
          <cell r="T220">
            <v>1.1143175233</v>
          </cell>
          <cell r="U220">
            <v>1.1143175233</v>
          </cell>
        </row>
        <row r="221">
          <cell r="B221" t="str">
            <v>Turkmenistan</v>
          </cell>
          <cell r="C221" t="str">
            <v>Asia</v>
          </cell>
          <cell r="D221" t="str">
            <v>N</v>
          </cell>
          <cell r="E221" t="str">
            <v>USD</v>
          </cell>
          <cell r="F221">
            <v>13.99</v>
          </cell>
          <cell r="G221">
            <v>2.99</v>
          </cell>
          <cell r="H221">
            <v>2.99</v>
          </cell>
          <cell r="I221">
            <v>1.99</v>
          </cell>
          <cell r="J221">
            <v>0.99</v>
          </cell>
          <cell r="K221" t="str">
            <v>USD</v>
          </cell>
          <cell r="L221">
            <v>10.99</v>
          </cell>
          <cell r="M221">
            <v>4.99</v>
          </cell>
          <cell r="N221">
            <v>3.99</v>
          </cell>
          <cell r="O221">
            <v>2.99</v>
          </cell>
          <cell r="P221">
            <v>1.9900000000000002</v>
          </cell>
          <cell r="Q221">
            <v>1</v>
          </cell>
          <cell r="R221">
            <v>4.99</v>
          </cell>
          <cell r="S221">
            <v>3.99</v>
          </cell>
          <cell r="T221">
            <v>2.99</v>
          </cell>
          <cell r="U221">
            <v>1.9900000000000002</v>
          </cell>
        </row>
        <row r="222">
          <cell r="B222" t="str">
            <v>Turks And Caicos Islands</v>
          </cell>
          <cell r="C222" t="str">
            <v>Latin America</v>
          </cell>
          <cell r="D222" t="str">
            <v>N</v>
          </cell>
          <cell r="E222" t="str">
            <v>USD</v>
          </cell>
          <cell r="F222">
            <v>13.99</v>
          </cell>
          <cell r="G222">
            <v>2.99</v>
          </cell>
          <cell r="H222">
            <v>2.99</v>
          </cell>
          <cell r="I222">
            <v>1.99</v>
          </cell>
          <cell r="J222">
            <v>0.99</v>
          </cell>
          <cell r="K222" t="str">
            <v>USD</v>
          </cell>
          <cell r="L222">
            <v>11.99</v>
          </cell>
          <cell r="M222">
            <v>4.99</v>
          </cell>
          <cell r="N222">
            <v>3.99</v>
          </cell>
          <cell r="O222">
            <v>2.99</v>
          </cell>
          <cell r="P222">
            <v>1.9900000000000002</v>
          </cell>
          <cell r="Q222">
            <v>1</v>
          </cell>
          <cell r="R222">
            <v>4.99</v>
          </cell>
          <cell r="S222">
            <v>3.99</v>
          </cell>
          <cell r="T222">
            <v>2.99</v>
          </cell>
          <cell r="U222">
            <v>1.9900000000000002</v>
          </cell>
        </row>
        <row r="223">
          <cell r="B223" t="str">
            <v>Tuvalu</v>
          </cell>
          <cell r="C223" t="str">
            <v>Asia</v>
          </cell>
          <cell r="D223" t="str">
            <v>N</v>
          </cell>
          <cell r="E223" t="str">
            <v>AUD</v>
          </cell>
          <cell r="F223">
            <v>19.989999999999998</v>
          </cell>
          <cell r="G223">
            <v>3.99</v>
          </cell>
          <cell r="H223">
            <v>3.99</v>
          </cell>
          <cell r="I223">
            <v>2.99</v>
          </cell>
          <cell r="J223">
            <v>0.99</v>
          </cell>
          <cell r="K223" t="str">
            <v>AUD</v>
          </cell>
          <cell r="L223">
            <v>13.99</v>
          </cell>
          <cell r="M223">
            <v>4.99</v>
          </cell>
          <cell r="N223">
            <v>3.99</v>
          </cell>
          <cell r="O223">
            <v>2.99</v>
          </cell>
          <cell r="P223">
            <v>1.9900000000000002</v>
          </cell>
          <cell r="Q223">
            <v>0.69404995000000003</v>
          </cell>
          <cell r="R223">
            <v>3.4633092505000005</v>
          </cell>
          <cell r="S223">
            <v>2.7692593005000004</v>
          </cell>
          <cell r="T223">
            <v>2.0752093505000002</v>
          </cell>
          <cell r="U223">
            <v>1.3811594005000003</v>
          </cell>
        </row>
        <row r="224">
          <cell r="B224" t="str">
            <v>Uganda</v>
          </cell>
          <cell r="C224" t="str">
            <v>Africa</v>
          </cell>
          <cell r="D224" t="str">
            <v>N</v>
          </cell>
          <cell r="E224" t="str">
            <v>UGX</v>
          </cell>
          <cell r="F224">
            <v>41200</v>
          </cell>
          <cell r="G224">
            <v>3700</v>
          </cell>
          <cell r="H224">
            <v>3700</v>
          </cell>
          <cell r="I224">
            <v>3700</v>
          </cell>
          <cell r="J224">
            <v>3700</v>
          </cell>
          <cell r="K224" t="str">
            <v>UGX</v>
          </cell>
          <cell r="L224">
            <v>32300</v>
          </cell>
          <cell r="M224">
            <v>11300</v>
          </cell>
          <cell r="N224">
            <v>9400</v>
          </cell>
          <cell r="O224">
            <v>7500</v>
          </cell>
          <cell r="P224">
            <v>5600</v>
          </cell>
          <cell r="Q224">
            <v>2.7894002000000001E-4</v>
          </cell>
          <cell r="R224">
            <v>3.1520222260000001</v>
          </cell>
          <cell r="S224">
            <v>2.622036188</v>
          </cell>
          <cell r="T224">
            <v>2.0920501499999999</v>
          </cell>
          <cell r="U224">
            <v>1.5620641120000001</v>
          </cell>
        </row>
        <row r="225">
          <cell r="B225" t="str">
            <v>Ukraine</v>
          </cell>
          <cell r="C225" t="str">
            <v>Europe</v>
          </cell>
          <cell r="D225" t="str">
            <v>N</v>
          </cell>
          <cell r="E225" t="str">
            <v>UAH</v>
          </cell>
          <cell r="F225">
            <v>369.99</v>
          </cell>
          <cell r="G225">
            <v>78.989999999999995</v>
          </cell>
          <cell r="H225">
            <v>78.989999999999995</v>
          </cell>
          <cell r="I225">
            <v>52.99</v>
          </cell>
          <cell r="J225">
            <v>25.99</v>
          </cell>
          <cell r="K225" t="str">
            <v>UAH</v>
          </cell>
          <cell r="L225">
            <v>209.99</v>
          </cell>
          <cell r="M225">
            <v>74.989999999999995</v>
          </cell>
          <cell r="N225">
            <v>59.989999999999995</v>
          </cell>
          <cell r="O225">
            <v>44.989999999999995</v>
          </cell>
          <cell r="P225">
            <v>29.989999999999995</v>
          </cell>
          <cell r="Q225">
            <v>3.3388979999999999E-2</v>
          </cell>
          <cell r="R225">
            <v>2.5038396101999996</v>
          </cell>
          <cell r="S225">
            <v>2.0030049101999996</v>
          </cell>
          <cell r="T225">
            <v>1.5021702101999999</v>
          </cell>
          <cell r="U225">
            <v>1.0013355101999999</v>
          </cell>
        </row>
        <row r="226">
          <cell r="B226" t="str">
            <v>United Arab Emirates</v>
          </cell>
          <cell r="C226" t="str">
            <v>Middle East</v>
          </cell>
          <cell r="D226" t="str">
            <v>Y</v>
          </cell>
          <cell r="E226" t="str">
            <v>AED</v>
          </cell>
          <cell r="F226">
            <v>83.99</v>
          </cell>
          <cell r="G226">
            <v>21.99</v>
          </cell>
          <cell r="H226">
            <v>14.99</v>
          </cell>
          <cell r="I226">
            <v>10.99</v>
          </cell>
          <cell r="J226">
            <v>6.99</v>
          </cell>
          <cell r="K226" t="str">
            <v>AED</v>
          </cell>
          <cell r="L226">
            <v>58.99</v>
          </cell>
          <cell r="M226">
            <v>17.989999999999998</v>
          </cell>
          <cell r="N226">
            <v>14.99</v>
          </cell>
          <cell r="O226">
            <v>10.99</v>
          </cell>
          <cell r="P226">
            <v>7.29</v>
          </cell>
          <cell r="Q226">
            <v>0.27226073000000001</v>
          </cell>
          <cell r="R226">
            <v>4.8979705326999996</v>
          </cell>
          <cell r="S226">
            <v>4.0811883427</v>
          </cell>
          <cell r="T226">
            <v>2.9921454227000002</v>
          </cell>
          <cell r="U226">
            <v>1.9847807217</v>
          </cell>
        </row>
        <row r="227">
          <cell r="B227" t="str">
            <v>United Kingdom</v>
          </cell>
          <cell r="C227" t="str">
            <v>Europe</v>
          </cell>
          <cell r="D227" t="str">
            <v>Y</v>
          </cell>
          <cell r="E227" t="str">
            <v>GBP</v>
          </cell>
          <cell r="F227">
            <v>24.99</v>
          </cell>
          <cell r="G227">
            <v>5.99</v>
          </cell>
          <cell r="H227">
            <v>5.99</v>
          </cell>
          <cell r="I227">
            <v>5.99</v>
          </cell>
          <cell r="J227">
            <v>5.99</v>
          </cell>
          <cell r="K227" t="str">
            <v>GBP</v>
          </cell>
          <cell r="L227">
            <v>14.99</v>
          </cell>
          <cell r="M227">
            <v>4.99</v>
          </cell>
          <cell r="N227">
            <v>4.49</v>
          </cell>
          <cell r="O227">
            <v>3.49</v>
          </cell>
          <cell r="P227">
            <v>2.4900000000000002</v>
          </cell>
          <cell r="Q227">
            <v>1.2313000000000001</v>
          </cell>
          <cell r="R227">
            <v>6.1441870000000005</v>
          </cell>
          <cell r="S227">
            <v>5.5285370000000009</v>
          </cell>
          <cell r="T227">
            <v>4.2972370000000009</v>
          </cell>
          <cell r="U227">
            <v>3.0659370000000004</v>
          </cell>
        </row>
        <row r="228">
          <cell r="B228" t="str">
            <v>Uruguay</v>
          </cell>
          <cell r="C228" t="str">
            <v>Latin America</v>
          </cell>
          <cell r="D228" t="str">
            <v>Y</v>
          </cell>
          <cell r="E228" t="str">
            <v>UYU</v>
          </cell>
          <cell r="F228">
            <v>489.99</v>
          </cell>
          <cell r="G228">
            <v>109.99</v>
          </cell>
          <cell r="H228">
            <v>109.99</v>
          </cell>
          <cell r="I228">
            <v>69.989999999999995</v>
          </cell>
          <cell r="J228">
            <v>34.99</v>
          </cell>
          <cell r="K228" t="str">
            <v>UYU</v>
          </cell>
          <cell r="L228">
            <v>489.99</v>
          </cell>
          <cell r="M228">
            <v>169.99</v>
          </cell>
          <cell r="N228">
            <v>139.99</v>
          </cell>
          <cell r="O228">
            <v>109.99000000000001</v>
          </cell>
          <cell r="P228">
            <v>79.990000000000009</v>
          </cell>
          <cell r="Q228">
            <v>2.3995202E-2</v>
          </cell>
          <cell r="R228">
            <v>4.07894438798</v>
          </cell>
          <cell r="S228">
            <v>3.3590883279800003</v>
          </cell>
          <cell r="T228">
            <v>2.6392322679800002</v>
          </cell>
          <cell r="U228">
            <v>1.9193762079800003</v>
          </cell>
        </row>
        <row r="229">
          <cell r="B229" t="str">
            <v>Uzbekistan</v>
          </cell>
          <cell r="C229" t="str">
            <v>Asia</v>
          </cell>
          <cell r="D229" t="str">
            <v>N</v>
          </cell>
          <cell r="E229" t="str">
            <v>UZS</v>
          </cell>
          <cell r="F229">
            <v>119000</v>
          </cell>
          <cell r="G229">
            <v>25500</v>
          </cell>
          <cell r="H229">
            <v>25500</v>
          </cell>
          <cell r="I229">
            <v>17000</v>
          </cell>
          <cell r="J229">
            <v>8400</v>
          </cell>
          <cell r="K229" t="str">
            <v>UZS</v>
          </cell>
          <cell r="L229">
            <v>98500</v>
          </cell>
          <cell r="M229">
            <v>35000</v>
          </cell>
          <cell r="N229">
            <v>29000</v>
          </cell>
          <cell r="O229">
            <v>23000</v>
          </cell>
          <cell r="P229">
            <v>17000</v>
          </cell>
          <cell r="Q229">
            <v>8.9589430000000002E-5</v>
          </cell>
          <cell r="R229">
            <v>3.1356300500000001</v>
          </cell>
          <cell r="S229">
            <v>2.5980934700000002</v>
          </cell>
          <cell r="T229">
            <v>2.06055689</v>
          </cell>
          <cell r="U229">
            <v>1.5230203099999999</v>
          </cell>
        </row>
        <row r="230">
          <cell r="B230" t="str">
            <v>Vanuatu</v>
          </cell>
          <cell r="C230" t="str">
            <v>Asia</v>
          </cell>
          <cell r="D230" t="str">
            <v>N</v>
          </cell>
          <cell r="E230" t="str">
            <v>VUV</v>
          </cell>
          <cell r="F230">
            <v>1600</v>
          </cell>
          <cell r="G230">
            <v>350</v>
          </cell>
          <cell r="H230">
            <v>350</v>
          </cell>
          <cell r="I230">
            <v>230</v>
          </cell>
          <cell r="J230">
            <v>110</v>
          </cell>
          <cell r="K230" t="str">
            <v>VUV</v>
          </cell>
          <cell r="L230">
            <v>900</v>
          </cell>
          <cell r="M230">
            <v>350</v>
          </cell>
          <cell r="N230">
            <v>290</v>
          </cell>
          <cell r="O230">
            <v>230</v>
          </cell>
          <cell r="P230">
            <v>170</v>
          </cell>
          <cell r="Q230">
            <v>8.6025200000000007E-3</v>
          </cell>
          <cell r="R230">
            <v>3.0108820000000001</v>
          </cell>
          <cell r="S230">
            <v>2.4947308000000001</v>
          </cell>
          <cell r="T230">
            <v>1.9785796000000002</v>
          </cell>
          <cell r="U230">
            <v>1.4624284000000001</v>
          </cell>
        </row>
        <row r="231">
          <cell r="B231" t="str">
            <v>Vatican City State</v>
          </cell>
          <cell r="C231" t="str">
            <v>Europe</v>
          </cell>
          <cell r="D231" t="str">
            <v>N</v>
          </cell>
          <cell r="E231" t="str">
            <v>EUR</v>
          </cell>
          <cell r="F231">
            <v>19.989999999999998</v>
          </cell>
          <cell r="G231">
            <v>4.99</v>
          </cell>
          <cell r="H231">
            <v>3.99</v>
          </cell>
          <cell r="I231">
            <v>2.99</v>
          </cell>
          <cell r="J231">
            <v>1.99</v>
          </cell>
          <cell r="K231" t="str">
            <v>EUR</v>
          </cell>
          <cell r="L231">
            <v>14.99</v>
          </cell>
          <cell r="M231">
            <v>4.99</v>
          </cell>
          <cell r="N231">
            <v>3.99</v>
          </cell>
          <cell r="O231">
            <v>2.99</v>
          </cell>
          <cell r="P231">
            <v>1.9900000000000002</v>
          </cell>
          <cell r="Q231">
            <v>1.0543</v>
          </cell>
          <cell r="R231">
            <v>5.2609570000000003</v>
          </cell>
          <cell r="S231">
            <v>4.2066569999999999</v>
          </cell>
          <cell r="T231">
            <v>3.1523570000000003</v>
          </cell>
          <cell r="U231">
            <v>2.0980570000000003</v>
          </cell>
        </row>
        <row r="232">
          <cell r="B232" t="str">
            <v>Venezuela</v>
          </cell>
          <cell r="C232" t="str">
            <v>Latin America</v>
          </cell>
          <cell r="D232" t="str">
            <v>N</v>
          </cell>
          <cell r="E232" t="str">
            <v>USD</v>
          </cell>
          <cell r="F232">
            <v>13.99</v>
          </cell>
          <cell r="G232">
            <v>2.99</v>
          </cell>
          <cell r="H232">
            <v>2.99</v>
          </cell>
          <cell r="I232">
            <v>1.99</v>
          </cell>
          <cell r="J232">
            <v>0.99</v>
          </cell>
          <cell r="K232" t="str">
            <v>USD</v>
          </cell>
          <cell r="L232">
            <v>11.99</v>
          </cell>
          <cell r="M232">
            <v>4.99</v>
          </cell>
          <cell r="N232">
            <v>3.99</v>
          </cell>
          <cell r="O232">
            <v>2.99</v>
          </cell>
          <cell r="P232">
            <v>1.99</v>
          </cell>
          <cell r="Q232">
            <v>1</v>
          </cell>
          <cell r="R232">
            <v>4.99</v>
          </cell>
          <cell r="S232">
            <v>3.99</v>
          </cell>
          <cell r="T232">
            <v>2.99</v>
          </cell>
          <cell r="U232">
            <v>1.99</v>
          </cell>
        </row>
        <row r="233">
          <cell r="B233" t="str">
            <v>Vietnam</v>
          </cell>
          <cell r="C233" t="str">
            <v>Asia</v>
          </cell>
          <cell r="D233" t="str">
            <v>Y</v>
          </cell>
          <cell r="E233" t="str">
            <v>VND</v>
          </cell>
          <cell r="F233">
            <v>256000</v>
          </cell>
          <cell r="G233">
            <v>23100</v>
          </cell>
          <cell r="H233">
            <v>23100</v>
          </cell>
          <cell r="I233">
            <v>23100</v>
          </cell>
          <cell r="J233">
            <v>23100</v>
          </cell>
          <cell r="K233" t="str">
            <v>VND</v>
          </cell>
          <cell r="L233">
            <v>220000</v>
          </cell>
          <cell r="M233">
            <v>89000</v>
          </cell>
          <cell r="N233">
            <v>89000</v>
          </cell>
          <cell r="O233">
            <v>45000</v>
          </cell>
          <cell r="P233">
            <v>45000</v>
          </cell>
          <cell r="Q233">
            <v>4.3587227999999998E-5</v>
          </cell>
          <cell r="R233">
            <v>3.8792632919999996</v>
          </cell>
          <cell r="S233">
            <v>3.8792632919999996</v>
          </cell>
          <cell r="T233">
            <v>1.9614252599999999</v>
          </cell>
          <cell r="U233">
            <v>1.9614252599999999</v>
          </cell>
        </row>
        <row r="234">
          <cell r="B234" t="str">
            <v>Wallis And Futuna</v>
          </cell>
          <cell r="C234" t="str">
            <v>Asia</v>
          </cell>
          <cell r="D234" t="str">
            <v>N</v>
          </cell>
          <cell r="E234" t="str">
            <v>XPF</v>
          </cell>
          <cell r="F234">
            <v>1500</v>
          </cell>
          <cell r="G234">
            <v>320</v>
          </cell>
          <cell r="H234">
            <v>320</v>
          </cell>
          <cell r="I234">
            <v>210</v>
          </cell>
          <cell r="J234">
            <v>100</v>
          </cell>
          <cell r="K234" t="str">
            <v>XPF</v>
          </cell>
          <cell r="L234">
            <v>1000</v>
          </cell>
          <cell r="M234">
            <v>350</v>
          </cell>
          <cell r="N234">
            <v>290</v>
          </cell>
          <cell r="O234">
            <v>230</v>
          </cell>
          <cell r="P234">
            <v>170</v>
          </cell>
          <cell r="Q234">
            <v>8.8350340000000003E-3</v>
          </cell>
          <cell r="R234">
            <v>3.0922619</v>
          </cell>
          <cell r="S234">
            <v>2.56215986</v>
          </cell>
          <cell r="T234">
            <v>2.0320578199999999</v>
          </cell>
          <cell r="U234">
            <v>1.5019557800000001</v>
          </cell>
        </row>
        <row r="235">
          <cell r="B235" t="str">
            <v>Western Sahara</v>
          </cell>
          <cell r="C235" t="str">
            <v>Africa</v>
          </cell>
          <cell r="D235" t="str">
            <v>N</v>
          </cell>
          <cell r="E235" t="str">
            <v>USD</v>
          </cell>
          <cell r="F235">
            <v>10.99</v>
          </cell>
          <cell r="G235">
            <v>0.99</v>
          </cell>
          <cell r="H235">
            <v>0.99</v>
          </cell>
          <cell r="I235">
            <v>0.99</v>
          </cell>
          <cell r="J235">
            <v>0.99</v>
          </cell>
          <cell r="K235" t="str">
            <v>MAD</v>
          </cell>
          <cell r="L235">
            <v>90</v>
          </cell>
          <cell r="M235">
            <v>30</v>
          </cell>
          <cell r="N235">
            <v>25</v>
          </cell>
          <cell r="O235">
            <v>20</v>
          </cell>
          <cell r="P235">
            <v>15</v>
          </cell>
          <cell r="Q235">
            <v>9.9615975999999995E-2</v>
          </cell>
          <cell r="R235">
            <v>2.98847928</v>
          </cell>
          <cell r="S235">
            <v>2.4903993999999998</v>
          </cell>
          <cell r="T235">
            <v>1.9923195199999999</v>
          </cell>
          <cell r="U235">
            <v>1.49423964</v>
          </cell>
        </row>
        <row r="236">
          <cell r="B236" t="str">
            <v>Yemen</v>
          </cell>
          <cell r="C236" t="str">
            <v>Middle East</v>
          </cell>
          <cell r="D236" t="str">
            <v>N</v>
          </cell>
          <cell r="E236" t="str">
            <v>YER</v>
          </cell>
          <cell r="F236">
            <v>3500</v>
          </cell>
          <cell r="G236">
            <v>749.99</v>
          </cell>
          <cell r="H236">
            <v>749.99</v>
          </cell>
          <cell r="I236">
            <v>499.99</v>
          </cell>
          <cell r="J236">
            <v>249.99</v>
          </cell>
          <cell r="K236" t="str">
            <v>YER</v>
          </cell>
          <cell r="L236">
            <v>2399.9899999999998</v>
          </cell>
          <cell r="M236">
            <v>839.99</v>
          </cell>
          <cell r="N236">
            <v>699.99</v>
          </cell>
          <cell r="O236">
            <v>559.99</v>
          </cell>
          <cell r="P236">
            <v>419.99</v>
          </cell>
          <cell r="Q236">
            <v>3.996004E-3</v>
          </cell>
          <cell r="R236">
            <v>3.35660339996</v>
          </cell>
          <cell r="S236">
            <v>2.7971628399599999</v>
          </cell>
          <cell r="T236">
            <v>2.2377222799600003</v>
          </cell>
          <cell r="U236">
            <v>1.67828171996</v>
          </cell>
        </row>
        <row r="237">
          <cell r="B237" t="str">
            <v>Zambia</v>
          </cell>
          <cell r="C237" t="str">
            <v>Africa</v>
          </cell>
          <cell r="D237" t="str">
            <v>N</v>
          </cell>
          <cell r="E237" t="str">
            <v>USD</v>
          </cell>
          <cell r="F237">
            <v>10.99</v>
          </cell>
          <cell r="G237">
            <v>0.99</v>
          </cell>
          <cell r="H237">
            <v>0.99</v>
          </cell>
          <cell r="I237">
            <v>0.99</v>
          </cell>
          <cell r="J237">
            <v>0.99</v>
          </cell>
          <cell r="K237" t="str">
            <v>ZMW</v>
          </cell>
          <cell r="L237">
            <v>169</v>
          </cell>
          <cell r="M237">
            <v>69</v>
          </cell>
          <cell r="N237">
            <v>57</v>
          </cell>
          <cell r="O237">
            <v>45</v>
          </cell>
          <cell r="P237">
            <v>33</v>
          </cell>
          <cell r="Q237">
            <v>5.865103E-2</v>
          </cell>
          <cell r="R237">
            <v>4.0469210699999998</v>
          </cell>
          <cell r="S237">
            <v>3.3431087100000001</v>
          </cell>
          <cell r="T237">
            <v>2.63929635</v>
          </cell>
          <cell r="U237">
            <v>1.93548399</v>
          </cell>
        </row>
        <row r="238">
          <cell r="B238" t="str">
            <v>Zimbabwe</v>
          </cell>
          <cell r="C238" t="str">
            <v>Africa</v>
          </cell>
          <cell r="D238" t="str">
            <v>N</v>
          </cell>
          <cell r="E238" t="str">
            <v>USD</v>
          </cell>
          <cell r="F238">
            <v>8.99</v>
          </cell>
          <cell r="G238">
            <v>0.99</v>
          </cell>
          <cell r="H238">
            <v>0.99</v>
          </cell>
          <cell r="I238">
            <v>0.99</v>
          </cell>
          <cell r="J238">
            <v>0.99</v>
          </cell>
          <cell r="K238" t="str">
            <v>USD</v>
          </cell>
          <cell r="L238">
            <v>8.99</v>
          </cell>
          <cell r="M238">
            <v>3.49</v>
          </cell>
          <cell r="N238">
            <v>3.49</v>
          </cell>
          <cell r="O238">
            <v>1.19</v>
          </cell>
          <cell r="P238">
            <v>1.19</v>
          </cell>
          <cell r="Q238">
            <v>1</v>
          </cell>
          <cell r="R238">
            <v>3.49</v>
          </cell>
          <cell r="S238">
            <v>3.49</v>
          </cell>
          <cell r="T238">
            <v>1.19</v>
          </cell>
          <cell r="U238">
            <v>1.19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oEgqHNZgkmImDpIlaxhE1xbkwjq_WNOuMr9DOdOegpIQGSmM5SuRLHOjZwx6Yds" itemId="016K5XORRT7NSXMSYERZA2W7PHXUN3K2MU">
      <xxl21:absoluteUrl r:id="rId2"/>
    </xxl21:alternateUrls>
    <sheetNames>
      <sheetName val="__FDSCACHE__"/>
      <sheetName val="SKU &amp; Platform Availability -&gt;"/>
      <sheetName val="DOM"/>
      <sheetName val="INTL"/>
      <sheetName val="Priority Market Summary"/>
      <sheetName val="Copycat Market Summary"/>
      <sheetName val="FY25 PRICING"/>
      <sheetName val="Historical Pricing -&gt;"/>
      <sheetName val="DOM Web"/>
      <sheetName val="INTL Web"/>
      <sheetName val="Student Plan_Web"/>
      <sheetName val="Apple"/>
      <sheetName val="Google"/>
      <sheetName val="Amazon"/>
      <sheetName val="Roku"/>
      <sheetName val="Research Inputs -&gt;"/>
      <sheetName val="Pricing &amp; SG Biz Performance"/>
      <sheetName val="External Vendors"/>
      <sheetName val="Sheet2"/>
      <sheetName val="Subscription Biz Performance"/>
      <sheetName val="RT - Comps"/>
      <sheetName val="RT - Distributors"/>
      <sheetName val="Sheet1"/>
      <sheetName val="Internal Only -&gt;"/>
      <sheetName val="Free Trial Details &amp; Deflection"/>
      <sheetName val="Web Upsell Mapping"/>
      <sheetName val="Pre-AR Web Cancel Deflection"/>
      <sheetName val="Post-AR Web Cancel Deflection"/>
      <sheetName val="League Pass Data"/>
      <sheetName val="Markets Not Selling LP"/>
      <sheetName val="External Vendors - Ranking"/>
      <sheetName val="Biz Performance - Ranking"/>
      <sheetName val="LPP SKU Mix - Ranking"/>
      <sheetName val="Platform Avail by Country"/>
      <sheetName val="Platform Sales Avail by Country"/>
      <sheetName val="FX Rates"/>
      <sheetName val="Country &amp; Code Abbreviation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>
            <v>4</v>
          </cell>
        </row>
        <row r="5">
          <cell r="B5" t="str">
            <v>Afghanistan</v>
          </cell>
          <cell r="C5" t="str">
            <v>Asia</v>
          </cell>
          <cell r="F5" t="str">
            <v>USD</v>
          </cell>
          <cell r="G5">
            <v>8.99</v>
          </cell>
          <cell r="H5">
            <v>11.99</v>
          </cell>
          <cell r="I5">
            <v>53.99</v>
          </cell>
          <cell r="J5">
            <v>71.989999999999995</v>
          </cell>
          <cell r="K5">
            <v>6.0055617352614012</v>
          </cell>
          <cell r="L5">
            <v>6.0041701417848206</v>
          </cell>
          <cell r="M5">
            <v>1.3337041156840934</v>
          </cell>
          <cell r="N5">
            <v>1</v>
          </cell>
          <cell r="O5">
            <v>8.99</v>
          </cell>
          <cell r="P5">
            <v>11.99</v>
          </cell>
          <cell r="Q5">
            <v>53.99</v>
          </cell>
          <cell r="R5">
            <v>71.989999999999995</v>
          </cell>
          <cell r="S5" t="str">
            <v>Increase Reach</v>
          </cell>
          <cell r="T5">
            <v>8.99</v>
          </cell>
          <cell r="U5">
            <v>8.99</v>
          </cell>
          <cell r="V5">
            <v>0</v>
          </cell>
          <cell r="W5">
            <v>0</v>
          </cell>
          <cell r="X5">
            <v>11.99</v>
          </cell>
          <cell r="Y5">
            <v>11.99</v>
          </cell>
          <cell r="Z5">
            <v>0</v>
          </cell>
          <cell r="AA5">
            <v>0</v>
          </cell>
          <cell r="AB5">
            <v>1.3337041156840934</v>
          </cell>
          <cell r="AC5">
            <v>53.99</v>
          </cell>
          <cell r="AD5">
            <v>53.99</v>
          </cell>
          <cell r="AE5">
            <v>0</v>
          </cell>
          <cell r="AF5">
            <v>0</v>
          </cell>
          <cell r="AG5">
            <v>6.0055617352614012</v>
          </cell>
          <cell r="AH5">
            <v>71.989999999999995</v>
          </cell>
          <cell r="AI5">
            <v>71.989999999999995</v>
          </cell>
          <cell r="AJ5">
            <v>0</v>
          </cell>
          <cell r="AK5">
            <v>0</v>
          </cell>
          <cell r="AL5">
            <v>6.0041701417848206</v>
          </cell>
        </row>
        <row r="6">
          <cell r="B6" t="str">
            <v>Aland Islands</v>
          </cell>
          <cell r="C6" t="str">
            <v>Europe</v>
          </cell>
          <cell r="F6" t="str">
            <v>EUR</v>
          </cell>
          <cell r="G6">
            <v>14.99</v>
          </cell>
          <cell r="H6">
            <v>19.989999999999998</v>
          </cell>
          <cell r="I6">
            <v>89.99</v>
          </cell>
          <cell r="J6">
            <v>119.99</v>
          </cell>
          <cell r="K6">
            <v>6.0033355570380253</v>
          </cell>
          <cell r="L6">
            <v>6.002501250625313</v>
          </cell>
          <cell r="M6">
            <v>1.333555703802535</v>
          </cell>
          <cell r="N6">
            <v>1.0862499999999999</v>
          </cell>
          <cell r="O6">
            <v>16.282887500000001</v>
          </cell>
          <cell r="P6">
            <v>21.714137499999996</v>
          </cell>
          <cell r="Q6">
            <v>97.751637499999987</v>
          </cell>
          <cell r="R6">
            <v>130.33913749999999</v>
          </cell>
          <cell r="S6" t="str">
            <v>Increase Reach</v>
          </cell>
          <cell r="T6">
            <v>14.99</v>
          </cell>
          <cell r="U6">
            <v>16.282887500000001</v>
          </cell>
          <cell r="V6">
            <v>0</v>
          </cell>
          <cell r="W6">
            <v>0</v>
          </cell>
          <cell r="X6">
            <v>19.989999999999998</v>
          </cell>
          <cell r="Y6">
            <v>21.714137499999996</v>
          </cell>
          <cell r="Z6">
            <v>0</v>
          </cell>
          <cell r="AA6">
            <v>0</v>
          </cell>
          <cell r="AB6">
            <v>1.333555703802535</v>
          </cell>
          <cell r="AC6">
            <v>89.99</v>
          </cell>
          <cell r="AD6">
            <v>97.751637499999987</v>
          </cell>
          <cell r="AE6">
            <v>0</v>
          </cell>
          <cell r="AF6">
            <v>0</v>
          </cell>
          <cell r="AG6">
            <v>6.0033355570380253</v>
          </cell>
          <cell r="AH6">
            <v>119.99</v>
          </cell>
          <cell r="AI6">
            <v>130.33913749999999</v>
          </cell>
          <cell r="AJ6">
            <v>0</v>
          </cell>
          <cell r="AK6">
            <v>0</v>
          </cell>
          <cell r="AL6">
            <v>6.002501250625313</v>
          </cell>
        </row>
        <row r="7">
          <cell r="B7" t="str">
            <v>Albania</v>
          </cell>
          <cell r="C7" t="str">
            <v>Europe</v>
          </cell>
          <cell r="F7" t="str">
            <v>ALL</v>
          </cell>
          <cell r="G7">
            <v>1199.99</v>
          </cell>
          <cell r="H7">
            <v>1619.99</v>
          </cell>
          <cell r="I7">
            <v>7199.99</v>
          </cell>
          <cell r="J7">
            <v>9719.99</v>
          </cell>
          <cell r="K7">
            <v>6.0000416670138916</v>
          </cell>
          <cell r="L7">
            <v>6.0000308643880516</v>
          </cell>
          <cell r="M7">
            <v>1.3500029166909724</v>
          </cell>
          <cell r="N7">
            <v>1.0448773999999999E-2</v>
          </cell>
          <cell r="O7">
            <v>12.538424312259998</v>
          </cell>
          <cell r="P7">
            <v>16.926909392259997</v>
          </cell>
          <cell r="Q7">
            <v>75.231068312259993</v>
          </cell>
          <cell r="R7">
            <v>101.56197879225999</v>
          </cell>
          <cell r="S7" t="str">
            <v>Increase Reach</v>
          </cell>
          <cell r="T7">
            <v>1199.99</v>
          </cell>
          <cell r="U7">
            <v>12.538424312259998</v>
          </cell>
          <cell r="V7">
            <v>0</v>
          </cell>
          <cell r="W7">
            <v>0</v>
          </cell>
          <cell r="X7">
            <v>1619.99</v>
          </cell>
          <cell r="Y7">
            <v>16.926909392259997</v>
          </cell>
          <cell r="Z7">
            <v>0</v>
          </cell>
          <cell r="AA7">
            <v>0</v>
          </cell>
          <cell r="AB7">
            <v>1.3500029166909724</v>
          </cell>
          <cell r="AC7">
            <v>7199.99</v>
          </cell>
          <cell r="AD7">
            <v>75.231068312259993</v>
          </cell>
          <cell r="AE7">
            <v>0</v>
          </cell>
          <cell r="AF7">
            <v>0</v>
          </cell>
          <cell r="AG7">
            <v>6.0000416670138916</v>
          </cell>
          <cell r="AH7">
            <v>9719.99</v>
          </cell>
          <cell r="AI7">
            <v>101.56197879225999</v>
          </cell>
          <cell r="AJ7">
            <v>0</v>
          </cell>
          <cell r="AK7">
            <v>0</v>
          </cell>
          <cell r="AL7">
            <v>6.0000308643880516</v>
          </cell>
        </row>
        <row r="8">
          <cell r="B8" t="str">
            <v>Algeria</v>
          </cell>
          <cell r="C8" t="str">
            <v>Africa</v>
          </cell>
          <cell r="F8" t="str">
            <v>DZD</v>
          </cell>
          <cell r="G8">
            <v>999.99</v>
          </cell>
          <cell r="H8">
            <v>1349.99</v>
          </cell>
          <cell r="I8">
            <v>5999.99</v>
          </cell>
          <cell r="J8">
            <v>8099.99</v>
          </cell>
          <cell r="K8">
            <v>6.0000500005000044</v>
          </cell>
          <cell r="L8">
            <v>6.0000370373113876</v>
          </cell>
          <cell r="M8">
            <v>1.3500035000350004</v>
          </cell>
          <cell r="N8">
            <v>7.4293930000000003E-3</v>
          </cell>
          <cell r="O8">
            <v>7.4293187060700001</v>
          </cell>
          <cell r="P8">
            <v>10.02960625607</v>
          </cell>
          <cell r="Q8">
            <v>44.576283706070001</v>
          </cell>
          <cell r="R8">
            <v>60.178009006069999</v>
          </cell>
          <cell r="S8" t="str">
            <v>Increase Reach</v>
          </cell>
          <cell r="T8">
            <v>999.99</v>
          </cell>
          <cell r="U8">
            <v>7.4293187060700001</v>
          </cell>
          <cell r="V8">
            <v>0</v>
          </cell>
          <cell r="W8">
            <v>0</v>
          </cell>
          <cell r="X8">
            <v>1349.99</v>
          </cell>
          <cell r="Y8">
            <v>10.02960625607</v>
          </cell>
          <cell r="Z8">
            <v>0</v>
          </cell>
          <cell r="AA8">
            <v>0</v>
          </cell>
          <cell r="AB8">
            <v>1.3500035000350004</v>
          </cell>
          <cell r="AC8">
            <v>5999.99</v>
          </cell>
          <cell r="AD8">
            <v>44.576283706070001</v>
          </cell>
          <cell r="AE8">
            <v>0</v>
          </cell>
          <cell r="AF8">
            <v>0</v>
          </cell>
          <cell r="AG8">
            <v>6.0000500005000044</v>
          </cell>
          <cell r="AH8">
            <v>8099.99</v>
          </cell>
          <cell r="AI8">
            <v>60.178009006069999</v>
          </cell>
          <cell r="AJ8">
            <v>0</v>
          </cell>
          <cell r="AK8">
            <v>0</v>
          </cell>
          <cell r="AL8">
            <v>6.0000370373113876</v>
          </cell>
        </row>
        <row r="9">
          <cell r="B9" t="str">
            <v>American Samoa</v>
          </cell>
          <cell r="C9" t="str">
            <v>Asia</v>
          </cell>
          <cell r="F9" t="str">
            <v>USD</v>
          </cell>
          <cell r="G9">
            <v>13.99</v>
          </cell>
          <cell r="H9">
            <v>18.989999999999998</v>
          </cell>
          <cell r="I9">
            <v>83.99</v>
          </cell>
          <cell r="J9">
            <v>129.99</v>
          </cell>
          <cell r="K9">
            <v>6.003573981415296</v>
          </cell>
          <cell r="L9">
            <v>6.8451816745655618</v>
          </cell>
          <cell r="M9">
            <v>1.3573981415296639</v>
          </cell>
          <cell r="N9">
            <v>1</v>
          </cell>
          <cell r="O9">
            <v>13.99</v>
          </cell>
          <cell r="P9">
            <v>18.989999999999998</v>
          </cell>
          <cell r="Q9">
            <v>83.99</v>
          </cell>
          <cell r="R9">
            <v>129.99</v>
          </cell>
          <cell r="S9" t="str">
            <v>Increase Reach</v>
          </cell>
          <cell r="T9">
            <v>13.99</v>
          </cell>
          <cell r="U9">
            <v>13.99</v>
          </cell>
          <cell r="V9">
            <v>0</v>
          </cell>
          <cell r="W9">
            <v>0</v>
          </cell>
          <cell r="X9">
            <v>18.989999999999998</v>
          </cell>
          <cell r="Y9">
            <v>18.989999999999998</v>
          </cell>
          <cell r="Z9">
            <v>0</v>
          </cell>
          <cell r="AA9">
            <v>0</v>
          </cell>
          <cell r="AB9">
            <v>1.3573981415296639</v>
          </cell>
          <cell r="AC9">
            <v>83.99</v>
          </cell>
          <cell r="AD9">
            <v>83.99</v>
          </cell>
          <cell r="AE9">
            <v>0</v>
          </cell>
          <cell r="AF9">
            <v>0</v>
          </cell>
          <cell r="AG9">
            <v>6.003573981415296</v>
          </cell>
          <cell r="AH9">
            <v>129.99</v>
          </cell>
          <cell r="AI9">
            <v>129.99</v>
          </cell>
          <cell r="AJ9">
            <v>0</v>
          </cell>
          <cell r="AK9">
            <v>0</v>
          </cell>
          <cell r="AL9">
            <v>6.8451816745655618</v>
          </cell>
        </row>
        <row r="10">
          <cell r="B10" t="str">
            <v>Andorra</v>
          </cell>
          <cell r="C10" t="str">
            <v>Europe</v>
          </cell>
          <cell r="F10" t="str">
            <v>EUR</v>
          </cell>
          <cell r="G10">
            <v>17.989999999999998</v>
          </cell>
          <cell r="H10">
            <v>22.99</v>
          </cell>
          <cell r="I10">
            <v>109.99</v>
          </cell>
          <cell r="J10">
            <v>159.99</v>
          </cell>
          <cell r="K10">
            <v>6.1139521956642584</v>
          </cell>
          <cell r="L10">
            <v>6.9591126576772515</v>
          </cell>
          <cell r="M10">
            <v>1.2779321845469707</v>
          </cell>
          <cell r="N10">
            <v>1.0862499999999999</v>
          </cell>
          <cell r="O10">
            <v>19.541637499999997</v>
          </cell>
          <cell r="P10">
            <v>24.972887499999995</v>
          </cell>
          <cell r="Q10">
            <v>119.47663749999998</v>
          </cell>
          <cell r="R10">
            <v>173.78913750000001</v>
          </cell>
          <cell r="S10" t="str">
            <v>Increase Reach</v>
          </cell>
          <cell r="T10">
            <v>17.989999999999998</v>
          </cell>
          <cell r="U10">
            <v>19.541637499999997</v>
          </cell>
          <cell r="V10">
            <v>0</v>
          </cell>
          <cell r="W10">
            <v>0</v>
          </cell>
          <cell r="X10">
            <v>22.99</v>
          </cell>
          <cell r="Y10">
            <v>24.972887499999995</v>
          </cell>
          <cell r="Z10">
            <v>0</v>
          </cell>
          <cell r="AA10">
            <v>0</v>
          </cell>
          <cell r="AB10">
            <v>1.2779321845469707</v>
          </cell>
          <cell r="AC10">
            <v>109.99</v>
          </cell>
          <cell r="AD10">
            <v>119.47663749999998</v>
          </cell>
          <cell r="AE10">
            <v>0</v>
          </cell>
          <cell r="AF10">
            <v>0</v>
          </cell>
          <cell r="AG10">
            <v>6.1139521956642584</v>
          </cell>
          <cell r="AH10">
            <v>159.99</v>
          </cell>
          <cell r="AI10">
            <v>173.78913750000001</v>
          </cell>
          <cell r="AJ10">
            <v>0</v>
          </cell>
          <cell r="AK10">
            <v>0</v>
          </cell>
          <cell r="AL10">
            <v>6.9591126576772515</v>
          </cell>
        </row>
        <row r="11">
          <cell r="B11" t="str">
            <v>Angola</v>
          </cell>
          <cell r="C11" t="str">
            <v>Africa</v>
          </cell>
          <cell r="F11" t="str">
            <v>USD</v>
          </cell>
          <cell r="G11">
            <v>8.99</v>
          </cell>
          <cell r="H11">
            <v>11.99</v>
          </cell>
          <cell r="I11">
            <v>53.99</v>
          </cell>
          <cell r="J11">
            <v>71.989999999999995</v>
          </cell>
          <cell r="K11">
            <v>6.0055617352614012</v>
          </cell>
          <cell r="L11">
            <v>6.0041701417848206</v>
          </cell>
          <cell r="M11">
            <v>1.3337041156840934</v>
          </cell>
          <cell r="N11">
            <v>1</v>
          </cell>
          <cell r="O11">
            <v>8.99</v>
          </cell>
          <cell r="P11">
            <v>11.99</v>
          </cell>
          <cell r="Q11">
            <v>53.99</v>
          </cell>
          <cell r="R11">
            <v>71.989999999999995</v>
          </cell>
          <cell r="S11" t="str">
            <v>Increase Reach</v>
          </cell>
          <cell r="T11">
            <v>8.99</v>
          </cell>
          <cell r="U11">
            <v>8.99</v>
          </cell>
          <cell r="V11">
            <v>0</v>
          </cell>
          <cell r="W11">
            <v>0</v>
          </cell>
          <cell r="X11">
            <v>11.99</v>
          </cell>
          <cell r="Y11">
            <v>11.99</v>
          </cell>
          <cell r="Z11">
            <v>0</v>
          </cell>
          <cell r="AA11">
            <v>0</v>
          </cell>
          <cell r="AB11">
            <v>1.3337041156840934</v>
          </cell>
          <cell r="AC11">
            <v>53.99</v>
          </cell>
          <cell r="AD11">
            <v>53.99</v>
          </cell>
          <cell r="AE11">
            <v>0</v>
          </cell>
          <cell r="AF11">
            <v>0</v>
          </cell>
          <cell r="AG11">
            <v>6.0055617352614012</v>
          </cell>
          <cell r="AH11">
            <v>71.989999999999995</v>
          </cell>
          <cell r="AI11">
            <v>71.989999999999995</v>
          </cell>
          <cell r="AJ11">
            <v>0</v>
          </cell>
          <cell r="AK11">
            <v>0</v>
          </cell>
          <cell r="AL11">
            <v>6.0041701417848206</v>
          </cell>
        </row>
        <row r="12">
          <cell r="B12" t="str">
            <v>Anguilla</v>
          </cell>
          <cell r="C12" t="str">
            <v>Latin America</v>
          </cell>
          <cell r="F12" t="str">
            <v>XCD</v>
          </cell>
          <cell r="G12">
            <v>32.99</v>
          </cell>
          <cell r="H12">
            <v>44.99</v>
          </cell>
          <cell r="I12">
            <v>197.99</v>
          </cell>
          <cell r="J12">
            <v>269.99</v>
          </cell>
          <cell r="K12">
            <v>6.0015156107911487</v>
          </cell>
          <cell r="L12">
            <v>6.001111358079573</v>
          </cell>
          <cell r="M12">
            <v>1.36374658987572</v>
          </cell>
          <cell r="N12">
            <v>0.37037036000000001</v>
          </cell>
          <cell r="O12">
            <v>12.218518176400002</v>
          </cell>
          <cell r="P12">
            <v>16.662962496400002</v>
          </cell>
          <cell r="Q12">
            <v>73.3296275764</v>
          </cell>
          <cell r="R12">
            <v>99.9962934964</v>
          </cell>
          <cell r="S12" t="str">
            <v>Increase Reach</v>
          </cell>
          <cell r="T12">
            <v>32.99</v>
          </cell>
          <cell r="U12">
            <v>12.218518176400002</v>
          </cell>
          <cell r="V12">
            <v>0</v>
          </cell>
          <cell r="W12">
            <v>0</v>
          </cell>
          <cell r="X12">
            <v>44.99</v>
          </cell>
          <cell r="Y12">
            <v>16.662962496400002</v>
          </cell>
          <cell r="Z12">
            <v>0</v>
          </cell>
          <cell r="AA12">
            <v>0</v>
          </cell>
          <cell r="AB12">
            <v>1.36374658987572</v>
          </cell>
          <cell r="AC12">
            <v>197.99</v>
          </cell>
          <cell r="AD12">
            <v>73.3296275764</v>
          </cell>
          <cell r="AE12">
            <v>0</v>
          </cell>
          <cell r="AF12">
            <v>0</v>
          </cell>
          <cell r="AG12">
            <v>6.0015156107911487</v>
          </cell>
          <cell r="AH12">
            <v>269.99</v>
          </cell>
          <cell r="AI12">
            <v>99.9962934964</v>
          </cell>
          <cell r="AJ12">
            <v>0</v>
          </cell>
          <cell r="AK12">
            <v>0</v>
          </cell>
          <cell r="AL12">
            <v>6.001111358079573</v>
          </cell>
        </row>
        <row r="13">
          <cell r="B13" t="str">
            <v>Antarctica</v>
          </cell>
          <cell r="C13" t="str">
            <v>Europe</v>
          </cell>
          <cell r="F13" t="str">
            <v>USD</v>
          </cell>
          <cell r="G13">
            <v>16.989999999999998</v>
          </cell>
          <cell r="H13">
            <v>21.99</v>
          </cell>
          <cell r="I13">
            <v>99.99</v>
          </cell>
          <cell r="J13">
            <v>154.99</v>
          </cell>
          <cell r="K13">
            <v>5.8852266038846386</v>
          </cell>
          <cell r="L13">
            <v>7.0482037289677137</v>
          </cell>
          <cell r="M13">
            <v>1.2942907592701589</v>
          </cell>
          <cell r="N13">
            <v>1</v>
          </cell>
          <cell r="O13">
            <v>16.989999999999998</v>
          </cell>
          <cell r="P13">
            <v>21.99</v>
          </cell>
          <cell r="Q13">
            <v>99.99</v>
          </cell>
          <cell r="R13">
            <v>154.99</v>
          </cell>
          <cell r="S13" t="str">
            <v>Increase Reach</v>
          </cell>
          <cell r="T13">
            <v>16.989999999999998</v>
          </cell>
          <cell r="U13">
            <v>16.989999999999998</v>
          </cell>
          <cell r="V13">
            <v>0</v>
          </cell>
          <cell r="W13">
            <v>0</v>
          </cell>
          <cell r="X13">
            <v>21.99</v>
          </cell>
          <cell r="Y13">
            <v>21.99</v>
          </cell>
          <cell r="Z13">
            <v>0</v>
          </cell>
          <cell r="AA13">
            <v>0</v>
          </cell>
          <cell r="AB13">
            <v>1.2942907592701589</v>
          </cell>
          <cell r="AC13">
            <v>99.99</v>
          </cell>
          <cell r="AD13">
            <v>99.99</v>
          </cell>
          <cell r="AE13">
            <v>0</v>
          </cell>
          <cell r="AF13">
            <v>0</v>
          </cell>
          <cell r="AG13">
            <v>5.8852266038846386</v>
          </cell>
          <cell r="AH13">
            <v>154.99</v>
          </cell>
          <cell r="AI13">
            <v>154.99</v>
          </cell>
          <cell r="AJ13">
            <v>0</v>
          </cell>
          <cell r="AK13">
            <v>0</v>
          </cell>
          <cell r="AL13">
            <v>7.0482037289677137</v>
          </cell>
        </row>
        <row r="14">
          <cell r="B14" t="str">
            <v>Antigua And Barbuda</v>
          </cell>
          <cell r="C14" t="str">
            <v>Latin America</v>
          </cell>
          <cell r="F14" t="str">
            <v>XCD</v>
          </cell>
          <cell r="G14">
            <v>37.99</v>
          </cell>
          <cell r="H14">
            <v>50.99</v>
          </cell>
          <cell r="I14">
            <v>227.99</v>
          </cell>
          <cell r="J14">
            <v>305.99</v>
          </cell>
          <cell r="K14">
            <v>6.0013161358252169</v>
          </cell>
          <cell r="L14">
            <v>6.0009805844283193</v>
          </cell>
          <cell r="M14">
            <v>1.3421953145564622</v>
          </cell>
          <cell r="N14">
            <v>0.37037036000000001</v>
          </cell>
          <cell r="O14">
            <v>14.0703699764</v>
          </cell>
          <cell r="P14">
            <v>18.8851846564</v>
          </cell>
          <cell r="Q14">
            <v>84.440738376400006</v>
          </cell>
          <cell r="R14">
            <v>113.32962645640001</v>
          </cell>
          <cell r="S14" t="str">
            <v>Increase Reach</v>
          </cell>
          <cell r="T14">
            <v>37.99</v>
          </cell>
          <cell r="U14">
            <v>14.0703699764</v>
          </cell>
          <cell r="V14">
            <v>0</v>
          </cell>
          <cell r="W14">
            <v>0</v>
          </cell>
          <cell r="X14">
            <v>50.99</v>
          </cell>
          <cell r="Y14">
            <v>18.8851846564</v>
          </cell>
          <cell r="Z14">
            <v>0</v>
          </cell>
          <cell r="AA14">
            <v>0</v>
          </cell>
          <cell r="AB14">
            <v>1.3421953145564622</v>
          </cell>
          <cell r="AC14">
            <v>227.99</v>
          </cell>
          <cell r="AD14">
            <v>84.440738376400006</v>
          </cell>
          <cell r="AE14">
            <v>0</v>
          </cell>
          <cell r="AF14">
            <v>0</v>
          </cell>
          <cell r="AG14">
            <v>6.0013161358252169</v>
          </cell>
          <cell r="AH14">
            <v>305.99</v>
          </cell>
          <cell r="AI14">
            <v>113.32962645640001</v>
          </cell>
          <cell r="AJ14">
            <v>0</v>
          </cell>
          <cell r="AK14">
            <v>0</v>
          </cell>
          <cell r="AL14">
            <v>6.0009805844283193</v>
          </cell>
        </row>
        <row r="15">
          <cell r="B15" t="str">
            <v>Argentina</v>
          </cell>
          <cell r="C15" t="str">
            <v>Latin America</v>
          </cell>
          <cell r="D15" t="str">
            <v>T4</v>
          </cell>
          <cell r="E15" t="str">
            <v>x</v>
          </cell>
          <cell r="F15" t="str">
            <v>ARS</v>
          </cell>
          <cell r="G15">
            <v>2499.9899999999998</v>
          </cell>
          <cell r="H15">
            <v>3199.99</v>
          </cell>
          <cell r="I15">
            <v>16799.990000000002</v>
          </cell>
          <cell r="J15">
            <v>21699.99</v>
          </cell>
          <cell r="K15">
            <v>6.7200228800915216</v>
          </cell>
          <cell r="L15">
            <v>6.781268066462709</v>
          </cell>
          <cell r="M15">
            <v>1.2800011200044801</v>
          </cell>
          <cell r="N15">
            <v>1.2142613E-3</v>
          </cell>
          <cell r="O15">
            <v>3.0356411073869998</v>
          </cell>
          <cell r="P15">
            <v>3.8856240173869998</v>
          </cell>
          <cell r="Q15">
            <v>20.399577697387002</v>
          </cell>
          <cell r="R15">
            <v>26.349458067387001</v>
          </cell>
          <cell r="S15" t="str">
            <v>Increase ARPU - Maintaining LPP Ratio</v>
          </cell>
          <cell r="T15">
            <v>17999.990000000002</v>
          </cell>
          <cell r="U15">
            <v>21.856691257387002</v>
          </cell>
          <cell r="V15">
            <v>15500.000000000002</v>
          </cell>
          <cell r="W15">
            <v>6.200024800099202</v>
          </cell>
          <cell r="X15">
            <v>23099.99</v>
          </cell>
          <cell r="Y15">
            <v>28.049423887387</v>
          </cell>
          <cell r="Z15">
            <v>19900</v>
          </cell>
          <cell r="AA15">
            <v>6.2187694336544812</v>
          </cell>
          <cell r="AB15">
            <v>1.2833334907408283</v>
          </cell>
          <cell r="AC15">
            <v>109999.99</v>
          </cell>
          <cell r="AD15">
            <v>133.56873085738701</v>
          </cell>
          <cell r="AE15">
            <v>93200</v>
          </cell>
          <cell r="AF15">
            <v>5.5476223497752075</v>
          </cell>
          <cell r="AG15">
            <v>6.1111139506188614</v>
          </cell>
          <cell r="AH15">
            <v>138599.99</v>
          </cell>
          <cell r="AI15">
            <v>168.296604037387</v>
          </cell>
          <cell r="AJ15">
            <v>116899.99999999999</v>
          </cell>
          <cell r="AK15">
            <v>5.3870992567277671</v>
          </cell>
          <cell r="AL15">
            <v>6.0000021645031003</v>
          </cell>
        </row>
        <row r="16">
          <cell r="B16" t="str">
            <v>Armenia</v>
          </cell>
          <cell r="C16" t="str">
            <v>Middle East</v>
          </cell>
          <cell r="F16" t="str">
            <v>AMD</v>
          </cell>
          <cell r="G16">
            <v>6699.99</v>
          </cell>
          <cell r="H16">
            <v>9039.99</v>
          </cell>
          <cell r="I16">
            <v>40199.99</v>
          </cell>
          <cell r="J16">
            <v>54269.99</v>
          </cell>
          <cell r="K16">
            <v>6.0000074626977051</v>
          </cell>
          <cell r="L16">
            <v>6.0033241187213706</v>
          </cell>
          <cell r="M16">
            <v>1.3492542526182876</v>
          </cell>
          <cell r="N16">
            <v>2.4773009999999999E-3</v>
          </cell>
          <cell r="O16">
            <v>16.597891926989998</v>
          </cell>
          <cell r="P16">
            <v>22.39477626699</v>
          </cell>
          <cell r="Q16">
            <v>99.587475426989997</v>
          </cell>
          <cell r="R16">
            <v>134.44310049698998</v>
          </cell>
          <cell r="S16" t="str">
            <v>Increase Reach</v>
          </cell>
          <cell r="T16">
            <v>6699.99</v>
          </cell>
          <cell r="U16">
            <v>16.597891926989998</v>
          </cell>
          <cell r="V16">
            <v>0</v>
          </cell>
          <cell r="W16">
            <v>0</v>
          </cell>
          <cell r="X16">
            <v>9039.99</v>
          </cell>
          <cell r="Y16">
            <v>22.39477626699</v>
          </cell>
          <cell r="Z16">
            <v>0</v>
          </cell>
          <cell r="AA16">
            <v>0</v>
          </cell>
          <cell r="AB16">
            <v>1.3492542526182876</v>
          </cell>
          <cell r="AC16">
            <v>40199.99</v>
          </cell>
          <cell r="AD16">
            <v>99.587475426989997</v>
          </cell>
          <cell r="AE16">
            <v>0</v>
          </cell>
          <cell r="AF16">
            <v>0</v>
          </cell>
          <cell r="AG16">
            <v>6.0000074626977051</v>
          </cell>
          <cell r="AH16">
            <v>54269.99</v>
          </cell>
          <cell r="AI16">
            <v>134.44310049698998</v>
          </cell>
          <cell r="AJ16">
            <v>0</v>
          </cell>
          <cell r="AK16">
            <v>0</v>
          </cell>
          <cell r="AL16">
            <v>6.0033241187213706</v>
          </cell>
        </row>
        <row r="17">
          <cell r="B17" t="str">
            <v>Aruba</v>
          </cell>
          <cell r="C17" t="str">
            <v>Latin America</v>
          </cell>
          <cell r="F17" t="str">
            <v>AWG</v>
          </cell>
          <cell r="G17">
            <v>21.99</v>
          </cell>
          <cell r="H17">
            <v>29.99</v>
          </cell>
          <cell r="I17">
            <v>131.99</v>
          </cell>
          <cell r="J17">
            <v>179.99</v>
          </cell>
          <cell r="K17">
            <v>6.0022737608003647</v>
          </cell>
          <cell r="L17">
            <v>6.0016672224074696</v>
          </cell>
          <cell r="M17">
            <v>1.3638017280582082</v>
          </cell>
          <cell r="N17">
            <v>0.55865925999999999</v>
          </cell>
          <cell r="O17">
            <v>12.284917127399998</v>
          </cell>
          <cell r="P17">
            <v>16.754191207399998</v>
          </cell>
          <cell r="Q17">
            <v>73.737435727399998</v>
          </cell>
          <cell r="R17">
            <v>100.5530802074</v>
          </cell>
          <cell r="S17" t="str">
            <v>Increase Reach</v>
          </cell>
          <cell r="T17">
            <v>21.99</v>
          </cell>
          <cell r="U17">
            <v>12.284917127399998</v>
          </cell>
          <cell r="V17">
            <v>0</v>
          </cell>
          <cell r="W17">
            <v>0</v>
          </cell>
          <cell r="X17">
            <v>29.99</v>
          </cell>
          <cell r="Y17">
            <v>16.754191207399998</v>
          </cell>
          <cell r="Z17">
            <v>0</v>
          </cell>
          <cell r="AA17">
            <v>0</v>
          </cell>
          <cell r="AB17">
            <v>1.3638017280582082</v>
          </cell>
          <cell r="AC17">
            <v>131.99</v>
          </cell>
          <cell r="AD17">
            <v>73.737435727399998</v>
          </cell>
          <cell r="AE17">
            <v>0</v>
          </cell>
          <cell r="AF17">
            <v>0</v>
          </cell>
          <cell r="AG17">
            <v>6.0022737608003647</v>
          </cell>
          <cell r="AH17">
            <v>179.99</v>
          </cell>
          <cell r="AI17">
            <v>100.5530802074</v>
          </cell>
          <cell r="AJ17">
            <v>0</v>
          </cell>
          <cell r="AK17">
            <v>0</v>
          </cell>
          <cell r="AL17">
            <v>6.0016672224074696</v>
          </cell>
        </row>
        <row r="18">
          <cell r="B18" t="str">
            <v>Australia</v>
          </cell>
          <cell r="C18" t="str">
            <v>Asia</v>
          </cell>
          <cell r="D18" t="str">
            <v>T1</v>
          </cell>
          <cell r="E18" t="str">
            <v>x</v>
          </cell>
          <cell r="F18" t="str">
            <v>AUD</v>
          </cell>
          <cell r="G18">
            <v>21.99</v>
          </cell>
          <cell r="H18">
            <v>29.99</v>
          </cell>
          <cell r="I18">
            <v>154.99</v>
          </cell>
          <cell r="J18">
            <v>209.99</v>
          </cell>
          <cell r="K18">
            <v>7.0482037289677137</v>
          </cell>
          <cell r="L18">
            <v>7.0020006668889634</v>
          </cell>
          <cell r="M18">
            <v>1.3638017280582082</v>
          </cell>
          <cell r="N18">
            <v>0.65905000000000002</v>
          </cell>
          <cell r="O18">
            <v>14.492509499999999</v>
          </cell>
          <cell r="P18">
            <v>19.764909499999998</v>
          </cell>
          <cell r="Q18">
            <v>102.14615950000001</v>
          </cell>
          <cell r="R18">
            <v>138.39390950000001</v>
          </cell>
          <cell r="S18" t="str">
            <v>Increase ARPU - Maintaining LPP Ratio</v>
          </cell>
          <cell r="T18">
            <v>24.99</v>
          </cell>
          <cell r="U18">
            <v>16.469659499999999</v>
          </cell>
          <cell r="V18">
            <v>3</v>
          </cell>
          <cell r="W18">
            <v>0.13642564802182822</v>
          </cell>
          <cell r="X18">
            <v>32.99</v>
          </cell>
          <cell r="Y18">
            <v>21.742059500000003</v>
          </cell>
          <cell r="Z18">
            <v>3.0000000000000036</v>
          </cell>
          <cell r="AA18">
            <v>0.1000333444481496</v>
          </cell>
          <cell r="AB18">
            <v>1.3201280512204883</v>
          </cell>
          <cell r="AC18">
            <v>174.99</v>
          </cell>
          <cell r="AD18">
            <v>115.32715950000001</v>
          </cell>
          <cell r="AE18">
            <v>20</v>
          </cell>
          <cell r="AF18">
            <v>0.12904058326343626</v>
          </cell>
          <cell r="AG18">
            <v>7.0024009603841542</v>
          </cell>
          <cell r="AH18">
            <v>229.99</v>
          </cell>
          <cell r="AI18">
            <v>151.57490950000002</v>
          </cell>
          <cell r="AJ18">
            <v>20</v>
          </cell>
          <cell r="AK18">
            <v>9.5242630601457101E-2</v>
          </cell>
          <cell r="AL18">
            <v>6.9715065171264019</v>
          </cell>
        </row>
        <row r="19">
          <cell r="B19" t="str">
            <v>Austria</v>
          </cell>
          <cell r="C19" t="str">
            <v>Europe</v>
          </cell>
          <cell r="D19" t="str">
            <v>T5</v>
          </cell>
          <cell r="F19" t="str">
            <v>EUR</v>
          </cell>
          <cell r="G19">
            <v>17.989999999999998</v>
          </cell>
          <cell r="H19">
            <v>23.99</v>
          </cell>
          <cell r="I19">
            <v>109.99</v>
          </cell>
          <cell r="J19">
            <v>159.99</v>
          </cell>
          <cell r="K19">
            <v>6.1139521956642584</v>
          </cell>
          <cell r="L19">
            <v>6.6690287619841611</v>
          </cell>
          <cell r="M19">
            <v>1.3335186214563646</v>
          </cell>
          <cell r="N19">
            <v>1.0862499999999999</v>
          </cell>
          <cell r="O19">
            <v>19.541637499999997</v>
          </cell>
          <cell r="P19">
            <v>26.059137499999999</v>
          </cell>
          <cell r="Q19">
            <v>119.47663749999998</v>
          </cell>
          <cell r="R19">
            <v>173.78913750000001</v>
          </cell>
          <cell r="S19" t="str">
            <v>Increase Reach</v>
          </cell>
          <cell r="T19">
            <v>17.989999999999998</v>
          </cell>
          <cell r="U19">
            <v>19.541637499999997</v>
          </cell>
          <cell r="V19">
            <v>0</v>
          </cell>
          <cell r="W19">
            <v>0</v>
          </cell>
          <cell r="X19">
            <v>23.99</v>
          </cell>
          <cell r="Y19">
            <v>26.059137499999999</v>
          </cell>
          <cell r="Z19">
            <v>0</v>
          </cell>
          <cell r="AA19">
            <v>0</v>
          </cell>
          <cell r="AB19">
            <v>1.3335186214563646</v>
          </cell>
          <cell r="AC19">
            <v>116.99</v>
          </cell>
          <cell r="AD19">
            <v>127.08038749999999</v>
          </cell>
          <cell r="AE19">
            <v>7</v>
          </cell>
          <cell r="AF19">
            <v>6.3642149286298855E-2</v>
          </cell>
          <cell r="AG19">
            <v>6.5030572540300167</v>
          </cell>
          <cell r="AH19">
            <v>159.99</v>
          </cell>
          <cell r="AI19">
            <v>173.78913750000001</v>
          </cell>
          <cell r="AJ19">
            <v>0</v>
          </cell>
          <cell r="AK19">
            <v>0</v>
          </cell>
          <cell r="AL19">
            <v>6.6690287619841611</v>
          </cell>
        </row>
        <row r="20">
          <cell r="B20" t="str">
            <v>Azerbaijan</v>
          </cell>
          <cell r="C20" t="str">
            <v>Middle East</v>
          </cell>
          <cell r="F20" t="str">
            <v>AZN</v>
          </cell>
          <cell r="G20">
            <v>21.99</v>
          </cell>
          <cell r="H20">
            <v>29.99</v>
          </cell>
          <cell r="I20">
            <v>129.99</v>
          </cell>
          <cell r="J20">
            <v>179.99</v>
          </cell>
          <cell r="K20">
            <v>5.9113233287858122</v>
          </cell>
          <cell r="L20">
            <v>6.0016672224074696</v>
          </cell>
          <cell r="M20">
            <v>1.3638017280582082</v>
          </cell>
          <cell r="N20">
            <v>0.58737150000000005</v>
          </cell>
          <cell r="O20">
            <v>12.916299285000001</v>
          </cell>
          <cell r="P20">
            <v>17.615271285000002</v>
          </cell>
          <cell r="Q20">
            <v>76.352421285000005</v>
          </cell>
          <cell r="R20">
            <v>105.72099628500001</v>
          </cell>
          <cell r="S20" t="str">
            <v>Increase Reach</v>
          </cell>
          <cell r="T20">
            <v>21.99</v>
          </cell>
          <cell r="U20">
            <v>12.916299285000001</v>
          </cell>
          <cell r="V20">
            <v>0</v>
          </cell>
          <cell r="W20">
            <v>0</v>
          </cell>
          <cell r="X20">
            <v>29.99</v>
          </cell>
          <cell r="Y20">
            <v>17.615271285000002</v>
          </cell>
          <cell r="Z20">
            <v>0</v>
          </cell>
          <cell r="AA20">
            <v>0</v>
          </cell>
          <cell r="AB20">
            <v>1.3638017280582082</v>
          </cell>
          <cell r="AC20">
            <v>129.99</v>
          </cell>
          <cell r="AD20">
            <v>76.352421285000005</v>
          </cell>
          <cell r="AE20">
            <v>0</v>
          </cell>
          <cell r="AF20">
            <v>0</v>
          </cell>
          <cell r="AG20">
            <v>5.9113233287858122</v>
          </cell>
          <cell r="AH20">
            <v>179.99</v>
          </cell>
          <cell r="AI20">
            <v>105.72099628500001</v>
          </cell>
          <cell r="AJ20">
            <v>0</v>
          </cell>
          <cell r="AK20">
            <v>0</v>
          </cell>
          <cell r="AL20">
            <v>6.0016672224074696</v>
          </cell>
        </row>
        <row r="21">
          <cell r="B21" t="str">
            <v>Bahamas</v>
          </cell>
          <cell r="C21" t="str">
            <v>Latin America</v>
          </cell>
          <cell r="F21" t="str">
            <v>BSD</v>
          </cell>
          <cell r="G21">
            <v>11.99</v>
          </cell>
          <cell r="H21">
            <v>15.99</v>
          </cell>
          <cell r="I21">
            <v>71.989999999999995</v>
          </cell>
          <cell r="J21">
            <v>95.99</v>
          </cell>
          <cell r="K21">
            <v>6.0041701417848206</v>
          </cell>
          <cell r="L21">
            <v>6.0031269543464658</v>
          </cell>
          <cell r="M21">
            <v>1.3336113427856546</v>
          </cell>
          <cell r="N21">
            <v>1</v>
          </cell>
          <cell r="O21">
            <v>11.99</v>
          </cell>
          <cell r="P21">
            <v>15.99</v>
          </cell>
          <cell r="Q21">
            <v>71.989999999999995</v>
          </cell>
          <cell r="R21">
            <v>95.99</v>
          </cell>
          <cell r="S21" t="str">
            <v>Increase Reach</v>
          </cell>
          <cell r="T21">
            <v>11.99</v>
          </cell>
          <cell r="U21">
            <v>11.99</v>
          </cell>
          <cell r="V21">
            <v>0</v>
          </cell>
          <cell r="W21">
            <v>0</v>
          </cell>
          <cell r="X21">
            <v>15.99</v>
          </cell>
          <cell r="Y21">
            <v>15.99</v>
          </cell>
          <cell r="Z21">
            <v>0</v>
          </cell>
          <cell r="AA21">
            <v>0</v>
          </cell>
          <cell r="AB21">
            <v>1.3336113427856546</v>
          </cell>
          <cell r="AC21">
            <v>71.989999999999995</v>
          </cell>
          <cell r="AD21">
            <v>71.989999999999995</v>
          </cell>
          <cell r="AE21">
            <v>0</v>
          </cell>
          <cell r="AF21">
            <v>0</v>
          </cell>
          <cell r="AG21">
            <v>6.0041701417848206</v>
          </cell>
          <cell r="AH21">
            <v>95.99</v>
          </cell>
          <cell r="AI21">
            <v>95.99</v>
          </cell>
          <cell r="AJ21">
            <v>0</v>
          </cell>
          <cell r="AK21">
            <v>0</v>
          </cell>
          <cell r="AL21">
            <v>6.0031269543464658</v>
          </cell>
        </row>
        <row r="22">
          <cell r="B22" t="str">
            <v>Bahrain</v>
          </cell>
          <cell r="C22" t="str">
            <v>Middle East</v>
          </cell>
          <cell r="F22" t="str">
            <v>BHD</v>
          </cell>
          <cell r="G22">
            <v>6.9989999999999997</v>
          </cell>
          <cell r="H22">
            <v>8.9990000000000006</v>
          </cell>
          <cell r="I22">
            <v>49.999000000000002</v>
          </cell>
          <cell r="J22">
            <v>59.999000000000002</v>
          </cell>
          <cell r="K22">
            <v>7.1437348192598948</v>
          </cell>
          <cell r="L22">
            <v>6.6672963662629181</v>
          </cell>
          <cell r="M22">
            <v>1.2857551078725533</v>
          </cell>
          <cell r="N22">
            <v>2.65252</v>
          </cell>
          <cell r="O22">
            <v>18.564987479999999</v>
          </cell>
          <cell r="P22">
            <v>23.870027480000001</v>
          </cell>
          <cell r="Q22">
            <v>132.62334748000001</v>
          </cell>
          <cell r="R22">
            <v>159.14854748000002</v>
          </cell>
          <cell r="S22" t="str">
            <v>Increase Reach</v>
          </cell>
          <cell r="T22">
            <v>6.9989999999999997</v>
          </cell>
          <cell r="U22">
            <v>18.564987479999999</v>
          </cell>
          <cell r="V22">
            <v>0</v>
          </cell>
          <cell r="W22">
            <v>0</v>
          </cell>
          <cell r="X22">
            <v>8.9990000000000006</v>
          </cell>
          <cell r="Y22">
            <v>23.870027480000001</v>
          </cell>
          <cell r="Z22">
            <v>0</v>
          </cell>
          <cell r="AA22">
            <v>0</v>
          </cell>
          <cell r="AB22">
            <v>1.2857551078725533</v>
          </cell>
          <cell r="AC22">
            <v>49.999000000000002</v>
          </cell>
          <cell r="AD22">
            <v>132.62334748000001</v>
          </cell>
          <cell r="AE22">
            <v>0</v>
          </cell>
          <cell r="AF22">
            <v>0</v>
          </cell>
          <cell r="AG22">
            <v>7.1437348192598948</v>
          </cell>
          <cell r="AH22">
            <v>59.999000000000002</v>
          </cell>
          <cell r="AI22">
            <v>159.14854748000002</v>
          </cell>
          <cell r="AJ22">
            <v>0</v>
          </cell>
          <cell r="AK22">
            <v>0</v>
          </cell>
          <cell r="AL22">
            <v>6.6672963662629181</v>
          </cell>
        </row>
        <row r="23">
          <cell r="B23" t="str">
            <v>Bangladesh</v>
          </cell>
          <cell r="C23" t="str">
            <v>Asia</v>
          </cell>
          <cell r="F23" t="str">
            <v>BDT</v>
          </cell>
          <cell r="G23">
            <v>749.99</v>
          </cell>
          <cell r="H23">
            <v>1011.99</v>
          </cell>
          <cell r="I23">
            <v>4499.99</v>
          </cell>
          <cell r="J23">
            <v>6071.99</v>
          </cell>
          <cell r="K23">
            <v>6.0000666675555667</v>
          </cell>
          <cell r="L23">
            <v>6.0000494076028419</v>
          </cell>
          <cell r="M23">
            <v>1.3493379911732157</v>
          </cell>
          <cell r="N23">
            <v>9.1116180000000001E-3</v>
          </cell>
          <cell r="O23">
            <v>6.8336223838199999</v>
          </cell>
          <cell r="P23">
            <v>9.2208662998200008</v>
          </cell>
          <cell r="Q23">
            <v>41.002189883820002</v>
          </cell>
          <cell r="R23">
            <v>55.325653379819997</v>
          </cell>
          <cell r="S23" t="str">
            <v>Increase Reach</v>
          </cell>
          <cell r="T23">
            <v>749.99</v>
          </cell>
          <cell r="U23">
            <v>6.8336223838199999</v>
          </cell>
          <cell r="V23">
            <v>0</v>
          </cell>
          <cell r="W23">
            <v>0</v>
          </cell>
          <cell r="X23">
            <v>1011.99</v>
          </cell>
          <cell r="Y23">
            <v>9.2208662998200008</v>
          </cell>
          <cell r="Z23">
            <v>0</v>
          </cell>
          <cell r="AA23">
            <v>0</v>
          </cell>
          <cell r="AB23">
            <v>1.3493379911732157</v>
          </cell>
          <cell r="AC23">
            <v>4499.99</v>
          </cell>
          <cell r="AD23">
            <v>41.002189883820002</v>
          </cell>
          <cell r="AE23">
            <v>0</v>
          </cell>
          <cell r="AF23">
            <v>0</v>
          </cell>
          <cell r="AG23">
            <v>6.0000666675555667</v>
          </cell>
          <cell r="AH23">
            <v>6071.99</v>
          </cell>
          <cell r="AI23">
            <v>55.325653379819997</v>
          </cell>
          <cell r="AJ23">
            <v>0</v>
          </cell>
          <cell r="AK23">
            <v>0</v>
          </cell>
          <cell r="AL23">
            <v>6.0000494076028419</v>
          </cell>
        </row>
        <row r="24">
          <cell r="B24" t="str">
            <v>Barbados</v>
          </cell>
          <cell r="C24" t="str">
            <v>Latin America</v>
          </cell>
          <cell r="F24" t="str">
            <v>BBD</v>
          </cell>
          <cell r="G24">
            <v>25.99</v>
          </cell>
          <cell r="H24">
            <v>34.99</v>
          </cell>
          <cell r="I24">
            <v>155.99</v>
          </cell>
          <cell r="J24">
            <v>209.99</v>
          </cell>
          <cell r="K24">
            <v>6.0019238168526368</v>
          </cell>
          <cell r="L24">
            <v>6.0014289797084883</v>
          </cell>
          <cell r="M24">
            <v>1.3462870334744135</v>
          </cell>
          <cell r="N24">
            <v>0.5</v>
          </cell>
          <cell r="O24">
            <v>12.994999999999999</v>
          </cell>
          <cell r="P24">
            <v>17.495000000000001</v>
          </cell>
          <cell r="Q24">
            <v>77.995000000000005</v>
          </cell>
          <cell r="R24">
            <v>104.995</v>
          </cell>
          <cell r="S24" t="str">
            <v>Increase Reach</v>
          </cell>
          <cell r="T24">
            <v>25.99</v>
          </cell>
          <cell r="U24">
            <v>12.994999999999999</v>
          </cell>
          <cell r="V24">
            <v>0</v>
          </cell>
          <cell r="W24">
            <v>0</v>
          </cell>
          <cell r="X24">
            <v>34.99</v>
          </cell>
          <cell r="Y24">
            <v>17.495000000000001</v>
          </cell>
          <cell r="Z24">
            <v>0</v>
          </cell>
          <cell r="AA24">
            <v>0</v>
          </cell>
          <cell r="AB24">
            <v>1.3462870334744135</v>
          </cell>
          <cell r="AC24">
            <v>155.99</v>
          </cell>
          <cell r="AD24">
            <v>77.995000000000005</v>
          </cell>
          <cell r="AE24">
            <v>0</v>
          </cell>
          <cell r="AF24">
            <v>0</v>
          </cell>
          <cell r="AG24">
            <v>6.0019238168526368</v>
          </cell>
          <cell r="AH24">
            <v>209.99</v>
          </cell>
          <cell r="AI24">
            <v>104.995</v>
          </cell>
          <cell r="AJ24">
            <v>0</v>
          </cell>
          <cell r="AK24">
            <v>0</v>
          </cell>
          <cell r="AL24">
            <v>6.0014289797084883</v>
          </cell>
        </row>
        <row r="25">
          <cell r="B25" t="str">
            <v>Belgium</v>
          </cell>
          <cell r="C25" t="str">
            <v>Europe</v>
          </cell>
          <cell r="D25" t="str">
            <v>T5</v>
          </cell>
          <cell r="E25" t="str">
            <v>x</v>
          </cell>
          <cell r="F25" t="str">
            <v>EUR</v>
          </cell>
          <cell r="G25">
            <v>18.989999999999998</v>
          </cell>
          <cell r="H25">
            <v>25.99</v>
          </cell>
          <cell r="I25">
            <v>109.99</v>
          </cell>
          <cell r="J25">
            <v>149.99</v>
          </cell>
          <cell r="K25">
            <v>5.7919957872564511</v>
          </cell>
          <cell r="L25">
            <v>5.7710657945363613</v>
          </cell>
          <cell r="M25">
            <v>1.3686150605581886</v>
          </cell>
          <cell r="N25">
            <v>1.0862499999999999</v>
          </cell>
          <cell r="O25">
            <v>20.627887499999996</v>
          </cell>
          <cell r="P25">
            <v>28.231637499999998</v>
          </cell>
          <cell r="Q25">
            <v>119.47663749999998</v>
          </cell>
          <cell r="R25">
            <v>162.9266375</v>
          </cell>
          <cell r="S25" t="str">
            <v>Increase Reach</v>
          </cell>
          <cell r="T25">
            <v>18.989999999999998</v>
          </cell>
          <cell r="U25">
            <v>20.627887499999996</v>
          </cell>
          <cell r="V25">
            <v>0</v>
          </cell>
          <cell r="W25">
            <v>0</v>
          </cell>
          <cell r="X25">
            <v>25.99</v>
          </cell>
          <cell r="Y25">
            <v>28.231637499999998</v>
          </cell>
          <cell r="Z25">
            <v>0</v>
          </cell>
          <cell r="AA25">
            <v>0</v>
          </cell>
          <cell r="AB25">
            <v>1.3686150605581886</v>
          </cell>
          <cell r="AC25">
            <v>124.99</v>
          </cell>
          <cell r="AD25">
            <v>135.7703875</v>
          </cell>
          <cell r="AE25">
            <v>15</v>
          </cell>
          <cell r="AF25">
            <v>0.13637603418492583</v>
          </cell>
          <cell r="AG25">
            <v>6.5818852027382837</v>
          </cell>
          <cell r="AH25">
            <v>169.99</v>
          </cell>
          <cell r="AI25">
            <v>184.65163749999999</v>
          </cell>
          <cell r="AJ25">
            <v>20</v>
          </cell>
          <cell r="AK25">
            <v>0.13334222281485442</v>
          </cell>
          <cell r="AL25">
            <v>6.5405925355906129</v>
          </cell>
        </row>
        <row r="26">
          <cell r="B26" t="str">
            <v>Belarus</v>
          </cell>
          <cell r="C26" t="str">
            <v>Europe</v>
          </cell>
          <cell r="D26"/>
          <cell r="E26"/>
          <cell r="F26" t="str">
            <v>BYN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 t="e">
            <v>#DIV/0!</v>
          </cell>
          <cell r="L26" t="e">
            <v>#DIV/0!</v>
          </cell>
          <cell r="M26" t="e">
            <v>#DIV/0!</v>
          </cell>
          <cell r="N26">
            <v>0.30349013000000002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 t="str">
            <v>Increase Reach</v>
          </cell>
          <cell r="U26">
            <v>0</v>
          </cell>
          <cell r="V26" t="str">
            <v/>
          </cell>
          <cell r="W26" t="str">
            <v/>
          </cell>
          <cell r="Y26">
            <v>0</v>
          </cell>
          <cell r="Z26" t="str">
            <v/>
          </cell>
          <cell r="AA26" t="str">
            <v/>
          </cell>
          <cell r="AB26" t="str">
            <v/>
          </cell>
          <cell r="AD26">
            <v>0</v>
          </cell>
          <cell r="AE26" t="str">
            <v/>
          </cell>
          <cell r="AF26" t="str">
            <v/>
          </cell>
          <cell r="AG26" t="str">
            <v/>
          </cell>
          <cell r="AI26">
            <v>0</v>
          </cell>
          <cell r="AJ26" t="str">
            <v/>
          </cell>
          <cell r="AK26" t="str">
            <v/>
          </cell>
          <cell r="AL26" t="str">
            <v/>
          </cell>
        </row>
        <row r="27">
          <cell r="B27" t="str">
            <v>Belize</v>
          </cell>
          <cell r="C27" t="str">
            <v>Latin America</v>
          </cell>
          <cell r="F27" t="str">
            <v>BZD</v>
          </cell>
          <cell r="G27">
            <v>17.989999999999998</v>
          </cell>
          <cell r="H27">
            <v>23.99</v>
          </cell>
          <cell r="I27">
            <v>107.99</v>
          </cell>
          <cell r="J27">
            <v>143.99</v>
          </cell>
          <cell r="K27">
            <v>6.0027793218454697</v>
          </cell>
          <cell r="L27">
            <v>6.0020842017507299</v>
          </cell>
          <cell r="M27">
            <v>1.3335186214563646</v>
          </cell>
          <cell r="N27">
            <v>0.5</v>
          </cell>
          <cell r="O27">
            <v>8.9949999999999992</v>
          </cell>
          <cell r="P27">
            <v>11.994999999999999</v>
          </cell>
          <cell r="Q27">
            <v>53.994999999999997</v>
          </cell>
          <cell r="R27">
            <v>71.995000000000005</v>
          </cell>
          <cell r="S27" t="str">
            <v>Maintain Balance</v>
          </cell>
          <cell r="T27">
            <v>17.989999999999998</v>
          </cell>
          <cell r="U27">
            <v>8.9949999999999992</v>
          </cell>
          <cell r="V27">
            <v>0</v>
          </cell>
          <cell r="W27">
            <v>0</v>
          </cell>
          <cell r="X27">
            <v>24.99</v>
          </cell>
          <cell r="Y27">
            <v>12.494999999999999</v>
          </cell>
          <cell r="Z27">
            <v>1</v>
          </cell>
          <cell r="AA27">
            <v>4.1684035014589504E-2</v>
          </cell>
          <cell r="AB27">
            <v>1.3891050583657587</v>
          </cell>
          <cell r="AC27">
            <v>107.99</v>
          </cell>
          <cell r="AD27">
            <v>53.994999999999997</v>
          </cell>
          <cell r="AE27">
            <v>0</v>
          </cell>
          <cell r="AF27">
            <v>0</v>
          </cell>
          <cell r="AG27">
            <v>6.0027793218454697</v>
          </cell>
          <cell r="AH27">
            <v>149.99</v>
          </cell>
          <cell r="AI27">
            <v>74.995000000000005</v>
          </cell>
          <cell r="AJ27">
            <v>6</v>
          </cell>
          <cell r="AK27">
            <v>4.1669560386137894E-2</v>
          </cell>
          <cell r="AL27">
            <v>6.0020008003201291</v>
          </cell>
        </row>
        <row r="28">
          <cell r="B28" t="str">
            <v>Benin</v>
          </cell>
          <cell r="C28" t="str">
            <v>Africa</v>
          </cell>
          <cell r="F28" t="str">
            <v>XOF</v>
          </cell>
          <cell r="G28">
            <v>5400</v>
          </cell>
          <cell r="H28">
            <v>7290</v>
          </cell>
          <cell r="I28">
            <v>32400</v>
          </cell>
          <cell r="J28">
            <v>43740</v>
          </cell>
          <cell r="K28">
            <v>6</v>
          </cell>
          <cell r="L28">
            <v>6</v>
          </cell>
          <cell r="M28">
            <v>1.35</v>
          </cell>
          <cell r="N28">
            <v>1.6559773E-3</v>
          </cell>
          <cell r="O28">
            <v>8.9422774199999999</v>
          </cell>
          <cell r="P28">
            <v>12.072074517000001</v>
          </cell>
          <cell r="Q28">
            <v>53.65366452</v>
          </cell>
          <cell r="R28">
            <v>72.432447101999998</v>
          </cell>
          <cell r="S28" t="str">
            <v>Increase Reach</v>
          </cell>
          <cell r="T28">
            <v>5400</v>
          </cell>
          <cell r="U28">
            <v>8.9422774199999999</v>
          </cell>
          <cell r="V28">
            <v>0</v>
          </cell>
          <cell r="W28">
            <v>0</v>
          </cell>
          <cell r="X28">
            <v>7290</v>
          </cell>
          <cell r="Y28">
            <v>12.072074517000001</v>
          </cell>
          <cell r="Z28">
            <v>0</v>
          </cell>
          <cell r="AA28">
            <v>0</v>
          </cell>
          <cell r="AB28">
            <v>1.35</v>
          </cell>
          <cell r="AC28">
            <v>32400</v>
          </cell>
          <cell r="AD28">
            <v>53.65366452</v>
          </cell>
          <cell r="AE28">
            <v>0</v>
          </cell>
          <cell r="AF28">
            <v>0</v>
          </cell>
          <cell r="AG28">
            <v>6</v>
          </cell>
          <cell r="AH28">
            <v>43740</v>
          </cell>
          <cell r="AI28">
            <v>72.432447101999998</v>
          </cell>
          <cell r="AJ28">
            <v>0</v>
          </cell>
          <cell r="AK28">
            <v>0</v>
          </cell>
          <cell r="AL28">
            <v>6</v>
          </cell>
        </row>
        <row r="29">
          <cell r="B29" t="str">
            <v>Bermuda</v>
          </cell>
          <cell r="C29" t="str">
            <v>Latin America</v>
          </cell>
          <cell r="F29" t="str">
            <v>BMD</v>
          </cell>
          <cell r="G29">
            <v>11.99</v>
          </cell>
          <cell r="H29">
            <v>15.99</v>
          </cell>
          <cell r="I29">
            <v>71.989999999999995</v>
          </cell>
          <cell r="J29">
            <v>95.99</v>
          </cell>
          <cell r="K29">
            <v>6.0041701417848206</v>
          </cell>
          <cell r="L29">
            <v>6.0031269543464658</v>
          </cell>
          <cell r="M29">
            <v>1.3336113427856546</v>
          </cell>
          <cell r="N29">
            <v>1</v>
          </cell>
          <cell r="O29">
            <v>11.99</v>
          </cell>
          <cell r="P29">
            <v>15.99</v>
          </cell>
          <cell r="Q29">
            <v>71.989999999999995</v>
          </cell>
          <cell r="R29">
            <v>95.99</v>
          </cell>
          <cell r="S29" t="str">
            <v>Increase Reach</v>
          </cell>
          <cell r="T29">
            <v>11.99</v>
          </cell>
          <cell r="U29">
            <v>11.99</v>
          </cell>
          <cell r="V29">
            <v>0</v>
          </cell>
          <cell r="W29">
            <v>0</v>
          </cell>
          <cell r="X29">
            <v>15.99</v>
          </cell>
          <cell r="Y29">
            <v>15.99</v>
          </cell>
          <cell r="Z29">
            <v>0</v>
          </cell>
          <cell r="AA29">
            <v>0</v>
          </cell>
          <cell r="AB29">
            <v>1.3336113427856546</v>
          </cell>
          <cell r="AC29">
            <v>71.989999999999995</v>
          </cell>
          <cell r="AD29">
            <v>71.989999999999995</v>
          </cell>
          <cell r="AE29">
            <v>0</v>
          </cell>
          <cell r="AF29">
            <v>0</v>
          </cell>
          <cell r="AG29">
            <v>6.0041701417848206</v>
          </cell>
          <cell r="AH29">
            <v>95.99</v>
          </cell>
          <cell r="AI29">
            <v>95.99</v>
          </cell>
          <cell r="AJ29">
            <v>0</v>
          </cell>
          <cell r="AK29">
            <v>0</v>
          </cell>
          <cell r="AL29">
            <v>6.0031269543464658</v>
          </cell>
        </row>
        <row r="30">
          <cell r="B30" t="str">
            <v>Bhutan</v>
          </cell>
          <cell r="C30" t="str">
            <v>Asia</v>
          </cell>
          <cell r="F30" t="str">
            <v>USD</v>
          </cell>
          <cell r="G30">
            <v>8.99</v>
          </cell>
          <cell r="H30">
            <v>11.99</v>
          </cell>
          <cell r="I30">
            <v>53.99</v>
          </cell>
          <cell r="J30">
            <v>71.989999999999995</v>
          </cell>
          <cell r="K30">
            <v>6.0055617352614012</v>
          </cell>
          <cell r="L30">
            <v>6.0041701417848206</v>
          </cell>
          <cell r="M30">
            <v>1.3337041156840934</v>
          </cell>
          <cell r="N30">
            <v>1</v>
          </cell>
          <cell r="O30">
            <v>8.99</v>
          </cell>
          <cell r="P30">
            <v>11.99</v>
          </cell>
          <cell r="Q30">
            <v>53.99</v>
          </cell>
          <cell r="R30">
            <v>71.989999999999995</v>
          </cell>
          <cell r="S30" t="str">
            <v>Increase Reach</v>
          </cell>
          <cell r="T30">
            <v>8.99</v>
          </cell>
          <cell r="U30">
            <v>8.99</v>
          </cell>
          <cell r="V30">
            <v>0</v>
          </cell>
          <cell r="W30">
            <v>0</v>
          </cell>
          <cell r="X30">
            <v>11.99</v>
          </cell>
          <cell r="Y30">
            <v>11.99</v>
          </cell>
          <cell r="Z30">
            <v>0</v>
          </cell>
          <cell r="AA30">
            <v>0</v>
          </cell>
          <cell r="AB30">
            <v>1.3337041156840934</v>
          </cell>
          <cell r="AC30">
            <v>53.99</v>
          </cell>
          <cell r="AD30">
            <v>53.99</v>
          </cell>
          <cell r="AE30">
            <v>0</v>
          </cell>
          <cell r="AF30">
            <v>0</v>
          </cell>
          <cell r="AG30">
            <v>6.0055617352614012</v>
          </cell>
          <cell r="AH30">
            <v>71.989999999999995</v>
          </cell>
          <cell r="AI30">
            <v>71.989999999999995</v>
          </cell>
          <cell r="AJ30">
            <v>0</v>
          </cell>
          <cell r="AK30">
            <v>0</v>
          </cell>
          <cell r="AL30">
            <v>6.0041701417848206</v>
          </cell>
        </row>
        <row r="31">
          <cell r="B31" t="str">
            <v>Bolivia</v>
          </cell>
          <cell r="C31" t="str">
            <v>Latin America</v>
          </cell>
          <cell r="F31" t="str">
            <v>BOB</v>
          </cell>
          <cell r="G31">
            <v>68.989999999999995</v>
          </cell>
          <cell r="H31">
            <v>92.99</v>
          </cell>
          <cell r="I31">
            <v>409.99</v>
          </cell>
          <cell r="J31">
            <v>559.99</v>
          </cell>
          <cell r="K31">
            <v>5.9427453254094802</v>
          </cell>
          <cell r="L31">
            <v>6.022045381223788</v>
          </cell>
          <cell r="M31">
            <v>1.3478765038411364</v>
          </cell>
          <cell r="N31">
            <v>0.14471780000000001</v>
          </cell>
          <cell r="O31">
            <v>9.9840810219999998</v>
          </cell>
          <cell r="P31">
            <v>13.457308222</v>
          </cell>
          <cell r="Q31">
            <v>59.332850822000005</v>
          </cell>
          <cell r="R31">
            <v>81.040520822000005</v>
          </cell>
          <cell r="S31" t="str">
            <v>Increase Reach</v>
          </cell>
          <cell r="T31">
            <v>68.989999999999995</v>
          </cell>
          <cell r="U31">
            <v>9.9840810219999998</v>
          </cell>
          <cell r="V31">
            <v>0</v>
          </cell>
          <cell r="W31">
            <v>0</v>
          </cell>
          <cell r="X31">
            <v>92.99</v>
          </cell>
          <cell r="Y31">
            <v>13.457308222</v>
          </cell>
          <cell r="Z31">
            <v>0</v>
          </cell>
          <cell r="AA31">
            <v>0</v>
          </cell>
          <cell r="AB31">
            <v>1.3478765038411364</v>
          </cell>
          <cell r="AC31">
            <v>409.99</v>
          </cell>
          <cell r="AD31">
            <v>59.332850822000005</v>
          </cell>
          <cell r="AE31">
            <v>0</v>
          </cell>
          <cell r="AF31">
            <v>0</v>
          </cell>
          <cell r="AG31">
            <v>5.9427453254094802</v>
          </cell>
          <cell r="AH31">
            <v>559.99</v>
          </cell>
          <cell r="AI31">
            <v>81.040520822000005</v>
          </cell>
          <cell r="AJ31">
            <v>0</v>
          </cell>
          <cell r="AK31">
            <v>0</v>
          </cell>
          <cell r="AL31">
            <v>6.022045381223788</v>
          </cell>
        </row>
        <row r="32">
          <cell r="B32" t="str">
            <v>Bonaire, St. Eustatius, &amp; Saba</v>
          </cell>
          <cell r="C32" t="str">
            <v>Europe</v>
          </cell>
          <cell r="F32" t="str">
            <v>USD</v>
          </cell>
          <cell r="G32">
            <v>10.99</v>
          </cell>
          <cell r="H32">
            <v>14.99</v>
          </cell>
          <cell r="I32">
            <v>69.989999999999995</v>
          </cell>
          <cell r="J32">
            <v>89.99</v>
          </cell>
          <cell r="K32">
            <v>6.3685168334849855</v>
          </cell>
          <cell r="L32">
            <v>6.0033355570380253</v>
          </cell>
          <cell r="M32">
            <v>1.3639672429481347</v>
          </cell>
          <cell r="N32">
            <v>1</v>
          </cell>
          <cell r="O32">
            <v>10.99</v>
          </cell>
          <cell r="P32">
            <v>14.99</v>
          </cell>
          <cell r="Q32">
            <v>69.989999999999995</v>
          </cell>
          <cell r="R32">
            <v>89.99</v>
          </cell>
          <cell r="S32" t="str">
            <v>Increase Reach</v>
          </cell>
          <cell r="T32">
            <v>10.99</v>
          </cell>
          <cell r="U32">
            <v>10.99</v>
          </cell>
          <cell r="V32">
            <v>0</v>
          </cell>
          <cell r="W32">
            <v>0</v>
          </cell>
          <cell r="X32">
            <v>14.99</v>
          </cell>
          <cell r="Y32">
            <v>14.99</v>
          </cell>
          <cell r="Z32">
            <v>0</v>
          </cell>
          <cell r="AA32">
            <v>0</v>
          </cell>
          <cell r="AB32">
            <v>1.3639672429481347</v>
          </cell>
          <cell r="AC32">
            <v>69.989999999999995</v>
          </cell>
          <cell r="AD32">
            <v>69.989999999999995</v>
          </cell>
          <cell r="AE32">
            <v>0</v>
          </cell>
          <cell r="AF32">
            <v>0</v>
          </cell>
          <cell r="AG32">
            <v>6.3685168334849855</v>
          </cell>
          <cell r="AH32">
            <v>89.99</v>
          </cell>
          <cell r="AI32">
            <v>89.99</v>
          </cell>
          <cell r="AJ32">
            <v>0</v>
          </cell>
          <cell r="AK32">
            <v>0</v>
          </cell>
          <cell r="AL32">
            <v>6.0033355570380253</v>
          </cell>
        </row>
        <row r="33">
          <cell r="B33" t="str">
            <v>Bosnia And Herzegovina</v>
          </cell>
          <cell r="C33" t="str">
            <v>Europe</v>
          </cell>
          <cell r="F33" t="str">
            <v>BAM</v>
          </cell>
          <cell r="G33">
            <v>17.989999999999998</v>
          </cell>
          <cell r="H33">
            <v>23.99</v>
          </cell>
          <cell r="I33">
            <v>109.99</v>
          </cell>
          <cell r="J33">
            <v>139.99</v>
          </cell>
          <cell r="K33">
            <v>6.1139521956642584</v>
          </cell>
          <cell r="L33">
            <v>5.8353480616923727</v>
          </cell>
          <cell r="M33">
            <v>1.3335186214563646</v>
          </cell>
          <cell r="N33">
            <v>0.55538589999999999</v>
          </cell>
          <cell r="O33">
            <v>9.9913923409999992</v>
          </cell>
          <cell r="P33">
            <v>13.323707740999998</v>
          </cell>
          <cell r="Q33">
            <v>61.086895140999992</v>
          </cell>
          <cell r="R33">
            <v>77.748472141000008</v>
          </cell>
          <cell r="S33" t="str">
            <v>Maintain Balance</v>
          </cell>
          <cell r="T33">
            <v>17.989999999999998</v>
          </cell>
          <cell r="U33">
            <v>9.9913923409999992</v>
          </cell>
          <cell r="V33">
            <v>0</v>
          </cell>
          <cell r="W33">
            <v>0</v>
          </cell>
          <cell r="X33">
            <v>24.99</v>
          </cell>
          <cell r="Y33">
            <v>13.879093640999999</v>
          </cell>
          <cell r="Z33">
            <v>1</v>
          </cell>
          <cell r="AA33">
            <v>4.1684035014589504E-2</v>
          </cell>
          <cell r="AB33">
            <v>1.3891050583657587</v>
          </cell>
          <cell r="AC33">
            <v>109.99</v>
          </cell>
          <cell r="AD33">
            <v>61.086895140999992</v>
          </cell>
          <cell r="AE33">
            <v>0</v>
          </cell>
          <cell r="AF33">
            <v>0</v>
          </cell>
          <cell r="AG33">
            <v>6.1139521956642584</v>
          </cell>
          <cell r="AH33">
            <v>149.99</v>
          </cell>
          <cell r="AI33">
            <v>83.302331140999996</v>
          </cell>
          <cell r="AJ33">
            <v>10</v>
          </cell>
          <cell r="AK33">
            <v>7.1433673833845246E-2</v>
          </cell>
          <cell r="AL33">
            <v>6.0020008003201291</v>
          </cell>
        </row>
        <row r="34">
          <cell r="B34" t="str">
            <v>Botswana</v>
          </cell>
          <cell r="C34" t="str">
            <v>Africa</v>
          </cell>
          <cell r="F34" t="str">
            <v>BWP</v>
          </cell>
          <cell r="G34">
            <v>81.99</v>
          </cell>
          <cell r="H34">
            <v>110.99</v>
          </cell>
          <cell r="I34">
            <v>491.99</v>
          </cell>
          <cell r="J34">
            <v>665.99</v>
          </cell>
          <cell r="K34">
            <v>6.0006098304671305</v>
          </cell>
          <cell r="L34">
            <v>6.0004504910352283</v>
          </cell>
          <cell r="M34">
            <v>1.3537016709354799</v>
          </cell>
          <cell r="N34">
            <v>7.3499999999999996E-2</v>
          </cell>
          <cell r="O34">
            <v>6.0262649999999995</v>
          </cell>
          <cell r="P34">
            <v>8.1577649999999995</v>
          </cell>
          <cell r="Q34">
            <v>36.161265</v>
          </cell>
          <cell r="R34">
            <v>48.950264999999995</v>
          </cell>
          <cell r="S34" t="str">
            <v>Increase Reach</v>
          </cell>
          <cell r="T34">
            <v>81.99</v>
          </cell>
          <cell r="U34">
            <v>6.0262649999999995</v>
          </cell>
          <cell r="V34">
            <v>0</v>
          </cell>
          <cell r="W34">
            <v>0</v>
          </cell>
          <cell r="X34">
            <v>110.99</v>
          </cell>
          <cell r="Y34">
            <v>8.1577649999999995</v>
          </cell>
          <cell r="Z34">
            <v>0</v>
          </cell>
          <cell r="AA34">
            <v>0</v>
          </cell>
          <cell r="AB34">
            <v>1.3537016709354799</v>
          </cell>
          <cell r="AC34">
            <v>491.99</v>
          </cell>
          <cell r="AD34">
            <v>36.161265</v>
          </cell>
          <cell r="AE34">
            <v>0</v>
          </cell>
          <cell r="AF34">
            <v>0</v>
          </cell>
          <cell r="AG34">
            <v>6.0006098304671305</v>
          </cell>
          <cell r="AH34">
            <v>665.99</v>
          </cell>
          <cell r="AI34">
            <v>48.950264999999995</v>
          </cell>
          <cell r="AJ34">
            <v>0</v>
          </cell>
          <cell r="AK34">
            <v>0</v>
          </cell>
          <cell r="AL34">
            <v>6.0004504910352283</v>
          </cell>
        </row>
        <row r="35">
          <cell r="B35" t="str">
            <v>Bouvet Island</v>
          </cell>
          <cell r="C35" t="str">
            <v>Europe</v>
          </cell>
          <cell r="F35" t="str">
            <v>NOK</v>
          </cell>
          <cell r="G35">
            <v>149.99</v>
          </cell>
          <cell r="H35">
            <v>199.99</v>
          </cell>
          <cell r="I35">
            <v>899.99</v>
          </cell>
          <cell r="J35">
            <v>1399.99</v>
          </cell>
          <cell r="K35">
            <v>6.0003333555570366</v>
          </cell>
          <cell r="L35">
            <v>7.0003000150007502</v>
          </cell>
          <cell r="M35">
            <v>1.3333555570371358</v>
          </cell>
          <cell r="N35">
            <v>9.6127969999999993E-2</v>
          </cell>
          <cell r="O35">
            <v>14.4182342203</v>
          </cell>
          <cell r="P35">
            <v>19.224632720300001</v>
          </cell>
          <cell r="Q35">
            <v>86.514211720299997</v>
          </cell>
          <cell r="R35">
            <v>134.57819672029999</v>
          </cell>
          <cell r="S35" t="str">
            <v>Increase Reach</v>
          </cell>
          <cell r="T35">
            <v>149.99</v>
          </cell>
          <cell r="U35">
            <v>14.4182342203</v>
          </cell>
          <cell r="V35">
            <v>0</v>
          </cell>
          <cell r="W35">
            <v>0</v>
          </cell>
          <cell r="X35">
            <v>199.99</v>
          </cell>
          <cell r="Y35">
            <v>19.224632720300001</v>
          </cell>
          <cell r="Z35">
            <v>0</v>
          </cell>
          <cell r="AA35">
            <v>0</v>
          </cell>
          <cell r="AB35">
            <v>1.3333555570371358</v>
          </cell>
          <cell r="AC35">
            <v>899.99</v>
          </cell>
          <cell r="AD35">
            <v>86.514211720299997</v>
          </cell>
          <cell r="AE35">
            <v>0</v>
          </cell>
          <cell r="AF35">
            <v>0</v>
          </cell>
          <cell r="AG35">
            <v>6.0003333555570366</v>
          </cell>
          <cell r="AH35">
            <v>1399.99</v>
          </cell>
          <cell r="AI35">
            <v>134.57819672029999</v>
          </cell>
          <cell r="AJ35">
            <v>0</v>
          </cell>
          <cell r="AK35">
            <v>0</v>
          </cell>
          <cell r="AL35">
            <v>7.0003000150007502</v>
          </cell>
        </row>
        <row r="36">
          <cell r="B36" t="str">
            <v>Brazil</v>
          </cell>
          <cell r="C36" t="str">
            <v>Latin America</v>
          </cell>
          <cell r="D36" t="str">
            <v>T3</v>
          </cell>
          <cell r="E36" t="str">
            <v>x</v>
          </cell>
          <cell r="F36" t="str">
            <v>BRL</v>
          </cell>
          <cell r="G36">
            <v>54.99</v>
          </cell>
          <cell r="H36">
            <v>69.989999999999995</v>
          </cell>
          <cell r="I36">
            <v>384.99</v>
          </cell>
          <cell r="J36">
            <v>489.99</v>
          </cell>
          <cell r="K36">
            <v>7.0010911074740863</v>
          </cell>
          <cell r="L36">
            <v>7.0008572653236181</v>
          </cell>
          <cell r="M36">
            <v>1.2727768685215493</v>
          </cell>
          <cell r="N36">
            <v>0.20333675000000001</v>
          </cell>
          <cell r="O36">
            <v>11.181487882500001</v>
          </cell>
          <cell r="P36">
            <v>14.2315391325</v>
          </cell>
          <cell r="Q36">
            <v>78.282615382500012</v>
          </cell>
          <cell r="R36">
            <v>99.63297413250001</v>
          </cell>
          <cell r="S36" t="str">
            <v>Increase Reach</v>
          </cell>
          <cell r="T36">
            <v>54.99</v>
          </cell>
          <cell r="U36">
            <v>11.181487882500001</v>
          </cell>
          <cell r="V36">
            <v>0</v>
          </cell>
          <cell r="W36">
            <v>0</v>
          </cell>
          <cell r="X36">
            <v>69.989999999999995</v>
          </cell>
          <cell r="Y36">
            <v>14.2315391325</v>
          </cell>
          <cell r="Z36">
            <v>0</v>
          </cell>
          <cell r="AA36">
            <v>0</v>
          </cell>
          <cell r="AB36">
            <v>1.2727768685215493</v>
          </cell>
          <cell r="AC36">
            <v>384.99</v>
          </cell>
          <cell r="AD36">
            <v>78.282615382500012</v>
          </cell>
          <cell r="AE36">
            <v>0</v>
          </cell>
          <cell r="AF36">
            <v>0</v>
          </cell>
          <cell r="AG36">
            <v>7.0010911074740863</v>
          </cell>
          <cell r="AH36">
            <v>489.99</v>
          </cell>
          <cell r="AI36">
            <v>99.63297413250001</v>
          </cell>
          <cell r="AJ36">
            <v>0</v>
          </cell>
          <cell r="AK36">
            <v>0</v>
          </cell>
          <cell r="AL36">
            <v>7.0008572653236181</v>
          </cell>
        </row>
        <row r="37">
          <cell r="B37" t="str">
            <v>British Indian Ocean Territory</v>
          </cell>
          <cell r="C37" t="str">
            <v>Asia</v>
          </cell>
          <cell r="F37" t="str">
            <v>USD</v>
          </cell>
          <cell r="G37">
            <v>9.99</v>
          </cell>
          <cell r="H37">
            <v>12.99</v>
          </cell>
          <cell r="I37">
            <v>59.99</v>
          </cell>
          <cell r="J37">
            <v>77.989999999999995</v>
          </cell>
          <cell r="K37">
            <v>6.005005005005005</v>
          </cell>
          <cell r="L37">
            <v>6.0038491147036179</v>
          </cell>
          <cell r="M37">
            <v>1.3003003003003002</v>
          </cell>
          <cell r="N37">
            <v>1</v>
          </cell>
          <cell r="O37">
            <v>9.99</v>
          </cell>
          <cell r="P37">
            <v>12.99</v>
          </cell>
          <cell r="Q37">
            <v>59.99</v>
          </cell>
          <cell r="R37">
            <v>77.989999999999995</v>
          </cell>
          <cell r="S37" t="str">
            <v>Increase Reach</v>
          </cell>
          <cell r="T37">
            <v>9.99</v>
          </cell>
          <cell r="U37">
            <v>9.99</v>
          </cell>
          <cell r="V37">
            <v>0</v>
          </cell>
          <cell r="W37">
            <v>0</v>
          </cell>
          <cell r="X37">
            <v>12.99</v>
          </cell>
          <cell r="Y37">
            <v>12.99</v>
          </cell>
          <cell r="Z37">
            <v>0</v>
          </cell>
          <cell r="AA37">
            <v>0</v>
          </cell>
          <cell r="AB37">
            <v>1.3003003003003002</v>
          </cell>
          <cell r="AC37">
            <v>59.99</v>
          </cell>
          <cell r="AD37">
            <v>59.99</v>
          </cell>
          <cell r="AE37">
            <v>0</v>
          </cell>
          <cell r="AF37">
            <v>0</v>
          </cell>
          <cell r="AG37">
            <v>6.005005005005005</v>
          </cell>
          <cell r="AH37">
            <v>77.989999999999995</v>
          </cell>
          <cell r="AI37">
            <v>77.989999999999995</v>
          </cell>
          <cell r="AJ37">
            <v>0</v>
          </cell>
          <cell r="AK37">
            <v>0</v>
          </cell>
          <cell r="AL37">
            <v>6.0038491147036179</v>
          </cell>
        </row>
        <row r="38">
          <cell r="B38" t="str">
            <v>British Virgin Islands</v>
          </cell>
          <cell r="C38" t="str">
            <v>Latin America</v>
          </cell>
          <cell r="F38" t="str">
            <v>USD</v>
          </cell>
          <cell r="G38">
            <v>11.99</v>
          </cell>
          <cell r="H38">
            <v>15.99</v>
          </cell>
          <cell r="I38">
            <v>71.989999999999995</v>
          </cell>
          <cell r="J38">
            <v>95.99</v>
          </cell>
          <cell r="K38">
            <v>6.0041701417848206</v>
          </cell>
          <cell r="L38">
            <v>6.0031269543464658</v>
          </cell>
          <cell r="M38">
            <v>1.3336113427856546</v>
          </cell>
          <cell r="N38">
            <v>1</v>
          </cell>
          <cell r="O38">
            <v>11.99</v>
          </cell>
          <cell r="P38">
            <v>15.99</v>
          </cell>
          <cell r="Q38">
            <v>71.989999999999995</v>
          </cell>
          <cell r="R38">
            <v>95.99</v>
          </cell>
          <cell r="S38" t="str">
            <v>Maintain Balance</v>
          </cell>
          <cell r="T38">
            <v>11.99</v>
          </cell>
          <cell r="U38">
            <v>11.99</v>
          </cell>
          <cell r="V38">
            <v>0</v>
          </cell>
          <cell r="W38">
            <v>0</v>
          </cell>
          <cell r="X38">
            <v>16.989999999999998</v>
          </cell>
          <cell r="Y38">
            <v>16.989999999999998</v>
          </cell>
          <cell r="Z38">
            <v>0.99999999999999822</v>
          </cell>
          <cell r="AA38">
            <v>6.2539086929330745E-2</v>
          </cell>
          <cell r="AB38">
            <v>1.4170141784820682</v>
          </cell>
          <cell r="AC38">
            <v>71.989999999999995</v>
          </cell>
          <cell r="AD38">
            <v>71.989999999999995</v>
          </cell>
          <cell r="AE38">
            <v>0</v>
          </cell>
          <cell r="AF38">
            <v>0</v>
          </cell>
          <cell r="AG38">
            <v>6.0041701417848206</v>
          </cell>
          <cell r="AH38">
            <v>102.99</v>
          </cell>
          <cell r="AI38">
            <v>102.99</v>
          </cell>
          <cell r="AJ38">
            <v>7</v>
          </cell>
          <cell r="AK38">
            <v>7.2924262944056739E-2</v>
          </cell>
          <cell r="AL38">
            <v>6.0618010594467338</v>
          </cell>
        </row>
        <row r="39">
          <cell r="B39" t="str">
            <v>Brunei</v>
          </cell>
          <cell r="C39" t="str">
            <v>Asia</v>
          </cell>
          <cell r="F39" t="str">
            <v>BND</v>
          </cell>
          <cell r="G39">
            <v>12.99</v>
          </cell>
          <cell r="H39">
            <v>17.989999999999998</v>
          </cell>
          <cell r="I39">
            <v>77.989999999999995</v>
          </cell>
          <cell r="J39">
            <v>107.99</v>
          </cell>
          <cell r="K39">
            <v>6.0038491147036179</v>
          </cell>
          <cell r="L39">
            <v>6.0027793218454697</v>
          </cell>
          <cell r="M39">
            <v>1.3849114703618166</v>
          </cell>
          <cell r="N39">
            <v>0.74593467000000002</v>
          </cell>
          <cell r="O39">
            <v>9.6896913632999997</v>
          </cell>
          <cell r="P39">
            <v>13.419364713299998</v>
          </cell>
          <cell r="Q39">
            <v>58.175444913299998</v>
          </cell>
          <cell r="R39">
            <v>80.553485013300005</v>
          </cell>
          <cell r="S39" t="str">
            <v>Increase Reach</v>
          </cell>
          <cell r="T39">
            <v>12.99</v>
          </cell>
          <cell r="U39">
            <v>9.6896913632999997</v>
          </cell>
          <cell r="V39">
            <v>0</v>
          </cell>
          <cell r="W39">
            <v>0</v>
          </cell>
          <cell r="X39">
            <v>17.989999999999998</v>
          </cell>
          <cell r="Y39">
            <v>13.419364713299998</v>
          </cell>
          <cell r="Z39">
            <v>0</v>
          </cell>
          <cell r="AA39">
            <v>0</v>
          </cell>
          <cell r="AB39">
            <v>1.3849114703618166</v>
          </cell>
          <cell r="AC39">
            <v>77.989999999999995</v>
          </cell>
          <cell r="AD39">
            <v>58.175444913299998</v>
          </cell>
          <cell r="AE39">
            <v>0</v>
          </cell>
          <cell r="AF39">
            <v>0</v>
          </cell>
          <cell r="AG39">
            <v>6.0038491147036179</v>
          </cell>
          <cell r="AH39">
            <v>107.99</v>
          </cell>
          <cell r="AI39">
            <v>80.553485013300005</v>
          </cell>
          <cell r="AJ39">
            <v>0</v>
          </cell>
          <cell r="AK39">
            <v>0</v>
          </cell>
          <cell r="AL39">
            <v>6.0027793218454697</v>
          </cell>
        </row>
        <row r="40">
          <cell r="B40" t="str">
            <v>Bulgaria</v>
          </cell>
          <cell r="C40" t="str">
            <v>Europe</v>
          </cell>
          <cell r="F40" t="str">
            <v>BGN</v>
          </cell>
          <cell r="G40">
            <v>19.989999999999998</v>
          </cell>
          <cell r="H40">
            <v>26.99</v>
          </cell>
          <cell r="I40">
            <v>119.99</v>
          </cell>
          <cell r="J40">
            <v>159.99</v>
          </cell>
          <cell r="K40">
            <v>6.002501250625313</v>
          </cell>
          <cell r="L40">
            <v>5.9277510188958882</v>
          </cell>
          <cell r="M40">
            <v>1.3501750875437719</v>
          </cell>
          <cell r="N40">
            <v>0.55540126999999995</v>
          </cell>
          <cell r="O40">
            <v>11.102471387299998</v>
          </cell>
          <cell r="P40">
            <v>14.990280277299998</v>
          </cell>
          <cell r="Q40">
            <v>66.642598387299998</v>
          </cell>
          <cell r="R40">
            <v>88.858649187300003</v>
          </cell>
          <cell r="S40" t="str">
            <v xml:space="preserve">Increase ARPU - Widening LPP Ratio </v>
          </cell>
          <cell r="T40">
            <v>20.99</v>
          </cell>
          <cell r="U40">
            <v>11.657872657299999</v>
          </cell>
          <cell r="V40">
            <v>1</v>
          </cell>
          <cell r="W40">
            <v>5.002501250625313E-2</v>
          </cell>
          <cell r="X40">
            <v>28.99</v>
          </cell>
          <cell r="Y40">
            <v>16.101082817299996</v>
          </cell>
          <cell r="Z40">
            <v>2</v>
          </cell>
          <cell r="AA40">
            <v>7.4101519081141154E-2</v>
          </cell>
          <cell r="AB40">
            <v>1.3811338732729872</v>
          </cell>
          <cell r="AC40">
            <v>136.99</v>
          </cell>
          <cell r="AD40">
            <v>76.084419977300001</v>
          </cell>
          <cell r="AE40">
            <v>17.000000000000014</v>
          </cell>
          <cell r="AF40">
            <v>0.14167847320610072</v>
          </cell>
          <cell r="AG40">
            <v>6.5264411624583145</v>
          </cell>
          <cell r="AH40">
            <v>184.99</v>
          </cell>
          <cell r="AI40">
            <v>102.7436809373</v>
          </cell>
          <cell r="AJ40">
            <v>25</v>
          </cell>
          <cell r="AK40">
            <v>0.15625976623538973</v>
          </cell>
          <cell r="AL40">
            <v>6.3811659192825116</v>
          </cell>
        </row>
        <row r="41">
          <cell r="B41" t="str">
            <v>Burkina Faso</v>
          </cell>
          <cell r="C41" t="str">
            <v>Africa</v>
          </cell>
          <cell r="F41" t="str">
            <v>XOF</v>
          </cell>
          <cell r="G41">
            <v>5400</v>
          </cell>
          <cell r="H41">
            <v>7290</v>
          </cell>
          <cell r="I41">
            <v>32400</v>
          </cell>
          <cell r="J41">
            <v>43740</v>
          </cell>
          <cell r="K41">
            <v>6</v>
          </cell>
          <cell r="L41">
            <v>6</v>
          </cell>
          <cell r="M41">
            <v>1.35</v>
          </cell>
          <cell r="N41">
            <v>1.6559773E-3</v>
          </cell>
          <cell r="O41">
            <v>8.9422774199999999</v>
          </cell>
          <cell r="P41">
            <v>12.072074517000001</v>
          </cell>
          <cell r="Q41">
            <v>53.65366452</v>
          </cell>
          <cell r="R41">
            <v>72.432447101999998</v>
          </cell>
          <cell r="S41" t="str">
            <v>Increase Reach</v>
          </cell>
          <cell r="T41">
            <v>5400</v>
          </cell>
          <cell r="U41">
            <v>8.9422774199999999</v>
          </cell>
          <cell r="V41">
            <v>0</v>
          </cell>
          <cell r="W41">
            <v>0</v>
          </cell>
          <cell r="X41">
            <v>7290</v>
          </cell>
          <cell r="Y41">
            <v>12.072074517000001</v>
          </cell>
          <cell r="Z41">
            <v>0</v>
          </cell>
          <cell r="AA41">
            <v>0</v>
          </cell>
          <cell r="AB41">
            <v>1.35</v>
          </cell>
          <cell r="AC41">
            <v>32400</v>
          </cell>
          <cell r="AD41">
            <v>53.65366452</v>
          </cell>
          <cell r="AE41">
            <v>0</v>
          </cell>
          <cell r="AF41">
            <v>0</v>
          </cell>
          <cell r="AG41">
            <v>6</v>
          </cell>
          <cell r="AH41">
            <v>43740</v>
          </cell>
          <cell r="AI41">
            <v>72.432447101999998</v>
          </cell>
          <cell r="AJ41">
            <v>0</v>
          </cell>
          <cell r="AK41">
            <v>0</v>
          </cell>
          <cell r="AL41">
            <v>6</v>
          </cell>
        </row>
        <row r="42">
          <cell r="B42" t="str">
            <v>Burundi</v>
          </cell>
          <cell r="C42" t="str">
            <v>Africa</v>
          </cell>
          <cell r="F42" t="str">
            <v>USD</v>
          </cell>
          <cell r="G42">
            <v>8.99</v>
          </cell>
          <cell r="H42">
            <v>11.99</v>
          </cell>
          <cell r="I42">
            <v>53.99</v>
          </cell>
          <cell r="J42">
            <v>71.989999999999995</v>
          </cell>
          <cell r="K42">
            <v>6.0055617352614012</v>
          </cell>
          <cell r="L42">
            <v>6.0041701417848206</v>
          </cell>
          <cell r="M42">
            <v>1.3337041156840934</v>
          </cell>
          <cell r="N42">
            <v>1</v>
          </cell>
          <cell r="O42">
            <v>8.99</v>
          </cell>
          <cell r="P42">
            <v>11.99</v>
          </cell>
          <cell r="Q42">
            <v>53.99</v>
          </cell>
          <cell r="R42">
            <v>71.989999999999995</v>
          </cell>
          <cell r="S42" t="str">
            <v>Increase Reach</v>
          </cell>
          <cell r="T42">
            <v>8.99</v>
          </cell>
          <cell r="U42">
            <v>8.99</v>
          </cell>
          <cell r="V42">
            <v>0</v>
          </cell>
          <cell r="W42">
            <v>0</v>
          </cell>
          <cell r="X42">
            <v>11.99</v>
          </cell>
          <cell r="Y42">
            <v>11.99</v>
          </cell>
          <cell r="Z42">
            <v>0</v>
          </cell>
          <cell r="AA42">
            <v>0</v>
          </cell>
          <cell r="AB42">
            <v>1.3337041156840934</v>
          </cell>
          <cell r="AC42">
            <v>53.99</v>
          </cell>
          <cell r="AD42">
            <v>53.99</v>
          </cell>
          <cell r="AE42">
            <v>0</v>
          </cell>
          <cell r="AF42">
            <v>0</v>
          </cell>
          <cell r="AG42">
            <v>6.0055617352614012</v>
          </cell>
          <cell r="AH42">
            <v>71.989999999999995</v>
          </cell>
          <cell r="AI42">
            <v>71.989999999999995</v>
          </cell>
          <cell r="AJ42">
            <v>0</v>
          </cell>
          <cell r="AK42">
            <v>0</v>
          </cell>
          <cell r="AL42">
            <v>6.0041701417848206</v>
          </cell>
        </row>
        <row r="43">
          <cell r="B43" t="str">
            <v>Cambodia</v>
          </cell>
          <cell r="C43" t="str">
            <v>Asia</v>
          </cell>
          <cell r="F43" t="str">
            <v>KHR</v>
          </cell>
          <cell r="G43">
            <v>36320</v>
          </cell>
          <cell r="H43">
            <v>49030</v>
          </cell>
          <cell r="I43">
            <v>217920</v>
          </cell>
          <cell r="J43">
            <v>294180</v>
          </cell>
          <cell r="K43">
            <v>6</v>
          </cell>
          <cell r="L43">
            <v>6</v>
          </cell>
          <cell r="M43">
            <v>1.3499449339207048</v>
          </cell>
          <cell r="N43">
            <v>2.4500907999999998E-4</v>
          </cell>
          <cell r="O43">
            <v>8.8987297855999987</v>
          </cell>
          <cell r="P43">
            <v>12.012795192399999</v>
          </cell>
          <cell r="Q43">
            <v>53.392378713599996</v>
          </cell>
          <cell r="R43">
            <v>72.076771154399992</v>
          </cell>
          <cell r="S43" t="str">
            <v>Increase Reach</v>
          </cell>
          <cell r="T43">
            <v>36320</v>
          </cell>
          <cell r="U43">
            <v>8.8987297855999987</v>
          </cell>
          <cell r="V43">
            <v>0</v>
          </cell>
          <cell r="W43">
            <v>0</v>
          </cell>
          <cell r="X43">
            <v>49030</v>
          </cell>
          <cell r="Y43">
            <v>12.012795192399999</v>
          </cell>
          <cell r="Z43">
            <v>0</v>
          </cell>
          <cell r="AA43">
            <v>0</v>
          </cell>
          <cell r="AB43">
            <v>1.3499449339207048</v>
          </cell>
          <cell r="AC43">
            <v>217920</v>
          </cell>
          <cell r="AD43">
            <v>53.392378713599996</v>
          </cell>
          <cell r="AE43">
            <v>0</v>
          </cell>
          <cell r="AF43">
            <v>0</v>
          </cell>
          <cell r="AG43">
            <v>6</v>
          </cell>
          <cell r="AH43">
            <v>294180</v>
          </cell>
          <cell r="AI43">
            <v>72.076771154399992</v>
          </cell>
          <cell r="AJ43">
            <v>0</v>
          </cell>
          <cell r="AK43">
            <v>0</v>
          </cell>
          <cell r="AL43">
            <v>6</v>
          </cell>
        </row>
        <row r="44">
          <cell r="B44" t="str">
            <v>Cameroon</v>
          </cell>
          <cell r="C44" t="str">
            <v>Africa</v>
          </cell>
          <cell r="F44" t="str">
            <v>XAF</v>
          </cell>
          <cell r="G44">
            <v>5400</v>
          </cell>
          <cell r="H44">
            <v>7290</v>
          </cell>
          <cell r="I44">
            <v>32400</v>
          </cell>
          <cell r="J44">
            <v>43740</v>
          </cell>
          <cell r="K44">
            <v>6</v>
          </cell>
          <cell r="L44">
            <v>6</v>
          </cell>
          <cell r="M44">
            <v>1.35</v>
          </cell>
          <cell r="N44">
            <v>1.6559773E-3</v>
          </cell>
          <cell r="O44">
            <v>8.9422774199999999</v>
          </cell>
          <cell r="P44">
            <v>12.072074517000001</v>
          </cell>
          <cell r="Q44">
            <v>53.65366452</v>
          </cell>
          <cell r="R44">
            <v>72.432447101999998</v>
          </cell>
          <cell r="S44" t="str">
            <v>Increase Reach</v>
          </cell>
          <cell r="T44">
            <v>5400</v>
          </cell>
          <cell r="U44">
            <v>8.9422774199999999</v>
          </cell>
          <cell r="V44">
            <v>0</v>
          </cell>
          <cell r="W44">
            <v>0</v>
          </cell>
          <cell r="X44">
            <v>7290</v>
          </cell>
          <cell r="Y44">
            <v>12.072074517000001</v>
          </cell>
          <cell r="Z44">
            <v>0</v>
          </cell>
          <cell r="AA44">
            <v>0</v>
          </cell>
          <cell r="AB44">
            <v>1.35</v>
          </cell>
          <cell r="AC44">
            <v>32400</v>
          </cell>
          <cell r="AD44">
            <v>53.65366452</v>
          </cell>
          <cell r="AE44">
            <v>0</v>
          </cell>
          <cell r="AF44">
            <v>0</v>
          </cell>
          <cell r="AG44">
            <v>6</v>
          </cell>
          <cell r="AH44">
            <v>43740</v>
          </cell>
          <cell r="AI44">
            <v>72.432447101999998</v>
          </cell>
          <cell r="AJ44">
            <v>0</v>
          </cell>
          <cell r="AK44">
            <v>0</v>
          </cell>
          <cell r="AL44">
            <v>6</v>
          </cell>
        </row>
        <row r="45">
          <cell r="B45" t="str">
            <v>Canada</v>
          </cell>
          <cell r="C45" t="str">
            <v>Canada</v>
          </cell>
          <cell r="D45" t="str">
            <v>T1</v>
          </cell>
          <cell r="F45" t="str">
            <v>CAD</v>
          </cell>
          <cell r="G45">
            <v>19.989999999999998</v>
          </cell>
          <cell r="H45">
            <v>25.99</v>
          </cell>
          <cell r="I45">
            <v>119.99</v>
          </cell>
          <cell r="J45">
            <v>179.99</v>
          </cell>
          <cell r="K45">
            <v>6.002501250625313</v>
          </cell>
          <cell r="L45">
            <v>6.9253559061177388</v>
          </cell>
          <cell r="M45">
            <v>1.3001500750375188</v>
          </cell>
          <cell r="N45">
            <v>0.74366032999999998</v>
          </cell>
          <cell r="O45">
            <v>14.865769996699999</v>
          </cell>
          <cell r="P45">
            <v>19.327731976699997</v>
          </cell>
          <cell r="Q45">
            <v>89.231802996699997</v>
          </cell>
          <cell r="R45">
            <v>133.85142279670001</v>
          </cell>
          <cell r="S45" t="str">
            <v>Maintain Balance</v>
          </cell>
          <cell r="T45">
            <v>19.989999999999998</v>
          </cell>
          <cell r="U45">
            <v>14.865769996699999</v>
          </cell>
          <cell r="V45">
            <v>0</v>
          </cell>
          <cell r="W45">
            <v>0</v>
          </cell>
          <cell r="X45">
            <v>27.99</v>
          </cell>
          <cell r="Y45">
            <v>20.815052636699999</v>
          </cell>
          <cell r="Z45">
            <v>2</v>
          </cell>
          <cell r="AA45">
            <v>7.6952674105425167E-2</v>
          </cell>
          <cell r="AB45">
            <v>1.400200100050025</v>
          </cell>
          <cell r="AC45">
            <v>129.99</v>
          </cell>
          <cell r="AD45">
            <v>96.668406296699999</v>
          </cell>
          <cell r="AE45">
            <v>10.000000000000014</v>
          </cell>
          <cell r="AF45">
            <v>8.3340278356529796E-2</v>
          </cell>
          <cell r="AG45">
            <v>6.5027513756878452</v>
          </cell>
          <cell r="AH45">
            <v>184.99</v>
          </cell>
          <cell r="AI45">
            <v>137.56972444670001</v>
          </cell>
          <cell r="AJ45">
            <v>5</v>
          </cell>
          <cell r="AK45">
            <v>2.7779321073392982E-2</v>
          </cell>
          <cell r="AL45">
            <v>6.6091461236155773</v>
          </cell>
        </row>
        <row r="46">
          <cell r="B46" t="str">
            <v>Cape Verde</v>
          </cell>
          <cell r="C46" t="str">
            <v>Africa</v>
          </cell>
          <cell r="F46" t="str">
            <v>CVE</v>
          </cell>
          <cell r="G46">
            <v>909</v>
          </cell>
          <cell r="H46">
            <v>1229</v>
          </cell>
          <cell r="I46">
            <v>5459</v>
          </cell>
          <cell r="J46">
            <v>7369</v>
          </cell>
          <cell r="K46">
            <v>6.0055005500550056</v>
          </cell>
          <cell r="L46">
            <v>5.9959316517493901</v>
          </cell>
          <cell r="M46">
            <v>1.352035203520352</v>
          </cell>
          <cell r="N46">
            <v>9.8219399999999995E-3</v>
          </cell>
          <cell r="O46">
            <v>8.9281434599999994</v>
          </cell>
          <cell r="P46">
            <v>12.07116426</v>
          </cell>
          <cell r="Q46">
            <v>53.617970459999995</v>
          </cell>
          <cell r="R46">
            <v>72.377875860000003</v>
          </cell>
          <cell r="S46" t="str">
            <v>Increase Reach</v>
          </cell>
          <cell r="T46">
            <v>909</v>
          </cell>
          <cell r="U46">
            <v>8.9281434599999994</v>
          </cell>
          <cell r="V46">
            <v>0</v>
          </cell>
          <cell r="W46">
            <v>0</v>
          </cell>
          <cell r="X46">
            <v>1229</v>
          </cell>
          <cell r="Y46">
            <v>12.07116426</v>
          </cell>
          <cell r="Z46">
            <v>0</v>
          </cell>
          <cell r="AA46">
            <v>0</v>
          </cell>
          <cell r="AB46">
            <v>1.352035203520352</v>
          </cell>
          <cell r="AC46">
            <v>5459</v>
          </cell>
          <cell r="AD46">
            <v>53.617970459999995</v>
          </cell>
          <cell r="AE46">
            <v>0</v>
          </cell>
          <cell r="AF46">
            <v>0</v>
          </cell>
          <cell r="AG46">
            <v>6.0055005500550056</v>
          </cell>
          <cell r="AH46">
            <v>7369</v>
          </cell>
          <cell r="AI46">
            <v>72.377875860000003</v>
          </cell>
          <cell r="AJ46">
            <v>0</v>
          </cell>
          <cell r="AK46">
            <v>0</v>
          </cell>
          <cell r="AL46">
            <v>5.9959316517493901</v>
          </cell>
        </row>
        <row r="47">
          <cell r="B47" t="str">
            <v>Cayman Islands</v>
          </cell>
          <cell r="C47" t="str">
            <v>Latin America</v>
          </cell>
          <cell r="F47" t="str">
            <v>USD</v>
          </cell>
          <cell r="G47">
            <v>11.99</v>
          </cell>
          <cell r="H47">
            <v>15.99</v>
          </cell>
          <cell r="I47">
            <v>71.989999999999995</v>
          </cell>
          <cell r="J47">
            <v>95.99</v>
          </cell>
          <cell r="K47">
            <v>6.0041701417848206</v>
          </cell>
          <cell r="L47">
            <v>6.0031269543464658</v>
          </cell>
          <cell r="M47">
            <v>1.3336113427856546</v>
          </cell>
          <cell r="N47">
            <v>1</v>
          </cell>
          <cell r="O47">
            <v>11.99</v>
          </cell>
          <cell r="P47">
            <v>15.99</v>
          </cell>
          <cell r="Q47">
            <v>71.989999999999995</v>
          </cell>
          <cell r="R47">
            <v>95.99</v>
          </cell>
          <cell r="S47" t="str">
            <v>Maintain Balance</v>
          </cell>
          <cell r="T47">
            <v>11.99</v>
          </cell>
          <cell r="U47">
            <v>11.99</v>
          </cell>
          <cell r="V47">
            <v>0</v>
          </cell>
          <cell r="W47">
            <v>0</v>
          </cell>
          <cell r="X47">
            <v>16.989999999999998</v>
          </cell>
          <cell r="Y47">
            <v>16.989999999999998</v>
          </cell>
          <cell r="Z47">
            <v>0.99999999999999822</v>
          </cell>
          <cell r="AA47">
            <v>6.2539086929330745E-2</v>
          </cell>
          <cell r="AB47">
            <v>1.4170141784820682</v>
          </cell>
          <cell r="AC47">
            <v>71.989999999999995</v>
          </cell>
          <cell r="AD47">
            <v>71.989999999999995</v>
          </cell>
          <cell r="AE47">
            <v>0</v>
          </cell>
          <cell r="AF47">
            <v>0</v>
          </cell>
          <cell r="AG47">
            <v>6.0041701417848206</v>
          </cell>
          <cell r="AH47">
            <v>102.99</v>
          </cell>
          <cell r="AI47">
            <v>102.99</v>
          </cell>
          <cell r="AJ47">
            <v>7</v>
          </cell>
          <cell r="AK47">
            <v>7.2924262944056739E-2</v>
          </cell>
          <cell r="AL47">
            <v>6.0618010594467338</v>
          </cell>
        </row>
        <row r="48">
          <cell r="B48" t="str">
            <v>Central African Republic</v>
          </cell>
          <cell r="C48" t="str">
            <v>Africa</v>
          </cell>
          <cell r="F48" t="str">
            <v>XAF</v>
          </cell>
          <cell r="G48">
            <v>5500</v>
          </cell>
          <cell r="H48">
            <v>7430</v>
          </cell>
          <cell r="I48">
            <v>33000</v>
          </cell>
          <cell r="J48">
            <v>44580</v>
          </cell>
          <cell r="K48">
            <v>6</v>
          </cell>
          <cell r="L48">
            <v>6</v>
          </cell>
          <cell r="M48">
            <v>1.3509090909090908</v>
          </cell>
          <cell r="N48">
            <v>1.6559773E-3</v>
          </cell>
          <cell r="O48">
            <v>9.1078751499999999</v>
          </cell>
          <cell r="P48">
            <v>12.303911338999999</v>
          </cell>
          <cell r="Q48">
            <v>54.647250900000003</v>
          </cell>
          <cell r="R48">
            <v>73.823468034000001</v>
          </cell>
          <cell r="S48" t="str">
            <v>Increase Reach</v>
          </cell>
          <cell r="T48">
            <v>5500</v>
          </cell>
          <cell r="U48">
            <v>9.1078751499999999</v>
          </cell>
          <cell r="V48">
            <v>0</v>
          </cell>
          <cell r="W48">
            <v>0</v>
          </cell>
          <cell r="X48">
            <v>7430</v>
          </cell>
          <cell r="Y48">
            <v>12.303911338999999</v>
          </cell>
          <cell r="Z48">
            <v>0</v>
          </cell>
          <cell r="AA48">
            <v>0</v>
          </cell>
          <cell r="AB48">
            <v>1.3509090909090908</v>
          </cell>
          <cell r="AC48">
            <v>33000</v>
          </cell>
          <cell r="AD48">
            <v>54.647250900000003</v>
          </cell>
          <cell r="AE48">
            <v>0</v>
          </cell>
          <cell r="AF48">
            <v>0</v>
          </cell>
          <cell r="AG48">
            <v>6</v>
          </cell>
          <cell r="AH48">
            <v>44580</v>
          </cell>
          <cell r="AI48">
            <v>73.823468034000001</v>
          </cell>
          <cell r="AJ48">
            <v>0</v>
          </cell>
          <cell r="AK48">
            <v>0</v>
          </cell>
          <cell r="AL48">
            <v>6</v>
          </cell>
        </row>
        <row r="49">
          <cell r="B49" t="str">
            <v>Chad</v>
          </cell>
          <cell r="C49" t="str">
            <v>Africa</v>
          </cell>
          <cell r="F49" t="str">
            <v>XAF</v>
          </cell>
          <cell r="G49">
            <v>5400</v>
          </cell>
          <cell r="H49">
            <v>7290</v>
          </cell>
          <cell r="I49">
            <v>32400</v>
          </cell>
          <cell r="J49">
            <v>43740</v>
          </cell>
          <cell r="K49">
            <v>6</v>
          </cell>
          <cell r="L49">
            <v>6</v>
          </cell>
          <cell r="M49">
            <v>1.35</v>
          </cell>
          <cell r="N49">
            <v>1.6559773E-3</v>
          </cell>
          <cell r="O49">
            <v>8.9422774199999999</v>
          </cell>
          <cell r="P49">
            <v>12.072074517000001</v>
          </cell>
          <cell r="Q49">
            <v>53.65366452</v>
          </cell>
          <cell r="R49">
            <v>72.432447101999998</v>
          </cell>
          <cell r="S49" t="str">
            <v>Increase Reach</v>
          </cell>
          <cell r="T49">
            <v>5400</v>
          </cell>
          <cell r="U49">
            <v>8.9422774199999999</v>
          </cell>
          <cell r="V49">
            <v>0</v>
          </cell>
          <cell r="W49">
            <v>0</v>
          </cell>
          <cell r="X49">
            <v>7290</v>
          </cell>
          <cell r="Y49">
            <v>12.072074517000001</v>
          </cell>
          <cell r="Z49">
            <v>0</v>
          </cell>
          <cell r="AA49">
            <v>0</v>
          </cell>
          <cell r="AB49">
            <v>1.35</v>
          </cell>
          <cell r="AC49">
            <v>32400</v>
          </cell>
          <cell r="AD49">
            <v>53.65366452</v>
          </cell>
          <cell r="AE49">
            <v>0</v>
          </cell>
          <cell r="AF49">
            <v>0</v>
          </cell>
          <cell r="AG49">
            <v>6</v>
          </cell>
          <cell r="AH49">
            <v>43740</v>
          </cell>
          <cell r="AI49">
            <v>72.432447101999998</v>
          </cell>
          <cell r="AJ49">
            <v>0</v>
          </cell>
          <cell r="AK49">
            <v>0</v>
          </cell>
          <cell r="AL49">
            <v>6</v>
          </cell>
        </row>
        <row r="50">
          <cell r="B50" t="str">
            <v>Chile</v>
          </cell>
          <cell r="C50" t="str">
            <v>Latin America</v>
          </cell>
          <cell r="D50" t="str">
            <v>T5</v>
          </cell>
          <cell r="F50" t="str">
            <v>CLP</v>
          </cell>
          <cell r="G50">
            <v>11800</v>
          </cell>
          <cell r="H50">
            <v>15340</v>
          </cell>
          <cell r="I50">
            <v>70800</v>
          </cell>
          <cell r="J50">
            <v>92040</v>
          </cell>
          <cell r="K50">
            <v>6</v>
          </cell>
          <cell r="L50">
            <v>6</v>
          </cell>
          <cell r="M50">
            <v>1.3</v>
          </cell>
          <cell r="N50">
            <v>1.0874944E-3</v>
          </cell>
          <cell r="O50">
            <v>12.83243392</v>
          </cell>
          <cell r="P50">
            <v>16.682164096000001</v>
          </cell>
          <cell r="Q50">
            <v>76.994603519999998</v>
          </cell>
          <cell r="R50">
            <v>100.09298457599999</v>
          </cell>
          <cell r="S50" t="str">
            <v>Maintain Balance</v>
          </cell>
          <cell r="T50">
            <v>11800</v>
          </cell>
          <cell r="U50">
            <v>12.83243392</v>
          </cell>
          <cell r="V50">
            <v>0</v>
          </cell>
          <cell r="W50">
            <v>0</v>
          </cell>
          <cell r="X50">
            <v>16900</v>
          </cell>
          <cell r="Y50">
            <v>18.37865536</v>
          </cell>
          <cell r="Z50">
            <v>1560</v>
          </cell>
          <cell r="AA50">
            <v>0.10169491525423724</v>
          </cell>
          <cell r="AB50">
            <v>1.4322033898305084</v>
          </cell>
          <cell r="AC50">
            <v>70800</v>
          </cell>
          <cell r="AD50">
            <v>76.994603519999998</v>
          </cell>
          <cell r="AE50">
            <v>0</v>
          </cell>
          <cell r="AF50">
            <v>0</v>
          </cell>
          <cell r="AG50">
            <v>6</v>
          </cell>
          <cell r="AH50">
            <v>101400</v>
          </cell>
          <cell r="AI50">
            <v>110.27193215999999</v>
          </cell>
          <cell r="AJ50">
            <v>9360</v>
          </cell>
          <cell r="AK50">
            <v>0.10169491525423724</v>
          </cell>
          <cell r="AL50">
            <v>6</v>
          </cell>
        </row>
        <row r="51">
          <cell r="B51" t="str">
            <v>Christmas Island</v>
          </cell>
          <cell r="C51" t="str">
            <v>Asia</v>
          </cell>
          <cell r="F51" t="str">
            <v>AUD</v>
          </cell>
          <cell r="G51">
            <v>12.99</v>
          </cell>
          <cell r="H51">
            <v>17.989999999999998</v>
          </cell>
          <cell r="I51">
            <v>77.989999999999995</v>
          </cell>
          <cell r="J51">
            <v>107.99</v>
          </cell>
          <cell r="K51">
            <v>6.0038491147036179</v>
          </cell>
          <cell r="L51">
            <v>6.0027793218454697</v>
          </cell>
          <cell r="M51">
            <v>1.3849114703618166</v>
          </cell>
          <cell r="N51">
            <v>0.65905000000000002</v>
          </cell>
          <cell r="O51">
            <v>8.5610595000000007</v>
          </cell>
          <cell r="P51">
            <v>11.8563095</v>
          </cell>
          <cell r="Q51">
            <v>51.399309500000001</v>
          </cell>
          <cell r="R51">
            <v>71.170809500000004</v>
          </cell>
          <cell r="S51" t="str">
            <v>Increase Reach</v>
          </cell>
          <cell r="T51">
            <v>12.99</v>
          </cell>
          <cell r="U51">
            <v>8.5610595000000007</v>
          </cell>
          <cell r="V51">
            <v>0</v>
          </cell>
          <cell r="W51">
            <v>0</v>
          </cell>
          <cell r="X51">
            <v>17.989999999999998</v>
          </cell>
          <cell r="Y51">
            <v>11.8563095</v>
          </cell>
          <cell r="Z51">
            <v>0</v>
          </cell>
          <cell r="AA51">
            <v>0</v>
          </cell>
          <cell r="AB51">
            <v>1.3849114703618166</v>
          </cell>
          <cell r="AC51">
            <v>77.989999999999995</v>
          </cell>
          <cell r="AD51">
            <v>51.399309500000001</v>
          </cell>
          <cell r="AE51">
            <v>0</v>
          </cell>
          <cell r="AF51">
            <v>0</v>
          </cell>
          <cell r="AG51">
            <v>6.0038491147036179</v>
          </cell>
          <cell r="AH51">
            <v>107.99</v>
          </cell>
          <cell r="AI51">
            <v>71.170809500000004</v>
          </cell>
          <cell r="AJ51">
            <v>0</v>
          </cell>
          <cell r="AK51">
            <v>0</v>
          </cell>
          <cell r="AL51">
            <v>6.0027793218454697</v>
          </cell>
        </row>
        <row r="52">
          <cell r="B52" t="str">
            <v>Cocos (Keeling) Island</v>
          </cell>
          <cell r="C52" t="str">
            <v>Asia</v>
          </cell>
          <cell r="F52" t="str">
            <v>AUD</v>
          </cell>
          <cell r="G52">
            <v>19.989999999999998</v>
          </cell>
          <cell r="H52">
            <v>26.99</v>
          </cell>
          <cell r="I52">
            <v>119.99</v>
          </cell>
          <cell r="J52">
            <v>161.99</v>
          </cell>
          <cell r="K52">
            <v>6.002501250625313</v>
          </cell>
          <cell r="L52">
            <v>6.0018525379770296</v>
          </cell>
          <cell r="M52">
            <v>1.3501750875437719</v>
          </cell>
          <cell r="N52">
            <v>0.65905000000000002</v>
          </cell>
          <cell r="O52">
            <v>13.174409499999999</v>
          </cell>
          <cell r="P52">
            <v>17.7877595</v>
          </cell>
          <cell r="Q52">
            <v>79.079409499999997</v>
          </cell>
          <cell r="R52">
            <v>106.75950950000001</v>
          </cell>
          <cell r="S52" t="str">
            <v>Increase Reach</v>
          </cell>
          <cell r="T52">
            <v>19.989999999999998</v>
          </cell>
          <cell r="U52">
            <v>13.174409499999999</v>
          </cell>
          <cell r="V52">
            <v>0</v>
          </cell>
          <cell r="W52">
            <v>0</v>
          </cell>
          <cell r="X52">
            <v>26.99</v>
          </cell>
          <cell r="Y52">
            <v>17.7877595</v>
          </cell>
          <cell r="Z52">
            <v>0</v>
          </cell>
          <cell r="AA52">
            <v>0</v>
          </cell>
          <cell r="AB52">
            <v>1.3501750875437719</v>
          </cell>
          <cell r="AC52">
            <v>119.99</v>
          </cell>
          <cell r="AD52">
            <v>79.079409499999997</v>
          </cell>
          <cell r="AE52">
            <v>0</v>
          </cell>
          <cell r="AF52">
            <v>0</v>
          </cell>
          <cell r="AG52">
            <v>6.002501250625313</v>
          </cell>
          <cell r="AH52">
            <v>161.99</v>
          </cell>
          <cell r="AI52">
            <v>106.75950950000001</v>
          </cell>
          <cell r="AJ52">
            <v>0</v>
          </cell>
          <cell r="AK52">
            <v>0</v>
          </cell>
          <cell r="AL52">
            <v>6.0018525379770296</v>
          </cell>
        </row>
        <row r="53">
          <cell r="B53" t="str">
            <v>Colombia</v>
          </cell>
          <cell r="C53" t="str">
            <v>Latin America</v>
          </cell>
          <cell r="D53" t="str">
            <v>S</v>
          </cell>
          <cell r="E53" t="str">
            <v>x</v>
          </cell>
          <cell r="F53" t="str">
            <v>COP</v>
          </cell>
          <cell r="G53">
            <v>37700</v>
          </cell>
          <cell r="H53">
            <v>50900</v>
          </cell>
          <cell r="I53">
            <v>226200</v>
          </cell>
          <cell r="J53">
            <v>305400</v>
          </cell>
          <cell r="K53">
            <v>6</v>
          </cell>
          <cell r="L53">
            <v>6</v>
          </cell>
          <cell r="M53">
            <v>1.3501326259946949</v>
          </cell>
          <cell r="N53">
            <v>2.5543110000000001E-4</v>
          </cell>
          <cell r="O53">
            <v>9.6297524699999997</v>
          </cell>
          <cell r="P53">
            <v>13.001442990000001</v>
          </cell>
          <cell r="Q53">
            <v>57.778514820000005</v>
          </cell>
          <cell r="R53">
            <v>78.008657940000006</v>
          </cell>
          <cell r="S53" t="str">
            <v>Increase Reach</v>
          </cell>
          <cell r="T53">
            <v>37700</v>
          </cell>
          <cell r="U53">
            <v>9.6297524699999997</v>
          </cell>
          <cell r="V53">
            <v>0</v>
          </cell>
          <cell r="W53">
            <v>0</v>
          </cell>
          <cell r="X53">
            <v>50900</v>
          </cell>
          <cell r="Y53">
            <v>13.001442990000001</v>
          </cell>
          <cell r="Z53">
            <v>0</v>
          </cell>
          <cell r="AA53">
            <v>0</v>
          </cell>
          <cell r="AB53">
            <v>1.3501326259946949</v>
          </cell>
          <cell r="AC53">
            <v>226200</v>
          </cell>
          <cell r="AD53">
            <v>57.778514820000005</v>
          </cell>
          <cell r="AE53">
            <v>0</v>
          </cell>
          <cell r="AF53">
            <v>0</v>
          </cell>
          <cell r="AG53">
            <v>6</v>
          </cell>
          <cell r="AH53">
            <v>305400</v>
          </cell>
          <cell r="AI53">
            <v>78.008657940000006</v>
          </cell>
          <cell r="AJ53">
            <v>0</v>
          </cell>
          <cell r="AK53">
            <v>0</v>
          </cell>
          <cell r="AL53">
            <v>6</v>
          </cell>
        </row>
        <row r="54">
          <cell r="B54" t="str">
            <v>Comoros</v>
          </cell>
          <cell r="C54" t="str">
            <v>Africa</v>
          </cell>
          <cell r="F54" t="str">
            <v>KMF</v>
          </cell>
          <cell r="G54">
            <v>4100</v>
          </cell>
          <cell r="H54">
            <v>5540</v>
          </cell>
          <cell r="I54">
            <v>24600</v>
          </cell>
          <cell r="J54">
            <v>33240</v>
          </cell>
          <cell r="K54">
            <v>6</v>
          </cell>
          <cell r="L54">
            <v>6</v>
          </cell>
          <cell r="M54">
            <v>1.351219512195122</v>
          </cell>
          <cell r="N54">
            <v>2.2079698E-3</v>
          </cell>
          <cell r="O54">
            <v>9.0526761800000006</v>
          </cell>
          <cell r="P54">
            <v>12.232152692</v>
          </cell>
          <cell r="Q54">
            <v>54.31605708</v>
          </cell>
          <cell r="R54">
            <v>73.392916151999998</v>
          </cell>
          <cell r="S54" t="str">
            <v>Increase Reach</v>
          </cell>
          <cell r="T54">
            <v>4100</v>
          </cell>
          <cell r="U54">
            <v>9.0526761800000006</v>
          </cell>
          <cell r="V54">
            <v>0</v>
          </cell>
          <cell r="W54">
            <v>0</v>
          </cell>
          <cell r="X54">
            <v>5540</v>
          </cell>
          <cell r="Y54">
            <v>12.232152692</v>
          </cell>
          <cell r="Z54">
            <v>0</v>
          </cell>
          <cell r="AA54">
            <v>0</v>
          </cell>
          <cell r="AB54">
            <v>1.351219512195122</v>
          </cell>
          <cell r="AC54">
            <v>24600</v>
          </cell>
          <cell r="AD54">
            <v>54.31605708</v>
          </cell>
          <cell r="AE54">
            <v>0</v>
          </cell>
          <cell r="AF54">
            <v>0</v>
          </cell>
          <cell r="AG54">
            <v>6</v>
          </cell>
          <cell r="AH54">
            <v>33240</v>
          </cell>
          <cell r="AI54">
            <v>73.392916151999998</v>
          </cell>
          <cell r="AJ54">
            <v>0</v>
          </cell>
          <cell r="AK54">
            <v>0</v>
          </cell>
          <cell r="AL54">
            <v>6</v>
          </cell>
        </row>
        <row r="55">
          <cell r="B55" t="str">
            <v>Congo</v>
          </cell>
          <cell r="C55" t="str">
            <v>Africa</v>
          </cell>
          <cell r="F55" t="str">
            <v>XAF</v>
          </cell>
          <cell r="G55">
            <v>5400</v>
          </cell>
          <cell r="H55">
            <v>7290</v>
          </cell>
          <cell r="I55">
            <v>32400</v>
          </cell>
          <cell r="J55">
            <v>43740</v>
          </cell>
          <cell r="K55">
            <v>6</v>
          </cell>
          <cell r="L55">
            <v>6</v>
          </cell>
          <cell r="M55">
            <v>1.35</v>
          </cell>
          <cell r="N55">
            <v>1.6559773E-3</v>
          </cell>
          <cell r="O55">
            <v>8.9422774199999999</v>
          </cell>
          <cell r="P55">
            <v>12.072074517000001</v>
          </cell>
          <cell r="Q55">
            <v>53.65366452</v>
          </cell>
          <cell r="R55">
            <v>72.432447101999998</v>
          </cell>
          <cell r="S55" t="str">
            <v>Increase Reach</v>
          </cell>
          <cell r="T55">
            <v>5400</v>
          </cell>
          <cell r="U55">
            <v>8.9422774199999999</v>
          </cell>
          <cell r="V55">
            <v>0</v>
          </cell>
          <cell r="W55">
            <v>0</v>
          </cell>
          <cell r="X55">
            <v>7290</v>
          </cell>
          <cell r="Y55">
            <v>12.072074517000001</v>
          </cell>
          <cell r="Z55">
            <v>0</v>
          </cell>
          <cell r="AA55">
            <v>0</v>
          </cell>
          <cell r="AB55">
            <v>1.35</v>
          </cell>
          <cell r="AC55">
            <v>32400</v>
          </cell>
          <cell r="AD55">
            <v>53.65366452</v>
          </cell>
          <cell r="AE55">
            <v>0</v>
          </cell>
          <cell r="AF55">
            <v>0</v>
          </cell>
          <cell r="AG55">
            <v>6</v>
          </cell>
          <cell r="AH55">
            <v>43740</v>
          </cell>
          <cell r="AI55">
            <v>72.432447101999998</v>
          </cell>
          <cell r="AJ55">
            <v>0</v>
          </cell>
          <cell r="AK55">
            <v>0</v>
          </cell>
          <cell r="AL55">
            <v>6</v>
          </cell>
        </row>
        <row r="56">
          <cell r="B56" t="str">
            <v>Cook Islands</v>
          </cell>
          <cell r="C56" t="str">
            <v>Asia</v>
          </cell>
          <cell r="F56" t="str">
            <v>NZD</v>
          </cell>
          <cell r="G56">
            <v>24.99</v>
          </cell>
          <cell r="H56">
            <v>33.99</v>
          </cell>
          <cell r="I56">
            <v>149.99</v>
          </cell>
          <cell r="J56">
            <v>203.99</v>
          </cell>
          <cell r="K56">
            <v>6.0020008003201291</v>
          </cell>
          <cell r="L56">
            <v>6.0014710208884967</v>
          </cell>
          <cell r="M56">
            <v>1.3601440576230495</v>
          </cell>
          <cell r="N56">
            <v>0.61045000000000005</v>
          </cell>
          <cell r="O56">
            <v>15.255145500000001</v>
          </cell>
          <cell r="P56">
            <v>20.749195500000003</v>
          </cell>
          <cell r="Q56">
            <v>91.561395500000017</v>
          </cell>
          <cell r="R56">
            <v>124.52569550000001</v>
          </cell>
          <cell r="S56" t="str">
            <v>Increase Reach</v>
          </cell>
          <cell r="T56">
            <v>24.99</v>
          </cell>
          <cell r="U56">
            <v>15.255145500000001</v>
          </cell>
          <cell r="V56">
            <v>0</v>
          </cell>
          <cell r="W56">
            <v>0</v>
          </cell>
          <cell r="X56">
            <v>33.99</v>
          </cell>
          <cell r="Y56">
            <v>20.749195500000003</v>
          </cell>
          <cell r="Z56">
            <v>0</v>
          </cell>
          <cell r="AA56">
            <v>0</v>
          </cell>
          <cell r="AB56">
            <v>1.3601440576230495</v>
          </cell>
          <cell r="AC56">
            <v>149.99</v>
          </cell>
          <cell r="AD56">
            <v>91.561395500000017</v>
          </cell>
          <cell r="AE56">
            <v>0</v>
          </cell>
          <cell r="AF56">
            <v>0</v>
          </cell>
          <cell r="AG56">
            <v>6.0020008003201291</v>
          </cell>
          <cell r="AH56">
            <v>203.99</v>
          </cell>
          <cell r="AI56">
            <v>124.52569550000001</v>
          </cell>
          <cell r="AJ56">
            <v>0</v>
          </cell>
          <cell r="AK56">
            <v>0</v>
          </cell>
          <cell r="AL56">
            <v>6.0014710208884967</v>
          </cell>
        </row>
        <row r="57">
          <cell r="B57" t="str">
            <v>Costa Rica</v>
          </cell>
          <cell r="C57" t="str">
            <v>Latin America</v>
          </cell>
          <cell r="F57" t="str">
            <v>CRC</v>
          </cell>
          <cell r="G57">
            <v>10000</v>
          </cell>
          <cell r="H57">
            <v>13000</v>
          </cell>
          <cell r="I57">
            <v>60000</v>
          </cell>
          <cell r="J57">
            <v>78000</v>
          </cell>
          <cell r="K57">
            <v>6</v>
          </cell>
          <cell r="L57">
            <v>6</v>
          </cell>
          <cell r="M57">
            <v>1.3</v>
          </cell>
          <cell r="N57">
            <v>1.9453739999999999E-3</v>
          </cell>
          <cell r="O57">
            <v>19.45374</v>
          </cell>
          <cell r="P57">
            <v>25.289861999999999</v>
          </cell>
          <cell r="Q57">
            <v>116.72243999999999</v>
          </cell>
          <cell r="R57">
            <v>151.739172</v>
          </cell>
          <cell r="S57" t="str">
            <v>Increase Reach</v>
          </cell>
          <cell r="T57">
            <v>10000</v>
          </cell>
          <cell r="U57">
            <v>19.45374</v>
          </cell>
          <cell r="V57">
            <v>0</v>
          </cell>
          <cell r="W57">
            <v>0</v>
          </cell>
          <cell r="X57">
            <v>13000</v>
          </cell>
          <cell r="Y57">
            <v>25.289861999999999</v>
          </cell>
          <cell r="Z57">
            <v>0</v>
          </cell>
          <cell r="AA57">
            <v>0</v>
          </cell>
          <cell r="AB57">
            <v>1.3</v>
          </cell>
          <cell r="AC57">
            <v>60000</v>
          </cell>
          <cell r="AD57">
            <v>116.72243999999999</v>
          </cell>
          <cell r="AE57">
            <v>0</v>
          </cell>
          <cell r="AF57">
            <v>0</v>
          </cell>
          <cell r="AG57">
            <v>6</v>
          </cell>
          <cell r="AH57">
            <v>78000</v>
          </cell>
          <cell r="AI57">
            <v>151.739172</v>
          </cell>
          <cell r="AJ57">
            <v>0</v>
          </cell>
          <cell r="AK57">
            <v>0</v>
          </cell>
          <cell r="AL57">
            <v>6</v>
          </cell>
        </row>
        <row r="58">
          <cell r="B58" t="str">
            <v>Cote D'Ivoire</v>
          </cell>
          <cell r="C58" t="str">
            <v>Africa</v>
          </cell>
          <cell r="F58" t="str">
            <v>XOF</v>
          </cell>
          <cell r="G58">
            <v>5500</v>
          </cell>
          <cell r="H58">
            <v>7430</v>
          </cell>
          <cell r="I58">
            <v>33000</v>
          </cell>
          <cell r="J58">
            <v>44580</v>
          </cell>
          <cell r="K58">
            <v>6</v>
          </cell>
          <cell r="L58">
            <v>6</v>
          </cell>
          <cell r="M58">
            <v>1.3509090909090908</v>
          </cell>
          <cell r="N58">
            <v>1.6559773E-3</v>
          </cell>
          <cell r="O58">
            <v>9.1078751499999999</v>
          </cell>
          <cell r="P58">
            <v>12.303911338999999</v>
          </cell>
          <cell r="Q58">
            <v>54.647250900000003</v>
          </cell>
          <cell r="R58">
            <v>73.823468034000001</v>
          </cell>
          <cell r="S58" t="str">
            <v>Increase Reach</v>
          </cell>
          <cell r="T58">
            <v>5500</v>
          </cell>
          <cell r="U58">
            <v>9.1078751499999999</v>
          </cell>
          <cell r="V58">
            <v>0</v>
          </cell>
          <cell r="W58">
            <v>0</v>
          </cell>
          <cell r="X58">
            <v>7430</v>
          </cell>
          <cell r="Y58">
            <v>12.303911338999999</v>
          </cell>
          <cell r="Z58">
            <v>0</v>
          </cell>
          <cell r="AA58">
            <v>0</v>
          </cell>
          <cell r="AB58">
            <v>1.3509090909090908</v>
          </cell>
          <cell r="AC58">
            <v>33000</v>
          </cell>
          <cell r="AD58">
            <v>54.647250900000003</v>
          </cell>
          <cell r="AE58">
            <v>0</v>
          </cell>
          <cell r="AF58">
            <v>0</v>
          </cell>
          <cell r="AG58">
            <v>6</v>
          </cell>
          <cell r="AH58">
            <v>44580</v>
          </cell>
          <cell r="AI58">
            <v>73.823468034000001</v>
          </cell>
          <cell r="AJ58">
            <v>0</v>
          </cell>
          <cell r="AK58">
            <v>0</v>
          </cell>
          <cell r="AL58">
            <v>6</v>
          </cell>
        </row>
        <row r="59">
          <cell r="B59" t="str">
            <v>Croatia</v>
          </cell>
          <cell r="C59" t="str">
            <v>Europe</v>
          </cell>
          <cell r="F59" t="str">
            <v>EUR</v>
          </cell>
          <cell r="G59">
            <v>9.99</v>
          </cell>
          <cell r="H59">
            <v>14.99</v>
          </cell>
          <cell r="I59">
            <v>59.99</v>
          </cell>
          <cell r="J59">
            <v>89.99</v>
          </cell>
          <cell r="K59">
            <v>6.005005005005005</v>
          </cell>
          <cell r="L59">
            <v>6.0033355570380253</v>
          </cell>
          <cell r="M59">
            <v>1.5005005005005005</v>
          </cell>
          <cell r="N59">
            <v>1.0862499999999999</v>
          </cell>
          <cell r="O59">
            <v>10.851637499999999</v>
          </cell>
          <cell r="P59">
            <v>16.282887500000001</v>
          </cell>
          <cell r="Q59">
            <v>65.164137499999995</v>
          </cell>
          <cell r="R59">
            <v>97.751637499999987</v>
          </cell>
          <cell r="S59" t="str">
            <v>Increase ARPU - Maintaining LPP Ratio</v>
          </cell>
          <cell r="T59">
            <v>11.99</v>
          </cell>
          <cell r="U59">
            <v>13.0241375</v>
          </cell>
          <cell r="V59">
            <v>2</v>
          </cell>
          <cell r="W59">
            <v>0.20020020020020013</v>
          </cell>
          <cell r="X59">
            <v>17.989999999999998</v>
          </cell>
          <cell r="Y59">
            <v>19.541637499999997</v>
          </cell>
          <cell r="Z59">
            <v>2.9999999999999982</v>
          </cell>
          <cell r="AA59">
            <v>0.20013342228152098</v>
          </cell>
          <cell r="AB59">
            <v>1.5004170141784818</v>
          </cell>
          <cell r="AC59">
            <v>71.989999999999995</v>
          </cell>
          <cell r="AD59">
            <v>78.199137499999992</v>
          </cell>
          <cell r="AE59">
            <v>11.999999999999993</v>
          </cell>
          <cell r="AF59">
            <v>0.20003333888981478</v>
          </cell>
          <cell r="AG59">
            <v>6.0041701417848206</v>
          </cell>
          <cell r="AH59">
            <v>107.99</v>
          </cell>
          <cell r="AI59">
            <v>117.30413749999998</v>
          </cell>
          <cell r="AJ59">
            <v>18</v>
          </cell>
          <cell r="AK59">
            <v>0.20002222469163233</v>
          </cell>
          <cell r="AL59">
            <v>6.0027793218454697</v>
          </cell>
        </row>
        <row r="60">
          <cell r="B60" t="str">
            <v>Curacao</v>
          </cell>
          <cell r="C60" t="str">
            <v>Latin America</v>
          </cell>
          <cell r="F60" t="str">
            <v>ANG</v>
          </cell>
          <cell r="G60">
            <v>20.99</v>
          </cell>
          <cell r="H60">
            <v>27.99</v>
          </cell>
          <cell r="I60">
            <v>125.99</v>
          </cell>
          <cell r="J60">
            <v>167.99</v>
          </cell>
          <cell r="K60">
            <v>6.0023820867079563</v>
          </cell>
          <cell r="L60">
            <v>6.0017863522686676</v>
          </cell>
          <cell r="M60">
            <v>1.3334921391138637</v>
          </cell>
          <cell r="N60">
            <v>0.55865925999999999</v>
          </cell>
          <cell r="O60">
            <v>11.726257867399999</v>
          </cell>
          <cell r="P60">
            <v>15.636872687399999</v>
          </cell>
          <cell r="Q60">
            <v>70.38548016739999</v>
          </cell>
          <cell r="R60">
            <v>93.8491690874</v>
          </cell>
          <cell r="S60" t="str">
            <v>Increase Reach</v>
          </cell>
          <cell r="T60">
            <v>20.99</v>
          </cell>
          <cell r="U60">
            <v>11.726257867399999</v>
          </cell>
          <cell r="V60">
            <v>0</v>
          </cell>
          <cell r="W60">
            <v>0</v>
          </cell>
          <cell r="X60">
            <v>27.99</v>
          </cell>
          <cell r="Y60">
            <v>15.636872687399999</v>
          </cell>
          <cell r="Z60">
            <v>0</v>
          </cell>
          <cell r="AA60">
            <v>0</v>
          </cell>
          <cell r="AB60">
            <v>1.3334921391138637</v>
          </cell>
          <cell r="AC60">
            <v>125.99</v>
          </cell>
          <cell r="AD60">
            <v>70.38548016739999</v>
          </cell>
          <cell r="AE60">
            <v>0</v>
          </cell>
          <cell r="AF60">
            <v>0</v>
          </cell>
          <cell r="AG60">
            <v>6.0023820867079563</v>
          </cell>
          <cell r="AH60">
            <v>167.99</v>
          </cell>
          <cell r="AI60">
            <v>93.8491690874</v>
          </cell>
          <cell r="AJ60">
            <v>0</v>
          </cell>
          <cell r="AK60">
            <v>0</v>
          </cell>
          <cell r="AL60">
            <v>6.0017863522686676</v>
          </cell>
        </row>
        <row r="61">
          <cell r="B61" t="str">
            <v>Cyprus</v>
          </cell>
          <cell r="C61" t="str">
            <v>Europe</v>
          </cell>
          <cell r="F61" t="str">
            <v>EUR</v>
          </cell>
          <cell r="G61">
            <v>9.99</v>
          </cell>
          <cell r="H61">
            <v>12.99</v>
          </cell>
          <cell r="I61">
            <v>69.989999999999995</v>
          </cell>
          <cell r="J61">
            <v>89.99</v>
          </cell>
          <cell r="K61">
            <v>7.0060060060060056</v>
          </cell>
          <cell r="L61">
            <v>6.9276366435719776</v>
          </cell>
          <cell r="M61">
            <v>1.3003003003003002</v>
          </cell>
          <cell r="N61">
            <v>1.0862499999999999</v>
          </cell>
          <cell r="O61">
            <v>10.851637499999999</v>
          </cell>
          <cell r="P61">
            <v>14.1103875</v>
          </cell>
          <cell r="Q61">
            <v>76.026637499999993</v>
          </cell>
          <cell r="R61">
            <v>97.751637499999987</v>
          </cell>
          <cell r="S61" t="str">
            <v>Increase Reach</v>
          </cell>
          <cell r="T61">
            <v>9.99</v>
          </cell>
          <cell r="U61">
            <v>10.851637499999999</v>
          </cell>
          <cell r="V61">
            <v>0</v>
          </cell>
          <cell r="W61">
            <v>0</v>
          </cell>
          <cell r="X61">
            <v>12.99</v>
          </cell>
          <cell r="Y61">
            <v>14.1103875</v>
          </cell>
          <cell r="Z61">
            <v>0</v>
          </cell>
          <cell r="AA61">
            <v>0</v>
          </cell>
          <cell r="AB61">
            <v>1.3003003003003002</v>
          </cell>
          <cell r="AC61">
            <v>69.989999999999995</v>
          </cell>
          <cell r="AD61">
            <v>76.026637499999993</v>
          </cell>
          <cell r="AE61">
            <v>0</v>
          </cell>
          <cell r="AF61">
            <v>0</v>
          </cell>
          <cell r="AG61">
            <v>7.0060060060060056</v>
          </cell>
          <cell r="AH61">
            <v>89.99</v>
          </cell>
          <cell r="AI61">
            <v>97.751637499999987</v>
          </cell>
          <cell r="AJ61">
            <v>0</v>
          </cell>
          <cell r="AK61">
            <v>0</v>
          </cell>
          <cell r="AL61">
            <v>6.9276366435719776</v>
          </cell>
        </row>
        <row r="62">
          <cell r="B62" t="str">
            <v>Czech Republic</v>
          </cell>
          <cell r="C62" t="str">
            <v>Europe</v>
          </cell>
          <cell r="F62" t="str">
            <v>CZK</v>
          </cell>
          <cell r="G62">
            <v>399.99</v>
          </cell>
          <cell r="H62">
            <v>519.99</v>
          </cell>
          <cell r="I62">
            <v>2399.9899999999998</v>
          </cell>
          <cell r="J62">
            <v>3599.99</v>
          </cell>
          <cell r="K62">
            <v>6.0001250031250777</v>
          </cell>
          <cell r="L62">
            <v>6.9231908305928958</v>
          </cell>
          <cell r="M62">
            <v>1.3000075001875047</v>
          </cell>
          <cell r="N62">
            <v>4.3884479999999997E-2</v>
          </cell>
          <cell r="O62">
            <v>17.5533531552</v>
          </cell>
          <cell r="P62">
            <v>22.8194907552</v>
          </cell>
          <cell r="Q62">
            <v>105.32231315519998</v>
          </cell>
          <cell r="R62">
            <v>157.98368915519998</v>
          </cell>
          <cell r="S62" t="str">
            <v>Maintain Balance</v>
          </cell>
          <cell r="T62">
            <v>399.99</v>
          </cell>
          <cell r="U62">
            <v>17.5533531552</v>
          </cell>
          <cell r="V62">
            <v>0</v>
          </cell>
          <cell r="W62">
            <v>0</v>
          </cell>
          <cell r="X62">
            <v>549.99</v>
          </cell>
          <cell r="Y62">
            <v>24.136025155199999</v>
          </cell>
          <cell r="Z62">
            <v>30</v>
          </cell>
          <cell r="AA62">
            <v>5.769341718109966E-2</v>
          </cell>
          <cell r="AB62">
            <v>1.3750093752343808</v>
          </cell>
          <cell r="AC62">
            <v>2399.9899999999998</v>
          </cell>
          <cell r="AD62">
            <v>105.32231315519998</v>
          </cell>
          <cell r="AE62">
            <v>0</v>
          </cell>
          <cell r="AF62">
            <v>0</v>
          </cell>
          <cell r="AG62">
            <v>6.0001250031250777</v>
          </cell>
          <cell r="AH62">
            <v>3599.99</v>
          </cell>
          <cell r="AI62">
            <v>157.98368915519998</v>
          </cell>
          <cell r="AJ62">
            <v>0</v>
          </cell>
          <cell r="AK62">
            <v>0</v>
          </cell>
          <cell r="AL62">
            <v>6.545555373734067</v>
          </cell>
        </row>
        <row r="63">
          <cell r="B63" t="str">
            <v>Democratic Republic of Congo</v>
          </cell>
          <cell r="C63" t="str">
            <v>Africa</v>
          </cell>
          <cell r="F63" t="str">
            <v>USD</v>
          </cell>
          <cell r="G63">
            <v>8.99</v>
          </cell>
          <cell r="H63">
            <v>11.99</v>
          </cell>
          <cell r="I63">
            <v>53.99</v>
          </cell>
          <cell r="J63">
            <v>71.989999999999995</v>
          </cell>
          <cell r="K63">
            <v>6.0055617352614012</v>
          </cell>
          <cell r="L63">
            <v>6.0041701417848206</v>
          </cell>
          <cell r="M63">
            <v>1.3337041156840934</v>
          </cell>
          <cell r="N63">
            <v>1</v>
          </cell>
          <cell r="O63">
            <v>8.99</v>
          </cell>
          <cell r="P63">
            <v>11.99</v>
          </cell>
          <cell r="Q63">
            <v>53.99</v>
          </cell>
          <cell r="R63">
            <v>71.989999999999995</v>
          </cell>
          <cell r="S63" t="str">
            <v>Increase Reach</v>
          </cell>
          <cell r="T63">
            <v>8.99</v>
          </cell>
          <cell r="U63">
            <v>8.99</v>
          </cell>
          <cell r="V63">
            <v>0</v>
          </cell>
          <cell r="W63">
            <v>0</v>
          </cell>
          <cell r="X63">
            <v>11.99</v>
          </cell>
          <cell r="Y63">
            <v>11.99</v>
          </cell>
          <cell r="Z63">
            <v>0</v>
          </cell>
          <cell r="AA63">
            <v>0</v>
          </cell>
          <cell r="AB63">
            <v>1.3337041156840934</v>
          </cell>
          <cell r="AC63">
            <v>53.99</v>
          </cell>
          <cell r="AD63">
            <v>53.99</v>
          </cell>
          <cell r="AE63">
            <v>0</v>
          </cell>
          <cell r="AF63">
            <v>0</v>
          </cell>
          <cell r="AG63">
            <v>6.0055617352614012</v>
          </cell>
          <cell r="AH63">
            <v>71.989999999999995</v>
          </cell>
          <cell r="AI63">
            <v>71.989999999999995</v>
          </cell>
          <cell r="AJ63">
            <v>0</v>
          </cell>
          <cell r="AK63">
            <v>0</v>
          </cell>
          <cell r="AL63">
            <v>6.0041701417848206</v>
          </cell>
        </row>
        <row r="64">
          <cell r="B64" t="str">
            <v>Denmark</v>
          </cell>
          <cell r="C64" t="str">
            <v>Europe</v>
          </cell>
          <cell r="E64" t="str">
            <v>x</v>
          </cell>
          <cell r="F64" t="str">
            <v>DKK</v>
          </cell>
          <cell r="G64">
            <v>139.99</v>
          </cell>
          <cell r="H64">
            <v>189.99</v>
          </cell>
          <cell r="I64">
            <v>899.99</v>
          </cell>
          <cell r="J64">
            <v>1139.99</v>
          </cell>
          <cell r="K64">
            <v>6.4289592113722405</v>
          </cell>
          <cell r="L64">
            <v>6.000263171745881</v>
          </cell>
          <cell r="M64">
            <v>1.3571683691692265</v>
          </cell>
          <cell r="N64">
            <v>0.14573116999999999</v>
          </cell>
          <cell r="O64">
            <v>20.400906488299999</v>
          </cell>
          <cell r="P64">
            <v>27.6874649883</v>
          </cell>
          <cell r="Q64">
            <v>131.1565956883</v>
          </cell>
          <cell r="R64">
            <v>166.13207648829999</v>
          </cell>
          <cell r="S64" t="str">
            <v>Maintain Balance</v>
          </cell>
          <cell r="T64">
            <v>139.99</v>
          </cell>
          <cell r="U64">
            <v>20.400906488299999</v>
          </cell>
          <cell r="V64">
            <v>0</v>
          </cell>
          <cell r="W64">
            <v>0</v>
          </cell>
          <cell r="X64">
            <v>199.99</v>
          </cell>
          <cell r="Y64">
            <v>29.144776688299999</v>
          </cell>
          <cell r="Z64">
            <v>10</v>
          </cell>
          <cell r="AA64">
            <v>5.263434917627241E-2</v>
          </cell>
          <cell r="AB64">
            <v>1.4286020430030717</v>
          </cell>
          <cell r="AC64">
            <v>899.99</v>
          </cell>
          <cell r="AD64">
            <v>131.1565956883</v>
          </cell>
          <cell r="AE64">
            <v>0</v>
          </cell>
          <cell r="AF64">
            <v>0</v>
          </cell>
          <cell r="AG64">
            <v>6.4289592113722405</v>
          </cell>
          <cell r="AH64">
            <v>1299.99</v>
          </cell>
          <cell r="AI64">
            <v>189.44906368829999</v>
          </cell>
          <cell r="AJ64">
            <v>160</v>
          </cell>
          <cell r="AK64">
            <v>0.14035210835182754</v>
          </cell>
          <cell r="AL64">
            <v>6.5002750137506871</v>
          </cell>
        </row>
        <row r="65">
          <cell r="B65" t="str">
            <v>Djibouti</v>
          </cell>
          <cell r="C65" t="str">
            <v>Africa</v>
          </cell>
          <cell r="F65" t="str">
            <v>DJF</v>
          </cell>
          <cell r="G65">
            <v>1300</v>
          </cell>
          <cell r="H65">
            <v>1760</v>
          </cell>
          <cell r="I65">
            <v>7800</v>
          </cell>
          <cell r="J65">
            <v>10560</v>
          </cell>
          <cell r="K65">
            <v>6</v>
          </cell>
          <cell r="L65">
            <v>6</v>
          </cell>
          <cell r="M65">
            <v>1.3538461538461539</v>
          </cell>
          <cell r="N65">
            <v>5.5799615000000002E-3</v>
          </cell>
          <cell r="O65">
            <v>7.25394995</v>
          </cell>
          <cell r="P65">
            <v>9.8207322399999999</v>
          </cell>
          <cell r="Q65">
            <v>43.523699700000002</v>
          </cell>
          <cell r="R65">
            <v>58.924393440000003</v>
          </cell>
          <cell r="S65" t="str">
            <v>Increase Reach</v>
          </cell>
          <cell r="T65">
            <v>1300</v>
          </cell>
          <cell r="U65">
            <v>7.25394995</v>
          </cell>
          <cell r="V65">
            <v>0</v>
          </cell>
          <cell r="W65">
            <v>0</v>
          </cell>
          <cell r="X65">
            <v>1760</v>
          </cell>
          <cell r="Y65">
            <v>9.8207322399999999</v>
          </cell>
          <cell r="Z65">
            <v>0</v>
          </cell>
          <cell r="AA65">
            <v>0</v>
          </cell>
          <cell r="AB65">
            <v>1.3538461538461539</v>
          </cell>
          <cell r="AC65">
            <v>7800</v>
          </cell>
          <cell r="AD65">
            <v>43.523699700000002</v>
          </cell>
          <cell r="AE65">
            <v>0</v>
          </cell>
          <cell r="AF65">
            <v>0</v>
          </cell>
          <cell r="AG65">
            <v>6</v>
          </cell>
          <cell r="AH65">
            <v>10560</v>
          </cell>
          <cell r="AI65">
            <v>58.924393440000003</v>
          </cell>
          <cell r="AJ65">
            <v>0</v>
          </cell>
          <cell r="AK65">
            <v>0</v>
          </cell>
          <cell r="AL65">
            <v>6</v>
          </cell>
        </row>
        <row r="66">
          <cell r="B66" t="str">
            <v>Dominica</v>
          </cell>
          <cell r="C66" t="str">
            <v>Latin America</v>
          </cell>
          <cell r="F66" t="str">
            <v>XCD</v>
          </cell>
          <cell r="G66">
            <v>37.99</v>
          </cell>
          <cell r="H66">
            <v>50.99</v>
          </cell>
          <cell r="I66">
            <v>227.99</v>
          </cell>
          <cell r="J66">
            <v>305.99</v>
          </cell>
          <cell r="K66">
            <v>6.0013161358252169</v>
          </cell>
          <cell r="L66">
            <v>6.0009805844283193</v>
          </cell>
          <cell r="M66">
            <v>1.3421953145564622</v>
          </cell>
          <cell r="N66">
            <v>0.37037036000000001</v>
          </cell>
          <cell r="O66">
            <v>14.0703699764</v>
          </cell>
          <cell r="P66">
            <v>18.8851846564</v>
          </cell>
          <cell r="Q66">
            <v>84.440738376400006</v>
          </cell>
          <cell r="R66">
            <v>113.32962645640001</v>
          </cell>
          <cell r="S66" t="str">
            <v>Increase Reach</v>
          </cell>
          <cell r="T66">
            <v>37.99</v>
          </cell>
          <cell r="U66">
            <v>14.0703699764</v>
          </cell>
          <cell r="V66">
            <v>0</v>
          </cell>
          <cell r="W66">
            <v>0</v>
          </cell>
          <cell r="X66">
            <v>50.99</v>
          </cell>
          <cell r="Y66">
            <v>18.8851846564</v>
          </cell>
          <cell r="Z66">
            <v>0</v>
          </cell>
          <cell r="AA66">
            <v>0</v>
          </cell>
          <cell r="AB66">
            <v>1.3421953145564622</v>
          </cell>
          <cell r="AC66">
            <v>227.99</v>
          </cell>
          <cell r="AD66">
            <v>84.440738376400006</v>
          </cell>
          <cell r="AE66">
            <v>0</v>
          </cell>
          <cell r="AF66">
            <v>0</v>
          </cell>
          <cell r="AG66">
            <v>6.0013161358252169</v>
          </cell>
          <cell r="AH66">
            <v>305.99</v>
          </cell>
          <cell r="AI66">
            <v>113.32962645640001</v>
          </cell>
          <cell r="AJ66">
            <v>0</v>
          </cell>
          <cell r="AK66">
            <v>0</v>
          </cell>
          <cell r="AL66">
            <v>6.0009805844283193</v>
          </cell>
        </row>
        <row r="67">
          <cell r="B67" t="str">
            <v>Dominican Republic</v>
          </cell>
          <cell r="C67" t="str">
            <v>Latin America</v>
          </cell>
          <cell r="D67" t="str">
            <v>S</v>
          </cell>
          <cell r="E67" t="str">
            <v>x</v>
          </cell>
          <cell r="F67" t="str">
            <v>DOP</v>
          </cell>
          <cell r="G67">
            <v>869.99</v>
          </cell>
          <cell r="H67">
            <v>1130.99</v>
          </cell>
          <cell r="I67">
            <v>5219.99</v>
          </cell>
          <cell r="J67">
            <v>6785.99</v>
          </cell>
          <cell r="K67">
            <v>6.000057471924964</v>
          </cell>
          <cell r="L67">
            <v>6.0000442090557824</v>
          </cell>
          <cell r="M67">
            <v>1.3000034483154979</v>
          </cell>
          <cell r="N67">
            <v>1.6986580000000001E-2</v>
          </cell>
          <cell r="O67">
            <v>14.778154734200001</v>
          </cell>
          <cell r="P67">
            <v>19.211652114200003</v>
          </cell>
          <cell r="Q67">
            <v>88.669777734199997</v>
          </cell>
          <cell r="R67">
            <v>115.2707620142</v>
          </cell>
          <cell r="S67" t="str">
            <v>Maintain Balance</v>
          </cell>
          <cell r="T67">
            <v>869.99</v>
          </cell>
          <cell r="U67">
            <v>14.778154734200001</v>
          </cell>
          <cell r="V67">
            <v>0</v>
          </cell>
          <cell r="W67">
            <v>0</v>
          </cell>
          <cell r="X67">
            <v>1249.99</v>
          </cell>
          <cell r="Y67">
            <v>21.233055134200001</v>
          </cell>
          <cell r="Z67">
            <v>119</v>
          </cell>
          <cell r="AA67">
            <v>0.10521755276350797</v>
          </cell>
          <cell r="AB67">
            <v>1.4367866297313763</v>
          </cell>
          <cell r="AC67">
            <v>5219.99</v>
          </cell>
          <cell r="AD67">
            <v>88.669777734199997</v>
          </cell>
          <cell r="AE67">
            <v>0</v>
          </cell>
          <cell r="AF67">
            <v>0</v>
          </cell>
          <cell r="AG67">
            <v>6.000057471924964</v>
          </cell>
          <cell r="AH67">
            <v>7499.99</v>
          </cell>
          <cell r="AI67">
            <v>127.39918013420001</v>
          </cell>
          <cell r="AJ67">
            <v>714</v>
          </cell>
          <cell r="AK67">
            <v>0.10521677750777703</v>
          </cell>
          <cell r="AL67">
            <v>6.0000400003200021</v>
          </cell>
        </row>
        <row r="68">
          <cell r="B68" t="str">
            <v>Ecuador</v>
          </cell>
          <cell r="C68" t="str">
            <v>Latin America</v>
          </cell>
          <cell r="F68" t="str">
            <v>USD</v>
          </cell>
          <cell r="G68">
            <v>11.99</v>
          </cell>
          <cell r="H68">
            <v>15.99</v>
          </cell>
          <cell r="I68">
            <v>71.989999999999995</v>
          </cell>
          <cell r="J68">
            <v>95.99</v>
          </cell>
          <cell r="K68">
            <v>6.0041701417848206</v>
          </cell>
          <cell r="L68">
            <v>6.0031269543464658</v>
          </cell>
          <cell r="M68">
            <v>1.3336113427856546</v>
          </cell>
          <cell r="N68">
            <v>1</v>
          </cell>
          <cell r="O68">
            <v>11.99</v>
          </cell>
          <cell r="P68">
            <v>15.99</v>
          </cell>
          <cell r="Q68">
            <v>71.989999999999995</v>
          </cell>
          <cell r="R68">
            <v>95.99</v>
          </cell>
          <cell r="S68" t="str">
            <v>Maintain Balance</v>
          </cell>
          <cell r="T68">
            <v>11.99</v>
          </cell>
          <cell r="U68">
            <v>11.99</v>
          </cell>
          <cell r="V68">
            <v>0</v>
          </cell>
          <cell r="W68">
            <v>0</v>
          </cell>
          <cell r="X68">
            <v>16.989999999999998</v>
          </cell>
          <cell r="Y68">
            <v>16.989999999999998</v>
          </cell>
          <cell r="Z68">
            <v>0.99999999999999822</v>
          </cell>
          <cell r="AA68">
            <v>6.2539086929330745E-2</v>
          </cell>
          <cell r="AB68">
            <v>1.4170141784820682</v>
          </cell>
          <cell r="AC68">
            <v>71.989999999999995</v>
          </cell>
          <cell r="AD68">
            <v>71.989999999999995</v>
          </cell>
          <cell r="AE68">
            <v>0</v>
          </cell>
          <cell r="AF68">
            <v>0</v>
          </cell>
          <cell r="AG68">
            <v>6.0041701417848206</v>
          </cell>
          <cell r="AH68">
            <v>102.99</v>
          </cell>
          <cell r="AI68">
            <v>102.99</v>
          </cell>
          <cell r="AJ68">
            <v>7</v>
          </cell>
          <cell r="AK68">
            <v>7.2924262944056739E-2</v>
          </cell>
          <cell r="AL68">
            <v>6.0618010594467338</v>
          </cell>
        </row>
        <row r="69">
          <cell r="B69" t="str">
            <v>Egypt</v>
          </cell>
          <cell r="C69" t="str">
            <v>Africa</v>
          </cell>
          <cell r="F69" t="str">
            <v>EGP</v>
          </cell>
          <cell r="G69">
            <v>160</v>
          </cell>
          <cell r="H69">
            <v>220</v>
          </cell>
          <cell r="I69">
            <v>960</v>
          </cell>
          <cell r="J69">
            <v>1320</v>
          </cell>
          <cell r="K69">
            <v>6</v>
          </cell>
          <cell r="L69">
            <v>6</v>
          </cell>
          <cell r="M69">
            <v>1.375</v>
          </cell>
          <cell r="N69">
            <v>3.2362460000000003E-2</v>
          </cell>
          <cell r="O69">
            <v>5.1779936000000006</v>
          </cell>
          <cell r="P69">
            <v>7.1197412000000009</v>
          </cell>
          <cell r="Q69">
            <v>31.067961600000004</v>
          </cell>
          <cell r="R69">
            <v>42.7184472</v>
          </cell>
          <cell r="S69" t="str">
            <v>Increase ARPU - Widening LPP Ratio</v>
          </cell>
          <cell r="T69">
            <v>199</v>
          </cell>
          <cell r="U69">
            <v>6.4401295400000009</v>
          </cell>
          <cell r="V69">
            <v>39</v>
          </cell>
          <cell r="W69">
            <v>0.24374999999999991</v>
          </cell>
          <cell r="X69">
            <v>299</v>
          </cell>
          <cell r="Y69">
            <v>9.6763755400000004</v>
          </cell>
          <cell r="Z69">
            <v>79</v>
          </cell>
          <cell r="AA69">
            <v>0.35909090909090913</v>
          </cell>
          <cell r="AB69">
            <v>1.5025125628140703</v>
          </cell>
          <cell r="AC69">
            <v>1199</v>
          </cell>
          <cell r="AD69">
            <v>38.80258954</v>
          </cell>
          <cell r="AE69">
            <v>239</v>
          </cell>
          <cell r="AF69">
            <v>0.24895833333333339</v>
          </cell>
          <cell r="AG69">
            <v>6.025125628140704</v>
          </cell>
          <cell r="AH69">
            <v>1799</v>
          </cell>
          <cell r="AI69">
            <v>58.220065540000007</v>
          </cell>
          <cell r="AJ69">
            <v>479</v>
          </cell>
          <cell r="AK69">
            <v>0.3628787878787878</v>
          </cell>
          <cell r="AL69">
            <v>6.0167224080267561</v>
          </cell>
        </row>
        <row r="70">
          <cell r="B70" t="str">
            <v>El Salvador</v>
          </cell>
          <cell r="C70" t="str">
            <v>Latin America</v>
          </cell>
          <cell r="F70" t="str">
            <v>USD</v>
          </cell>
          <cell r="G70">
            <v>10.99</v>
          </cell>
          <cell r="H70">
            <v>14.99</v>
          </cell>
          <cell r="I70">
            <v>65.989999999999995</v>
          </cell>
          <cell r="J70">
            <v>89.99</v>
          </cell>
          <cell r="K70">
            <v>6.0045495905368513</v>
          </cell>
          <cell r="L70">
            <v>6.0033355570380253</v>
          </cell>
          <cell r="M70">
            <v>1.3639672429481347</v>
          </cell>
          <cell r="N70">
            <v>1</v>
          </cell>
          <cell r="O70">
            <v>10.99</v>
          </cell>
          <cell r="P70">
            <v>14.99</v>
          </cell>
          <cell r="Q70">
            <v>65.989999999999995</v>
          </cell>
          <cell r="R70">
            <v>89.99</v>
          </cell>
          <cell r="S70" t="str">
            <v>Maintain Balance</v>
          </cell>
          <cell r="T70">
            <v>10.99</v>
          </cell>
          <cell r="U70">
            <v>10.99</v>
          </cell>
          <cell r="V70">
            <v>0</v>
          </cell>
          <cell r="W70">
            <v>0</v>
          </cell>
          <cell r="X70">
            <v>15.99</v>
          </cell>
          <cell r="Y70">
            <v>15.99</v>
          </cell>
          <cell r="Z70">
            <v>1</v>
          </cell>
          <cell r="AA70">
            <v>6.6711140760506993E-2</v>
          </cell>
          <cell r="AB70">
            <v>1.4549590536851684</v>
          </cell>
          <cell r="AC70">
            <v>65.989999999999995</v>
          </cell>
          <cell r="AD70">
            <v>65.989999999999995</v>
          </cell>
          <cell r="AE70">
            <v>0</v>
          </cell>
          <cell r="AF70">
            <v>0</v>
          </cell>
          <cell r="AG70">
            <v>6.0045495905368513</v>
          </cell>
          <cell r="AH70">
            <v>96.99</v>
          </cell>
          <cell r="AI70">
            <v>96.99</v>
          </cell>
          <cell r="AJ70">
            <v>7</v>
          </cell>
          <cell r="AK70">
            <v>7.7786420713412685E-2</v>
          </cell>
          <cell r="AL70">
            <v>6.0656660412757972</v>
          </cell>
        </row>
        <row r="71">
          <cell r="B71" t="str">
            <v>Equatorial Guinea</v>
          </cell>
          <cell r="C71" t="str">
            <v>Africa</v>
          </cell>
          <cell r="F71" t="str">
            <v>XAF</v>
          </cell>
          <cell r="G71">
            <v>4200</v>
          </cell>
          <cell r="H71">
            <v>5670</v>
          </cell>
          <cell r="I71">
            <v>25200</v>
          </cell>
          <cell r="J71">
            <v>34020</v>
          </cell>
          <cell r="K71">
            <v>6</v>
          </cell>
          <cell r="L71">
            <v>6</v>
          </cell>
          <cell r="M71">
            <v>1.35</v>
          </cell>
          <cell r="N71">
            <v>1.6559773E-3</v>
          </cell>
          <cell r="O71">
            <v>6.9551046599999999</v>
          </cell>
          <cell r="P71">
            <v>9.389391290999999</v>
          </cell>
          <cell r="Q71">
            <v>41.73062796</v>
          </cell>
          <cell r="R71">
            <v>56.336347746000001</v>
          </cell>
          <cell r="S71" t="str">
            <v>Increase Reach</v>
          </cell>
          <cell r="T71">
            <v>4200</v>
          </cell>
          <cell r="U71">
            <v>6.9551046599999999</v>
          </cell>
          <cell r="V71">
            <v>0</v>
          </cell>
          <cell r="W71">
            <v>0</v>
          </cell>
          <cell r="X71">
            <v>5670</v>
          </cell>
          <cell r="Y71">
            <v>9.389391290999999</v>
          </cell>
          <cell r="Z71">
            <v>0</v>
          </cell>
          <cell r="AA71">
            <v>0</v>
          </cell>
          <cell r="AB71">
            <v>1.35</v>
          </cell>
          <cell r="AC71">
            <v>25200</v>
          </cell>
          <cell r="AD71">
            <v>41.73062796</v>
          </cell>
          <cell r="AE71">
            <v>0</v>
          </cell>
          <cell r="AF71">
            <v>0</v>
          </cell>
          <cell r="AG71">
            <v>6</v>
          </cell>
          <cell r="AH71">
            <v>34020</v>
          </cell>
          <cell r="AI71">
            <v>56.336347746000001</v>
          </cell>
          <cell r="AJ71">
            <v>0</v>
          </cell>
          <cell r="AK71">
            <v>0</v>
          </cell>
          <cell r="AL71">
            <v>6</v>
          </cell>
        </row>
        <row r="72">
          <cell r="B72" t="str">
            <v>Eritrea</v>
          </cell>
          <cell r="C72" t="str">
            <v>Africa</v>
          </cell>
          <cell r="F72" t="str">
            <v>USD</v>
          </cell>
          <cell r="G72">
            <v>8.99</v>
          </cell>
          <cell r="H72">
            <v>11.99</v>
          </cell>
          <cell r="I72">
            <v>53.99</v>
          </cell>
          <cell r="J72">
            <v>71.989999999999995</v>
          </cell>
          <cell r="K72">
            <v>6.0055617352614012</v>
          </cell>
          <cell r="L72">
            <v>6.0041701417848206</v>
          </cell>
          <cell r="M72">
            <v>1.3337041156840934</v>
          </cell>
          <cell r="N72">
            <v>1</v>
          </cell>
          <cell r="O72">
            <v>8.99</v>
          </cell>
          <cell r="P72">
            <v>11.99</v>
          </cell>
          <cell r="Q72">
            <v>53.99</v>
          </cell>
          <cell r="R72">
            <v>71.989999999999995</v>
          </cell>
          <cell r="S72" t="str">
            <v>Increase Reach</v>
          </cell>
          <cell r="T72">
            <v>8.99</v>
          </cell>
          <cell r="U72">
            <v>8.99</v>
          </cell>
          <cell r="V72">
            <v>0</v>
          </cell>
          <cell r="W72">
            <v>0</v>
          </cell>
          <cell r="X72">
            <v>11.99</v>
          </cell>
          <cell r="Y72">
            <v>11.99</v>
          </cell>
          <cell r="Z72">
            <v>0</v>
          </cell>
          <cell r="AA72">
            <v>0</v>
          </cell>
          <cell r="AB72">
            <v>1.3337041156840934</v>
          </cell>
          <cell r="AC72">
            <v>53.99</v>
          </cell>
          <cell r="AD72">
            <v>53.99</v>
          </cell>
          <cell r="AE72">
            <v>0</v>
          </cell>
          <cell r="AF72">
            <v>0</v>
          </cell>
          <cell r="AG72">
            <v>6.0055617352614012</v>
          </cell>
          <cell r="AH72">
            <v>71.989999999999995</v>
          </cell>
          <cell r="AI72">
            <v>71.989999999999995</v>
          </cell>
          <cell r="AJ72">
            <v>0</v>
          </cell>
          <cell r="AK72">
            <v>0</v>
          </cell>
          <cell r="AL72">
            <v>6.0041701417848206</v>
          </cell>
        </row>
        <row r="73">
          <cell r="B73" t="str">
            <v>Estonia</v>
          </cell>
          <cell r="C73" t="str">
            <v>Europe</v>
          </cell>
          <cell r="F73" t="str">
            <v>EUR</v>
          </cell>
          <cell r="G73">
            <v>11.99</v>
          </cell>
          <cell r="H73">
            <v>15.99</v>
          </cell>
          <cell r="I73">
            <v>69.989999999999995</v>
          </cell>
          <cell r="J73">
            <v>99.99</v>
          </cell>
          <cell r="K73">
            <v>5.8373644703919929</v>
          </cell>
          <cell r="L73">
            <v>6.2532833020637897</v>
          </cell>
          <cell r="M73">
            <v>1.3336113427856546</v>
          </cell>
          <cell r="N73">
            <v>1.0862499999999999</v>
          </cell>
          <cell r="O73">
            <v>13.0241375</v>
          </cell>
          <cell r="P73">
            <v>17.369137500000001</v>
          </cell>
          <cell r="Q73">
            <v>76.026637499999993</v>
          </cell>
          <cell r="R73">
            <v>108.61413749999998</v>
          </cell>
          <cell r="S73" t="str">
            <v>Increase Reach</v>
          </cell>
          <cell r="T73">
            <v>11.99</v>
          </cell>
          <cell r="U73">
            <v>13.0241375</v>
          </cell>
          <cell r="V73">
            <v>0</v>
          </cell>
          <cell r="W73">
            <v>0</v>
          </cell>
          <cell r="X73">
            <v>15.99</v>
          </cell>
          <cell r="Y73">
            <v>17.369137500000001</v>
          </cell>
          <cell r="Z73">
            <v>0</v>
          </cell>
          <cell r="AA73">
            <v>0</v>
          </cell>
          <cell r="AB73">
            <v>1.3336113427856546</v>
          </cell>
          <cell r="AC73">
            <v>74.989999999999995</v>
          </cell>
          <cell r="AD73">
            <v>81.457887499999984</v>
          </cell>
          <cell r="AE73">
            <v>5</v>
          </cell>
          <cell r="AF73">
            <v>7.1438776968138384E-2</v>
          </cell>
          <cell r="AG73">
            <v>6.2543786488740611</v>
          </cell>
          <cell r="AH73">
            <v>99.99</v>
          </cell>
          <cell r="AI73">
            <v>108.61413749999998</v>
          </cell>
          <cell r="AJ73">
            <v>0</v>
          </cell>
          <cell r="AK73">
            <v>0</v>
          </cell>
          <cell r="AL73">
            <v>6.2532833020637897</v>
          </cell>
        </row>
        <row r="74">
          <cell r="B74" t="str">
            <v>eSwatini</v>
          </cell>
          <cell r="C74" t="str">
            <v>Africa</v>
          </cell>
          <cell r="F74" t="str">
            <v>SZL</v>
          </cell>
          <cell r="G74">
            <v>159.99</v>
          </cell>
          <cell r="H74">
            <v>215.99</v>
          </cell>
          <cell r="I74">
            <v>959.99</v>
          </cell>
          <cell r="J74">
            <v>1295.99</v>
          </cell>
          <cell r="K74">
            <v>6.0003125195324705</v>
          </cell>
          <cell r="L74">
            <v>6.0002314921987123</v>
          </cell>
          <cell r="M74">
            <v>1.3500218763672729</v>
          </cell>
          <cell r="N74">
            <v>5.332978E-2</v>
          </cell>
          <cell r="O74">
            <v>8.5322315022000002</v>
          </cell>
          <cell r="P74">
            <v>11.518699182200001</v>
          </cell>
          <cell r="Q74">
            <v>51.196055502200004</v>
          </cell>
          <cell r="R74">
            <v>69.114861582200007</v>
          </cell>
          <cell r="S74" t="str">
            <v>Increase Reach</v>
          </cell>
          <cell r="T74">
            <v>159.99</v>
          </cell>
          <cell r="U74">
            <v>8.5322315022000002</v>
          </cell>
          <cell r="V74">
            <v>0</v>
          </cell>
          <cell r="W74">
            <v>0</v>
          </cell>
          <cell r="X74">
            <v>215.99</v>
          </cell>
          <cell r="Y74">
            <v>11.518699182200001</v>
          </cell>
          <cell r="Z74">
            <v>0</v>
          </cell>
          <cell r="AA74">
            <v>0</v>
          </cell>
          <cell r="AB74">
            <v>1.3500218763672729</v>
          </cell>
          <cell r="AC74">
            <v>959.99</v>
          </cell>
          <cell r="AD74">
            <v>51.196055502200004</v>
          </cell>
          <cell r="AE74">
            <v>0</v>
          </cell>
          <cell r="AF74">
            <v>0</v>
          </cell>
          <cell r="AG74">
            <v>6.0003125195324705</v>
          </cell>
          <cell r="AH74">
            <v>1295.99</v>
          </cell>
          <cell r="AI74">
            <v>69.114861582200007</v>
          </cell>
          <cell r="AJ74">
            <v>0</v>
          </cell>
          <cell r="AK74">
            <v>0</v>
          </cell>
          <cell r="AL74">
            <v>6.0002314921987123</v>
          </cell>
        </row>
        <row r="75">
          <cell r="B75" t="str">
            <v>Ethiopia</v>
          </cell>
          <cell r="C75" t="str">
            <v>Africa</v>
          </cell>
          <cell r="F75" t="str">
            <v>ETB</v>
          </cell>
          <cell r="G75">
            <v>319.99</v>
          </cell>
          <cell r="H75">
            <v>431.99</v>
          </cell>
          <cell r="I75">
            <v>1919.99</v>
          </cell>
          <cell r="J75">
            <v>2591.9899999999998</v>
          </cell>
          <cell r="K75">
            <v>6.000156254882965</v>
          </cell>
          <cell r="L75">
            <v>6.0001157434199861</v>
          </cell>
          <cell r="M75">
            <v>1.3500109378418075</v>
          </cell>
          <cell r="N75">
            <v>1.7681746000000002E-2</v>
          </cell>
          <cell r="O75">
            <v>5.6579819025400004</v>
          </cell>
          <cell r="P75">
            <v>7.6383374545400011</v>
          </cell>
          <cell r="Q75">
            <v>33.948775502540002</v>
          </cell>
          <cell r="R75">
            <v>45.830908814540003</v>
          </cell>
          <cell r="S75" t="str">
            <v>Increase Reach</v>
          </cell>
          <cell r="T75">
            <v>319.99</v>
          </cell>
          <cell r="U75">
            <v>5.6579819025400004</v>
          </cell>
          <cell r="V75">
            <v>0</v>
          </cell>
          <cell r="W75">
            <v>0</v>
          </cell>
          <cell r="X75">
            <v>431.99</v>
          </cell>
          <cell r="Y75">
            <v>7.6383374545400011</v>
          </cell>
          <cell r="Z75">
            <v>0</v>
          </cell>
          <cell r="AA75">
            <v>0</v>
          </cell>
          <cell r="AB75">
            <v>1.3500109378418075</v>
          </cell>
          <cell r="AC75">
            <v>1919.99</v>
          </cell>
          <cell r="AD75">
            <v>33.948775502540002</v>
          </cell>
          <cell r="AE75">
            <v>0</v>
          </cell>
          <cell r="AF75">
            <v>0</v>
          </cell>
          <cell r="AG75">
            <v>6.000156254882965</v>
          </cell>
          <cell r="AH75">
            <v>2591.9899999999998</v>
          </cell>
          <cell r="AI75">
            <v>45.830908814540003</v>
          </cell>
          <cell r="AJ75">
            <v>0</v>
          </cell>
          <cell r="AK75">
            <v>0</v>
          </cell>
          <cell r="AL75">
            <v>6.0001157434199861</v>
          </cell>
        </row>
        <row r="76">
          <cell r="B76" t="str">
            <v>Falkland Islands</v>
          </cell>
          <cell r="C76" t="str">
            <v>Latin America</v>
          </cell>
          <cell r="F76" t="str">
            <v>FKP</v>
          </cell>
          <cell r="G76">
            <v>7</v>
          </cell>
          <cell r="H76">
            <v>10</v>
          </cell>
          <cell r="I76">
            <v>50</v>
          </cell>
          <cell r="J76">
            <v>60</v>
          </cell>
          <cell r="K76">
            <v>7.1428571428571432</v>
          </cell>
          <cell r="L76">
            <v>6</v>
          </cell>
          <cell r="M76">
            <v>1.4285714285714286</v>
          </cell>
          <cell r="N76">
            <v>1.27145</v>
          </cell>
          <cell r="O76">
            <v>8.90015</v>
          </cell>
          <cell r="P76">
            <v>12.714499999999999</v>
          </cell>
          <cell r="Q76">
            <v>63.572499999999998</v>
          </cell>
          <cell r="R76">
            <v>76.286999999999992</v>
          </cell>
          <cell r="S76" t="str">
            <v>Increase Reach</v>
          </cell>
          <cell r="T76">
            <v>7</v>
          </cell>
          <cell r="U76">
            <v>8.90015</v>
          </cell>
          <cell r="V76">
            <v>0</v>
          </cell>
          <cell r="W76">
            <v>0</v>
          </cell>
          <cell r="X76">
            <v>10</v>
          </cell>
          <cell r="Y76">
            <v>12.714499999999999</v>
          </cell>
          <cell r="Z76">
            <v>0</v>
          </cell>
          <cell r="AA76">
            <v>0</v>
          </cell>
          <cell r="AB76">
            <v>1.4285714285714286</v>
          </cell>
          <cell r="AC76">
            <v>50</v>
          </cell>
          <cell r="AD76">
            <v>63.572499999999998</v>
          </cell>
          <cell r="AE76">
            <v>0</v>
          </cell>
          <cell r="AF76">
            <v>0</v>
          </cell>
          <cell r="AG76">
            <v>7.1428571428571432</v>
          </cell>
          <cell r="AH76">
            <v>60</v>
          </cell>
          <cell r="AI76">
            <v>76.286999999999992</v>
          </cell>
          <cell r="AJ76">
            <v>0</v>
          </cell>
          <cell r="AK76">
            <v>0</v>
          </cell>
          <cell r="AL76">
            <v>6</v>
          </cell>
        </row>
        <row r="77">
          <cell r="B77" t="str">
            <v>Faroe Islands</v>
          </cell>
          <cell r="C77" t="str">
            <v>Europe</v>
          </cell>
          <cell r="F77" t="str">
            <v>DKK</v>
          </cell>
          <cell r="G77">
            <v>139.99</v>
          </cell>
          <cell r="H77">
            <v>189.99</v>
          </cell>
          <cell r="I77">
            <v>829.99</v>
          </cell>
          <cell r="J77">
            <v>1139.99</v>
          </cell>
          <cell r="K77">
            <v>5.928923494535324</v>
          </cell>
          <cell r="L77">
            <v>6.000263171745881</v>
          </cell>
          <cell r="M77">
            <v>1.3571683691692265</v>
          </cell>
          <cell r="N77">
            <v>0.14573116999999999</v>
          </cell>
          <cell r="O77">
            <v>20.400906488299999</v>
          </cell>
          <cell r="P77">
            <v>27.6874649883</v>
          </cell>
          <cell r="Q77">
            <v>120.95541378829999</v>
          </cell>
          <cell r="R77">
            <v>166.13207648829999</v>
          </cell>
          <cell r="S77" t="str">
            <v>Increase Reach</v>
          </cell>
          <cell r="T77">
            <v>139.99</v>
          </cell>
          <cell r="U77">
            <v>20.400906488299999</v>
          </cell>
          <cell r="V77">
            <v>0</v>
          </cell>
          <cell r="W77">
            <v>0</v>
          </cell>
          <cell r="X77">
            <v>189.99</v>
          </cell>
          <cell r="Y77">
            <v>27.6874649883</v>
          </cell>
          <cell r="Z77">
            <v>0</v>
          </cell>
          <cell r="AA77">
            <v>0</v>
          </cell>
          <cell r="AB77">
            <v>1.3571683691692265</v>
          </cell>
          <cell r="AC77">
            <v>829.99</v>
          </cell>
          <cell r="AD77">
            <v>120.95541378829999</v>
          </cell>
          <cell r="AE77">
            <v>0</v>
          </cell>
          <cell r="AF77">
            <v>0</v>
          </cell>
          <cell r="AG77">
            <v>5.928923494535324</v>
          </cell>
          <cell r="AH77">
            <v>1139.99</v>
          </cell>
          <cell r="AI77">
            <v>166.13207648829999</v>
          </cell>
          <cell r="AJ77">
            <v>0</v>
          </cell>
          <cell r="AK77">
            <v>0</v>
          </cell>
          <cell r="AL77">
            <v>6.000263171745881</v>
          </cell>
        </row>
        <row r="78">
          <cell r="B78" t="str">
            <v>Fiji</v>
          </cell>
          <cell r="C78" t="str">
            <v>Asia</v>
          </cell>
          <cell r="F78" t="str">
            <v>FJD</v>
          </cell>
          <cell r="G78">
            <v>21.99</v>
          </cell>
          <cell r="H78">
            <v>29.99</v>
          </cell>
          <cell r="I78">
            <v>131.99</v>
          </cell>
          <cell r="J78">
            <v>179.99</v>
          </cell>
          <cell r="K78">
            <v>6.0022737608003647</v>
          </cell>
          <cell r="L78">
            <v>6.0016672224074696</v>
          </cell>
          <cell r="M78">
            <v>1.3638017280582082</v>
          </cell>
          <cell r="N78">
            <v>0.44187179999999998</v>
          </cell>
          <cell r="O78">
            <v>9.7167608819999991</v>
          </cell>
          <cell r="P78">
            <v>13.251735281999999</v>
          </cell>
          <cell r="Q78">
            <v>58.322658881999999</v>
          </cell>
          <cell r="R78">
            <v>79.532505282000002</v>
          </cell>
          <cell r="S78" t="str">
            <v>Increase Reach</v>
          </cell>
          <cell r="T78">
            <v>21.99</v>
          </cell>
          <cell r="U78">
            <v>9.7167608819999991</v>
          </cell>
          <cell r="V78">
            <v>0</v>
          </cell>
          <cell r="W78">
            <v>0</v>
          </cell>
          <cell r="X78">
            <v>29.99</v>
          </cell>
          <cell r="Y78">
            <v>13.251735281999999</v>
          </cell>
          <cell r="Z78">
            <v>0</v>
          </cell>
          <cell r="AA78">
            <v>0</v>
          </cell>
          <cell r="AB78">
            <v>1.3638017280582082</v>
          </cell>
          <cell r="AC78">
            <v>131.99</v>
          </cell>
          <cell r="AD78">
            <v>58.322658881999999</v>
          </cell>
          <cell r="AE78">
            <v>0</v>
          </cell>
          <cell r="AF78">
            <v>0</v>
          </cell>
          <cell r="AG78">
            <v>6.0022737608003647</v>
          </cell>
          <cell r="AH78">
            <v>179.99</v>
          </cell>
          <cell r="AI78">
            <v>79.532505282000002</v>
          </cell>
          <cell r="AJ78">
            <v>0</v>
          </cell>
          <cell r="AK78">
            <v>0</v>
          </cell>
          <cell r="AL78">
            <v>6.0016672224074696</v>
          </cell>
        </row>
        <row r="79">
          <cell r="B79" t="str">
            <v>Finland</v>
          </cell>
          <cell r="C79" t="str">
            <v>Europe</v>
          </cell>
          <cell r="D79" t="str">
            <v>S</v>
          </cell>
          <cell r="E79" t="str">
            <v>x</v>
          </cell>
          <cell r="F79" t="str">
            <v>EUR</v>
          </cell>
          <cell r="G79">
            <v>14.99</v>
          </cell>
          <cell r="H79">
            <v>19.989999999999998</v>
          </cell>
          <cell r="I79">
            <v>99.99</v>
          </cell>
          <cell r="J79">
            <v>119.99</v>
          </cell>
          <cell r="K79">
            <v>6.6704469646430953</v>
          </cell>
          <cell r="L79">
            <v>6.002501250625313</v>
          </cell>
          <cell r="M79">
            <v>1.333555703802535</v>
          </cell>
          <cell r="N79">
            <v>1.0862499999999999</v>
          </cell>
          <cell r="O79">
            <v>16.282887500000001</v>
          </cell>
          <cell r="P79">
            <v>21.714137499999996</v>
          </cell>
          <cell r="Q79">
            <v>108.61413749999998</v>
          </cell>
          <cell r="R79">
            <v>130.33913749999999</v>
          </cell>
          <cell r="S79" t="str">
            <v>Increase Reach</v>
          </cell>
          <cell r="T79">
            <v>14.99</v>
          </cell>
          <cell r="U79">
            <v>16.282887500000001</v>
          </cell>
          <cell r="V79">
            <v>0</v>
          </cell>
          <cell r="W79">
            <v>0</v>
          </cell>
          <cell r="X79">
            <v>19.989999999999998</v>
          </cell>
          <cell r="Y79">
            <v>21.714137499999996</v>
          </cell>
          <cell r="Z79">
            <v>0</v>
          </cell>
          <cell r="AA79">
            <v>0</v>
          </cell>
          <cell r="AB79">
            <v>1.333555703802535</v>
          </cell>
          <cell r="AC79">
            <v>99.99</v>
          </cell>
          <cell r="AD79">
            <v>108.61413749999998</v>
          </cell>
          <cell r="AE79">
            <v>0</v>
          </cell>
          <cell r="AF79">
            <v>0</v>
          </cell>
          <cell r="AG79">
            <v>6.6704469646430953</v>
          </cell>
          <cell r="AH79">
            <v>129.99</v>
          </cell>
          <cell r="AI79">
            <v>141.2016375</v>
          </cell>
          <cell r="AJ79">
            <v>10.000000000000014</v>
          </cell>
          <cell r="AK79">
            <v>8.3340278356529796E-2</v>
          </cell>
          <cell r="AL79">
            <v>6.5027513756878452</v>
          </cell>
        </row>
        <row r="80">
          <cell r="B80" t="str">
            <v>France</v>
          </cell>
          <cell r="C80" t="str">
            <v>Europe</v>
          </cell>
          <cell r="D80" t="str">
            <v>T2</v>
          </cell>
          <cell r="E80" t="str">
            <v>x</v>
          </cell>
          <cell r="F80" t="str">
            <v>EUR</v>
          </cell>
          <cell r="G80">
            <v>17.989999999999998</v>
          </cell>
          <cell r="H80">
            <v>23.99</v>
          </cell>
          <cell r="I80">
            <v>119.99</v>
          </cell>
          <cell r="J80">
            <v>164.99</v>
          </cell>
          <cell r="K80">
            <v>6.6698165647581993</v>
          </cell>
          <cell r="L80">
            <v>6.8774489370571077</v>
          </cell>
          <cell r="M80">
            <v>1.3335186214563646</v>
          </cell>
          <cell r="N80">
            <v>1.0862499999999999</v>
          </cell>
          <cell r="O80">
            <v>19.541637499999997</v>
          </cell>
          <cell r="P80">
            <v>26.059137499999999</v>
          </cell>
          <cell r="Q80">
            <v>130.33913749999999</v>
          </cell>
          <cell r="R80">
            <v>179.22038749999999</v>
          </cell>
          <cell r="S80" t="str">
            <v>Increase ARPU - Maintaining LPP Ratio</v>
          </cell>
          <cell r="T80">
            <v>21.99</v>
          </cell>
          <cell r="U80">
            <v>23.886637499999996</v>
          </cell>
          <cell r="V80">
            <v>4</v>
          </cell>
          <cell r="W80">
            <v>0.22234574763757653</v>
          </cell>
          <cell r="X80">
            <v>28.99</v>
          </cell>
          <cell r="Y80">
            <v>31.490387499999997</v>
          </cell>
          <cell r="Z80">
            <v>5</v>
          </cell>
          <cell r="AA80">
            <v>0.20842017507294708</v>
          </cell>
          <cell r="AB80">
            <v>1.3183265120509322</v>
          </cell>
          <cell r="AC80">
            <v>146.99</v>
          </cell>
          <cell r="AD80">
            <v>159.66788750000001</v>
          </cell>
          <cell r="AE80">
            <v>27.000000000000014</v>
          </cell>
          <cell r="AF80">
            <v>0.22501875156263029</v>
          </cell>
          <cell r="AG80">
            <v>6.6844020009095049</v>
          </cell>
          <cell r="AH80">
            <v>199.99</v>
          </cell>
          <cell r="AI80">
            <v>217.2391375</v>
          </cell>
          <cell r="AJ80">
            <v>35</v>
          </cell>
          <cell r="AK80">
            <v>0.21213406873143836</v>
          </cell>
          <cell r="AL80">
            <v>6.8985857192135223</v>
          </cell>
        </row>
        <row r="81">
          <cell r="B81" t="str">
            <v>French Guiana</v>
          </cell>
          <cell r="C81" t="str">
            <v>Latin America</v>
          </cell>
          <cell r="F81" t="str">
            <v>EUR</v>
          </cell>
          <cell r="G81">
            <v>9.99</v>
          </cell>
          <cell r="H81">
            <v>12.99</v>
          </cell>
          <cell r="I81">
            <v>59.99</v>
          </cell>
          <cell r="J81">
            <v>77.989999999999995</v>
          </cell>
          <cell r="K81">
            <v>6.005005005005005</v>
          </cell>
          <cell r="L81">
            <v>6.0038491147036179</v>
          </cell>
          <cell r="M81">
            <v>1.3003003003003002</v>
          </cell>
          <cell r="N81">
            <v>1.0862499999999999</v>
          </cell>
          <cell r="O81">
            <v>10.851637499999999</v>
          </cell>
          <cell r="P81">
            <v>14.1103875</v>
          </cell>
          <cell r="Q81">
            <v>65.164137499999995</v>
          </cell>
          <cell r="R81">
            <v>84.71663749999999</v>
          </cell>
          <cell r="S81" t="str">
            <v>Increase Reach</v>
          </cell>
          <cell r="T81">
            <v>9.99</v>
          </cell>
          <cell r="U81">
            <v>10.851637499999999</v>
          </cell>
          <cell r="V81">
            <v>0</v>
          </cell>
          <cell r="W81">
            <v>0</v>
          </cell>
          <cell r="X81">
            <v>12.99</v>
          </cell>
          <cell r="Y81">
            <v>14.1103875</v>
          </cell>
          <cell r="Z81">
            <v>0</v>
          </cell>
          <cell r="AA81">
            <v>0</v>
          </cell>
          <cell r="AB81">
            <v>1.3003003003003002</v>
          </cell>
          <cell r="AC81">
            <v>59.99</v>
          </cell>
          <cell r="AD81">
            <v>65.164137499999995</v>
          </cell>
          <cell r="AE81">
            <v>0</v>
          </cell>
          <cell r="AF81">
            <v>0</v>
          </cell>
          <cell r="AG81">
            <v>6.005005005005005</v>
          </cell>
          <cell r="AH81">
            <v>77.989999999999995</v>
          </cell>
          <cell r="AI81">
            <v>84.71663749999999</v>
          </cell>
          <cell r="AJ81">
            <v>0</v>
          </cell>
          <cell r="AK81">
            <v>0</v>
          </cell>
          <cell r="AL81">
            <v>6.0038491147036179</v>
          </cell>
        </row>
        <row r="82">
          <cell r="B82" t="str">
            <v>French Polynesia</v>
          </cell>
          <cell r="C82" t="str">
            <v>Asia</v>
          </cell>
          <cell r="F82" t="str">
            <v>XPF</v>
          </cell>
          <cell r="G82">
            <v>1000</v>
          </cell>
          <cell r="H82">
            <v>1350</v>
          </cell>
          <cell r="I82">
            <v>6000</v>
          </cell>
          <cell r="J82">
            <v>8100</v>
          </cell>
          <cell r="K82">
            <v>6</v>
          </cell>
          <cell r="L82">
            <v>6</v>
          </cell>
          <cell r="M82">
            <v>1.35</v>
          </cell>
          <cell r="N82">
            <v>9.1027790000000001E-3</v>
          </cell>
          <cell r="O82">
            <v>9.102779</v>
          </cell>
          <cell r="P82">
            <v>12.28875165</v>
          </cell>
          <cell r="Q82">
            <v>54.616674000000003</v>
          </cell>
          <cell r="R82">
            <v>73.732509899999997</v>
          </cell>
          <cell r="S82" t="str">
            <v>Increase Reach</v>
          </cell>
          <cell r="T82">
            <v>1000</v>
          </cell>
          <cell r="U82">
            <v>9.102779</v>
          </cell>
          <cell r="V82">
            <v>0</v>
          </cell>
          <cell r="W82">
            <v>0</v>
          </cell>
          <cell r="X82">
            <v>1350</v>
          </cell>
          <cell r="Y82">
            <v>12.28875165</v>
          </cell>
          <cell r="Z82">
            <v>0</v>
          </cell>
          <cell r="AA82">
            <v>0</v>
          </cell>
          <cell r="AB82">
            <v>1.35</v>
          </cell>
          <cell r="AC82">
            <v>6000</v>
          </cell>
          <cell r="AD82">
            <v>54.616674000000003</v>
          </cell>
          <cell r="AE82">
            <v>0</v>
          </cell>
          <cell r="AF82">
            <v>0</v>
          </cell>
          <cell r="AG82">
            <v>6</v>
          </cell>
          <cell r="AH82">
            <v>8100</v>
          </cell>
          <cell r="AI82">
            <v>73.732509899999997</v>
          </cell>
          <cell r="AJ82">
            <v>0</v>
          </cell>
          <cell r="AK82">
            <v>0</v>
          </cell>
          <cell r="AL82">
            <v>6</v>
          </cell>
        </row>
        <row r="83">
          <cell r="B83" t="str">
            <v>French Southern Territories</v>
          </cell>
          <cell r="C83" t="str">
            <v>Europe</v>
          </cell>
          <cell r="F83" t="str">
            <v>EUR</v>
          </cell>
          <cell r="G83">
            <v>14.99</v>
          </cell>
          <cell r="H83">
            <v>19.989999999999998</v>
          </cell>
          <cell r="I83">
            <v>89.99</v>
          </cell>
          <cell r="J83">
            <v>119.99</v>
          </cell>
          <cell r="K83">
            <v>6.0033355570380253</v>
          </cell>
          <cell r="L83">
            <v>6.002501250625313</v>
          </cell>
          <cell r="M83">
            <v>1.333555703802535</v>
          </cell>
          <cell r="N83">
            <v>1.0862499999999999</v>
          </cell>
          <cell r="O83">
            <v>16.282887500000001</v>
          </cell>
          <cell r="P83">
            <v>21.714137499999996</v>
          </cell>
          <cell r="Q83">
            <v>97.751637499999987</v>
          </cell>
          <cell r="R83">
            <v>130.33913749999999</v>
          </cell>
          <cell r="S83" t="str">
            <v>Increase Reach</v>
          </cell>
          <cell r="T83">
            <v>14.99</v>
          </cell>
          <cell r="U83">
            <v>16.282887500000001</v>
          </cell>
          <cell r="V83">
            <v>0</v>
          </cell>
          <cell r="W83">
            <v>0</v>
          </cell>
          <cell r="X83">
            <v>19.989999999999998</v>
          </cell>
          <cell r="Y83">
            <v>21.714137499999996</v>
          </cell>
          <cell r="Z83">
            <v>0</v>
          </cell>
          <cell r="AA83">
            <v>0</v>
          </cell>
          <cell r="AB83">
            <v>1.333555703802535</v>
          </cell>
          <cell r="AC83">
            <v>89.99</v>
          </cell>
          <cell r="AD83">
            <v>97.751637499999987</v>
          </cell>
          <cell r="AE83">
            <v>0</v>
          </cell>
          <cell r="AF83">
            <v>0</v>
          </cell>
          <cell r="AG83">
            <v>6.0033355570380253</v>
          </cell>
          <cell r="AH83">
            <v>119.99</v>
          </cell>
          <cell r="AI83">
            <v>130.33913749999999</v>
          </cell>
          <cell r="AJ83">
            <v>0</v>
          </cell>
          <cell r="AK83">
            <v>0</v>
          </cell>
          <cell r="AL83">
            <v>6.002501250625313</v>
          </cell>
        </row>
        <row r="84">
          <cell r="B84" t="str">
            <v>Gabon</v>
          </cell>
          <cell r="C84" t="str">
            <v>Africa</v>
          </cell>
          <cell r="F84" t="str">
            <v>XAF</v>
          </cell>
          <cell r="G84">
            <v>4200</v>
          </cell>
          <cell r="H84">
            <v>5670</v>
          </cell>
          <cell r="I84">
            <v>25200</v>
          </cell>
          <cell r="J84">
            <v>34020</v>
          </cell>
          <cell r="K84">
            <v>6</v>
          </cell>
          <cell r="L84">
            <v>6</v>
          </cell>
          <cell r="M84">
            <v>1.35</v>
          </cell>
          <cell r="N84">
            <v>1.6559773E-3</v>
          </cell>
          <cell r="O84">
            <v>6.9551046599999999</v>
          </cell>
          <cell r="P84">
            <v>9.389391290999999</v>
          </cell>
          <cell r="Q84">
            <v>41.73062796</v>
          </cell>
          <cell r="R84">
            <v>56.336347746000001</v>
          </cell>
          <cell r="S84" t="str">
            <v>Increase Reach</v>
          </cell>
          <cell r="T84">
            <v>4200</v>
          </cell>
          <cell r="U84">
            <v>6.9551046599999999</v>
          </cell>
          <cell r="V84">
            <v>0</v>
          </cell>
          <cell r="W84">
            <v>0</v>
          </cell>
          <cell r="X84">
            <v>5670</v>
          </cell>
          <cell r="Y84">
            <v>9.389391290999999</v>
          </cell>
          <cell r="Z84">
            <v>0</v>
          </cell>
          <cell r="AA84">
            <v>0</v>
          </cell>
          <cell r="AB84">
            <v>1.35</v>
          </cell>
          <cell r="AC84">
            <v>25200</v>
          </cell>
          <cell r="AD84">
            <v>41.73062796</v>
          </cell>
          <cell r="AE84">
            <v>0</v>
          </cell>
          <cell r="AF84">
            <v>0</v>
          </cell>
          <cell r="AG84">
            <v>6</v>
          </cell>
          <cell r="AH84">
            <v>34020</v>
          </cell>
          <cell r="AI84">
            <v>56.336347746000001</v>
          </cell>
          <cell r="AJ84">
            <v>0</v>
          </cell>
          <cell r="AK84">
            <v>0</v>
          </cell>
          <cell r="AL84">
            <v>6</v>
          </cell>
        </row>
        <row r="85">
          <cell r="B85" t="str">
            <v>Gambia</v>
          </cell>
          <cell r="C85" t="str">
            <v>Africa</v>
          </cell>
          <cell r="F85" t="str">
            <v>GMD</v>
          </cell>
          <cell r="G85">
            <v>549.99</v>
          </cell>
          <cell r="H85">
            <v>741.99</v>
          </cell>
          <cell r="I85">
            <v>3299.99</v>
          </cell>
          <cell r="J85">
            <v>4451.99</v>
          </cell>
          <cell r="K85">
            <v>6.0000909107438316</v>
          </cell>
          <cell r="L85">
            <v>6.0000673863529155</v>
          </cell>
          <cell r="M85">
            <v>1.3490972563137511</v>
          </cell>
          <cell r="N85">
            <v>1.4837896E-2</v>
          </cell>
          <cell r="O85">
            <v>8.1606944210400005</v>
          </cell>
          <cell r="P85">
            <v>11.00957045304</v>
          </cell>
          <cell r="Q85">
            <v>48.964908421039993</v>
          </cell>
          <cell r="R85">
            <v>66.058164613039992</v>
          </cell>
          <cell r="S85" t="str">
            <v>Increase Reach</v>
          </cell>
          <cell r="T85">
            <v>549.99</v>
          </cell>
          <cell r="U85">
            <v>8.1606944210400005</v>
          </cell>
          <cell r="V85">
            <v>0</v>
          </cell>
          <cell r="W85">
            <v>0</v>
          </cell>
          <cell r="X85">
            <v>741.99</v>
          </cell>
          <cell r="Y85">
            <v>11.00957045304</v>
          </cell>
          <cell r="Z85">
            <v>0</v>
          </cell>
          <cell r="AA85">
            <v>0</v>
          </cell>
          <cell r="AB85">
            <v>1.3490972563137511</v>
          </cell>
          <cell r="AC85">
            <v>3299.99</v>
          </cell>
          <cell r="AD85">
            <v>48.964908421039993</v>
          </cell>
          <cell r="AE85">
            <v>0</v>
          </cell>
          <cell r="AF85">
            <v>0</v>
          </cell>
          <cell r="AG85">
            <v>6.0000909107438316</v>
          </cell>
          <cell r="AH85">
            <v>4451.99</v>
          </cell>
          <cell r="AI85">
            <v>66.058164613039992</v>
          </cell>
          <cell r="AJ85">
            <v>0</v>
          </cell>
          <cell r="AK85">
            <v>0</v>
          </cell>
          <cell r="AL85">
            <v>6.0000673863529155</v>
          </cell>
        </row>
        <row r="86">
          <cell r="B86" t="str">
            <v>Georgia</v>
          </cell>
          <cell r="C86" t="str">
            <v>Middle East</v>
          </cell>
          <cell r="F86" t="str">
            <v>GEL</v>
          </cell>
          <cell r="G86">
            <v>37.99</v>
          </cell>
          <cell r="H86">
            <v>50.99</v>
          </cell>
          <cell r="I86">
            <v>229.99</v>
          </cell>
          <cell r="J86">
            <v>299.99</v>
          </cell>
          <cell r="K86">
            <v>6.0539615688339037</v>
          </cell>
          <cell r="L86">
            <v>5.8833104530300062</v>
          </cell>
          <cell r="M86">
            <v>1.3421953145564622</v>
          </cell>
          <cell r="N86">
            <v>0.37383178</v>
          </cell>
          <cell r="O86">
            <v>14.2018693222</v>
          </cell>
          <cell r="P86">
            <v>19.0616824622</v>
          </cell>
          <cell r="Q86">
            <v>85.977571082200001</v>
          </cell>
          <cell r="R86">
            <v>112.1457956822</v>
          </cell>
          <cell r="S86" t="str">
            <v>Increase Reach</v>
          </cell>
          <cell r="T86">
            <v>37.99</v>
          </cell>
          <cell r="U86">
            <v>14.2018693222</v>
          </cell>
          <cell r="V86">
            <v>0</v>
          </cell>
          <cell r="W86">
            <v>0</v>
          </cell>
          <cell r="X86">
            <v>50.99</v>
          </cell>
          <cell r="Y86">
            <v>19.0616824622</v>
          </cell>
          <cell r="Z86">
            <v>0</v>
          </cell>
          <cell r="AA86">
            <v>0</v>
          </cell>
          <cell r="AB86">
            <v>1.3421953145564622</v>
          </cell>
          <cell r="AC86">
            <v>229.99</v>
          </cell>
          <cell r="AD86">
            <v>85.977571082200001</v>
          </cell>
          <cell r="AE86">
            <v>0</v>
          </cell>
          <cell r="AF86">
            <v>0</v>
          </cell>
          <cell r="AG86">
            <v>6.0539615688339037</v>
          </cell>
          <cell r="AH86">
            <v>299.99</v>
          </cell>
          <cell r="AI86">
            <v>112.1457956822</v>
          </cell>
          <cell r="AJ86">
            <v>0</v>
          </cell>
          <cell r="AK86">
            <v>0</v>
          </cell>
          <cell r="AL86">
            <v>5.8833104530300062</v>
          </cell>
        </row>
        <row r="87">
          <cell r="B87" t="str">
            <v>Germany</v>
          </cell>
          <cell r="C87" t="str">
            <v>Europe</v>
          </cell>
          <cell r="D87" t="str">
            <v>T1</v>
          </cell>
          <cell r="E87" t="str">
            <v>x</v>
          </cell>
          <cell r="F87" t="str">
            <v>EUR</v>
          </cell>
          <cell r="G87">
            <v>17.989999999999998</v>
          </cell>
          <cell r="H87">
            <v>23.99</v>
          </cell>
          <cell r="I87">
            <v>119.99</v>
          </cell>
          <cell r="J87">
            <v>164.99</v>
          </cell>
          <cell r="K87">
            <v>6.6698165647581993</v>
          </cell>
          <cell r="L87">
            <v>6.8774489370571077</v>
          </cell>
          <cell r="M87">
            <v>1.3335186214563646</v>
          </cell>
          <cell r="N87">
            <v>1.0862499999999999</v>
          </cell>
          <cell r="O87">
            <v>19.541637499999997</v>
          </cell>
          <cell r="P87">
            <v>26.059137499999999</v>
          </cell>
          <cell r="Q87">
            <v>130.33913749999999</v>
          </cell>
          <cell r="R87">
            <v>179.22038749999999</v>
          </cell>
          <cell r="S87" t="str">
            <v>Increase ARPU - Widening LPP Ratio</v>
          </cell>
          <cell r="T87">
            <v>19.989999999999998</v>
          </cell>
          <cell r="U87">
            <v>21.714137499999996</v>
          </cell>
          <cell r="V87">
            <v>2</v>
          </cell>
          <cell r="W87">
            <v>0.11117287381878826</v>
          </cell>
          <cell r="X87">
            <v>27.99</v>
          </cell>
          <cell r="Y87">
            <v>30.404137499999997</v>
          </cell>
          <cell r="Z87">
            <v>4</v>
          </cell>
          <cell r="AA87">
            <v>0.16673614005835757</v>
          </cell>
          <cell r="AB87">
            <v>1.400200100050025</v>
          </cell>
          <cell r="AC87">
            <v>139.99</v>
          </cell>
          <cell r="AD87">
            <v>152.06413750000002</v>
          </cell>
          <cell r="AE87">
            <v>20.000000000000014</v>
          </cell>
          <cell r="AF87">
            <v>0.16668055671305959</v>
          </cell>
          <cell r="AG87">
            <v>7.0030015007503765</v>
          </cell>
          <cell r="AH87">
            <v>189.99</v>
          </cell>
          <cell r="AI87">
            <v>206.37663749999999</v>
          </cell>
          <cell r="AJ87">
            <v>25</v>
          </cell>
          <cell r="AK87">
            <v>0.15152433480817029</v>
          </cell>
          <cell r="AL87">
            <v>6.7877813504823159</v>
          </cell>
        </row>
        <row r="88">
          <cell r="B88" t="str">
            <v>Ghana</v>
          </cell>
          <cell r="C88" t="str">
            <v>Africa</v>
          </cell>
          <cell r="F88" t="str">
            <v>GHS</v>
          </cell>
          <cell r="G88">
            <v>65</v>
          </cell>
          <cell r="H88">
            <v>90</v>
          </cell>
          <cell r="I88">
            <v>390</v>
          </cell>
          <cell r="J88">
            <v>540</v>
          </cell>
          <cell r="K88">
            <v>6</v>
          </cell>
          <cell r="L88">
            <v>6</v>
          </cell>
          <cell r="M88">
            <v>1.3846153846153846</v>
          </cell>
          <cell r="N88">
            <v>8.125127E-2</v>
          </cell>
          <cell r="O88">
            <v>5.2813325500000001</v>
          </cell>
          <cell r="P88">
            <v>7.3126142999999999</v>
          </cell>
          <cell r="Q88">
            <v>31.687995300000001</v>
          </cell>
          <cell r="R88">
            <v>43.875685799999999</v>
          </cell>
          <cell r="S88" t="str">
            <v>Increase ARPU - Maintaining LPP Ratio</v>
          </cell>
          <cell r="T88">
            <v>74</v>
          </cell>
          <cell r="U88">
            <v>6.0125939800000001</v>
          </cell>
          <cell r="V88">
            <v>9</v>
          </cell>
          <cell r="W88">
            <v>0.13846153846153841</v>
          </cell>
          <cell r="X88">
            <v>104</v>
          </cell>
          <cell r="Y88">
            <v>8.4501320799999995</v>
          </cell>
          <cell r="Z88">
            <v>14</v>
          </cell>
          <cell r="AA88">
            <v>0.15555555555555545</v>
          </cell>
          <cell r="AB88">
            <v>1.4054054054054055</v>
          </cell>
          <cell r="AC88">
            <v>440</v>
          </cell>
          <cell r="AD88">
            <v>35.7505588</v>
          </cell>
          <cell r="AE88">
            <v>50</v>
          </cell>
          <cell r="AF88">
            <v>0.12820512820512819</v>
          </cell>
          <cell r="AG88">
            <v>5.9459459459459456</v>
          </cell>
          <cell r="AH88">
            <v>620</v>
          </cell>
          <cell r="AI88">
            <v>50.3757874</v>
          </cell>
          <cell r="AJ88">
            <v>80</v>
          </cell>
          <cell r="AK88">
            <v>0.14814814814814814</v>
          </cell>
          <cell r="AL88">
            <v>5.9615384615384617</v>
          </cell>
        </row>
        <row r="89">
          <cell r="B89" t="str">
            <v>Gibraltar</v>
          </cell>
          <cell r="C89" t="str">
            <v>Europe</v>
          </cell>
          <cell r="F89" t="str">
            <v>GIP</v>
          </cell>
          <cell r="G89">
            <v>12.99</v>
          </cell>
          <cell r="H89">
            <v>17.989999999999998</v>
          </cell>
          <cell r="I89">
            <v>79.989999999999995</v>
          </cell>
          <cell r="J89">
            <v>124.99</v>
          </cell>
          <cell r="K89">
            <v>6.157813702848344</v>
          </cell>
          <cell r="L89">
            <v>6.9477487493051697</v>
          </cell>
          <cell r="M89">
            <v>1.3849114703618166</v>
          </cell>
          <cell r="N89">
            <v>1.27145</v>
          </cell>
          <cell r="O89">
            <v>16.516135500000001</v>
          </cell>
          <cell r="P89">
            <v>22.873385499999998</v>
          </cell>
          <cell r="Q89">
            <v>101.70328549999999</v>
          </cell>
          <cell r="R89">
            <v>158.91853549999999</v>
          </cell>
          <cell r="S89" t="str">
            <v>Increase Reach</v>
          </cell>
          <cell r="T89">
            <v>12.99</v>
          </cell>
          <cell r="U89">
            <v>16.516135500000001</v>
          </cell>
          <cell r="V89">
            <v>0</v>
          </cell>
          <cell r="W89">
            <v>0</v>
          </cell>
          <cell r="X89">
            <v>17.989999999999998</v>
          </cell>
          <cell r="Y89">
            <v>22.873385499999998</v>
          </cell>
          <cell r="Z89">
            <v>0</v>
          </cell>
          <cell r="AA89">
            <v>0</v>
          </cell>
          <cell r="AB89">
            <v>1.3849114703618166</v>
          </cell>
          <cell r="AC89">
            <v>79.989999999999995</v>
          </cell>
          <cell r="AD89">
            <v>101.70328549999999</v>
          </cell>
          <cell r="AE89">
            <v>0</v>
          </cell>
          <cell r="AF89">
            <v>0</v>
          </cell>
          <cell r="AG89">
            <v>6.157813702848344</v>
          </cell>
          <cell r="AH89">
            <v>124.99</v>
          </cell>
          <cell r="AI89">
            <v>158.91853549999999</v>
          </cell>
          <cell r="AJ89">
            <v>0</v>
          </cell>
          <cell r="AK89">
            <v>0</v>
          </cell>
          <cell r="AL89">
            <v>6.9477487493051697</v>
          </cell>
        </row>
        <row r="90">
          <cell r="B90" t="str">
            <v>Greece</v>
          </cell>
          <cell r="C90" t="str">
            <v>Europe</v>
          </cell>
          <cell r="F90" t="str">
            <v>EUR</v>
          </cell>
          <cell r="G90">
            <v>12.99</v>
          </cell>
          <cell r="H90">
            <v>16.989999999999998</v>
          </cell>
          <cell r="I90">
            <v>79.989999999999995</v>
          </cell>
          <cell r="J90">
            <v>104.99</v>
          </cell>
          <cell r="K90">
            <v>6.157813702848344</v>
          </cell>
          <cell r="L90">
            <v>6.1795173631547975</v>
          </cell>
          <cell r="M90">
            <v>1.3079291762894534</v>
          </cell>
          <cell r="N90">
            <v>1.0862499999999999</v>
          </cell>
          <cell r="O90">
            <v>14.1103875</v>
          </cell>
          <cell r="P90">
            <v>18.455387499999997</v>
          </cell>
          <cell r="Q90">
            <v>86.88913749999999</v>
          </cell>
          <cell r="R90">
            <v>114.04538749999999</v>
          </cell>
          <cell r="S90" t="str">
            <v>Increase Reach</v>
          </cell>
          <cell r="T90">
            <v>12.99</v>
          </cell>
          <cell r="U90">
            <v>14.1103875</v>
          </cell>
          <cell r="V90">
            <v>0</v>
          </cell>
          <cell r="W90">
            <v>0</v>
          </cell>
          <cell r="X90">
            <v>16.989999999999998</v>
          </cell>
          <cell r="Y90">
            <v>18.455387499999997</v>
          </cell>
          <cell r="Z90">
            <v>0</v>
          </cell>
          <cell r="AA90">
            <v>0</v>
          </cell>
          <cell r="AB90">
            <v>1.3079291762894534</v>
          </cell>
          <cell r="AC90">
            <v>89.99</v>
          </cell>
          <cell r="AD90">
            <v>97.751637499999987</v>
          </cell>
          <cell r="AE90">
            <v>10</v>
          </cell>
          <cell r="AF90">
            <v>0.1250156269533691</v>
          </cell>
          <cell r="AG90">
            <v>6.9276366435719776</v>
          </cell>
          <cell r="AH90">
            <v>117.99</v>
          </cell>
          <cell r="AI90">
            <v>128.16663749999998</v>
          </cell>
          <cell r="AJ90">
            <v>13</v>
          </cell>
          <cell r="AK90">
            <v>0.1238213163158397</v>
          </cell>
          <cell r="AL90">
            <v>6.9446733372572105</v>
          </cell>
        </row>
        <row r="91">
          <cell r="B91" t="str">
            <v>Greenland</v>
          </cell>
          <cell r="C91" t="str">
            <v>Europe</v>
          </cell>
          <cell r="F91" t="str">
            <v>DKK</v>
          </cell>
          <cell r="G91">
            <v>139.99</v>
          </cell>
          <cell r="H91">
            <v>179.99</v>
          </cell>
          <cell r="I91">
            <v>829.99</v>
          </cell>
          <cell r="J91">
            <v>1079.99</v>
          </cell>
          <cell r="K91">
            <v>5.928923494535324</v>
          </cell>
          <cell r="L91">
            <v>6.0002777932107341</v>
          </cell>
          <cell r="M91">
            <v>1.285734695335381</v>
          </cell>
          <cell r="N91">
            <v>0.14573116999999999</v>
          </cell>
          <cell r="O91">
            <v>20.400906488299999</v>
          </cell>
          <cell r="P91">
            <v>26.230153288299999</v>
          </cell>
          <cell r="Q91">
            <v>120.95541378829999</v>
          </cell>
          <cell r="R91">
            <v>157.38820628829998</v>
          </cell>
          <cell r="S91" t="str">
            <v>Increase Reach</v>
          </cell>
          <cell r="T91">
            <v>139.99</v>
          </cell>
          <cell r="U91">
            <v>20.400906488299999</v>
          </cell>
          <cell r="V91">
            <v>0</v>
          </cell>
          <cell r="W91">
            <v>0</v>
          </cell>
          <cell r="X91">
            <v>179.99</v>
          </cell>
          <cell r="Y91">
            <v>26.230153288299999</v>
          </cell>
          <cell r="Z91">
            <v>0</v>
          </cell>
          <cell r="AA91">
            <v>0</v>
          </cell>
          <cell r="AB91">
            <v>1.285734695335381</v>
          </cell>
          <cell r="AC91">
            <v>829.99</v>
          </cell>
          <cell r="AD91">
            <v>120.95541378829999</v>
          </cell>
          <cell r="AE91">
            <v>0</v>
          </cell>
          <cell r="AF91">
            <v>0</v>
          </cell>
          <cell r="AG91">
            <v>5.928923494535324</v>
          </cell>
          <cell r="AH91">
            <v>1079.99</v>
          </cell>
          <cell r="AI91">
            <v>157.38820628829998</v>
          </cell>
          <cell r="AJ91">
            <v>0</v>
          </cell>
          <cell r="AK91">
            <v>0</v>
          </cell>
          <cell r="AL91">
            <v>6.0002777932107341</v>
          </cell>
        </row>
        <row r="92">
          <cell r="B92" t="str">
            <v>Grenada</v>
          </cell>
          <cell r="C92" t="str">
            <v>Latin America</v>
          </cell>
          <cell r="F92" t="str">
            <v>XCD</v>
          </cell>
          <cell r="G92">
            <v>37.99</v>
          </cell>
          <cell r="H92">
            <v>50.99</v>
          </cell>
          <cell r="I92">
            <v>227.99</v>
          </cell>
          <cell r="J92">
            <v>305.99</v>
          </cell>
          <cell r="K92">
            <v>6.0013161358252169</v>
          </cell>
          <cell r="L92">
            <v>6.0009805844283193</v>
          </cell>
          <cell r="M92">
            <v>1.3421953145564622</v>
          </cell>
          <cell r="N92">
            <v>0.37037036000000001</v>
          </cell>
          <cell r="O92">
            <v>14.0703699764</v>
          </cell>
          <cell r="P92">
            <v>18.8851846564</v>
          </cell>
          <cell r="Q92">
            <v>84.440738376400006</v>
          </cell>
          <cell r="R92">
            <v>113.32962645640001</v>
          </cell>
          <cell r="S92" t="str">
            <v>Increase Reach</v>
          </cell>
          <cell r="T92">
            <v>37.99</v>
          </cell>
          <cell r="U92">
            <v>14.0703699764</v>
          </cell>
          <cell r="V92">
            <v>0</v>
          </cell>
          <cell r="W92">
            <v>0</v>
          </cell>
          <cell r="X92">
            <v>50.99</v>
          </cell>
          <cell r="Y92">
            <v>18.8851846564</v>
          </cell>
          <cell r="Z92">
            <v>0</v>
          </cell>
          <cell r="AA92">
            <v>0</v>
          </cell>
          <cell r="AB92">
            <v>1.3421953145564622</v>
          </cell>
          <cell r="AC92">
            <v>227.99</v>
          </cell>
          <cell r="AD92">
            <v>84.440738376400006</v>
          </cell>
          <cell r="AE92">
            <v>0</v>
          </cell>
          <cell r="AF92">
            <v>0</v>
          </cell>
          <cell r="AG92">
            <v>6.0013161358252169</v>
          </cell>
          <cell r="AH92">
            <v>305.99</v>
          </cell>
          <cell r="AI92">
            <v>113.32962645640001</v>
          </cell>
          <cell r="AJ92">
            <v>0</v>
          </cell>
          <cell r="AK92">
            <v>0</v>
          </cell>
          <cell r="AL92">
            <v>6.0009805844283193</v>
          </cell>
        </row>
        <row r="93">
          <cell r="B93" t="str">
            <v>Guadeloupe</v>
          </cell>
          <cell r="C93" t="str">
            <v>Latin America</v>
          </cell>
          <cell r="F93" t="str">
            <v>EUR</v>
          </cell>
          <cell r="G93">
            <v>9.99</v>
          </cell>
          <cell r="H93">
            <v>12.99</v>
          </cell>
          <cell r="I93">
            <v>59.99</v>
          </cell>
          <cell r="J93">
            <v>77.989999999999995</v>
          </cell>
          <cell r="K93">
            <v>6.005005005005005</v>
          </cell>
          <cell r="L93">
            <v>6.0038491147036179</v>
          </cell>
          <cell r="M93">
            <v>1.3003003003003002</v>
          </cell>
          <cell r="N93">
            <v>1.0862499999999999</v>
          </cell>
          <cell r="O93">
            <v>10.851637499999999</v>
          </cell>
          <cell r="P93">
            <v>14.1103875</v>
          </cell>
          <cell r="Q93">
            <v>65.164137499999995</v>
          </cell>
          <cell r="R93">
            <v>84.71663749999999</v>
          </cell>
          <cell r="S93" t="str">
            <v>Maintain Balance</v>
          </cell>
          <cell r="T93">
            <v>9.99</v>
          </cell>
          <cell r="U93">
            <v>10.851637499999999</v>
          </cell>
          <cell r="V93">
            <v>0</v>
          </cell>
          <cell r="W93">
            <v>0</v>
          </cell>
          <cell r="X93">
            <v>13.99</v>
          </cell>
          <cell r="Y93">
            <v>15.1966375</v>
          </cell>
          <cell r="Z93">
            <v>1</v>
          </cell>
          <cell r="AA93">
            <v>7.6982294072363455E-2</v>
          </cell>
          <cell r="AB93">
            <v>1.4004004004004005</v>
          </cell>
          <cell r="AC93">
            <v>59.99</v>
          </cell>
          <cell r="AD93">
            <v>65.164137499999995</v>
          </cell>
          <cell r="AE93">
            <v>0</v>
          </cell>
          <cell r="AF93">
            <v>0</v>
          </cell>
          <cell r="AG93">
            <v>6.005005005005005</v>
          </cell>
          <cell r="AH93">
            <v>84.99</v>
          </cell>
          <cell r="AI93">
            <v>92.320387499999995</v>
          </cell>
          <cell r="AJ93">
            <v>7</v>
          </cell>
          <cell r="AK93">
            <v>8.9755096807282886E-2</v>
          </cell>
          <cell r="AL93">
            <v>6.0750536097212287</v>
          </cell>
        </row>
        <row r="94">
          <cell r="B94" t="str">
            <v>Guatemala</v>
          </cell>
          <cell r="C94" t="str">
            <v>Latin America</v>
          </cell>
          <cell r="F94" t="str">
            <v>GTQ</v>
          </cell>
          <cell r="G94">
            <v>84.99</v>
          </cell>
          <cell r="H94">
            <v>114.99</v>
          </cell>
          <cell r="I94">
            <v>509.99</v>
          </cell>
          <cell r="J94">
            <v>689.99</v>
          </cell>
          <cell r="K94">
            <v>6.0005883045064126</v>
          </cell>
          <cell r="L94">
            <v>6.0004348204191675</v>
          </cell>
          <cell r="M94">
            <v>1.3529827038475115</v>
          </cell>
          <cell r="N94">
            <v>0.1279525</v>
          </cell>
          <cell r="O94">
            <v>10.874682974999999</v>
          </cell>
          <cell r="P94">
            <v>14.713257974999999</v>
          </cell>
          <cell r="Q94">
            <v>65.254495474999999</v>
          </cell>
          <cell r="R94">
            <v>88.285945475000005</v>
          </cell>
          <cell r="S94" t="str">
            <v>Maintain Balance</v>
          </cell>
          <cell r="T94">
            <v>84.99</v>
          </cell>
          <cell r="U94">
            <v>10.874682974999999</v>
          </cell>
          <cell r="V94">
            <v>0</v>
          </cell>
          <cell r="W94">
            <v>0</v>
          </cell>
          <cell r="X94">
            <v>124.99</v>
          </cell>
          <cell r="Y94">
            <v>15.992782974999999</v>
          </cell>
          <cell r="Z94">
            <v>10</v>
          </cell>
          <cell r="AA94">
            <v>8.6964083833376726E-2</v>
          </cell>
          <cell r="AB94">
            <v>1.4706436051300154</v>
          </cell>
          <cell r="AC94">
            <v>509.99</v>
          </cell>
          <cell r="AD94">
            <v>65.254495474999999</v>
          </cell>
          <cell r="AE94">
            <v>0</v>
          </cell>
          <cell r="AF94">
            <v>0</v>
          </cell>
          <cell r="AG94">
            <v>6.0005883045064126</v>
          </cell>
          <cell r="AH94">
            <v>749.99</v>
          </cell>
          <cell r="AI94">
            <v>95.963095475000003</v>
          </cell>
          <cell r="AJ94">
            <v>60</v>
          </cell>
          <cell r="AK94">
            <v>8.6957781996840566E-2</v>
          </cell>
          <cell r="AL94">
            <v>6.0004000320025606</v>
          </cell>
        </row>
        <row r="95">
          <cell r="B95" t="str">
            <v>Guernsey</v>
          </cell>
          <cell r="C95" t="str">
            <v>Europe</v>
          </cell>
          <cell r="F95" t="str">
            <v>GBP</v>
          </cell>
          <cell r="G95">
            <v>14.99</v>
          </cell>
          <cell r="H95">
            <v>19.989999999999998</v>
          </cell>
          <cell r="I95">
            <v>89.99</v>
          </cell>
          <cell r="J95">
            <v>139.99</v>
          </cell>
          <cell r="K95">
            <v>6.0033355570380253</v>
          </cell>
          <cell r="L95">
            <v>7.0030015007503765</v>
          </cell>
          <cell r="M95">
            <v>1.333555703802535</v>
          </cell>
          <cell r="N95">
            <v>1.2721499999999999</v>
          </cell>
          <cell r="O95">
            <v>19.069528499999997</v>
          </cell>
          <cell r="P95">
            <v>25.430278499999996</v>
          </cell>
          <cell r="Q95">
            <v>114.48077849999999</v>
          </cell>
          <cell r="R95">
            <v>178.0882785</v>
          </cell>
          <cell r="S95" t="str">
            <v>Increase Reach</v>
          </cell>
          <cell r="T95">
            <v>14.99</v>
          </cell>
          <cell r="U95">
            <v>19.069528499999997</v>
          </cell>
          <cell r="V95">
            <v>0</v>
          </cell>
          <cell r="W95">
            <v>0</v>
          </cell>
          <cell r="X95">
            <v>19.989999999999998</v>
          </cell>
          <cell r="Y95">
            <v>25.430278499999996</v>
          </cell>
          <cell r="Z95">
            <v>0</v>
          </cell>
          <cell r="AA95">
            <v>0</v>
          </cell>
          <cell r="AB95">
            <v>1.333555703802535</v>
          </cell>
          <cell r="AC95">
            <v>89.99</v>
          </cell>
          <cell r="AD95">
            <v>114.48077849999999</v>
          </cell>
          <cell r="AE95">
            <v>0</v>
          </cell>
          <cell r="AF95">
            <v>0</v>
          </cell>
          <cell r="AG95">
            <v>6.0033355570380253</v>
          </cell>
          <cell r="AH95">
            <v>139.99</v>
          </cell>
          <cell r="AI95">
            <v>178.0882785</v>
          </cell>
          <cell r="AJ95">
            <v>0</v>
          </cell>
          <cell r="AK95">
            <v>0</v>
          </cell>
          <cell r="AL95">
            <v>7.0030015007503765</v>
          </cell>
        </row>
        <row r="96">
          <cell r="B96" t="str">
            <v>Guinea</v>
          </cell>
          <cell r="C96" t="str">
            <v>Africa</v>
          </cell>
          <cell r="F96" t="str">
            <v>GNF</v>
          </cell>
          <cell r="G96">
            <v>80800</v>
          </cell>
          <cell r="H96">
            <v>109080</v>
          </cell>
          <cell r="I96">
            <v>484800</v>
          </cell>
          <cell r="J96">
            <v>654480</v>
          </cell>
          <cell r="K96">
            <v>6</v>
          </cell>
          <cell r="L96">
            <v>6</v>
          </cell>
          <cell r="M96">
            <v>1.35</v>
          </cell>
          <cell r="N96">
            <v>1.1627543E-4</v>
          </cell>
          <cell r="O96">
            <v>9.3950547439999994</v>
          </cell>
          <cell r="P96">
            <v>12.6833239044</v>
          </cell>
          <cell r="Q96">
            <v>56.370328463999996</v>
          </cell>
          <cell r="R96">
            <v>76.099943426400003</v>
          </cell>
          <cell r="S96" t="str">
            <v>Increase Reach</v>
          </cell>
          <cell r="T96">
            <v>80800</v>
          </cell>
          <cell r="U96">
            <v>9.3950547439999994</v>
          </cell>
          <cell r="V96">
            <v>0</v>
          </cell>
          <cell r="W96">
            <v>0</v>
          </cell>
          <cell r="X96">
            <v>109080</v>
          </cell>
          <cell r="Y96">
            <v>12.6833239044</v>
          </cell>
          <cell r="Z96">
            <v>0</v>
          </cell>
          <cell r="AA96">
            <v>0</v>
          </cell>
          <cell r="AB96">
            <v>1.35</v>
          </cell>
          <cell r="AC96">
            <v>484800</v>
          </cell>
          <cell r="AD96">
            <v>56.370328463999996</v>
          </cell>
          <cell r="AE96">
            <v>0</v>
          </cell>
          <cell r="AF96">
            <v>0</v>
          </cell>
          <cell r="AG96">
            <v>6</v>
          </cell>
          <cell r="AH96">
            <v>654480</v>
          </cell>
          <cell r="AI96">
            <v>76.099943426400003</v>
          </cell>
          <cell r="AJ96">
            <v>0</v>
          </cell>
          <cell r="AK96">
            <v>0</v>
          </cell>
          <cell r="AL96">
            <v>6</v>
          </cell>
        </row>
        <row r="97">
          <cell r="B97" t="str">
            <v>Guinea-Bissau</v>
          </cell>
          <cell r="C97" t="str">
            <v>Africa</v>
          </cell>
          <cell r="F97" t="str">
            <v>XOF</v>
          </cell>
          <cell r="G97">
            <v>5400</v>
          </cell>
          <cell r="H97">
            <v>7290</v>
          </cell>
          <cell r="I97">
            <v>32400</v>
          </cell>
          <cell r="J97">
            <v>43740</v>
          </cell>
          <cell r="K97">
            <v>6</v>
          </cell>
          <cell r="L97">
            <v>6</v>
          </cell>
          <cell r="M97">
            <v>1.35</v>
          </cell>
          <cell r="N97">
            <v>1.6559773E-3</v>
          </cell>
          <cell r="O97">
            <v>8.9422774199999999</v>
          </cell>
          <cell r="P97">
            <v>12.072074517000001</v>
          </cell>
          <cell r="Q97">
            <v>53.65366452</v>
          </cell>
          <cell r="R97">
            <v>72.432447101999998</v>
          </cell>
          <cell r="S97" t="str">
            <v>Increase Reach</v>
          </cell>
          <cell r="T97">
            <v>5400</v>
          </cell>
          <cell r="U97">
            <v>8.9422774199999999</v>
          </cell>
          <cell r="V97">
            <v>0</v>
          </cell>
          <cell r="W97">
            <v>0</v>
          </cell>
          <cell r="X97">
            <v>7290</v>
          </cell>
          <cell r="Y97">
            <v>12.072074517000001</v>
          </cell>
          <cell r="Z97">
            <v>0</v>
          </cell>
          <cell r="AA97">
            <v>0</v>
          </cell>
          <cell r="AB97">
            <v>1.35</v>
          </cell>
          <cell r="AC97">
            <v>32400</v>
          </cell>
          <cell r="AD97">
            <v>53.65366452</v>
          </cell>
          <cell r="AE97">
            <v>0</v>
          </cell>
          <cell r="AF97">
            <v>0</v>
          </cell>
          <cell r="AG97">
            <v>6</v>
          </cell>
          <cell r="AH97">
            <v>43740</v>
          </cell>
          <cell r="AI97">
            <v>72.432447101999998</v>
          </cell>
          <cell r="AJ97">
            <v>0</v>
          </cell>
          <cell r="AK97">
            <v>0</v>
          </cell>
          <cell r="AL97">
            <v>6</v>
          </cell>
        </row>
        <row r="98">
          <cell r="B98" t="str">
            <v>Guyana</v>
          </cell>
          <cell r="C98" t="str">
            <v>Latin America</v>
          </cell>
          <cell r="F98" t="str">
            <v>GYD</v>
          </cell>
          <cell r="G98">
            <v>2899.99</v>
          </cell>
          <cell r="H98">
            <v>3914.99</v>
          </cell>
          <cell r="I98">
            <v>17399.990000000002</v>
          </cell>
          <cell r="J98">
            <v>23489.99</v>
          </cell>
          <cell r="K98">
            <v>6.0000172414387647</v>
          </cell>
          <cell r="L98">
            <v>6.0000127714247045</v>
          </cell>
          <cell r="M98">
            <v>1.3500012069007135</v>
          </cell>
          <cell r="N98">
            <v>4.7788094000000003E-3</v>
          </cell>
          <cell r="O98">
            <v>13.858499471906001</v>
          </cell>
          <cell r="P98">
            <v>18.708991012906001</v>
          </cell>
          <cell r="Q98">
            <v>83.151235771906016</v>
          </cell>
          <cell r="R98">
            <v>112.25418501790601</v>
          </cell>
          <cell r="S98" t="str">
            <v>Maintain Balance</v>
          </cell>
          <cell r="T98">
            <v>2899.99</v>
          </cell>
          <cell r="U98">
            <v>13.858499471906001</v>
          </cell>
          <cell r="V98">
            <v>0</v>
          </cell>
          <cell r="W98">
            <v>0</v>
          </cell>
          <cell r="X98">
            <v>4199.99</v>
          </cell>
          <cell r="Y98">
            <v>20.070951691906</v>
          </cell>
          <cell r="Z98">
            <v>285</v>
          </cell>
          <cell r="AA98">
            <v>7.2797120810014881E-2</v>
          </cell>
          <cell r="AB98">
            <v>1.4482774078531306</v>
          </cell>
          <cell r="AC98">
            <v>17399.990000000002</v>
          </cell>
          <cell r="AD98">
            <v>83.151235771906016</v>
          </cell>
          <cell r="AE98">
            <v>0</v>
          </cell>
          <cell r="AF98">
            <v>0</v>
          </cell>
          <cell r="AG98">
            <v>6.0000172414387647</v>
          </cell>
          <cell r="AH98">
            <v>25199.99</v>
          </cell>
          <cell r="AI98">
            <v>120.42594909190602</v>
          </cell>
          <cell r="AJ98">
            <v>1710</v>
          </cell>
          <cell r="AK98">
            <v>7.2796965856520179E-2</v>
          </cell>
          <cell r="AL98">
            <v>6.0000119047902505</v>
          </cell>
        </row>
        <row r="99">
          <cell r="B99" t="str">
            <v>Haiti</v>
          </cell>
          <cell r="C99" t="str">
            <v>Latin America</v>
          </cell>
          <cell r="F99" t="str">
            <v>HTG</v>
          </cell>
          <cell r="G99">
            <v>1300</v>
          </cell>
          <cell r="H99">
            <v>1760</v>
          </cell>
          <cell r="I99">
            <v>7800</v>
          </cell>
          <cell r="J99">
            <v>10560</v>
          </cell>
          <cell r="K99">
            <v>6</v>
          </cell>
          <cell r="L99">
            <v>6</v>
          </cell>
          <cell r="M99">
            <v>1.3538461538461539</v>
          </cell>
          <cell r="N99">
            <v>7.604268E-3</v>
          </cell>
          <cell r="O99">
            <v>9.8855483999999993</v>
          </cell>
          <cell r="P99">
            <v>13.38351168</v>
          </cell>
          <cell r="Q99">
            <v>59.3132904</v>
          </cell>
          <cell r="R99">
            <v>80.301070080000002</v>
          </cell>
          <cell r="S99" t="str">
            <v>Increase Reach</v>
          </cell>
          <cell r="T99">
            <v>1300</v>
          </cell>
          <cell r="U99">
            <v>9.8855483999999993</v>
          </cell>
          <cell r="V99">
            <v>0</v>
          </cell>
          <cell r="W99">
            <v>0</v>
          </cell>
          <cell r="X99">
            <v>1760</v>
          </cell>
          <cell r="Y99">
            <v>13.38351168</v>
          </cell>
          <cell r="Z99">
            <v>0</v>
          </cell>
          <cell r="AA99">
            <v>0</v>
          </cell>
          <cell r="AB99">
            <v>1.3538461538461539</v>
          </cell>
          <cell r="AC99">
            <v>7800</v>
          </cell>
          <cell r="AD99">
            <v>59.3132904</v>
          </cell>
          <cell r="AE99">
            <v>0</v>
          </cell>
          <cell r="AF99">
            <v>0</v>
          </cell>
          <cell r="AG99">
            <v>6</v>
          </cell>
          <cell r="AH99">
            <v>10560</v>
          </cell>
          <cell r="AI99">
            <v>80.301070080000002</v>
          </cell>
          <cell r="AJ99">
            <v>0</v>
          </cell>
          <cell r="AK99">
            <v>0</v>
          </cell>
          <cell r="AL99">
            <v>6</v>
          </cell>
        </row>
        <row r="100">
          <cell r="B100" t="str">
            <v>Heard And Mcdonald Islands</v>
          </cell>
          <cell r="C100" t="str">
            <v>Europe</v>
          </cell>
          <cell r="F100" t="str">
            <v>AUD</v>
          </cell>
          <cell r="G100">
            <v>12.99</v>
          </cell>
          <cell r="H100">
            <v>17.989999999999998</v>
          </cell>
          <cell r="I100">
            <v>77.989999999999995</v>
          </cell>
          <cell r="J100">
            <v>107.99</v>
          </cell>
          <cell r="K100">
            <v>6.0038491147036179</v>
          </cell>
          <cell r="L100">
            <v>6.0027793218454697</v>
          </cell>
          <cell r="M100">
            <v>1.3849114703618166</v>
          </cell>
          <cell r="N100">
            <v>0.65905000000000002</v>
          </cell>
          <cell r="O100">
            <v>8.5610595000000007</v>
          </cell>
          <cell r="P100">
            <v>11.8563095</v>
          </cell>
          <cell r="Q100">
            <v>51.399309500000001</v>
          </cell>
          <cell r="R100">
            <v>71.170809500000004</v>
          </cell>
          <cell r="S100" t="str">
            <v>Increase Reach</v>
          </cell>
          <cell r="T100">
            <v>12.99</v>
          </cell>
          <cell r="U100">
            <v>8.5610595000000007</v>
          </cell>
          <cell r="V100">
            <v>0</v>
          </cell>
          <cell r="W100">
            <v>0</v>
          </cell>
          <cell r="X100">
            <v>17.989999999999998</v>
          </cell>
          <cell r="Y100">
            <v>11.8563095</v>
          </cell>
          <cell r="Z100">
            <v>0</v>
          </cell>
          <cell r="AA100">
            <v>0</v>
          </cell>
          <cell r="AB100">
            <v>1.3849114703618166</v>
          </cell>
          <cell r="AC100">
            <v>77.989999999999995</v>
          </cell>
          <cell r="AD100">
            <v>51.399309500000001</v>
          </cell>
          <cell r="AE100">
            <v>0</v>
          </cell>
          <cell r="AF100">
            <v>0</v>
          </cell>
          <cell r="AG100">
            <v>6.0038491147036179</v>
          </cell>
          <cell r="AH100">
            <v>107.99</v>
          </cell>
          <cell r="AI100">
            <v>71.170809500000004</v>
          </cell>
          <cell r="AJ100">
            <v>0</v>
          </cell>
          <cell r="AK100">
            <v>0</v>
          </cell>
          <cell r="AL100">
            <v>6.0027793218454697</v>
          </cell>
        </row>
        <row r="101">
          <cell r="B101" t="str">
            <v>Honduras</v>
          </cell>
          <cell r="C101" t="str">
            <v>Latin America</v>
          </cell>
          <cell r="F101" t="str">
            <v>HNL</v>
          </cell>
          <cell r="G101">
            <v>219.99</v>
          </cell>
          <cell r="H101">
            <v>296.99</v>
          </cell>
          <cell r="I101">
            <v>1319.99</v>
          </cell>
          <cell r="J101">
            <v>1781.99</v>
          </cell>
          <cell r="K101">
            <v>6.0002272830583205</v>
          </cell>
          <cell r="L101">
            <v>6.0001683558368963</v>
          </cell>
          <cell r="M101">
            <v>1.3500159098140825</v>
          </cell>
          <cell r="N101">
            <v>4.0475834000000002E-2</v>
          </cell>
          <cell r="O101">
            <v>8.9042787216600008</v>
          </cell>
          <cell r="P101">
            <v>12.02091793966</v>
          </cell>
          <cell r="Q101">
            <v>53.427696121660006</v>
          </cell>
          <cell r="R101">
            <v>72.12753142966001</v>
          </cell>
          <cell r="S101" t="str">
            <v>Maintain Balance</v>
          </cell>
          <cell r="T101">
            <v>219.99</v>
          </cell>
          <cell r="U101">
            <v>8.9042787216600008</v>
          </cell>
          <cell r="V101">
            <v>0</v>
          </cell>
          <cell r="W101">
            <v>0</v>
          </cell>
          <cell r="X101">
            <v>319.99</v>
          </cell>
          <cell r="Y101">
            <v>12.951862121660001</v>
          </cell>
          <cell r="Z101">
            <v>23</v>
          </cell>
          <cell r="AA101">
            <v>7.7443684972557936E-2</v>
          </cell>
          <cell r="AB101">
            <v>1.4545661166416655</v>
          </cell>
          <cell r="AC101">
            <v>1319.99</v>
          </cell>
          <cell r="AD101">
            <v>53.427696121660006</v>
          </cell>
          <cell r="AE101">
            <v>0</v>
          </cell>
          <cell r="AF101">
            <v>0</v>
          </cell>
          <cell r="AG101">
            <v>6.0002272830583205</v>
          </cell>
          <cell r="AH101">
            <v>1919.99</v>
          </cell>
          <cell r="AI101">
            <v>77.713196521660009</v>
          </cell>
          <cell r="AJ101">
            <v>138</v>
          </cell>
          <cell r="AK101">
            <v>7.7441512017463632E-2</v>
          </cell>
          <cell r="AL101">
            <v>6.000156254882965</v>
          </cell>
        </row>
        <row r="102">
          <cell r="B102" t="str">
            <v>Hong Kong</v>
          </cell>
          <cell r="C102" t="str">
            <v>NBA China</v>
          </cell>
          <cell r="D102" t="str">
            <v>T3</v>
          </cell>
          <cell r="F102" t="str">
            <v>HKD</v>
          </cell>
          <cell r="G102">
            <v>109</v>
          </cell>
          <cell r="H102">
            <v>150</v>
          </cell>
          <cell r="I102">
            <v>759</v>
          </cell>
          <cell r="J102">
            <v>1049</v>
          </cell>
          <cell r="K102">
            <v>6.9633027522935782</v>
          </cell>
          <cell r="L102">
            <v>6.9933333333333332</v>
          </cell>
          <cell r="M102">
            <v>1.3761467889908257</v>
          </cell>
          <cell r="N102">
            <v>0.12798361</v>
          </cell>
          <cell r="O102">
            <v>13.950213489999999</v>
          </cell>
          <cell r="P102">
            <v>19.1975415</v>
          </cell>
          <cell r="Q102">
            <v>97.139559989999995</v>
          </cell>
          <cell r="R102">
            <v>134.25480689</v>
          </cell>
          <cell r="S102" t="str">
            <v>Maintain Balance</v>
          </cell>
          <cell r="T102">
            <v>109</v>
          </cell>
          <cell r="U102">
            <v>13.950213489999999</v>
          </cell>
          <cell r="V102">
            <v>0</v>
          </cell>
          <cell r="W102">
            <v>0</v>
          </cell>
          <cell r="X102">
            <v>164</v>
          </cell>
          <cell r="Y102">
            <v>20.989312039999998</v>
          </cell>
          <cell r="Z102">
            <v>14</v>
          </cell>
          <cell r="AA102">
            <v>9.3333333333333268E-2</v>
          </cell>
          <cell r="AB102">
            <v>1.5045871559633028</v>
          </cell>
          <cell r="AC102">
            <v>759</v>
          </cell>
          <cell r="AD102">
            <v>97.139559989999995</v>
          </cell>
          <cell r="AE102">
            <v>0</v>
          </cell>
          <cell r="AF102">
            <v>0</v>
          </cell>
          <cell r="AG102">
            <v>6.9633027522935782</v>
          </cell>
          <cell r="AH102">
            <v>1149</v>
          </cell>
          <cell r="AI102">
            <v>147.05316789</v>
          </cell>
          <cell r="AJ102">
            <v>100</v>
          </cell>
          <cell r="AK102">
            <v>9.5328884652049473E-2</v>
          </cell>
          <cell r="AL102">
            <v>7.0060975609756095</v>
          </cell>
        </row>
        <row r="103">
          <cell r="B103" t="str">
            <v>Hungary</v>
          </cell>
          <cell r="C103" t="str">
            <v>Europe</v>
          </cell>
          <cell r="F103" t="str">
            <v>HUF</v>
          </cell>
          <cell r="G103">
            <v>3999</v>
          </cell>
          <cell r="H103">
            <v>5199</v>
          </cell>
          <cell r="I103">
            <v>23999</v>
          </cell>
          <cell r="J103">
            <v>31199</v>
          </cell>
          <cell r="K103">
            <v>6.0012503125781445</v>
          </cell>
          <cell r="L103">
            <v>6.0009617234083477</v>
          </cell>
          <cell r="M103">
            <v>1.3000750187546888</v>
          </cell>
          <cell r="N103">
            <v>2.8053978000000001E-3</v>
          </cell>
          <cell r="O103">
            <v>11.218785802200001</v>
          </cell>
          <cell r="P103">
            <v>14.5852631622</v>
          </cell>
          <cell r="Q103">
            <v>67.326741802200004</v>
          </cell>
          <cell r="R103">
            <v>87.525605962200004</v>
          </cell>
          <cell r="S103" t="str">
            <v>Increase ARPU - Maintaining LPP Ratio</v>
          </cell>
          <cell r="T103">
            <v>4199</v>
          </cell>
          <cell r="U103">
            <v>11.779865362200001</v>
          </cell>
          <cell r="V103">
            <v>200</v>
          </cell>
          <cell r="W103">
            <v>5.0012503125781427E-2</v>
          </cell>
          <cell r="X103">
            <v>5499</v>
          </cell>
          <cell r="Y103">
            <v>15.4268825022</v>
          </cell>
          <cell r="Z103">
            <v>300</v>
          </cell>
          <cell r="AA103">
            <v>5.7703404500865529E-2</v>
          </cell>
          <cell r="AB103">
            <v>1.3095975232198143</v>
          </cell>
          <cell r="AC103">
            <v>25999</v>
          </cell>
          <cell r="AD103">
            <v>72.937537402200007</v>
          </cell>
          <cell r="AE103">
            <v>2000</v>
          </cell>
          <cell r="AF103">
            <v>8.3336805700237493E-2</v>
          </cell>
          <cell r="AG103">
            <v>6.1917123124553468</v>
          </cell>
          <cell r="AH103">
            <v>33999</v>
          </cell>
          <cell r="AI103">
            <v>95.380719802200005</v>
          </cell>
          <cell r="AJ103">
            <v>2800</v>
          </cell>
          <cell r="AK103">
            <v>8.9746466232892175E-2</v>
          </cell>
          <cell r="AL103">
            <v>6.1827605019094385</v>
          </cell>
        </row>
        <row r="104">
          <cell r="B104" t="str">
            <v>Iceland</v>
          </cell>
          <cell r="C104" t="str">
            <v>Europe</v>
          </cell>
          <cell r="F104" t="str">
            <v>ISK</v>
          </cell>
          <cell r="G104">
            <v>3499.99</v>
          </cell>
          <cell r="H104">
            <v>4549.99</v>
          </cell>
          <cell r="I104">
            <v>20999.99</v>
          </cell>
          <cell r="J104">
            <v>29999.99</v>
          </cell>
          <cell r="K104">
            <v>6.0000142857551033</v>
          </cell>
          <cell r="L104">
            <v>6.5934188866349164</v>
          </cell>
          <cell r="M104">
            <v>1.3000008571453061</v>
          </cell>
          <cell r="N104">
            <v>7.315289E-3</v>
          </cell>
          <cell r="O104">
            <v>25.60343834711</v>
          </cell>
          <cell r="P104">
            <v>33.28449179711</v>
          </cell>
          <cell r="Q104">
            <v>153.62099584711001</v>
          </cell>
          <cell r="R104">
            <v>219.45859684711002</v>
          </cell>
          <cell r="S104" t="str">
            <v>Increase ARPU - Widening LPP Ratio</v>
          </cell>
          <cell r="T104">
            <v>3699.99</v>
          </cell>
          <cell r="U104">
            <v>27.066496147109998</v>
          </cell>
          <cell r="V104">
            <v>200</v>
          </cell>
          <cell r="W104">
            <v>5.7143020408629841E-2</v>
          </cell>
          <cell r="X104">
            <v>5099.99</v>
          </cell>
          <cell r="Y104">
            <v>37.307900747109997</v>
          </cell>
          <cell r="Z104">
            <v>550</v>
          </cell>
          <cell r="AA104">
            <v>0.12087938654810237</v>
          </cell>
          <cell r="AB104">
            <v>1.3783794010254082</v>
          </cell>
          <cell r="AC104">
            <v>23999.99</v>
          </cell>
          <cell r="AD104">
            <v>175.56686284711</v>
          </cell>
          <cell r="AE104">
            <v>3000</v>
          </cell>
          <cell r="AF104">
            <v>0.14285721088438619</v>
          </cell>
          <cell r="AG104">
            <v>6.486501314868419</v>
          </cell>
          <cell r="AH104">
            <v>32999.99</v>
          </cell>
          <cell r="AI104">
            <v>241.40446384710998</v>
          </cell>
          <cell r="AJ104">
            <v>2999.9999999999964</v>
          </cell>
          <cell r="AK104">
            <v>0.1000000333333444</v>
          </cell>
          <cell r="AL104">
            <v>6.470598961958749</v>
          </cell>
        </row>
        <row r="105">
          <cell r="B105" t="str">
            <v>India</v>
          </cell>
          <cell r="C105" t="str">
            <v>India</v>
          </cell>
          <cell r="D105" t="str">
            <v>S</v>
          </cell>
          <cell r="F105" t="str">
            <v>INR</v>
          </cell>
          <cell r="G105">
            <v>219</v>
          </cell>
          <cell r="H105">
            <v>299</v>
          </cell>
          <cell r="I105">
            <v>1499</v>
          </cell>
          <cell r="J105">
            <v>1999</v>
          </cell>
          <cell r="K105">
            <v>6.8447488584474883</v>
          </cell>
          <cell r="L105">
            <v>6.6856187290969897</v>
          </cell>
          <cell r="M105">
            <v>1.365296803652968</v>
          </cell>
          <cell r="N105">
            <v>1.2031342E-2</v>
          </cell>
          <cell r="O105">
            <v>2.6348638979999999</v>
          </cell>
          <cell r="P105">
            <v>3.5973712579999999</v>
          </cell>
          <cell r="Q105">
            <v>18.034981658</v>
          </cell>
          <cell r="R105">
            <v>24.050652658000001</v>
          </cell>
          <cell r="S105" t="str">
            <v>Maintain Balance</v>
          </cell>
          <cell r="T105">
            <v>219</v>
          </cell>
          <cell r="U105">
            <v>2.6348638979999999</v>
          </cell>
          <cell r="V105">
            <v>0</v>
          </cell>
          <cell r="W105">
            <v>0</v>
          </cell>
          <cell r="X105">
            <v>329</v>
          </cell>
          <cell r="Y105">
            <v>3.9583115180000004</v>
          </cell>
          <cell r="Z105">
            <v>30</v>
          </cell>
          <cell r="AA105">
            <v>0.10033444816053505</v>
          </cell>
          <cell r="AB105">
            <v>1.5022831050228311</v>
          </cell>
          <cell r="AC105">
            <v>1499</v>
          </cell>
          <cell r="AD105">
            <v>18.034981658</v>
          </cell>
          <cell r="AE105">
            <v>0</v>
          </cell>
          <cell r="AF105">
            <v>0</v>
          </cell>
          <cell r="AG105">
            <v>6.8447488584474883</v>
          </cell>
          <cell r="AH105">
            <v>2099</v>
          </cell>
          <cell r="AI105">
            <v>25.253786858000002</v>
          </cell>
          <cell r="AJ105">
            <v>100</v>
          </cell>
          <cell r="AK105">
            <v>5.002501250625313E-2</v>
          </cell>
          <cell r="AL105">
            <v>6.3799392097264436</v>
          </cell>
        </row>
        <row r="106">
          <cell r="B106" t="str">
            <v>Indonesia</v>
          </cell>
          <cell r="C106" t="str">
            <v>Asia</v>
          </cell>
          <cell r="D106" t="str">
            <v>S</v>
          </cell>
          <cell r="F106" t="str">
            <v>IDR</v>
          </cell>
          <cell r="G106">
            <v>135000</v>
          </cell>
          <cell r="H106">
            <v>182250</v>
          </cell>
          <cell r="I106">
            <v>945000</v>
          </cell>
          <cell r="J106">
            <v>1093500</v>
          </cell>
          <cell r="K106">
            <v>7</v>
          </cell>
          <cell r="L106">
            <v>6</v>
          </cell>
          <cell r="M106">
            <v>1.35</v>
          </cell>
          <cell r="N106">
            <v>6.3211126E-5</v>
          </cell>
          <cell r="O106">
            <v>8.5335020099999994</v>
          </cell>
          <cell r="P106">
            <v>11.520227713500001</v>
          </cell>
          <cell r="Q106">
            <v>59.734514070000003</v>
          </cell>
          <cell r="R106">
            <v>69.121366280999993</v>
          </cell>
          <cell r="S106" t="str">
            <v>Maintain Balance</v>
          </cell>
          <cell r="T106">
            <v>135000</v>
          </cell>
          <cell r="U106">
            <v>8.5335020099999994</v>
          </cell>
          <cell r="V106">
            <v>0</v>
          </cell>
          <cell r="W106">
            <v>0</v>
          </cell>
          <cell r="X106">
            <v>200000</v>
          </cell>
          <cell r="Y106">
            <v>12.6422252</v>
          </cell>
          <cell r="Z106">
            <v>17750</v>
          </cell>
          <cell r="AA106">
            <v>9.7393689986282617E-2</v>
          </cell>
          <cell r="AB106">
            <v>1.4814814814814814</v>
          </cell>
          <cell r="AC106">
            <v>945000</v>
          </cell>
          <cell r="AD106">
            <v>59.734514070000003</v>
          </cell>
          <cell r="AE106">
            <v>0</v>
          </cell>
          <cell r="AF106">
            <v>0</v>
          </cell>
          <cell r="AG106">
            <v>7</v>
          </cell>
          <cell r="AH106">
            <v>1200000</v>
          </cell>
          <cell r="AI106">
            <v>75.853351200000006</v>
          </cell>
          <cell r="AJ106">
            <v>106500</v>
          </cell>
          <cell r="AK106">
            <v>9.7393689986282617E-2</v>
          </cell>
          <cell r="AL106">
            <v>6</v>
          </cell>
        </row>
        <row r="107">
          <cell r="B107" t="str">
            <v>Iraq</v>
          </cell>
          <cell r="C107" t="str">
            <v>Middle East</v>
          </cell>
          <cell r="F107" t="str">
            <v>USD</v>
          </cell>
          <cell r="G107">
            <v>12.99</v>
          </cell>
          <cell r="H107">
            <v>16.989999999999998</v>
          </cell>
          <cell r="I107">
            <v>74.989999999999995</v>
          </cell>
          <cell r="J107">
            <v>99.99</v>
          </cell>
          <cell r="K107">
            <v>5.772902232486528</v>
          </cell>
          <cell r="L107">
            <v>5.8852266038846386</v>
          </cell>
          <cell r="M107">
            <v>1.3079291762894534</v>
          </cell>
          <cell r="N107">
            <v>1</v>
          </cell>
          <cell r="O107">
            <v>12.99</v>
          </cell>
          <cell r="P107">
            <v>16.989999999999998</v>
          </cell>
          <cell r="Q107">
            <v>74.989999999999995</v>
          </cell>
          <cell r="R107">
            <v>99.99</v>
          </cell>
          <cell r="S107" t="str">
            <v>Increase Reach</v>
          </cell>
          <cell r="T107">
            <v>12.99</v>
          </cell>
          <cell r="U107">
            <v>12.99</v>
          </cell>
          <cell r="V107">
            <v>0</v>
          </cell>
          <cell r="W107">
            <v>0</v>
          </cell>
          <cell r="X107">
            <v>16.989999999999998</v>
          </cell>
          <cell r="Y107">
            <v>16.989999999999998</v>
          </cell>
          <cell r="Z107">
            <v>0</v>
          </cell>
          <cell r="AA107">
            <v>0</v>
          </cell>
          <cell r="AB107">
            <v>1.3079291762894534</v>
          </cell>
          <cell r="AC107">
            <v>74.989999999999995</v>
          </cell>
          <cell r="AD107">
            <v>74.989999999999995</v>
          </cell>
          <cell r="AE107">
            <v>0</v>
          </cell>
          <cell r="AF107">
            <v>0</v>
          </cell>
          <cell r="AG107">
            <v>5.772902232486528</v>
          </cell>
          <cell r="AH107">
            <v>99.99</v>
          </cell>
          <cell r="AI107">
            <v>99.99</v>
          </cell>
          <cell r="AJ107">
            <v>0</v>
          </cell>
          <cell r="AK107">
            <v>0</v>
          </cell>
          <cell r="AL107">
            <v>5.8852266038846386</v>
          </cell>
        </row>
        <row r="108">
          <cell r="B108" t="str">
            <v>Ireland</v>
          </cell>
          <cell r="C108" t="str">
            <v>Europe</v>
          </cell>
          <cell r="F108" t="str">
            <v>EUR</v>
          </cell>
          <cell r="G108">
            <v>17.989999999999998</v>
          </cell>
          <cell r="H108">
            <v>23.99</v>
          </cell>
          <cell r="I108">
            <v>109.99</v>
          </cell>
          <cell r="J108">
            <v>159.99</v>
          </cell>
          <cell r="K108">
            <v>6.1139521956642584</v>
          </cell>
          <cell r="L108">
            <v>6.6690287619841611</v>
          </cell>
          <cell r="M108">
            <v>1.3335186214563646</v>
          </cell>
          <cell r="N108">
            <v>1.0862499999999999</v>
          </cell>
          <cell r="O108">
            <v>19.541637499999997</v>
          </cell>
          <cell r="P108">
            <v>26.059137499999999</v>
          </cell>
          <cell r="Q108">
            <v>119.47663749999998</v>
          </cell>
          <cell r="R108">
            <v>173.78913750000001</v>
          </cell>
          <cell r="S108" t="str">
            <v>Increase ARPU - Maintaining LPP Ratio</v>
          </cell>
          <cell r="T108">
            <v>18.989999999999998</v>
          </cell>
          <cell r="U108">
            <v>20.627887499999996</v>
          </cell>
          <cell r="V108">
            <v>1</v>
          </cell>
          <cell r="W108">
            <v>5.5586436909394132E-2</v>
          </cell>
          <cell r="X108">
            <v>24.99</v>
          </cell>
          <cell r="Y108">
            <v>27.145387499999998</v>
          </cell>
          <cell r="Z108">
            <v>1</v>
          </cell>
          <cell r="AA108">
            <v>4.1684035014589504E-2</v>
          </cell>
          <cell r="AB108">
            <v>1.315955766192733</v>
          </cell>
          <cell r="AC108">
            <v>121.99</v>
          </cell>
          <cell r="AD108">
            <v>132.51163749999998</v>
          </cell>
          <cell r="AE108">
            <v>12</v>
          </cell>
          <cell r="AF108">
            <v>0.1091008273479408</v>
          </cell>
          <cell r="AG108">
            <v>6.4239073196419172</v>
          </cell>
          <cell r="AH108">
            <v>159.99</v>
          </cell>
          <cell r="AI108">
            <v>173.78913750000001</v>
          </cell>
          <cell r="AJ108">
            <v>0</v>
          </cell>
          <cell r="AK108">
            <v>0</v>
          </cell>
          <cell r="AL108">
            <v>6.4021608643457393</v>
          </cell>
        </row>
        <row r="109">
          <cell r="B109" t="str">
            <v>Isle Of Man</v>
          </cell>
          <cell r="C109" t="str">
            <v>Europe</v>
          </cell>
          <cell r="F109" t="str">
            <v>USD</v>
          </cell>
          <cell r="G109">
            <v>19.989999999999998</v>
          </cell>
          <cell r="H109">
            <v>25.99</v>
          </cell>
          <cell r="I109">
            <v>119.99</v>
          </cell>
          <cell r="J109">
            <v>179.99</v>
          </cell>
          <cell r="K109">
            <v>6.002501250625313</v>
          </cell>
          <cell r="L109">
            <v>6.9253559061177388</v>
          </cell>
          <cell r="M109">
            <v>1.3001500750375188</v>
          </cell>
          <cell r="N109">
            <v>1</v>
          </cell>
          <cell r="O109">
            <v>19.989999999999998</v>
          </cell>
          <cell r="P109">
            <v>25.99</v>
          </cell>
          <cell r="Q109">
            <v>119.99</v>
          </cell>
          <cell r="R109">
            <v>179.99</v>
          </cell>
          <cell r="S109" t="str">
            <v>Increase Reach</v>
          </cell>
          <cell r="T109">
            <v>19.989999999999998</v>
          </cell>
          <cell r="U109">
            <v>19.989999999999998</v>
          </cell>
          <cell r="V109">
            <v>0</v>
          </cell>
          <cell r="W109">
            <v>0</v>
          </cell>
          <cell r="X109">
            <v>25.99</v>
          </cell>
          <cell r="Y109">
            <v>25.99</v>
          </cell>
          <cell r="Z109">
            <v>0</v>
          </cell>
          <cell r="AA109">
            <v>0</v>
          </cell>
          <cell r="AB109">
            <v>1.3001500750375188</v>
          </cell>
          <cell r="AC109">
            <v>119.99</v>
          </cell>
          <cell r="AD109">
            <v>119.99</v>
          </cell>
          <cell r="AE109">
            <v>0</v>
          </cell>
          <cell r="AF109">
            <v>0</v>
          </cell>
          <cell r="AG109">
            <v>6.002501250625313</v>
          </cell>
          <cell r="AH109">
            <v>179.99</v>
          </cell>
          <cell r="AI109">
            <v>179.99</v>
          </cell>
          <cell r="AJ109">
            <v>0</v>
          </cell>
          <cell r="AK109">
            <v>0</v>
          </cell>
          <cell r="AL109">
            <v>6.9253559061177388</v>
          </cell>
        </row>
        <row r="110">
          <cell r="B110" t="str">
            <v>Israel</v>
          </cell>
          <cell r="C110" t="str">
            <v>Europe</v>
          </cell>
          <cell r="D110" t="str">
            <v>T4</v>
          </cell>
          <cell r="F110" t="str">
            <v>ILS</v>
          </cell>
          <cell r="G110">
            <v>64.989999999999995</v>
          </cell>
          <cell r="H110">
            <v>87.99</v>
          </cell>
          <cell r="I110">
            <v>389.99</v>
          </cell>
          <cell r="J110">
            <v>519.99</v>
          </cell>
          <cell r="K110">
            <v>6.0007693491306364</v>
          </cell>
          <cell r="L110">
            <v>5.9096488237299694</v>
          </cell>
          <cell r="M110">
            <v>1.3539006000923219</v>
          </cell>
          <cell r="N110">
            <v>0.27128207999999998</v>
          </cell>
          <cell r="O110">
            <v>17.630622379199998</v>
          </cell>
          <cell r="P110">
            <v>23.870110219199997</v>
          </cell>
          <cell r="Q110">
            <v>105.7972983792</v>
          </cell>
          <cell r="R110">
            <v>141.0639687792</v>
          </cell>
          <cell r="S110" t="str">
            <v>Increase Reach</v>
          </cell>
          <cell r="T110">
            <v>64.989999999999995</v>
          </cell>
          <cell r="U110">
            <v>17.630622379199998</v>
          </cell>
          <cell r="V110">
            <v>0</v>
          </cell>
          <cell r="W110">
            <v>0</v>
          </cell>
          <cell r="X110">
            <v>87.99</v>
          </cell>
          <cell r="Y110">
            <v>23.870110219199997</v>
          </cell>
          <cell r="Z110">
            <v>0</v>
          </cell>
          <cell r="AA110">
            <v>0</v>
          </cell>
          <cell r="AB110">
            <v>1.3539006000923219</v>
          </cell>
          <cell r="AC110">
            <v>419.99</v>
          </cell>
          <cell r="AD110">
            <v>113.9357607792</v>
          </cell>
          <cell r="AE110">
            <v>30</v>
          </cell>
          <cell r="AF110">
            <v>7.6925049360240028E-2</v>
          </cell>
          <cell r="AG110">
            <v>6.4623788275119258</v>
          </cell>
          <cell r="AH110">
            <v>569.99</v>
          </cell>
          <cell r="AI110">
            <v>154.62807277919998</v>
          </cell>
          <cell r="AJ110">
            <v>50</v>
          </cell>
          <cell r="AK110">
            <v>9.6155695301832766E-2</v>
          </cell>
          <cell r="AL110">
            <v>6.4778952153653826</v>
          </cell>
        </row>
        <row r="111">
          <cell r="B111" t="str">
            <v>Italy</v>
          </cell>
          <cell r="C111" t="str">
            <v>Europe</v>
          </cell>
          <cell r="D111" t="str">
            <v>T3</v>
          </cell>
          <cell r="E111" t="str">
            <v>x</v>
          </cell>
          <cell r="F111" t="str">
            <v>EUR</v>
          </cell>
          <cell r="G111">
            <v>14.99</v>
          </cell>
          <cell r="H111">
            <v>19.989999999999998</v>
          </cell>
          <cell r="I111">
            <v>99.99</v>
          </cell>
          <cell r="J111">
            <v>139.99</v>
          </cell>
          <cell r="K111">
            <v>6.6704469646430953</v>
          </cell>
          <cell r="L111">
            <v>7.0030015007503765</v>
          </cell>
          <cell r="M111">
            <v>1.333555703802535</v>
          </cell>
          <cell r="N111">
            <v>1.0862499999999999</v>
          </cell>
          <cell r="O111">
            <v>16.282887500000001</v>
          </cell>
          <cell r="P111">
            <v>21.714137499999996</v>
          </cell>
          <cell r="Q111">
            <v>108.61413749999998</v>
          </cell>
          <cell r="R111">
            <v>152.06413750000002</v>
          </cell>
          <cell r="S111" t="str">
            <v>Increase ARPU - Widening LPP Ratio</v>
          </cell>
          <cell r="T111">
            <v>15.99</v>
          </cell>
          <cell r="U111">
            <v>17.369137500000001</v>
          </cell>
          <cell r="V111">
            <v>1</v>
          </cell>
          <cell r="W111">
            <v>6.6711140760506993E-2</v>
          </cell>
          <cell r="X111">
            <v>21.99</v>
          </cell>
          <cell r="Y111">
            <v>23.886637499999996</v>
          </cell>
          <cell r="Z111">
            <v>2</v>
          </cell>
          <cell r="AA111">
            <v>0.10005002501250626</v>
          </cell>
          <cell r="AB111">
            <v>1.3752345215759849</v>
          </cell>
          <cell r="AC111">
            <v>109.99</v>
          </cell>
          <cell r="AD111">
            <v>119.47663749999998</v>
          </cell>
          <cell r="AE111">
            <v>10</v>
          </cell>
          <cell r="AF111">
            <v>0.10001000100009994</v>
          </cell>
          <cell r="AG111">
            <v>6.8786741713570976</v>
          </cell>
          <cell r="AH111">
            <v>149.99</v>
          </cell>
          <cell r="AI111">
            <v>162.9266375</v>
          </cell>
          <cell r="AJ111">
            <v>10</v>
          </cell>
          <cell r="AK111">
            <v>7.1433673833845246E-2</v>
          </cell>
          <cell r="AL111">
            <v>6.8208276489313331</v>
          </cell>
        </row>
        <row r="112">
          <cell r="B112" t="str">
            <v>Jamaica</v>
          </cell>
          <cell r="C112" t="str">
            <v>Latin America</v>
          </cell>
          <cell r="F112" t="str">
            <v>JMD</v>
          </cell>
          <cell r="G112">
            <v>1599.99</v>
          </cell>
          <cell r="H112">
            <v>2159.9899999999998</v>
          </cell>
          <cell r="I112">
            <v>9599.99</v>
          </cell>
          <cell r="J112">
            <v>12959.99</v>
          </cell>
          <cell r="K112">
            <v>6.0000312501953132</v>
          </cell>
          <cell r="L112">
            <v>6.0000231482553161</v>
          </cell>
          <cell r="M112">
            <v>1.3500021875136718</v>
          </cell>
          <cell r="N112">
            <v>6.4200116E-3</v>
          </cell>
          <cell r="O112">
            <v>10.271954359884001</v>
          </cell>
          <cell r="P112">
            <v>13.867160855883998</v>
          </cell>
          <cell r="Q112">
            <v>61.632047159883996</v>
          </cell>
          <cell r="R112">
            <v>83.203286135883999</v>
          </cell>
          <cell r="S112" t="str">
            <v>Increase ARPU - Widening LPP Ratio</v>
          </cell>
          <cell r="T112">
            <v>1699.99</v>
          </cell>
          <cell r="U112">
            <v>10.913955519884</v>
          </cell>
          <cell r="V112">
            <v>100</v>
          </cell>
          <cell r="W112">
            <v>6.2500390627441504E-2</v>
          </cell>
          <cell r="X112">
            <v>2399.9899999999998</v>
          </cell>
          <cell r="Y112">
            <v>15.407963639883999</v>
          </cell>
          <cell r="Z112">
            <v>240</v>
          </cell>
          <cell r="AA112">
            <v>0.11111162551678477</v>
          </cell>
          <cell r="AB112">
            <v>1.4117671280419295</v>
          </cell>
          <cell r="AC112">
            <v>10199.99</v>
          </cell>
          <cell r="AD112">
            <v>65.484054119883993</v>
          </cell>
          <cell r="AE112">
            <v>600</v>
          </cell>
          <cell r="AF112">
            <v>6.2500065104234448E-2</v>
          </cell>
          <cell r="AG112">
            <v>6.0000294119377173</v>
          </cell>
          <cell r="AH112">
            <v>14399.99</v>
          </cell>
          <cell r="AI112">
            <v>92.448102839884001</v>
          </cell>
          <cell r="AJ112">
            <v>1440</v>
          </cell>
          <cell r="AK112">
            <v>0.11111119684505932</v>
          </cell>
          <cell r="AL112">
            <v>6.0000208334201401</v>
          </cell>
        </row>
        <row r="113">
          <cell r="B113" t="str">
            <v>Jersey</v>
          </cell>
          <cell r="C113" t="str">
            <v>Europe</v>
          </cell>
          <cell r="F113" t="str">
            <v>USD</v>
          </cell>
          <cell r="G113">
            <v>19.989999999999998</v>
          </cell>
          <cell r="H113">
            <v>25.99</v>
          </cell>
          <cell r="I113">
            <v>119.99</v>
          </cell>
          <cell r="J113">
            <v>179.99</v>
          </cell>
          <cell r="K113">
            <v>6.002501250625313</v>
          </cell>
          <cell r="L113">
            <v>6.9253559061177388</v>
          </cell>
          <cell r="M113">
            <v>1.3001500750375188</v>
          </cell>
          <cell r="N113">
            <v>1</v>
          </cell>
          <cell r="O113">
            <v>19.989999999999998</v>
          </cell>
          <cell r="P113">
            <v>25.99</v>
          </cell>
          <cell r="Q113">
            <v>119.99</v>
          </cell>
          <cell r="R113">
            <v>179.99</v>
          </cell>
          <cell r="S113" t="str">
            <v>Increase Reach</v>
          </cell>
          <cell r="T113">
            <v>19.989999999999998</v>
          </cell>
          <cell r="U113">
            <v>19.989999999999998</v>
          </cell>
          <cell r="V113">
            <v>0</v>
          </cell>
          <cell r="W113">
            <v>0</v>
          </cell>
          <cell r="X113">
            <v>25.99</v>
          </cell>
          <cell r="Y113">
            <v>25.99</v>
          </cell>
          <cell r="Z113">
            <v>0</v>
          </cell>
          <cell r="AA113">
            <v>0</v>
          </cell>
          <cell r="AB113">
            <v>1.3001500750375188</v>
          </cell>
          <cell r="AC113">
            <v>119.99</v>
          </cell>
          <cell r="AD113">
            <v>119.99</v>
          </cell>
          <cell r="AE113">
            <v>0</v>
          </cell>
          <cell r="AF113">
            <v>0</v>
          </cell>
          <cell r="AG113">
            <v>6.002501250625313</v>
          </cell>
          <cell r="AH113">
            <v>179.99</v>
          </cell>
          <cell r="AI113">
            <v>179.99</v>
          </cell>
          <cell r="AJ113">
            <v>0</v>
          </cell>
          <cell r="AK113">
            <v>0</v>
          </cell>
          <cell r="AL113">
            <v>6.9253559061177388</v>
          </cell>
        </row>
        <row r="114">
          <cell r="B114" t="str">
            <v>Jordan</v>
          </cell>
          <cell r="C114" t="str">
            <v>Middle East</v>
          </cell>
          <cell r="F114" t="str">
            <v>JOD</v>
          </cell>
          <cell r="G114">
            <v>8.9990000000000006</v>
          </cell>
          <cell r="H114">
            <v>11.999000000000001</v>
          </cell>
          <cell r="I114">
            <v>59.999000000000002</v>
          </cell>
          <cell r="J114">
            <v>69.998999999999995</v>
          </cell>
          <cell r="K114">
            <v>6.6672963662629181</v>
          </cell>
          <cell r="L114">
            <v>5.8337361446787224</v>
          </cell>
          <cell r="M114">
            <v>1.3333703744860539</v>
          </cell>
          <cell r="N114">
            <v>1.4083515</v>
          </cell>
          <cell r="O114">
            <v>12.6737551485</v>
          </cell>
          <cell r="P114">
            <v>16.898809648500002</v>
          </cell>
          <cell r="Q114">
            <v>84.499681648500001</v>
          </cell>
          <cell r="R114">
            <v>98.583196648499992</v>
          </cell>
          <cell r="S114" t="str">
            <v>Increase Reach</v>
          </cell>
          <cell r="T114">
            <v>8.9990000000000006</v>
          </cell>
          <cell r="U114">
            <v>12.6737551485</v>
          </cell>
          <cell r="V114">
            <v>0</v>
          </cell>
          <cell r="W114">
            <v>0</v>
          </cell>
          <cell r="X114">
            <v>11.999000000000001</v>
          </cell>
          <cell r="Y114">
            <v>16.898809648500002</v>
          </cell>
          <cell r="Z114">
            <v>0</v>
          </cell>
          <cell r="AA114">
            <v>0</v>
          </cell>
          <cell r="AB114">
            <v>1.3333703744860539</v>
          </cell>
          <cell r="AC114">
            <v>59.999000000000002</v>
          </cell>
          <cell r="AD114">
            <v>84.499681648500001</v>
          </cell>
          <cell r="AE114">
            <v>0</v>
          </cell>
          <cell r="AF114">
            <v>0</v>
          </cell>
          <cell r="AG114">
            <v>6.6672963662629181</v>
          </cell>
          <cell r="AH114">
            <v>79.998999999999995</v>
          </cell>
          <cell r="AI114">
            <v>112.6667116485</v>
          </cell>
          <cell r="AJ114">
            <v>10</v>
          </cell>
          <cell r="AK114">
            <v>0.14285918370262429</v>
          </cell>
          <cell r="AL114">
            <v>6.6671389282440199</v>
          </cell>
        </row>
        <row r="115">
          <cell r="B115" t="str">
            <v>Kazakhstan</v>
          </cell>
          <cell r="C115" t="str">
            <v>Asia</v>
          </cell>
          <cell r="F115" t="str">
            <v>KZT</v>
          </cell>
          <cell r="G115">
            <v>4600</v>
          </cell>
          <cell r="H115">
            <v>6210</v>
          </cell>
          <cell r="I115">
            <v>27600</v>
          </cell>
          <cell r="J115">
            <v>37260</v>
          </cell>
          <cell r="K115">
            <v>6</v>
          </cell>
          <cell r="L115">
            <v>6</v>
          </cell>
          <cell r="M115">
            <v>1.35</v>
          </cell>
          <cell r="N115">
            <v>2.2199775999999999E-3</v>
          </cell>
          <cell r="O115">
            <v>10.211896959999999</v>
          </cell>
          <cell r="P115">
            <v>13.786060895999999</v>
          </cell>
          <cell r="Q115">
            <v>61.271381759999997</v>
          </cell>
          <cell r="R115">
            <v>82.716365375999999</v>
          </cell>
          <cell r="S115" t="str">
            <v>Increase Reach</v>
          </cell>
          <cell r="T115">
            <v>4600</v>
          </cell>
          <cell r="U115">
            <v>10.211896959999999</v>
          </cell>
          <cell r="V115">
            <v>0</v>
          </cell>
          <cell r="W115">
            <v>0</v>
          </cell>
          <cell r="X115">
            <v>6210</v>
          </cell>
          <cell r="Y115">
            <v>13.786060895999999</v>
          </cell>
          <cell r="Z115">
            <v>0</v>
          </cell>
          <cell r="AA115">
            <v>0</v>
          </cell>
          <cell r="AB115">
            <v>1.35</v>
          </cell>
          <cell r="AC115">
            <v>27600</v>
          </cell>
          <cell r="AD115">
            <v>61.271381759999997</v>
          </cell>
          <cell r="AE115">
            <v>0</v>
          </cell>
          <cell r="AF115">
            <v>0</v>
          </cell>
          <cell r="AG115">
            <v>6</v>
          </cell>
          <cell r="AH115">
            <v>37260</v>
          </cell>
          <cell r="AI115">
            <v>82.716365375999999</v>
          </cell>
          <cell r="AJ115">
            <v>0</v>
          </cell>
          <cell r="AK115">
            <v>0</v>
          </cell>
          <cell r="AL115">
            <v>6</v>
          </cell>
        </row>
        <row r="116">
          <cell r="B116" t="str">
            <v>Kenya</v>
          </cell>
          <cell r="C116" t="str">
            <v>Africa</v>
          </cell>
          <cell r="F116" t="str">
            <v>KES</v>
          </cell>
          <cell r="G116">
            <v>1100</v>
          </cell>
          <cell r="H116">
            <v>1490</v>
          </cell>
          <cell r="I116">
            <v>6600</v>
          </cell>
          <cell r="J116">
            <v>8940</v>
          </cell>
          <cell r="K116">
            <v>6</v>
          </cell>
          <cell r="L116">
            <v>6</v>
          </cell>
          <cell r="M116">
            <v>1.3545454545454545</v>
          </cell>
          <cell r="N116">
            <v>6.1538460000000001E-3</v>
          </cell>
          <cell r="O116">
            <v>6.7692306000000002</v>
          </cell>
          <cell r="P116">
            <v>9.1692305400000009</v>
          </cell>
          <cell r="Q116">
            <v>40.615383600000001</v>
          </cell>
          <cell r="R116">
            <v>55.015383239999998</v>
          </cell>
          <cell r="S116" t="str">
            <v>Increase Reach</v>
          </cell>
          <cell r="T116">
            <v>1100</v>
          </cell>
          <cell r="U116">
            <v>6.7692306000000002</v>
          </cell>
          <cell r="V116">
            <v>0</v>
          </cell>
          <cell r="W116">
            <v>0</v>
          </cell>
          <cell r="X116">
            <v>1490</v>
          </cell>
          <cell r="Y116">
            <v>9.1692305400000009</v>
          </cell>
          <cell r="Z116">
            <v>0</v>
          </cell>
          <cell r="AA116">
            <v>0</v>
          </cell>
          <cell r="AB116">
            <v>1.3545454545454545</v>
          </cell>
          <cell r="AC116">
            <v>6600</v>
          </cell>
          <cell r="AD116">
            <v>40.615383600000001</v>
          </cell>
          <cell r="AE116">
            <v>0</v>
          </cell>
          <cell r="AF116">
            <v>0</v>
          </cell>
          <cell r="AG116">
            <v>6</v>
          </cell>
          <cell r="AH116">
            <v>8940</v>
          </cell>
          <cell r="AI116">
            <v>55.015383239999998</v>
          </cell>
          <cell r="AJ116">
            <v>0</v>
          </cell>
          <cell r="AK116">
            <v>0</v>
          </cell>
          <cell r="AL116">
            <v>6</v>
          </cell>
        </row>
        <row r="117">
          <cell r="B117" t="str">
            <v>Kiribati</v>
          </cell>
          <cell r="C117" t="str">
            <v>Asia</v>
          </cell>
          <cell r="F117" t="str">
            <v>AUD</v>
          </cell>
          <cell r="G117">
            <v>12.99</v>
          </cell>
          <cell r="H117">
            <v>17.989999999999998</v>
          </cell>
          <cell r="I117">
            <v>77.989999999999995</v>
          </cell>
          <cell r="J117">
            <v>107.99</v>
          </cell>
          <cell r="K117">
            <v>6.0038491147036179</v>
          </cell>
          <cell r="L117">
            <v>6.0027793218454697</v>
          </cell>
          <cell r="M117">
            <v>1.3849114703618166</v>
          </cell>
          <cell r="N117">
            <v>0.65905000000000002</v>
          </cell>
          <cell r="O117">
            <v>8.5610595000000007</v>
          </cell>
          <cell r="P117">
            <v>11.8563095</v>
          </cell>
          <cell r="Q117">
            <v>51.399309500000001</v>
          </cell>
          <cell r="R117">
            <v>71.170809500000004</v>
          </cell>
          <cell r="S117" t="str">
            <v>Increase Reach</v>
          </cell>
          <cell r="T117">
            <v>12.99</v>
          </cell>
          <cell r="U117">
            <v>8.5610595000000007</v>
          </cell>
          <cell r="V117">
            <v>0</v>
          </cell>
          <cell r="W117">
            <v>0</v>
          </cell>
          <cell r="X117">
            <v>17.989999999999998</v>
          </cell>
          <cell r="Y117">
            <v>11.8563095</v>
          </cell>
          <cell r="Z117">
            <v>0</v>
          </cell>
          <cell r="AA117">
            <v>0</v>
          </cell>
          <cell r="AB117">
            <v>1.3849114703618166</v>
          </cell>
          <cell r="AC117">
            <v>77.989999999999995</v>
          </cell>
          <cell r="AD117">
            <v>51.399309500000001</v>
          </cell>
          <cell r="AE117">
            <v>0</v>
          </cell>
          <cell r="AF117">
            <v>0</v>
          </cell>
          <cell r="AG117">
            <v>6.0038491147036179</v>
          </cell>
          <cell r="AH117">
            <v>107.99</v>
          </cell>
          <cell r="AI117">
            <v>71.170809500000004</v>
          </cell>
          <cell r="AJ117">
            <v>0</v>
          </cell>
          <cell r="AK117">
            <v>0</v>
          </cell>
          <cell r="AL117">
            <v>6.0027793218454697</v>
          </cell>
        </row>
        <row r="118">
          <cell r="B118" t="str">
            <v>Kosovo</v>
          </cell>
          <cell r="C118" t="str">
            <v>Europe</v>
          </cell>
          <cell r="F118" t="str">
            <v>EUR</v>
          </cell>
          <cell r="G118">
            <v>5.99</v>
          </cell>
          <cell r="H118">
            <v>7.99</v>
          </cell>
          <cell r="I118">
            <v>35.99</v>
          </cell>
          <cell r="J118">
            <v>47.99</v>
          </cell>
          <cell r="K118">
            <v>6.0083472454090154</v>
          </cell>
          <cell r="L118">
            <v>6.0062578222778473</v>
          </cell>
          <cell r="M118">
            <v>1.333889816360601</v>
          </cell>
          <cell r="N118">
            <v>1.0862499999999999</v>
          </cell>
          <cell r="O118">
            <v>6.5066375000000001</v>
          </cell>
          <cell r="P118">
            <v>8.6791374999999995</v>
          </cell>
          <cell r="Q118">
            <v>39.094137500000002</v>
          </cell>
          <cell r="R118">
            <v>52.129137499999999</v>
          </cell>
          <cell r="S118" t="str">
            <v>Increase Reach</v>
          </cell>
          <cell r="T118">
            <v>5.99</v>
          </cell>
          <cell r="U118">
            <v>6.5066375000000001</v>
          </cell>
          <cell r="V118">
            <v>0</v>
          </cell>
          <cell r="W118">
            <v>0</v>
          </cell>
          <cell r="X118">
            <v>7.99</v>
          </cell>
          <cell r="Y118">
            <v>8.6791374999999995</v>
          </cell>
          <cell r="Z118">
            <v>0</v>
          </cell>
          <cell r="AA118">
            <v>0</v>
          </cell>
          <cell r="AB118">
            <v>1.333889816360601</v>
          </cell>
          <cell r="AC118">
            <v>35.99</v>
          </cell>
          <cell r="AD118">
            <v>39.094137500000002</v>
          </cell>
          <cell r="AE118">
            <v>0</v>
          </cell>
          <cell r="AF118">
            <v>0</v>
          </cell>
          <cell r="AG118">
            <v>6.0083472454090154</v>
          </cell>
          <cell r="AH118">
            <v>47.99</v>
          </cell>
          <cell r="AI118">
            <v>52.129137499999999</v>
          </cell>
          <cell r="AJ118">
            <v>0</v>
          </cell>
          <cell r="AK118">
            <v>0</v>
          </cell>
          <cell r="AL118">
            <v>6.0062578222778473</v>
          </cell>
        </row>
        <row r="119">
          <cell r="B119" t="str">
            <v>Kuwait</v>
          </cell>
          <cell r="C119" t="str">
            <v>Middle East</v>
          </cell>
          <cell r="F119" t="str">
            <v>KWD</v>
          </cell>
          <cell r="G119">
            <v>6.9989999999999997</v>
          </cell>
          <cell r="H119">
            <v>8.9990000000000006</v>
          </cell>
          <cell r="I119">
            <v>49.999000000000002</v>
          </cell>
          <cell r="J119">
            <v>59.999000000000002</v>
          </cell>
          <cell r="K119">
            <v>7.1437348192598948</v>
          </cell>
          <cell r="L119">
            <v>6.6672963662629181</v>
          </cell>
          <cell r="M119">
            <v>1.2857551078725533</v>
          </cell>
          <cell r="N119">
            <v>3.2504469999999999</v>
          </cell>
          <cell r="O119">
            <v>22.749878552999999</v>
          </cell>
          <cell r="P119">
            <v>29.250772553000001</v>
          </cell>
          <cell r="Q119">
            <v>162.51909955299999</v>
          </cell>
          <cell r="R119">
            <v>195.02356955299999</v>
          </cell>
          <cell r="S119" t="str">
            <v>Maintain Balance</v>
          </cell>
          <cell r="T119">
            <v>6.9989999999999997</v>
          </cell>
          <cell r="U119">
            <v>22.749878552999999</v>
          </cell>
          <cell r="V119">
            <v>0</v>
          </cell>
          <cell r="W119">
            <v>0</v>
          </cell>
          <cell r="X119">
            <v>9.9990000000000006</v>
          </cell>
          <cell r="Y119">
            <v>32.501219552999999</v>
          </cell>
          <cell r="Z119">
            <v>1</v>
          </cell>
          <cell r="AA119">
            <v>0.11112345816201796</v>
          </cell>
          <cell r="AB119">
            <v>1.4286326618088301</v>
          </cell>
          <cell r="AC119">
            <v>49.999000000000002</v>
          </cell>
          <cell r="AD119">
            <v>162.51909955299999</v>
          </cell>
          <cell r="AE119">
            <v>0</v>
          </cell>
          <cell r="AF119">
            <v>0</v>
          </cell>
          <cell r="AG119">
            <v>7.1437348192598948</v>
          </cell>
          <cell r="AH119">
            <v>64.998999999999995</v>
          </cell>
          <cell r="AI119">
            <v>211.27580455299997</v>
          </cell>
          <cell r="AJ119">
            <v>4.9999999999999929</v>
          </cell>
          <cell r="AK119">
            <v>8.333472224537064E-2</v>
          </cell>
          <cell r="AL119">
            <v>6.5005500550054993</v>
          </cell>
        </row>
        <row r="120">
          <cell r="B120" t="str">
            <v>Kyrgyzstan</v>
          </cell>
          <cell r="C120" t="str">
            <v>Asia</v>
          </cell>
          <cell r="F120" t="str">
            <v>KGS</v>
          </cell>
          <cell r="G120">
            <v>979.99</v>
          </cell>
          <cell r="H120">
            <v>1322.99</v>
          </cell>
          <cell r="I120">
            <v>5879.99</v>
          </cell>
          <cell r="J120">
            <v>7937.99</v>
          </cell>
          <cell r="K120">
            <v>6.000051020928785</v>
          </cell>
          <cell r="L120">
            <v>6.0000377931805984</v>
          </cell>
          <cell r="M120">
            <v>1.3500035714650149</v>
          </cell>
          <cell r="N120">
            <v>1.1195701000000001E-2</v>
          </cell>
          <cell r="O120">
            <v>10.97167502299</v>
          </cell>
          <cell r="P120">
            <v>14.81180046599</v>
          </cell>
          <cell r="Q120">
            <v>65.830609922990007</v>
          </cell>
          <cell r="R120">
            <v>88.871362580990009</v>
          </cell>
          <cell r="S120" t="str">
            <v>Increase Reach</v>
          </cell>
          <cell r="T120">
            <v>979.99</v>
          </cell>
          <cell r="U120">
            <v>10.97167502299</v>
          </cell>
          <cell r="V120">
            <v>0</v>
          </cell>
          <cell r="W120">
            <v>0</v>
          </cell>
          <cell r="X120">
            <v>1322.99</v>
          </cell>
          <cell r="Y120">
            <v>14.81180046599</v>
          </cell>
          <cell r="Z120">
            <v>0</v>
          </cell>
          <cell r="AA120">
            <v>0</v>
          </cell>
          <cell r="AB120">
            <v>1.3500035714650149</v>
          </cell>
          <cell r="AC120">
            <v>5879.99</v>
          </cell>
          <cell r="AD120">
            <v>65.830609922990007</v>
          </cell>
          <cell r="AE120">
            <v>0</v>
          </cell>
          <cell r="AF120">
            <v>0</v>
          </cell>
          <cell r="AG120">
            <v>6.000051020928785</v>
          </cell>
          <cell r="AH120">
            <v>7937.99</v>
          </cell>
          <cell r="AI120">
            <v>88.871362580990009</v>
          </cell>
          <cell r="AJ120">
            <v>0</v>
          </cell>
          <cell r="AK120">
            <v>0</v>
          </cell>
          <cell r="AL120">
            <v>6.0000377931805984</v>
          </cell>
        </row>
        <row r="121">
          <cell r="B121" t="str">
            <v>Laos</v>
          </cell>
          <cell r="C121" t="str">
            <v>Asia</v>
          </cell>
          <cell r="F121" t="str">
            <v>LAK</v>
          </cell>
          <cell r="G121">
            <v>95100</v>
          </cell>
          <cell r="H121">
            <v>128390</v>
          </cell>
          <cell r="I121">
            <v>570600</v>
          </cell>
          <cell r="J121">
            <v>770340</v>
          </cell>
          <cell r="K121">
            <v>6</v>
          </cell>
          <cell r="L121">
            <v>6</v>
          </cell>
          <cell r="M121">
            <v>1.3500525762355415</v>
          </cell>
          <cell r="N121">
            <v>4.8163171999999997E-5</v>
          </cell>
          <cell r="O121">
            <v>4.5803176571999993</v>
          </cell>
          <cell r="P121">
            <v>6.1836696530799999</v>
          </cell>
          <cell r="Q121">
            <v>27.481905943199997</v>
          </cell>
          <cell r="R121">
            <v>37.102017918479994</v>
          </cell>
          <cell r="S121" t="str">
            <v>Increase Reach</v>
          </cell>
          <cell r="T121">
            <v>95100</v>
          </cell>
          <cell r="U121">
            <v>4.5803176571999993</v>
          </cell>
          <cell r="V121">
            <v>0</v>
          </cell>
          <cell r="W121">
            <v>0</v>
          </cell>
          <cell r="X121">
            <v>128390</v>
          </cell>
          <cell r="Y121">
            <v>6.1836696530799999</v>
          </cell>
          <cell r="Z121">
            <v>0</v>
          </cell>
          <cell r="AA121">
            <v>0</v>
          </cell>
          <cell r="AB121">
            <v>1.3500525762355415</v>
          </cell>
          <cell r="AC121">
            <v>570600</v>
          </cell>
          <cell r="AD121">
            <v>27.481905943199997</v>
          </cell>
          <cell r="AE121">
            <v>0</v>
          </cell>
          <cell r="AF121">
            <v>0</v>
          </cell>
          <cell r="AG121">
            <v>6</v>
          </cell>
          <cell r="AH121">
            <v>770340</v>
          </cell>
          <cell r="AI121">
            <v>37.102017918479994</v>
          </cell>
          <cell r="AJ121">
            <v>0</v>
          </cell>
          <cell r="AK121">
            <v>0</v>
          </cell>
          <cell r="AL121">
            <v>6</v>
          </cell>
        </row>
        <row r="122">
          <cell r="B122" t="str">
            <v>Latvia</v>
          </cell>
          <cell r="C122" t="str">
            <v>Europe</v>
          </cell>
          <cell r="F122" t="str">
            <v>EUR</v>
          </cell>
          <cell r="G122">
            <v>9.99</v>
          </cell>
          <cell r="H122">
            <v>12.99</v>
          </cell>
          <cell r="I122">
            <v>59.99</v>
          </cell>
          <cell r="J122">
            <v>79.989999999999995</v>
          </cell>
          <cell r="K122">
            <v>6.005005005005005</v>
          </cell>
          <cell r="L122">
            <v>6.157813702848344</v>
          </cell>
          <cell r="M122">
            <v>1.3003003003003002</v>
          </cell>
          <cell r="N122">
            <v>1.0862499999999999</v>
          </cell>
          <cell r="O122">
            <v>10.851637499999999</v>
          </cell>
          <cell r="P122">
            <v>14.1103875</v>
          </cell>
          <cell r="Q122">
            <v>65.164137499999995</v>
          </cell>
          <cell r="R122">
            <v>86.88913749999999</v>
          </cell>
          <cell r="S122" t="str">
            <v>Increase ARPU - Widening LPP Ratio</v>
          </cell>
          <cell r="T122">
            <v>10.99</v>
          </cell>
          <cell r="U122">
            <v>11.9378875</v>
          </cell>
          <cell r="V122">
            <v>1</v>
          </cell>
          <cell r="W122">
            <v>0.10010010010010006</v>
          </cell>
          <cell r="X122">
            <v>14.99</v>
          </cell>
          <cell r="Y122">
            <v>16.282887500000001</v>
          </cell>
          <cell r="Z122">
            <v>2</v>
          </cell>
          <cell r="AA122">
            <v>0.15396458814472669</v>
          </cell>
          <cell r="AB122">
            <v>1.3639672429481347</v>
          </cell>
          <cell r="AC122">
            <v>67.989999999999995</v>
          </cell>
          <cell r="AD122">
            <v>73.854137499999993</v>
          </cell>
          <cell r="AE122">
            <v>7.9999999999999929</v>
          </cell>
          <cell r="AF122">
            <v>0.13335555925987652</v>
          </cell>
          <cell r="AG122">
            <v>6.186533212010918</v>
          </cell>
          <cell r="AH122">
            <v>91.99</v>
          </cell>
          <cell r="AI122">
            <v>99.924137499999986</v>
          </cell>
          <cell r="AJ122">
            <v>12</v>
          </cell>
          <cell r="AK122">
            <v>0.15001875234404305</v>
          </cell>
          <cell r="AL122">
            <v>6.1367578385590393</v>
          </cell>
        </row>
        <row r="123">
          <cell r="B123" t="str">
            <v>Lebanon</v>
          </cell>
          <cell r="C123" t="str">
            <v>Middle East</v>
          </cell>
          <cell r="F123" t="str">
            <v>LBP</v>
          </cell>
          <cell r="G123">
            <v>13999.99</v>
          </cell>
          <cell r="H123">
            <v>18899.990000000002</v>
          </cell>
          <cell r="I123">
            <v>83999.99</v>
          </cell>
          <cell r="J123">
            <v>113999.99</v>
          </cell>
          <cell r="K123">
            <v>6.0000035714311233</v>
          </cell>
          <cell r="L123">
            <v>6.0317486940469278</v>
          </cell>
          <cell r="M123">
            <v>1.3500002500001786</v>
          </cell>
          <cell r="N123">
            <v>6.6622254999999998E-5</v>
          </cell>
          <cell r="O123">
            <v>0.93271090377744992</v>
          </cell>
          <cell r="P123">
            <v>1.25915995327745</v>
          </cell>
          <cell r="Q123">
            <v>5.5962687537774505</v>
          </cell>
          <cell r="R123">
            <v>7.5949364037774503</v>
          </cell>
          <cell r="S123" t="str">
            <v>Increase ARPU - Widening LPP Ratio</v>
          </cell>
          <cell r="T123">
            <v>14699.99</v>
          </cell>
          <cell r="U123">
            <v>0.97934648227744991</v>
          </cell>
          <cell r="V123">
            <v>700</v>
          </cell>
          <cell r="W123">
            <v>5.0000035714311331E-2</v>
          </cell>
          <cell r="X123">
            <v>20599.990000000002</v>
          </cell>
          <cell r="Y123">
            <v>1.3724177867774501</v>
          </cell>
          <cell r="Z123">
            <v>1700</v>
          </cell>
          <cell r="AA123">
            <v>8.9947137538167965E-2</v>
          </cell>
          <cell r="AB123">
            <v>1.4013608172522567</v>
          </cell>
          <cell r="AC123">
            <v>88199.99</v>
          </cell>
          <cell r="AD123">
            <v>5.8760822247774502</v>
          </cell>
          <cell r="AE123">
            <v>4200</v>
          </cell>
          <cell r="AF123">
            <v>5.0000005952381743E-2</v>
          </cell>
          <cell r="AG123">
            <v>6.0000034013628589</v>
          </cell>
          <cell r="AH123">
            <v>123599.99</v>
          </cell>
          <cell r="AI123">
            <v>8.2345100517774501</v>
          </cell>
          <cell r="AJ123">
            <v>9600</v>
          </cell>
          <cell r="AK123">
            <v>8.4210533702678392E-2</v>
          </cell>
          <cell r="AL123">
            <v>6.0000024271856445</v>
          </cell>
        </row>
        <row r="124">
          <cell r="B124" t="str">
            <v>Lesotho</v>
          </cell>
          <cell r="C124" t="str">
            <v>Africa</v>
          </cell>
          <cell r="F124" t="str">
            <v>USD</v>
          </cell>
          <cell r="G124">
            <v>8.99</v>
          </cell>
          <cell r="H124">
            <v>11.99</v>
          </cell>
          <cell r="I124">
            <v>53.99</v>
          </cell>
          <cell r="J124">
            <v>71.989999999999995</v>
          </cell>
          <cell r="K124">
            <v>6.0055617352614012</v>
          </cell>
          <cell r="L124">
            <v>6.0041701417848206</v>
          </cell>
          <cell r="M124">
            <v>1.3337041156840934</v>
          </cell>
          <cell r="N124">
            <v>1</v>
          </cell>
          <cell r="O124">
            <v>8.99</v>
          </cell>
          <cell r="P124">
            <v>11.99</v>
          </cell>
          <cell r="Q124">
            <v>53.99</v>
          </cell>
          <cell r="R124">
            <v>71.989999999999995</v>
          </cell>
          <cell r="S124" t="str">
            <v>Increase Reach</v>
          </cell>
          <cell r="T124">
            <v>8.99</v>
          </cell>
          <cell r="U124">
            <v>8.99</v>
          </cell>
          <cell r="V124">
            <v>0</v>
          </cell>
          <cell r="W124">
            <v>0</v>
          </cell>
          <cell r="X124">
            <v>11.99</v>
          </cell>
          <cell r="Y124">
            <v>11.99</v>
          </cell>
          <cell r="Z124">
            <v>0</v>
          </cell>
          <cell r="AA124">
            <v>0</v>
          </cell>
          <cell r="AB124">
            <v>1.3337041156840934</v>
          </cell>
          <cell r="AC124">
            <v>53.99</v>
          </cell>
          <cell r="AD124">
            <v>53.99</v>
          </cell>
          <cell r="AE124">
            <v>0</v>
          </cell>
          <cell r="AF124">
            <v>0</v>
          </cell>
          <cell r="AG124">
            <v>6.0055617352614012</v>
          </cell>
          <cell r="AH124">
            <v>71.989999999999995</v>
          </cell>
          <cell r="AI124">
            <v>71.989999999999995</v>
          </cell>
          <cell r="AJ124">
            <v>0</v>
          </cell>
          <cell r="AK124">
            <v>0</v>
          </cell>
          <cell r="AL124">
            <v>6.0041701417848206</v>
          </cell>
        </row>
        <row r="125">
          <cell r="B125" t="str">
            <v>Liberia</v>
          </cell>
          <cell r="C125" t="str">
            <v>Africa</v>
          </cell>
          <cell r="F125" t="str">
            <v>USD</v>
          </cell>
          <cell r="G125">
            <v>8.99</v>
          </cell>
          <cell r="H125">
            <v>11.99</v>
          </cell>
          <cell r="I125">
            <v>53.99</v>
          </cell>
          <cell r="J125">
            <v>71.989999999999995</v>
          </cell>
          <cell r="K125">
            <v>6.0055617352614012</v>
          </cell>
          <cell r="L125">
            <v>6.0041701417848206</v>
          </cell>
          <cell r="M125">
            <v>1.3337041156840934</v>
          </cell>
          <cell r="N125">
            <v>1</v>
          </cell>
          <cell r="O125">
            <v>8.99</v>
          </cell>
          <cell r="P125">
            <v>11.99</v>
          </cell>
          <cell r="Q125">
            <v>53.99</v>
          </cell>
          <cell r="R125">
            <v>71.989999999999995</v>
          </cell>
          <cell r="S125" t="str">
            <v>Increase Reach</v>
          </cell>
          <cell r="T125">
            <v>8.99</v>
          </cell>
          <cell r="U125">
            <v>8.99</v>
          </cell>
          <cell r="V125">
            <v>0</v>
          </cell>
          <cell r="W125">
            <v>0</v>
          </cell>
          <cell r="X125">
            <v>11.99</v>
          </cell>
          <cell r="Y125">
            <v>11.99</v>
          </cell>
          <cell r="Z125">
            <v>0</v>
          </cell>
          <cell r="AA125">
            <v>0</v>
          </cell>
          <cell r="AB125">
            <v>1.3337041156840934</v>
          </cell>
          <cell r="AC125">
            <v>53.99</v>
          </cell>
          <cell r="AD125">
            <v>53.99</v>
          </cell>
          <cell r="AE125">
            <v>0</v>
          </cell>
          <cell r="AF125">
            <v>0</v>
          </cell>
          <cell r="AG125">
            <v>6.0055617352614012</v>
          </cell>
          <cell r="AH125">
            <v>71.989999999999995</v>
          </cell>
          <cell r="AI125">
            <v>71.989999999999995</v>
          </cell>
          <cell r="AJ125">
            <v>0</v>
          </cell>
          <cell r="AK125">
            <v>0</v>
          </cell>
          <cell r="AL125">
            <v>6.0041701417848206</v>
          </cell>
        </row>
        <row r="126">
          <cell r="B126" t="str">
            <v>Libya</v>
          </cell>
          <cell r="C126" t="str">
            <v>Africa</v>
          </cell>
          <cell r="F126" t="str">
            <v>USD</v>
          </cell>
          <cell r="G126">
            <v>9.99</v>
          </cell>
          <cell r="H126">
            <v>13.99</v>
          </cell>
          <cell r="I126">
            <v>59.99</v>
          </cell>
          <cell r="J126">
            <v>79.989999999999995</v>
          </cell>
          <cell r="K126">
            <v>6.005005005005005</v>
          </cell>
          <cell r="L126">
            <v>5.7176554681915652</v>
          </cell>
          <cell r="M126">
            <v>1.4004004004004005</v>
          </cell>
          <cell r="N126">
            <v>1</v>
          </cell>
          <cell r="O126">
            <v>9.99</v>
          </cell>
          <cell r="P126">
            <v>13.99</v>
          </cell>
          <cell r="Q126">
            <v>59.99</v>
          </cell>
          <cell r="R126">
            <v>79.989999999999995</v>
          </cell>
          <cell r="S126" t="str">
            <v>Increase Reach</v>
          </cell>
          <cell r="T126">
            <v>9.99</v>
          </cell>
          <cell r="U126">
            <v>9.99</v>
          </cell>
          <cell r="V126">
            <v>0</v>
          </cell>
          <cell r="W126">
            <v>0</v>
          </cell>
          <cell r="X126">
            <v>13.99</v>
          </cell>
          <cell r="Y126">
            <v>13.99</v>
          </cell>
          <cell r="Z126">
            <v>0</v>
          </cell>
          <cell r="AA126">
            <v>0</v>
          </cell>
          <cell r="AB126">
            <v>1.4004004004004005</v>
          </cell>
          <cell r="AC126">
            <v>59.99</v>
          </cell>
          <cell r="AD126">
            <v>59.99</v>
          </cell>
          <cell r="AE126">
            <v>0</v>
          </cell>
          <cell r="AF126">
            <v>0</v>
          </cell>
          <cell r="AG126">
            <v>6.005005005005005</v>
          </cell>
          <cell r="AH126">
            <v>79.989999999999995</v>
          </cell>
          <cell r="AI126">
            <v>79.989999999999995</v>
          </cell>
          <cell r="AJ126">
            <v>0</v>
          </cell>
          <cell r="AK126">
            <v>0</v>
          </cell>
          <cell r="AL126">
            <v>5.7176554681915652</v>
          </cell>
        </row>
        <row r="127">
          <cell r="B127" t="str">
            <v>Liechtenstein</v>
          </cell>
          <cell r="C127" t="str">
            <v>Europe</v>
          </cell>
          <cell r="F127" t="str">
            <v>CHF</v>
          </cell>
          <cell r="G127">
            <v>24.99</v>
          </cell>
          <cell r="H127">
            <v>31.99</v>
          </cell>
          <cell r="I127">
            <v>149.99</v>
          </cell>
          <cell r="J127">
            <v>189.99</v>
          </cell>
          <cell r="K127">
            <v>6.0020008003201291</v>
          </cell>
          <cell r="L127">
            <v>5.9390434510784624</v>
          </cell>
          <cell r="M127">
            <v>1.2801120448179273</v>
          </cell>
          <cell r="N127">
            <v>1.15848</v>
          </cell>
          <cell r="O127">
            <v>28.950415199999998</v>
          </cell>
          <cell r="P127">
            <v>37.059775199999997</v>
          </cell>
          <cell r="Q127">
            <v>173.76041520000001</v>
          </cell>
          <cell r="R127">
            <v>220.09961519999999</v>
          </cell>
          <cell r="S127" t="str">
            <v>Increase Reach</v>
          </cell>
          <cell r="T127">
            <v>24.99</v>
          </cell>
          <cell r="U127">
            <v>28.950415199999998</v>
          </cell>
          <cell r="V127">
            <v>0</v>
          </cell>
          <cell r="W127">
            <v>0</v>
          </cell>
          <cell r="X127">
            <v>31.99</v>
          </cell>
          <cell r="Y127">
            <v>37.059775199999997</v>
          </cell>
          <cell r="Z127">
            <v>0</v>
          </cell>
          <cell r="AA127">
            <v>0</v>
          </cell>
          <cell r="AB127">
            <v>1.2801120448179273</v>
          </cell>
          <cell r="AC127">
            <v>149.99</v>
          </cell>
          <cell r="AD127">
            <v>173.76041520000001</v>
          </cell>
          <cell r="AE127">
            <v>0</v>
          </cell>
          <cell r="AF127">
            <v>0</v>
          </cell>
          <cell r="AG127">
            <v>6.0020008003201291</v>
          </cell>
          <cell r="AH127">
            <v>189.99</v>
          </cell>
          <cell r="AI127">
            <v>220.09961519999999</v>
          </cell>
          <cell r="AJ127">
            <v>0</v>
          </cell>
          <cell r="AK127">
            <v>0</v>
          </cell>
          <cell r="AL127">
            <v>5.9390434510784624</v>
          </cell>
        </row>
        <row r="128">
          <cell r="B128" t="str">
            <v>Lithuania</v>
          </cell>
          <cell r="C128" t="str">
            <v>Europe</v>
          </cell>
          <cell r="F128" t="str">
            <v>EUR</v>
          </cell>
          <cell r="G128">
            <v>9.99</v>
          </cell>
          <cell r="H128">
            <v>12.99</v>
          </cell>
          <cell r="I128">
            <v>59.99</v>
          </cell>
          <cell r="J128">
            <v>79.989999999999995</v>
          </cell>
          <cell r="K128">
            <v>6.005005005005005</v>
          </cell>
          <cell r="L128">
            <v>6.157813702848344</v>
          </cell>
          <cell r="M128">
            <v>1.3003003003003002</v>
          </cell>
          <cell r="N128">
            <v>1.0862499999999999</v>
          </cell>
          <cell r="O128">
            <v>10.851637499999999</v>
          </cell>
          <cell r="P128">
            <v>14.1103875</v>
          </cell>
          <cell r="Q128">
            <v>65.164137499999995</v>
          </cell>
          <cell r="R128">
            <v>86.88913749999999</v>
          </cell>
          <cell r="S128" t="str">
            <v>Increase ARPU - Widening LPP Ratio</v>
          </cell>
          <cell r="T128">
            <v>10.99</v>
          </cell>
          <cell r="U128">
            <v>11.9378875</v>
          </cell>
          <cell r="V128">
            <v>1</v>
          </cell>
          <cell r="W128">
            <v>0.10010010010010006</v>
          </cell>
          <cell r="X128">
            <v>14.99</v>
          </cell>
          <cell r="Y128">
            <v>16.282887500000001</v>
          </cell>
          <cell r="Z128">
            <v>2</v>
          </cell>
          <cell r="AA128">
            <v>0.15396458814472669</v>
          </cell>
          <cell r="AB128">
            <v>1.3639672429481347</v>
          </cell>
          <cell r="AC128">
            <v>69.989999999999995</v>
          </cell>
          <cell r="AD128">
            <v>76.026637499999993</v>
          </cell>
          <cell r="AE128">
            <v>9.9999999999999929</v>
          </cell>
          <cell r="AF128">
            <v>0.16669444907484565</v>
          </cell>
          <cell r="AG128">
            <v>6.3685168334849855</v>
          </cell>
          <cell r="AH128">
            <v>94.99</v>
          </cell>
          <cell r="AI128">
            <v>103.18288749999999</v>
          </cell>
          <cell r="AJ128">
            <v>15</v>
          </cell>
          <cell r="AK128">
            <v>0.18752344043005387</v>
          </cell>
          <cell r="AL128">
            <v>6.3368912608405603</v>
          </cell>
        </row>
        <row r="129">
          <cell r="B129" t="str">
            <v>Luxembourg</v>
          </cell>
          <cell r="C129" t="str">
            <v>Europe</v>
          </cell>
          <cell r="F129" t="str">
            <v>EUR</v>
          </cell>
          <cell r="G129">
            <v>21.99</v>
          </cell>
          <cell r="H129">
            <v>28.99</v>
          </cell>
          <cell r="I129">
            <v>129.99</v>
          </cell>
          <cell r="J129">
            <v>169.99</v>
          </cell>
          <cell r="K129">
            <v>5.9113233287858122</v>
          </cell>
          <cell r="L129">
            <v>5.863746119351501</v>
          </cell>
          <cell r="M129">
            <v>1.3183265120509322</v>
          </cell>
          <cell r="N129">
            <v>1.0862499999999999</v>
          </cell>
          <cell r="O129">
            <v>23.886637499999996</v>
          </cell>
          <cell r="P129">
            <v>31.490387499999997</v>
          </cell>
          <cell r="Q129">
            <v>141.2016375</v>
          </cell>
          <cell r="R129">
            <v>184.65163749999999</v>
          </cell>
          <cell r="S129" t="str">
            <v>Increase Reach</v>
          </cell>
          <cell r="T129">
            <v>21.99</v>
          </cell>
          <cell r="U129">
            <v>23.886637499999996</v>
          </cell>
          <cell r="V129">
            <v>0</v>
          </cell>
          <cell r="W129">
            <v>0</v>
          </cell>
          <cell r="X129">
            <v>28.99</v>
          </cell>
          <cell r="Y129">
            <v>31.490387499999997</v>
          </cell>
          <cell r="Z129">
            <v>0</v>
          </cell>
          <cell r="AA129">
            <v>0</v>
          </cell>
          <cell r="AB129">
            <v>1.3183265120509322</v>
          </cell>
          <cell r="AC129">
            <v>149.99</v>
          </cell>
          <cell r="AD129">
            <v>162.9266375</v>
          </cell>
          <cell r="AE129">
            <v>20</v>
          </cell>
          <cell r="AF129">
            <v>0.15385798907608272</v>
          </cell>
          <cell r="AG129">
            <v>6.8208276489313331</v>
          </cell>
          <cell r="AH129">
            <v>194.99</v>
          </cell>
          <cell r="AI129">
            <v>211.80788749999999</v>
          </cell>
          <cell r="AJ129">
            <v>25</v>
          </cell>
          <cell r="AK129">
            <v>0.14706747455732683</v>
          </cell>
          <cell r="AL129">
            <v>6.7261124525698524</v>
          </cell>
        </row>
        <row r="130">
          <cell r="B130" t="str">
            <v>Macao</v>
          </cell>
          <cell r="C130" t="str">
            <v>NBA China</v>
          </cell>
          <cell r="F130" t="str">
            <v>MOP</v>
          </cell>
          <cell r="G130">
            <v>89.99</v>
          </cell>
          <cell r="H130">
            <v>120.99</v>
          </cell>
          <cell r="I130">
            <v>599.99</v>
          </cell>
          <cell r="J130">
            <v>849.99</v>
          </cell>
          <cell r="K130">
            <v>6.667296366262919</v>
          </cell>
          <cell r="L130">
            <v>7.0252913463922644</v>
          </cell>
          <cell r="M130">
            <v>1.3444827203022558</v>
          </cell>
          <cell r="N130">
            <v>0.124256015</v>
          </cell>
          <cell r="O130">
            <v>11.181798789849999</v>
          </cell>
          <cell r="P130">
            <v>15.033735254849999</v>
          </cell>
          <cell r="Q130">
            <v>74.552366439850005</v>
          </cell>
          <cell r="R130">
            <v>105.61637018985</v>
          </cell>
          <cell r="S130" t="str">
            <v>Maintain Balance</v>
          </cell>
          <cell r="T130">
            <v>89.99</v>
          </cell>
          <cell r="U130">
            <v>11.181798789849999</v>
          </cell>
          <cell r="V130">
            <v>0</v>
          </cell>
          <cell r="W130">
            <v>0</v>
          </cell>
          <cell r="X130">
            <v>124.99</v>
          </cell>
          <cell r="Y130">
            <v>15.530759314849998</v>
          </cell>
          <cell r="Z130">
            <v>4</v>
          </cell>
          <cell r="AA130">
            <v>3.3060583519299191E-2</v>
          </cell>
          <cell r="AB130">
            <v>1.388932103567063</v>
          </cell>
          <cell r="AC130">
            <v>629.99</v>
          </cell>
          <cell r="AD130">
            <v>78.280046889849999</v>
          </cell>
          <cell r="AE130">
            <v>30</v>
          </cell>
          <cell r="AF130">
            <v>5.0000833347222384E-2</v>
          </cell>
          <cell r="AG130">
            <v>7.0006667407489722</v>
          </cell>
          <cell r="AH130">
            <v>869.99</v>
          </cell>
          <cell r="AI130">
            <v>108.10149048984999</v>
          </cell>
          <cell r="AJ130">
            <v>20</v>
          </cell>
          <cell r="AK130">
            <v>2.3529688584571495E-2</v>
          </cell>
          <cell r="AL130">
            <v>6.9604768381470521</v>
          </cell>
        </row>
        <row r="131">
          <cell r="B131" t="str">
            <v>Macedonia</v>
          </cell>
          <cell r="C131" t="str">
            <v>Europe</v>
          </cell>
          <cell r="F131" t="str">
            <v>MKD</v>
          </cell>
          <cell r="G131">
            <v>649.99</v>
          </cell>
          <cell r="H131">
            <v>876.99</v>
          </cell>
          <cell r="I131">
            <v>3899.99</v>
          </cell>
          <cell r="J131">
            <v>5259.99</v>
          </cell>
          <cell r="K131">
            <v>6.0000769242603731</v>
          </cell>
          <cell r="L131">
            <v>5.9977764854787399</v>
          </cell>
          <cell r="M131">
            <v>1.3492361420944938</v>
          </cell>
          <cell r="N131">
            <v>1.7633573999999999E-2</v>
          </cell>
          <cell r="O131">
            <v>11.461646764259999</v>
          </cell>
          <cell r="P131">
            <v>15.46446806226</v>
          </cell>
          <cell r="Q131">
            <v>68.770762264259986</v>
          </cell>
          <cell r="R131">
            <v>92.752422904259987</v>
          </cell>
          <cell r="S131" t="str">
            <v>Maintain Balance</v>
          </cell>
          <cell r="T131">
            <v>649.99</v>
          </cell>
          <cell r="U131">
            <v>11.461646764259999</v>
          </cell>
          <cell r="V131">
            <v>0</v>
          </cell>
          <cell r="W131">
            <v>0</v>
          </cell>
          <cell r="X131">
            <v>909.99</v>
          </cell>
          <cell r="Y131">
            <v>16.046376004260001</v>
          </cell>
          <cell r="Z131">
            <v>33</v>
          </cell>
          <cell r="AA131">
            <v>3.7628707282865159E-2</v>
          </cell>
          <cell r="AB131">
            <v>1.4000061539408299</v>
          </cell>
          <cell r="AC131">
            <v>3899.99</v>
          </cell>
          <cell r="AD131">
            <v>68.770762264259986</v>
          </cell>
          <cell r="AE131">
            <v>0</v>
          </cell>
          <cell r="AF131">
            <v>0</v>
          </cell>
          <cell r="AG131">
            <v>6.0000769242603731</v>
          </cell>
          <cell r="AH131">
            <v>5499.99</v>
          </cell>
          <cell r="AI131">
            <v>96.984480664259991</v>
          </cell>
          <cell r="AJ131">
            <v>240</v>
          </cell>
          <cell r="AK131">
            <v>4.562746317008215E-2</v>
          </cell>
          <cell r="AL131">
            <v>6.044011472653545</v>
          </cell>
        </row>
        <row r="132">
          <cell r="B132" t="str">
            <v>Madagascar</v>
          </cell>
          <cell r="C132" t="str">
            <v>Africa</v>
          </cell>
          <cell r="F132" t="str">
            <v>USD</v>
          </cell>
          <cell r="G132">
            <v>8.99</v>
          </cell>
          <cell r="H132">
            <v>11.99</v>
          </cell>
          <cell r="I132">
            <v>53.99</v>
          </cell>
          <cell r="J132">
            <v>71.989999999999995</v>
          </cell>
          <cell r="K132">
            <v>6.0055617352614012</v>
          </cell>
          <cell r="L132">
            <v>6.0041701417848206</v>
          </cell>
          <cell r="M132">
            <v>1.3337041156840934</v>
          </cell>
          <cell r="N132">
            <v>1</v>
          </cell>
          <cell r="O132">
            <v>8.99</v>
          </cell>
          <cell r="P132">
            <v>11.99</v>
          </cell>
          <cell r="Q132">
            <v>53.99</v>
          </cell>
          <cell r="R132">
            <v>71.989999999999995</v>
          </cell>
          <cell r="S132" t="str">
            <v>Increase Reach</v>
          </cell>
          <cell r="T132">
            <v>8.99</v>
          </cell>
          <cell r="U132">
            <v>8.99</v>
          </cell>
          <cell r="V132">
            <v>0</v>
          </cell>
          <cell r="W132">
            <v>0</v>
          </cell>
          <cell r="X132">
            <v>11.99</v>
          </cell>
          <cell r="Y132">
            <v>11.99</v>
          </cell>
          <cell r="Z132">
            <v>0</v>
          </cell>
          <cell r="AA132">
            <v>0</v>
          </cell>
          <cell r="AB132">
            <v>1.3337041156840934</v>
          </cell>
          <cell r="AC132">
            <v>53.99</v>
          </cell>
          <cell r="AD132">
            <v>53.99</v>
          </cell>
          <cell r="AE132">
            <v>0</v>
          </cell>
          <cell r="AF132">
            <v>0</v>
          </cell>
          <cell r="AG132">
            <v>6.0055617352614012</v>
          </cell>
          <cell r="AH132">
            <v>71.989999999999995</v>
          </cell>
          <cell r="AI132">
            <v>71.989999999999995</v>
          </cell>
          <cell r="AJ132">
            <v>0</v>
          </cell>
          <cell r="AK132">
            <v>0</v>
          </cell>
          <cell r="AL132">
            <v>6.0041701417848206</v>
          </cell>
        </row>
        <row r="133">
          <cell r="B133" t="str">
            <v>Malawi</v>
          </cell>
          <cell r="C133" t="str">
            <v>Africa</v>
          </cell>
          <cell r="F133" t="str">
            <v>MWK</v>
          </cell>
          <cell r="G133">
            <v>7299.99</v>
          </cell>
          <cell r="H133">
            <v>9854.99</v>
          </cell>
          <cell r="I133">
            <v>43799.99</v>
          </cell>
          <cell r="J133">
            <v>59129.99</v>
          </cell>
          <cell r="K133">
            <v>6.0000068493244507</v>
          </cell>
          <cell r="L133">
            <v>6.0000050735718657</v>
          </cell>
          <cell r="M133">
            <v>1.3500004794527116</v>
          </cell>
          <cell r="N133">
            <v>5.9523810000000003E-4</v>
          </cell>
          <cell r="O133">
            <v>4.3452321776189997</v>
          </cell>
          <cell r="P133">
            <v>5.8660655231190004</v>
          </cell>
          <cell r="Q133">
            <v>26.071422827618999</v>
          </cell>
          <cell r="R133">
            <v>35.196422900618998</v>
          </cell>
          <cell r="S133" t="str">
            <v>Increase Reach</v>
          </cell>
          <cell r="T133">
            <v>7299.99</v>
          </cell>
          <cell r="U133">
            <v>4.3452321776189997</v>
          </cell>
          <cell r="V133">
            <v>0</v>
          </cell>
          <cell r="W133">
            <v>0</v>
          </cell>
          <cell r="X133">
            <v>9854.99</v>
          </cell>
          <cell r="Y133">
            <v>5.8660655231190004</v>
          </cell>
          <cell r="Z133">
            <v>0</v>
          </cell>
          <cell r="AA133">
            <v>0</v>
          </cell>
          <cell r="AB133">
            <v>1.3500004794527116</v>
          </cell>
          <cell r="AC133">
            <v>43799.99</v>
          </cell>
          <cell r="AD133">
            <v>26.071422827618999</v>
          </cell>
          <cell r="AE133">
            <v>0</v>
          </cell>
          <cell r="AF133">
            <v>0</v>
          </cell>
          <cell r="AG133">
            <v>6.0000068493244507</v>
          </cell>
          <cell r="AH133">
            <v>59129.99</v>
          </cell>
          <cell r="AI133">
            <v>35.196422900618998</v>
          </cell>
          <cell r="AJ133">
            <v>0</v>
          </cell>
          <cell r="AK133">
            <v>0</v>
          </cell>
          <cell r="AL133">
            <v>6.0000050735718657</v>
          </cell>
        </row>
        <row r="134">
          <cell r="B134" t="str">
            <v>Malaysia</v>
          </cell>
          <cell r="C134" t="str">
            <v>Asia</v>
          </cell>
          <cell r="F134" t="str">
            <v>MYR</v>
          </cell>
          <cell r="G134">
            <v>45.99</v>
          </cell>
          <cell r="H134">
            <v>59.99</v>
          </cell>
          <cell r="I134">
            <v>319.99</v>
          </cell>
          <cell r="J134">
            <v>359.99</v>
          </cell>
          <cell r="K134">
            <v>6.9578169167210264</v>
          </cell>
          <cell r="L134">
            <v>6.0008334722453744</v>
          </cell>
          <cell r="M134">
            <v>1.30441400304414</v>
          </cell>
          <cell r="N134">
            <v>0.21152829000000001</v>
          </cell>
          <cell r="O134">
            <v>9.7281860571000003</v>
          </cell>
          <cell r="P134">
            <v>12.689582117100001</v>
          </cell>
          <cell r="Q134">
            <v>67.686937517100006</v>
          </cell>
          <cell r="R134">
            <v>76.148069117100007</v>
          </cell>
          <cell r="S134" t="str">
            <v>Maintain Balance</v>
          </cell>
          <cell r="T134">
            <v>45.99</v>
          </cell>
          <cell r="U134">
            <v>9.7281860571000003</v>
          </cell>
          <cell r="V134">
            <v>0</v>
          </cell>
          <cell r="W134">
            <v>0</v>
          </cell>
          <cell r="X134">
            <v>64.989999999999995</v>
          </cell>
          <cell r="Y134">
            <v>13.747223567099999</v>
          </cell>
          <cell r="Z134">
            <v>4.9999999999999929</v>
          </cell>
          <cell r="AA134">
            <v>8.3347224537422715E-2</v>
          </cell>
          <cell r="AB134">
            <v>1.4131332898456184</v>
          </cell>
          <cell r="AC134">
            <v>319.99</v>
          </cell>
          <cell r="AD134">
            <v>67.686937517100006</v>
          </cell>
          <cell r="AE134">
            <v>0</v>
          </cell>
          <cell r="AF134">
            <v>0</v>
          </cell>
          <cell r="AG134">
            <v>6.9578169167210264</v>
          </cell>
          <cell r="AH134">
            <v>389.99</v>
          </cell>
          <cell r="AI134">
            <v>82.493917817099998</v>
          </cell>
          <cell r="AJ134">
            <v>30</v>
          </cell>
          <cell r="AK134">
            <v>8.333564821245032E-2</v>
          </cell>
          <cell r="AL134">
            <v>6.0007693491306364</v>
          </cell>
        </row>
        <row r="135">
          <cell r="B135" t="str">
            <v>Maldives</v>
          </cell>
          <cell r="C135" t="str">
            <v>Asia</v>
          </cell>
          <cell r="F135" t="str">
            <v>MVR</v>
          </cell>
          <cell r="G135">
            <v>134.99</v>
          </cell>
          <cell r="H135">
            <v>181.99</v>
          </cell>
          <cell r="I135">
            <v>809.99</v>
          </cell>
          <cell r="J135">
            <v>1091.99</v>
          </cell>
          <cell r="K135">
            <v>6.0003703978072442</v>
          </cell>
          <cell r="L135">
            <v>6.00027474037035</v>
          </cell>
          <cell r="M135">
            <v>1.3481739388102822</v>
          </cell>
          <cell r="N135">
            <v>6.5189049999999998E-2</v>
          </cell>
          <cell r="O135">
            <v>8.7998698595000011</v>
          </cell>
          <cell r="P135">
            <v>11.863755209500001</v>
          </cell>
          <cell r="Q135">
            <v>52.8024786095</v>
          </cell>
          <cell r="R135">
            <v>71.185790709499997</v>
          </cell>
          <cell r="S135" t="str">
            <v>Increase Reach</v>
          </cell>
          <cell r="T135">
            <v>134.99</v>
          </cell>
          <cell r="U135">
            <v>8.7998698595000011</v>
          </cell>
          <cell r="V135">
            <v>0</v>
          </cell>
          <cell r="W135">
            <v>0</v>
          </cell>
          <cell r="X135">
            <v>181.99</v>
          </cell>
          <cell r="Y135">
            <v>11.863755209500001</v>
          </cell>
          <cell r="Z135">
            <v>0</v>
          </cell>
          <cell r="AA135">
            <v>0</v>
          </cell>
          <cell r="AB135">
            <v>1.3481739388102822</v>
          </cell>
          <cell r="AC135">
            <v>809.99</v>
          </cell>
          <cell r="AD135">
            <v>52.8024786095</v>
          </cell>
          <cell r="AE135">
            <v>0</v>
          </cell>
          <cell r="AF135">
            <v>0</v>
          </cell>
          <cell r="AG135">
            <v>6.0003703978072442</v>
          </cell>
          <cell r="AH135">
            <v>1091.99</v>
          </cell>
          <cell r="AI135">
            <v>71.185790709499997</v>
          </cell>
          <cell r="AJ135">
            <v>0</v>
          </cell>
          <cell r="AK135">
            <v>0</v>
          </cell>
          <cell r="AL135">
            <v>6.00027474037035</v>
          </cell>
        </row>
        <row r="136">
          <cell r="B136" t="str">
            <v>Mali</v>
          </cell>
          <cell r="C136" t="str">
            <v>Africa</v>
          </cell>
          <cell r="F136" t="str">
            <v>XOF</v>
          </cell>
          <cell r="G136">
            <v>5400</v>
          </cell>
          <cell r="H136">
            <v>7290</v>
          </cell>
          <cell r="I136">
            <v>32400</v>
          </cell>
          <cell r="J136">
            <v>43740</v>
          </cell>
          <cell r="K136">
            <v>6</v>
          </cell>
          <cell r="L136">
            <v>6</v>
          </cell>
          <cell r="M136">
            <v>1.35</v>
          </cell>
          <cell r="N136">
            <v>1.6559773E-3</v>
          </cell>
          <cell r="O136">
            <v>8.9422774199999999</v>
          </cell>
          <cell r="P136">
            <v>12.072074517000001</v>
          </cell>
          <cell r="Q136">
            <v>53.65366452</v>
          </cell>
          <cell r="R136">
            <v>72.432447101999998</v>
          </cell>
          <cell r="S136" t="str">
            <v>Increase Reach</v>
          </cell>
          <cell r="T136">
            <v>5400</v>
          </cell>
          <cell r="U136">
            <v>8.9422774199999999</v>
          </cell>
          <cell r="V136">
            <v>0</v>
          </cell>
          <cell r="W136">
            <v>0</v>
          </cell>
          <cell r="X136">
            <v>7290</v>
          </cell>
          <cell r="Y136">
            <v>12.072074517000001</v>
          </cell>
          <cell r="Z136">
            <v>0</v>
          </cell>
          <cell r="AA136">
            <v>0</v>
          </cell>
          <cell r="AB136">
            <v>1.35</v>
          </cell>
          <cell r="AC136">
            <v>32400</v>
          </cell>
          <cell r="AD136">
            <v>53.65366452</v>
          </cell>
          <cell r="AE136">
            <v>0</v>
          </cell>
          <cell r="AF136">
            <v>0</v>
          </cell>
          <cell r="AG136">
            <v>6</v>
          </cell>
          <cell r="AH136">
            <v>43740</v>
          </cell>
          <cell r="AI136">
            <v>72.432447101999998</v>
          </cell>
          <cell r="AJ136">
            <v>0</v>
          </cell>
          <cell r="AK136">
            <v>0</v>
          </cell>
          <cell r="AL136">
            <v>6</v>
          </cell>
        </row>
        <row r="137">
          <cell r="B137" t="str">
            <v>Malta</v>
          </cell>
          <cell r="C137" t="str">
            <v>Europe</v>
          </cell>
          <cell r="F137" t="str">
            <v>EUR</v>
          </cell>
          <cell r="G137">
            <v>16.989999999999998</v>
          </cell>
          <cell r="H137">
            <v>21.99</v>
          </cell>
          <cell r="I137">
            <v>99.99</v>
          </cell>
          <cell r="J137">
            <v>129.99</v>
          </cell>
          <cell r="K137">
            <v>5.8852266038846386</v>
          </cell>
          <cell r="L137">
            <v>5.9113233287858122</v>
          </cell>
          <cell r="M137">
            <v>1.2942907592701589</v>
          </cell>
          <cell r="N137">
            <v>1.0862499999999999</v>
          </cell>
          <cell r="O137">
            <v>18.455387499999997</v>
          </cell>
          <cell r="P137">
            <v>23.886637499999996</v>
          </cell>
          <cell r="Q137">
            <v>108.61413749999998</v>
          </cell>
          <cell r="R137">
            <v>141.2016375</v>
          </cell>
          <cell r="S137" t="str">
            <v>Increase Reach</v>
          </cell>
          <cell r="T137">
            <v>16.989999999999998</v>
          </cell>
          <cell r="U137">
            <v>18.455387499999997</v>
          </cell>
          <cell r="V137">
            <v>0</v>
          </cell>
          <cell r="W137">
            <v>0</v>
          </cell>
          <cell r="X137">
            <v>21.99</v>
          </cell>
          <cell r="Y137">
            <v>23.886637499999996</v>
          </cell>
          <cell r="Z137">
            <v>0</v>
          </cell>
          <cell r="AA137">
            <v>0</v>
          </cell>
          <cell r="AB137">
            <v>1.2942907592701589</v>
          </cell>
          <cell r="AC137">
            <v>99.99</v>
          </cell>
          <cell r="AD137">
            <v>108.61413749999998</v>
          </cell>
          <cell r="AE137">
            <v>0</v>
          </cell>
          <cell r="AF137">
            <v>0</v>
          </cell>
          <cell r="AG137">
            <v>5.8852266038846386</v>
          </cell>
          <cell r="AH137">
            <v>129.99</v>
          </cell>
          <cell r="AI137">
            <v>141.2016375</v>
          </cell>
          <cell r="AJ137">
            <v>0</v>
          </cell>
          <cell r="AK137">
            <v>0</v>
          </cell>
          <cell r="AL137">
            <v>5.9113233287858122</v>
          </cell>
        </row>
        <row r="138">
          <cell r="B138" t="str">
            <v>Marshall Islands</v>
          </cell>
          <cell r="C138" t="str">
            <v>Asia</v>
          </cell>
          <cell r="F138" t="str">
            <v>USD</v>
          </cell>
          <cell r="G138">
            <v>13.99</v>
          </cell>
          <cell r="H138">
            <v>18.989999999999998</v>
          </cell>
          <cell r="I138">
            <v>83.99</v>
          </cell>
          <cell r="J138">
            <v>129.99</v>
          </cell>
          <cell r="K138">
            <v>6.003573981415296</v>
          </cell>
          <cell r="L138">
            <v>6.8451816745655618</v>
          </cell>
          <cell r="M138">
            <v>1.3573981415296639</v>
          </cell>
          <cell r="N138">
            <v>1</v>
          </cell>
          <cell r="O138">
            <v>13.99</v>
          </cell>
          <cell r="P138">
            <v>18.989999999999998</v>
          </cell>
          <cell r="Q138">
            <v>83.99</v>
          </cell>
          <cell r="R138">
            <v>129.99</v>
          </cell>
          <cell r="S138" t="str">
            <v>Increase Reach</v>
          </cell>
          <cell r="T138">
            <v>13.99</v>
          </cell>
          <cell r="U138">
            <v>13.99</v>
          </cell>
          <cell r="V138">
            <v>0</v>
          </cell>
          <cell r="W138">
            <v>0</v>
          </cell>
          <cell r="X138">
            <v>18.989999999999998</v>
          </cell>
          <cell r="Y138">
            <v>18.989999999999998</v>
          </cell>
          <cell r="Z138">
            <v>0</v>
          </cell>
          <cell r="AA138">
            <v>0</v>
          </cell>
          <cell r="AB138">
            <v>1.3573981415296639</v>
          </cell>
          <cell r="AC138">
            <v>83.99</v>
          </cell>
          <cell r="AD138">
            <v>83.99</v>
          </cell>
          <cell r="AE138">
            <v>0</v>
          </cell>
          <cell r="AF138">
            <v>0</v>
          </cell>
          <cell r="AG138">
            <v>6.003573981415296</v>
          </cell>
          <cell r="AH138">
            <v>129.99</v>
          </cell>
          <cell r="AI138">
            <v>129.99</v>
          </cell>
          <cell r="AJ138">
            <v>0</v>
          </cell>
          <cell r="AK138">
            <v>0</v>
          </cell>
          <cell r="AL138">
            <v>6.8451816745655618</v>
          </cell>
        </row>
        <row r="139">
          <cell r="B139" t="str">
            <v>Martinique</v>
          </cell>
          <cell r="C139" t="str">
            <v>Latin America</v>
          </cell>
          <cell r="F139" t="str">
            <v>EUR</v>
          </cell>
          <cell r="G139">
            <v>9.99</v>
          </cell>
          <cell r="H139">
            <v>12.99</v>
          </cell>
          <cell r="I139">
            <v>59.99</v>
          </cell>
          <cell r="J139">
            <v>77.989999999999995</v>
          </cell>
          <cell r="K139">
            <v>6.005005005005005</v>
          </cell>
          <cell r="L139">
            <v>6.0038491147036179</v>
          </cell>
          <cell r="M139">
            <v>1.3003003003003002</v>
          </cell>
          <cell r="N139">
            <v>1.0862499999999999</v>
          </cell>
          <cell r="O139">
            <v>10.851637499999999</v>
          </cell>
          <cell r="P139">
            <v>14.1103875</v>
          </cell>
          <cell r="Q139">
            <v>65.164137499999995</v>
          </cell>
          <cell r="R139">
            <v>84.71663749999999</v>
          </cell>
          <cell r="S139" t="str">
            <v>Increase ARPU - Widening LPP Ratio</v>
          </cell>
          <cell r="T139">
            <v>10.99</v>
          </cell>
          <cell r="U139">
            <v>11.9378875</v>
          </cell>
          <cell r="V139">
            <v>1</v>
          </cell>
          <cell r="W139">
            <v>0.10010010010010006</v>
          </cell>
          <cell r="X139">
            <v>14.99</v>
          </cell>
          <cell r="Y139">
            <v>16.282887500000001</v>
          </cell>
          <cell r="Z139">
            <v>2</v>
          </cell>
          <cell r="AA139">
            <v>0.15396458814472669</v>
          </cell>
          <cell r="AB139">
            <v>1.3639672429481347</v>
          </cell>
          <cell r="AC139">
            <v>64.989999999999995</v>
          </cell>
          <cell r="AD139">
            <v>70.595387499999987</v>
          </cell>
          <cell r="AE139">
            <v>4.9999999999999929</v>
          </cell>
          <cell r="AF139">
            <v>8.3347224537422715E-2</v>
          </cell>
          <cell r="AG139">
            <v>5.9135577797998176</v>
          </cell>
          <cell r="AH139">
            <v>89.99</v>
          </cell>
          <cell r="AI139">
            <v>97.751637499999987</v>
          </cell>
          <cell r="AJ139">
            <v>12</v>
          </cell>
          <cell r="AK139">
            <v>0.15386588024105663</v>
          </cell>
          <cell r="AL139">
            <v>6.0033355570380253</v>
          </cell>
        </row>
        <row r="140">
          <cell r="B140" t="str">
            <v>Mauritania</v>
          </cell>
          <cell r="C140" t="str">
            <v>Africa</v>
          </cell>
          <cell r="F140" t="str">
            <v>USD</v>
          </cell>
          <cell r="G140">
            <v>8.99</v>
          </cell>
          <cell r="H140">
            <v>11.99</v>
          </cell>
          <cell r="I140">
            <v>53.99</v>
          </cell>
          <cell r="J140">
            <v>71.989999999999995</v>
          </cell>
          <cell r="K140">
            <v>6.0055617352614012</v>
          </cell>
          <cell r="L140">
            <v>6.0041701417848206</v>
          </cell>
          <cell r="M140">
            <v>1.3337041156840934</v>
          </cell>
          <cell r="N140">
            <v>1</v>
          </cell>
          <cell r="O140">
            <v>8.99</v>
          </cell>
          <cell r="P140">
            <v>11.99</v>
          </cell>
          <cell r="Q140">
            <v>53.99</v>
          </cell>
          <cell r="R140">
            <v>71.989999999999995</v>
          </cell>
          <cell r="S140" t="str">
            <v>Increase Reach</v>
          </cell>
          <cell r="T140">
            <v>8.99</v>
          </cell>
          <cell r="U140">
            <v>8.99</v>
          </cell>
          <cell r="V140">
            <v>0</v>
          </cell>
          <cell r="W140">
            <v>0</v>
          </cell>
          <cell r="X140">
            <v>11.99</v>
          </cell>
          <cell r="Y140">
            <v>11.99</v>
          </cell>
          <cell r="Z140">
            <v>0</v>
          </cell>
          <cell r="AA140">
            <v>0</v>
          </cell>
          <cell r="AB140">
            <v>1.3337041156840934</v>
          </cell>
          <cell r="AC140">
            <v>53.99</v>
          </cell>
          <cell r="AD140">
            <v>53.99</v>
          </cell>
          <cell r="AE140">
            <v>0</v>
          </cell>
          <cell r="AF140">
            <v>0</v>
          </cell>
          <cell r="AG140">
            <v>6.0055617352614012</v>
          </cell>
          <cell r="AH140">
            <v>71.989999999999995</v>
          </cell>
          <cell r="AI140">
            <v>71.989999999999995</v>
          </cell>
          <cell r="AJ140">
            <v>0</v>
          </cell>
          <cell r="AK140">
            <v>0</v>
          </cell>
          <cell r="AL140">
            <v>6.0041701417848206</v>
          </cell>
        </row>
        <row r="141">
          <cell r="B141" t="str">
            <v>Mauritius</v>
          </cell>
          <cell r="C141" t="str">
            <v>Africa</v>
          </cell>
          <cell r="F141" t="str">
            <v>MUR</v>
          </cell>
          <cell r="G141">
            <v>319.99</v>
          </cell>
          <cell r="H141">
            <v>431.99</v>
          </cell>
          <cell r="I141">
            <v>1919.99</v>
          </cell>
          <cell r="J141">
            <v>2591.9899999999998</v>
          </cell>
          <cell r="K141">
            <v>6.000156254882965</v>
          </cell>
          <cell r="L141">
            <v>6.0001157434199861</v>
          </cell>
          <cell r="M141">
            <v>1.3500109378418075</v>
          </cell>
          <cell r="N141">
            <v>2.2346367999999998E-2</v>
          </cell>
          <cell r="O141">
            <v>7.1506142963199997</v>
          </cell>
          <cell r="P141">
            <v>9.6534075123199994</v>
          </cell>
          <cell r="Q141">
            <v>42.904803096319995</v>
          </cell>
          <cell r="R141">
            <v>57.921562392319991</v>
          </cell>
          <cell r="S141" t="str">
            <v>Increase Reach</v>
          </cell>
          <cell r="T141">
            <v>319.99</v>
          </cell>
          <cell r="U141">
            <v>7.1506142963199997</v>
          </cell>
          <cell r="V141">
            <v>0</v>
          </cell>
          <cell r="W141">
            <v>0</v>
          </cell>
          <cell r="X141">
            <v>431.99</v>
          </cell>
          <cell r="Y141">
            <v>9.6534075123199994</v>
          </cell>
          <cell r="Z141">
            <v>0</v>
          </cell>
          <cell r="AA141">
            <v>0</v>
          </cell>
          <cell r="AB141">
            <v>1.3500109378418075</v>
          </cell>
          <cell r="AC141">
            <v>1919.99</v>
          </cell>
          <cell r="AD141">
            <v>42.904803096319995</v>
          </cell>
          <cell r="AE141">
            <v>0</v>
          </cell>
          <cell r="AF141">
            <v>0</v>
          </cell>
          <cell r="AG141">
            <v>6.000156254882965</v>
          </cell>
          <cell r="AH141">
            <v>2591.9899999999998</v>
          </cell>
          <cell r="AI141">
            <v>57.921562392319991</v>
          </cell>
          <cell r="AJ141">
            <v>0</v>
          </cell>
          <cell r="AK141">
            <v>0</v>
          </cell>
          <cell r="AL141">
            <v>6.0001157434199861</v>
          </cell>
        </row>
        <row r="142">
          <cell r="B142" t="str">
            <v>Mayotte</v>
          </cell>
          <cell r="C142" t="str">
            <v>Africa</v>
          </cell>
          <cell r="F142" t="str">
            <v>EUR</v>
          </cell>
          <cell r="G142">
            <v>9.99</v>
          </cell>
          <cell r="H142">
            <v>12.99</v>
          </cell>
          <cell r="I142">
            <v>59.99</v>
          </cell>
          <cell r="J142">
            <v>77.989999999999995</v>
          </cell>
          <cell r="K142">
            <v>6.005005005005005</v>
          </cell>
          <cell r="L142">
            <v>6.0038491147036179</v>
          </cell>
          <cell r="M142">
            <v>1.3003003003003002</v>
          </cell>
          <cell r="N142">
            <v>1.0862499999999999</v>
          </cell>
          <cell r="O142">
            <v>10.851637499999999</v>
          </cell>
          <cell r="P142">
            <v>14.1103875</v>
          </cell>
          <cell r="Q142">
            <v>65.164137499999995</v>
          </cell>
          <cell r="R142">
            <v>84.71663749999999</v>
          </cell>
          <cell r="S142" t="str">
            <v>Increase Reach</v>
          </cell>
          <cell r="T142">
            <v>9.99</v>
          </cell>
          <cell r="U142">
            <v>10.851637499999999</v>
          </cell>
          <cell r="V142">
            <v>0</v>
          </cell>
          <cell r="W142">
            <v>0</v>
          </cell>
          <cell r="X142">
            <v>12.99</v>
          </cell>
          <cell r="Y142">
            <v>14.1103875</v>
          </cell>
          <cell r="Z142">
            <v>0</v>
          </cell>
          <cell r="AA142">
            <v>0</v>
          </cell>
          <cell r="AB142">
            <v>1.3003003003003002</v>
          </cell>
          <cell r="AC142">
            <v>59.99</v>
          </cell>
          <cell r="AD142">
            <v>65.164137499999995</v>
          </cell>
          <cell r="AE142">
            <v>0</v>
          </cell>
          <cell r="AF142">
            <v>0</v>
          </cell>
          <cell r="AG142">
            <v>6.005005005005005</v>
          </cell>
          <cell r="AH142">
            <v>77.989999999999995</v>
          </cell>
          <cell r="AI142">
            <v>84.71663749999999</v>
          </cell>
          <cell r="AJ142">
            <v>0</v>
          </cell>
          <cell r="AK142">
            <v>0</v>
          </cell>
          <cell r="AL142">
            <v>6.0038491147036179</v>
          </cell>
        </row>
        <row r="143">
          <cell r="B143" t="str">
            <v>Mexico</v>
          </cell>
          <cell r="C143" t="str">
            <v>Latin America</v>
          </cell>
          <cell r="D143" t="str">
            <v>T2</v>
          </cell>
          <cell r="E143" t="str">
            <v>x</v>
          </cell>
          <cell r="F143" t="str">
            <v>MXN</v>
          </cell>
          <cell r="G143">
            <v>210</v>
          </cell>
          <cell r="H143">
            <v>270</v>
          </cell>
          <cell r="I143">
            <v>1470</v>
          </cell>
          <cell r="J143">
            <v>1890</v>
          </cell>
          <cell r="K143">
            <v>7</v>
          </cell>
          <cell r="L143">
            <v>7</v>
          </cell>
          <cell r="M143">
            <v>1.2857142857142858</v>
          </cell>
          <cell r="N143">
            <v>5.8258079999999997E-2</v>
          </cell>
          <cell r="O143">
            <v>12.234196799999999</v>
          </cell>
          <cell r="P143">
            <v>15.729681599999999</v>
          </cell>
          <cell r="Q143">
            <v>85.639377599999989</v>
          </cell>
          <cell r="R143">
            <v>110.10777119999999</v>
          </cell>
          <cell r="S143" t="str">
            <v>Maintain Balance</v>
          </cell>
          <cell r="T143">
            <v>210</v>
          </cell>
          <cell r="U143">
            <v>12.234196799999999</v>
          </cell>
          <cell r="V143">
            <v>0</v>
          </cell>
          <cell r="W143">
            <v>0</v>
          </cell>
          <cell r="X143">
            <v>290</v>
          </cell>
          <cell r="Y143">
            <v>16.8948432</v>
          </cell>
          <cell r="Z143">
            <v>20</v>
          </cell>
          <cell r="AA143">
            <v>7.4074074074074181E-2</v>
          </cell>
          <cell r="AB143">
            <v>1.3809523809523809</v>
          </cell>
          <cell r="AC143">
            <v>1470</v>
          </cell>
          <cell r="AD143">
            <v>85.639377599999989</v>
          </cell>
          <cell r="AE143">
            <v>0</v>
          </cell>
          <cell r="AF143">
            <v>0</v>
          </cell>
          <cell r="AG143">
            <v>7</v>
          </cell>
          <cell r="AH143">
            <v>1990</v>
          </cell>
          <cell r="AI143">
            <v>115.9335792</v>
          </cell>
          <cell r="AJ143">
            <v>100</v>
          </cell>
          <cell r="AK143">
            <v>5.2910052910053018E-2</v>
          </cell>
          <cell r="AL143">
            <v>6.8620689655172411</v>
          </cell>
        </row>
        <row r="144">
          <cell r="B144" t="str">
            <v>Micronesia</v>
          </cell>
          <cell r="C144" t="str">
            <v>Asia</v>
          </cell>
          <cell r="F144" t="str">
            <v>USD</v>
          </cell>
          <cell r="G144">
            <v>13.99</v>
          </cell>
          <cell r="H144">
            <v>18.989999999999998</v>
          </cell>
          <cell r="I144">
            <v>83.99</v>
          </cell>
          <cell r="J144">
            <v>129.99</v>
          </cell>
          <cell r="K144">
            <v>6.003573981415296</v>
          </cell>
          <cell r="L144">
            <v>6.8451816745655618</v>
          </cell>
          <cell r="M144">
            <v>1.3573981415296639</v>
          </cell>
          <cell r="N144">
            <v>1</v>
          </cell>
          <cell r="O144">
            <v>13.99</v>
          </cell>
          <cell r="P144">
            <v>18.989999999999998</v>
          </cell>
          <cell r="Q144">
            <v>83.99</v>
          </cell>
          <cell r="R144">
            <v>129.99</v>
          </cell>
          <cell r="S144" t="str">
            <v>Increase Reach</v>
          </cell>
          <cell r="T144">
            <v>13.99</v>
          </cell>
          <cell r="U144">
            <v>13.99</v>
          </cell>
          <cell r="V144">
            <v>0</v>
          </cell>
          <cell r="W144">
            <v>0</v>
          </cell>
          <cell r="X144">
            <v>18.989999999999998</v>
          </cell>
          <cell r="Y144">
            <v>18.989999999999998</v>
          </cell>
          <cell r="Z144">
            <v>0</v>
          </cell>
          <cell r="AA144">
            <v>0</v>
          </cell>
          <cell r="AB144">
            <v>1.3573981415296639</v>
          </cell>
          <cell r="AC144">
            <v>83.99</v>
          </cell>
          <cell r="AD144">
            <v>83.99</v>
          </cell>
          <cell r="AE144">
            <v>0</v>
          </cell>
          <cell r="AF144">
            <v>0</v>
          </cell>
          <cell r="AG144">
            <v>6.003573981415296</v>
          </cell>
          <cell r="AH144">
            <v>129.99</v>
          </cell>
          <cell r="AI144">
            <v>129.99</v>
          </cell>
          <cell r="AJ144">
            <v>0</v>
          </cell>
          <cell r="AK144">
            <v>0</v>
          </cell>
          <cell r="AL144">
            <v>6.8451816745655618</v>
          </cell>
        </row>
        <row r="145">
          <cell r="B145" t="str">
            <v>Moldova</v>
          </cell>
          <cell r="C145" t="str">
            <v>Europe</v>
          </cell>
          <cell r="F145" t="str">
            <v>MDL</v>
          </cell>
          <cell r="G145">
            <v>184.99</v>
          </cell>
          <cell r="H145">
            <v>249.99</v>
          </cell>
          <cell r="I145">
            <v>1109.99</v>
          </cell>
          <cell r="J145">
            <v>1499.99</v>
          </cell>
          <cell r="K145">
            <v>6.0002702848802638</v>
          </cell>
          <cell r="L145">
            <v>6.0002000080003199</v>
          </cell>
          <cell r="M145">
            <v>1.3513703443429375</v>
          </cell>
          <cell r="N145">
            <v>5.6497169999999999E-2</v>
          </cell>
          <cell r="O145">
            <v>10.451411478300001</v>
          </cell>
          <cell r="P145">
            <v>14.1237275283</v>
          </cell>
          <cell r="Q145">
            <v>62.711293728299999</v>
          </cell>
          <cell r="R145">
            <v>84.745190028300001</v>
          </cell>
          <cell r="S145" t="str">
            <v>Increase Reach</v>
          </cell>
          <cell r="T145">
            <v>184.99</v>
          </cell>
          <cell r="U145">
            <v>10.451411478300001</v>
          </cell>
          <cell r="V145">
            <v>0</v>
          </cell>
          <cell r="W145">
            <v>0</v>
          </cell>
          <cell r="X145">
            <v>249.99</v>
          </cell>
          <cell r="Y145">
            <v>14.1237275283</v>
          </cell>
          <cell r="Z145">
            <v>0</v>
          </cell>
          <cell r="AA145">
            <v>0</v>
          </cell>
          <cell r="AB145">
            <v>1.3513703443429375</v>
          </cell>
          <cell r="AC145">
            <v>1109.99</v>
          </cell>
          <cell r="AD145">
            <v>62.711293728299999</v>
          </cell>
          <cell r="AE145">
            <v>0</v>
          </cell>
          <cell r="AF145">
            <v>0</v>
          </cell>
          <cell r="AG145">
            <v>6.0002702848802638</v>
          </cell>
          <cell r="AH145">
            <v>1499.99</v>
          </cell>
          <cell r="AI145">
            <v>84.745190028300001</v>
          </cell>
          <cell r="AJ145">
            <v>0</v>
          </cell>
          <cell r="AK145">
            <v>0</v>
          </cell>
          <cell r="AL145">
            <v>6.0002000080003199</v>
          </cell>
        </row>
        <row r="146">
          <cell r="B146" t="str">
            <v>Monaco</v>
          </cell>
          <cell r="C146" t="str">
            <v>Europe</v>
          </cell>
          <cell r="F146" t="str">
            <v>EUR</v>
          </cell>
          <cell r="G146">
            <v>14.99</v>
          </cell>
          <cell r="H146">
            <v>19.989999999999998</v>
          </cell>
          <cell r="I146">
            <v>89.99</v>
          </cell>
          <cell r="J146">
            <v>119.99</v>
          </cell>
          <cell r="K146">
            <v>6.0033355570380253</v>
          </cell>
          <cell r="L146">
            <v>6.002501250625313</v>
          </cell>
          <cell r="M146">
            <v>1.333555703802535</v>
          </cell>
          <cell r="N146">
            <v>1.0862499999999999</v>
          </cell>
          <cell r="O146">
            <v>16.282887500000001</v>
          </cell>
          <cell r="P146">
            <v>21.714137499999996</v>
          </cell>
          <cell r="Q146">
            <v>97.751637499999987</v>
          </cell>
          <cell r="R146">
            <v>130.33913749999999</v>
          </cell>
          <cell r="S146" t="str">
            <v xml:space="preserve">Increase Reach </v>
          </cell>
          <cell r="T146">
            <v>14.99</v>
          </cell>
          <cell r="U146">
            <v>16.282887500000001</v>
          </cell>
          <cell r="V146">
            <v>0</v>
          </cell>
          <cell r="W146">
            <v>0</v>
          </cell>
          <cell r="X146">
            <v>19.989999999999998</v>
          </cell>
          <cell r="Y146">
            <v>21.714137499999996</v>
          </cell>
          <cell r="Z146">
            <v>0</v>
          </cell>
          <cell r="AA146">
            <v>0</v>
          </cell>
          <cell r="AB146">
            <v>1.333555703802535</v>
          </cell>
          <cell r="AC146">
            <v>89.99</v>
          </cell>
          <cell r="AD146">
            <v>97.751637499999987</v>
          </cell>
          <cell r="AE146">
            <v>0</v>
          </cell>
          <cell r="AF146">
            <v>0</v>
          </cell>
          <cell r="AG146">
            <v>6.0033355570380253</v>
          </cell>
          <cell r="AH146">
            <v>119.99</v>
          </cell>
          <cell r="AI146">
            <v>130.33913749999999</v>
          </cell>
          <cell r="AJ146">
            <v>0</v>
          </cell>
          <cell r="AK146">
            <v>0</v>
          </cell>
          <cell r="AL146">
            <v>6.002501250625313</v>
          </cell>
        </row>
        <row r="147">
          <cell r="B147" t="str">
            <v>Mongolia</v>
          </cell>
          <cell r="C147" t="str">
            <v>Asia</v>
          </cell>
          <cell r="F147" t="str">
            <v>MNT</v>
          </cell>
          <cell r="G147">
            <v>29200</v>
          </cell>
          <cell r="H147">
            <v>39420</v>
          </cell>
          <cell r="I147">
            <v>175200</v>
          </cell>
          <cell r="J147">
            <v>236520</v>
          </cell>
          <cell r="K147">
            <v>6</v>
          </cell>
          <cell r="L147">
            <v>6</v>
          </cell>
          <cell r="M147">
            <v>1.35</v>
          </cell>
          <cell r="N147">
            <v>2.9239765999999998E-4</v>
          </cell>
          <cell r="O147">
            <v>8.5380116719999997</v>
          </cell>
          <cell r="P147">
            <v>11.526315757199999</v>
          </cell>
          <cell r="Q147">
            <v>51.228070031999998</v>
          </cell>
          <cell r="R147">
            <v>69.157894543200001</v>
          </cell>
          <cell r="S147" t="str">
            <v>Maintain Balance</v>
          </cell>
          <cell r="T147">
            <v>29200</v>
          </cell>
          <cell r="U147">
            <v>8.5380116719999997</v>
          </cell>
          <cell r="V147">
            <v>0</v>
          </cell>
          <cell r="W147">
            <v>0</v>
          </cell>
          <cell r="X147">
            <v>40880</v>
          </cell>
          <cell r="Y147">
            <v>11.953216340799999</v>
          </cell>
          <cell r="Z147">
            <v>1460</v>
          </cell>
          <cell r="AA147">
            <v>3.7037037037036979E-2</v>
          </cell>
          <cell r="AB147">
            <v>1.4</v>
          </cell>
          <cell r="AC147">
            <v>175200</v>
          </cell>
          <cell r="AD147">
            <v>51.228070031999998</v>
          </cell>
          <cell r="AE147">
            <v>0</v>
          </cell>
          <cell r="AF147">
            <v>0</v>
          </cell>
          <cell r="AG147">
            <v>6</v>
          </cell>
          <cell r="AH147">
            <v>245900</v>
          </cell>
          <cell r="AI147">
            <v>71.900584593999994</v>
          </cell>
          <cell r="AJ147">
            <v>9380</v>
          </cell>
          <cell r="AK147">
            <v>3.9658379841028157E-2</v>
          </cell>
          <cell r="AL147">
            <v>6.0151663405088058</v>
          </cell>
        </row>
        <row r="148">
          <cell r="B148" t="str">
            <v>Montenegro</v>
          </cell>
          <cell r="C148" t="str">
            <v>Europe</v>
          </cell>
          <cell r="F148" t="str">
            <v>EUR</v>
          </cell>
          <cell r="G148">
            <v>9.99</v>
          </cell>
          <cell r="H148">
            <v>12.99</v>
          </cell>
          <cell r="I148">
            <v>59.99</v>
          </cell>
          <cell r="J148">
            <v>79.989999999999995</v>
          </cell>
          <cell r="K148">
            <v>6.005005005005005</v>
          </cell>
          <cell r="L148">
            <v>6.157813702848344</v>
          </cell>
          <cell r="M148">
            <v>1.3003003003003002</v>
          </cell>
          <cell r="N148">
            <v>1.0862499999999999</v>
          </cell>
          <cell r="O148">
            <v>10.851637499999999</v>
          </cell>
          <cell r="P148">
            <v>14.1103875</v>
          </cell>
          <cell r="Q148">
            <v>65.164137499999995</v>
          </cell>
          <cell r="R148">
            <v>86.88913749999999</v>
          </cell>
          <cell r="S148" t="str">
            <v xml:space="preserve">Increase Reach </v>
          </cell>
          <cell r="T148">
            <v>9.99</v>
          </cell>
          <cell r="U148">
            <v>10.851637499999999</v>
          </cell>
          <cell r="V148">
            <v>0</v>
          </cell>
          <cell r="W148">
            <v>0</v>
          </cell>
          <cell r="X148">
            <v>12.99</v>
          </cell>
          <cell r="Y148">
            <v>14.1103875</v>
          </cell>
          <cell r="Z148">
            <v>0</v>
          </cell>
          <cell r="AA148">
            <v>0</v>
          </cell>
          <cell r="AB148">
            <v>1.3003003003003002</v>
          </cell>
          <cell r="AC148">
            <v>59.99</v>
          </cell>
          <cell r="AD148">
            <v>65.164137499999995</v>
          </cell>
          <cell r="AE148">
            <v>0</v>
          </cell>
          <cell r="AF148">
            <v>0</v>
          </cell>
          <cell r="AG148">
            <v>6.005005005005005</v>
          </cell>
          <cell r="AH148">
            <v>79.989999999999995</v>
          </cell>
          <cell r="AI148">
            <v>86.88913749999999</v>
          </cell>
          <cell r="AJ148">
            <v>0</v>
          </cell>
          <cell r="AK148">
            <v>0</v>
          </cell>
          <cell r="AL148">
            <v>6.157813702848344</v>
          </cell>
        </row>
        <row r="149">
          <cell r="B149" t="str">
            <v>Montserrat</v>
          </cell>
          <cell r="C149" t="str">
            <v>Latin America</v>
          </cell>
          <cell r="F149" t="str">
            <v>XCD</v>
          </cell>
          <cell r="G149">
            <v>32.99</v>
          </cell>
          <cell r="H149">
            <v>44.99</v>
          </cell>
          <cell r="I149">
            <v>197.99</v>
          </cell>
          <cell r="J149">
            <v>269.99</v>
          </cell>
          <cell r="K149">
            <v>6.0015156107911487</v>
          </cell>
          <cell r="L149">
            <v>6.001111358079573</v>
          </cell>
          <cell r="M149">
            <v>1.36374658987572</v>
          </cell>
          <cell r="N149">
            <v>0.37037036000000001</v>
          </cell>
          <cell r="O149">
            <v>12.218518176400002</v>
          </cell>
          <cell r="P149">
            <v>16.662962496400002</v>
          </cell>
          <cell r="Q149">
            <v>73.3296275764</v>
          </cell>
          <cell r="R149">
            <v>99.9962934964</v>
          </cell>
          <cell r="S149" t="str">
            <v>Increase Reach</v>
          </cell>
          <cell r="T149">
            <v>32.99</v>
          </cell>
          <cell r="U149">
            <v>12.218518176400002</v>
          </cell>
          <cell r="V149">
            <v>0</v>
          </cell>
          <cell r="W149">
            <v>0</v>
          </cell>
          <cell r="X149">
            <v>44.99</v>
          </cell>
          <cell r="Y149">
            <v>16.662962496400002</v>
          </cell>
          <cell r="Z149">
            <v>0</v>
          </cell>
          <cell r="AA149">
            <v>0</v>
          </cell>
          <cell r="AB149">
            <v>1.36374658987572</v>
          </cell>
          <cell r="AC149">
            <v>197.99</v>
          </cell>
          <cell r="AD149">
            <v>73.3296275764</v>
          </cell>
          <cell r="AE149">
            <v>0</v>
          </cell>
          <cell r="AF149">
            <v>0</v>
          </cell>
          <cell r="AG149">
            <v>6.0015156107911487</v>
          </cell>
          <cell r="AH149">
            <v>269.99</v>
          </cell>
          <cell r="AI149">
            <v>99.9962934964</v>
          </cell>
          <cell r="AJ149">
            <v>0</v>
          </cell>
          <cell r="AK149">
            <v>0</v>
          </cell>
          <cell r="AL149">
            <v>6.001111358079573</v>
          </cell>
        </row>
        <row r="150">
          <cell r="B150" t="str">
            <v>Morocco</v>
          </cell>
          <cell r="C150" t="str">
            <v>Africa</v>
          </cell>
          <cell r="F150" t="str">
            <v>MAD</v>
          </cell>
          <cell r="G150">
            <v>90</v>
          </cell>
          <cell r="H150">
            <v>120</v>
          </cell>
          <cell r="I150">
            <v>540</v>
          </cell>
          <cell r="J150">
            <v>720</v>
          </cell>
          <cell r="K150">
            <v>6</v>
          </cell>
          <cell r="L150">
            <v>6</v>
          </cell>
          <cell r="M150">
            <v>1.3333333333333333</v>
          </cell>
          <cell r="N150">
            <v>0.10025162999999999</v>
          </cell>
          <cell r="O150">
            <v>9.0226466999999992</v>
          </cell>
          <cell r="P150">
            <v>12.030195599999999</v>
          </cell>
          <cell r="Q150">
            <v>54.135880199999995</v>
          </cell>
          <cell r="R150">
            <v>72.181173599999994</v>
          </cell>
          <cell r="S150" t="str">
            <v>Increase Reach</v>
          </cell>
          <cell r="T150">
            <v>90</v>
          </cell>
          <cell r="U150">
            <v>9.0226466999999992</v>
          </cell>
          <cell r="V150">
            <v>0</v>
          </cell>
          <cell r="W150">
            <v>0</v>
          </cell>
          <cell r="X150">
            <v>120</v>
          </cell>
          <cell r="Y150">
            <v>12.030195599999999</v>
          </cell>
          <cell r="Z150">
            <v>0</v>
          </cell>
          <cell r="AA150">
            <v>0</v>
          </cell>
          <cell r="AB150">
            <v>1.3333333333333333</v>
          </cell>
          <cell r="AC150">
            <v>540</v>
          </cell>
          <cell r="AD150">
            <v>54.135880199999995</v>
          </cell>
          <cell r="AE150">
            <v>0</v>
          </cell>
          <cell r="AF150">
            <v>0</v>
          </cell>
          <cell r="AG150">
            <v>6</v>
          </cell>
          <cell r="AH150">
            <v>720</v>
          </cell>
          <cell r="AI150">
            <v>72.181173599999994</v>
          </cell>
          <cell r="AJ150">
            <v>0</v>
          </cell>
          <cell r="AK150">
            <v>0</v>
          </cell>
          <cell r="AL150">
            <v>6</v>
          </cell>
        </row>
        <row r="151">
          <cell r="B151" t="str">
            <v>Mozambique</v>
          </cell>
          <cell r="C151" t="str">
            <v>Africa</v>
          </cell>
          <cell r="F151" t="str">
            <v>USD</v>
          </cell>
          <cell r="G151">
            <v>8.99</v>
          </cell>
          <cell r="H151">
            <v>11.99</v>
          </cell>
          <cell r="I151">
            <v>53.99</v>
          </cell>
          <cell r="J151">
            <v>71.989999999999995</v>
          </cell>
          <cell r="K151">
            <v>6.0055617352614012</v>
          </cell>
          <cell r="L151">
            <v>6.0041701417848206</v>
          </cell>
          <cell r="M151">
            <v>1.3337041156840934</v>
          </cell>
          <cell r="N151">
            <v>1</v>
          </cell>
          <cell r="O151">
            <v>8.99</v>
          </cell>
          <cell r="P151">
            <v>11.99</v>
          </cell>
          <cell r="Q151">
            <v>53.99</v>
          </cell>
          <cell r="R151">
            <v>71.989999999999995</v>
          </cell>
          <cell r="S151" t="str">
            <v>Increase Reach</v>
          </cell>
          <cell r="T151">
            <v>8.99</v>
          </cell>
          <cell r="U151">
            <v>8.99</v>
          </cell>
          <cell r="V151">
            <v>0</v>
          </cell>
          <cell r="W151">
            <v>0</v>
          </cell>
          <cell r="X151">
            <v>11.99</v>
          </cell>
          <cell r="Y151">
            <v>11.99</v>
          </cell>
          <cell r="Z151">
            <v>0</v>
          </cell>
          <cell r="AA151">
            <v>0</v>
          </cell>
          <cell r="AB151">
            <v>1.3337041156840934</v>
          </cell>
          <cell r="AC151">
            <v>53.99</v>
          </cell>
          <cell r="AD151">
            <v>53.99</v>
          </cell>
          <cell r="AE151">
            <v>0</v>
          </cell>
          <cell r="AF151">
            <v>0</v>
          </cell>
          <cell r="AG151">
            <v>6.0055617352614012</v>
          </cell>
          <cell r="AH151">
            <v>71.989999999999995</v>
          </cell>
          <cell r="AI151">
            <v>71.989999999999995</v>
          </cell>
          <cell r="AJ151">
            <v>0</v>
          </cell>
          <cell r="AK151">
            <v>0</v>
          </cell>
          <cell r="AL151">
            <v>6.0041701417848206</v>
          </cell>
        </row>
        <row r="152">
          <cell r="B152" t="str">
            <v>Myanmar</v>
          </cell>
          <cell r="C152" t="str">
            <v>Asia</v>
          </cell>
          <cell r="F152" t="str">
            <v>MMK</v>
          </cell>
          <cell r="G152">
            <v>16000</v>
          </cell>
          <cell r="H152">
            <v>21600</v>
          </cell>
          <cell r="I152">
            <v>96000</v>
          </cell>
          <cell r="J152">
            <v>129600</v>
          </cell>
          <cell r="K152">
            <v>6</v>
          </cell>
          <cell r="L152">
            <v>6</v>
          </cell>
          <cell r="M152">
            <v>1.35</v>
          </cell>
          <cell r="N152">
            <v>4.7664841999999998E-4</v>
          </cell>
          <cell r="O152">
            <v>7.6263747199999994</v>
          </cell>
          <cell r="P152">
            <v>10.295605871999999</v>
          </cell>
          <cell r="Q152">
            <v>45.75824832</v>
          </cell>
          <cell r="R152">
            <v>61.773635231999997</v>
          </cell>
          <cell r="S152" t="str">
            <v>Increase Reach</v>
          </cell>
          <cell r="T152">
            <v>16000</v>
          </cell>
          <cell r="U152">
            <v>7.6263747199999994</v>
          </cell>
          <cell r="V152">
            <v>0</v>
          </cell>
          <cell r="W152">
            <v>0</v>
          </cell>
          <cell r="X152">
            <v>21600</v>
          </cell>
          <cell r="Y152">
            <v>10.295605871999999</v>
          </cell>
          <cell r="Z152">
            <v>0</v>
          </cell>
          <cell r="AA152">
            <v>0</v>
          </cell>
          <cell r="AB152">
            <v>1.35</v>
          </cell>
          <cell r="AC152">
            <v>96000</v>
          </cell>
          <cell r="AD152">
            <v>45.75824832</v>
          </cell>
          <cell r="AE152">
            <v>0</v>
          </cell>
          <cell r="AF152">
            <v>0</v>
          </cell>
          <cell r="AG152">
            <v>6</v>
          </cell>
          <cell r="AH152">
            <v>129600</v>
          </cell>
          <cell r="AI152">
            <v>61.773635231999997</v>
          </cell>
          <cell r="AJ152">
            <v>0</v>
          </cell>
          <cell r="AK152">
            <v>0</v>
          </cell>
          <cell r="AL152">
            <v>6</v>
          </cell>
        </row>
        <row r="153">
          <cell r="B153" t="str">
            <v>Namibia</v>
          </cell>
          <cell r="C153" t="str">
            <v>Africa</v>
          </cell>
          <cell r="F153" t="str">
            <v>NAD</v>
          </cell>
          <cell r="G153">
            <v>104.99</v>
          </cell>
          <cell r="H153">
            <v>141.99</v>
          </cell>
          <cell r="I153">
            <v>629.99</v>
          </cell>
          <cell r="J153">
            <v>851.99</v>
          </cell>
          <cell r="K153">
            <v>6.0004762358319841</v>
          </cell>
          <cell r="L153">
            <v>6.0003521374744695</v>
          </cell>
          <cell r="M153">
            <v>1.3524145156681591</v>
          </cell>
          <cell r="N153">
            <v>5.332978E-2</v>
          </cell>
          <cell r="O153">
            <v>5.5990936022</v>
          </cell>
          <cell r="P153">
            <v>7.5722954622000005</v>
          </cell>
          <cell r="Q153">
            <v>33.597228102199999</v>
          </cell>
          <cell r="R153">
            <v>45.436439262200004</v>
          </cell>
          <cell r="S153" t="str">
            <v>Increase Reach</v>
          </cell>
          <cell r="T153">
            <v>104.99</v>
          </cell>
          <cell r="U153">
            <v>5.5990936022</v>
          </cell>
          <cell r="V153">
            <v>0</v>
          </cell>
          <cell r="W153">
            <v>0</v>
          </cell>
          <cell r="X153">
            <v>141.99</v>
          </cell>
          <cell r="Y153">
            <v>7.5722954622000005</v>
          </cell>
          <cell r="Z153">
            <v>0</v>
          </cell>
          <cell r="AA153">
            <v>0</v>
          </cell>
          <cell r="AB153">
            <v>1.3524145156681591</v>
          </cell>
          <cell r="AC153">
            <v>629.99</v>
          </cell>
          <cell r="AD153">
            <v>33.597228102199999</v>
          </cell>
          <cell r="AE153">
            <v>0</v>
          </cell>
          <cell r="AF153">
            <v>0</v>
          </cell>
          <cell r="AG153">
            <v>6.0004762358319841</v>
          </cell>
          <cell r="AH153">
            <v>851.99</v>
          </cell>
          <cell r="AI153">
            <v>45.436439262200004</v>
          </cell>
          <cell r="AJ153">
            <v>0</v>
          </cell>
          <cell r="AK153">
            <v>0</v>
          </cell>
          <cell r="AL153">
            <v>6.0003521374744695</v>
          </cell>
        </row>
        <row r="154">
          <cell r="B154" t="str">
            <v>Nauru</v>
          </cell>
          <cell r="C154" t="str">
            <v>Asia</v>
          </cell>
          <cell r="F154" t="str">
            <v>AUD</v>
          </cell>
          <cell r="G154">
            <v>12.99</v>
          </cell>
          <cell r="H154">
            <v>17.989999999999998</v>
          </cell>
          <cell r="I154">
            <v>77.989999999999995</v>
          </cell>
          <cell r="J154">
            <v>107.99</v>
          </cell>
          <cell r="K154">
            <v>6.0038491147036179</v>
          </cell>
          <cell r="L154">
            <v>6.0027793218454697</v>
          </cell>
          <cell r="M154">
            <v>1.3849114703618166</v>
          </cell>
          <cell r="N154">
            <v>0.65905000000000002</v>
          </cell>
          <cell r="O154">
            <v>8.5610595000000007</v>
          </cell>
          <cell r="P154">
            <v>11.8563095</v>
          </cell>
          <cell r="Q154">
            <v>51.399309500000001</v>
          </cell>
          <cell r="R154">
            <v>71.170809500000004</v>
          </cell>
          <cell r="S154" t="str">
            <v>Increase Reach</v>
          </cell>
          <cell r="T154">
            <v>12.99</v>
          </cell>
          <cell r="U154">
            <v>8.5610595000000007</v>
          </cell>
          <cell r="V154">
            <v>0</v>
          </cell>
          <cell r="W154">
            <v>0</v>
          </cell>
          <cell r="X154">
            <v>17.989999999999998</v>
          </cell>
          <cell r="Y154">
            <v>11.8563095</v>
          </cell>
          <cell r="Z154">
            <v>0</v>
          </cell>
          <cell r="AA154">
            <v>0</v>
          </cell>
          <cell r="AB154">
            <v>1.3849114703618166</v>
          </cell>
          <cell r="AC154">
            <v>77.989999999999995</v>
          </cell>
          <cell r="AD154">
            <v>51.399309500000001</v>
          </cell>
          <cell r="AE154">
            <v>0</v>
          </cell>
          <cell r="AF154">
            <v>0</v>
          </cell>
          <cell r="AG154">
            <v>6.0038491147036179</v>
          </cell>
          <cell r="AH154">
            <v>107.99</v>
          </cell>
          <cell r="AI154">
            <v>71.170809500000004</v>
          </cell>
          <cell r="AJ154">
            <v>0</v>
          </cell>
          <cell r="AK154">
            <v>0</v>
          </cell>
          <cell r="AL154">
            <v>6.0027793218454697</v>
          </cell>
        </row>
        <row r="155">
          <cell r="B155" t="str">
            <v>Nepal</v>
          </cell>
          <cell r="C155" t="str">
            <v>Asia</v>
          </cell>
          <cell r="F155" t="str">
            <v>NPR</v>
          </cell>
          <cell r="G155">
            <v>1199.99</v>
          </cell>
          <cell r="H155">
            <v>1619.99</v>
          </cell>
          <cell r="I155">
            <v>7199.99</v>
          </cell>
          <cell r="J155">
            <v>9719.99</v>
          </cell>
          <cell r="K155">
            <v>6.0000416670138916</v>
          </cell>
          <cell r="L155">
            <v>6.0000308643880516</v>
          </cell>
          <cell r="M155">
            <v>1.3500029166909724</v>
          </cell>
          <cell r="N155">
            <v>7.5195890000000001E-3</v>
          </cell>
          <cell r="O155">
            <v>9.0234316041099998</v>
          </cell>
          <cell r="P155">
            <v>12.181658984110001</v>
          </cell>
          <cell r="Q155">
            <v>54.140965604110001</v>
          </cell>
          <cell r="R155">
            <v>73.090329884110005</v>
          </cell>
          <cell r="S155" t="str">
            <v>Increase Reach</v>
          </cell>
          <cell r="T155">
            <v>1199.99</v>
          </cell>
          <cell r="U155">
            <v>9.0234316041099998</v>
          </cell>
          <cell r="V155">
            <v>0</v>
          </cell>
          <cell r="W155">
            <v>0</v>
          </cell>
          <cell r="X155">
            <v>1619.99</v>
          </cell>
          <cell r="Y155">
            <v>12.181658984110001</v>
          </cell>
          <cell r="Z155">
            <v>0</v>
          </cell>
          <cell r="AA155">
            <v>0</v>
          </cell>
          <cell r="AB155">
            <v>1.3500029166909724</v>
          </cell>
          <cell r="AC155">
            <v>7199.99</v>
          </cell>
          <cell r="AD155">
            <v>54.140965604110001</v>
          </cell>
          <cell r="AE155">
            <v>0</v>
          </cell>
          <cell r="AF155">
            <v>0</v>
          </cell>
          <cell r="AG155">
            <v>6.0000416670138916</v>
          </cell>
          <cell r="AH155">
            <v>9719.99</v>
          </cell>
          <cell r="AI155">
            <v>73.090329884110005</v>
          </cell>
          <cell r="AJ155">
            <v>0</v>
          </cell>
          <cell r="AK155">
            <v>0</v>
          </cell>
          <cell r="AL155">
            <v>6.0000308643880516</v>
          </cell>
        </row>
        <row r="156">
          <cell r="B156" t="str">
            <v>Netherlands</v>
          </cell>
          <cell r="C156" t="str">
            <v>Europe</v>
          </cell>
          <cell r="D156" t="str">
            <v>T5</v>
          </cell>
          <cell r="E156" t="str">
            <v>x</v>
          </cell>
          <cell r="F156" t="str">
            <v>EUR</v>
          </cell>
          <cell r="G156">
            <v>16.989999999999998</v>
          </cell>
          <cell r="H156">
            <v>22.99</v>
          </cell>
          <cell r="I156">
            <v>99.99</v>
          </cell>
          <cell r="J156">
            <v>139.99</v>
          </cell>
          <cell r="K156">
            <v>5.8852266038846386</v>
          </cell>
          <cell r="L156">
            <v>6.0891692040017409</v>
          </cell>
          <cell r="M156">
            <v>1.3531489111241908</v>
          </cell>
          <cell r="N156">
            <v>1.0862499999999999</v>
          </cell>
          <cell r="O156">
            <v>18.455387499999997</v>
          </cell>
          <cell r="P156">
            <v>24.972887499999995</v>
          </cell>
          <cell r="Q156">
            <v>108.61413749999998</v>
          </cell>
          <cell r="R156">
            <v>152.06413750000002</v>
          </cell>
          <cell r="S156" t="str">
            <v>Increase Reach</v>
          </cell>
          <cell r="T156">
            <v>16.989999999999998</v>
          </cell>
          <cell r="U156">
            <v>18.455387499999997</v>
          </cell>
          <cell r="V156">
            <v>0</v>
          </cell>
          <cell r="W156">
            <v>0</v>
          </cell>
          <cell r="X156">
            <v>22.99</v>
          </cell>
          <cell r="Y156">
            <v>24.972887499999995</v>
          </cell>
          <cell r="Z156">
            <v>0</v>
          </cell>
          <cell r="AA156">
            <v>0</v>
          </cell>
          <cell r="AB156">
            <v>1.3531489111241908</v>
          </cell>
          <cell r="AC156">
            <v>109.99</v>
          </cell>
          <cell r="AD156">
            <v>119.47663749999998</v>
          </cell>
          <cell r="AE156">
            <v>10</v>
          </cell>
          <cell r="AF156">
            <v>0.10001000100009994</v>
          </cell>
          <cell r="AG156">
            <v>6.4738081224249564</v>
          </cell>
          <cell r="AH156">
            <v>149.99</v>
          </cell>
          <cell r="AI156">
            <v>162.9266375</v>
          </cell>
          <cell r="AJ156">
            <v>10</v>
          </cell>
          <cell r="AK156">
            <v>7.1433673833845246E-2</v>
          </cell>
          <cell r="AL156">
            <v>6.5241409308394962</v>
          </cell>
        </row>
        <row r="157">
          <cell r="B157" t="str">
            <v>New Caledonia</v>
          </cell>
          <cell r="C157" t="str">
            <v>Asia</v>
          </cell>
          <cell r="F157" t="str">
            <v>XPF</v>
          </cell>
          <cell r="G157">
            <v>1000</v>
          </cell>
          <cell r="H157">
            <v>1350</v>
          </cell>
          <cell r="I157">
            <v>6000</v>
          </cell>
          <cell r="J157">
            <v>8100</v>
          </cell>
          <cell r="K157">
            <v>6</v>
          </cell>
          <cell r="L157">
            <v>6</v>
          </cell>
          <cell r="M157">
            <v>1.35</v>
          </cell>
          <cell r="N157">
            <v>9.1027790000000001E-3</v>
          </cell>
          <cell r="O157">
            <v>9.102779</v>
          </cell>
          <cell r="P157">
            <v>12.28875165</v>
          </cell>
          <cell r="Q157">
            <v>54.616674000000003</v>
          </cell>
          <cell r="R157">
            <v>73.732509899999997</v>
          </cell>
          <cell r="S157" t="str">
            <v>Increase Reach</v>
          </cell>
          <cell r="T157">
            <v>1000</v>
          </cell>
          <cell r="U157">
            <v>9.102779</v>
          </cell>
          <cell r="V157">
            <v>0</v>
          </cell>
          <cell r="W157">
            <v>0</v>
          </cell>
          <cell r="X157">
            <v>1350</v>
          </cell>
          <cell r="Y157">
            <v>12.28875165</v>
          </cell>
          <cell r="Z157">
            <v>0</v>
          </cell>
          <cell r="AA157">
            <v>0</v>
          </cell>
          <cell r="AB157">
            <v>1.35</v>
          </cell>
          <cell r="AC157">
            <v>6000</v>
          </cell>
          <cell r="AD157">
            <v>54.616674000000003</v>
          </cell>
          <cell r="AE157">
            <v>0</v>
          </cell>
          <cell r="AF157">
            <v>0</v>
          </cell>
          <cell r="AG157">
            <v>6</v>
          </cell>
          <cell r="AH157">
            <v>8100</v>
          </cell>
          <cell r="AI157">
            <v>73.732509899999997</v>
          </cell>
          <cell r="AJ157">
            <v>0</v>
          </cell>
          <cell r="AK157">
            <v>0</v>
          </cell>
          <cell r="AL157">
            <v>6</v>
          </cell>
        </row>
        <row r="158">
          <cell r="B158" t="str">
            <v>Netherlands Antilles</v>
          </cell>
          <cell r="C158" t="str">
            <v>Latin America</v>
          </cell>
          <cell r="D158"/>
          <cell r="E158"/>
          <cell r="F158" t="str">
            <v>ANG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 t="e">
            <v>#DIV/0!</v>
          </cell>
          <cell r="L158" t="e">
            <v>#DIV/0!</v>
          </cell>
          <cell r="M158" t="e">
            <v>#DIV/0!</v>
          </cell>
          <cell r="N158">
            <v>0.55865925999999999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/>
          <cell r="U158">
            <v>0</v>
          </cell>
          <cell r="V158" t="str">
            <v/>
          </cell>
          <cell r="W158" t="str">
            <v/>
          </cell>
          <cell r="Y158">
            <v>0</v>
          </cell>
          <cell r="Z158" t="str">
            <v/>
          </cell>
          <cell r="AA158" t="str">
            <v/>
          </cell>
          <cell r="AB158" t="str">
            <v/>
          </cell>
          <cell r="AD158">
            <v>0</v>
          </cell>
          <cell r="AE158" t="str">
            <v/>
          </cell>
          <cell r="AF158" t="str">
            <v/>
          </cell>
          <cell r="AG158" t="str">
            <v/>
          </cell>
          <cell r="AI158">
            <v>0</v>
          </cell>
          <cell r="AJ158" t="str">
            <v/>
          </cell>
          <cell r="AK158" t="str">
            <v/>
          </cell>
          <cell r="AL158" t="str">
            <v/>
          </cell>
        </row>
        <row r="159">
          <cell r="B159" t="str">
            <v>New Zealand</v>
          </cell>
          <cell r="C159" t="str">
            <v>Asia</v>
          </cell>
          <cell r="D159" t="str">
            <v>T4</v>
          </cell>
          <cell r="E159" t="str">
            <v>x</v>
          </cell>
          <cell r="F159" t="str">
            <v>NZD</v>
          </cell>
          <cell r="G159">
            <v>24.99</v>
          </cell>
          <cell r="H159">
            <v>33.99</v>
          </cell>
          <cell r="I159">
            <v>149.99</v>
          </cell>
          <cell r="J159">
            <v>203.99</v>
          </cell>
          <cell r="K159">
            <v>6.0020008003201291</v>
          </cell>
          <cell r="L159">
            <v>6.0014710208884967</v>
          </cell>
          <cell r="M159">
            <v>1.3601440576230495</v>
          </cell>
          <cell r="N159">
            <v>0.61045000000000005</v>
          </cell>
          <cell r="O159">
            <v>15.255145500000001</v>
          </cell>
          <cell r="P159">
            <v>20.749195500000003</v>
          </cell>
          <cell r="Q159">
            <v>91.561395500000017</v>
          </cell>
          <cell r="R159">
            <v>124.52569550000001</v>
          </cell>
          <cell r="S159" t="str">
            <v>Increase Reach</v>
          </cell>
          <cell r="T159">
            <v>24.99</v>
          </cell>
          <cell r="U159">
            <v>15.255145500000001</v>
          </cell>
          <cell r="V159">
            <v>0</v>
          </cell>
          <cell r="W159">
            <v>0</v>
          </cell>
          <cell r="X159">
            <v>33.99</v>
          </cell>
          <cell r="Y159">
            <v>20.749195500000003</v>
          </cell>
          <cell r="Z159">
            <v>0</v>
          </cell>
          <cell r="AA159">
            <v>0</v>
          </cell>
          <cell r="AB159">
            <v>1.3601440576230495</v>
          </cell>
          <cell r="AC159">
            <v>159.99</v>
          </cell>
          <cell r="AD159">
            <v>97.665895500000019</v>
          </cell>
          <cell r="AE159">
            <v>10</v>
          </cell>
          <cell r="AF159">
            <v>6.6671111407427208E-2</v>
          </cell>
          <cell r="AG159">
            <v>6.4021608643457393</v>
          </cell>
          <cell r="AH159">
            <v>219.99</v>
          </cell>
          <cell r="AI159">
            <v>134.29289550000001</v>
          </cell>
          <cell r="AJ159">
            <v>16</v>
          </cell>
          <cell r="AK159">
            <v>7.8435217412618163E-2</v>
          </cell>
          <cell r="AL159">
            <v>6.4721977052074138</v>
          </cell>
        </row>
        <row r="160">
          <cell r="B160" t="str">
            <v>Nicaragua</v>
          </cell>
          <cell r="C160" t="str">
            <v>Latin America</v>
          </cell>
          <cell r="F160" t="str">
            <v>NIO</v>
          </cell>
          <cell r="G160">
            <v>369.99</v>
          </cell>
          <cell r="H160">
            <v>498.99</v>
          </cell>
          <cell r="I160">
            <v>2219.9899999999998</v>
          </cell>
          <cell r="J160">
            <v>2993.99</v>
          </cell>
          <cell r="K160">
            <v>6.0001351387875337</v>
          </cell>
          <cell r="L160">
            <v>6.0001002024088654</v>
          </cell>
          <cell r="M160">
            <v>1.3486580718397794</v>
          </cell>
          <cell r="N160">
            <v>2.7304276999999998E-2</v>
          </cell>
          <cell r="O160">
            <v>10.102309447229999</v>
          </cell>
          <cell r="P160">
            <v>13.62456118023</v>
          </cell>
          <cell r="Q160">
            <v>60.615221897229993</v>
          </cell>
          <cell r="R160">
            <v>81.748732295229985</v>
          </cell>
          <cell r="S160" t="str">
            <v>Increase Reach</v>
          </cell>
          <cell r="T160">
            <v>369.99</v>
          </cell>
          <cell r="U160">
            <v>10.102309447229999</v>
          </cell>
          <cell r="V160">
            <v>0</v>
          </cell>
          <cell r="W160">
            <v>0</v>
          </cell>
          <cell r="X160">
            <v>498.99</v>
          </cell>
          <cell r="Y160">
            <v>13.62456118023</v>
          </cell>
          <cell r="Z160">
            <v>0</v>
          </cell>
          <cell r="AA160">
            <v>0</v>
          </cell>
          <cell r="AB160">
            <v>1.3486580718397794</v>
          </cell>
          <cell r="AC160">
            <v>2219.9899999999998</v>
          </cell>
          <cell r="AD160">
            <v>60.615221897229993</v>
          </cell>
          <cell r="AE160">
            <v>0</v>
          </cell>
          <cell r="AF160">
            <v>0</v>
          </cell>
          <cell r="AG160">
            <v>6.0001351387875337</v>
          </cell>
          <cell r="AH160">
            <v>2993.99</v>
          </cell>
          <cell r="AI160">
            <v>81.748732295229985</v>
          </cell>
          <cell r="AJ160">
            <v>0</v>
          </cell>
          <cell r="AK160">
            <v>0</v>
          </cell>
          <cell r="AL160">
            <v>6.0001002024088654</v>
          </cell>
        </row>
        <row r="161">
          <cell r="B161" t="str">
            <v>Niger</v>
          </cell>
          <cell r="C161" t="str">
            <v>Africa</v>
          </cell>
          <cell r="F161" t="str">
            <v>XOF</v>
          </cell>
          <cell r="G161">
            <v>5400</v>
          </cell>
          <cell r="H161">
            <v>7290</v>
          </cell>
          <cell r="I161">
            <v>32400</v>
          </cell>
          <cell r="J161">
            <v>43740</v>
          </cell>
          <cell r="K161">
            <v>6</v>
          </cell>
          <cell r="L161">
            <v>6</v>
          </cell>
          <cell r="M161">
            <v>1.35</v>
          </cell>
          <cell r="N161">
            <v>1.6559773E-3</v>
          </cell>
          <cell r="O161">
            <v>8.9422774199999999</v>
          </cell>
          <cell r="P161">
            <v>12.072074517000001</v>
          </cell>
          <cell r="Q161">
            <v>53.65366452</v>
          </cell>
          <cell r="R161">
            <v>72.432447101999998</v>
          </cell>
          <cell r="S161" t="str">
            <v>Increase Reach</v>
          </cell>
          <cell r="T161">
            <v>5400</v>
          </cell>
          <cell r="U161">
            <v>8.9422774199999999</v>
          </cell>
          <cell r="V161">
            <v>0</v>
          </cell>
          <cell r="W161">
            <v>0</v>
          </cell>
          <cell r="X161">
            <v>7290</v>
          </cell>
          <cell r="Y161">
            <v>12.072074517000001</v>
          </cell>
          <cell r="Z161">
            <v>0</v>
          </cell>
          <cell r="AA161">
            <v>0</v>
          </cell>
          <cell r="AB161">
            <v>1.35</v>
          </cell>
          <cell r="AC161">
            <v>32400</v>
          </cell>
          <cell r="AD161">
            <v>53.65366452</v>
          </cell>
          <cell r="AE161">
            <v>0</v>
          </cell>
          <cell r="AF161">
            <v>0</v>
          </cell>
          <cell r="AG161">
            <v>6</v>
          </cell>
          <cell r="AH161">
            <v>43740</v>
          </cell>
          <cell r="AI161">
            <v>72.432447101999998</v>
          </cell>
          <cell r="AJ161">
            <v>0</v>
          </cell>
          <cell r="AK161">
            <v>0</v>
          </cell>
          <cell r="AL161">
            <v>6</v>
          </cell>
        </row>
        <row r="162">
          <cell r="B162" t="str">
            <v>Nigeria</v>
          </cell>
          <cell r="C162" t="str">
            <v>Africa</v>
          </cell>
          <cell r="F162" t="str">
            <v>NGN</v>
          </cell>
          <cell r="G162">
            <v>4000</v>
          </cell>
          <cell r="H162">
            <v>5400</v>
          </cell>
          <cell r="I162">
            <v>24000</v>
          </cell>
          <cell r="J162">
            <v>32400</v>
          </cell>
          <cell r="K162">
            <v>6</v>
          </cell>
          <cell r="L162">
            <v>6</v>
          </cell>
          <cell r="M162">
            <v>1.35</v>
          </cell>
          <cell r="N162">
            <v>1.1080332000000001E-3</v>
          </cell>
          <cell r="O162">
            <v>4.4321328000000006</v>
          </cell>
          <cell r="P162">
            <v>5.9833792800000003</v>
          </cell>
          <cell r="Q162">
            <v>26.592796800000002</v>
          </cell>
          <cell r="R162">
            <v>35.90027568</v>
          </cell>
          <cell r="S162" t="str">
            <v>Increase ARPU - Maintaining LPP Ratio</v>
          </cell>
          <cell r="T162">
            <v>4300</v>
          </cell>
          <cell r="U162">
            <v>4.7645427600000003</v>
          </cell>
          <cell r="V162">
            <v>300</v>
          </cell>
          <cell r="W162">
            <v>7.4999999999999956E-2</v>
          </cell>
          <cell r="X162">
            <v>5800</v>
          </cell>
          <cell r="Y162">
            <v>6.4265925600000005</v>
          </cell>
          <cell r="Z162">
            <v>400</v>
          </cell>
          <cell r="AA162">
            <v>7.4074074074074181E-2</v>
          </cell>
          <cell r="AB162">
            <v>1.3488372093023255</v>
          </cell>
          <cell r="AC162">
            <v>25900</v>
          </cell>
          <cell r="AD162">
            <v>28.698059880000002</v>
          </cell>
          <cell r="AE162">
            <v>1900</v>
          </cell>
          <cell r="AF162">
            <v>7.9166666666666607E-2</v>
          </cell>
          <cell r="AG162">
            <v>6.0232558139534884</v>
          </cell>
          <cell r="AH162">
            <v>34900</v>
          </cell>
          <cell r="AI162">
            <v>38.67035868</v>
          </cell>
          <cell r="AJ162">
            <v>2500</v>
          </cell>
          <cell r="AK162">
            <v>7.7160493827160392E-2</v>
          </cell>
          <cell r="AL162">
            <v>6.0172413793103452</v>
          </cell>
        </row>
        <row r="163">
          <cell r="B163" t="str">
            <v>Niue</v>
          </cell>
          <cell r="C163" t="str">
            <v>Asia</v>
          </cell>
          <cell r="F163" t="str">
            <v>NZD</v>
          </cell>
          <cell r="G163">
            <v>24.99</v>
          </cell>
          <cell r="H163">
            <v>33.99</v>
          </cell>
          <cell r="I163">
            <v>149.99</v>
          </cell>
          <cell r="J163">
            <v>203.99</v>
          </cell>
          <cell r="K163">
            <v>6.0020008003201291</v>
          </cell>
          <cell r="L163">
            <v>6.0014710208884967</v>
          </cell>
          <cell r="M163">
            <v>1.3601440576230495</v>
          </cell>
          <cell r="N163">
            <v>0.61045000000000005</v>
          </cell>
          <cell r="O163">
            <v>15.255145500000001</v>
          </cell>
          <cell r="P163">
            <v>20.749195500000003</v>
          </cell>
          <cell r="Q163">
            <v>91.561395500000017</v>
          </cell>
          <cell r="R163">
            <v>124.52569550000001</v>
          </cell>
          <cell r="S163" t="str">
            <v>Increase Reach</v>
          </cell>
          <cell r="T163">
            <v>24.99</v>
          </cell>
          <cell r="U163">
            <v>15.255145500000001</v>
          </cell>
          <cell r="V163">
            <v>0</v>
          </cell>
          <cell r="W163">
            <v>0</v>
          </cell>
          <cell r="X163">
            <v>33.99</v>
          </cell>
          <cell r="Y163">
            <v>20.749195500000003</v>
          </cell>
          <cell r="Z163">
            <v>0</v>
          </cell>
          <cell r="AA163">
            <v>0</v>
          </cell>
          <cell r="AB163">
            <v>1.3601440576230495</v>
          </cell>
          <cell r="AC163">
            <v>149.99</v>
          </cell>
          <cell r="AD163">
            <v>91.561395500000017</v>
          </cell>
          <cell r="AE163">
            <v>0</v>
          </cell>
          <cell r="AF163">
            <v>0</v>
          </cell>
          <cell r="AG163">
            <v>6.0020008003201291</v>
          </cell>
          <cell r="AH163">
            <v>203.99</v>
          </cell>
          <cell r="AI163">
            <v>124.52569550000001</v>
          </cell>
          <cell r="AJ163">
            <v>0</v>
          </cell>
          <cell r="AK163">
            <v>0</v>
          </cell>
          <cell r="AL163">
            <v>6.0014710208884967</v>
          </cell>
        </row>
        <row r="164">
          <cell r="B164" t="str">
            <v>Norfolk Island</v>
          </cell>
          <cell r="C164" t="str">
            <v>Asia</v>
          </cell>
          <cell r="F164" t="str">
            <v>AUD</v>
          </cell>
          <cell r="G164">
            <v>19.989999999999998</v>
          </cell>
          <cell r="H164">
            <v>26.99</v>
          </cell>
          <cell r="I164">
            <v>119.99</v>
          </cell>
          <cell r="J164">
            <v>161.99</v>
          </cell>
          <cell r="K164">
            <v>6.002501250625313</v>
          </cell>
          <cell r="L164">
            <v>6.0018525379770296</v>
          </cell>
          <cell r="M164">
            <v>1.3501750875437719</v>
          </cell>
          <cell r="N164">
            <v>0.65905000000000002</v>
          </cell>
          <cell r="O164">
            <v>13.174409499999999</v>
          </cell>
          <cell r="P164">
            <v>17.7877595</v>
          </cell>
          <cell r="Q164">
            <v>79.079409499999997</v>
          </cell>
          <cell r="R164">
            <v>106.75950950000001</v>
          </cell>
          <cell r="S164" t="str">
            <v>Increase Reach</v>
          </cell>
          <cell r="T164">
            <v>19.989999999999998</v>
          </cell>
          <cell r="U164">
            <v>13.174409499999999</v>
          </cell>
          <cell r="V164">
            <v>0</v>
          </cell>
          <cell r="W164">
            <v>0</v>
          </cell>
          <cell r="X164">
            <v>26.99</v>
          </cell>
          <cell r="Y164">
            <v>17.7877595</v>
          </cell>
          <cell r="Z164">
            <v>0</v>
          </cell>
          <cell r="AA164">
            <v>0</v>
          </cell>
          <cell r="AB164">
            <v>1.3501750875437719</v>
          </cell>
          <cell r="AC164">
            <v>119.99</v>
          </cell>
          <cell r="AD164">
            <v>79.079409499999997</v>
          </cell>
          <cell r="AE164">
            <v>0</v>
          </cell>
          <cell r="AF164">
            <v>0</v>
          </cell>
          <cell r="AG164">
            <v>6.002501250625313</v>
          </cell>
          <cell r="AH164">
            <v>161.99</v>
          </cell>
          <cell r="AI164">
            <v>106.75950950000001</v>
          </cell>
          <cell r="AJ164">
            <v>0</v>
          </cell>
          <cell r="AK164">
            <v>0</v>
          </cell>
          <cell r="AL164">
            <v>6.0018525379770296</v>
          </cell>
        </row>
        <row r="165">
          <cell r="B165" t="str">
            <v>Northern Mariana Islands</v>
          </cell>
          <cell r="C165" t="str">
            <v>Asia</v>
          </cell>
          <cell r="F165" t="str">
            <v>USD</v>
          </cell>
          <cell r="G165">
            <v>13.99</v>
          </cell>
          <cell r="H165">
            <v>18.989999999999998</v>
          </cell>
          <cell r="I165">
            <v>83.99</v>
          </cell>
          <cell r="J165">
            <v>129.99</v>
          </cell>
          <cell r="K165">
            <v>6.003573981415296</v>
          </cell>
          <cell r="L165">
            <v>6.8451816745655618</v>
          </cell>
          <cell r="M165">
            <v>1.3573981415296639</v>
          </cell>
          <cell r="N165">
            <v>1</v>
          </cell>
          <cell r="O165">
            <v>13.99</v>
          </cell>
          <cell r="P165">
            <v>18.989999999999998</v>
          </cell>
          <cell r="Q165">
            <v>83.99</v>
          </cell>
          <cell r="R165">
            <v>129.99</v>
          </cell>
          <cell r="S165" t="str">
            <v>Increase Reach</v>
          </cell>
          <cell r="T165">
            <v>13.99</v>
          </cell>
          <cell r="U165">
            <v>13.99</v>
          </cell>
          <cell r="V165">
            <v>0</v>
          </cell>
          <cell r="W165">
            <v>0</v>
          </cell>
          <cell r="X165">
            <v>18.989999999999998</v>
          </cell>
          <cell r="Y165">
            <v>18.989999999999998</v>
          </cell>
          <cell r="Z165">
            <v>0</v>
          </cell>
          <cell r="AA165">
            <v>0</v>
          </cell>
          <cell r="AB165">
            <v>1.3573981415296639</v>
          </cell>
          <cell r="AC165">
            <v>83.99</v>
          </cell>
          <cell r="AD165">
            <v>83.99</v>
          </cell>
          <cell r="AE165">
            <v>0</v>
          </cell>
          <cell r="AF165">
            <v>0</v>
          </cell>
          <cell r="AG165">
            <v>6.003573981415296</v>
          </cell>
          <cell r="AH165">
            <v>129.99</v>
          </cell>
          <cell r="AI165">
            <v>129.99</v>
          </cell>
          <cell r="AJ165">
            <v>0</v>
          </cell>
          <cell r="AK165">
            <v>0</v>
          </cell>
          <cell r="AL165">
            <v>6.8451816745655618</v>
          </cell>
        </row>
        <row r="166">
          <cell r="B166" t="str">
            <v>Norway</v>
          </cell>
          <cell r="C166" t="str">
            <v>Europe</v>
          </cell>
          <cell r="E166" t="str">
            <v>x</v>
          </cell>
          <cell r="F166" t="str">
            <v>NOK</v>
          </cell>
          <cell r="G166">
            <v>149.99</v>
          </cell>
          <cell r="H166">
            <v>199.99</v>
          </cell>
          <cell r="I166">
            <v>999.99</v>
          </cell>
          <cell r="J166">
            <v>1399.99</v>
          </cell>
          <cell r="K166">
            <v>6.6670444696313087</v>
          </cell>
          <cell r="L166">
            <v>7.0003000150007502</v>
          </cell>
          <cell r="M166">
            <v>1.3333555570371358</v>
          </cell>
          <cell r="N166">
            <v>9.6127969999999993E-2</v>
          </cell>
          <cell r="O166">
            <v>14.4182342203</v>
          </cell>
          <cell r="P166">
            <v>19.224632720300001</v>
          </cell>
          <cell r="Q166">
            <v>96.127008720299997</v>
          </cell>
          <cell r="R166">
            <v>134.57819672029999</v>
          </cell>
          <cell r="S166" t="str">
            <v>Maintain Balance</v>
          </cell>
          <cell r="T166">
            <v>149.99</v>
          </cell>
          <cell r="U166">
            <v>14.4182342203</v>
          </cell>
          <cell r="V166">
            <v>0</v>
          </cell>
          <cell r="W166">
            <v>0</v>
          </cell>
          <cell r="X166">
            <v>209.99</v>
          </cell>
          <cell r="Y166">
            <v>20.185912420299999</v>
          </cell>
          <cell r="Z166">
            <v>10</v>
          </cell>
          <cell r="AA166">
            <v>5.0002500125006177E-2</v>
          </cell>
          <cell r="AB166">
            <v>1.400026668444563</v>
          </cell>
          <cell r="AC166">
            <v>999.99</v>
          </cell>
          <cell r="AD166">
            <v>96.127008720299997</v>
          </cell>
          <cell r="AE166">
            <v>0</v>
          </cell>
          <cell r="AF166">
            <v>0</v>
          </cell>
          <cell r="AG166">
            <v>6.6670444696313087</v>
          </cell>
          <cell r="AH166">
            <v>1399.99</v>
          </cell>
          <cell r="AI166">
            <v>134.57819672029999</v>
          </cell>
          <cell r="AJ166">
            <v>0</v>
          </cell>
          <cell r="AK166">
            <v>0</v>
          </cell>
          <cell r="AL166">
            <v>6.6669365207867042</v>
          </cell>
        </row>
        <row r="167">
          <cell r="B167" t="str">
            <v>Oman</v>
          </cell>
          <cell r="C167" t="str">
            <v>Middle East</v>
          </cell>
          <cell r="F167" t="str">
            <v>OMR</v>
          </cell>
          <cell r="G167">
            <v>3.9990000000000001</v>
          </cell>
          <cell r="H167">
            <v>4.9989999999999997</v>
          </cell>
          <cell r="I167">
            <v>23.998999999999999</v>
          </cell>
          <cell r="J167">
            <v>29.998999999999999</v>
          </cell>
          <cell r="K167">
            <v>6.0012503125781445</v>
          </cell>
          <cell r="L167">
            <v>6.001000200040008</v>
          </cell>
          <cell r="M167">
            <v>1.2500625156289071</v>
          </cell>
          <cell r="N167">
            <v>2.5970651999999999</v>
          </cell>
          <cell r="O167">
            <v>10.3856637348</v>
          </cell>
          <cell r="P167">
            <v>12.982728934799999</v>
          </cell>
          <cell r="Q167">
            <v>62.326967734799993</v>
          </cell>
          <cell r="R167">
            <v>77.909358934799997</v>
          </cell>
          <cell r="S167" t="str">
            <v xml:space="preserve">Increase Reach </v>
          </cell>
          <cell r="T167">
            <v>3.9990000000000001</v>
          </cell>
          <cell r="U167">
            <v>10.3856637348</v>
          </cell>
          <cell r="V167">
            <v>0</v>
          </cell>
          <cell r="W167">
            <v>0</v>
          </cell>
          <cell r="X167">
            <v>4.9989999999999997</v>
          </cell>
          <cell r="Y167">
            <v>12.982728934799999</v>
          </cell>
          <cell r="Z167">
            <v>0</v>
          </cell>
          <cell r="AA167">
            <v>0</v>
          </cell>
          <cell r="AB167">
            <v>1.2500625156289071</v>
          </cell>
          <cell r="AC167">
            <v>23.998999999999999</v>
          </cell>
          <cell r="AD167">
            <v>62.326967734799993</v>
          </cell>
          <cell r="AE167">
            <v>0</v>
          </cell>
          <cell r="AF167">
            <v>0</v>
          </cell>
          <cell r="AG167">
            <v>6.0012503125781445</v>
          </cell>
          <cell r="AH167">
            <v>29.998999999999999</v>
          </cell>
          <cell r="AI167">
            <v>77.909358934799997</v>
          </cell>
          <cell r="AJ167">
            <v>0</v>
          </cell>
          <cell r="AK167">
            <v>0</v>
          </cell>
          <cell r="AL167">
            <v>6.001000200040008</v>
          </cell>
        </row>
        <row r="168">
          <cell r="B168" t="str">
            <v>Pakistan</v>
          </cell>
          <cell r="C168" t="str">
            <v>Asia</v>
          </cell>
          <cell r="F168" t="str">
            <v>PKR</v>
          </cell>
          <cell r="G168">
            <v>1500</v>
          </cell>
          <cell r="H168">
            <v>2030</v>
          </cell>
          <cell r="I168">
            <v>9000</v>
          </cell>
          <cell r="J168">
            <v>12180</v>
          </cell>
          <cell r="K168">
            <v>6</v>
          </cell>
          <cell r="L168">
            <v>6</v>
          </cell>
          <cell r="M168">
            <v>1.3533333333333333</v>
          </cell>
          <cell r="N168">
            <v>3.5771778999999998E-3</v>
          </cell>
          <cell r="O168">
            <v>5.36576685</v>
          </cell>
          <cell r="P168">
            <v>7.2616711369999996</v>
          </cell>
          <cell r="Q168">
            <v>32.1946011</v>
          </cell>
          <cell r="R168">
            <v>43.570026821999996</v>
          </cell>
          <cell r="S168" t="str">
            <v>Increase Reach</v>
          </cell>
          <cell r="T168">
            <v>1500</v>
          </cell>
          <cell r="U168">
            <v>5.36576685</v>
          </cell>
          <cell r="V168">
            <v>0</v>
          </cell>
          <cell r="W168">
            <v>0</v>
          </cell>
          <cell r="X168">
            <v>2030</v>
          </cell>
          <cell r="Y168">
            <v>7.2616711369999996</v>
          </cell>
          <cell r="Z168">
            <v>0</v>
          </cell>
          <cell r="AA168">
            <v>0</v>
          </cell>
          <cell r="AB168">
            <v>1.3533333333333333</v>
          </cell>
          <cell r="AC168">
            <v>9000</v>
          </cell>
          <cell r="AD168">
            <v>32.1946011</v>
          </cell>
          <cell r="AE168">
            <v>0</v>
          </cell>
          <cell r="AF168">
            <v>0</v>
          </cell>
          <cell r="AG168">
            <v>6</v>
          </cell>
          <cell r="AH168">
            <v>12180</v>
          </cell>
          <cell r="AI168">
            <v>43.570026821999996</v>
          </cell>
          <cell r="AJ168">
            <v>0</v>
          </cell>
          <cell r="AK168">
            <v>0</v>
          </cell>
          <cell r="AL168">
            <v>6</v>
          </cell>
        </row>
        <row r="169">
          <cell r="B169" t="str">
            <v>Palau</v>
          </cell>
          <cell r="C169" t="str">
            <v>Asia</v>
          </cell>
          <cell r="F169" t="str">
            <v>USD</v>
          </cell>
          <cell r="G169">
            <v>13.99</v>
          </cell>
          <cell r="H169">
            <v>18.989999999999998</v>
          </cell>
          <cell r="I169">
            <v>83.99</v>
          </cell>
          <cell r="J169">
            <v>129.99</v>
          </cell>
          <cell r="K169">
            <v>6.003573981415296</v>
          </cell>
          <cell r="L169">
            <v>6.8451816745655618</v>
          </cell>
          <cell r="M169">
            <v>1.3573981415296639</v>
          </cell>
          <cell r="N169">
            <v>1</v>
          </cell>
          <cell r="O169">
            <v>13.99</v>
          </cell>
          <cell r="P169">
            <v>18.989999999999998</v>
          </cell>
          <cell r="Q169">
            <v>83.99</v>
          </cell>
          <cell r="R169">
            <v>129.99</v>
          </cell>
          <cell r="S169" t="str">
            <v>Increase Reach</v>
          </cell>
          <cell r="T169">
            <v>13.99</v>
          </cell>
          <cell r="U169">
            <v>13.99</v>
          </cell>
          <cell r="V169">
            <v>0</v>
          </cell>
          <cell r="W169">
            <v>0</v>
          </cell>
          <cell r="X169">
            <v>18.989999999999998</v>
          </cell>
          <cell r="Y169">
            <v>18.989999999999998</v>
          </cell>
          <cell r="Z169">
            <v>0</v>
          </cell>
          <cell r="AA169">
            <v>0</v>
          </cell>
          <cell r="AB169">
            <v>1.3573981415296639</v>
          </cell>
          <cell r="AC169">
            <v>83.99</v>
          </cell>
          <cell r="AD169">
            <v>83.99</v>
          </cell>
          <cell r="AE169">
            <v>0</v>
          </cell>
          <cell r="AF169">
            <v>0</v>
          </cell>
          <cell r="AG169">
            <v>6.003573981415296</v>
          </cell>
          <cell r="AH169">
            <v>129.99</v>
          </cell>
          <cell r="AI169">
            <v>129.99</v>
          </cell>
          <cell r="AJ169">
            <v>0</v>
          </cell>
          <cell r="AK169">
            <v>0</v>
          </cell>
          <cell r="AL169">
            <v>6.8451816745655618</v>
          </cell>
        </row>
        <row r="170">
          <cell r="B170" t="str">
            <v>Palestinian Territory</v>
          </cell>
          <cell r="C170" t="str">
            <v>Middle East</v>
          </cell>
          <cell r="F170" t="str">
            <v>ILS</v>
          </cell>
          <cell r="G170">
            <v>29.99</v>
          </cell>
          <cell r="H170">
            <v>39.99</v>
          </cell>
          <cell r="I170">
            <v>179.99</v>
          </cell>
          <cell r="J170">
            <v>239.99</v>
          </cell>
          <cell r="K170">
            <v>6.0016672224074696</v>
          </cell>
          <cell r="L170">
            <v>6.0012503125781445</v>
          </cell>
          <cell r="M170">
            <v>1.3334444814938313</v>
          </cell>
          <cell r="N170">
            <v>0.27128207999999998</v>
          </cell>
          <cell r="O170">
            <v>8.1357495791999987</v>
          </cell>
          <cell r="P170">
            <v>10.8485703792</v>
          </cell>
          <cell r="Q170">
            <v>48.828061579199996</v>
          </cell>
          <cell r="R170">
            <v>65.1049863792</v>
          </cell>
          <cell r="S170" t="str">
            <v xml:space="preserve">Increase Reach </v>
          </cell>
          <cell r="T170">
            <v>29.99</v>
          </cell>
          <cell r="U170">
            <v>8.1357495791999987</v>
          </cell>
          <cell r="V170">
            <v>0</v>
          </cell>
          <cell r="W170">
            <v>0</v>
          </cell>
          <cell r="X170">
            <v>39.99</v>
          </cell>
          <cell r="Y170">
            <v>10.8485703792</v>
          </cell>
          <cell r="Z170">
            <v>0</v>
          </cell>
          <cell r="AA170">
            <v>0</v>
          </cell>
          <cell r="AB170">
            <v>1.3334444814938313</v>
          </cell>
          <cell r="AC170">
            <v>179.99</v>
          </cell>
          <cell r="AD170">
            <v>48.828061579199996</v>
          </cell>
          <cell r="AE170">
            <v>0</v>
          </cell>
          <cell r="AF170">
            <v>0</v>
          </cell>
          <cell r="AG170">
            <v>6.0016672224074696</v>
          </cell>
          <cell r="AH170">
            <v>239.99</v>
          </cell>
          <cell r="AI170">
            <v>65.1049863792</v>
          </cell>
          <cell r="AJ170">
            <v>0</v>
          </cell>
          <cell r="AK170">
            <v>0</v>
          </cell>
          <cell r="AL170">
            <v>6.0012503125781445</v>
          </cell>
        </row>
        <row r="171">
          <cell r="B171" t="str">
            <v>Panama</v>
          </cell>
          <cell r="C171" t="str">
            <v>Latin America</v>
          </cell>
          <cell r="E171" t="str">
            <v>x</v>
          </cell>
          <cell r="F171" t="str">
            <v>USD</v>
          </cell>
          <cell r="G171">
            <v>13.99</v>
          </cell>
          <cell r="H171">
            <v>18.989999999999998</v>
          </cell>
          <cell r="I171">
            <v>83.99</v>
          </cell>
          <cell r="J171">
            <v>113.99</v>
          </cell>
          <cell r="K171">
            <v>6.003573981415296</v>
          </cell>
          <cell r="L171">
            <v>6.0026329647182726</v>
          </cell>
          <cell r="M171">
            <v>1.3573981415296639</v>
          </cell>
          <cell r="N171">
            <v>1</v>
          </cell>
          <cell r="O171">
            <v>13.99</v>
          </cell>
          <cell r="P171">
            <v>18.989999999999998</v>
          </cell>
          <cell r="Q171">
            <v>83.99</v>
          </cell>
          <cell r="R171">
            <v>113.99</v>
          </cell>
          <cell r="S171" t="str">
            <v>Increase Reach</v>
          </cell>
          <cell r="T171">
            <v>13.99</v>
          </cell>
          <cell r="U171">
            <v>13.99</v>
          </cell>
          <cell r="V171">
            <v>0</v>
          </cell>
          <cell r="W171">
            <v>0</v>
          </cell>
          <cell r="X171">
            <v>18.989999999999998</v>
          </cell>
          <cell r="Y171">
            <v>18.989999999999998</v>
          </cell>
          <cell r="Z171">
            <v>0</v>
          </cell>
          <cell r="AA171">
            <v>0</v>
          </cell>
          <cell r="AB171">
            <v>1.3573981415296639</v>
          </cell>
          <cell r="AC171">
            <v>83.99</v>
          </cell>
          <cell r="AD171">
            <v>83.99</v>
          </cell>
          <cell r="AE171">
            <v>0</v>
          </cell>
          <cell r="AF171">
            <v>0</v>
          </cell>
          <cell r="AG171">
            <v>6.003573981415296</v>
          </cell>
          <cell r="AH171">
            <v>113.99</v>
          </cell>
          <cell r="AI171">
            <v>113.99</v>
          </cell>
          <cell r="AJ171">
            <v>0</v>
          </cell>
          <cell r="AK171">
            <v>0</v>
          </cell>
          <cell r="AL171">
            <v>6.0026329647182726</v>
          </cell>
        </row>
        <row r="172">
          <cell r="B172" t="str">
            <v>Papua New Guinea</v>
          </cell>
          <cell r="C172" t="str">
            <v>Asia</v>
          </cell>
          <cell r="F172" t="str">
            <v>PGK</v>
          </cell>
          <cell r="G172">
            <v>29.99</v>
          </cell>
          <cell r="H172">
            <v>39.99</v>
          </cell>
          <cell r="I172">
            <v>179.99</v>
          </cell>
          <cell r="J172">
            <v>239.99</v>
          </cell>
          <cell r="K172">
            <v>6.0016672224074696</v>
          </cell>
          <cell r="L172">
            <v>6.0012503125781445</v>
          </cell>
          <cell r="M172">
            <v>1.3334444814938313</v>
          </cell>
          <cell r="N172">
            <v>0.26709759999999999</v>
          </cell>
          <cell r="O172">
            <v>8.0102570239999995</v>
          </cell>
          <cell r="P172">
            <v>10.681233024000001</v>
          </cell>
          <cell r="Q172">
            <v>48.074897024000002</v>
          </cell>
          <cell r="R172">
            <v>64.100753023999999</v>
          </cell>
          <cell r="S172" t="str">
            <v>Increase Reach</v>
          </cell>
          <cell r="T172">
            <v>29.99</v>
          </cell>
          <cell r="U172">
            <v>8.0102570239999995</v>
          </cell>
          <cell r="V172">
            <v>0</v>
          </cell>
          <cell r="W172">
            <v>0</v>
          </cell>
          <cell r="X172">
            <v>39.99</v>
          </cell>
          <cell r="Y172">
            <v>10.681233024000001</v>
          </cell>
          <cell r="Z172">
            <v>0</v>
          </cell>
          <cell r="AA172">
            <v>0</v>
          </cell>
          <cell r="AB172">
            <v>1.3334444814938313</v>
          </cell>
          <cell r="AC172">
            <v>179.99</v>
          </cell>
          <cell r="AD172">
            <v>48.074897024000002</v>
          </cell>
          <cell r="AE172">
            <v>0</v>
          </cell>
          <cell r="AF172">
            <v>0</v>
          </cell>
          <cell r="AG172">
            <v>6.0016672224074696</v>
          </cell>
          <cell r="AH172">
            <v>239.99</v>
          </cell>
          <cell r="AI172">
            <v>64.100753023999999</v>
          </cell>
          <cell r="AJ172">
            <v>0</v>
          </cell>
          <cell r="AK172">
            <v>0</v>
          </cell>
          <cell r="AL172">
            <v>6.0012503125781445</v>
          </cell>
        </row>
        <row r="173">
          <cell r="B173" t="str">
            <v>Paraguay</v>
          </cell>
          <cell r="C173" t="str">
            <v>Latin America</v>
          </cell>
          <cell r="F173" t="str">
            <v>PYG</v>
          </cell>
          <cell r="G173">
            <v>68800</v>
          </cell>
          <cell r="H173">
            <v>92880</v>
          </cell>
          <cell r="I173">
            <v>412800</v>
          </cell>
          <cell r="J173">
            <v>557280</v>
          </cell>
          <cell r="K173">
            <v>6</v>
          </cell>
          <cell r="L173">
            <v>6</v>
          </cell>
          <cell r="M173">
            <v>1.35</v>
          </cell>
          <cell r="N173">
            <v>1.3751688E-4</v>
          </cell>
          <cell r="O173">
            <v>9.4611613440000006</v>
          </cell>
          <cell r="P173">
            <v>12.7725678144</v>
          </cell>
          <cell r="Q173">
            <v>56.766968063999997</v>
          </cell>
          <cell r="R173">
            <v>76.635406886399991</v>
          </cell>
          <cell r="S173" t="str">
            <v>Increase Reach</v>
          </cell>
          <cell r="T173">
            <v>68800</v>
          </cell>
          <cell r="U173">
            <v>9.4611613440000006</v>
          </cell>
          <cell r="V173">
            <v>0</v>
          </cell>
          <cell r="W173">
            <v>0</v>
          </cell>
          <cell r="X173">
            <v>92880</v>
          </cell>
          <cell r="Y173">
            <v>12.7725678144</v>
          </cell>
          <cell r="Z173">
            <v>0</v>
          </cell>
          <cell r="AA173">
            <v>0</v>
          </cell>
          <cell r="AB173">
            <v>1.35</v>
          </cell>
          <cell r="AC173">
            <v>412800</v>
          </cell>
          <cell r="AD173">
            <v>56.766968063999997</v>
          </cell>
          <cell r="AE173">
            <v>0</v>
          </cell>
          <cell r="AF173">
            <v>0</v>
          </cell>
          <cell r="AG173">
            <v>6</v>
          </cell>
          <cell r="AH173">
            <v>557280</v>
          </cell>
          <cell r="AI173">
            <v>76.635406886399991</v>
          </cell>
          <cell r="AJ173">
            <v>0</v>
          </cell>
          <cell r="AK173">
            <v>0</v>
          </cell>
          <cell r="AL173">
            <v>6</v>
          </cell>
        </row>
        <row r="174">
          <cell r="B174" t="str">
            <v>Peru</v>
          </cell>
          <cell r="C174" t="str">
            <v>Latin America</v>
          </cell>
          <cell r="F174" t="str">
            <v>PEN</v>
          </cell>
          <cell r="G174">
            <v>46.99</v>
          </cell>
          <cell r="H174">
            <v>62.99</v>
          </cell>
          <cell r="I174">
            <v>281.99</v>
          </cell>
          <cell r="J174">
            <v>377.99</v>
          </cell>
          <cell r="K174">
            <v>6.001064056182166</v>
          </cell>
          <cell r="L174">
            <v>6.0007937767899664</v>
          </cell>
          <cell r="M174">
            <v>1.3404979782932538</v>
          </cell>
          <cell r="N174">
            <v>0.26503405000000002</v>
          </cell>
          <cell r="O174">
            <v>12.453950009500002</v>
          </cell>
          <cell r="P174">
            <v>16.6944948095</v>
          </cell>
          <cell r="Q174">
            <v>74.736951759500002</v>
          </cell>
          <cell r="R174">
            <v>100.18022055950001</v>
          </cell>
          <cell r="S174" t="str">
            <v>Increase Reach</v>
          </cell>
          <cell r="T174">
            <v>46.99</v>
          </cell>
          <cell r="U174">
            <v>12.453950009500002</v>
          </cell>
          <cell r="V174">
            <v>0</v>
          </cell>
          <cell r="W174">
            <v>0</v>
          </cell>
          <cell r="X174">
            <v>62.99</v>
          </cell>
          <cell r="Y174">
            <v>16.6944948095</v>
          </cell>
          <cell r="Z174">
            <v>0</v>
          </cell>
          <cell r="AA174">
            <v>0</v>
          </cell>
          <cell r="AB174">
            <v>1.3404979782932538</v>
          </cell>
          <cell r="AC174">
            <v>281.99</v>
          </cell>
          <cell r="AD174">
            <v>74.736951759500002</v>
          </cell>
          <cell r="AE174">
            <v>0</v>
          </cell>
          <cell r="AF174">
            <v>0</v>
          </cell>
          <cell r="AG174">
            <v>6.001064056182166</v>
          </cell>
          <cell r="AH174">
            <v>377.99</v>
          </cell>
          <cell r="AI174">
            <v>100.18022055950001</v>
          </cell>
          <cell r="AJ174">
            <v>0</v>
          </cell>
          <cell r="AK174">
            <v>0</v>
          </cell>
          <cell r="AL174">
            <v>6.0007937767899664</v>
          </cell>
        </row>
        <row r="175">
          <cell r="B175" t="str">
            <v>Philippines</v>
          </cell>
          <cell r="C175" t="str">
            <v>Asia</v>
          </cell>
          <cell r="D175" t="str">
            <v>T2</v>
          </cell>
          <cell r="E175" t="str">
            <v>x</v>
          </cell>
          <cell r="F175" t="str">
            <v>PHP</v>
          </cell>
          <cell r="G175">
            <v>499</v>
          </cell>
          <cell r="H175">
            <v>650</v>
          </cell>
          <cell r="I175">
            <v>3499</v>
          </cell>
          <cell r="J175">
            <v>3900</v>
          </cell>
          <cell r="K175">
            <v>7.0120240480961922</v>
          </cell>
          <cell r="L175">
            <v>6</v>
          </cell>
          <cell r="M175">
            <v>1.3026052104208417</v>
          </cell>
          <cell r="N175">
            <v>1.7765144E-2</v>
          </cell>
          <cell r="O175">
            <v>8.8648068559999995</v>
          </cell>
          <cell r="P175">
            <v>11.5473436</v>
          </cell>
          <cell r="Q175">
            <v>62.160238855999999</v>
          </cell>
          <cell r="R175">
            <v>69.284061600000001</v>
          </cell>
          <cell r="S175" t="str">
            <v>Maintain Balance</v>
          </cell>
          <cell r="T175">
            <v>499</v>
          </cell>
          <cell r="U175">
            <v>8.8648068559999995</v>
          </cell>
          <cell r="V175">
            <v>0</v>
          </cell>
          <cell r="W175">
            <v>0</v>
          </cell>
          <cell r="X175">
            <v>749</v>
          </cell>
          <cell r="Y175">
            <v>13.306092855999999</v>
          </cell>
          <cell r="Z175">
            <v>99</v>
          </cell>
          <cell r="AA175">
            <v>0.15230769230769226</v>
          </cell>
          <cell r="AB175">
            <v>1.5010020040080161</v>
          </cell>
          <cell r="AC175">
            <v>3499</v>
          </cell>
          <cell r="AD175">
            <v>62.160238855999999</v>
          </cell>
          <cell r="AE175">
            <v>0</v>
          </cell>
          <cell r="AF175">
            <v>0</v>
          </cell>
          <cell r="AG175">
            <v>7.0120240480961922</v>
          </cell>
          <cell r="AH175">
            <v>4499</v>
          </cell>
          <cell r="AI175">
            <v>79.925382855999999</v>
          </cell>
          <cell r="AJ175">
            <v>599</v>
          </cell>
          <cell r="AK175">
            <v>0.15358974358974353</v>
          </cell>
          <cell r="AL175">
            <v>6.0066755674232306</v>
          </cell>
        </row>
        <row r="176">
          <cell r="B176" t="str">
            <v>Pitcairn Island</v>
          </cell>
          <cell r="C176" t="str">
            <v>Asia</v>
          </cell>
          <cell r="F176" t="str">
            <v>NZD</v>
          </cell>
          <cell r="G176">
            <v>13.99</v>
          </cell>
          <cell r="H176">
            <v>18.989999999999998</v>
          </cell>
          <cell r="I176">
            <v>83.99</v>
          </cell>
          <cell r="J176">
            <v>113.99</v>
          </cell>
          <cell r="K176">
            <v>6.003573981415296</v>
          </cell>
          <cell r="L176">
            <v>6.0026329647182726</v>
          </cell>
          <cell r="M176">
            <v>1.3573981415296639</v>
          </cell>
          <cell r="N176">
            <v>0.61045000000000005</v>
          </cell>
          <cell r="O176">
            <v>8.5401955000000012</v>
          </cell>
          <cell r="P176">
            <v>11.5924455</v>
          </cell>
          <cell r="Q176">
            <v>51.2716955</v>
          </cell>
          <cell r="R176">
            <v>69.585195499999998</v>
          </cell>
          <cell r="S176" t="str">
            <v>Increase Reach</v>
          </cell>
          <cell r="T176">
            <v>13.99</v>
          </cell>
          <cell r="U176">
            <v>8.5401955000000012</v>
          </cell>
          <cell r="V176">
            <v>0</v>
          </cell>
          <cell r="W176">
            <v>0</v>
          </cell>
          <cell r="X176">
            <v>18.989999999999998</v>
          </cell>
          <cell r="Y176">
            <v>11.5924455</v>
          </cell>
          <cell r="Z176">
            <v>0</v>
          </cell>
          <cell r="AA176">
            <v>0</v>
          </cell>
          <cell r="AB176">
            <v>1.3573981415296639</v>
          </cell>
          <cell r="AC176">
            <v>83.99</v>
          </cell>
          <cell r="AD176">
            <v>51.2716955</v>
          </cell>
          <cell r="AE176">
            <v>0</v>
          </cell>
          <cell r="AF176">
            <v>0</v>
          </cell>
          <cell r="AG176">
            <v>6.003573981415296</v>
          </cell>
          <cell r="AH176">
            <v>113.99</v>
          </cell>
          <cell r="AI176">
            <v>69.585195499999998</v>
          </cell>
          <cell r="AJ176">
            <v>0</v>
          </cell>
          <cell r="AK176">
            <v>0</v>
          </cell>
          <cell r="AL176">
            <v>6.0026329647182726</v>
          </cell>
        </row>
        <row r="177">
          <cell r="B177" t="str">
            <v>Poland</v>
          </cell>
          <cell r="C177" t="str">
            <v>Europe</v>
          </cell>
          <cell r="D177" t="str">
            <v>T4</v>
          </cell>
          <cell r="F177" t="str">
            <v>PLN</v>
          </cell>
          <cell r="G177">
            <v>59.99</v>
          </cell>
          <cell r="H177">
            <v>80.989999999999995</v>
          </cell>
          <cell r="I177">
            <v>359.99</v>
          </cell>
          <cell r="J177">
            <v>479.99</v>
          </cell>
          <cell r="K177">
            <v>6.0008334722453744</v>
          </cell>
          <cell r="L177">
            <v>5.9265341400172868</v>
          </cell>
          <cell r="M177">
            <v>1.350058343057176</v>
          </cell>
          <cell r="N177">
            <v>0.24875311999999999</v>
          </cell>
          <cell r="O177">
            <v>14.9226996688</v>
          </cell>
          <cell r="P177">
            <v>20.146515188799999</v>
          </cell>
          <cell r="Q177">
            <v>89.548635668800003</v>
          </cell>
          <cell r="R177">
            <v>119.3990100688</v>
          </cell>
          <cell r="S177" t="str">
            <v>Increase ARPU - Maintaining LPP Ratio</v>
          </cell>
          <cell r="T177">
            <v>61.99</v>
          </cell>
          <cell r="U177">
            <v>15.4202059088</v>
          </cell>
          <cell r="V177">
            <v>2</v>
          </cell>
          <cell r="W177">
            <v>3.333888981496913E-2</v>
          </cell>
          <cell r="X177">
            <v>82.99</v>
          </cell>
          <cell r="Y177">
            <v>20.644021428799999</v>
          </cell>
          <cell r="Z177">
            <v>2</v>
          </cell>
          <cell r="AA177">
            <v>2.4694406716878614E-2</v>
          </cell>
          <cell r="AB177">
            <v>1.3387643168252943</v>
          </cell>
          <cell r="AC177">
            <v>399.99</v>
          </cell>
          <cell r="AD177">
            <v>99.4987604688</v>
          </cell>
          <cell r="AE177">
            <v>40</v>
          </cell>
          <cell r="AF177">
            <v>0.11111419761660035</v>
          </cell>
          <cell r="AG177">
            <v>6.4524923374737861</v>
          </cell>
          <cell r="AH177">
            <v>539.99</v>
          </cell>
          <cell r="AI177">
            <v>134.32419726879999</v>
          </cell>
          <cell r="AJ177">
            <v>60</v>
          </cell>
          <cell r="AK177">
            <v>0.12500260422092135</v>
          </cell>
          <cell r="AL177">
            <v>6.506687552717195</v>
          </cell>
        </row>
        <row r="178">
          <cell r="B178" t="str">
            <v>Portugal</v>
          </cell>
          <cell r="C178" t="str">
            <v>Europe</v>
          </cell>
          <cell r="F178" t="str">
            <v>EUR</v>
          </cell>
          <cell r="G178">
            <v>14.99</v>
          </cell>
          <cell r="H178">
            <v>18.989999999999998</v>
          </cell>
          <cell r="I178">
            <v>89.99</v>
          </cell>
          <cell r="J178">
            <v>109.99</v>
          </cell>
          <cell r="K178">
            <v>6.0033355570380253</v>
          </cell>
          <cell r="L178">
            <v>5.7919957872564511</v>
          </cell>
          <cell r="M178">
            <v>1.266844563042028</v>
          </cell>
          <cell r="N178">
            <v>1.0862499999999999</v>
          </cell>
          <cell r="O178">
            <v>16.282887500000001</v>
          </cell>
          <cell r="P178">
            <v>20.627887499999996</v>
          </cell>
          <cell r="Q178">
            <v>97.751637499999987</v>
          </cell>
          <cell r="R178">
            <v>119.47663749999998</v>
          </cell>
          <cell r="S178" t="str">
            <v>Maintain Balance</v>
          </cell>
          <cell r="T178">
            <v>14.99</v>
          </cell>
          <cell r="U178">
            <v>16.282887500000001</v>
          </cell>
          <cell r="V178">
            <v>0</v>
          </cell>
          <cell r="W178">
            <v>0</v>
          </cell>
          <cell r="X178">
            <v>19.989999999999998</v>
          </cell>
          <cell r="Y178">
            <v>21.714137499999996</v>
          </cell>
          <cell r="Z178">
            <v>1</v>
          </cell>
          <cell r="AA178">
            <v>5.2659294365455578E-2</v>
          </cell>
          <cell r="AB178">
            <v>1.333555703802535</v>
          </cell>
          <cell r="AC178">
            <v>97.99</v>
          </cell>
          <cell r="AD178">
            <v>106.44163749999998</v>
          </cell>
          <cell r="AE178">
            <v>8</v>
          </cell>
          <cell r="AF178">
            <v>8.889876652961437E-2</v>
          </cell>
          <cell r="AG178">
            <v>6.5370246831220813</v>
          </cell>
          <cell r="AH178">
            <v>129.99</v>
          </cell>
          <cell r="AI178">
            <v>141.2016375</v>
          </cell>
          <cell r="AJ178">
            <v>20.000000000000014</v>
          </cell>
          <cell r="AK178">
            <v>0.181834712246568</v>
          </cell>
          <cell r="AL178">
            <v>6.5027513756878452</v>
          </cell>
        </row>
        <row r="179">
          <cell r="B179" t="str">
            <v>Qatar</v>
          </cell>
          <cell r="C179" t="str">
            <v>Middle East</v>
          </cell>
          <cell r="F179" t="str">
            <v>QAR</v>
          </cell>
          <cell r="G179">
            <v>74.989999999999995</v>
          </cell>
          <cell r="H179">
            <v>96.99</v>
          </cell>
          <cell r="I179">
            <v>524.99</v>
          </cell>
          <cell r="J179">
            <v>679.99</v>
          </cell>
          <cell r="K179">
            <v>7.0008001066808916</v>
          </cell>
          <cell r="L179">
            <v>7.0109289617486343</v>
          </cell>
          <cell r="M179">
            <v>1.2933724496599546</v>
          </cell>
          <cell r="N179">
            <v>0.27464982999999998</v>
          </cell>
          <cell r="O179">
            <v>20.595990751699997</v>
          </cell>
          <cell r="P179">
            <v>26.638287011699997</v>
          </cell>
          <cell r="Q179">
            <v>144.18841425169998</v>
          </cell>
          <cell r="R179">
            <v>186.7591379017</v>
          </cell>
          <cell r="S179" t="str">
            <v xml:space="preserve">Increase Reach </v>
          </cell>
          <cell r="T179">
            <v>74.989999999999995</v>
          </cell>
          <cell r="U179">
            <v>20.595990751699997</v>
          </cell>
          <cell r="V179">
            <v>0</v>
          </cell>
          <cell r="W179">
            <v>0</v>
          </cell>
          <cell r="X179">
            <v>96.99</v>
          </cell>
          <cell r="Y179">
            <v>26.638287011699997</v>
          </cell>
          <cell r="Z179">
            <v>0</v>
          </cell>
          <cell r="AA179">
            <v>0</v>
          </cell>
          <cell r="AB179">
            <v>1.2933724496599546</v>
          </cell>
          <cell r="AC179">
            <v>524.99</v>
          </cell>
          <cell r="AD179">
            <v>144.18841425169998</v>
          </cell>
          <cell r="AE179">
            <v>0</v>
          </cell>
          <cell r="AF179">
            <v>0</v>
          </cell>
          <cell r="AG179">
            <v>7.0008001066808916</v>
          </cell>
          <cell r="AH179">
            <v>679.99</v>
          </cell>
          <cell r="AI179">
            <v>186.7591379017</v>
          </cell>
          <cell r="AJ179">
            <v>0</v>
          </cell>
          <cell r="AK179">
            <v>0</v>
          </cell>
          <cell r="AL179">
            <v>7.0109289617486343</v>
          </cell>
        </row>
        <row r="180">
          <cell r="B180" t="str">
            <v>Reunion</v>
          </cell>
          <cell r="C180" t="str">
            <v>Africa</v>
          </cell>
          <cell r="F180" t="str">
            <v>EUR</v>
          </cell>
          <cell r="G180">
            <v>9.99</v>
          </cell>
          <cell r="H180">
            <v>12.99</v>
          </cell>
          <cell r="I180">
            <v>59.99</v>
          </cell>
          <cell r="J180">
            <v>77.989999999999995</v>
          </cell>
          <cell r="K180">
            <v>6.005005005005005</v>
          </cell>
          <cell r="L180">
            <v>6.0038491147036179</v>
          </cell>
          <cell r="M180">
            <v>1.3003003003003002</v>
          </cell>
          <cell r="N180">
            <v>1.0862499999999999</v>
          </cell>
          <cell r="O180">
            <v>10.851637499999999</v>
          </cell>
          <cell r="P180">
            <v>14.1103875</v>
          </cell>
          <cell r="Q180">
            <v>65.164137499999995</v>
          </cell>
          <cell r="R180">
            <v>84.71663749999999</v>
          </cell>
          <cell r="S180" t="str">
            <v>Increase Reach</v>
          </cell>
          <cell r="T180">
            <v>9.99</v>
          </cell>
          <cell r="U180">
            <v>10.851637499999999</v>
          </cell>
          <cell r="V180">
            <v>0</v>
          </cell>
          <cell r="W180">
            <v>0</v>
          </cell>
          <cell r="X180">
            <v>12.99</v>
          </cell>
          <cell r="Y180">
            <v>14.1103875</v>
          </cell>
          <cell r="Z180">
            <v>0</v>
          </cell>
          <cell r="AA180">
            <v>0</v>
          </cell>
          <cell r="AB180">
            <v>1.3003003003003002</v>
          </cell>
          <cell r="AC180">
            <v>59.99</v>
          </cell>
          <cell r="AD180">
            <v>65.164137499999995</v>
          </cell>
          <cell r="AE180">
            <v>0</v>
          </cell>
          <cell r="AF180">
            <v>0</v>
          </cell>
          <cell r="AG180">
            <v>6.005005005005005</v>
          </cell>
          <cell r="AH180">
            <v>77.989999999999995</v>
          </cell>
          <cell r="AI180">
            <v>84.71663749999999</v>
          </cell>
          <cell r="AJ180">
            <v>0</v>
          </cell>
          <cell r="AK180">
            <v>0</v>
          </cell>
          <cell r="AL180">
            <v>6.0038491147036179</v>
          </cell>
        </row>
        <row r="181">
          <cell r="B181" t="str">
            <v>Romania</v>
          </cell>
          <cell r="C181" t="str">
            <v>Europe</v>
          </cell>
          <cell r="F181" t="str">
            <v>RON</v>
          </cell>
          <cell r="G181">
            <v>58.99</v>
          </cell>
          <cell r="H181">
            <v>79.989999999999995</v>
          </cell>
          <cell r="I181">
            <v>349.99</v>
          </cell>
          <cell r="J181">
            <v>479.99</v>
          </cell>
          <cell r="K181">
            <v>5.9330394982200376</v>
          </cell>
          <cell r="L181">
            <v>6.0006250781347674</v>
          </cell>
          <cell r="M181">
            <v>1.3559925411086624</v>
          </cell>
          <cell r="N181">
            <v>0.21826435999999999</v>
          </cell>
          <cell r="O181">
            <v>12.875414596400001</v>
          </cell>
          <cell r="P181">
            <v>17.458966156399999</v>
          </cell>
          <cell r="Q181">
            <v>76.390343356399995</v>
          </cell>
          <cell r="R181">
            <v>104.7647101564</v>
          </cell>
          <cell r="S181" t="str">
            <v>Maintain Balance</v>
          </cell>
          <cell r="T181">
            <v>58.99</v>
          </cell>
          <cell r="U181">
            <v>12.875414596400001</v>
          </cell>
          <cell r="V181">
            <v>0</v>
          </cell>
          <cell r="W181">
            <v>0</v>
          </cell>
          <cell r="X181">
            <v>81.99</v>
          </cell>
          <cell r="Y181">
            <v>17.895494876399997</v>
          </cell>
          <cell r="Z181">
            <v>2</v>
          </cell>
          <cell r="AA181">
            <v>2.5003125390673731E-2</v>
          </cell>
          <cell r="AB181">
            <v>1.3898965926428206</v>
          </cell>
          <cell r="AC181">
            <v>394.99</v>
          </cell>
          <cell r="AD181">
            <v>86.212239556399993</v>
          </cell>
          <cell r="AE181">
            <v>45</v>
          </cell>
          <cell r="AF181">
            <v>0.1285751021457755</v>
          </cell>
          <cell r="AG181">
            <v>6.6958806577385994</v>
          </cell>
          <cell r="AH181">
            <v>549.99</v>
          </cell>
          <cell r="AI181">
            <v>120.0432153564</v>
          </cell>
          <cell r="AJ181">
            <v>70</v>
          </cell>
          <cell r="AK181">
            <v>0.14583637159107488</v>
          </cell>
          <cell r="AL181">
            <v>6.7080131723380907</v>
          </cell>
        </row>
        <row r="182">
          <cell r="B182" t="str">
            <v>Rwanda</v>
          </cell>
          <cell r="C182" t="str">
            <v>Africa</v>
          </cell>
          <cell r="F182" t="str">
            <v>RWF</v>
          </cell>
          <cell r="G182">
            <v>10000</v>
          </cell>
          <cell r="H182">
            <v>13500</v>
          </cell>
          <cell r="I182">
            <v>60000</v>
          </cell>
          <cell r="J182">
            <v>81000</v>
          </cell>
          <cell r="K182">
            <v>6</v>
          </cell>
          <cell r="L182">
            <v>6</v>
          </cell>
          <cell r="M182">
            <v>1.35</v>
          </cell>
          <cell r="N182">
            <v>7.8740159999999995E-4</v>
          </cell>
          <cell r="O182">
            <v>7.8740159999999992</v>
          </cell>
          <cell r="P182">
            <v>10.629921599999999</v>
          </cell>
          <cell r="Q182">
            <v>47.244095999999999</v>
          </cell>
          <cell r="R182">
            <v>63.779529599999996</v>
          </cell>
          <cell r="S182" t="str">
            <v>Increase Reach</v>
          </cell>
          <cell r="T182">
            <v>10000</v>
          </cell>
          <cell r="U182">
            <v>7.8740159999999992</v>
          </cell>
          <cell r="V182">
            <v>0</v>
          </cell>
          <cell r="W182">
            <v>0</v>
          </cell>
          <cell r="X182">
            <v>13500</v>
          </cell>
          <cell r="Y182">
            <v>10.629921599999999</v>
          </cell>
          <cell r="Z182">
            <v>0</v>
          </cell>
          <cell r="AA182">
            <v>0</v>
          </cell>
          <cell r="AB182">
            <v>1.35</v>
          </cell>
          <cell r="AC182">
            <v>60000</v>
          </cell>
          <cell r="AD182">
            <v>47.244095999999999</v>
          </cell>
          <cell r="AE182">
            <v>0</v>
          </cell>
          <cell r="AF182">
            <v>0</v>
          </cell>
          <cell r="AG182">
            <v>6</v>
          </cell>
          <cell r="AH182">
            <v>81000</v>
          </cell>
          <cell r="AI182">
            <v>63.779529599999996</v>
          </cell>
          <cell r="AJ182">
            <v>0</v>
          </cell>
          <cell r="AK182">
            <v>0</v>
          </cell>
          <cell r="AL182">
            <v>6</v>
          </cell>
        </row>
        <row r="183">
          <cell r="B183" t="str">
            <v>Russia</v>
          </cell>
          <cell r="C183" t="str">
            <v>Europe</v>
          </cell>
          <cell r="D183"/>
          <cell r="E183"/>
          <cell r="F183" t="str">
            <v>RUB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 t="e">
            <v>#DIV/0!</v>
          </cell>
          <cell r="L183" t="e">
            <v>#DIV/0!</v>
          </cell>
          <cell r="M183" t="e">
            <v>#DIV/0!</v>
          </cell>
          <cell r="N183">
            <v>1.1120378E-2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 t="str">
            <v xml:space="preserve">Increase Reach </v>
          </cell>
          <cell r="U183">
            <v>0</v>
          </cell>
          <cell r="V183" t="str">
            <v/>
          </cell>
          <cell r="W183" t="str">
            <v/>
          </cell>
          <cell r="Y183">
            <v>0</v>
          </cell>
          <cell r="Z183" t="str">
            <v/>
          </cell>
          <cell r="AA183" t="str">
            <v/>
          </cell>
          <cell r="AB183" t="str">
            <v/>
          </cell>
          <cell r="AD183">
            <v>0</v>
          </cell>
          <cell r="AE183" t="str">
            <v/>
          </cell>
          <cell r="AF183" t="str">
            <v/>
          </cell>
          <cell r="AG183" t="str">
            <v/>
          </cell>
          <cell r="AI183">
            <v>0</v>
          </cell>
          <cell r="AJ183" t="str">
            <v/>
          </cell>
          <cell r="AK183" t="str">
            <v/>
          </cell>
          <cell r="AL183" t="str">
            <v/>
          </cell>
        </row>
        <row r="184">
          <cell r="B184" t="str">
            <v>Saint Martin (French Part)</v>
          </cell>
          <cell r="C184" t="str">
            <v>Latin America</v>
          </cell>
          <cell r="F184" t="str">
            <v>EUR</v>
          </cell>
          <cell r="G184">
            <v>10.99</v>
          </cell>
          <cell r="H184">
            <v>14.99</v>
          </cell>
          <cell r="I184">
            <v>65.989999999999995</v>
          </cell>
          <cell r="J184">
            <v>89.99</v>
          </cell>
          <cell r="K184">
            <v>6.0045495905368513</v>
          </cell>
          <cell r="L184">
            <v>6.0033355570380253</v>
          </cell>
          <cell r="M184">
            <v>1.3639672429481347</v>
          </cell>
          <cell r="N184">
            <v>1.0862499999999999</v>
          </cell>
          <cell r="O184">
            <v>11.9378875</v>
          </cell>
          <cell r="P184">
            <v>16.282887500000001</v>
          </cell>
          <cell r="Q184">
            <v>71.681637499999994</v>
          </cell>
          <cell r="R184">
            <v>97.751637499999987</v>
          </cell>
          <cell r="S184" t="str">
            <v>Increase Reach</v>
          </cell>
          <cell r="T184">
            <v>10.99</v>
          </cell>
          <cell r="U184">
            <v>11.9378875</v>
          </cell>
          <cell r="V184">
            <v>0</v>
          </cell>
          <cell r="W184">
            <v>0</v>
          </cell>
          <cell r="X184">
            <v>14.99</v>
          </cell>
          <cell r="Y184">
            <v>16.282887500000001</v>
          </cell>
          <cell r="Z184">
            <v>0</v>
          </cell>
          <cell r="AA184">
            <v>0</v>
          </cell>
          <cell r="AB184">
            <v>1.3639672429481347</v>
          </cell>
          <cell r="AC184">
            <v>65.989999999999995</v>
          </cell>
          <cell r="AD184">
            <v>71.681637499999994</v>
          </cell>
          <cell r="AE184">
            <v>0</v>
          </cell>
          <cell r="AF184">
            <v>0</v>
          </cell>
          <cell r="AG184">
            <v>6.0045495905368513</v>
          </cell>
          <cell r="AH184">
            <v>89.99</v>
          </cell>
          <cell r="AI184">
            <v>97.751637499999987</v>
          </cell>
          <cell r="AJ184">
            <v>0</v>
          </cell>
          <cell r="AK184">
            <v>0</v>
          </cell>
          <cell r="AL184">
            <v>6.0033355570380253</v>
          </cell>
        </row>
        <row r="185">
          <cell r="B185" t="str">
            <v>Samoa</v>
          </cell>
          <cell r="C185" t="str">
            <v>Asia</v>
          </cell>
          <cell r="F185" t="str">
            <v>WST</v>
          </cell>
          <cell r="G185">
            <v>19.989999999999998</v>
          </cell>
          <cell r="H185">
            <v>26.99</v>
          </cell>
          <cell r="I185">
            <v>119.99</v>
          </cell>
          <cell r="J185">
            <v>161.99</v>
          </cell>
          <cell r="K185">
            <v>6.002501250625313</v>
          </cell>
          <cell r="L185">
            <v>6.0018525379770296</v>
          </cell>
          <cell r="M185">
            <v>1.3501750875437719</v>
          </cell>
          <cell r="N185">
            <v>0.36380000000000001</v>
          </cell>
          <cell r="O185">
            <v>7.2723619999999993</v>
          </cell>
          <cell r="P185">
            <v>9.8189619999999991</v>
          </cell>
          <cell r="Q185">
            <v>43.652361999999997</v>
          </cell>
          <cell r="R185">
            <v>58.931962000000006</v>
          </cell>
          <cell r="S185" t="str">
            <v>Increase Reach</v>
          </cell>
          <cell r="T185">
            <v>19.989999999999998</v>
          </cell>
          <cell r="U185">
            <v>7.2723619999999993</v>
          </cell>
          <cell r="V185">
            <v>0</v>
          </cell>
          <cell r="W185">
            <v>0</v>
          </cell>
          <cell r="X185">
            <v>26.99</v>
          </cell>
          <cell r="Y185">
            <v>9.8189619999999991</v>
          </cell>
          <cell r="Z185">
            <v>0</v>
          </cell>
          <cell r="AA185">
            <v>0</v>
          </cell>
          <cell r="AB185">
            <v>1.3501750875437719</v>
          </cell>
          <cell r="AC185">
            <v>119.99</v>
          </cell>
          <cell r="AD185">
            <v>43.652361999999997</v>
          </cell>
          <cell r="AE185">
            <v>0</v>
          </cell>
          <cell r="AF185">
            <v>0</v>
          </cell>
          <cell r="AG185">
            <v>6.002501250625313</v>
          </cell>
          <cell r="AH185">
            <v>161.99</v>
          </cell>
          <cell r="AI185">
            <v>58.931962000000006</v>
          </cell>
          <cell r="AJ185">
            <v>0</v>
          </cell>
          <cell r="AK185">
            <v>0</v>
          </cell>
          <cell r="AL185">
            <v>6.0018525379770296</v>
          </cell>
        </row>
        <row r="186">
          <cell r="B186" t="str">
            <v>San Marino</v>
          </cell>
          <cell r="C186" t="str">
            <v>Europe</v>
          </cell>
          <cell r="F186" t="str">
            <v>EUR</v>
          </cell>
          <cell r="G186">
            <v>17.989999999999998</v>
          </cell>
          <cell r="H186">
            <v>22.99</v>
          </cell>
          <cell r="I186">
            <v>109.99</v>
          </cell>
          <cell r="J186">
            <v>159.99</v>
          </cell>
          <cell r="K186">
            <v>6.1139521956642584</v>
          </cell>
          <cell r="L186">
            <v>6.9591126576772515</v>
          </cell>
          <cell r="M186">
            <v>1.2779321845469707</v>
          </cell>
          <cell r="N186">
            <v>1.0862499999999999</v>
          </cell>
          <cell r="O186">
            <v>19.541637499999997</v>
          </cell>
          <cell r="P186">
            <v>24.972887499999995</v>
          </cell>
          <cell r="Q186">
            <v>119.47663749999998</v>
          </cell>
          <cell r="R186">
            <v>173.78913750000001</v>
          </cell>
          <cell r="S186" t="str">
            <v xml:space="preserve">Increase Reach </v>
          </cell>
          <cell r="T186">
            <v>17.989999999999998</v>
          </cell>
          <cell r="U186">
            <v>19.541637499999997</v>
          </cell>
          <cell r="V186">
            <v>0</v>
          </cell>
          <cell r="W186">
            <v>0</v>
          </cell>
          <cell r="X186">
            <v>22.99</v>
          </cell>
          <cell r="Y186">
            <v>24.972887499999995</v>
          </cell>
          <cell r="Z186">
            <v>0</v>
          </cell>
          <cell r="AA186">
            <v>0</v>
          </cell>
          <cell r="AB186">
            <v>1.2779321845469707</v>
          </cell>
          <cell r="AC186">
            <v>109.99</v>
          </cell>
          <cell r="AD186">
            <v>119.47663749999998</v>
          </cell>
          <cell r="AE186">
            <v>0</v>
          </cell>
          <cell r="AF186">
            <v>0</v>
          </cell>
          <cell r="AG186">
            <v>6.1139521956642584</v>
          </cell>
          <cell r="AH186">
            <v>159.99</v>
          </cell>
          <cell r="AI186">
            <v>173.78913750000001</v>
          </cell>
          <cell r="AJ186">
            <v>0</v>
          </cell>
          <cell r="AK186">
            <v>0</v>
          </cell>
          <cell r="AL186">
            <v>6.9591126576772515</v>
          </cell>
        </row>
        <row r="187">
          <cell r="B187" t="str">
            <v>Sao Tome And Principe</v>
          </cell>
          <cell r="C187" t="str">
            <v>Africa</v>
          </cell>
          <cell r="F187" t="str">
            <v>USD</v>
          </cell>
          <cell r="G187">
            <v>9.99</v>
          </cell>
          <cell r="H187">
            <v>12.99</v>
          </cell>
          <cell r="I187">
            <v>59.99</v>
          </cell>
          <cell r="J187">
            <v>77.989999999999995</v>
          </cell>
          <cell r="K187">
            <v>6.005005005005005</v>
          </cell>
          <cell r="L187">
            <v>6.0038491147036179</v>
          </cell>
          <cell r="M187">
            <v>1.3003003003003002</v>
          </cell>
          <cell r="N187">
            <v>1</v>
          </cell>
          <cell r="O187">
            <v>9.99</v>
          </cell>
          <cell r="P187">
            <v>12.99</v>
          </cell>
          <cell r="Q187">
            <v>59.99</v>
          </cell>
          <cell r="R187">
            <v>77.989999999999995</v>
          </cell>
          <cell r="S187" t="str">
            <v>Increase Reach</v>
          </cell>
          <cell r="T187">
            <v>9.99</v>
          </cell>
          <cell r="U187">
            <v>9.99</v>
          </cell>
          <cell r="V187">
            <v>0</v>
          </cell>
          <cell r="W187">
            <v>0</v>
          </cell>
          <cell r="X187">
            <v>12.99</v>
          </cell>
          <cell r="Y187">
            <v>12.99</v>
          </cell>
          <cell r="Z187">
            <v>0</v>
          </cell>
          <cell r="AA187">
            <v>0</v>
          </cell>
          <cell r="AB187">
            <v>1.3003003003003002</v>
          </cell>
          <cell r="AC187">
            <v>59.99</v>
          </cell>
          <cell r="AD187">
            <v>59.99</v>
          </cell>
          <cell r="AE187">
            <v>0</v>
          </cell>
          <cell r="AF187">
            <v>0</v>
          </cell>
          <cell r="AG187">
            <v>6.005005005005005</v>
          </cell>
          <cell r="AH187">
            <v>77.989999999999995</v>
          </cell>
          <cell r="AI187">
            <v>77.989999999999995</v>
          </cell>
          <cell r="AJ187">
            <v>0</v>
          </cell>
          <cell r="AK187">
            <v>0</v>
          </cell>
          <cell r="AL187">
            <v>6.0038491147036179</v>
          </cell>
        </row>
        <row r="188">
          <cell r="B188" t="str">
            <v>Saudi Arabia</v>
          </cell>
          <cell r="C188" t="str">
            <v>Middle East</v>
          </cell>
          <cell r="E188" t="str">
            <v>x</v>
          </cell>
          <cell r="F188" t="str">
            <v>SAR</v>
          </cell>
          <cell r="G188">
            <v>59.99</v>
          </cell>
          <cell r="H188">
            <v>77.989999999999995</v>
          </cell>
          <cell r="I188">
            <v>359.99</v>
          </cell>
          <cell r="J188">
            <v>479.99</v>
          </cell>
          <cell r="K188">
            <v>6.0008334722453744</v>
          </cell>
          <cell r="L188">
            <v>6.1545069880753944</v>
          </cell>
          <cell r="M188">
            <v>1.3000500083347224</v>
          </cell>
          <cell r="N188">
            <v>0.26665956000000002</v>
          </cell>
          <cell r="O188">
            <v>15.996907004400002</v>
          </cell>
          <cell r="P188">
            <v>20.796779084400001</v>
          </cell>
          <cell r="Q188">
            <v>95.994775004400012</v>
          </cell>
          <cell r="R188">
            <v>127.99392220440001</v>
          </cell>
          <cell r="S188" t="str">
            <v>Increase ARPU - Widening LPP Ratio</v>
          </cell>
          <cell r="T188">
            <v>61.99</v>
          </cell>
          <cell r="U188">
            <v>16.530226124400002</v>
          </cell>
          <cell r="V188">
            <v>2</v>
          </cell>
          <cell r="W188">
            <v>3.333888981496913E-2</v>
          </cell>
          <cell r="X188">
            <v>84.99</v>
          </cell>
          <cell r="Y188">
            <v>22.663396004399999</v>
          </cell>
          <cell r="Z188">
            <v>7</v>
          </cell>
          <cell r="AA188">
            <v>8.9755096807282886E-2</v>
          </cell>
          <cell r="AB188">
            <v>1.3710275850943698</v>
          </cell>
          <cell r="AC188">
            <v>384.99</v>
          </cell>
          <cell r="AD188">
            <v>102.66126400440001</v>
          </cell>
          <cell r="AE188">
            <v>25</v>
          </cell>
          <cell r="AF188">
            <v>6.9446373510375192E-2</v>
          </cell>
          <cell r="AG188">
            <v>6.2105178254557183</v>
          </cell>
          <cell r="AH188">
            <v>526.99</v>
          </cell>
          <cell r="AI188">
            <v>140.52692152440002</v>
          </cell>
          <cell r="AJ188">
            <v>47</v>
          </cell>
          <cell r="AK188">
            <v>9.7918706639721576E-2</v>
          </cell>
          <cell r="AL188">
            <v>6.2006118366866696</v>
          </cell>
        </row>
        <row r="189">
          <cell r="B189" t="str">
            <v>Senegal</v>
          </cell>
          <cell r="C189" t="str">
            <v>Africa</v>
          </cell>
          <cell r="F189" t="str">
            <v>XOF</v>
          </cell>
          <cell r="G189">
            <v>5400</v>
          </cell>
          <cell r="H189">
            <v>7290</v>
          </cell>
          <cell r="I189">
            <v>32400</v>
          </cell>
          <cell r="J189">
            <v>43740</v>
          </cell>
          <cell r="K189">
            <v>6</v>
          </cell>
          <cell r="L189">
            <v>6</v>
          </cell>
          <cell r="M189">
            <v>1.35</v>
          </cell>
          <cell r="N189">
            <v>1.6559773E-3</v>
          </cell>
          <cell r="O189">
            <v>8.9422774199999999</v>
          </cell>
          <cell r="P189">
            <v>12.072074517000001</v>
          </cell>
          <cell r="Q189">
            <v>53.65366452</v>
          </cell>
          <cell r="R189">
            <v>72.432447101999998</v>
          </cell>
          <cell r="S189" t="str">
            <v>Increase Reach</v>
          </cell>
          <cell r="T189">
            <v>5400</v>
          </cell>
          <cell r="U189">
            <v>8.9422774199999999</v>
          </cell>
          <cell r="V189">
            <v>0</v>
          </cell>
          <cell r="W189">
            <v>0</v>
          </cell>
          <cell r="X189">
            <v>7290</v>
          </cell>
          <cell r="Y189">
            <v>12.072074517000001</v>
          </cell>
          <cell r="Z189">
            <v>0</v>
          </cell>
          <cell r="AA189">
            <v>0</v>
          </cell>
          <cell r="AB189">
            <v>1.35</v>
          </cell>
          <cell r="AC189">
            <v>32400</v>
          </cell>
          <cell r="AD189">
            <v>53.65366452</v>
          </cell>
          <cell r="AE189">
            <v>0</v>
          </cell>
          <cell r="AF189">
            <v>0</v>
          </cell>
          <cell r="AG189">
            <v>6</v>
          </cell>
          <cell r="AH189">
            <v>43740</v>
          </cell>
          <cell r="AI189">
            <v>72.432447101999998</v>
          </cell>
          <cell r="AJ189">
            <v>0</v>
          </cell>
          <cell r="AK189">
            <v>0</v>
          </cell>
          <cell r="AL189">
            <v>6</v>
          </cell>
        </row>
        <row r="190">
          <cell r="B190" t="str">
            <v>Serbia</v>
          </cell>
          <cell r="C190" t="str">
            <v>Europe</v>
          </cell>
          <cell r="F190" t="str">
            <v>RSD</v>
          </cell>
          <cell r="G190">
            <v>1199.99</v>
          </cell>
          <cell r="H190">
            <v>1619.99</v>
          </cell>
          <cell r="I190">
            <v>7199.99</v>
          </cell>
          <cell r="J190">
            <v>9719.99</v>
          </cell>
          <cell r="K190">
            <v>6.0000416670138916</v>
          </cell>
          <cell r="L190">
            <v>6.0000308643880516</v>
          </cell>
          <cell r="M190">
            <v>1.3500029166909724</v>
          </cell>
          <cell r="N190">
            <v>9.2678410000000006E-3</v>
          </cell>
          <cell r="O190">
            <v>11.121316521590002</v>
          </cell>
          <cell r="P190">
            <v>15.01380974159</v>
          </cell>
          <cell r="Q190">
            <v>66.72836252159</v>
          </cell>
          <cell r="R190">
            <v>90.083321841590006</v>
          </cell>
          <cell r="S190" t="str">
            <v>Maintain Balance</v>
          </cell>
          <cell r="T190">
            <v>1199.99</v>
          </cell>
          <cell r="U190">
            <v>11.121316521590002</v>
          </cell>
          <cell r="V190">
            <v>0</v>
          </cell>
          <cell r="W190">
            <v>0</v>
          </cell>
          <cell r="X190">
            <v>1649.99</v>
          </cell>
          <cell r="Y190">
            <v>15.291844971590001</v>
          </cell>
          <cell r="Z190">
            <v>30</v>
          </cell>
          <cell r="AA190">
            <v>1.8518632831066917E-2</v>
          </cell>
          <cell r="AB190">
            <v>1.3750031250260419</v>
          </cell>
          <cell r="AC190">
            <v>7499.99</v>
          </cell>
          <cell r="AD190">
            <v>69.508714821590004</v>
          </cell>
          <cell r="AE190">
            <v>300</v>
          </cell>
          <cell r="AF190">
            <v>4.1666724537117394E-2</v>
          </cell>
          <cell r="AG190">
            <v>6.2500437503645863</v>
          </cell>
          <cell r="AH190">
            <v>10309.99</v>
          </cell>
          <cell r="AI190">
            <v>95.55134803159001</v>
          </cell>
          <cell r="AJ190">
            <v>590</v>
          </cell>
          <cell r="AK190">
            <v>6.0699650925566839E-2</v>
          </cell>
          <cell r="AL190">
            <v>6.2485166576767126</v>
          </cell>
        </row>
        <row r="191">
          <cell r="B191" t="str">
            <v>Seychelles</v>
          </cell>
          <cell r="C191" t="str">
            <v>Africa</v>
          </cell>
          <cell r="F191" t="str">
            <v>SCR</v>
          </cell>
          <cell r="G191">
            <v>99.99</v>
          </cell>
          <cell r="H191">
            <v>134.99</v>
          </cell>
          <cell r="I191">
            <v>599.99</v>
          </cell>
          <cell r="J191">
            <v>809.99</v>
          </cell>
          <cell r="K191">
            <v>6.0005000500050008</v>
          </cell>
          <cell r="L191">
            <v>6.0003703978072442</v>
          </cell>
          <cell r="M191">
            <v>1.3500350035003501</v>
          </cell>
          <cell r="N191">
            <v>7.131345E-2</v>
          </cell>
          <cell r="O191">
            <v>7.1306318654999998</v>
          </cell>
          <cell r="P191">
            <v>9.6266026155000013</v>
          </cell>
          <cell r="Q191">
            <v>42.787356865500001</v>
          </cell>
          <cell r="R191">
            <v>57.763181365500003</v>
          </cell>
          <cell r="S191" t="str">
            <v>Increase Reach</v>
          </cell>
          <cell r="T191">
            <v>99.99</v>
          </cell>
          <cell r="U191">
            <v>7.1306318654999998</v>
          </cell>
          <cell r="V191">
            <v>0</v>
          </cell>
          <cell r="W191">
            <v>0</v>
          </cell>
          <cell r="X191">
            <v>134.99</v>
          </cell>
          <cell r="Y191">
            <v>9.6266026155000013</v>
          </cell>
          <cell r="Z191">
            <v>0</v>
          </cell>
          <cell r="AA191">
            <v>0</v>
          </cell>
          <cell r="AB191">
            <v>1.3500350035003501</v>
          </cell>
          <cell r="AC191">
            <v>599.99</v>
          </cell>
          <cell r="AD191">
            <v>42.787356865500001</v>
          </cell>
          <cell r="AE191">
            <v>0</v>
          </cell>
          <cell r="AF191">
            <v>0</v>
          </cell>
          <cell r="AG191">
            <v>6.0005000500050008</v>
          </cell>
          <cell r="AH191">
            <v>809.99</v>
          </cell>
          <cell r="AI191">
            <v>57.763181365500003</v>
          </cell>
          <cell r="AJ191">
            <v>0</v>
          </cell>
          <cell r="AK191">
            <v>0</v>
          </cell>
          <cell r="AL191">
            <v>6.0003703978072442</v>
          </cell>
        </row>
        <row r="192">
          <cell r="B192" t="str">
            <v>Sierra Leone</v>
          </cell>
          <cell r="C192" t="str">
            <v>Africa</v>
          </cell>
          <cell r="F192" t="str">
            <v>SLL</v>
          </cell>
          <cell r="G192">
            <v>97800</v>
          </cell>
          <cell r="H192">
            <v>132030</v>
          </cell>
          <cell r="I192">
            <v>586800</v>
          </cell>
          <cell r="J192">
            <v>792180</v>
          </cell>
          <cell r="K192">
            <v>6</v>
          </cell>
          <cell r="L192">
            <v>6</v>
          </cell>
          <cell r="M192">
            <v>1.35</v>
          </cell>
          <cell r="N192">
            <v>4.4316420000000003E-5</v>
          </cell>
          <cell r="O192">
            <v>4.334145876</v>
          </cell>
          <cell r="P192">
            <v>5.8510969326</v>
          </cell>
          <cell r="Q192">
            <v>26.004875256000002</v>
          </cell>
          <cell r="R192">
            <v>35.106581595600005</v>
          </cell>
          <cell r="S192" t="str">
            <v>Increase Reach</v>
          </cell>
          <cell r="T192">
            <v>97800</v>
          </cell>
          <cell r="U192">
            <v>4.334145876</v>
          </cell>
          <cell r="V192">
            <v>0</v>
          </cell>
          <cell r="W192">
            <v>0</v>
          </cell>
          <cell r="X192">
            <v>132030</v>
          </cell>
          <cell r="Y192">
            <v>5.8510969326</v>
          </cell>
          <cell r="Z192">
            <v>0</v>
          </cell>
          <cell r="AA192">
            <v>0</v>
          </cell>
          <cell r="AB192">
            <v>1.35</v>
          </cell>
          <cell r="AC192">
            <v>586800</v>
          </cell>
          <cell r="AD192">
            <v>26.004875256000002</v>
          </cell>
          <cell r="AE192">
            <v>0</v>
          </cell>
          <cell r="AF192">
            <v>0</v>
          </cell>
          <cell r="AG192">
            <v>6</v>
          </cell>
          <cell r="AH192">
            <v>792180</v>
          </cell>
          <cell r="AI192">
            <v>35.106581595600005</v>
          </cell>
          <cell r="AJ192">
            <v>0</v>
          </cell>
          <cell r="AK192">
            <v>0</v>
          </cell>
          <cell r="AL192">
            <v>6</v>
          </cell>
        </row>
        <row r="193">
          <cell r="B193" t="str">
            <v>Singapore</v>
          </cell>
          <cell r="C193" t="str">
            <v>Asia</v>
          </cell>
          <cell r="D193" t="str">
            <v>T4</v>
          </cell>
          <cell r="F193" t="str">
            <v>SGD</v>
          </cell>
          <cell r="G193">
            <v>17.989999999999998</v>
          </cell>
          <cell r="H193">
            <v>24.99</v>
          </cell>
          <cell r="I193">
            <v>124.99</v>
          </cell>
          <cell r="J193">
            <v>174.99</v>
          </cell>
          <cell r="K193">
            <v>6.9477487493051697</v>
          </cell>
          <cell r="L193">
            <v>7.0024009603841542</v>
          </cell>
          <cell r="M193">
            <v>1.3891050583657587</v>
          </cell>
          <cell r="N193">
            <v>0.74593467000000002</v>
          </cell>
          <cell r="O193">
            <v>13.419364713299998</v>
          </cell>
          <cell r="P193">
            <v>18.640907403299998</v>
          </cell>
          <cell r="Q193">
            <v>93.234374403299995</v>
          </cell>
          <cell r="R193">
            <v>130.53110790330001</v>
          </cell>
          <cell r="S193" t="str">
            <v>Maintain Balance</v>
          </cell>
          <cell r="T193">
            <v>17.989999999999998</v>
          </cell>
          <cell r="U193">
            <v>13.419364713299998</v>
          </cell>
          <cell r="V193">
            <v>0</v>
          </cell>
          <cell r="W193">
            <v>0</v>
          </cell>
          <cell r="X193">
            <v>26.984999999999999</v>
          </cell>
          <cell r="Y193">
            <v>20.129047069950001</v>
          </cell>
          <cell r="Z193">
            <v>1.995000000000001</v>
          </cell>
          <cell r="AA193">
            <v>7.9831932773109182E-2</v>
          </cell>
          <cell r="AB193">
            <v>1.5</v>
          </cell>
          <cell r="AC193">
            <v>124.99</v>
          </cell>
          <cell r="AD193">
            <v>93.234374403299995</v>
          </cell>
          <cell r="AE193">
            <v>0</v>
          </cell>
          <cell r="AF193">
            <v>0</v>
          </cell>
          <cell r="AG193">
            <v>6.9477487493051697</v>
          </cell>
          <cell r="AH193">
            <v>184.99</v>
          </cell>
          <cell r="AI193">
            <v>137.99045460330001</v>
          </cell>
          <cell r="AJ193">
            <v>10</v>
          </cell>
          <cell r="AK193">
            <v>5.7146122635579166E-2</v>
          </cell>
          <cell r="AL193">
            <v>6.8552899759125445</v>
          </cell>
        </row>
        <row r="194">
          <cell r="B194" t="str">
            <v>Sint Maarten (Dutch Part)</v>
          </cell>
          <cell r="C194" t="str">
            <v>Latin America</v>
          </cell>
          <cell r="F194" t="str">
            <v>ANG</v>
          </cell>
          <cell r="G194">
            <v>19.989999999999998</v>
          </cell>
          <cell r="H194">
            <v>24.99</v>
          </cell>
          <cell r="I194">
            <v>124.99</v>
          </cell>
          <cell r="J194">
            <v>169.99</v>
          </cell>
          <cell r="K194">
            <v>6.2526263131565782</v>
          </cell>
          <cell r="L194">
            <v>6.8023209283713495</v>
          </cell>
          <cell r="M194">
            <v>1.2501250625312657</v>
          </cell>
          <cell r="N194">
            <v>0.55865925999999999</v>
          </cell>
          <cell r="O194">
            <v>11.167598607399999</v>
          </cell>
          <cell r="P194">
            <v>13.960894907399998</v>
          </cell>
          <cell r="Q194">
            <v>69.826820907399991</v>
          </cell>
          <cell r="R194">
            <v>94.966487607399998</v>
          </cell>
          <cell r="S194" t="str">
            <v>Increase Reach</v>
          </cell>
          <cell r="T194">
            <v>19.989999999999998</v>
          </cell>
          <cell r="U194">
            <v>11.167598607399999</v>
          </cell>
          <cell r="V194">
            <v>0</v>
          </cell>
          <cell r="W194">
            <v>0</v>
          </cell>
          <cell r="X194">
            <v>24.99</v>
          </cell>
          <cell r="Y194">
            <v>13.960894907399998</v>
          </cell>
          <cell r="Z194">
            <v>0</v>
          </cell>
          <cell r="AA194">
            <v>0</v>
          </cell>
          <cell r="AB194">
            <v>1.2501250625312657</v>
          </cell>
          <cell r="AC194">
            <v>124.99</v>
          </cell>
          <cell r="AD194">
            <v>69.826820907399991</v>
          </cell>
          <cell r="AE194">
            <v>0</v>
          </cell>
          <cell r="AF194">
            <v>0</v>
          </cell>
          <cell r="AG194">
            <v>6.2526263131565782</v>
          </cell>
          <cell r="AH194">
            <v>169.99</v>
          </cell>
          <cell r="AI194">
            <v>94.966487607399998</v>
          </cell>
          <cell r="AJ194">
            <v>0</v>
          </cell>
          <cell r="AK194">
            <v>0</v>
          </cell>
          <cell r="AL194">
            <v>6.8023209283713495</v>
          </cell>
        </row>
        <row r="195">
          <cell r="B195" t="str">
            <v>Slovakia</v>
          </cell>
          <cell r="C195" t="str">
            <v>Europe</v>
          </cell>
          <cell r="F195" t="str">
            <v>EUR</v>
          </cell>
          <cell r="G195">
            <v>10.99</v>
          </cell>
          <cell r="H195">
            <v>14.99</v>
          </cell>
          <cell r="I195">
            <v>69.989999999999995</v>
          </cell>
          <cell r="J195">
            <v>89.99</v>
          </cell>
          <cell r="K195">
            <v>6.3685168334849855</v>
          </cell>
          <cell r="L195">
            <v>6.0033355570380253</v>
          </cell>
          <cell r="M195">
            <v>1.3639672429481347</v>
          </cell>
          <cell r="N195">
            <v>1.0862499999999999</v>
          </cell>
          <cell r="O195">
            <v>11.9378875</v>
          </cell>
          <cell r="P195">
            <v>16.282887500000001</v>
          </cell>
          <cell r="Q195">
            <v>76.026637499999993</v>
          </cell>
          <cell r="R195">
            <v>97.751637499999987</v>
          </cell>
          <cell r="S195" t="str">
            <v xml:space="preserve">Increase Reach </v>
          </cell>
          <cell r="T195">
            <v>10.99</v>
          </cell>
          <cell r="U195">
            <v>11.9378875</v>
          </cell>
          <cell r="V195">
            <v>0</v>
          </cell>
          <cell r="W195">
            <v>0</v>
          </cell>
          <cell r="X195">
            <v>14.99</v>
          </cell>
          <cell r="Y195">
            <v>16.282887500000001</v>
          </cell>
          <cell r="Z195">
            <v>0</v>
          </cell>
          <cell r="AA195">
            <v>0</v>
          </cell>
          <cell r="AB195">
            <v>1.3639672429481347</v>
          </cell>
          <cell r="AC195">
            <v>69.989999999999995</v>
          </cell>
          <cell r="AD195">
            <v>76.026637499999993</v>
          </cell>
          <cell r="AE195">
            <v>0</v>
          </cell>
          <cell r="AF195">
            <v>0</v>
          </cell>
          <cell r="AG195">
            <v>6.3685168334849855</v>
          </cell>
          <cell r="AH195">
            <v>94.99</v>
          </cell>
          <cell r="AI195">
            <v>103.18288749999999</v>
          </cell>
          <cell r="AJ195">
            <v>5</v>
          </cell>
          <cell r="AK195">
            <v>5.5561729081009092E-2</v>
          </cell>
          <cell r="AL195">
            <v>6.3368912608405603</v>
          </cell>
        </row>
        <row r="196">
          <cell r="B196" t="str">
            <v>Slovenia</v>
          </cell>
          <cell r="C196" t="str">
            <v>Europe</v>
          </cell>
          <cell r="F196" t="str">
            <v>EUR</v>
          </cell>
          <cell r="G196">
            <v>13.99</v>
          </cell>
          <cell r="H196">
            <v>17.989999999999998</v>
          </cell>
          <cell r="I196">
            <v>89.99</v>
          </cell>
          <cell r="J196">
            <v>109.99</v>
          </cell>
          <cell r="K196">
            <v>6.432451751250893</v>
          </cell>
          <cell r="L196">
            <v>6.1139521956642584</v>
          </cell>
          <cell r="M196">
            <v>1.2859185132237312</v>
          </cell>
          <cell r="N196">
            <v>1.0862499999999999</v>
          </cell>
          <cell r="O196">
            <v>15.1966375</v>
          </cell>
          <cell r="P196">
            <v>19.541637499999997</v>
          </cell>
          <cell r="Q196">
            <v>97.751637499999987</v>
          </cell>
          <cell r="R196">
            <v>119.47663749999998</v>
          </cell>
          <cell r="S196" t="str">
            <v>Maintain Balance</v>
          </cell>
          <cell r="T196">
            <v>13.99</v>
          </cell>
          <cell r="U196">
            <v>15.1966375</v>
          </cell>
          <cell r="V196">
            <v>0</v>
          </cell>
          <cell r="W196">
            <v>0</v>
          </cell>
          <cell r="X196">
            <v>18.989999999999998</v>
          </cell>
          <cell r="Y196">
            <v>20.627887499999996</v>
          </cell>
          <cell r="Z196">
            <v>1</v>
          </cell>
          <cell r="AA196">
            <v>5.5586436909394132E-2</v>
          </cell>
          <cell r="AB196">
            <v>1.3573981415296639</v>
          </cell>
          <cell r="AC196">
            <v>89.99</v>
          </cell>
          <cell r="AD196">
            <v>97.751637499999987</v>
          </cell>
          <cell r="AE196">
            <v>0</v>
          </cell>
          <cell r="AF196">
            <v>0</v>
          </cell>
          <cell r="AG196">
            <v>6.432451751250893</v>
          </cell>
          <cell r="AH196">
            <v>121.99</v>
          </cell>
          <cell r="AI196">
            <v>132.51163749999998</v>
          </cell>
          <cell r="AJ196">
            <v>12</v>
          </cell>
          <cell r="AK196">
            <v>0.1091008273479408</v>
          </cell>
          <cell r="AL196">
            <v>6.4239073196419172</v>
          </cell>
        </row>
        <row r="197">
          <cell r="B197" t="str">
            <v>Solomon Islands</v>
          </cell>
          <cell r="C197" t="str">
            <v>Asia</v>
          </cell>
          <cell r="F197" t="str">
            <v>SBD</v>
          </cell>
          <cell r="G197">
            <v>69.989999999999995</v>
          </cell>
          <cell r="H197">
            <v>93.99</v>
          </cell>
          <cell r="I197">
            <v>419.99</v>
          </cell>
          <cell r="J197">
            <v>563.99</v>
          </cell>
          <cell r="K197">
            <v>6.0007143877696816</v>
          </cell>
          <cell r="L197">
            <v>6.0005319714863283</v>
          </cell>
          <cell r="M197">
            <v>1.3429061294470639</v>
          </cell>
          <cell r="N197">
            <v>0.1181</v>
          </cell>
          <cell r="O197">
            <v>8.2658189999999987</v>
          </cell>
          <cell r="P197">
            <v>11.100218999999999</v>
          </cell>
          <cell r="Q197">
            <v>49.600819000000001</v>
          </cell>
          <cell r="R197">
            <v>66.607219000000001</v>
          </cell>
          <cell r="S197" t="str">
            <v>Increase Reach</v>
          </cell>
          <cell r="T197">
            <v>69.989999999999995</v>
          </cell>
          <cell r="U197">
            <v>8.2658189999999987</v>
          </cell>
          <cell r="V197">
            <v>0</v>
          </cell>
          <cell r="W197">
            <v>0</v>
          </cell>
          <cell r="X197">
            <v>93.99</v>
          </cell>
          <cell r="Y197">
            <v>11.100218999999999</v>
          </cell>
          <cell r="Z197">
            <v>0</v>
          </cell>
          <cell r="AA197">
            <v>0</v>
          </cell>
          <cell r="AB197">
            <v>1.3429061294470639</v>
          </cell>
          <cell r="AC197">
            <v>419.99</v>
          </cell>
          <cell r="AD197">
            <v>49.600819000000001</v>
          </cell>
          <cell r="AE197">
            <v>0</v>
          </cell>
          <cell r="AF197">
            <v>0</v>
          </cell>
          <cell r="AG197">
            <v>6.0007143877696816</v>
          </cell>
          <cell r="AH197">
            <v>563.99</v>
          </cell>
          <cell r="AI197">
            <v>66.607219000000001</v>
          </cell>
          <cell r="AJ197">
            <v>0</v>
          </cell>
          <cell r="AK197">
            <v>0</v>
          </cell>
          <cell r="AL197">
            <v>6.0005319714863283</v>
          </cell>
        </row>
        <row r="198">
          <cell r="B198" t="str">
            <v>Somalia</v>
          </cell>
          <cell r="C198" t="str">
            <v>Africa</v>
          </cell>
          <cell r="F198" t="str">
            <v>SOS</v>
          </cell>
          <cell r="G198">
            <v>4174.99</v>
          </cell>
          <cell r="H198">
            <v>5649.99</v>
          </cell>
          <cell r="I198">
            <v>25039.99</v>
          </cell>
          <cell r="J198">
            <v>33889.99</v>
          </cell>
          <cell r="K198">
            <v>5.9976167607587092</v>
          </cell>
          <cell r="L198">
            <v>5.9982389349361682</v>
          </cell>
          <cell r="M198">
            <v>1.3532942593874477</v>
          </cell>
          <cell r="N198">
            <v>1.7513086E-3</v>
          </cell>
          <cell r="O198">
            <v>7.3116958919139998</v>
          </cell>
          <cell r="P198">
            <v>9.8948760769140005</v>
          </cell>
          <cell r="Q198">
            <v>43.852749830914</v>
          </cell>
          <cell r="R198">
            <v>59.351830940913999</v>
          </cell>
          <cell r="S198" t="str">
            <v>Increase Reach</v>
          </cell>
          <cell r="T198">
            <v>4174.99</v>
          </cell>
          <cell r="U198">
            <v>7.3116958919139998</v>
          </cell>
          <cell r="V198">
            <v>0</v>
          </cell>
          <cell r="W198">
            <v>0</v>
          </cell>
          <cell r="X198">
            <v>5649.99</v>
          </cell>
          <cell r="Y198">
            <v>9.8948760769140005</v>
          </cell>
          <cell r="Z198">
            <v>0</v>
          </cell>
          <cell r="AA198">
            <v>0</v>
          </cell>
          <cell r="AB198">
            <v>1.3532942593874477</v>
          </cell>
          <cell r="AC198">
            <v>25039.99</v>
          </cell>
          <cell r="AD198">
            <v>43.852749830914</v>
          </cell>
          <cell r="AE198">
            <v>0</v>
          </cell>
          <cell r="AF198">
            <v>0</v>
          </cell>
          <cell r="AG198">
            <v>5.9976167607587092</v>
          </cell>
          <cell r="AH198">
            <v>33889.99</v>
          </cell>
          <cell r="AI198">
            <v>59.351830940913999</v>
          </cell>
          <cell r="AJ198">
            <v>0</v>
          </cell>
          <cell r="AK198">
            <v>0</v>
          </cell>
          <cell r="AL198">
            <v>5.9982389349361682</v>
          </cell>
        </row>
        <row r="199">
          <cell r="B199" t="str">
            <v>South Africa</v>
          </cell>
          <cell r="C199" t="str">
            <v>Africa</v>
          </cell>
          <cell r="F199" t="str">
            <v>ZAR</v>
          </cell>
          <cell r="G199">
            <v>139.99</v>
          </cell>
          <cell r="H199">
            <v>188.99</v>
          </cell>
          <cell r="I199">
            <v>839.99</v>
          </cell>
          <cell r="J199">
            <v>1133.99</v>
          </cell>
          <cell r="K199">
            <v>6.0003571683691685</v>
          </cell>
          <cell r="L199">
            <v>6.0002645642626593</v>
          </cell>
          <cell r="M199">
            <v>1.3500250017858417</v>
          </cell>
          <cell r="N199">
            <v>5.332978E-2</v>
          </cell>
          <cell r="O199">
            <v>7.4656359022000007</v>
          </cell>
          <cell r="P199">
            <v>10.078795122200001</v>
          </cell>
          <cell r="Q199">
            <v>44.7964819022</v>
          </cell>
          <cell r="R199">
            <v>60.4754372222</v>
          </cell>
          <cell r="S199" t="str">
            <v>Increase Reach</v>
          </cell>
          <cell r="T199">
            <v>139.99</v>
          </cell>
          <cell r="U199">
            <v>7.4656359022000007</v>
          </cell>
          <cell r="V199">
            <v>0</v>
          </cell>
          <cell r="W199">
            <v>0</v>
          </cell>
          <cell r="X199">
            <v>188.99</v>
          </cell>
          <cell r="Y199">
            <v>10.078795122200001</v>
          </cell>
          <cell r="Z199">
            <v>0</v>
          </cell>
          <cell r="AA199">
            <v>0</v>
          </cell>
          <cell r="AB199">
            <v>1.3500250017858417</v>
          </cell>
          <cell r="AC199">
            <v>839.99</v>
          </cell>
          <cell r="AD199">
            <v>44.7964819022</v>
          </cell>
          <cell r="AE199">
            <v>0</v>
          </cell>
          <cell r="AF199">
            <v>0</v>
          </cell>
          <cell r="AG199">
            <v>6.0003571683691685</v>
          </cell>
          <cell r="AH199">
            <v>1133.99</v>
          </cell>
          <cell r="AI199">
            <v>60.4754372222</v>
          </cell>
          <cell r="AJ199">
            <v>0</v>
          </cell>
          <cell r="AK199">
            <v>0</v>
          </cell>
          <cell r="AL199">
            <v>6.0002645642626593</v>
          </cell>
        </row>
        <row r="200">
          <cell r="B200" t="str">
            <v>South Georgia (Sgssi)</v>
          </cell>
          <cell r="C200" t="str">
            <v>Europe</v>
          </cell>
          <cell r="F200" t="str">
            <v>GBP</v>
          </cell>
          <cell r="G200">
            <v>9.99</v>
          </cell>
          <cell r="H200">
            <v>12.99</v>
          </cell>
          <cell r="I200">
            <v>69.989999999999995</v>
          </cell>
          <cell r="J200">
            <v>89.99</v>
          </cell>
          <cell r="K200">
            <v>7.0060060060060056</v>
          </cell>
          <cell r="L200">
            <v>6.9276366435719776</v>
          </cell>
          <cell r="M200">
            <v>1.3003003003003002</v>
          </cell>
          <cell r="N200">
            <v>1.2721499999999999</v>
          </cell>
          <cell r="O200">
            <v>12.708778499999999</v>
          </cell>
          <cell r="P200">
            <v>16.525228499999997</v>
          </cell>
          <cell r="Q200">
            <v>89.037778499999988</v>
          </cell>
          <cell r="R200">
            <v>114.48077849999999</v>
          </cell>
          <cell r="S200" t="str">
            <v xml:space="preserve">Increase Reach </v>
          </cell>
          <cell r="T200">
            <v>9.99</v>
          </cell>
          <cell r="U200">
            <v>12.708778499999999</v>
          </cell>
          <cell r="V200">
            <v>0</v>
          </cell>
          <cell r="W200">
            <v>0</v>
          </cell>
          <cell r="X200">
            <v>12.99</v>
          </cell>
          <cell r="Y200">
            <v>16.525228499999997</v>
          </cell>
          <cell r="Z200">
            <v>0</v>
          </cell>
          <cell r="AA200">
            <v>0</v>
          </cell>
          <cell r="AB200">
            <v>1.3003003003003002</v>
          </cell>
          <cell r="AC200">
            <v>69.989999999999995</v>
          </cell>
          <cell r="AD200">
            <v>89.037778499999988</v>
          </cell>
          <cell r="AE200">
            <v>0</v>
          </cell>
          <cell r="AF200">
            <v>0</v>
          </cell>
          <cell r="AG200">
            <v>7.0060060060060056</v>
          </cell>
          <cell r="AH200">
            <v>89.99</v>
          </cell>
          <cell r="AI200">
            <v>114.48077849999999</v>
          </cell>
          <cell r="AJ200">
            <v>0</v>
          </cell>
          <cell r="AK200">
            <v>0</v>
          </cell>
          <cell r="AL200">
            <v>6.9276366435719776</v>
          </cell>
        </row>
        <row r="201">
          <cell r="B201" t="str">
            <v>South Korea</v>
          </cell>
          <cell r="C201" t="str">
            <v>Asia</v>
          </cell>
          <cell r="D201" t="str">
            <v>T5</v>
          </cell>
          <cell r="F201" t="str">
            <v>KRW</v>
          </cell>
          <cell r="G201">
            <v>20000</v>
          </cell>
          <cell r="H201">
            <v>27000</v>
          </cell>
          <cell r="I201">
            <v>120000</v>
          </cell>
          <cell r="J201">
            <v>162000</v>
          </cell>
          <cell r="K201">
            <v>6</v>
          </cell>
          <cell r="L201">
            <v>6</v>
          </cell>
          <cell r="M201">
            <v>1.35</v>
          </cell>
          <cell r="N201">
            <v>7.4836300000000004E-4</v>
          </cell>
          <cell r="O201">
            <v>14.967260000000001</v>
          </cell>
          <cell r="P201">
            <v>20.205801000000001</v>
          </cell>
          <cell r="Q201">
            <v>89.803560000000004</v>
          </cell>
          <cell r="R201">
            <v>121.23480600000001</v>
          </cell>
          <cell r="S201" t="str">
            <v>Maintain Balance</v>
          </cell>
          <cell r="T201">
            <v>20000</v>
          </cell>
          <cell r="U201">
            <v>14.967260000000001</v>
          </cell>
          <cell r="V201">
            <v>0</v>
          </cell>
          <cell r="W201">
            <v>0</v>
          </cell>
          <cell r="X201">
            <v>29990</v>
          </cell>
          <cell r="Y201">
            <v>22.443406370000002</v>
          </cell>
          <cell r="Z201">
            <v>2990</v>
          </cell>
          <cell r="AA201">
            <v>0.11074074074074081</v>
          </cell>
          <cell r="AB201">
            <v>1.4995000000000001</v>
          </cell>
          <cell r="AC201">
            <v>129990</v>
          </cell>
          <cell r="AD201">
            <v>97.27970637</v>
          </cell>
          <cell r="AE201">
            <v>9990</v>
          </cell>
          <cell r="AF201">
            <v>8.3250000000000046E-2</v>
          </cell>
          <cell r="AG201">
            <v>6.4995000000000003</v>
          </cell>
          <cell r="AH201">
            <v>189990</v>
          </cell>
          <cell r="AI201">
            <v>142.18148637000002</v>
          </cell>
          <cell r="AJ201">
            <v>27990</v>
          </cell>
          <cell r="AK201">
            <v>0.1727777777777777</v>
          </cell>
          <cell r="AL201">
            <v>6.3351117039013003</v>
          </cell>
        </row>
        <row r="202">
          <cell r="B202" t="str">
            <v>South Sudan</v>
          </cell>
          <cell r="C202" t="str">
            <v>Africa</v>
          </cell>
          <cell r="F202" t="str">
            <v>USD</v>
          </cell>
          <cell r="G202">
            <v>8.99</v>
          </cell>
          <cell r="H202">
            <v>11.99</v>
          </cell>
          <cell r="I202">
            <v>53.99</v>
          </cell>
          <cell r="J202">
            <v>71.989999999999995</v>
          </cell>
          <cell r="K202">
            <v>6.0055617352614012</v>
          </cell>
          <cell r="L202">
            <v>6.0041701417848206</v>
          </cell>
          <cell r="M202">
            <v>1.3337041156840934</v>
          </cell>
          <cell r="N202">
            <v>1</v>
          </cell>
          <cell r="O202">
            <v>8.99</v>
          </cell>
          <cell r="P202">
            <v>11.99</v>
          </cell>
          <cell r="Q202">
            <v>53.99</v>
          </cell>
          <cell r="R202">
            <v>71.989999999999995</v>
          </cell>
          <cell r="S202" t="str">
            <v xml:space="preserve">Increase Reach </v>
          </cell>
          <cell r="T202">
            <v>8.99</v>
          </cell>
          <cell r="U202">
            <v>8.99</v>
          </cell>
          <cell r="V202">
            <v>0</v>
          </cell>
          <cell r="W202">
            <v>0</v>
          </cell>
          <cell r="X202">
            <v>11.99</v>
          </cell>
          <cell r="Y202">
            <v>11.99</v>
          </cell>
          <cell r="Z202">
            <v>0</v>
          </cell>
          <cell r="AA202">
            <v>0</v>
          </cell>
          <cell r="AB202">
            <v>1.3337041156840934</v>
          </cell>
          <cell r="AC202">
            <v>53.99</v>
          </cell>
          <cell r="AD202">
            <v>53.99</v>
          </cell>
          <cell r="AE202">
            <v>0</v>
          </cell>
          <cell r="AF202">
            <v>0</v>
          </cell>
          <cell r="AG202">
            <v>6.0055617352614012</v>
          </cell>
          <cell r="AH202">
            <v>71.989999999999995</v>
          </cell>
          <cell r="AI202">
            <v>71.989999999999995</v>
          </cell>
          <cell r="AJ202">
            <v>0</v>
          </cell>
          <cell r="AK202">
            <v>0</v>
          </cell>
          <cell r="AL202">
            <v>6.0041701417848206</v>
          </cell>
        </row>
        <row r="203">
          <cell r="B203" t="str">
            <v>Spain</v>
          </cell>
          <cell r="C203" t="str">
            <v>Europe</v>
          </cell>
          <cell r="D203" t="str">
            <v>T2</v>
          </cell>
          <cell r="E203" t="str">
            <v>x</v>
          </cell>
          <cell r="F203" t="str">
            <v>EUR</v>
          </cell>
          <cell r="G203">
            <v>14.99</v>
          </cell>
          <cell r="H203">
            <v>19.989999999999998</v>
          </cell>
          <cell r="I203">
            <v>99.99</v>
          </cell>
          <cell r="J203">
            <v>139.99</v>
          </cell>
          <cell r="K203">
            <v>6.6704469646430953</v>
          </cell>
          <cell r="L203">
            <v>7.0030015007503765</v>
          </cell>
          <cell r="M203">
            <v>1.333555703802535</v>
          </cell>
          <cell r="N203">
            <v>1.0862499999999999</v>
          </cell>
          <cell r="O203">
            <v>16.282887500000001</v>
          </cell>
          <cell r="P203">
            <v>21.714137499999996</v>
          </cell>
          <cell r="Q203">
            <v>108.61413749999998</v>
          </cell>
          <cell r="R203">
            <v>152.06413750000002</v>
          </cell>
          <cell r="S203" t="str">
            <v>Increase ARPU - Maintaining LPP Ratio</v>
          </cell>
          <cell r="T203">
            <v>15.99</v>
          </cell>
          <cell r="U203">
            <v>17.369137500000001</v>
          </cell>
          <cell r="V203">
            <v>1</v>
          </cell>
          <cell r="W203">
            <v>6.6711140760506993E-2</v>
          </cell>
          <cell r="X203">
            <v>19.989999999999998</v>
          </cell>
          <cell r="Y203">
            <v>21.714137499999996</v>
          </cell>
          <cell r="Z203">
            <v>0</v>
          </cell>
          <cell r="AA203">
            <v>0</v>
          </cell>
          <cell r="AB203">
            <v>1.2501563477173232</v>
          </cell>
          <cell r="AC203">
            <v>109.99</v>
          </cell>
          <cell r="AD203">
            <v>119.47663749999998</v>
          </cell>
          <cell r="AE203">
            <v>10</v>
          </cell>
          <cell r="AF203">
            <v>0.10001000100009994</v>
          </cell>
          <cell r="AG203">
            <v>6.8786741713570976</v>
          </cell>
          <cell r="AH203">
            <v>139.99</v>
          </cell>
          <cell r="AI203">
            <v>152.06413750000002</v>
          </cell>
          <cell r="AJ203">
            <v>0</v>
          </cell>
          <cell r="AK203">
            <v>0</v>
          </cell>
          <cell r="AL203">
            <v>7.0030015007503765</v>
          </cell>
        </row>
        <row r="204">
          <cell r="B204" t="str">
            <v>Sri Lanka</v>
          </cell>
          <cell r="C204" t="str">
            <v>Asia</v>
          </cell>
          <cell r="F204" t="str">
            <v>LKR</v>
          </cell>
          <cell r="G204">
            <v>1900</v>
          </cell>
          <cell r="H204">
            <v>2570</v>
          </cell>
          <cell r="I204">
            <v>11400</v>
          </cell>
          <cell r="J204">
            <v>15420</v>
          </cell>
          <cell r="K204">
            <v>6</v>
          </cell>
          <cell r="L204">
            <v>6</v>
          </cell>
          <cell r="M204">
            <v>1.3526315789473684</v>
          </cell>
          <cell r="N204">
            <v>3.1486146999999999E-3</v>
          </cell>
          <cell r="O204">
            <v>5.9823679299999997</v>
          </cell>
          <cell r="P204">
            <v>8.0919397790000005</v>
          </cell>
          <cell r="Q204">
            <v>35.89420758</v>
          </cell>
          <cell r="R204">
            <v>48.551638673999996</v>
          </cell>
          <cell r="S204" t="str">
            <v>Increase Reach</v>
          </cell>
          <cell r="T204">
            <v>1900</v>
          </cell>
          <cell r="U204">
            <v>5.9823679299999997</v>
          </cell>
          <cell r="V204">
            <v>0</v>
          </cell>
          <cell r="W204">
            <v>0</v>
          </cell>
          <cell r="X204">
            <v>2570</v>
          </cell>
          <cell r="Y204">
            <v>8.0919397790000005</v>
          </cell>
          <cell r="Z204">
            <v>0</v>
          </cell>
          <cell r="AA204">
            <v>0</v>
          </cell>
          <cell r="AB204">
            <v>1.3526315789473684</v>
          </cell>
          <cell r="AC204">
            <v>11400</v>
          </cell>
          <cell r="AD204">
            <v>35.89420758</v>
          </cell>
          <cell r="AE204">
            <v>0</v>
          </cell>
          <cell r="AF204">
            <v>0</v>
          </cell>
          <cell r="AG204">
            <v>6</v>
          </cell>
          <cell r="AH204">
            <v>15420</v>
          </cell>
          <cell r="AI204">
            <v>48.551638673999996</v>
          </cell>
          <cell r="AJ204">
            <v>0</v>
          </cell>
          <cell r="AK204">
            <v>0</v>
          </cell>
          <cell r="AL204">
            <v>6</v>
          </cell>
        </row>
        <row r="205">
          <cell r="B205" t="str">
            <v>St. Barthelemy</v>
          </cell>
          <cell r="C205" t="str">
            <v>Latin America</v>
          </cell>
          <cell r="F205" t="str">
            <v>EUR</v>
          </cell>
          <cell r="G205">
            <v>9.99</v>
          </cell>
          <cell r="H205">
            <v>12.99</v>
          </cell>
          <cell r="I205">
            <v>59.99</v>
          </cell>
          <cell r="J205">
            <v>77.989999999999995</v>
          </cell>
          <cell r="K205">
            <v>6.005005005005005</v>
          </cell>
          <cell r="L205">
            <v>6.0038491147036179</v>
          </cell>
          <cell r="M205">
            <v>1.3003003003003002</v>
          </cell>
          <cell r="N205">
            <v>1.0862499999999999</v>
          </cell>
          <cell r="O205">
            <v>10.851637499999999</v>
          </cell>
          <cell r="P205">
            <v>14.1103875</v>
          </cell>
          <cell r="Q205">
            <v>65.164137499999995</v>
          </cell>
          <cell r="R205">
            <v>84.71663749999999</v>
          </cell>
          <cell r="S205" t="str">
            <v>Increase Reach</v>
          </cell>
          <cell r="T205">
            <v>9.99</v>
          </cell>
          <cell r="U205">
            <v>10.851637499999999</v>
          </cell>
          <cell r="V205">
            <v>0</v>
          </cell>
          <cell r="W205">
            <v>0</v>
          </cell>
          <cell r="X205">
            <v>12.99</v>
          </cell>
          <cell r="Y205">
            <v>14.1103875</v>
          </cell>
          <cell r="Z205">
            <v>0</v>
          </cell>
          <cell r="AA205">
            <v>0</v>
          </cell>
          <cell r="AB205">
            <v>1.3003003003003002</v>
          </cell>
          <cell r="AC205">
            <v>59.99</v>
          </cell>
          <cell r="AD205">
            <v>65.164137499999995</v>
          </cell>
          <cell r="AE205">
            <v>0</v>
          </cell>
          <cell r="AF205">
            <v>0</v>
          </cell>
          <cell r="AG205">
            <v>6.005005005005005</v>
          </cell>
          <cell r="AH205">
            <v>77.989999999999995</v>
          </cell>
          <cell r="AI205">
            <v>84.71663749999999</v>
          </cell>
          <cell r="AJ205">
            <v>0</v>
          </cell>
          <cell r="AK205">
            <v>0</v>
          </cell>
          <cell r="AL205">
            <v>6.0038491147036179</v>
          </cell>
        </row>
        <row r="206">
          <cell r="B206" t="str">
            <v>St. Helena</v>
          </cell>
          <cell r="C206" t="str">
            <v>Africa</v>
          </cell>
          <cell r="F206" t="str">
            <v>SHP</v>
          </cell>
          <cell r="G206">
            <v>6.99</v>
          </cell>
          <cell r="H206">
            <v>8.99</v>
          </cell>
          <cell r="I206">
            <v>41.99</v>
          </cell>
          <cell r="J206">
            <v>53.99</v>
          </cell>
          <cell r="K206">
            <v>6.0071530758226039</v>
          </cell>
          <cell r="L206">
            <v>6.0055617352614012</v>
          </cell>
          <cell r="M206">
            <v>1.2861230329041489</v>
          </cell>
          <cell r="N206">
            <v>1.27145</v>
          </cell>
          <cell r="O206">
            <v>8.8874355000000005</v>
          </cell>
          <cell r="P206">
            <v>11.4303355</v>
          </cell>
          <cell r="Q206">
            <v>53.388185499999999</v>
          </cell>
          <cell r="R206">
            <v>68.645585499999996</v>
          </cell>
          <cell r="S206" t="str">
            <v>Increase Reach</v>
          </cell>
          <cell r="T206">
            <v>6.99</v>
          </cell>
          <cell r="U206">
            <v>8.8874355000000005</v>
          </cell>
          <cell r="V206">
            <v>0</v>
          </cell>
          <cell r="W206">
            <v>0</v>
          </cell>
          <cell r="X206">
            <v>8.99</v>
          </cell>
          <cell r="Y206">
            <v>11.4303355</v>
          </cell>
          <cell r="Z206">
            <v>0</v>
          </cell>
          <cell r="AA206">
            <v>0</v>
          </cell>
          <cell r="AB206">
            <v>1.2861230329041489</v>
          </cell>
          <cell r="AC206">
            <v>41.99</v>
          </cell>
          <cell r="AD206">
            <v>53.388185499999999</v>
          </cell>
          <cell r="AE206">
            <v>0</v>
          </cell>
          <cell r="AF206">
            <v>0</v>
          </cell>
          <cell r="AG206">
            <v>6.0071530758226039</v>
          </cell>
          <cell r="AH206">
            <v>53.99</v>
          </cell>
          <cell r="AI206">
            <v>68.645585499999996</v>
          </cell>
          <cell r="AJ206">
            <v>0</v>
          </cell>
          <cell r="AK206">
            <v>0</v>
          </cell>
          <cell r="AL206">
            <v>6.0055617352614012</v>
          </cell>
        </row>
        <row r="207">
          <cell r="B207" t="str">
            <v>St. Kitts And Nevis</v>
          </cell>
          <cell r="C207" t="str">
            <v>Latin America</v>
          </cell>
          <cell r="F207" t="str">
            <v>XCD</v>
          </cell>
          <cell r="G207">
            <v>32.99</v>
          </cell>
          <cell r="H207">
            <v>44.99</v>
          </cell>
          <cell r="I207">
            <v>197.99</v>
          </cell>
          <cell r="J207">
            <v>269.99</v>
          </cell>
          <cell r="K207">
            <v>6.0015156107911487</v>
          </cell>
          <cell r="L207">
            <v>6.001111358079573</v>
          </cell>
          <cell r="M207">
            <v>1.36374658987572</v>
          </cell>
          <cell r="N207">
            <v>0.37037036000000001</v>
          </cell>
          <cell r="O207">
            <v>12.218518176400002</v>
          </cell>
          <cell r="P207">
            <v>16.662962496400002</v>
          </cell>
          <cell r="Q207">
            <v>73.3296275764</v>
          </cell>
          <cell r="R207">
            <v>99.9962934964</v>
          </cell>
          <cell r="S207" t="str">
            <v>Increase Reach</v>
          </cell>
          <cell r="T207">
            <v>32.99</v>
          </cell>
          <cell r="U207">
            <v>12.218518176400002</v>
          </cell>
          <cell r="V207">
            <v>0</v>
          </cell>
          <cell r="W207">
            <v>0</v>
          </cell>
          <cell r="X207">
            <v>44.99</v>
          </cell>
          <cell r="Y207">
            <v>16.662962496400002</v>
          </cell>
          <cell r="Z207">
            <v>0</v>
          </cell>
          <cell r="AA207">
            <v>0</v>
          </cell>
          <cell r="AB207">
            <v>1.36374658987572</v>
          </cell>
          <cell r="AC207">
            <v>197.99</v>
          </cell>
          <cell r="AD207">
            <v>73.3296275764</v>
          </cell>
          <cell r="AE207">
            <v>0</v>
          </cell>
          <cell r="AF207">
            <v>0</v>
          </cell>
          <cell r="AG207">
            <v>6.0015156107911487</v>
          </cell>
          <cell r="AH207">
            <v>269.99</v>
          </cell>
          <cell r="AI207">
            <v>99.9962934964</v>
          </cell>
          <cell r="AJ207">
            <v>0</v>
          </cell>
          <cell r="AK207">
            <v>0</v>
          </cell>
          <cell r="AL207">
            <v>6.001111358079573</v>
          </cell>
        </row>
        <row r="208">
          <cell r="B208" t="str">
            <v>St. Lucia</v>
          </cell>
          <cell r="C208" t="str">
            <v>Latin America</v>
          </cell>
          <cell r="F208" t="str">
            <v>XCD</v>
          </cell>
          <cell r="G208">
            <v>29.99</v>
          </cell>
          <cell r="H208">
            <v>39.99</v>
          </cell>
          <cell r="I208">
            <v>179.99</v>
          </cell>
          <cell r="J208">
            <v>239.99</v>
          </cell>
          <cell r="K208">
            <v>6.0016672224074696</v>
          </cell>
          <cell r="L208">
            <v>6.0012503125781445</v>
          </cell>
          <cell r="M208">
            <v>1.3334444814938313</v>
          </cell>
          <cell r="N208">
            <v>0.37037036000000001</v>
          </cell>
          <cell r="O208">
            <v>11.107407096399999</v>
          </cell>
          <cell r="P208">
            <v>14.811110696400002</v>
          </cell>
          <cell r="Q208">
            <v>66.662961096400011</v>
          </cell>
          <cell r="R208">
            <v>88.885182696400008</v>
          </cell>
          <cell r="S208" t="str">
            <v>Increase Reach</v>
          </cell>
          <cell r="T208">
            <v>29.99</v>
          </cell>
          <cell r="U208">
            <v>11.107407096399999</v>
          </cell>
          <cell r="V208">
            <v>0</v>
          </cell>
          <cell r="W208">
            <v>0</v>
          </cell>
          <cell r="X208">
            <v>39.99</v>
          </cell>
          <cell r="Y208">
            <v>14.811110696400002</v>
          </cell>
          <cell r="Z208">
            <v>0</v>
          </cell>
          <cell r="AA208">
            <v>0</v>
          </cell>
          <cell r="AB208">
            <v>1.3334444814938313</v>
          </cell>
          <cell r="AC208">
            <v>179.99</v>
          </cell>
          <cell r="AD208">
            <v>66.662961096400011</v>
          </cell>
          <cell r="AE208">
            <v>0</v>
          </cell>
          <cell r="AF208">
            <v>0</v>
          </cell>
          <cell r="AG208">
            <v>6.0016672224074696</v>
          </cell>
          <cell r="AH208">
            <v>239.99</v>
          </cell>
          <cell r="AI208">
            <v>88.885182696400008</v>
          </cell>
          <cell r="AJ208">
            <v>0</v>
          </cell>
          <cell r="AK208">
            <v>0</v>
          </cell>
          <cell r="AL208">
            <v>6.0012503125781445</v>
          </cell>
        </row>
        <row r="209">
          <cell r="B209" t="str">
            <v>St. Pierre And Miquelon</v>
          </cell>
          <cell r="C209" t="str">
            <v>Latin America</v>
          </cell>
          <cell r="F209" t="str">
            <v>EUR</v>
          </cell>
          <cell r="G209">
            <v>9.99</v>
          </cell>
          <cell r="H209">
            <v>12.99</v>
          </cell>
          <cell r="I209">
            <v>59.99</v>
          </cell>
          <cell r="J209">
            <v>77.989999999999995</v>
          </cell>
          <cell r="K209">
            <v>6.005005005005005</v>
          </cell>
          <cell r="L209">
            <v>6.0038491147036179</v>
          </cell>
          <cell r="M209">
            <v>1.3003003003003002</v>
          </cell>
          <cell r="N209">
            <v>1.0862499999999999</v>
          </cell>
          <cell r="O209">
            <v>10.851637499999999</v>
          </cell>
          <cell r="P209">
            <v>14.1103875</v>
          </cell>
          <cell r="Q209">
            <v>65.164137499999995</v>
          </cell>
          <cell r="R209">
            <v>84.71663749999999</v>
          </cell>
          <cell r="S209" t="str">
            <v>Increase Reach</v>
          </cell>
          <cell r="T209">
            <v>9.99</v>
          </cell>
          <cell r="U209">
            <v>10.851637499999999</v>
          </cell>
          <cell r="V209">
            <v>0</v>
          </cell>
          <cell r="W209">
            <v>0</v>
          </cell>
          <cell r="X209">
            <v>12.99</v>
          </cell>
          <cell r="Y209">
            <v>14.1103875</v>
          </cell>
          <cell r="Z209">
            <v>0</v>
          </cell>
          <cell r="AA209">
            <v>0</v>
          </cell>
          <cell r="AB209">
            <v>1.3003003003003002</v>
          </cell>
          <cell r="AC209">
            <v>59.99</v>
          </cell>
          <cell r="AD209">
            <v>65.164137499999995</v>
          </cell>
          <cell r="AE209">
            <v>0</v>
          </cell>
          <cell r="AF209">
            <v>0</v>
          </cell>
          <cell r="AG209">
            <v>6.005005005005005</v>
          </cell>
          <cell r="AH209">
            <v>77.989999999999995</v>
          </cell>
          <cell r="AI209">
            <v>84.71663749999999</v>
          </cell>
          <cell r="AJ209">
            <v>0</v>
          </cell>
          <cell r="AK209">
            <v>0</v>
          </cell>
          <cell r="AL209">
            <v>6.0038491147036179</v>
          </cell>
        </row>
        <row r="210">
          <cell r="B210" t="str">
            <v>St. Vincent And The Grenadines</v>
          </cell>
          <cell r="C210" t="str">
            <v>Latin America</v>
          </cell>
          <cell r="F210" t="str">
            <v>XCD</v>
          </cell>
          <cell r="G210">
            <v>29.99</v>
          </cell>
          <cell r="H210">
            <v>39.99</v>
          </cell>
          <cell r="I210">
            <v>179.99</v>
          </cell>
          <cell r="J210">
            <v>239.99</v>
          </cell>
          <cell r="K210">
            <v>6.0016672224074696</v>
          </cell>
          <cell r="L210">
            <v>6.0012503125781445</v>
          </cell>
          <cell r="M210">
            <v>1.3334444814938313</v>
          </cell>
          <cell r="N210">
            <v>0.37037036000000001</v>
          </cell>
          <cell r="O210">
            <v>11.107407096399999</v>
          </cell>
          <cell r="P210">
            <v>14.811110696400002</v>
          </cell>
          <cell r="Q210">
            <v>66.662961096400011</v>
          </cell>
          <cell r="R210">
            <v>88.885182696400008</v>
          </cell>
          <cell r="S210" t="str">
            <v>Increase Reach</v>
          </cell>
          <cell r="T210">
            <v>29.99</v>
          </cell>
          <cell r="U210">
            <v>11.107407096399999</v>
          </cell>
          <cell r="V210">
            <v>0</v>
          </cell>
          <cell r="W210">
            <v>0</v>
          </cell>
          <cell r="X210">
            <v>39.99</v>
          </cell>
          <cell r="Y210">
            <v>14.811110696400002</v>
          </cell>
          <cell r="Z210">
            <v>0</v>
          </cell>
          <cell r="AA210">
            <v>0</v>
          </cell>
          <cell r="AB210">
            <v>1.3334444814938313</v>
          </cell>
          <cell r="AC210">
            <v>179.99</v>
          </cell>
          <cell r="AD210">
            <v>66.662961096400011</v>
          </cell>
          <cell r="AE210">
            <v>0</v>
          </cell>
          <cell r="AF210">
            <v>0</v>
          </cell>
          <cell r="AG210">
            <v>6.0016672224074696</v>
          </cell>
          <cell r="AH210">
            <v>239.99</v>
          </cell>
          <cell r="AI210">
            <v>88.885182696400008</v>
          </cell>
          <cell r="AJ210">
            <v>0</v>
          </cell>
          <cell r="AK210">
            <v>0</v>
          </cell>
          <cell r="AL210">
            <v>6.0012503125781445</v>
          </cell>
        </row>
        <row r="211">
          <cell r="B211" t="str">
            <v>Sudan</v>
          </cell>
          <cell r="C211" t="str">
            <v>Africa</v>
          </cell>
          <cell r="F211" t="str">
            <v>USD</v>
          </cell>
          <cell r="G211">
            <v>9.99</v>
          </cell>
          <cell r="H211">
            <v>13.99</v>
          </cell>
          <cell r="I211">
            <v>59.99</v>
          </cell>
          <cell r="J211">
            <v>84.99</v>
          </cell>
          <cell r="K211">
            <v>6.005005005005005</v>
          </cell>
          <cell r="L211">
            <v>6.0750536097212287</v>
          </cell>
          <cell r="M211">
            <v>1.4004004004004005</v>
          </cell>
          <cell r="N211">
            <v>1</v>
          </cell>
          <cell r="O211">
            <v>9.99</v>
          </cell>
          <cell r="P211">
            <v>13.99</v>
          </cell>
          <cell r="Q211">
            <v>59.99</v>
          </cell>
          <cell r="R211">
            <v>84.99</v>
          </cell>
          <cell r="S211" t="str">
            <v>Increase Reach</v>
          </cell>
          <cell r="T211">
            <v>9.99</v>
          </cell>
          <cell r="U211">
            <v>9.99</v>
          </cell>
          <cell r="V211">
            <v>0</v>
          </cell>
          <cell r="W211">
            <v>0</v>
          </cell>
          <cell r="X211">
            <v>13.99</v>
          </cell>
          <cell r="Y211">
            <v>13.99</v>
          </cell>
          <cell r="Z211">
            <v>0</v>
          </cell>
          <cell r="AA211">
            <v>0</v>
          </cell>
          <cell r="AB211">
            <v>1.4004004004004005</v>
          </cell>
          <cell r="AC211">
            <v>59.99</v>
          </cell>
          <cell r="AD211">
            <v>59.99</v>
          </cell>
          <cell r="AE211">
            <v>0</v>
          </cell>
          <cell r="AF211">
            <v>0</v>
          </cell>
          <cell r="AG211">
            <v>6.005005005005005</v>
          </cell>
          <cell r="AH211">
            <v>84.99</v>
          </cell>
          <cell r="AI211">
            <v>84.99</v>
          </cell>
          <cell r="AJ211">
            <v>0</v>
          </cell>
          <cell r="AK211">
            <v>0</v>
          </cell>
          <cell r="AL211">
            <v>6.0750536097212287</v>
          </cell>
        </row>
        <row r="212">
          <cell r="B212" t="str">
            <v>Suriname</v>
          </cell>
          <cell r="C212" t="str">
            <v>Latin America</v>
          </cell>
          <cell r="F212" t="str">
            <v>SRD</v>
          </cell>
          <cell r="G212">
            <v>227</v>
          </cell>
          <cell r="H212">
            <v>310</v>
          </cell>
          <cell r="I212">
            <v>1360</v>
          </cell>
          <cell r="J212">
            <v>1860</v>
          </cell>
          <cell r="K212">
            <v>5.9911894273127757</v>
          </cell>
          <cell r="L212">
            <v>6</v>
          </cell>
          <cell r="M212">
            <v>1.3656387665198237</v>
          </cell>
          <cell r="N212">
            <v>2.7306737000000001E-2</v>
          </cell>
          <cell r="O212">
            <v>6.1986292990000003</v>
          </cell>
          <cell r="P212">
            <v>8.4650884699999995</v>
          </cell>
          <cell r="Q212">
            <v>37.137162320000002</v>
          </cell>
          <cell r="R212">
            <v>50.790530820000001</v>
          </cell>
          <cell r="S212" t="str">
            <v>Increase Reach</v>
          </cell>
          <cell r="T212">
            <v>227</v>
          </cell>
          <cell r="U212">
            <v>6.1986292990000003</v>
          </cell>
          <cell r="V212">
            <v>0</v>
          </cell>
          <cell r="W212">
            <v>0</v>
          </cell>
          <cell r="X212">
            <v>310</v>
          </cell>
          <cell r="Y212">
            <v>8.4650884699999995</v>
          </cell>
          <cell r="Z212">
            <v>0</v>
          </cell>
          <cell r="AA212">
            <v>0</v>
          </cell>
          <cell r="AB212">
            <v>1.3656387665198237</v>
          </cell>
          <cell r="AC212">
            <v>1360</v>
          </cell>
          <cell r="AD212">
            <v>37.137162320000002</v>
          </cell>
          <cell r="AE212">
            <v>0</v>
          </cell>
          <cell r="AF212">
            <v>0</v>
          </cell>
          <cell r="AG212">
            <v>5.9911894273127757</v>
          </cell>
          <cell r="AH212">
            <v>1860</v>
          </cell>
          <cell r="AI212">
            <v>50.790530820000001</v>
          </cell>
          <cell r="AJ212">
            <v>0</v>
          </cell>
          <cell r="AK212">
            <v>0</v>
          </cell>
          <cell r="AL212">
            <v>6</v>
          </cell>
        </row>
        <row r="213">
          <cell r="B213" t="str">
            <v>Svalbard And Jan Mayen</v>
          </cell>
          <cell r="C213" t="str">
            <v>Europe</v>
          </cell>
          <cell r="F213" t="str">
            <v>NOK</v>
          </cell>
          <cell r="G213">
            <v>149.99</v>
          </cell>
          <cell r="H213">
            <v>199.99</v>
          </cell>
          <cell r="I213">
            <v>899.99</v>
          </cell>
          <cell r="J213">
            <v>1399.99</v>
          </cell>
          <cell r="K213">
            <v>6.0003333555570366</v>
          </cell>
          <cell r="L213">
            <v>7.0003000150007502</v>
          </cell>
          <cell r="M213">
            <v>1.3333555570371358</v>
          </cell>
          <cell r="N213">
            <v>9.6127969999999993E-2</v>
          </cell>
          <cell r="O213">
            <v>14.4182342203</v>
          </cell>
          <cell r="P213">
            <v>19.224632720300001</v>
          </cell>
          <cell r="Q213">
            <v>86.514211720299997</v>
          </cell>
          <cell r="R213">
            <v>134.57819672029999</v>
          </cell>
          <cell r="S213" t="str">
            <v xml:space="preserve">Increase Reach </v>
          </cell>
          <cell r="T213">
            <v>149.99</v>
          </cell>
          <cell r="U213">
            <v>14.4182342203</v>
          </cell>
          <cell r="V213">
            <v>0</v>
          </cell>
          <cell r="W213">
            <v>0</v>
          </cell>
          <cell r="X213">
            <v>199.99</v>
          </cell>
          <cell r="Y213">
            <v>19.224632720300001</v>
          </cell>
          <cell r="Z213">
            <v>0</v>
          </cell>
          <cell r="AA213">
            <v>0</v>
          </cell>
          <cell r="AB213">
            <v>1.3333555570371358</v>
          </cell>
          <cell r="AC213">
            <v>899.99</v>
          </cell>
          <cell r="AD213">
            <v>86.514211720299997</v>
          </cell>
          <cell r="AE213">
            <v>0</v>
          </cell>
          <cell r="AF213">
            <v>0</v>
          </cell>
          <cell r="AG213">
            <v>6.0003333555570366</v>
          </cell>
          <cell r="AH213">
            <v>1399.99</v>
          </cell>
          <cell r="AI213">
            <v>134.57819672029999</v>
          </cell>
          <cell r="AJ213">
            <v>0</v>
          </cell>
          <cell r="AK213">
            <v>0</v>
          </cell>
          <cell r="AL213">
            <v>7.0003000150007502</v>
          </cell>
        </row>
        <row r="214">
          <cell r="B214" t="str">
            <v>Sweden</v>
          </cell>
          <cell r="C214" t="str">
            <v>Europe</v>
          </cell>
          <cell r="F214" t="str">
            <v>SEK</v>
          </cell>
          <cell r="G214">
            <v>149.99</v>
          </cell>
          <cell r="H214">
            <v>199.99</v>
          </cell>
          <cell r="I214">
            <v>999.99</v>
          </cell>
          <cell r="J214">
            <v>1399.99</v>
          </cell>
          <cell r="K214">
            <v>6.6670444696313087</v>
          </cell>
          <cell r="L214">
            <v>7.0003000150007502</v>
          </cell>
          <cell r="M214">
            <v>1.3333555570371358</v>
          </cell>
          <cell r="N214">
            <v>9.5886470000000001E-2</v>
          </cell>
          <cell r="O214">
            <v>14.382011635300001</v>
          </cell>
          <cell r="P214">
            <v>19.1763351353</v>
          </cell>
          <cell r="Q214">
            <v>95.885511135300007</v>
          </cell>
          <cell r="R214">
            <v>134.2400991353</v>
          </cell>
          <cell r="S214" t="str">
            <v>Increase ARPU - Widening LPP Ratio</v>
          </cell>
          <cell r="T214">
            <v>159.99</v>
          </cell>
          <cell r="U214">
            <v>15.340876335300001</v>
          </cell>
          <cell r="V214">
            <v>10</v>
          </cell>
          <cell r="W214">
            <v>6.6671111407427208E-2</v>
          </cell>
          <cell r="X214">
            <v>219.99</v>
          </cell>
          <cell r="Y214">
            <v>21.094064535300003</v>
          </cell>
          <cell r="Z214">
            <v>20</v>
          </cell>
          <cell r="AA214">
            <v>0.10000500025001258</v>
          </cell>
          <cell r="AB214">
            <v>1.3750234389649354</v>
          </cell>
          <cell r="AC214">
            <v>1069.99</v>
          </cell>
          <cell r="AD214">
            <v>102.5975640353</v>
          </cell>
          <cell r="AE214">
            <v>70</v>
          </cell>
          <cell r="AF214">
            <v>7.0000700006999983E-2</v>
          </cell>
          <cell r="AG214">
            <v>6.6878554909681851</v>
          </cell>
          <cell r="AH214">
            <v>1469.99</v>
          </cell>
          <cell r="AI214">
            <v>140.9521520353</v>
          </cell>
          <cell r="AJ214">
            <v>70</v>
          </cell>
          <cell r="AK214">
            <v>5.0000357145408181E-2</v>
          </cell>
          <cell r="AL214">
            <v>6.682076458020819</v>
          </cell>
        </row>
        <row r="215">
          <cell r="B215" t="str">
            <v>Switzerland</v>
          </cell>
          <cell r="C215" t="str">
            <v>Europe</v>
          </cell>
          <cell r="D215" t="str">
            <v>T4</v>
          </cell>
          <cell r="E215" t="str">
            <v>x</v>
          </cell>
          <cell r="F215" t="str">
            <v>CHF</v>
          </cell>
          <cell r="G215">
            <v>24.99</v>
          </cell>
          <cell r="H215">
            <v>31.99</v>
          </cell>
          <cell r="I215">
            <v>149.99</v>
          </cell>
          <cell r="J215">
            <v>189.99</v>
          </cell>
          <cell r="K215">
            <v>6.0020008003201291</v>
          </cell>
          <cell r="L215">
            <v>5.9390434510784624</v>
          </cell>
          <cell r="M215">
            <v>1.2801120448179273</v>
          </cell>
          <cell r="N215">
            <v>1.15848</v>
          </cell>
          <cell r="O215">
            <v>28.950415199999998</v>
          </cell>
          <cell r="P215">
            <v>37.059775199999997</v>
          </cell>
          <cell r="Q215">
            <v>173.76041520000001</v>
          </cell>
          <cell r="R215">
            <v>220.09961519999999</v>
          </cell>
          <cell r="S215" t="str">
            <v>Maintain Balance</v>
          </cell>
          <cell r="T215">
            <v>24.99</v>
          </cell>
          <cell r="U215">
            <v>28.950415199999998</v>
          </cell>
          <cell r="V215">
            <v>0</v>
          </cell>
          <cell r="W215">
            <v>0</v>
          </cell>
          <cell r="X215">
            <v>33.99</v>
          </cell>
          <cell r="Y215">
            <v>39.376735199999999</v>
          </cell>
          <cell r="Z215">
            <v>2.0000000000000036</v>
          </cell>
          <cell r="AA215">
            <v>6.2519537355423704E-2</v>
          </cell>
          <cell r="AB215">
            <v>1.3601440576230495</v>
          </cell>
          <cell r="AC215">
            <v>159.99</v>
          </cell>
          <cell r="AD215">
            <v>185.34521520000001</v>
          </cell>
          <cell r="AE215">
            <v>10</v>
          </cell>
          <cell r="AF215">
            <v>6.6671111407427208E-2</v>
          </cell>
          <cell r="AG215">
            <v>6.4021608643457393</v>
          </cell>
          <cell r="AH215">
            <v>219.99</v>
          </cell>
          <cell r="AI215">
            <v>254.85401519999999</v>
          </cell>
          <cell r="AJ215">
            <v>30</v>
          </cell>
          <cell r="AK215">
            <v>0.15790304752881723</v>
          </cell>
          <cell r="AL215">
            <v>6.4721977052074138</v>
          </cell>
        </row>
        <row r="216">
          <cell r="B216" t="str">
            <v>Taiwan</v>
          </cell>
          <cell r="C216" t="str">
            <v>NBA China</v>
          </cell>
          <cell r="D216" t="str">
            <v>T3</v>
          </cell>
          <cell r="F216" t="str">
            <v>TWD</v>
          </cell>
          <cell r="G216">
            <v>390</v>
          </cell>
          <cell r="H216">
            <v>510</v>
          </cell>
          <cell r="I216">
            <v>2720</v>
          </cell>
          <cell r="J216">
            <v>3590</v>
          </cell>
          <cell r="K216">
            <v>6.9743589743589745</v>
          </cell>
          <cell r="L216">
            <v>7.0392156862745097</v>
          </cell>
          <cell r="M216">
            <v>1.3076923076923077</v>
          </cell>
          <cell r="N216">
            <v>3.1942760000000001E-2</v>
          </cell>
          <cell r="O216">
            <v>12.4576764</v>
          </cell>
          <cell r="P216">
            <v>16.290807600000001</v>
          </cell>
          <cell r="Q216">
            <v>86.884307199999995</v>
          </cell>
          <cell r="R216">
            <v>114.67450840000001</v>
          </cell>
          <cell r="S216" t="str">
            <v>Maintain Balance</v>
          </cell>
          <cell r="T216">
            <v>390</v>
          </cell>
          <cell r="U216">
            <v>12.4576764</v>
          </cell>
          <cell r="V216">
            <v>0</v>
          </cell>
          <cell r="W216">
            <v>0</v>
          </cell>
          <cell r="X216">
            <v>540</v>
          </cell>
          <cell r="Y216">
            <v>17.2490904</v>
          </cell>
          <cell r="Z216">
            <v>30</v>
          </cell>
          <cell r="AA216">
            <v>5.8823529411764719E-2</v>
          </cell>
          <cell r="AB216">
            <v>1.3846153846153846</v>
          </cell>
          <cell r="AC216">
            <v>2720</v>
          </cell>
          <cell r="AD216">
            <v>86.884307199999995</v>
          </cell>
          <cell r="AE216">
            <v>0</v>
          </cell>
          <cell r="AF216">
            <v>0</v>
          </cell>
          <cell r="AG216">
            <v>6.9743589743589745</v>
          </cell>
          <cell r="AH216">
            <v>3590</v>
          </cell>
          <cell r="AI216">
            <v>114.67450840000001</v>
          </cell>
          <cell r="AJ216">
            <v>0</v>
          </cell>
          <cell r="AK216">
            <v>0</v>
          </cell>
          <cell r="AL216">
            <v>6.6481481481481479</v>
          </cell>
        </row>
        <row r="217">
          <cell r="B217" t="str">
            <v>Syria</v>
          </cell>
          <cell r="C217" t="str">
            <v>Middle East</v>
          </cell>
          <cell r="D217"/>
          <cell r="E217"/>
          <cell r="F217" t="e">
            <v>#N/A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e">
            <v>#DIV/0!</v>
          </cell>
          <cell r="L217" t="e">
            <v>#DIV/0!</v>
          </cell>
          <cell r="M217" t="e">
            <v>#DIV/0!</v>
          </cell>
          <cell r="N217" t="e">
            <v>#N/A</v>
          </cell>
          <cell r="O217" t="e">
            <v>#N/A</v>
          </cell>
          <cell r="P217" t="e">
            <v>#N/A</v>
          </cell>
          <cell r="Q217" t="e">
            <v>#N/A</v>
          </cell>
          <cell r="R217" t="e">
            <v>#N/A</v>
          </cell>
          <cell r="S217" t="str">
            <v xml:space="preserve">Increase Reach </v>
          </cell>
          <cell r="U217" t="e">
            <v>#N/A</v>
          </cell>
          <cell r="V217" t="str">
            <v/>
          </cell>
          <cell r="W217" t="str">
            <v/>
          </cell>
          <cell r="Y217" t="e">
            <v>#N/A</v>
          </cell>
          <cell r="Z217" t="str">
            <v/>
          </cell>
          <cell r="AA217" t="str">
            <v/>
          </cell>
          <cell r="AB217" t="str">
            <v/>
          </cell>
          <cell r="AD217" t="e">
            <v>#N/A</v>
          </cell>
          <cell r="AE217" t="str">
            <v/>
          </cell>
          <cell r="AF217" t="str">
            <v/>
          </cell>
          <cell r="AG217" t="str">
            <v/>
          </cell>
          <cell r="AI217" t="e">
            <v>#N/A</v>
          </cell>
          <cell r="AJ217" t="str">
            <v/>
          </cell>
          <cell r="AK217" t="str">
            <v/>
          </cell>
          <cell r="AL217" t="str">
            <v/>
          </cell>
        </row>
        <row r="218">
          <cell r="B218" t="str">
            <v>Tajikistan</v>
          </cell>
          <cell r="C218" t="str">
            <v>Asia</v>
          </cell>
          <cell r="F218" t="str">
            <v>USD</v>
          </cell>
          <cell r="G218">
            <v>8.99</v>
          </cell>
          <cell r="H218">
            <v>11.99</v>
          </cell>
          <cell r="I218">
            <v>53.99</v>
          </cell>
          <cell r="J218">
            <v>71.989999999999995</v>
          </cell>
          <cell r="K218">
            <v>6.0055617352614012</v>
          </cell>
          <cell r="L218">
            <v>6.0041701417848206</v>
          </cell>
          <cell r="M218">
            <v>1.3337041156840934</v>
          </cell>
          <cell r="N218">
            <v>1</v>
          </cell>
          <cell r="O218">
            <v>8.99</v>
          </cell>
          <cell r="P218">
            <v>11.99</v>
          </cell>
          <cell r="Q218">
            <v>53.99</v>
          </cell>
          <cell r="R218">
            <v>71.989999999999995</v>
          </cell>
          <cell r="S218" t="str">
            <v>Increase Reach</v>
          </cell>
          <cell r="T218">
            <v>8.99</v>
          </cell>
          <cell r="U218">
            <v>8.99</v>
          </cell>
          <cell r="V218">
            <v>0</v>
          </cell>
          <cell r="W218">
            <v>0</v>
          </cell>
          <cell r="X218">
            <v>11.99</v>
          </cell>
          <cell r="Y218">
            <v>11.99</v>
          </cell>
          <cell r="Z218">
            <v>0</v>
          </cell>
          <cell r="AA218">
            <v>0</v>
          </cell>
          <cell r="AB218">
            <v>1.3337041156840934</v>
          </cell>
          <cell r="AC218">
            <v>53.99</v>
          </cell>
          <cell r="AD218">
            <v>53.99</v>
          </cell>
          <cell r="AE218">
            <v>0</v>
          </cell>
          <cell r="AF218">
            <v>0</v>
          </cell>
          <cell r="AG218">
            <v>6.0055617352614012</v>
          </cell>
          <cell r="AH218">
            <v>71.989999999999995</v>
          </cell>
          <cell r="AI218">
            <v>71.989999999999995</v>
          </cell>
          <cell r="AJ218">
            <v>0</v>
          </cell>
          <cell r="AK218">
            <v>0</v>
          </cell>
          <cell r="AL218">
            <v>6.0041701417848206</v>
          </cell>
        </row>
        <row r="219">
          <cell r="B219" t="str">
            <v>Tanzania</v>
          </cell>
          <cell r="C219" t="str">
            <v>Africa</v>
          </cell>
          <cell r="F219" t="str">
            <v>TZS</v>
          </cell>
          <cell r="G219">
            <v>20900</v>
          </cell>
          <cell r="H219">
            <v>28220</v>
          </cell>
          <cell r="I219">
            <v>125400</v>
          </cell>
          <cell r="J219">
            <v>169320</v>
          </cell>
          <cell r="K219">
            <v>6</v>
          </cell>
          <cell r="L219">
            <v>6</v>
          </cell>
          <cell r="M219">
            <v>1.3502392344497607</v>
          </cell>
          <cell r="N219">
            <v>3.8986355999999999E-4</v>
          </cell>
          <cell r="O219">
            <v>8.1481484040000005</v>
          </cell>
          <cell r="P219">
            <v>11.0019496632</v>
          </cell>
          <cell r="Q219">
            <v>48.888890423999996</v>
          </cell>
          <cell r="R219">
            <v>66.011697979199994</v>
          </cell>
          <cell r="S219" t="str">
            <v>Increase Reach</v>
          </cell>
          <cell r="T219">
            <v>20900</v>
          </cell>
          <cell r="U219">
            <v>8.1481484040000005</v>
          </cell>
          <cell r="V219">
            <v>0</v>
          </cell>
          <cell r="W219">
            <v>0</v>
          </cell>
          <cell r="X219">
            <v>28220</v>
          </cell>
          <cell r="Y219">
            <v>11.0019496632</v>
          </cell>
          <cell r="Z219">
            <v>0</v>
          </cell>
          <cell r="AA219">
            <v>0</v>
          </cell>
          <cell r="AB219">
            <v>1.3502392344497607</v>
          </cell>
          <cell r="AC219">
            <v>125400</v>
          </cell>
          <cell r="AD219">
            <v>48.888890423999996</v>
          </cell>
          <cell r="AE219">
            <v>0</v>
          </cell>
          <cell r="AF219">
            <v>0</v>
          </cell>
          <cell r="AG219">
            <v>6</v>
          </cell>
          <cell r="AH219">
            <v>169320</v>
          </cell>
          <cell r="AI219">
            <v>66.011697979199994</v>
          </cell>
          <cell r="AJ219">
            <v>0</v>
          </cell>
          <cell r="AK219">
            <v>0</v>
          </cell>
          <cell r="AL219">
            <v>6</v>
          </cell>
        </row>
        <row r="220">
          <cell r="B220" t="str">
            <v>Thailand</v>
          </cell>
          <cell r="C220" t="str">
            <v>Asia</v>
          </cell>
          <cell r="D220" t="str">
            <v>S</v>
          </cell>
          <cell r="F220" t="str">
            <v>THB</v>
          </cell>
          <cell r="G220">
            <v>300</v>
          </cell>
          <cell r="H220">
            <v>390</v>
          </cell>
          <cell r="I220">
            <v>2100</v>
          </cell>
          <cell r="J220">
            <v>2340</v>
          </cell>
          <cell r="K220">
            <v>7</v>
          </cell>
          <cell r="L220">
            <v>6</v>
          </cell>
          <cell r="M220">
            <v>1.3</v>
          </cell>
          <cell r="N220">
            <v>2.8072145E-2</v>
          </cell>
          <cell r="O220">
            <v>8.4216435000000001</v>
          </cell>
          <cell r="P220">
            <v>10.948136549999999</v>
          </cell>
          <cell r="Q220">
            <v>58.951504499999999</v>
          </cell>
          <cell r="R220">
            <v>65.688819300000006</v>
          </cell>
          <cell r="S220" t="str">
            <v>Maintain Balance</v>
          </cell>
          <cell r="T220">
            <v>300</v>
          </cell>
          <cell r="U220">
            <v>8.4216435000000001</v>
          </cell>
          <cell r="V220">
            <v>0</v>
          </cell>
          <cell r="W220">
            <v>0</v>
          </cell>
          <cell r="X220">
            <v>449</v>
          </cell>
          <cell r="Y220">
            <v>12.604393105</v>
          </cell>
          <cell r="Z220">
            <v>59</v>
          </cell>
          <cell r="AA220">
            <v>0.15128205128205119</v>
          </cell>
          <cell r="AB220">
            <v>1.4966666666666666</v>
          </cell>
          <cell r="AC220">
            <v>2100</v>
          </cell>
          <cell r="AD220">
            <v>58.951504499999999</v>
          </cell>
          <cell r="AE220">
            <v>0</v>
          </cell>
          <cell r="AF220">
            <v>0</v>
          </cell>
          <cell r="AG220">
            <v>7</v>
          </cell>
          <cell r="AH220">
            <v>2919</v>
          </cell>
          <cell r="AI220">
            <v>81.942591254999996</v>
          </cell>
          <cell r="AJ220">
            <v>579</v>
          </cell>
          <cell r="AK220">
            <v>0.24743589743589745</v>
          </cell>
          <cell r="AL220">
            <v>6.5011135857461024</v>
          </cell>
        </row>
        <row r="221">
          <cell r="B221" t="str">
            <v>Timor-Leste</v>
          </cell>
          <cell r="C221" t="str">
            <v>Asia</v>
          </cell>
          <cell r="F221" t="str">
            <v>USD</v>
          </cell>
          <cell r="G221">
            <v>8.99</v>
          </cell>
          <cell r="H221">
            <v>11.99</v>
          </cell>
          <cell r="I221">
            <v>53.99</v>
          </cell>
          <cell r="J221">
            <v>71.989999999999995</v>
          </cell>
          <cell r="K221">
            <v>6.0055617352614012</v>
          </cell>
          <cell r="L221">
            <v>6.0041701417848206</v>
          </cell>
          <cell r="M221">
            <v>1.3337041156840934</v>
          </cell>
          <cell r="N221">
            <v>1</v>
          </cell>
          <cell r="O221">
            <v>8.99</v>
          </cell>
          <cell r="P221">
            <v>11.99</v>
          </cell>
          <cell r="Q221">
            <v>53.99</v>
          </cell>
          <cell r="R221">
            <v>71.989999999999995</v>
          </cell>
          <cell r="S221" t="str">
            <v>Increase Reach</v>
          </cell>
          <cell r="T221">
            <v>8.99</v>
          </cell>
          <cell r="U221">
            <v>8.99</v>
          </cell>
          <cell r="V221">
            <v>0</v>
          </cell>
          <cell r="W221">
            <v>0</v>
          </cell>
          <cell r="X221">
            <v>11.99</v>
          </cell>
          <cell r="Y221">
            <v>11.99</v>
          </cell>
          <cell r="Z221">
            <v>0</v>
          </cell>
          <cell r="AA221">
            <v>0</v>
          </cell>
          <cell r="AB221">
            <v>1.3337041156840934</v>
          </cell>
          <cell r="AC221">
            <v>53.99</v>
          </cell>
          <cell r="AD221">
            <v>53.99</v>
          </cell>
          <cell r="AE221">
            <v>0</v>
          </cell>
          <cell r="AF221">
            <v>0</v>
          </cell>
          <cell r="AG221">
            <v>6.0055617352614012</v>
          </cell>
          <cell r="AH221">
            <v>71.989999999999995</v>
          </cell>
          <cell r="AI221">
            <v>71.989999999999995</v>
          </cell>
          <cell r="AJ221">
            <v>0</v>
          </cell>
          <cell r="AK221">
            <v>0</v>
          </cell>
          <cell r="AL221">
            <v>6.0041701417848206</v>
          </cell>
        </row>
        <row r="222">
          <cell r="B222" t="str">
            <v>Togo</v>
          </cell>
          <cell r="C222" t="str">
            <v>Africa</v>
          </cell>
          <cell r="F222" t="str">
            <v>XOF</v>
          </cell>
          <cell r="G222">
            <v>5400</v>
          </cell>
          <cell r="H222">
            <v>7290</v>
          </cell>
          <cell r="I222">
            <v>32400</v>
          </cell>
          <cell r="J222">
            <v>43740</v>
          </cell>
          <cell r="K222">
            <v>6</v>
          </cell>
          <cell r="L222">
            <v>6</v>
          </cell>
          <cell r="M222">
            <v>1.35</v>
          </cell>
          <cell r="N222">
            <v>1.6559773E-3</v>
          </cell>
          <cell r="O222">
            <v>8.9422774199999999</v>
          </cell>
          <cell r="P222">
            <v>12.072074517000001</v>
          </cell>
          <cell r="Q222">
            <v>53.65366452</v>
          </cell>
          <cell r="R222">
            <v>72.432447101999998</v>
          </cell>
          <cell r="S222" t="str">
            <v>Increase Reach</v>
          </cell>
          <cell r="T222">
            <v>5400</v>
          </cell>
          <cell r="U222">
            <v>8.9422774199999999</v>
          </cell>
          <cell r="V222">
            <v>0</v>
          </cell>
          <cell r="W222">
            <v>0</v>
          </cell>
          <cell r="X222">
            <v>7290</v>
          </cell>
          <cell r="Y222">
            <v>12.072074517000001</v>
          </cell>
          <cell r="Z222">
            <v>0</v>
          </cell>
          <cell r="AA222">
            <v>0</v>
          </cell>
          <cell r="AB222">
            <v>1.35</v>
          </cell>
          <cell r="AC222">
            <v>32400</v>
          </cell>
          <cell r="AD222">
            <v>53.65366452</v>
          </cell>
          <cell r="AE222">
            <v>0</v>
          </cell>
          <cell r="AF222">
            <v>0</v>
          </cell>
          <cell r="AG222">
            <v>6</v>
          </cell>
          <cell r="AH222">
            <v>43740</v>
          </cell>
          <cell r="AI222">
            <v>72.432447101999998</v>
          </cell>
          <cell r="AJ222">
            <v>0</v>
          </cell>
          <cell r="AK222">
            <v>0</v>
          </cell>
          <cell r="AL222">
            <v>6</v>
          </cell>
        </row>
        <row r="223">
          <cell r="B223" t="str">
            <v>Tokelau</v>
          </cell>
          <cell r="C223" t="str">
            <v>Asia</v>
          </cell>
          <cell r="F223" t="str">
            <v>NZD</v>
          </cell>
          <cell r="G223">
            <v>24.99</v>
          </cell>
          <cell r="H223">
            <v>33.99</v>
          </cell>
          <cell r="I223">
            <v>149.99</v>
          </cell>
          <cell r="J223">
            <v>203.99</v>
          </cell>
          <cell r="K223">
            <v>6.0020008003201291</v>
          </cell>
          <cell r="L223">
            <v>6.0014710208884967</v>
          </cell>
          <cell r="M223">
            <v>1.3601440576230495</v>
          </cell>
          <cell r="N223">
            <v>0.61045000000000005</v>
          </cell>
          <cell r="O223">
            <v>15.255145500000001</v>
          </cell>
          <cell r="P223">
            <v>20.749195500000003</v>
          </cell>
          <cell r="Q223">
            <v>91.561395500000017</v>
          </cell>
          <cell r="R223">
            <v>124.52569550000001</v>
          </cell>
          <cell r="S223" t="str">
            <v>Increase Reach</v>
          </cell>
          <cell r="T223">
            <v>24.99</v>
          </cell>
          <cell r="U223">
            <v>15.255145500000001</v>
          </cell>
          <cell r="V223">
            <v>0</v>
          </cell>
          <cell r="W223">
            <v>0</v>
          </cell>
          <cell r="X223">
            <v>33.99</v>
          </cell>
          <cell r="Y223">
            <v>20.749195500000003</v>
          </cell>
          <cell r="Z223">
            <v>0</v>
          </cell>
          <cell r="AA223">
            <v>0</v>
          </cell>
          <cell r="AB223">
            <v>1.3601440576230495</v>
          </cell>
          <cell r="AC223">
            <v>149.99</v>
          </cell>
          <cell r="AD223">
            <v>91.561395500000017</v>
          </cell>
          <cell r="AE223">
            <v>0</v>
          </cell>
          <cell r="AF223">
            <v>0</v>
          </cell>
          <cell r="AG223">
            <v>6.0020008003201291</v>
          </cell>
          <cell r="AH223">
            <v>203.99</v>
          </cell>
          <cell r="AI223">
            <v>124.52569550000001</v>
          </cell>
          <cell r="AJ223">
            <v>0</v>
          </cell>
          <cell r="AK223">
            <v>0</v>
          </cell>
          <cell r="AL223">
            <v>6.0014710208884967</v>
          </cell>
        </row>
        <row r="224">
          <cell r="B224" t="str">
            <v>Tonga</v>
          </cell>
          <cell r="C224" t="str">
            <v>Asia</v>
          </cell>
          <cell r="F224" t="str">
            <v>TOP</v>
          </cell>
          <cell r="G224">
            <v>22.99</v>
          </cell>
          <cell r="H224">
            <v>30.99</v>
          </cell>
          <cell r="I224">
            <v>137.99</v>
          </cell>
          <cell r="J224">
            <v>185.99</v>
          </cell>
          <cell r="K224">
            <v>6.0021748586341896</v>
          </cell>
          <cell r="L224">
            <v>6.0016134236850602</v>
          </cell>
          <cell r="M224">
            <v>1.3479773814702045</v>
          </cell>
          <cell r="N224">
            <v>0.42220000000000002</v>
          </cell>
          <cell r="O224">
            <v>9.7063779999999991</v>
          </cell>
          <cell r="P224">
            <v>13.083978</v>
          </cell>
          <cell r="Q224">
            <v>58.259378000000005</v>
          </cell>
          <cell r="R224">
            <v>78.524978000000004</v>
          </cell>
          <cell r="S224" t="str">
            <v>Increase Reach</v>
          </cell>
          <cell r="T224">
            <v>22.99</v>
          </cell>
          <cell r="U224">
            <v>9.7063779999999991</v>
          </cell>
          <cell r="V224">
            <v>0</v>
          </cell>
          <cell r="W224">
            <v>0</v>
          </cell>
          <cell r="X224">
            <v>30.99</v>
          </cell>
          <cell r="Y224">
            <v>13.083978</v>
          </cell>
          <cell r="Z224">
            <v>0</v>
          </cell>
          <cell r="AA224">
            <v>0</v>
          </cell>
          <cell r="AB224">
            <v>1.3479773814702045</v>
          </cell>
          <cell r="AC224">
            <v>137.99</v>
          </cell>
          <cell r="AD224">
            <v>58.259378000000005</v>
          </cell>
          <cell r="AE224">
            <v>0</v>
          </cell>
          <cell r="AF224">
            <v>0</v>
          </cell>
          <cell r="AG224">
            <v>6.0021748586341896</v>
          </cell>
          <cell r="AH224">
            <v>185.99</v>
          </cell>
          <cell r="AI224">
            <v>78.524978000000004</v>
          </cell>
          <cell r="AJ224">
            <v>0</v>
          </cell>
          <cell r="AK224">
            <v>0</v>
          </cell>
          <cell r="AL224">
            <v>6.0016134236850602</v>
          </cell>
        </row>
        <row r="225">
          <cell r="B225" t="str">
            <v>Trinidad And Tobago</v>
          </cell>
          <cell r="C225" t="str">
            <v>Latin America</v>
          </cell>
          <cell r="F225" t="str">
            <v>TTD</v>
          </cell>
          <cell r="G225">
            <v>80.989999999999995</v>
          </cell>
          <cell r="H225">
            <v>108.99</v>
          </cell>
          <cell r="I225">
            <v>485.99</v>
          </cell>
          <cell r="J225">
            <v>653.99</v>
          </cell>
          <cell r="K225">
            <v>6.0006173601679222</v>
          </cell>
          <cell r="L225">
            <v>6.0004587576841919</v>
          </cell>
          <cell r="M225">
            <v>1.3457216940363008</v>
          </cell>
          <cell r="N225">
            <v>0.14843841999999999</v>
          </cell>
          <cell r="O225">
            <v>12.022027635799999</v>
          </cell>
          <cell r="P225">
            <v>16.178303395799997</v>
          </cell>
          <cell r="Q225">
            <v>72.139587735799992</v>
          </cell>
          <cell r="R225">
            <v>97.077242295799991</v>
          </cell>
          <cell r="S225" t="str">
            <v>Maintain Balance</v>
          </cell>
          <cell r="T225">
            <v>80.989999999999995</v>
          </cell>
          <cell r="U225">
            <v>12.022027635799999</v>
          </cell>
          <cell r="V225">
            <v>0</v>
          </cell>
          <cell r="W225">
            <v>0</v>
          </cell>
          <cell r="X225">
            <v>114.99</v>
          </cell>
          <cell r="Y225">
            <v>17.068933915799999</v>
          </cell>
          <cell r="Z225">
            <v>6</v>
          </cell>
          <cell r="AA225">
            <v>5.5050922102945155E-2</v>
          </cell>
          <cell r="AB225">
            <v>1.4198049141869367</v>
          </cell>
          <cell r="AC225">
            <v>485.99</v>
          </cell>
          <cell r="AD225">
            <v>72.139587735799992</v>
          </cell>
          <cell r="AE225">
            <v>0</v>
          </cell>
          <cell r="AF225">
            <v>0</v>
          </cell>
          <cell r="AG225">
            <v>6.0006173601679222</v>
          </cell>
          <cell r="AH225">
            <v>689.99</v>
          </cell>
          <cell r="AI225">
            <v>102.42102541579999</v>
          </cell>
          <cell r="AJ225">
            <v>36</v>
          </cell>
          <cell r="AK225">
            <v>5.5046713252496104E-2</v>
          </cell>
          <cell r="AL225">
            <v>6.0004348204191675</v>
          </cell>
        </row>
        <row r="226">
          <cell r="B226" t="str">
            <v>Tunisia</v>
          </cell>
          <cell r="C226" t="str">
            <v>Africa</v>
          </cell>
          <cell r="F226" t="str">
            <v>TND</v>
          </cell>
          <cell r="G226">
            <v>26.998999999999999</v>
          </cell>
          <cell r="H226">
            <v>35.999000000000002</v>
          </cell>
          <cell r="I226">
            <v>161.999</v>
          </cell>
          <cell r="J226">
            <v>215.999</v>
          </cell>
          <cell r="K226">
            <v>6.0001851920441496</v>
          </cell>
          <cell r="L226">
            <v>6.0001388927470201</v>
          </cell>
          <cell r="M226">
            <v>1.3333456794696101</v>
          </cell>
          <cell r="N226">
            <v>0.32140390000000002</v>
          </cell>
          <cell r="O226">
            <v>8.6775838960999998</v>
          </cell>
          <cell r="P226">
            <v>11.570218996100001</v>
          </cell>
          <cell r="Q226">
            <v>52.067110396099999</v>
          </cell>
          <cell r="R226">
            <v>69.422920996100004</v>
          </cell>
          <cell r="S226" t="str">
            <v>Increase Reach</v>
          </cell>
          <cell r="T226">
            <v>26.998999999999999</v>
          </cell>
          <cell r="U226">
            <v>8.6775838960999998</v>
          </cell>
          <cell r="V226">
            <v>0</v>
          </cell>
          <cell r="W226">
            <v>0</v>
          </cell>
          <cell r="X226">
            <v>35.999000000000002</v>
          </cell>
          <cell r="Y226">
            <v>11.570218996100001</v>
          </cell>
          <cell r="Z226">
            <v>0</v>
          </cell>
          <cell r="AA226">
            <v>0</v>
          </cell>
          <cell r="AB226">
            <v>1.3333456794696101</v>
          </cell>
          <cell r="AC226">
            <v>161.999</v>
          </cell>
          <cell r="AD226">
            <v>52.067110396099999</v>
          </cell>
          <cell r="AE226">
            <v>0</v>
          </cell>
          <cell r="AF226">
            <v>0</v>
          </cell>
          <cell r="AG226">
            <v>6.0001851920441496</v>
          </cell>
          <cell r="AH226">
            <v>215.999</v>
          </cell>
          <cell r="AI226">
            <v>69.422920996100004</v>
          </cell>
          <cell r="AJ226">
            <v>0</v>
          </cell>
          <cell r="AK226">
            <v>0</v>
          </cell>
          <cell r="AL226">
            <v>6.0001388927470201</v>
          </cell>
        </row>
        <row r="227">
          <cell r="B227" t="str">
            <v>Turkey</v>
          </cell>
          <cell r="C227" t="str">
            <v>Europe</v>
          </cell>
          <cell r="D227" t="str">
            <v>S</v>
          </cell>
          <cell r="F227" t="str">
            <v>TRY</v>
          </cell>
          <cell r="G227">
            <v>79.989999999999995</v>
          </cell>
          <cell r="H227">
            <v>99.99</v>
          </cell>
          <cell r="I227">
            <v>479.99</v>
          </cell>
          <cell r="J227">
            <v>599.99</v>
          </cell>
          <cell r="K227">
            <v>6.0006250781347674</v>
          </cell>
          <cell r="L227">
            <v>6.0005000500050008</v>
          </cell>
          <cell r="M227">
            <v>1.2500312539067384</v>
          </cell>
          <cell r="N227">
            <v>3.2999217999999997E-2</v>
          </cell>
          <cell r="O227">
            <v>2.6396074478199996</v>
          </cell>
          <cell r="P227">
            <v>3.2995918078199997</v>
          </cell>
          <cell r="Q227">
            <v>15.839294647819999</v>
          </cell>
          <cell r="R227">
            <v>19.79920080782</v>
          </cell>
          <cell r="S227" t="str">
            <v>Increase ARPU - Widening LPP Ratio</v>
          </cell>
          <cell r="T227">
            <v>94.99</v>
          </cell>
          <cell r="U227">
            <v>3.1345957178199995</v>
          </cell>
          <cell r="V227">
            <v>15</v>
          </cell>
          <cell r="W227">
            <v>0.18752344043005387</v>
          </cell>
          <cell r="X227">
            <v>129.99</v>
          </cell>
          <cell r="Y227">
            <v>4.2895683478199995</v>
          </cell>
          <cell r="Z227">
            <v>30.000000000000014</v>
          </cell>
          <cell r="AA227">
            <v>0.30003000300030025</v>
          </cell>
          <cell r="AB227">
            <v>1.3684598378776716</v>
          </cell>
          <cell r="AC227">
            <v>619.99</v>
          </cell>
          <cell r="AD227">
            <v>20.459185167819999</v>
          </cell>
          <cell r="AE227">
            <v>140</v>
          </cell>
          <cell r="AF227">
            <v>0.29167274318214953</v>
          </cell>
          <cell r="AG227">
            <v>6.5268975681650705</v>
          </cell>
          <cell r="AH227">
            <v>839.99</v>
          </cell>
          <cell r="AI227">
            <v>27.719013127819998</v>
          </cell>
          <cell r="AJ227">
            <v>240</v>
          </cell>
          <cell r="AK227">
            <v>0.40000666677777952</v>
          </cell>
          <cell r="AL227">
            <v>6.461958612200938</v>
          </cell>
        </row>
        <row r="228">
          <cell r="B228" t="str">
            <v>Turkmenistan</v>
          </cell>
          <cell r="C228" t="str">
            <v>Asia</v>
          </cell>
          <cell r="F228" t="str">
            <v>USD</v>
          </cell>
          <cell r="G228">
            <v>10.99</v>
          </cell>
          <cell r="H228">
            <v>14.99</v>
          </cell>
          <cell r="I228">
            <v>65.989999999999995</v>
          </cell>
          <cell r="J228">
            <v>89.99</v>
          </cell>
          <cell r="K228">
            <v>6.0045495905368513</v>
          </cell>
          <cell r="L228">
            <v>6.0033355570380253</v>
          </cell>
          <cell r="M228">
            <v>1.3639672429481347</v>
          </cell>
          <cell r="N228">
            <v>1</v>
          </cell>
          <cell r="O228">
            <v>10.99</v>
          </cell>
          <cell r="P228">
            <v>14.99</v>
          </cell>
          <cell r="Q228">
            <v>65.989999999999995</v>
          </cell>
          <cell r="R228">
            <v>89.99</v>
          </cell>
          <cell r="S228" t="str">
            <v>Increase Reach</v>
          </cell>
          <cell r="T228">
            <v>10.99</v>
          </cell>
          <cell r="U228">
            <v>10.99</v>
          </cell>
          <cell r="V228">
            <v>0</v>
          </cell>
          <cell r="W228">
            <v>0</v>
          </cell>
          <cell r="X228">
            <v>14.99</v>
          </cell>
          <cell r="Y228">
            <v>14.99</v>
          </cell>
          <cell r="Z228">
            <v>0</v>
          </cell>
          <cell r="AA228">
            <v>0</v>
          </cell>
          <cell r="AB228">
            <v>1.3639672429481347</v>
          </cell>
          <cell r="AC228">
            <v>65.989999999999995</v>
          </cell>
          <cell r="AD228">
            <v>65.989999999999995</v>
          </cell>
          <cell r="AE228">
            <v>0</v>
          </cell>
          <cell r="AF228">
            <v>0</v>
          </cell>
          <cell r="AG228">
            <v>6.0045495905368513</v>
          </cell>
          <cell r="AH228">
            <v>89.99</v>
          </cell>
          <cell r="AI228">
            <v>89.99</v>
          </cell>
          <cell r="AJ228">
            <v>0</v>
          </cell>
          <cell r="AK228">
            <v>0</v>
          </cell>
          <cell r="AL228">
            <v>6.0033355570380253</v>
          </cell>
        </row>
        <row r="229">
          <cell r="B229" t="str">
            <v>Turks And Caicos Islands</v>
          </cell>
          <cell r="C229" t="str">
            <v>Latin America</v>
          </cell>
          <cell r="F229" t="str">
            <v>USD</v>
          </cell>
          <cell r="G229">
            <v>11.99</v>
          </cell>
          <cell r="H229">
            <v>15.99</v>
          </cell>
          <cell r="I229">
            <v>71.989999999999995</v>
          </cell>
          <cell r="J229">
            <v>95.99</v>
          </cell>
          <cell r="K229">
            <v>6.0041701417848206</v>
          </cell>
          <cell r="L229">
            <v>6.0031269543464658</v>
          </cell>
          <cell r="M229">
            <v>1.3336113427856546</v>
          </cell>
          <cell r="N229">
            <v>1</v>
          </cell>
          <cell r="O229">
            <v>11.99</v>
          </cell>
          <cell r="P229">
            <v>15.99</v>
          </cell>
          <cell r="Q229">
            <v>71.989999999999995</v>
          </cell>
          <cell r="R229">
            <v>95.99</v>
          </cell>
          <cell r="S229" t="str">
            <v>Maintain Balance</v>
          </cell>
          <cell r="T229">
            <v>11.99</v>
          </cell>
          <cell r="U229">
            <v>11.99</v>
          </cell>
          <cell r="V229">
            <v>0</v>
          </cell>
          <cell r="W229">
            <v>0</v>
          </cell>
          <cell r="X229">
            <v>16.989999999999998</v>
          </cell>
          <cell r="Y229">
            <v>16.989999999999998</v>
          </cell>
          <cell r="Z229">
            <v>0.99999999999999822</v>
          </cell>
          <cell r="AA229">
            <v>6.2539086929330745E-2</v>
          </cell>
          <cell r="AB229">
            <v>1.4170141784820682</v>
          </cell>
          <cell r="AC229">
            <v>71.989999999999995</v>
          </cell>
          <cell r="AD229">
            <v>71.989999999999995</v>
          </cell>
          <cell r="AE229">
            <v>0</v>
          </cell>
          <cell r="AF229">
            <v>0</v>
          </cell>
          <cell r="AG229">
            <v>6.0041701417848206</v>
          </cell>
          <cell r="AH229">
            <v>102.99</v>
          </cell>
          <cell r="AI229">
            <v>102.99</v>
          </cell>
          <cell r="AJ229">
            <v>7</v>
          </cell>
          <cell r="AK229">
            <v>7.2924262944056739E-2</v>
          </cell>
          <cell r="AL229">
            <v>6.0618010594467338</v>
          </cell>
        </row>
        <row r="230">
          <cell r="B230" t="str">
            <v>Tuvalu</v>
          </cell>
          <cell r="C230" t="str">
            <v>Asia</v>
          </cell>
          <cell r="F230" t="str">
            <v>AUD</v>
          </cell>
          <cell r="G230">
            <v>13.99</v>
          </cell>
          <cell r="H230">
            <v>18.989999999999998</v>
          </cell>
          <cell r="I230">
            <v>83.99</v>
          </cell>
          <cell r="J230">
            <v>113.99</v>
          </cell>
          <cell r="K230">
            <v>6.003573981415296</v>
          </cell>
          <cell r="L230">
            <v>6.0026329647182726</v>
          </cell>
          <cell r="M230">
            <v>1.3573981415296639</v>
          </cell>
          <cell r="N230">
            <v>0.65905000000000002</v>
          </cell>
          <cell r="O230">
            <v>9.2201095000000013</v>
          </cell>
          <cell r="P230">
            <v>12.515359499999999</v>
          </cell>
          <cell r="Q230">
            <v>55.353609499999997</v>
          </cell>
          <cell r="R230">
            <v>75.125109499999994</v>
          </cell>
          <cell r="S230" t="str">
            <v>Increase Reach</v>
          </cell>
          <cell r="T230">
            <v>13.99</v>
          </cell>
          <cell r="U230">
            <v>9.2201095000000013</v>
          </cell>
          <cell r="V230">
            <v>0</v>
          </cell>
          <cell r="W230">
            <v>0</v>
          </cell>
          <cell r="X230">
            <v>18.989999999999998</v>
          </cell>
          <cell r="Y230">
            <v>12.515359499999999</v>
          </cell>
          <cell r="Z230">
            <v>0</v>
          </cell>
          <cell r="AA230">
            <v>0</v>
          </cell>
          <cell r="AB230">
            <v>1.3573981415296639</v>
          </cell>
          <cell r="AC230">
            <v>83.99</v>
          </cell>
          <cell r="AD230">
            <v>55.353609499999997</v>
          </cell>
          <cell r="AE230">
            <v>0</v>
          </cell>
          <cell r="AF230">
            <v>0</v>
          </cell>
          <cell r="AG230">
            <v>6.003573981415296</v>
          </cell>
          <cell r="AH230">
            <v>113.99</v>
          </cell>
          <cell r="AI230">
            <v>75.125109499999994</v>
          </cell>
          <cell r="AJ230">
            <v>0</v>
          </cell>
          <cell r="AK230">
            <v>0</v>
          </cell>
          <cell r="AL230">
            <v>6.0026329647182726</v>
          </cell>
        </row>
        <row r="231">
          <cell r="B231" t="str">
            <v>Uganda</v>
          </cell>
          <cell r="C231" t="str">
            <v>Africa</v>
          </cell>
          <cell r="F231" t="str">
            <v>UGX</v>
          </cell>
          <cell r="G231">
            <v>32300</v>
          </cell>
          <cell r="H231">
            <v>43610</v>
          </cell>
          <cell r="I231">
            <v>193800</v>
          </cell>
          <cell r="J231">
            <v>261660</v>
          </cell>
          <cell r="K231">
            <v>6</v>
          </cell>
          <cell r="L231">
            <v>6</v>
          </cell>
          <cell r="M231">
            <v>1.3501547987616098</v>
          </cell>
          <cell r="N231">
            <v>2.622263E-4</v>
          </cell>
          <cell r="O231">
            <v>8.4699094899999992</v>
          </cell>
          <cell r="P231">
            <v>11.435688943000001</v>
          </cell>
          <cell r="Q231">
            <v>50.819456940000002</v>
          </cell>
          <cell r="R231">
            <v>68.614133658</v>
          </cell>
          <cell r="S231" t="str">
            <v>Increase Reach</v>
          </cell>
          <cell r="T231">
            <v>32300</v>
          </cell>
          <cell r="U231">
            <v>8.4699094899999992</v>
          </cell>
          <cell r="V231">
            <v>0</v>
          </cell>
          <cell r="W231">
            <v>0</v>
          </cell>
          <cell r="X231">
            <v>43610</v>
          </cell>
          <cell r="Y231">
            <v>11.435688943000001</v>
          </cell>
          <cell r="Z231">
            <v>0</v>
          </cell>
          <cell r="AA231">
            <v>0</v>
          </cell>
          <cell r="AB231">
            <v>1.3501547987616098</v>
          </cell>
          <cell r="AC231">
            <v>193800</v>
          </cell>
          <cell r="AD231">
            <v>50.819456940000002</v>
          </cell>
          <cell r="AE231">
            <v>0</v>
          </cell>
          <cell r="AF231">
            <v>0</v>
          </cell>
          <cell r="AG231">
            <v>6</v>
          </cell>
          <cell r="AH231">
            <v>261660</v>
          </cell>
          <cell r="AI231">
            <v>68.614133658</v>
          </cell>
          <cell r="AJ231">
            <v>0</v>
          </cell>
          <cell r="AK231">
            <v>0</v>
          </cell>
          <cell r="AL231">
            <v>6</v>
          </cell>
        </row>
        <row r="232">
          <cell r="B232" t="str">
            <v>Ukraine</v>
          </cell>
          <cell r="C232" t="str">
            <v>Europe</v>
          </cell>
          <cell r="F232" t="str">
            <v>UAH</v>
          </cell>
          <cell r="G232">
            <v>209.99</v>
          </cell>
          <cell r="H232">
            <v>282.99</v>
          </cell>
          <cell r="I232">
            <v>1259.99</v>
          </cell>
          <cell r="J232">
            <v>1699.99</v>
          </cell>
          <cell r="K232">
            <v>6.0002381065765036</v>
          </cell>
          <cell r="L232">
            <v>6.0072440722287004</v>
          </cell>
          <cell r="M232">
            <v>1.3476356016953188</v>
          </cell>
          <cell r="N232">
            <v>2.6462026E-2</v>
          </cell>
          <cell r="O232">
            <v>5.5567608397399999</v>
          </cell>
          <cell r="P232">
            <v>7.48848873774</v>
          </cell>
          <cell r="Q232">
            <v>33.34188813974</v>
          </cell>
          <cell r="R232">
            <v>44.985179579739999</v>
          </cell>
          <cell r="S232" t="str">
            <v xml:space="preserve">Increase Reach </v>
          </cell>
          <cell r="T232">
            <v>209.99</v>
          </cell>
          <cell r="U232">
            <v>5.5567608397399999</v>
          </cell>
          <cell r="V232">
            <v>0</v>
          </cell>
          <cell r="W232">
            <v>0</v>
          </cell>
          <cell r="X232">
            <v>282.99</v>
          </cell>
          <cell r="Y232">
            <v>7.48848873774</v>
          </cell>
          <cell r="Z232">
            <v>0</v>
          </cell>
          <cell r="AA232">
            <v>0</v>
          </cell>
          <cell r="AB232">
            <v>1.3476356016953188</v>
          </cell>
          <cell r="AC232">
            <v>1259.99</v>
          </cell>
          <cell r="AD232">
            <v>33.34188813974</v>
          </cell>
          <cell r="AE232">
            <v>0</v>
          </cell>
          <cell r="AF232">
            <v>0</v>
          </cell>
          <cell r="AG232">
            <v>6.0002381065765036</v>
          </cell>
          <cell r="AH232">
            <v>1699.99</v>
          </cell>
          <cell r="AI232">
            <v>44.985179579739999</v>
          </cell>
          <cell r="AJ232">
            <v>0</v>
          </cell>
          <cell r="AK232">
            <v>0</v>
          </cell>
          <cell r="AL232">
            <v>6.0072440722287004</v>
          </cell>
        </row>
        <row r="233">
          <cell r="B233" t="str">
            <v>United Arab Emirates</v>
          </cell>
          <cell r="C233" t="str">
            <v>Middle East</v>
          </cell>
          <cell r="E233" t="str">
            <v>x</v>
          </cell>
          <cell r="F233" t="str">
            <v>AED</v>
          </cell>
          <cell r="G233">
            <v>58.99</v>
          </cell>
          <cell r="H233">
            <v>79.989999999999995</v>
          </cell>
          <cell r="I233">
            <v>349.99</v>
          </cell>
          <cell r="J233">
            <v>479.99</v>
          </cell>
          <cell r="K233">
            <v>5.9330394982200376</v>
          </cell>
          <cell r="L233">
            <v>6.0006250781347674</v>
          </cell>
          <cell r="M233">
            <v>1.3559925411086624</v>
          </cell>
          <cell r="N233">
            <v>0.27226814999999999</v>
          </cell>
          <cell r="O233">
            <v>16.061098168499999</v>
          </cell>
          <cell r="P233">
            <v>21.778729318499998</v>
          </cell>
          <cell r="Q233">
            <v>95.291129818499996</v>
          </cell>
          <cell r="R233">
            <v>130.68598931849999</v>
          </cell>
          <cell r="S233" t="str">
            <v>Increase ARPU - Widening LPP Ratio</v>
          </cell>
          <cell r="T233">
            <v>61.99</v>
          </cell>
          <cell r="U233">
            <v>16.877902618499999</v>
          </cell>
          <cell r="V233">
            <v>3</v>
          </cell>
          <cell r="W233">
            <v>5.0856077301237423E-2</v>
          </cell>
          <cell r="X233">
            <v>86.99</v>
          </cell>
          <cell r="Y233">
            <v>23.684606368499999</v>
          </cell>
          <cell r="Z233">
            <v>7</v>
          </cell>
          <cell r="AA233">
            <v>8.7510938867358501E-2</v>
          </cell>
          <cell r="AB233">
            <v>1.4032908533634456</v>
          </cell>
          <cell r="AC233">
            <v>399.99</v>
          </cell>
          <cell r="AD233">
            <v>108.90453731849999</v>
          </cell>
          <cell r="AE233">
            <v>50</v>
          </cell>
          <cell r="AF233">
            <v>0.14286122460641737</v>
          </cell>
          <cell r="AG233">
            <v>6.4524923374737861</v>
          </cell>
          <cell r="AH233">
            <v>559.99</v>
          </cell>
          <cell r="AI233">
            <v>152.46744131849999</v>
          </cell>
          <cell r="AJ233">
            <v>80</v>
          </cell>
          <cell r="AK233">
            <v>0.1666701389612284</v>
          </cell>
          <cell r="AL233">
            <v>6.4374065984595932</v>
          </cell>
        </row>
        <row r="234">
          <cell r="B234" t="str">
            <v>United Kingdom</v>
          </cell>
          <cell r="C234" t="str">
            <v>Europe</v>
          </cell>
          <cell r="D234" t="str">
            <v>T1</v>
          </cell>
          <cell r="E234" t="str">
            <v>x</v>
          </cell>
          <cell r="F234" t="str">
            <v>GBP</v>
          </cell>
          <cell r="G234">
            <v>14.99</v>
          </cell>
          <cell r="H234">
            <v>19.989999999999998</v>
          </cell>
          <cell r="I234">
            <v>99.99</v>
          </cell>
          <cell r="J234">
            <v>139.99</v>
          </cell>
          <cell r="K234">
            <v>6.6704469646430953</v>
          </cell>
          <cell r="L234">
            <v>7.0030015007503765</v>
          </cell>
          <cell r="M234">
            <v>1.333555703802535</v>
          </cell>
          <cell r="N234">
            <v>1.2721499999999999</v>
          </cell>
          <cell r="O234">
            <v>19.069528499999997</v>
          </cell>
          <cell r="P234">
            <v>25.430278499999996</v>
          </cell>
          <cell r="Q234">
            <v>127.20227849999998</v>
          </cell>
          <cell r="R234">
            <v>178.0882785</v>
          </cell>
          <cell r="S234" t="str">
            <v>Increase ARPU - Maintaining LPP Ratio</v>
          </cell>
          <cell r="T234">
            <v>16.989999999999998</v>
          </cell>
          <cell r="U234">
            <v>21.613828499999997</v>
          </cell>
          <cell r="V234">
            <v>1.9999999999999982</v>
          </cell>
          <cell r="W234">
            <v>0.13342228152101399</v>
          </cell>
          <cell r="X234">
            <v>22.99</v>
          </cell>
          <cell r="Y234">
            <v>29.246728499999996</v>
          </cell>
          <cell r="Z234">
            <v>3</v>
          </cell>
          <cell r="AA234">
            <v>0.15007503751875939</v>
          </cell>
          <cell r="AB234">
            <v>1.3531489111241908</v>
          </cell>
          <cell r="AC234">
            <v>114.99</v>
          </cell>
          <cell r="AD234">
            <v>146.28452849999999</v>
          </cell>
          <cell r="AE234">
            <v>15</v>
          </cell>
          <cell r="AF234">
            <v>0.15001500150015001</v>
          </cell>
          <cell r="AG234">
            <v>6.7680988816951153</v>
          </cell>
          <cell r="AH234">
            <v>149.99</v>
          </cell>
          <cell r="AI234">
            <v>190.80977849999999</v>
          </cell>
          <cell r="AJ234">
            <v>10</v>
          </cell>
          <cell r="AK234">
            <v>7.1433673833845246E-2</v>
          </cell>
          <cell r="AL234">
            <v>6.5241409308394962</v>
          </cell>
        </row>
        <row r="235">
          <cell r="B235" t="str">
            <v>United States</v>
          </cell>
          <cell r="C235" t="str">
            <v>Domestic</v>
          </cell>
          <cell r="D235" t="str">
            <v>T0</v>
          </cell>
          <cell r="E235" t="str">
            <v>x</v>
          </cell>
          <cell r="F235" t="str">
            <v>USD</v>
          </cell>
          <cell r="G235">
            <v>14.99</v>
          </cell>
          <cell r="H235">
            <v>22.99</v>
          </cell>
          <cell r="I235">
            <v>99.99</v>
          </cell>
          <cell r="J235">
            <v>149.99</v>
          </cell>
          <cell r="K235">
            <v>6.6704469646430953</v>
          </cell>
          <cell r="L235">
            <v>6.5241409308394962</v>
          </cell>
          <cell r="M235">
            <v>1.5336891260840559</v>
          </cell>
          <cell r="N235">
            <v>1</v>
          </cell>
          <cell r="O235">
            <v>14.99</v>
          </cell>
          <cell r="P235">
            <v>22.99</v>
          </cell>
          <cell r="Q235">
            <v>99.99</v>
          </cell>
          <cell r="R235">
            <v>149.99</v>
          </cell>
          <cell r="S235" t="str">
            <v>Increase ARPU - Widening LPP Ratio</v>
          </cell>
          <cell r="T235">
            <v>16.989999999999998</v>
          </cell>
          <cell r="U235">
            <v>16.989999999999998</v>
          </cell>
          <cell r="V235">
            <v>1.9999999999999982</v>
          </cell>
          <cell r="W235">
            <v>0.13342228152101399</v>
          </cell>
          <cell r="X235">
            <v>24.99</v>
          </cell>
          <cell r="Y235">
            <v>24.99</v>
          </cell>
          <cell r="Z235">
            <v>2</v>
          </cell>
          <cell r="AA235">
            <v>8.6994345367551018E-2</v>
          </cell>
          <cell r="AB235">
            <v>1.4708652148322543</v>
          </cell>
          <cell r="AC235">
            <v>109.99</v>
          </cell>
          <cell r="AD235">
            <v>109.99</v>
          </cell>
          <cell r="AE235">
            <v>10</v>
          </cell>
          <cell r="AF235">
            <v>0.10001000100009994</v>
          </cell>
          <cell r="AG235">
            <v>6.4738081224249564</v>
          </cell>
          <cell r="AH235">
            <v>159.99</v>
          </cell>
          <cell r="AI235">
            <v>159.99</v>
          </cell>
          <cell r="AJ235">
            <v>10</v>
          </cell>
          <cell r="AK235">
            <v>6.6671111407427208E-2</v>
          </cell>
          <cell r="AL235">
            <v>6.4021608643457393</v>
          </cell>
        </row>
        <row r="236">
          <cell r="B236" t="str">
            <v>Uruguay</v>
          </cell>
          <cell r="C236" t="str">
            <v>Latin America</v>
          </cell>
          <cell r="F236" t="str">
            <v>UYU</v>
          </cell>
          <cell r="G236">
            <v>489.99</v>
          </cell>
          <cell r="H236">
            <v>660.99</v>
          </cell>
          <cell r="I236">
            <v>2939.99</v>
          </cell>
          <cell r="J236">
            <v>3965.99</v>
          </cell>
          <cell r="K236">
            <v>6.0001020428988339</v>
          </cell>
          <cell r="L236">
            <v>6.000075644109593</v>
          </cell>
          <cell r="M236">
            <v>1.3489867140145717</v>
          </cell>
          <cell r="N236">
            <v>2.5664058E-2</v>
          </cell>
          <cell r="O236">
            <v>12.575131779419999</v>
          </cell>
          <cell r="P236">
            <v>16.963685697420001</v>
          </cell>
          <cell r="Q236">
            <v>75.452073879419999</v>
          </cell>
          <cell r="R236">
            <v>101.78339738742</v>
          </cell>
          <cell r="S236" t="str">
            <v>Increase Reach</v>
          </cell>
          <cell r="T236">
            <v>489.99</v>
          </cell>
          <cell r="U236">
            <v>12.575131779419999</v>
          </cell>
          <cell r="V236">
            <v>0</v>
          </cell>
          <cell r="W236">
            <v>0</v>
          </cell>
          <cell r="X236">
            <v>660.99</v>
          </cell>
          <cell r="Y236">
            <v>16.963685697420001</v>
          </cell>
          <cell r="Z236">
            <v>0</v>
          </cell>
          <cell r="AA236">
            <v>0</v>
          </cell>
          <cell r="AB236">
            <v>1.3489867140145717</v>
          </cell>
          <cell r="AC236">
            <v>2939.99</v>
          </cell>
          <cell r="AD236">
            <v>75.452073879419999</v>
          </cell>
          <cell r="AE236">
            <v>0</v>
          </cell>
          <cell r="AF236">
            <v>0</v>
          </cell>
          <cell r="AG236">
            <v>6.0001020428988339</v>
          </cell>
          <cell r="AH236">
            <v>3965.99</v>
          </cell>
          <cell r="AI236">
            <v>101.78339738742</v>
          </cell>
          <cell r="AJ236">
            <v>0</v>
          </cell>
          <cell r="AK236">
            <v>0</v>
          </cell>
          <cell r="AL236">
            <v>6.000075644109593</v>
          </cell>
        </row>
        <row r="237">
          <cell r="B237" t="str">
            <v>Uzbekistan</v>
          </cell>
          <cell r="C237" t="str">
            <v>Asia</v>
          </cell>
          <cell r="F237" t="str">
            <v>UZS</v>
          </cell>
          <cell r="G237">
            <v>98500</v>
          </cell>
          <cell r="H237">
            <v>132980</v>
          </cell>
          <cell r="I237">
            <v>591000</v>
          </cell>
          <cell r="J237">
            <v>797880</v>
          </cell>
          <cell r="K237">
            <v>6</v>
          </cell>
          <cell r="L237">
            <v>6</v>
          </cell>
          <cell r="M237">
            <v>1.3500507614213197</v>
          </cell>
          <cell r="N237">
            <v>8.0645164000000007E-5</v>
          </cell>
          <cell r="O237">
            <v>7.9435486540000007</v>
          </cell>
          <cell r="P237">
            <v>10.72419390872</v>
          </cell>
          <cell r="Q237">
            <v>47.661291924000004</v>
          </cell>
          <cell r="R237">
            <v>64.345163452320008</v>
          </cell>
          <cell r="S237" t="str">
            <v>Increase Reach</v>
          </cell>
          <cell r="T237">
            <v>98500</v>
          </cell>
          <cell r="U237">
            <v>7.9435486540000007</v>
          </cell>
          <cell r="V237">
            <v>0</v>
          </cell>
          <cell r="W237">
            <v>0</v>
          </cell>
          <cell r="X237">
            <v>132980</v>
          </cell>
          <cell r="Y237">
            <v>10.72419390872</v>
          </cell>
          <cell r="Z237">
            <v>0</v>
          </cell>
          <cell r="AA237">
            <v>0</v>
          </cell>
          <cell r="AB237">
            <v>1.3500507614213197</v>
          </cell>
          <cell r="AC237">
            <v>591000</v>
          </cell>
          <cell r="AD237">
            <v>47.661291924000004</v>
          </cell>
          <cell r="AE237">
            <v>0</v>
          </cell>
          <cell r="AF237">
            <v>0</v>
          </cell>
          <cell r="AG237">
            <v>6</v>
          </cell>
          <cell r="AH237">
            <v>797880</v>
          </cell>
          <cell r="AI237">
            <v>64.345163452320008</v>
          </cell>
          <cell r="AJ237">
            <v>0</v>
          </cell>
          <cell r="AK237">
            <v>0</v>
          </cell>
          <cell r="AL237">
            <v>6</v>
          </cell>
        </row>
        <row r="238">
          <cell r="B238" t="str">
            <v>Vanuatu</v>
          </cell>
          <cell r="C238" t="str">
            <v>Asia</v>
          </cell>
          <cell r="F238" t="str">
            <v>VUV</v>
          </cell>
          <cell r="G238">
            <v>900</v>
          </cell>
          <cell r="H238">
            <v>1220</v>
          </cell>
          <cell r="I238">
            <v>5400</v>
          </cell>
          <cell r="J238">
            <v>7320</v>
          </cell>
          <cell r="K238">
            <v>6</v>
          </cell>
          <cell r="L238">
            <v>6</v>
          </cell>
          <cell r="M238">
            <v>1.3555555555555556</v>
          </cell>
          <cell r="N238">
            <v>8.319122E-3</v>
          </cell>
          <cell r="O238">
            <v>7.4872097999999996</v>
          </cell>
          <cell r="P238">
            <v>10.149328840000001</v>
          </cell>
          <cell r="Q238">
            <v>44.923258799999999</v>
          </cell>
          <cell r="R238">
            <v>60.895973040000001</v>
          </cell>
          <cell r="S238" t="str">
            <v>Increase Reach</v>
          </cell>
          <cell r="T238">
            <v>900</v>
          </cell>
          <cell r="U238">
            <v>7.4872097999999996</v>
          </cell>
          <cell r="V238">
            <v>0</v>
          </cell>
          <cell r="W238">
            <v>0</v>
          </cell>
          <cell r="X238">
            <v>1220</v>
          </cell>
          <cell r="Y238">
            <v>10.149328840000001</v>
          </cell>
          <cell r="Z238">
            <v>0</v>
          </cell>
          <cell r="AA238">
            <v>0</v>
          </cell>
          <cell r="AB238">
            <v>1.3555555555555556</v>
          </cell>
          <cell r="AC238">
            <v>5400</v>
          </cell>
          <cell r="AD238">
            <v>44.923258799999999</v>
          </cell>
          <cell r="AE238">
            <v>0</v>
          </cell>
          <cell r="AF238">
            <v>0</v>
          </cell>
          <cell r="AG238">
            <v>6</v>
          </cell>
          <cell r="AH238">
            <v>7320</v>
          </cell>
          <cell r="AI238">
            <v>60.895973040000001</v>
          </cell>
          <cell r="AJ238">
            <v>0</v>
          </cell>
          <cell r="AK238">
            <v>0</v>
          </cell>
          <cell r="AL238">
            <v>6</v>
          </cell>
        </row>
        <row r="239">
          <cell r="B239" t="str">
            <v>Vatican City State</v>
          </cell>
          <cell r="C239" t="str">
            <v>Europe</v>
          </cell>
          <cell r="F239" t="str">
            <v>EUR</v>
          </cell>
          <cell r="G239">
            <v>14.99</v>
          </cell>
          <cell r="H239">
            <v>18.989999999999998</v>
          </cell>
          <cell r="I239">
            <v>89.99</v>
          </cell>
          <cell r="J239">
            <v>129.99</v>
          </cell>
          <cell r="K239">
            <v>6.0033355570380253</v>
          </cell>
          <cell r="L239">
            <v>6.8451816745655618</v>
          </cell>
          <cell r="M239">
            <v>1.266844563042028</v>
          </cell>
          <cell r="N239">
            <v>1.0862499999999999</v>
          </cell>
          <cell r="O239">
            <v>16.282887500000001</v>
          </cell>
          <cell r="P239">
            <v>20.627887499999996</v>
          </cell>
          <cell r="Q239">
            <v>97.751637499999987</v>
          </cell>
          <cell r="R239">
            <v>141.2016375</v>
          </cell>
          <cell r="S239" t="str">
            <v xml:space="preserve">Increase Reach </v>
          </cell>
          <cell r="T239">
            <v>14.99</v>
          </cell>
          <cell r="U239">
            <v>16.282887500000001</v>
          </cell>
          <cell r="V239">
            <v>0</v>
          </cell>
          <cell r="W239">
            <v>0</v>
          </cell>
          <cell r="X239">
            <v>18.989999999999998</v>
          </cell>
          <cell r="Y239">
            <v>20.627887499999996</v>
          </cell>
          <cell r="Z239">
            <v>0</v>
          </cell>
          <cell r="AA239">
            <v>0</v>
          </cell>
          <cell r="AB239">
            <v>1.266844563042028</v>
          </cell>
          <cell r="AC239">
            <v>89.99</v>
          </cell>
          <cell r="AD239">
            <v>97.751637499999987</v>
          </cell>
          <cell r="AE239">
            <v>0</v>
          </cell>
          <cell r="AF239">
            <v>0</v>
          </cell>
          <cell r="AG239">
            <v>6.0033355570380253</v>
          </cell>
          <cell r="AH239">
            <v>129.99</v>
          </cell>
          <cell r="AI239">
            <v>141.2016375</v>
          </cell>
          <cell r="AJ239">
            <v>0</v>
          </cell>
          <cell r="AK239">
            <v>0</v>
          </cell>
          <cell r="AL239">
            <v>6.8451816745655618</v>
          </cell>
        </row>
        <row r="240">
          <cell r="B240" t="str">
            <v>Venezuela</v>
          </cell>
          <cell r="C240" t="str">
            <v>Latin America</v>
          </cell>
          <cell r="F240" t="str">
            <v>USD</v>
          </cell>
          <cell r="G240">
            <v>11.99</v>
          </cell>
          <cell r="H240">
            <v>15.99</v>
          </cell>
          <cell r="I240">
            <v>71.989999999999995</v>
          </cell>
          <cell r="J240">
            <v>95.99</v>
          </cell>
          <cell r="K240">
            <v>6.0041701417848206</v>
          </cell>
          <cell r="L240">
            <v>6.0031269543464658</v>
          </cell>
          <cell r="M240">
            <v>1.3336113427856546</v>
          </cell>
          <cell r="N240">
            <v>1</v>
          </cell>
          <cell r="O240">
            <v>11.99</v>
          </cell>
          <cell r="P240">
            <v>15.99</v>
          </cell>
          <cell r="Q240">
            <v>71.989999999999995</v>
          </cell>
          <cell r="R240">
            <v>95.99</v>
          </cell>
          <cell r="S240" t="str">
            <v>Increase Reach</v>
          </cell>
          <cell r="T240">
            <v>11.99</v>
          </cell>
          <cell r="U240">
            <v>11.99</v>
          </cell>
          <cell r="V240">
            <v>0</v>
          </cell>
          <cell r="W240">
            <v>0</v>
          </cell>
          <cell r="X240">
            <v>15.99</v>
          </cell>
          <cell r="Y240">
            <v>15.99</v>
          </cell>
          <cell r="Z240">
            <v>0</v>
          </cell>
          <cell r="AA240">
            <v>0</v>
          </cell>
          <cell r="AB240">
            <v>1.3336113427856546</v>
          </cell>
          <cell r="AC240">
            <v>71.989999999999995</v>
          </cell>
          <cell r="AD240">
            <v>71.989999999999995</v>
          </cell>
          <cell r="AE240">
            <v>0</v>
          </cell>
          <cell r="AF240">
            <v>0</v>
          </cell>
          <cell r="AG240">
            <v>6.0041701417848206</v>
          </cell>
          <cell r="AH240">
            <v>95.99</v>
          </cell>
          <cell r="AI240">
            <v>95.99</v>
          </cell>
          <cell r="AJ240">
            <v>0</v>
          </cell>
          <cell r="AK240">
            <v>0</v>
          </cell>
          <cell r="AL240">
            <v>6.0031269543464658</v>
          </cell>
        </row>
        <row r="241">
          <cell r="B241" t="str">
            <v>Vietnam</v>
          </cell>
          <cell r="C241" t="str">
            <v>Asia</v>
          </cell>
          <cell r="F241" t="str">
            <v>VND</v>
          </cell>
          <cell r="G241">
            <v>220000</v>
          </cell>
          <cell r="H241">
            <v>297000</v>
          </cell>
          <cell r="I241">
            <v>1539000</v>
          </cell>
          <cell r="J241">
            <v>1782000</v>
          </cell>
          <cell r="K241">
            <v>6.9954545454545451</v>
          </cell>
          <cell r="L241">
            <v>6</v>
          </cell>
          <cell r="M241">
            <v>1.35</v>
          </cell>
          <cell r="N241">
            <v>4.0642146000000001E-5</v>
          </cell>
          <cell r="O241">
            <v>8.9412721200000007</v>
          </cell>
          <cell r="P241">
            <v>12.070717362</v>
          </cell>
          <cell r="Q241">
            <v>62.548262694000002</v>
          </cell>
          <cell r="R241">
            <v>72.424304172000006</v>
          </cell>
          <cell r="S241" t="str">
            <v>Maintain Balance</v>
          </cell>
          <cell r="T241">
            <v>220000</v>
          </cell>
          <cell r="U241">
            <v>8.9412721200000007</v>
          </cell>
          <cell r="V241">
            <v>0</v>
          </cell>
          <cell r="W241">
            <v>0</v>
          </cell>
          <cell r="X241">
            <v>309000</v>
          </cell>
          <cell r="Y241">
            <v>12.558423114</v>
          </cell>
          <cell r="Z241">
            <v>12000</v>
          </cell>
          <cell r="AA241">
            <v>4.0404040404040442E-2</v>
          </cell>
          <cell r="AB241">
            <v>1.4045454545454545</v>
          </cell>
          <cell r="AC241">
            <v>1539000</v>
          </cell>
          <cell r="AD241">
            <v>62.548262694000002</v>
          </cell>
          <cell r="AE241">
            <v>0</v>
          </cell>
          <cell r="AF241">
            <v>0</v>
          </cell>
          <cell r="AG241">
            <v>6.9954545454545451</v>
          </cell>
          <cell r="AH241">
            <v>1999900</v>
          </cell>
          <cell r="AI241">
            <v>81.280227785400001</v>
          </cell>
          <cell r="AJ241">
            <v>217900</v>
          </cell>
          <cell r="AK241">
            <v>0.1222783389450055</v>
          </cell>
          <cell r="AL241">
            <v>6.4721682847896442</v>
          </cell>
        </row>
        <row r="242">
          <cell r="B242" t="str">
            <v>Wallis And Futuna</v>
          </cell>
          <cell r="C242" t="str">
            <v>Asia</v>
          </cell>
          <cell r="F242" t="str">
            <v>XPF</v>
          </cell>
          <cell r="G242">
            <v>1000</v>
          </cell>
          <cell r="H242">
            <v>1350</v>
          </cell>
          <cell r="I242">
            <v>6000</v>
          </cell>
          <cell r="J242">
            <v>8100</v>
          </cell>
          <cell r="K242">
            <v>6</v>
          </cell>
          <cell r="L242">
            <v>6</v>
          </cell>
          <cell r="M242">
            <v>1.35</v>
          </cell>
          <cell r="N242">
            <v>9.1027790000000001E-3</v>
          </cell>
          <cell r="O242">
            <v>9.102779</v>
          </cell>
          <cell r="P242">
            <v>12.28875165</v>
          </cell>
          <cell r="Q242">
            <v>54.616674000000003</v>
          </cell>
          <cell r="R242">
            <v>73.732509899999997</v>
          </cell>
          <cell r="S242" t="str">
            <v>Increase Reach</v>
          </cell>
          <cell r="T242">
            <v>1000</v>
          </cell>
          <cell r="U242">
            <v>9.102779</v>
          </cell>
          <cell r="V242">
            <v>0</v>
          </cell>
          <cell r="W242">
            <v>0</v>
          </cell>
          <cell r="X242">
            <v>1350</v>
          </cell>
          <cell r="Y242">
            <v>12.28875165</v>
          </cell>
          <cell r="Z242">
            <v>0</v>
          </cell>
          <cell r="AA242">
            <v>0</v>
          </cell>
          <cell r="AB242">
            <v>1.35</v>
          </cell>
          <cell r="AC242">
            <v>6000</v>
          </cell>
          <cell r="AD242">
            <v>54.616674000000003</v>
          </cell>
          <cell r="AE242">
            <v>0</v>
          </cell>
          <cell r="AF242">
            <v>0</v>
          </cell>
          <cell r="AG242">
            <v>6</v>
          </cell>
          <cell r="AH242">
            <v>8100</v>
          </cell>
          <cell r="AI242">
            <v>73.732509899999997</v>
          </cell>
          <cell r="AJ242">
            <v>0</v>
          </cell>
          <cell r="AK242">
            <v>0</v>
          </cell>
          <cell r="AL242">
            <v>6</v>
          </cell>
        </row>
        <row r="243">
          <cell r="B243" t="str">
            <v>Western Sahara</v>
          </cell>
          <cell r="C243" t="str">
            <v>Africa</v>
          </cell>
          <cell r="F243" t="str">
            <v>MAD</v>
          </cell>
          <cell r="G243">
            <v>90</v>
          </cell>
          <cell r="H243">
            <v>120</v>
          </cell>
          <cell r="I243">
            <v>540</v>
          </cell>
          <cell r="J243">
            <v>720</v>
          </cell>
          <cell r="K243">
            <v>6</v>
          </cell>
          <cell r="L243">
            <v>6</v>
          </cell>
          <cell r="M243">
            <v>1.3333333333333333</v>
          </cell>
          <cell r="N243">
            <v>0.10025162999999999</v>
          </cell>
          <cell r="O243">
            <v>9.0226466999999992</v>
          </cell>
          <cell r="P243">
            <v>12.030195599999999</v>
          </cell>
          <cell r="Q243">
            <v>54.135880199999995</v>
          </cell>
          <cell r="R243">
            <v>72.181173599999994</v>
          </cell>
          <cell r="S243" t="str">
            <v>Increase Reach</v>
          </cell>
          <cell r="T243">
            <v>90</v>
          </cell>
          <cell r="U243">
            <v>9.0226466999999992</v>
          </cell>
          <cell r="V243">
            <v>0</v>
          </cell>
          <cell r="W243">
            <v>0</v>
          </cell>
          <cell r="X243">
            <v>120</v>
          </cell>
          <cell r="Y243">
            <v>12.030195599999999</v>
          </cell>
          <cell r="Z243">
            <v>0</v>
          </cell>
          <cell r="AA243">
            <v>0</v>
          </cell>
          <cell r="AB243">
            <v>1.3333333333333333</v>
          </cell>
          <cell r="AC243">
            <v>540</v>
          </cell>
          <cell r="AD243">
            <v>54.135880199999995</v>
          </cell>
          <cell r="AE243">
            <v>0</v>
          </cell>
          <cell r="AF243">
            <v>0</v>
          </cell>
          <cell r="AG243">
            <v>6</v>
          </cell>
          <cell r="AH243">
            <v>720</v>
          </cell>
          <cell r="AI243">
            <v>72.181173599999994</v>
          </cell>
          <cell r="AJ243">
            <v>0</v>
          </cell>
          <cell r="AK243">
            <v>0</v>
          </cell>
          <cell r="AL243">
            <v>6</v>
          </cell>
        </row>
        <row r="244">
          <cell r="B244" t="str">
            <v>Yemen</v>
          </cell>
          <cell r="C244" t="str">
            <v>Middle East</v>
          </cell>
          <cell r="F244" t="str">
            <v>USD</v>
          </cell>
          <cell r="G244">
            <v>2399.9899999999998</v>
          </cell>
          <cell r="H244">
            <v>3239.99</v>
          </cell>
          <cell r="I244">
            <v>14399.99</v>
          </cell>
          <cell r="J244">
            <v>19439.990000000002</v>
          </cell>
          <cell r="K244">
            <v>6.0000208334201401</v>
          </cell>
          <cell r="L244">
            <v>6.0000154321463963</v>
          </cell>
          <cell r="M244">
            <v>1.3500014583394098</v>
          </cell>
          <cell r="N244">
            <v>3.9948066999999999E-3</v>
          </cell>
          <cell r="O244">
            <v>9.5874961319329994</v>
          </cell>
          <cell r="P244">
            <v>12.943133759932998</v>
          </cell>
          <cell r="Q244">
            <v>57.525176531932999</v>
          </cell>
          <cell r="R244">
            <v>77.659002299933007</v>
          </cell>
          <cell r="S244" t="str">
            <v xml:space="preserve">Increase Reach </v>
          </cell>
          <cell r="T244">
            <v>2399.9899999999998</v>
          </cell>
          <cell r="U244">
            <v>9.5874961319329994</v>
          </cell>
          <cell r="V244">
            <v>0</v>
          </cell>
          <cell r="W244">
            <v>0</v>
          </cell>
          <cell r="X244">
            <v>3239.99</v>
          </cell>
          <cell r="Y244">
            <v>12.943133759932998</v>
          </cell>
          <cell r="Z244">
            <v>0</v>
          </cell>
          <cell r="AA244">
            <v>0</v>
          </cell>
          <cell r="AB244">
            <v>1.3500014583394098</v>
          </cell>
          <cell r="AC244">
            <v>14399.99</v>
          </cell>
          <cell r="AD244">
            <v>57.525176531932999</v>
          </cell>
          <cell r="AE244">
            <v>0</v>
          </cell>
          <cell r="AF244">
            <v>0</v>
          </cell>
          <cell r="AG244">
            <v>6.0000208334201401</v>
          </cell>
          <cell r="AH244">
            <v>19439.990000000002</v>
          </cell>
          <cell r="AI244">
            <v>77.659002299933007</v>
          </cell>
          <cell r="AJ244">
            <v>0</v>
          </cell>
          <cell r="AK244">
            <v>0</v>
          </cell>
          <cell r="AL244">
            <v>6.0000154321463963</v>
          </cell>
        </row>
        <row r="245">
          <cell r="B245" t="str">
            <v>Zambia</v>
          </cell>
          <cell r="C245" t="str">
            <v>Africa</v>
          </cell>
          <cell r="F245" t="str">
            <v>ZMW</v>
          </cell>
          <cell r="G245">
            <v>169</v>
          </cell>
          <cell r="H245">
            <v>230</v>
          </cell>
          <cell r="I245">
            <v>1010</v>
          </cell>
          <cell r="J245">
            <v>1380</v>
          </cell>
          <cell r="K245">
            <v>5.9763313609467454</v>
          </cell>
          <cell r="L245">
            <v>6</v>
          </cell>
          <cell r="M245">
            <v>1.3609467455621302</v>
          </cell>
          <cell r="N245">
            <v>3.7163809999999999E-2</v>
          </cell>
          <cell r="O245">
            <v>6.2806838899999997</v>
          </cell>
          <cell r="P245">
            <v>8.5476762999999991</v>
          </cell>
          <cell r="Q245">
            <v>37.535448099999996</v>
          </cell>
          <cell r="R245">
            <v>51.286057799999995</v>
          </cell>
          <cell r="S245" t="str">
            <v>Increase Reach</v>
          </cell>
          <cell r="T245">
            <v>169</v>
          </cell>
          <cell r="U245">
            <v>6.2806838899999997</v>
          </cell>
          <cell r="V245">
            <v>0</v>
          </cell>
          <cell r="W245">
            <v>0</v>
          </cell>
          <cell r="X245">
            <v>230</v>
          </cell>
          <cell r="Y245">
            <v>8.5476762999999991</v>
          </cell>
          <cell r="Z245">
            <v>0</v>
          </cell>
          <cell r="AA245">
            <v>0</v>
          </cell>
          <cell r="AB245">
            <v>1.3609467455621302</v>
          </cell>
          <cell r="AC245">
            <v>1010</v>
          </cell>
          <cell r="AD245">
            <v>37.535448099999996</v>
          </cell>
          <cell r="AE245">
            <v>0</v>
          </cell>
          <cell r="AF245">
            <v>0</v>
          </cell>
          <cell r="AG245">
            <v>5.9763313609467454</v>
          </cell>
          <cell r="AH245">
            <v>1380</v>
          </cell>
          <cell r="AI245">
            <v>51.286057799999995</v>
          </cell>
          <cell r="AJ245">
            <v>0</v>
          </cell>
          <cell r="AK245">
            <v>0</v>
          </cell>
          <cell r="AL245">
            <v>6</v>
          </cell>
        </row>
        <row r="246">
          <cell r="B246" t="str">
            <v>Zimbabwe</v>
          </cell>
          <cell r="C246" t="str">
            <v>Africa</v>
          </cell>
          <cell r="F246" t="str">
            <v>USD</v>
          </cell>
          <cell r="G246">
            <v>8.99</v>
          </cell>
          <cell r="H246">
            <v>11.99</v>
          </cell>
          <cell r="I246">
            <v>53.99</v>
          </cell>
          <cell r="J246">
            <v>71.989999999999995</v>
          </cell>
          <cell r="K246">
            <v>6.0055617352614012</v>
          </cell>
          <cell r="L246">
            <v>6.0041701417848206</v>
          </cell>
          <cell r="M246">
            <v>1.3337041156840934</v>
          </cell>
          <cell r="N246">
            <v>1</v>
          </cell>
          <cell r="O246">
            <v>8.99</v>
          </cell>
          <cell r="P246">
            <v>11.99</v>
          </cell>
          <cell r="Q246">
            <v>53.99</v>
          </cell>
          <cell r="R246">
            <v>71.989999999999995</v>
          </cell>
          <cell r="S246" t="str">
            <v>Increase Reach</v>
          </cell>
          <cell r="T246">
            <v>8.99</v>
          </cell>
          <cell r="U246">
            <v>8.99</v>
          </cell>
          <cell r="V246">
            <v>0</v>
          </cell>
          <cell r="W246">
            <v>0</v>
          </cell>
          <cell r="X246">
            <v>11.99</v>
          </cell>
          <cell r="Y246">
            <v>11.99</v>
          </cell>
          <cell r="Z246">
            <v>0</v>
          </cell>
          <cell r="AA246">
            <v>0</v>
          </cell>
          <cell r="AB246">
            <v>1.3337041156840934</v>
          </cell>
          <cell r="AC246">
            <v>53.99</v>
          </cell>
          <cell r="AD246">
            <v>53.99</v>
          </cell>
          <cell r="AE246">
            <v>0</v>
          </cell>
          <cell r="AF246">
            <v>0</v>
          </cell>
          <cell r="AG246">
            <v>6.0055617352614012</v>
          </cell>
          <cell r="AH246">
            <v>71.989999999999995</v>
          </cell>
          <cell r="AI246">
            <v>71.989999999999995</v>
          </cell>
          <cell r="AJ246">
            <v>0</v>
          </cell>
          <cell r="AK246">
            <v>0</v>
          </cell>
          <cell r="AL246">
            <v>6.0041701417848206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80">
          <cell r="Q80">
            <v>0.38141804520879508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wang, Sara" id="{981AB8BE-DB90-44B6-AA6C-02C6C26735E6}" userId="S::SHwang@nba.com::37b4fc03-df69-4d9c-b103-045df260c238" providerId="AD"/>
  <person displayName="Enweonwu, Sam" id="{6A1EBAD7-0F82-4811-BF44-82882942BEA8}" userId="S::SEnweonwu@nba.com::bf15cef7-088a-4da1-bc54-83fd1362e043" providerId="AD"/>
  <person displayName="Fernandez, Catherine" id="{6D305BDE-7154-44BC-8861-66968A84C201}" userId="S::cafernandez@nba.com::835e61d0-e27c-4d47-82a6-06c9eba3274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2-07-29T17:29:29.06" personId="{981AB8BE-DB90-44B6-AA6C-02C6C26735E6}" id="{5CD55258-D94C-490A-8CAC-8FA11D361D46}">
    <text>Linked below the main SKU cards on the Packages Page</text>
  </threadedComment>
  <threadedComment ref="I2" dT="2022-07-29T17:29:29.06" personId="{981AB8BE-DB90-44B6-AA6C-02C6C26735E6}" id="{B2D2676C-A34E-45B0-80A0-896DC9FC202B}">
    <text>Linked below the main SKU cards on the Packages Page</text>
  </threadedComment>
  <threadedComment ref="J2" dT="2022-07-29T17:29:29.06" personId="{981AB8BE-DB90-44B6-AA6C-02C6C26735E6}" id="{E9D1CF5E-0BE3-4AF9-967B-E8008BF9F142}">
    <text>Linked at the bottom of the Packages Page</text>
  </threadedComment>
  <threadedComment ref="K2" dT="2022-07-29T17:29:29.06" personId="{981AB8BE-DB90-44B6-AA6C-02C6C26735E6}" id="{A643AE9E-08BA-4608-A5CC-9A200D396356}">
    <text>Linked at the bottom of the Packages Page</text>
  </threadedComment>
  <threadedComment ref="P2" dT="2022-07-29T17:29:29.06" personId="{981AB8BE-DB90-44B6-AA6C-02C6C26735E6}" id="{59292A08-E09B-40F9-8BBA-A4E1995DEB18}">
    <text>Linked at the bottom of the Packages Page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2-07-29T17:29:29.06" personId="{981AB8BE-DB90-44B6-AA6C-02C6C26735E6}" id="{2529A887-2AAC-419A-BCCB-519C890DBCD0}">
    <text>Linked below the main SKU cards on the Packages Page</text>
  </threadedComment>
  <threadedComment ref="I2" dT="2022-07-29T17:29:29.06" personId="{981AB8BE-DB90-44B6-AA6C-02C6C26735E6}" id="{2CE16DC0-B78A-4FB9-A839-089757C5DC37}">
    <text>Linked below the main SKU cards on the Packages Page</text>
  </threadedComment>
  <threadedComment ref="J2" dT="2022-07-29T17:29:29.06" personId="{981AB8BE-DB90-44B6-AA6C-02C6C26735E6}" id="{093220B7-DA11-4D89-A014-1B9F142E9ECB}">
    <text>Linked at the bottom of the Packages Page</text>
  </threadedComment>
  <threadedComment ref="K2" dT="2022-07-29T17:29:29.06" personId="{981AB8BE-DB90-44B6-AA6C-02C6C26735E6}" id="{1F4495F5-4CC4-4336-AE94-F5F44B932EE2}">
    <text>Linked at the bottom of the Packages Page</text>
  </threadedComment>
  <threadedComment ref="L2" dT="2022-07-29T17:29:29.06" personId="{981AB8BE-DB90-44B6-AA6C-02C6C26735E6}" id="{F43FDB11-D52D-4E34-86A9-E316B82A3CD0}">
    <text>Linked at the bottom of the Packages Page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44" dT="2024-06-12T16:10:33.01" personId="{981AB8BE-DB90-44B6-AA6C-02C6C26735E6}" id="{BBD0279D-5C19-4801-91C2-61CFC9A73807}">
    <text>U.S. student plan promo codes should reflect a discount of 41.20071% (vs. 40% off INTL)</text>
  </threadedComment>
  <threadedComment ref="L44" dT="2024-06-12T16:10:33.01" personId="{981AB8BE-DB90-44B6-AA6C-02C6C26735E6}" id="{24B0B559-9BD3-4159-9656-F8F46C36FEDE}">
    <text>U.S. student plan promo codes should reflect a discount of 41.20071% (vs. 40% off INTL)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3-08-16T19:51:05.48" personId="{981AB8BE-DB90-44B6-AA6C-02C6C26735E6}" id="{817E4F05-4B63-4290-B657-974DAEFB6364}">
    <text>Blue = Hardcoded cells
Green = Equivalent to web pricing
Red = Hardcoded changes to tie with Apple's pricing tiers
Green Highlight = Potential need to hardcode changes to tie with Apple's pricing tiers
Light Blue-Grey Highlight = Apple's currency is not local or in USD</text>
  </threadedComment>
  <threadedComment ref="B82" dT="2023-06-23T20:53:41.30" personId="{981AB8BE-DB90-44B6-AA6C-02C6C26735E6}" id="{6537BB7C-DFEC-40D1-A274-63C5C007DF01}">
    <text>Listed as "Korea, Republic of (KRW)" in Apple</text>
  </threadedComment>
  <threadedComment ref="B94" dT="2024-08-28T20:56:52.27" personId="{981AB8BE-DB90-44B6-AA6C-02C6C26735E6}" id="{DEF4A2EC-FA66-4F18-81F1-B9626A88719F}">
    <text>Listed as "North Macedonia (USD)" in Apple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3-08-16T19:52:28.56" personId="{981AB8BE-DB90-44B6-AA6C-02C6C26735E6}" id="{468E40BE-652F-43F2-BC20-34ACFB49304B}">
    <text xml:space="preserve">Blue = Hardcoded changes
Green = Equivalent to Apple pricing if currencies are the same, if not, pulls in USD from the "INTL Web" tab
Purple = Equivalent to Web pricing if currencies tie
Light Blue-Grey Highlight = Google's currency is not local or in USD
</text>
  </threadedComment>
  <threadedComment ref="B29" dT="2026-07-07T21:29:30.58" personId="{6A1EBAD7-0F82-4811-BF44-82882942BEA8}" id="{A53E460C-4C0D-474F-86B5-AA6AD5CBE4F5}">
    <text xml:space="preserve">These markets moved from USD to local currency on Android / Google.
</text>
  </threadedComment>
  <threadedComment ref="B38" dT="2022-08-23T18:59:09.04" personId="{981AB8BE-DB90-44B6-AA6C-02C6C26735E6}" id="{748835FA-32AF-4979-8A2C-E147D7FF6BEC}">
    <text>Also known as Republic of Congo or Congo - Brazzaville</text>
  </threadedComment>
  <threadedComment ref="B40" dT="2026-07-07T21:29:03.90" personId="{6A1EBAD7-0F82-4811-BF44-82882942BEA8}" id="{B962BC87-0761-4511-860D-CEBFC0654B88}">
    <text>These markets moved from USD to local currency on Android / Google.</text>
  </threadedComment>
  <threadedComment ref="B114" dT="2022-08-23T18:55:19.06" personId="{981AB8BE-DB90-44B6-AA6C-02C6C26735E6}" id="{B9ACE03B-067A-4D58-94B0-14346C2E209F}">
    <text>Listed as "North Macedonia" in Android</text>
  </threadedComment>
  <threadedComment ref="B132" dT="2026-07-07T21:30:57.05" personId="{6A1EBAD7-0F82-4811-BF44-82882942BEA8}" id="{BCD2715C-54BB-4257-B9DF-B58549561825}">
    <text>These markets moved from USD to local currency on Android / Google.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1" dT="2025-09-17T20:47:04.82" personId="{981AB8BE-DB90-44B6-AA6C-02C6C26735E6}" id="{FCFBCA55-A7AF-4D80-91EF-0BDED1EB34B5}">
    <text>Listed as “Bosnia” on Samsung</text>
  </threadedComment>
  <threadedComment ref="B77" dT="2025-09-17T20:46:51.55" personId="{981AB8BE-DB90-44B6-AA6C-02C6C26735E6}" id="{5B3B222A-D06B-4B55-A980-EB14414D7F10}">
    <text>Listed as “North Macedonia” on Samsung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4" dT="2024-01-29T18:31:05.09" personId="{981AB8BE-DB90-44B6-AA6C-02C6C26735E6}" id="{8AE7C84B-105F-431D-B713-FB1B8ADBEB33}">
    <text>As of 6/21/2026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56" dT="2026-07-07T21:29:30.58" personId="{6A1EBAD7-0F82-4811-BF44-82882942BEA8}" id="{BBCF4E60-5768-4461-98CC-75B9313F2402}">
    <text xml:space="preserve">These markets moved from USD to local currency on Android / Google.
</text>
  </threadedComment>
  <threadedComment ref="B70" dT="2022-08-23T18:59:09.04" personId="{981AB8BE-DB90-44B6-AA6C-02C6C26735E6}" id="{FF9CCED4-3100-4141-9CBC-8D67688CC48D}">
    <text>Also known as Republic of Congo or Congo - Brazzaville</text>
  </threadedComment>
  <threadedComment ref="B74" dT="2026-07-07T21:29:03.90" personId="{6A1EBAD7-0F82-4811-BF44-82882942BEA8}" id="{F999783B-06AC-4BD8-BF58-D167EC567E08}">
    <text>These markets moved from USD to local currency on Android / Google.</text>
  </threadedComment>
  <threadedComment ref="B180" dT="2024-08-28T20:56:52.27" personId="{981AB8BE-DB90-44B6-AA6C-02C6C26735E6}" id="{C1EBC2A7-4786-4D18-9325-F9CCEBF4B7AF}">
    <text>Listed as "North Macedonia (USD)" in Apple</text>
  </threadedComment>
  <threadedComment ref="B181" dT="2022-08-23T18:55:19.06" personId="{981AB8BE-DB90-44B6-AA6C-02C6C26735E6}" id="{7B33133F-D1BF-4AD2-9C2D-A38A2E7B2102}">
    <text>Listed as "North Macedonia" in Android</text>
  </threadedComment>
  <threadedComment ref="B259" dT="2026-07-07T21:30:57.05" personId="{6A1EBAD7-0F82-4811-BF44-82882942BEA8}" id="{86594BF5-3D98-488C-9F4D-8AE1FA1682B9}">
    <text>These markets moved from USD to local currency on Android / Google.</text>
  </threadedComment>
  <threadedComment ref="B277" dT="2023-06-23T20:53:41.30" personId="{981AB8BE-DB90-44B6-AA6C-02C6C26735E6}" id="{17316FA2-270F-4200-A71E-3F5ACF00E904}">
    <text>Listed as "Korea, Republic of (KRW)" in Apple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7" dT="2023-08-16T19:51:05.48" personId="{981AB8BE-DB90-44B6-AA6C-02C6C26735E6}" id="{E8C0F10D-35C1-49D7-B01F-F4A24DDDACB0}">
    <text>Blue = Hardcoded cells
Green = Equivalent to web pricing
Red = Hardcoded changes to tie with Apple's pricing tiers
Green Highlight = Potential need to hardcode changes to tie with Apple's pricing tiers
Light Blue-Grey Highlight = Apple's currency is not local or in USD</text>
  </threadedComment>
  <threadedComment ref="B87" dT="2023-06-23T20:53:41.30" personId="{981AB8BE-DB90-44B6-AA6C-02C6C26735E6}" id="{BC5965B6-0C4B-4B1A-B8F8-01D6BC3D25F3}">
    <text>Listed as "Korea, Republic of (KRW)" in Apple</text>
  </threadedComment>
  <threadedComment ref="B99" dT="2024-08-28T20:56:52.27" personId="{981AB8BE-DB90-44B6-AA6C-02C6C26735E6}" id="{18829BEB-92DE-4AEB-95F9-2DCF2E43D752}">
    <text>Listed as "North Macedonia (USD)" in Apple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8" dT="2023-08-16T19:51:05.48" personId="{981AB8BE-DB90-44B6-AA6C-02C6C26735E6}" id="{925FFEF1-9B0A-412C-B366-6AED5D1ED0BC}">
    <text>Blue = Hardcoded cells
Green = Equivalent to web pricing
Red = Hardcoded changes to tie with Apple's pricing tiers
Green Highlight = Potential need to hardcode changes to tie with Apple's pricing tiers
Light Blue-Grey Highlight = Apple's currency is not local or in USD</text>
  </threadedComment>
  <threadedComment ref="B35" dT="2026-07-07T21:29:30.58" personId="{6A1EBAD7-0F82-4811-BF44-82882942BEA8}" id="{0DF093A7-90B3-4DD6-8788-DFCBC299D025}">
    <text xml:space="preserve">These markets moved from USD to local currency on Android / Google.
</text>
  </threadedComment>
  <threadedComment ref="B44" dT="2022-08-23T18:59:09.04" personId="{981AB8BE-DB90-44B6-AA6C-02C6C26735E6}" id="{0EB21244-6C9A-4388-9ECE-AD05BFD65821}">
    <text>Also known as Republic of Congo or Congo - Brazzaville</text>
  </threadedComment>
  <threadedComment ref="B46" dT="2026-07-07T21:29:03.90" personId="{6A1EBAD7-0F82-4811-BF44-82882942BEA8}" id="{F801DB2C-6DBC-4162-8A75-2AF4A808AA32}">
    <text>These markets moved from USD to local currency on Android / Google.</text>
  </threadedComment>
  <threadedComment ref="B120" dT="2022-08-23T18:55:19.06" personId="{981AB8BE-DB90-44B6-AA6C-02C6C26735E6}" id="{009CF935-7ADC-44B1-B3F3-C8AF65618126}">
    <text>Listed as "North Macedonia" in Android</text>
  </threadedComment>
  <threadedComment ref="B138" dT="2026-07-07T21:30:57.05" personId="{6A1EBAD7-0F82-4811-BF44-82882942BEA8}" id="{5AB0388D-618C-4911-BD20-44FCB9F99AD1}">
    <text>These markets moved from USD to local currency on Android / Google.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M2" dT="2021-06-21T13:42:00.83" personId="{6D305BDE-7154-44BC-8861-66968A84C201}" id="{C8DD9E0E-B633-40A1-AAA9-444F4AF91A5C}">
    <text>list of countries where chromecast is commercialized can be found here: https://support.google.com/store/answer/2462844?hl=en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F2" dT="2023-06-26T15:05:13.83" personId="{981AB8BE-DB90-44B6-AA6C-02C6C26735E6}" id="{887D58CB-CFA6-4A22-A70D-1B169188ADF1}">
    <text>As of 7/06/2025</text>
  </threadedComment>
  <threadedComment ref="F2" dT="2024-07-10T20:04:56.88" personId="{981AB8BE-DB90-44B6-AA6C-02C6C26735E6}" id="{A2B062A4-89D2-47FB-A4B8-F219A69A0B4F}" parentId="{887D58CB-CFA6-4A22-A70D-1B169188ADF1}">
    <text>USD to Google Currency (Column E)</text>
  </threadedComment>
  <threadedComment ref="B5" dT="2023-06-26T15:16:55.07" personId="{981AB8BE-DB90-44B6-AA6C-02C6C26735E6}" id="{FDB43D81-8112-4B38-B9FD-4BCACF1A1D9D}">
    <text>Also includes Burkina Faso, Guinea-Bissau, Mali, Niger, and Togo</text>
  </threadedComment>
  <threadedComment ref="B6" dT="2023-06-26T15:22:00.31" personId="{981AB8BE-DB90-44B6-AA6C-02C6C26735E6}" id="{1694F268-CE63-45FD-9230-47D84878CC89}">
    <text>Also includes Gabon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CBB64-8CF7-4C5B-B46B-CD8C8EEBD549}">
  <we:reference id="wa200001456" version="3.1.1.0" store="en-US" storeType="OMEX"/>
  <we:alternateReferences>
    <we:reference id="wa200001456" version="3.1.1.0" store="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hyperlink" Target="https://support.google.com/store/answer/2462844?hl=en" TargetMode="External"/><Relationship Id="rId1" Type="http://schemas.openxmlformats.org/officeDocument/2006/relationships/hyperlink" Target="file://\nbahome01\AppData\Local\Microsoft\Windows\Temporary%20Internet%20Files\Content.Outlook\AppData\Local\Microsoft\Windows\Temporary%20Internet%20Files\AppData\Local\Microsoft\Windows\Temporary%20Internet%20Files\com.microsoft.Outlook\AppData\Local\Microsoft\Windows\Temporary%20Internet%20Files\Content.Outlook\AppData\Local\Microsoft\Windows\Temporary%20Internet%20Files\Content.Outlook\AppData\Local\Microsoft\Windows\Temporary%20Internet%20Files\Content.Outlook\AppData\Local\Microsoft\Windows\Temporary%20Internet%20Files\Content.Outlook\AppData\Local\Microsoft\Windows\Temporary%20Internet%20Files\Content.Outlook\AppData\Roaming\Microsoft\AppData\Local\Downloads\kingd" TargetMode="External"/><Relationship Id="rId6" Type="http://schemas.microsoft.com/office/2017/10/relationships/threadedComment" Target="../threadedComments/threadedComment11.xml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file://\nbahome01\AppData\Local\Microsoft\Windows\Temporary%20Internet%20Files\Content.Outlook\AppData\Local\Microsoft\Windows\Temporary%20Internet%20Files\AppData\Local\Microsoft\Windows\Temporary%20Internet%20Files\com.microsoft.Outlook\AppData\Local\Microsoft\Windows\Temporary%20Internet%20Files\Content.Outlook\AppData\Local\Microsoft\Windows\Temporary%20Internet%20Files\Content.Outlook\AppData\Local\Microsoft\Windows\Temporary%20Internet%20Files\Content.Outlook\AppData\Local\Microsoft\Windows\Temporary%20Internet%20Files\Content.Outlook\AppData\Local\Microsoft\Windows\Temporary%20Internet%20Files\Content.Outlook\AppData\Roaming\Microsoft\AppData\Local\Downloads\kingd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EF6C-0B1B-4138-B112-749BCB49B0B8}">
  <sheetPr>
    <tabColor rgb="FFFF0000"/>
  </sheetPr>
  <dimension ref="B2:G41"/>
  <sheetViews>
    <sheetView showGridLines="0" topLeftCell="A8" zoomScaleNormal="100" workbookViewId="0">
      <selection activeCell="C21" sqref="C21"/>
    </sheetView>
  </sheetViews>
  <sheetFormatPr defaultColWidth="8.6328125" defaultRowHeight="12.5"/>
  <cols>
    <col min="2" max="2" width="1.6328125" customWidth="1"/>
  </cols>
  <sheetData>
    <row r="2" spans="2:3" ht="13">
      <c r="B2" s="41" t="s">
        <v>0</v>
      </c>
    </row>
    <row r="3" spans="2:3">
      <c r="B3" s="200" t="s">
        <v>1</v>
      </c>
    </row>
    <row r="4" spans="2:3">
      <c r="C4" s="200" t="s">
        <v>2</v>
      </c>
    </row>
    <row r="5" spans="2:3">
      <c r="C5" s="200" t="s">
        <v>3</v>
      </c>
    </row>
    <row r="6" spans="2:3">
      <c r="B6" s="200"/>
      <c r="C6" s="200" t="s">
        <v>4</v>
      </c>
    </row>
    <row r="7" spans="2:3">
      <c r="B7" s="200"/>
      <c r="C7" s="200" t="s">
        <v>5</v>
      </c>
    </row>
    <row r="8" spans="2:3">
      <c r="B8" s="200"/>
      <c r="C8" s="200" t="s">
        <v>6</v>
      </c>
    </row>
    <row r="9" spans="2:3">
      <c r="B9" s="200" t="s">
        <v>7</v>
      </c>
      <c r="C9" s="247"/>
    </row>
    <row r="10" spans="2:3">
      <c r="B10" s="200" t="s">
        <v>8</v>
      </c>
    </row>
    <row r="11" spans="2:3">
      <c r="B11" s="200"/>
      <c r="C11" s="200" t="s">
        <v>9</v>
      </c>
    </row>
    <row r="12" spans="2:3">
      <c r="B12" s="200" t="s">
        <v>10</v>
      </c>
      <c r="C12" s="219"/>
    </row>
    <row r="13" spans="2:3">
      <c r="B13" s="200"/>
      <c r="C13" s="200" t="s">
        <v>9</v>
      </c>
    </row>
    <row r="14" spans="2:3">
      <c r="B14" s="200" t="s">
        <v>11</v>
      </c>
    </row>
    <row r="15" spans="2:3">
      <c r="B15" s="200"/>
      <c r="C15" s="200" t="s">
        <v>9</v>
      </c>
    </row>
    <row r="16" spans="2:3">
      <c r="B16" s="200" t="s">
        <v>12</v>
      </c>
    </row>
    <row r="17" spans="2:7">
      <c r="B17" s="200"/>
      <c r="C17" s="200" t="s">
        <v>9</v>
      </c>
    </row>
    <row r="18" spans="2:7">
      <c r="B18" s="200" t="s">
        <v>13</v>
      </c>
      <c r="C18" s="200"/>
    </row>
    <row r="19" spans="2:7">
      <c r="B19" s="200" t="s">
        <v>14</v>
      </c>
    </row>
    <row r="20" spans="2:7">
      <c r="B20" s="200" t="s">
        <v>15</v>
      </c>
    </row>
    <row r="21" spans="2:7">
      <c r="B21" s="200" t="s">
        <v>16</v>
      </c>
    </row>
    <row r="22" spans="2:7">
      <c r="B22" s="200" t="s">
        <v>17</v>
      </c>
      <c r="C22" s="247"/>
    </row>
    <row r="23" spans="2:7">
      <c r="B23" s="200" t="s">
        <v>18</v>
      </c>
    </row>
    <row r="24" spans="2:7">
      <c r="B24" s="200" t="s">
        <v>19</v>
      </c>
      <c r="C24" s="247"/>
    </row>
    <row r="26" spans="2:7" ht="13">
      <c r="B26" s="41" t="s">
        <v>20</v>
      </c>
    </row>
    <row r="27" spans="2:7">
      <c r="B27" t="s">
        <v>21</v>
      </c>
    </row>
    <row r="28" spans="2:7">
      <c r="B28" s="200" t="s">
        <v>22</v>
      </c>
    </row>
    <row r="29" spans="2:7" ht="13">
      <c r="B29" s="200"/>
      <c r="C29" s="41"/>
      <c r="D29" s="41"/>
      <c r="E29" s="41"/>
      <c r="F29" s="41"/>
      <c r="G29" s="41"/>
    </row>
    <row r="30" spans="2:7" ht="13">
      <c r="B30" s="41" t="s">
        <v>23</v>
      </c>
    </row>
    <row r="31" spans="2:7">
      <c r="B31" s="200" t="s">
        <v>24</v>
      </c>
    </row>
    <row r="32" spans="2:7">
      <c r="B32" s="200" t="s">
        <v>25</v>
      </c>
    </row>
    <row r="33" spans="2:2">
      <c r="B33" s="200" t="s">
        <v>26</v>
      </c>
    </row>
    <row r="34" spans="2:2">
      <c r="B34" s="200" t="s">
        <v>27</v>
      </c>
    </row>
    <row r="36" spans="2:2" ht="13">
      <c r="B36" s="41" t="s">
        <v>28</v>
      </c>
    </row>
    <row r="37" spans="2:2">
      <c r="B37" s="200" t="s">
        <v>29</v>
      </c>
    </row>
    <row r="38" spans="2:2">
      <c r="B38" s="200" t="s">
        <v>30</v>
      </c>
    </row>
    <row r="40" spans="2:2" ht="13">
      <c r="B40" s="41" t="s">
        <v>1514</v>
      </c>
    </row>
    <row r="41" spans="2:2">
      <c r="B41" t="s">
        <v>1515</v>
      </c>
    </row>
  </sheetData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87F3-0715-4F01-8651-B91BB29470A5}">
  <sheetPr>
    <tabColor theme="1"/>
  </sheetPr>
  <dimension ref="A1"/>
  <sheetViews>
    <sheetView showGridLines="0" workbookViewId="0"/>
  </sheetViews>
  <sheetFormatPr defaultColWidth="8.6328125" defaultRowHeight="12.5"/>
  <cols>
    <col min="1" max="16384" width="8.6328125" style="30"/>
  </cols>
  <sheetData/>
  <pageMargins left="0.7" right="0.7" top="0.75" bottom="0.75" header="0.3" footer="0.3"/>
  <headerFooter>
    <oddFooter>&amp;C_x000D_&amp;1#&amp;"Aptos"&amp;10&amp;K000000 NBA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876A-AA6C-4087-9ECA-06466970DDA0}">
  <dimension ref="B2:P7"/>
  <sheetViews>
    <sheetView zoomScaleNormal="100" workbookViewId="0"/>
  </sheetViews>
  <sheetFormatPr defaultColWidth="8.6328125" defaultRowHeight="12.5"/>
  <cols>
    <col min="1" max="1" width="1.6328125" customWidth="1"/>
    <col min="2" max="2" width="22.36328125" bestFit="1" customWidth="1"/>
    <col min="3" max="3" width="8.453125" customWidth="1"/>
    <col min="4" max="4" width="10.36328125" bestFit="1" customWidth="1"/>
    <col min="5" max="5" width="17.453125" bestFit="1" customWidth="1"/>
    <col min="6" max="6" width="10.36328125" bestFit="1" customWidth="1"/>
    <col min="7" max="7" width="17.453125" bestFit="1" customWidth="1"/>
    <col min="8" max="8" width="7.453125" bestFit="1" customWidth="1"/>
    <col min="9" max="9" width="16.453125" bestFit="1" customWidth="1"/>
    <col min="10" max="10" width="7" bestFit="1" customWidth="1"/>
    <col min="11" max="11" width="16" bestFit="1" customWidth="1"/>
    <col min="12" max="12" width="17.453125" bestFit="1" customWidth="1"/>
    <col min="13" max="15" width="18.453125" bestFit="1" customWidth="1"/>
    <col min="16" max="16" width="10.453125" bestFit="1" customWidth="1"/>
  </cols>
  <sheetData>
    <row r="2" spans="2:16" ht="13">
      <c r="B2" s="24" t="s">
        <v>31</v>
      </c>
      <c r="C2" s="24" t="s">
        <v>32</v>
      </c>
      <c r="D2" s="24" t="s">
        <v>33</v>
      </c>
      <c r="E2" s="24" t="s">
        <v>34</v>
      </c>
      <c r="F2" s="24" t="s">
        <v>35</v>
      </c>
      <c r="G2" s="24" t="s">
        <v>36</v>
      </c>
      <c r="H2" s="24" t="s">
        <v>37</v>
      </c>
      <c r="I2" s="24" t="s">
        <v>38</v>
      </c>
      <c r="J2" s="24" t="s">
        <v>39</v>
      </c>
      <c r="K2" s="24" t="s">
        <v>40</v>
      </c>
      <c r="L2" s="24" t="s">
        <v>41</v>
      </c>
      <c r="M2" s="24" t="s">
        <v>42</v>
      </c>
      <c r="N2" s="24" t="s">
        <v>43</v>
      </c>
      <c r="O2" s="24" t="s">
        <v>44</v>
      </c>
      <c r="P2" s="24" t="s">
        <v>45</v>
      </c>
    </row>
    <row r="3" spans="2:16">
      <c r="B3" t="s">
        <v>46</v>
      </c>
      <c r="C3" t="s">
        <v>47</v>
      </c>
      <c r="D3" s="6" t="s">
        <v>48</v>
      </c>
      <c r="E3" s="6" t="s">
        <v>48</v>
      </c>
      <c r="F3" s="6" t="s">
        <v>48</v>
      </c>
      <c r="G3" s="6" t="s">
        <v>48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50</v>
      </c>
      <c r="M3" s="6" t="s">
        <v>50</v>
      </c>
      <c r="N3" s="6" t="s">
        <v>50</v>
      </c>
      <c r="O3" s="6" t="s">
        <v>50</v>
      </c>
      <c r="P3" s="6" t="s">
        <v>49</v>
      </c>
    </row>
    <row r="4" spans="2:16" ht="13.4" customHeight="1">
      <c r="B4" s="25" t="s">
        <v>51</v>
      </c>
      <c r="C4" s="25" t="s">
        <v>47</v>
      </c>
      <c r="D4" s="6" t="str">
        <f>+D3</f>
        <v>Web &amp; IAP</v>
      </c>
      <c r="E4" s="6" t="str">
        <f t="shared" ref="E4:P7" si="0">+E3</f>
        <v>Web &amp; IAP</v>
      </c>
      <c r="F4" s="6" t="str">
        <f t="shared" si="0"/>
        <v>Web &amp; IAP</v>
      </c>
      <c r="G4" s="6" t="str">
        <f t="shared" si="0"/>
        <v>Web &amp; IAP</v>
      </c>
      <c r="H4" s="6" t="str">
        <f t="shared" si="0"/>
        <v>Web</v>
      </c>
      <c r="I4" s="6" t="str">
        <f t="shared" si="0"/>
        <v>Web</v>
      </c>
      <c r="J4" s="6" t="str">
        <f t="shared" si="0"/>
        <v>Web</v>
      </c>
      <c r="K4" s="6" t="str">
        <f t="shared" si="0"/>
        <v>Web</v>
      </c>
      <c r="L4" s="6" t="str">
        <f t="shared" si="0"/>
        <v>IAP</v>
      </c>
      <c r="M4" s="6" t="str">
        <f t="shared" si="0"/>
        <v>IAP</v>
      </c>
      <c r="N4" s="6" t="str">
        <f t="shared" si="0"/>
        <v>IAP</v>
      </c>
      <c r="O4" s="6" t="str">
        <f t="shared" si="0"/>
        <v>IAP</v>
      </c>
      <c r="P4" s="6" t="str">
        <f t="shared" si="0"/>
        <v>Web</v>
      </c>
    </row>
    <row r="5" spans="2:16" ht="13.4" customHeight="1">
      <c r="B5" s="25" t="s">
        <v>52</v>
      </c>
      <c r="C5" s="25" t="s">
        <v>47</v>
      </c>
      <c r="D5" s="6" t="str">
        <f>+D4</f>
        <v>Web &amp; IAP</v>
      </c>
      <c r="E5" s="6" t="str">
        <f t="shared" si="0"/>
        <v>Web &amp; IAP</v>
      </c>
      <c r="F5" s="6" t="str">
        <f t="shared" si="0"/>
        <v>Web &amp; IAP</v>
      </c>
      <c r="G5" s="6" t="str">
        <f t="shared" si="0"/>
        <v>Web &amp; IAP</v>
      </c>
      <c r="H5" s="6" t="str">
        <f t="shared" si="0"/>
        <v>Web</v>
      </c>
      <c r="I5" s="6" t="str">
        <f t="shared" si="0"/>
        <v>Web</v>
      </c>
      <c r="J5" s="6" t="str">
        <f t="shared" si="0"/>
        <v>Web</v>
      </c>
      <c r="K5" s="6" t="str">
        <f t="shared" si="0"/>
        <v>Web</v>
      </c>
      <c r="L5" s="6" t="str">
        <f t="shared" si="0"/>
        <v>IAP</v>
      </c>
      <c r="M5" s="6" t="str">
        <f t="shared" si="0"/>
        <v>IAP</v>
      </c>
      <c r="N5" s="6" t="str">
        <f t="shared" si="0"/>
        <v>IAP</v>
      </c>
      <c r="O5" s="6" t="str">
        <f t="shared" si="0"/>
        <v>IAP</v>
      </c>
      <c r="P5" s="6" t="str">
        <f t="shared" si="0"/>
        <v>Web</v>
      </c>
    </row>
    <row r="6" spans="2:16" ht="13.4" customHeight="1">
      <c r="B6" s="25" t="s">
        <v>53</v>
      </c>
      <c r="C6" s="25" t="s">
        <v>47</v>
      </c>
      <c r="D6" s="6" t="str">
        <f>+D5</f>
        <v>Web &amp; IAP</v>
      </c>
      <c r="E6" s="6" t="str">
        <f t="shared" si="0"/>
        <v>Web &amp; IAP</v>
      </c>
      <c r="F6" s="6" t="str">
        <f t="shared" si="0"/>
        <v>Web &amp; IAP</v>
      </c>
      <c r="G6" s="6" t="str">
        <f t="shared" si="0"/>
        <v>Web &amp; IAP</v>
      </c>
      <c r="H6" s="6" t="str">
        <f t="shared" si="0"/>
        <v>Web</v>
      </c>
      <c r="I6" s="6" t="str">
        <f t="shared" si="0"/>
        <v>Web</v>
      </c>
      <c r="J6" s="6" t="str">
        <f t="shared" si="0"/>
        <v>Web</v>
      </c>
      <c r="K6" s="6" t="str">
        <f t="shared" si="0"/>
        <v>Web</v>
      </c>
      <c r="L6" s="6" t="str">
        <f t="shared" si="0"/>
        <v>IAP</v>
      </c>
      <c r="M6" s="6" t="str">
        <f t="shared" si="0"/>
        <v>IAP</v>
      </c>
      <c r="N6" s="6" t="str">
        <f t="shared" si="0"/>
        <v>IAP</v>
      </c>
      <c r="O6" s="6" t="str">
        <f t="shared" si="0"/>
        <v>IAP</v>
      </c>
      <c r="P6" s="6" t="str">
        <f t="shared" si="0"/>
        <v>Web</v>
      </c>
    </row>
    <row r="7" spans="2:16">
      <c r="B7" s="25" t="s">
        <v>54</v>
      </c>
      <c r="C7" s="25" t="s">
        <v>47</v>
      </c>
      <c r="D7" s="6" t="str">
        <f>+D6</f>
        <v>Web &amp; IAP</v>
      </c>
      <c r="E7" s="6" t="str">
        <f t="shared" si="0"/>
        <v>Web &amp; IAP</v>
      </c>
      <c r="F7" s="6" t="str">
        <f t="shared" si="0"/>
        <v>Web &amp; IAP</v>
      </c>
      <c r="G7" s="6" t="str">
        <f t="shared" si="0"/>
        <v>Web &amp; IAP</v>
      </c>
      <c r="H7" s="6" t="str">
        <f t="shared" si="0"/>
        <v>Web</v>
      </c>
      <c r="I7" s="6" t="str">
        <f t="shared" si="0"/>
        <v>Web</v>
      </c>
      <c r="J7" s="6" t="str">
        <f t="shared" si="0"/>
        <v>Web</v>
      </c>
      <c r="K7" s="6" t="str">
        <f t="shared" si="0"/>
        <v>Web</v>
      </c>
      <c r="L7" s="6" t="str">
        <f t="shared" si="0"/>
        <v>IAP</v>
      </c>
      <c r="M7" s="6" t="str">
        <f t="shared" si="0"/>
        <v>IAP</v>
      </c>
      <c r="N7" s="6" t="str">
        <f t="shared" si="0"/>
        <v>IAP</v>
      </c>
      <c r="O7" s="6" t="str">
        <f t="shared" si="0"/>
        <v>IAP</v>
      </c>
      <c r="P7" s="6" t="str">
        <f t="shared" si="0"/>
        <v>Web</v>
      </c>
    </row>
  </sheetData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E458-72AA-448B-B5F9-2F69582A47CB}">
  <sheetPr>
    <tabColor theme="5" tint="0.79998168889431442"/>
  </sheetPr>
  <dimension ref="B2:S248"/>
  <sheetViews>
    <sheetView zoomScaleNormal="100" workbookViewId="0">
      <pane xSplit="3" ySplit="2" topLeftCell="D25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defaultColWidth="8.6328125" defaultRowHeight="12.5" outlineLevelRow="1" outlineLevelCol="1"/>
  <cols>
    <col min="1" max="1" width="1.6328125" customWidth="1"/>
    <col min="2" max="2" width="27.453125" bestFit="1" customWidth="1"/>
    <col min="3" max="3" width="12.36328125" bestFit="1" customWidth="1"/>
    <col min="4" max="4" width="11.453125" bestFit="1" customWidth="1"/>
    <col min="5" max="5" width="19.453125" bestFit="1" customWidth="1"/>
    <col min="6" max="6" width="11.453125" bestFit="1" customWidth="1"/>
    <col min="7" max="7" width="19.453125" bestFit="1" customWidth="1"/>
    <col min="8" max="8" width="9.36328125" bestFit="1" customWidth="1"/>
    <col min="9" max="9" width="18.36328125" bestFit="1" customWidth="1"/>
    <col min="10" max="10" width="19.36328125" bestFit="1" customWidth="1"/>
    <col min="11" max="13" width="20.453125" bestFit="1" customWidth="1"/>
    <col min="14" max="16" width="12.453125" hidden="1" customWidth="1" outlineLevel="1"/>
    <col min="17" max="18" width="8.6328125" hidden="1" customWidth="1" outlineLevel="1"/>
    <col min="19" max="19" width="8.6328125" collapsed="1"/>
  </cols>
  <sheetData>
    <row r="2" spans="2:18" ht="13">
      <c r="B2" s="26" t="s">
        <v>31</v>
      </c>
      <c r="C2" s="24" t="s">
        <v>32</v>
      </c>
      <c r="D2" s="24" t="s">
        <v>55</v>
      </c>
      <c r="E2" s="24" t="s">
        <v>56</v>
      </c>
      <c r="F2" s="24" t="s">
        <v>57</v>
      </c>
      <c r="G2" s="24" t="s">
        <v>58</v>
      </c>
      <c r="H2" s="24" t="s">
        <v>59</v>
      </c>
      <c r="I2" s="24" t="s">
        <v>60</v>
      </c>
      <c r="J2" s="24" t="s">
        <v>61</v>
      </c>
      <c r="K2" s="24" t="s">
        <v>62</v>
      </c>
      <c r="L2" s="24" t="s">
        <v>63</v>
      </c>
      <c r="M2" s="24" t="s">
        <v>64</v>
      </c>
      <c r="N2" s="24" t="s">
        <v>65</v>
      </c>
      <c r="O2" s="24" t="s">
        <v>66</v>
      </c>
      <c r="P2" s="24" t="s">
        <v>67</v>
      </c>
      <c r="Q2" s="24" t="s">
        <v>68</v>
      </c>
      <c r="R2" s="24" t="s">
        <v>69</v>
      </c>
    </row>
    <row r="3" spans="2:18">
      <c r="B3" s="7" t="s">
        <v>70</v>
      </c>
      <c r="C3" s="7" t="str">
        <f>+VLOOKUP($B3,'[2]Pricing Scenario - Maintain'!$B$4:$AM$238,2,FALSE)</f>
        <v>Asia</v>
      </c>
      <c r="D3" s="6" t="s">
        <v>48</v>
      </c>
      <c r="E3" s="6" t="s">
        <v>48</v>
      </c>
      <c r="F3" s="6" t="s">
        <v>48</v>
      </c>
      <c r="G3" s="6" t="s">
        <v>48</v>
      </c>
      <c r="H3" s="6" t="s">
        <v>49</v>
      </c>
      <c r="I3" s="6" t="s">
        <v>49</v>
      </c>
      <c r="J3" s="6" t="s">
        <v>50</v>
      </c>
      <c r="K3" s="6" t="s">
        <v>50</v>
      </c>
      <c r="L3" s="6" t="s">
        <v>50</v>
      </c>
      <c r="M3" s="6" t="s">
        <v>50</v>
      </c>
      <c r="N3" s="6" t="s">
        <v>49</v>
      </c>
      <c r="O3" s="6" t="s">
        <v>49</v>
      </c>
      <c r="P3" s="6" t="s">
        <v>49</v>
      </c>
      <c r="Q3" s="7" t="str">
        <f>+IFERROR(VLOOKUP(B3,[2]Apple!$B$3:$C$173,2,FALSE),"")</f>
        <v>AF</v>
      </c>
      <c r="R3" s="7" t="str">
        <f>+IFERROR(VLOOKUP(B3,[2]Google!$B$3:$C$99,2,FALSE),"")</f>
        <v/>
      </c>
    </row>
    <row r="4" spans="2:18">
      <c r="B4" s="7" t="s">
        <v>71</v>
      </c>
      <c r="C4" s="7" t="str">
        <f>+VLOOKUP($B4,'[2]Pricing Scenario - Maintain'!$B$4:$AM$238,2,FALSE)</f>
        <v>Europe</v>
      </c>
      <c r="D4" s="6" t="s">
        <v>72</v>
      </c>
      <c r="E4" s="6" t="s">
        <v>72</v>
      </c>
      <c r="F4" s="6" t="s">
        <v>72</v>
      </c>
      <c r="G4" s="6" t="s">
        <v>72</v>
      </c>
      <c r="H4" s="6" t="s">
        <v>49</v>
      </c>
      <c r="I4" s="6" t="s">
        <v>49</v>
      </c>
      <c r="J4" s="6" t="s">
        <v>50</v>
      </c>
      <c r="K4" s="6" t="s">
        <v>50</v>
      </c>
      <c r="L4" s="6" t="s">
        <v>50</v>
      </c>
      <c r="M4" s="6" t="s">
        <v>50</v>
      </c>
      <c r="N4" s="6" t="s">
        <v>49</v>
      </c>
      <c r="O4" s="6" t="s">
        <v>49</v>
      </c>
      <c r="P4" s="6" t="s">
        <v>49</v>
      </c>
      <c r="Q4" s="7" t="str">
        <f>+IFERROR(VLOOKUP(B4,[2]Apple!$B$3:$C$173,2,FALSE),"")</f>
        <v/>
      </c>
      <c r="R4" s="7" t="str">
        <f>+IFERROR(VLOOKUP(B4,[2]Google!$B$3:$C$99,2,FALSE),"")</f>
        <v/>
      </c>
    </row>
    <row r="5" spans="2:18">
      <c r="B5" s="7" t="s">
        <v>73</v>
      </c>
      <c r="C5" s="7" t="str">
        <f>+VLOOKUP($B5,'[2]Pricing Scenario - Maintain'!$B$4:$AM$238,2,FALSE)</f>
        <v>Europe</v>
      </c>
      <c r="D5" s="6" t="s">
        <v>48</v>
      </c>
      <c r="E5" s="6" t="s">
        <v>48</v>
      </c>
      <c r="F5" s="6" t="s">
        <v>48</v>
      </c>
      <c r="G5" s="6" t="s">
        <v>48</v>
      </c>
      <c r="H5" s="6" t="s">
        <v>49</v>
      </c>
      <c r="I5" s="6" t="s">
        <v>49</v>
      </c>
      <c r="J5" s="6" t="s">
        <v>50</v>
      </c>
      <c r="K5" s="6" t="s">
        <v>50</v>
      </c>
      <c r="L5" s="6" t="s">
        <v>50</v>
      </c>
      <c r="M5" s="6" t="s">
        <v>50</v>
      </c>
      <c r="N5" s="6" t="s">
        <v>49</v>
      </c>
      <c r="O5" s="6" t="s">
        <v>49</v>
      </c>
      <c r="P5" s="6" t="s">
        <v>49</v>
      </c>
      <c r="Q5" s="7" t="str">
        <f>+IFERROR(VLOOKUP(B5,[2]Apple!$B$3:$C$173,2,FALSE),"")</f>
        <v>AL</v>
      </c>
      <c r="R5" s="7" t="str">
        <f>+IFERROR(VLOOKUP(B5,[2]Google!$B$3:$C$99,2,FALSE),"")</f>
        <v>AL</v>
      </c>
    </row>
    <row r="6" spans="2:18">
      <c r="B6" s="7" t="s">
        <v>74</v>
      </c>
      <c r="C6" s="7" t="str">
        <f>+VLOOKUP($B6,'[2]Pricing Scenario - Maintain'!$B$4:$AM$238,2,FALSE)</f>
        <v>Africa</v>
      </c>
      <c r="D6" s="6" t="s">
        <v>48</v>
      </c>
      <c r="E6" s="6" t="s">
        <v>48</v>
      </c>
      <c r="F6" s="6" t="s">
        <v>48</v>
      </c>
      <c r="G6" s="6" t="s">
        <v>48</v>
      </c>
      <c r="H6" s="6" t="s">
        <v>49</v>
      </c>
      <c r="I6" s="6" t="s">
        <v>49</v>
      </c>
      <c r="J6" s="6" t="s">
        <v>50</v>
      </c>
      <c r="K6" s="6" t="s">
        <v>50</v>
      </c>
      <c r="L6" s="6" t="s">
        <v>50</v>
      </c>
      <c r="M6" s="6" t="s">
        <v>50</v>
      </c>
      <c r="N6" s="6" t="s">
        <v>49</v>
      </c>
      <c r="O6" s="6" t="s">
        <v>49</v>
      </c>
      <c r="P6" s="6" t="s">
        <v>49</v>
      </c>
      <c r="Q6" s="7" t="str">
        <f>+IFERROR(VLOOKUP(B6,[2]Apple!$B$3:$C$173,2,FALSE),"")</f>
        <v>DZ</v>
      </c>
      <c r="R6" s="7" t="str">
        <f>+IFERROR(VLOOKUP(B6,[2]Google!$B$3:$C$99,2,FALSE),"")</f>
        <v>DZ</v>
      </c>
    </row>
    <row r="7" spans="2:18">
      <c r="B7" s="7" t="s">
        <v>75</v>
      </c>
      <c r="C7" s="7" t="str">
        <f>+VLOOKUP($B7,'[2]Pricing Scenario - Maintain'!$B$4:$AM$238,2,FALSE)</f>
        <v>Asia</v>
      </c>
      <c r="D7" s="6" t="s">
        <v>72</v>
      </c>
      <c r="E7" s="6" t="s">
        <v>72</v>
      </c>
      <c r="F7" s="6" t="s">
        <v>72</v>
      </c>
      <c r="G7" s="6" t="s">
        <v>72</v>
      </c>
      <c r="H7" s="6" t="s">
        <v>49</v>
      </c>
      <c r="I7" s="6" t="s">
        <v>49</v>
      </c>
      <c r="J7" s="6" t="s">
        <v>50</v>
      </c>
      <c r="K7" s="6" t="s">
        <v>50</v>
      </c>
      <c r="L7" s="6" t="s">
        <v>50</v>
      </c>
      <c r="M7" s="6" t="s">
        <v>50</v>
      </c>
      <c r="N7" s="6" t="s">
        <v>49</v>
      </c>
      <c r="O7" s="6" t="s">
        <v>49</v>
      </c>
      <c r="P7" s="6" t="s">
        <v>49</v>
      </c>
      <c r="Q7" s="7" t="str">
        <f>+IFERROR(VLOOKUP(B7,[2]Apple!$B$3:$C$173,2,FALSE),"")</f>
        <v/>
      </c>
      <c r="R7" s="7" t="str">
        <f>+IFERROR(VLOOKUP(B7,[2]Google!$B$3:$C$99,2,FALSE),"")</f>
        <v/>
      </c>
    </row>
    <row r="8" spans="2:18">
      <c r="B8" s="7" t="s">
        <v>76</v>
      </c>
      <c r="C8" s="7" t="str">
        <f>+VLOOKUP($B8,'[2]Pricing Scenario - Maintain'!$B$4:$AM$238,2,FALSE)</f>
        <v>Europe</v>
      </c>
      <c r="D8" s="6" t="s">
        <v>72</v>
      </c>
      <c r="E8" s="6" t="s">
        <v>72</v>
      </c>
      <c r="F8" s="6" t="s">
        <v>72</v>
      </c>
      <c r="G8" s="6" t="s">
        <v>72</v>
      </c>
      <c r="H8" s="6" t="s">
        <v>49</v>
      </c>
      <c r="I8" s="6" t="s">
        <v>49</v>
      </c>
      <c r="J8" s="6" t="s">
        <v>50</v>
      </c>
      <c r="K8" s="6" t="s">
        <v>50</v>
      </c>
      <c r="L8" s="6" t="s">
        <v>50</v>
      </c>
      <c r="M8" s="6" t="s">
        <v>50</v>
      </c>
      <c r="N8" s="6" t="s">
        <v>49</v>
      </c>
      <c r="O8" s="6" t="s">
        <v>49</v>
      </c>
      <c r="P8" s="6" t="s">
        <v>49</v>
      </c>
      <c r="Q8" s="7" t="str">
        <f>+IFERROR(VLOOKUP(B8,[2]Apple!$B$3:$C$173,2,FALSE),"")</f>
        <v/>
      </c>
      <c r="R8" s="7" t="str">
        <f>+IFERROR(VLOOKUP(B8,[2]Google!$B$3:$C$99,2,FALSE),"")</f>
        <v/>
      </c>
    </row>
    <row r="9" spans="2:18">
      <c r="B9" s="7" t="s">
        <v>77</v>
      </c>
      <c r="C9" s="7" t="str">
        <f>+VLOOKUP($B9,'[2]Pricing Scenario - Maintain'!$B$4:$AM$238,2,FALSE)</f>
        <v>Africa</v>
      </c>
      <c r="D9" s="6" t="s">
        <v>48</v>
      </c>
      <c r="E9" s="6" t="s">
        <v>48</v>
      </c>
      <c r="F9" s="6" t="s">
        <v>48</v>
      </c>
      <c r="G9" s="6" t="s">
        <v>48</v>
      </c>
      <c r="H9" s="6" t="s">
        <v>49</v>
      </c>
      <c r="I9" s="6" t="s">
        <v>49</v>
      </c>
      <c r="J9" s="6" t="s">
        <v>50</v>
      </c>
      <c r="K9" s="6" t="s">
        <v>50</v>
      </c>
      <c r="L9" s="6" t="s">
        <v>50</v>
      </c>
      <c r="M9" s="6" t="s">
        <v>50</v>
      </c>
      <c r="N9" s="6" t="s">
        <v>49</v>
      </c>
      <c r="O9" s="6" t="s">
        <v>49</v>
      </c>
      <c r="P9" s="6" t="s">
        <v>49</v>
      </c>
      <c r="Q9" s="7" t="str">
        <f>+IFERROR(VLOOKUP(B9,[2]Apple!$B$3:$C$173,2,FALSE),"")</f>
        <v>AO</v>
      </c>
      <c r="R9" s="7" t="str">
        <f>+IFERROR(VLOOKUP(B9,[2]Google!$B$3:$C$99,2,FALSE),"")</f>
        <v>AO</v>
      </c>
    </row>
    <row r="10" spans="2:18">
      <c r="B10" s="7" t="s">
        <v>78</v>
      </c>
      <c r="C10" s="7" t="str">
        <f>+VLOOKUP($B10,'[2]Pricing Scenario - Maintain'!$B$4:$AM$238,2,FALSE)</f>
        <v>Latin America</v>
      </c>
      <c r="D10" s="6" t="s">
        <v>48</v>
      </c>
      <c r="E10" s="6" t="s">
        <v>48</v>
      </c>
      <c r="F10" s="6" t="s">
        <v>48</v>
      </c>
      <c r="G10" s="6" t="s">
        <v>48</v>
      </c>
      <c r="H10" s="6" t="s">
        <v>49</v>
      </c>
      <c r="I10" s="6" t="s">
        <v>49</v>
      </c>
      <c r="J10" s="6" t="s">
        <v>50</v>
      </c>
      <c r="K10" s="6" t="s">
        <v>50</v>
      </c>
      <c r="L10" s="6" t="s">
        <v>50</v>
      </c>
      <c r="M10" s="6" t="s">
        <v>50</v>
      </c>
      <c r="N10" s="6" t="s">
        <v>49</v>
      </c>
      <c r="O10" s="6" t="s">
        <v>49</v>
      </c>
      <c r="P10" s="6" t="s">
        <v>49</v>
      </c>
      <c r="Q10" s="7" t="str">
        <f>+IFERROR(VLOOKUP(B10,[2]Apple!$B$3:$C$173,2,FALSE),"")</f>
        <v>AI</v>
      </c>
      <c r="R10" s="7" t="str">
        <f>+IFERROR(VLOOKUP(B10,[2]Google!$B$3:$C$99,2,FALSE),"")</f>
        <v/>
      </c>
    </row>
    <row r="11" spans="2:18">
      <c r="B11" s="7" t="s">
        <v>79</v>
      </c>
      <c r="C11" s="7" t="str">
        <f>+VLOOKUP($B11,'[2]Pricing Scenario - Maintain'!$B$4:$AM$238,2,FALSE)</f>
        <v>Europe</v>
      </c>
      <c r="D11" s="6" t="s">
        <v>72</v>
      </c>
      <c r="E11" s="6" t="s">
        <v>72</v>
      </c>
      <c r="F11" s="6" t="s">
        <v>72</v>
      </c>
      <c r="G11" s="6" t="s">
        <v>72</v>
      </c>
      <c r="H11" s="6" t="s">
        <v>49</v>
      </c>
      <c r="I11" s="6" t="s">
        <v>49</v>
      </c>
      <c r="J11" s="6" t="s">
        <v>50</v>
      </c>
      <c r="K11" s="6" t="s">
        <v>50</v>
      </c>
      <c r="L11" s="6" t="s">
        <v>50</v>
      </c>
      <c r="M11" s="6" t="s">
        <v>50</v>
      </c>
      <c r="N11" s="6" t="s">
        <v>49</v>
      </c>
      <c r="O11" s="6" t="s">
        <v>49</v>
      </c>
      <c r="P11" s="6" t="s">
        <v>49</v>
      </c>
      <c r="Q11" s="7" t="str">
        <f>+IFERROR(VLOOKUP(B11,[2]Apple!$B$3:$C$173,2,FALSE),"")</f>
        <v/>
      </c>
      <c r="R11" s="7" t="str">
        <f>+IFERROR(VLOOKUP(B11,[2]Google!$B$3:$C$99,2,FALSE),"")</f>
        <v/>
      </c>
    </row>
    <row r="12" spans="2:18">
      <c r="B12" s="7" t="s">
        <v>80</v>
      </c>
      <c r="C12" s="7" t="str">
        <f>+VLOOKUP($B12,'[2]Pricing Scenario - Maintain'!$B$4:$AM$238,2,FALSE)</f>
        <v>Latin America</v>
      </c>
      <c r="D12" s="6" t="s">
        <v>48</v>
      </c>
      <c r="E12" s="6" t="s">
        <v>48</v>
      </c>
      <c r="F12" s="6" t="s">
        <v>48</v>
      </c>
      <c r="G12" s="6" t="s">
        <v>48</v>
      </c>
      <c r="H12" s="6" t="s">
        <v>49</v>
      </c>
      <c r="I12" s="6" t="s">
        <v>49</v>
      </c>
      <c r="J12" s="6" t="s">
        <v>50</v>
      </c>
      <c r="K12" s="6" t="s">
        <v>50</v>
      </c>
      <c r="L12" s="6" t="s">
        <v>50</v>
      </c>
      <c r="M12" s="6" t="s">
        <v>50</v>
      </c>
      <c r="N12" s="6" t="s">
        <v>49</v>
      </c>
      <c r="O12" s="6" t="s">
        <v>49</v>
      </c>
      <c r="P12" s="6" t="s">
        <v>49</v>
      </c>
      <c r="Q12" s="7" t="str">
        <f>+IFERROR(VLOOKUP(B12,[2]Apple!$B$3:$C$173,2,FALSE),"")</f>
        <v>AG</v>
      </c>
      <c r="R12" s="7" t="str">
        <f>+IFERROR(VLOOKUP(B12,[2]Google!$B$3:$C$99,2,FALSE),"")</f>
        <v>AG</v>
      </c>
    </row>
    <row r="13" spans="2:18">
      <c r="B13" s="7" t="s">
        <v>81</v>
      </c>
      <c r="C13" s="7" t="str">
        <f>+VLOOKUP($B13,'[2]Pricing Scenario - Maintain'!$B$4:$AM$238,2,FALSE)</f>
        <v>Latin America</v>
      </c>
      <c r="D13" s="6" t="s">
        <v>48</v>
      </c>
      <c r="E13" s="6" t="s">
        <v>48</v>
      </c>
      <c r="F13" s="6" t="s">
        <v>48</v>
      </c>
      <c r="G13" s="6" t="s">
        <v>48</v>
      </c>
      <c r="H13" s="6" t="s">
        <v>49</v>
      </c>
      <c r="I13" s="6" t="s">
        <v>49</v>
      </c>
      <c r="J13" s="6" t="s">
        <v>50</v>
      </c>
      <c r="K13" s="6" t="s">
        <v>50</v>
      </c>
      <c r="L13" s="6" t="s">
        <v>50</v>
      </c>
      <c r="M13" s="6" t="s">
        <v>50</v>
      </c>
      <c r="N13" s="6" t="s">
        <v>49</v>
      </c>
      <c r="O13" s="6" t="s">
        <v>49</v>
      </c>
      <c r="P13" s="6" t="s">
        <v>49</v>
      </c>
      <c r="Q13" s="7" t="str">
        <f>+IFERROR(VLOOKUP(B13,[2]Apple!$B$3:$C$173,2,FALSE),"")</f>
        <v>AR</v>
      </c>
      <c r="R13" s="7" t="str">
        <f>+IFERROR(VLOOKUP(B13,[2]Google!$B$3:$C$99,2,FALSE),"")</f>
        <v>AR</v>
      </c>
    </row>
    <row r="14" spans="2:18">
      <c r="B14" s="7" t="s">
        <v>82</v>
      </c>
      <c r="C14" s="7" t="str">
        <f>+VLOOKUP($B14,'[2]Pricing Scenario - Maintain'!$B$4:$AM$238,2,FALSE)</f>
        <v>Middle East</v>
      </c>
      <c r="D14" s="6" t="s">
        <v>48</v>
      </c>
      <c r="E14" s="6" t="s">
        <v>48</v>
      </c>
      <c r="F14" s="6" t="s">
        <v>48</v>
      </c>
      <c r="G14" s="6" t="s">
        <v>48</v>
      </c>
      <c r="H14" s="6" t="s">
        <v>49</v>
      </c>
      <c r="I14" s="6" t="s">
        <v>49</v>
      </c>
      <c r="J14" s="6" t="s">
        <v>50</v>
      </c>
      <c r="K14" s="6" t="s">
        <v>50</v>
      </c>
      <c r="L14" s="6" t="s">
        <v>50</v>
      </c>
      <c r="M14" s="6" t="s">
        <v>50</v>
      </c>
      <c r="N14" s="6" t="s">
        <v>49</v>
      </c>
      <c r="O14" s="6" t="s">
        <v>49</v>
      </c>
      <c r="P14" s="6" t="s">
        <v>49</v>
      </c>
      <c r="Q14" s="7" t="str">
        <f>+IFERROR(VLOOKUP(B14,[2]Apple!$B$3:$C$173,2,FALSE),"")</f>
        <v>AM</v>
      </c>
      <c r="R14" s="7" t="str">
        <f>+IFERROR(VLOOKUP(B14,[2]Google!$B$3:$C$99,2,FALSE),"")</f>
        <v>AM</v>
      </c>
    </row>
    <row r="15" spans="2:18">
      <c r="B15" s="7" t="s">
        <v>83</v>
      </c>
      <c r="C15" s="7" t="str">
        <f>+VLOOKUP($B15,'[2]Pricing Scenario - Maintain'!$B$4:$AM$238,2,FALSE)</f>
        <v>Latin America</v>
      </c>
      <c r="D15" s="6" t="s">
        <v>48</v>
      </c>
      <c r="E15" s="6" t="s">
        <v>48</v>
      </c>
      <c r="F15" s="6" t="s">
        <v>48</v>
      </c>
      <c r="G15" s="6" t="s">
        <v>48</v>
      </c>
      <c r="H15" s="6" t="s">
        <v>49</v>
      </c>
      <c r="I15" s="6" t="s">
        <v>49</v>
      </c>
      <c r="J15" s="6" t="s">
        <v>50</v>
      </c>
      <c r="K15" s="6" t="s">
        <v>50</v>
      </c>
      <c r="L15" s="6" t="s">
        <v>50</v>
      </c>
      <c r="M15" s="6" t="s">
        <v>50</v>
      </c>
      <c r="N15" s="6" t="s">
        <v>49</v>
      </c>
      <c r="O15" s="6" t="s">
        <v>49</v>
      </c>
      <c r="P15" s="6" t="s">
        <v>49</v>
      </c>
      <c r="Q15" s="7" t="str">
        <f>+IFERROR(VLOOKUP(B15,[2]Apple!$B$3:$C$173,2,FALSE),"")</f>
        <v/>
      </c>
      <c r="R15" s="7" t="str">
        <f>+IFERROR(VLOOKUP(B15,[2]Google!$B$3:$C$99,2,FALSE),"")</f>
        <v>AW</v>
      </c>
    </row>
    <row r="16" spans="2:18">
      <c r="B16" s="7" t="s">
        <v>84</v>
      </c>
      <c r="C16" s="7" t="str">
        <f>+VLOOKUP($B16,'[2]Pricing Scenario - Maintain'!$B$4:$AM$238,2,FALSE)</f>
        <v>Asia</v>
      </c>
      <c r="D16" s="6" t="s">
        <v>48</v>
      </c>
      <c r="E16" s="6" t="s">
        <v>48</v>
      </c>
      <c r="F16" s="6" t="s">
        <v>48</v>
      </c>
      <c r="G16" s="6" t="s">
        <v>48</v>
      </c>
      <c r="H16" s="6" t="s">
        <v>49</v>
      </c>
      <c r="I16" s="6" t="s">
        <v>49</v>
      </c>
      <c r="J16" s="6" t="s">
        <v>50</v>
      </c>
      <c r="K16" s="6" t="s">
        <v>50</v>
      </c>
      <c r="L16" s="6" t="s">
        <v>50</v>
      </c>
      <c r="M16" s="6" t="s">
        <v>50</v>
      </c>
      <c r="N16" s="6" t="s">
        <v>49</v>
      </c>
      <c r="O16" s="6" t="s">
        <v>49</v>
      </c>
      <c r="P16" s="6" t="s">
        <v>49</v>
      </c>
      <c r="Q16" s="7" t="str">
        <f>+IFERROR(VLOOKUP(B16,[2]Apple!$B$3:$C$173,2,FALSE),"")</f>
        <v>AU</v>
      </c>
      <c r="R16" s="7" t="str">
        <f>+IFERROR(VLOOKUP(B16,[2]Google!$B$3:$C$99,2,FALSE),"")</f>
        <v>AU</v>
      </c>
    </row>
    <row r="17" spans="2:18">
      <c r="B17" s="7" t="s">
        <v>85</v>
      </c>
      <c r="C17" s="7" t="str">
        <f>+VLOOKUP($B17,'[2]Pricing Scenario - Maintain'!$B$4:$AM$238,2,FALSE)</f>
        <v>Europe</v>
      </c>
      <c r="D17" s="6" t="s">
        <v>48</v>
      </c>
      <c r="E17" s="6" t="s">
        <v>48</v>
      </c>
      <c r="F17" s="6" t="s">
        <v>48</v>
      </c>
      <c r="G17" s="6" t="s">
        <v>48</v>
      </c>
      <c r="H17" s="6" t="s">
        <v>49</v>
      </c>
      <c r="I17" s="6" t="s">
        <v>49</v>
      </c>
      <c r="J17" s="6" t="s">
        <v>50</v>
      </c>
      <c r="K17" s="6" t="s">
        <v>50</v>
      </c>
      <c r="L17" s="6" t="s">
        <v>50</v>
      </c>
      <c r="M17" s="6" t="s">
        <v>50</v>
      </c>
      <c r="N17" s="6" t="s">
        <v>49</v>
      </c>
      <c r="O17" s="6" t="s">
        <v>49</v>
      </c>
      <c r="P17" s="6" t="s">
        <v>49</v>
      </c>
      <c r="Q17" s="7" t="str">
        <f>+IFERROR(VLOOKUP(B17,[2]Apple!$B$3:$C$173,2,FALSE),"")</f>
        <v>AT</v>
      </c>
      <c r="R17" s="7" t="str">
        <f>+IFERROR(VLOOKUP(B17,[2]Google!$B$3:$C$99,2,FALSE),"")</f>
        <v>AT</v>
      </c>
    </row>
    <row r="18" spans="2:18">
      <c r="B18" s="7" t="s">
        <v>86</v>
      </c>
      <c r="C18" s="7" t="str">
        <f>+VLOOKUP($B18,'[2]Pricing Scenario - Maintain'!$B$4:$AM$238,2,FALSE)</f>
        <v>Middle East</v>
      </c>
      <c r="D18" s="6" t="s">
        <v>48</v>
      </c>
      <c r="E18" s="6" t="s">
        <v>48</v>
      </c>
      <c r="F18" s="6" t="s">
        <v>48</v>
      </c>
      <c r="G18" s="6" t="s">
        <v>48</v>
      </c>
      <c r="H18" s="6" t="s">
        <v>49</v>
      </c>
      <c r="I18" s="6" t="s">
        <v>49</v>
      </c>
      <c r="J18" s="6" t="s">
        <v>50</v>
      </c>
      <c r="K18" s="6" t="s">
        <v>50</v>
      </c>
      <c r="L18" s="6" t="s">
        <v>50</v>
      </c>
      <c r="M18" s="6" t="s">
        <v>50</v>
      </c>
      <c r="N18" s="6" t="s">
        <v>49</v>
      </c>
      <c r="O18" s="6" t="s">
        <v>49</v>
      </c>
      <c r="P18" s="6" t="s">
        <v>49</v>
      </c>
      <c r="Q18" s="7" t="str">
        <f>+IFERROR(VLOOKUP(B18,[2]Apple!$B$3:$C$173,2,FALSE),"")</f>
        <v>AZ</v>
      </c>
      <c r="R18" s="7" t="str">
        <f>+IFERROR(VLOOKUP(B18,[2]Google!$B$3:$C$99,2,FALSE),"")</f>
        <v>AZ</v>
      </c>
    </row>
    <row r="19" spans="2:18">
      <c r="B19" s="7" t="s">
        <v>87</v>
      </c>
      <c r="C19" s="7" t="str">
        <f>+VLOOKUP($B19,'[2]Pricing Scenario - Maintain'!$B$4:$AM$238,2,FALSE)</f>
        <v>Latin America</v>
      </c>
      <c r="D19" s="6" t="s">
        <v>48</v>
      </c>
      <c r="E19" s="6" t="s">
        <v>48</v>
      </c>
      <c r="F19" s="6" t="s">
        <v>48</v>
      </c>
      <c r="G19" s="6" t="s">
        <v>48</v>
      </c>
      <c r="H19" s="6" t="s">
        <v>49</v>
      </c>
      <c r="I19" s="6" t="s">
        <v>49</v>
      </c>
      <c r="J19" s="6" t="s">
        <v>50</v>
      </c>
      <c r="K19" s="6" t="s">
        <v>50</v>
      </c>
      <c r="L19" s="6" t="s">
        <v>50</v>
      </c>
      <c r="M19" s="6" t="s">
        <v>50</v>
      </c>
      <c r="N19" s="6" t="s">
        <v>49</v>
      </c>
      <c r="O19" s="6" t="s">
        <v>49</v>
      </c>
      <c r="P19" s="6" t="s">
        <v>49</v>
      </c>
      <c r="Q19" s="7" t="str">
        <f>+IFERROR(VLOOKUP(B19,[2]Apple!$B$3:$C$173,2,FALSE),"")</f>
        <v>BS</v>
      </c>
      <c r="R19" s="7" t="str">
        <f>+IFERROR(VLOOKUP(B19,[2]Google!$B$3:$C$99,2,FALSE),"")</f>
        <v>BS</v>
      </c>
    </row>
    <row r="20" spans="2:18">
      <c r="B20" s="7" t="s">
        <v>88</v>
      </c>
      <c r="C20" s="7" t="str">
        <f>+VLOOKUP($B20,'[2]Pricing Scenario - Maintain'!$B$4:$AM$238,2,FALSE)</f>
        <v>Middle East</v>
      </c>
      <c r="D20" s="6" t="s">
        <v>48</v>
      </c>
      <c r="E20" s="6" t="s">
        <v>48</v>
      </c>
      <c r="F20" s="6" t="s">
        <v>48</v>
      </c>
      <c r="G20" s="6" t="s">
        <v>48</v>
      </c>
      <c r="H20" s="6" t="s">
        <v>49</v>
      </c>
      <c r="I20" s="6" t="s">
        <v>49</v>
      </c>
      <c r="J20" s="6" t="s">
        <v>50</v>
      </c>
      <c r="K20" s="6" t="s">
        <v>50</v>
      </c>
      <c r="L20" s="6" t="s">
        <v>50</v>
      </c>
      <c r="M20" s="6" t="s">
        <v>50</v>
      </c>
      <c r="N20" s="6" t="s">
        <v>49</v>
      </c>
      <c r="O20" s="6" t="s">
        <v>49</v>
      </c>
      <c r="P20" s="6" t="s">
        <v>49</v>
      </c>
      <c r="Q20" s="7" t="str">
        <f>+IFERROR(VLOOKUP(B20,[2]Apple!$B$3:$C$173,2,FALSE),"")</f>
        <v>BH</v>
      </c>
      <c r="R20" s="7" t="str">
        <f>+IFERROR(VLOOKUP(B20,[2]Google!$B$3:$C$99,2,FALSE),"")</f>
        <v>BH</v>
      </c>
    </row>
    <row r="21" spans="2:18">
      <c r="B21" s="7" t="s">
        <v>89</v>
      </c>
      <c r="C21" s="7" t="str">
        <f>+VLOOKUP($B21,'[2]Pricing Scenario - Maintain'!$B$4:$AM$238,2,FALSE)</f>
        <v>Asia</v>
      </c>
      <c r="D21" s="6" t="s">
        <v>48</v>
      </c>
      <c r="E21" s="6" t="s">
        <v>48</v>
      </c>
      <c r="F21" s="6" t="s">
        <v>48</v>
      </c>
      <c r="G21" s="6" t="s">
        <v>48</v>
      </c>
      <c r="H21" s="6" t="s">
        <v>49</v>
      </c>
      <c r="I21" s="6" t="s">
        <v>49</v>
      </c>
      <c r="J21" s="6" t="s">
        <v>50</v>
      </c>
      <c r="K21" s="6" t="s">
        <v>50</v>
      </c>
      <c r="L21" s="6" t="s">
        <v>50</v>
      </c>
      <c r="M21" s="6" t="s">
        <v>50</v>
      </c>
      <c r="N21" s="6" t="s">
        <v>49</v>
      </c>
      <c r="O21" s="6" t="s">
        <v>49</v>
      </c>
      <c r="P21" s="6" t="s">
        <v>49</v>
      </c>
      <c r="Q21" s="7" t="str">
        <f>+IFERROR(VLOOKUP(B21,[2]Apple!$B$3:$C$173,2,FALSE),"")</f>
        <v/>
      </c>
      <c r="R21" s="7" t="str">
        <f>+IFERROR(VLOOKUP(B21,[2]Google!$B$3:$C$99,2,FALSE),"")</f>
        <v>BD</v>
      </c>
    </row>
    <row r="22" spans="2:18">
      <c r="B22" s="7" t="s">
        <v>90</v>
      </c>
      <c r="C22" s="7" t="str">
        <f>+VLOOKUP($B22,'[2]Pricing Scenario - Maintain'!$B$4:$AM$238,2,FALSE)</f>
        <v>Latin America</v>
      </c>
      <c r="D22" s="6" t="s">
        <v>48</v>
      </c>
      <c r="E22" s="6" t="s">
        <v>48</v>
      </c>
      <c r="F22" s="6" t="s">
        <v>48</v>
      </c>
      <c r="G22" s="6" t="s">
        <v>48</v>
      </c>
      <c r="H22" s="6" t="s">
        <v>49</v>
      </c>
      <c r="I22" s="6" t="s">
        <v>49</v>
      </c>
      <c r="J22" s="6" t="s">
        <v>50</v>
      </c>
      <c r="K22" s="6" t="s">
        <v>50</v>
      </c>
      <c r="L22" s="6" t="s">
        <v>50</v>
      </c>
      <c r="M22" s="6" t="s">
        <v>50</v>
      </c>
      <c r="N22" s="6" t="s">
        <v>49</v>
      </c>
      <c r="O22" s="6" t="s">
        <v>49</v>
      </c>
      <c r="P22" s="6" t="s">
        <v>49</v>
      </c>
      <c r="Q22" s="7" t="str">
        <f>+IFERROR(VLOOKUP(B22,[2]Apple!$B$3:$C$173,2,FALSE),"")</f>
        <v>BB</v>
      </c>
      <c r="R22" s="7" t="str">
        <f>+IFERROR(VLOOKUP(B22,[2]Google!$B$3:$C$99,2,FALSE),"")</f>
        <v/>
      </c>
    </row>
    <row r="23" spans="2:18" hidden="1" outlineLevel="1">
      <c r="B23" s="105" t="s">
        <v>91</v>
      </c>
      <c r="C23" s="105" t="str">
        <f>+VLOOKUP($B23,'[2]Pricing Scenario - Maintain'!$B$4:$AM$238,2,FALSE)</f>
        <v>Europe</v>
      </c>
      <c r="D23" s="29"/>
      <c r="E23" s="29"/>
      <c r="F23" s="27"/>
      <c r="G23" s="27"/>
      <c r="H23" s="27"/>
      <c r="I23" s="27"/>
      <c r="J23" s="27"/>
      <c r="K23" s="27"/>
      <c r="L23" s="27"/>
      <c r="M23" s="27"/>
      <c r="N23" s="8"/>
      <c r="O23" s="8"/>
      <c r="P23" s="8"/>
      <c r="Q23" s="7" t="str">
        <f>+IFERROR(VLOOKUP(B23,[2]Apple!$B$3:$C$173,2,FALSE),"")</f>
        <v>BY</v>
      </c>
      <c r="R23" s="7" t="str">
        <f>+IFERROR(VLOOKUP(B23,[2]Google!$B$3:$C$99,2,FALSE),"")</f>
        <v>BY</v>
      </c>
    </row>
    <row r="24" spans="2:18" collapsed="1">
      <c r="B24" s="7" t="s">
        <v>92</v>
      </c>
      <c r="C24" s="7" t="str">
        <f>+VLOOKUP($B24,'[2]Pricing Scenario - Maintain'!$B$4:$AM$238,2,FALSE)</f>
        <v>Europe</v>
      </c>
      <c r="D24" s="6" t="s">
        <v>48</v>
      </c>
      <c r="E24" s="6" t="s">
        <v>48</v>
      </c>
      <c r="F24" s="6" t="s">
        <v>48</v>
      </c>
      <c r="G24" s="6" t="s">
        <v>48</v>
      </c>
      <c r="H24" s="6" t="s">
        <v>49</v>
      </c>
      <c r="I24" s="6" t="s">
        <v>49</v>
      </c>
      <c r="J24" s="6" t="s">
        <v>50</v>
      </c>
      <c r="K24" s="6" t="s">
        <v>50</v>
      </c>
      <c r="L24" s="6" t="s">
        <v>50</v>
      </c>
      <c r="M24" s="6" t="s">
        <v>50</v>
      </c>
      <c r="N24" s="6" t="s">
        <v>49</v>
      </c>
      <c r="O24" s="6" t="s">
        <v>49</v>
      </c>
      <c r="P24" s="6" t="s">
        <v>49</v>
      </c>
      <c r="Q24" s="7" t="str">
        <f>+IFERROR(VLOOKUP(B24,[2]Apple!$B$3:$C$173,2,FALSE),"")</f>
        <v>BE</v>
      </c>
      <c r="R24" s="7" t="str">
        <f>+IFERROR(VLOOKUP(B24,[2]Google!$B$3:$C$99,2,FALSE),"")</f>
        <v>BE</v>
      </c>
    </row>
    <row r="25" spans="2:18">
      <c r="B25" s="7" t="s">
        <v>93</v>
      </c>
      <c r="C25" s="7" t="str">
        <f>+VLOOKUP($B25,'[2]Pricing Scenario - Maintain'!$B$4:$AM$238,2,FALSE)</f>
        <v>Latin America</v>
      </c>
      <c r="D25" s="6" t="s">
        <v>48</v>
      </c>
      <c r="E25" s="6" t="s">
        <v>48</v>
      </c>
      <c r="F25" s="6" t="s">
        <v>48</v>
      </c>
      <c r="G25" s="6" t="s">
        <v>48</v>
      </c>
      <c r="H25" s="6" t="s">
        <v>49</v>
      </c>
      <c r="I25" s="6" t="s">
        <v>49</v>
      </c>
      <c r="J25" s="6" t="s">
        <v>50</v>
      </c>
      <c r="K25" s="6" t="s">
        <v>50</v>
      </c>
      <c r="L25" s="6" t="s">
        <v>50</v>
      </c>
      <c r="M25" s="6" t="s">
        <v>50</v>
      </c>
      <c r="N25" s="6" t="s">
        <v>49</v>
      </c>
      <c r="O25" s="6" t="s">
        <v>49</v>
      </c>
      <c r="P25" s="6" t="s">
        <v>49</v>
      </c>
      <c r="Q25" s="7" t="str">
        <f>+IFERROR(VLOOKUP(B25,[2]Apple!$B$3:$C$173,2,FALSE),"")</f>
        <v>BZ</v>
      </c>
      <c r="R25" s="7" t="str">
        <f>+IFERROR(VLOOKUP(B25,[2]Google!$B$3:$C$99,2,FALSE),"")</f>
        <v>BZ</v>
      </c>
    </row>
    <row r="26" spans="2:18">
      <c r="B26" s="7" t="s">
        <v>94</v>
      </c>
      <c r="C26" s="7" t="str">
        <f>+VLOOKUP($B26,'[2]Pricing Scenario - Maintain'!$B$4:$AM$238,2,FALSE)</f>
        <v>Africa</v>
      </c>
      <c r="D26" s="6" t="s">
        <v>48</v>
      </c>
      <c r="E26" s="6" t="s">
        <v>48</v>
      </c>
      <c r="F26" s="6" t="s">
        <v>48</v>
      </c>
      <c r="G26" s="6" t="s">
        <v>48</v>
      </c>
      <c r="H26" s="6" t="s">
        <v>49</v>
      </c>
      <c r="I26" s="6" t="s">
        <v>49</v>
      </c>
      <c r="J26" s="6" t="s">
        <v>50</v>
      </c>
      <c r="K26" s="6" t="s">
        <v>50</v>
      </c>
      <c r="L26" s="6" t="s">
        <v>50</v>
      </c>
      <c r="M26" s="6" t="s">
        <v>50</v>
      </c>
      <c r="N26" s="6" t="s">
        <v>49</v>
      </c>
      <c r="O26" s="6" t="s">
        <v>49</v>
      </c>
      <c r="P26" s="6" t="s">
        <v>49</v>
      </c>
      <c r="Q26" s="7" t="str">
        <f>+IFERROR(VLOOKUP(B26,[2]Apple!$B$3:$C$173,2,FALSE),"")</f>
        <v>BJ</v>
      </c>
      <c r="R26" s="7" t="str">
        <f>+IFERROR(VLOOKUP(B26,[2]Google!$B$3:$C$99,2,FALSE),"")</f>
        <v>BJ</v>
      </c>
    </row>
    <row r="27" spans="2:18">
      <c r="B27" s="7" t="s">
        <v>95</v>
      </c>
      <c r="C27" s="20" t="s">
        <v>96</v>
      </c>
      <c r="D27" s="6" t="s">
        <v>48</v>
      </c>
      <c r="E27" s="6" t="s">
        <v>48</v>
      </c>
      <c r="F27" s="6" t="s">
        <v>48</v>
      </c>
      <c r="G27" s="6" t="s">
        <v>48</v>
      </c>
      <c r="H27" s="6" t="s">
        <v>49</v>
      </c>
      <c r="I27" s="6" t="s">
        <v>49</v>
      </c>
      <c r="J27" s="6" t="s">
        <v>50</v>
      </c>
      <c r="K27" s="6" t="s">
        <v>50</v>
      </c>
      <c r="L27" s="6" t="s">
        <v>50</v>
      </c>
      <c r="M27" s="6" t="s">
        <v>50</v>
      </c>
      <c r="N27" s="6" t="s">
        <v>49</v>
      </c>
      <c r="O27" s="6" t="s">
        <v>49</v>
      </c>
      <c r="P27" s="6" t="s">
        <v>49</v>
      </c>
      <c r="Q27" s="7" t="str">
        <f>+IFERROR(VLOOKUP(B27,[2]Apple!$B$3:$C$173,2,FALSE),"")</f>
        <v>BM</v>
      </c>
      <c r="R27" s="7" t="str">
        <f>+IFERROR(VLOOKUP(B27,[2]Google!$B$3:$C$99,2,FALSE),"")</f>
        <v>BM</v>
      </c>
    </row>
    <row r="28" spans="2:18">
      <c r="B28" s="7" t="s">
        <v>97</v>
      </c>
      <c r="C28" s="7" t="str">
        <f>+VLOOKUP($B28,'[2]Pricing Scenario - Maintain'!$B$4:$AM$238,2,FALSE)</f>
        <v>Asia</v>
      </c>
      <c r="D28" s="6" t="s">
        <v>48</v>
      </c>
      <c r="E28" s="6" t="s">
        <v>48</v>
      </c>
      <c r="F28" s="6" t="s">
        <v>48</v>
      </c>
      <c r="G28" s="6" t="s">
        <v>48</v>
      </c>
      <c r="H28" s="6" t="s">
        <v>49</v>
      </c>
      <c r="I28" s="6" t="s">
        <v>49</v>
      </c>
      <c r="J28" s="6" t="s">
        <v>50</v>
      </c>
      <c r="K28" s="6" t="s">
        <v>50</v>
      </c>
      <c r="L28" s="6" t="s">
        <v>50</v>
      </c>
      <c r="M28" s="6" t="s">
        <v>50</v>
      </c>
      <c r="N28" s="6" t="s">
        <v>49</v>
      </c>
      <c r="O28" s="6" t="s">
        <v>49</v>
      </c>
      <c r="P28" s="6" t="s">
        <v>49</v>
      </c>
      <c r="Q28" s="7" t="str">
        <f>+IFERROR(VLOOKUP(B28,[2]Apple!$B$3:$C$173,2,FALSE),"")</f>
        <v>BT</v>
      </c>
      <c r="R28" s="7" t="str">
        <f>+IFERROR(VLOOKUP(B28,[2]Google!$B$3:$C$99,2,FALSE),"")</f>
        <v/>
      </c>
    </row>
    <row r="29" spans="2:18">
      <c r="B29" s="7" t="s">
        <v>98</v>
      </c>
      <c r="C29" s="7" t="s">
        <v>96</v>
      </c>
      <c r="D29" s="6" t="s">
        <v>48</v>
      </c>
      <c r="E29" s="6" t="s">
        <v>48</v>
      </c>
      <c r="F29" s="6" t="s">
        <v>48</v>
      </c>
      <c r="G29" s="6" t="s">
        <v>48</v>
      </c>
      <c r="H29" s="6" t="s">
        <v>49</v>
      </c>
      <c r="I29" s="6" t="s">
        <v>49</v>
      </c>
      <c r="J29" s="6" t="s">
        <v>50</v>
      </c>
      <c r="K29" s="6" t="s">
        <v>50</v>
      </c>
      <c r="L29" s="6" t="s">
        <v>50</v>
      </c>
      <c r="M29" s="6" t="s">
        <v>50</v>
      </c>
      <c r="N29" s="6" t="s">
        <v>49</v>
      </c>
      <c r="O29" s="6" t="s">
        <v>49</v>
      </c>
      <c r="P29" s="6" t="s">
        <v>49</v>
      </c>
      <c r="Q29" s="7" t="str">
        <f>+IFERROR(VLOOKUP(B29,[2]Apple!$B$3:$C$173,2,FALSE),"")</f>
        <v>BO</v>
      </c>
      <c r="R29" s="7" t="str">
        <f>+IFERROR(VLOOKUP(B29,[2]Google!$B$3:$C$99,2,FALSE),"")</f>
        <v>BO</v>
      </c>
    </row>
    <row r="30" spans="2:18">
      <c r="B30" s="7" t="s">
        <v>99</v>
      </c>
      <c r="C30" s="7" t="s">
        <v>100</v>
      </c>
      <c r="D30" s="6" t="s">
        <v>72</v>
      </c>
      <c r="E30" s="6" t="s">
        <v>72</v>
      </c>
      <c r="F30" s="6" t="s">
        <v>72</v>
      </c>
      <c r="G30" s="6" t="s">
        <v>72</v>
      </c>
      <c r="H30" s="6" t="s">
        <v>49</v>
      </c>
      <c r="I30" s="6" t="s">
        <v>49</v>
      </c>
      <c r="J30" s="6" t="s">
        <v>50</v>
      </c>
      <c r="K30" s="6" t="s">
        <v>50</v>
      </c>
      <c r="L30" s="6" t="s">
        <v>50</v>
      </c>
      <c r="M30" s="6" t="s">
        <v>50</v>
      </c>
      <c r="N30" s="6" t="s">
        <v>49</v>
      </c>
      <c r="O30" s="6" t="s">
        <v>49</v>
      </c>
      <c r="P30" s="6" t="s">
        <v>49</v>
      </c>
      <c r="Q30" s="7" t="str">
        <f>+IFERROR(VLOOKUP(B30,[2]Apple!$B$3:$C$173,2,FALSE),"")</f>
        <v/>
      </c>
      <c r="R30" s="7" t="str">
        <f>+IFERROR(VLOOKUP(B30,[2]Google!$B$3:$C$99,2,FALSE),"")</f>
        <v/>
      </c>
    </row>
    <row r="31" spans="2:18">
      <c r="B31" s="7" t="s">
        <v>101</v>
      </c>
      <c r="C31" s="7" t="str">
        <f>+VLOOKUP($B31,'[2]Pricing Scenario - Maintain'!$B$4:$AM$238,2,FALSE)</f>
        <v>Europe</v>
      </c>
      <c r="D31" s="6" t="s">
        <v>48</v>
      </c>
      <c r="E31" s="6" t="s">
        <v>48</v>
      </c>
      <c r="F31" s="6" t="s">
        <v>48</v>
      </c>
      <c r="G31" s="6" t="s">
        <v>48</v>
      </c>
      <c r="H31" s="6" t="s">
        <v>49</v>
      </c>
      <c r="I31" s="6" t="s">
        <v>49</v>
      </c>
      <c r="J31" s="6" t="s">
        <v>50</v>
      </c>
      <c r="K31" s="6" t="s">
        <v>50</v>
      </c>
      <c r="L31" s="6" t="s">
        <v>50</v>
      </c>
      <c r="M31" s="6" t="s">
        <v>50</v>
      </c>
      <c r="N31" s="6" t="s">
        <v>49</v>
      </c>
      <c r="O31" s="6" t="s">
        <v>49</v>
      </c>
      <c r="P31" s="6" t="s">
        <v>49</v>
      </c>
      <c r="Q31" s="7" t="str">
        <f>+IFERROR(VLOOKUP(B31,[2]Apple!$B$3:$C$173,2,FALSE),"")</f>
        <v>BA</v>
      </c>
      <c r="R31" s="7" t="str">
        <f>+IFERROR(VLOOKUP(B31,[2]Google!$B$3:$C$99,2,FALSE),"")</f>
        <v>BA</v>
      </c>
    </row>
    <row r="32" spans="2:18">
      <c r="B32" s="7" t="s">
        <v>102</v>
      </c>
      <c r="C32" s="7" t="str">
        <f>+VLOOKUP($B32,'[2]Pricing Scenario - Maintain'!$B$4:$AM$238,2,FALSE)</f>
        <v>Africa</v>
      </c>
      <c r="D32" s="6" t="s">
        <v>48</v>
      </c>
      <c r="E32" s="6" t="s">
        <v>48</v>
      </c>
      <c r="F32" s="6" t="s">
        <v>48</v>
      </c>
      <c r="G32" s="6" t="s">
        <v>48</v>
      </c>
      <c r="H32" s="6" t="s">
        <v>49</v>
      </c>
      <c r="I32" s="6" t="s">
        <v>49</v>
      </c>
      <c r="J32" s="6" t="s">
        <v>50</v>
      </c>
      <c r="K32" s="6" t="s">
        <v>50</v>
      </c>
      <c r="L32" s="6" t="s">
        <v>50</v>
      </c>
      <c r="M32" s="6" t="s">
        <v>50</v>
      </c>
      <c r="N32" s="6" t="s">
        <v>49</v>
      </c>
      <c r="O32" s="6" t="s">
        <v>49</v>
      </c>
      <c r="P32" s="6" t="s">
        <v>49</v>
      </c>
      <c r="Q32" s="7" t="str">
        <f>+IFERROR(VLOOKUP(B32,[2]Apple!$B$3:$C$173,2,FALSE),"")</f>
        <v>BW</v>
      </c>
      <c r="R32" s="7" t="str">
        <f>+IFERROR(VLOOKUP(B32,[2]Google!$B$3:$C$99,2,FALSE),"")</f>
        <v>BW</v>
      </c>
    </row>
    <row r="33" spans="2:18">
      <c r="B33" s="7" t="s">
        <v>103</v>
      </c>
      <c r="C33" s="7" t="str">
        <f>+VLOOKUP($B33,'[2]Pricing Scenario - Maintain'!$B$4:$AM$238,2,FALSE)</f>
        <v>Europe</v>
      </c>
      <c r="D33" s="6" t="s">
        <v>72</v>
      </c>
      <c r="E33" s="6" t="s">
        <v>72</v>
      </c>
      <c r="F33" s="6" t="s">
        <v>72</v>
      </c>
      <c r="G33" s="6" t="s">
        <v>72</v>
      </c>
      <c r="H33" s="6" t="s">
        <v>49</v>
      </c>
      <c r="I33" s="6" t="s">
        <v>49</v>
      </c>
      <c r="J33" s="6" t="s">
        <v>50</v>
      </c>
      <c r="K33" s="6" t="s">
        <v>50</v>
      </c>
      <c r="L33" s="6" t="s">
        <v>50</v>
      </c>
      <c r="M33" s="6" t="s">
        <v>50</v>
      </c>
      <c r="N33" s="6" t="s">
        <v>49</v>
      </c>
      <c r="O33" s="6" t="s">
        <v>49</v>
      </c>
      <c r="P33" s="6" t="s">
        <v>49</v>
      </c>
      <c r="Q33" s="7" t="str">
        <f>+IFERROR(VLOOKUP(B33,[2]Apple!$B$3:$C$173,2,FALSE),"")</f>
        <v/>
      </c>
      <c r="R33" s="7" t="str">
        <f>+IFERROR(VLOOKUP(B33,[2]Google!$B$3:$C$99,2,FALSE),"")</f>
        <v/>
      </c>
    </row>
    <row r="34" spans="2:18">
      <c r="B34" s="7" t="s">
        <v>104</v>
      </c>
      <c r="C34" s="7" t="str">
        <f>+VLOOKUP($B34,'[2]Pricing Scenario - Maintain'!$B$4:$AM$238,2,FALSE)</f>
        <v>Latin America</v>
      </c>
      <c r="D34" s="6" t="s">
        <v>48</v>
      </c>
      <c r="E34" s="6" t="s">
        <v>48</v>
      </c>
      <c r="F34" s="6" t="s">
        <v>48</v>
      </c>
      <c r="G34" s="6" t="s">
        <v>48</v>
      </c>
      <c r="H34" s="6" t="s">
        <v>49</v>
      </c>
      <c r="I34" s="6" t="s">
        <v>49</v>
      </c>
      <c r="J34" s="6" t="s">
        <v>50</v>
      </c>
      <c r="K34" s="6" t="s">
        <v>50</v>
      </c>
      <c r="L34" s="6" t="s">
        <v>50</v>
      </c>
      <c r="M34" s="6" t="s">
        <v>50</v>
      </c>
      <c r="N34" s="6" t="s">
        <v>49</v>
      </c>
      <c r="O34" s="6" t="s">
        <v>49</v>
      </c>
      <c r="P34" s="6" t="s">
        <v>49</v>
      </c>
      <c r="Q34" s="7" t="str">
        <f>+IFERROR(VLOOKUP(B34,[2]Apple!$B$3:$C$173,2,FALSE),"")</f>
        <v>BR</v>
      </c>
      <c r="R34" s="7" t="str">
        <f>+IFERROR(VLOOKUP(B34,[2]Google!$B$3:$C$99,2,FALSE),"")</f>
        <v>BR</v>
      </c>
    </row>
    <row r="35" spans="2:18">
      <c r="B35" s="7" t="s">
        <v>105</v>
      </c>
      <c r="C35" s="7" t="str">
        <f>+VLOOKUP($B35,'[2]Pricing Scenario - Maintain'!$B$4:$AM$238,2,FALSE)</f>
        <v>Asia</v>
      </c>
      <c r="D35" s="6" t="s">
        <v>72</v>
      </c>
      <c r="E35" s="6" t="s">
        <v>72</v>
      </c>
      <c r="F35" s="6" t="s">
        <v>72</v>
      </c>
      <c r="G35" s="6" t="s">
        <v>72</v>
      </c>
      <c r="H35" s="6" t="s">
        <v>49</v>
      </c>
      <c r="I35" s="6" t="s">
        <v>49</v>
      </c>
      <c r="J35" s="6" t="s">
        <v>50</v>
      </c>
      <c r="K35" s="6" t="s">
        <v>50</v>
      </c>
      <c r="L35" s="6" t="s">
        <v>50</v>
      </c>
      <c r="M35" s="6" t="s">
        <v>50</v>
      </c>
      <c r="N35" s="6" t="s">
        <v>49</v>
      </c>
      <c r="O35" s="6" t="s">
        <v>49</v>
      </c>
      <c r="P35" s="6" t="s">
        <v>49</v>
      </c>
      <c r="Q35" s="7" t="str">
        <f>+IFERROR(VLOOKUP(B35,[2]Apple!$B$3:$C$173,2,FALSE),"")</f>
        <v/>
      </c>
      <c r="R35" s="7" t="str">
        <f>+IFERROR(VLOOKUP(B35,[2]Google!$B$3:$C$99,2,FALSE),"")</f>
        <v/>
      </c>
    </row>
    <row r="36" spans="2:18">
      <c r="B36" s="7" t="s">
        <v>106</v>
      </c>
      <c r="C36" s="7" t="str">
        <f>+VLOOKUP($B36,'[2]Pricing Scenario - Maintain'!$B$4:$AM$238,2,FALSE)</f>
        <v>Latin America</v>
      </c>
      <c r="D36" s="6" t="s">
        <v>48</v>
      </c>
      <c r="E36" s="6" t="s">
        <v>48</v>
      </c>
      <c r="F36" s="6" t="s">
        <v>48</v>
      </c>
      <c r="G36" s="6" t="s">
        <v>48</v>
      </c>
      <c r="H36" s="6" t="s">
        <v>49</v>
      </c>
      <c r="I36" s="6" t="s">
        <v>49</v>
      </c>
      <c r="J36" s="6" t="s">
        <v>50</v>
      </c>
      <c r="K36" s="6" t="s">
        <v>50</v>
      </c>
      <c r="L36" s="6" t="s">
        <v>50</v>
      </c>
      <c r="M36" s="6" t="s">
        <v>50</v>
      </c>
      <c r="N36" s="6" t="s">
        <v>49</v>
      </c>
      <c r="O36" s="6" t="s">
        <v>49</v>
      </c>
      <c r="P36" s="6" t="s">
        <v>49</v>
      </c>
      <c r="Q36" s="7" t="str">
        <f>+IFERROR(VLOOKUP(B36,[2]Apple!$B$3:$C$173,2,FALSE),"")</f>
        <v>VG</v>
      </c>
      <c r="R36" s="7" t="str">
        <f>+IFERROR(VLOOKUP(B36,[2]Google!$B$3:$C$99,2,FALSE),"")</f>
        <v>VG</v>
      </c>
    </row>
    <row r="37" spans="2:18">
      <c r="B37" s="7" t="s">
        <v>107</v>
      </c>
      <c r="C37" s="7" t="str">
        <f>+VLOOKUP($B37,'[2]Pricing Scenario - Maintain'!$B$4:$AM$238,2,FALSE)</f>
        <v>Asia</v>
      </c>
      <c r="D37" s="6" t="s">
        <v>48</v>
      </c>
      <c r="E37" s="6" t="s">
        <v>48</v>
      </c>
      <c r="F37" s="6" t="s">
        <v>48</v>
      </c>
      <c r="G37" s="6" t="s">
        <v>48</v>
      </c>
      <c r="H37" s="6" t="s">
        <v>49</v>
      </c>
      <c r="I37" s="6" t="s">
        <v>49</v>
      </c>
      <c r="J37" s="6" t="s">
        <v>50</v>
      </c>
      <c r="K37" s="6" t="s">
        <v>50</v>
      </c>
      <c r="L37" s="6" t="s">
        <v>50</v>
      </c>
      <c r="M37" s="6" t="s">
        <v>50</v>
      </c>
      <c r="N37" s="6" t="s">
        <v>49</v>
      </c>
      <c r="O37" s="6" t="s">
        <v>49</v>
      </c>
      <c r="P37" s="6" t="s">
        <v>49</v>
      </c>
      <c r="Q37" s="7" t="str">
        <f>+IFERROR(VLOOKUP(B37,[2]Apple!$B$3:$C$173,2,FALSE),"")</f>
        <v>BN</v>
      </c>
      <c r="R37" s="7" t="str">
        <f>+IFERROR(VLOOKUP(B37,[2]Google!$B$3:$C$99,2,FALSE),"")</f>
        <v/>
      </c>
    </row>
    <row r="38" spans="2:18">
      <c r="B38" s="7" t="s">
        <v>108</v>
      </c>
      <c r="C38" s="7" t="str">
        <f>+VLOOKUP($B38,'[2]Pricing Scenario - Maintain'!$B$4:$AM$238,2,FALSE)</f>
        <v>Europe</v>
      </c>
      <c r="D38" s="6" t="s">
        <v>48</v>
      </c>
      <c r="E38" s="6" t="s">
        <v>48</v>
      </c>
      <c r="F38" s="6" t="s">
        <v>48</v>
      </c>
      <c r="G38" s="6" t="s">
        <v>48</v>
      </c>
      <c r="H38" s="6" t="s">
        <v>49</v>
      </c>
      <c r="I38" s="6" t="s">
        <v>49</v>
      </c>
      <c r="J38" s="6" t="s">
        <v>50</v>
      </c>
      <c r="K38" s="6" t="s">
        <v>50</v>
      </c>
      <c r="L38" s="6" t="s">
        <v>50</v>
      </c>
      <c r="M38" s="6" t="s">
        <v>50</v>
      </c>
      <c r="N38" s="6" t="s">
        <v>49</v>
      </c>
      <c r="O38" s="6" t="s">
        <v>49</v>
      </c>
      <c r="P38" s="6" t="s">
        <v>49</v>
      </c>
      <c r="Q38" s="7" t="str">
        <f>+IFERROR(VLOOKUP(B38,[2]Apple!$B$3:$C$173,2,FALSE),"")</f>
        <v>BG</v>
      </c>
      <c r="R38" s="7" t="str">
        <f>+IFERROR(VLOOKUP(B38,[2]Google!$B$3:$C$99,2,FALSE),"")</f>
        <v>BG</v>
      </c>
    </row>
    <row r="39" spans="2:18">
      <c r="B39" s="7" t="s">
        <v>109</v>
      </c>
      <c r="C39" s="7" t="str">
        <f>+VLOOKUP($B39,'[2]Pricing Scenario - Maintain'!$B$4:$AM$238,2,FALSE)</f>
        <v>Africa</v>
      </c>
      <c r="D39" s="6" t="s">
        <v>48</v>
      </c>
      <c r="E39" s="6" t="s">
        <v>48</v>
      </c>
      <c r="F39" s="6" t="s">
        <v>48</v>
      </c>
      <c r="G39" s="6" t="s">
        <v>48</v>
      </c>
      <c r="H39" s="6" t="s">
        <v>49</v>
      </c>
      <c r="I39" s="6" t="s">
        <v>49</v>
      </c>
      <c r="J39" s="6" t="s">
        <v>50</v>
      </c>
      <c r="K39" s="6" t="s">
        <v>50</v>
      </c>
      <c r="L39" s="6" t="s">
        <v>50</v>
      </c>
      <c r="M39" s="6" t="s">
        <v>50</v>
      </c>
      <c r="N39" s="6" t="s">
        <v>49</v>
      </c>
      <c r="O39" s="6" t="s">
        <v>49</v>
      </c>
      <c r="P39" s="6" t="s">
        <v>49</v>
      </c>
      <c r="Q39" s="7" t="str">
        <f>+IFERROR(VLOOKUP(B39,[2]Apple!$B$3:$C$173,2,FALSE),"")</f>
        <v>BF</v>
      </c>
      <c r="R39" s="7" t="str">
        <f>+IFERROR(VLOOKUP(B39,[2]Google!$B$3:$C$99,2,FALSE),"")</f>
        <v>BF</v>
      </c>
    </row>
    <row r="40" spans="2:18">
      <c r="B40" s="7" t="s">
        <v>110</v>
      </c>
      <c r="C40" s="7" t="str">
        <f>+VLOOKUP($B40,'[2]Pricing Scenario - Maintain'!$B$4:$AM$238,2,FALSE)</f>
        <v>Africa</v>
      </c>
      <c r="D40" s="6" t="s">
        <v>72</v>
      </c>
      <c r="E40" s="6" t="s">
        <v>72</v>
      </c>
      <c r="F40" s="6" t="s">
        <v>72</v>
      </c>
      <c r="G40" s="6" t="s">
        <v>72</v>
      </c>
      <c r="H40" s="6" t="s">
        <v>49</v>
      </c>
      <c r="I40" s="6" t="s">
        <v>49</v>
      </c>
      <c r="J40" s="6" t="s">
        <v>50</v>
      </c>
      <c r="K40" s="6" t="s">
        <v>50</v>
      </c>
      <c r="L40" s="6" t="s">
        <v>50</v>
      </c>
      <c r="M40" s="6" t="s">
        <v>50</v>
      </c>
      <c r="N40" s="6" t="s">
        <v>49</v>
      </c>
      <c r="O40" s="6" t="s">
        <v>49</v>
      </c>
      <c r="P40" s="6" t="s">
        <v>49</v>
      </c>
      <c r="Q40" s="7" t="str">
        <f>+IFERROR(VLOOKUP(B40,[2]Apple!$B$3:$C$173,2,FALSE),"")</f>
        <v/>
      </c>
      <c r="R40" s="7" t="str">
        <f>+IFERROR(VLOOKUP(B40,[2]Google!$B$3:$C$99,2,FALSE),"")</f>
        <v/>
      </c>
    </row>
    <row r="41" spans="2:18">
      <c r="B41" s="7" t="s">
        <v>111</v>
      </c>
      <c r="C41" s="7" t="str">
        <f>+VLOOKUP($B41,'[2]Pricing Scenario - Maintain'!$B$4:$AM$238,2,FALSE)</f>
        <v>Asia</v>
      </c>
      <c r="D41" s="6" t="s">
        <v>48</v>
      </c>
      <c r="E41" s="6" t="s">
        <v>48</v>
      </c>
      <c r="F41" s="6" t="s">
        <v>48</v>
      </c>
      <c r="G41" s="6" t="s">
        <v>48</v>
      </c>
      <c r="H41" s="6" t="s">
        <v>49</v>
      </c>
      <c r="I41" s="6" t="s">
        <v>49</v>
      </c>
      <c r="J41" s="6" t="s">
        <v>50</v>
      </c>
      <c r="K41" s="6" t="s">
        <v>50</v>
      </c>
      <c r="L41" s="6" t="s">
        <v>50</v>
      </c>
      <c r="M41" s="6" t="s">
        <v>50</v>
      </c>
      <c r="N41" s="6" t="s">
        <v>49</v>
      </c>
      <c r="O41" s="6" t="s">
        <v>49</v>
      </c>
      <c r="P41" s="6" t="s">
        <v>49</v>
      </c>
      <c r="Q41" s="7" t="str">
        <f>+IFERROR(VLOOKUP(B41,[2]Apple!$B$3:$C$173,2,FALSE),"")</f>
        <v>KH</v>
      </c>
      <c r="R41" s="7" t="str">
        <f>+IFERROR(VLOOKUP(B41,[2]Google!$B$3:$C$99,2,FALSE),"")</f>
        <v>KH</v>
      </c>
    </row>
    <row r="42" spans="2:18">
      <c r="B42" s="7" t="s">
        <v>112</v>
      </c>
      <c r="C42" s="7" t="str">
        <f>+VLOOKUP($B42,'[2]Pricing Scenario - Maintain'!$B$4:$AM$238,2,FALSE)</f>
        <v>Africa</v>
      </c>
      <c r="D42" s="6" t="s">
        <v>48</v>
      </c>
      <c r="E42" s="6" t="s">
        <v>48</v>
      </c>
      <c r="F42" s="6" t="s">
        <v>48</v>
      </c>
      <c r="G42" s="6" t="s">
        <v>48</v>
      </c>
      <c r="H42" s="6" t="s">
        <v>49</v>
      </c>
      <c r="I42" s="6" t="s">
        <v>49</v>
      </c>
      <c r="J42" s="6" t="s">
        <v>50</v>
      </c>
      <c r="K42" s="6" t="s">
        <v>50</v>
      </c>
      <c r="L42" s="6" t="s">
        <v>50</v>
      </c>
      <c r="M42" s="6" t="s">
        <v>50</v>
      </c>
      <c r="N42" s="6" t="s">
        <v>49</v>
      </c>
      <c r="O42" s="6" t="s">
        <v>49</v>
      </c>
      <c r="P42" s="6" t="s">
        <v>49</v>
      </c>
      <c r="Q42" s="7" t="str">
        <f>+IFERROR(VLOOKUP(B42,[2]Apple!$B$3:$C$173,2,FALSE),"")</f>
        <v>CM</v>
      </c>
      <c r="R42" s="7" t="str">
        <f>+IFERROR(VLOOKUP(B42,[2]Google!$B$3:$C$99,2,FALSE),"")</f>
        <v>CM</v>
      </c>
    </row>
    <row r="43" spans="2:18">
      <c r="B43" s="7" t="s">
        <v>113</v>
      </c>
      <c r="C43" s="7" t="str">
        <f>+VLOOKUP($B43,'[2]Pricing Scenario - Maintain'!$B$4:$AM$238,2,FALSE)</f>
        <v>Canada</v>
      </c>
      <c r="D43" s="6" t="s">
        <v>48</v>
      </c>
      <c r="E43" s="6" t="s">
        <v>48</v>
      </c>
      <c r="F43" s="6" t="s">
        <v>48</v>
      </c>
      <c r="G43" s="6" t="s">
        <v>48</v>
      </c>
      <c r="H43" s="6" t="s">
        <v>49</v>
      </c>
      <c r="I43" s="6" t="s">
        <v>49</v>
      </c>
      <c r="J43" s="6" t="s">
        <v>50</v>
      </c>
      <c r="K43" s="6" t="s">
        <v>50</v>
      </c>
      <c r="L43" s="6" t="s">
        <v>50</v>
      </c>
      <c r="M43" s="6" t="s">
        <v>50</v>
      </c>
      <c r="N43" s="6" t="s">
        <v>49</v>
      </c>
      <c r="O43" s="6" t="s">
        <v>49</v>
      </c>
      <c r="P43" s="6" t="s">
        <v>49</v>
      </c>
      <c r="Q43" s="7" t="str">
        <f>+IFERROR(VLOOKUP(B43,[2]Apple!$B$3:$C$173,2,FALSE),"")</f>
        <v>CA</v>
      </c>
      <c r="R43" s="7" t="str">
        <f>+IFERROR(VLOOKUP(B43,[2]Google!$B$3:$C$99,2,FALSE),"")</f>
        <v>CA</v>
      </c>
    </row>
    <row r="44" spans="2:18">
      <c r="B44" s="7" t="s">
        <v>114</v>
      </c>
      <c r="C44" s="7" t="str">
        <f>+VLOOKUP($B44,'[2]Pricing Scenario - Maintain'!$B$4:$AM$238,2,FALSE)</f>
        <v>Africa</v>
      </c>
      <c r="D44" s="6" t="s">
        <v>48</v>
      </c>
      <c r="E44" s="6" t="s">
        <v>48</v>
      </c>
      <c r="F44" s="6" t="s">
        <v>48</v>
      </c>
      <c r="G44" s="6" t="s">
        <v>48</v>
      </c>
      <c r="H44" s="6" t="s">
        <v>49</v>
      </c>
      <c r="I44" s="6" t="s">
        <v>49</v>
      </c>
      <c r="J44" s="6" t="s">
        <v>50</v>
      </c>
      <c r="K44" s="6" t="s">
        <v>50</v>
      </c>
      <c r="L44" s="6" t="s">
        <v>50</v>
      </c>
      <c r="M44" s="6" t="s">
        <v>50</v>
      </c>
      <c r="N44" s="6" t="s">
        <v>49</v>
      </c>
      <c r="O44" s="6" t="s">
        <v>49</v>
      </c>
      <c r="P44" s="6" t="s">
        <v>49</v>
      </c>
      <c r="Q44" s="7" t="str">
        <f>+IFERROR(VLOOKUP(B44,[2]Apple!$B$3:$C$173,2,FALSE),"")</f>
        <v>CV</v>
      </c>
      <c r="R44" s="7" t="str">
        <f>+IFERROR(VLOOKUP(B44,[2]Google!$B$3:$C$99,2,FALSE),"")</f>
        <v>CV</v>
      </c>
    </row>
    <row r="45" spans="2:18">
      <c r="B45" s="7" t="s">
        <v>115</v>
      </c>
      <c r="C45" s="7" t="str">
        <f>+VLOOKUP($B45,'[2]Pricing Scenario - Maintain'!$B$4:$AM$238,2,FALSE)</f>
        <v>Latin America</v>
      </c>
      <c r="D45" s="6" t="s">
        <v>48</v>
      </c>
      <c r="E45" s="6" t="s">
        <v>48</v>
      </c>
      <c r="F45" s="6" t="s">
        <v>48</v>
      </c>
      <c r="G45" s="6" t="s">
        <v>48</v>
      </c>
      <c r="H45" s="6" t="s">
        <v>49</v>
      </c>
      <c r="I45" s="6" t="s">
        <v>49</v>
      </c>
      <c r="J45" s="6" t="s">
        <v>50</v>
      </c>
      <c r="K45" s="6" t="s">
        <v>50</v>
      </c>
      <c r="L45" s="6" t="s">
        <v>50</v>
      </c>
      <c r="M45" s="6" t="s">
        <v>50</v>
      </c>
      <c r="N45" s="6" t="s">
        <v>49</v>
      </c>
      <c r="O45" s="6" t="s">
        <v>49</v>
      </c>
      <c r="P45" s="6" t="s">
        <v>49</v>
      </c>
      <c r="Q45" s="7" t="str">
        <f>+IFERROR(VLOOKUP(B45,[2]Apple!$B$3:$C$173,2,FALSE),"")</f>
        <v>KY</v>
      </c>
      <c r="R45" s="7" t="str">
        <f>+IFERROR(VLOOKUP(B45,[2]Google!$B$3:$C$99,2,FALSE),"")</f>
        <v>KY</v>
      </c>
    </row>
    <row r="46" spans="2:18">
      <c r="B46" s="7" t="s">
        <v>116</v>
      </c>
      <c r="C46" s="7" t="str">
        <f>+VLOOKUP($B46,'[2]Pricing Scenario - Maintain'!$B$4:$AM$238,2,FALSE)</f>
        <v>Africa</v>
      </c>
      <c r="D46" s="6" t="s">
        <v>48</v>
      </c>
      <c r="E46" s="6" t="s">
        <v>48</v>
      </c>
      <c r="F46" s="6" t="s">
        <v>48</v>
      </c>
      <c r="G46" s="6" t="s">
        <v>48</v>
      </c>
      <c r="H46" s="6" t="s">
        <v>49</v>
      </c>
      <c r="I46" s="6" t="s">
        <v>49</v>
      </c>
      <c r="J46" s="6" t="s">
        <v>50</v>
      </c>
      <c r="K46" s="6" t="s">
        <v>50</v>
      </c>
      <c r="L46" s="6" t="s">
        <v>50</v>
      </c>
      <c r="M46" s="6" t="s">
        <v>50</v>
      </c>
      <c r="N46" s="6" t="s">
        <v>49</v>
      </c>
      <c r="O46" s="6" t="s">
        <v>49</v>
      </c>
      <c r="P46" s="6" t="s">
        <v>49</v>
      </c>
      <c r="Q46" s="7" t="str">
        <f>+IFERROR(VLOOKUP(B46,[2]Apple!$B$3:$C$173,2,FALSE),"")</f>
        <v/>
      </c>
      <c r="R46" s="7" t="str">
        <f>+IFERROR(VLOOKUP(B46,[2]Google!$B$3:$C$99,2,FALSE),"")</f>
        <v>CF</v>
      </c>
    </row>
    <row r="47" spans="2:18">
      <c r="B47" s="7" t="s">
        <v>117</v>
      </c>
      <c r="C47" s="7" t="str">
        <f>+VLOOKUP($B47,'[2]Pricing Scenario - Maintain'!$B$4:$AM$238,2,FALSE)</f>
        <v>Africa</v>
      </c>
      <c r="D47" s="6" t="s">
        <v>48</v>
      </c>
      <c r="E47" s="6" t="s">
        <v>48</v>
      </c>
      <c r="F47" s="6" t="s">
        <v>48</v>
      </c>
      <c r="G47" s="6" t="s">
        <v>48</v>
      </c>
      <c r="H47" s="6" t="s">
        <v>49</v>
      </c>
      <c r="I47" s="6" t="s">
        <v>49</v>
      </c>
      <c r="J47" s="6" t="s">
        <v>50</v>
      </c>
      <c r="K47" s="6" t="s">
        <v>50</v>
      </c>
      <c r="L47" s="6" t="s">
        <v>50</v>
      </c>
      <c r="M47" s="6" t="s">
        <v>50</v>
      </c>
      <c r="N47" s="6" t="s">
        <v>49</v>
      </c>
      <c r="O47" s="6" t="s">
        <v>49</v>
      </c>
      <c r="P47" s="6" t="s">
        <v>49</v>
      </c>
      <c r="Q47" s="7" t="str">
        <f>+IFERROR(VLOOKUP(B47,[2]Apple!$B$3:$C$173,2,FALSE),"")</f>
        <v>TD</v>
      </c>
      <c r="R47" s="7" t="str">
        <f>+IFERROR(VLOOKUP(B47,[2]Google!$B$3:$C$99,2,FALSE),"")</f>
        <v>TD</v>
      </c>
    </row>
    <row r="48" spans="2:18">
      <c r="B48" s="7" t="s">
        <v>118</v>
      </c>
      <c r="C48" s="7" t="str">
        <f>+VLOOKUP($B48,'[2]Pricing Scenario - Maintain'!$B$4:$AM$238,2,FALSE)</f>
        <v>Latin America</v>
      </c>
      <c r="D48" s="6" t="s">
        <v>48</v>
      </c>
      <c r="E48" s="6" t="s">
        <v>48</v>
      </c>
      <c r="F48" s="6" t="s">
        <v>48</v>
      </c>
      <c r="G48" s="6" t="s">
        <v>48</v>
      </c>
      <c r="H48" s="6" t="s">
        <v>49</v>
      </c>
      <c r="I48" s="6" t="s">
        <v>49</v>
      </c>
      <c r="J48" s="6" t="s">
        <v>50</v>
      </c>
      <c r="K48" s="6" t="s">
        <v>50</v>
      </c>
      <c r="L48" s="6" t="s">
        <v>50</v>
      </c>
      <c r="M48" s="6" t="s">
        <v>50</v>
      </c>
      <c r="N48" s="6" t="s">
        <v>49</v>
      </c>
      <c r="O48" s="6" t="s">
        <v>49</v>
      </c>
      <c r="P48" s="6" t="s">
        <v>49</v>
      </c>
      <c r="Q48" s="7" t="str">
        <f>+IFERROR(VLOOKUP(B48,[2]Apple!$B$3:$C$173,2,FALSE),"")</f>
        <v>CL</v>
      </c>
      <c r="R48" s="7" t="str">
        <f>+IFERROR(VLOOKUP(B48,[2]Google!$B$3:$C$99,2,FALSE),"")</f>
        <v>CL</v>
      </c>
    </row>
    <row r="49" spans="2:18">
      <c r="B49" s="7" t="s">
        <v>119</v>
      </c>
      <c r="C49" s="7" t="str">
        <f>+VLOOKUP($B49,'[2]Pricing Scenario - Maintain'!$B$4:$AM$238,2,FALSE)</f>
        <v>Asia</v>
      </c>
      <c r="D49" s="6" t="s">
        <v>72</v>
      </c>
      <c r="E49" s="6" t="s">
        <v>72</v>
      </c>
      <c r="F49" s="6" t="s">
        <v>72</v>
      </c>
      <c r="G49" s="6" t="s">
        <v>72</v>
      </c>
      <c r="H49" s="6" t="s">
        <v>49</v>
      </c>
      <c r="I49" s="6" t="s">
        <v>49</v>
      </c>
      <c r="J49" s="6" t="s">
        <v>50</v>
      </c>
      <c r="K49" s="6" t="s">
        <v>50</v>
      </c>
      <c r="L49" s="6" t="s">
        <v>50</v>
      </c>
      <c r="M49" s="6" t="s">
        <v>50</v>
      </c>
      <c r="N49" s="6" t="s">
        <v>49</v>
      </c>
      <c r="O49" s="6" t="s">
        <v>49</v>
      </c>
      <c r="P49" s="6" t="s">
        <v>49</v>
      </c>
      <c r="Q49" s="7" t="str">
        <f>+IFERROR(VLOOKUP(B49,[2]Apple!$B$3:$C$173,2,FALSE),"")</f>
        <v/>
      </c>
      <c r="R49" s="7" t="str">
        <f>+IFERROR(VLOOKUP(B49,[2]Google!$B$3:$C$99,2,FALSE),"")</f>
        <v/>
      </c>
    </row>
    <row r="50" spans="2:18">
      <c r="B50" s="7" t="s">
        <v>120</v>
      </c>
      <c r="C50" s="7" t="str">
        <f>+VLOOKUP($B50,'[2]Pricing Scenario - Maintain'!$B$4:$AM$238,2,FALSE)</f>
        <v>Asia</v>
      </c>
      <c r="D50" s="6" t="s">
        <v>72</v>
      </c>
      <c r="E50" s="6" t="s">
        <v>72</v>
      </c>
      <c r="F50" s="6" t="s">
        <v>72</v>
      </c>
      <c r="G50" s="6" t="s">
        <v>72</v>
      </c>
      <c r="H50" s="6" t="s">
        <v>49</v>
      </c>
      <c r="I50" s="6" t="s">
        <v>49</v>
      </c>
      <c r="J50" s="6" t="s">
        <v>50</v>
      </c>
      <c r="K50" s="6" t="s">
        <v>50</v>
      </c>
      <c r="L50" s="6" t="s">
        <v>50</v>
      </c>
      <c r="M50" s="6" t="s">
        <v>50</v>
      </c>
      <c r="N50" s="6" t="s">
        <v>49</v>
      </c>
      <c r="O50" s="6" t="s">
        <v>49</v>
      </c>
      <c r="P50" s="6" t="s">
        <v>49</v>
      </c>
      <c r="Q50" s="7" t="str">
        <f>+IFERROR(VLOOKUP(B50,[2]Apple!$B$3:$C$173,2,FALSE),"")</f>
        <v/>
      </c>
      <c r="R50" s="7" t="str">
        <f>+IFERROR(VLOOKUP(B50,[2]Google!$B$3:$C$99,2,FALSE),"")</f>
        <v/>
      </c>
    </row>
    <row r="51" spans="2:18">
      <c r="B51" s="7" t="s">
        <v>121</v>
      </c>
      <c r="C51" s="7" t="str">
        <f>+VLOOKUP($B51,'[2]Pricing Scenario - Maintain'!$B$4:$AM$238,2,FALSE)</f>
        <v>Latin America</v>
      </c>
      <c r="D51" s="6" t="s">
        <v>48</v>
      </c>
      <c r="E51" s="6" t="s">
        <v>48</v>
      </c>
      <c r="F51" s="6" t="s">
        <v>48</v>
      </c>
      <c r="G51" s="6" t="s">
        <v>48</v>
      </c>
      <c r="H51" s="6" t="s">
        <v>49</v>
      </c>
      <c r="I51" s="6" t="s">
        <v>49</v>
      </c>
      <c r="J51" s="6" t="s">
        <v>50</v>
      </c>
      <c r="K51" s="6" t="s">
        <v>50</v>
      </c>
      <c r="L51" s="6" t="s">
        <v>50</v>
      </c>
      <c r="M51" s="6" t="s">
        <v>50</v>
      </c>
      <c r="N51" s="6" t="s">
        <v>49</v>
      </c>
      <c r="O51" s="6" t="s">
        <v>49</v>
      </c>
      <c r="P51" s="6" t="s">
        <v>49</v>
      </c>
      <c r="Q51" s="7" t="str">
        <f>+IFERROR(VLOOKUP(B51,[2]Apple!$B$3:$C$173,2,FALSE),"")</f>
        <v>CO</v>
      </c>
      <c r="R51" s="7" t="str">
        <f>+IFERROR(VLOOKUP(B51,[2]Google!$B$3:$C$99,2,FALSE),"")</f>
        <v>CO</v>
      </c>
    </row>
    <row r="52" spans="2:18">
      <c r="B52" s="7" t="s">
        <v>122</v>
      </c>
      <c r="C52" s="7" t="str">
        <f>+VLOOKUP($B52,'[2]Pricing Scenario - Maintain'!$B$4:$AM$238,2,FALSE)</f>
        <v>Africa</v>
      </c>
      <c r="D52" s="6" t="s">
        <v>48</v>
      </c>
      <c r="E52" s="6" t="s">
        <v>48</v>
      </c>
      <c r="F52" s="6" t="s">
        <v>48</v>
      </c>
      <c r="G52" s="6" t="s">
        <v>48</v>
      </c>
      <c r="H52" s="6" t="s">
        <v>49</v>
      </c>
      <c r="I52" s="6" t="s">
        <v>49</v>
      </c>
      <c r="J52" s="6" t="s">
        <v>50</v>
      </c>
      <c r="K52" s="6" t="s">
        <v>50</v>
      </c>
      <c r="L52" s="6" t="s">
        <v>50</v>
      </c>
      <c r="M52" s="6" t="s">
        <v>50</v>
      </c>
      <c r="N52" s="6" t="s">
        <v>49</v>
      </c>
      <c r="O52" s="6" t="s">
        <v>49</v>
      </c>
      <c r="P52" s="6" t="s">
        <v>49</v>
      </c>
      <c r="Q52" s="7" t="str">
        <f>+IFERROR(VLOOKUP(B52,[2]Apple!$B$3:$C$173,2,FALSE),"")</f>
        <v/>
      </c>
      <c r="R52" s="7" t="str">
        <f>+IFERROR(VLOOKUP(B52,[2]Google!$B$3:$C$99,2,FALSE),"")</f>
        <v>KM</v>
      </c>
    </row>
    <row r="53" spans="2:18">
      <c r="B53" s="7" t="s">
        <v>123</v>
      </c>
      <c r="C53" s="7" t="str">
        <f>+VLOOKUP($B53,'[2]Pricing Scenario - Maintain'!$B$4:$AM$238,2,FALSE)</f>
        <v>Africa</v>
      </c>
      <c r="D53" s="6" t="s">
        <v>48</v>
      </c>
      <c r="E53" s="6" t="s">
        <v>48</v>
      </c>
      <c r="F53" s="6" t="s">
        <v>48</v>
      </c>
      <c r="G53" s="6" t="s">
        <v>48</v>
      </c>
      <c r="H53" s="6" t="s">
        <v>49</v>
      </c>
      <c r="I53" s="6" t="s">
        <v>49</v>
      </c>
      <c r="J53" s="6" t="s">
        <v>50</v>
      </c>
      <c r="K53" s="6" t="s">
        <v>50</v>
      </c>
      <c r="L53" s="6" t="s">
        <v>50</v>
      </c>
      <c r="M53" s="6" t="s">
        <v>50</v>
      </c>
      <c r="N53" s="6" t="s">
        <v>49</v>
      </c>
      <c r="O53" s="6" t="s">
        <v>49</v>
      </c>
      <c r="P53" s="6" t="s">
        <v>49</v>
      </c>
      <c r="Q53" s="7" t="str">
        <f>+IFERROR(VLOOKUP(B53,[2]Apple!$B$3:$C$173,2,FALSE),"")</f>
        <v>CG</v>
      </c>
      <c r="R53" s="7" t="str">
        <f>+IFERROR(VLOOKUP(B53,[2]Google!$B$3:$C$99,2,FALSE),"")</f>
        <v>CG</v>
      </c>
    </row>
    <row r="54" spans="2:18">
      <c r="B54" s="7" t="s">
        <v>124</v>
      </c>
      <c r="C54" s="7" t="str">
        <f>+VLOOKUP($B54,'[2]Pricing Scenario - Maintain'!$B$4:$AM$238,2,FALSE)</f>
        <v>Asia</v>
      </c>
      <c r="D54" s="6" t="s">
        <v>72</v>
      </c>
      <c r="E54" s="6" t="s">
        <v>72</v>
      </c>
      <c r="F54" s="6" t="s">
        <v>72</v>
      </c>
      <c r="G54" s="6" t="s">
        <v>72</v>
      </c>
      <c r="H54" s="6" t="s">
        <v>49</v>
      </c>
      <c r="I54" s="6" t="s">
        <v>49</v>
      </c>
      <c r="J54" s="6" t="s">
        <v>50</v>
      </c>
      <c r="K54" s="6" t="s">
        <v>50</v>
      </c>
      <c r="L54" s="6" t="s">
        <v>50</v>
      </c>
      <c r="M54" s="6" t="s">
        <v>50</v>
      </c>
      <c r="N54" s="6" t="s">
        <v>49</v>
      </c>
      <c r="O54" s="6" t="s">
        <v>49</v>
      </c>
      <c r="P54" s="6" t="s">
        <v>49</v>
      </c>
      <c r="Q54" s="7" t="str">
        <f>+IFERROR(VLOOKUP(B54,[2]Apple!$B$3:$C$173,2,FALSE),"")</f>
        <v/>
      </c>
      <c r="R54" s="7" t="str">
        <f>+IFERROR(VLOOKUP(B54,[2]Google!$B$3:$C$99,2,FALSE),"")</f>
        <v/>
      </c>
    </row>
    <row r="55" spans="2:18">
      <c r="B55" s="7" t="s">
        <v>125</v>
      </c>
      <c r="C55" s="7" t="str">
        <f>+VLOOKUP($B55,'[2]Pricing Scenario - Maintain'!$B$4:$AM$238,2,FALSE)</f>
        <v>Latin America</v>
      </c>
      <c r="D55" s="6" t="s">
        <v>48</v>
      </c>
      <c r="E55" s="6" t="s">
        <v>48</v>
      </c>
      <c r="F55" s="6" t="s">
        <v>48</v>
      </c>
      <c r="G55" s="6" t="s">
        <v>48</v>
      </c>
      <c r="H55" s="6" t="s">
        <v>49</v>
      </c>
      <c r="I55" s="6" t="s">
        <v>49</v>
      </c>
      <c r="J55" s="6" t="s">
        <v>50</v>
      </c>
      <c r="K55" s="6" t="s">
        <v>50</v>
      </c>
      <c r="L55" s="6" t="s">
        <v>50</v>
      </c>
      <c r="M55" s="6" t="s">
        <v>50</v>
      </c>
      <c r="N55" s="6" t="s">
        <v>49</v>
      </c>
      <c r="O55" s="6" t="s">
        <v>49</v>
      </c>
      <c r="P55" s="6" t="s">
        <v>49</v>
      </c>
      <c r="Q55" s="7" t="str">
        <f>+IFERROR(VLOOKUP(B55,[2]Apple!$B$3:$C$173,2,FALSE),"")</f>
        <v>CR</v>
      </c>
      <c r="R55" s="7" t="str">
        <f>+IFERROR(VLOOKUP(B55,[2]Google!$B$3:$C$99,2,FALSE),"")</f>
        <v>CR</v>
      </c>
    </row>
    <row r="56" spans="2:18">
      <c r="B56" s="7" t="s">
        <v>126</v>
      </c>
      <c r="C56" s="7" t="str">
        <f>+VLOOKUP($B56,'[2]Pricing Scenario - Maintain'!$B$4:$AM$238,2,FALSE)</f>
        <v>Africa</v>
      </c>
      <c r="D56" s="6" t="s">
        <v>48</v>
      </c>
      <c r="E56" s="6" t="s">
        <v>48</v>
      </c>
      <c r="F56" s="6" t="s">
        <v>48</v>
      </c>
      <c r="G56" s="6" t="s">
        <v>48</v>
      </c>
      <c r="H56" s="6" t="s">
        <v>49</v>
      </c>
      <c r="I56" s="6" t="s">
        <v>49</v>
      </c>
      <c r="J56" s="6" t="s">
        <v>50</v>
      </c>
      <c r="K56" s="6" t="s">
        <v>50</v>
      </c>
      <c r="L56" s="6" t="s">
        <v>50</v>
      </c>
      <c r="M56" s="6" t="s">
        <v>50</v>
      </c>
      <c r="N56" s="6" t="s">
        <v>49</v>
      </c>
      <c r="O56" s="6" t="s">
        <v>49</v>
      </c>
      <c r="P56" s="6" t="s">
        <v>49</v>
      </c>
      <c r="Q56" s="7" t="str">
        <f>+IFERROR(VLOOKUP(B56,[2]Apple!$B$3:$C$173,2,FALSE),"")</f>
        <v>CI</v>
      </c>
      <c r="R56" s="7" t="str">
        <f>+IFERROR(VLOOKUP(B56,[2]Google!$B$3:$C$99,2,FALSE),"")</f>
        <v>CI</v>
      </c>
    </row>
    <row r="57" spans="2:18">
      <c r="B57" s="7" t="s">
        <v>127</v>
      </c>
      <c r="C57" s="7" t="str">
        <f>+VLOOKUP($B57,'[2]Pricing Scenario - Maintain'!$B$4:$AM$238,2,FALSE)</f>
        <v>Europe</v>
      </c>
      <c r="D57" s="6" t="s">
        <v>48</v>
      </c>
      <c r="E57" s="6" t="s">
        <v>48</v>
      </c>
      <c r="F57" s="6" t="s">
        <v>48</v>
      </c>
      <c r="G57" s="6" t="s">
        <v>48</v>
      </c>
      <c r="H57" s="6" t="s">
        <v>49</v>
      </c>
      <c r="I57" s="6" t="s">
        <v>49</v>
      </c>
      <c r="J57" s="6" t="s">
        <v>50</v>
      </c>
      <c r="K57" s="6" t="s">
        <v>50</v>
      </c>
      <c r="L57" s="6" t="s">
        <v>50</v>
      </c>
      <c r="M57" s="6" t="s">
        <v>50</v>
      </c>
      <c r="N57" s="6" t="s">
        <v>49</v>
      </c>
      <c r="O57" s="6" t="s">
        <v>49</v>
      </c>
      <c r="P57" s="6" t="s">
        <v>49</v>
      </c>
      <c r="Q57" s="7" t="str">
        <f>+IFERROR(VLOOKUP(B57,[2]Apple!$B$3:$C$173,2,FALSE),"")</f>
        <v>HR</v>
      </c>
      <c r="R57" s="7" t="str">
        <f>+IFERROR(VLOOKUP(B57,[2]Google!$B$3:$C$99,2,FALSE),"")</f>
        <v>HR</v>
      </c>
    </row>
    <row r="58" spans="2:18">
      <c r="B58" s="7" t="s">
        <v>128</v>
      </c>
      <c r="C58" s="7" t="str">
        <f>+VLOOKUP($B58,'[2]Pricing Scenario - Maintain'!$B$4:$AM$238,2,FALSE)</f>
        <v>Latin America</v>
      </c>
      <c r="D58" s="6" t="s">
        <v>72</v>
      </c>
      <c r="E58" s="6" t="s">
        <v>72</v>
      </c>
      <c r="F58" s="6" t="s">
        <v>72</v>
      </c>
      <c r="G58" s="6" t="s">
        <v>72</v>
      </c>
      <c r="H58" s="6" t="s">
        <v>49</v>
      </c>
      <c r="I58" s="6" t="s">
        <v>49</v>
      </c>
      <c r="J58" s="6" t="s">
        <v>50</v>
      </c>
      <c r="K58" s="6" t="s">
        <v>50</v>
      </c>
      <c r="L58" s="6" t="s">
        <v>50</v>
      </c>
      <c r="M58" s="6" t="s">
        <v>50</v>
      </c>
      <c r="N58" s="6" t="s">
        <v>49</v>
      </c>
      <c r="O58" s="6" t="s">
        <v>49</v>
      </c>
      <c r="P58" s="6" t="s">
        <v>49</v>
      </c>
      <c r="Q58" s="7" t="str">
        <f>+IFERROR(VLOOKUP(B58,[2]Apple!$B$3:$C$173,2,FALSE),"")</f>
        <v/>
      </c>
      <c r="R58" s="7" t="str">
        <f>+IFERROR(VLOOKUP(B58,[2]Google!$B$3:$C$99,2,FALSE),"")</f>
        <v/>
      </c>
    </row>
    <row r="59" spans="2:18">
      <c r="B59" s="7" t="s">
        <v>129</v>
      </c>
      <c r="C59" s="7" t="str">
        <f>+VLOOKUP($B59,'[2]Pricing Scenario - Maintain'!$B$4:$AM$238,2,FALSE)</f>
        <v>Europe</v>
      </c>
      <c r="D59" s="6" t="s">
        <v>48</v>
      </c>
      <c r="E59" s="6" t="s">
        <v>48</v>
      </c>
      <c r="F59" s="6" t="s">
        <v>48</v>
      </c>
      <c r="G59" s="6" t="s">
        <v>48</v>
      </c>
      <c r="H59" s="6" t="s">
        <v>49</v>
      </c>
      <c r="I59" s="6" t="s">
        <v>49</v>
      </c>
      <c r="J59" s="6" t="s">
        <v>50</v>
      </c>
      <c r="K59" s="6" t="s">
        <v>50</v>
      </c>
      <c r="L59" s="6" t="s">
        <v>50</v>
      </c>
      <c r="M59" s="6" t="s">
        <v>50</v>
      </c>
      <c r="N59" s="6" t="s">
        <v>49</v>
      </c>
      <c r="O59" s="6" t="s">
        <v>49</v>
      </c>
      <c r="P59" s="6" t="s">
        <v>49</v>
      </c>
      <c r="Q59" s="7" t="str">
        <f>+IFERROR(VLOOKUP(B59,[2]Apple!$B$3:$C$173,2,FALSE),"")</f>
        <v>CY</v>
      </c>
      <c r="R59" s="7" t="str">
        <f>+IFERROR(VLOOKUP(B59,[2]Google!$B$3:$C$99,2,FALSE),"")</f>
        <v>CY</v>
      </c>
    </row>
    <row r="60" spans="2:18">
      <c r="B60" s="7" t="s">
        <v>130</v>
      </c>
      <c r="C60" s="7" t="str">
        <f>+VLOOKUP($B60,'[2]Pricing Scenario - Maintain'!$B$4:$AM$238,2,FALSE)</f>
        <v>Europe</v>
      </c>
      <c r="D60" s="6" t="s">
        <v>48</v>
      </c>
      <c r="E60" s="6" t="s">
        <v>48</v>
      </c>
      <c r="F60" s="6" t="s">
        <v>48</v>
      </c>
      <c r="G60" s="6" t="s">
        <v>48</v>
      </c>
      <c r="H60" s="6" t="s">
        <v>49</v>
      </c>
      <c r="I60" s="6" t="s">
        <v>49</v>
      </c>
      <c r="J60" s="6" t="s">
        <v>50</v>
      </c>
      <c r="K60" s="6" t="s">
        <v>50</v>
      </c>
      <c r="L60" s="6" t="s">
        <v>50</v>
      </c>
      <c r="M60" s="6" t="s">
        <v>50</v>
      </c>
      <c r="N60" s="6" t="s">
        <v>49</v>
      </c>
      <c r="O60" s="6" t="s">
        <v>49</v>
      </c>
      <c r="P60" s="6" t="s">
        <v>49</v>
      </c>
      <c r="Q60" s="7" t="str">
        <f>+IFERROR(VLOOKUP(B60,[2]Apple!$B$3:$C$173,2,FALSE),"")</f>
        <v>CZ</v>
      </c>
      <c r="R60" s="7" t="str">
        <f>+IFERROR(VLOOKUP(B60,[2]Google!$B$3:$C$99,2,FALSE),"")</f>
        <v>CZ</v>
      </c>
    </row>
    <row r="61" spans="2:18">
      <c r="B61" s="7" t="s">
        <v>131</v>
      </c>
      <c r="C61" s="7" t="str">
        <f>+VLOOKUP($B61,'[2]Pricing Scenario - Maintain'!$B$4:$AM$238,2,FALSE)</f>
        <v>Africa</v>
      </c>
      <c r="D61" s="6" t="s">
        <v>48</v>
      </c>
      <c r="E61" s="6" t="s">
        <v>48</v>
      </c>
      <c r="F61" s="6" t="s">
        <v>48</v>
      </c>
      <c r="G61" s="6" t="s">
        <v>48</v>
      </c>
      <c r="H61" s="6" t="s">
        <v>49</v>
      </c>
      <c r="I61" s="6" t="s">
        <v>49</v>
      </c>
      <c r="J61" s="6" t="s">
        <v>50</v>
      </c>
      <c r="K61" s="6" t="s">
        <v>50</v>
      </c>
      <c r="L61" s="6" t="s">
        <v>50</v>
      </c>
      <c r="M61" s="6" t="s">
        <v>50</v>
      </c>
      <c r="N61" s="6" t="s">
        <v>49</v>
      </c>
      <c r="O61" s="6" t="s">
        <v>49</v>
      </c>
      <c r="P61" s="6" t="s">
        <v>49</v>
      </c>
      <c r="Q61" s="7" t="str">
        <f>+IFERROR(VLOOKUP(B61,[2]Apple!$B$3:$C$173,2,FALSE),"")</f>
        <v/>
      </c>
      <c r="R61" s="7" t="str">
        <f>+IFERROR(VLOOKUP(B61,[2]Google!$B$3:$C$99,2,FALSE),"")</f>
        <v>CD</v>
      </c>
    </row>
    <row r="62" spans="2:18">
      <c r="B62" s="7" t="s">
        <v>132</v>
      </c>
      <c r="C62" s="7" t="str">
        <f>+VLOOKUP($B62,'[2]Pricing Scenario - Maintain'!$B$4:$AM$238,2,FALSE)</f>
        <v>Europe</v>
      </c>
      <c r="D62" s="6" t="s">
        <v>48</v>
      </c>
      <c r="E62" s="6" t="s">
        <v>48</v>
      </c>
      <c r="F62" s="6" t="s">
        <v>48</v>
      </c>
      <c r="G62" s="6" t="s">
        <v>48</v>
      </c>
      <c r="H62" s="6" t="s">
        <v>49</v>
      </c>
      <c r="I62" s="6" t="s">
        <v>49</v>
      </c>
      <c r="J62" s="6" t="s">
        <v>50</v>
      </c>
      <c r="K62" s="6" t="s">
        <v>50</v>
      </c>
      <c r="L62" s="6" t="s">
        <v>50</v>
      </c>
      <c r="M62" s="6" t="s">
        <v>50</v>
      </c>
      <c r="N62" s="6" t="s">
        <v>49</v>
      </c>
      <c r="O62" s="6" t="s">
        <v>49</v>
      </c>
      <c r="P62" s="6" t="s">
        <v>49</v>
      </c>
      <c r="Q62" s="7" t="str">
        <f>+IFERROR(VLOOKUP(B62,[2]Apple!$B$3:$C$173,2,FALSE),"")</f>
        <v>DK</v>
      </c>
      <c r="R62" s="7" t="str">
        <f>+IFERROR(VLOOKUP(B62,[2]Google!$B$3:$C$99,2,FALSE),"")</f>
        <v>DK</v>
      </c>
    </row>
    <row r="63" spans="2:18">
      <c r="B63" s="7" t="s">
        <v>133</v>
      </c>
      <c r="C63" s="7" t="str">
        <f>+VLOOKUP($B63,'[2]Pricing Scenario - Maintain'!$B$4:$AM$238,2,FALSE)</f>
        <v>Africa</v>
      </c>
      <c r="D63" s="6" t="s">
        <v>48</v>
      </c>
      <c r="E63" s="6" t="s">
        <v>48</v>
      </c>
      <c r="F63" s="6" t="s">
        <v>48</v>
      </c>
      <c r="G63" s="6" t="s">
        <v>48</v>
      </c>
      <c r="H63" s="6" t="s">
        <v>49</v>
      </c>
      <c r="I63" s="6" t="s">
        <v>49</v>
      </c>
      <c r="J63" s="6" t="s">
        <v>50</v>
      </c>
      <c r="K63" s="6" t="s">
        <v>50</v>
      </c>
      <c r="L63" s="6" t="s">
        <v>50</v>
      </c>
      <c r="M63" s="6" t="s">
        <v>50</v>
      </c>
      <c r="N63" s="6" t="s">
        <v>49</v>
      </c>
      <c r="O63" s="6" t="s">
        <v>49</v>
      </c>
      <c r="P63" s="6" t="s">
        <v>49</v>
      </c>
      <c r="Q63" s="7" t="str">
        <f>+IFERROR(VLOOKUP(B63,[2]Apple!$B$3:$C$173,2,FALSE),"")</f>
        <v/>
      </c>
      <c r="R63" s="7" t="str">
        <f>+IFERROR(VLOOKUP(B63,[2]Google!$B$3:$C$99,2,FALSE),"")</f>
        <v>DJ</v>
      </c>
    </row>
    <row r="64" spans="2:18">
      <c r="B64" s="7" t="s">
        <v>134</v>
      </c>
      <c r="C64" s="7" t="str">
        <f>+VLOOKUP($B64,'[2]Pricing Scenario - Maintain'!$B$4:$AM$238,2,FALSE)</f>
        <v>Latin America</v>
      </c>
      <c r="D64" s="6" t="s">
        <v>48</v>
      </c>
      <c r="E64" s="6" t="s">
        <v>48</v>
      </c>
      <c r="F64" s="6" t="s">
        <v>48</v>
      </c>
      <c r="G64" s="6" t="s">
        <v>48</v>
      </c>
      <c r="H64" s="6" t="s">
        <v>49</v>
      </c>
      <c r="I64" s="6" t="s">
        <v>49</v>
      </c>
      <c r="J64" s="6" t="s">
        <v>50</v>
      </c>
      <c r="K64" s="6" t="s">
        <v>50</v>
      </c>
      <c r="L64" s="6" t="s">
        <v>50</v>
      </c>
      <c r="M64" s="6" t="s">
        <v>50</v>
      </c>
      <c r="N64" s="6" t="s">
        <v>49</v>
      </c>
      <c r="O64" s="6" t="s">
        <v>49</v>
      </c>
      <c r="P64" s="6" t="s">
        <v>49</v>
      </c>
      <c r="Q64" s="7" t="str">
        <f>+IFERROR(VLOOKUP(B64,[2]Apple!$B$3:$C$173,2,FALSE),"")</f>
        <v>DM</v>
      </c>
      <c r="R64" s="7" t="str">
        <f>+IFERROR(VLOOKUP(B64,[2]Google!$B$3:$C$99,2,FALSE),"")</f>
        <v>DM</v>
      </c>
    </row>
    <row r="65" spans="2:18">
      <c r="B65" s="7" t="s">
        <v>135</v>
      </c>
      <c r="C65" s="7" t="str">
        <f>+VLOOKUP($B65,'[2]Pricing Scenario - Maintain'!$B$4:$AM$238,2,FALSE)</f>
        <v>Latin America</v>
      </c>
      <c r="D65" s="6" t="s">
        <v>48</v>
      </c>
      <c r="E65" s="6" t="s">
        <v>48</v>
      </c>
      <c r="F65" s="6" t="s">
        <v>48</v>
      </c>
      <c r="G65" s="6" t="s">
        <v>48</v>
      </c>
      <c r="H65" s="6" t="s">
        <v>49</v>
      </c>
      <c r="I65" s="6" t="s">
        <v>49</v>
      </c>
      <c r="J65" s="6" t="s">
        <v>50</v>
      </c>
      <c r="K65" s="6" t="s">
        <v>50</v>
      </c>
      <c r="L65" s="6" t="s">
        <v>50</v>
      </c>
      <c r="M65" s="6" t="s">
        <v>50</v>
      </c>
      <c r="N65" s="6" t="s">
        <v>49</v>
      </c>
      <c r="O65" s="6" t="s">
        <v>49</v>
      </c>
      <c r="P65" s="6" t="s">
        <v>49</v>
      </c>
      <c r="Q65" s="7" t="str">
        <f>+IFERROR(VLOOKUP(B65,[2]Apple!$B$3:$C$173,2,FALSE),"")</f>
        <v>DO</v>
      </c>
      <c r="R65" s="7" t="str">
        <f>+IFERROR(VLOOKUP(B65,[2]Google!$B$3:$C$99,2,FALSE),"")</f>
        <v>DO</v>
      </c>
    </row>
    <row r="66" spans="2:18">
      <c r="B66" s="7" t="s">
        <v>136</v>
      </c>
      <c r="C66" s="7" t="str">
        <f>+VLOOKUP($B66,'[2]Pricing Scenario - Maintain'!$B$4:$AM$238,2,FALSE)</f>
        <v>Latin America</v>
      </c>
      <c r="D66" s="6" t="s">
        <v>48</v>
      </c>
      <c r="E66" s="6" t="s">
        <v>48</v>
      </c>
      <c r="F66" s="6" t="s">
        <v>48</v>
      </c>
      <c r="G66" s="6" t="s">
        <v>48</v>
      </c>
      <c r="H66" s="6" t="s">
        <v>49</v>
      </c>
      <c r="I66" s="6" t="s">
        <v>49</v>
      </c>
      <c r="J66" s="6" t="s">
        <v>50</v>
      </c>
      <c r="K66" s="6" t="s">
        <v>50</v>
      </c>
      <c r="L66" s="6" t="s">
        <v>50</v>
      </c>
      <c r="M66" s="6" t="s">
        <v>50</v>
      </c>
      <c r="N66" s="6" t="s">
        <v>49</v>
      </c>
      <c r="O66" s="6" t="s">
        <v>49</v>
      </c>
      <c r="P66" s="6" t="s">
        <v>49</v>
      </c>
      <c r="Q66" s="7" t="str">
        <f>+IFERROR(VLOOKUP(B66,[2]Apple!$B$3:$C$173,2,FALSE),"")</f>
        <v>EC</v>
      </c>
      <c r="R66" s="7" t="str">
        <f>+IFERROR(VLOOKUP(B66,[2]Google!$B$3:$C$99,2,FALSE),"")</f>
        <v>EC</v>
      </c>
    </row>
    <row r="67" spans="2:18">
      <c r="B67" s="7" t="s">
        <v>137</v>
      </c>
      <c r="C67" s="7" t="str">
        <f>+VLOOKUP($B67,'[2]Pricing Scenario - Maintain'!$B$4:$AM$238,2,FALSE)</f>
        <v>Africa</v>
      </c>
      <c r="D67" s="6" t="s">
        <v>48</v>
      </c>
      <c r="E67" s="6" t="s">
        <v>48</v>
      </c>
      <c r="F67" s="6" t="s">
        <v>48</v>
      </c>
      <c r="G67" s="6" t="s">
        <v>48</v>
      </c>
      <c r="H67" s="6" t="s">
        <v>49</v>
      </c>
      <c r="I67" s="6" t="s">
        <v>49</v>
      </c>
      <c r="J67" s="6" t="s">
        <v>50</v>
      </c>
      <c r="K67" s="6" t="s">
        <v>50</v>
      </c>
      <c r="L67" s="6" t="s">
        <v>50</v>
      </c>
      <c r="M67" s="6" t="s">
        <v>50</v>
      </c>
      <c r="N67" s="6" t="s">
        <v>49</v>
      </c>
      <c r="O67" s="6" t="s">
        <v>49</v>
      </c>
      <c r="P67" s="6" t="s">
        <v>49</v>
      </c>
      <c r="Q67" s="7" t="str">
        <f>+IFERROR(VLOOKUP(B67,[2]Apple!$B$3:$C$173,2,FALSE),"")</f>
        <v>EG</v>
      </c>
      <c r="R67" s="7" t="str">
        <f>+IFERROR(VLOOKUP(B67,[2]Google!$B$3:$C$99,2,FALSE),"")</f>
        <v>EG</v>
      </c>
    </row>
    <row r="68" spans="2:18">
      <c r="B68" s="7" t="s">
        <v>138</v>
      </c>
      <c r="C68" s="7" t="str">
        <f>+VLOOKUP($B68,'[2]Pricing Scenario - Maintain'!$B$4:$AM$238,2,FALSE)</f>
        <v>Latin America</v>
      </c>
      <c r="D68" s="6" t="s">
        <v>48</v>
      </c>
      <c r="E68" s="6" t="s">
        <v>48</v>
      </c>
      <c r="F68" s="6" t="s">
        <v>48</v>
      </c>
      <c r="G68" s="6" t="s">
        <v>48</v>
      </c>
      <c r="H68" s="6" t="s">
        <v>49</v>
      </c>
      <c r="I68" s="6" t="s">
        <v>49</v>
      </c>
      <c r="J68" s="6" t="s">
        <v>50</v>
      </c>
      <c r="K68" s="6" t="s">
        <v>50</v>
      </c>
      <c r="L68" s="6" t="s">
        <v>50</v>
      </c>
      <c r="M68" s="6" t="s">
        <v>50</v>
      </c>
      <c r="N68" s="6" t="s">
        <v>49</v>
      </c>
      <c r="O68" s="6" t="s">
        <v>49</v>
      </c>
      <c r="P68" s="6" t="s">
        <v>49</v>
      </c>
      <c r="Q68" s="7" t="str">
        <f>+IFERROR(VLOOKUP(B68,[2]Apple!$B$3:$C$173,2,FALSE),"")</f>
        <v>SV</v>
      </c>
      <c r="R68" s="7" t="str">
        <f>+IFERROR(VLOOKUP(B68,[2]Google!$B$3:$C$99,2,FALSE),"")</f>
        <v>SV</v>
      </c>
    </row>
    <row r="69" spans="2:18">
      <c r="B69" s="7" t="s">
        <v>139</v>
      </c>
      <c r="C69" s="7" t="str">
        <f>+VLOOKUP($B69,'[2]Pricing Scenario - Maintain'!$B$4:$AM$238,2,FALSE)</f>
        <v>Africa</v>
      </c>
      <c r="D69" s="6" t="s">
        <v>72</v>
      </c>
      <c r="E69" s="6" t="s">
        <v>72</v>
      </c>
      <c r="F69" s="6" t="s">
        <v>72</v>
      </c>
      <c r="G69" s="6" t="s">
        <v>72</v>
      </c>
      <c r="H69" s="6" t="s">
        <v>49</v>
      </c>
      <c r="I69" s="6" t="s">
        <v>49</v>
      </c>
      <c r="J69" s="6" t="s">
        <v>50</v>
      </c>
      <c r="K69" s="6" t="s">
        <v>50</v>
      </c>
      <c r="L69" s="6" t="s">
        <v>50</v>
      </c>
      <c r="M69" s="6" t="s">
        <v>50</v>
      </c>
      <c r="N69" s="6" t="s">
        <v>49</v>
      </c>
      <c r="O69" s="6" t="s">
        <v>49</v>
      </c>
      <c r="P69" s="6" t="s">
        <v>49</v>
      </c>
      <c r="Q69" s="7" t="str">
        <f>+IFERROR(VLOOKUP(B69,[2]Apple!$B$3:$C$173,2,FALSE),"")</f>
        <v/>
      </c>
      <c r="R69" s="7" t="str">
        <f>+IFERROR(VLOOKUP(B69,[2]Google!$B$3:$C$99,2,FALSE),"")</f>
        <v/>
      </c>
    </row>
    <row r="70" spans="2:18">
      <c r="B70" s="7" t="s">
        <v>140</v>
      </c>
      <c r="C70" s="7" t="str">
        <f>+VLOOKUP($B70,'[2]Pricing Scenario - Maintain'!$B$4:$AM$238,2,FALSE)</f>
        <v>Africa</v>
      </c>
      <c r="D70" s="6" t="s">
        <v>48</v>
      </c>
      <c r="E70" s="6" t="s">
        <v>48</v>
      </c>
      <c r="F70" s="6" t="s">
        <v>48</v>
      </c>
      <c r="G70" s="6" t="s">
        <v>48</v>
      </c>
      <c r="H70" s="6" t="s">
        <v>49</v>
      </c>
      <c r="I70" s="6" t="s">
        <v>49</v>
      </c>
      <c r="J70" s="6" t="s">
        <v>50</v>
      </c>
      <c r="K70" s="6" t="s">
        <v>50</v>
      </c>
      <c r="L70" s="6" t="s">
        <v>50</v>
      </c>
      <c r="M70" s="6" t="s">
        <v>50</v>
      </c>
      <c r="N70" s="6" t="s">
        <v>49</v>
      </c>
      <c r="O70" s="6" t="s">
        <v>49</v>
      </c>
      <c r="P70" s="6" t="s">
        <v>49</v>
      </c>
      <c r="Q70" s="7" t="str">
        <f>+IFERROR(VLOOKUP(B70,[2]Apple!$B$3:$C$173,2,FALSE),"")</f>
        <v/>
      </c>
      <c r="R70" s="7" t="str">
        <f>+IFERROR(VLOOKUP(B70,[2]Google!$B$3:$C$99,2,FALSE),"")</f>
        <v>ER</v>
      </c>
    </row>
    <row r="71" spans="2:18">
      <c r="B71" s="7" t="s">
        <v>141</v>
      </c>
      <c r="C71" s="7" t="str">
        <f>+VLOOKUP($B71,'[2]Pricing Scenario - Maintain'!$B$4:$AM$238,2,FALSE)</f>
        <v>Europe</v>
      </c>
      <c r="D71" s="6" t="s">
        <v>48</v>
      </c>
      <c r="E71" s="6" t="s">
        <v>48</v>
      </c>
      <c r="F71" s="6" t="s">
        <v>48</v>
      </c>
      <c r="G71" s="6" t="s">
        <v>48</v>
      </c>
      <c r="H71" s="6" t="s">
        <v>49</v>
      </c>
      <c r="I71" s="6" t="s">
        <v>49</v>
      </c>
      <c r="J71" s="6" t="s">
        <v>50</v>
      </c>
      <c r="K71" s="6" t="s">
        <v>50</v>
      </c>
      <c r="L71" s="6" t="s">
        <v>50</v>
      </c>
      <c r="M71" s="6" t="s">
        <v>50</v>
      </c>
      <c r="N71" s="6" t="s">
        <v>49</v>
      </c>
      <c r="O71" s="6" t="s">
        <v>49</v>
      </c>
      <c r="P71" s="6" t="s">
        <v>49</v>
      </c>
      <c r="Q71" s="7" t="str">
        <f>+IFERROR(VLOOKUP(B71,[2]Apple!$B$3:$C$173,2,FALSE),"")</f>
        <v>EE</v>
      </c>
      <c r="R71" s="7" t="str">
        <f>+IFERROR(VLOOKUP(B71,[2]Google!$B$3:$C$99,2,FALSE),"")</f>
        <v>EE</v>
      </c>
    </row>
    <row r="72" spans="2:18">
      <c r="B72" s="7" t="s">
        <v>142</v>
      </c>
      <c r="C72" s="7" t="str">
        <f>+VLOOKUP($B72,'[2]Pricing Scenario - Maintain'!$B$4:$AM$238,2,FALSE)</f>
        <v>Africa</v>
      </c>
      <c r="D72" s="6" t="s">
        <v>48</v>
      </c>
      <c r="E72" s="6" t="s">
        <v>48</v>
      </c>
      <c r="F72" s="6" t="s">
        <v>48</v>
      </c>
      <c r="G72" s="6" t="s">
        <v>48</v>
      </c>
      <c r="H72" s="6" t="s">
        <v>49</v>
      </c>
      <c r="I72" s="6" t="s">
        <v>49</v>
      </c>
      <c r="J72" s="6" t="s">
        <v>50</v>
      </c>
      <c r="K72" s="6" t="s">
        <v>50</v>
      </c>
      <c r="L72" s="6" t="s">
        <v>50</v>
      </c>
      <c r="M72" s="6" t="s">
        <v>50</v>
      </c>
      <c r="N72" s="6" t="s">
        <v>49</v>
      </c>
      <c r="O72" s="6" t="s">
        <v>49</v>
      </c>
      <c r="P72" s="6" t="s">
        <v>49</v>
      </c>
      <c r="Q72" s="7" t="str">
        <f>+IFERROR(VLOOKUP(B72,[2]Apple!$B$3:$C$173,2,FALSE),"")</f>
        <v>SZ</v>
      </c>
      <c r="R72" s="7" t="str">
        <f>+IFERROR(VLOOKUP(B72,[2]Google!$B$3:$C$99,2,FALSE),"")</f>
        <v/>
      </c>
    </row>
    <row r="73" spans="2:18">
      <c r="B73" s="7" t="s">
        <v>143</v>
      </c>
      <c r="C73" s="7" t="str">
        <f>+VLOOKUP($B73,'[2]Pricing Scenario - Maintain'!$B$4:$AM$238,2,FALSE)</f>
        <v>Africa</v>
      </c>
      <c r="D73" s="6" t="s">
        <v>72</v>
      </c>
      <c r="E73" s="6" t="s">
        <v>72</v>
      </c>
      <c r="F73" s="6" t="s">
        <v>72</v>
      </c>
      <c r="G73" s="6" t="s">
        <v>72</v>
      </c>
      <c r="H73" s="6" t="s">
        <v>49</v>
      </c>
      <c r="I73" s="6" t="s">
        <v>49</v>
      </c>
      <c r="J73" s="6" t="s">
        <v>50</v>
      </c>
      <c r="K73" s="6" t="s">
        <v>50</v>
      </c>
      <c r="L73" s="6" t="s">
        <v>50</v>
      </c>
      <c r="M73" s="6" t="s">
        <v>50</v>
      </c>
      <c r="N73" s="6" t="s">
        <v>49</v>
      </c>
      <c r="O73" s="6" t="s">
        <v>49</v>
      </c>
      <c r="P73" s="6" t="s">
        <v>49</v>
      </c>
      <c r="Q73" s="7" t="str">
        <f>+IFERROR(VLOOKUP(B73,[2]Apple!$B$3:$C$173,2,FALSE),"")</f>
        <v/>
      </c>
      <c r="R73" s="7" t="str">
        <f>+IFERROR(VLOOKUP(B73,[2]Google!$B$3:$C$99,2,FALSE),"")</f>
        <v/>
      </c>
    </row>
    <row r="74" spans="2:18">
      <c r="B74" s="7" t="s">
        <v>144</v>
      </c>
      <c r="C74" s="7" t="str">
        <f>+VLOOKUP($B74,'[2]Pricing Scenario - Maintain'!$B$4:$AM$238,2,FALSE)</f>
        <v>Latin America</v>
      </c>
      <c r="D74" s="6" t="s">
        <v>72</v>
      </c>
      <c r="E74" s="6" t="s">
        <v>72</v>
      </c>
      <c r="F74" s="6" t="s">
        <v>72</v>
      </c>
      <c r="G74" s="6" t="s">
        <v>72</v>
      </c>
      <c r="H74" s="6" t="s">
        <v>49</v>
      </c>
      <c r="I74" s="6" t="s">
        <v>49</v>
      </c>
      <c r="J74" s="6" t="s">
        <v>50</v>
      </c>
      <c r="K74" s="6" t="s">
        <v>50</v>
      </c>
      <c r="L74" s="6" t="s">
        <v>50</v>
      </c>
      <c r="M74" s="6" t="s">
        <v>50</v>
      </c>
      <c r="N74" s="6" t="s">
        <v>49</v>
      </c>
      <c r="O74" s="6" t="s">
        <v>49</v>
      </c>
      <c r="P74" s="6" t="s">
        <v>49</v>
      </c>
      <c r="Q74" s="7" t="str">
        <f>+IFERROR(VLOOKUP(B74,[2]Apple!$B$3:$C$173,2,FALSE),"")</f>
        <v/>
      </c>
      <c r="R74" s="7" t="str">
        <f>+IFERROR(VLOOKUP(B74,[2]Google!$B$3:$C$99,2,FALSE),"")</f>
        <v/>
      </c>
    </row>
    <row r="75" spans="2:18">
      <c r="B75" s="7" t="s">
        <v>145</v>
      </c>
      <c r="C75" s="7" t="str">
        <f>+VLOOKUP($B75,'[2]Pricing Scenario - Maintain'!$B$4:$AM$238,2,FALSE)</f>
        <v>Europe</v>
      </c>
      <c r="D75" s="6" t="s">
        <v>72</v>
      </c>
      <c r="E75" s="6" t="s">
        <v>72</v>
      </c>
      <c r="F75" s="6" t="s">
        <v>72</v>
      </c>
      <c r="G75" s="6" t="s">
        <v>72</v>
      </c>
      <c r="H75" s="6" t="s">
        <v>49</v>
      </c>
      <c r="I75" s="6" t="s">
        <v>49</v>
      </c>
      <c r="J75" s="6" t="s">
        <v>50</v>
      </c>
      <c r="K75" s="6" t="s">
        <v>50</v>
      </c>
      <c r="L75" s="6" t="s">
        <v>50</v>
      </c>
      <c r="M75" s="6" t="s">
        <v>50</v>
      </c>
      <c r="N75" s="6" t="s">
        <v>49</v>
      </c>
      <c r="O75" s="6" t="s">
        <v>49</v>
      </c>
      <c r="P75" s="6" t="s">
        <v>49</v>
      </c>
      <c r="Q75" s="7" t="str">
        <f>+IFERROR(VLOOKUP(B75,[2]Apple!$B$3:$C$173,2,FALSE),"")</f>
        <v/>
      </c>
      <c r="R75" s="7" t="str">
        <f>+IFERROR(VLOOKUP(B75,[2]Google!$B$3:$C$99,2,FALSE),"")</f>
        <v/>
      </c>
    </row>
    <row r="76" spans="2:18">
      <c r="B76" s="7" t="s">
        <v>146</v>
      </c>
      <c r="C76" s="7" t="str">
        <f>+VLOOKUP($B76,'[2]Pricing Scenario - Maintain'!$B$4:$AM$238,2,FALSE)</f>
        <v>Asia</v>
      </c>
      <c r="D76" s="6" t="s">
        <v>48</v>
      </c>
      <c r="E76" s="6" t="s">
        <v>48</v>
      </c>
      <c r="F76" s="6" t="s">
        <v>48</v>
      </c>
      <c r="G76" s="6" t="s">
        <v>48</v>
      </c>
      <c r="H76" s="6" t="s">
        <v>49</v>
      </c>
      <c r="I76" s="6" t="s">
        <v>49</v>
      </c>
      <c r="J76" s="6" t="s">
        <v>50</v>
      </c>
      <c r="K76" s="6" t="s">
        <v>50</v>
      </c>
      <c r="L76" s="6" t="s">
        <v>50</v>
      </c>
      <c r="M76" s="6" t="s">
        <v>50</v>
      </c>
      <c r="N76" s="6" t="s">
        <v>49</v>
      </c>
      <c r="O76" s="6" t="s">
        <v>49</v>
      </c>
      <c r="P76" s="6" t="s">
        <v>49</v>
      </c>
      <c r="Q76" s="7" t="str">
        <f>+IFERROR(VLOOKUP(B76,[2]Apple!$B$3:$C$173,2,FALSE),"")</f>
        <v>FJ</v>
      </c>
      <c r="R76" s="7" t="str">
        <f>+IFERROR(VLOOKUP(B76,[2]Google!$B$3:$C$99,2,FALSE),"")</f>
        <v>FJ</v>
      </c>
    </row>
    <row r="77" spans="2:18">
      <c r="B77" s="7" t="s">
        <v>147</v>
      </c>
      <c r="C77" s="7" t="str">
        <f>+VLOOKUP($B77,'[2]Pricing Scenario - Maintain'!$B$4:$AM$238,2,FALSE)</f>
        <v>Europe</v>
      </c>
      <c r="D77" s="6" t="s">
        <v>48</v>
      </c>
      <c r="E77" s="6" t="s">
        <v>48</v>
      </c>
      <c r="F77" s="6" t="s">
        <v>48</v>
      </c>
      <c r="G77" s="6" t="s">
        <v>48</v>
      </c>
      <c r="H77" s="6" t="s">
        <v>49</v>
      </c>
      <c r="I77" s="6" t="s">
        <v>49</v>
      </c>
      <c r="J77" s="6" t="s">
        <v>50</v>
      </c>
      <c r="K77" s="6" t="s">
        <v>50</v>
      </c>
      <c r="L77" s="6" t="s">
        <v>50</v>
      </c>
      <c r="M77" s="6" t="s">
        <v>50</v>
      </c>
      <c r="N77" s="6" t="s">
        <v>49</v>
      </c>
      <c r="O77" s="6" t="s">
        <v>49</v>
      </c>
      <c r="P77" s="6" t="s">
        <v>49</v>
      </c>
      <c r="Q77" s="7" t="str">
        <f>+IFERROR(VLOOKUP(B77,[2]Apple!$B$3:$C$173,2,FALSE),"")</f>
        <v>FI</v>
      </c>
      <c r="R77" s="7" t="str">
        <f>+IFERROR(VLOOKUP(B77,[2]Google!$B$3:$C$99,2,FALSE),"")</f>
        <v>FI</v>
      </c>
    </row>
    <row r="78" spans="2:18">
      <c r="B78" s="7" t="s">
        <v>148</v>
      </c>
      <c r="C78" s="7" t="str">
        <f>+VLOOKUP($B78,'[2]Pricing Scenario - Maintain'!$B$4:$AM$238,2,FALSE)</f>
        <v>Europe</v>
      </c>
      <c r="D78" s="6" t="s">
        <v>48</v>
      </c>
      <c r="E78" s="6" t="s">
        <v>48</v>
      </c>
      <c r="F78" s="6" t="s">
        <v>48</v>
      </c>
      <c r="G78" s="6" t="s">
        <v>48</v>
      </c>
      <c r="H78" s="6" t="s">
        <v>49</v>
      </c>
      <c r="I78" s="6" t="s">
        <v>49</v>
      </c>
      <c r="J78" s="6" t="s">
        <v>50</v>
      </c>
      <c r="K78" s="6" t="s">
        <v>50</v>
      </c>
      <c r="L78" s="6" t="s">
        <v>50</v>
      </c>
      <c r="M78" s="6" t="s">
        <v>50</v>
      </c>
      <c r="N78" s="6" t="s">
        <v>49</v>
      </c>
      <c r="O78" s="6" t="s">
        <v>49</v>
      </c>
      <c r="P78" s="6" t="s">
        <v>49</v>
      </c>
      <c r="Q78" s="7" t="str">
        <f>+IFERROR(VLOOKUP(B78,[2]Apple!$B$3:$C$173,2,FALSE),"")</f>
        <v>FR</v>
      </c>
      <c r="R78" s="7" t="str">
        <f>+IFERROR(VLOOKUP(B78,[2]Google!$B$3:$C$99,2,FALSE),"")</f>
        <v>FR</v>
      </c>
    </row>
    <row r="79" spans="2:18">
      <c r="B79" s="7" t="s">
        <v>149</v>
      </c>
      <c r="C79" s="260" t="s">
        <v>100</v>
      </c>
      <c r="D79" s="6" t="s">
        <v>72</v>
      </c>
      <c r="E79" s="6" t="s">
        <v>72</v>
      </c>
      <c r="F79" s="6" t="s">
        <v>72</v>
      </c>
      <c r="G79" s="6" t="s">
        <v>72</v>
      </c>
      <c r="H79" s="6" t="s">
        <v>49</v>
      </c>
      <c r="I79" s="6" t="s">
        <v>49</v>
      </c>
      <c r="J79" s="6" t="s">
        <v>50</v>
      </c>
      <c r="K79" s="6" t="s">
        <v>50</v>
      </c>
      <c r="L79" s="6" t="s">
        <v>50</v>
      </c>
      <c r="M79" s="6" t="s">
        <v>50</v>
      </c>
      <c r="N79" s="6" t="s">
        <v>49</v>
      </c>
      <c r="O79" s="6" t="s">
        <v>49</v>
      </c>
      <c r="P79" s="6" t="s">
        <v>49</v>
      </c>
      <c r="Q79" s="7" t="str">
        <f>+IFERROR(VLOOKUP(B79,[2]Apple!$B$3:$C$173,2,FALSE),"")</f>
        <v/>
      </c>
      <c r="R79" s="7" t="str">
        <f>+IFERROR(VLOOKUP(B79,[2]Google!$B$3:$C$99,2,FALSE),"")</f>
        <v/>
      </c>
    </row>
    <row r="80" spans="2:18">
      <c r="B80" s="7" t="s">
        <v>150</v>
      </c>
      <c r="C80" s="7" t="str">
        <f>+VLOOKUP($B80,'[2]Pricing Scenario - Maintain'!$B$4:$AM$238,2,FALSE)</f>
        <v>Asia</v>
      </c>
      <c r="D80" s="6" t="s">
        <v>72</v>
      </c>
      <c r="E80" s="6" t="s">
        <v>72</v>
      </c>
      <c r="F80" s="6" t="s">
        <v>72</v>
      </c>
      <c r="G80" s="6" t="s">
        <v>72</v>
      </c>
      <c r="H80" s="6" t="s">
        <v>49</v>
      </c>
      <c r="I80" s="6" t="s">
        <v>49</v>
      </c>
      <c r="J80" s="6" t="s">
        <v>50</v>
      </c>
      <c r="K80" s="6" t="s">
        <v>50</v>
      </c>
      <c r="L80" s="6" t="s">
        <v>50</v>
      </c>
      <c r="M80" s="6" t="s">
        <v>50</v>
      </c>
      <c r="N80" s="6" t="s">
        <v>49</v>
      </c>
      <c r="O80" s="6" t="s">
        <v>49</v>
      </c>
      <c r="P80" s="6" t="s">
        <v>49</v>
      </c>
      <c r="Q80" s="7" t="str">
        <f>+IFERROR(VLOOKUP(B80,[2]Apple!$B$3:$C$173,2,FALSE),"")</f>
        <v/>
      </c>
      <c r="R80" s="7" t="str">
        <f>+IFERROR(VLOOKUP(B80,[2]Google!$B$3:$C$99,2,FALSE),"")</f>
        <v/>
      </c>
    </row>
    <row r="81" spans="2:18">
      <c r="B81" s="7" t="s">
        <v>151</v>
      </c>
      <c r="C81" s="7" t="str">
        <f>+VLOOKUP($B81,'[2]Pricing Scenario - Maintain'!$B$4:$AM$238,2,FALSE)</f>
        <v>Europe</v>
      </c>
      <c r="D81" s="6" t="s">
        <v>72</v>
      </c>
      <c r="E81" s="6" t="s">
        <v>72</v>
      </c>
      <c r="F81" s="6" t="s">
        <v>72</v>
      </c>
      <c r="G81" s="6" t="s">
        <v>72</v>
      </c>
      <c r="H81" s="6" t="s">
        <v>49</v>
      </c>
      <c r="I81" s="6" t="s">
        <v>49</v>
      </c>
      <c r="J81" s="6" t="s">
        <v>50</v>
      </c>
      <c r="K81" s="6" t="s">
        <v>50</v>
      </c>
      <c r="L81" s="6" t="s">
        <v>50</v>
      </c>
      <c r="M81" s="6" t="s">
        <v>50</v>
      </c>
      <c r="N81" s="6" t="s">
        <v>49</v>
      </c>
      <c r="O81" s="6" t="s">
        <v>49</v>
      </c>
      <c r="P81" s="6" t="s">
        <v>49</v>
      </c>
      <c r="Q81" s="7" t="str">
        <f>+IFERROR(VLOOKUP(B81,[2]Apple!$B$3:$C$173,2,FALSE),"")</f>
        <v/>
      </c>
      <c r="R81" s="7" t="str">
        <f>+IFERROR(VLOOKUP(B81,[2]Google!$B$3:$C$99,2,FALSE),"")</f>
        <v/>
      </c>
    </row>
    <row r="82" spans="2:18">
      <c r="B82" s="7" t="s">
        <v>152</v>
      </c>
      <c r="C82" s="7" t="str">
        <f>+VLOOKUP($B82,'[2]Pricing Scenario - Maintain'!$B$4:$AM$238,2,FALSE)</f>
        <v>Africa</v>
      </c>
      <c r="D82" s="6" t="s">
        <v>48</v>
      </c>
      <c r="E82" s="6" t="s">
        <v>48</v>
      </c>
      <c r="F82" s="6" t="s">
        <v>48</v>
      </c>
      <c r="G82" s="6" t="s">
        <v>48</v>
      </c>
      <c r="H82" s="6" t="s">
        <v>49</v>
      </c>
      <c r="I82" s="6" t="s">
        <v>49</v>
      </c>
      <c r="J82" s="6" t="s">
        <v>50</v>
      </c>
      <c r="K82" s="6" t="s">
        <v>50</v>
      </c>
      <c r="L82" s="6" t="s">
        <v>50</v>
      </c>
      <c r="M82" s="6" t="s">
        <v>50</v>
      </c>
      <c r="N82" s="6" t="s">
        <v>49</v>
      </c>
      <c r="O82" s="6" t="s">
        <v>49</v>
      </c>
      <c r="P82" s="6" t="s">
        <v>49</v>
      </c>
      <c r="Q82" s="7" t="str">
        <f>+IFERROR(VLOOKUP(B82,[2]Apple!$B$3:$C$173,2,FALSE),"")</f>
        <v>GA</v>
      </c>
      <c r="R82" s="7" t="str">
        <f>+IFERROR(VLOOKUP(B82,[2]Google!$B$3:$C$99,2,FALSE),"")</f>
        <v>GA</v>
      </c>
    </row>
    <row r="83" spans="2:18">
      <c r="B83" s="7" t="s">
        <v>153</v>
      </c>
      <c r="C83" s="7" t="str">
        <f>+VLOOKUP($B83,'[2]Pricing Scenario - Maintain'!$B$4:$AM$238,2,FALSE)</f>
        <v>Africa</v>
      </c>
      <c r="D83" s="6" t="s">
        <v>48</v>
      </c>
      <c r="E83" s="6" t="s">
        <v>48</v>
      </c>
      <c r="F83" s="6" t="s">
        <v>48</v>
      </c>
      <c r="G83" s="6" t="s">
        <v>48</v>
      </c>
      <c r="H83" s="6" t="s">
        <v>49</v>
      </c>
      <c r="I83" s="6" t="s">
        <v>49</v>
      </c>
      <c r="J83" s="6" t="s">
        <v>50</v>
      </c>
      <c r="K83" s="6" t="s">
        <v>50</v>
      </c>
      <c r="L83" s="6" t="s">
        <v>50</v>
      </c>
      <c r="M83" s="6" t="s">
        <v>50</v>
      </c>
      <c r="N83" s="6" t="s">
        <v>49</v>
      </c>
      <c r="O83" s="6" t="s">
        <v>49</v>
      </c>
      <c r="P83" s="6" t="s">
        <v>49</v>
      </c>
      <c r="Q83" s="7" t="str">
        <f>+IFERROR(VLOOKUP(B83,[2]Apple!$B$3:$C$173,2,FALSE),"")</f>
        <v>GM</v>
      </c>
      <c r="R83" s="7" t="str">
        <f>+IFERROR(VLOOKUP(B83,[2]Google!$B$3:$C$99,2,FALSE),"")</f>
        <v>GM</v>
      </c>
    </row>
    <row r="84" spans="2:18">
      <c r="B84" s="7" t="s">
        <v>154</v>
      </c>
      <c r="C84" s="7" t="str">
        <f>+VLOOKUP($B84,'[2]Pricing Scenario - Maintain'!$B$4:$AM$238,2,FALSE)</f>
        <v>Middle East</v>
      </c>
      <c r="D84" s="6" t="s">
        <v>48</v>
      </c>
      <c r="E84" s="6" t="s">
        <v>48</v>
      </c>
      <c r="F84" s="6" t="s">
        <v>48</v>
      </c>
      <c r="G84" s="6" t="s">
        <v>48</v>
      </c>
      <c r="H84" s="6" t="s">
        <v>49</v>
      </c>
      <c r="I84" s="6" t="s">
        <v>49</v>
      </c>
      <c r="J84" s="6" t="s">
        <v>50</v>
      </c>
      <c r="K84" s="6" t="s">
        <v>50</v>
      </c>
      <c r="L84" s="6" t="s">
        <v>50</v>
      </c>
      <c r="M84" s="6" t="s">
        <v>50</v>
      </c>
      <c r="N84" s="6" t="s">
        <v>49</v>
      </c>
      <c r="O84" s="6" t="s">
        <v>49</v>
      </c>
      <c r="P84" s="6" t="s">
        <v>49</v>
      </c>
      <c r="Q84" s="7" t="str">
        <f>+IFERROR(VLOOKUP(B84,[2]Apple!$B$3:$C$173,2,FALSE),"")</f>
        <v>GE</v>
      </c>
      <c r="R84" s="7" t="str">
        <f>+IFERROR(VLOOKUP(B84,[2]Google!$B$3:$C$99,2,FALSE),"")</f>
        <v>GE</v>
      </c>
    </row>
    <row r="85" spans="2:18">
      <c r="B85" s="7" t="s">
        <v>155</v>
      </c>
      <c r="C85" s="7" t="str">
        <f>+VLOOKUP($B85,'[2]Pricing Scenario - Maintain'!$B$4:$AM$238,2,FALSE)</f>
        <v>Europe</v>
      </c>
      <c r="D85" s="6" t="s">
        <v>48</v>
      </c>
      <c r="E85" s="6" t="s">
        <v>48</v>
      </c>
      <c r="F85" s="6" t="s">
        <v>48</v>
      </c>
      <c r="G85" s="6" t="s">
        <v>48</v>
      </c>
      <c r="H85" s="6" t="s">
        <v>49</v>
      </c>
      <c r="I85" s="6" t="s">
        <v>49</v>
      </c>
      <c r="J85" s="6" t="s">
        <v>50</v>
      </c>
      <c r="K85" s="6" t="s">
        <v>50</v>
      </c>
      <c r="L85" s="6" t="s">
        <v>50</v>
      </c>
      <c r="M85" s="6" t="s">
        <v>50</v>
      </c>
      <c r="N85" s="6" t="s">
        <v>49</v>
      </c>
      <c r="O85" s="6" t="s">
        <v>49</v>
      </c>
      <c r="P85" s="6" t="s">
        <v>49</v>
      </c>
      <c r="Q85" s="7" t="str">
        <f>+IFERROR(VLOOKUP(B85,[2]Apple!$B$3:$C$173,2,FALSE),"")</f>
        <v>DE</v>
      </c>
      <c r="R85" s="7" t="str">
        <f>+IFERROR(VLOOKUP(B85,[2]Google!$B$3:$C$99,2,FALSE),"")</f>
        <v>DE</v>
      </c>
    </row>
    <row r="86" spans="2:18">
      <c r="B86" s="7" t="s">
        <v>156</v>
      </c>
      <c r="C86" s="7" t="str">
        <f>+VLOOKUP($B86,'[2]Pricing Scenario - Maintain'!$B$4:$AM$238,2,FALSE)</f>
        <v>Africa</v>
      </c>
      <c r="D86" s="6" t="s">
        <v>48</v>
      </c>
      <c r="E86" s="6" t="s">
        <v>48</v>
      </c>
      <c r="F86" s="6" t="s">
        <v>48</v>
      </c>
      <c r="G86" s="6" t="s">
        <v>48</v>
      </c>
      <c r="H86" s="6" t="s">
        <v>49</v>
      </c>
      <c r="I86" s="6" t="s">
        <v>49</v>
      </c>
      <c r="J86" s="6" t="s">
        <v>50</v>
      </c>
      <c r="K86" s="6" t="s">
        <v>50</v>
      </c>
      <c r="L86" s="6" t="s">
        <v>50</v>
      </c>
      <c r="M86" s="6" t="s">
        <v>50</v>
      </c>
      <c r="N86" s="6" t="s">
        <v>49</v>
      </c>
      <c r="O86" s="6" t="s">
        <v>49</v>
      </c>
      <c r="P86" s="6" t="s">
        <v>49</v>
      </c>
      <c r="Q86" s="7" t="str">
        <f>+IFERROR(VLOOKUP(B86,[2]Apple!$B$3:$C$173,2,FALSE),"")</f>
        <v>GH</v>
      </c>
      <c r="R86" s="7" t="str">
        <f>+IFERROR(VLOOKUP(B86,[2]Google!$B$3:$C$99,2,FALSE),"")</f>
        <v>GH</v>
      </c>
    </row>
    <row r="87" spans="2:18">
      <c r="B87" s="7" t="s">
        <v>157</v>
      </c>
      <c r="C87" s="7" t="str">
        <f>+VLOOKUP($B87,'[2]Pricing Scenario - Maintain'!$B$4:$AM$238,2,FALSE)</f>
        <v>Europe</v>
      </c>
      <c r="D87" s="6" t="s">
        <v>48</v>
      </c>
      <c r="E87" s="6" t="s">
        <v>48</v>
      </c>
      <c r="F87" s="6" t="s">
        <v>48</v>
      </c>
      <c r="G87" s="6" t="s">
        <v>48</v>
      </c>
      <c r="H87" s="6" t="s">
        <v>49</v>
      </c>
      <c r="I87" s="6" t="s">
        <v>49</v>
      </c>
      <c r="J87" s="6" t="s">
        <v>50</v>
      </c>
      <c r="K87" s="6" t="s">
        <v>50</v>
      </c>
      <c r="L87" s="6" t="s">
        <v>50</v>
      </c>
      <c r="M87" s="6" t="s">
        <v>50</v>
      </c>
      <c r="N87" s="6" t="s">
        <v>49</v>
      </c>
      <c r="O87" s="6" t="s">
        <v>49</v>
      </c>
      <c r="P87" s="6" t="s">
        <v>49</v>
      </c>
      <c r="Q87" s="7" t="str">
        <f>+IFERROR(VLOOKUP(B87,[2]Apple!$B$3:$C$173,2,FALSE),"")</f>
        <v/>
      </c>
      <c r="R87" s="7" t="str">
        <f>+IFERROR(VLOOKUP(B87,[2]Google!$B$3:$C$99,2,FALSE),"")</f>
        <v>GI</v>
      </c>
    </row>
    <row r="88" spans="2:18">
      <c r="B88" s="7" t="s">
        <v>158</v>
      </c>
      <c r="C88" s="7" t="str">
        <f>+VLOOKUP($B88,'[2]Pricing Scenario - Maintain'!$B$4:$AM$238,2,FALSE)</f>
        <v>Europe</v>
      </c>
      <c r="D88" s="6" t="s">
        <v>48</v>
      </c>
      <c r="E88" s="6" t="s">
        <v>48</v>
      </c>
      <c r="F88" s="6" t="s">
        <v>48</v>
      </c>
      <c r="G88" s="6" t="s">
        <v>48</v>
      </c>
      <c r="H88" s="6" t="s">
        <v>49</v>
      </c>
      <c r="I88" s="6" t="s">
        <v>49</v>
      </c>
      <c r="J88" s="6" t="s">
        <v>50</v>
      </c>
      <c r="K88" s="6" t="s">
        <v>50</v>
      </c>
      <c r="L88" s="6" t="s">
        <v>50</v>
      </c>
      <c r="M88" s="6" t="s">
        <v>50</v>
      </c>
      <c r="N88" s="6" t="s">
        <v>49</v>
      </c>
      <c r="O88" s="6" t="s">
        <v>49</v>
      </c>
      <c r="P88" s="6" t="s">
        <v>49</v>
      </c>
      <c r="Q88" s="7" t="str">
        <f>+IFERROR(VLOOKUP(B88,[2]Apple!$B$3:$C$173,2,FALSE),"")</f>
        <v>GR</v>
      </c>
      <c r="R88" s="7" t="str">
        <f>+IFERROR(VLOOKUP(B88,[2]Google!$B$3:$C$99,2,FALSE),"")</f>
        <v>GR</v>
      </c>
    </row>
    <row r="89" spans="2:18">
      <c r="B89" s="7" t="s">
        <v>159</v>
      </c>
      <c r="C89" s="7" t="str">
        <f>+VLOOKUP($B89,'[2]Pricing Scenario - Maintain'!$B$4:$AM$238,2,FALSE)</f>
        <v>Europe</v>
      </c>
      <c r="D89" s="6" t="s">
        <v>72</v>
      </c>
      <c r="E89" s="6" t="s">
        <v>72</v>
      </c>
      <c r="F89" s="6" t="s">
        <v>72</v>
      </c>
      <c r="G89" s="6" t="s">
        <v>72</v>
      </c>
      <c r="H89" s="6" t="s">
        <v>49</v>
      </c>
      <c r="I89" s="6" t="s">
        <v>49</v>
      </c>
      <c r="J89" s="6" t="s">
        <v>50</v>
      </c>
      <c r="K89" s="6" t="s">
        <v>50</v>
      </c>
      <c r="L89" s="6" t="s">
        <v>50</v>
      </c>
      <c r="M89" s="6" t="s">
        <v>50</v>
      </c>
      <c r="N89" s="6" t="s">
        <v>49</v>
      </c>
      <c r="O89" s="6" t="s">
        <v>49</v>
      </c>
      <c r="P89" s="6" t="s">
        <v>49</v>
      </c>
      <c r="Q89" s="7" t="str">
        <f>+IFERROR(VLOOKUP(B89,[2]Apple!$B$3:$C$173,2,FALSE),"")</f>
        <v/>
      </c>
      <c r="R89" s="7" t="str">
        <f>+IFERROR(VLOOKUP(B89,[2]Google!$B$3:$C$99,2,FALSE),"")</f>
        <v/>
      </c>
    </row>
    <row r="90" spans="2:18">
      <c r="B90" s="7" t="s">
        <v>160</v>
      </c>
      <c r="C90" s="7" t="str">
        <f>+VLOOKUP($B90,'[2]Pricing Scenario - Maintain'!$B$4:$AM$238,2,FALSE)</f>
        <v>Latin America</v>
      </c>
      <c r="D90" s="6" t="s">
        <v>48</v>
      </c>
      <c r="E90" s="6" t="s">
        <v>48</v>
      </c>
      <c r="F90" s="6" t="s">
        <v>48</v>
      </c>
      <c r="G90" s="6" t="s">
        <v>48</v>
      </c>
      <c r="H90" s="6" t="s">
        <v>49</v>
      </c>
      <c r="I90" s="6" t="s">
        <v>49</v>
      </c>
      <c r="J90" s="6" t="s">
        <v>50</v>
      </c>
      <c r="K90" s="6" t="s">
        <v>50</v>
      </c>
      <c r="L90" s="6" t="s">
        <v>50</v>
      </c>
      <c r="M90" s="6" t="s">
        <v>50</v>
      </c>
      <c r="N90" s="6" t="s">
        <v>49</v>
      </c>
      <c r="O90" s="6" t="s">
        <v>49</v>
      </c>
      <c r="P90" s="6" t="s">
        <v>49</v>
      </c>
      <c r="Q90" s="7" t="str">
        <f>+IFERROR(VLOOKUP(B90,[2]Apple!$B$3:$C$173,2,FALSE),"")</f>
        <v>GD</v>
      </c>
      <c r="R90" s="7" t="str">
        <f>+IFERROR(VLOOKUP(B90,[2]Google!$B$3:$C$99,2,FALSE),"")</f>
        <v>GD</v>
      </c>
    </row>
    <row r="91" spans="2:18">
      <c r="B91" s="7" t="s">
        <v>161</v>
      </c>
      <c r="C91" s="260" t="s">
        <v>100</v>
      </c>
      <c r="D91" s="6" t="s">
        <v>72</v>
      </c>
      <c r="E91" s="6" t="s">
        <v>72</v>
      </c>
      <c r="F91" s="6" t="s">
        <v>72</v>
      </c>
      <c r="G91" s="6" t="s">
        <v>72</v>
      </c>
      <c r="H91" s="6" t="s">
        <v>49</v>
      </c>
      <c r="I91" s="6" t="s">
        <v>49</v>
      </c>
      <c r="J91" s="6" t="s">
        <v>50</v>
      </c>
      <c r="K91" s="6" t="s">
        <v>50</v>
      </c>
      <c r="L91" s="6" t="s">
        <v>50</v>
      </c>
      <c r="M91" s="6" t="s">
        <v>50</v>
      </c>
      <c r="N91" s="6" t="s">
        <v>49</v>
      </c>
      <c r="O91" s="6" t="s">
        <v>49</v>
      </c>
      <c r="P91" s="6" t="s">
        <v>49</v>
      </c>
      <c r="Q91" s="7" t="str">
        <f>+IFERROR(VLOOKUP(B91,[2]Apple!$B$3:$C$173,2,FALSE),"")</f>
        <v/>
      </c>
      <c r="R91" s="7" t="str">
        <f>+IFERROR(VLOOKUP(B91,[2]Google!$B$3:$C$99,2,FALSE),"")</f>
        <v/>
      </c>
    </row>
    <row r="92" spans="2:18">
      <c r="B92" s="7" t="s">
        <v>162</v>
      </c>
      <c r="C92" s="7" t="str">
        <f>+VLOOKUP($B92,'[2]Pricing Scenario - Maintain'!$B$4:$AM$238,2,FALSE)</f>
        <v>Latin America</v>
      </c>
      <c r="D92" s="6" t="s">
        <v>48</v>
      </c>
      <c r="E92" s="6" t="s">
        <v>48</v>
      </c>
      <c r="F92" s="6" t="s">
        <v>48</v>
      </c>
      <c r="G92" s="6" t="s">
        <v>48</v>
      </c>
      <c r="H92" s="6" t="s">
        <v>49</v>
      </c>
      <c r="I92" s="6" t="s">
        <v>49</v>
      </c>
      <c r="J92" s="6" t="s">
        <v>50</v>
      </c>
      <c r="K92" s="6" t="s">
        <v>50</v>
      </c>
      <c r="L92" s="6" t="s">
        <v>50</v>
      </c>
      <c r="M92" s="6" t="s">
        <v>50</v>
      </c>
      <c r="N92" s="6" t="s">
        <v>49</v>
      </c>
      <c r="O92" s="6" t="s">
        <v>49</v>
      </c>
      <c r="P92" s="6" t="s">
        <v>49</v>
      </c>
      <c r="Q92" s="7" t="str">
        <f>+IFERROR(VLOOKUP(B92,[2]Apple!$B$3:$C$173,2,FALSE),"")</f>
        <v>GT</v>
      </c>
      <c r="R92" s="7" t="str">
        <f>+IFERROR(VLOOKUP(B92,[2]Google!$B$3:$C$99,2,FALSE),"")</f>
        <v>GT</v>
      </c>
    </row>
    <row r="93" spans="2:18">
      <c r="B93" s="7" t="s">
        <v>163</v>
      </c>
      <c r="C93" s="7" t="str">
        <f>+VLOOKUP($B93,'[2]Pricing Scenario - Maintain'!$B$4:$AM$238,2,FALSE)</f>
        <v>Europe</v>
      </c>
      <c r="D93" s="6" t="s">
        <v>72</v>
      </c>
      <c r="E93" s="6" t="s">
        <v>72</v>
      </c>
      <c r="F93" s="6" t="s">
        <v>72</v>
      </c>
      <c r="G93" s="6" t="s">
        <v>72</v>
      </c>
      <c r="H93" s="6" t="s">
        <v>49</v>
      </c>
      <c r="I93" s="6" t="s">
        <v>49</v>
      </c>
      <c r="J93" s="6" t="s">
        <v>50</v>
      </c>
      <c r="K93" s="6" t="s">
        <v>50</v>
      </c>
      <c r="L93" s="6" t="s">
        <v>50</v>
      </c>
      <c r="M93" s="6" t="s">
        <v>50</v>
      </c>
      <c r="N93" s="6" t="s">
        <v>49</v>
      </c>
      <c r="O93" s="6" t="s">
        <v>49</v>
      </c>
      <c r="P93" s="6" t="s">
        <v>49</v>
      </c>
      <c r="Q93" s="7" t="str">
        <f>+IFERROR(VLOOKUP(B93,[2]Apple!$B$3:$C$173,2,FALSE),"")</f>
        <v/>
      </c>
      <c r="R93" s="7" t="str">
        <f>+IFERROR(VLOOKUP(B93,[2]Google!$B$3:$C$99,2,FALSE),"")</f>
        <v/>
      </c>
    </row>
    <row r="94" spans="2:18">
      <c r="B94" s="7" t="s">
        <v>164</v>
      </c>
      <c r="C94" s="7" t="str">
        <f>+VLOOKUP($B94,'[2]Pricing Scenario - Maintain'!$B$4:$AM$238,2,FALSE)</f>
        <v>Africa</v>
      </c>
      <c r="D94" s="6" t="s">
        <v>48</v>
      </c>
      <c r="E94" s="6" t="s">
        <v>48</v>
      </c>
      <c r="F94" s="6" t="s">
        <v>48</v>
      </c>
      <c r="G94" s="6" t="s">
        <v>48</v>
      </c>
      <c r="H94" s="6" t="s">
        <v>49</v>
      </c>
      <c r="I94" s="6" t="s">
        <v>49</v>
      </c>
      <c r="J94" s="6" t="s">
        <v>50</v>
      </c>
      <c r="K94" s="6" t="s">
        <v>50</v>
      </c>
      <c r="L94" s="6" t="s">
        <v>50</v>
      </c>
      <c r="M94" s="6" t="s">
        <v>50</v>
      </c>
      <c r="N94" s="6" t="s">
        <v>49</v>
      </c>
      <c r="O94" s="6" t="s">
        <v>49</v>
      </c>
      <c r="P94" s="6" t="s">
        <v>49</v>
      </c>
      <c r="Q94" s="7" t="str">
        <f>+IFERROR(VLOOKUP(B94,[2]Apple!$B$3:$C$173,2,FALSE),"")</f>
        <v/>
      </c>
      <c r="R94" s="7" t="str">
        <f>+IFERROR(VLOOKUP(B94,[2]Google!$B$3:$C$99,2,FALSE),"")</f>
        <v>GN</v>
      </c>
    </row>
    <row r="95" spans="2:18">
      <c r="B95" s="7" t="s">
        <v>165</v>
      </c>
      <c r="C95" s="7" t="str">
        <f>+VLOOKUP($B95,'[2]Pricing Scenario - Maintain'!$B$4:$AM$238,2,FALSE)</f>
        <v>Africa</v>
      </c>
      <c r="D95" s="6" t="s">
        <v>48</v>
      </c>
      <c r="E95" s="6" t="s">
        <v>48</v>
      </c>
      <c r="F95" s="6" t="s">
        <v>48</v>
      </c>
      <c r="G95" s="6" t="s">
        <v>48</v>
      </c>
      <c r="H95" s="6" t="s">
        <v>49</v>
      </c>
      <c r="I95" s="6" t="s">
        <v>49</v>
      </c>
      <c r="J95" s="6" t="s">
        <v>50</v>
      </c>
      <c r="K95" s="6" t="s">
        <v>50</v>
      </c>
      <c r="L95" s="6" t="s">
        <v>50</v>
      </c>
      <c r="M95" s="6" t="s">
        <v>50</v>
      </c>
      <c r="N95" s="6" t="s">
        <v>49</v>
      </c>
      <c r="O95" s="6" t="s">
        <v>49</v>
      </c>
      <c r="P95" s="6" t="s">
        <v>49</v>
      </c>
      <c r="Q95" s="7" t="str">
        <f>+IFERROR(VLOOKUP(B95,[2]Apple!$B$3:$C$173,2,FALSE),"")</f>
        <v>GW</v>
      </c>
      <c r="R95" s="7" t="str">
        <f>+IFERROR(VLOOKUP(B95,[2]Google!$B$3:$C$99,2,FALSE),"")</f>
        <v>GW</v>
      </c>
    </row>
    <row r="96" spans="2:18">
      <c r="B96" s="7" t="s">
        <v>166</v>
      </c>
      <c r="C96" s="7" t="str">
        <f>+VLOOKUP($B96,'[2]Pricing Scenario - Maintain'!$B$4:$AM$238,2,FALSE)</f>
        <v>Latin America</v>
      </c>
      <c r="D96" s="6" t="s">
        <v>48</v>
      </c>
      <c r="E96" s="6" t="s">
        <v>48</v>
      </c>
      <c r="F96" s="6" t="s">
        <v>48</v>
      </c>
      <c r="G96" s="6" t="s">
        <v>48</v>
      </c>
      <c r="H96" s="6" t="s">
        <v>49</v>
      </c>
      <c r="I96" s="6" t="s">
        <v>49</v>
      </c>
      <c r="J96" s="6" t="s">
        <v>50</v>
      </c>
      <c r="K96" s="6" t="s">
        <v>50</v>
      </c>
      <c r="L96" s="6" t="s">
        <v>50</v>
      </c>
      <c r="M96" s="6" t="s">
        <v>50</v>
      </c>
      <c r="N96" s="6" t="s">
        <v>49</v>
      </c>
      <c r="O96" s="6" t="s">
        <v>49</v>
      </c>
      <c r="P96" s="6" t="s">
        <v>49</v>
      </c>
      <c r="Q96" s="7" t="str">
        <f>+IFERROR(VLOOKUP(B96,[2]Apple!$B$3:$C$173,2,FALSE),"")</f>
        <v>GY</v>
      </c>
      <c r="R96" s="7" t="str">
        <f>+IFERROR(VLOOKUP(B96,[2]Google!$B$3:$C$99,2,FALSE),"")</f>
        <v/>
      </c>
    </row>
    <row r="97" spans="2:18">
      <c r="B97" s="7" t="s">
        <v>167</v>
      </c>
      <c r="C97" s="7" t="str">
        <f>+VLOOKUP($B97,'[2]Pricing Scenario - Maintain'!$B$4:$AM$238,2,FALSE)</f>
        <v>Latin America</v>
      </c>
      <c r="D97" s="6" t="s">
        <v>48</v>
      </c>
      <c r="E97" s="6" t="s">
        <v>48</v>
      </c>
      <c r="F97" s="6" t="s">
        <v>48</v>
      </c>
      <c r="G97" s="6" t="s">
        <v>48</v>
      </c>
      <c r="H97" s="6" t="s">
        <v>49</v>
      </c>
      <c r="I97" s="6" t="s">
        <v>49</v>
      </c>
      <c r="J97" s="6" t="s">
        <v>50</v>
      </c>
      <c r="K97" s="6" t="s">
        <v>50</v>
      </c>
      <c r="L97" s="6" t="s">
        <v>50</v>
      </c>
      <c r="M97" s="6" t="s">
        <v>50</v>
      </c>
      <c r="N97" s="6" t="s">
        <v>49</v>
      </c>
      <c r="O97" s="6" t="s">
        <v>49</v>
      </c>
      <c r="P97" s="6" t="s">
        <v>49</v>
      </c>
      <c r="Q97" s="7" t="str">
        <f>+IFERROR(VLOOKUP(B97,[2]Apple!$B$3:$C$173,2,FALSE),"")</f>
        <v/>
      </c>
      <c r="R97" s="7" t="str">
        <f>+IFERROR(VLOOKUP(B97,[2]Google!$B$3:$C$99,2,FALSE),"")</f>
        <v>HT</v>
      </c>
    </row>
    <row r="98" spans="2:18">
      <c r="B98" s="7" t="s">
        <v>168</v>
      </c>
      <c r="C98" s="7" t="str">
        <f>+VLOOKUP($B98,'[2]Pricing Scenario - Maintain'!$B$4:$AM$238,2,FALSE)</f>
        <v>India</v>
      </c>
      <c r="D98" s="6" t="s">
        <v>72</v>
      </c>
      <c r="E98" s="6" t="s">
        <v>72</v>
      </c>
      <c r="F98" s="6" t="s">
        <v>72</v>
      </c>
      <c r="G98" s="6" t="s">
        <v>72</v>
      </c>
      <c r="H98" s="6" t="s">
        <v>49</v>
      </c>
      <c r="I98" s="6" t="s">
        <v>49</v>
      </c>
      <c r="J98" s="6" t="s">
        <v>50</v>
      </c>
      <c r="K98" s="6" t="s">
        <v>50</v>
      </c>
      <c r="L98" s="6" t="s">
        <v>50</v>
      </c>
      <c r="M98" s="6" t="s">
        <v>50</v>
      </c>
      <c r="N98" s="6" t="s">
        <v>49</v>
      </c>
      <c r="O98" s="6" t="s">
        <v>49</v>
      </c>
      <c r="P98" s="6" t="s">
        <v>49</v>
      </c>
      <c r="Q98" s="7" t="str">
        <f>+IFERROR(VLOOKUP(B98,[2]Apple!$B$3:$C$173,2,FALSE),"")</f>
        <v/>
      </c>
      <c r="R98" s="7" t="str">
        <f>+IFERROR(VLOOKUP(B98,[2]Google!$B$3:$C$99,2,FALSE),"")</f>
        <v/>
      </c>
    </row>
    <row r="99" spans="2:18">
      <c r="B99" s="7" t="s">
        <v>169</v>
      </c>
      <c r="C99" s="7" t="str">
        <f>+VLOOKUP($B99,'[2]Pricing Scenario - Maintain'!$B$4:$AM$238,2,FALSE)</f>
        <v>Latin America</v>
      </c>
      <c r="D99" s="6" t="s">
        <v>48</v>
      </c>
      <c r="E99" s="6" t="s">
        <v>48</v>
      </c>
      <c r="F99" s="6" t="s">
        <v>48</v>
      </c>
      <c r="G99" s="6" t="s">
        <v>48</v>
      </c>
      <c r="H99" s="6" t="s">
        <v>49</v>
      </c>
      <c r="I99" s="6" t="s">
        <v>49</v>
      </c>
      <c r="J99" s="6" t="s">
        <v>50</v>
      </c>
      <c r="K99" s="6" t="s">
        <v>50</v>
      </c>
      <c r="L99" s="6" t="s">
        <v>50</v>
      </c>
      <c r="M99" s="6" t="s">
        <v>50</v>
      </c>
      <c r="N99" s="6" t="s">
        <v>49</v>
      </c>
      <c r="O99" s="6" t="s">
        <v>49</v>
      </c>
      <c r="P99" s="6" t="s">
        <v>49</v>
      </c>
      <c r="Q99" s="7" t="str">
        <f>+IFERROR(VLOOKUP(B99,[2]Apple!$B$3:$C$173,2,FALSE),"")</f>
        <v>HN</v>
      </c>
      <c r="R99" s="7" t="str">
        <f>+IFERROR(VLOOKUP(B99,[2]Google!$B$3:$C$99,2,FALSE),"")</f>
        <v>HN</v>
      </c>
    </row>
    <row r="100" spans="2:18">
      <c r="B100" s="7" t="s">
        <v>170</v>
      </c>
      <c r="C100" s="7" t="str">
        <f>+VLOOKUP($B100,'[2]Pricing Scenario - Maintain'!$B$4:$AM$238,2,FALSE)</f>
        <v>NBA China</v>
      </c>
      <c r="D100" s="6" t="s">
        <v>48</v>
      </c>
      <c r="E100" s="6" t="s">
        <v>48</v>
      </c>
      <c r="F100" s="6" t="s">
        <v>48</v>
      </c>
      <c r="G100" s="6" t="s">
        <v>48</v>
      </c>
      <c r="H100" s="6" t="s">
        <v>49</v>
      </c>
      <c r="I100" s="6" t="s">
        <v>49</v>
      </c>
      <c r="J100" s="6" t="s">
        <v>50</v>
      </c>
      <c r="K100" s="6" t="s">
        <v>50</v>
      </c>
      <c r="L100" s="6" t="s">
        <v>50</v>
      </c>
      <c r="M100" s="6" t="s">
        <v>50</v>
      </c>
      <c r="N100" s="6" t="s">
        <v>49</v>
      </c>
      <c r="O100" s="6" t="s">
        <v>49</v>
      </c>
      <c r="P100" s="6" t="s">
        <v>49</v>
      </c>
      <c r="Q100" s="7" t="str">
        <f>+IFERROR(VLOOKUP(B100,[2]Apple!$B$3:$C$173,2,FALSE),"")</f>
        <v>HK</v>
      </c>
      <c r="R100" s="7" t="str">
        <f>+IFERROR(VLOOKUP(B100,[2]Google!$B$3:$C$99,2,FALSE),"")</f>
        <v>HK</v>
      </c>
    </row>
    <row r="101" spans="2:18">
      <c r="B101" s="7" t="s">
        <v>171</v>
      </c>
      <c r="C101" s="7" t="str">
        <f>+VLOOKUP($B101,'[2]Pricing Scenario - Maintain'!$B$4:$AM$238,2,FALSE)</f>
        <v>Europe</v>
      </c>
      <c r="D101" s="6" t="s">
        <v>48</v>
      </c>
      <c r="E101" s="6" t="s">
        <v>48</v>
      </c>
      <c r="F101" s="6" t="s">
        <v>48</v>
      </c>
      <c r="G101" s="6" t="s">
        <v>48</v>
      </c>
      <c r="H101" s="6" t="s">
        <v>49</v>
      </c>
      <c r="I101" s="6" t="s">
        <v>49</v>
      </c>
      <c r="J101" s="6" t="s">
        <v>50</v>
      </c>
      <c r="K101" s="6" t="s">
        <v>50</v>
      </c>
      <c r="L101" s="6" t="s">
        <v>50</v>
      </c>
      <c r="M101" s="6" t="s">
        <v>50</v>
      </c>
      <c r="N101" s="6" t="s">
        <v>49</v>
      </c>
      <c r="O101" s="6" t="s">
        <v>49</v>
      </c>
      <c r="P101" s="6" t="s">
        <v>49</v>
      </c>
      <c r="Q101" s="7" t="str">
        <f>+IFERROR(VLOOKUP(B101,[2]Apple!$B$3:$C$173,2,FALSE),"")</f>
        <v>HU</v>
      </c>
      <c r="R101" s="7" t="str">
        <f>+IFERROR(VLOOKUP(B101,[2]Google!$B$3:$C$99,2,FALSE),"")</f>
        <v>HU</v>
      </c>
    </row>
    <row r="102" spans="2:18">
      <c r="B102" s="7" t="s">
        <v>172</v>
      </c>
      <c r="C102" s="7" t="str">
        <f>+VLOOKUP($B102,'[2]Pricing Scenario - Maintain'!$B$4:$AM$238,2,FALSE)</f>
        <v>Europe</v>
      </c>
      <c r="D102" s="6" t="s">
        <v>48</v>
      </c>
      <c r="E102" s="6" t="s">
        <v>48</v>
      </c>
      <c r="F102" s="6" t="s">
        <v>48</v>
      </c>
      <c r="G102" s="6" t="s">
        <v>48</v>
      </c>
      <c r="H102" s="6" t="s">
        <v>49</v>
      </c>
      <c r="I102" s="6" t="s">
        <v>49</v>
      </c>
      <c r="J102" s="6" t="s">
        <v>50</v>
      </c>
      <c r="K102" s="6" t="s">
        <v>50</v>
      </c>
      <c r="L102" s="6" t="s">
        <v>50</v>
      </c>
      <c r="M102" s="6" t="s">
        <v>50</v>
      </c>
      <c r="N102" s="6" t="s">
        <v>49</v>
      </c>
      <c r="O102" s="6" t="s">
        <v>49</v>
      </c>
      <c r="P102" s="6" t="s">
        <v>49</v>
      </c>
      <c r="Q102" s="7" t="str">
        <f>+IFERROR(VLOOKUP(B102,[2]Apple!$B$3:$C$173,2,FALSE),"")</f>
        <v>IS</v>
      </c>
      <c r="R102" s="7" t="str">
        <f>+IFERROR(VLOOKUP(B102,[2]Google!$B$3:$C$99,2,FALSE),"")</f>
        <v>IS</v>
      </c>
    </row>
    <row r="103" spans="2:18">
      <c r="B103" s="7" t="s">
        <v>173</v>
      </c>
      <c r="C103" s="7" t="str">
        <f>+VLOOKUP($B103,'[2]Pricing Scenario - Maintain'!$B$4:$AM$238,2,FALSE)</f>
        <v>India</v>
      </c>
      <c r="D103" s="6" t="s">
        <v>48</v>
      </c>
      <c r="E103" s="6" t="s">
        <v>48</v>
      </c>
      <c r="F103" s="6" t="s">
        <v>48</v>
      </c>
      <c r="G103" s="6" t="s">
        <v>48</v>
      </c>
      <c r="H103" s="6" t="s">
        <v>49</v>
      </c>
      <c r="I103" s="6" t="s">
        <v>49</v>
      </c>
      <c r="J103" s="6" t="s">
        <v>50</v>
      </c>
      <c r="K103" s="6" t="s">
        <v>50</v>
      </c>
      <c r="L103" s="6" t="s">
        <v>50</v>
      </c>
      <c r="M103" s="6" t="s">
        <v>50</v>
      </c>
      <c r="N103" s="6" t="s">
        <v>49</v>
      </c>
      <c r="O103" s="6" t="s">
        <v>49</v>
      </c>
      <c r="P103" s="6" t="s">
        <v>49</v>
      </c>
      <c r="Q103" s="7" t="str">
        <f>+IFERROR(VLOOKUP(B103,[2]Apple!$B$3:$C$173,2,FALSE),"")</f>
        <v>IN</v>
      </c>
      <c r="R103" s="7" t="str">
        <f>+IFERROR(VLOOKUP(B103,[2]Google!$B$3:$C$99,2,FALSE),"")</f>
        <v>IN</v>
      </c>
    </row>
    <row r="104" spans="2:18">
      <c r="B104" s="7" t="s">
        <v>174</v>
      </c>
      <c r="C104" s="7" t="str">
        <f>+VLOOKUP($B104,'[2]Pricing Scenario - Maintain'!$B$4:$AM$238,2,FALSE)</f>
        <v>Asia</v>
      </c>
      <c r="D104" s="6" t="s">
        <v>48</v>
      </c>
      <c r="E104" s="6" t="s">
        <v>48</v>
      </c>
      <c r="F104" s="6" t="s">
        <v>48</v>
      </c>
      <c r="G104" s="6" t="s">
        <v>48</v>
      </c>
      <c r="H104" s="6" t="s">
        <v>49</v>
      </c>
      <c r="I104" s="6" t="s">
        <v>49</v>
      </c>
      <c r="J104" s="6" t="s">
        <v>50</v>
      </c>
      <c r="K104" s="6" t="s">
        <v>50</v>
      </c>
      <c r="L104" s="6" t="s">
        <v>50</v>
      </c>
      <c r="M104" s="6" t="s">
        <v>50</v>
      </c>
      <c r="N104" s="6" t="s">
        <v>49</v>
      </c>
      <c r="O104" s="6" t="s">
        <v>49</v>
      </c>
      <c r="P104" s="6" t="s">
        <v>49</v>
      </c>
      <c r="Q104" s="7" t="str">
        <f>+IFERROR(VLOOKUP(B104,[2]Apple!$B$3:$C$173,2,FALSE),"")</f>
        <v>ID</v>
      </c>
      <c r="R104" s="7" t="str">
        <f>+IFERROR(VLOOKUP(B104,[2]Google!$B$3:$C$99,2,FALSE),"")</f>
        <v>ID</v>
      </c>
    </row>
    <row r="105" spans="2:18">
      <c r="B105" s="7" t="s">
        <v>175</v>
      </c>
      <c r="C105" s="7" t="str">
        <f>+VLOOKUP($B105,'[2]Pricing Scenario - Maintain'!$B$4:$AM$238,2,FALSE)</f>
        <v>Middle East</v>
      </c>
      <c r="D105" s="6" t="s">
        <v>48</v>
      </c>
      <c r="E105" s="6" t="s">
        <v>48</v>
      </c>
      <c r="F105" s="6" t="s">
        <v>48</v>
      </c>
      <c r="G105" s="6" t="s">
        <v>48</v>
      </c>
      <c r="H105" s="6" t="s">
        <v>49</v>
      </c>
      <c r="I105" s="6" t="s">
        <v>49</v>
      </c>
      <c r="J105" s="6" t="s">
        <v>50</v>
      </c>
      <c r="K105" s="6" t="s">
        <v>50</v>
      </c>
      <c r="L105" s="6" t="s">
        <v>50</v>
      </c>
      <c r="M105" s="6" t="s">
        <v>50</v>
      </c>
      <c r="N105" s="8" t="s">
        <v>49</v>
      </c>
      <c r="O105" s="8" t="s">
        <v>49</v>
      </c>
      <c r="P105" s="8" t="s">
        <v>49</v>
      </c>
      <c r="Q105" s="7"/>
      <c r="R105" s="7"/>
    </row>
    <row r="106" spans="2:18">
      <c r="B106" s="7" t="s">
        <v>176</v>
      </c>
      <c r="C106" s="7" t="str">
        <f>+VLOOKUP($B106,'[2]Pricing Scenario - Maintain'!$B$4:$AM$238,2,FALSE)</f>
        <v>Europe</v>
      </c>
      <c r="D106" s="6" t="s">
        <v>48</v>
      </c>
      <c r="E106" s="6" t="s">
        <v>48</v>
      </c>
      <c r="F106" s="6" t="s">
        <v>48</v>
      </c>
      <c r="G106" s="6" t="s">
        <v>48</v>
      </c>
      <c r="H106" s="6" t="s">
        <v>49</v>
      </c>
      <c r="I106" s="6" t="s">
        <v>49</v>
      </c>
      <c r="J106" s="6" t="s">
        <v>50</v>
      </c>
      <c r="K106" s="6" t="s">
        <v>50</v>
      </c>
      <c r="L106" s="6" t="s">
        <v>50</v>
      </c>
      <c r="M106" s="6" t="s">
        <v>50</v>
      </c>
      <c r="N106" s="6" t="s">
        <v>49</v>
      </c>
      <c r="O106" s="6" t="s">
        <v>49</v>
      </c>
      <c r="P106" s="6" t="s">
        <v>49</v>
      </c>
      <c r="Q106" s="7" t="str">
        <f>+IFERROR(VLOOKUP(B106,[2]Apple!$B$3:$C$173,2,FALSE),"")</f>
        <v>IE</v>
      </c>
      <c r="R106" s="7" t="str">
        <f>+IFERROR(VLOOKUP(B106,[2]Google!$B$3:$C$99,2,FALSE),"")</f>
        <v>IE</v>
      </c>
    </row>
    <row r="107" spans="2:18">
      <c r="B107" s="7" t="s">
        <v>177</v>
      </c>
      <c r="C107" s="7" t="str">
        <f>+VLOOKUP($B107,'[2]Pricing Scenario - Maintain'!$B$4:$AM$238,2,FALSE)</f>
        <v>Europe</v>
      </c>
      <c r="D107" s="6" t="s">
        <v>72</v>
      </c>
      <c r="E107" s="6" t="s">
        <v>72</v>
      </c>
      <c r="F107" s="6" t="s">
        <v>72</v>
      </c>
      <c r="G107" s="6" t="s">
        <v>72</v>
      </c>
      <c r="H107" s="6" t="s">
        <v>49</v>
      </c>
      <c r="I107" s="6" t="s">
        <v>49</v>
      </c>
      <c r="J107" s="6" t="s">
        <v>50</v>
      </c>
      <c r="K107" s="6" t="s">
        <v>50</v>
      </c>
      <c r="L107" s="6" t="s">
        <v>50</v>
      </c>
      <c r="M107" s="6" t="s">
        <v>50</v>
      </c>
      <c r="N107" s="6" t="s">
        <v>49</v>
      </c>
      <c r="O107" s="6" t="s">
        <v>49</v>
      </c>
      <c r="P107" s="6" t="s">
        <v>49</v>
      </c>
      <c r="Q107" s="7" t="str">
        <f>+IFERROR(VLOOKUP(B107,[2]Apple!$B$3:$C$173,2,FALSE),"")</f>
        <v/>
      </c>
      <c r="R107" s="7" t="str">
        <f>+IFERROR(VLOOKUP(B107,[2]Google!$B$3:$C$99,2,FALSE),"")</f>
        <v/>
      </c>
    </row>
    <row r="108" spans="2:18">
      <c r="B108" s="7" t="s">
        <v>178</v>
      </c>
      <c r="C108" s="7" t="str">
        <f>+VLOOKUP($B108,'[2]Pricing Scenario - Maintain'!$B$4:$AM$238,2,FALSE)</f>
        <v>Europe</v>
      </c>
      <c r="D108" s="6" t="s">
        <v>48</v>
      </c>
      <c r="E108" s="6" t="s">
        <v>48</v>
      </c>
      <c r="F108" s="6" t="s">
        <v>48</v>
      </c>
      <c r="G108" s="6" t="s">
        <v>48</v>
      </c>
      <c r="H108" s="6" t="s">
        <v>49</v>
      </c>
      <c r="I108" s="6" t="s">
        <v>49</v>
      </c>
      <c r="J108" s="6" t="s">
        <v>50</v>
      </c>
      <c r="K108" s="6" t="s">
        <v>50</v>
      </c>
      <c r="L108" s="6" t="s">
        <v>50</v>
      </c>
      <c r="M108" s="6" t="s">
        <v>50</v>
      </c>
      <c r="N108" s="6" t="s">
        <v>49</v>
      </c>
      <c r="O108" s="6" t="s">
        <v>49</v>
      </c>
      <c r="P108" s="6" t="s">
        <v>49</v>
      </c>
      <c r="Q108" s="7" t="str">
        <f>+IFERROR(VLOOKUP(B108,[2]Apple!$B$3:$C$173,2,FALSE),"")</f>
        <v>IL</v>
      </c>
      <c r="R108" s="7" t="str">
        <f>+IFERROR(VLOOKUP(B108,[2]Google!$B$3:$C$99,2,FALSE),"")</f>
        <v>IL</v>
      </c>
    </row>
    <row r="109" spans="2:18">
      <c r="B109" s="7" t="s">
        <v>179</v>
      </c>
      <c r="C109" s="7" t="str">
        <f>+VLOOKUP($B109,'[2]Pricing Scenario - Maintain'!$B$4:$AM$238,2,FALSE)</f>
        <v>Europe</v>
      </c>
      <c r="D109" s="6" t="s">
        <v>48</v>
      </c>
      <c r="E109" s="6" t="s">
        <v>48</v>
      </c>
      <c r="F109" s="6" t="s">
        <v>48</v>
      </c>
      <c r="G109" s="6" t="s">
        <v>48</v>
      </c>
      <c r="H109" s="6" t="s">
        <v>49</v>
      </c>
      <c r="I109" s="6" t="s">
        <v>49</v>
      </c>
      <c r="J109" s="6" t="s">
        <v>50</v>
      </c>
      <c r="K109" s="6" t="s">
        <v>50</v>
      </c>
      <c r="L109" s="6" t="s">
        <v>50</v>
      </c>
      <c r="M109" s="6" t="s">
        <v>50</v>
      </c>
      <c r="N109" s="6" t="s">
        <v>49</v>
      </c>
      <c r="O109" s="6" t="s">
        <v>49</v>
      </c>
      <c r="P109" s="6" t="s">
        <v>49</v>
      </c>
      <c r="Q109" s="7" t="str">
        <f>+IFERROR(VLOOKUP(B109,[2]Apple!$B$3:$C$173,2,FALSE),"")</f>
        <v>IT</v>
      </c>
      <c r="R109" s="7" t="str">
        <f>+IFERROR(VLOOKUP(B109,[2]Google!$B$3:$C$99,2,FALSE),"")</f>
        <v>IT</v>
      </c>
    </row>
    <row r="110" spans="2:18">
      <c r="B110" s="7" t="s">
        <v>180</v>
      </c>
      <c r="C110" s="7" t="str">
        <f>+VLOOKUP($B110,'[2]Pricing Scenario - Maintain'!$B$4:$AM$238,2,FALSE)</f>
        <v>Latin America</v>
      </c>
      <c r="D110" s="6" t="s">
        <v>48</v>
      </c>
      <c r="E110" s="6" t="s">
        <v>48</v>
      </c>
      <c r="F110" s="6" t="s">
        <v>48</v>
      </c>
      <c r="G110" s="6" t="s">
        <v>48</v>
      </c>
      <c r="H110" s="6" t="s">
        <v>49</v>
      </c>
      <c r="I110" s="6" t="s">
        <v>49</v>
      </c>
      <c r="J110" s="6" t="s">
        <v>50</v>
      </c>
      <c r="K110" s="6" t="s">
        <v>50</v>
      </c>
      <c r="L110" s="6" t="s">
        <v>50</v>
      </c>
      <c r="M110" s="6" t="s">
        <v>50</v>
      </c>
      <c r="N110" s="6" t="s">
        <v>49</v>
      </c>
      <c r="O110" s="6" t="s">
        <v>49</v>
      </c>
      <c r="P110" s="6" t="s">
        <v>49</v>
      </c>
      <c r="Q110" s="7" t="str">
        <f>+IFERROR(VLOOKUP(B110,[2]Apple!$B$3:$C$173,2,FALSE),"")</f>
        <v>JM</v>
      </c>
      <c r="R110" s="7" t="str">
        <f>+IFERROR(VLOOKUP(B110,[2]Google!$B$3:$C$99,2,FALSE),"")</f>
        <v>JM</v>
      </c>
    </row>
    <row r="111" spans="2:18">
      <c r="B111" s="7" t="s">
        <v>181</v>
      </c>
      <c r="C111" s="7" t="s">
        <v>182</v>
      </c>
      <c r="D111" s="6" t="s">
        <v>48</v>
      </c>
      <c r="E111" s="6" t="s">
        <v>48</v>
      </c>
      <c r="F111" s="6" t="s">
        <v>48</v>
      </c>
      <c r="G111" s="6" t="s">
        <v>48</v>
      </c>
      <c r="H111" s="6" t="s">
        <v>49</v>
      </c>
      <c r="I111" s="6" t="s">
        <v>49</v>
      </c>
      <c r="J111" s="6" t="s">
        <v>50</v>
      </c>
      <c r="K111" s="6" t="s">
        <v>50</v>
      </c>
      <c r="L111" s="6" t="s">
        <v>50</v>
      </c>
      <c r="M111" s="6" t="s">
        <v>50</v>
      </c>
      <c r="N111" s="6"/>
      <c r="O111" s="6"/>
      <c r="P111" s="6"/>
      <c r="Q111" s="7"/>
      <c r="R111" s="7"/>
    </row>
    <row r="112" spans="2:18">
      <c r="B112" s="7" t="s">
        <v>183</v>
      </c>
      <c r="C112" s="7" t="str">
        <f>+VLOOKUP($B112,'[2]Pricing Scenario - Maintain'!$B$4:$AM$238,2,FALSE)</f>
        <v>Europe</v>
      </c>
      <c r="D112" s="6" t="s">
        <v>72</v>
      </c>
      <c r="E112" s="6" t="s">
        <v>72</v>
      </c>
      <c r="F112" s="6" t="s">
        <v>72</v>
      </c>
      <c r="G112" s="6" t="s">
        <v>72</v>
      </c>
      <c r="H112" s="6" t="s">
        <v>49</v>
      </c>
      <c r="I112" s="6" t="s">
        <v>49</v>
      </c>
      <c r="J112" s="6" t="s">
        <v>50</v>
      </c>
      <c r="K112" s="6" t="s">
        <v>50</v>
      </c>
      <c r="L112" s="6" t="s">
        <v>50</v>
      </c>
      <c r="M112" s="6" t="s">
        <v>50</v>
      </c>
      <c r="N112" s="6" t="s">
        <v>49</v>
      </c>
      <c r="O112" s="6" t="s">
        <v>49</v>
      </c>
      <c r="P112" s="6" t="s">
        <v>49</v>
      </c>
      <c r="Q112" s="7" t="str">
        <f>+IFERROR(VLOOKUP(B112,[2]Apple!$B$3:$C$173,2,FALSE),"")</f>
        <v/>
      </c>
      <c r="R112" s="7" t="str">
        <f>+IFERROR(VLOOKUP(B112,[2]Google!$B$3:$C$99,2,FALSE),"")</f>
        <v/>
      </c>
    </row>
    <row r="113" spans="2:18">
      <c r="B113" s="7" t="s">
        <v>184</v>
      </c>
      <c r="C113" s="7" t="str">
        <f>+VLOOKUP($B113,'[2]Pricing Scenario - Maintain'!$B$4:$AM$238,2,FALSE)</f>
        <v>Middle East</v>
      </c>
      <c r="D113" s="6" t="s">
        <v>48</v>
      </c>
      <c r="E113" s="6" t="s">
        <v>48</v>
      </c>
      <c r="F113" s="6" t="s">
        <v>48</v>
      </c>
      <c r="G113" s="6" t="s">
        <v>48</v>
      </c>
      <c r="H113" s="6" t="s">
        <v>49</v>
      </c>
      <c r="I113" s="6" t="s">
        <v>49</v>
      </c>
      <c r="J113" s="6" t="s">
        <v>50</v>
      </c>
      <c r="K113" s="6" t="s">
        <v>50</v>
      </c>
      <c r="L113" s="6" t="s">
        <v>50</v>
      </c>
      <c r="M113" s="6" t="s">
        <v>50</v>
      </c>
      <c r="N113" s="6" t="s">
        <v>49</v>
      </c>
      <c r="O113" s="6" t="s">
        <v>49</v>
      </c>
      <c r="P113" s="6" t="s">
        <v>49</v>
      </c>
      <c r="Q113" s="7" t="str">
        <f>+IFERROR(VLOOKUP(B113,[2]Apple!$B$3:$C$173,2,FALSE),"")</f>
        <v>JO</v>
      </c>
      <c r="R113" s="7" t="str">
        <f>+IFERROR(VLOOKUP(B113,[2]Google!$B$3:$C$99,2,FALSE),"")</f>
        <v>JO</v>
      </c>
    </row>
    <row r="114" spans="2:18">
      <c r="B114" s="7" t="s">
        <v>185</v>
      </c>
      <c r="C114" s="7" t="str">
        <f>+VLOOKUP($B114,'[2]Pricing Scenario - Maintain'!$B$4:$AM$238,2,FALSE)</f>
        <v>Asia</v>
      </c>
      <c r="D114" s="6" t="s">
        <v>48</v>
      </c>
      <c r="E114" s="6" t="s">
        <v>48</v>
      </c>
      <c r="F114" s="6" t="s">
        <v>48</v>
      </c>
      <c r="G114" s="6" t="s">
        <v>48</v>
      </c>
      <c r="H114" s="6" t="s">
        <v>49</v>
      </c>
      <c r="I114" s="6" t="s">
        <v>49</v>
      </c>
      <c r="J114" s="6" t="s">
        <v>50</v>
      </c>
      <c r="K114" s="6" t="s">
        <v>50</v>
      </c>
      <c r="L114" s="6" t="s">
        <v>50</v>
      </c>
      <c r="M114" s="6" t="s">
        <v>50</v>
      </c>
      <c r="N114" s="6" t="s">
        <v>49</v>
      </c>
      <c r="O114" s="6" t="s">
        <v>49</v>
      </c>
      <c r="P114" s="6" t="s">
        <v>49</v>
      </c>
      <c r="Q114" s="7" t="str">
        <f>+IFERROR(VLOOKUP(B114,[2]Apple!$B$3:$C$173,2,FALSE),"")</f>
        <v>KZ</v>
      </c>
      <c r="R114" s="7" t="str">
        <f>+IFERROR(VLOOKUP(B114,[2]Google!$B$3:$C$99,2,FALSE),"")</f>
        <v>KZ</v>
      </c>
    </row>
    <row r="115" spans="2:18">
      <c r="B115" s="7" t="s">
        <v>186</v>
      </c>
      <c r="C115" s="7" t="str">
        <f>+VLOOKUP($B115,'[2]Pricing Scenario - Maintain'!$B$4:$AM$238,2,FALSE)</f>
        <v>Africa</v>
      </c>
      <c r="D115" s="6" t="s">
        <v>48</v>
      </c>
      <c r="E115" s="6" t="s">
        <v>48</v>
      </c>
      <c r="F115" s="6" t="s">
        <v>48</v>
      </c>
      <c r="G115" s="6" t="s">
        <v>48</v>
      </c>
      <c r="H115" s="6" t="s">
        <v>49</v>
      </c>
      <c r="I115" s="6" t="s">
        <v>49</v>
      </c>
      <c r="J115" s="6" t="s">
        <v>50</v>
      </c>
      <c r="K115" s="6" t="s">
        <v>50</v>
      </c>
      <c r="L115" s="6" t="s">
        <v>50</v>
      </c>
      <c r="M115" s="6" t="s">
        <v>50</v>
      </c>
      <c r="N115" s="6" t="s">
        <v>49</v>
      </c>
      <c r="O115" s="6" t="s">
        <v>49</v>
      </c>
      <c r="P115" s="6" t="s">
        <v>49</v>
      </c>
      <c r="Q115" s="7" t="str">
        <f>+IFERROR(VLOOKUP(B115,[2]Apple!$B$3:$C$173,2,FALSE),"")</f>
        <v>KE</v>
      </c>
      <c r="R115" s="7" t="str">
        <f>+IFERROR(VLOOKUP(B115,[2]Google!$B$3:$C$99,2,FALSE),"")</f>
        <v>KE</v>
      </c>
    </row>
    <row r="116" spans="2:18">
      <c r="B116" s="7" t="s">
        <v>187</v>
      </c>
      <c r="C116" s="7" t="str">
        <f>+VLOOKUP($B116,'[2]Pricing Scenario - Maintain'!$B$4:$AM$238,2,FALSE)</f>
        <v>Asia</v>
      </c>
      <c r="D116" s="6" t="s">
        <v>72</v>
      </c>
      <c r="E116" s="6" t="s">
        <v>72</v>
      </c>
      <c r="F116" s="6" t="s">
        <v>72</v>
      </c>
      <c r="G116" s="6" t="s">
        <v>72</v>
      </c>
      <c r="H116" s="6" t="s">
        <v>49</v>
      </c>
      <c r="I116" s="6" t="s">
        <v>49</v>
      </c>
      <c r="J116" s="6" t="s">
        <v>50</v>
      </c>
      <c r="K116" s="6" t="s">
        <v>50</v>
      </c>
      <c r="L116" s="6" t="s">
        <v>50</v>
      </c>
      <c r="M116" s="6" t="s">
        <v>50</v>
      </c>
      <c r="N116" s="6" t="s">
        <v>49</v>
      </c>
      <c r="O116" s="6" t="s">
        <v>49</v>
      </c>
      <c r="P116" s="6" t="s">
        <v>49</v>
      </c>
      <c r="Q116" s="7" t="str">
        <f>+IFERROR(VLOOKUP(B116,[2]Apple!$B$3:$C$173,2,FALSE),"")</f>
        <v/>
      </c>
      <c r="R116" s="7" t="str">
        <f>+IFERROR(VLOOKUP(B116,[2]Google!$B$3:$C$99,2,FALSE),"")</f>
        <v/>
      </c>
    </row>
    <row r="117" spans="2:18">
      <c r="B117" s="7" t="s">
        <v>188</v>
      </c>
      <c r="C117" s="7" t="str">
        <f>+VLOOKUP($B117,'[2]Pricing Scenario - Maintain'!$B$4:$AM$238,2,FALSE)</f>
        <v>Europe</v>
      </c>
      <c r="D117" s="6" t="s">
        <v>48</v>
      </c>
      <c r="E117" s="6" t="s">
        <v>48</v>
      </c>
      <c r="F117" s="6" t="s">
        <v>48</v>
      </c>
      <c r="G117" s="6" t="s">
        <v>48</v>
      </c>
      <c r="H117" s="6" t="s">
        <v>49</v>
      </c>
      <c r="I117" s="6" t="s">
        <v>49</v>
      </c>
      <c r="J117" s="6" t="s">
        <v>50</v>
      </c>
      <c r="K117" s="6" t="s">
        <v>50</v>
      </c>
      <c r="L117" s="6" t="s">
        <v>50</v>
      </c>
      <c r="M117" s="6" t="s">
        <v>50</v>
      </c>
      <c r="N117" s="8"/>
      <c r="O117" s="8"/>
      <c r="P117" s="8"/>
      <c r="Q117" s="7" t="str">
        <f>+IFERROR(VLOOKUP(B117,[2]Apple!$B$3:$C$173,2,FALSE),"")</f>
        <v>XK</v>
      </c>
      <c r="R117" s="7" t="str">
        <f>+IFERROR(VLOOKUP(B117,[2]Google!$B$3:$C$99,2,FALSE),"")</f>
        <v/>
      </c>
    </row>
    <row r="118" spans="2:18">
      <c r="B118" s="7" t="s">
        <v>189</v>
      </c>
      <c r="C118" s="7" t="str">
        <f>+VLOOKUP($B118,'[2]Pricing Scenario - Maintain'!$B$4:$AM$238,2,FALSE)</f>
        <v>Middle East</v>
      </c>
      <c r="D118" s="6" t="s">
        <v>48</v>
      </c>
      <c r="E118" s="6" t="s">
        <v>48</v>
      </c>
      <c r="F118" s="6" t="s">
        <v>48</v>
      </c>
      <c r="G118" s="6" t="s">
        <v>48</v>
      </c>
      <c r="H118" s="6" t="s">
        <v>49</v>
      </c>
      <c r="I118" s="6" t="s">
        <v>49</v>
      </c>
      <c r="J118" s="6" t="s">
        <v>50</v>
      </c>
      <c r="K118" s="6" t="s">
        <v>50</v>
      </c>
      <c r="L118" s="6" t="s">
        <v>50</v>
      </c>
      <c r="M118" s="6" t="s">
        <v>50</v>
      </c>
      <c r="N118" s="6" t="s">
        <v>49</v>
      </c>
      <c r="O118" s="6" t="s">
        <v>49</v>
      </c>
      <c r="P118" s="6" t="s">
        <v>49</v>
      </c>
      <c r="Q118" s="7" t="str">
        <f>+IFERROR(VLOOKUP(B118,[2]Apple!$B$3:$C$173,2,FALSE),"")</f>
        <v>KW</v>
      </c>
      <c r="R118" s="7" t="str">
        <f>+IFERROR(VLOOKUP(B118,[2]Google!$B$3:$C$99,2,FALSE),"")</f>
        <v>KW</v>
      </c>
    </row>
    <row r="119" spans="2:18">
      <c r="B119" s="7" t="s">
        <v>190</v>
      </c>
      <c r="C119" s="7" t="str">
        <f>+VLOOKUP($B119,'[2]Pricing Scenario - Maintain'!$B$4:$AM$238,2,FALSE)</f>
        <v>Asia</v>
      </c>
      <c r="D119" s="6" t="s">
        <v>48</v>
      </c>
      <c r="E119" s="6" t="s">
        <v>48</v>
      </c>
      <c r="F119" s="6" t="s">
        <v>48</v>
      </c>
      <c r="G119" s="6" t="s">
        <v>48</v>
      </c>
      <c r="H119" s="6" t="s">
        <v>49</v>
      </c>
      <c r="I119" s="6" t="s">
        <v>49</v>
      </c>
      <c r="J119" s="6" t="s">
        <v>50</v>
      </c>
      <c r="K119" s="6" t="s">
        <v>50</v>
      </c>
      <c r="L119" s="6" t="s">
        <v>50</v>
      </c>
      <c r="M119" s="6" t="s">
        <v>50</v>
      </c>
      <c r="N119" s="6" t="s">
        <v>49</v>
      </c>
      <c r="O119" s="6" t="s">
        <v>49</v>
      </c>
      <c r="P119" s="6" t="s">
        <v>49</v>
      </c>
      <c r="Q119" s="7" t="str">
        <f>+IFERROR(VLOOKUP(B119,[2]Apple!$B$3:$C$173,2,FALSE),"")</f>
        <v>KG</v>
      </c>
      <c r="R119" s="7" t="str">
        <f>+IFERROR(VLOOKUP(B119,[2]Google!$B$3:$C$99,2,FALSE),"")</f>
        <v>KG</v>
      </c>
    </row>
    <row r="120" spans="2:18">
      <c r="B120" s="7" t="s">
        <v>191</v>
      </c>
      <c r="C120" s="7" t="str">
        <f>+VLOOKUP($B120,'[2]Pricing Scenario - Maintain'!$B$4:$AM$238,2,FALSE)</f>
        <v>Asia</v>
      </c>
      <c r="D120" s="6" t="s">
        <v>48</v>
      </c>
      <c r="E120" s="6" t="s">
        <v>48</v>
      </c>
      <c r="F120" s="6" t="s">
        <v>48</v>
      </c>
      <c r="G120" s="6" t="s">
        <v>48</v>
      </c>
      <c r="H120" s="6" t="s">
        <v>49</v>
      </c>
      <c r="I120" s="6" t="s">
        <v>49</v>
      </c>
      <c r="J120" s="6" t="s">
        <v>50</v>
      </c>
      <c r="K120" s="6" t="s">
        <v>50</v>
      </c>
      <c r="L120" s="6" t="s">
        <v>50</v>
      </c>
      <c r="M120" s="6" t="s">
        <v>50</v>
      </c>
      <c r="N120" s="6" t="s">
        <v>49</v>
      </c>
      <c r="O120" s="6" t="s">
        <v>49</v>
      </c>
      <c r="P120" s="6" t="s">
        <v>49</v>
      </c>
      <c r="Q120" s="7" t="str">
        <f>+IFERROR(VLOOKUP(B120,[2]Apple!$B$3:$C$173,2,FALSE),"")</f>
        <v>LA</v>
      </c>
      <c r="R120" s="7" t="str">
        <f>+IFERROR(VLOOKUP(B120,[2]Google!$B$3:$C$99,2,FALSE),"")</f>
        <v>LA</v>
      </c>
    </row>
    <row r="121" spans="2:18">
      <c r="B121" s="7" t="s">
        <v>192</v>
      </c>
      <c r="C121" s="7" t="str">
        <f>+VLOOKUP($B121,'[2]Pricing Scenario - Maintain'!$B$4:$AM$238,2,FALSE)</f>
        <v>Europe</v>
      </c>
      <c r="D121" s="6" t="s">
        <v>48</v>
      </c>
      <c r="E121" s="6" t="s">
        <v>48</v>
      </c>
      <c r="F121" s="6" t="s">
        <v>48</v>
      </c>
      <c r="G121" s="6" t="s">
        <v>48</v>
      </c>
      <c r="H121" s="6" t="s">
        <v>49</v>
      </c>
      <c r="I121" s="6" t="s">
        <v>49</v>
      </c>
      <c r="J121" s="6" t="s">
        <v>50</v>
      </c>
      <c r="K121" s="6" t="s">
        <v>50</v>
      </c>
      <c r="L121" s="6" t="s">
        <v>50</v>
      </c>
      <c r="M121" s="6" t="s">
        <v>50</v>
      </c>
      <c r="N121" s="6" t="s">
        <v>49</v>
      </c>
      <c r="O121" s="6" t="s">
        <v>49</v>
      </c>
      <c r="P121" s="6" t="s">
        <v>49</v>
      </c>
      <c r="Q121" s="7" t="str">
        <f>+IFERROR(VLOOKUP(B121,[2]Apple!$B$3:$C$173,2,FALSE),"")</f>
        <v>LV</v>
      </c>
      <c r="R121" s="7" t="str">
        <f>+IFERROR(VLOOKUP(B121,[2]Google!$B$3:$C$99,2,FALSE),"")</f>
        <v>LV</v>
      </c>
    </row>
    <row r="122" spans="2:18">
      <c r="B122" s="7" t="s">
        <v>193</v>
      </c>
      <c r="C122" s="7" t="str">
        <f>+VLOOKUP($B122,'[2]Pricing Scenario - Maintain'!$B$4:$AM$238,2,FALSE)</f>
        <v>Middle East</v>
      </c>
      <c r="D122" s="6" t="s">
        <v>48</v>
      </c>
      <c r="E122" s="6" t="s">
        <v>48</v>
      </c>
      <c r="F122" s="6" t="s">
        <v>48</v>
      </c>
      <c r="G122" s="6" t="s">
        <v>48</v>
      </c>
      <c r="H122" s="6" t="s">
        <v>49</v>
      </c>
      <c r="I122" s="6" t="s">
        <v>49</v>
      </c>
      <c r="J122" s="6" t="s">
        <v>50</v>
      </c>
      <c r="K122" s="6" t="s">
        <v>50</v>
      </c>
      <c r="L122" s="6" t="s">
        <v>50</v>
      </c>
      <c r="M122" s="6" t="s">
        <v>50</v>
      </c>
      <c r="N122" s="6" t="s">
        <v>49</v>
      </c>
      <c r="O122" s="6" t="s">
        <v>49</v>
      </c>
      <c r="P122" s="6" t="s">
        <v>49</v>
      </c>
      <c r="Q122" s="7" t="str">
        <f>+IFERROR(VLOOKUP(B122,[2]Apple!$B$3:$C$173,2,FALSE),"")</f>
        <v>LB</v>
      </c>
      <c r="R122" s="7" t="str">
        <f>+IFERROR(VLOOKUP(B122,[2]Google!$B$3:$C$99,2,FALSE),"")</f>
        <v>LB</v>
      </c>
    </row>
    <row r="123" spans="2:18">
      <c r="B123" s="7" t="s">
        <v>194</v>
      </c>
      <c r="C123" s="7" t="str">
        <f>+VLOOKUP($B123,'[2]Pricing Scenario - Maintain'!$B$4:$AM$238,2,FALSE)</f>
        <v>Africa</v>
      </c>
      <c r="D123" s="6" t="s">
        <v>72</v>
      </c>
      <c r="E123" s="6" t="s">
        <v>72</v>
      </c>
      <c r="F123" s="6" t="s">
        <v>72</v>
      </c>
      <c r="G123" s="6" t="s">
        <v>72</v>
      </c>
      <c r="H123" s="6" t="s">
        <v>49</v>
      </c>
      <c r="I123" s="6" t="s">
        <v>49</v>
      </c>
      <c r="J123" s="6" t="s">
        <v>50</v>
      </c>
      <c r="K123" s="6" t="s">
        <v>50</v>
      </c>
      <c r="L123" s="6" t="s">
        <v>50</v>
      </c>
      <c r="M123" s="6" t="s">
        <v>50</v>
      </c>
      <c r="N123" s="6" t="s">
        <v>49</v>
      </c>
      <c r="O123" s="6" t="s">
        <v>49</v>
      </c>
      <c r="P123" s="6" t="s">
        <v>49</v>
      </c>
      <c r="Q123" s="7" t="str">
        <f>+IFERROR(VLOOKUP(B123,[2]Apple!$B$3:$C$173,2,FALSE),"")</f>
        <v/>
      </c>
      <c r="R123" s="7" t="str">
        <f>+IFERROR(VLOOKUP(B123,[2]Google!$B$3:$C$99,2,FALSE),"")</f>
        <v/>
      </c>
    </row>
    <row r="124" spans="2:18">
      <c r="B124" s="7" t="s">
        <v>195</v>
      </c>
      <c r="C124" s="7" t="str">
        <f>+VLOOKUP($B124,'[2]Pricing Scenario - Maintain'!$B$4:$AM$238,2,FALSE)</f>
        <v>Africa</v>
      </c>
      <c r="D124" s="6" t="s">
        <v>48</v>
      </c>
      <c r="E124" s="6" t="s">
        <v>48</v>
      </c>
      <c r="F124" s="6" t="s">
        <v>48</v>
      </c>
      <c r="G124" s="6" t="s">
        <v>48</v>
      </c>
      <c r="H124" s="6" t="s">
        <v>49</v>
      </c>
      <c r="I124" s="6" t="s">
        <v>49</v>
      </c>
      <c r="J124" s="6" t="s">
        <v>50</v>
      </c>
      <c r="K124" s="6" t="s">
        <v>50</v>
      </c>
      <c r="L124" s="6" t="s">
        <v>50</v>
      </c>
      <c r="M124" s="6" t="s">
        <v>50</v>
      </c>
      <c r="N124" s="6" t="s">
        <v>49</v>
      </c>
      <c r="O124" s="6" t="s">
        <v>49</v>
      </c>
      <c r="P124" s="6" t="s">
        <v>49</v>
      </c>
      <c r="Q124" s="7" t="str">
        <f>+IFERROR(VLOOKUP(B124,[2]Apple!$B$3:$C$173,2,FALSE),"")</f>
        <v>LR</v>
      </c>
      <c r="R124" s="7" t="str">
        <f>+IFERROR(VLOOKUP(B124,[2]Google!$B$3:$C$99,2,FALSE),"")</f>
        <v>LR</v>
      </c>
    </row>
    <row r="125" spans="2:18">
      <c r="B125" s="7" t="s">
        <v>196</v>
      </c>
      <c r="C125" s="7" t="str">
        <f>+VLOOKUP($B125,'[2]Pricing Scenario - Maintain'!$B$4:$AM$238,2,FALSE)</f>
        <v>Africa</v>
      </c>
      <c r="D125" s="6" t="s">
        <v>48</v>
      </c>
      <c r="E125" s="6" t="s">
        <v>48</v>
      </c>
      <c r="F125" s="6" t="s">
        <v>48</v>
      </c>
      <c r="G125" s="6" t="s">
        <v>48</v>
      </c>
      <c r="H125" s="6" t="s">
        <v>49</v>
      </c>
      <c r="I125" s="6" t="s">
        <v>49</v>
      </c>
      <c r="J125" s="6" t="s">
        <v>50</v>
      </c>
      <c r="K125" s="6" t="s">
        <v>50</v>
      </c>
      <c r="L125" s="6" t="s">
        <v>50</v>
      </c>
      <c r="M125" s="6" t="s">
        <v>50</v>
      </c>
      <c r="N125" s="8" t="s">
        <v>49</v>
      </c>
      <c r="O125" s="8" t="s">
        <v>49</v>
      </c>
      <c r="P125" s="8" t="s">
        <v>49</v>
      </c>
      <c r="Q125" s="7"/>
      <c r="R125" s="7"/>
    </row>
    <row r="126" spans="2:18">
      <c r="B126" s="7" t="s">
        <v>197</v>
      </c>
      <c r="C126" s="7" t="str">
        <f>+VLOOKUP($B126,'[2]Pricing Scenario - Maintain'!$B$4:$AM$238,2,FALSE)</f>
        <v>Europe</v>
      </c>
      <c r="D126" s="6" t="s">
        <v>48</v>
      </c>
      <c r="E126" s="6" t="s">
        <v>48</v>
      </c>
      <c r="F126" s="6" t="s">
        <v>48</v>
      </c>
      <c r="G126" s="6" t="s">
        <v>48</v>
      </c>
      <c r="H126" s="6" t="s">
        <v>49</v>
      </c>
      <c r="I126" s="6" t="s">
        <v>49</v>
      </c>
      <c r="J126" s="6" t="s">
        <v>50</v>
      </c>
      <c r="K126" s="6" t="s">
        <v>50</v>
      </c>
      <c r="L126" s="6" t="s">
        <v>50</v>
      </c>
      <c r="M126" s="6" t="s">
        <v>50</v>
      </c>
      <c r="N126" s="6" t="s">
        <v>49</v>
      </c>
      <c r="O126" s="6" t="s">
        <v>49</v>
      </c>
      <c r="P126" s="6" t="s">
        <v>49</v>
      </c>
      <c r="Q126" s="7" t="str">
        <f>+IFERROR(VLOOKUP(B126,[2]Apple!$B$3:$C$173,2,FALSE),"")</f>
        <v/>
      </c>
      <c r="R126" s="7" t="str">
        <f>+IFERROR(VLOOKUP(B126,[2]Google!$B$3:$C$99,2,FALSE),"")</f>
        <v>LI</v>
      </c>
    </row>
    <row r="127" spans="2:18">
      <c r="B127" s="7" t="s">
        <v>198</v>
      </c>
      <c r="C127" s="7" t="str">
        <f>+VLOOKUP($B127,'[2]Pricing Scenario - Maintain'!$B$4:$AM$238,2,FALSE)</f>
        <v>Europe</v>
      </c>
      <c r="D127" s="6" t="s">
        <v>48</v>
      </c>
      <c r="E127" s="6" t="s">
        <v>48</v>
      </c>
      <c r="F127" s="6" t="s">
        <v>48</v>
      </c>
      <c r="G127" s="6" t="s">
        <v>48</v>
      </c>
      <c r="H127" s="6" t="s">
        <v>49</v>
      </c>
      <c r="I127" s="6" t="s">
        <v>49</v>
      </c>
      <c r="J127" s="6" t="s">
        <v>50</v>
      </c>
      <c r="K127" s="6" t="s">
        <v>50</v>
      </c>
      <c r="L127" s="6" t="s">
        <v>50</v>
      </c>
      <c r="M127" s="6" t="s">
        <v>50</v>
      </c>
      <c r="N127" s="6" t="s">
        <v>49</v>
      </c>
      <c r="O127" s="6" t="s">
        <v>49</v>
      </c>
      <c r="P127" s="6" t="s">
        <v>49</v>
      </c>
      <c r="Q127" s="7" t="str">
        <f>+IFERROR(VLOOKUP(B127,[2]Apple!$B$3:$C$173,2,FALSE),"")</f>
        <v>LT</v>
      </c>
      <c r="R127" s="7" t="str">
        <f>+IFERROR(VLOOKUP(B127,[2]Google!$B$3:$C$99,2,FALSE),"")</f>
        <v>LT</v>
      </c>
    </row>
    <row r="128" spans="2:18">
      <c r="B128" s="7" t="s">
        <v>199</v>
      </c>
      <c r="C128" s="7" t="str">
        <f>+VLOOKUP($B128,'[2]Pricing Scenario - Maintain'!$B$4:$AM$238,2,FALSE)</f>
        <v>Europe</v>
      </c>
      <c r="D128" s="6" t="s">
        <v>48</v>
      </c>
      <c r="E128" s="6" t="s">
        <v>48</v>
      </c>
      <c r="F128" s="6" t="s">
        <v>48</v>
      </c>
      <c r="G128" s="6" t="s">
        <v>48</v>
      </c>
      <c r="H128" s="6" t="s">
        <v>49</v>
      </c>
      <c r="I128" s="6" t="s">
        <v>49</v>
      </c>
      <c r="J128" s="6" t="s">
        <v>50</v>
      </c>
      <c r="K128" s="6" t="s">
        <v>50</v>
      </c>
      <c r="L128" s="6" t="s">
        <v>50</v>
      </c>
      <c r="M128" s="6" t="s">
        <v>50</v>
      </c>
      <c r="N128" s="6" t="s">
        <v>49</v>
      </c>
      <c r="O128" s="6" t="s">
        <v>49</v>
      </c>
      <c r="P128" s="6" t="s">
        <v>49</v>
      </c>
      <c r="Q128" s="7" t="str">
        <f>+IFERROR(VLOOKUP(B128,[2]Apple!$B$3:$C$173,2,FALSE),"")</f>
        <v>LU</v>
      </c>
      <c r="R128" s="7" t="str">
        <f>+IFERROR(VLOOKUP(B128,[2]Google!$B$3:$C$99,2,FALSE),"")</f>
        <v>LU</v>
      </c>
    </row>
    <row r="129" spans="2:18">
      <c r="B129" s="7" t="s">
        <v>200</v>
      </c>
      <c r="C129" s="7" t="str">
        <f>+VLOOKUP($B129,'[2]Pricing Scenario - Maintain'!$B$4:$AM$238,2,FALSE)</f>
        <v>NBA China</v>
      </c>
      <c r="D129" s="6" t="s">
        <v>48</v>
      </c>
      <c r="E129" s="6" t="s">
        <v>48</v>
      </c>
      <c r="F129" s="6" t="s">
        <v>48</v>
      </c>
      <c r="G129" s="6" t="s">
        <v>48</v>
      </c>
      <c r="H129" s="6" t="s">
        <v>49</v>
      </c>
      <c r="I129" s="6" t="s">
        <v>49</v>
      </c>
      <c r="J129" s="6" t="s">
        <v>50</v>
      </c>
      <c r="K129" s="6" t="s">
        <v>50</v>
      </c>
      <c r="L129" s="6" t="s">
        <v>50</v>
      </c>
      <c r="M129" s="6" t="s">
        <v>50</v>
      </c>
      <c r="N129" s="6" t="s">
        <v>49</v>
      </c>
      <c r="O129" s="6" t="s">
        <v>49</v>
      </c>
      <c r="P129" s="6" t="s">
        <v>49</v>
      </c>
      <c r="Q129" s="7" t="str">
        <f>+IFERROR(VLOOKUP(B129,[2]Apple!$B$3:$C$173,2,FALSE),"")</f>
        <v>MO</v>
      </c>
      <c r="R129" s="7" t="str">
        <f>+IFERROR(VLOOKUP(B129,[2]Google!$B$3:$C$99,2,FALSE),"")</f>
        <v>MO</v>
      </c>
    </row>
    <row r="130" spans="2:18">
      <c r="B130" s="7" t="s">
        <v>201</v>
      </c>
      <c r="C130" s="7" t="str">
        <f>+VLOOKUP($B130,'[2]Pricing Scenario - Maintain'!$B$4:$AM$238,2,FALSE)</f>
        <v>Europe</v>
      </c>
      <c r="D130" s="6" t="s">
        <v>48</v>
      </c>
      <c r="E130" s="6" t="s">
        <v>48</v>
      </c>
      <c r="F130" s="6" t="s">
        <v>48</v>
      </c>
      <c r="G130" s="6" t="s">
        <v>48</v>
      </c>
      <c r="H130" s="6" t="s">
        <v>49</v>
      </c>
      <c r="I130" s="6" t="s">
        <v>49</v>
      </c>
      <c r="J130" s="6" t="s">
        <v>50</v>
      </c>
      <c r="K130" s="6" t="s">
        <v>50</v>
      </c>
      <c r="L130" s="6" t="s">
        <v>50</v>
      </c>
      <c r="M130" s="6" t="s">
        <v>50</v>
      </c>
      <c r="N130" s="6" t="s">
        <v>49</v>
      </c>
      <c r="O130" s="6" t="s">
        <v>49</v>
      </c>
      <c r="P130" s="6" t="s">
        <v>49</v>
      </c>
      <c r="Q130" s="7" t="str">
        <f>+IFERROR(VLOOKUP(B130,[2]Apple!$B$3:$C$173,2,FALSE),"")</f>
        <v>MK</v>
      </c>
      <c r="R130" s="7" t="str">
        <f>+IFERROR(VLOOKUP(B130,[2]Google!$B$3:$C$99,2,FALSE),"")</f>
        <v>MK</v>
      </c>
    </row>
    <row r="131" spans="2:18">
      <c r="B131" s="7" t="s">
        <v>202</v>
      </c>
      <c r="C131" s="7" t="str">
        <f>+VLOOKUP($B131,'[2]Pricing Scenario - Maintain'!$B$4:$AM$238,2,FALSE)</f>
        <v>Africa</v>
      </c>
      <c r="D131" s="6" t="s">
        <v>48</v>
      </c>
      <c r="E131" s="6" t="s">
        <v>48</v>
      </c>
      <c r="F131" s="6" t="s">
        <v>48</v>
      </c>
      <c r="G131" s="6" t="s">
        <v>48</v>
      </c>
      <c r="H131" s="6" t="s">
        <v>49</v>
      </c>
      <c r="I131" s="6" t="s">
        <v>49</v>
      </c>
      <c r="J131" s="6" t="s">
        <v>50</v>
      </c>
      <c r="K131" s="6" t="s">
        <v>50</v>
      </c>
      <c r="L131" s="6" t="s">
        <v>50</v>
      </c>
      <c r="M131" s="6" t="s">
        <v>50</v>
      </c>
      <c r="N131" s="6" t="s">
        <v>49</v>
      </c>
      <c r="O131" s="6" t="s">
        <v>49</v>
      </c>
      <c r="P131" s="6" t="s">
        <v>49</v>
      </c>
      <c r="Q131" s="7" t="str">
        <f>+IFERROR(VLOOKUP(B131,[2]Apple!$B$3:$C$173,2,FALSE),"")</f>
        <v>MG</v>
      </c>
      <c r="R131" s="7" t="str">
        <f>+IFERROR(VLOOKUP(B131,[2]Google!$B$3:$C$99,2,FALSE),"")</f>
        <v/>
      </c>
    </row>
    <row r="132" spans="2:18">
      <c r="B132" s="7" t="s">
        <v>203</v>
      </c>
      <c r="C132" s="7" t="str">
        <f>+VLOOKUP($B132,'[2]Pricing Scenario - Maintain'!$B$4:$AM$238,2,FALSE)</f>
        <v>Africa</v>
      </c>
      <c r="D132" s="6" t="s">
        <v>48</v>
      </c>
      <c r="E132" s="6" t="s">
        <v>48</v>
      </c>
      <c r="F132" s="6" t="s">
        <v>48</v>
      </c>
      <c r="G132" s="6" t="s">
        <v>48</v>
      </c>
      <c r="H132" s="6" t="s">
        <v>49</v>
      </c>
      <c r="I132" s="6" t="s">
        <v>49</v>
      </c>
      <c r="J132" s="6" t="s">
        <v>50</v>
      </c>
      <c r="K132" s="6" t="s">
        <v>50</v>
      </c>
      <c r="L132" s="6" t="s">
        <v>50</v>
      </c>
      <c r="M132" s="6" t="s">
        <v>50</v>
      </c>
      <c r="N132" s="6" t="s">
        <v>49</v>
      </c>
      <c r="O132" s="6" t="s">
        <v>49</v>
      </c>
      <c r="P132" s="6" t="s">
        <v>49</v>
      </c>
      <c r="Q132" s="7" t="str">
        <f>+IFERROR(VLOOKUP(B132,[2]Apple!$B$3:$C$173,2,FALSE),"")</f>
        <v>MW</v>
      </c>
      <c r="R132" s="7" t="str">
        <f>+IFERROR(VLOOKUP(B132,[2]Google!$B$3:$C$99,2,FALSE),"")</f>
        <v/>
      </c>
    </row>
    <row r="133" spans="2:18">
      <c r="B133" s="7" t="s">
        <v>204</v>
      </c>
      <c r="C133" s="7" t="str">
        <f>+VLOOKUP($B133,'[2]Pricing Scenario - Maintain'!$B$4:$AM$238,2,FALSE)</f>
        <v>Asia</v>
      </c>
      <c r="D133" s="6" t="s">
        <v>48</v>
      </c>
      <c r="E133" s="6" t="s">
        <v>48</v>
      </c>
      <c r="F133" s="6" t="s">
        <v>48</v>
      </c>
      <c r="G133" s="6" t="s">
        <v>48</v>
      </c>
      <c r="H133" s="6" t="s">
        <v>49</v>
      </c>
      <c r="I133" s="6" t="s">
        <v>49</v>
      </c>
      <c r="J133" s="6" t="s">
        <v>50</v>
      </c>
      <c r="K133" s="6" t="s">
        <v>50</v>
      </c>
      <c r="L133" s="6" t="s">
        <v>50</v>
      </c>
      <c r="M133" s="6" t="s">
        <v>50</v>
      </c>
      <c r="N133" s="6" t="s">
        <v>49</v>
      </c>
      <c r="O133" s="6" t="s">
        <v>49</v>
      </c>
      <c r="P133" s="6" t="s">
        <v>49</v>
      </c>
      <c r="Q133" s="7" t="str">
        <f>+IFERROR(VLOOKUP(B133,[2]Apple!$B$3:$C$173,2,FALSE),"")</f>
        <v>MY</v>
      </c>
      <c r="R133" s="7" t="str">
        <f>+IFERROR(VLOOKUP(B133,[2]Google!$B$3:$C$99,2,FALSE),"")</f>
        <v>MY</v>
      </c>
    </row>
    <row r="134" spans="2:18">
      <c r="B134" s="7" t="s">
        <v>205</v>
      </c>
      <c r="C134" s="7" t="str">
        <f>+VLOOKUP($B134,'[2]Pricing Scenario - Maintain'!$B$4:$AM$238,2,FALSE)</f>
        <v>Asia</v>
      </c>
      <c r="D134" s="6" t="s">
        <v>48</v>
      </c>
      <c r="E134" s="6" t="s">
        <v>48</v>
      </c>
      <c r="F134" s="6" t="s">
        <v>48</v>
      </c>
      <c r="G134" s="6" t="s">
        <v>48</v>
      </c>
      <c r="H134" s="6" t="s">
        <v>49</v>
      </c>
      <c r="I134" s="6" t="s">
        <v>49</v>
      </c>
      <c r="J134" s="6" t="s">
        <v>50</v>
      </c>
      <c r="K134" s="6" t="s">
        <v>50</v>
      </c>
      <c r="L134" s="6" t="s">
        <v>50</v>
      </c>
      <c r="M134" s="6" t="s">
        <v>50</v>
      </c>
      <c r="N134" s="6" t="s">
        <v>49</v>
      </c>
      <c r="O134" s="6" t="s">
        <v>49</v>
      </c>
      <c r="P134" s="6" t="s">
        <v>49</v>
      </c>
      <c r="Q134" s="7" t="str">
        <f>+IFERROR(VLOOKUP(B134,[2]Apple!$B$3:$C$173,2,FALSE),"")</f>
        <v>MV</v>
      </c>
      <c r="R134" s="7" t="str">
        <f>+IFERROR(VLOOKUP(B134,[2]Google!$B$3:$C$99,2,FALSE),"")</f>
        <v>MV</v>
      </c>
    </row>
    <row r="135" spans="2:18">
      <c r="B135" s="7" t="s">
        <v>206</v>
      </c>
      <c r="C135" s="7" t="str">
        <f>+VLOOKUP($B135,'[2]Pricing Scenario - Maintain'!$B$4:$AM$238,2,FALSE)</f>
        <v>Africa</v>
      </c>
      <c r="D135" s="6" t="s">
        <v>48</v>
      </c>
      <c r="E135" s="6" t="s">
        <v>48</v>
      </c>
      <c r="F135" s="6" t="s">
        <v>48</v>
      </c>
      <c r="G135" s="6" t="s">
        <v>48</v>
      </c>
      <c r="H135" s="6" t="s">
        <v>49</v>
      </c>
      <c r="I135" s="6" t="s">
        <v>49</v>
      </c>
      <c r="J135" s="6" t="s">
        <v>50</v>
      </c>
      <c r="K135" s="6" t="s">
        <v>50</v>
      </c>
      <c r="L135" s="6" t="s">
        <v>50</v>
      </c>
      <c r="M135" s="6" t="s">
        <v>50</v>
      </c>
      <c r="N135" s="6" t="s">
        <v>49</v>
      </c>
      <c r="O135" s="6" t="s">
        <v>49</v>
      </c>
      <c r="P135" s="6" t="s">
        <v>49</v>
      </c>
      <c r="Q135" s="7" t="str">
        <f>+IFERROR(VLOOKUP(B135,[2]Apple!$B$3:$C$173,2,FALSE),"")</f>
        <v>ML</v>
      </c>
      <c r="R135" s="7" t="str">
        <f>+IFERROR(VLOOKUP(B135,[2]Google!$B$3:$C$99,2,FALSE),"")</f>
        <v>ML</v>
      </c>
    </row>
    <row r="136" spans="2:18">
      <c r="B136" s="7" t="s">
        <v>207</v>
      </c>
      <c r="C136" s="7" t="str">
        <f>+VLOOKUP($B136,'[2]Pricing Scenario - Maintain'!$B$4:$AM$238,2,FALSE)</f>
        <v>Europe</v>
      </c>
      <c r="D136" s="6" t="s">
        <v>48</v>
      </c>
      <c r="E136" s="6" t="s">
        <v>48</v>
      </c>
      <c r="F136" s="6" t="s">
        <v>48</v>
      </c>
      <c r="G136" s="6" t="s">
        <v>48</v>
      </c>
      <c r="H136" s="6" t="s">
        <v>49</v>
      </c>
      <c r="I136" s="6" t="s">
        <v>49</v>
      </c>
      <c r="J136" s="6" t="s">
        <v>50</v>
      </c>
      <c r="K136" s="6" t="s">
        <v>50</v>
      </c>
      <c r="L136" s="6" t="s">
        <v>50</v>
      </c>
      <c r="M136" s="6" t="s">
        <v>50</v>
      </c>
      <c r="N136" s="6" t="s">
        <v>49</v>
      </c>
      <c r="O136" s="6" t="s">
        <v>49</v>
      </c>
      <c r="P136" s="6" t="s">
        <v>49</v>
      </c>
      <c r="Q136" s="7" t="str">
        <f>+IFERROR(VLOOKUP(B136,[2]Apple!$B$3:$C$173,2,FALSE),"")</f>
        <v>MT</v>
      </c>
      <c r="R136" s="7" t="str">
        <f>+IFERROR(VLOOKUP(B136,[2]Google!$B$3:$C$99,2,FALSE),"")</f>
        <v>MT</v>
      </c>
    </row>
    <row r="137" spans="2:18">
      <c r="B137" s="7" t="s">
        <v>208</v>
      </c>
      <c r="C137" s="7" t="str">
        <f>+VLOOKUP($B137,'[2]Pricing Scenario - Maintain'!$B$4:$AM$238,2,FALSE)</f>
        <v>Asia</v>
      </c>
      <c r="D137" s="6" t="s">
        <v>72</v>
      </c>
      <c r="E137" s="6" t="s">
        <v>72</v>
      </c>
      <c r="F137" s="6" t="s">
        <v>72</v>
      </c>
      <c r="G137" s="6" t="s">
        <v>72</v>
      </c>
      <c r="H137" s="6" t="s">
        <v>49</v>
      </c>
      <c r="I137" s="6" t="s">
        <v>49</v>
      </c>
      <c r="J137" s="6" t="s">
        <v>50</v>
      </c>
      <c r="K137" s="6" t="s">
        <v>50</v>
      </c>
      <c r="L137" s="6" t="s">
        <v>50</v>
      </c>
      <c r="M137" s="6" t="s">
        <v>50</v>
      </c>
      <c r="N137" s="6" t="s">
        <v>49</v>
      </c>
      <c r="O137" s="6" t="s">
        <v>49</v>
      </c>
      <c r="P137" s="6" t="s">
        <v>49</v>
      </c>
      <c r="Q137" s="7" t="str">
        <f>+IFERROR(VLOOKUP(B137,[2]Apple!$B$3:$C$173,2,FALSE),"")</f>
        <v/>
      </c>
      <c r="R137" s="7" t="str">
        <f>+IFERROR(VLOOKUP(B137,[2]Google!$B$3:$C$99,2,FALSE),"")</f>
        <v/>
      </c>
    </row>
    <row r="138" spans="2:18">
      <c r="B138" s="7" t="s">
        <v>209</v>
      </c>
      <c r="C138" s="260" t="s">
        <v>100</v>
      </c>
      <c r="D138" s="6" t="s">
        <v>72</v>
      </c>
      <c r="E138" s="6" t="s">
        <v>72</v>
      </c>
      <c r="F138" s="6" t="s">
        <v>72</v>
      </c>
      <c r="G138" s="6" t="s">
        <v>72</v>
      </c>
      <c r="H138" s="6" t="s">
        <v>49</v>
      </c>
      <c r="I138" s="6" t="s">
        <v>49</v>
      </c>
      <c r="J138" s="6" t="s">
        <v>50</v>
      </c>
      <c r="K138" s="6" t="s">
        <v>50</v>
      </c>
      <c r="L138" s="6" t="s">
        <v>50</v>
      </c>
      <c r="M138" s="6" t="s">
        <v>50</v>
      </c>
      <c r="N138" s="6" t="s">
        <v>49</v>
      </c>
      <c r="O138" s="6" t="s">
        <v>49</v>
      </c>
      <c r="P138" s="6" t="s">
        <v>49</v>
      </c>
      <c r="Q138" s="7" t="str">
        <f>+IFERROR(VLOOKUP(B138,[2]Apple!$B$3:$C$173,2,FALSE),"")</f>
        <v/>
      </c>
      <c r="R138" s="7" t="str">
        <f>+IFERROR(VLOOKUP(B138,[2]Google!$B$3:$C$99,2,FALSE),"")</f>
        <v/>
      </c>
    </row>
    <row r="139" spans="2:18">
      <c r="B139" s="7" t="s">
        <v>210</v>
      </c>
      <c r="C139" s="7" t="str">
        <f>+VLOOKUP($B139,'[2]Pricing Scenario - Maintain'!$B$4:$AM$238,2,FALSE)</f>
        <v>Africa</v>
      </c>
      <c r="D139" s="6" t="s">
        <v>48</v>
      </c>
      <c r="E139" s="6" t="s">
        <v>48</v>
      </c>
      <c r="F139" s="6" t="s">
        <v>48</v>
      </c>
      <c r="G139" s="6" t="s">
        <v>48</v>
      </c>
      <c r="H139" s="6" t="s">
        <v>49</v>
      </c>
      <c r="I139" s="6" t="s">
        <v>49</v>
      </c>
      <c r="J139" s="6" t="s">
        <v>50</v>
      </c>
      <c r="K139" s="6" t="s">
        <v>50</v>
      </c>
      <c r="L139" s="6" t="s">
        <v>50</v>
      </c>
      <c r="M139" s="6" t="s">
        <v>50</v>
      </c>
      <c r="N139" s="6" t="s">
        <v>49</v>
      </c>
      <c r="O139" s="6" t="s">
        <v>49</v>
      </c>
      <c r="P139" s="6" t="s">
        <v>49</v>
      </c>
      <c r="Q139" s="7" t="str">
        <f>+IFERROR(VLOOKUP(B139,[2]Apple!$B$3:$C$173,2,FALSE),"")</f>
        <v>MR</v>
      </c>
      <c r="R139" s="7" t="str">
        <f>+IFERROR(VLOOKUP(B139,[2]Google!$B$3:$C$99,2,FALSE),"")</f>
        <v/>
      </c>
    </row>
    <row r="140" spans="2:18">
      <c r="B140" s="7" t="s">
        <v>211</v>
      </c>
      <c r="C140" s="7" t="str">
        <f>+VLOOKUP($B140,'[2]Pricing Scenario - Maintain'!$B$4:$AM$238,2,FALSE)</f>
        <v>Africa</v>
      </c>
      <c r="D140" s="6" t="s">
        <v>48</v>
      </c>
      <c r="E140" s="6" t="s">
        <v>48</v>
      </c>
      <c r="F140" s="6" t="s">
        <v>48</v>
      </c>
      <c r="G140" s="6" t="s">
        <v>48</v>
      </c>
      <c r="H140" s="6" t="s">
        <v>49</v>
      </c>
      <c r="I140" s="6" t="s">
        <v>49</v>
      </c>
      <c r="J140" s="6" t="s">
        <v>50</v>
      </c>
      <c r="K140" s="6" t="s">
        <v>50</v>
      </c>
      <c r="L140" s="6" t="s">
        <v>50</v>
      </c>
      <c r="M140" s="6" t="s">
        <v>50</v>
      </c>
      <c r="N140" s="6" t="s">
        <v>49</v>
      </c>
      <c r="O140" s="6" t="s">
        <v>49</v>
      </c>
      <c r="P140" s="6" t="s">
        <v>49</v>
      </c>
      <c r="Q140" s="7" t="str">
        <f>+IFERROR(VLOOKUP(B140,[2]Apple!$B$3:$C$173,2,FALSE),"")</f>
        <v>MU</v>
      </c>
      <c r="R140" s="7" t="str">
        <f>+IFERROR(VLOOKUP(B140,[2]Google!$B$3:$C$99,2,FALSE),"")</f>
        <v/>
      </c>
    </row>
    <row r="141" spans="2:18">
      <c r="B141" s="7" t="s">
        <v>212</v>
      </c>
      <c r="C141" s="260" t="s">
        <v>100</v>
      </c>
      <c r="D141" s="6" t="s">
        <v>72</v>
      </c>
      <c r="E141" s="6" t="s">
        <v>72</v>
      </c>
      <c r="F141" s="6" t="s">
        <v>72</v>
      </c>
      <c r="G141" s="6" t="s">
        <v>72</v>
      </c>
      <c r="H141" s="6" t="s">
        <v>49</v>
      </c>
      <c r="I141" s="6" t="s">
        <v>49</v>
      </c>
      <c r="J141" s="6" t="s">
        <v>50</v>
      </c>
      <c r="K141" s="6" t="s">
        <v>50</v>
      </c>
      <c r="L141" s="6" t="s">
        <v>50</v>
      </c>
      <c r="M141" s="6" t="s">
        <v>50</v>
      </c>
      <c r="N141" s="6" t="s">
        <v>49</v>
      </c>
      <c r="O141" s="6" t="s">
        <v>49</v>
      </c>
      <c r="P141" s="6" t="s">
        <v>49</v>
      </c>
      <c r="Q141" s="7" t="str">
        <f>+IFERROR(VLOOKUP(B141,[2]Apple!$B$3:$C$173,2,FALSE),"")</f>
        <v/>
      </c>
      <c r="R141" s="7" t="str">
        <f>+IFERROR(VLOOKUP(B141,[2]Google!$B$3:$C$99,2,FALSE),"")</f>
        <v/>
      </c>
    </row>
    <row r="142" spans="2:18">
      <c r="B142" s="7" t="s">
        <v>213</v>
      </c>
      <c r="C142" s="7" t="str">
        <f>+VLOOKUP($B142,'[2]Pricing Scenario - Maintain'!$B$4:$AM$238,2,FALSE)</f>
        <v>Latin America</v>
      </c>
      <c r="D142" s="6" t="s">
        <v>48</v>
      </c>
      <c r="E142" s="6" t="s">
        <v>48</v>
      </c>
      <c r="F142" s="6" t="s">
        <v>48</v>
      </c>
      <c r="G142" s="6" t="s">
        <v>48</v>
      </c>
      <c r="H142" s="6" t="s">
        <v>49</v>
      </c>
      <c r="I142" s="6" t="s">
        <v>49</v>
      </c>
      <c r="J142" s="6" t="s">
        <v>50</v>
      </c>
      <c r="K142" s="6" t="s">
        <v>50</v>
      </c>
      <c r="L142" s="6" t="s">
        <v>50</v>
      </c>
      <c r="M142" s="6" t="s">
        <v>50</v>
      </c>
      <c r="N142" s="6" t="s">
        <v>49</v>
      </c>
      <c r="O142" s="6" t="s">
        <v>49</v>
      </c>
      <c r="P142" s="6" t="s">
        <v>49</v>
      </c>
      <c r="Q142" s="7" t="str">
        <f>+IFERROR(VLOOKUP(B142,[2]Apple!$B$3:$C$173,2,FALSE),"")</f>
        <v>MX</v>
      </c>
      <c r="R142" s="7" t="str">
        <f>+IFERROR(VLOOKUP(B142,[2]Google!$B$3:$C$99,2,FALSE),"")</f>
        <v/>
      </c>
    </row>
    <row r="143" spans="2:18">
      <c r="B143" s="7" t="s">
        <v>214</v>
      </c>
      <c r="C143" s="7" t="str">
        <f>+VLOOKUP($B143,'[2]Pricing Scenario - Maintain'!$B$4:$AM$238,2,FALSE)</f>
        <v>Asia</v>
      </c>
      <c r="D143" s="6" t="s">
        <v>48</v>
      </c>
      <c r="E143" s="6" t="s">
        <v>48</v>
      </c>
      <c r="F143" s="6" t="s">
        <v>48</v>
      </c>
      <c r="G143" s="6" t="s">
        <v>48</v>
      </c>
      <c r="H143" s="6" t="s">
        <v>49</v>
      </c>
      <c r="I143" s="6" t="s">
        <v>49</v>
      </c>
      <c r="J143" s="6" t="s">
        <v>50</v>
      </c>
      <c r="K143" s="6" t="s">
        <v>50</v>
      </c>
      <c r="L143" s="6" t="s">
        <v>50</v>
      </c>
      <c r="M143" s="6" t="s">
        <v>50</v>
      </c>
      <c r="N143" s="6" t="s">
        <v>49</v>
      </c>
      <c r="O143" s="6" t="s">
        <v>49</v>
      </c>
      <c r="P143" s="6" t="s">
        <v>49</v>
      </c>
      <c r="Q143" s="7" t="str">
        <f>+IFERROR(VLOOKUP(B143,[2]Apple!$B$3:$C$173,2,FALSE),"")</f>
        <v>FM</v>
      </c>
      <c r="R143" s="7" t="str">
        <f>+IFERROR(VLOOKUP(B143,[2]Google!$B$3:$C$99,2,FALSE),"")</f>
        <v/>
      </c>
    </row>
    <row r="144" spans="2:18">
      <c r="B144" s="7" t="s">
        <v>215</v>
      </c>
      <c r="C144" s="7" t="str">
        <f>+VLOOKUP($B144,'[2]Pricing Scenario - Maintain'!$B$4:$AM$238,2,FALSE)</f>
        <v>Europe</v>
      </c>
      <c r="D144" s="6" t="s">
        <v>48</v>
      </c>
      <c r="E144" s="6" t="s">
        <v>48</v>
      </c>
      <c r="F144" s="6" t="s">
        <v>48</v>
      </c>
      <c r="G144" s="6" t="s">
        <v>48</v>
      </c>
      <c r="H144" s="6" t="s">
        <v>49</v>
      </c>
      <c r="I144" s="6" t="s">
        <v>49</v>
      </c>
      <c r="J144" s="6" t="s">
        <v>50</v>
      </c>
      <c r="K144" s="6" t="s">
        <v>50</v>
      </c>
      <c r="L144" s="6" t="s">
        <v>50</v>
      </c>
      <c r="M144" s="6" t="s">
        <v>50</v>
      </c>
      <c r="N144" s="6" t="s">
        <v>49</v>
      </c>
      <c r="O144" s="6" t="s">
        <v>49</v>
      </c>
      <c r="P144" s="6" t="s">
        <v>49</v>
      </c>
      <c r="Q144" s="7" t="str">
        <f>+IFERROR(VLOOKUP(B144,[2]Apple!$B$3:$C$173,2,FALSE),"")</f>
        <v>MD</v>
      </c>
      <c r="R144" s="7" t="str">
        <f>+IFERROR(VLOOKUP(B144,[2]Google!$B$3:$C$99,2,FALSE),"")</f>
        <v/>
      </c>
    </row>
    <row r="145" spans="2:18">
      <c r="B145" s="7" t="s">
        <v>216</v>
      </c>
      <c r="C145" s="7" t="str">
        <f>+VLOOKUP($B145,'[2]Pricing Scenario - Maintain'!$B$4:$AM$238,2,FALSE)</f>
        <v>Europe</v>
      </c>
      <c r="D145" s="6" t="s">
        <v>48</v>
      </c>
      <c r="E145" s="6" t="s">
        <v>48</v>
      </c>
      <c r="F145" s="6" t="s">
        <v>48</v>
      </c>
      <c r="G145" s="6" t="s">
        <v>48</v>
      </c>
      <c r="H145" s="6" t="s">
        <v>49</v>
      </c>
      <c r="I145" s="6" t="s">
        <v>49</v>
      </c>
      <c r="J145" s="6" t="s">
        <v>50</v>
      </c>
      <c r="K145" s="6" t="s">
        <v>50</v>
      </c>
      <c r="L145" s="6" t="s">
        <v>50</v>
      </c>
      <c r="M145" s="6" t="s">
        <v>50</v>
      </c>
      <c r="N145" s="6" t="s">
        <v>49</v>
      </c>
      <c r="O145" s="6" t="s">
        <v>49</v>
      </c>
      <c r="P145" s="6" t="s">
        <v>49</v>
      </c>
      <c r="Q145" s="7" t="str">
        <f>+IFERROR(VLOOKUP(B145,[2]Apple!$B$3:$C$173,2,FALSE),"")</f>
        <v/>
      </c>
      <c r="R145" s="7" t="str">
        <f>+IFERROR(VLOOKUP(B145,[2]Google!$B$3:$C$99,2,FALSE),"")</f>
        <v/>
      </c>
    </row>
    <row r="146" spans="2:18">
      <c r="B146" s="7" t="s">
        <v>217</v>
      </c>
      <c r="C146" s="7" t="str">
        <f>+VLOOKUP($B146,'[2]Pricing Scenario - Maintain'!$B$4:$AM$238,2,FALSE)</f>
        <v>Asia</v>
      </c>
      <c r="D146" s="6" t="s">
        <v>48</v>
      </c>
      <c r="E146" s="6" t="s">
        <v>48</v>
      </c>
      <c r="F146" s="6" t="s">
        <v>48</v>
      </c>
      <c r="G146" s="6" t="s">
        <v>48</v>
      </c>
      <c r="H146" s="6" t="s">
        <v>49</v>
      </c>
      <c r="I146" s="6" t="s">
        <v>49</v>
      </c>
      <c r="J146" s="6" t="s">
        <v>50</v>
      </c>
      <c r="K146" s="6" t="s">
        <v>50</v>
      </c>
      <c r="L146" s="6" t="s">
        <v>50</v>
      </c>
      <c r="M146" s="6" t="s">
        <v>50</v>
      </c>
      <c r="N146" s="6" t="s">
        <v>49</v>
      </c>
      <c r="O146" s="6" t="s">
        <v>49</v>
      </c>
      <c r="P146" s="6" t="s">
        <v>49</v>
      </c>
      <c r="Q146" s="7" t="str">
        <f>+IFERROR(VLOOKUP(B146,[2]Apple!$B$3:$C$173,2,FALSE),"")</f>
        <v>MN</v>
      </c>
      <c r="R146" s="7" t="str">
        <f>+IFERROR(VLOOKUP(B146,[2]Google!$B$3:$C$99,2,FALSE),"")</f>
        <v/>
      </c>
    </row>
    <row r="147" spans="2:18">
      <c r="B147" s="7" t="s">
        <v>218</v>
      </c>
      <c r="C147" s="7" t="str">
        <f>+VLOOKUP($B147,'[2]Pricing Scenario - Maintain'!$B$4:$AM$238,2,FALSE)</f>
        <v>Europe</v>
      </c>
      <c r="D147" s="6" t="s">
        <v>48</v>
      </c>
      <c r="E147" s="6" t="s">
        <v>48</v>
      </c>
      <c r="F147" s="6" t="s">
        <v>48</v>
      </c>
      <c r="G147" s="6" t="s">
        <v>48</v>
      </c>
      <c r="H147" s="6" t="s">
        <v>49</v>
      </c>
      <c r="I147" s="6" t="s">
        <v>49</v>
      </c>
      <c r="J147" s="6" t="s">
        <v>50</v>
      </c>
      <c r="K147" s="6" t="s">
        <v>50</v>
      </c>
      <c r="L147" s="6" t="s">
        <v>50</v>
      </c>
      <c r="M147" s="6" t="s">
        <v>50</v>
      </c>
      <c r="N147" s="6" t="s">
        <v>49</v>
      </c>
      <c r="O147" s="6" t="s">
        <v>49</v>
      </c>
      <c r="P147" s="6" t="s">
        <v>49</v>
      </c>
      <c r="Q147" s="7" t="str">
        <f>+IFERROR(VLOOKUP(B147,[2]Apple!$B$3:$C$173,2,FALSE),"")</f>
        <v>ME</v>
      </c>
      <c r="R147" s="7" t="str">
        <f>+IFERROR(VLOOKUP(B147,[2]Google!$B$3:$C$99,2,FALSE),"")</f>
        <v/>
      </c>
    </row>
    <row r="148" spans="2:18">
      <c r="B148" s="7" t="s">
        <v>219</v>
      </c>
      <c r="C148" s="7" t="str">
        <f>+VLOOKUP($B148,'[2]Pricing Scenario - Maintain'!$B$4:$AM$238,2,FALSE)</f>
        <v>Latin America</v>
      </c>
      <c r="D148" s="6" t="s">
        <v>48</v>
      </c>
      <c r="E148" s="6" t="s">
        <v>48</v>
      </c>
      <c r="F148" s="6" t="s">
        <v>48</v>
      </c>
      <c r="G148" s="6" t="s">
        <v>48</v>
      </c>
      <c r="H148" s="6" t="s">
        <v>49</v>
      </c>
      <c r="I148" s="6" t="s">
        <v>49</v>
      </c>
      <c r="J148" s="6" t="s">
        <v>50</v>
      </c>
      <c r="K148" s="6" t="s">
        <v>50</v>
      </c>
      <c r="L148" s="6" t="s">
        <v>50</v>
      </c>
      <c r="M148" s="6" t="s">
        <v>50</v>
      </c>
      <c r="N148" s="6" t="s">
        <v>49</v>
      </c>
      <c r="O148" s="6" t="s">
        <v>49</v>
      </c>
      <c r="P148" s="6" t="s">
        <v>49</v>
      </c>
      <c r="Q148" s="7" t="str">
        <f>+IFERROR(VLOOKUP(B148,[2]Apple!$B$3:$C$173,2,FALSE),"")</f>
        <v>MS</v>
      </c>
      <c r="R148" s="7" t="str">
        <f>+IFERROR(VLOOKUP(B148,[2]Google!$B$3:$C$99,2,FALSE),"")</f>
        <v/>
      </c>
    </row>
    <row r="149" spans="2:18">
      <c r="B149" s="7" t="s">
        <v>220</v>
      </c>
      <c r="C149" s="7" t="str">
        <f>+VLOOKUP($B149,'[2]Pricing Scenario - Maintain'!$B$4:$AM$238,2,FALSE)</f>
        <v>Africa</v>
      </c>
      <c r="D149" s="6" t="s">
        <v>48</v>
      </c>
      <c r="E149" s="6" t="s">
        <v>48</v>
      </c>
      <c r="F149" s="6" t="s">
        <v>48</v>
      </c>
      <c r="G149" s="6" t="s">
        <v>48</v>
      </c>
      <c r="H149" s="6" t="s">
        <v>49</v>
      </c>
      <c r="I149" s="6" t="s">
        <v>49</v>
      </c>
      <c r="J149" s="6" t="s">
        <v>50</v>
      </c>
      <c r="K149" s="6" t="s">
        <v>50</v>
      </c>
      <c r="L149" s="6" t="s">
        <v>50</v>
      </c>
      <c r="M149" s="6" t="s">
        <v>50</v>
      </c>
      <c r="N149" s="6" t="s">
        <v>49</v>
      </c>
      <c r="O149" s="6" t="s">
        <v>49</v>
      </c>
      <c r="P149" s="6" t="s">
        <v>49</v>
      </c>
      <c r="Q149" s="7" t="str">
        <f>+IFERROR(VLOOKUP(B149,[2]Apple!$B$3:$C$173,2,FALSE),"")</f>
        <v>MA</v>
      </c>
      <c r="R149" s="7" t="str">
        <f>+IFERROR(VLOOKUP(B149,[2]Google!$B$3:$C$99,2,FALSE),"")</f>
        <v/>
      </c>
    </row>
    <row r="150" spans="2:18">
      <c r="B150" s="7" t="s">
        <v>221</v>
      </c>
      <c r="C150" s="7" t="str">
        <f>+VLOOKUP($B150,'[2]Pricing Scenario - Maintain'!$B$4:$AM$238,2,FALSE)</f>
        <v>Africa</v>
      </c>
      <c r="D150" s="6" t="s">
        <v>48</v>
      </c>
      <c r="E150" s="6" t="s">
        <v>48</v>
      </c>
      <c r="F150" s="6" t="s">
        <v>48</v>
      </c>
      <c r="G150" s="6" t="s">
        <v>48</v>
      </c>
      <c r="H150" s="6" t="s">
        <v>49</v>
      </c>
      <c r="I150" s="6" t="s">
        <v>49</v>
      </c>
      <c r="J150" s="6" t="s">
        <v>50</v>
      </c>
      <c r="K150" s="6" t="s">
        <v>50</v>
      </c>
      <c r="L150" s="6" t="s">
        <v>50</v>
      </c>
      <c r="M150" s="6" t="s">
        <v>50</v>
      </c>
      <c r="N150" s="6" t="s">
        <v>49</v>
      </c>
      <c r="O150" s="6" t="s">
        <v>49</v>
      </c>
      <c r="P150" s="6" t="s">
        <v>49</v>
      </c>
      <c r="Q150" s="7" t="str">
        <f>+IFERROR(VLOOKUP(B150,[2]Apple!$B$3:$C$173,2,FALSE),"")</f>
        <v>MZ</v>
      </c>
      <c r="R150" s="7" t="str">
        <f>+IFERROR(VLOOKUP(B150,[2]Google!$B$3:$C$99,2,FALSE),"")</f>
        <v/>
      </c>
    </row>
    <row r="151" spans="2:18">
      <c r="B151" s="7" t="s">
        <v>222</v>
      </c>
      <c r="C151" s="7" t="str">
        <f>+VLOOKUP($B151,'[2]Pricing Scenario - Maintain'!$B$4:$AM$238,2,FALSE)</f>
        <v>Asia</v>
      </c>
      <c r="D151" s="6" t="s">
        <v>48</v>
      </c>
      <c r="E151" s="6" t="s">
        <v>48</v>
      </c>
      <c r="F151" s="6" t="s">
        <v>48</v>
      </c>
      <c r="G151" s="6" t="s">
        <v>48</v>
      </c>
      <c r="H151" s="6" t="s">
        <v>49</v>
      </c>
      <c r="I151" s="6" t="s">
        <v>49</v>
      </c>
      <c r="J151" s="6" t="s">
        <v>50</v>
      </c>
      <c r="K151" s="6" t="s">
        <v>50</v>
      </c>
      <c r="L151" s="6" t="s">
        <v>50</v>
      </c>
      <c r="M151" s="6" t="s">
        <v>50</v>
      </c>
      <c r="N151" s="6" t="s">
        <v>49</v>
      </c>
      <c r="O151" s="6" t="s">
        <v>49</v>
      </c>
      <c r="P151" s="6" t="s">
        <v>49</v>
      </c>
      <c r="Q151" s="7" t="str">
        <f>+IFERROR(VLOOKUP(B151,[2]Apple!$B$3:$C$173,2,FALSE),"")</f>
        <v>MM</v>
      </c>
      <c r="R151" s="7" t="str">
        <f>+IFERROR(VLOOKUP(B151,[2]Google!$B$3:$C$99,2,FALSE),"")</f>
        <v/>
      </c>
    </row>
    <row r="152" spans="2:18">
      <c r="B152" s="7" t="s">
        <v>223</v>
      </c>
      <c r="C152" s="7" t="str">
        <f>+VLOOKUP($B152,'[2]Pricing Scenario - Maintain'!$B$4:$AM$238,2,FALSE)</f>
        <v>Africa</v>
      </c>
      <c r="D152" s="6" t="s">
        <v>48</v>
      </c>
      <c r="E152" s="6" t="s">
        <v>48</v>
      </c>
      <c r="F152" s="6" t="s">
        <v>48</v>
      </c>
      <c r="G152" s="6" t="s">
        <v>48</v>
      </c>
      <c r="H152" s="6" t="s">
        <v>49</v>
      </c>
      <c r="I152" s="6" t="s">
        <v>49</v>
      </c>
      <c r="J152" s="6" t="s">
        <v>50</v>
      </c>
      <c r="K152" s="6" t="s">
        <v>50</v>
      </c>
      <c r="L152" s="6" t="s">
        <v>50</v>
      </c>
      <c r="M152" s="6" t="s">
        <v>50</v>
      </c>
      <c r="N152" s="6" t="s">
        <v>49</v>
      </c>
      <c r="O152" s="6" t="s">
        <v>49</v>
      </c>
      <c r="P152" s="6" t="s">
        <v>49</v>
      </c>
      <c r="Q152" s="7" t="str">
        <f>+IFERROR(VLOOKUP(B152,[2]Apple!$B$3:$C$173,2,FALSE),"")</f>
        <v>NA</v>
      </c>
      <c r="R152" s="7" t="str">
        <f>+IFERROR(VLOOKUP(B152,[2]Google!$B$3:$C$99,2,FALSE),"")</f>
        <v/>
      </c>
    </row>
    <row r="153" spans="2:18">
      <c r="B153" s="7" t="s">
        <v>224</v>
      </c>
      <c r="C153" s="7" t="str">
        <f>+VLOOKUP($B153,'[2]Pricing Scenario - Maintain'!$B$4:$AM$238,2,FALSE)</f>
        <v>Asia</v>
      </c>
      <c r="D153" s="6" t="s">
        <v>48</v>
      </c>
      <c r="E153" s="6" t="s">
        <v>48</v>
      </c>
      <c r="F153" s="6" t="s">
        <v>48</v>
      </c>
      <c r="G153" s="6" t="s">
        <v>48</v>
      </c>
      <c r="H153" s="6" t="s">
        <v>49</v>
      </c>
      <c r="I153" s="6" t="s">
        <v>49</v>
      </c>
      <c r="J153" s="6" t="s">
        <v>50</v>
      </c>
      <c r="K153" s="6" t="s">
        <v>50</v>
      </c>
      <c r="L153" s="6" t="s">
        <v>50</v>
      </c>
      <c r="M153" s="6" t="s">
        <v>50</v>
      </c>
      <c r="N153" s="6" t="s">
        <v>49</v>
      </c>
      <c r="O153" s="6" t="s">
        <v>49</v>
      </c>
      <c r="P153" s="6" t="s">
        <v>49</v>
      </c>
      <c r="Q153" s="7" t="str">
        <f>+IFERROR(VLOOKUP(B153,[2]Apple!$B$3:$C$173,2,FALSE),"")</f>
        <v>NR</v>
      </c>
      <c r="R153" s="7" t="str">
        <f>+IFERROR(VLOOKUP(B153,[2]Google!$B$3:$C$99,2,FALSE),"")</f>
        <v/>
      </c>
    </row>
    <row r="154" spans="2:18">
      <c r="B154" s="7" t="s">
        <v>225</v>
      </c>
      <c r="C154" s="7" t="str">
        <f>+VLOOKUP($B154,'[2]Pricing Scenario - Maintain'!$B$4:$AM$238,2,FALSE)</f>
        <v>Asia</v>
      </c>
      <c r="D154" s="6" t="s">
        <v>48</v>
      </c>
      <c r="E154" s="6" t="s">
        <v>48</v>
      </c>
      <c r="F154" s="6" t="s">
        <v>48</v>
      </c>
      <c r="G154" s="6" t="s">
        <v>48</v>
      </c>
      <c r="H154" s="6" t="s">
        <v>49</v>
      </c>
      <c r="I154" s="6" t="s">
        <v>49</v>
      </c>
      <c r="J154" s="6" t="s">
        <v>50</v>
      </c>
      <c r="K154" s="6" t="s">
        <v>50</v>
      </c>
      <c r="L154" s="6" t="s">
        <v>50</v>
      </c>
      <c r="M154" s="6" t="s">
        <v>50</v>
      </c>
      <c r="N154" s="6" t="s">
        <v>49</v>
      </c>
      <c r="O154" s="6" t="s">
        <v>49</v>
      </c>
      <c r="P154" s="6" t="s">
        <v>49</v>
      </c>
      <c r="Q154" s="7" t="str">
        <f>+IFERROR(VLOOKUP(B154,[2]Apple!$B$3:$C$173,2,FALSE),"")</f>
        <v>NP</v>
      </c>
      <c r="R154" s="7" t="str">
        <f>+IFERROR(VLOOKUP(B154,[2]Google!$B$3:$C$99,2,FALSE),"")</f>
        <v/>
      </c>
    </row>
    <row r="155" spans="2:18">
      <c r="B155" s="7" t="s">
        <v>226</v>
      </c>
      <c r="C155" s="7" t="str">
        <f>+VLOOKUP($B155,'[2]Pricing Scenario - Maintain'!$B$4:$AM$238,2,FALSE)</f>
        <v>Europe</v>
      </c>
      <c r="D155" s="6" t="s">
        <v>48</v>
      </c>
      <c r="E155" s="6" t="s">
        <v>48</v>
      </c>
      <c r="F155" s="6" t="s">
        <v>48</v>
      </c>
      <c r="G155" s="6" t="s">
        <v>48</v>
      </c>
      <c r="H155" s="6" t="s">
        <v>49</v>
      </c>
      <c r="I155" s="6" t="s">
        <v>49</v>
      </c>
      <c r="J155" s="6" t="s">
        <v>50</v>
      </c>
      <c r="K155" s="6" t="s">
        <v>50</v>
      </c>
      <c r="L155" s="6" t="s">
        <v>50</v>
      </c>
      <c r="M155" s="6" t="s">
        <v>50</v>
      </c>
      <c r="N155" s="6" t="s">
        <v>49</v>
      </c>
      <c r="O155" s="6" t="s">
        <v>49</v>
      </c>
      <c r="P155" s="6" t="s">
        <v>49</v>
      </c>
      <c r="Q155" s="7" t="str">
        <f>+IFERROR(VLOOKUP(B155,[2]Apple!$B$3:$C$173,2,FALSE),"")</f>
        <v>NL</v>
      </c>
      <c r="R155" s="7" t="str">
        <f>+IFERROR(VLOOKUP(B155,[2]Google!$B$3:$C$99,2,FALSE),"")</f>
        <v/>
      </c>
    </row>
    <row r="156" spans="2:18" hidden="1" outlineLevel="1">
      <c r="B156" s="105" t="s">
        <v>227</v>
      </c>
      <c r="C156" s="105" t="str">
        <f>+VLOOKUP($B156,'[2]Pricing Scenario - Maintain'!$B$4:$AM$238,2,FALSE)</f>
        <v>Latin America</v>
      </c>
      <c r="D156" s="29"/>
      <c r="E156" s="29"/>
      <c r="F156" s="27"/>
      <c r="G156" s="27"/>
      <c r="H156" s="27"/>
      <c r="I156" s="27"/>
      <c r="J156" s="27"/>
      <c r="K156" s="27"/>
      <c r="L156" s="27"/>
      <c r="M156" s="27"/>
      <c r="N156" s="6" t="s">
        <v>49</v>
      </c>
      <c r="O156" s="6" t="s">
        <v>49</v>
      </c>
      <c r="P156" s="6" t="s">
        <v>49</v>
      </c>
      <c r="Q156" s="7" t="str">
        <f>+IFERROR(VLOOKUP(B156,[2]Apple!$B$3:$C$173,2,FALSE),"")</f>
        <v/>
      </c>
      <c r="R156" s="7" t="str">
        <f>+IFERROR(VLOOKUP(B156,[2]Google!$B$3:$C$99,2,FALSE),"")</f>
        <v/>
      </c>
    </row>
    <row r="157" spans="2:18" collapsed="1">
      <c r="B157" s="7" t="s">
        <v>228</v>
      </c>
      <c r="C157" s="7" t="str">
        <f>+VLOOKUP($B157,'[2]Pricing Scenario - Maintain'!$B$4:$AM$238,2,FALSE)</f>
        <v>Asia</v>
      </c>
      <c r="D157" s="6" t="s">
        <v>72</v>
      </c>
      <c r="E157" s="6" t="s">
        <v>72</v>
      </c>
      <c r="F157" s="6" t="s">
        <v>72</v>
      </c>
      <c r="G157" s="6" t="s">
        <v>72</v>
      </c>
      <c r="H157" s="6" t="s">
        <v>49</v>
      </c>
      <c r="I157" s="6" t="s">
        <v>49</v>
      </c>
      <c r="J157" s="6" t="s">
        <v>50</v>
      </c>
      <c r="K157" s="6" t="s">
        <v>50</v>
      </c>
      <c r="L157" s="6" t="s">
        <v>50</v>
      </c>
      <c r="M157" s="6" t="s">
        <v>50</v>
      </c>
      <c r="N157" s="6" t="s">
        <v>49</v>
      </c>
      <c r="O157" s="6" t="s">
        <v>49</v>
      </c>
      <c r="P157" s="6" t="s">
        <v>49</v>
      </c>
      <c r="Q157" s="7" t="str">
        <f>+IFERROR(VLOOKUP(B157,[2]Apple!$B$3:$C$173,2,FALSE),"")</f>
        <v/>
      </c>
      <c r="R157" s="7" t="str">
        <f>+IFERROR(VLOOKUP(B157,[2]Google!$B$3:$C$99,2,FALSE),"")</f>
        <v/>
      </c>
    </row>
    <row r="158" spans="2:18">
      <c r="B158" s="7" t="s">
        <v>229</v>
      </c>
      <c r="C158" s="7" t="str">
        <f>+VLOOKUP($B158,'[2]Pricing Scenario - Maintain'!$B$4:$AM$238,2,FALSE)</f>
        <v>Asia</v>
      </c>
      <c r="D158" s="6" t="s">
        <v>48</v>
      </c>
      <c r="E158" s="6" t="s">
        <v>48</v>
      </c>
      <c r="F158" s="6" t="s">
        <v>48</v>
      </c>
      <c r="G158" s="6" t="s">
        <v>48</v>
      </c>
      <c r="H158" s="6" t="s">
        <v>49</v>
      </c>
      <c r="I158" s="6" t="s">
        <v>49</v>
      </c>
      <c r="J158" s="6" t="s">
        <v>50</v>
      </c>
      <c r="K158" s="6" t="s">
        <v>50</v>
      </c>
      <c r="L158" s="6" t="s">
        <v>50</v>
      </c>
      <c r="M158" s="6" t="s">
        <v>50</v>
      </c>
      <c r="N158" s="6" t="s">
        <v>49</v>
      </c>
      <c r="O158" s="6" t="s">
        <v>49</v>
      </c>
      <c r="P158" s="6" t="s">
        <v>49</v>
      </c>
      <c r="Q158" s="7" t="str">
        <f>+IFERROR(VLOOKUP(B158,[2]Apple!$B$3:$C$173,2,FALSE),"")</f>
        <v>NZ</v>
      </c>
      <c r="R158" s="7" t="str">
        <f>+IFERROR(VLOOKUP(B158,[2]Google!$B$3:$C$99,2,FALSE),"")</f>
        <v/>
      </c>
    </row>
    <row r="159" spans="2:18">
      <c r="B159" s="7" t="s">
        <v>230</v>
      </c>
      <c r="C159" s="7" t="str">
        <f>+VLOOKUP($B159,'[2]Pricing Scenario - Maintain'!$B$4:$AM$238,2,FALSE)</f>
        <v>Latin America</v>
      </c>
      <c r="D159" s="6" t="s">
        <v>48</v>
      </c>
      <c r="E159" s="6" t="s">
        <v>48</v>
      </c>
      <c r="F159" s="6" t="s">
        <v>48</v>
      </c>
      <c r="G159" s="6" t="s">
        <v>48</v>
      </c>
      <c r="H159" s="6" t="s">
        <v>49</v>
      </c>
      <c r="I159" s="6" t="s">
        <v>49</v>
      </c>
      <c r="J159" s="6" t="s">
        <v>50</v>
      </c>
      <c r="K159" s="6" t="s">
        <v>50</v>
      </c>
      <c r="L159" s="6" t="s">
        <v>50</v>
      </c>
      <c r="M159" s="6" t="s">
        <v>50</v>
      </c>
      <c r="N159" s="6" t="s">
        <v>49</v>
      </c>
      <c r="O159" s="6" t="s">
        <v>49</v>
      </c>
      <c r="P159" s="6" t="s">
        <v>49</v>
      </c>
      <c r="Q159" s="7" t="str">
        <f>+IFERROR(VLOOKUP(B159,[2]Apple!$B$3:$C$173,2,FALSE),"")</f>
        <v>NI</v>
      </c>
      <c r="R159" s="7" t="str">
        <f>+IFERROR(VLOOKUP(B159,[2]Google!$B$3:$C$99,2,FALSE),"")</f>
        <v/>
      </c>
    </row>
    <row r="160" spans="2:18">
      <c r="B160" s="7" t="s">
        <v>231</v>
      </c>
      <c r="C160" s="7" t="str">
        <f>+VLOOKUP($B160,'[2]Pricing Scenario - Maintain'!$B$4:$AM$238,2,FALSE)</f>
        <v>Africa</v>
      </c>
      <c r="D160" s="6" t="s">
        <v>48</v>
      </c>
      <c r="E160" s="6" t="s">
        <v>48</v>
      </c>
      <c r="F160" s="6" t="s">
        <v>48</v>
      </c>
      <c r="G160" s="6" t="s">
        <v>48</v>
      </c>
      <c r="H160" s="6" t="s">
        <v>49</v>
      </c>
      <c r="I160" s="6" t="s">
        <v>49</v>
      </c>
      <c r="J160" s="6" t="s">
        <v>50</v>
      </c>
      <c r="K160" s="6" t="s">
        <v>50</v>
      </c>
      <c r="L160" s="6" t="s">
        <v>50</v>
      </c>
      <c r="M160" s="6" t="s">
        <v>50</v>
      </c>
      <c r="N160" s="6" t="s">
        <v>49</v>
      </c>
      <c r="O160" s="6" t="s">
        <v>49</v>
      </c>
      <c r="P160" s="6" t="s">
        <v>49</v>
      </c>
      <c r="Q160" s="7" t="str">
        <f>+IFERROR(VLOOKUP(B160,[2]Apple!$B$3:$C$173,2,FALSE),"")</f>
        <v>NE</v>
      </c>
      <c r="R160" s="7" t="str">
        <f>+IFERROR(VLOOKUP(B160,[2]Google!$B$3:$C$99,2,FALSE),"")</f>
        <v/>
      </c>
    </row>
    <row r="161" spans="2:18">
      <c r="B161" s="7" t="s">
        <v>232</v>
      </c>
      <c r="C161" s="7" t="str">
        <f>+VLOOKUP($B161,'[2]Pricing Scenario - Maintain'!$B$4:$AM$238,2,FALSE)</f>
        <v>Africa</v>
      </c>
      <c r="D161" s="6" t="s">
        <v>48</v>
      </c>
      <c r="E161" s="6" t="s">
        <v>48</v>
      </c>
      <c r="F161" s="6" t="s">
        <v>48</v>
      </c>
      <c r="G161" s="6" t="s">
        <v>48</v>
      </c>
      <c r="H161" s="6" t="s">
        <v>49</v>
      </c>
      <c r="I161" s="6" t="s">
        <v>49</v>
      </c>
      <c r="J161" s="6" t="s">
        <v>50</v>
      </c>
      <c r="K161" s="6" t="s">
        <v>50</v>
      </c>
      <c r="L161" s="6" t="s">
        <v>50</v>
      </c>
      <c r="M161" s="6" t="s">
        <v>50</v>
      </c>
      <c r="N161" s="6" t="s">
        <v>49</v>
      </c>
      <c r="O161" s="6" t="s">
        <v>49</v>
      </c>
      <c r="P161" s="6" t="s">
        <v>49</v>
      </c>
      <c r="Q161" s="7" t="str">
        <f>+IFERROR(VLOOKUP(B161,[2]Apple!$B$3:$C$173,2,FALSE),"")</f>
        <v>NG</v>
      </c>
      <c r="R161" s="7" t="str">
        <f>+IFERROR(VLOOKUP(B161,[2]Google!$B$3:$C$99,2,FALSE),"")</f>
        <v/>
      </c>
    </row>
    <row r="162" spans="2:18">
      <c r="B162" s="7" t="s">
        <v>233</v>
      </c>
      <c r="C162" s="7" t="str">
        <f>+VLOOKUP($B162,'[2]Pricing Scenario - Maintain'!$B$4:$AM$238,2,FALSE)</f>
        <v>Asia</v>
      </c>
      <c r="D162" s="6" t="s">
        <v>72</v>
      </c>
      <c r="E162" s="6" t="s">
        <v>72</v>
      </c>
      <c r="F162" s="6" t="s">
        <v>72</v>
      </c>
      <c r="G162" s="6" t="s">
        <v>72</v>
      </c>
      <c r="H162" s="6" t="s">
        <v>49</v>
      </c>
      <c r="I162" s="6" t="s">
        <v>49</v>
      </c>
      <c r="J162" s="6" t="s">
        <v>50</v>
      </c>
      <c r="K162" s="6" t="s">
        <v>50</v>
      </c>
      <c r="L162" s="6" t="s">
        <v>50</v>
      </c>
      <c r="M162" s="6" t="s">
        <v>50</v>
      </c>
      <c r="N162" s="6" t="s">
        <v>49</v>
      </c>
      <c r="O162" s="6" t="s">
        <v>49</v>
      </c>
      <c r="P162" s="6" t="s">
        <v>49</v>
      </c>
      <c r="Q162" s="7" t="str">
        <f>+IFERROR(VLOOKUP(B162,[2]Apple!$B$3:$C$173,2,FALSE),"")</f>
        <v/>
      </c>
      <c r="R162" s="7" t="str">
        <f>+IFERROR(VLOOKUP(B162,[2]Google!$B$3:$C$99,2,FALSE),"")</f>
        <v/>
      </c>
    </row>
    <row r="163" spans="2:18">
      <c r="B163" s="7" t="s">
        <v>234</v>
      </c>
      <c r="C163" s="7" t="str">
        <f>+VLOOKUP($B163,'[2]Pricing Scenario - Maintain'!$B$4:$AM$238,2,FALSE)</f>
        <v>Asia</v>
      </c>
      <c r="D163" s="6" t="s">
        <v>72</v>
      </c>
      <c r="E163" s="6" t="s">
        <v>72</v>
      </c>
      <c r="F163" s="6" t="s">
        <v>72</v>
      </c>
      <c r="G163" s="6" t="s">
        <v>72</v>
      </c>
      <c r="H163" s="6" t="s">
        <v>49</v>
      </c>
      <c r="I163" s="6" t="s">
        <v>49</v>
      </c>
      <c r="J163" s="6" t="s">
        <v>50</v>
      </c>
      <c r="K163" s="6" t="s">
        <v>50</v>
      </c>
      <c r="L163" s="6" t="s">
        <v>50</v>
      </c>
      <c r="M163" s="6" t="s">
        <v>50</v>
      </c>
      <c r="N163" s="6" t="s">
        <v>49</v>
      </c>
      <c r="O163" s="6" t="s">
        <v>49</v>
      </c>
      <c r="P163" s="6" t="s">
        <v>49</v>
      </c>
      <c r="Q163" s="7" t="str">
        <f>+IFERROR(VLOOKUP(B163,[2]Apple!$B$3:$C$173,2,FALSE),"")</f>
        <v/>
      </c>
      <c r="R163" s="7" t="str">
        <f>+IFERROR(VLOOKUP(B163,[2]Google!$B$3:$C$99,2,FALSE),"")</f>
        <v/>
      </c>
    </row>
    <row r="164" spans="2:18">
      <c r="B164" s="7" t="s">
        <v>235</v>
      </c>
      <c r="C164" s="7" t="str">
        <f>+VLOOKUP($B164,'[2]Pricing Scenario - Maintain'!$B$4:$AM$238,2,FALSE)</f>
        <v>Asia</v>
      </c>
      <c r="D164" s="6" t="s">
        <v>72</v>
      </c>
      <c r="E164" s="6" t="s">
        <v>72</v>
      </c>
      <c r="F164" s="6" t="s">
        <v>72</v>
      </c>
      <c r="G164" s="6" t="s">
        <v>72</v>
      </c>
      <c r="H164" s="6" t="s">
        <v>49</v>
      </c>
      <c r="I164" s="6" t="s">
        <v>49</v>
      </c>
      <c r="J164" s="6" t="s">
        <v>50</v>
      </c>
      <c r="K164" s="6" t="s">
        <v>50</v>
      </c>
      <c r="L164" s="6" t="s">
        <v>50</v>
      </c>
      <c r="M164" s="6" t="s">
        <v>50</v>
      </c>
      <c r="N164" s="6" t="s">
        <v>49</v>
      </c>
      <c r="O164" s="6" t="s">
        <v>49</v>
      </c>
      <c r="P164" s="6" t="s">
        <v>49</v>
      </c>
      <c r="Q164" s="7" t="str">
        <f>+IFERROR(VLOOKUP(B164,[2]Apple!$B$3:$C$173,2,FALSE),"")</f>
        <v/>
      </c>
      <c r="R164" s="7" t="str">
        <f>+IFERROR(VLOOKUP(B164,[2]Google!$B$3:$C$99,2,FALSE),"")</f>
        <v/>
      </c>
    </row>
    <row r="165" spans="2:18" hidden="1" outlineLevel="1">
      <c r="B165" s="105" t="s">
        <v>236</v>
      </c>
      <c r="C165" s="105" t="s">
        <v>182</v>
      </c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6"/>
      <c r="O165" s="6"/>
      <c r="P165" s="6"/>
      <c r="Q165" s="7"/>
      <c r="R165" s="7"/>
    </row>
    <row r="166" spans="2:18" collapsed="1">
      <c r="B166" s="7" t="s">
        <v>237</v>
      </c>
      <c r="C166" s="7" t="str">
        <f>+VLOOKUP($B166,'[2]Pricing Scenario - Maintain'!$B$4:$AM$238,2,FALSE)</f>
        <v>Europe</v>
      </c>
      <c r="D166" s="6" t="s">
        <v>48</v>
      </c>
      <c r="E166" s="6" t="s">
        <v>48</v>
      </c>
      <c r="F166" s="6" t="s">
        <v>48</v>
      </c>
      <c r="G166" s="6" t="s">
        <v>48</v>
      </c>
      <c r="H166" s="6" t="s">
        <v>49</v>
      </c>
      <c r="I166" s="6" t="s">
        <v>49</v>
      </c>
      <c r="J166" s="6" t="s">
        <v>50</v>
      </c>
      <c r="K166" s="6" t="s">
        <v>50</v>
      </c>
      <c r="L166" s="6" t="s">
        <v>50</v>
      </c>
      <c r="M166" s="6" t="s">
        <v>50</v>
      </c>
      <c r="N166" s="6" t="s">
        <v>49</v>
      </c>
      <c r="O166" s="6" t="s">
        <v>49</v>
      </c>
      <c r="P166" s="6" t="s">
        <v>49</v>
      </c>
      <c r="Q166" s="7" t="str">
        <f>+IFERROR(VLOOKUP(B166,[2]Apple!$B$3:$C$173,2,FALSE),"")</f>
        <v>NO</v>
      </c>
      <c r="R166" s="7" t="str">
        <f>+IFERROR(VLOOKUP(B166,[2]Google!$B$3:$C$99,2,FALSE),"")</f>
        <v/>
      </c>
    </row>
    <row r="167" spans="2:18">
      <c r="B167" s="7" t="s">
        <v>238</v>
      </c>
      <c r="C167" s="7" t="str">
        <f>+VLOOKUP($B167,'[2]Pricing Scenario - Maintain'!$B$4:$AM$238,2,FALSE)</f>
        <v>Middle East</v>
      </c>
      <c r="D167" s="6" t="s">
        <v>48</v>
      </c>
      <c r="E167" s="6" t="s">
        <v>48</v>
      </c>
      <c r="F167" s="6" t="s">
        <v>48</v>
      </c>
      <c r="G167" s="6" t="s">
        <v>48</v>
      </c>
      <c r="H167" s="6" t="s">
        <v>49</v>
      </c>
      <c r="I167" s="6" t="s">
        <v>49</v>
      </c>
      <c r="J167" s="6" t="s">
        <v>50</v>
      </c>
      <c r="K167" s="6" t="s">
        <v>50</v>
      </c>
      <c r="L167" s="6" t="s">
        <v>50</v>
      </c>
      <c r="M167" s="6" t="s">
        <v>50</v>
      </c>
      <c r="N167" s="6" t="s">
        <v>49</v>
      </c>
      <c r="O167" s="6" t="s">
        <v>49</v>
      </c>
      <c r="P167" s="6" t="s">
        <v>49</v>
      </c>
      <c r="Q167" s="7" t="str">
        <f>+IFERROR(VLOOKUP(B167,[2]Apple!$B$3:$C$173,2,FALSE),"")</f>
        <v>OM</v>
      </c>
      <c r="R167" s="7" t="str">
        <f>+IFERROR(VLOOKUP(B167,[2]Google!$B$3:$C$99,2,FALSE),"")</f>
        <v/>
      </c>
    </row>
    <row r="168" spans="2:18">
      <c r="B168" s="7" t="s">
        <v>239</v>
      </c>
      <c r="C168" s="7" t="str">
        <f>+VLOOKUP($B168,'[2]Pricing Scenario - Maintain'!$B$4:$AM$238,2,FALSE)</f>
        <v>Asia</v>
      </c>
      <c r="D168" s="6" t="s">
        <v>48</v>
      </c>
      <c r="E168" s="6" t="s">
        <v>48</v>
      </c>
      <c r="F168" s="6" t="s">
        <v>48</v>
      </c>
      <c r="G168" s="6" t="s">
        <v>48</v>
      </c>
      <c r="H168" s="6" t="s">
        <v>49</v>
      </c>
      <c r="I168" s="6" t="s">
        <v>49</v>
      </c>
      <c r="J168" s="6" t="s">
        <v>50</v>
      </c>
      <c r="K168" s="6" t="s">
        <v>50</v>
      </c>
      <c r="L168" s="6" t="s">
        <v>50</v>
      </c>
      <c r="M168" s="6" t="s">
        <v>50</v>
      </c>
      <c r="N168" s="6" t="s">
        <v>49</v>
      </c>
      <c r="O168" s="6" t="s">
        <v>49</v>
      </c>
      <c r="P168" s="6" t="s">
        <v>49</v>
      </c>
      <c r="Q168" s="7" t="str">
        <f>+IFERROR(VLOOKUP(B168,[2]Apple!$B$3:$C$173,2,FALSE),"")</f>
        <v>PK</v>
      </c>
      <c r="R168" s="7" t="str">
        <f>+IFERROR(VLOOKUP(B168,[2]Google!$B$3:$C$99,2,FALSE),"")</f>
        <v/>
      </c>
    </row>
    <row r="169" spans="2:18">
      <c r="B169" s="7" t="s">
        <v>240</v>
      </c>
      <c r="C169" s="7" t="str">
        <f>+VLOOKUP($B169,'[2]Pricing Scenario - Maintain'!$B$4:$AM$238,2,FALSE)</f>
        <v>Asia</v>
      </c>
      <c r="D169" s="6" t="s">
        <v>48</v>
      </c>
      <c r="E169" s="6" t="s">
        <v>48</v>
      </c>
      <c r="F169" s="6" t="s">
        <v>48</v>
      </c>
      <c r="G169" s="6" t="s">
        <v>48</v>
      </c>
      <c r="H169" s="6" t="s">
        <v>49</v>
      </c>
      <c r="I169" s="6" t="s">
        <v>49</v>
      </c>
      <c r="J169" s="6" t="s">
        <v>50</v>
      </c>
      <c r="K169" s="6" t="s">
        <v>50</v>
      </c>
      <c r="L169" s="6" t="s">
        <v>50</v>
      </c>
      <c r="M169" s="6" t="s">
        <v>50</v>
      </c>
      <c r="N169" s="6" t="s">
        <v>49</v>
      </c>
      <c r="O169" s="6" t="s">
        <v>49</v>
      </c>
      <c r="P169" s="6" t="s">
        <v>49</v>
      </c>
      <c r="Q169" s="7" t="str">
        <f>+IFERROR(VLOOKUP(B169,[2]Apple!$B$3:$C$173,2,FALSE),"")</f>
        <v>PW</v>
      </c>
      <c r="R169" s="7" t="str">
        <f>+IFERROR(VLOOKUP(B169,[2]Google!$B$3:$C$99,2,FALSE),"")</f>
        <v/>
      </c>
    </row>
    <row r="170" spans="2:18">
      <c r="B170" s="7" t="s">
        <v>241</v>
      </c>
      <c r="C170" s="7" t="str">
        <f>+VLOOKUP($B170,'[2]Pricing Scenario - Maintain'!$B$4:$AM$238,2,FALSE)</f>
        <v>Middle East</v>
      </c>
      <c r="D170" s="6" t="s">
        <v>72</v>
      </c>
      <c r="E170" s="6" t="s">
        <v>72</v>
      </c>
      <c r="F170" s="6" t="s">
        <v>72</v>
      </c>
      <c r="G170" s="6" t="s">
        <v>72</v>
      </c>
      <c r="H170" s="6" t="s">
        <v>49</v>
      </c>
      <c r="I170" s="6" t="s">
        <v>49</v>
      </c>
      <c r="J170" s="6" t="s">
        <v>50</v>
      </c>
      <c r="K170" s="6" t="s">
        <v>50</v>
      </c>
      <c r="L170" s="6" t="s">
        <v>50</v>
      </c>
      <c r="M170" s="6" t="s">
        <v>50</v>
      </c>
      <c r="N170" s="6" t="s">
        <v>49</v>
      </c>
      <c r="O170" s="6" t="s">
        <v>49</v>
      </c>
      <c r="P170" s="6" t="s">
        <v>49</v>
      </c>
      <c r="Q170" s="7" t="str">
        <f>+IFERROR(VLOOKUP(B170,[2]Apple!$B$3:$C$173,2,FALSE),"")</f>
        <v/>
      </c>
      <c r="R170" s="7" t="str">
        <f>+IFERROR(VLOOKUP(B170,[2]Google!$B$3:$C$99,2,FALSE),"")</f>
        <v/>
      </c>
    </row>
    <row r="171" spans="2:18">
      <c r="B171" s="7" t="s">
        <v>242</v>
      </c>
      <c r="C171" s="7" t="str">
        <f>+VLOOKUP($B171,'[2]Pricing Scenario - Maintain'!$B$4:$AM$238,2,FALSE)</f>
        <v>Latin America</v>
      </c>
      <c r="D171" s="6" t="s">
        <v>48</v>
      </c>
      <c r="E171" s="6" t="s">
        <v>48</v>
      </c>
      <c r="F171" s="6" t="s">
        <v>48</v>
      </c>
      <c r="G171" s="6" t="s">
        <v>48</v>
      </c>
      <c r="H171" s="6" t="s">
        <v>49</v>
      </c>
      <c r="I171" s="6" t="s">
        <v>49</v>
      </c>
      <c r="J171" s="6" t="s">
        <v>50</v>
      </c>
      <c r="K171" s="6" t="s">
        <v>50</v>
      </c>
      <c r="L171" s="6" t="s">
        <v>50</v>
      </c>
      <c r="M171" s="6" t="s">
        <v>50</v>
      </c>
      <c r="N171" s="6" t="s">
        <v>49</v>
      </c>
      <c r="O171" s="6" t="s">
        <v>49</v>
      </c>
      <c r="P171" s="6" t="s">
        <v>49</v>
      </c>
      <c r="Q171" s="7" t="str">
        <f>+IFERROR(VLOOKUP(B171,[2]Apple!$B$3:$C$173,2,FALSE),"")</f>
        <v>PA</v>
      </c>
      <c r="R171" s="7" t="str">
        <f>+IFERROR(VLOOKUP(B171,[2]Google!$B$3:$C$99,2,FALSE),"")</f>
        <v/>
      </c>
    </row>
    <row r="172" spans="2:18">
      <c r="B172" s="7" t="s">
        <v>243</v>
      </c>
      <c r="C172" s="7" t="str">
        <f>+VLOOKUP($B172,'[2]Pricing Scenario - Maintain'!$B$4:$AM$238,2,FALSE)</f>
        <v>Asia</v>
      </c>
      <c r="D172" s="6" t="s">
        <v>48</v>
      </c>
      <c r="E172" s="6" t="s">
        <v>48</v>
      </c>
      <c r="F172" s="6" t="s">
        <v>48</v>
      </c>
      <c r="G172" s="6" t="s">
        <v>48</v>
      </c>
      <c r="H172" s="6" t="s">
        <v>49</v>
      </c>
      <c r="I172" s="6" t="s">
        <v>49</v>
      </c>
      <c r="J172" s="6" t="s">
        <v>50</v>
      </c>
      <c r="K172" s="6" t="s">
        <v>50</v>
      </c>
      <c r="L172" s="6" t="s">
        <v>50</v>
      </c>
      <c r="M172" s="6" t="s">
        <v>50</v>
      </c>
      <c r="N172" s="6" t="s">
        <v>49</v>
      </c>
      <c r="O172" s="6" t="s">
        <v>49</v>
      </c>
      <c r="P172" s="6" t="s">
        <v>49</v>
      </c>
      <c r="Q172" s="7" t="str">
        <f>+IFERROR(VLOOKUP(B172,[2]Apple!$B$3:$C$173,2,FALSE),"")</f>
        <v>PG</v>
      </c>
      <c r="R172" s="7" t="str">
        <f>+IFERROR(VLOOKUP(B172,[2]Google!$B$3:$C$99,2,FALSE),"")</f>
        <v/>
      </c>
    </row>
    <row r="173" spans="2:18">
      <c r="B173" s="7" t="s">
        <v>244</v>
      </c>
      <c r="C173" s="7" t="str">
        <f>+VLOOKUP($B173,'[2]Pricing Scenario - Maintain'!$B$4:$AM$238,2,FALSE)</f>
        <v>Latin America</v>
      </c>
      <c r="D173" s="6" t="s">
        <v>48</v>
      </c>
      <c r="E173" s="6" t="s">
        <v>48</v>
      </c>
      <c r="F173" s="6" t="s">
        <v>48</v>
      </c>
      <c r="G173" s="6" t="s">
        <v>48</v>
      </c>
      <c r="H173" s="6" t="s">
        <v>49</v>
      </c>
      <c r="I173" s="6" t="s">
        <v>49</v>
      </c>
      <c r="J173" s="6" t="s">
        <v>50</v>
      </c>
      <c r="K173" s="6" t="s">
        <v>50</v>
      </c>
      <c r="L173" s="6" t="s">
        <v>50</v>
      </c>
      <c r="M173" s="6" t="s">
        <v>50</v>
      </c>
      <c r="N173" s="6" t="s">
        <v>49</v>
      </c>
      <c r="O173" s="6" t="s">
        <v>49</v>
      </c>
      <c r="P173" s="6" t="s">
        <v>49</v>
      </c>
      <c r="Q173" s="7" t="str">
        <f>+IFERROR(VLOOKUP(B173,[2]Apple!$B$3:$C$173,2,FALSE),"")</f>
        <v>PY</v>
      </c>
      <c r="R173" s="7" t="str">
        <f>+IFERROR(VLOOKUP(B173,[2]Google!$B$3:$C$99,2,FALSE),"")</f>
        <v/>
      </c>
    </row>
    <row r="174" spans="2:18">
      <c r="B174" s="7" t="s">
        <v>245</v>
      </c>
      <c r="C174" s="7" t="str">
        <f>+VLOOKUP($B174,'[2]Pricing Scenario - Maintain'!$B$4:$AM$238,2,FALSE)</f>
        <v>Latin America</v>
      </c>
      <c r="D174" s="6" t="s">
        <v>48</v>
      </c>
      <c r="E174" s="6" t="s">
        <v>48</v>
      </c>
      <c r="F174" s="6" t="s">
        <v>48</v>
      </c>
      <c r="G174" s="6" t="s">
        <v>48</v>
      </c>
      <c r="H174" s="6" t="s">
        <v>49</v>
      </c>
      <c r="I174" s="6" t="s">
        <v>49</v>
      </c>
      <c r="J174" s="6" t="s">
        <v>50</v>
      </c>
      <c r="K174" s="6" t="s">
        <v>50</v>
      </c>
      <c r="L174" s="6" t="s">
        <v>50</v>
      </c>
      <c r="M174" s="6" t="s">
        <v>50</v>
      </c>
      <c r="N174" s="6" t="s">
        <v>49</v>
      </c>
      <c r="O174" s="6" t="s">
        <v>49</v>
      </c>
      <c r="P174" s="6" t="s">
        <v>49</v>
      </c>
      <c r="Q174" s="7" t="str">
        <f>+IFERROR(VLOOKUP(B174,[2]Apple!$B$3:$C$173,2,FALSE),"")</f>
        <v>PE</v>
      </c>
      <c r="R174" s="7" t="str">
        <f>+IFERROR(VLOOKUP(B174,[2]Google!$B$3:$C$99,2,FALSE),"")</f>
        <v/>
      </c>
    </row>
    <row r="175" spans="2:18">
      <c r="B175" s="7" t="s">
        <v>246</v>
      </c>
      <c r="C175" s="7" t="str">
        <f>+VLOOKUP($B175,'[2]Pricing Scenario - Maintain'!$B$4:$AM$238,2,FALSE)</f>
        <v>Asia</v>
      </c>
      <c r="D175" s="6" t="s">
        <v>48</v>
      </c>
      <c r="E175" s="6" t="s">
        <v>48</v>
      </c>
      <c r="F175" s="6" t="s">
        <v>48</v>
      </c>
      <c r="G175" s="6" t="s">
        <v>48</v>
      </c>
      <c r="H175" s="6" t="s">
        <v>49</v>
      </c>
      <c r="I175" s="6" t="s">
        <v>49</v>
      </c>
      <c r="J175" s="6" t="s">
        <v>50</v>
      </c>
      <c r="K175" s="6" t="s">
        <v>50</v>
      </c>
      <c r="L175" s="6" t="s">
        <v>50</v>
      </c>
      <c r="M175" s="6" t="s">
        <v>50</v>
      </c>
      <c r="N175" s="6" t="s">
        <v>49</v>
      </c>
      <c r="O175" s="6" t="s">
        <v>49</v>
      </c>
      <c r="P175" s="6" t="s">
        <v>49</v>
      </c>
      <c r="Q175" s="7" t="str">
        <f>+IFERROR(VLOOKUP(B175,[2]Apple!$B$3:$C$173,2,FALSE),"")</f>
        <v>PH</v>
      </c>
      <c r="R175" s="7" t="str">
        <f>+IFERROR(VLOOKUP(B175,[2]Google!$B$3:$C$99,2,FALSE),"")</f>
        <v/>
      </c>
    </row>
    <row r="176" spans="2:18">
      <c r="B176" s="7" t="s">
        <v>247</v>
      </c>
      <c r="C176" s="7" t="str">
        <f>+VLOOKUP($B176,'[2]Pricing Scenario - Maintain'!$B$4:$AM$238,2,FALSE)</f>
        <v>Asia</v>
      </c>
      <c r="D176" s="6" t="s">
        <v>72</v>
      </c>
      <c r="E176" s="6" t="s">
        <v>72</v>
      </c>
      <c r="F176" s="6" t="s">
        <v>72</v>
      </c>
      <c r="G176" s="6" t="s">
        <v>72</v>
      </c>
      <c r="H176" s="6" t="s">
        <v>49</v>
      </c>
      <c r="I176" s="6" t="s">
        <v>49</v>
      </c>
      <c r="J176" s="6" t="s">
        <v>50</v>
      </c>
      <c r="K176" s="6" t="s">
        <v>50</v>
      </c>
      <c r="L176" s="6" t="s">
        <v>50</v>
      </c>
      <c r="M176" s="6" t="s">
        <v>50</v>
      </c>
      <c r="N176" s="6" t="s">
        <v>49</v>
      </c>
      <c r="O176" s="6" t="s">
        <v>49</v>
      </c>
      <c r="P176" s="6" t="s">
        <v>49</v>
      </c>
      <c r="Q176" s="7" t="str">
        <f>+IFERROR(VLOOKUP(B176,[2]Apple!$B$3:$C$173,2,FALSE),"")</f>
        <v/>
      </c>
      <c r="R176" s="7" t="str">
        <f>+IFERROR(VLOOKUP(B176,[2]Google!$B$3:$C$99,2,FALSE),"")</f>
        <v/>
      </c>
    </row>
    <row r="177" spans="2:18">
      <c r="B177" s="7" t="s">
        <v>248</v>
      </c>
      <c r="C177" s="7" t="str">
        <f>+VLOOKUP($B177,'[2]Pricing Scenario - Maintain'!$B$4:$AM$238,2,FALSE)</f>
        <v>Europe</v>
      </c>
      <c r="D177" s="6" t="s">
        <v>48</v>
      </c>
      <c r="E177" s="6" t="s">
        <v>48</v>
      </c>
      <c r="F177" s="6" t="s">
        <v>48</v>
      </c>
      <c r="G177" s="6" t="s">
        <v>48</v>
      </c>
      <c r="H177" s="6" t="s">
        <v>49</v>
      </c>
      <c r="I177" s="6" t="s">
        <v>49</v>
      </c>
      <c r="J177" s="6" t="s">
        <v>50</v>
      </c>
      <c r="K177" s="6" t="s">
        <v>50</v>
      </c>
      <c r="L177" s="6" t="s">
        <v>50</v>
      </c>
      <c r="M177" s="6" t="s">
        <v>50</v>
      </c>
      <c r="N177" s="6" t="s">
        <v>49</v>
      </c>
      <c r="O177" s="6" t="s">
        <v>49</v>
      </c>
      <c r="P177" s="6" t="s">
        <v>49</v>
      </c>
      <c r="Q177" s="7" t="str">
        <f>+IFERROR(VLOOKUP(B177,[2]Apple!$B$3:$C$173,2,FALSE),"")</f>
        <v>PL</v>
      </c>
      <c r="R177" s="7" t="str">
        <f>+IFERROR(VLOOKUP(B177,[2]Google!$B$3:$C$99,2,FALSE),"")</f>
        <v/>
      </c>
    </row>
    <row r="178" spans="2:18">
      <c r="B178" s="7" t="s">
        <v>249</v>
      </c>
      <c r="C178" s="7" t="str">
        <f>+VLOOKUP($B178,'[2]Pricing Scenario - Maintain'!$B$4:$AM$238,2,FALSE)</f>
        <v>Europe</v>
      </c>
      <c r="D178" s="6" t="s">
        <v>48</v>
      </c>
      <c r="E178" s="6" t="s">
        <v>48</v>
      </c>
      <c r="F178" s="6" t="s">
        <v>48</v>
      </c>
      <c r="G178" s="6" t="s">
        <v>48</v>
      </c>
      <c r="H178" s="6" t="s">
        <v>49</v>
      </c>
      <c r="I178" s="6" t="s">
        <v>49</v>
      </c>
      <c r="J178" s="6" t="s">
        <v>50</v>
      </c>
      <c r="K178" s="6" t="s">
        <v>50</v>
      </c>
      <c r="L178" s="6" t="s">
        <v>50</v>
      </c>
      <c r="M178" s="6" t="s">
        <v>50</v>
      </c>
      <c r="N178" s="6" t="s">
        <v>49</v>
      </c>
      <c r="O178" s="6" t="s">
        <v>49</v>
      </c>
      <c r="P178" s="6" t="s">
        <v>49</v>
      </c>
      <c r="Q178" s="7" t="str">
        <f>+IFERROR(VLOOKUP(B178,[2]Apple!$B$3:$C$173,2,FALSE),"")</f>
        <v>PT</v>
      </c>
      <c r="R178" s="7" t="str">
        <f>+IFERROR(VLOOKUP(B178,[2]Google!$B$3:$C$99,2,FALSE),"")</f>
        <v/>
      </c>
    </row>
    <row r="179" spans="2:18">
      <c r="B179" s="7" t="s">
        <v>250</v>
      </c>
      <c r="C179" s="7" t="str">
        <f>+VLOOKUP($B179,'[2]Pricing Scenario - Maintain'!$B$4:$AM$238,2,FALSE)</f>
        <v>Middle East</v>
      </c>
      <c r="D179" s="6" t="s">
        <v>48</v>
      </c>
      <c r="E179" s="6" t="s">
        <v>48</v>
      </c>
      <c r="F179" s="6" t="s">
        <v>48</v>
      </c>
      <c r="G179" s="6" t="s">
        <v>48</v>
      </c>
      <c r="H179" s="6" t="s">
        <v>49</v>
      </c>
      <c r="I179" s="6" t="s">
        <v>49</v>
      </c>
      <c r="J179" s="6" t="s">
        <v>50</v>
      </c>
      <c r="K179" s="6" t="s">
        <v>50</v>
      </c>
      <c r="L179" s="6" t="s">
        <v>50</v>
      </c>
      <c r="M179" s="6" t="s">
        <v>50</v>
      </c>
      <c r="N179" s="6" t="s">
        <v>49</v>
      </c>
      <c r="O179" s="6" t="s">
        <v>49</v>
      </c>
      <c r="P179" s="6" t="s">
        <v>49</v>
      </c>
      <c r="Q179" s="7" t="str">
        <f>+IFERROR(VLOOKUP(B179,[2]Apple!$B$3:$C$173,2,FALSE),"")</f>
        <v>QA</v>
      </c>
      <c r="R179" s="7" t="str">
        <f>+IFERROR(VLOOKUP(B179,[2]Google!$B$3:$C$99,2,FALSE),"")</f>
        <v/>
      </c>
    </row>
    <row r="180" spans="2:18">
      <c r="B180" s="7" t="s">
        <v>251</v>
      </c>
      <c r="C180" s="260" t="s">
        <v>100</v>
      </c>
      <c r="D180" s="6" t="s">
        <v>72</v>
      </c>
      <c r="E180" s="6" t="s">
        <v>72</v>
      </c>
      <c r="F180" s="6" t="s">
        <v>72</v>
      </c>
      <c r="G180" s="6" t="s">
        <v>72</v>
      </c>
      <c r="H180" s="6" t="s">
        <v>49</v>
      </c>
      <c r="I180" s="6" t="s">
        <v>49</v>
      </c>
      <c r="J180" s="6" t="s">
        <v>50</v>
      </c>
      <c r="K180" s="6" t="s">
        <v>50</v>
      </c>
      <c r="L180" s="6" t="s">
        <v>50</v>
      </c>
      <c r="M180" s="6" t="s">
        <v>50</v>
      </c>
      <c r="N180" s="6" t="s">
        <v>49</v>
      </c>
      <c r="O180" s="6" t="s">
        <v>49</v>
      </c>
      <c r="P180" s="6" t="s">
        <v>49</v>
      </c>
      <c r="Q180" s="7" t="str">
        <f>+IFERROR(VLOOKUP(B180,[2]Apple!$B$3:$C$173,2,FALSE),"")</f>
        <v/>
      </c>
      <c r="R180" s="7" t="str">
        <f>+IFERROR(VLOOKUP(B180,[2]Google!$B$3:$C$99,2,FALSE),"")</f>
        <v/>
      </c>
    </row>
    <row r="181" spans="2:18">
      <c r="B181" s="7" t="s">
        <v>252</v>
      </c>
      <c r="C181" s="7" t="str">
        <f>+VLOOKUP($B181,'[2]Pricing Scenario - Maintain'!$B$4:$AM$238,2,FALSE)</f>
        <v>Europe</v>
      </c>
      <c r="D181" s="6" t="s">
        <v>48</v>
      </c>
      <c r="E181" s="6" t="s">
        <v>48</v>
      </c>
      <c r="F181" s="6" t="s">
        <v>48</v>
      </c>
      <c r="G181" s="6" t="s">
        <v>48</v>
      </c>
      <c r="H181" s="6" t="s">
        <v>49</v>
      </c>
      <c r="I181" s="6" t="s">
        <v>49</v>
      </c>
      <c r="J181" s="6" t="s">
        <v>50</v>
      </c>
      <c r="K181" s="6" t="s">
        <v>50</v>
      </c>
      <c r="L181" s="6" t="s">
        <v>50</v>
      </c>
      <c r="M181" s="6" t="s">
        <v>50</v>
      </c>
      <c r="N181" s="6" t="s">
        <v>49</v>
      </c>
      <c r="O181" s="6" t="s">
        <v>49</v>
      </c>
      <c r="P181" s="6" t="s">
        <v>49</v>
      </c>
      <c r="Q181" s="7" t="str">
        <f>+IFERROR(VLOOKUP(B181,[2]Apple!$B$3:$C$173,2,FALSE),"")</f>
        <v>RO</v>
      </c>
      <c r="R181" s="7" t="str">
        <f>+IFERROR(VLOOKUP(B181,[2]Google!$B$3:$C$99,2,FALSE),"")</f>
        <v/>
      </c>
    </row>
    <row r="182" spans="2:18" hidden="1" outlineLevel="1">
      <c r="B182" s="105" t="s">
        <v>253</v>
      </c>
      <c r="C182" s="105" t="str">
        <f>+VLOOKUP($B182,'[2]Pricing Scenario - Maintain'!$B$4:$AM$238,2,FALSE)</f>
        <v>Europe</v>
      </c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8"/>
      <c r="O182" s="8"/>
      <c r="P182" s="8"/>
      <c r="Q182" s="7" t="str">
        <f>+IFERROR(VLOOKUP(B182,[2]Apple!$B$3:$C$173,2,FALSE),"")</f>
        <v>RU</v>
      </c>
      <c r="R182" s="7" t="str">
        <f>+IFERROR(VLOOKUP(B182,[2]Google!$B$3:$C$99,2,FALSE),"")</f>
        <v/>
      </c>
    </row>
    <row r="183" spans="2:18" collapsed="1">
      <c r="B183" s="7" t="s">
        <v>254</v>
      </c>
      <c r="C183" s="7" t="str">
        <f>+VLOOKUP($B183,'[2]Pricing Scenario - Maintain'!$B$4:$AM$238,2,FALSE)</f>
        <v>Africa</v>
      </c>
      <c r="D183" s="6" t="s">
        <v>48</v>
      </c>
      <c r="E183" s="6" t="s">
        <v>48</v>
      </c>
      <c r="F183" s="6" t="s">
        <v>48</v>
      </c>
      <c r="G183" s="6" t="s">
        <v>48</v>
      </c>
      <c r="H183" s="6" t="s">
        <v>49</v>
      </c>
      <c r="I183" s="6" t="s">
        <v>49</v>
      </c>
      <c r="J183" s="6" t="s">
        <v>50</v>
      </c>
      <c r="K183" s="6" t="s">
        <v>50</v>
      </c>
      <c r="L183" s="6" t="s">
        <v>50</v>
      </c>
      <c r="M183" s="6" t="s">
        <v>50</v>
      </c>
      <c r="N183" s="6" t="s">
        <v>49</v>
      </c>
      <c r="O183" s="6" t="s">
        <v>49</v>
      </c>
      <c r="P183" s="6" t="s">
        <v>49</v>
      </c>
      <c r="Q183" s="7" t="str">
        <f>+IFERROR(VLOOKUP(B183,[2]Apple!$B$3:$C$173,2,FALSE),"")</f>
        <v>RW</v>
      </c>
      <c r="R183" s="7" t="str">
        <f>+IFERROR(VLOOKUP(B183,[2]Google!$B$3:$C$99,2,FALSE),"")</f>
        <v/>
      </c>
    </row>
    <row r="184" spans="2:18">
      <c r="B184" s="7" t="s">
        <v>255</v>
      </c>
      <c r="C184" s="7" t="str">
        <f>+VLOOKUP($B184,'[2]Pricing Scenario - Maintain'!$B$4:$AM$238,2,FALSE)</f>
        <v>Latin America</v>
      </c>
      <c r="D184" s="6" t="s">
        <v>72</v>
      </c>
      <c r="E184" s="6" t="s">
        <v>72</v>
      </c>
      <c r="F184" s="6" t="s">
        <v>72</v>
      </c>
      <c r="G184" s="6" t="s">
        <v>72</v>
      </c>
      <c r="H184" s="6" t="s">
        <v>49</v>
      </c>
      <c r="I184" s="6" t="s">
        <v>49</v>
      </c>
      <c r="J184" s="6" t="s">
        <v>50</v>
      </c>
      <c r="K184" s="6" t="s">
        <v>50</v>
      </c>
      <c r="L184" s="6" t="s">
        <v>50</v>
      </c>
      <c r="M184" s="6" t="s">
        <v>50</v>
      </c>
      <c r="N184" s="6" t="s">
        <v>49</v>
      </c>
      <c r="O184" s="6" t="s">
        <v>49</v>
      </c>
      <c r="P184" s="6" t="s">
        <v>49</v>
      </c>
      <c r="Q184" s="7" t="str">
        <f>+IFERROR(VLOOKUP(B184,[2]Apple!$B$3:$C$173,2,FALSE),"")</f>
        <v/>
      </c>
      <c r="R184" s="7" t="str">
        <f>+IFERROR(VLOOKUP(B184,[2]Google!$B$3:$C$99,2,FALSE),"")</f>
        <v/>
      </c>
    </row>
    <row r="185" spans="2:18">
      <c r="B185" s="7" t="s">
        <v>256</v>
      </c>
      <c r="C185" s="7" t="str">
        <f>+VLOOKUP($B185,'[2]Pricing Scenario - Maintain'!$B$4:$AM$238,2,FALSE)</f>
        <v>Asia</v>
      </c>
      <c r="D185" s="6" t="s">
        <v>48</v>
      </c>
      <c r="E185" s="6" t="s">
        <v>48</v>
      </c>
      <c r="F185" s="6" t="s">
        <v>48</v>
      </c>
      <c r="G185" s="6" t="s">
        <v>48</v>
      </c>
      <c r="H185" s="6" t="s">
        <v>49</v>
      </c>
      <c r="I185" s="6" t="s">
        <v>49</v>
      </c>
      <c r="J185" s="6" t="s">
        <v>50</v>
      </c>
      <c r="K185" s="6" t="s">
        <v>50</v>
      </c>
      <c r="L185" s="6" t="s">
        <v>50</v>
      </c>
      <c r="M185" s="6" t="s">
        <v>50</v>
      </c>
      <c r="N185" s="6" t="s">
        <v>49</v>
      </c>
      <c r="O185" s="6" t="s">
        <v>49</v>
      </c>
      <c r="P185" s="6" t="s">
        <v>49</v>
      </c>
      <c r="Q185" s="7" t="str">
        <f>+IFERROR(VLOOKUP(B185,[2]Apple!$B$3:$C$173,2,FALSE),"")</f>
        <v/>
      </c>
      <c r="R185" s="7" t="str">
        <f>+IFERROR(VLOOKUP(B185,[2]Google!$B$3:$C$99,2,FALSE),"")</f>
        <v/>
      </c>
    </row>
    <row r="186" spans="2:18">
      <c r="B186" s="7" t="s">
        <v>257</v>
      </c>
      <c r="C186" s="7" t="str">
        <f>+VLOOKUP($B186,'[2]Pricing Scenario - Maintain'!$B$4:$AM$238,2,FALSE)</f>
        <v>Europe</v>
      </c>
      <c r="D186" s="6" t="s">
        <v>48</v>
      </c>
      <c r="E186" s="6" t="s">
        <v>48</v>
      </c>
      <c r="F186" s="6" t="s">
        <v>48</v>
      </c>
      <c r="G186" s="6" t="s">
        <v>48</v>
      </c>
      <c r="H186" s="6" t="s">
        <v>49</v>
      </c>
      <c r="I186" s="6" t="s">
        <v>49</v>
      </c>
      <c r="J186" s="6" t="s">
        <v>50</v>
      </c>
      <c r="K186" s="6" t="s">
        <v>50</v>
      </c>
      <c r="L186" s="6" t="s">
        <v>50</v>
      </c>
      <c r="M186" s="6" t="s">
        <v>50</v>
      </c>
      <c r="N186" s="6" t="s">
        <v>49</v>
      </c>
      <c r="O186" s="6" t="s">
        <v>49</v>
      </c>
      <c r="P186" s="6" t="s">
        <v>49</v>
      </c>
      <c r="Q186" s="7" t="str">
        <f>+IFERROR(VLOOKUP(B186,[2]Apple!$B$3:$C$173,2,FALSE),"")</f>
        <v/>
      </c>
      <c r="R186" s="7" t="str">
        <f>+IFERROR(VLOOKUP(B186,[2]Google!$B$3:$C$99,2,FALSE),"")</f>
        <v/>
      </c>
    </row>
    <row r="187" spans="2:18">
      <c r="B187" s="7" t="s">
        <v>258</v>
      </c>
      <c r="C187" s="7" t="str">
        <f>+VLOOKUP($B187,'[2]Pricing Scenario - Maintain'!$B$4:$AM$238,2,FALSE)</f>
        <v>Africa</v>
      </c>
      <c r="D187" s="6" t="s">
        <v>48</v>
      </c>
      <c r="E187" s="6" t="s">
        <v>48</v>
      </c>
      <c r="F187" s="6" t="s">
        <v>48</v>
      </c>
      <c r="G187" s="6" t="s">
        <v>48</v>
      </c>
      <c r="H187" s="6" t="s">
        <v>49</v>
      </c>
      <c r="I187" s="6" t="s">
        <v>49</v>
      </c>
      <c r="J187" s="6" t="s">
        <v>50</v>
      </c>
      <c r="K187" s="6" t="s">
        <v>50</v>
      </c>
      <c r="L187" s="6" t="s">
        <v>50</v>
      </c>
      <c r="M187" s="6" t="s">
        <v>50</v>
      </c>
      <c r="N187" s="6" t="s">
        <v>49</v>
      </c>
      <c r="O187" s="6" t="s">
        <v>49</v>
      </c>
      <c r="P187" s="6" t="s">
        <v>49</v>
      </c>
      <c r="Q187" s="7" t="str">
        <f>+IFERROR(VLOOKUP(B187,[2]Apple!$B$3:$C$173,2,FALSE),"")</f>
        <v>ST</v>
      </c>
      <c r="R187" s="7" t="str">
        <f>+IFERROR(VLOOKUP(B187,[2]Google!$B$3:$C$99,2,FALSE),"")</f>
        <v/>
      </c>
    </row>
    <row r="188" spans="2:18">
      <c r="B188" s="7" t="s">
        <v>259</v>
      </c>
      <c r="C188" s="7" t="str">
        <f>+VLOOKUP($B188,'[2]Pricing Scenario - Maintain'!$B$4:$AM$238,2,FALSE)</f>
        <v>Middle East</v>
      </c>
      <c r="D188" s="6" t="s">
        <v>48</v>
      </c>
      <c r="E188" s="6" t="s">
        <v>48</v>
      </c>
      <c r="F188" s="6" t="s">
        <v>48</v>
      </c>
      <c r="G188" s="6" t="s">
        <v>48</v>
      </c>
      <c r="H188" s="6" t="s">
        <v>49</v>
      </c>
      <c r="I188" s="6" t="s">
        <v>49</v>
      </c>
      <c r="J188" s="6" t="s">
        <v>50</v>
      </c>
      <c r="K188" s="6" t="s">
        <v>50</v>
      </c>
      <c r="L188" s="6" t="s">
        <v>50</v>
      </c>
      <c r="M188" s="6" t="s">
        <v>50</v>
      </c>
      <c r="N188" s="6" t="s">
        <v>49</v>
      </c>
      <c r="O188" s="6" t="s">
        <v>49</v>
      </c>
      <c r="P188" s="6" t="s">
        <v>49</v>
      </c>
      <c r="Q188" s="7" t="str">
        <f>+IFERROR(VLOOKUP(B188,[2]Apple!$B$3:$C$173,2,FALSE),"")</f>
        <v>SA</v>
      </c>
      <c r="R188" s="7" t="str">
        <f>+IFERROR(VLOOKUP(B188,[2]Google!$B$3:$C$99,2,FALSE),"")</f>
        <v/>
      </c>
    </row>
    <row r="189" spans="2:18">
      <c r="B189" s="7" t="s">
        <v>260</v>
      </c>
      <c r="C189" s="7" t="str">
        <f>+VLOOKUP($B189,'[2]Pricing Scenario - Maintain'!$B$4:$AM$238,2,FALSE)</f>
        <v>Africa</v>
      </c>
      <c r="D189" s="6" t="s">
        <v>48</v>
      </c>
      <c r="E189" s="6" t="s">
        <v>48</v>
      </c>
      <c r="F189" s="6" t="s">
        <v>48</v>
      </c>
      <c r="G189" s="6" t="s">
        <v>48</v>
      </c>
      <c r="H189" s="6" t="s">
        <v>49</v>
      </c>
      <c r="I189" s="6" t="s">
        <v>49</v>
      </c>
      <c r="J189" s="6" t="s">
        <v>50</v>
      </c>
      <c r="K189" s="6" t="s">
        <v>50</v>
      </c>
      <c r="L189" s="6" t="s">
        <v>50</v>
      </c>
      <c r="M189" s="6" t="s">
        <v>50</v>
      </c>
      <c r="N189" s="6" t="s">
        <v>49</v>
      </c>
      <c r="O189" s="6" t="s">
        <v>49</v>
      </c>
      <c r="P189" s="6" t="s">
        <v>49</v>
      </c>
      <c r="Q189" s="7" t="str">
        <f>+IFERROR(VLOOKUP(B189,[2]Apple!$B$3:$C$173,2,FALSE),"")</f>
        <v>SN</v>
      </c>
      <c r="R189" s="7" t="str">
        <f>+IFERROR(VLOOKUP(B189,[2]Google!$B$3:$C$99,2,FALSE),"")</f>
        <v/>
      </c>
    </row>
    <row r="190" spans="2:18">
      <c r="B190" s="7" t="s">
        <v>261</v>
      </c>
      <c r="C190" s="7" t="str">
        <f>+VLOOKUP($B190,'[2]Pricing Scenario - Maintain'!$B$4:$AM$238,2,FALSE)</f>
        <v>Europe</v>
      </c>
      <c r="D190" s="6" t="s">
        <v>48</v>
      </c>
      <c r="E190" s="6" t="s">
        <v>48</v>
      </c>
      <c r="F190" s="6" t="s">
        <v>48</v>
      </c>
      <c r="G190" s="6" t="s">
        <v>48</v>
      </c>
      <c r="H190" s="6" t="s">
        <v>49</v>
      </c>
      <c r="I190" s="6" t="s">
        <v>49</v>
      </c>
      <c r="J190" s="6" t="s">
        <v>50</v>
      </c>
      <c r="K190" s="6" t="s">
        <v>50</v>
      </c>
      <c r="L190" s="6" t="s">
        <v>50</v>
      </c>
      <c r="M190" s="6" t="s">
        <v>50</v>
      </c>
      <c r="N190" s="6" t="s">
        <v>49</v>
      </c>
      <c r="O190" s="6" t="s">
        <v>49</v>
      </c>
      <c r="P190" s="6" t="s">
        <v>49</v>
      </c>
      <c r="Q190" s="7" t="str">
        <f>+IFERROR(VLOOKUP(B190,[2]Apple!$B$3:$C$173,2,FALSE),"")</f>
        <v>RS</v>
      </c>
      <c r="R190" s="7" t="str">
        <f>+IFERROR(VLOOKUP(B190,[2]Google!$B$3:$C$99,2,FALSE),"")</f>
        <v/>
      </c>
    </row>
    <row r="191" spans="2:18">
      <c r="B191" s="7" t="s">
        <v>262</v>
      </c>
      <c r="C191" s="7" t="str">
        <f>+VLOOKUP($B191,'[2]Pricing Scenario - Maintain'!$B$4:$AM$238,2,FALSE)</f>
        <v>Africa</v>
      </c>
      <c r="D191" s="6" t="s">
        <v>48</v>
      </c>
      <c r="E191" s="6" t="s">
        <v>48</v>
      </c>
      <c r="F191" s="6" t="s">
        <v>48</v>
      </c>
      <c r="G191" s="6" t="s">
        <v>48</v>
      </c>
      <c r="H191" s="6" t="s">
        <v>49</v>
      </c>
      <c r="I191" s="6" t="s">
        <v>49</v>
      </c>
      <c r="J191" s="6" t="s">
        <v>50</v>
      </c>
      <c r="K191" s="6" t="s">
        <v>50</v>
      </c>
      <c r="L191" s="6" t="s">
        <v>50</v>
      </c>
      <c r="M191" s="6" t="s">
        <v>50</v>
      </c>
      <c r="N191" s="6" t="s">
        <v>49</v>
      </c>
      <c r="O191" s="6" t="s">
        <v>49</v>
      </c>
      <c r="P191" s="6" t="s">
        <v>49</v>
      </c>
      <c r="Q191" s="7" t="str">
        <f>+IFERROR(VLOOKUP(B191,[2]Apple!$B$3:$C$173,2,FALSE),"")</f>
        <v>SC</v>
      </c>
      <c r="R191" s="7" t="str">
        <f>+IFERROR(VLOOKUP(B191,[2]Google!$B$3:$C$99,2,FALSE),"")</f>
        <v/>
      </c>
    </row>
    <row r="192" spans="2:18">
      <c r="B192" s="7" t="s">
        <v>263</v>
      </c>
      <c r="C192" s="7" t="str">
        <f>+VLOOKUP($B192,'[2]Pricing Scenario - Maintain'!$B$4:$AM$238,2,FALSE)</f>
        <v>Africa</v>
      </c>
      <c r="D192" s="6" t="s">
        <v>48</v>
      </c>
      <c r="E192" s="6" t="s">
        <v>48</v>
      </c>
      <c r="F192" s="6" t="s">
        <v>48</v>
      </c>
      <c r="G192" s="6" t="s">
        <v>48</v>
      </c>
      <c r="H192" s="6" t="s">
        <v>49</v>
      </c>
      <c r="I192" s="6" t="s">
        <v>49</v>
      </c>
      <c r="J192" s="6" t="s">
        <v>50</v>
      </c>
      <c r="K192" s="6" t="s">
        <v>50</v>
      </c>
      <c r="L192" s="6" t="s">
        <v>50</v>
      </c>
      <c r="M192" s="6" t="s">
        <v>50</v>
      </c>
      <c r="N192" s="6" t="s">
        <v>49</v>
      </c>
      <c r="O192" s="6" t="s">
        <v>49</v>
      </c>
      <c r="P192" s="6" t="s">
        <v>49</v>
      </c>
      <c r="Q192" s="7" t="str">
        <f>+IFERROR(VLOOKUP(B192,[2]Apple!$B$3:$C$173,2,FALSE),"")</f>
        <v>SL</v>
      </c>
      <c r="R192" s="7" t="str">
        <f>+IFERROR(VLOOKUP(B192,[2]Google!$B$3:$C$99,2,FALSE),"")</f>
        <v/>
      </c>
    </row>
    <row r="193" spans="2:18">
      <c r="B193" s="7" t="s">
        <v>264</v>
      </c>
      <c r="C193" s="7" t="str">
        <f>+VLOOKUP($B193,'[2]Pricing Scenario - Maintain'!$B$4:$AM$238,2,FALSE)</f>
        <v>Asia</v>
      </c>
      <c r="D193" s="6" t="s">
        <v>48</v>
      </c>
      <c r="E193" s="6" t="s">
        <v>48</v>
      </c>
      <c r="F193" s="6" t="s">
        <v>48</v>
      </c>
      <c r="G193" s="6" t="s">
        <v>48</v>
      </c>
      <c r="H193" s="6" t="s">
        <v>49</v>
      </c>
      <c r="I193" s="6" t="s">
        <v>49</v>
      </c>
      <c r="J193" s="6" t="s">
        <v>50</v>
      </c>
      <c r="K193" s="6" t="s">
        <v>50</v>
      </c>
      <c r="L193" s="6" t="s">
        <v>50</v>
      </c>
      <c r="M193" s="6" t="s">
        <v>50</v>
      </c>
      <c r="N193" s="6" t="s">
        <v>49</v>
      </c>
      <c r="O193" s="6" t="s">
        <v>49</v>
      </c>
      <c r="P193" s="6" t="s">
        <v>49</v>
      </c>
      <c r="Q193" s="7" t="str">
        <f>+IFERROR(VLOOKUP(B193,[2]Apple!$B$3:$C$173,2,FALSE),"")</f>
        <v>SG</v>
      </c>
      <c r="R193" s="7" t="str">
        <f>+IFERROR(VLOOKUP(B193,[2]Google!$B$3:$C$99,2,FALSE),"")</f>
        <v/>
      </c>
    </row>
    <row r="194" spans="2:18">
      <c r="B194" s="7" t="s">
        <v>265</v>
      </c>
      <c r="C194" s="7" t="s">
        <v>96</v>
      </c>
      <c r="D194" s="6" t="s">
        <v>72</v>
      </c>
      <c r="E194" s="6" t="s">
        <v>72</v>
      </c>
      <c r="F194" s="6" t="s">
        <v>72</v>
      </c>
      <c r="G194" s="6" t="s">
        <v>72</v>
      </c>
      <c r="H194" s="6" t="s">
        <v>49</v>
      </c>
      <c r="I194" s="6" t="s">
        <v>49</v>
      </c>
      <c r="J194" s="6" t="s">
        <v>50</v>
      </c>
      <c r="K194" s="6" t="s">
        <v>50</v>
      </c>
      <c r="L194" s="6" t="s">
        <v>50</v>
      </c>
      <c r="M194" s="6" t="s">
        <v>50</v>
      </c>
      <c r="N194" s="6"/>
      <c r="O194" s="6"/>
      <c r="P194" s="6"/>
      <c r="Q194" s="7"/>
      <c r="R194" s="7"/>
    </row>
    <row r="195" spans="2:18">
      <c r="B195" s="7" t="s">
        <v>266</v>
      </c>
      <c r="C195" s="7" t="str">
        <f>+VLOOKUP($B195,'[2]Pricing Scenario - Maintain'!$B$4:$AM$238,2,FALSE)</f>
        <v>Europe</v>
      </c>
      <c r="D195" s="6" t="s">
        <v>48</v>
      </c>
      <c r="E195" s="6" t="s">
        <v>48</v>
      </c>
      <c r="F195" s="6" t="s">
        <v>48</v>
      </c>
      <c r="G195" s="6" t="s">
        <v>48</v>
      </c>
      <c r="H195" s="6" t="s">
        <v>49</v>
      </c>
      <c r="I195" s="6" t="s">
        <v>49</v>
      </c>
      <c r="J195" s="6" t="s">
        <v>50</v>
      </c>
      <c r="K195" s="6" t="s">
        <v>50</v>
      </c>
      <c r="L195" s="6" t="s">
        <v>50</v>
      </c>
      <c r="M195" s="6" t="s">
        <v>50</v>
      </c>
      <c r="N195" s="6" t="s">
        <v>49</v>
      </c>
      <c r="O195" s="6" t="s">
        <v>49</v>
      </c>
      <c r="P195" s="6" t="s">
        <v>49</v>
      </c>
      <c r="Q195" s="7" t="str">
        <f>+IFERROR(VLOOKUP(B195,[2]Apple!$B$3:$C$173,2,FALSE),"")</f>
        <v>SK</v>
      </c>
      <c r="R195" s="7" t="str">
        <f>+IFERROR(VLOOKUP(B195,[2]Google!$B$3:$C$99,2,FALSE),"")</f>
        <v/>
      </c>
    </row>
    <row r="196" spans="2:18">
      <c r="B196" s="7" t="s">
        <v>267</v>
      </c>
      <c r="C196" s="7" t="str">
        <f>+VLOOKUP($B196,'[2]Pricing Scenario - Maintain'!$B$4:$AM$238,2,FALSE)</f>
        <v>Europe</v>
      </c>
      <c r="D196" s="6" t="s">
        <v>48</v>
      </c>
      <c r="E196" s="6" t="s">
        <v>48</v>
      </c>
      <c r="F196" s="6" t="s">
        <v>48</v>
      </c>
      <c r="G196" s="6" t="s">
        <v>48</v>
      </c>
      <c r="H196" s="6" t="s">
        <v>49</v>
      </c>
      <c r="I196" s="6" t="s">
        <v>49</v>
      </c>
      <c r="J196" s="6" t="s">
        <v>50</v>
      </c>
      <c r="K196" s="6" t="s">
        <v>50</v>
      </c>
      <c r="L196" s="6" t="s">
        <v>50</v>
      </c>
      <c r="M196" s="6" t="s">
        <v>50</v>
      </c>
      <c r="N196" s="6" t="s">
        <v>49</v>
      </c>
      <c r="O196" s="6" t="s">
        <v>49</v>
      </c>
      <c r="P196" s="6" t="s">
        <v>49</v>
      </c>
      <c r="Q196" s="7" t="str">
        <f>+IFERROR(VLOOKUP(B196,[2]Apple!$B$3:$C$173,2,FALSE),"")</f>
        <v>SI</v>
      </c>
      <c r="R196" s="7" t="str">
        <f>+IFERROR(VLOOKUP(B196,[2]Google!$B$3:$C$99,2,FALSE),"")</f>
        <v/>
      </c>
    </row>
    <row r="197" spans="2:18">
      <c r="B197" s="7" t="s">
        <v>268</v>
      </c>
      <c r="C197" s="7" t="str">
        <f>+VLOOKUP($B197,'[2]Pricing Scenario - Maintain'!$B$4:$AM$238,2,FALSE)</f>
        <v>Asia</v>
      </c>
      <c r="D197" s="6" t="s">
        <v>48</v>
      </c>
      <c r="E197" s="6" t="s">
        <v>48</v>
      </c>
      <c r="F197" s="6" t="s">
        <v>48</v>
      </c>
      <c r="G197" s="6" t="s">
        <v>48</v>
      </c>
      <c r="H197" s="6" t="s">
        <v>49</v>
      </c>
      <c r="I197" s="6" t="s">
        <v>49</v>
      </c>
      <c r="J197" s="6" t="s">
        <v>50</v>
      </c>
      <c r="K197" s="6" t="s">
        <v>50</v>
      </c>
      <c r="L197" s="6" t="s">
        <v>50</v>
      </c>
      <c r="M197" s="6" t="s">
        <v>50</v>
      </c>
      <c r="N197" s="6" t="s">
        <v>49</v>
      </c>
      <c r="O197" s="6" t="s">
        <v>49</v>
      </c>
      <c r="P197" s="6" t="s">
        <v>49</v>
      </c>
      <c r="Q197" s="7" t="str">
        <f>+IFERROR(VLOOKUP(B197,[2]Apple!$B$3:$C$173,2,FALSE),"")</f>
        <v>SB</v>
      </c>
      <c r="R197" s="7" t="str">
        <f>+IFERROR(VLOOKUP(B197,[2]Google!$B$3:$C$99,2,FALSE),"")</f>
        <v/>
      </c>
    </row>
    <row r="198" spans="2:18">
      <c r="B198" s="7" t="s">
        <v>269</v>
      </c>
      <c r="C198" s="7" t="s">
        <v>270</v>
      </c>
      <c r="D198" s="6" t="s">
        <v>48</v>
      </c>
      <c r="E198" s="6" t="s">
        <v>48</v>
      </c>
      <c r="F198" s="6" t="s">
        <v>48</v>
      </c>
      <c r="G198" s="6" t="s">
        <v>48</v>
      </c>
      <c r="H198" s="6" t="s">
        <v>49</v>
      </c>
      <c r="I198" s="6" t="s">
        <v>49</v>
      </c>
      <c r="J198" s="6" t="s">
        <v>50</v>
      </c>
      <c r="K198" s="6" t="s">
        <v>50</v>
      </c>
      <c r="L198" s="6" t="s">
        <v>50</v>
      </c>
      <c r="M198" s="6" t="s">
        <v>50</v>
      </c>
      <c r="N198" s="6"/>
      <c r="O198" s="6"/>
      <c r="P198" s="6"/>
      <c r="Q198" s="7"/>
      <c r="R198" s="7"/>
    </row>
    <row r="199" spans="2:18">
      <c r="B199" s="7" t="s">
        <v>271</v>
      </c>
      <c r="C199" s="7" t="str">
        <f>+VLOOKUP($B199,'[2]Pricing Scenario - Maintain'!$B$4:$AM$238,2,FALSE)</f>
        <v>Africa</v>
      </c>
      <c r="D199" s="6" t="s">
        <v>48</v>
      </c>
      <c r="E199" s="6" t="s">
        <v>48</v>
      </c>
      <c r="F199" s="6" t="s">
        <v>48</v>
      </c>
      <c r="G199" s="6" t="s">
        <v>48</v>
      </c>
      <c r="H199" s="6" t="s">
        <v>49</v>
      </c>
      <c r="I199" s="6" t="s">
        <v>49</v>
      </c>
      <c r="J199" s="6" t="s">
        <v>50</v>
      </c>
      <c r="K199" s="6" t="s">
        <v>50</v>
      </c>
      <c r="L199" s="6" t="s">
        <v>50</v>
      </c>
      <c r="M199" s="6" t="s">
        <v>50</v>
      </c>
      <c r="N199" s="6" t="s">
        <v>49</v>
      </c>
      <c r="O199" s="6" t="s">
        <v>49</v>
      </c>
      <c r="P199" s="6" t="s">
        <v>49</v>
      </c>
      <c r="Q199" s="7" t="str">
        <f>+IFERROR(VLOOKUP(B199,[2]Apple!$B$3:$C$173,2,FALSE),"")</f>
        <v>ZA</v>
      </c>
      <c r="R199" s="7" t="str">
        <f>+IFERROR(VLOOKUP(B199,[2]Google!$B$3:$C$99,2,FALSE),"")</f>
        <v/>
      </c>
    </row>
    <row r="200" spans="2:18">
      <c r="B200" s="7" t="s">
        <v>272</v>
      </c>
      <c r="C200" s="7" t="str">
        <f>+VLOOKUP($B200,'[2]Pricing Scenario - Maintain'!$B$4:$AM$238,2,FALSE)</f>
        <v>Europe</v>
      </c>
      <c r="D200" s="6" t="s">
        <v>72</v>
      </c>
      <c r="E200" s="6" t="s">
        <v>72</v>
      </c>
      <c r="F200" s="6" t="s">
        <v>72</v>
      </c>
      <c r="G200" s="6" t="s">
        <v>72</v>
      </c>
      <c r="H200" s="6" t="s">
        <v>49</v>
      </c>
      <c r="I200" s="6" t="s">
        <v>49</v>
      </c>
      <c r="J200" s="6" t="s">
        <v>50</v>
      </c>
      <c r="K200" s="6" t="s">
        <v>50</v>
      </c>
      <c r="L200" s="6" t="s">
        <v>50</v>
      </c>
      <c r="M200" s="6" t="s">
        <v>50</v>
      </c>
      <c r="N200" s="6" t="s">
        <v>49</v>
      </c>
      <c r="O200" s="6" t="s">
        <v>49</v>
      </c>
      <c r="P200" s="6" t="s">
        <v>49</v>
      </c>
      <c r="Q200" s="7" t="str">
        <f>+IFERROR(VLOOKUP(B200,[2]Apple!$B$3:$C$173,2,FALSE),"")</f>
        <v/>
      </c>
      <c r="R200" s="7" t="str">
        <f>+IFERROR(VLOOKUP(B200,[2]Google!$B$3:$C$99,2,FALSE),"")</f>
        <v/>
      </c>
    </row>
    <row r="201" spans="2:18">
      <c r="B201" s="7" t="s">
        <v>273</v>
      </c>
      <c r="C201" s="7" t="str">
        <f>+VLOOKUP($B201,'[2]Pricing Scenario - Maintain'!$B$4:$AM$238,2,FALSE)</f>
        <v>Asia</v>
      </c>
      <c r="D201" s="6" t="s">
        <v>48</v>
      </c>
      <c r="E201" s="6" t="s">
        <v>48</v>
      </c>
      <c r="F201" s="6" t="s">
        <v>48</v>
      </c>
      <c r="G201" s="6" t="s">
        <v>48</v>
      </c>
      <c r="H201" s="6" t="s">
        <v>49</v>
      </c>
      <c r="I201" s="6" t="s">
        <v>49</v>
      </c>
      <c r="J201" s="6" t="s">
        <v>50</v>
      </c>
      <c r="K201" s="6" t="s">
        <v>50</v>
      </c>
      <c r="L201" s="6" t="s">
        <v>50</v>
      </c>
      <c r="M201" s="6" t="s">
        <v>50</v>
      </c>
      <c r="N201" s="6" t="s">
        <v>49</v>
      </c>
      <c r="O201" s="6" t="s">
        <v>49</v>
      </c>
      <c r="P201" s="6" t="s">
        <v>49</v>
      </c>
      <c r="Q201" s="7" t="str">
        <f>+IFERROR(VLOOKUP(B201,[2]Apple!$B$3:$C$173,2,FALSE),"")</f>
        <v>KR</v>
      </c>
      <c r="R201" s="7" t="str">
        <f>+IFERROR(VLOOKUP(B201,[2]Google!$B$3:$C$99,2,FALSE),"")</f>
        <v/>
      </c>
    </row>
    <row r="202" spans="2:18">
      <c r="B202" s="7" t="s">
        <v>274</v>
      </c>
      <c r="C202" s="7" t="s">
        <v>275</v>
      </c>
      <c r="D202" s="6" t="s">
        <v>72</v>
      </c>
      <c r="E202" s="6" t="s">
        <v>72</v>
      </c>
      <c r="F202" s="6" t="s">
        <v>72</v>
      </c>
      <c r="G202" s="6" t="s">
        <v>72</v>
      </c>
      <c r="H202" s="6" t="s">
        <v>49</v>
      </c>
      <c r="I202" s="6" t="s">
        <v>49</v>
      </c>
      <c r="J202" s="6" t="s">
        <v>50</v>
      </c>
      <c r="K202" s="6" t="s">
        <v>50</v>
      </c>
      <c r="L202" s="6" t="s">
        <v>50</v>
      </c>
      <c r="M202" s="6" t="s">
        <v>50</v>
      </c>
      <c r="N202" s="6"/>
      <c r="O202" s="6"/>
      <c r="P202" s="6"/>
      <c r="Q202" s="7"/>
      <c r="R202" s="7"/>
    </row>
    <row r="203" spans="2:18">
      <c r="B203" s="7" t="s">
        <v>276</v>
      </c>
      <c r="C203" s="7" t="str">
        <f>+VLOOKUP($B203,'[2]Pricing Scenario - Maintain'!$B$4:$AM$238,2,FALSE)</f>
        <v>Europe</v>
      </c>
      <c r="D203" s="6" t="s">
        <v>48</v>
      </c>
      <c r="E203" s="6" t="s">
        <v>48</v>
      </c>
      <c r="F203" s="6" t="s">
        <v>48</v>
      </c>
      <c r="G203" s="6" t="s">
        <v>48</v>
      </c>
      <c r="H203" s="6" t="s">
        <v>49</v>
      </c>
      <c r="I203" s="6" t="s">
        <v>49</v>
      </c>
      <c r="J203" s="6" t="s">
        <v>50</v>
      </c>
      <c r="K203" s="6" t="s">
        <v>50</v>
      </c>
      <c r="L203" s="6" t="s">
        <v>50</v>
      </c>
      <c r="M203" s="6" t="s">
        <v>50</v>
      </c>
      <c r="N203" s="6" t="s">
        <v>49</v>
      </c>
      <c r="O203" s="6" t="s">
        <v>49</v>
      </c>
      <c r="P203" s="6" t="s">
        <v>49</v>
      </c>
      <c r="Q203" s="7" t="str">
        <f>+IFERROR(VLOOKUP(B203,[2]Apple!$B$3:$C$173,2,FALSE),"")</f>
        <v>ES</v>
      </c>
      <c r="R203" s="7" t="str">
        <f>+IFERROR(VLOOKUP(B203,[2]Google!$B$3:$C$99,2,FALSE),"")</f>
        <v/>
      </c>
    </row>
    <row r="204" spans="2:18">
      <c r="B204" s="7" t="s">
        <v>277</v>
      </c>
      <c r="C204" s="7" t="str">
        <f>+VLOOKUP($B204,'[2]Pricing Scenario - Maintain'!$B$4:$AM$238,2,FALSE)</f>
        <v>Asia</v>
      </c>
      <c r="D204" s="6" t="s">
        <v>48</v>
      </c>
      <c r="E204" s="6" t="s">
        <v>48</v>
      </c>
      <c r="F204" s="6" t="s">
        <v>48</v>
      </c>
      <c r="G204" s="6" t="s">
        <v>48</v>
      </c>
      <c r="H204" s="6" t="s">
        <v>49</v>
      </c>
      <c r="I204" s="6" t="s">
        <v>49</v>
      </c>
      <c r="J204" s="6" t="s">
        <v>50</v>
      </c>
      <c r="K204" s="6" t="s">
        <v>50</v>
      </c>
      <c r="L204" s="6" t="s">
        <v>50</v>
      </c>
      <c r="M204" s="6" t="s">
        <v>50</v>
      </c>
      <c r="N204" s="6" t="s">
        <v>49</v>
      </c>
      <c r="O204" s="6" t="s">
        <v>49</v>
      </c>
      <c r="P204" s="6" t="s">
        <v>49</v>
      </c>
      <c r="Q204" s="7" t="str">
        <f>+IFERROR(VLOOKUP(B204,[2]Apple!$B$3:$C$173,2,FALSE),"")</f>
        <v>LK</v>
      </c>
      <c r="R204" s="7" t="str">
        <f>+IFERROR(VLOOKUP(B204,[2]Google!$B$3:$C$99,2,FALSE),"")</f>
        <v/>
      </c>
    </row>
    <row r="205" spans="2:18">
      <c r="B205" s="7" t="s">
        <v>278</v>
      </c>
      <c r="C205" s="7" t="s">
        <v>96</v>
      </c>
      <c r="D205" s="6" t="s">
        <v>72</v>
      </c>
      <c r="E205" s="6" t="s">
        <v>72</v>
      </c>
      <c r="F205" s="6" t="s">
        <v>72</v>
      </c>
      <c r="G205" s="6" t="s">
        <v>72</v>
      </c>
      <c r="H205" s="6" t="s">
        <v>49</v>
      </c>
      <c r="I205" s="6" t="s">
        <v>49</v>
      </c>
      <c r="J205" s="6" t="s">
        <v>50</v>
      </c>
      <c r="K205" s="6" t="s">
        <v>50</v>
      </c>
      <c r="L205" s="6" t="s">
        <v>50</v>
      </c>
      <c r="M205" s="6" t="s">
        <v>50</v>
      </c>
      <c r="N205" s="6"/>
      <c r="O205" s="6"/>
      <c r="P205" s="6"/>
      <c r="Q205" s="7"/>
      <c r="R205" s="7"/>
    </row>
    <row r="206" spans="2:18">
      <c r="B206" s="7" t="s">
        <v>279</v>
      </c>
      <c r="C206" s="7" t="str">
        <f>+VLOOKUP($B206,'[2]Pricing Scenario - Maintain'!$B$4:$AM$238,2,FALSE)</f>
        <v>Africa</v>
      </c>
      <c r="D206" s="6" t="s">
        <v>72</v>
      </c>
      <c r="E206" s="6" t="s">
        <v>72</v>
      </c>
      <c r="F206" s="6" t="s">
        <v>72</v>
      </c>
      <c r="G206" s="6" t="s">
        <v>72</v>
      </c>
      <c r="H206" s="6" t="s">
        <v>49</v>
      </c>
      <c r="I206" s="6" t="s">
        <v>49</v>
      </c>
      <c r="J206" s="6" t="s">
        <v>50</v>
      </c>
      <c r="K206" s="6" t="s">
        <v>50</v>
      </c>
      <c r="L206" s="6" t="s">
        <v>50</v>
      </c>
      <c r="M206" s="6" t="s">
        <v>50</v>
      </c>
      <c r="N206" s="6" t="s">
        <v>49</v>
      </c>
      <c r="O206" s="6" t="s">
        <v>49</v>
      </c>
      <c r="P206" s="6" t="s">
        <v>49</v>
      </c>
      <c r="Q206" s="7" t="str">
        <f>+IFERROR(VLOOKUP(B206,[2]Apple!$B$3:$C$173,2,FALSE),"")</f>
        <v/>
      </c>
      <c r="R206" s="7" t="str">
        <f>+IFERROR(VLOOKUP(B206,[2]Google!$B$3:$C$99,2,FALSE),"")</f>
        <v/>
      </c>
    </row>
    <row r="207" spans="2:18">
      <c r="B207" s="7" t="s">
        <v>280</v>
      </c>
      <c r="C207" s="7" t="str">
        <f>+VLOOKUP($B207,'[2]Pricing Scenario - Maintain'!$B$4:$AM$238,2,FALSE)</f>
        <v>Latin America</v>
      </c>
      <c r="D207" s="6" t="s">
        <v>48</v>
      </c>
      <c r="E207" s="6" t="s">
        <v>48</v>
      </c>
      <c r="F207" s="6" t="s">
        <v>48</v>
      </c>
      <c r="G207" s="6" t="s">
        <v>48</v>
      </c>
      <c r="H207" s="6" t="s">
        <v>49</v>
      </c>
      <c r="I207" s="6" t="s">
        <v>49</v>
      </c>
      <c r="J207" s="6" t="s">
        <v>50</v>
      </c>
      <c r="K207" s="6" t="s">
        <v>50</v>
      </c>
      <c r="L207" s="6" t="s">
        <v>50</v>
      </c>
      <c r="M207" s="6" t="s">
        <v>50</v>
      </c>
      <c r="N207" s="6" t="s">
        <v>49</v>
      </c>
      <c r="O207" s="6" t="s">
        <v>49</v>
      </c>
      <c r="P207" s="6" t="s">
        <v>49</v>
      </c>
      <c r="Q207" s="7" t="str">
        <f>+IFERROR(VLOOKUP(B207,[2]Apple!$B$3:$C$173,2,FALSE),"")</f>
        <v>KN</v>
      </c>
      <c r="R207" s="7" t="str">
        <f>+IFERROR(VLOOKUP(B207,[2]Google!$B$3:$C$99,2,FALSE),"")</f>
        <v/>
      </c>
    </row>
    <row r="208" spans="2:18">
      <c r="B208" s="7" t="s">
        <v>281</v>
      </c>
      <c r="C208" s="7" t="str">
        <f>+VLOOKUP($B208,'[2]Pricing Scenario - Maintain'!$B$4:$AM$238,2,FALSE)</f>
        <v>Africa</v>
      </c>
      <c r="D208" s="6" t="s">
        <v>48</v>
      </c>
      <c r="E208" s="6" t="s">
        <v>48</v>
      </c>
      <c r="F208" s="6" t="s">
        <v>48</v>
      </c>
      <c r="G208" s="6" t="s">
        <v>48</v>
      </c>
      <c r="H208" s="6" t="s">
        <v>49</v>
      </c>
      <c r="I208" s="6" t="s">
        <v>49</v>
      </c>
      <c r="J208" s="6" t="s">
        <v>50</v>
      </c>
      <c r="K208" s="6" t="s">
        <v>50</v>
      </c>
      <c r="L208" s="6" t="s">
        <v>50</v>
      </c>
      <c r="M208" s="6" t="s">
        <v>50</v>
      </c>
      <c r="N208" s="6" t="s">
        <v>49</v>
      </c>
      <c r="O208" s="6" t="s">
        <v>49</v>
      </c>
      <c r="P208" s="6" t="s">
        <v>49</v>
      </c>
      <c r="Q208" s="7" t="str">
        <f>+IFERROR(VLOOKUP(B208,[2]Apple!$B$3:$C$173,2,FALSE),"")</f>
        <v>LC</v>
      </c>
      <c r="R208" s="7" t="str">
        <f>+IFERROR(VLOOKUP(B208,[2]Google!$B$3:$C$99,2,FALSE),"")</f>
        <v/>
      </c>
    </row>
    <row r="209" spans="2:18">
      <c r="B209" s="7" t="s">
        <v>282</v>
      </c>
      <c r="C209" s="7" t="str">
        <f>+VLOOKUP($B209,'[2]Pricing Scenario - Maintain'!$B$4:$AM$238,2,FALSE)</f>
        <v>Latin America</v>
      </c>
      <c r="D209" s="6" t="s">
        <v>72</v>
      </c>
      <c r="E209" s="6" t="s">
        <v>72</v>
      </c>
      <c r="F209" s="6" t="s">
        <v>72</v>
      </c>
      <c r="G209" s="6" t="s">
        <v>72</v>
      </c>
      <c r="H209" s="6" t="s">
        <v>49</v>
      </c>
      <c r="I209" s="6" t="s">
        <v>49</v>
      </c>
      <c r="J209" s="6" t="s">
        <v>50</v>
      </c>
      <c r="K209" s="6" t="s">
        <v>50</v>
      </c>
      <c r="L209" s="6" t="s">
        <v>50</v>
      </c>
      <c r="M209" s="6" t="s">
        <v>50</v>
      </c>
      <c r="N209" s="6" t="s">
        <v>49</v>
      </c>
      <c r="O209" s="6" t="s">
        <v>49</v>
      </c>
      <c r="P209" s="6" t="s">
        <v>49</v>
      </c>
      <c r="Q209" s="7" t="str">
        <f>+IFERROR(VLOOKUP(B209,[2]Apple!$B$3:$C$173,2,FALSE),"")</f>
        <v/>
      </c>
      <c r="R209" s="7" t="str">
        <f>+IFERROR(VLOOKUP(B209,[2]Google!$B$3:$C$99,2,FALSE),"")</f>
        <v/>
      </c>
    </row>
    <row r="210" spans="2:18">
      <c r="B210" s="7" t="s">
        <v>283</v>
      </c>
      <c r="C210" s="7" t="str">
        <f>+VLOOKUP($B210,'[2]Pricing Scenario - Maintain'!$B$4:$AM$238,2,FALSE)</f>
        <v>Latin America</v>
      </c>
      <c r="D210" s="6" t="s">
        <v>48</v>
      </c>
      <c r="E210" s="6" t="s">
        <v>48</v>
      </c>
      <c r="F210" s="6" t="s">
        <v>48</v>
      </c>
      <c r="G210" s="6" t="s">
        <v>48</v>
      </c>
      <c r="H210" s="6" t="s">
        <v>49</v>
      </c>
      <c r="I210" s="6" t="s">
        <v>49</v>
      </c>
      <c r="J210" s="6" t="s">
        <v>50</v>
      </c>
      <c r="K210" s="6" t="s">
        <v>50</v>
      </c>
      <c r="L210" s="6" t="s">
        <v>50</v>
      </c>
      <c r="M210" s="6" t="s">
        <v>50</v>
      </c>
      <c r="N210" s="6" t="s">
        <v>49</v>
      </c>
      <c r="O210" s="6" t="s">
        <v>49</v>
      </c>
      <c r="P210" s="6" t="s">
        <v>49</v>
      </c>
      <c r="Q210" s="7" t="str">
        <f>+IFERROR(VLOOKUP(B210,[2]Apple!$B$3:$C$173,2,FALSE),"")</f>
        <v>VC</v>
      </c>
      <c r="R210" s="7" t="str">
        <f>+IFERROR(VLOOKUP(B210,[2]Google!$B$3:$C$99,2,FALSE),"")</f>
        <v/>
      </c>
    </row>
    <row r="211" spans="2:18">
      <c r="B211" s="7" t="s">
        <v>284</v>
      </c>
      <c r="C211" s="7" t="s">
        <v>270</v>
      </c>
      <c r="D211" s="6" t="s">
        <v>49</v>
      </c>
      <c r="E211" s="6" t="s">
        <v>49</v>
      </c>
      <c r="F211" s="6" t="s">
        <v>49</v>
      </c>
      <c r="G211" s="6" t="s">
        <v>49</v>
      </c>
      <c r="H211" s="6" t="s">
        <v>49</v>
      </c>
      <c r="I211" s="6" t="s">
        <v>49</v>
      </c>
      <c r="J211" s="6" t="s">
        <v>50</v>
      </c>
      <c r="K211" s="6" t="s">
        <v>50</v>
      </c>
      <c r="L211" s="6" t="s">
        <v>50</v>
      </c>
      <c r="M211" s="6" t="s">
        <v>50</v>
      </c>
      <c r="N211" s="6"/>
      <c r="O211" s="6"/>
      <c r="P211" s="6"/>
      <c r="Q211" s="7"/>
      <c r="R211" s="7"/>
    </row>
    <row r="212" spans="2:18">
      <c r="B212" s="7" t="s">
        <v>285</v>
      </c>
      <c r="C212" s="7" t="str">
        <f>+VLOOKUP($B212,'[2]Pricing Scenario - Maintain'!$B$4:$AM$238,2,FALSE)</f>
        <v>Latin America</v>
      </c>
      <c r="D212" s="6" t="s">
        <v>48</v>
      </c>
      <c r="E212" s="6" t="s">
        <v>48</v>
      </c>
      <c r="F212" s="6" t="s">
        <v>48</v>
      </c>
      <c r="G212" s="6" t="s">
        <v>48</v>
      </c>
      <c r="H212" s="6" t="s">
        <v>49</v>
      </c>
      <c r="I212" s="6" t="s">
        <v>49</v>
      </c>
      <c r="J212" s="6" t="s">
        <v>50</v>
      </c>
      <c r="K212" s="6" t="s">
        <v>50</v>
      </c>
      <c r="L212" s="6" t="s">
        <v>50</v>
      </c>
      <c r="M212" s="6" t="s">
        <v>50</v>
      </c>
      <c r="N212" s="6" t="s">
        <v>49</v>
      </c>
      <c r="O212" s="6" t="s">
        <v>49</v>
      </c>
      <c r="P212" s="6" t="s">
        <v>49</v>
      </c>
      <c r="Q212" s="7" t="str">
        <f>+IFERROR(VLOOKUP(B212,[2]Apple!$B$3:$C$173,2,FALSE),"")</f>
        <v>SR</v>
      </c>
      <c r="R212" s="7" t="str">
        <f>+IFERROR(VLOOKUP(B212,[2]Google!$B$3:$C$99,2,FALSE),"")</f>
        <v/>
      </c>
    </row>
    <row r="213" spans="2:18">
      <c r="B213" s="7" t="s">
        <v>286</v>
      </c>
      <c r="C213" s="7" t="str">
        <f>+VLOOKUP($B213,'[2]Pricing Scenario - Maintain'!$B$4:$AM$238,2,FALSE)</f>
        <v>Europe</v>
      </c>
      <c r="D213" s="6" t="s">
        <v>72</v>
      </c>
      <c r="E213" s="6" t="s">
        <v>72</v>
      </c>
      <c r="F213" s="6" t="s">
        <v>72</v>
      </c>
      <c r="G213" s="6" t="s">
        <v>72</v>
      </c>
      <c r="H213" s="6" t="s">
        <v>49</v>
      </c>
      <c r="I213" s="6" t="s">
        <v>49</v>
      </c>
      <c r="J213" s="6" t="s">
        <v>50</v>
      </c>
      <c r="K213" s="6" t="s">
        <v>50</v>
      </c>
      <c r="L213" s="6" t="s">
        <v>50</v>
      </c>
      <c r="M213" s="6" t="s">
        <v>50</v>
      </c>
      <c r="N213" s="6" t="s">
        <v>49</v>
      </c>
      <c r="O213" s="6" t="s">
        <v>49</v>
      </c>
      <c r="P213" s="6" t="s">
        <v>49</v>
      </c>
      <c r="Q213" s="7" t="str">
        <f>+IFERROR(VLOOKUP(B213,[2]Apple!$B$3:$C$173,2,FALSE),"")</f>
        <v/>
      </c>
      <c r="R213" s="7" t="str">
        <f>+IFERROR(VLOOKUP(B213,[2]Google!$B$3:$C$99,2,FALSE),"")</f>
        <v/>
      </c>
    </row>
    <row r="214" spans="2:18">
      <c r="B214" s="7" t="s">
        <v>287</v>
      </c>
      <c r="C214" s="7" t="str">
        <f>+VLOOKUP($B214,'[2]Pricing Scenario - Maintain'!$B$4:$AM$238,2,FALSE)</f>
        <v>Europe</v>
      </c>
      <c r="D214" s="6" t="s">
        <v>48</v>
      </c>
      <c r="E214" s="6" t="s">
        <v>48</v>
      </c>
      <c r="F214" s="6" t="s">
        <v>48</v>
      </c>
      <c r="G214" s="6" t="s">
        <v>48</v>
      </c>
      <c r="H214" s="6" t="s">
        <v>49</v>
      </c>
      <c r="I214" s="6" t="s">
        <v>49</v>
      </c>
      <c r="J214" s="6" t="s">
        <v>50</v>
      </c>
      <c r="K214" s="6" t="s">
        <v>50</v>
      </c>
      <c r="L214" s="6" t="s">
        <v>50</v>
      </c>
      <c r="M214" s="6" t="s">
        <v>50</v>
      </c>
      <c r="N214" s="6" t="s">
        <v>49</v>
      </c>
      <c r="O214" s="6" t="s">
        <v>49</v>
      </c>
      <c r="P214" s="6" t="s">
        <v>49</v>
      </c>
      <c r="Q214" s="7" t="str">
        <f>+IFERROR(VLOOKUP(B214,[2]Apple!$B$3:$C$173,2,FALSE),"")</f>
        <v>SE</v>
      </c>
      <c r="R214" s="7" t="str">
        <f>+IFERROR(VLOOKUP(B214,[2]Google!$B$3:$C$99,2,FALSE),"")</f>
        <v/>
      </c>
    </row>
    <row r="215" spans="2:18">
      <c r="B215" s="7" t="s">
        <v>288</v>
      </c>
      <c r="C215" s="7" t="str">
        <f>+VLOOKUP($B215,'[2]Pricing Scenario - Maintain'!$B$4:$AM$238,2,FALSE)</f>
        <v>Europe</v>
      </c>
      <c r="D215" s="6" t="s">
        <v>48</v>
      </c>
      <c r="E215" s="6" t="s">
        <v>48</v>
      </c>
      <c r="F215" s="6" t="s">
        <v>48</v>
      </c>
      <c r="G215" s="6" t="s">
        <v>48</v>
      </c>
      <c r="H215" s="6" t="s">
        <v>49</v>
      </c>
      <c r="I215" s="6" t="s">
        <v>49</v>
      </c>
      <c r="J215" s="6" t="s">
        <v>50</v>
      </c>
      <c r="K215" s="6" t="s">
        <v>50</v>
      </c>
      <c r="L215" s="6" t="s">
        <v>50</v>
      </c>
      <c r="M215" s="6" t="s">
        <v>50</v>
      </c>
      <c r="N215" s="6" t="s">
        <v>49</v>
      </c>
      <c r="O215" s="6" t="s">
        <v>49</v>
      </c>
      <c r="P215" s="6" t="s">
        <v>49</v>
      </c>
      <c r="Q215" s="7" t="str">
        <f>+IFERROR(VLOOKUP(B215,[2]Apple!$B$3:$C$173,2,FALSE),"")</f>
        <v>CH</v>
      </c>
      <c r="R215" s="7" t="str">
        <f>+IFERROR(VLOOKUP(B215,[2]Google!$B$3:$C$99,2,FALSE),"")</f>
        <v/>
      </c>
    </row>
    <row r="216" spans="2:18" hidden="1" outlineLevel="1">
      <c r="B216" s="105" t="s">
        <v>289</v>
      </c>
      <c r="C216" s="105" t="s">
        <v>275</v>
      </c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6"/>
      <c r="O216" s="6"/>
      <c r="P216" s="6"/>
      <c r="Q216" s="7"/>
      <c r="R216" s="7"/>
    </row>
    <row r="217" spans="2:18" collapsed="1">
      <c r="B217" s="7" t="s">
        <v>290</v>
      </c>
      <c r="C217" s="7" t="str">
        <f>+VLOOKUP($B217,'[2]Pricing Scenario - Maintain'!$B$4:$AM$238,2,FALSE)</f>
        <v>NBA China</v>
      </c>
      <c r="D217" s="6" t="s">
        <v>48</v>
      </c>
      <c r="E217" s="6" t="s">
        <v>48</v>
      </c>
      <c r="F217" s="6" t="s">
        <v>48</v>
      </c>
      <c r="G217" s="6" t="s">
        <v>48</v>
      </c>
      <c r="H217" s="6" t="s">
        <v>49</v>
      </c>
      <c r="I217" s="6" t="s">
        <v>49</v>
      </c>
      <c r="J217" s="6" t="s">
        <v>50</v>
      </c>
      <c r="K217" s="6" t="s">
        <v>50</v>
      </c>
      <c r="L217" s="6" t="s">
        <v>50</v>
      </c>
      <c r="M217" s="6" t="s">
        <v>50</v>
      </c>
      <c r="N217" s="6" t="s">
        <v>49</v>
      </c>
      <c r="O217" s="6" t="s">
        <v>49</v>
      </c>
      <c r="P217" s="6" t="s">
        <v>49</v>
      </c>
      <c r="Q217" s="7" t="str">
        <f>+IFERROR(VLOOKUP(B217,[2]Apple!$B$3:$C$173,2,FALSE),"")</f>
        <v>TW</v>
      </c>
      <c r="R217" s="7" t="str">
        <f>+IFERROR(VLOOKUP(B217,[2]Google!$B$3:$C$99,2,FALSE),"")</f>
        <v/>
      </c>
    </row>
    <row r="218" spans="2:18">
      <c r="B218" s="7" t="s">
        <v>291</v>
      </c>
      <c r="C218" s="7" t="str">
        <f>+VLOOKUP($B218,'[2]Pricing Scenario - Maintain'!$B$4:$AM$238,2,FALSE)</f>
        <v>Asia</v>
      </c>
      <c r="D218" s="6" t="s">
        <v>48</v>
      </c>
      <c r="E218" s="6" t="s">
        <v>48</v>
      </c>
      <c r="F218" s="6" t="s">
        <v>48</v>
      </c>
      <c r="G218" s="6" t="s">
        <v>48</v>
      </c>
      <c r="H218" s="6" t="s">
        <v>49</v>
      </c>
      <c r="I218" s="6" t="s">
        <v>49</v>
      </c>
      <c r="J218" s="6" t="s">
        <v>50</v>
      </c>
      <c r="K218" s="6" t="s">
        <v>50</v>
      </c>
      <c r="L218" s="6" t="s">
        <v>50</v>
      </c>
      <c r="M218" s="6" t="s">
        <v>50</v>
      </c>
      <c r="N218" s="6" t="s">
        <v>49</v>
      </c>
      <c r="O218" s="6" t="s">
        <v>49</v>
      </c>
      <c r="P218" s="6" t="s">
        <v>49</v>
      </c>
      <c r="Q218" s="7" t="str">
        <f>+IFERROR(VLOOKUP(B218,[2]Apple!$B$3:$C$173,2,FALSE),"")</f>
        <v>TJ</v>
      </c>
      <c r="R218" s="7" t="str">
        <f>+IFERROR(VLOOKUP(B218,[2]Google!$B$3:$C$99,2,FALSE),"")</f>
        <v/>
      </c>
    </row>
    <row r="219" spans="2:18">
      <c r="B219" s="7" t="s">
        <v>292</v>
      </c>
      <c r="C219" s="7" t="str">
        <f>+VLOOKUP($B219,'[2]Pricing Scenario - Maintain'!$B$4:$AM$238,2,FALSE)</f>
        <v>Africa</v>
      </c>
      <c r="D219" s="6" t="s">
        <v>48</v>
      </c>
      <c r="E219" s="6" t="s">
        <v>48</v>
      </c>
      <c r="F219" s="6" t="s">
        <v>48</v>
      </c>
      <c r="G219" s="6" t="s">
        <v>48</v>
      </c>
      <c r="H219" s="6" t="s">
        <v>49</v>
      </c>
      <c r="I219" s="6" t="s">
        <v>49</v>
      </c>
      <c r="J219" s="6" t="s">
        <v>50</v>
      </c>
      <c r="K219" s="6" t="s">
        <v>50</v>
      </c>
      <c r="L219" s="6" t="s">
        <v>50</v>
      </c>
      <c r="M219" s="6" t="s">
        <v>50</v>
      </c>
      <c r="N219" s="6" t="s">
        <v>49</v>
      </c>
      <c r="O219" s="6" t="s">
        <v>49</v>
      </c>
      <c r="P219" s="6" t="s">
        <v>49</v>
      </c>
      <c r="Q219" s="7" t="str">
        <f>+IFERROR(VLOOKUP(B219,[2]Apple!$B$3:$C$173,2,FALSE),"")</f>
        <v>TZ</v>
      </c>
      <c r="R219" s="7" t="str">
        <f>+IFERROR(VLOOKUP(B219,[2]Google!$B$3:$C$99,2,FALSE),"")</f>
        <v/>
      </c>
    </row>
    <row r="220" spans="2:18">
      <c r="B220" s="7" t="s">
        <v>293</v>
      </c>
      <c r="C220" s="7" t="str">
        <f>+VLOOKUP($B220,'[2]Pricing Scenario - Maintain'!$B$4:$AM$238,2,FALSE)</f>
        <v>Asia</v>
      </c>
      <c r="D220" s="6" t="s">
        <v>48</v>
      </c>
      <c r="E220" s="6" t="s">
        <v>48</v>
      </c>
      <c r="F220" s="6" t="s">
        <v>48</v>
      </c>
      <c r="G220" s="6" t="s">
        <v>48</v>
      </c>
      <c r="H220" s="6" t="s">
        <v>49</v>
      </c>
      <c r="I220" s="6" t="s">
        <v>49</v>
      </c>
      <c r="J220" s="6" t="s">
        <v>50</v>
      </c>
      <c r="K220" s="6" t="s">
        <v>50</v>
      </c>
      <c r="L220" s="6" t="s">
        <v>50</v>
      </c>
      <c r="M220" s="6" t="s">
        <v>50</v>
      </c>
      <c r="N220" s="6" t="s">
        <v>49</v>
      </c>
      <c r="O220" s="6" t="s">
        <v>49</v>
      </c>
      <c r="P220" s="6" t="s">
        <v>49</v>
      </c>
      <c r="Q220" s="7" t="str">
        <f>+IFERROR(VLOOKUP(B220,[2]Apple!$B$3:$C$173,2,FALSE),"")</f>
        <v>TH</v>
      </c>
      <c r="R220" s="7" t="str">
        <f>+IFERROR(VLOOKUP(B220,[2]Google!$B$3:$C$99,2,FALSE),"")</f>
        <v/>
      </c>
    </row>
    <row r="221" spans="2:18">
      <c r="B221" s="7" t="s">
        <v>294</v>
      </c>
      <c r="C221" s="7" t="str">
        <f>+VLOOKUP($B221,'[2]Pricing Scenario - Maintain'!$B$4:$AM$238,2,FALSE)</f>
        <v>Asia</v>
      </c>
      <c r="D221" s="6" t="s">
        <v>72</v>
      </c>
      <c r="E221" s="6" t="s">
        <v>72</v>
      </c>
      <c r="F221" s="6" t="s">
        <v>72</v>
      </c>
      <c r="G221" s="6" t="s">
        <v>72</v>
      </c>
      <c r="H221" s="6" t="s">
        <v>49</v>
      </c>
      <c r="I221" s="6" t="s">
        <v>49</v>
      </c>
      <c r="J221" s="6" t="s">
        <v>50</v>
      </c>
      <c r="K221" s="6" t="s">
        <v>50</v>
      </c>
      <c r="L221" s="6" t="s">
        <v>50</v>
      </c>
      <c r="M221" s="6" t="s">
        <v>50</v>
      </c>
      <c r="N221" s="6" t="s">
        <v>49</v>
      </c>
      <c r="O221" s="6" t="s">
        <v>49</v>
      </c>
      <c r="P221" s="6" t="s">
        <v>49</v>
      </c>
      <c r="Q221" s="7" t="str">
        <f>+IFERROR(VLOOKUP(B221,[2]Apple!$B$3:$C$173,2,FALSE),"")</f>
        <v/>
      </c>
      <c r="R221" s="7" t="str">
        <f>+IFERROR(VLOOKUP(B221,[2]Google!$B$3:$C$99,2,FALSE),"")</f>
        <v/>
      </c>
    </row>
    <row r="222" spans="2:18">
      <c r="B222" s="7" t="s">
        <v>295</v>
      </c>
      <c r="C222" s="7" t="str">
        <f>+VLOOKUP($B222,'[2]Pricing Scenario - Maintain'!$B$4:$AM$238,2,FALSE)</f>
        <v>Africa</v>
      </c>
      <c r="D222" s="6" t="s">
        <v>48</v>
      </c>
      <c r="E222" s="6" t="s">
        <v>48</v>
      </c>
      <c r="F222" s="6" t="s">
        <v>48</v>
      </c>
      <c r="G222" s="6" t="s">
        <v>48</v>
      </c>
      <c r="H222" s="6" t="s">
        <v>49</v>
      </c>
      <c r="I222" s="6" t="s">
        <v>49</v>
      </c>
      <c r="J222" s="6" t="s">
        <v>50</v>
      </c>
      <c r="K222" s="6" t="s">
        <v>50</v>
      </c>
      <c r="L222" s="6" t="s">
        <v>50</v>
      </c>
      <c r="M222" s="6" t="s">
        <v>50</v>
      </c>
      <c r="N222" s="6" t="s">
        <v>49</v>
      </c>
      <c r="O222" s="6" t="s">
        <v>49</v>
      </c>
      <c r="P222" s="6" t="s">
        <v>49</v>
      </c>
      <c r="Q222" s="7" t="str">
        <f>+IFERROR(VLOOKUP(B222,[2]Apple!$B$3:$C$173,2,FALSE),"")</f>
        <v/>
      </c>
      <c r="R222" s="7" t="str">
        <f>+IFERROR(VLOOKUP(B222,[2]Google!$B$3:$C$99,2,FALSE),"")</f>
        <v/>
      </c>
    </row>
    <row r="223" spans="2:18">
      <c r="B223" s="7" t="s">
        <v>296</v>
      </c>
      <c r="C223" s="7" t="str">
        <f>+VLOOKUP($B223,'[2]Pricing Scenario - Maintain'!$B$4:$AM$238,2,FALSE)</f>
        <v>Asia</v>
      </c>
      <c r="D223" s="6" t="s">
        <v>72</v>
      </c>
      <c r="E223" s="6" t="s">
        <v>72</v>
      </c>
      <c r="F223" s="6" t="s">
        <v>72</v>
      </c>
      <c r="G223" s="6" t="s">
        <v>72</v>
      </c>
      <c r="H223" s="6" t="s">
        <v>49</v>
      </c>
      <c r="I223" s="6" t="s">
        <v>49</v>
      </c>
      <c r="J223" s="6" t="s">
        <v>50</v>
      </c>
      <c r="K223" s="6" t="s">
        <v>50</v>
      </c>
      <c r="L223" s="6" t="s">
        <v>50</v>
      </c>
      <c r="M223" s="6" t="s">
        <v>50</v>
      </c>
      <c r="N223" s="6" t="s">
        <v>49</v>
      </c>
      <c r="O223" s="6" t="s">
        <v>49</v>
      </c>
      <c r="P223" s="6" t="s">
        <v>49</v>
      </c>
      <c r="Q223" s="7" t="str">
        <f>+IFERROR(VLOOKUP(B223,[2]Apple!$B$3:$C$173,2,FALSE),"")</f>
        <v/>
      </c>
      <c r="R223" s="7" t="str">
        <f>+IFERROR(VLOOKUP(B223,[2]Google!$B$3:$C$99,2,FALSE),"")</f>
        <v/>
      </c>
    </row>
    <row r="224" spans="2:18">
      <c r="B224" s="7" t="s">
        <v>297</v>
      </c>
      <c r="C224" s="7" t="str">
        <f>+VLOOKUP($B224,'[2]Pricing Scenario - Maintain'!$B$4:$AM$238,2,FALSE)</f>
        <v>Asia</v>
      </c>
      <c r="D224" s="6" t="s">
        <v>48</v>
      </c>
      <c r="E224" s="6" t="s">
        <v>48</v>
      </c>
      <c r="F224" s="6" t="s">
        <v>48</v>
      </c>
      <c r="G224" s="6" t="s">
        <v>48</v>
      </c>
      <c r="H224" s="6" t="s">
        <v>49</v>
      </c>
      <c r="I224" s="6" t="s">
        <v>49</v>
      </c>
      <c r="J224" s="6" t="s">
        <v>50</v>
      </c>
      <c r="K224" s="6" t="s">
        <v>50</v>
      </c>
      <c r="L224" s="6" t="s">
        <v>50</v>
      </c>
      <c r="M224" s="6" t="s">
        <v>50</v>
      </c>
      <c r="N224" s="6" t="s">
        <v>49</v>
      </c>
      <c r="O224" s="6" t="s">
        <v>49</v>
      </c>
      <c r="P224" s="6" t="s">
        <v>49</v>
      </c>
      <c r="Q224" s="7" t="str">
        <f>+IFERROR(VLOOKUP(B224,[2]Apple!$B$3:$C$173,2,FALSE),"")</f>
        <v>TO</v>
      </c>
      <c r="R224" s="7" t="str">
        <f>+IFERROR(VLOOKUP(B224,[2]Google!$B$3:$C$99,2,FALSE),"")</f>
        <v/>
      </c>
    </row>
    <row r="225" spans="2:18">
      <c r="B225" s="7" t="s">
        <v>298</v>
      </c>
      <c r="C225" s="7" t="str">
        <f>+VLOOKUP($B225,'[2]Pricing Scenario - Maintain'!$B$4:$AM$238,2,FALSE)</f>
        <v>Latin America</v>
      </c>
      <c r="D225" s="6" t="s">
        <v>48</v>
      </c>
      <c r="E225" s="6" t="s">
        <v>48</v>
      </c>
      <c r="F225" s="6" t="s">
        <v>48</v>
      </c>
      <c r="G225" s="6" t="s">
        <v>48</v>
      </c>
      <c r="H225" s="6" t="s">
        <v>49</v>
      </c>
      <c r="I225" s="6" t="s">
        <v>49</v>
      </c>
      <c r="J225" s="6" t="s">
        <v>50</v>
      </c>
      <c r="K225" s="6" t="s">
        <v>50</v>
      </c>
      <c r="L225" s="6" t="s">
        <v>50</v>
      </c>
      <c r="M225" s="6" t="s">
        <v>50</v>
      </c>
      <c r="N225" s="6" t="s">
        <v>49</v>
      </c>
      <c r="O225" s="6" t="s">
        <v>49</v>
      </c>
      <c r="P225" s="6" t="s">
        <v>49</v>
      </c>
      <c r="Q225" s="7" t="str">
        <f>+IFERROR(VLOOKUP(B225,[2]Apple!$B$3:$C$173,2,FALSE),"")</f>
        <v>TT</v>
      </c>
      <c r="R225" s="7" t="str">
        <f>+IFERROR(VLOOKUP(B225,[2]Google!$B$3:$C$99,2,FALSE),"")</f>
        <v/>
      </c>
    </row>
    <row r="226" spans="2:18">
      <c r="B226" s="7" t="s">
        <v>299</v>
      </c>
      <c r="C226" s="7" t="str">
        <f>+VLOOKUP($B226,'[2]Pricing Scenario - Maintain'!$B$4:$AM$238,2,FALSE)</f>
        <v>Africa</v>
      </c>
      <c r="D226" s="6" t="s">
        <v>48</v>
      </c>
      <c r="E226" s="6" t="s">
        <v>48</v>
      </c>
      <c r="F226" s="6" t="s">
        <v>48</v>
      </c>
      <c r="G226" s="6" t="s">
        <v>48</v>
      </c>
      <c r="H226" s="6" t="s">
        <v>49</v>
      </c>
      <c r="I226" s="6" t="s">
        <v>49</v>
      </c>
      <c r="J226" s="6" t="s">
        <v>50</v>
      </c>
      <c r="K226" s="6" t="s">
        <v>50</v>
      </c>
      <c r="L226" s="6" t="s">
        <v>50</v>
      </c>
      <c r="M226" s="6" t="s">
        <v>50</v>
      </c>
      <c r="N226" s="6" t="s">
        <v>49</v>
      </c>
      <c r="O226" s="6" t="s">
        <v>49</v>
      </c>
      <c r="P226" s="6" t="s">
        <v>49</v>
      </c>
      <c r="Q226" s="7" t="str">
        <f>+IFERROR(VLOOKUP(B226,[2]Apple!$B$3:$C$173,2,FALSE),"")</f>
        <v>TN</v>
      </c>
      <c r="R226" s="7" t="str">
        <f>+IFERROR(VLOOKUP(B226,[2]Google!$B$3:$C$99,2,FALSE),"")</f>
        <v/>
      </c>
    </row>
    <row r="227" spans="2:18">
      <c r="B227" s="7" t="s">
        <v>300</v>
      </c>
      <c r="C227" s="7" t="str">
        <f>+VLOOKUP($B227,'[2]Pricing Scenario - Maintain'!$B$4:$AM$238,2,FALSE)</f>
        <v>Europe</v>
      </c>
      <c r="D227" s="6" t="s">
        <v>48</v>
      </c>
      <c r="E227" s="6" t="s">
        <v>48</v>
      </c>
      <c r="F227" s="6" t="s">
        <v>48</v>
      </c>
      <c r="G227" s="6" t="s">
        <v>48</v>
      </c>
      <c r="H227" s="6" t="s">
        <v>49</v>
      </c>
      <c r="I227" s="6" t="s">
        <v>49</v>
      </c>
      <c r="J227" s="6" t="s">
        <v>50</v>
      </c>
      <c r="K227" s="6" t="s">
        <v>50</v>
      </c>
      <c r="L227" s="6" t="s">
        <v>50</v>
      </c>
      <c r="M227" s="6" t="s">
        <v>50</v>
      </c>
      <c r="N227" s="6" t="s">
        <v>49</v>
      </c>
      <c r="O227" s="6" t="s">
        <v>49</v>
      </c>
      <c r="P227" s="6" t="s">
        <v>49</v>
      </c>
      <c r="Q227" s="7" t="str">
        <f>+IFERROR(VLOOKUP(B227,[2]Apple!$B$3:$C$173,2,FALSE),"")</f>
        <v>TR</v>
      </c>
      <c r="R227" s="7" t="str">
        <f>+IFERROR(VLOOKUP(B227,[2]Google!$B$3:$C$99,2,FALSE),"")</f>
        <v/>
      </c>
    </row>
    <row r="228" spans="2:18">
      <c r="B228" s="7" t="s">
        <v>301</v>
      </c>
      <c r="C228" s="7" t="str">
        <f>+VLOOKUP($B228,'[2]Pricing Scenario - Maintain'!$B$4:$AM$238,2,FALSE)</f>
        <v>Asia</v>
      </c>
      <c r="D228" s="6" t="s">
        <v>48</v>
      </c>
      <c r="E228" s="6" t="s">
        <v>48</v>
      </c>
      <c r="F228" s="6" t="s">
        <v>48</v>
      </c>
      <c r="G228" s="6" t="s">
        <v>48</v>
      </c>
      <c r="H228" s="6" t="s">
        <v>49</v>
      </c>
      <c r="I228" s="6" t="s">
        <v>49</v>
      </c>
      <c r="J228" s="6" t="s">
        <v>50</v>
      </c>
      <c r="K228" s="6" t="s">
        <v>50</v>
      </c>
      <c r="L228" s="6" t="s">
        <v>50</v>
      </c>
      <c r="M228" s="6" t="s">
        <v>50</v>
      </c>
      <c r="N228" s="6" t="s">
        <v>49</v>
      </c>
      <c r="O228" s="6" t="s">
        <v>49</v>
      </c>
      <c r="P228" s="6" t="s">
        <v>49</v>
      </c>
      <c r="Q228" s="7" t="str">
        <f>+IFERROR(VLOOKUP(B228,[2]Apple!$B$3:$C$173,2,FALSE),"")</f>
        <v>TM</v>
      </c>
      <c r="R228" s="7" t="str">
        <f>+IFERROR(VLOOKUP(B228,[2]Google!$B$3:$C$99,2,FALSE),"")</f>
        <v/>
      </c>
    </row>
    <row r="229" spans="2:18">
      <c r="B229" s="7" t="s">
        <v>302</v>
      </c>
      <c r="C229" s="7" t="str">
        <f>+VLOOKUP($B229,'[2]Pricing Scenario - Maintain'!$B$4:$AM$238,2,FALSE)</f>
        <v>Latin America</v>
      </c>
      <c r="D229" s="6" t="s">
        <v>48</v>
      </c>
      <c r="E229" s="6" t="s">
        <v>48</v>
      </c>
      <c r="F229" s="6" t="s">
        <v>48</v>
      </c>
      <c r="G229" s="6" t="s">
        <v>48</v>
      </c>
      <c r="H229" s="6" t="s">
        <v>49</v>
      </c>
      <c r="I229" s="6" t="s">
        <v>49</v>
      </c>
      <c r="J229" s="6" t="s">
        <v>50</v>
      </c>
      <c r="K229" s="6" t="s">
        <v>50</v>
      </c>
      <c r="L229" s="6" t="s">
        <v>50</v>
      </c>
      <c r="M229" s="6" t="s">
        <v>50</v>
      </c>
      <c r="N229" s="6" t="s">
        <v>49</v>
      </c>
      <c r="O229" s="6" t="s">
        <v>49</v>
      </c>
      <c r="P229" s="6" t="s">
        <v>49</v>
      </c>
      <c r="Q229" s="7" t="str">
        <f>+IFERROR(VLOOKUP(B229,[2]Apple!$B$3:$C$173,2,FALSE),"")</f>
        <v>TC</v>
      </c>
      <c r="R229" s="7" t="str">
        <f>+IFERROR(VLOOKUP(B229,[2]Google!$B$3:$C$99,2,FALSE),"")</f>
        <v/>
      </c>
    </row>
    <row r="230" spans="2:18">
      <c r="B230" s="7" t="s">
        <v>303</v>
      </c>
      <c r="C230" s="7" t="str">
        <f>+VLOOKUP($B230,'[2]Pricing Scenario - Maintain'!$B$4:$AM$238,2,FALSE)</f>
        <v>Asia</v>
      </c>
      <c r="D230" s="6" t="s">
        <v>72</v>
      </c>
      <c r="E230" s="6" t="s">
        <v>72</v>
      </c>
      <c r="F230" s="6" t="s">
        <v>72</v>
      </c>
      <c r="G230" s="6" t="s">
        <v>72</v>
      </c>
      <c r="H230" s="6" t="s">
        <v>49</v>
      </c>
      <c r="I230" s="6" t="s">
        <v>49</v>
      </c>
      <c r="J230" s="6" t="s">
        <v>50</v>
      </c>
      <c r="K230" s="6" t="s">
        <v>50</v>
      </c>
      <c r="L230" s="6" t="s">
        <v>50</v>
      </c>
      <c r="M230" s="6" t="s">
        <v>50</v>
      </c>
      <c r="N230" s="6" t="s">
        <v>49</v>
      </c>
      <c r="O230" s="6" t="s">
        <v>49</v>
      </c>
      <c r="P230" s="6" t="s">
        <v>49</v>
      </c>
      <c r="Q230" s="7" t="str">
        <f>+IFERROR(VLOOKUP(B230,[2]Apple!$B$3:$C$173,2,FALSE),"")</f>
        <v/>
      </c>
      <c r="R230" s="7" t="str">
        <f>+IFERROR(VLOOKUP(B230,[2]Google!$B$3:$C$99,2,FALSE),"")</f>
        <v/>
      </c>
    </row>
    <row r="231" spans="2:18">
      <c r="B231" s="7" t="s">
        <v>304</v>
      </c>
      <c r="C231" s="7" t="str">
        <f>+VLOOKUP($B231,'[2]Pricing Scenario - Maintain'!$B$4:$AM$238,2,FALSE)</f>
        <v>Africa</v>
      </c>
      <c r="D231" s="6" t="s">
        <v>48</v>
      </c>
      <c r="E231" s="6" t="s">
        <v>48</v>
      </c>
      <c r="F231" s="6" t="s">
        <v>48</v>
      </c>
      <c r="G231" s="6" t="s">
        <v>48</v>
      </c>
      <c r="H231" s="6" t="s">
        <v>49</v>
      </c>
      <c r="I231" s="6" t="s">
        <v>49</v>
      </c>
      <c r="J231" s="6" t="s">
        <v>50</v>
      </c>
      <c r="K231" s="6" t="s">
        <v>50</v>
      </c>
      <c r="L231" s="6" t="s">
        <v>50</v>
      </c>
      <c r="M231" s="6" t="s">
        <v>50</v>
      </c>
      <c r="N231" s="6" t="s">
        <v>49</v>
      </c>
      <c r="O231" s="6" t="s">
        <v>49</v>
      </c>
      <c r="P231" s="6" t="s">
        <v>49</v>
      </c>
      <c r="Q231" s="7" t="str">
        <f>+IFERROR(VLOOKUP(B231,[2]Apple!$B$3:$C$173,2,FALSE),"")</f>
        <v>UG</v>
      </c>
      <c r="R231" s="7" t="str">
        <f>+IFERROR(VLOOKUP(B231,[2]Google!$B$3:$C$99,2,FALSE),"")</f>
        <v/>
      </c>
    </row>
    <row r="232" spans="2:18">
      <c r="B232" s="7" t="s">
        <v>305</v>
      </c>
      <c r="C232" s="7" t="str">
        <f>+VLOOKUP($B232,'[2]Pricing Scenario - Maintain'!$B$4:$AM$238,2,FALSE)</f>
        <v>Europe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 t="s">
        <v>49</v>
      </c>
      <c r="O232" s="6" t="s">
        <v>49</v>
      </c>
      <c r="P232" s="6" t="s">
        <v>49</v>
      </c>
      <c r="Q232" s="7" t="str">
        <f>+IFERROR(VLOOKUP(B232,[2]Apple!$B$3:$C$173,2,FALSE),"")</f>
        <v>UA</v>
      </c>
      <c r="R232" s="7" t="str">
        <f>+IFERROR(VLOOKUP(B232,[2]Google!$B$3:$C$99,2,FALSE),"")</f>
        <v/>
      </c>
    </row>
    <row r="233" spans="2:18">
      <c r="B233" s="7" t="s">
        <v>306</v>
      </c>
      <c r="C233" s="7" t="str">
        <f>+VLOOKUP($B233,'[2]Pricing Scenario - Maintain'!$B$4:$AM$238,2,FALSE)</f>
        <v>Middle East</v>
      </c>
      <c r="D233" s="6" t="s">
        <v>48</v>
      </c>
      <c r="E233" s="6" t="s">
        <v>48</v>
      </c>
      <c r="F233" s="6" t="s">
        <v>48</v>
      </c>
      <c r="G233" s="6" t="s">
        <v>48</v>
      </c>
      <c r="H233" s="6" t="s">
        <v>49</v>
      </c>
      <c r="I233" s="6" t="s">
        <v>49</v>
      </c>
      <c r="J233" s="6" t="s">
        <v>50</v>
      </c>
      <c r="K233" s="6" t="s">
        <v>50</v>
      </c>
      <c r="L233" s="6" t="s">
        <v>50</v>
      </c>
      <c r="M233" s="6" t="s">
        <v>50</v>
      </c>
      <c r="N233" s="6" t="s">
        <v>49</v>
      </c>
      <c r="O233" s="6" t="s">
        <v>49</v>
      </c>
      <c r="P233" s="6" t="s">
        <v>49</v>
      </c>
      <c r="Q233" s="7" t="str">
        <f>+IFERROR(VLOOKUP(B233,[2]Apple!$B$3:$C$173,2,FALSE),"")</f>
        <v>AE</v>
      </c>
      <c r="R233" s="7" t="str">
        <f>+IFERROR(VLOOKUP(B233,[2]Google!$B$3:$C$99,2,FALSE),"")</f>
        <v/>
      </c>
    </row>
    <row r="234" spans="2:18">
      <c r="B234" s="7" t="s">
        <v>307</v>
      </c>
      <c r="C234" s="7" t="str">
        <f>+VLOOKUP($B234,'[2]Pricing Scenario - Maintain'!$B$4:$AM$238,2,FALSE)</f>
        <v>Europe</v>
      </c>
      <c r="D234" s="6" t="s">
        <v>48</v>
      </c>
      <c r="E234" s="6" t="s">
        <v>48</v>
      </c>
      <c r="F234" s="6" t="s">
        <v>48</v>
      </c>
      <c r="G234" s="6" t="s">
        <v>48</v>
      </c>
      <c r="H234" s="6" t="s">
        <v>49</v>
      </c>
      <c r="I234" s="6" t="s">
        <v>49</v>
      </c>
      <c r="J234" s="6" t="s">
        <v>50</v>
      </c>
      <c r="K234" s="6" t="s">
        <v>50</v>
      </c>
      <c r="L234" s="6" t="s">
        <v>50</v>
      </c>
      <c r="M234" s="6" t="s">
        <v>50</v>
      </c>
      <c r="N234" s="6" t="s">
        <v>49</v>
      </c>
      <c r="O234" s="6" t="s">
        <v>49</v>
      </c>
      <c r="P234" s="6" t="s">
        <v>49</v>
      </c>
      <c r="Q234" s="7" t="str">
        <f>+IFERROR(VLOOKUP(B234,[2]Apple!$B$3:$C$173,2,FALSE),"")</f>
        <v>GB</v>
      </c>
      <c r="R234" s="7" t="str">
        <f>+IFERROR(VLOOKUP(B234,[2]Google!$B$3:$C$99,2,FALSE),"")</f>
        <v/>
      </c>
    </row>
    <row r="235" spans="2:18">
      <c r="B235" s="7" t="s">
        <v>308</v>
      </c>
      <c r="C235" s="7" t="str">
        <f>+VLOOKUP($B235,'[2]Pricing Scenario - Maintain'!$B$4:$AM$238,2,FALSE)</f>
        <v>Latin America</v>
      </c>
      <c r="D235" s="6" t="s">
        <v>48</v>
      </c>
      <c r="E235" s="6" t="s">
        <v>48</v>
      </c>
      <c r="F235" s="6" t="s">
        <v>48</v>
      </c>
      <c r="G235" s="6" t="s">
        <v>48</v>
      </c>
      <c r="H235" s="6" t="s">
        <v>49</v>
      </c>
      <c r="I235" s="6" t="s">
        <v>49</v>
      </c>
      <c r="J235" s="6" t="s">
        <v>50</v>
      </c>
      <c r="K235" s="6" t="s">
        <v>50</v>
      </c>
      <c r="L235" s="6" t="s">
        <v>50</v>
      </c>
      <c r="M235" s="6" t="s">
        <v>50</v>
      </c>
      <c r="N235" s="6" t="s">
        <v>49</v>
      </c>
      <c r="O235" s="6" t="s">
        <v>49</v>
      </c>
      <c r="P235" s="6" t="s">
        <v>49</v>
      </c>
      <c r="Q235" s="7" t="str">
        <f>+IFERROR(VLOOKUP(B235,[2]Apple!$B$3:$C$173,2,FALSE),"")</f>
        <v>UY</v>
      </c>
      <c r="R235" s="7" t="str">
        <f>+IFERROR(VLOOKUP(B235,[2]Google!$B$3:$C$99,2,FALSE),"")</f>
        <v/>
      </c>
    </row>
    <row r="236" spans="2:18">
      <c r="B236" s="7" t="s">
        <v>309</v>
      </c>
      <c r="C236" s="7" t="str">
        <f>+VLOOKUP($B236,'[2]Pricing Scenario - Maintain'!$B$4:$AM$238,2,FALSE)</f>
        <v>Asia</v>
      </c>
      <c r="D236" s="6" t="s">
        <v>48</v>
      </c>
      <c r="E236" s="6" t="s">
        <v>48</v>
      </c>
      <c r="F236" s="6" t="s">
        <v>48</v>
      </c>
      <c r="G236" s="6" t="s">
        <v>48</v>
      </c>
      <c r="H236" s="6" t="s">
        <v>49</v>
      </c>
      <c r="I236" s="6" t="s">
        <v>49</v>
      </c>
      <c r="J236" s="6" t="s">
        <v>50</v>
      </c>
      <c r="K236" s="6" t="s">
        <v>50</v>
      </c>
      <c r="L236" s="6" t="s">
        <v>50</v>
      </c>
      <c r="M236" s="6" t="s">
        <v>50</v>
      </c>
      <c r="N236" s="6" t="s">
        <v>49</v>
      </c>
      <c r="O236" s="6" t="s">
        <v>49</v>
      </c>
      <c r="P236" s="6" t="s">
        <v>49</v>
      </c>
      <c r="Q236" s="7" t="str">
        <f>+IFERROR(VLOOKUP(B236,[2]Apple!$B$3:$C$173,2,FALSE),"")</f>
        <v>UZ</v>
      </c>
      <c r="R236" s="7" t="str">
        <f>+IFERROR(VLOOKUP(B236,[2]Google!$B$3:$C$99,2,FALSE),"")</f>
        <v/>
      </c>
    </row>
    <row r="237" spans="2:18">
      <c r="B237" s="7" t="s">
        <v>310</v>
      </c>
      <c r="C237" s="7" t="str">
        <f>+VLOOKUP($B237,'[2]Pricing Scenario - Maintain'!$B$4:$AM$238,2,FALSE)</f>
        <v>Asia</v>
      </c>
      <c r="D237" s="6" t="s">
        <v>48</v>
      </c>
      <c r="E237" s="6" t="s">
        <v>48</v>
      </c>
      <c r="F237" s="6" t="s">
        <v>48</v>
      </c>
      <c r="G237" s="6" t="s">
        <v>48</v>
      </c>
      <c r="H237" s="6" t="s">
        <v>49</v>
      </c>
      <c r="I237" s="6" t="s">
        <v>49</v>
      </c>
      <c r="J237" s="6" t="s">
        <v>50</v>
      </c>
      <c r="K237" s="6" t="s">
        <v>50</v>
      </c>
      <c r="L237" s="6" t="s">
        <v>50</v>
      </c>
      <c r="M237" s="6" t="s">
        <v>50</v>
      </c>
      <c r="N237" s="6" t="s">
        <v>49</v>
      </c>
      <c r="O237" s="6" t="s">
        <v>49</v>
      </c>
      <c r="P237" s="6" t="s">
        <v>49</v>
      </c>
      <c r="Q237" s="7" t="str">
        <f>+IFERROR(VLOOKUP(B237,[2]Apple!$B$3:$C$173,2,FALSE),"")</f>
        <v>VU</v>
      </c>
      <c r="R237" s="7" t="str">
        <f>+IFERROR(VLOOKUP(B237,[2]Google!$B$3:$C$99,2,FALSE),"")</f>
        <v/>
      </c>
    </row>
    <row r="238" spans="2:18">
      <c r="B238" s="7" t="s">
        <v>311</v>
      </c>
      <c r="C238" s="7" t="str">
        <f>+VLOOKUP($B238,'[2]Pricing Scenario - Maintain'!$B$4:$AM$238,2,FALSE)</f>
        <v>Europe</v>
      </c>
      <c r="D238" s="6" t="s">
        <v>48</v>
      </c>
      <c r="E238" s="6" t="s">
        <v>48</v>
      </c>
      <c r="F238" s="6" t="s">
        <v>48</v>
      </c>
      <c r="G238" s="6" t="s">
        <v>48</v>
      </c>
      <c r="H238" s="6" t="s">
        <v>49</v>
      </c>
      <c r="I238" s="6" t="s">
        <v>49</v>
      </c>
      <c r="J238" s="6" t="s">
        <v>50</v>
      </c>
      <c r="K238" s="6" t="s">
        <v>50</v>
      </c>
      <c r="L238" s="6" t="s">
        <v>50</v>
      </c>
      <c r="M238" s="6" t="s">
        <v>50</v>
      </c>
      <c r="N238" s="6" t="s">
        <v>49</v>
      </c>
      <c r="O238" s="6" t="s">
        <v>49</v>
      </c>
      <c r="P238" s="6" t="s">
        <v>49</v>
      </c>
      <c r="Q238" s="7" t="str">
        <f>+IFERROR(VLOOKUP(B238,[2]Apple!$B$3:$C$173,2,FALSE),"")</f>
        <v/>
      </c>
      <c r="R238" s="7" t="str">
        <f>+IFERROR(VLOOKUP(B238,[2]Google!$B$3:$C$99,2,FALSE),"")</f>
        <v/>
      </c>
    </row>
    <row r="239" spans="2:18">
      <c r="B239" s="7" t="s">
        <v>312</v>
      </c>
      <c r="C239" s="7" t="str">
        <f>+VLOOKUP($B239,'[2]Pricing Scenario - Maintain'!$B$4:$AM$238,2,FALSE)</f>
        <v>Latin America</v>
      </c>
      <c r="D239" s="6" t="s">
        <v>48</v>
      </c>
      <c r="E239" s="6" t="s">
        <v>48</v>
      </c>
      <c r="F239" s="6" t="s">
        <v>48</v>
      </c>
      <c r="G239" s="6" t="s">
        <v>48</v>
      </c>
      <c r="H239" s="6" t="s">
        <v>49</v>
      </c>
      <c r="I239" s="6" t="s">
        <v>49</v>
      </c>
      <c r="J239" s="6" t="s">
        <v>50</v>
      </c>
      <c r="K239" s="6" t="s">
        <v>50</v>
      </c>
      <c r="L239" s="6" t="s">
        <v>50</v>
      </c>
      <c r="M239" s="6" t="s">
        <v>50</v>
      </c>
      <c r="N239" s="6" t="s">
        <v>49</v>
      </c>
      <c r="O239" s="6" t="s">
        <v>49</v>
      </c>
      <c r="P239" s="6" t="s">
        <v>49</v>
      </c>
      <c r="Q239" s="7" t="str">
        <f>+IFERROR(VLOOKUP(B239,[2]Apple!$B$3:$C$173,2,FALSE),"")</f>
        <v>VE</v>
      </c>
      <c r="R239" s="7" t="str">
        <f>+IFERROR(VLOOKUP(B239,[2]Google!$B$3:$C$99,2,FALSE),"")</f>
        <v/>
      </c>
    </row>
    <row r="240" spans="2:18">
      <c r="B240" s="7" t="s">
        <v>313</v>
      </c>
      <c r="C240" s="7" t="str">
        <f>+VLOOKUP($B240,'[2]Pricing Scenario - Maintain'!$B$4:$AM$238,2,FALSE)</f>
        <v>Asia</v>
      </c>
      <c r="D240" s="6" t="s">
        <v>48</v>
      </c>
      <c r="E240" s="6" t="s">
        <v>48</v>
      </c>
      <c r="F240" s="6" t="s">
        <v>48</v>
      </c>
      <c r="G240" s="6" t="s">
        <v>48</v>
      </c>
      <c r="H240" s="6" t="s">
        <v>49</v>
      </c>
      <c r="I240" s="6" t="s">
        <v>49</v>
      </c>
      <c r="J240" s="6" t="s">
        <v>50</v>
      </c>
      <c r="K240" s="6" t="s">
        <v>50</v>
      </c>
      <c r="L240" s="6" t="s">
        <v>50</v>
      </c>
      <c r="M240" s="6" t="s">
        <v>50</v>
      </c>
      <c r="N240" s="6" t="s">
        <v>49</v>
      </c>
      <c r="O240" s="6" t="s">
        <v>49</v>
      </c>
      <c r="P240" s="6" t="s">
        <v>49</v>
      </c>
      <c r="Q240" s="7" t="str">
        <f>+IFERROR(VLOOKUP(B240,[2]Apple!$B$3:$C$173,2,FALSE),"")</f>
        <v>VN</v>
      </c>
      <c r="R240" s="7" t="str">
        <f>+IFERROR(VLOOKUP(B240,[2]Google!$B$3:$C$99,2,FALSE),"")</f>
        <v/>
      </c>
    </row>
    <row r="241" spans="2:18">
      <c r="B241" s="7" t="s">
        <v>314</v>
      </c>
      <c r="C241" s="7" t="str">
        <f>+VLOOKUP($B241,'[2]Pricing Scenario - Maintain'!$B$4:$AM$238,2,FALSE)</f>
        <v>Asia</v>
      </c>
      <c r="D241" s="6" t="s">
        <v>72</v>
      </c>
      <c r="E241" s="6" t="s">
        <v>72</v>
      </c>
      <c r="F241" s="6" t="s">
        <v>72</v>
      </c>
      <c r="G241" s="6" t="s">
        <v>72</v>
      </c>
      <c r="H241" s="6" t="s">
        <v>49</v>
      </c>
      <c r="I241" s="6" t="s">
        <v>49</v>
      </c>
      <c r="J241" s="6" t="s">
        <v>50</v>
      </c>
      <c r="K241" s="6" t="s">
        <v>50</v>
      </c>
      <c r="L241" s="6" t="s">
        <v>50</v>
      </c>
      <c r="M241" s="6" t="s">
        <v>50</v>
      </c>
      <c r="N241" s="6" t="s">
        <v>49</v>
      </c>
      <c r="O241" s="6" t="s">
        <v>49</v>
      </c>
      <c r="P241" s="6" t="s">
        <v>49</v>
      </c>
      <c r="Q241" s="7" t="str">
        <f>+IFERROR(VLOOKUP(B241,[2]Apple!$B$3:$C$173,2,FALSE),"")</f>
        <v/>
      </c>
      <c r="R241" s="7" t="str">
        <f>+IFERROR(VLOOKUP(B241,[2]Google!$B$3:$C$99,2,FALSE),"")</f>
        <v/>
      </c>
    </row>
    <row r="242" spans="2:18">
      <c r="B242" s="7" t="s">
        <v>315</v>
      </c>
      <c r="C242" s="7" t="str">
        <f>+VLOOKUP($B242,'[2]Pricing Scenario - Maintain'!$B$4:$AM$238,2,FALSE)</f>
        <v>Africa</v>
      </c>
      <c r="D242" s="6" t="s">
        <v>72</v>
      </c>
      <c r="E242" s="6" t="s">
        <v>72</v>
      </c>
      <c r="F242" s="6" t="s">
        <v>72</v>
      </c>
      <c r="G242" s="6" t="s">
        <v>72</v>
      </c>
      <c r="H242" s="6" t="s">
        <v>49</v>
      </c>
      <c r="I242" s="6" t="s">
        <v>49</v>
      </c>
      <c r="J242" s="6" t="s">
        <v>50</v>
      </c>
      <c r="K242" s="6" t="s">
        <v>50</v>
      </c>
      <c r="L242" s="6" t="s">
        <v>50</v>
      </c>
      <c r="M242" s="6" t="s">
        <v>50</v>
      </c>
      <c r="N242" s="6" t="s">
        <v>49</v>
      </c>
      <c r="O242" s="6" t="s">
        <v>49</v>
      </c>
      <c r="P242" s="6" t="s">
        <v>49</v>
      </c>
      <c r="Q242" s="7" t="str">
        <f>+IFERROR(VLOOKUP(B242,[2]Apple!$B$3:$C$173,2,FALSE),"")</f>
        <v/>
      </c>
      <c r="R242" s="7" t="str">
        <f>+IFERROR(VLOOKUP(B242,[2]Google!$B$3:$C$99,2,FALSE),"")</f>
        <v/>
      </c>
    </row>
    <row r="243" spans="2:18">
      <c r="B243" s="7" t="s">
        <v>316</v>
      </c>
      <c r="C243" s="7" t="str">
        <f>+VLOOKUP($B243,'[2]Pricing Scenario - Maintain'!$B$4:$AM$238,2,FALSE)</f>
        <v>Middle East</v>
      </c>
      <c r="D243" s="6" t="s">
        <v>48</v>
      </c>
      <c r="E243" s="6" t="s">
        <v>48</v>
      </c>
      <c r="F243" s="6" t="s">
        <v>48</v>
      </c>
      <c r="G243" s="6" t="s">
        <v>48</v>
      </c>
      <c r="H243" s="6" t="s">
        <v>49</v>
      </c>
      <c r="I243" s="6" t="s">
        <v>49</v>
      </c>
      <c r="J243" s="6" t="s">
        <v>50</v>
      </c>
      <c r="K243" s="6" t="s">
        <v>50</v>
      </c>
      <c r="L243" s="6" t="s">
        <v>50</v>
      </c>
      <c r="M243" s="6" t="s">
        <v>50</v>
      </c>
      <c r="N243" s="6" t="s">
        <v>49</v>
      </c>
      <c r="O243" s="6" t="s">
        <v>49</v>
      </c>
      <c r="P243" s="6" t="s">
        <v>49</v>
      </c>
      <c r="Q243" s="7" t="str">
        <f>+IFERROR(VLOOKUP(B243,[2]Apple!$B$3:$C$173,2,FALSE),"")</f>
        <v>YE</v>
      </c>
      <c r="R243" s="7" t="str">
        <f>+IFERROR(VLOOKUP(B243,[2]Google!$B$3:$C$99,2,FALSE),"")</f>
        <v/>
      </c>
    </row>
    <row r="244" spans="2:18">
      <c r="B244" s="7" t="s">
        <v>317</v>
      </c>
      <c r="C244" s="7" t="str">
        <f>+VLOOKUP($B244,'[2]Pricing Scenario - Maintain'!$B$4:$AM$238,2,FALSE)</f>
        <v>Africa</v>
      </c>
      <c r="D244" s="6" t="s">
        <v>48</v>
      </c>
      <c r="E244" s="6" t="s">
        <v>48</v>
      </c>
      <c r="F244" s="6" t="s">
        <v>48</v>
      </c>
      <c r="G244" s="6" t="s">
        <v>48</v>
      </c>
      <c r="H244" s="6" t="s">
        <v>49</v>
      </c>
      <c r="I244" s="6" t="s">
        <v>49</v>
      </c>
      <c r="J244" s="6" t="s">
        <v>50</v>
      </c>
      <c r="K244" s="6" t="s">
        <v>50</v>
      </c>
      <c r="L244" s="6" t="s">
        <v>50</v>
      </c>
      <c r="M244" s="6" t="s">
        <v>50</v>
      </c>
      <c r="N244" s="6" t="s">
        <v>49</v>
      </c>
      <c r="O244" s="6" t="s">
        <v>49</v>
      </c>
      <c r="P244" s="6" t="s">
        <v>49</v>
      </c>
      <c r="Q244" s="7" t="str">
        <f>+IFERROR(VLOOKUP(B244,[2]Apple!$B$3:$C$173,2,FALSE),"")</f>
        <v>ZM</v>
      </c>
      <c r="R244" s="7" t="str">
        <f>+IFERROR(VLOOKUP(B244,[2]Google!$B$3:$C$99,2,FALSE),"")</f>
        <v/>
      </c>
    </row>
    <row r="245" spans="2:18">
      <c r="B245" s="7" t="s">
        <v>318</v>
      </c>
      <c r="C245" s="7" t="str">
        <f>+VLOOKUP($B245,'[2]Pricing Scenario - Maintain'!$B$4:$AM$238,2,FALSE)</f>
        <v>Africa</v>
      </c>
      <c r="D245" s="6" t="s">
        <v>48</v>
      </c>
      <c r="E245" s="6" t="s">
        <v>48</v>
      </c>
      <c r="F245" s="6" t="s">
        <v>48</v>
      </c>
      <c r="G245" s="6" t="s">
        <v>48</v>
      </c>
      <c r="H245" s="6" t="s">
        <v>49</v>
      </c>
      <c r="I245" s="6" t="s">
        <v>49</v>
      </c>
      <c r="J245" s="6" t="s">
        <v>50</v>
      </c>
      <c r="K245" s="6" t="s">
        <v>50</v>
      </c>
      <c r="L245" s="6" t="s">
        <v>50</v>
      </c>
      <c r="M245" s="6" t="s">
        <v>50</v>
      </c>
      <c r="N245" s="6" t="s">
        <v>49</v>
      </c>
      <c r="O245" s="6" t="s">
        <v>49</v>
      </c>
      <c r="P245" s="6" t="s">
        <v>49</v>
      </c>
      <c r="Q245" s="7" t="str">
        <f>+IFERROR(VLOOKUP(B245,[2]Apple!$B$3:$C$173,2,FALSE),"")</f>
        <v>ZW</v>
      </c>
      <c r="R245" s="7" t="str">
        <f>+IFERROR(VLOOKUP(B245,[2]Google!$B$3:$C$99,2,FALSE),"")</f>
        <v/>
      </c>
    </row>
    <row r="247" spans="2:18">
      <c r="Q247">
        <f>+COUNTBLANK(Q3:Q245)</f>
        <v>74</v>
      </c>
      <c r="R247">
        <f>+COUNTBLANK(R3:R245)</f>
        <v>149</v>
      </c>
    </row>
    <row r="248" spans="2:18">
      <c r="Q248">
        <f>233-Q247</f>
        <v>159</v>
      </c>
      <c r="R248">
        <f>233-R247</f>
        <v>84</v>
      </c>
    </row>
  </sheetData>
  <autoFilter ref="B2:R245" xr:uid="{00000000-0009-0000-0000-000003000000}">
    <sortState xmlns:xlrd2="http://schemas.microsoft.com/office/spreadsheetml/2017/richdata2" ref="B3:R245">
      <sortCondition ref="B2:B245"/>
    </sortState>
  </autoFilter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1ED0-EB09-49E5-BBF2-0538AEF40E00}">
  <sheetPr>
    <tabColor theme="1"/>
  </sheetPr>
  <dimension ref="A1"/>
  <sheetViews>
    <sheetView showGridLines="0" topLeftCell="S1" workbookViewId="0"/>
  </sheetViews>
  <sheetFormatPr defaultColWidth="8.6328125" defaultRowHeight="12.5"/>
  <cols>
    <col min="1" max="16384" width="8.6328125" style="30"/>
  </cols>
  <sheetData/>
  <pageMargins left="0.7" right="0.7" top="0.75" bottom="0.75" header="0.3" footer="0.3"/>
  <headerFooter>
    <oddFooter>&amp;C_x000D_&amp;1#&amp;"Aptos"&amp;10&amp;K000000 NBA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7A4A-7885-4259-949F-B59E3216C091}">
  <sheetPr>
    <tabColor theme="5" tint="0.79998168889431442"/>
  </sheetPr>
  <dimension ref="B1:L7"/>
  <sheetViews>
    <sheetView zoomScaleNormal="100" workbookViewId="0"/>
  </sheetViews>
  <sheetFormatPr defaultColWidth="8.6328125" defaultRowHeight="12.5"/>
  <cols>
    <col min="1" max="1" width="1.6328125" customWidth="1"/>
    <col min="2" max="2" width="22.36328125" bestFit="1" customWidth="1"/>
    <col min="3" max="3" width="8.453125" customWidth="1"/>
    <col min="4" max="4" width="10.6328125" bestFit="1" customWidth="1"/>
    <col min="5" max="5" width="19.6328125" bestFit="1" customWidth="1"/>
    <col min="6" max="6" width="10.6328125" bestFit="1" customWidth="1"/>
    <col min="7" max="7" width="21.36328125" bestFit="1" customWidth="1"/>
    <col min="8" max="8" width="7.453125" bestFit="1" customWidth="1"/>
    <col min="9" max="9" width="16.453125" bestFit="1" customWidth="1"/>
    <col min="10" max="10" width="7.36328125" bestFit="1" customWidth="1"/>
    <col min="11" max="11" width="16.36328125" bestFit="1" customWidth="1"/>
    <col min="12" max="12" width="10.453125" bestFit="1" customWidth="1"/>
  </cols>
  <sheetData>
    <row r="1" spans="2:12" ht="13">
      <c r="H1" s="106"/>
      <c r="I1" s="106"/>
    </row>
    <row r="2" spans="2:12" ht="13">
      <c r="B2" s="24" t="s">
        <v>31</v>
      </c>
      <c r="C2" s="24" t="s">
        <v>32</v>
      </c>
      <c r="D2" s="24" t="s">
        <v>319</v>
      </c>
      <c r="E2" s="24" t="s">
        <v>320</v>
      </c>
      <c r="F2" s="24" t="s">
        <v>321</v>
      </c>
      <c r="G2" s="24" t="s">
        <v>322</v>
      </c>
      <c r="H2" s="24" t="s">
        <v>37</v>
      </c>
      <c r="I2" s="24" t="s">
        <v>38</v>
      </c>
      <c r="J2" s="24" t="s">
        <v>39</v>
      </c>
      <c r="K2" s="24" t="s">
        <v>40</v>
      </c>
      <c r="L2" s="24" t="s">
        <v>45</v>
      </c>
    </row>
    <row r="3" spans="2:12">
      <c r="B3" t="s">
        <v>46</v>
      </c>
      <c r="C3" t="s">
        <v>47</v>
      </c>
      <c r="D3" s="131">
        <v>159.99</v>
      </c>
      <c r="E3" s="131">
        <v>24.99</v>
      </c>
      <c r="F3" s="131">
        <v>109.99</v>
      </c>
      <c r="G3" s="131">
        <v>16.989999999999998</v>
      </c>
      <c r="H3" s="131">
        <v>89.99</v>
      </c>
      <c r="I3" s="131">
        <v>13.99</v>
      </c>
      <c r="J3" s="131">
        <v>74.989999999999995</v>
      </c>
      <c r="K3" s="131">
        <v>8.99</v>
      </c>
      <c r="L3" s="132">
        <v>9.99</v>
      </c>
    </row>
    <row r="4" spans="2:12" ht="13.4" customHeight="1">
      <c r="B4" s="25" t="s">
        <v>51</v>
      </c>
      <c r="C4" s="25" t="s">
        <v>47</v>
      </c>
      <c r="D4" s="133">
        <f>+D$3</f>
        <v>159.99</v>
      </c>
      <c r="E4" s="133">
        <f t="shared" ref="E4:L7" si="0">+E$3</f>
        <v>24.99</v>
      </c>
      <c r="F4" s="133">
        <f t="shared" si="0"/>
        <v>109.99</v>
      </c>
      <c r="G4" s="133">
        <f t="shared" si="0"/>
        <v>16.989999999999998</v>
      </c>
      <c r="H4" s="133">
        <f t="shared" si="0"/>
        <v>89.99</v>
      </c>
      <c r="I4" s="133">
        <f t="shared" si="0"/>
        <v>13.99</v>
      </c>
      <c r="J4" s="133">
        <f t="shared" si="0"/>
        <v>74.989999999999995</v>
      </c>
      <c r="K4" s="133">
        <f t="shared" si="0"/>
        <v>8.99</v>
      </c>
      <c r="L4" s="133">
        <f t="shared" si="0"/>
        <v>9.99</v>
      </c>
    </row>
    <row r="5" spans="2:12" ht="13.4" customHeight="1">
      <c r="B5" s="25" t="s">
        <v>52</v>
      </c>
      <c r="C5" s="25" t="s">
        <v>47</v>
      </c>
      <c r="D5" s="133">
        <f t="shared" ref="D5:D7" si="1">+D$3</f>
        <v>159.99</v>
      </c>
      <c r="E5" s="133">
        <f t="shared" si="0"/>
        <v>24.99</v>
      </c>
      <c r="F5" s="133">
        <f t="shared" si="0"/>
        <v>109.99</v>
      </c>
      <c r="G5" s="133">
        <f t="shared" si="0"/>
        <v>16.989999999999998</v>
      </c>
      <c r="H5" s="133">
        <f t="shared" si="0"/>
        <v>89.99</v>
      </c>
      <c r="I5" s="133">
        <f t="shared" si="0"/>
        <v>13.99</v>
      </c>
      <c r="J5" s="133">
        <f t="shared" si="0"/>
        <v>74.989999999999995</v>
      </c>
      <c r="K5" s="133">
        <f t="shared" si="0"/>
        <v>8.99</v>
      </c>
      <c r="L5" s="133">
        <f t="shared" si="0"/>
        <v>9.99</v>
      </c>
    </row>
    <row r="6" spans="2:12" ht="13.4" customHeight="1">
      <c r="B6" s="25" t="s">
        <v>53</v>
      </c>
      <c r="C6" s="25" t="s">
        <v>47</v>
      </c>
      <c r="D6" s="133">
        <f t="shared" si="1"/>
        <v>159.99</v>
      </c>
      <c r="E6" s="133">
        <f t="shared" si="0"/>
        <v>24.99</v>
      </c>
      <c r="F6" s="133">
        <f t="shared" si="0"/>
        <v>109.99</v>
      </c>
      <c r="G6" s="133">
        <f t="shared" si="0"/>
        <v>16.989999999999998</v>
      </c>
      <c r="H6" s="133">
        <f t="shared" si="0"/>
        <v>89.99</v>
      </c>
      <c r="I6" s="133">
        <f t="shared" si="0"/>
        <v>13.99</v>
      </c>
      <c r="J6" s="133">
        <f t="shared" si="0"/>
        <v>74.989999999999995</v>
      </c>
      <c r="K6" s="133">
        <f t="shared" si="0"/>
        <v>8.99</v>
      </c>
      <c r="L6" s="133">
        <f t="shared" si="0"/>
        <v>9.99</v>
      </c>
    </row>
    <row r="7" spans="2:12">
      <c r="B7" s="25" t="s">
        <v>54</v>
      </c>
      <c r="C7" s="25" t="s">
        <v>47</v>
      </c>
      <c r="D7" s="133">
        <f t="shared" si="1"/>
        <v>159.99</v>
      </c>
      <c r="E7" s="133">
        <f t="shared" si="0"/>
        <v>24.99</v>
      </c>
      <c r="F7" s="133">
        <f t="shared" si="0"/>
        <v>109.99</v>
      </c>
      <c r="G7" s="133">
        <f t="shared" si="0"/>
        <v>16.989999999999998</v>
      </c>
      <c r="H7" s="133">
        <f t="shared" si="0"/>
        <v>89.99</v>
      </c>
      <c r="I7" s="133">
        <f t="shared" si="0"/>
        <v>13.99</v>
      </c>
      <c r="J7" s="133">
        <f t="shared" si="0"/>
        <v>74.989999999999995</v>
      </c>
      <c r="K7" s="133">
        <f t="shared" si="0"/>
        <v>8.99</v>
      </c>
      <c r="L7" s="133">
        <f t="shared" si="0"/>
        <v>9.99</v>
      </c>
    </row>
  </sheetData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548F-4518-423D-B52D-4D97F1857691}">
  <sheetPr>
    <tabColor rgb="FFFFFF00"/>
  </sheetPr>
  <dimension ref="B1:AW250"/>
  <sheetViews>
    <sheetView zoomScaleNormal="100" workbookViewId="0">
      <pane xSplit="4" ySplit="4" topLeftCell="T45" activePane="bottomRight" state="frozen"/>
      <selection pane="topRight"/>
      <selection pane="bottomLeft"/>
      <selection pane="bottomRight" activeCell="AK5" sqref="AK5"/>
    </sheetView>
  </sheetViews>
  <sheetFormatPr defaultColWidth="8.6328125" defaultRowHeight="12.5" outlineLevelRow="1" outlineLevelCol="1"/>
  <cols>
    <col min="1" max="1" width="1.453125" customWidth="1"/>
    <col min="2" max="2" width="27.453125" bestFit="1" customWidth="1"/>
    <col min="3" max="3" width="12.36328125" bestFit="1" customWidth="1"/>
    <col min="4" max="4" width="15.36328125" style="6" hidden="1" customWidth="1" outlineLevel="1"/>
    <col min="5" max="5" width="13.453125" style="7" hidden="1" customWidth="1" outlineLevel="1"/>
    <col min="6" max="6" width="15.453125" style="7" hidden="1" customWidth="1" outlineLevel="1"/>
    <col min="7" max="7" width="16.453125" style="7" hidden="1" customWidth="1" outlineLevel="1"/>
    <col min="8" max="8" width="14.453125" style="7" hidden="1" customWidth="1" outlineLevel="1"/>
    <col min="9" max="9" width="15.36328125" style="7" hidden="1" customWidth="1" outlineLevel="1"/>
    <col min="10" max="10" width="14.453125" style="7" hidden="1" customWidth="1" outlineLevel="1"/>
    <col min="11" max="11" width="15.453125" style="7" hidden="1" customWidth="1" outlineLevel="1"/>
    <col min="12" max="12" width="14.453125" style="7" hidden="1" customWidth="1" outlineLevel="1"/>
    <col min="13" max="15" width="13.453125" style="7" hidden="1" customWidth="1" outlineLevel="1"/>
    <col min="16" max="16" width="12.36328125" style="7" hidden="1" customWidth="1" outlineLevel="1"/>
    <col min="17" max="17" width="22.6328125" style="7" customWidth="1" collapsed="1"/>
    <col min="18" max="18" width="15.453125" style="9" customWidth="1"/>
    <col min="19" max="19" width="16.453125" style="9" bestFit="1" customWidth="1"/>
    <col min="20" max="20" width="14.453125" style="9" customWidth="1"/>
    <col min="21" max="21" width="15.36328125" style="9" bestFit="1" customWidth="1"/>
    <col min="22" max="22" width="14.453125" style="9" customWidth="1"/>
    <col min="23" max="23" width="15.453125" style="9" customWidth="1"/>
    <col min="24" max="24" width="14.453125" style="7" hidden="1" customWidth="1" outlineLevel="1"/>
    <col min="25" max="27" width="13.453125" style="7" hidden="1" customWidth="1" outlineLevel="1"/>
    <col min="28" max="28" width="12.36328125" style="7" hidden="1" customWidth="1" outlineLevel="1"/>
    <col min="29" max="29" width="1.6328125" hidden="1" customWidth="1" outlineLevel="1"/>
    <col min="30" max="30" width="15.453125" hidden="1" customWidth="1" outlineLevel="1"/>
    <col min="31" max="31" width="16.453125" hidden="1" customWidth="1" outlineLevel="1"/>
    <col min="32" max="32" width="14.453125" hidden="1" customWidth="1" outlineLevel="1"/>
    <col min="33" max="33" width="15.36328125" hidden="1" customWidth="1" outlineLevel="1"/>
    <col min="34" max="34" width="14.453125" hidden="1" customWidth="1" outlineLevel="1"/>
    <col min="35" max="35" width="15.453125" hidden="1" customWidth="1" outlineLevel="1"/>
    <col min="36" max="36" width="1.6328125" customWidth="1" collapsed="1"/>
    <col min="37" max="37" width="13.453125" customWidth="1"/>
    <col min="38" max="38" width="15.453125" customWidth="1"/>
    <col min="39" max="39" width="16.453125" customWidth="1"/>
    <col min="40" max="40" width="14.453125" customWidth="1"/>
    <col min="41" max="41" width="15.36328125" customWidth="1"/>
    <col min="42" max="42" width="14.453125" customWidth="1"/>
    <col min="43" max="43" width="15.453125" customWidth="1"/>
    <col min="44" max="44" width="1.6328125" customWidth="1"/>
    <col min="45" max="45" width="22.36328125" customWidth="1"/>
    <col min="46" max="46" width="16.453125" customWidth="1"/>
  </cols>
  <sheetData>
    <row r="1" spans="2:45">
      <c r="B1">
        <v>1</v>
      </c>
      <c r="C1">
        <f>+B1+1</f>
        <v>2</v>
      </c>
      <c r="D1">
        <f t="shared" ref="D1:R1" si="0">+C1+1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ref="S1" si="1">+R1+1</f>
        <v>18</v>
      </c>
      <c r="T1">
        <f t="shared" ref="T1" si="2">+S1+1</f>
        <v>19</v>
      </c>
      <c r="U1">
        <f t="shared" ref="U1" si="3">+T1+1</f>
        <v>20</v>
      </c>
      <c r="V1">
        <f t="shared" ref="V1" si="4">+U1+1</f>
        <v>21</v>
      </c>
      <c r="W1">
        <f t="shared" ref="W1" si="5">+V1+1</f>
        <v>22</v>
      </c>
      <c r="X1">
        <f t="shared" ref="X1" si="6">+W1+1</f>
        <v>23</v>
      </c>
      <c r="Y1">
        <f t="shared" ref="Y1" si="7">+X1+1</f>
        <v>24</v>
      </c>
      <c r="Z1">
        <f t="shared" ref="Z1" si="8">+Y1+1</f>
        <v>25</v>
      </c>
      <c r="AA1">
        <f t="shared" ref="AA1" si="9">+Z1+1</f>
        <v>26</v>
      </c>
      <c r="AB1">
        <f t="shared" ref="AB1" si="10">+AA1+1</f>
        <v>27</v>
      </c>
      <c r="AC1">
        <f t="shared" ref="AC1" si="11">+AB1+1</f>
        <v>28</v>
      </c>
      <c r="AD1">
        <f t="shared" ref="AD1" si="12">+AC1+1</f>
        <v>29</v>
      </c>
      <c r="AE1">
        <f t="shared" ref="AE1" si="13">+AD1+1</f>
        <v>30</v>
      </c>
      <c r="AF1">
        <f t="shared" ref="AF1" si="14">+AE1+1</f>
        <v>31</v>
      </c>
      <c r="AG1">
        <f t="shared" ref="AG1" si="15">+AF1+1</f>
        <v>32</v>
      </c>
      <c r="AH1">
        <f t="shared" ref="AH1" si="16">+AG1+1</f>
        <v>33</v>
      </c>
      <c r="AI1">
        <f t="shared" ref="AI1" si="17">+AH1+1</f>
        <v>34</v>
      </c>
      <c r="AJ1">
        <f t="shared" ref="AJ1" si="18">+AI1+1</f>
        <v>35</v>
      </c>
      <c r="AK1">
        <f t="shared" ref="AK1" si="19">+AJ1+1</f>
        <v>36</v>
      </c>
      <c r="AL1">
        <f t="shared" ref="AL1" si="20">+AK1+1</f>
        <v>37</v>
      </c>
      <c r="AM1">
        <f t="shared" ref="AM1" si="21">+AL1+1</f>
        <v>38</v>
      </c>
      <c r="AN1">
        <f t="shared" ref="AN1" si="22">+AM1+1</f>
        <v>39</v>
      </c>
      <c r="AO1">
        <f t="shared" ref="AO1" si="23">+AN1+1</f>
        <v>40</v>
      </c>
      <c r="AP1">
        <f t="shared" ref="AP1" si="24">+AO1+1</f>
        <v>41</v>
      </c>
      <c r="AQ1">
        <f t="shared" ref="AQ1" si="25">+AP1+1</f>
        <v>42</v>
      </c>
    </row>
    <row r="2" spans="2:45" ht="13">
      <c r="B2" s="172"/>
      <c r="D2"/>
      <c r="E2"/>
      <c r="F2"/>
      <c r="G2"/>
      <c r="H2"/>
      <c r="I2"/>
      <c r="J2"/>
      <c r="K2"/>
      <c r="L2"/>
      <c r="M2"/>
      <c r="N2"/>
      <c r="O2"/>
      <c r="P2"/>
      <c r="Q2"/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/>
      <c r="Y2"/>
      <c r="Z2"/>
      <c r="AA2"/>
      <c r="AB2"/>
      <c r="AK2" s="166">
        <v>46209</v>
      </c>
      <c r="AL2" s="6" t="s">
        <v>55</v>
      </c>
      <c r="AM2" s="6" t="s">
        <v>56</v>
      </c>
      <c r="AN2" s="6" t="s">
        <v>57</v>
      </c>
      <c r="AO2" s="6" t="s">
        <v>58</v>
      </c>
      <c r="AP2" s="6" t="s">
        <v>59</v>
      </c>
      <c r="AQ2" s="6" t="s">
        <v>60</v>
      </c>
    </row>
    <row r="3" spans="2:45" ht="13">
      <c r="B3" s="6"/>
      <c r="C3" s="6"/>
      <c r="D3" s="5" t="s">
        <v>323</v>
      </c>
      <c r="E3" s="14" t="s">
        <v>324</v>
      </c>
      <c r="F3" s="14"/>
      <c r="G3" s="14"/>
      <c r="H3" s="14"/>
      <c r="I3" s="14"/>
      <c r="J3" s="14"/>
      <c r="K3" s="14"/>
      <c r="L3" s="15" t="s">
        <v>325</v>
      </c>
      <c r="M3" s="16"/>
      <c r="N3" s="16"/>
      <c r="O3" s="16"/>
      <c r="P3" s="16"/>
      <c r="Q3" s="17" t="s">
        <v>326</v>
      </c>
      <c r="R3" s="17"/>
      <c r="S3" s="17"/>
      <c r="T3" s="17"/>
      <c r="U3" s="17"/>
      <c r="V3" s="17"/>
      <c r="W3" s="17"/>
      <c r="X3" s="18" t="s">
        <v>327</v>
      </c>
      <c r="Y3" s="19"/>
      <c r="Z3" s="19"/>
      <c r="AA3" s="19"/>
      <c r="AB3" s="19"/>
      <c r="AD3" s="23" t="s">
        <v>328</v>
      </c>
      <c r="AE3" s="23"/>
      <c r="AF3" s="23"/>
      <c r="AG3" s="23"/>
      <c r="AH3" s="23"/>
      <c r="AI3" s="23"/>
      <c r="AK3" s="18" t="s">
        <v>329</v>
      </c>
      <c r="AL3" s="19"/>
      <c r="AM3" s="19"/>
      <c r="AN3" s="19"/>
      <c r="AO3" s="19"/>
      <c r="AP3" s="18"/>
      <c r="AQ3" s="19"/>
    </row>
    <row r="4" spans="2:45" ht="13">
      <c r="B4" s="5" t="s">
        <v>31</v>
      </c>
      <c r="C4" s="5" t="s">
        <v>32</v>
      </c>
      <c r="D4" s="5" t="s">
        <v>330</v>
      </c>
      <c r="E4" s="2" t="s">
        <v>331</v>
      </c>
      <c r="F4" s="2" t="s">
        <v>332</v>
      </c>
      <c r="G4" s="2" t="s">
        <v>333</v>
      </c>
      <c r="H4" s="2" t="s">
        <v>334</v>
      </c>
      <c r="I4" s="2" t="s">
        <v>335</v>
      </c>
      <c r="J4" s="2" t="s">
        <v>336</v>
      </c>
      <c r="K4" s="2" t="s">
        <v>337</v>
      </c>
      <c r="L4" s="3" t="s">
        <v>338</v>
      </c>
      <c r="M4" s="3" t="s">
        <v>339</v>
      </c>
      <c r="N4" s="3" t="s">
        <v>340</v>
      </c>
      <c r="O4" s="3" t="s">
        <v>341</v>
      </c>
      <c r="P4" s="3" t="s">
        <v>342</v>
      </c>
      <c r="Q4" s="4" t="s">
        <v>331</v>
      </c>
      <c r="R4" s="4" t="s">
        <v>332</v>
      </c>
      <c r="S4" s="4" t="s">
        <v>333</v>
      </c>
      <c r="T4" s="4" t="s">
        <v>334</v>
      </c>
      <c r="U4" s="4" t="s">
        <v>335</v>
      </c>
      <c r="V4" s="4" t="s">
        <v>336</v>
      </c>
      <c r="W4" s="4" t="s">
        <v>337</v>
      </c>
      <c r="X4" s="1" t="s">
        <v>338</v>
      </c>
      <c r="Y4" s="1" t="s">
        <v>339</v>
      </c>
      <c r="Z4" s="1" t="s">
        <v>340</v>
      </c>
      <c r="AA4" s="1" t="s">
        <v>341</v>
      </c>
      <c r="AB4" s="1" t="s">
        <v>342</v>
      </c>
      <c r="AD4" s="5" t="s">
        <v>332</v>
      </c>
      <c r="AE4" s="5" t="s">
        <v>333</v>
      </c>
      <c r="AF4" s="5" t="s">
        <v>334</v>
      </c>
      <c r="AG4" s="5" t="s">
        <v>335</v>
      </c>
      <c r="AH4" s="5" t="s">
        <v>336</v>
      </c>
      <c r="AI4" s="5" t="s">
        <v>337</v>
      </c>
      <c r="AK4" s="1" t="s">
        <v>343</v>
      </c>
      <c r="AL4" s="1" t="s">
        <v>332</v>
      </c>
      <c r="AM4" s="1" t="s">
        <v>333</v>
      </c>
      <c r="AN4" s="1" t="s">
        <v>334</v>
      </c>
      <c r="AO4" s="1" t="s">
        <v>335</v>
      </c>
      <c r="AP4" s="1" t="s">
        <v>336</v>
      </c>
      <c r="AQ4" s="1" t="s">
        <v>337</v>
      </c>
      <c r="AS4" s="1" t="s">
        <v>344</v>
      </c>
    </row>
    <row r="5" spans="2:45">
      <c r="B5" s="20" t="s">
        <v>70</v>
      </c>
      <c r="C5" s="20" t="s">
        <v>182</v>
      </c>
      <c r="E5" s="11" t="str">
        <f>+VLOOKUP($B5,'[3]INT Web'!$B$5:$W$247,'[3]INT Web'!Q$1,FALSE)</f>
        <v>USD</v>
      </c>
      <c r="F5" s="22">
        <f>+VLOOKUP($B5,'[3]INT Web'!$B$5:$W$247,'[3]INT Web'!R$1,FALSE)</f>
        <v>71.989999999999995</v>
      </c>
      <c r="G5" s="22">
        <f>+VLOOKUP($B5,'[3]INT Web'!$B$5:$W$247,'[3]INT Web'!S$1,FALSE)</f>
        <v>11.99</v>
      </c>
      <c r="H5" s="22">
        <f>+VLOOKUP($B5,'[3]INT Web'!$B$5:$W$247,'[3]INT Web'!T$1,FALSE)</f>
        <v>53.99</v>
      </c>
      <c r="I5" s="22">
        <f>+VLOOKUP($B5,'[3]INT Web'!$B$5:$W$247,'[3]INT Web'!U$1,FALSE)</f>
        <v>8.99</v>
      </c>
      <c r="J5" s="22">
        <f>+VLOOKUP($B5,'[3]INT Web'!$B$5:$W$247,'[3]INT Web'!V$1,FALSE)</f>
        <v>47.99</v>
      </c>
      <c r="K5" s="22">
        <f>+VLOOKUP($B5,'[3]INT Web'!$B$5:$W$247,'[3]INT Web'!W$1,FALSE)</f>
        <v>7.99</v>
      </c>
      <c r="L5" s="12">
        <f t="shared" ref="L5:L24" si="26">+F5/G5</f>
        <v>6.0041701417848206</v>
      </c>
      <c r="M5" s="12">
        <f t="shared" ref="M5:M24" si="27">+G5/I5</f>
        <v>1.3337041156840934</v>
      </c>
      <c r="N5" s="12">
        <f t="shared" ref="N5:N24" si="28">+H5/I5</f>
        <v>6.0055617352614012</v>
      </c>
      <c r="O5" s="12">
        <f t="shared" ref="O5:O24" si="29">+J5/K5</f>
        <v>6.0062578222778473</v>
      </c>
      <c r="P5" s="12">
        <f t="shared" ref="P5:P24" si="30">+K5/I5</f>
        <v>0.88876529477196886</v>
      </c>
      <c r="Q5" s="139" t="str">
        <f t="shared" ref="Q5:Q14" si="31">+E5</f>
        <v>USD</v>
      </c>
      <c r="R5" s="104">
        <f>+VLOOKUP($B5,'Country-Level Tactics'!$B$5:$AL$248,'Country-Level Tactics'!AH$1,FALSE)</f>
        <v>71.989999999999995</v>
      </c>
      <c r="S5" s="104">
        <f>+VLOOKUP($B5,'Country-Level Tactics'!$B$5:$AL$248,'Country-Level Tactics'!X$1,FALSE)</f>
        <v>11.99</v>
      </c>
      <c r="T5" s="104">
        <f>+VLOOKUP($B5,'Country-Level Tactics'!$B$5:$AL$248,'Country-Level Tactics'!AC$1,FALSE)</f>
        <v>53.99</v>
      </c>
      <c r="U5" s="104">
        <f>+VLOOKUP($B5,'Country-Level Tactics'!$B$5:$AL$248,'Country-Level Tactics'!T$1,FALSE)</f>
        <v>8.99</v>
      </c>
      <c r="V5" s="104">
        <f t="shared" ref="V5:V14" si="32">+J5</f>
        <v>47.99</v>
      </c>
      <c r="W5" s="104">
        <f t="shared" ref="W5:W14" si="33">+K5</f>
        <v>7.99</v>
      </c>
      <c r="X5" s="12">
        <f t="shared" ref="X5:X36" si="34">+R5/S5</f>
        <v>6.0041701417848206</v>
      </c>
      <c r="Y5" s="12">
        <f t="shared" ref="Y5:Y36" si="35">+S5/U5</f>
        <v>1.3337041156840934</v>
      </c>
      <c r="Z5" s="12">
        <f t="shared" ref="Z5:Z36" si="36">+T5/U5</f>
        <v>6.0055617352614012</v>
      </c>
      <c r="AA5" s="12">
        <f t="shared" ref="AA5:AA36" si="37">+V5/W5</f>
        <v>6.0062578222778473</v>
      </c>
      <c r="AB5" s="12">
        <f t="shared" ref="AB5:AB36" si="38">+W5/U5</f>
        <v>0.88876529477196886</v>
      </c>
      <c r="AD5" s="10">
        <f t="shared" ref="AD5:AD36" si="39">+R5/F5-1</f>
        <v>0</v>
      </c>
      <c r="AE5" s="10">
        <f t="shared" ref="AE5:AE36" si="40">+S5/G5-1</f>
        <v>0</v>
      </c>
      <c r="AF5" s="10">
        <f t="shared" ref="AF5:AF36" si="41">+T5/H5-1</f>
        <v>0</v>
      </c>
      <c r="AG5" s="10">
        <f t="shared" ref="AG5:AG36" si="42">+U5/I5-1</f>
        <v>0</v>
      </c>
      <c r="AH5" s="10">
        <f t="shared" ref="AH5:AH36" si="43">+V5/J5-1</f>
        <v>0</v>
      </c>
      <c r="AI5" s="10">
        <f t="shared" ref="AI5:AI36" si="44">+W5/K5-1</f>
        <v>0</v>
      </c>
      <c r="AJ5" s="10"/>
      <c r="AK5" s="165" cm="1">
        <f t="array" ref="AK5">_xll.FDS("","P_EXCH_RATE("&amp;Q5&amp;",USD,"&amp;$AK$2&amp;")")</f>
        <v>1</v>
      </c>
      <c r="AL5" s="173">
        <f t="shared" ref="AL5:AL15" si="45">+R5*$AK5</f>
        <v>71.989999999999995</v>
      </c>
      <c r="AM5" s="173">
        <f t="shared" ref="AM5:AM15" si="46">+S5*$AK5</f>
        <v>11.99</v>
      </c>
      <c r="AN5" s="173">
        <f t="shared" ref="AN5:AN15" si="47">+T5*$AK5</f>
        <v>53.99</v>
      </c>
      <c r="AO5" s="173">
        <f t="shared" ref="AO5:AO15" si="48">+U5*$AK5</f>
        <v>8.99</v>
      </c>
      <c r="AP5" s="173">
        <f t="shared" ref="AP5:AP15" si="49">+V5*$AK5</f>
        <v>47.99</v>
      </c>
      <c r="AQ5" s="173">
        <f t="shared" ref="AQ5:AQ15" si="50">+W5*$AK5</f>
        <v>7.99</v>
      </c>
      <c r="AS5" s="22" t="str">
        <f>+VLOOKUP(B5,'Country &amp; Code Abbreviation'!$B$3:$C$245,2,FALSE)</f>
        <v>AF</v>
      </c>
    </row>
    <row r="6" spans="2:45">
      <c r="B6" s="20" t="s">
        <v>71</v>
      </c>
      <c r="C6" s="20" t="s">
        <v>100</v>
      </c>
      <c r="E6" s="11" t="str">
        <f>+VLOOKUP($B6,'[3]INT Web'!$B$5:$W$247,'[3]INT Web'!Q$1,FALSE)</f>
        <v>EUR</v>
      </c>
      <c r="F6" s="22">
        <f>+VLOOKUP($B6,'[3]INT Web'!$B$5:$W$247,'[3]INT Web'!R$1,FALSE)</f>
        <v>119.99</v>
      </c>
      <c r="G6" s="22">
        <f>+VLOOKUP($B6,'[3]INT Web'!$B$5:$W$247,'[3]INT Web'!S$1,FALSE)</f>
        <v>19.989999999999998</v>
      </c>
      <c r="H6" s="22">
        <f>+VLOOKUP($B6,'[3]INT Web'!$B$5:$W$247,'[3]INT Web'!T$1,FALSE)</f>
        <v>89.99</v>
      </c>
      <c r="I6" s="22">
        <f>+VLOOKUP($B6,'[3]INT Web'!$B$5:$W$247,'[3]INT Web'!U$1,FALSE)</f>
        <v>14.99</v>
      </c>
      <c r="J6" s="22">
        <f>+VLOOKUP($B6,'[3]INT Web'!$B$5:$W$247,'[3]INT Web'!V$1,FALSE)</f>
        <v>79.989999999999995</v>
      </c>
      <c r="K6" s="22">
        <f>+VLOOKUP($B6,'[3]INT Web'!$B$5:$W$247,'[3]INT Web'!W$1,FALSE)</f>
        <v>12.99</v>
      </c>
      <c r="L6" s="12">
        <f t="shared" si="26"/>
        <v>6.002501250625313</v>
      </c>
      <c r="M6" s="12">
        <f t="shared" si="27"/>
        <v>1.333555703802535</v>
      </c>
      <c r="N6" s="12">
        <f t="shared" si="28"/>
        <v>6.0033355570380253</v>
      </c>
      <c r="O6" s="12">
        <f t="shared" si="29"/>
        <v>6.157813702848344</v>
      </c>
      <c r="P6" s="12">
        <f t="shared" si="30"/>
        <v>0.86657771847898601</v>
      </c>
      <c r="Q6" s="140" t="str">
        <f t="shared" si="31"/>
        <v>EUR</v>
      </c>
      <c r="R6" s="104">
        <f>+VLOOKUP($B6,'Country-Level Tactics'!$B$5:$AL$248,'Country-Level Tactics'!AH$1,FALSE)</f>
        <v>119.99</v>
      </c>
      <c r="S6" s="104">
        <f>+VLOOKUP($B6,'Country-Level Tactics'!$B$5:$AL$248,'Country-Level Tactics'!X$1,FALSE)</f>
        <v>19.989999999999998</v>
      </c>
      <c r="T6" s="104">
        <f>+VLOOKUP($B6,'Country-Level Tactics'!$B$5:$AL$248,'Country-Level Tactics'!AC$1,FALSE)</f>
        <v>89.99</v>
      </c>
      <c r="U6" s="104">
        <f>+VLOOKUP($B6,'Country-Level Tactics'!$B$5:$AL$248,'Country-Level Tactics'!T$1,FALSE)</f>
        <v>14.99</v>
      </c>
      <c r="V6" s="104">
        <f t="shared" si="32"/>
        <v>79.989999999999995</v>
      </c>
      <c r="W6" s="104">
        <f t="shared" si="33"/>
        <v>12.99</v>
      </c>
      <c r="X6" s="12">
        <f t="shared" si="34"/>
        <v>6.002501250625313</v>
      </c>
      <c r="Y6" s="12">
        <f t="shared" si="35"/>
        <v>1.333555703802535</v>
      </c>
      <c r="Z6" s="12">
        <f t="shared" si="36"/>
        <v>6.0033355570380253</v>
      </c>
      <c r="AA6" s="12">
        <f t="shared" si="37"/>
        <v>6.157813702848344</v>
      </c>
      <c r="AB6" s="12">
        <f t="shared" si="38"/>
        <v>0.86657771847898601</v>
      </c>
      <c r="AD6" s="10">
        <f t="shared" si="39"/>
        <v>0</v>
      </c>
      <c r="AE6" s="10">
        <f t="shared" si="40"/>
        <v>0</v>
      </c>
      <c r="AF6" s="10">
        <f t="shared" si="41"/>
        <v>0</v>
      </c>
      <c r="AG6" s="10">
        <f t="shared" si="42"/>
        <v>0</v>
      </c>
      <c r="AH6" s="10">
        <f t="shared" si="43"/>
        <v>0</v>
      </c>
      <c r="AI6" s="10">
        <f t="shared" si="44"/>
        <v>0</v>
      </c>
      <c r="AK6" s="165" cm="1">
        <f t="array" ref="AK6">_xll.FDS("","P_EXCH_RATE("&amp;Q6&amp;",USD,"&amp;$AK$2&amp;")")</f>
        <v>1.14175</v>
      </c>
      <c r="AL6" s="173">
        <f t="shared" si="45"/>
        <v>136.9985825</v>
      </c>
      <c r="AM6" s="173">
        <f t="shared" si="46"/>
        <v>22.823582500000001</v>
      </c>
      <c r="AN6" s="173">
        <f t="shared" si="47"/>
        <v>102.7460825</v>
      </c>
      <c r="AO6" s="173">
        <f t="shared" si="48"/>
        <v>17.114832500000002</v>
      </c>
      <c r="AP6" s="173">
        <f t="shared" si="49"/>
        <v>91.328582499999996</v>
      </c>
      <c r="AQ6" s="173">
        <f t="shared" si="50"/>
        <v>14.8313325</v>
      </c>
      <c r="AS6" s="22" t="str">
        <f>+VLOOKUP(B6,'Country &amp; Code Abbreviation'!$B$3:$C$245,2,FALSE)</f>
        <v>AX</v>
      </c>
    </row>
    <row r="7" spans="2:45">
      <c r="B7" s="20" t="s">
        <v>73</v>
      </c>
      <c r="C7" s="20" t="s">
        <v>100</v>
      </c>
      <c r="E7" s="11" t="str">
        <f>+VLOOKUP($B7,'[3]INT Web'!$B$5:$W$247,'[3]INT Web'!Q$1,FALSE)</f>
        <v>ALL</v>
      </c>
      <c r="F7" s="22">
        <f>+VLOOKUP($B7,'[3]INT Web'!$B$5:$W$247,'[3]INT Web'!R$1,FALSE)</f>
        <v>9719.99</v>
      </c>
      <c r="G7" s="22">
        <f>+VLOOKUP($B7,'[3]INT Web'!$B$5:$W$247,'[3]INT Web'!S$1,FALSE)</f>
        <v>1619.99</v>
      </c>
      <c r="H7" s="22">
        <f>+VLOOKUP($B7,'[3]INT Web'!$B$5:$W$247,'[3]INT Web'!T$1,FALSE)</f>
        <v>7199.99</v>
      </c>
      <c r="I7" s="22">
        <f>+VLOOKUP($B7,'[3]INT Web'!$B$5:$W$247,'[3]INT Web'!U$1,FALSE)</f>
        <v>1199.99</v>
      </c>
      <c r="J7" s="22">
        <f>+VLOOKUP($B7,'[3]INT Web'!$B$5:$W$247,'[3]INT Web'!V$1,FALSE)</f>
        <v>6479.99</v>
      </c>
      <c r="K7" s="22">
        <f>+VLOOKUP($B7,'[3]INT Web'!$B$5:$W$247,'[3]INT Web'!W$1,FALSE)</f>
        <v>1079.99</v>
      </c>
      <c r="L7" s="12">
        <f t="shared" si="26"/>
        <v>6.0000308643880516</v>
      </c>
      <c r="M7" s="12">
        <f t="shared" si="27"/>
        <v>1.3500029166909724</v>
      </c>
      <c r="N7" s="12">
        <f t="shared" si="28"/>
        <v>6.0000416670138916</v>
      </c>
      <c r="O7" s="12">
        <f t="shared" si="29"/>
        <v>6.0000462967249693</v>
      </c>
      <c r="P7" s="12">
        <f t="shared" si="30"/>
        <v>0.89999916665972213</v>
      </c>
      <c r="Q7" s="140" t="str">
        <f t="shared" si="31"/>
        <v>ALL</v>
      </c>
      <c r="R7" s="104">
        <f>+VLOOKUP($B7,'Country-Level Tactics'!$B$5:$AL$248,'Country-Level Tactics'!AH$1,FALSE)</f>
        <v>9719.99</v>
      </c>
      <c r="S7" s="104">
        <f>+VLOOKUP($B7,'Country-Level Tactics'!$B$5:$AL$248,'Country-Level Tactics'!X$1,FALSE)</f>
        <v>1619.99</v>
      </c>
      <c r="T7" s="104">
        <f>+VLOOKUP($B7,'Country-Level Tactics'!$B$5:$AL$248,'Country-Level Tactics'!AC$1,FALSE)</f>
        <v>7199.99</v>
      </c>
      <c r="U7" s="104">
        <f>+VLOOKUP($B7,'Country-Level Tactics'!$B$5:$AL$248,'Country-Level Tactics'!T$1,FALSE)</f>
        <v>1199.99</v>
      </c>
      <c r="V7" s="104">
        <f t="shared" si="32"/>
        <v>6479.99</v>
      </c>
      <c r="W7" s="104">
        <f t="shared" si="33"/>
        <v>1079.99</v>
      </c>
      <c r="X7" s="12">
        <f t="shared" si="34"/>
        <v>6.0000308643880516</v>
      </c>
      <c r="Y7" s="12">
        <f t="shared" si="35"/>
        <v>1.3500029166909724</v>
      </c>
      <c r="Z7" s="12">
        <f t="shared" si="36"/>
        <v>6.0000416670138916</v>
      </c>
      <c r="AA7" s="12">
        <f t="shared" si="37"/>
        <v>6.0000462967249693</v>
      </c>
      <c r="AB7" s="12">
        <f t="shared" si="38"/>
        <v>0.89999916665972213</v>
      </c>
      <c r="AD7" s="10">
        <f t="shared" si="39"/>
        <v>0</v>
      </c>
      <c r="AE7" s="10">
        <f t="shared" si="40"/>
        <v>0</v>
      </c>
      <c r="AF7" s="10">
        <f t="shared" si="41"/>
        <v>0</v>
      </c>
      <c r="AG7" s="10">
        <f t="shared" si="42"/>
        <v>0</v>
      </c>
      <c r="AH7" s="10">
        <f t="shared" si="43"/>
        <v>0</v>
      </c>
      <c r="AI7" s="10">
        <f t="shared" si="44"/>
        <v>0</v>
      </c>
      <c r="AK7" s="165" cm="1">
        <f t="array" ref="AK7">_xll.FDS("","P_EXCH_RATE("&amp;Q7&amp;",USD,"&amp;$AK$2&amp;")")</f>
        <v>1.2172114E-2</v>
      </c>
      <c r="AL7" s="173">
        <f t="shared" si="45"/>
        <v>118.31282635885999</v>
      </c>
      <c r="AM7" s="173">
        <f t="shared" si="46"/>
        <v>19.71870295886</v>
      </c>
      <c r="AN7" s="173">
        <f t="shared" si="47"/>
        <v>87.639099078859999</v>
      </c>
      <c r="AO7" s="173">
        <f t="shared" si="48"/>
        <v>14.60641507886</v>
      </c>
      <c r="AP7" s="173">
        <f t="shared" si="49"/>
        <v>78.875176998859999</v>
      </c>
      <c r="AQ7" s="173">
        <f t="shared" si="50"/>
        <v>13.14576139886</v>
      </c>
      <c r="AS7" s="22" t="str">
        <f>+VLOOKUP(B7,'Country &amp; Code Abbreviation'!$B$3:$C$245,2,FALSE)</f>
        <v>AL</v>
      </c>
    </row>
    <row r="8" spans="2:45">
      <c r="B8" s="20" t="s">
        <v>74</v>
      </c>
      <c r="C8" s="20" t="s">
        <v>270</v>
      </c>
      <c r="E8" s="11" t="str">
        <f>+VLOOKUP($B8,'[3]INT Web'!$B$5:$W$247,'[3]INT Web'!Q$1,FALSE)</f>
        <v>DZD</v>
      </c>
      <c r="F8" s="22">
        <f>+VLOOKUP($B8,'[3]INT Web'!$B$5:$W$247,'[3]INT Web'!R$1,FALSE)</f>
        <v>8099.99</v>
      </c>
      <c r="G8" s="22">
        <f>+VLOOKUP($B8,'[3]INT Web'!$B$5:$W$247,'[3]INT Web'!S$1,FALSE)</f>
        <v>1349.99</v>
      </c>
      <c r="H8" s="22">
        <f>+VLOOKUP($B8,'[3]INT Web'!$B$5:$W$247,'[3]INT Web'!T$1,FALSE)</f>
        <v>5999.99</v>
      </c>
      <c r="I8" s="22">
        <f>+VLOOKUP($B8,'[3]INT Web'!$B$5:$W$247,'[3]INT Web'!U$1,FALSE)</f>
        <v>999.99</v>
      </c>
      <c r="J8" s="22">
        <f>+VLOOKUP($B8,'[3]INT Web'!$B$5:$W$247,'[3]INT Web'!V$1,FALSE)</f>
        <v>5399.99</v>
      </c>
      <c r="K8" s="22">
        <f>+VLOOKUP($B8,'[3]INT Web'!$B$5:$W$247,'[3]INT Web'!W$1,FALSE)</f>
        <v>899.99</v>
      </c>
      <c r="L8" s="12">
        <f t="shared" si="26"/>
        <v>6.0000370373113876</v>
      </c>
      <c r="M8" s="12">
        <f t="shared" si="27"/>
        <v>1.3500035000350004</v>
      </c>
      <c r="N8" s="12">
        <f t="shared" si="28"/>
        <v>6.0000500005000044</v>
      </c>
      <c r="O8" s="12">
        <f t="shared" si="29"/>
        <v>6.0000555561728461</v>
      </c>
      <c r="P8" s="12">
        <f t="shared" si="30"/>
        <v>0.89999899998999988</v>
      </c>
      <c r="Q8" s="140" t="str">
        <f t="shared" si="31"/>
        <v>DZD</v>
      </c>
      <c r="R8" s="104">
        <f>+VLOOKUP($B8,'Country-Level Tactics'!$B$5:$AL$248,'Country-Level Tactics'!AH$1,FALSE)</f>
        <v>8099.99</v>
      </c>
      <c r="S8" s="104">
        <f>+VLOOKUP($B8,'Country-Level Tactics'!$B$5:$AL$248,'Country-Level Tactics'!X$1,FALSE)</f>
        <v>1349.99</v>
      </c>
      <c r="T8" s="104">
        <f>+VLOOKUP($B8,'Country-Level Tactics'!$B$5:$AL$248,'Country-Level Tactics'!AC$1,FALSE)</f>
        <v>5999.99</v>
      </c>
      <c r="U8" s="104">
        <f>+VLOOKUP($B8,'Country-Level Tactics'!$B$5:$AL$248,'Country-Level Tactics'!T$1,FALSE)</f>
        <v>999.99</v>
      </c>
      <c r="V8" s="104">
        <f t="shared" si="32"/>
        <v>5399.99</v>
      </c>
      <c r="W8" s="104">
        <f t="shared" si="33"/>
        <v>899.99</v>
      </c>
      <c r="X8" s="12">
        <f t="shared" si="34"/>
        <v>6.0000370373113876</v>
      </c>
      <c r="Y8" s="12">
        <f t="shared" si="35"/>
        <v>1.3500035000350004</v>
      </c>
      <c r="Z8" s="12">
        <f t="shared" si="36"/>
        <v>6.0000500005000044</v>
      </c>
      <c r="AA8" s="12">
        <f t="shared" si="37"/>
        <v>6.0000555561728461</v>
      </c>
      <c r="AB8" s="12">
        <f t="shared" si="38"/>
        <v>0.89999899998999988</v>
      </c>
      <c r="AD8" s="10">
        <f t="shared" si="39"/>
        <v>0</v>
      </c>
      <c r="AE8" s="10">
        <f t="shared" si="40"/>
        <v>0</v>
      </c>
      <c r="AF8" s="10">
        <f t="shared" si="41"/>
        <v>0</v>
      </c>
      <c r="AG8" s="10">
        <f t="shared" si="42"/>
        <v>0</v>
      </c>
      <c r="AH8" s="10">
        <f t="shared" si="43"/>
        <v>0</v>
      </c>
      <c r="AI8" s="10">
        <f t="shared" si="44"/>
        <v>0</v>
      </c>
      <c r="AK8" s="165" cm="1">
        <f t="array" ref="AK8">_xll.FDS("","P_EXCH_RATE("&amp;Q8&amp;",USD,"&amp;$AK$2&amp;")")</f>
        <v>7.5116749999999998E-3</v>
      </c>
      <c r="AL8" s="173">
        <f t="shared" si="45"/>
        <v>60.84449238325</v>
      </c>
      <c r="AM8" s="173">
        <f t="shared" si="46"/>
        <v>10.14068613325</v>
      </c>
      <c r="AN8" s="173">
        <f t="shared" si="47"/>
        <v>45.069974883249998</v>
      </c>
      <c r="AO8" s="173">
        <f t="shared" si="48"/>
        <v>7.5115998832499997</v>
      </c>
      <c r="AP8" s="173">
        <f t="shared" si="49"/>
        <v>40.562969883249998</v>
      </c>
      <c r="AQ8" s="173">
        <f t="shared" si="50"/>
        <v>6.7604323832499995</v>
      </c>
      <c r="AS8" s="22" t="str">
        <f>+VLOOKUP(B8,'Country &amp; Code Abbreviation'!$B$3:$C$245,2,FALSE)</f>
        <v>DZ</v>
      </c>
    </row>
    <row r="9" spans="2:45">
      <c r="B9" s="20" t="s">
        <v>75</v>
      </c>
      <c r="C9" s="20" t="s">
        <v>182</v>
      </c>
      <c r="E9" s="11" t="str">
        <f>+VLOOKUP($B9,'[3]INT Web'!$B$5:$W$247,'[3]INT Web'!Q$1,FALSE)</f>
        <v>USD</v>
      </c>
      <c r="F9" s="22">
        <f>+VLOOKUP($B9,'[3]INT Web'!$B$5:$W$247,'[3]INT Web'!R$1,FALSE)</f>
        <v>129.99</v>
      </c>
      <c r="G9" s="22">
        <f>+VLOOKUP($B9,'[3]INT Web'!$B$5:$W$247,'[3]INT Web'!S$1,FALSE)</f>
        <v>18.989999999999998</v>
      </c>
      <c r="H9" s="22">
        <f>+VLOOKUP($B9,'[3]INT Web'!$B$5:$W$247,'[3]INT Web'!T$1,FALSE)</f>
        <v>83.99</v>
      </c>
      <c r="I9" s="22">
        <f>+VLOOKUP($B9,'[3]INT Web'!$B$5:$W$247,'[3]INT Web'!U$1,FALSE)</f>
        <v>13.99</v>
      </c>
      <c r="J9" s="22">
        <f>+VLOOKUP($B9,'[3]INT Web'!$B$5:$W$247,'[3]INT Web'!V$1,FALSE)</f>
        <v>77.989999999999995</v>
      </c>
      <c r="K9" s="22">
        <f>+VLOOKUP($B9,'[3]INT Web'!$B$5:$W$247,'[3]INT Web'!W$1,FALSE)</f>
        <v>12.99</v>
      </c>
      <c r="L9" s="12">
        <f t="shared" si="26"/>
        <v>6.8451816745655618</v>
      </c>
      <c r="M9" s="12">
        <f t="shared" si="27"/>
        <v>1.3573981415296639</v>
      </c>
      <c r="N9" s="12">
        <f t="shared" si="28"/>
        <v>6.003573981415296</v>
      </c>
      <c r="O9" s="12">
        <f t="shared" si="29"/>
        <v>6.0038491147036179</v>
      </c>
      <c r="P9" s="12">
        <f t="shared" si="30"/>
        <v>0.9285203716940672</v>
      </c>
      <c r="Q9" s="140" t="str">
        <f t="shared" si="31"/>
        <v>USD</v>
      </c>
      <c r="R9" s="104">
        <f>+VLOOKUP($B9,'Country-Level Tactics'!$B$5:$AL$248,'Country-Level Tactics'!AH$1,FALSE)</f>
        <v>129.99</v>
      </c>
      <c r="S9" s="104">
        <f>+VLOOKUP($B9,'Country-Level Tactics'!$B$5:$AL$248,'Country-Level Tactics'!X$1,FALSE)</f>
        <v>18.989999999999998</v>
      </c>
      <c r="T9" s="104">
        <f>+VLOOKUP($B9,'Country-Level Tactics'!$B$5:$AL$248,'Country-Level Tactics'!AC$1,FALSE)</f>
        <v>83.99</v>
      </c>
      <c r="U9" s="104">
        <f>+VLOOKUP($B9,'Country-Level Tactics'!$B$5:$AL$248,'Country-Level Tactics'!T$1,FALSE)</f>
        <v>13.99</v>
      </c>
      <c r="V9" s="104">
        <f t="shared" si="32"/>
        <v>77.989999999999995</v>
      </c>
      <c r="W9" s="104">
        <f t="shared" si="33"/>
        <v>12.99</v>
      </c>
      <c r="X9" s="12">
        <f t="shared" si="34"/>
        <v>6.8451816745655618</v>
      </c>
      <c r="Y9" s="12">
        <f t="shared" si="35"/>
        <v>1.3573981415296639</v>
      </c>
      <c r="Z9" s="12">
        <f t="shared" si="36"/>
        <v>6.003573981415296</v>
      </c>
      <c r="AA9" s="12">
        <f t="shared" si="37"/>
        <v>6.0038491147036179</v>
      </c>
      <c r="AB9" s="12">
        <f t="shared" si="38"/>
        <v>0.9285203716940672</v>
      </c>
      <c r="AD9" s="10">
        <f t="shared" si="39"/>
        <v>0</v>
      </c>
      <c r="AE9" s="10">
        <f t="shared" si="40"/>
        <v>0</v>
      </c>
      <c r="AF9" s="10">
        <f t="shared" si="41"/>
        <v>0</v>
      </c>
      <c r="AG9" s="10">
        <f t="shared" si="42"/>
        <v>0</v>
      </c>
      <c r="AH9" s="10">
        <f t="shared" si="43"/>
        <v>0</v>
      </c>
      <c r="AI9" s="10">
        <f t="shared" si="44"/>
        <v>0</v>
      </c>
      <c r="AK9" s="165" cm="1">
        <f t="array" ref="AK9">_xll.FDS("","P_EXCH_RATE("&amp;Q9&amp;",USD,"&amp;$AK$2&amp;")")</f>
        <v>1</v>
      </c>
      <c r="AL9" s="173">
        <f t="shared" si="45"/>
        <v>129.99</v>
      </c>
      <c r="AM9" s="173">
        <f t="shared" si="46"/>
        <v>18.989999999999998</v>
      </c>
      <c r="AN9" s="173">
        <f t="shared" si="47"/>
        <v>83.99</v>
      </c>
      <c r="AO9" s="173">
        <f t="shared" si="48"/>
        <v>13.99</v>
      </c>
      <c r="AP9" s="173">
        <f t="shared" si="49"/>
        <v>77.989999999999995</v>
      </c>
      <c r="AQ9" s="173">
        <f t="shared" si="50"/>
        <v>12.99</v>
      </c>
      <c r="AS9" s="22" t="str">
        <f>+VLOOKUP(B9,'Country &amp; Code Abbreviation'!$B$3:$C$245,2,FALSE)</f>
        <v>AS</v>
      </c>
    </row>
    <row r="10" spans="2:45">
      <c r="B10" s="20" t="s">
        <v>76</v>
      </c>
      <c r="C10" s="20" t="s">
        <v>100</v>
      </c>
      <c r="E10" s="11" t="str">
        <f>+VLOOKUP($B10,'[3]INT Web'!$B$5:$W$247,'[3]INT Web'!Q$1,FALSE)</f>
        <v>EUR</v>
      </c>
      <c r="F10" s="22">
        <f>+VLOOKUP($B10,'[3]INT Web'!$B$5:$W$247,'[3]INT Web'!R$1,FALSE)</f>
        <v>159.99</v>
      </c>
      <c r="G10" s="22">
        <f>+VLOOKUP($B10,'[3]INT Web'!$B$5:$W$247,'[3]INT Web'!S$1,FALSE)</f>
        <v>22.99</v>
      </c>
      <c r="H10" s="22">
        <f>+VLOOKUP($B10,'[3]INT Web'!$B$5:$W$247,'[3]INT Web'!T$1,FALSE)</f>
        <v>109.99</v>
      </c>
      <c r="I10" s="22">
        <f>+VLOOKUP($B10,'[3]INT Web'!$B$5:$W$247,'[3]INT Web'!U$1,FALSE)</f>
        <v>17.989999999999998</v>
      </c>
      <c r="J10" s="22">
        <f>+VLOOKUP($B10,'[3]INT Web'!$B$5:$W$247,'[3]INT Web'!V$1,FALSE)</f>
        <v>99.99</v>
      </c>
      <c r="K10" s="22">
        <f>+VLOOKUP($B10,'[3]INT Web'!$B$5:$W$247,'[3]INT Web'!W$1,FALSE)</f>
        <v>15.99</v>
      </c>
      <c r="L10" s="12">
        <f t="shared" si="26"/>
        <v>6.9591126576772515</v>
      </c>
      <c r="M10" s="12">
        <f t="shared" si="27"/>
        <v>1.2779321845469707</v>
      </c>
      <c r="N10" s="12">
        <f t="shared" si="28"/>
        <v>6.1139521956642584</v>
      </c>
      <c r="O10" s="12">
        <f t="shared" si="29"/>
        <v>6.2532833020637897</v>
      </c>
      <c r="P10" s="12">
        <f t="shared" si="30"/>
        <v>0.88882712618121185</v>
      </c>
      <c r="Q10" s="140" t="str">
        <f t="shared" si="31"/>
        <v>EUR</v>
      </c>
      <c r="R10" s="104">
        <f>+VLOOKUP($B10,'Country-Level Tactics'!$B$5:$AL$248,'Country-Level Tactics'!AH$1,FALSE)</f>
        <v>159.99</v>
      </c>
      <c r="S10" s="104">
        <f>+VLOOKUP($B10,'Country-Level Tactics'!$B$5:$AL$248,'Country-Level Tactics'!X$1,FALSE)</f>
        <v>22.99</v>
      </c>
      <c r="T10" s="104">
        <f>+VLOOKUP($B10,'Country-Level Tactics'!$B$5:$AL$248,'Country-Level Tactics'!AC$1,FALSE)</f>
        <v>109.99</v>
      </c>
      <c r="U10" s="104">
        <f>+VLOOKUP($B10,'Country-Level Tactics'!$B$5:$AL$248,'Country-Level Tactics'!T$1,FALSE)</f>
        <v>17.989999999999998</v>
      </c>
      <c r="V10" s="104">
        <f t="shared" si="32"/>
        <v>99.99</v>
      </c>
      <c r="W10" s="104">
        <f t="shared" si="33"/>
        <v>15.99</v>
      </c>
      <c r="X10" s="12">
        <f t="shared" si="34"/>
        <v>6.9591126576772515</v>
      </c>
      <c r="Y10" s="12">
        <f t="shared" si="35"/>
        <v>1.2779321845469707</v>
      </c>
      <c r="Z10" s="12">
        <f t="shared" si="36"/>
        <v>6.1139521956642584</v>
      </c>
      <c r="AA10" s="12">
        <f t="shared" si="37"/>
        <v>6.2532833020637897</v>
      </c>
      <c r="AB10" s="12">
        <f t="shared" si="38"/>
        <v>0.88882712618121185</v>
      </c>
      <c r="AD10" s="10">
        <f t="shared" si="39"/>
        <v>0</v>
      </c>
      <c r="AE10" s="10">
        <f t="shared" si="40"/>
        <v>0</v>
      </c>
      <c r="AF10" s="10">
        <f t="shared" si="41"/>
        <v>0</v>
      </c>
      <c r="AG10" s="10">
        <f t="shared" si="42"/>
        <v>0</v>
      </c>
      <c r="AH10" s="10">
        <f t="shared" si="43"/>
        <v>0</v>
      </c>
      <c r="AI10" s="10">
        <f t="shared" si="44"/>
        <v>0</v>
      </c>
      <c r="AK10" s="165" cm="1">
        <f t="array" ref="AK10">_xll.FDS("","P_EXCH_RATE("&amp;Q10&amp;",USD,"&amp;$AK$2&amp;")")</f>
        <v>1.14175</v>
      </c>
      <c r="AL10" s="173">
        <f t="shared" si="45"/>
        <v>182.66858250000001</v>
      </c>
      <c r="AM10" s="173">
        <f t="shared" si="46"/>
        <v>26.248832499999999</v>
      </c>
      <c r="AN10" s="173">
        <f t="shared" si="47"/>
        <v>125.58108249999999</v>
      </c>
      <c r="AO10" s="173">
        <f t="shared" si="48"/>
        <v>20.5400825</v>
      </c>
      <c r="AP10" s="173">
        <f t="shared" si="49"/>
        <v>114.1635825</v>
      </c>
      <c r="AQ10" s="173">
        <f t="shared" si="50"/>
        <v>18.2565825</v>
      </c>
      <c r="AS10" s="22" t="str">
        <f>+VLOOKUP(B10,'Country &amp; Code Abbreviation'!$B$3:$C$245,2,FALSE)</f>
        <v>AD</v>
      </c>
    </row>
    <row r="11" spans="2:45">
      <c r="B11" s="20" t="s">
        <v>77</v>
      </c>
      <c r="C11" s="20" t="s">
        <v>270</v>
      </c>
      <c r="E11" s="11" t="str">
        <f>+VLOOKUP($B11,'[3]INT Web'!$B$5:$W$247,'[3]INT Web'!Q$1,FALSE)</f>
        <v>USD</v>
      </c>
      <c r="F11" s="22">
        <f>+VLOOKUP($B11,'[3]INT Web'!$B$5:$W$247,'[3]INT Web'!R$1,FALSE)</f>
        <v>71.989999999999995</v>
      </c>
      <c r="G11" s="22">
        <f>+VLOOKUP($B11,'[3]INT Web'!$B$5:$W$247,'[3]INT Web'!S$1,FALSE)</f>
        <v>11.99</v>
      </c>
      <c r="H11" s="22">
        <f>+VLOOKUP($B11,'[3]INT Web'!$B$5:$W$247,'[3]INT Web'!T$1,FALSE)</f>
        <v>53.99</v>
      </c>
      <c r="I11" s="22">
        <f>+VLOOKUP($B11,'[3]INT Web'!$B$5:$W$247,'[3]INT Web'!U$1,FALSE)</f>
        <v>8.99</v>
      </c>
      <c r="J11" s="22">
        <f>+VLOOKUP($B11,'[3]INT Web'!$B$5:$W$247,'[3]INT Web'!V$1,FALSE)</f>
        <v>47.99</v>
      </c>
      <c r="K11" s="22">
        <f>+VLOOKUP($B11,'[3]INT Web'!$B$5:$W$247,'[3]INT Web'!W$1,FALSE)</f>
        <v>7.99</v>
      </c>
      <c r="L11" s="12">
        <f t="shared" si="26"/>
        <v>6.0041701417848206</v>
      </c>
      <c r="M11" s="12">
        <f t="shared" si="27"/>
        <v>1.3337041156840934</v>
      </c>
      <c r="N11" s="12">
        <f t="shared" si="28"/>
        <v>6.0055617352614012</v>
      </c>
      <c r="O11" s="12">
        <f t="shared" si="29"/>
        <v>6.0062578222778473</v>
      </c>
      <c r="P11" s="12">
        <f t="shared" si="30"/>
        <v>0.88876529477196886</v>
      </c>
      <c r="Q11" s="140" t="str">
        <f t="shared" si="31"/>
        <v>USD</v>
      </c>
      <c r="R11" s="104">
        <f>+VLOOKUP($B11,'Country-Level Tactics'!$B$5:$AL$248,'Country-Level Tactics'!AH$1,FALSE)</f>
        <v>71.989999999999995</v>
      </c>
      <c r="S11" s="104">
        <f>+VLOOKUP($B11,'Country-Level Tactics'!$B$5:$AL$248,'Country-Level Tactics'!X$1,FALSE)</f>
        <v>11.99</v>
      </c>
      <c r="T11" s="104">
        <f>+VLOOKUP($B11,'Country-Level Tactics'!$B$5:$AL$248,'Country-Level Tactics'!AC$1,FALSE)</f>
        <v>53.99</v>
      </c>
      <c r="U11" s="104">
        <f>+VLOOKUP($B11,'Country-Level Tactics'!$B$5:$AL$248,'Country-Level Tactics'!T$1,FALSE)</f>
        <v>8.99</v>
      </c>
      <c r="V11" s="104">
        <f t="shared" si="32"/>
        <v>47.99</v>
      </c>
      <c r="W11" s="104">
        <f t="shared" si="33"/>
        <v>7.99</v>
      </c>
      <c r="X11" s="12">
        <f t="shared" si="34"/>
        <v>6.0041701417848206</v>
      </c>
      <c r="Y11" s="12">
        <f t="shared" si="35"/>
        <v>1.3337041156840934</v>
      </c>
      <c r="Z11" s="12">
        <f t="shared" si="36"/>
        <v>6.0055617352614012</v>
      </c>
      <c r="AA11" s="12">
        <f t="shared" si="37"/>
        <v>6.0062578222778473</v>
      </c>
      <c r="AB11" s="12">
        <f t="shared" si="38"/>
        <v>0.88876529477196886</v>
      </c>
      <c r="AD11" s="10">
        <f t="shared" si="39"/>
        <v>0</v>
      </c>
      <c r="AE11" s="10">
        <f t="shared" si="40"/>
        <v>0</v>
      </c>
      <c r="AF11" s="10">
        <f t="shared" si="41"/>
        <v>0</v>
      </c>
      <c r="AG11" s="10">
        <f t="shared" si="42"/>
        <v>0</v>
      </c>
      <c r="AH11" s="10">
        <f t="shared" si="43"/>
        <v>0</v>
      </c>
      <c r="AI11" s="10">
        <f t="shared" si="44"/>
        <v>0</v>
      </c>
      <c r="AK11" s="165" cm="1">
        <f t="array" ref="AK11">_xll.FDS("","P_EXCH_RATE("&amp;Q11&amp;",USD,"&amp;$AK$2&amp;")")</f>
        <v>1</v>
      </c>
      <c r="AL11" s="173">
        <f t="shared" si="45"/>
        <v>71.989999999999995</v>
      </c>
      <c r="AM11" s="173">
        <f t="shared" si="46"/>
        <v>11.99</v>
      </c>
      <c r="AN11" s="173">
        <f t="shared" si="47"/>
        <v>53.99</v>
      </c>
      <c r="AO11" s="173">
        <f t="shared" si="48"/>
        <v>8.99</v>
      </c>
      <c r="AP11" s="173">
        <f t="shared" si="49"/>
        <v>47.99</v>
      </c>
      <c r="AQ11" s="173">
        <f t="shared" si="50"/>
        <v>7.99</v>
      </c>
      <c r="AS11" s="22" t="str">
        <f>+VLOOKUP(B11,'Country &amp; Code Abbreviation'!$B$3:$C$245,2,FALSE)</f>
        <v>AO</v>
      </c>
    </row>
    <row r="12" spans="2:45">
      <c r="B12" s="20" t="s">
        <v>78</v>
      </c>
      <c r="C12" s="20" t="s">
        <v>96</v>
      </c>
      <c r="E12" s="11" t="str">
        <f>+VLOOKUP($B12,'[3]INT Web'!$B$5:$W$247,'[3]INT Web'!Q$1,FALSE)</f>
        <v>XCD</v>
      </c>
      <c r="F12" s="22">
        <f>+VLOOKUP($B12,'[3]INT Web'!$B$5:$W$247,'[3]INT Web'!R$1,FALSE)</f>
        <v>269.99</v>
      </c>
      <c r="G12" s="22">
        <f>+VLOOKUP($B12,'[3]INT Web'!$B$5:$W$247,'[3]INT Web'!S$1,FALSE)</f>
        <v>44.99</v>
      </c>
      <c r="H12" s="22">
        <f>+VLOOKUP($B12,'[3]INT Web'!$B$5:$W$247,'[3]INT Web'!T$1,FALSE)</f>
        <v>197.99</v>
      </c>
      <c r="I12" s="22">
        <f>+VLOOKUP($B12,'[3]INT Web'!$B$5:$W$247,'[3]INT Web'!U$1,FALSE)</f>
        <v>32.99</v>
      </c>
      <c r="J12" s="22">
        <f>+VLOOKUP($B12,'[3]INT Web'!$B$5:$W$247,'[3]INT Web'!V$1,FALSE)</f>
        <v>179.99</v>
      </c>
      <c r="K12" s="22">
        <f>+VLOOKUP($B12,'[3]INT Web'!$B$5:$W$247,'[3]INT Web'!W$1,FALSE)</f>
        <v>29.99</v>
      </c>
      <c r="L12" s="12">
        <f t="shared" si="26"/>
        <v>6.001111358079573</v>
      </c>
      <c r="M12" s="12">
        <f t="shared" si="27"/>
        <v>1.36374658987572</v>
      </c>
      <c r="N12" s="12">
        <f t="shared" si="28"/>
        <v>6.0015156107911487</v>
      </c>
      <c r="O12" s="12">
        <f t="shared" si="29"/>
        <v>6.0016672224074696</v>
      </c>
      <c r="P12" s="12">
        <f t="shared" si="30"/>
        <v>0.90906335253106996</v>
      </c>
      <c r="Q12" s="140" t="str">
        <f t="shared" si="31"/>
        <v>XCD</v>
      </c>
      <c r="R12" s="104">
        <f>+VLOOKUP($B12,'Country-Level Tactics'!$B$5:$AL$248,'Country-Level Tactics'!AH$1,FALSE)</f>
        <v>269.99</v>
      </c>
      <c r="S12" s="104">
        <f>+VLOOKUP($B12,'Country-Level Tactics'!$B$5:$AL$248,'Country-Level Tactics'!X$1,FALSE)</f>
        <v>44.99</v>
      </c>
      <c r="T12" s="104">
        <f>+VLOOKUP($B12,'Country-Level Tactics'!$B$5:$AL$248,'Country-Level Tactics'!AC$1,FALSE)</f>
        <v>197.99</v>
      </c>
      <c r="U12" s="104">
        <f>+VLOOKUP($B12,'Country-Level Tactics'!$B$5:$AL$248,'Country-Level Tactics'!T$1,FALSE)</f>
        <v>32.99</v>
      </c>
      <c r="V12" s="104">
        <f t="shared" si="32"/>
        <v>179.99</v>
      </c>
      <c r="W12" s="104">
        <f t="shared" si="33"/>
        <v>29.99</v>
      </c>
      <c r="X12" s="12">
        <f t="shared" si="34"/>
        <v>6.001111358079573</v>
      </c>
      <c r="Y12" s="12">
        <f t="shared" si="35"/>
        <v>1.36374658987572</v>
      </c>
      <c r="Z12" s="12">
        <f t="shared" si="36"/>
        <v>6.0015156107911487</v>
      </c>
      <c r="AA12" s="12">
        <f t="shared" si="37"/>
        <v>6.0016672224074696</v>
      </c>
      <c r="AB12" s="12">
        <f t="shared" si="38"/>
        <v>0.90906335253106996</v>
      </c>
      <c r="AD12" s="10">
        <f t="shared" si="39"/>
        <v>0</v>
      </c>
      <c r="AE12" s="10">
        <f t="shared" si="40"/>
        <v>0</v>
      </c>
      <c r="AF12" s="10">
        <f t="shared" si="41"/>
        <v>0</v>
      </c>
      <c r="AG12" s="10">
        <f t="shared" si="42"/>
        <v>0</v>
      </c>
      <c r="AH12" s="10">
        <f t="shared" si="43"/>
        <v>0</v>
      </c>
      <c r="AI12" s="10">
        <f t="shared" si="44"/>
        <v>0</v>
      </c>
      <c r="AK12" s="165" cm="1">
        <f t="array" ref="AK12">_xll.FDS("","P_EXCH_RATE("&amp;Q12&amp;",USD,"&amp;$AK$2&amp;")")</f>
        <v>0.37037036000000001</v>
      </c>
      <c r="AL12" s="173">
        <f t="shared" si="45"/>
        <v>99.9962934964</v>
      </c>
      <c r="AM12" s="173">
        <f t="shared" si="46"/>
        <v>16.662962496400002</v>
      </c>
      <c r="AN12" s="173">
        <f t="shared" si="47"/>
        <v>73.3296275764</v>
      </c>
      <c r="AO12" s="173">
        <f t="shared" si="48"/>
        <v>12.218518176400002</v>
      </c>
      <c r="AP12" s="173">
        <f t="shared" si="49"/>
        <v>66.662961096400011</v>
      </c>
      <c r="AQ12" s="173">
        <f t="shared" si="50"/>
        <v>11.107407096399999</v>
      </c>
      <c r="AS12" s="22" t="str">
        <f>+VLOOKUP(B12,'Country &amp; Code Abbreviation'!$B$3:$C$245,2,FALSE)</f>
        <v>AI</v>
      </c>
    </row>
    <row r="13" spans="2:45">
      <c r="B13" s="20" t="s">
        <v>79</v>
      </c>
      <c r="C13" s="20" t="s">
        <v>100</v>
      </c>
      <c r="E13" s="11" t="str">
        <f>+VLOOKUP($B13,'[3]INT Web'!$B$5:$W$247,'[3]INT Web'!Q$1,FALSE)</f>
        <v>USD</v>
      </c>
      <c r="F13" s="22">
        <f>+VLOOKUP($B13,'[3]INT Web'!$B$5:$W$247,'[3]INT Web'!R$1,FALSE)</f>
        <v>154.99</v>
      </c>
      <c r="G13" s="22">
        <f>+VLOOKUP($B13,'[3]INT Web'!$B$5:$W$247,'[3]INT Web'!S$1,FALSE)</f>
        <v>21.99</v>
      </c>
      <c r="H13" s="22">
        <f>+VLOOKUP($B13,'[3]INT Web'!$B$5:$W$247,'[3]INT Web'!T$1,FALSE)</f>
        <v>99.99</v>
      </c>
      <c r="I13" s="22">
        <f>+VLOOKUP($B13,'[3]INT Web'!$B$5:$W$247,'[3]INT Web'!U$1,FALSE)</f>
        <v>16.989999999999998</v>
      </c>
      <c r="J13" s="22">
        <f>+VLOOKUP($B13,'[3]INT Web'!$B$5:$W$247,'[3]INT Web'!V$1,FALSE)</f>
        <v>89.99</v>
      </c>
      <c r="K13" s="22">
        <f>+VLOOKUP($B13,'[3]INT Web'!$B$5:$W$247,'[3]INT Web'!W$1,FALSE)</f>
        <v>14.99</v>
      </c>
      <c r="L13" s="12">
        <f t="shared" si="26"/>
        <v>7.0482037289677137</v>
      </c>
      <c r="M13" s="12">
        <f t="shared" si="27"/>
        <v>1.2942907592701589</v>
      </c>
      <c r="N13" s="12">
        <f t="shared" si="28"/>
        <v>5.8852266038846386</v>
      </c>
      <c r="O13" s="12">
        <f t="shared" si="29"/>
        <v>6.0033355570380253</v>
      </c>
      <c r="P13" s="12">
        <f t="shared" si="30"/>
        <v>0.88228369629193648</v>
      </c>
      <c r="Q13" s="140" t="str">
        <f t="shared" si="31"/>
        <v>USD</v>
      </c>
      <c r="R13" s="104">
        <f>+VLOOKUP($B13,'Country-Level Tactics'!$B$5:$AL$248,'Country-Level Tactics'!AH$1,FALSE)</f>
        <v>154.99</v>
      </c>
      <c r="S13" s="104">
        <f>+VLOOKUP($B13,'Country-Level Tactics'!$B$5:$AL$248,'Country-Level Tactics'!X$1,FALSE)</f>
        <v>21.99</v>
      </c>
      <c r="T13" s="104">
        <f>+VLOOKUP($B13,'Country-Level Tactics'!$B$5:$AL$248,'Country-Level Tactics'!AC$1,FALSE)</f>
        <v>99.99</v>
      </c>
      <c r="U13" s="104">
        <f>+VLOOKUP($B13,'Country-Level Tactics'!$B$5:$AL$248,'Country-Level Tactics'!T$1,FALSE)</f>
        <v>16.989999999999998</v>
      </c>
      <c r="V13" s="104">
        <f t="shared" si="32"/>
        <v>89.99</v>
      </c>
      <c r="W13" s="104">
        <f t="shared" si="33"/>
        <v>14.99</v>
      </c>
      <c r="X13" s="12">
        <f t="shared" si="34"/>
        <v>7.0482037289677137</v>
      </c>
      <c r="Y13" s="12">
        <f t="shared" si="35"/>
        <v>1.2942907592701589</v>
      </c>
      <c r="Z13" s="12">
        <f t="shared" si="36"/>
        <v>5.8852266038846386</v>
      </c>
      <c r="AA13" s="12">
        <f t="shared" si="37"/>
        <v>6.0033355570380253</v>
      </c>
      <c r="AB13" s="12">
        <f t="shared" si="38"/>
        <v>0.88228369629193648</v>
      </c>
      <c r="AD13" s="10">
        <f t="shared" si="39"/>
        <v>0</v>
      </c>
      <c r="AE13" s="10">
        <f t="shared" si="40"/>
        <v>0</v>
      </c>
      <c r="AF13" s="10">
        <f t="shared" si="41"/>
        <v>0</v>
      </c>
      <c r="AG13" s="10">
        <f t="shared" si="42"/>
        <v>0</v>
      </c>
      <c r="AH13" s="10">
        <f t="shared" si="43"/>
        <v>0</v>
      </c>
      <c r="AI13" s="10">
        <f t="shared" si="44"/>
        <v>0</v>
      </c>
      <c r="AK13" s="165" cm="1">
        <f t="array" ref="AK13">_xll.FDS("","P_EXCH_RATE("&amp;Q13&amp;",USD,"&amp;$AK$2&amp;")")</f>
        <v>1</v>
      </c>
      <c r="AL13" s="173">
        <f t="shared" si="45"/>
        <v>154.99</v>
      </c>
      <c r="AM13" s="173">
        <f t="shared" si="46"/>
        <v>21.99</v>
      </c>
      <c r="AN13" s="173">
        <f t="shared" si="47"/>
        <v>99.99</v>
      </c>
      <c r="AO13" s="173">
        <f t="shared" si="48"/>
        <v>16.989999999999998</v>
      </c>
      <c r="AP13" s="173">
        <f t="shared" si="49"/>
        <v>89.99</v>
      </c>
      <c r="AQ13" s="173">
        <f t="shared" si="50"/>
        <v>14.99</v>
      </c>
      <c r="AS13" s="22" t="str">
        <f>+VLOOKUP(B13,'Country &amp; Code Abbreviation'!$B$3:$C$245,2,FALSE)</f>
        <v>AQ</v>
      </c>
    </row>
    <row r="14" spans="2:45">
      <c r="B14" s="20" t="s">
        <v>80</v>
      </c>
      <c r="C14" s="20" t="s">
        <v>96</v>
      </c>
      <c r="E14" s="11" t="str">
        <f>+VLOOKUP($B14,'[3]INT Web'!$B$5:$W$247,'[3]INT Web'!Q$1,FALSE)</f>
        <v>XCD</v>
      </c>
      <c r="F14" s="22">
        <f>+VLOOKUP($B14,'[3]INT Web'!$B$5:$W$247,'[3]INT Web'!R$1,FALSE)</f>
        <v>305.99</v>
      </c>
      <c r="G14" s="22">
        <f>+VLOOKUP($B14,'[3]INT Web'!$B$5:$W$247,'[3]INT Web'!S$1,FALSE)</f>
        <v>50.99</v>
      </c>
      <c r="H14" s="22">
        <f>+VLOOKUP($B14,'[3]INT Web'!$B$5:$W$247,'[3]INT Web'!T$1,FALSE)</f>
        <v>227.99</v>
      </c>
      <c r="I14" s="22">
        <f>+VLOOKUP($B14,'[3]INT Web'!$B$5:$W$247,'[3]INT Web'!U$1,FALSE)</f>
        <v>37.99</v>
      </c>
      <c r="J14" s="22">
        <f>+VLOOKUP($B14,'[3]INT Web'!$B$5:$W$247,'[3]INT Web'!V$1,FALSE)</f>
        <v>203.99</v>
      </c>
      <c r="K14" s="22">
        <f>+VLOOKUP($B14,'[3]INT Web'!$B$5:$W$247,'[3]INT Web'!W$1,FALSE)</f>
        <v>33.99</v>
      </c>
      <c r="L14" s="12">
        <f t="shared" si="26"/>
        <v>6.0009805844283193</v>
      </c>
      <c r="M14" s="12">
        <f t="shared" si="27"/>
        <v>1.3421953145564622</v>
      </c>
      <c r="N14" s="12">
        <f t="shared" si="28"/>
        <v>6.0013161358252169</v>
      </c>
      <c r="O14" s="12">
        <f t="shared" si="29"/>
        <v>6.0014710208884967</v>
      </c>
      <c r="P14" s="12">
        <f t="shared" si="30"/>
        <v>0.89470913398262697</v>
      </c>
      <c r="Q14" s="140" t="str">
        <f t="shared" si="31"/>
        <v>XCD</v>
      </c>
      <c r="R14" s="104">
        <f>+VLOOKUP($B14,'Country-Level Tactics'!$B$5:$AL$248,'Country-Level Tactics'!AH$1,FALSE)</f>
        <v>305.99</v>
      </c>
      <c r="S14" s="104">
        <f>+VLOOKUP($B14,'Country-Level Tactics'!$B$5:$AL$248,'Country-Level Tactics'!X$1,FALSE)</f>
        <v>50.99</v>
      </c>
      <c r="T14" s="104">
        <f>+VLOOKUP($B14,'Country-Level Tactics'!$B$5:$AL$248,'Country-Level Tactics'!AC$1,FALSE)</f>
        <v>227.99</v>
      </c>
      <c r="U14" s="104">
        <f>+VLOOKUP($B14,'Country-Level Tactics'!$B$5:$AL$248,'Country-Level Tactics'!T$1,FALSE)</f>
        <v>37.99</v>
      </c>
      <c r="V14" s="104">
        <f t="shared" si="32"/>
        <v>203.99</v>
      </c>
      <c r="W14" s="104">
        <f t="shared" si="33"/>
        <v>33.99</v>
      </c>
      <c r="X14" s="12">
        <f t="shared" si="34"/>
        <v>6.0009805844283193</v>
      </c>
      <c r="Y14" s="12">
        <f t="shared" si="35"/>
        <v>1.3421953145564622</v>
      </c>
      <c r="Z14" s="12">
        <f t="shared" si="36"/>
        <v>6.0013161358252169</v>
      </c>
      <c r="AA14" s="12">
        <f t="shared" si="37"/>
        <v>6.0014710208884967</v>
      </c>
      <c r="AB14" s="12">
        <f t="shared" si="38"/>
        <v>0.89470913398262697</v>
      </c>
      <c r="AD14" s="10">
        <f t="shared" si="39"/>
        <v>0</v>
      </c>
      <c r="AE14" s="10">
        <f t="shared" si="40"/>
        <v>0</v>
      </c>
      <c r="AF14" s="10">
        <f t="shared" si="41"/>
        <v>0</v>
      </c>
      <c r="AG14" s="10">
        <f t="shared" si="42"/>
        <v>0</v>
      </c>
      <c r="AH14" s="10">
        <f t="shared" si="43"/>
        <v>0</v>
      </c>
      <c r="AI14" s="10">
        <f t="shared" si="44"/>
        <v>0</v>
      </c>
      <c r="AK14" s="165" cm="1">
        <f t="array" ref="AK14">_xll.FDS("","P_EXCH_RATE("&amp;Q14&amp;",USD,"&amp;$AK$2&amp;")")</f>
        <v>0.37037036000000001</v>
      </c>
      <c r="AL14" s="173">
        <f t="shared" si="45"/>
        <v>113.32962645640001</v>
      </c>
      <c r="AM14" s="173">
        <f t="shared" si="46"/>
        <v>18.8851846564</v>
      </c>
      <c r="AN14" s="173">
        <f t="shared" si="47"/>
        <v>84.440738376400006</v>
      </c>
      <c r="AO14" s="173">
        <f t="shared" si="48"/>
        <v>14.0703699764</v>
      </c>
      <c r="AP14" s="173">
        <f t="shared" si="49"/>
        <v>75.551849736400001</v>
      </c>
      <c r="AQ14" s="173">
        <f t="shared" si="50"/>
        <v>12.588888536400001</v>
      </c>
      <c r="AS14" s="22" t="str">
        <f>+VLOOKUP(B14,'Country &amp; Code Abbreviation'!$B$3:$C$245,2,FALSE)</f>
        <v>AG</v>
      </c>
    </row>
    <row r="15" spans="2:45">
      <c r="B15" s="201" t="s">
        <v>81</v>
      </c>
      <c r="C15" s="201" t="s">
        <v>96</v>
      </c>
      <c r="D15" s="6" t="s">
        <v>345</v>
      </c>
      <c r="E15" s="11" t="str">
        <f>+VLOOKUP($B15,'[3]INT Web'!$B$5:$W$247,'[3]INT Web'!Q$1,FALSE)</f>
        <v>ARS</v>
      </c>
      <c r="F15" s="22">
        <f>+VLOOKUP($B15,'[3]INT Web'!$B$5:$W$247,'[3]INT Web'!R$1,FALSE)</f>
        <v>206519.99</v>
      </c>
      <c r="G15" s="22">
        <f>+VLOOKUP($B15,'[3]INT Web'!$B$5:$W$247,'[3]INT Web'!S$1,FALSE)</f>
        <v>34419.99</v>
      </c>
      <c r="H15" s="22">
        <f>+VLOOKUP($B15,'[3]INT Web'!$B$5:$W$247,'[3]INT Web'!T$1,FALSE)</f>
        <v>163899.98510000002</v>
      </c>
      <c r="I15" s="22">
        <f>+VLOOKUP($B15,'[3]INT Web'!$B$5:$W$247,'[3]INT Web'!U$1,FALSE)</f>
        <v>26819.985100000002</v>
      </c>
      <c r="J15" s="22">
        <f>+VLOOKUP($B15,'[3]INT Web'!$B$5:$W$247,'[3]INT Web'!V$1,FALSE)</f>
        <v>145279.99</v>
      </c>
      <c r="K15" s="22">
        <f>+VLOOKUP($B15,'[3]INT Web'!$B$5:$W$247,'[3]INT Web'!W$1,FALSE)</f>
        <v>23839.985099999998</v>
      </c>
      <c r="L15" s="12">
        <f t="shared" si="26"/>
        <v>6.0000014526442342</v>
      </c>
      <c r="M15" s="12">
        <f t="shared" si="27"/>
        <v>1.2833709590688771</v>
      </c>
      <c r="N15" s="12">
        <f t="shared" si="28"/>
        <v>6.1111139506188614</v>
      </c>
      <c r="O15" s="12">
        <f t="shared" si="29"/>
        <v>6.0939631208074871</v>
      </c>
      <c r="P15" s="12">
        <f t="shared" si="30"/>
        <v>0.88888882716045936</v>
      </c>
      <c r="Q15" s="263" t="s">
        <v>346</v>
      </c>
      <c r="R15" s="206">
        <f>+VLOOKUP($B15,'Country-Level Tactics'!$B$5:$AL$248,'Country-Level Tactics'!AH$1,FALSE)</f>
        <v>79.989999999999995</v>
      </c>
      <c r="S15" s="206">
        <f>+VLOOKUP($B15,'Country-Level Tactics'!$B$5:$AL$248,'Country-Level Tactics'!X$1,FALSE)</f>
        <v>12.99</v>
      </c>
      <c r="T15" s="206">
        <f>+VLOOKUP($B15,'Country-Level Tactics'!$B$5:$AL$248,'Country-Level Tactics'!AC$1,FALSE)</f>
        <v>59.99</v>
      </c>
      <c r="U15" s="206">
        <f>+VLOOKUP($B15,'Country-Level Tactics'!$B$5:$AL$248,'Country-Level Tactics'!T$1,FALSE)</f>
        <v>9.99</v>
      </c>
      <c r="V15" s="207">
        <f>+MROUND(T15*P15,1)-0.01</f>
        <v>52.99</v>
      </c>
      <c r="W15" s="207">
        <f>+MROUND(U15*P15,1)-0.01</f>
        <v>8.99</v>
      </c>
      <c r="X15" s="12">
        <f t="shared" si="34"/>
        <v>6.157813702848344</v>
      </c>
      <c r="Y15" s="12">
        <f t="shared" si="35"/>
        <v>1.3003003003003002</v>
      </c>
      <c r="Z15" s="12">
        <f t="shared" si="36"/>
        <v>6.005005005005005</v>
      </c>
      <c r="AA15" s="12">
        <f t="shared" si="37"/>
        <v>5.8943270300333701</v>
      </c>
      <c r="AB15" s="12">
        <f t="shared" si="38"/>
        <v>0.89989989989989994</v>
      </c>
      <c r="AD15" s="10">
        <f t="shared" si="39"/>
        <v>-0.99961267671957565</v>
      </c>
      <c r="AE15" s="10">
        <f t="shared" si="40"/>
        <v>-0.99962260302806594</v>
      </c>
      <c r="AF15" s="10">
        <f t="shared" si="41"/>
        <v>-0.99963398410339455</v>
      </c>
      <c r="AG15" s="10">
        <f t="shared" si="42"/>
        <v>-0.99962751657158821</v>
      </c>
      <c r="AH15" s="10">
        <f t="shared" si="43"/>
        <v>-0.99963525603216241</v>
      </c>
      <c r="AI15" s="10">
        <f t="shared" si="44"/>
        <v>-0.99962290244887775</v>
      </c>
      <c r="AK15" s="165" cm="1">
        <f t="array" ref="AK15">_xll.FDS("","P_EXCH_RATE("&amp;Q15&amp;",USD,"&amp;$AK$2&amp;")")</f>
        <v>1</v>
      </c>
      <c r="AL15" s="173">
        <f t="shared" si="45"/>
        <v>79.989999999999995</v>
      </c>
      <c r="AM15" s="173">
        <f t="shared" si="46"/>
        <v>12.99</v>
      </c>
      <c r="AN15" s="173">
        <f t="shared" si="47"/>
        <v>59.99</v>
      </c>
      <c r="AO15" s="173">
        <f t="shared" si="48"/>
        <v>9.99</v>
      </c>
      <c r="AP15" s="173">
        <f t="shared" si="49"/>
        <v>52.99</v>
      </c>
      <c r="AQ15" s="173">
        <f t="shared" si="50"/>
        <v>8.99</v>
      </c>
      <c r="AS15" s="22" t="str">
        <f>+VLOOKUP(B15,'Country &amp; Code Abbreviation'!$B$3:$C$245,2,FALSE)</f>
        <v>AR</v>
      </c>
    </row>
    <row r="16" spans="2:45">
      <c r="B16" s="20" t="s">
        <v>82</v>
      </c>
      <c r="C16" s="20" t="s">
        <v>275</v>
      </c>
      <c r="E16" s="11" t="str">
        <f>+VLOOKUP($B16,'[3]INT Web'!$B$5:$W$247,'[3]INT Web'!Q$1,FALSE)</f>
        <v>AMD</v>
      </c>
      <c r="F16" s="22">
        <f>+VLOOKUP($B16,'[3]INT Web'!$B$5:$W$247,'[3]INT Web'!R$1,FALSE)</f>
        <v>54269.99</v>
      </c>
      <c r="G16" s="22">
        <f>+VLOOKUP($B16,'[3]INT Web'!$B$5:$W$247,'[3]INT Web'!S$1,FALSE)</f>
        <v>9039.99</v>
      </c>
      <c r="H16" s="22">
        <f>+VLOOKUP($B16,'[3]INT Web'!$B$5:$W$247,'[3]INT Web'!T$1,FALSE)</f>
        <v>40199.99</v>
      </c>
      <c r="I16" s="22">
        <f>+VLOOKUP($B16,'[3]INT Web'!$B$5:$W$247,'[3]INT Web'!U$1,FALSE)</f>
        <v>6699.99</v>
      </c>
      <c r="J16" s="22">
        <f>+VLOOKUP($B16,'[3]INT Web'!$B$5:$W$247,'[3]INT Web'!V$1,FALSE)</f>
        <v>36179.99</v>
      </c>
      <c r="K16" s="22">
        <f>+VLOOKUP($B16,'[3]INT Web'!$B$5:$W$247,'[3]INT Web'!W$1,FALSE)</f>
        <v>6029.99</v>
      </c>
      <c r="L16" s="12">
        <f t="shared" si="26"/>
        <v>6.0033241187213706</v>
      </c>
      <c r="M16" s="12">
        <f t="shared" si="27"/>
        <v>1.3492542526182876</v>
      </c>
      <c r="N16" s="12">
        <f t="shared" si="28"/>
        <v>6.0000074626977051</v>
      </c>
      <c r="O16" s="12">
        <f t="shared" si="29"/>
        <v>6.0000082918877142</v>
      </c>
      <c r="P16" s="12">
        <f t="shared" si="30"/>
        <v>0.89999985074604594</v>
      </c>
      <c r="Q16" s="140" t="str">
        <f t="shared" ref="Q16:Q46" si="51">+E16</f>
        <v>AMD</v>
      </c>
      <c r="R16" s="104">
        <f>+VLOOKUP($B16,'Country-Level Tactics'!$B$5:$AL$248,'Country-Level Tactics'!AH$1,FALSE)</f>
        <v>54269.99</v>
      </c>
      <c r="S16" s="104">
        <f>+VLOOKUP($B16,'Country-Level Tactics'!$B$5:$AL$248,'Country-Level Tactics'!X$1,FALSE)</f>
        <v>9039.99</v>
      </c>
      <c r="T16" s="104">
        <f>+VLOOKUP($B16,'Country-Level Tactics'!$B$5:$AL$248,'Country-Level Tactics'!AC$1,FALSE)</f>
        <v>40199.99</v>
      </c>
      <c r="U16" s="104">
        <f>+VLOOKUP($B16,'Country-Level Tactics'!$B$5:$AL$248,'Country-Level Tactics'!T$1,FALSE)</f>
        <v>6699.99</v>
      </c>
      <c r="V16" s="104">
        <f t="shared" ref="V16:V47" si="52">+J16</f>
        <v>36179.99</v>
      </c>
      <c r="W16" s="104">
        <f t="shared" ref="W16:W47" si="53">+K16</f>
        <v>6029.99</v>
      </c>
      <c r="X16" s="12">
        <f t="shared" si="34"/>
        <v>6.0033241187213706</v>
      </c>
      <c r="Y16" s="12">
        <f t="shared" si="35"/>
        <v>1.3492542526182876</v>
      </c>
      <c r="Z16" s="12">
        <f t="shared" si="36"/>
        <v>6.0000074626977051</v>
      </c>
      <c r="AA16" s="12">
        <f t="shared" si="37"/>
        <v>6.0000082918877142</v>
      </c>
      <c r="AB16" s="12">
        <f t="shared" si="38"/>
        <v>0.89999985074604594</v>
      </c>
      <c r="AD16" s="10">
        <f t="shared" si="39"/>
        <v>0</v>
      </c>
      <c r="AE16" s="10">
        <f t="shared" si="40"/>
        <v>0</v>
      </c>
      <c r="AF16" s="10">
        <f t="shared" si="41"/>
        <v>0</v>
      </c>
      <c r="AG16" s="10">
        <f t="shared" si="42"/>
        <v>0</v>
      </c>
      <c r="AH16" s="10">
        <f t="shared" si="43"/>
        <v>0</v>
      </c>
      <c r="AI16" s="10">
        <f t="shared" si="44"/>
        <v>0</v>
      </c>
      <c r="AK16" s="165" cm="1">
        <f t="array" ref="AK16">_xll.FDS("","P_EXCH_RATE("&amp;Q16&amp;",USD,"&amp;$AK$2&amp;")")</f>
        <v>2.7159413E-3</v>
      </c>
      <c r="AL16" s="173">
        <f t="shared" ref="AL16:AL24" si="54">+R16*$AK16</f>
        <v>147.39410719158698</v>
      </c>
      <c r="AM16" s="173">
        <f t="shared" ref="AM16:AM24" si="55">+S16*$AK16</f>
        <v>24.552082192587001</v>
      </c>
      <c r="AN16" s="173">
        <f t="shared" ref="AN16:AN24" si="56">+T16*$AK16</f>
        <v>109.180813100587</v>
      </c>
      <c r="AO16" s="173">
        <f t="shared" ref="AO16:AO24" si="57">+U16*$AK16</f>
        <v>18.196779550586999</v>
      </c>
      <c r="AP16" s="173">
        <f t="shared" ref="AP16:AP24" si="58">+V16*$AK16</f>
        <v>98.262729074587</v>
      </c>
      <c r="AQ16" s="173">
        <f>+W15*$AK16</f>
        <v>2.4416312286999999E-2</v>
      </c>
      <c r="AS16" s="22" t="str">
        <f>+VLOOKUP(B16,'Country &amp; Code Abbreviation'!$B$3:$C$245,2,FALSE)</f>
        <v>AM</v>
      </c>
    </row>
    <row r="17" spans="2:45">
      <c r="B17" s="20" t="s">
        <v>83</v>
      </c>
      <c r="C17" s="20" t="s">
        <v>96</v>
      </c>
      <c r="E17" s="11" t="str">
        <f>+VLOOKUP($B17,'[3]INT Web'!$B$5:$W$247,'[3]INT Web'!Q$1,FALSE)</f>
        <v>AWG</v>
      </c>
      <c r="F17" s="22">
        <f>+VLOOKUP($B17,'[3]INT Web'!$B$5:$W$247,'[3]INT Web'!R$1,FALSE)</f>
        <v>179.99</v>
      </c>
      <c r="G17" s="22">
        <f>+VLOOKUP($B17,'[3]INT Web'!$B$5:$W$247,'[3]INT Web'!S$1,FALSE)</f>
        <v>29.99</v>
      </c>
      <c r="H17" s="22">
        <f>+VLOOKUP($B17,'[3]INT Web'!$B$5:$W$247,'[3]INT Web'!T$1,FALSE)</f>
        <v>131.99</v>
      </c>
      <c r="I17" s="22">
        <f>+VLOOKUP($B17,'[3]INT Web'!$B$5:$W$247,'[3]INT Web'!U$1,FALSE)</f>
        <v>21.99</v>
      </c>
      <c r="J17" s="22">
        <f>+VLOOKUP($B17,'[3]INT Web'!$B$5:$W$247,'[3]INT Web'!V$1,FALSE)</f>
        <v>119.99</v>
      </c>
      <c r="K17" s="22">
        <f>+VLOOKUP($B17,'[3]INT Web'!$B$5:$W$247,'[3]INT Web'!W$1,FALSE)</f>
        <v>19.989999999999998</v>
      </c>
      <c r="L17" s="12">
        <f t="shared" si="26"/>
        <v>6.0016672224074696</v>
      </c>
      <c r="M17" s="12">
        <f t="shared" si="27"/>
        <v>1.3638017280582082</v>
      </c>
      <c r="N17" s="12">
        <f t="shared" si="28"/>
        <v>6.0022737608003647</v>
      </c>
      <c r="O17" s="12">
        <f t="shared" si="29"/>
        <v>6.002501250625313</v>
      </c>
      <c r="P17" s="12">
        <f t="shared" si="30"/>
        <v>0.90904956798544789</v>
      </c>
      <c r="Q17" s="140" t="str">
        <f t="shared" si="51"/>
        <v>AWG</v>
      </c>
      <c r="R17" s="104">
        <f>+VLOOKUP($B17,'Country-Level Tactics'!$B$5:$AL$248,'Country-Level Tactics'!AH$1,FALSE)</f>
        <v>179.99</v>
      </c>
      <c r="S17" s="104">
        <f>+VLOOKUP($B17,'Country-Level Tactics'!$B$5:$AL$248,'Country-Level Tactics'!X$1,FALSE)</f>
        <v>29.99</v>
      </c>
      <c r="T17" s="104">
        <f>+VLOOKUP($B17,'Country-Level Tactics'!$B$5:$AL$248,'Country-Level Tactics'!AC$1,FALSE)</f>
        <v>131.99</v>
      </c>
      <c r="U17" s="104">
        <f>+VLOOKUP($B17,'Country-Level Tactics'!$B$5:$AL$248,'Country-Level Tactics'!T$1,FALSE)</f>
        <v>21.99</v>
      </c>
      <c r="V17" s="104">
        <f t="shared" si="52"/>
        <v>119.99</v>
      </c>
      <c r="W17" s="104">
        <f t="shared" si="53"/>
        <v>19.989999999999998</v>
      </c>
      <c r="X17" s="12">
        <f t="shared" si="34"/>
        <v>6.0016672224074696</v>
      </c>
      <c r="Y17" s="12">
        <f t="shared" si="35"/>
        <v>1.3638017280582082</v>
      </c>
      <c r="Z17" s="12">
        <f t="shared" si="36"/>
        <v>6.0022737608003647</v>
      </c>
      <c r="AA17" s="12">
        <f t="shared" si="37"/>
        <v>6.002501250625313</v>
      </c>
      <c r="AB17" s="12">
        <f t="shared" si="38"/>
        <v>0.90904956798544789</v>
      </c>
      <c r="AD17" s="10">
        <f t="shared" si="39"/>
        <v>0</v>
      </c>
      <c r="AE17" s="10">
        <f t="shared" si="40"/>
        <v>0</v>
      </c>
      <c r="AF17" s="10">
        <f t="shared" si="41"/>
        <v>0</v>
      </c>
      <c r="AG17" s="10">
        <f t="shared" si="42"/>
        <v>0</v>
      </c>
      <c r="AH17" s="10">
        <f t="shared" si="43"/>
        <v>0</v>
      </c>
      <c r="AI17" s="10">
        <f t="shared" si="44"/>
        <v>0</v>
      </c>
      <c r="AK17" s="165" cm="1">
        <f t="array" ref="AK17">_xll.FDS("","P_EXCH_RATE("&amp;Q17&amp;",USD,"&amp;$AK$2&amp;")")</f>
        <v>0.55865925999999999</v>
      </c>
      <c r="AL17" s="173">
        <f t="shared" si="54"/>
        <v>100.5530802074</v>
      </c>
      <c r="AM17" s="173">
        <f t="shared" si="55"/>
        <v>16.754191207399998</v>
      </c>
      <c r="AN17" s="173">
        <f t="shared" si="56"/>
        <v>73.737435727399998</v>
      </c>
      <c r="AO17" s="173">
        <f t="shared" si="57"/>
        <v>12.284917127399998</v>
      </c>
      <c r="AP17" s="173">
        <f t="shared" si="58"/>
        <v>67.033524607399997</v>
      </c>
      <c r="AQ17" s="173">
        <f t="shared" ref="AQ17:AQ24" si="59">+W17*$AK17</f>
        <v>11.167598607399999</v>
      </c>
      <c r="AS17" s="22" t="str">
        <f>+VLOOKUP(B17,'Country &amp; Code Abbreviation'!$B$3:$C$245,2,FALSE)</f>
        <v>AW</v>
      </c>
    </row>
    <row r="18" spans="2:45">
      <c r="B18" s="21" t="s">
        <v>84</v>
      </c>
      <c r="C18" s="21" t="s">
        <v>182</v>
      </c>
      <c r="D18" s="6" t="s">
        <v>347</v>
      </c>
      <c r="E18" s="11" t="str">
        <f>+VLOOKUP($B18,'[3]INT Web'!$B$5:$W$247,'[3]INT Web'!Q$1,FALSE)</f>
        <v>AUD</v>
      </c>
      <c r="F18" s="22">
        <f>+VLOOKUP($B18,'[3]INT Web'!$B$5:$W$247,'[3]INT Web'!R$1,FALSE)</f>
        <v>229.99</v>
      </c>
      <c r="G18" s="22">
        <f>+VLOOKUP($B18,'[3]INT Web'!$B$5:$W$247,'[3]INT Web'!S$1,FALSE)</f>
        <v>32.99</v>
      </c>
      <c r="H18" s="22">
        <f>+VLOOKUP($B18,'[3]INT Web'!$B$5:$W$247,'[3]INT Web'!T$1,FALSE)</f>
        <v>174.99</v>
      </c>
      <c r="I18" s="22">
        <f>+VLOOKUP($B18,'[3]INT Web'!$B$5:$W$247,'[3]INT Web'!U$1,FALSE)</f>
        <v>24.99</v>
      </c>
      <c r="J18" s="22">
        <f>+VLOOKUP($B18,'[3]INT Web'!$B$5:$W$247,'[3]INT Web'!V$1,FALSE)</f>
        <v>153.99</v>
      </c>
      <c r="K18" s="22">
        <f>+VLOOKUP($B18,'[3]INT Web'!$B$5:$W$247,'[3]INT Web'!W$1,FALSE)</f>
        <v>21.99</v>
      </c>
      <c r="L18" s="12">
        <f t="shared" si="26"/>
        <v>6.9715065171264019</v>
      </c>
      <c r="M18" s="12">
        <f t="shared" si="27"/>
        <v>1.3201280512204883</v>
      </c>
      <c r="N18" s="12">
        <f t="shared" si="28"/>
        <v>7.0024009603841542</v>
      </c>
      <c r="O18" s="12">
        <f t="shared" si="29"/>
        <v>7.0027285129604371</v>
      </c>
      <c r="P18" s="12">
        <f t="shared" si="30"/>
        <v>0.87995198079231696</v>
      </c>
      <c r="Q18" s="140" t="str">
        <f t="shared" si="51"/>
        <v>AUD</v>
      </c>
      <c r="R18" s="205">
        <f>+VLOOKUP($B18,'Country-Level Tactics'!$B$5:$AL$248,'Country-Level Tactics'!AH$1,FALSE)</f>
        <v>244.99</v>
      </c>
      <c r="S18" s="205">
        <f>+VLOOKUP($B18,'Country-Level Tactics'!$B$5:$AL$248,'Country-Level Tactics'!X$1,FALSE)</f>
        <v>34.99</v>
      </c>
      <c r="T18" s="104">
        <f>+VLOOKUP($B18,'Country-Level Tactics'!$B$5:$AL$248,'Country-Level Tactics'!AC$1,FALSE)</f>
        <v>174.99</v>
      </c>
      <c r="U18" s="104">
        <f>+VLOOKUP($B18,'Country-Level Tactics'!$B$5:$AL$248,'Country-Level Tactics'!T$1,FALSE)</f>
        <v>24.99</v>
      </c>
      <c r="V18" s="104">
        <f t="shared" si="52"/>
        <v>153.99</v>
      </c>
      <c r="W18" s="104">
        <f t="shared" si="53"/>
        <v>21.99</v>
      </c>
      <c r="X18" s="12">
        <f t="shared" si="34"/>
        <v>7.0017147756501856</v>
      </c>
      <c r="Y18" s="12">
        <f t="shared" si="35"/>
        <v>1.4001600640256104</v>
      </c>
      <c r="Z18" s="12">
        <f t="shared" si="36"/>
        <v>7.0024009603841542</v>
      </c>
      <c r="AA18" s="12">
        <f t="shared" si="37"/>
        <v>7.0027285129604371</v>
      </c>
      <c r="AB18" s="12">
        <f t="shared" si="38"/>
        <v>0.87995198079231696</v>
      </c>
      <c r="AD18" s="10">
        <f t="shared" si="39"/>
        <v>6.5220226966389738E-2</v>
      </c>
      <c r="AE18" s="10">
        <f t="shared" si="40"/>
        <v>6.0624431645953214E-2</v>
      </c>
      <c r="AF18" s="10">
        <f t="shared" si="41"/>
        <v>0</v>
      </c>
      <c r="AG18" s="10">
        <f t="shared" si="42"/>
        <v>0</v>
      </c>
      <c r="AH18" s="10">
        <f t="shared" si="43"/>
        <v>0</v>
      </c>
      <c r="AI18" s="10">
        <f t="shared" si="44"/>
        <v>0</v>
      </c>
      <c r="AK18" s="165" cm="1">
        <f t="array" ref="AK18">_xll.FDS("","P_EXCH_RATE("&amp;Q18&amp;",USD,"&amp;$AK$2&amp;")")</f>
        <v>0.69374999999999998</v>
      </c>
      <c r="AL18" s="173">
        <f t="shared" si="54"/>
        <v>169.96181250000001</v>
      </c>
      <c r="AM18" s="173">
        <f t="shared" si="55"/>
        <v>24.274312500000001</v>
      </c>
      <c r="AN18" s="173">
        <f t="shared" si="56"/>
        <v>121.39931250000001</v>
      </c>
      <c r="AO18" s="173">
        <f t="shared" si="57"/>
        <v>17.336812499999997</v>
      </c>
      <c r="AP18" s="173">
        <f t="shared" si="58"/>
        <v>106.8305625</v>
      </c>
      <c r="AQ18" s="173">
        <f t="shared" si="59"/>
        <v>15.255562499999998</v>
      </c>
      <c r="AS18" s="22" t="str">
        <f>+VLOOKUP(B18,'Country &amp; Code Abbreviation'!$B$3:$C$245,2,FALSE)</f>
        <v>AU</v>
      </c>
    </row>
    <row r="19" spans="2:45">
      <c r="B19" s="199" t="s">
        <v>85</v>
      </c>
      <c r="C19" s="199" t="s">
        <v>100</v>
      </c>
      <c r="E19" s="11" t="str">
        <f>+VLOOKUP($B19,'[3]INT Web'!$B$5:$W$247,'[3]INT Web'!Q$1,FALSE)</f>
        <v>EUR</v>
      </c>
      <c r="F19" s="22">
        <f>+VLOOKUP($B19,'[3]INT Web'!$B$5:$W$247,'[3]INT Web'!R$1,FALSE)</f>
        <v>159.99</v>
      </c>
      <c r="G19" s="22">
        <f>+VLOOKUP($B19,'[3]INT Web'!$B$5:$W$247,'[3]INT Web'!S$1,FALSE)</f>
        <v>23.99</v>
      </c>
      <c r="H19" s="22">
        <f>+VLOOKUP($B19,'[3]INT Web'!$B$5:$W$247,'[3]INT Web'!T$1,FALSE)</f>
        <v>116.99</v>
      </c>
      <c r="I19" s="22">
        <f>+VLOOKUP($B19,'[3]INT Web'!$B$5:$W$247,'[3]INT Web'!U$1,FALSE)</f>
        <v>17.989999999999998</v>
      </c>
      <c r="J19" s="22">
        <f>+VLOOKUP($B19,'[3]INT Web'!$B$5:$W$247,'[3]INT Web'!V$1,FALSE)</f>
        <v>104.99</v>
      </c>
      <c r="K19" s="22">
        <f>+VLOOKUP($B19,'[3]INT Web'!$B$5:$W$247,'[3]INT Web'!W$1,FALSE)</f>
        <v>15.99</v>
      </c>
      <c r="L19" s="12">
        <f t="shared" si="26"/>
        <v>6.6690287619841611</v>
      </c>
      <c r="M19" s="12">
        <f t="shared" si="27"/>
        <v>1.3335186214563646</v>
      </c>
      <c r="N19" s="12">
        <f t="shared" si="28"/>
        <v>6.5030572540300167</v>
      </c>
      <c r="O19" s="12">
        <f t="shared" si="29"/>
        <v>6.5659787367104432</v>
      </c>
      <c r="P19" s="12">
        <f t="shared" si="30"/>
        <v>0.88882712618121185</v>
      </c>
      <c r="Q19" s="140" t="str">
        <f t="shared" si="51"/>
        <v>EUR</v>
      </c>
      <c r="R19" s="104">
        <f>+VLOOKUP($B19,'Country-Level Tactics'!$B$5:$AL$248,'Country-Level Tactics'!AH$1,FALSE)</f>
        <v>159.99</v>
      </c>
      <c r="S19" s="104">
        <f>+VLOOKUP($B19,'Country-Level Tactics'!$B$5:$AL$248,'Country-Level Tactics'!X$1,FALSE)</f>
        <v>23.99</v>
      </c>
      <c r="T19" s="104">
        <f>+VLOOKUP($B19,'Country-Level Tactics'!$B$5:$AL$248,'Country-Level Tactics'!AC$1,FALSE)</f>
        <v>116.99</v>
      </c>
      <c r="U19" s="104">
        <f>+VLOOKUP($B19,'Country-Level Tactics'!$B$5:$AL$248,'Country-Level Tactics'!T$1,FALSE)</f>
        <v>17.989999999999998</v>
      </c>
      <c r="V19" s="104">
        <f t="shared" si="52"/>
        <v>104.99</v>
      </c>
      <c r="W19" s="104">
        <f t="shared" si="53"/>
        <v>15.99</v>
      </c>
      <c r="X19" s="12">
        <f t="shared" si="34"/>
        <v>6.6690287619841611</v>
      </c>
      <c r="Y19" s="12">
        <f t="shared" si="35"/>
        <v>1.3335186214563646</v>
      </c>
      <c r="Z19" s="12">
        <f t="shared" si="36"/>
        <v>6.5030572540300167</v>
      </c>
      <c r="AA19" s="12">
        <f t="shared" si="37"/>
        <v>6.5659787367104432</v>
      </c>
      <c r="AB19" s="12">
        <f t="shared" si="38"/>
        <v>0.88882712618121185</v>
      </c>
      <c r="AD19" s="10">
        <f t="shared" si="39"/>
        <v>0</v>
      </c>
      <c r="AE19" s="10">
        <f t="shared" si="40"/>
        <v>0</v>
      </c>
      <c r="AF19" s="10">
        <f t="shared" si="41"/>
        <v>0</v>
      </c>
      <c r="AG19" s="10">
        <f t="shared" si="42"/>
        <v>0</v>
      </c>
      <c r="AH19" s="10">
        <f t="shared" si="43"/>
        <v>0</v>
      </c>
      <c r="AI19" s="10">
        <f t="shared" si="44"/>
        <v>0</v>
      </c>
      <c r="AK19" s="165" cm="1">
        <f t="array" ref="AK19">_xll.FDS("","P_EXCH_RATE("&amp;Q19&amp;",USD,"&amp;$AK$2&amp;")")</f>
        <v>1.14175</v>
      </c>
      <c r="AL19" s="173">
        <f t="shared" si="54"/>
        <v>182.66858250000001</v>
      </c>
      <c r="AM19" s="173">
        <f t="shared" si="55"/>
        <v>27.390582500000001</v>
      </c>
      <c r="AN19" s="173">
        <f t="shared" si="56"/>
        <v>133.57333249999999</v>
      </c>
      <c r="AO19" s="173">
        <f t="shared" si="57"/>
        <v>20.5400825</v>
      </c>
      <c r="AP19" s="173">
        <f t="shared" si="58"/>
        <v>119.8723325</v>
      </c>
      <c r="AQ19" s="173">
        <f t="shared" si="59"/>
        <v>18.2565825</v>
      </c>
      <c r="AS19" s="22" t="str">
        <f>+VLOOKUP(B19,'Country &amp; Code Abbreviation'!$B$3:$C$245,2,FALSE)</f>
        <v>AT</v>
      </c>
    </row>
    <row r="20" spans="2:45">
      <c r="B20" s="20" t="s">
        <v>86</v>
      </c>
      <c r="C20" s="20" t="s">
        <v>275</v>
      </c>
      <c r="E20" s="11" t="str">
        <f>+VLOOKUP($B20,'[3]INT Web'!$B$5:$W$247,'[3]INT Web'!Q$1,FALSE)</f>
        <v>AZN</v>
      </c>
      <c r="F20" s="22">
        <f>+VLOOKUP($B20,'[3]INT Web'!$B$5:$W$247,'[3]INT Web'!R$1,FALSE)</f>
        <v>179.99</v>
      </c>
      <c r="G20" s="22">
        <f>+VLOOKUP($B20,'[3]INT Web'!$B$5:$W$247,'[3]INT Web'!S$1,FALSE)</f>
        <v>29.99</v>
      </c>
      <c r="H20" s="22">
        <f>+VLOOKUP($B20,'[3]INT Web'!$B$5:$W$247,'[3]INT Web'!T$1,FALSE)</f>
        <v>129.99</v>
      </c>
      <c r="I20" s="22">
        <f>+VLOOKUP($B20,'[3]INT Web'!$B$5:$W$247,'[3]INT Web'!U$1,FALSE)</f>
        <v>21.99</v>
      </c>
      <c r="J20" s="22">
        <f>+VLOOKUP($B20,'[3]INT Web'!$B$5:$W$247,'[3]INT Web'!V$1,FALSE)</f>
        <v>119.99</v>
      </c>
      <c r="K20" s="22">
        <f>+VLOOKUP($B20,'[3]INT Web'!$B$5:$W$247,'[3]INT Web'!W$1,FALSE)</f>
        <v>19.989999999999998</v>
      </c>
      <c r="L20" s="12">
        <f t="shared" si="26"/>
        <v>6.0016672224074696</v>
      </c>
      <c r="M20" s="12">
        <f t="shared" si="27"/>
        <v>1.3638017280582082</v>
      </c>
      <c r="N20" s="12">
        <f t="shared" si="28"/>
        <v>5.9113233287858122</v>
      </c>
      <c r="O20" s="12">
        <f t="shared" si="29"/>
        <v>6.002501250625313</v>
      </c>
      <c r="P20" s="12">
        <f t="shared" si="30"/>
        <v>0.90904956798544789</v>
      </c>
      <c r="Q20" s="140" t="str">
        <f t="shared" si="51"/>
        <v>AZN</v>
      </c>
      <c r="R20" s="104">
        <f>+VLOOKUP($B20,'Country-Level Tactics'!$B$5:$AL$248,'Country-Level Tactics'!AH$1,FALSE)</f>
        <v>179.99</v>
      </c>
      <c r="S20" s="104">
        <f>+VLOOKUP($B20,'Country-Level Tactics'!$B$5:$AL$248,'Country-Level Tactics'!X$1,FALSE)</f>
        <v>29.99</v>
      </c>
      <c r="T20" s="104">
        <f>+VLOOKUP($B20,'Country-Level Tactics'!$B$5:$AL$248,'Country-Level Tactics'!AC$1,FALSE)</f>
        <v>129.99</v>
      </c>
      <c r="U20" s="104">
        <f>+VLOOKUP($B20,'Country-Level Tactics'!$B$5:$AL$248,'Country-Level Tactics'!T$1,FALSE)</f>
        <v>21.99</v>
      </c>
      <c r="V20" s="104">
        <f t="shared" si="52"/>
        <v>119.99</v>
      </c>
      <c r="W20" s="104">
        <f t="shared" si="53"/>
        <v>19.989999999999998</v>
      </c>
      <c r="X20" s="12">
        <f t="shared" si="34"/>
        <v>6.0016672224074696</v>
      </c>
      <c r="Y20" s="12">
        <f t="shared" si="35"/>
        <v>1.3638017280582082</v>
      </c>
      <c r="Z20" s="12">
        <f t="shared" si="36"/>
        <v>5.9113233287858122</v>
      </c>
      <c r="AA20" s="12">
        <f t="shared" si="37"/>
        <v>6.002501250625313</v>
      </c>
      <c r="AB20" s="12">
        <f t="shared" si="38"/>
        <v>0.90904956798544789</v>
      </c>
      <c r="AD20" s="10">
        <f t="shared" si="39"/>
        <v>0</v>
      </c>
      <c r="AE20" s="10">
        <f t="shared" si="40"/>
        <v>0</v>
      </c>
      <c r="AF20" s="10">
        <f t="shared" si="41"/>
        <v>0</v>
      </c>
      <c r="AG20" s="10">
        <f t="shared" si="42"/>
        <v>0</v>
      </c>
      <c r="AH20" s="10">
        <f t="shared" si="43"/>
        <v>0</v>
      </c>
      <c r="AI20" s="10">
        <f t="shared" si="44"/>
        <v>0</v>
      </c>
      <c r="AK20" s="165" cm="1">
        <f t="array" ref="AK20">_xll.FDS("","P_EXCH_RATE("&amp;Q20&amp;",USD,"&amp;$AK$2&amp;")")</f>
        <v>0.58823526000000004</v>
      </c>
      <c r="AL20" s="173">
        <f t="shared" si="54"/>
        <v>105.87646444740001</v>
      </c>
      <c r="AM20" s="173">
        <f t="shared" si="55"/>
        <v>17.641175447399998</v>
      </c>
      <c r="AN20" s="173">
        <f t="shared" si="56"/>
        <v>76.464701447400017</v>
      </c>
      <c r="AO20" s="173">
        <f t="shared" si="57"/>
        <v>12.9352933674</v>
      </c>
      <c r="AP20" s="173">
        <f t="shared" si="58"/>
        <v>70.582348847399999</v>
      </c>
      <c r="AQ20" s="173">
        <f t="shared" si="59"/>
        <v>11.758822847399999</v>
      </c>
      <c r="AS20" s="22" t="str">
        <f>+VLOOKUP(B20,'Country &amp; Code Abbreviation'!$B$3:$C$245,2,FALSE)</f>
        <v>AZ</v>
      </c>
    </row>
    <row r="21" spans="2:45">
      <c r="B21" s="20" t="s">
        <v>87</v>
      </c>
      <c r="C21" s="20" t="s">
        <v>96</v>
      </c>
      <c r="E21" s="11" t="str">
        <f>+VLOOKUP($B21,'[3]INT Web'!$B$5:$W$247,'[3]INT Web'!Q$1,FALSE)</f>
        <v>BSD</v>
      </c>
      <c r="F21" s="22">
        <f>+VLOOKUP($B21,'[3]INT Web'!$B$5:$W$247,'[3]INT Web'!R$1,FALSE)</f>
        <v>95.99</v>
      </c>
      <c r="G21" s="22">
        <f>+VLOOKUP($B21,'[3]INT Web'!$B$5:$W$247,'[3]INT Web'!S$1,FALSE)</f>
        <v>15.99</v>
      </c>
      <c r="H21" s="22">
        <f>+VLOOKUP($B21,'[3]INT Web'!$B$5:$W$247,'[3]INT Web'!T$1,FALSE)</f>
        <v>71.989999999999995</v>
      </c>
      <c r="I21" s="22">
        <f>+VLOOKUP($B21,'[3]INT Web'!$B$5:$W$247,'[3]INT Web'!U$1,FALSE)</f>
        <v>11.99</v>
      </c>
      <c r="J21" s="22">
        <f>+VLOOKUP($B21,'[3]INT Web'!$B$5:$W$247,'[3]INT Web'!V$1,FALSE)</f>
        <v>65.989999999999995</v>
      </c>
      <c r="K21" s="22">
        <f>+VLOOKUP($B21,'[3]INT Web'!$B$5:$W$247,'[3]INT Web'!W$1,FALSE)</f>
        <v>10.99</v>
      </c>
      <c r="L21" s="12">
        <f t="shared" si="26"/>
        <v>6.0031269543464658</v>
      </c>
      <c r="M21" s="12">
        <f t="shared" si="27"/>
        <v>1.3336113427856546</v>
      </c>
      <c r="N21" s="12">
        <f t="shared" si="28"/>
        <v>6.0041701417848206</v>
      </c>
      <c r="O21" s="12">
        <f t="shared" si="29"/>
        <v>6.0045495905368513</v>
      </c>
      <c r="P21" s="12">
        <f t="shared" si="30"/>
        <v>0.91659716430358629</v>
      </c>
      <c r="Q21" s="140" t="str">
        <f t="shared" si="51"/>
        <v>BSD</v>
      </c>
      <c r="R21" s="104">
        <f>+VLOOKUP($B21,'Country-Level Tactics'!$B$5:$AL$248,'Country-Level Tactics'!AH$1,FALSE)</f>
        <v>95.99</v>
      </c>
      <c r="S21" s="104">
        <f>+VLOOKUP($B21,'Country-Level Tactics'!$B$5:$AL$248,'Country-Level Tactics'!X$1,FALSE)</f>
        <v>15.99</v>
      </c>
      <c r="T21" s="104">
        <f>+VLOOKUP($B21,'Country-Level Tactics'!$B$5:$AL$248,'Country-Level Tactics'!AC$1,FALSE)</f>
        <v>71.989999999999995</v>
      </c>
      <c r="U21" s="104">
        <f>+VLOOKUP($B21,'Country-Level Tactics'!$B$5:$AL$248,'Country-Level Tactics'!T$1,FALSE)</f>
        <v>11.99</v>
      </c>
      <c r="V21" s="104">
        <f t="shared" si="52"/>
        <v>65.989999999999995</v>
      </c>
      <c r="W21" s="104">
        <f t="shared" si="53"/>
        <v>10.99</v>
      </c>
      <c r="X21" s="12">
        <f t="shared" si="34"/>
        <v>6.0031269543464658</v>
      </c>
      <c r="Y21" s="12">
        <f t="shared" si="35"/>
        <v>1.3336113427856546</v>
      </c>
      <c r="Z21" s="12">
        <f t="shared" si="36"/>
        <v>6.0041701417848206</v>
      </c>
      <c r="AA21" s="12">
        <f t="shared" si="37"/>
        <v>6.0045495905368513</v>
      </c>
      <c r="AB21" s="12">
        <f t="shared" si="38"/>
        <v>0.91659716430358629</v>
      </c>
      <c r="AD21" s="10">
        <f t="shared" si="39"/>
        <v>0</v>
      </c>
      <c r="AE21" s="10">
        <f t="shared" si="40"/>
        <v>0</v>
      </c>
      <c r="AF21" s="10">
        <f t="shared" si="41"/>
        <v>0</v>
      </c>
      <c r="AG21" s="10">
        <f t="shared" si="42"/>
        <v>0</v>
      </c>
      <c r="AH21" s="10">
        <f t="shared" si="43"/>
        <v>0</v>
      </c>
      <c r="AI21" s="10">
        <f t="shared" si="44"/>
        <v>0</v>
      </c>
      <c r="AK21" s="165" cm="1">
        <f t="array" ref="AK21">_xll.FDS("","P_EXCH_RATE("&amp;Q21&amp;",USD,"&amp;$AK$2&amp;")")</f>
        <v>1</v>
      </c>
      <c r="AL21" s="173">
        <f t="shared" si="54"/>
        <v>95.99</v>
      </c>
      <c r="AM21" s="173">
        <f t="shared" si="55"/>
        <v>15.99</v>
      </c>
      <c r="AN21" s="173">
        <f t="shared" si="56"/>
        <v>71.989999999999995</v>
      </c>
      <c r="AO21" s="173">
        <f t="shared" si="57"/>
        <v>11.99</v>
      </c>
      <c r="AP21" s="173">
        <f t="shared" si="58"/>
        <v>65.989999999999995</v>
      </c>
      <c r="AQ21" s="173">
        <f t="shared" si="59"/>
        <v>10.99</v>
      </c>
      <c r="AS21" s="22" t="str">
        <f>+VLOOKUP(B21,'Country &amp; Code Abbreviation'!$B$3:$C$245,2,FALSE)</f>
        <v>BS</v>
      </c>
    </row>
    <row r="22" spans="2:45">
      <c r="B22" s="20" t="s">
        <v>88</v>
      </c>
      <c r="C22" s="20" t="s">
        <v>275</v>
      </c>
      <c r="E22" s="11" t="str">
        <f>+VLOOKUP($B22,'[3]INT Web'!$B$5:$W$247,'[3]INT Web'!Q$1,FALSE)</f>
        <v>BHD</v>
      </c>
      <c r="F22" s="190">
        <f>+VLOOKUP($B22,'[3]INT Web'!$B$5:$W$247,'[3]INT Web'!R$1,FALSE)</f>
        <v>59.999000000000002</v>
      </c>
      <c r="G22" s="190">
        <f>+VLOOKUP($B22,'[3]INT Web'!$B$5:$W$247,'[3]INT Web'!S$1,FALSE)</f>
        <v>8.9990000000000006</v>
      </c>
      <c r="H22" s="190">
        <f>+VLOOKUP($B22,'[3]INT Web'!$B$5:$W$247,'[3]INT Web'!T$1,FALSE)</f>
        <v>49.999000000000002</v>
      </c>
      <c r="I22" s="190">
        <f>+VLOOKUP($B22,'[3]INT Web'!$B$5:$W$247,'[3]INT Web'!U$1,FALSE)</f>
        <v>6.9989999999999997</v>
      </c>
      <c r="J22" s="190">
        <f>+VLOOKUP($B22,'[3]INT Web'!$B$5:$W$247,'[3]INT Web'!V$1,FALSE)</f>
        <v>39.999000000000002</v>
      </c>
      <c r="K22" s="190">
        <f>+VLOOKUP($B22,'[3]INT Web'!$B$5:$W$247,'[3]INT Web'!W$1,FALSE)</f>
        <v>5.9989999999999997</v>
      </c>
      <c r="L22" s="12">
        <f t="shared" si="26"/>
        <v>6.6672963662629181</v>
      </c>
      <c r="M22" s="12">
        <f t="shared" si="27"/>
        <v>1.2857551078725533</v>
      </c>
      <c r="N22" s="12">
        <f t="shared" si="28"/>
        <v>7.1437348192598948</v>
      </c>
      <c r="O22" s="12">
        <f t="shared" si="29"/>
        <v>6.6676112685447579</v>
      </c>
      <c r="P22" s="12">
        <f t="shared" si="30"/>
        <v>0.85712244606372334</v>
      </c>
      <c r="Q22" s="141" t="str">
        <f t="shared" si="51"/>
        <v>BHD</v>
      </c>
      <c r="R22" s="135">
        <f>+VLOOKUP($B22,'Country-Level Tactics'!$B$5:$AL$248,'Country-Level Tactics'!AH$1,FALSE)</f>
        <v>59.999000000000002</v>
      </c>
      <c r="S22" s="135">
        <f>+VLOOKUP($B22,'Country-Level Tactics'!$B$5:$AL$248,'Country-Level Tactics'!X$1,FALSE)</f>
        <v>8.9990000000000006</v>
      </c>
      <c r="T22" s="135">
        <f>+VLOOKUP($B22,'Country-Level Tactics'!$B$5:$AL$248,'Country-Level Tactics'!AC$1,FALSE)</f>
        <v>49.999000000000002</v>
      </c>
      <c r="U22" s="135">
        <f>+VLOOKUP($B22,'Country-Level Tactics'!$B$5:$AL$248,'Country-Level Tactics'!T$1,FALSE)</f>
        <v>6.9989999999999997</v>
      </c>
      <c r="V22" s="135">
        <f t="shared" si="52"/>
        <v>39.999000000000002</v>
      </c>
      <c r="W22" s="135">
        <f t="shared" si="53"/>
        <v>5.9989999999999997</v>
      </c>
      <c r="X22" s="12">
        <f t="shared" si="34"/>
        <v>6.6672963662629181</v>
      </c>
      <c r="Y22" s="12">
        <f t="shared" si="35"/>
        <v>1.2857551078725533</v>
      </c>
      <c r="Z22" s="12">
        <f t="shared" si="36"/>
        <v>7.1437348192598948</v>
      </c>
      <c r="AA22" s="12">
        <f t="shared" si="37"/>
        <v>6.6676112685447579</v>
      </c>
      <c r="AB22" s="12">
        <f t="shared" si="38"/>
        <v>0.85712244606372334</v>
      </c>
      <c r="AD22" s="10">
        <f t="shared" si="39"/>
        <v>0</v>
      </c>
      <c r="AE22" s="10">
        <f t="shared" si="40"/>
        <v>0</v>
      </c>
      <c r="AF22" s="10">
        <f t="shared" si="41"/>
        <v>0</v>
      </c>
      <c r="AG22" s="10">
        <f t="shared" si="42"/>
        <v>0</v>
      </c>
      <c r="AH22" s="10">
        <f t="shared" si="43"/>
        <v>0</v>
      </c>
      <c r="AI22" s="10">
        <f t="shared" si="44"/>
        <v>0</v>
      </c>
      <c r="AK22" s="165" cm="1">
        <f t="array" ref="AK22">_xll.FDS("","P_EXCH_RATE("&amp;Q22&amp;",USD,"&amp;$AK$2&amp;")")</f>
        <v>2.65252</v>
      </c>
      <c r="AL22" s="173">
        <f t="shared" si="54"/>
        <v>159.14854748000002</v>
      </c>
      <c r="AM22" s="173">
        <f t="shared" si="55"/>
        <v>23.870027480000001</v>
      </c>
      <c r="AN22" s="173">
        <f t="shared" si="56"/>
        <v>132.62334748000001</v>
      </c>
      <c r="AO22" s="173">
        <f t="shared" si="57"/>
        <v>18.564987479999999</v>
      </c>
      <c r="AP22" s="173">
        <f t="shared" si="58"/>
        <v>106.09814748000001</v>
      </c>
      <c r="AQ22" s="173">
        <f t="shared" si="59"/>
        <v>15.912467479999998</v>
      </c>
      <c r="AS22" s="22" t="str">
        <f>+VLOOKUP(B22,'Country &amp; Code Abbreviation'!$B$3:$C$245,2,FALSE)</f>
        <v>BH</v>
      </c>
    </row>
    <row r="23" spans="2:45">
      <c r="B23" s="20" t="s">
        <v>89</v>
      </c>
      <c r="C23" s="20" t="s">
        <v>182</v>
      </c>
      <c r="E23" s="11" t="str">
        <f>+VLOOKUP($B23,'[3]INT Web'!$B$5:$W$247,'[3]INT Web'!Q$1,FALSE)</f>
        <v>BDT</v>
      </c>
      <c r="F23" s="22">
        <f>+VLOOKUP($B23,'[3]INT Web'!$B$5:$W$247,'[3]INT Web'!R$1,FALSE)</f>
        <v>6071.99</v>
      </c>
      <c r="G23" s="22">
        <f>+VLOOKUP($B23,'[3]INT Web'!$B$5:$W$247,'[3]INT Web'!S$1,FALSE)</f>
        <v>1011.99</v>
      </c>
      <c r="H23" s="22">
        <f>+VLOOKUP($B23,'[3]INT Web'!$B$5:$W$247,'[3]INT Web'!T$1,FALSE)</f>
        <v>4499.99</v>
      </c>
      <c r="I23" s="22">
        <f>+VLOOKUP($B23,'[3]INT Web'!$B$5:$W$247,'[3]INT Web'!U$1,FALSE)</f>
        <v>749.99</v>
      </c>
      <c r="J23" s="22">
        <f>+VLOOKUP($B23,'[3]INT Web'!$B$5:$W$247,'[3]INT Web'!V$1,FALSE)</f>
        <v>4049.99</v>
      </c>
      <c r="K23" s="22">
        <f>+VLOOKUP($B23,'[3]INT Web'!$B$5:$W$247,'[3]INT Web'!W$1,FALSE)</f>
        <v>674.99</v>
      </c>
      <c r="L23" s="12">
        <f t="shared" si="26"/>
        <v>6.0000494076028419</v>
      </c>
      <c r="M23" s="12">
        <f t="shared" si="27"/>
        <v>1.3493379911732157</v>
      </c>
      <c r="N23" s="12">
        <f t="shared" si="28"/>
        <v>6.0000666675555667</v>
      </c>
      <c r="O23" s="12">
        <f t="shared" si="29"/>
        <v>6.0000740751714838</v>
      </c>
      <c r="P23" s="12">
        <f t="shared" si="30"/>
        <v>0.89999866664888861</v>
      </c>
      <c r="Q23" s="140" t="str">
        <f t="shared" si="51"/>
        <v>BDT</v>
      </c>
      <c r="R23" s="104">
        <f>+VLOOKUP($B23,'Country-Level Tactics'!$B$5:$AL$248,'Country-Level Tactics'!AH$1,FALSE)</f>
        <v>6071.99</v>
      </c>
      <c r="S23" s="104">
        <f>+VLOOKUP($B23,'Country-Level Tactics'!$B$5:$AL$248,'Country-Level Tactics'!X$1,FALSE)</f>
        <v>1011.99</v>
      </c>
      <c r="T23" s="104">
        <f>+VLOOKUP($B23,'Country-Level Tactics'!$B$5:$AL$248,'Country-Level Tactics'!AC$1,FALSE)</f>
        <v>4499.99</v>
      </c>
      <c r="U23" s="104">
        <f>+VLOOKUP($B23,'Country-Level Tactics'!$B$5:$AL$248,'Country-Level Tactics'!T$1,FALSE)</f>
        <v>749.99</v>
      </c>
      <c r="V23" s="104">
        <f t="shared" si="52"/>
        <v>4049.99</v>
      </c>
      <c r="W23" s="104">
        <f t="shared" si="53"/>
        <v>674.99</v>
      </c>
      <c r="X23" s="12">
        <f t="shared" si="34"/>
        <v>6.0000494076028419</v>
      </c>
      <c r="Y23" s="12">
        <f t="shared" si="35"/>
        <v>1.3493379911732157</v>
      </c>
      <c r="Z23" s="12">
        <f t="shared" si="36"/>
        <v>6.0000666675555667</v>
      </c>
      <c r="AA23" s="12">
        <f t="shared" si="37"/>
        <v>6.0000740751714838</v>
      </c>
      <c r="AB23" s="12">
        <f t="shared" si="38"/>
        <v>0.89999866664888861</v>
      </c>
      <c r="AD23" s="10">
        <f t="shared" si="39"/>
        <v>0</v>
      </c>
      <c r="AE23" s="10">
        <f t="shared" si="40"/>
        <v>0</v>
      </c>
      <c r="AF23" s="10">
        <f t="shared" si="41"/>
        <v>0</v>
      </c>
      <c r="AG23" s="10">
        <f t="shared" si="42"/>
        <v>0</v>
      </c>
      <c r="AH23" s="10">
        <f t="shared" si="43"/>
        <v>0</v>
      </c>
      <c r="AI23" s="10">
        <f t="shared" si="44"/>
        <v>0</v>
      </c>
      <c r="AK23" s="165">
        <v>8.1135900000000004E-3</v>
      </c>
      <c r="AL23" s="173">
        <f t="shared" si="54"/>
        <v>49.2656373441</v>
      </c>
      <c r="AM23" s="173">
        <f t="shared" si="55"/>
        <v>8.2108719441000009</v>
      </c>
      <c r="AN23" s="173">
        <f t="shared" si="56"/>
        <v>36.511073864099998</v>
      </c>
      <c r="AO23" s="173">
        <f t="shared" si="57"/>
        <v>6.0851113641000003</v>
      </c>
      <c r="AP23" s="173">
        <f t="shared" si="58"/>
        <v>32.859958364100002</v>
      </c>
      <c r="AQ23" s="173">
        <f t="shared" si="59"/>
        <v>5.4765921141000007</v>
      </c>
      <c r="AS23" s="22" t="str">
        <f>+VLOOKUP(B23,'Country &amp; Code Abbreviation'!$B$3:$C$245,2,FALSE)</f>
        <v>BD</v>
      </c>
    </row>
    <row r="24" spans="2:45">
      <c r="B24" s="20" t="s">
        <v>90</v>
      </c>
      <c r="C24" s="20" t="s">
        <v>96</v>
      </c>
      <c r="E24" s="11" t="str">
        <f>+VLOOKUP($B24,'[3]INT Web'!$B$5:$W$247,'[3]INT Web'!Q$1,FALSE)</f>
        <v>BBD</v>
      </c>
      <c r="F24" s="22">
        <f>+VLOOKUP($B24,'[3]INT Web'!$B$5:$W$247,'[3]INT Web'!R$1,FALSE)</f>
        <v>209.99</v>
      </c>
      <c r="G24" s="22">
        <f>+VLOOKUP($B24,'[3]INT Web'!$B$5:$W$247,'[3]INT Web'!S$1,FALSE)</f>
        <v>34.99</v>
      </c>
      <c r="H24" s="22">
        <f>+VLOOKUP($B24,'[3]INT Web'!$B$5:$W$247,'[3]INT Web'!T$1,FALSE)</f>
        <v>155.99</v>
      </c>
      <c r="I24" s="22">
        <f>+VLOOKUP($B24,'[3]INT Web'!$B$5:$W$247,'[3]INT Web'!U$1,FALSE)</f>
        <v>25.99</v>
      </c>
      <c r="J24" s="22">
        <f>+VLOOKUP($B24,'[3]INT Web'!$B$5:$W$247,'[3]INT Web'!V$1,FALSE)</f>
        <v>137.99</v>
      </c>
      <c r="K24" s="22">
        <f>+VLOOKUP($B24,'[3]INT Web'!$B$5:$W$247,'[3]INT Web'!W$1,FALSE)</f>
        <v>22.99</v>
      </c>
      <c r="L24" s="12">
        <f t="shared" si="26"/>
        <v>6.0014289797084883</v>
      </c>
      <c r="M24" s="12">
        <f t="shared" si="27"/>
        <v>1.3462870334744135</v>
      </c>
      <c r="N24" s="12">
        <f t="shared" si="28"/>
        <v>6.0019238168526368</v>
      </c>
      <c r="O24" s="12">
        <f t="shared" si="29"/>
        <v>6.0021748586341896</v>
      </c>
      <c r="P24" s="12">
        <f t="shared" si="30"/>
        <v>0.88457098884186225</v>
      </c>
      <c r="Q24" s="140" t="str">
        <f t="shared" si="51"/>
        <v>BBD</v>
      </c>
      <c r="R24" s="104">
        <f>+VLOOKUP($B24,'Country-Level Tactics'!$B$5:$AL$248,'Country-Level Tactics'!AH$1,FALSE)</f>
        <v>209.99</v>
      </c>
      <c r="S24" s="104">
        <f>+VLOOKUP($B24,'Country-Level Tactics'!$B$5:$AL$248,'Country-Level Tactics'!X$1,FALSE)</f>
        <v>34.99</v>
      </c>
      <c r="T24" s="104">
        <f>+VLOOKUP($B24,'Country-Level Tactics'!$B$5:$AL$248,'Country-Level Tactics'!AC$1,FALSE)</f>
        <v>155.99</v>
      </c>
      <c r="U24" s="104">
        <f>+VLOOKUP($B24,'Country-Level Tactics'!$B$5:$AL$248,'Country-Level Tactics'!T$1,FALSE)</f>
        <v>25.99</v>
      </c>
      <c r="V24" s="104">
        <f t="shared" si="52"/>
        <v>137.99</v>
      </c>
      <c r="W24" s="104">
        <f t="shared" si="53"/>
        <v>22.99</v>
      </c>
      <c r="X24" s="12">
        <f t="shared" si="34"/>
        <v>6.0014289797084883</v>
      </c>
      <c r="Y24" s="12">
        <f t="shared" si="35"/>
        <v>1.3462870334744135</v>
      </c>
      <c r="Z24" s="12">
        <f t="shared" si="36"/>
        <v>6.0019238168526368</v>
      </c>
      <c r="AA24" s="12">
        <f t="shared" si="37"/>
        <v>6.0021748586341896</v>
      </c>
      <c r="AB24" s="12">
        <f t="shared" si="38"/>
        <v>0.88457098884186225</v>
      </c>
      <c r="AD24" s="10">
        <f t="shared" si="39"/>
        <v>0</v>
      </c>
      <c r="AE24" s="10">
        <f t="shared" si="40"/>
        <v>0</v>
      </c>
      <c r="AF24" s="10">
        <f t="shared" si="41"/>
        <v>0</v>
      </c>
      <c r="AG24" s="10">
        <f t="shared" si="42"/>
        <v>0</v>
      </c>
      <c r="AH24" s="10">
        <f t="shared" si="43"/>
        <v>0</v>
      </c>
      <c r="AI24" s="10">
        <f t="shared" si="44"/>
        <v>0</v>
      </c>
      <c r="AK24" s="165">
        <v>0.5</v>
      </c>
      <c r="AL24" s="173">
        <f t="shared" si="54"/>
        <v>104.995</v>
      </c>
      <c r="AM24" s="173">
        <f t="shared" si="55"/>
        <v>17.495000000000001</v>
      </c>
      <c r="AN24" s="173">
        <f t="shared" si="56"/>
        <v>77.995000000000005</v>
      </c>
      <c r="AO24" s="173">
        <f t="shared" si="57"/>
        <v>12.994999999999999</v>
      </c>
      <c r="AP24" s="173">
        <f t="shared" si="58"/>
        <v>68.995000000000005</v>
      </c>
      <c r="AQ24" s="173">
        <f t="shared" si="59"/>
        <v>11.494999999999999</v>
      </c>
      <c r="AS24" s="22" t="str">
        <f>+VLOOKUP(B24,'Country &amp; Code Abbreviation'!$B$3:$C$245,2,FALSE)</f>
        <v>BB</v>
      </c>
    </row>
    <row r="25" spans="2:45" hidden="1" outlineLevel="1">
      <c r="B25" s="20" t="s">
        <v>91</v>
      </c>
      <c r="C25" s="20" t="s">
        <v>100</v>
      </c>
      <c r="D25" s="27"/>
      <c r="E25" s="11" t="str">
        <f>+VLOOKUP($B25,'[3]INT Web'!$B$5:$W$247,'[3]INT Web'!Q$1,FALSE)</f>
        <v>BYN</v>
      </c>
      <c r="F25" s="22">
        <f>+VLOOKUP($B25,'[3]INT Web'!$B$5:$W$247,'[3]INT Web'!R$1,FALSE)</f>
        <v>0</v>
      </c>
      <c r="G25" s="22">
        <f>+VLOOKUP($B25,'[3]INT Web'!$B$5:$W$247,'[3]INT Web'!S$1,FALSE)</f>
        <v>0</v>
      </c>
      <c r="H25" s="22">
        <f>+VLOOKUP($B25,'[3]INT Web'!$B$5:$W$247,'[3]INT Web'!T$1,FALSE)</f>
        <v>0</v>
      </c>
      <c r="I25" s="22">
        <f>+VLOOKUP($B25,'[3]INT Web'!$B$5:$W$247,'[3]INT Web'!U$1,FALSE)</f>
        <v>0</v>
      </c>
      <c r="J25" s="22">
        <f>+VLOOKUP($B25,'[3]INT Web'!$B$5:$W$247,'[3]INT Web'!V$1,FALSE)</f>
        <v>0</v>
      </c>
      <c r="K25" s="22">
        <f>+VLOOKUP($B25,'[3]INT Web'!$B$5:$W$247,'[3]INT Web'!W$1,FALSE)</f>
        <v>0</v>
      </c>
      <c r="L25" s="28"/>
      <c r="M25" s="28"/>
      <c r="N25" s="28"/>
      <c r="O25" s="28"/>
      <c r="P25" s="28"/>
      <c r="Q25" s="142" t="str">
        <f t="shared" si="51"/>
        <v>BYN</v>
      </c>
      <c r="R25" s="104">
        <f>+VLOOKUP($B25,'Country-Level Tactics'!$B$5:$AL$248,'Country-Level Tactics'!AH$1,FALSE)</f>
        <v>0</v>
      </c>
      <c r="S25" s="104">
        <f>+VLOOKUP($B25,'Country-Level Tactics'!$B$5:$AL$248,'Country-Level Tactics'!X$1,FALSE)</f>
        <v>0</v>
      </c>
      <c r="T25" s="104">
        <f>+VLOOKUP($B25,'Country-Level Tactics'!$B$5:$AL$248,'Country-Level Tactics'!AC$1,FALSE)</f>
        <v>0</v>
      </c>
      <c r="U25" s="104">
        <f>+VLOOKUP($B25,'Country-Level Tactics'!$B$5:$AL$248,'Country-Level Tactics'!T$1,FALSE)</f>
        <v>0</v>
      </c>
      <c r="V25" s="104">
        <f t="shared" si="52"/>
        <v>0</v>
      </c>
      <c r="W25" s="104">
        <f t="shared" si="53"/>
        <v>0</v>
      </c>
      <c r="X25" s="12" t="e">
        <f t="shared" si="34"/>
        <v>#DIV/0!</v>
      </c>
      <c r="Y25" s="12" t="e">
        <f t="shared" si="35"/>
        <v>#DIV/0!</v>
      </c>
      <c r="Z25" s="12" t="e">
        <f t="shared" si="36"/>
        <v>#DIV/0!</v>
      </c>
      <c r="AA25" s="12" t="e">
        <f t="shared" si="37"/>
        <v>#DIV/0!</v>
      </c>
      <c r="AB25" s="12" t="e">
        <f t="shared" si="38"/>
        <v>#DIV/0!</v>
      </c>
      <c r="AD25" s="10" t="e">
        <f t="shared" si="39"/>
        <v>#DIV/0!</v>
      </c>
      <c r="AE25" s="10" t="e">
        <f t="shared" si="40"/>
        <v>#DIV/0!</v>
      </c>
      <c r="AF25" s="10" t="e">
        <f t="shared" si="41"/>
        <v>#DIV/0!</v>
      </c>
      <c r="AG25" s="10" t="e">
        <f t="shared" si="42"/>
        <v>#DIV/0!</v>
      </c>
      <c r="AH25" s="10" t="e">
        <f t="shared" si="43"/>
        <v>#DIV/0!</v>
      </c>
      <c r="AI25" s="10" t="e">
        <f t="shared" si="44"/>
        <v>#DIV/0!</v>
      </c>
      <c r="AK25" s="165">
        <v>0.34619444999999999</v>
      </c>
      <c r="AL25" s="173"/>
      <c r="AM25" s="173"/>
      <c r="AN25" s="173"/>
      <c r="AO25" s="173"/>
      <c r="AP25" s="173"/>
      <c r="AQ25" s="173"/>
      <c r="AS25" s="22" t="str">
        <f>+VLOOKUP(B25,'Country &amp; Code Abbreviation'!$B$3:$C$245,2,FALSE)</f>
        <v>BY</v>
      </c>
    </row>
    <row r="26" spans="2:45" collapsed="1">
      <c r="B26" s="199" t="s">
        <v>92</v>
      </c>
      <c r="C26" s="199" t="s">
        <v>100</v>
      </c>
      <c r="D26" s="6" t="s">
        <v>348</v>
      </c>
      <c r="E26" s="11" t="str">
        <f>+VLOOKUP($B26,'[3]INT Web'!$B$5:$W$247,'[3]INT Web'!Q$1,FALSE)</f>
        <v>EUR</v>
      </c>
      <c r="F26" s="22">
        <f>+VLOOKUP($B26,'[3]INT Web'!$B$5:$W$247,'[3]INT Web'!R$1,FALSE)</f>
        <v>169.99</v>
      </c>
      <c r="G26" s="22">
        <f>+VLOOKUP($B26,'[3]INT Web'!$B$5:$W$247,'[3]INT Web'!S$1,FALSE)</f>
        <v>25.99</v>
      </c>
      <c r="H26" s="22">
        <f>+VLOOKUP($B26,'[3]INT Web'!$B$5:$W$247,'[3]INT Web'!T$1,FALSE)</f>
        <v>124.99</v>
      </c>
      <c r="I26" s="22">
        <f>+VLOOKUP($B26,'[3]INT Web'!$B$5:$W$247,'[3]INT Web'!U$1,FALSE)</f>
        <v>18.989999999999998</v>
      </c>
      <c r="J26" s="22">
        <f>+VLOOKUP($B26,'[3]INT Web'!$B$5:$W$247,'[3]INT Web'!V$1,FALSE)</f>
        <v>109.99</v>
      </c>
      <c r="K26" s="22">
        <f>+VLOOKUP($B26,'[3]INT Web'!$B$5:$W$247,'[3]INT Web'!W$1,FALSE)</f>
        <v>16.989999999999998</v>
      </c>
      <c r="L26" s="12">
        <f t="shared" ref="L26:L57" si="60">+F26/G26</f>
        <v>6.5405925355906129</v>
      </c>
      <c r="M26" s="12">
        <f t="shared" ref="M26:M57" si="61">+G26/I26</f>
        <v>1.3686150605581886</v>
      </c>
      <c r="N26" s="12">
        <f t="shared" ref="N26:N57" si="62">+H26/I26</f>
        <v>6.5818852027382837</v>
      </c>
      <c r="O26" s="12">
        <f t="shared" ref="O26:O57" si="63">+J26/K26</f>
        <v>6.4738081224249564</v>
      </c>
      <c r="P26" s="12">
        <f t="shared" ref="P26:P57" si="64">+K26/I26</f>
        <v>0.89468141126908896</v>
      </c>
      <c r="Q26" s="140" t="str">
        <f t="shared" si="51"/>
        <v>EUR</v>
      </c>
      <c r="R26" s="104">
        <f>+VLOOKUP($B26,'Country-Level Tactics'!$B$5:$AL$248,'Country-Level Tactics'!AH$1,FALSE)</f>
        <v>169.99</v>
      </c>
      <c r="S26" s="104">
        <f>+VLOOKUP($B26,'Country-Level Tactics'!$B$5:$AL$248,'Country-Level Tactics'!X$1,FALSE)</f>
        <v>25.99</v>
      </c>
      <c r="T26" s="104">
        <f>+VLOOKUP($B26,'Country-Level Tactics'!$B$5:$AL$248,'Country-Level Tactics'!AC$1,FALSE)</f>
        <v>124.99</v>
      </c>
      <c r="U26" s="104">
        <f>+VLOOKUP($B26,'Country-Level Tactics'!$B$5:$AL$248,'Country-Level Tactics'!T$1,FALSE)</f>
        <v>18.989999999999998</v>
      </c>
      <c r="V26" s="104">
        <f t="shared" si="52"/>
        <v>109.99</v>
      </c>
      <c r="W26" s="104">
        <f t="shared" si="53"/>
        <v>16.989999999999998</v>
      </c>
      <c r="X26" s="12">
        <f t="shared" si="34"/>
        <v>6.5405925355906129</v>
      </c>
      <c r="Y26" s="12">
        <f t="shared" si="35"/>
        <v>1.3686150605581886</v>
      </c>
      <c r="Z26" s="12">
        <f t="shared" si="36"/>
        <v>6.5818852027382837</v>
      </c>
      <c r="AA26" s="12">
        <f t="shared" si="37"/>
        <v>6.4738081224249564</v>
      </c>
      <c r="AB26" s="12">
        <f t="shared" si="38"/>
        <v>0.89468141126908896</v>
      </c>
      <c r="AD26" s="10">
        <f t="shared" si="39"/>
        <v>0</v>
      </c>
      <c r="AE26" s="10">
        <f t="shared" si="40"/>
        <v>0</v>
      </c>
      <c r="AF26" s="10">
        <f t="shared" si="41"/>
        <v>0</v>
      </c>
      <c r="AG26" s="10">
        <f t="shared" si="42"/>
        <v>0</v>
      </c>
      <c r="AH26" s="10">
        <f t="shared" si="43"/>
        <v>0</v>
      </c>
      <c r="AI26" s="10">
        <f t="shared" si="44"/>
        <v>0</v>
      </c>
      <c r="AK26" s="165">
        <v>1.14175</v>
      </c>
      <c r="AL26" s="173">
        <f t="shared" ref="AL26:AL57" si="65">+R26*$AK26</f>
        <v>194.08608250000003</v>
      </c>
      <c r="AM26" s="173">
        <f t="shared" ref="AM26:AM57" si="66">+S26*$AK26</f>
        <v>29.674082500000001</v>
      </c>
      <c r="AN26" s="173">
        <f t="shared" ref="AN26:AN57" si="67">+T26*$AK26</f>
        <v>142.70733250000001</v>
      </c>
      <c r="AO26" s="173">
        <f t="shared" ref="AO26:AO57" si="68">+U26*$AK26</f>
        <v>21.681832499999999</v>
      </c>
      <c r="AP26" s="173">
        <f t="shared" ref="AP26:AP57" si="69">+V26*$AK26</f>
        <v>125.58108249999999</v>
      </c>
      <c r="AQ26" s="173">
        <f t="shared" ref="AQ26:AQ57" si="70">+W26*$AK26</f>
        <v>19.398332499999999</v>
      </c>
      <c r="AS26" s="22" t="str">
        <f>+VLOOKUP(B26,'Country &amp; Code Abbreviation'!$B$3:$C$245,2,FALSE)</f>
        <v>BE</v>
      </c>
    </row>
    <row r="27" spans="2:45">
      <c r="B27" s="20" t="s">
        <v>93</v>
      </c>
      <c r="C27" s="20" t="s">
        <v>96</v>
      </c>
      <c r="E27" s="11" t="str">
        <f>+VLOOKUP($B27,'[3]INT Web'!$B$5:$W$247,'[3]INT Web'!Q$1,FALSE)</f>
        <v>BZD</v>
      </c>
      <c r="F27" s="22">
        <f>+VLOOKUP($B27,'[3]INT Web'!$B$5:$W$247,'[3]INT Web'!R$1,FALSE)</f>
        <v>149.99</v>
      </c>
      <c r="G27" s="22">
        <f>+VLOOKUP($B27,'[3]INT Web'!$B$5:$W$247,'[3]INT Web'!S$1,FALSE)</f>
        <v>24.99</v>
      </c>
      <c r="H27" s="22">
        <f>+VLOOKUP($B27,'[3]INT Web'!$B$5:$W$247,'[3]INT Web'!T$1,FALSE)</f>
        <v>107.99</v>
      </c>
      <c r="I27" s="22">
        <f>+VLOOKUP($B27,'[3]INT Web'!$B$5:$W$247,'[3]INT Web'!U$1,FALSE)</f>
        <v>17.989999999999998</v>
      </c>
      <c r="J27" s="22">
        <f>+VLOOKUP($B27,'[3]INT Web'!$B$5:$W$247,'[3]INT Web'!V$1,FALSE)</f>
        <v>95.99</v>
      </c>
      <c r="K27" s="22">
        <f>+VLOOKUP($B27,'[3]INT Web'!$B$5:$W$247,'[3]INT Web'!W$1,FALSE)</f>
        <v>15.99</v>
      </c>
      <c r="L27" s="12">
        <f t="shared" si="60"/>
        <v>6.0020008003201291</v>
      </c>
      <c r="M27" s="12">
        <f t="shared" si="61"/>
        <v>1.3891050583657587</v>
      </c>
      <c r="N27" s="12">
        <f t="shared" si="62"/>
        <v>6.0027793218454697</v>
      </c>
      <c r="O27" s="12">
        <f t="shared" si="63"/>
        <v>6.0031269543464658</v>
      </c>
      <c r="P27" s="12">
        <f t="shared" si="64"/>
        <v>0.88882712618121185</v>
      </c>
      <c r="Q27" s="140" t="str">
        <f t="shared" si="51"/>
        <v>BZD</v>
      </c>
      <c r="R27" s="104">
        <f>+VLOOKUP($B27,'Country-Level Tactics'!$B$5:$AL$248,'Country-Level Tactics'!AH$1,FALSE)</f>
        <v>149.99</v>
      </c>
      <c r="S27" s="104">
        <f>+VLOOKUP($B27,'Country-Level Tactics'!$B$5:$AL$248,'Country-Level Tactics'!X$1,FALSE)</f>
        <v>24.99</v>
      </c>
      <c r="T27" s="104">
        <f>+VLOOKUP($B27,'Country-Level Tactics'!$B$5:$AL$248,'Country-Level Tactics'!AC$1,FALSE)</f>
        <v>107.99</v>
      </c>
      <c r="U27" s="104">
        <f>+VLOOKUP($B27,'Country-Level Tactics'!$B$5:$AL$248,'Country-Level Tactics'!T$1,FALSE)</f>
        <v>17.989999999999998</v>
      </c>
      <c r="V27" s="104">
        <f t="shared" si="52"/>
        <v>95.99</v>
      </c>
      <c r="W27" s="104">
        <f t="shared" si="53"/>
        <v>15.99</v>
      </c>
      <c r="X27" s="12">
        <f t="shared" si="34"/>
        <v>6.0020008003201291</v>
      </c>
      <c r="Y27" s="12">
        <f t="shared" si="35"/>
        <v>1.3891050583657587</v>
      </c>
      <c r="Z27" s="12">
        <f t="shared" si="36"/>
        <v>6.0027793218454697</v>
      </c>
      <c r="AA27" s="12">
        <f t="shared" si="37"/>
        <v>6.0031269543464658</v>
      </c>
      <c r="AB27" s="12">
        <f t="shared" si="38"/>
        <v>0.88882712618121185</v>
      </c>
      <c r="AD27" s="10">
        <f t="shared" si="39"/>
        <v>0</v>
      </c>
      <c r="AE27" s="10">
        <f t="shared" si="40"/>
        <v>0</v>
      </c>
      <c r="AF27" s="10">
        <f t="shared" si="41"/>
        <v>0</v>
      </c>
      <c r="AG27" s="10">
        <f t="shared" si="42"/>
        <v>0</v>
      </c>
      <c r="AH27" s="10">
        <f t="shared" si="43"/>
        <v>0</v>
      </c>
      <c r="AI27" s="10">
        <f t="shared" si="44"/>
        <v>0</v>
      </c>
      <c r="AK27" s="165">
        <v>0.5</v>
      </c>
      <c r="AL27" s="173">
        <f t="shared" si="65"/>
        <v>74.995000000000005</v>
      </c>
      <c r="AM27" s="173">
        <f t="shared" si="66"/>
        <v>12.494999999999999</v>
      </c>
      <c r="AN27" s="173">
        <f t="shared" si="67"/>
        <v>53.994999999999997</v>
      </c>
      <c r="AO27" s="173">
        <f t="shared" si="68"/>
        <v>8.9949999999999992</v>
      </c>
      <c r="AP27" s="173">
        <f t="shared" si="69"/>
        <v>47.994999999999997</v>
      </c>
      <c r="AQ27" s="173">
        <f t="shared" si="70"/>
        <v>7.9950000000000001</v>
      </c>
      <c r="AS27" s="22" t="str">
        <f>+VLOOKUP(B27,'Country &amp; Code Abbreviation'!$B$3:$C$245,2,FALSE)</f>
        <v>BZ</v>
      </c>
    </row>
    <row r="28" spans="2:45">
      <c r="B28" s="20" t="s">
        <v>94</v>
      </c>
      <c r="C28" s="20" t="s">
        <v>270</v>
      </c>
      <c r="E28" s="11" t="str">
        <f>+VLOOKUP($B28,'[3]INT Web'!$B$5:$W$247,'[3]INT Web'!Q$1,FALSE)</f>
        <v>XOF</v>
      </c>
      <c r="F28" s="136">
        <f>+VLOOKUP($B28,'[3]INT Web'!$B$5:$W$247,'[3]INT Web'!R$1,FALSE)</f>
        <v>43740</v>
      </c>
      <c r="G28" s="136">
        <f>+VLOOKUP($B28,'[3]INT Web'!$B$5:$W$247,'[3]INT Web'!S$1,FALSE)</f>
        <v>7290</v>
      </c>
      <c r="H28" s="136">
        <f>+VLOOKUP($B28,'[3]INT Web'!$B$5:$W$247,'[3]INT Web'!T$1,FALSE)</f>
        <v>32400</v>
      </c>
      <c r="I28" s="136">
        <f>+VLOOKUP($B28,'[3]INT Web'!$B$5:$W$247,'[3]INT Web'!U$1,FALSE)</f>
        <v>5400</v>
      </c>
      <c r="J28" s="136">
        <f>+VLOOKUP($B28,'[3]INT Web'!$B$5:$W$247,'[3]INT Web'!V$1,FALSE)</f>
        <v>29160</v>
      </c>
      <c r="K28" s="136">
        <f>+VLOOKUP($B28,'[3]INT Web'!$B$5:$W$247,'[3]INT Web'!W$1,FALSE)</f>
        <v>4860</v>
      </c>
      <c r="L28" s="12">
        <f t="shared" si="60"/>
        <v>6</v>
      </c>
      <c r="M28" s="12">
        <f t="shared" si="61"/>
        <v>1.35</v>
      </c>
      <c r="N28" s="12">
        <f t="shared" si="62"/>
        <v>6</v>
      </c>
      <c r="O28" s="12">
        <f t="shared" si="63"/>
        <v>6</v>
      </c>
      <c r="P28" s="12">
        <f t="shared" si="64"/>
        <v>0.9</v>
      </c>
      <c r="Q28" s="143" t="str">
        <f t="shared" si="51"/>
        <v>XOF</v>
      </c>
      <c r="R28" s="137">
        <f>+VLOOKUP($B28,'Country-Level Tactics'!$B$5:$AL$248,'Country-Level Tactics'!AH$1,FALSE)</f>
        <v>43740</v>
      </c>
      <c r="S28" s="137">
        <f>+VLOOKUP($B28,'Country-Level Tactics'!$B$5:$AL$248,'Country-Level Tactics'!X$1,FALSE)</f>
        <v>7290</v>
      </c>
      <c r="T28" s="137">
        <f>+VLOOKUP($B28,'Country-Level Tactics'!$B$5:$AL$248,'Country-Level Tactics'!AC$1,FALSE)</f>
        <v>32400</v>
      </c>
      <c r="U28" s="137">
        <f>+VLOOKUP($B28,'Country-Level Tactics'!$B$5:$AL$248,'Country-Level Tactics'!T$1,FALSE)</f>
        <v>5400</v>
      </c>
      <c r="V28" s="137">
        <f t="shared" si="52"/>
        <v>29160</v>
      </c>
      <c r="W28" s="137">
        <f t="shared" si="53"/>
        <v>4860</v>
      </c>
      <c r="X28" s="12">
        <f t="shared" si="34"/>
        <v>6</v>
      </c>
      <c r="Y28" s="12">
        <f t="shared" si="35"/>
        <v>1.35</v>
      </c>
      <c r="Z28" s="12">
        <f t="shared" si="36"/>
        <v>6</v>
      </c>
      <c r="AA28" s="12">
        <f t="shared" si="37"/>
        <v>6</v>
      </c>
      <c r="AB28" s="12">
        <f t="shared" si="38"/>
        <v>0.9</v>
      </c>
      <c r="AD28" s="10">
        <f t="shared" si="39"/>
        <v>0</v>
      </c>
      <c r="AE28" s="10">
        <f t="shared" si="40"/>
        <v>0</v>
      </c>
      <c r="AF28" s="10">
        <f t="shared" si="41"/>
        <v>0</v>
      </c>
      <c r="AG28" s="10">
        <f t="shared" si="42"/>
        <v>0</v>
      </c>
      <c r="AH28" s="10">
        <f t="shared" si="43"/>
        <v>0</v>
      </c>
      <c r="AI28" s="10">
        <f t="shared" si="44"/>
        <v>0</v>
      </c>
      <c r="AK28" s="165">
        <v>1.7405866999999999E-3</v>
      </c>
      <c r="AL28" s="173">
        <f t="shared" si="65"/>
        <v>76.133262258000002</v>
      </c>
      <c r="AM28" s="173">
        <f t="shared" si="66"/>
        <v>12.688877043</v>
      </c>
      <c r="AN28" s="173">
        <f t="shared" si="67"/>
        <v>56.395009080000001</v>
      </c>
      <c r="AO28" s="173">
        <f t="shared" si="68"/>
        <v>9.3991681800000002</v>
      </c>
      <c r="AP28" s="173">
        <f t="shared" si="69"/>
        <v>50.755508171999999</v>
      </c>
      <c r="AQ28" s="173">
        <f t="shared" si="70"/>
        <v>8.4592513619999998</v>
      </c>
      <c r="AS28" s="22" t="str">
        <f>+VLOOKUP(B28,'Country &amp; Code Abbreviation'!$B$3:$C$245,2,FALSE)</f>
        <v>BJ</v>
      </c>
    </row>
    <row r="29" spans="2:45">
      <c r="B29" s="20" t="s">
        <v>95</v>
      </c>
      <c r="C29" s="20" t="s">
        <v>96</v>
      </c>
      <c r="E29" s="11" t="str">
        <f>+VLOOKUP($B29,'[3]INT Web'!$B$5:$W$247,'[3]INT Web'!Q$1,FALSE)</f>
        <v>BMD</v>
      </c>
      <c r="F29" s="22">
        <f>+VLOOKUP($B29,'[3]INT Web'!$B$5:$W$247,'[3]INT Web'!R$1,FALSE)</f>
        <v>95.99</v>
      </c>
      <c r="G29" s="22">
        <f>+VLOOKUP($B29,'[3]INT Web'!$B$5:$W$247,'[3]INT Web'!S$1,FALSE)</f>
        <v>15.99</v>
      </c>
      <c r="H29" s="22">
        <f>+VLOOKUP($B29,'[3]INT Web'!$B$5:$W$247,'[3]INT Web'!T$1,FALSE)</f>
        <v>71.989999999999995</v>
      </c>
      <c r="I29" s="22">
        <f>+VLOOKUP($B29,'[3]INT Web'!$B$5:$W$247,'[3]INT Web'!U$1,FALSE)</f>
        <v>11.99</v>
      </c>
      <c r="J29" s="22">
        <f>+VLOOKUP($B29,'[3]INT Web'!$B$5:$W$247,'[3]INT Web'!V$1,FALSE)</f>
        <v>65.989999999999995</v>
      </c>
      <c r="K29" s="22">
        <f>+VLOOKUP($B29,'[3]INT Web'!$B$5:$W$247,'[3]INT Web'!W$1,FALSE)</f>
        <v>10.99</v>
      </c>
      <c r="L29" s="12">
        <f t="shared" si="60"/>
        <v>6.0031269543464658</v>
      </c>
      <c r="M29" s="12">
        <f t="shared" si="61"/>
        <v>1.3336113427856546</v>
      </c>
      <c r="N29" s="12">
        <f t="shared" si="62"/>
        <v>6.0041701417848206</v>
      </c>
      <c r="O29" s="12">
        <f t="shared" si="63"/>
        <v>6.0045495905368513</v>
      </c>
      <c r="P29" s="12">
        <f t="shared" si="64"/>
        <v>0.91659716430358629</v>
      </c>
      <c r="Q29" s="140" t="str">
        <f t="shared" si="51"/>
        <v>BMD</v>
      </c>
      <c r="R29" s="104">
        <f>+VLOOKUP($B29,'Country-Level Tactics'!$B$5:$AL$248,'Country-Level Tactics'!AH$1,FALSE)</f>
        <v>95.99</v>
      </c>
      <c r="S29" s="104">
        <f>+VLOOKUP($B29,'Country-Level Tactics'!$B$5:$AL$248,'Country-Level Tactics'!X$1,FALSE)</f>
        <v>15.99</v>
      </c>
      <c r="T29" s="104">
        <f>+VLOOKUP($B29,'Country-Level Tactics'!$B$5:$AL$248,'Country-Level Tactics'!AC$1,FALSE)</f>
        <v>71.989999999999995</v>
      </c>
      <c r="U29" s="104">
        <f>+VLOOKUP($B29,'Country-Level Tactics'!$B$5:$AL$248,'Country-Level Tactics'!T$1,FALSE)</f>
        <v>11.99</v>
      </c>
      <c r="V29" s="104">
        <f t="shared" si="52"/>
        <v>65.989999999999995</v>
      </c>
      <c r="W29" s="104">
        <f t="shared" si="53"/>
        <v>10.99</v>
      </c>
      <c r="X29" s="12">
        <f t="shared" si="34"/>
        <v>6.0031269543464658</v>
      </c>
      <c r="Y29" s="12">
        <f t="shared" si="35"/>
        <v>1.3336113427856546</v>
      </c>
      <c r="Z29" s="12">
        <f t="shared" si="36"/>
        <v>6.0041701417848206</v>
      </c>
      <c r="AA29" s="12">
        <f t="shared" si="37"/>
        <v>6.0045495905368513</v>
      </c>
      <c r="AB29" s="12">
        <f t="shared" si="38"/>
        <v>0.91659716430358629</v>
      </c>
      <c r="AD29" s="10">
        <f t="shared" si="39"/>
        <v>0</v>
      </c>
      <c r="AE29" s="10">
        <f t="shared" si="40"/>
        <v>0</v>
      </c>
      <c r="AF29" s="10">
        <f t="shared" si="41"/>
        <v>0</v>
      </c>
      <c r="AG29" s="10">
        <f t="shared" si="42"/>
        <v>0</v>
      </c>
      <c r="AH29" s="10">
        <f t="shared" si="43"/>
        <v>0</v>
      </c>
      <c r="AI29" s="10">
        <f t="shared" si="44"/>
        <v>0</v>
      </c>
      <c r="AK29" s="165">
        <v>1</v>
      </c>
      <c r="AL29" s="173">
        <f t="shared" si="65"/>
        <v>95.99</v>
      </c>
      <c r="AM29" s="173">
        <f t="shared" si="66"/>
        <v>15.99</v>
      </c>
      <c r="AN29" s="173">
        <f t="shared" si="67"/>
        <v>71.989999999999995</v>
      </c>
      <c r="AO29" s="173">
        <f t="shared" si="68"/>
        <v>11.99</v>
      </c>
      <c r="AP29" s="173">
        <f t="shared" si="69"/>
        <v>65.989999999999995</v>
      </c>
      <c r="AQ29" s="173">
        <f t="shared" si="70"/>
        <v>10.99</v>
      </c>
      <c r="AS29" s="22" t="str">
        <f>+VLOOKUP(B29,'Country &amp; Code Abbreviation'!$B$3:$C$245,2,FALSE)</f>
        <v>BM</v>
      </c>
    </row>
    <row r="30" spans="2:45">
      <c r="B30" s="20" t="s">
        <v>97</v>
      </c>
      <c r="C30" s="20" t="s">
        <v>182</v>
      </c>
      <c r="E30" s="11" t="str">
        <f>+VLOOKUP($B30,'[3]INT Web'!$B$5:$W$247,'[3]INT Web'!Q$1,FALSE)</f>
        <v>USD</v>
      </c>
      <c r="F30" s="22">
        <f>+VLOOKUP($B30,'[3]INT Web'!$B$5:$W$247,'[3]INT Web'!R$1,FALSE)</f>
        <v>71.989999999999995</v>
      </c>
      <c r="G30" s="22">
        <f>+VLOOKUP($B30,'[3]INT Web'!$B$5:$W$247,'[3]INT Web'!S$1,FALSE)</f>
        <v>11.99</v>
      </c>
      <c r="H30" s="22">
        <f>+VLOOKUP($B30,'[3]INT Web'!$B$5:$W$247,'[3]INT Web'!T$1,FALSE)</f>
        <v>53.99</v>
      </c>
      <c r="I30" s="22">
        <f>+VLOOKUP($B30,'[3]INT Web'!$B$5:$W$247,'[3]INT Web'!U$1,FALSE)</f>
        <v>8.99</v>
      </c>
      <c r="J30" s="22">
        <f>+VLOOKUP($B30,'[3]INT Web'!$B$5:$W$247,'[3]INT Web'!V$1,FALSE)</f>
        <v>47.99</v>
      </c>
      <c r="K30" s="22">
        <f>+VLOOKUP($B30,'[3]INT Web'!$B$5:$W$247,'[3]INT Web'!W$1,FALSE)</f>
        <v>7.99</v>
      </c>
      <c r="L30" s="12">
        <f t="shared" si="60"/>
        <v>6.0041701417848206</v>
      </c>
      <c r="M30" s="12">
        <f t="shared" si="61"/>
        <v>1.3337041156840934</v>
      </c>
      <c r="N30" s="12">
        <f t="shared" si="62"/>
        <v>6.0055617352614012</v>
      </c>
      <c r="O30" s="12">
        <f t="shared" si="63"/>
        <v>6.0062578222778473</v>
      </c>
      <c r="P30" s="12">
        <f t="shared" si="64"/>
        <v>0.88876529477196886</v>
      </c>
      <c r="Q30" s="140" t="str">
        <f t="shared" si="51"/>
        <v>USD</v>
      </c>
      <c r="R30" s="104">
        <f>+VLOOKUP($B30,'Country-Level Tactics'!$B$5:$AL$248,'Country-Level Tactics'!AH$1,FALSE)</f>
        <v>71.989999999999995</v>
      </c>
      <c r="S30" s="104">
        <f>+VLOOKUP($B30,'Country-Level Tactics'!$B$5:$AL$248,'Country-Level Tactics'!X$1,FALSE)</f>
        <v>11.99</v>
      </c>
      <c r="T30" s="104">
        <f>+VLOOKUP($B30,'Country-Level Tactics'!$B$5:$AL$248,'Country-Level Tactics'!AC$1,FALSE)</f>
        <v>53.99</v>
      </c>
      <c r="U30" s="104">
        <f>+VLOOKUP($B30,'Country-Level Tactics'!$B$5:$AL$248,'Country-Level Tactics'!T$1,FALSE)</f>
        <v>8.99</v>
      </c>
      <c r="V30" s="104">
        <f t="shared" si="52"/>
        <v>47.99</v>
      </c>
      <c r="W30" s="104">
        <f t="shared" si="53"/>
        <v>7.99</v>
      </c>
      <c r="X30" s="12">
        <f t="shared" si="34"/>
        <v>6.0041701417848206</v>
      </c>
      <c r="Y30" s="12">
        <f t="shared" si="35"/>
        <v>1.3337041156840934</v>
      </c>
      <c r="Z30" s="12">
        <f t="shared" si="36"/>
        <v>6.0055617352614012</v>
      </c>
      <c r="AA30" s="12">
        <f t="shared" si="37"/>
        <v>6.0062578222778473</v>
      </c>
      <c r="AB30" s="12">
        <f t="shared" si="38"/>
        <v>0.88876529477196886</v>
      </c>
      <c r="AD30" s="10">
        <f t="shared" si="39"/>
        <v>0</v>
      </c>
      <c r="AE30" s="10">
        <f t="shared" si="40"/>
        <v>0</v>
      </c>
      <c r="AF30" s="10">
        <f t="shared" si="41"/>
        <v>0</v>
      </c>
      <c r="AG30" s="10">
        <f t="shared" si="42"/>
        <v>0</v>
      </c>
      <c r="AH30" s="10">
        <f t="shared" si="43"/>
        <v>0</v>
      </c>
      <c r="AI30" s="10">
        <f t="shared" si="44"/>
        <v>0</v>
      </c>
      <c r="AK30" s="165">
        <v>1</v>
      </c>
      <c r="AL30" s="173">
        <f t="shared" si="65"/>
        <v>71.989999999999995</v>
      </c>
      <c r="AM30" s="173">
        <f t="shared" si="66"/>
        <v>11.99</v>
      </c>
      <c r="AN30" s="173">
        <f t="shared" si="67"/>
        <v>53.99</v>
      </c>
      <c r="AO30" s="173">
        <f t="shared" si="68"/>
        <v>8.99</v>
      </c>
      <c r="AP30" s="173">
        <f t="shared" si="69"/>
        <v>47.99</v>
      </c>
      <c r="AQ30" s="173">
        <f t="shared" si="70"/>
        <v>7.99</v>
      </c>
      <c r="AS30" s="22" t="str">
        <f>+VLOOKUP(B30,'Country &amp; Code Abbreviation'!$B$3:$C$245,2,FALSE)</f>
        <v>BT</v>
      </c>
    </row>
    <row r="31" spans="2:45">
      <c r="B31" s="20" t="s">
        <v>98</v>
      </c>
      <c r="C31" s="7" t="s">
        <v>96</v>
      </c>
      <c r="E31" s="11" t="str">
        <f>+VLOOKUP($B31,'[3]INT Web'!$B$5:$W$247,'[3]INT Web'!Q$1,FALSE)</f>
        <v>BOB</v>
      </c>
      <c r="F31" s="22">
        <f>+VLOOKUP($B31,'[3]INT Web'!$B$5:$W$247,'[3]INT Web'!R$1,FALSE)</f>
        <v>559.99</v>
      </c>
      <c r="G31" s="22">
        <f>+VLOOKUP($B31,'[3]INT Web'!$B$5:$W$247,'[3]INT Web'!S$1,FALSE)</f>
        <v>92.99</v>
      </c>
      <c r="H31" s="22">
        <f>+VLOOKUP($B31,'[3]INT Web'!$B$5:$W$247,'[3]INT Web'!T$1,FALSE)</f>
        <v>409.99</v>
      </c>
      <c r="I31" s="22">
        <f>+VLOOKUP($B31,'[3]INT Web'!$B$5:$W$247,'[3]INT Web'!U$1,FALSE)</f>
        <v>68.989999999999995</v>
      </c>
      <c r="J31" s="22">
        <f>+VLOOKUP($B31,'[3]INT Web'!$B$5:$W$247,'[3]INT Web'!V$1,FALSE)</f>
        <v>369.99</v>
      </c>
      <c r="K31" s="22">
        <f>+VLOOKUP($B31,'[3]INT Web'!$B$5:$W$247,'[3]INT Web'!W$1,FALSE)</f>
        <v>61.99</v>
      </c>
      <c r="L31" s="12">
        <f t="shared" si="60"/>
        <v>6.022045381223788</v>
      </c>
      <c r="M31" s="12">
        <f t="shared" si="61"/>
        <v>1.3478765038411364</v>
      </c>
      <c r="N31" s="12">
        <f t="shared" si="62"/>
        <v>5.9427453254094802</v>
      </c>
      <c r="O31" s="12">
        <f t="shared" si="63"/>
        <v>5.9685433134376513</v>
      </c>
      <c r="P31" s="12">
        <f t="shared" si="64"/>
        <v>0.89853601971300201</v>
      </c>
      <c r="Q31" s="140" t="str">
        <f t="shared" si="51"/>
        <v>BOB</v>
      </c>
      <c r="R31" s="104">
        <f>+VLOOKUP($B31,'Country-Level Tactics'!$B$5:$AL$248,'Country-Level Tactics'!AH$1,FALSE)</f>
        <v>559.99</v>
      </c>
      <c r="S31" s="104">
        <f>+VLOOKUP($B31,'Country-Level Tactics'!$B$5:$AL$248,'Country-Level Tactics'!X$1,FALSE)</f>
        <v>92.99</v>
      </c>
      <c r="T31" s="104">
        <f>+VLOOKUP($B31,'Country-Level Tactics'!$B$5:$AL$248,'Country-Level Tactics'!AC$1,FALSE)</f>
        <v>409.99</v>
      </c>
      <c r="U31" s="104">
        <f>+VLOOKUP($B31,'Country-Level Tactics'!$B$5:$AL$248,'Country-Level Tactics'!T$1,FALSE)</f>
        <v>68.989999999999995</v>
      </c>
      <c r="V31" s="104">
        <f t="shared" si="52"/>
        <v>369.99</v>
      </c>
      <c r="W31" s="104">
        <f t="shared" si="53"/>
        <v>61.99</v>
      </c>
      <c r="X31" s="12">
        <f t="shared" si="34"/>
        <v>6.022045381223788</v>
      </c>
      <c r="Y31" s="12">
        <f t="shared" si="35"/>
        <v>1.3478765038411364</v>
      </c>
      <c r="Z31" s="12">
        <f t="shared" si="36"/>
        <v>5.9427453254094802</v>
      </c>
      <c r="AA31" s="12">
        <f t="shared" si="37"/>
        <v>5.9685433134376513</v>
      </c>
      <c r="AB31" s="12">
        <f t="shared" si="38"/>
        <v>0.89853601971300201</v>
      </c>
      <c r="AD31" s="10">
        <f t="shared" si="39"/>
        <v>0</v>
      </c>
      <c r="AE31" s="10">
        <f t="shared" si="40"/>
        <v>0</v>
      </c>
      <c r="AF31" s="10">
        <f t="shared" si="41"/>
        <v>0</v>
      </c>
      <c r="AG31" s="10">
        <f t="shared" si="42"/>
        <v>0</v>
      </c>
      <c r="AH31" s="10">
        <f t="shared" si="43"/>
        <v>0</v>
      </c>
      <c r="AI31" s="10">
        <f t="shared" si="44"/>
        <v>0</v>
      </c>
      <c r="AK31" s="165">
        <v>0.14471780000000001</v>
      </c>
      <c r="AL31" s="173">
        <f t="shared" si="65"/>
        <v>81.040520822000005</v>
      </c>
      <c r="AM31" s="173">
        <f t="shared" si="66"/>
        <v>13.457308222</v>
      </c>
      <c r="AN31" s="173">
        <f t="shared" si="67"/>
        <v>59.332850822000005</v>
      </c>
      <c r="AO31" s="173">
        <f t="shared" si="68"/>
        <v>9.9840810219999998</v>
      </c>
      <c r="AP31" s="173">
        <f t="shared" si="69"/>
        <v>53.544138822000001</v>
      </c>
      <c r="AQ31" s="173">
        <f t="shared" si="70"/>
        <v>8.9710564220000002</v>
      </c>
      <c r="AS31" s="22" t="str">
        <f>+VLOOKUP(B31,'Country &amp; Code Abbreviation'!$B$3:$C$245,2,FALSE)</f>
        <v>BO</v>
      </c>
    </row>
    <row r="32" spans="2:45">
      <c r="B32" s="20" t="s">
        <v>99</v>
      </c>
      <c r="C32" s="20" t="s">
        <v>100</v>
      </c>
      <c r="E32" s="11" t="str">
        <f>+VLOOKUP($B32,'[3]INT Web'!$B$5:$W$247,'[3]INT Web'!Q$1,FALSE)</f>
        <v>USD</v>
      </c>
      <c r="F32" s="22">
        <f>+VLOOKUP($B32,'[3]INT Web'!$B$5:$W$247,'[3]INT Web'!R$1,FALSE)</f>
        <v>89.99</v>
      </c>
      <c r="G32" s="22">
        <f>+VLOOKUP($B32,'[3]INT Web'!$B$5:$W$247,'[3]INT Web'!S$1,FALSE)</f>
        <v>14.99</v>
      </c>
      <c r="H32" s="22">
        <f>+VLOOKUP($B32,'[3]INT Web'!$B$5:$W$247,'[3]INT Web'!T$1,FALSE)</f>
        <v>69.989999999999995</v>
      </c>
      <c r="I32" s="22">
        <f>+VLOOKUP($B32,'[3]INT Web'!$B$5:$W$247,'[3]INT Web'!U$1,FALSE)</f>
        <v>10.99</v>
      </c>
      <c r="J32" s="22">
        <f>+VLOOKUP($B32,'[3]INT Web'!$B$5:$W$247,'[3]INT Web'!V$1,FALSE)</f>
        <v>59.99</v>
      </c>
      <c r="K32" s="22">
        <f>+VLOOKUP($B32,'[3]INT Web'!$B$5:$W$247,'[3]INT Web'!W$1,FALSE)</f>
        <v>9.99</v>
      </c>
      <c r="L32" s="12">
        <f t="shared" si="60"/>
        <v>6.0033355570380253</v>
      </c>
      <c r="M32" s="12">
        <f t="shared" si="61"/>
        <v>1.3639672429481347</v>
      </c>
      <c r="N32" s="12">
        <f t="shared" si="62"/>
        <v>6.3685168334849855</v>
      </c>
      <c r="O32" s="12">
        <f t="shared" si="63"/>
        <v>6.005005005005005</v>
      </c>
      <c r="P32" s="12">
        <f t="shared" si="64"/>
        <v>0.90900818926296634</v>
      </c>
      <c r="Q32" s="140" t="str">
        <f t="shared" si="51"/>
        <v>USD</v>
      </c>
      <c r="R32" s="104">
        <f>+VLOOKUP($B32,'Country-Level Tactics'!$B$5:$AL$248,'Country-Level Tactics'!AH$1,FALSE)</f>
        <v>89.99</v>
      </c>
      <c r="S32" s="104">
        <f>+VLOOKUP($B32,'Country-Level Tactics'!$B$5:$AL$248,'Country-Level Tactics'!X$1,FALSE)</f>
        <v>14.99</v>
      </c>
      <c r="T32" s="104">
        <f>+VLOOKUP($B32,'Country-Level Tactics'!$B$5:$AL$248,'Country-Level Tactics'!AC$1,FALSE)</f>
        <v>69.989999999999995</v>
      </c>
      <c r="U32" s="104">
        <f>+VLOOKUP($B32,'Country-Level Tactics'!$B$5:$AL$248,'Country-Level Tactics'!T$1,FALSE)</f>
        <v>10.99</v>
      </c>
      <c r="V32" s="104">
        <f t="shared" si="52"/>
        <v>59.99</v>
      </c>
      <c r="W32" s="104">
        <f t="shared" si="53"/>
        <v>9.99</v>
      </c>
      <c r="X32" s="12">
        <f t="shared" si="34"/>
        <v>6.0033355570380253</v>
      </c>
      <c r="Y32" s="12">
        <f t="shared" si="35"/>
        <v>1.3639672429481347</v>
      </c>
      <c r="Z32" s="12">
        <f t="shared" si="36"/>
        <v>6.3685168334849855</v>
      </c>
      <c r="AA32" s="12">
        <f t="shared" si="37"/>
        <v>6.005005005005005</v>
      </c>
      <c r="AB32" s="12">
        <f t="shared" si="38"/>
        <v>0.90900818926296634</v>
      </c>
      <c r="AD32" s="10">
        <f t="shared" si="39"/>
        <v>0</v>
      </c>
      <c r="AE32" s="10">
        <f t="shared" si="40"/>
        <v>0</v>
      </c>
      <c r="AF32" s="10">
        <f t="shared" si="41"/>
        <v>0</v>
      </c>
      <c r="AG32" s="10">
        <f t="shared" si="42"/>
        <v>0</v>
      </c>
      <c r="AH32" s="10">
        <f t="shared" si="43"/>
        <v>0</v>
      </c>
      <c r="AI32" s="10">
        <f t="shared" si="44"/>
        <v>0</v>
      </c>
      <c r="AK32" s="165">
        <v>1</v>
      </c>
      <c r="AL32" s="173">
        <f t="shared" si="65"/>
        <v>89.99</v>
      </c>
      <c r="AM32" s="173">
        <f t="shared" si="66"/>
        <v>14.99</v>
      </c>
      <c r="AN32" s="173">
        <f t="shared" si="67"/>
        <v>69.989999999999995</v>
      </c>
      <c r="AO32" s="173">
        <f t="shared" si="68"/>
        <v>10.99</v>
      </c>
      <c r="AP32" s="173">
        <f t="shared" si="69"/>
        <v>59.99</v>
      </c>
      <c r="AQ32" s="173">
        <f t="shared" si="70"/>
        <v>9.99</v>
      </c>
      <c r="AS32" s="22" t="str">
        <f>+VLOOKUP(B32,'Country &amp; Code Abbreviation'!$B$3:$C$245,2,FALSE)</f>
        <v>BQ</v>
      </c>
    </row>
    <row r="33" spans="2:45">
      <c r="B33" s="20" t="s">
        <v>101</v>
      </c>
      <c r="C33" s="20" t="s">
        <v>100</v>
      </c>
      <c r="E33" s="11" t="str">
        <f>+VLOOKUP($B33,'[3]INT Web'!$B$5:$W$247,'[3]INT Web'!Q$1,FALSE)</f>
        <v>BAM</v>
      </c>
      <c r="F33" s="22">
        <f>+VLOOKUP($B33,'[3]INT Web'!$B$5:$W$247,'[3]INT Web'!R$1,FALSE)</f>
        <v>149.99</v>
      </c>
      <c r="G33" s="22">
        <f>+VLOOKUP($B33,'[3]INT Web'!$B$5:$W$247,'[3]INT Web'!S$1,FALSE)</f>
        <v>24.99</v>
      </c>
      <c r="H33" s="22">
        <f>+VLOOKUP($B33,'[3]INT Web'!$B$5:$W$247,'[3]INT Web'!T$1,FALSE)</f>
        <v>109.99</v>
      </c>
      <c r="I33" s="22">
        <f>+VLOOKUP($B33,'[3]INT Web'!$B$5:$W$247,'[3]INT Web'!U$1,FALSE)</f>
        <v>17.989999999999998</v>
      </c>
      <c r="J33" s="22">
        <f>+VLOOKUP($B33,'[3]INT Web'!$B$5:$W$247,'[3]INT Web'!V$1,FALSE)</f>
        <v>99.99</v>
      </c>
      <c r="K33" s="22">
        <f>+VLOOKUP($B33,'[3]INT Web'!$B$5:$W$247,'[3]INT Web'!W$1,FALSE)</f>
        <v>15.99</v>
      </c>
      <c r="L33" s="12">
        <f t="shared" si="60"/>
        <v>6.0020008003201291</v>
      </c>
      <c r="M33" s="12">
        <f t="shared" si="61"/>
        <v>1.3891050583657587</v>
      </c>
      <c r="N33" s="12">
        <f t="shared" si="62"/>
        <v>6.1139521956642584</v>
      </c>
      <c r="O33" s="12">
        <f t="shared" si="63"/>
        <v>6.2532833020637897</v>
      </c>
      <c r="P33" s="12">
        <f t="shared" si="64"/>
        <v>0.88882712618121185</v>
      </c>
      <c r="Q33" s="140" t="str">
        <f t="shared" si="51"/>
        <v>BAM</v>
      </c>
      <c r="R33" s="104">
        <f>+VLOOKUP($B33,'Country-Level Tactics'!$B$5:$AL$248,'Country-Level Tactics'!AH$1,FALSE)</f>
        <v>149.99</v>
      </c>
      <c r="S33" s="104">
        <f>+VLOOKUP($B33,'Country-Level Tactics'!$B$5:$AL$248,'Country-Level Tactics'!X$1,FALSE)</f>
        <v>24.99</v>
      </c>
      <c r="T33" s="104">
        <f>+VLOOKUP($B33,'Country-Level Tactics'!$B$5:$AL$248,'Country-Level Tactics'!AC$1,FALSE)</f>
        <v>109.99</v>
      </c>
      <c r="U33" s="104">
        <f>+VLOOKUP($B33,'Country-Level Tactics'!$B$5:$AL$248,'Country-Level Tactics'!T$1,FALSE)</f>
        <v>17.989999999999998</v>
      </c>
      <c r="V33" s="104">
        <f t="shared" si="52"/>
        <v>99.99</v>
      </c>
      <c r="W33" s="104">
        <f t="shared" si="53"/>
        <v>15.99</v>
      </c>
      <c r="X33" s="12">
        <f t="shared" si="34"/>
        <v>6.0020008003201291</v>
      </c>
      <c r="Y33" s="12">
        <f t="shared" si="35"/>
        <v>1.3891050583657587</v>
      </c>
      <c r="Z33" s="12">
        <f t="shared" si="36"/>
        <v>6.1139521956642584</v>
      </c>
      <c r="AA33" s="12">
        <f t="shared" si="37"/>
        <v>6.2532833020637897</v>
      </c>
      <c r="AB33" s="12">
        <f t="shared" si="38"/>
        <v>0.88882712618121185</v>
      </c>
      <c r="AD33" s="10">
        <f t="shared" si="39"/>
        <v>0</v>
      </c>
      <c r="AE33" s="10">
        <f t="shared" si="40"/>
        <v>0</v>
      </c>
      <c r="AF33" s="10">
        <f t="shared" si="41"/>
        <v>0</v>
      </c>
      <c r="AG33" s="10">
        <f t="shared" si="42"/>
        <v>0</v>
      </c>
      <c r="AH33" s="10">
        <f t="shared" si="43"/>
        <v>0</v>
      </c>
      <c r="AI33" s="10">
        <f t="shared" si="44"/>
        <v>0</v>
      </c>
      <c r="AK33" s="165">
        <v>0.58377117000000001</v>
      </c>
      <c r="AL33" s="173">
        <f t="shared" si="65"/>
        <v>87.559837788300001</v>
      </c>
      <c r="AM33" s="173">
        <f t="shared" si="66"/>
        <v>14.5884415383</v>
      </c>
      <c r="AN33" s="173">
        <f t="shared" si="67"/>
        <v>64.208990988300002</v>
      </c>
      <c r="AO33" s="173">
        <f t="shared" si="68"/>
        <v>10.502043348299999</v>
      </c>
      <c r="AP33" s="173">
        <f t="shared" si="69"/>
        <v>58.371279288299995</v>
      </c>
      <c r="AQ33" s="173">
        <f t="shared" si="70"/>
        <v>9.3345010083000002</v>
      </c>
      <c r="AS33" s="22" t="str">
        <f>+VLOOKUP(B33,'Country &amp; Code Abbreviation'!$B$3:$C$245,2,FALSE)</f>
        <v>BA</v>
      </c>
    </row>
    <row r="34" spans="2:45">
      <c r="B34" s="20" t="s">
        <v>102</v>
      </c>
      <c r="C34" s="20" t="s">
        <v>270</v>
      </c>
      <c r="E34" s="11" t="str">
        <f>+VLOOKUP($B34,'[3]INT Web'!$B$5:$W$247,'[3]INT Web'!Q$1,FALSE)</f>
        <v>BWP</v>
      </c>
      <c r="F34" s="22">
        <f>+VLOOKUP($B34,'[3]INT Web'!$B$5:$W$247,'[3]INT Web'!R$1,FALSE)</f>
        <v>665.99</v>
      </c>
      <c r="G34" s="22">
        <f>+VLOOKUP($B34,'[3]INT Web'!$B$5:$W$247,'[3]INT Web'!S$1,FALSE)</f>
        <v>110.99</v>
      </c>
      <c r="H34" s="22">
        <f>+VLOOKUP($B34,'[3]INT Web'!$B$5:$W$247,'[3]INT Web'!T$1,FALSE)</f>
        <v>491.99</v>
      </c>
      <c r="I34" s="22">
        <f>+VLOOKUP($B34,'[3]INT Web'!$B$5:$W$247,'[3]INT Web'!U$1,FALSE)</f>
        <v>81.99</v>
      </c>
      <c r="J34" s="22">
        <f>+VLOOKUP($B34,'[3]INT Web'!$B$5:$W$247,'[3]INT Web'!V$1,FALSE)</f>
        <v>443.99</v>
      </c>
      <c r="K34" s="22">
        <f>+VLOOKUP($B34,'[3]INT Web'!$B$5:$W$247,'[3]INT Web'!W$1,FALSE)</f>
        <v>73.989999999999995</v>
      </c>
      <c r="L34" s="12">
        <f t="shared" si="60"/>
        <v>6.0004504910352283</v>
      </c>
      <c r="M34" s="12">
        <f t="shared" si="61"/>
        <v>1.3537016709354799</v>
      </c>
      <c r="N34" s="12">
        <f t="shared" si="62"/>
        <v>6.0006098304671305</v>
      </c>
      <c r="O34" s="12">
        <f t="shared" si="63"/>
        <v>6.0006757669955402</v>
      </c>
      <c r="P34" s="12">
        <f t="shared" si="64"/>
        <v>0.9024271252591779</v>
      </c>
      <c r="Q34" s="140" t="str">
        <f t="shared" si="51"/>
        <v>BWP</v>
      </c>
      <c r="R34" s="104">
        <f>+VLOOKUP($B34,'Country-Level Tactics'!$B$5:$AL$248,'Country-Level Tactics'!AH$1,FALSE)</f>
        <v>665.99</v>
      </c>
      <c r="S34" s="104">
        <f>+VLOOKUP($B34,'Country-Level Tactics'!$B$5:$AL$248,'Country-Level Tactics'!X$1,FALSE)</f>
        <v>110.99</v>
      </c>
      <c r="T34" s="104">
        <f>+VLOOKUP($B34,'Country-Level Tactics'!$B$5:$AL$248,'Country-Level Tactics'!AC$1,FALSE)</f>
        <v>491.99</v>
      </c>
      <c r="U34" s="104">
        <f>+VLOOKUP($B34,'Country-Level Tactics'!$B$5:$AL$248,'Country-Level Tactics'!T$1,FALSE)</f>
        <v>81.99</v>
      </c>
      <c r="V34" s="104">
        <f t="shared" si="52"/>
        <v>443.99</v>
      </c>
      <c r="W34" s="104">
        <f t="shared" si="53"/>
        <v>73.989999999999995</v>
      </c>
      <c r="X34" s="12">
        <f t="shared" si="34"/>
        <v>6.0004504910352283</v>
      </c>
      <c r="Y34" s="12">
        <f t="shared" si="35"/>
        <v>1.3537016709354799</v>
      </c>
      <c r="Z34" s="12">
        <f t="shared" si="36"/>
        <v>6.0006098304671305</v>
      </c>
      <c r="AA34" s="12">
        <f t="shared" si="37"/>
        <v>6.0006757669955402</v>
      </c>
      <c r="AB34" s="12">
        <f t="shared" si="38"/>
        <v>0.9024271252591779</v>
      </c>
      <c r="AD34" s="10">
        <f t="shared" si="39"/>
        <v>0</v>
      </c>
      <c r="AE34" s="10">
        <f t="shared" si="40"/>
        <v>0</v>
      </c>
      <c r="AF34" s="10">
        <f t="shared" si="41"/>
        <v>0</v>
      </c>
      <c r="AG34" s="10">
        <f t="shared" si="42"/>
        <v>0</v>
      </c>
      <c r="AH34" s="10">
        <f t="shared" si="43"/>
        <v>0</v>
      </c>
      <c r="AI34" s="10">
        <f t="shared" si="44"/>
        <v>0</v>
      </c>
      <c r="AK34" s="165">
        <v>7.0999999999999994E-2</v>
      </c>
      <c r="AL34" s="173">
        <f t="shared" si="65"/>
        <v>47.285289999999996</v>
      </c>
      <c r="AM34" s="173">
        <f t="shared" si="66"/>
        <v>7.8802899999999987</v>
      </c>
      <c r="AN34" s="173">
        <f t="shared" si="67"/>
        <v>34.931289999999997</v>
      </c>
      <c r="AO34" s="173">
        <f t="shared" si="68"/>
        <v>5.8212899999999994</v>
      </c>
      <c r="AP34" s="173">
        <f t="shared" si="69"/>
        <v>31.523289999999999</v>
      </c>
      <c r="AQ34" s="173">
        <f t="shared" si="70"/>
        <v>5.2532899999999989</v>
      </c>
      <c r="AS34" s="22" t="str">
        <f>+VLOOKUP(B34,'Country &amp; Code Abbreviation'!$B$3:$C$245,2,FALSE)</f>
        <v>BW</v>
      </c>
    </row>
    <row r="35" spans="2:45">
      <c r="B35" s="20" t="s">
        <v>103</v>
      </c>
      <c r="C35" s="20" t="s">
        <v>100</v>
      </c>
      <c r="E35" s="11" t="str">
        <f>+VLOOKUP($B35,'[3]INT Web'!$B$5:$W$247,'[3]INT Web'!Q$1,FALSE)</f>
        <v>NOK</v>
      </c>
      <c r="F35" s="22">
        <f>+VLOOKUP($B35,'[3]INT Web'!$B$5:$W$247,'[3]INT Web'!R$1,FALSE)</f>
        <v>1399.99</v>
      </c>
      <c r="G35" s="22">
        <f>+VLOOKUP($B35,'[3]INT Web'!$B$5:$W$247,'[3]INT Web'!S$1,FALSE)</f>
        <v>199.99</v>
      </c>
      <c r="H35" s="22">
        <f>+VLOOKUP($B35,'[3]INT Web'!$B$5:$W$247,'[3]INT Web'!T$1,FALSE)</f>
        <v>899.99</v>
      </c>
      <c r="I35" s="22">
        <f>+VLOOKUP($B35,'[3]INT Web'!$B$5:$W$247,'[3]INT Web'!U$1,FALSE)</f>
        <v>149.99</v>
      </c>
      <c r="J35" s="22">
        <f>+VLOOKUP($B35,'[3]INT Web'!$B$5:$W$247,'[3]INT Web'!V$1,FALSE)</f>
        <v>839.99</v>
      </c>
      <c r="K35" s="22">
        <f>+VLOOKUP($B35,'[3]INT Web'!$B$5:$W$247,'[3]INT Web'!W$1,FALSE)</f>
        <v>139.99</v>
      </c>
      <c r="L35" s="12">
        <f t="shared" si="60"/>
        <v>7.0003000150007502</v>
      </c>
      <c r="M35" s="12">
        <f t="shared" si="61"/>
        <v>1.3333555570371358</v>
      </c>
      <c r="N35" s="12">
        <f t="shared" si="62"/>
        <v>6.0003333555570366</v>
      </c>
      <c r="O35" s="12">
        <f t="shared" si="63"/>
        <v>6.0003571683691685</v>
      </c>
      <c r="P35" s="12">
        <f t="shared" si="64"/>
        <v>0.93332888859257279</v>
      </c>
      <c r="Q35" s="140" t="str">
        <f t="shared" si="51"/>
        <v>NOK</v>
      </c>
      <c r="R35" s="104">
        <f>+VLOOKUP($B35,'Country-Level Tactics'!$B$5:$AL$248,'Country-Level Tactics'!AH$1,FALSE)</f>
        <v>1399.99</v>
      </c>
      <c r="S35" s="104">
        <f>+VLOOKUP($B35,'Country-Level Tactics'!$B$5:$AL$248,'Country-Level Tactics'!X$1,FALSE)</f>
        <v>199.99</v>
      </c>
      <c r="T35" s="104">
        <f>+VLOOKUP($B35,'Country-Level Tactics'!$B$5:$AL$248,'Country-Level Tactics'!AC$1,FALSE)</f>
        <v>899.99</v>
      </c>
      <c r="U35" s="104">
        <f>+VLOOKUP($B35,'Country-Level Tactics'!$B$5:$AL$248,'Country-Level Tactics'!T$1,FALSE)</f>
        <v>149.99</v>
      </c>
      <c r="V35" s="104">
        <f t="shared" si="52"/>
        <v>839.99</v>
      </c>
      <c r="W35" s="104">
        <f t="shared" si="53"/>
        <v>139.99</v>
      </c>
      <c r="X35" s="12">
        <f t="shared" si="34"/>
        <v>7.0003000150007502</v>
      </c>
      <c r="Y35" s="12">
        <f t="shared" si="35"/>
        <v>1.3333555570371358</v>
      </c>
      <c r="Z35" s="12">
        <f t="shared" si="36"/>
        <v>6.0003333555570366</v>
      </c>
      <c r="AA35" s="12">
        <f t="shared" si="37"/>
        <v>6.0003571683691685</v>
      </c>
      <c r="AB35" s="12">
        <f t="shared" si="38"/>
        <v>0.93332888859257279</v>
      </c>
      <c r="AD35" s="10">
        <f t="shared" si="39"/>
        <v>0</v>
      </c>
      <c r="AE35" s="10">
        <f t="shared" si="40"/>
        <v>0</v>
      </c>
      <c r="AF35" s="10">
        <f t="shared" si="41"/>
        <v>0</v>
      </c>
      <c r="AG35" s="10">
        <f t="shared" si="42"/>
        <v>0</v>
      </c>
      <c r="AH35" s="10">
        <f t="shared" si="43"/>
        <v>0</v>
      </c>
      <c r="AI35" s="10">
        <f t="shared" si="44"/>
        <v>0</v>
      </c>
      <c r="AK35" s="165">
        <v>0.1016534</v>
      </c>
      <c r="AL35" s="173">
        <f t="shared" si="65"/>
        <v>142.31374346600001</v>
      </c>
      <c r="AM35" s="173">
        <f t="shared" si="66"/>
        <v>20.329663466000003</v>
      </c>
      <c r="AN35" s="173">
        <f t="shared" si="67"/>
        <v>91.487043466000003</v>
      </c>
      <c r="AO35" s="173">
        <f t="shared" si="68"/>
        <v>15.246993466000001</v>
      </c>
      <c r="AP35" s="173">
        <f t="shared" si="69"/>
        <v>85.387839466000003</v>
      </c>
      <c r="AQ35" s="173">
        <f t="shared" si="70"/>
        <v>14.230459466000001</v>
      </c>
      <c r="AS35" s="22" t="str">
        <f>+VLOOKUP(B35,'Country &amp; Code Abbreviation'!$B$3:$C$245,2,FALSE)</f>
        <v>BV</v>
      </c>
    </row>
    <row r="36" spans="2:45">
      <c r="B36" s="199" t="s">
        <v>104</v>
      </c>
      <c r="C36" s="199" t="s">
        <v>96</v>
      </c>
      <c r="D36" s="6" t="s">
        <v>345</v>
      </c>
      <c r="E36" s="11" t="str">
        <f>+VLOOKUP($B36,'[3]INT Web'!$B$5:$W$247,'[3]INT Web'!Q$1,FALSE)</f>
        <v>BRL</v>
      </c>
      <c r="F36" s="22">
        <f>+VLOOKUP($B36,'[3]INT Web'!$B$5:$W$247,'[3]INT Web'!R$1,FALSE)</f>
        <v>489.99</v>
      </c>
      <c r="G36" s="22">
        <f>+VLOOKUP($B36,'[3]INT Web'!$B$5:$W$247,'[3]INT Web'!S$1,FALSE)</f>
        <v>69.989999999999995</v>
      </c>
      <c r="H36" s="22">
        <f>+VLOOKUP($B36,'[3]INT Web'!$B$5:$W$247,'[3]INT Web'!T$1,FALSE)</f>
        <v>384.99</v>
      </c>
      <c r="I36" s="22">
        <f>+VLOOKUP($B36,'[3]INT Web'!$B$5:$W$247,'[3]INT Web'!U$1,FALSE)</f>
        <v>54.99</v>
      </c>
      <c r="J36" s="22">
        <f>+VLOOKUP($B36,'[3]INT Web'!$B$5:$W$247,'[3]INT Web'!V$1,FALSE)</f>
        <v>349.99</v>
      </c>
      <c r="K36" s="22">
        <f>+VLOOKUP($B36,'[3]INT Web'!$B$5:$W$247,'[3]INT Web'!W$1,FALSE)</f>
        <v>49.99</v>
      </c>
      <c r="L36" s="12">
        <f t="shared" si="60"/>
        <v>7.0008572653236181</v>
      </c>
      <c r="M36" s="12">
        <f t="shared" si="61"/>
        <v>1.2727768685215493</v>
      </c>
      <c r="N36" s="12">
        <f t="shared" si="62"/>
        <v>7.0010911074740863</v>
      </c>
      <c r="O36" s="12">
        <f t="shared" si="63"/>
        <v>7.0012002400480098</v>
      </c>
      <c r="P36" s="12">
        <f t="shared" si="64"/>
        <v>0.90907437715948358</v>
      </c>
      <c r="Q36" s="140" t="str">
        <f t="shared" si="51"/>
        <v>BRL</v>
      </c>
      <c r="R36" s="104">
        <f>+VLOOKUP($B36,'Country-Level Tactics'!$B$5:$AL$248,'Country-Level Tactics'!AH$1,FALSE)</f>
        <v>489.99</v>
      </c>
      <c r="S36" s="104">
        <f>+VLOOKUP($B36,'Country-Level Tactics'!$B$5:$AL$248,'Country-Level Tactics'!X$1,FALSE)</f>
        <v>69.989999999999995</v>
      </c>
      <c r="T36" s="104">
        <f>+VLOOKUP($B36,'Country-Level Tactics'!$B$5:$AL$248,'Country-Level Tactics'!AC$1,FALSE)</f>
        <v>384.99</v>
      </c>
      <c r="U36" s="104">
        <f>+VLOOKUP($B36,'Country-Level Tactics'!$B$5:$AL$248,'Country-Level Tactics'!T$1,FALSE)</f>
        <v>54.99</v>
      </c>
      <c r="V36" s="104">
        <f t="shared" si="52"/>
        <v>349.99</v>
      </c>
      <c r="W36" s="104">
        <f t="shared" si="53"/>
        <v>49.99</v>
      </c>
      <c r="X36" s="12">
        <f t="shared" si="34"/>
        <v>7.0008572653236181</v>
      </c>
      <c r="Y36" s="12">
        <f t="shared" si="35"/>
        <v>1.2727768685215493</v>
      </c>
      <c r="Z36" s="12">
        <f t="shared" si="36"/>
        <v>7.0010911074740863</v>
      </c>
      <c r="AA36" s="12">
        <f t="shared" si="37"/>
        <v>7.0012002400480098</v>
      </c>
      <c r="AB36" s="12">
        <f t="shared" si="38"/>
        <v>0.90907437715948358</v>
      </c>
      <c r="AD36" s="10">
        <f t="shared" si="39"/>
        <v>0</v>
      </c>
      <c r="AE36" s="10">
        <f t="shared" si="40"/>
        <v>0</v>
      </c>
      <c r="AF36" s="10">
        <f t="shared" si="41"/>
        <v>0</v>
      </c>
      <c r="AG36" s="10">
        <f t="shared" si="42"/>
        <v>0</v>
      </c>
      <c r="AH36" s="10">
        <f t="shared" si="43"/>
        <v>0</v>
      </c>
      <c r="AI36" s="10">
        <f t="shared" si="44"/>
        <v>0</v>
      </c>
      <c r="AK36" s="165">
        <v>0.19347598999999999</v>
      </c>
      <c r="AL36" s="173">
        <f t="shared" si="65"/>
        <v>94.801300340099999</v>
      </c>
      <c r="AM36" s="173">
        <f t="shared" si="66"/>
        <v>13.541384540099997</v>
      </c>
      <c r="AN36" s="173">
        <f t="shared" si="67"/>
        <v>74.486321390100002</v>
      </c>
      <c r="AO36" s="173">
        <f t="shared" si="68"/>
        <v>10.6392446901</v>
      </c>
      <c r="AP36" s="173">
        <f t="shared" si="69"/>
        <v>67.714661740099999</v>
      </c>
      <c r="AQ36" s="173">
        <f t="shared" si="70"/>
        <v>9.6718647401000002</v>
      </c>
      <c r="AS36" s="22" t="str">
        <f>+VLOOKUP(B36,'Country &amp; Code Abbreviation'!$B$3:$C$245,2,FALSE)</f>
        <v>BR</v>
      </c>
    </row>
    <row r="37" spans="2:45">
      <c r="B37" s="20" t="s">
        <v>105</v>
      </c>
      <c r="C37" s="20" t="s">
        <v>182</v>
      </c>
      <c r="E37" s="11" t="str">
        <f>+VLOOKUP($B37,'[3]INT Web'!$B$5:$W$247,'[3]INT Web'!Q$1,FALSE)</f>
        <v>USD</v>
      </c>
      <c r="F37" s="22">
        <f>+VLOOKUP($B37,'[3]INT Web'!$B$5:$W$247,'[3]INT Web'!R$1,FALSE)</f>
        <v>77.989999999999995</v>
      </c>
      <c r="G37" s="22">
        <f>+VLOOKUP($B37,'[3]INT Web'!$B$5:$W$247,'[3]INT Web'!S$1,FALSE)</f>
        <v>12.99</v>
      </c>
      <c r="H37" s="22">
        <f>+VLOOKUP($B37,'[3]INT Web'!$B$5:$W$247,'[3]INT Web'!T$1,FALSE)</f>
        <v>59.99</v>
      </c>
      <c r="I37" s="22">
        <f>+VLOOKUP($B37,'[3]INT Web'!$B$5:$W$247,'[3]INT Web'!U$1,FALSE)</f>
        <v>9.99</v>
      </c>
      <c r="J37" s="22">
        <f>+VLOOKUP($B37,'[3]INT Web'!$B$5:$W$247,'[3]INT Web'!V$1,FALSE)</f>
        <v>53.99</v>
      </c>
      <c r="K37" s="22">
        <f>+VLOOKUP($B37,'[3]INT Web'!$B$5:$W$247,'[3]INT Web'!W$1,FALSE)</f>
        <v>8.99</v>
      </c>
      <c r="L37" s="12">
        <f t="shared" si="60"/>
        <v>6.0038491147036179</v>
      </c>
      <c r="M37" s="12">
        <f t="shared" si="61"/>
        <v>1.3003003003003002</v>
      </c>
      <c r="N37" s="12">
        <f t="shared" si="62"/>
        <v>6.005005005005005</v>
      </c>
      <c r="O37" s="12">
        <f t="shared" si="63"/>
        <v>6.0055617352614012</v>
      </c>
      <c r="P37" s="12">
        <f t="shared" si="64"/>
        <v>0.89989989989989994</v>
      </c>
      <c r="Q37" s="140" t="str">
        <f t="shared" si="51"/>
        <v>USD</v>
      </c>
      <c r="R37" s="104">
        <f>+VLOOKUP($B37,'Country-Level Tactics'!$B$5:$AL$248,'Country-Level Tactics'!AH$1,FALSE)</f>
        <v>77.989999999999995</v>
      </c>
      <c r="S37" s="104">
        <f>+VLOOKUP($B37,'Country-Level Tactics'!$B$5:$AL$248,'Country-Level Tactics'!X$1,FALSE)</f>
        <v>12.99</v>
      </c>
      <c r="T37" s="104">
        <f>+VLOOKUP($B37,'Country-Level Tactics'!$B$5:$AL$248,'Country-Level Tactics'!AC$1,FALSE)</f>
        <v>59.99</v>
      </c>
      <c r="U37" s="104">
        <f>+VLOOKUP($B37,'Country-Level Tactics'!$B$5:$AL$248,'Country-Level Tactics'!T$1,FALSE)</f>
        <v>9.99</v>
      </c>
      <c r="V37" s="104">
        <f t="shared" si="52"/>
        <v>53.99</v>
      </c>
      <c r="W37" s="104">
        <f t="shared" si="53"/>
        <v>8.99</v>
      </c>
      <c r="X37" s="12">
        <f t="shared" ref="X37:X68" si="71">+R37/S37</f>
        <v>6.0038491147036179</v>
      </c>
      <c r="Y37" s="12">
        <f t="shared" ref="Y37:Y68" si="72">+S37/U37</f>
        <v>1.3003003003003002</v>
      </c>
      <c r="Z37" s="12">
        <f t="shared" ref="Z37:Z68" si="73">+T37/U37</f>
        <v>6.005005005005005</v>
      </c>
      <c r="AA37" s="12">
        <f t="shared" ref="AA37:AA68" si="74">+V37/W37</f>
        <v>6.0055617352614012</v>
      </c>
      <c r="AB37" s="12">
        <f t="shared" ref="AB37:AB68" si="75">+W37/U37</f>
        <v>0.89989989989989994</v>
      </c>
      <c r="AD37" s="10">
        <f t="shared" ref="AD37:AD68" si="76">+R37/F37-1</f>
        <v>0</v>
      </c>
      <c r="AE37" s="10">
        <f t="shared" ref="AE37:AE68" si="77">+S37/G37-1</f>
        <v>0</v>
      </c>
      <c r="AF37" s="10">
        <f t="shared" ref="AF37:AF68" si="78">+T37/H37-1</f>
        <v>0</v>
      </c>
      <c r="AG37" s="10">
        <f t="shared" ref="AG37:AG68" si="79">+U37/I37-1</f>
        <v>0</v>
      </c>
      <c r="AH37" s="10">
        <f t="shared" ref="AH37:AH68" si="80">+V37/J37-1</f>
        <v>0</v>
      </c>
      <c r="AI37" s="10">
        <f t="shared" ref="AI37:AI68" si="81">+W37/K37-1</f>
        <v>0</v>
      </c>
      <c r="AK37" s="165">
        <v>1</v>
      </c>
      <c r="AL37" s="173">
        <f t="shared" si="65"/>
        <v>77.989999999999995</v>
      </c>
      <c r="AM37" s="173">
        <f t="shared" si="66"/>
        <v>12.99</v>
      </c>
      <c r="AN37" s="173">
        <f t="shared" si="67"/>
        <v>59.99</v>
      </c>
      <c r="AO37" s="173">
        <f t="shared" si="68"/>
        <v>9.99</v>
      </c>
      <c r="AP37" s="173">
        <f t="shared" si="69"/>
        <v>53.99</v>
      </c>
      <c r="AQ37" s="173">
        <f t="shared" si="70"/>
        <v>8.99</v>
      </c>
      <c r="AS37" s="22" t="str">
        <f>+VLOOKUP(B37,'Country &amp; Code Abbreviation'!$B$3:$C$245,2,FALSE)</f>
        <v>IO</v>
      </c>
    </row>
    <row r="38" spans="2:45">
      <c r="B38" s="20" t="s">
        <v>106</v>
      </c>
      <c r="C38" s="20" t="s">
        <v>96</v>
      </c>
      <c r="E38" s="11" t="str">
        <f>+VLOOKUP($B38,'[3]INT Web'!$B$5:$W$247,'[3]INT Web'!Q$1,FALSE)</f>
        <v>USD</v>
      </c>
      <c r="F38" s="22">
        <f>+VLOOKUP($B38,'[3]INT Web'!$B$5:$W$247,'[3]INT Web'!R$1,FALSE)</f>
        <v>102.99</v>
      </c>
      <c r="G38" s="22">
        <f>+VLOOKUP($B38,'[3]INT Web'!$B$5:$W$247,'[3]INT Web'!S$1,FALSE)</f>
        <v>16.989999999999998</v>
      </c>
      <c r="H38" s="22">
        <f>+VLOOKUP($B38,'[3]INT Web'!$B$5:$W$247,'[3]INT Web'!T$1,FALSE)</f>
        <v>71.989999999999995</v>
      </c>
      <c r="I38" s="22">
        <f>+VLOOKUP($B38,'[3]INT Web'!$B$5:$W$247,'[3]INT Web'!U$1,FALSE)</f>
        <v>11.99</v>
      </c>
      <c r="J38" s="22">
        <f>+VLOOKUP($B38,'[3]INT Web'!$B$5:$W$247,'[3]INT Web'!V$1,FALSE)</f>
        <v>65.989999999999995</v>
      </c>
      <c r="K38" s="22">
        <f>+VLOOKUP($B38,'[3]INT Web'!$B$5:$W$247,'[3]INT Web'!W$1,FALSE)</f>
        <v>10.99</v>
      </c>
      <c r="L38" s="12">
        <f t="shared" si="60"/>
        <v>6.0618010594467338</v>
      </c>
      <c r="M38" s="12">
        <f t="shared" si="61"/>
        <v>1.4170141784820682</v>
      </c>
      <c r="N38" s="12">
        <f t="shared" si="62"/>
        <v>6.0041701417848206</v>
      </c>
      <c r="O38" s="12">
        <f t="shared" si="63"/>
        <v>6.0045495905368513</v>
      </c>
      <c r="P38" s="12">
        <f t="shared" si="64"/>
        <v>0.91659716430358629</v>
      </c>
      <c r="Q38" s="140" t="str">
        <f t="shared" si="51"/>
        <v>USD</v>
      </c>
      <c r="R38" s="104">
        <f>+VLOOKUP($B38,'Country-Level Tactics'!$B$5:$AL$248,'Country-Level Tactics'!AH$1,FALSE)</f>
        <v>102.99</v>
      </c>
      <c r="S38" s="104">
        <f>+VLOOKUP($B38,'Country-Level Tactics'!$B$5:$AL$248,'Country-Level Tactics'!X$1,FALSE)</f>
        <v>16.989999999999998</v>
      </c>
      <c r="T38" s="104">
        <f>+VLOOKUP($B38,'Country-Level Tactics'!$B$5:$AL$248,'Country-Level Tactics'!AC$1,FALSE)</f>
        <v>71.989999999999995</v>
      </c>
      <c r="U38" s="104">
        <f>+VLOOKUP($B38,'Country-Level Tactics'!$B$5:$AL$248,'Country-Level Tactics'!T$1,FALSE)</f>
        <v>11.99</v>
      </c>
      <c r="V38" s="104">
        <f t="shared" si="52"/>
        <v>65.989999999999995</v>
      </c>
      <c r="W38" s="104">
        <f t="shared" si="53"/>
        <v>10.99</v>
      </c>
      <c r="X38" s="12">
        <f t="shared" si="71"/>
        <v>6.0618010594467338</v>
      </c>
      <c r="Y38" s="12">
        <f t="shared" si="72"/>
        <v>1.4170141784820682</v>
      </c>
      <c r="Z38" s="12">
        <f t="shared" si="73"/>
        <v>6.0041701417848206</v>
      </c>
      <c r="AA38" s="12">
        <f t="shared" si="74"/>
        <v>6.0045495905368513</v>
      </c>
      <c r="AB38" s="12">
        <f t="shared" si="75"/>
        <v>0.91659716430358629</v>
      </c>
      <c r="AD38" s="10">
        <f t="shared" si="76"/>
        <v>0</v>
      </c>
      <c r="AE38" s="10">
        <f t="shared" si="77"/>
        <v>0</v>
      </c>
      <c r="AF38" s="10">
        <f t="shared" si="78"/>
        <v>0</v>
      </c>
      <c r="AG38" s="10">
        <f t="shared" si="79"/>
        <v>0</v>
      </c>
      <c r="AH38" s="10">
        <f t="shared" si="80"/>
        <v>0</v>
      </c>
      <c r="AI38" s="10">
        <f t="shared" si="81"/>
        <v>0</v>
      </c>
      <c r="AK38" s="165">
        <v>1</v>
      </c>
      <c r="AL38" s="173">
        <f t="shared" si="65"/>
        <v>102.99</v>
      </c>
      <c r="AM38" s="173">
        <f t="shared" si="66"/>
        <v>16.989999999999998</v>
      </c>
      <c r="AN38" s="173">
        <f t="shared" si="67"/>
        <v>71.989999999999995</v>
      </c>
      <c r="AO38" s="173">
        <f t="shared" si="68"/>
        <v>11.99</v>
      </c>
      <c r="AP38" s="173">
        <f t="shared" si="69"/>
        <v>65.989999999999995</v>
      </c>
      <c r="AQ38" s="173">
        <f t="shared" si="70"/>
        <v>10.99</v>
      </c>
      <c r="AS38" s="22" t="str">
        <f>+VLOOKUP(B38,'Country &amp; Code Abbreviation'!$B$3:$C$245,2,FALSE)</f>
        <v>VG</v>
      </c>
    </row>
    <row r="39" spans="2:45">
      <c r="B39" s="20" t="s">
        <v>107</v>
      </c>
      <c r="C39" s="20" t="s">
        <v>182</v>
      </c>
      <c r="E39" s="11" t="str">
        <f>+VLOOKUP($B39,'[3]INT Web'!$B$5:$W$247,'[3]INT Web'!Q$1,FALSE)</f>
        <v>BND</v>
      </c>
      <c r="F39" s="22">
        <f>+VLOOKUP($B39,'[3]INT Web'!$B$5:$W$247,'[3]INT Web'!R$1,FALSE)</f>
        <v>107.99</v>
      </c>
      <c r="G39" s="22">
        <f>+VLOOKUP($B39,'[3]INT Web'!$B$5:$W$247,'[3]INT Web'!S$1,FALSE)</f>
        <v>17.989999999999998</v>
      </c>
      <c r="H39" s="22">
        <f>+VLOOKUP($B39,'[3]INT Web'!$B$5:$W$247,'[3]INT Web'!T$1,FALSE)</f>
        <v>77.989999999999995</v>
      </c>
      <c r="I39" s="22">
        <f>+VLOOKUP($B39,'[3]INT Web'!$B$5:$W$247,'[3]INT Web'!U$1,FALSE)</f>
        <v>12.99</v>
      </c>
      <c r="J39" s="22">
        <f>+VLOOKUP($B39,'[3]INT Web'!$B$5:$W$247,'[3]INT Web'!V$1,FALSE)</f>
        <v>71.989999999999995</v>
      </c>
      <c r="K39" s="22">
        <f>+VLOOKUP($B39,'[3]INT Web'!$B$5:$W$247,'[3]INT Web'!W$1,FALSE)</f>
        <v>11.99</v>
      </c>
      <c r="L39" s="12">
        <f t="shared" si="60"/>
        <v>6.0027793218454697</v>
      </c>
      <c r="M39" s="12">
        <f t="shared" si="61"/>
        <v>1.3849114703618166</v>
      </c>
      <c r="N39" s="12">
        <f t="shared" si="62"/>
        <v>6.0038491147036179</v>
      </c>
      <c r="O39" s="12">
        <f t="shared" si="63"/>
        <v>6.0041701417848206</v>
      </c>
      <c r="P39" s="12">
        <f t="shared" si="64"/>
        <v>0.92301770592763666</v>
      </c>
      <c r="Q39" s="140" t="str">
        <f t="shared" si="51"/>
        <v>BND</v>
      </c>
      <c r="R39" s="104">
        <f>+VLOOKUP($B39,'Country-Level Tactics'!$B$5:$AL$248,'Country-Level Tactics'!AH$1,FALSE)</f>
        <v>107.99</v>
      </c>
      <c r="S39" s="104">
        <f>+VLOOKUP($B39,'Country-Level Tactics'!$B$5:$AL$248,'Country-Level Tactics'!X$1,FALSE)</f>
        <v>17.989999999999998</v>
      </c>
      <c r="T39" s="104">
        <f>+VLOOKUP($B39,'Country-Level Tactics'!$B$5:$AL$248,'Country-Level Tactics'!AC$1,FALSE)</f>
        <v>77.989999999999995</v>
      </c>
      <c r="U39" s="104">
        <f>+VLOOKUP($B39,'Country-Level Tactics'!$B$5:$AL$248,'Country-Level Tactics'!T$1,FALSE)</f>
        <v>12.99</v>
      </c>
      <c r="V39" s="104">
        <f t="shared" si="52"/>
        <v>71.989999999999995</v>
      </c>
      <c r="W39" s="104">
        <f t="shared" si="53"/>
        <v>11.99</v>
      </c>
      <c r="X39" s="12">
        <f t="shared" si="71"/>
        <v>6.0027793218454697</v>
      </c>
      <c r="Y39" s="12">
        <f t="shared" si="72"/>
        <v>1.3849114703618166</v>
      </c>
      <c r="Z39" s="12">
        <f t="shared" si="73"/>
        <v>6.0038491147036179</v>
      </c>
      <c r="AA39" s="12">
        <f t="shared" si="74"/>
        <v>6.0041701417848206</v>
      </c>
      <c r="AB39" s="12">
        <f t="shared" si="75"/>
        <v>0.92301770592763666</v>
      </c>
      <c r="AD39" s="10">
        <f t="shared" si="76"/>
        <v>0</v>
      </c>
      <c r="AE39" s="10">
        <f t="shared" si="77"/>
        <v>0</v>
      </c>
      <c r="AF39" s="10">
        <f t="shared" si="78"/>
        <v>0</v>
      </c>
      <c r="AG39" s="10">
        <f t="shared" si="79"/>
        <v>0</v>
      </c>
      <c r="AH39" s="10">
        <f t="shared" si="80"/>
        <v>0</v>
      </c>
      <c r="AI39" s="10">
        <f t="shared" si="81"/>
        <v>0</v>
      </c>
      <c r="AK39" s="165">
        <v>0.77300659999999999</v>
      </c>
      <c r="AL39" s="173">
        <f t="shared" si="65"/>
        <v>83.476982733999989</v>
      </c>
      <c r="AM39" s="173">
        <f t="shared" si="66"/>
        <v>13.906388733999998</v>
      </c>
      <c r="AN39" s="173">
        <f t="shared" si="67"/>
        <v>60.286784733999994</v>
      </c>
      <c r="AO39" s="173">
        <f t="shared" si="68"/>
        <v>10.041355734</v>
      </c>
      <c r="AP39" s="173">
        <f t="shared" si="69"/>
        <v>55.648745133999995</v>
      </c>
      <c r="AQ39" s="173">
        <f t="shared" si="70"/>
        <v>9.2683491339999993</v>
      </c>
      <c r="AS39" s="22" t="str">
        <f>+VLOOKUP(B39,'Country &amp; Code Abbreviation'!$B$3:$C$245,2,FALSE)</f>
        <v>BN</v>
      </c>
    </row>
    <row r="40" spans="2:45" ht="13.4" customHeight="1">
      <c r="B40" s="20" t="s">
        <v>108</v>
      </c>
      <c r="C40" s="20" t="s">
        <v>100</v>
      </c>
      <c r="E40" s="11" t="str">
        <f>+VLOOKUP($B40,'[3]INT Web'!$B$5:$W$247,'[3]INT Web'!Q$1,FALSE)</f>
        <v>BGN</v>
      </c>
      <c r="F40" s="22">
        <f>+VLOOKUP($B40,'[3]INT Web'!$B$5:$W$247,'[3]INT Web'!R$1,FALSE)</f>
        <v>184.99</v>
      </c>
      <c r="G40" s="22">
        <f>+VLOOKUP($B40,'[3]INT Web'!$B$5:$W$247,'[3]INT Web'!S$1,FALSE)</f>
        <v>28.99</v>
      </c>
      <c r="H40" s="22">
        <f>+VLOOKUP($B40,'[3]INT Web'!$B$5:$W$247,'[3]INT Web'!T$1,FALSE)</f>
        <v>136.99</v>
      </c>
      <c r="I40" s="22">
        <f>+VLOOKUP($B40,'[3]INT Web'!$B$5:$W$247,'[3]INT Web'!U$1,FALSE)</f>
        <v>20.99</v>
      </c>
      <c r="J40" s="22">
        <f>+VLOOKUP($B40,'[3]INT Web'!$B$5:$W$247,'[3]INT Web'!V$1,FALSE)</f>
        <v>119.99</v>
      </c>
      <c r="K40" s="22">
        <f>+VLOOKUP($B40,'[3]INT Web'!$B$5:$W$247,'[3]INT Web'!W$1,FALSE)</f>
        <v>18.989999999999998</v>
      </c>
      <c r="L40" s="12">
        <f t="shared" si="60"/>
        <v>6.3811659192825116</v>
      </c>
      <c r="M40" s="12">
        <f t="shared" si="61"/>
        <v>1.3811338732729872</v>
      </c>
      <c r="N40" s="12">
        <f t="shared" si="62"/>
        <v>6.5264411624583145</v>
      </c>
      <c r="O40" s="12">
        <f t="shared" si="63"/>
        <v>6.3185887309110065</v>
      </c>
      <c r="P40" s="12">
        <f>+K40/I40</f>
        <v>0.90471653168175326</v>
      </c>
      <c r="Q40" s="146" t="s">
        <v>368</v>
      </c>
      <c r="R40" s="9">
        <v>94.99</v>
      </c>
      <c r="S40" s="104">
        <f>+VLOOKUP($B40,'Country-Level Tactics'!$B$5:$AL$248,'Country-Level Tactics'!X$1,FALSE)</f>
        <v>14.99</v>
      </c>
      <c r="T40" s="9">
        <f>+MROUND(U40*N40,1)-0.01</f>
        <v>71.989999999999995</v>
      </c>
      <c r="U40" s="104">
        <f>+VLOOKUP($B40,'Country-Level Tactics'!$B$5:$AL$248,'Country-Level Tactics'!T$1,FALSE)</f>
        <v>10.99</v>
      </c>
      <c r="V40" s="9">
        <f>+MROUND(W40*O40,1)-0.01</f>
        <v>62.99</v>
      </c>
      <c r="W40" s="9">
        <f>+MROUND(U40*P40,1)-0.01</f>
        <v>9.99</v>
      </c>
      <c r="X40" s="12">
        <f t="shared" si="71"/>
        <v>6.3368912608405603</v>
      </c>
      <c r="Y40" s="12">
        <f t="shared" si="72"/>
        <v>1.3639672429481347</v>
      </c>
      <c r="Z40" s="12">
        <f t="shared" si="73"/>
        <v>6.5505004549590531</v>
      </c>
      <c r="AA40" s="12">
        <f t="shared" si="74"/>
        <v>6.3053053053053052</v>
      </c>
      <c r="AB40" s="12">
        <f t="shared" si="75"/>
        <v>0.90900818926296634</v>
      </c>
      <c r="AD40" s="10">
        <f t="shared" si="76"/>
        <v>-0.48651278447483648</v>
      </c>
      <c r="AE40" s="10">
        <f t="shared" si="77"/>
        <v>-0.48292514660227659</v>
      </c>
      <c r="AF40" s="10">
        <f t="shared" si="78"/>
        <v>-0.47448718884590124</v>
      </c>
      <c r="AG40" s="10">
        <f t="shared" si="79"/>
        <v>-0.47641734159123383</v>
      </c>
      <c r="AH40" s="10">
        <f t="shared" si="80"/>
        <v>-0.47503958663221935</v>
      </c>
      <c r="AI40" s="10">
        <f t="shared" si="81"/>
        <v>-0.47393364928909942</v>
      </c>
      <c r="AK40" s="165">
        <v>1.14175</v>
      </c>
      <c r="AL40" s="173">
        <f t="shared" si="65"/>
        <v>108.45483249999999</v>
      </c>
      <c r="AM40" s="173">
        <f t="shared" si="66"/>
        <v>17.114832500000002</v>
      </c>
      <c r="AN40" s="173">
        <f t="shared" si="67"/>
        <v>82.194582499999996</v>
      </c>
      <c r="AO40" s="173">
        <f t="shared" si="68"/>
        <v>12.5478325</v>
      </c>
      <c r="AP40" s="173">
        <f t="shared" si="69"/>
        <v>71.918832500000008</v>
      </c>
      <c r="AQ40" s="173">
        <f t="shared" si="70"/>
        <v>11.4060825</v>
      </c>
      <c r="AS40" s="22" t="str">
        <f>+VLOOKUP(B40,'Country &amp; Code Abbreviation'!$B$3:$C$245,2,FALSE)</f>
        <v>BG</v>
      </c>
    </row>
    <row r="41" spans="2:45">
      <c r="B41" s="20" t="s">
        <v>109</v>
      </c>
      <c r="C41" s="20" t="s">
        <v>270</v>
      </c>
      <c r="E41" s="11" t="str">
        <f>+VLOOKUP($B41,'[3]INT Web'!$B$5:$W$247,'[3]INT Web'!Q$1,FALSE)</f>
        <v>XOF</v>
      </c>
      <c r="F41" s="136">
        <f>+VLOOKUP($B41,'[3]INT Web'!$B$5:$W$247,'[3]INT Web'!R$1,FALSE)</f>
        <v>43740</v>
      </c>
      <c r="G41" s="136">
        <f>+VLOOKUP($B41,'[3]INT Web'!$B$5:$W$247,'[3]INT Web'!S$1,FALSE)</f>
        <v>7290</v>
      </c>
      <c r="H41" s="136">
        <f>+VLOOKUP($B41,'[3]INT Web'!$B$5:$W$247,'[3]INT Web'!T$1,FALSE)</f>
        <v>32400</v>
      </c>
      <c r="I41" s="136">
        <f>+VLOOKUP($B41,'[3]INT Web'!$B$5:$W$247,'[3]INT Web'!U$1,FALSE)</f>
        <v>5400</v>
      </c>
      <c r="J41" s="136">
        <f>+VLOOKUP($B41,'[3]INT Web'!$B$5:$W$247,'[3]INT Web'!V$1,FALSE)</f>
        <v>29160</v>
      </c>
      <c r="K41" s="136">
        <f>+VLOOKUP($B41,'[3]INT Web'!$B$5:$W$247,'[3]INT Web'!W$1,FALSE)</f>
        <v>4860</v>
      </c>
      <c r="L41" s="12">
        <f t="shared" si="60"/>
        <v>6</v>
      </c>
      <c r="M41" s="12">
        <f t="shared" si="61"/>
        <v>1.35</v>
      </c>
      <c r="N41" s="12">
        <f t="shared" si="62"/>
        <v>6</v>
      </c>
      <c r="O41" s="12">
        <f t="shared" si="63"/>
        <v>6</v>
      </c>
      <c r="P41" s="12">
        <f t="shared" si="64"/>
        <v>0.9</v>
      </c>
      <c r="Q41" s="143" t="str">
        <f t="shared" si="51"/>
        <v>XOF</v>
      </c>
      <c r="R41" s="137">
        <f>+VLOOKUP($B41,'Country-Level Tactics'!$B$5:$AL$248,'Country-Level Tactics'!AH$1,FALSE)</f>
        <v>43740</v>
      </c>
      <c r="S41" s="137">
        <f>+VLOOKUP($B41,'Country-Level Tactics'!$B$5:$AL$248,'Country-Level Tactics'!X$1,FALSE)</f>
        <v>7290</v>
      </c>
      <c r="T41" s="137">
        <f>+VLOOKUP($B41,'Country-Level Tactics'!$B$5:$AL$248,'Country-Level Tactics'!AC$1,FALSE)</f>
        <v>32400</v>
      </c>
      <c r="U41" s="137">
        <f>+VLOOKUP($B41,'Country-Level Tactics'!$B$5:$AL$248,'Country-Level Tactics'!T$1,FALSE)</f>
        <v>5400</v>
      </c>
      <c r="V41" s="137">
        <f t="shared" si="52"/>
        <v>29160</v>
      </c>
      <c r="W41" s="137">
        <f t="shared" si="53"/>
        <v>4860</v>
      </c>
      <c r="X41" s="12">
        <f t="shared" si="71"/>
        <v>6</v>
      </c>
      <c r="Y41" s="12">
        <f t="shared" si="72"/>
        <v>1.35</v>
      </c>
      <c r="Z41" s="12">
        <f t="shared" si="73"/>
        <v>6</v>
      </c>
      <c r="AA41" s="12">
        <f t="shared" si="74"/>
        <v>6</v>
      </c>
      <c r="AB41" s="12">
        <f t="shared" si="75"/>
        <v>0.9</v>
      </c>
      <c r="AD41" s="10">
        <f t="shared" si="76"/>
        <v>0</v>
      </c>
      <c r="AE41" s="10">
        <f t="shared" si="77"/>
        <v>0</v>
      </c>
      <c r="AF41" s="10">
        <f t="shared" si="78"/>
        <v>0</v>
      </c>
      <c r="AG41" s="10">
        <f t="shared" si="79"/>
        <v>0</v>
      </c>
      <c r="AH41" s="10">
        <f t="shared" si="80"/>
        <v>0</v>
      </c>
      <c r="AI41" s="10">
        <f t="shared" si="81"/>
        <v>0</v>
      </c>
      <c r="AK41" s="165">
        <v>1.7405866999999999E-3</v>
      </c>
      <c r="AL41" s="173">
        <f t="shared" si="65"/>
        <v>76.133262258000002</v>
      </c>
      <c r="AM41" s="173">
        <f t="shared" si="66"/>
        <v>12.688877043</v>
      </c>
      <c r="AN41" s="173">
        <f t="shared" si="67"/>
        <v>56.395009080000001</v>
      </c>
      <c r="AO41" s="173">
        <f t="shared" si="68"/>
        <v>9.3991681800000002</v>
      </c>
      <c r="AP41" s="173">
        <f t="shared" si="69"/>
        <v>50.755508171999999</v>
      </c>
      <c r="AQ41" s="173">
        <f t="shared" si="70"/>
        <v>8.4592513619999998</v>
      </c>
      <c r="AS41" s="22" t="str">
        <f>+VLOOKUP(B41,'Country &amp; Code Abbreviation'!$B$3:$C$245,2,FALSE)</f>
        <v>BF</v>
      </c>
    </row>
    <row r="42" spans="2:45">
      <c r="B42" s="20" t="s">
        <v>110</v>
      </c>
      <c r="C42" s="20" t="s">
        <v>270</v>
      </c>
      <c r="E42" s="11" t="str">
        <f>+VLOOKUP($B42,'[3]INT Web'!$B$5:$W$247,'[3]INT Web'!Q$1,FALSE)</f>
        <v>USD</v>
      </c>
      <c r="F42" s="22">
        <f>+VLOOKUP($B42,'[3]INT Web'!$B$5:$W$247,'[3]INT Web'!R$1,FALSE)</f>
        <v>71.989999999999995</v>
      </c>
      <c r="G42" s="22">
        <f>+VLOOKUP($B42,'[3]INT Web'!$B$5:$W$247,'[3]INT Web'!S$1,FALSE)</f>
        <v>11.99</v>
      </c>
      <c r="H42" s="22">
        <f>+VLOOKUP($B42,'[3]INT Web'!$B$5:$W$247,'[3]INT Web'!T$1,FALSE)</f>
        <v>53.99</v>
      </c>
      <c r="I42" s="22">
        <f>+VLOOKUP($B42,'[3]INT Web'!$B$5:$W$247,'[3]INT Web'!U$1,FALSE)</f>
        <v>8.99</v>
      </c>
      <c r="J42" s="22">
        <f>+VLOOKUP($B42,'[3]INT Web'!$B$5:$W$247,'[3]INT Web'!V$1,FALSE)</f>
        <v>47.99</v>
      </c>
      <c r="K42" s="22">
        <f>+VLOOKUP($B42,'[3]INT Web'!$B$5:$W$247,'[3]INT Web'!W$1,FALSE)</f>
        <v>7.99</v>
      </c>
      <c r="L42" s="12">
        <f t="shared" si="60"/>
        <v>6.0041701417848206</v>
      </c>
      <c r="M42" s="12">
        <f t="shared" si="61"/>
        <v>1.3337041156840934</v>
      </c>
      <c r="N42" s="12">
        <f t="shared" si="62"/>
        <v>6.0055617352614012</v>
      </c>
      <c r="O42" s="12">
        <f t="shared" si="63"/>
        <v>6.0062578222778473</v>
      </c>
      <c r="P42" s="12">
        <f t="shared" si="64"/>
        <v>0.88876529477196886</v>
      </c>
      <c r="Q42" s="140" t="str">
        <f t="shared" si="51"/>
        <v>USD</v>
      </c>
      <c r="R42" s="104">
        <f>+VLOOKUP($B42,'Country-Level Tactics'!$B$5:$AL$248,'Country-Level Tactics'!AH$1,FALSE)</f>
        <v>71.989999999999995</v>
      </c>
      <c r="S42" s="104">
        <f>+VLOOKUP($B42,'Country-Level Tactics'!$B$5:$AL$248,'Country-Level Tactics'!X$1,FALSE)</f>
        <v>11.99</v>
      </c>
      <c r="T42" s="104">
        <f>+VLOOKUP($B42,'Country-Level Tactics'!$B$5:$AL$248,'Country-Level Tactics'!AC$1,FALSE)</f>
        <v>53.99</v>
      </c>
      <c r="U42" s="104">
        <f>+VLOOKUP($B42,'Country-Level Tactics'!$B$5:$AL$248,'Country-Level Tactics'!T$1,FALSE)</f>
        <v>8.99</v>
      </c>
      <c r="V42" s="104">
        <f t="shared" si="52"/>
        <v>47.99</v>
      </c>
      <c r="W42" s="104">
        <f t="shared" si="53"/>
        <v>7.99</v>
      </c>
      <c r="X42" s="12">
        <f t="shared" si="71"/>
        <v>6.0041701417848206</v>
      </c>
      <c r="Y42" s="12">
        <f t="shared" si="72"/>
        <v>1.3337041156840934</v>
      </c>
      <c r="Z42" s="12">
        <f t="shared" si="73"/>
        <v>6.0055617352614012</v>
      </c>
      <c r="AA42" s="12">
        <f t="shared" si="74"/>
        <v>6.0062578222778473</v>
      </c>
      <c r="AB42" s="12">
        <f t="shared" si="75"/>
        <v>0.88876529477196886</v>
      </c>
      <c r="AD42" s="10">
        <f t="shared" si="76"/>
        <v>0</v>
      </c>
      <c r="AE42" s="10">
        <f t="shared" si="77"/>
        <v>0</v>
      </c>
      <c r="AF42" s="10">
        <f t="shared" si="78"/>
        <v>0</v>
      </c>
      <c r="AG42" s="10">
        <f t="shared" si="79"/>
        <v>0</v>
      </c>
      <c r="AH42" s="10">
        <f t="shared" si="80"/>
        <v>0</v>
      </c>
      <c r="AI42" s="10">
        <f t="shared" si="81"/>
        <v>0</v>
      </c>
      <c r="AK42" s="165">
        <v>1</v>
      </c>
      <c r="AL42" s="173">
        <f t="shared" si="65"/>
        <v>71.989999999999995</v>
      </c>
      <c r="AM42" s="173">
        <f t="shared" si="66"/>
        <v>11.99</v>
      </c>
      <c r="AN42" s="173">
        <f t="shared" si="67"/>
        <v>53.99</v>
      </c>
      <c r="AO42" s="173">
        <f t="shared" si="68"/>
        <v>8.99</v>
      </c>
      <c r="AP42" s="173">
        <f t="shared" si="69"/>
        <v>47.99</v>
      </c>
      <c r="AQ42" s="173">
        <f t="shared" si="70"/>
        <v>7.99</v>
      </c>
      <c r="AS42" s="22" t="str">
        <f>+VLOOKUP(B42,'Country &amp; Code Abbreviation'!$B$3:$C$245,2,FALSE)</f>
        <v>BI</v>
      </c>
    </row>
    <row r="43" spans="2:45">
      <c r="B43" s="20" t="s">
        <v>111</v>
      </c>
      <c r="C43" s="20" t="s">
        <v>182</v>
      </c>
      <c r="E43" s="11" t="str">
        <f>+VLOOKUP($B43,'[3]INT Web'!$B$5:$W$247,'[3]INT Web'!Q$1,FALSE)</f>
        <v>KHR</v>
      </c>
      <c r="F43" s="22">
        <f>+VLOOKUP($B43,'[3]INT Web'!$B$5:$W$247,'[3]INT Web'!R$1,FALSE)</f>
        <v>294180</v>
      </c>
      <c r="G43" s="22">
        <f>+VLOOKUP($B43,'[3]INT Web'!$B$5:$W$247,'[3]INT Web'!S$1,FALSE)</f>
        <v>49030</v>
      </c>
      <c r="H43" s="22">
        <f>+VLOOKUP($B43,'[3]INT Web'!$B$5:$W$247,'[3]INT Web'!T$1,FALSE)</f>
        <v>217920</v>
      </c>
      <c r="I43" s="22">
        <f>+VLOOKUP($B43,'[3]INT Web'!$B$5:$W$247,'[3]INT Web'!U$1,FALSE)</f>
        <v>36320</v>
      </c>
      <c r="J43" s="22">
        <f>+VLOOKUP($B43,'[3]INT Web'!$B$5:$W$247,'[3]INT Web'!V$1,FALSE)</f>
        <v>196140</v>
      </c>
      <c r="K43" s="22">
        <f>+VLOOKUP($B43,'[3]INT Web'!$B$5:$W$247,'[3]INT Web'!W$1,FALSE)</f>
        <v>32690</v>
      </c>
      <c r="L43" s="12">
        <f t="shared" si="60"/>
        <v>6</v>
      </c>
      <c r="M43" s="12">
        <f t="shared" si="61"/>
        <v>1.3499449339207048</v>
      </c>
      <c r="N43" s="12">
        <f t="shared" si="62"/>
        <v>6</v>
      </c>
      <c r="O43" s="12">
        <f t="shared" si="63"/>
        <v>6</v>
      </c>
      <c r="P43" s="12">
        <f t="shared" si="64"/>
        <v>0.9000550660792952</v>
      </c>
      <c r="Q43" s="140" t="str">
        <f t="shared" si="51"/>
        <v>KHR</v>
      </c>
      <c r="R43" s="104">
        <f>+VLOOKUP($B43,'Country-Level Tactics'!$B$5:$AL$248,'Country-Level Tactics'!AH$1,FALSE)</f>
        <v>294180</v>
      </c>
      <c r="S43" s="104">
        <f>+VLOOKUP($B43,'Country-Level Tactics'!$B$5:$AL$248,'Country-Level Tactics'!X$1,FALSE)</f>
        <v>49030</v>
      </c>
      <c r="T43" s="104">
        <f>+VLOOKUP($B43,'Country-Level Tactics'!$B$5:$AL$248,'Country-Level Tactics'!AC$1,FALSE)</f>
        <v>217920</v>
      </c>
      <c r="U43" s="104">
        <f>+VLOOKUP($B43,'Country-Level Tactics'!$B$5:$AL$248,'Country-Level Tactics'!T$1,FALSE)</f>
        <v>36320</v>
      </c>
      <c r="V43" s="104">
        <f t="shared" si="52"/>
        <v>196140</v>
      </c>
      <c r="W43" s="104">
        <f t="shared" si="53"/>
        <v>32690</v>
      </c>
      <c r="X43" s="12">
        <f t="shared" si="71"/>
        <v>6</v>
      </c>
      <c r="Y43" s="12">
        <f t="shared" si="72"/>
        <v>1.3499449339207048</v>
      </c>
      <c r="Z43" s="12">
        <f t="shared" si="73"/>
        <v>6</v>
      </c>
      <c r="AA43" s="12">
        <f t="shared" si="74"/>
        <v>6</v>
      </c>
      <c r="AB43" s="12">
        <f t="shared" si="75"/>
        <v>0.9000550660792952</v>
      </c>
      <c r="AD43" s="10">
        <f t="shared" si="76"/>
        <v>0</v>
      </c>
      <c r="AE43" s="10">
        <f t="shared" si="77"/>
        <v>0</v>
      </c>
      <c r="AF43" s="10">
        <f t="shared" si="78"/>
        <v>0</v>
      </c>
      <c r="AG43" s="10">
        <f t="shared" si="79"/>
        <v>0</v>
      </c>
      <c r="AH43" s="10">
        <f t="shared" si="80"/>
        <v>0</v>
      </c>
      <c r="AI43" s="10">
        <f t="shared" si="81"/>
        <v>0</v>
      </c>
      <c r="AK43" s="165">
        <v>2.4915454999999999E-4</v>
      </c>
      <c r="AL43" s="173">
        <f t="shared" si="65"/>
        <v>73.296285518999994</v>
      </c>
      <c r="AM43" s="173">
        <f t="shared" si="66"/>
        <v>12.2160475865</v>
      </c>
      <c r="AN43" s="173">
        <f t="shared" si="67"/>
        <v>54.295759535999998</v>
      </c>
      <c r="AO43" s="173">
        <f t="shared" si="68"/>
        <v>9.0492932560000003</v>
      </c>
      <c r="AP43" s="173">
        <f t="shared" si="69"/>
        <v>48.869173437000001</v>
      </c>
      <c r="AQ43" s="173">
        <f t="shared" si="70"/>
        <v>8.1448622395000001</v>
      </c>
      <c r="AS43" s="22" t="str">
        <f>+VLOOKUP(B43,'Country &amp; Code Abbreviation'!$B$3:$C$245,2,FALSE)</f>
        <v>KH</v>
      </c>
    </row>
    <row r="44" spans="2:45" ht="13.4" customHeight="1">
      <c r="B44" s="20" t="s">
        <v>112</v>
      </c>
      <c r="C44" s="20" t="s">
        <v>270</v>
      </c>
      <c r="E44" s="11" t="str">
        <f>+VLOOKUP($B44,'[3]INT Web'!$B$5:$W$247,'[3]INT Web'!Q$1,FALSE)</f>
        <v>XAF</v>
      </c>
      <c r="F44" s="136">
        <f>+VLOOKUP($B44,'[3]INT Web'!$B$5:$W$247,'[3]INT Web'!R$1,FALSE)</f>
        <v>43740</v>
      </c>
      <c r="G44" s="136">
        <f>+VLOOKUP($B44,'[3]INT Web'!$B$5:$W$247,'[3]INT Web'!S$1,FALSE)</f>
        <v>7290</v>
      </c>
      <c r="H44" s="136">
        <f>+VLOOKUP($B44,'[3]INT Web'!$B$5:$W$247,'[3]INT Web'!T$1,FALSE)</f>
        <v>32400</v>
      </c>
      <c r="I44" s="136">
        <f>+VLOOKUP($B44,'[3]INT Web'!$B$5:$W$247,'[3]INT Web'!U$1,FALSE)</f>
        <v>5400</v>
      </c>
      <c r="J44" s="136">
        <f>+VLOOKUP($B44,'[3]INT Web'!$B$5:$W$247,'[3]INT Web'!V$1,FALSE)</f>
        <v>29160</v>
      </c>
      <c r="K44" s="136">
        <f>+VLOOKUP($B44,'[3]INT Web'!$B$5:$W$247,'[3]INT Web'!W$1,FALSE)</f>
        <v>4860</v>
      </c>
      <c r="L44" s="12">
        <f t="shared" si="60"/>
        <v>6</v>
      </c>
      <c r="M44" s="12">
        <f t="shared" si="61"/>
        <v>1.35</v>
      </c>
      <c r="N44" s="12">
        <f t="shared" si="62"/>
        <v>6</v>
      </c>
      <c r="O44" s="12">
        <f t="shared" si="63"/>
        <v>6</v>
      </c>
      <c r="P44" s="12">
        <f t="shared" si="64"/>
        <v>0.9</v>
      </c>
      <c r="Q44" s="143" t="str">
        <f t="shared" si="51"/>
        <v>XAF</v>
      </c>
      <c r="R44" s="137">
        <f>+VLOOKUP($B44,'Country-Level Tactics'!$B$5:$AL$248,'Country-Level Tactics'!AH$1,FALSE)</f>
        <v>43740</v>
      </c>
      <c r="S44" s="137">
        <f>+VLOOKUP($B44,'Country-Level Tactics'!$B$5:$AL$248,'Country-Level Tactics'!X$1,FALSE)</f>
        <v>7290</v>
      </c>
      <c r="T44" s="137">
        <f>+VLOOKUP($B44,'Country-Level Tactics'!$B$5:$AL$248,'Country-Level Tactics'!AC$1,FALSE)</f>
        <v>32400</v>
      </c>
      <c r="U44" s="137">
        <f>+VLOOKUP($B44,'Country-Level Tactics'!$B$5:$AL$248,'Country-Level Tactics'!T$1,FALSE)</f>
        <v>5400</v>
      </c>
      <c r="V44" s="137">
        <f t="shared" si="52"/>
        <v>29160</v>
      </c>
      <c r="W44" s="137">
        <f t="shared" si="53"/>
        <v>4860</v>
      </c>
      <c r="X44" s="12">
        <f t="shared" si="71"/>
        <v>6</v>
      </c>
      <c r="Y44" s="12">
        <f t="shared" si="72"/>
        <v>1.35</v>
      </c>
      <c r="Z44" s="12">
        <f t="shared" si="73"/>
        <v>6</v>
      </c>
      <c r="AA44" s="12">
        <f t="shared" si="74"/>
        <v>6</v>
      </c>
      <c r="AB44" s="12">
        <f t="shared" si="75"/>
        <v>0.9</v>
      </c>
      <c r="AD44" s="10">
        <f t="shared" si="76"/>
        <v>0</v>
      </c>
      <c r="AE44" s="10">
        <f t="shared" si="77"/>
        <v>0</v>
      </c>
      <c r="AF44" s="10">
        <f t="shared" si="78"/>
        <v>0</v>
      </c>
      <c r="AG44" s="10">
        <f t="shared" si="79"/>
        <v>0</v>
      </c>
      <c r="AH44" s="10">
        <f t="shared" si="80"/>
        <v>0</v>
      </c>
      <c r="AI44" s="10">
        <f t="shared" si="81"/>
        <v>0</v>
      </c>
      <c r="AK44" s="165">
        <v>1.7405866999999999E-3</v>
      </c>
      <c r="AL44" s="173">
        <f t="shared" si="65"/>
        <v>76.133262258000002</v>
      </c>
      <c r="AM44" s="173">
        <f t="shared" si="66"/>
        <v>12.688877043</v>
      </c>
      <c r="AN44" s="173">
        <f t="shared" si="67"/>
        <v>56.395009080000001</v>
      </c>
      <c r="AO44" s="173">
        <f t="shared" si="68"/>
        <v>9.3991681800000002</v>
      </c>
      <c r="AP44" s="173">
        <f t="shared" si="69"/>
        <v>50.755508171999999</v>
      </c>
      <c r="AQ44" s="173">
        <f t="shared" si="70"/>
        <v>8.4592513619999998</v>
      </c>
      <c r="AS44" s="22" t="str">
        <f>+VLOOKUP(B44,'Country &amp; Code Abbreviation'!$B$3:$C$245,2,FALSE)</f>
        <v>CM</v>
      </c>
    </row>
    <row r="45" spans="2:45">
      <c r="B45" s="199" t="s">
        <v>113</v>
      </c>
      <c r="C45" s="199" t="s">
        <v>113</v>
      </c>
      <c r="D45" s="6" t="s">
        <v>349</v>
      </c>
      <c r="E45" s="11" t="str">
        <f>+VLOOKUP($B45,'[3]INT Web'!$B$5:$W$247,'[3]INT Web'!Q$1,FALSE)</f>
        <v>CAD</v>
      </c>
      <c r="F45" s="22">
        <f>+VLOOKUP($B45,'[3]INT Web'!$B$5:$W$247,'[3]INT Web'!R$1,FALSE)</f>
        <v>184.99</v>
      </c>
      <c r="G45" s="22">
        <f>+VLOOKUP($B45,'[3]INT Web'!$B$5:$W$247,'[3]INT Web'!S$1,FALSE)</f>
        <v>27.99</v>
      </c>
      <c r="H45" s="22">
        <f>+VLOOKUP($B45,'[3]INT Web'!$B$5:$W$247,'[3]INT Web'!T$1,FALSE)</f>
        <v>129.99</v>
      </c>
      <c r="I45" s="22">
        <f>+VLOOKUP($B45,'[3]INT Web'!$B$5:$W$247,'[3]INT Web'!U$1,FALSE)</f>
        <v>19.989999999999998</v>
      </c>
      <c r="J45" s="22">
        <f>+VLOOKUP($B45,'[3]INT Web'!$B$5:$W$247,'[3]INT Web'!V$1,FALSE)</f>
        <v>114.99</v>
      </c>
      <c r="K45" s="22">
        <f>+VLOOKUP($B45,'[3]INT Web'!$B$5:$W$247,'[3]INT Web'!W$1,FALSE)</f>
        <v>17.989999999999998</v>
      </c>
      <c r="L45" s="12">
        <f t="shared" si="60"/>
        <v>6.6091461236155773</v>
      </c>
      <c r="M45" s="12">
        <f t="shared" si="61"/>
        <v>1.400200100050025</v>
      </c>
      <c r="N45" s="12">
        <f t="shared" si="62"/>
        <v>6.5027513756878452</v>
      </c>
      <c r="O45" s="12">
        <f t="shared" si="63"/>
        <v>6.3918843802112288</v>
      </c>
      <c r="P45" s="12">
        <f t="shared" si="64"/>
        <v>0.89994997498749374</v>
      </c>
      <c r="Q45" s="140" t="str">
        <f t="shared" si="51"/>
        <v>CAD</v>
      </c>
      <c r="R45" s="104">
        <f>+VLOOKUP($B45,'Country-Level Tactics'!$B$5:$AL$248,'Country-Level Tactics'!AH$1,FALSE)</f>
        <v>184.99</v>
      </c>
      <c r="S45" s="104">
        <f>+VLOOKUP($B45,'Country-Level Tactics'!$B$5:$AL$248,'Country-Level Tactics'!X$1,FALSE)</f>
        <v>27.99</v>
      </c>
      <c r="T45" s="104">
        <f>+VLOOKUP($B45,'Country-Level Tactics'!$B$5:$AL$248,'Country-Level Tactics'!AC$1,FALSE)</f>
        <v>129.99</v>
      </c>
      <c r="U45" s="104">
        <f>+VLOOKUP($B45,'Country-Level Tactics'!$B$5:$AL$248,'Country-Level Tactics'!T$1,FALSE)</f>
        <v>19.989999999999998</v>
      </c>
      <c r="V45" s="104">
        <f t="shared" si="52"/>
        <v>114.99</v>
      </c>
      <c r="W45" s="104">
        <f t="shared" si="53"/>
        <v>17.989999999999998</v>
      </c>
      <c r="X45" s="12">
        <f t="shared" si="71"/>
        <v>6.6091461236155773</v>
      </c>
      <c r="Y45" s="12">
        <f t="shared" si="72"/>
        <v>1.400200100050025</v>
      </c>
      <c r="Z45" s="12">
        <f t="shared" si="73"/>
        <v>6.5027513756878452</v>
      </c>
      <c r="AA45" s="12">
        <f t="shared" si="74"/>
        <v>6.3918843802112288</v>
      </c>
      <c r="AB45" s="12">
        <f t="shared" si="75"/>
        <v>0.89994997498749374</v>
      </c>
      <c r="AD45" s="10">
        <f t="shared" si="76"/>
        <v>0</v>
      </c>
      <c r="AE45" s="10">
        <f t="shared" si="77"/>
        <v>0</v>
      </c>
      <c r="AF45" s="10">
        <f t="shared" si="78"/>
        <v>0</v>
      </c>
      <c r="AG45" s="10">
        <f t="shared" si="79"/>
        <v>0</v>
      </c>
      <c r="AH45" s="10">
        <f t="shared" si="80"/>
        <v>0</v>
      </c>
      <c r="AI45" s="10">
        <f t="shared" si="81"/>
        <v>0</v>
      </c>
      <c r="AK45" s="165">
        <v>0.70303713999999995</v>
      </c>
      <c r="AL45" s="173">
        <f t="shared" si="65"/>
        <v>130.05484052860001</v>
      </c>
      <c r="AM45" s="173">
        <f t="shared" si="66"/>
        <v>19.678009548599999</v>
      </c>
      <c r="AN45" s="173">
        <f t="shared" si="67"/>
        <v>91.3877978286</v>
      </c>
      <c r="AO45" s="173">
        <f t="shared" si="68"/>
        <v>14.053712428599997</v>
      </c>
      <c r="AP45" s="173">
        <f t="shared" si="69"/>
        <v>80.84224072859999</v>
      </c>
      <c r="AQ45" s="173">
        <f t="shared" si="70"/>
        <v>12.647638148599999</v>
      </c>
      <c r="AS45" s="22" t="str">
        <f>+VLOOKUP(B45,'Country &amp; Code Abbreviation'!$B$3:$C$245,2,FALSE)</f>
        <v>CA</v>
      </c>
    </row>
    <row r="46" spans="2:45" ht="13.4" customHeight="1">
      <c r="B46" s="20" t="s">
        <v>114</v>
      </c>
      <c r="C46" s="20" t="s">
        <v>270</v>
      </c>
      <c r="E46" s="11" t="str">
        <f>+VLOOKUP($B46,'[3]INT Web'!$B$5:$W$247,'[3]INT Web'!Q$1,FALSE)</f>
        <v>CVE</v>
      </c>
      <c r="F46" s="136">
        <f>+VLOOKUP($B46,'[3]INT Web'!$B$5:$W$247,'[3]INT Web'!R$1,FALSE)</f>
        <v>7369</v>
      </c>
      <c r="G46" s="136">
        <f>+VLOOKUP($B46,'[3]INT Web'!$B$5:$W$247,'[3]INT Web'!S$1,FALSE)</f>
        <v>1229</v>
      </c>
      <c r="H46" s="136">
        <f>+VLOOKUP($B46,'[3]INT Web'!$B$5:$W$247,'[3]INT Web'!T$1,FALSE)</f>
        <v>5459</v>
      </c>
      <c r="I46" s="136">
        <f>+VLOOKUP($B46,'[3]INT Web'!$B$5:$W$247,'[3]INT Web'!U$1,FALSE)</f>
        <v>909</v>
      </c>
      <c r="J46" s="136">
        <f>+VLOOKUP($B46,'[3]INT Web'!$B$5:$W$247,'[3]INT Web'!V$1,FALSE)</f>
        <v>4919</v>
      </c>
      <c r="K46" s="136">
        <f>+VLOOKUP($B46,'[3]INT Web'!$B$5:$W$247,'[3]INT Web'!W$1,FALSE)</f>
        <v>819</v>
      </c>
      <c r="L46" s="12">
        <f t="shared" si="60"/>
        <v>5.9959316517493901</v>
      </c>
      <c r="M46" s="12">
        <f t="shared" si="61"/>
        <v>1.352035203520352</v>
      </c>
      <c r="N46" s="12">
        <f t="shared" si="62"/>
        <v>6.0055005500550056</v>
      </c>
      <c r="O46" s="12">
        <f t="shared" si="63"/>
        <v>6.0061050061050061</v>
      </c>
      <c r="P46" s="12">
        <f t="shared" si="64"/>
        <v>0.90099009900990101</v>
      </c>
      <c r="Q46" s="143" t="str">
        <f t="shared" si="51"/>
        <v>CVE</v>
      </c>
      <c r="R46" s="137">
        <f>+VLOOKUP($B46,'Country-Level Tactics'!$B$5:$AL$248,'Country-Level Tactics'!AH$1,FALSE)</f>
        <v>7369</v>
      </c>
      <c r="S46" s="137">
        <f>+VLOOKUP($B46,'Country-Level Tactics'!$B$5:$AL$248,'Country-Level Tactics'!X$1,FALSE)</f>
        <v>1229</v>
      </c>
      <c r="T46" s="137">
        <f>+VLOOKUP($B46,'Country-Level Tactics'!$B$5:$AL$248,'Country-Level Tactics'!AC$1,FALSE)</f>
        <v>5459</v>
      </c>
      <c r="U46" s="137">
        <f>+VLOOKUP($B46,'Country-Level Tactics'!$B$5:$AL$248,'Country-Level Tactics'!T$1,FALSE)</f>
        <v>909</v>
      </c>
      <c r="V46" s="137">
        <f t="shared" si="52"/>
        <v>4919</v>
      </c>
      <c r="W46" s="137">
        <f t="shared" si="53"/>
        <v>819</v>
      </c>
      <c r="X46" s="12">
        <f t="shared" si="71"/>
        <v>5.9959316517493901</v>
      </c>
      <c r="Y46" s="12">
        <f t="shared" si="72"/>
        <v>1.352035203520352</v>
      </c>
      <c r="Z46" s="12">
        <f t="shared" si="73"/>
        <v>6.0055005500550056</v>
      </c>
      <c r="AA46" s="12">
        <f t="shared" si="74"/>
        <v>6.0061050061050061</v>
      </c>
      <c r="AB46" s="12">
        <f t="shared" si="75"/>
        <v>0.90099009900990101</v>
      </c>
      <c r="AD46" s="10">
        <f t="shared" si="76"/>
        <v>0</v>
      </c>
      <c r="AE46" s="10">
        <f t="shared" si="77"/>
        <v>0</v>
      </c>
      <c r="AF46" s="10">
        <f t="shared" si="78"/>
        <v>0</v>
      </c>
      <c r="AG46" s="10">
        <f t="shared" si="79"/>
        <v>0</v>
      </c>
      <c r="AH46" s="10">
        <f t="shared" si="80"/>
        <v>0</v>
      </c>
      <c r="AI46" s="10">
        <f t="shared" si="81"/>
        <v>0</v>
      </c>
      <c r="AK46" s="165">
        <v>1.0356478000000001E-2</v>
      </c>
      <c r="AL46" s="173">
        <f t="shared" si="65"/>
        <v>76.316886382000007</v>
      </c>
      <c r="AM46" s="173">
        <f t="shared" si="66"/>
        <v>12.728111462000001</v>
      </c>
      <c r="AN46" s="173">
        <f t="shared" si="67"/>
        <v>56.536013402000002</v>
      </c>
      <c r="AO46" s="173">
        <f t="shared" si="68"/>
        <v>9.4140385020000004</v>
      </c>
      <c r="AP46" s="173">
        <f t="shared" si="69"/>
        <v>50.943515282</v>
      </c>
      <c r="AQ46" s="173">
        <f t="shared" si="70"/>
        <v>8.481955482</v>
      </c>
      <c r="AS46" s="22" t="str">
        <f>+VLOOKUP(B46,'Country &amp; Code Abbreviation'!$B$3:$C$245,2,FALSE)</f>
        <v>CV</v>
      </c>
    </row>
    <row r="47" spans="2:45" ht="13.4" customHeight="1">
      <c r="B47" s="20" t="s">
        <v>115</v>
      </c>
      <c r="C47" s="20" t="s">
        <v>96</v>
      </c>
      <c r="E47" s="11" t="str">
        <f>+VLOOKUP($B47,'[3]INT Web'!$B$5:$W$247,'[3]INT Web'!Q$1,FALSE)</f>
        <v>USD</v>
      </c>
      <c r="F47" s="22">
        <f>+VLOOKUP($B47,'[3]INT Web'!$B$5:$W$247,'[3]INT Web'!R$1,FALSE)</f>
        <v>102.99</v>
      </c>
      <c r="G47" s="22">
        <f>+VLOOKUP($B47,'[3]INT Web'!$B$5:$W$247,'[3]INT Web'!S$1,FALSE)</f>
        <v>16.989999999999998</v>
      </c>
      <c r="H47" s="22">
        <f>+VLOOKUP($B47,'[3]INT Web'!$B$5:$W$247,'[3]INT Web'!T$1,FALSE)</f>
        <v>71.989999999999995</v>
      </c>
      <c r="I47" s="22">
        <f>+VLOOKUP($B47,'[3]INT Web'!$B$5:$W$247,'[3]INT Web'!U$1,FALSE)</f>
        <v>11.99</v>
      </c>
      <c r="J47" s="22">
        <f>+VLOOKUP($B47,'[3]INT Web'!$B$5:$W$247,'[3]INT Web'!V$1,FALSE)</f>
        <v>65.989999999999995</v>
      </c>
      <c r="K47" s="22">
        <f>+VLOOKUP($B47,'[3]INT Web'!$B$5:$W$247,'[3]INT Web'!W$1,FALSE)</f>
        <v>10.99</v>
      </c>
      <c r="L47" s="12">
        <f t="shared" si="60"/>
        <v>6.0618010594467338</v>
      </c>
      <c r="M47" s="12">
        <f t="shared" si="61"/>
        <v>1.4170141784820682</v>
      </c>
      <c r="N47" s="12">
        <f t="shared" si="62"/>
        <v>6.0041701417848206</v>
      </c>
      <c r="O47" s="12">
        <f t="shared" si="63"/>
        <v>6.0045495905368513</v>
      </c>
      <c r="P47" s="12">
        <f t="shared" si="64"/>
        <v>0.91659716430358629</v>
      </c>
      <c r="Q47" s="140" t="str">
        <f t="shared" ref="Q47:Q78" si="82">+E47</f>
        <v>USD</v>
      </c>
      <c r="R47" s="104">
        <f>+VLOOKUP($B47,'Country-Level Tactics'!$B$5:$AL$248,'Country-Level Tactics'!AH$1,FALSE)</f>
        <v>102.99</v>
      </c>
      <c r="S47" s="104">
        <f>+VLOOKUP($B47,'Country-Level Tactics'!$B$5:$AL$248,'Country-Level Tactics'!X$1,FALSE)</f>
        <v>16.989999999999998</v>
      </c>
      <c r="T47" s="104">
        <f>+VLOOKUP($B47,'Country-Level Tactics'!$B$5:$AL$248,'Country-Level Tactics'!AC$1,FALSE)</f>
        <v>71.989999999999995</v>
      </c>
      <c r="U47" s="104">
        <f>+VLOOKUP($B47,'Country-Level Tactics'!$B$5:$AL$248,'Country-Level Tactics'!T$1,FALSE)</f>
        <v>11.99</v>
      </c>
      <c r="V47" s="104">
        <f t="shared" si="52"/>
        <v>65.989999999999995</v>
      </c>
      <c r="W47" s="104">
        <f t="shared" si="53"/>
        <v>10.99</v>
      </c>
      <c r="X47" s="12">
        <f t="shared" si="71"/>
        <v>6.0618010594467338</v>
      </c>
      <c r="Y47" s="12">
        <f t="shared" si="72"/>
        <v>1.4170141784820682</v>
      </c>
      <c r="Z47" s="12">
        <f t="shared" si="73"/>
        <v>6.0041701417848206</v>
      </c>
      <c r="AA47" s="12">
        <f t="shared" si="74"/>
        <v>6.0045495905368513</v>
      </c>
      <c r="AB47" s="12">
        <f t="shared" si="75"/>
        <v>0.91659716430358629</v>
      </c>
      <c r="AD47" s="10">
        <f t="shared" si="76"/>
        <v>0</v>
      </c>
      <c r="AE47" s="10">
        <f t="shared" si="77"/>
        <v>0</v>
      </c>
      <c r="AF47" s="10">
        <f t="shared" si="78"/>
        <v>0</v>
      </c>
      <c r="AG47" s="10">
        <f t="shared" si="79"/>
        <v>0</v>
      </c>
      <c r="AH47" s="10">
        <f t="shared" si="80"/>
        <v>0</v>
      </c>
      <c r="AI47" s="10">
        <f t="shared" si="81"/>
        <v>0</v>
      </c>
      <c r="AK47" s="165">
        <v>1</v>
      </c>
      <c r="AL47" s="173">
        <f t="shared" si="65"/>
        <v>102.99</v>
      </c>
      <c r="AM47" s="173">
        <f t="shared" si="66"/>
        <v>16.989999999999998</v>
      </c>
      <c r="AN47" s="173">
        <f t="shared" si="67"/>
        <v>71.989999999999995</v>
      </c>
      <c r="AO47" s="173">
        <f t="shared" si="68"/>
        <v>11.99</v>
      </c>
      <c r="AP47" s="173">
        <f t="shared" si="69"/>
        <v>65.989999999999995</v>
      </c>
      <c r="AQ47" s="173">
        <f t="shared" si="70"/>
        <v>10.99</v>
      </c>
      <c r="AS47" s="22" t="str">
        <f>+VLOOKUP(B47,'Country &amp; Code Abbreviation'!$B$3:$C$245,2,FALSE)</f>
        <v>KY</v>
      </c>
    </row>
    <row r="48" spans="2:45" ht="13.4" customHeight="1">
      <c r="B48" s="20" t="s">
        <v>116</v>
      </c>
      <c r="C48" s="20" t="s">
        <v>270</v>
      </c>
      <c r="E48" s="11" t="str">
        <f>+VLOOKUP($B48,'[3]INT Web'!$B$5:$W$247,'[3]INT Web'!Q$1,FALSE)</f>
        <v>XAF</v>
      </c>
      <c r="F48" s="136">
        <f>+VLOOKUP($B48,'[3]INT Web'!$B$5:$W$247,'[3]INT Web'!R$1,FALSE)</f>
        <v>44580</v>
      </c>
      <c r="G48" s="136">
        <f>+VLOOKUP($B48,'[3]INT Web'!$B$5:$W$247,'[3]INT Web'!S$1,FALSE)</f>
        <v>7430</v>
      </c>
      <c r="H48" s="136">
        <f>+VLOOKUP($B48,'[3]INT Web'!$B$5:$W$247,'[3]INT Web'!T$1,FALSE)</f>
        <v>33000</v>
      </c>
      <c r="I48" s="136">
        <f>+VLOOKUP($B48,'[3]INT Web'!$B$5:$W$247,'[3]INT Web'!U$1,FALSE)</f>
        <v>5500</v>
      </c>
      <c r="J48" s="136">
        <f>+VLOOKUP($B48,'[3]INT Web'!$B$5:$W$247,'[3]INT Web'!V$1,FALSE)</f>
        <v>29700</v>
      </c>
      <c r="K48" s="136">
        <f>+VLOOKUP($B48,'[3]INT Web'!$B$5:$W$247,'[3]INT Web'!W$1,FALSE)</f>
        <v>4950</v>
      </c>
      <c r="L48" s="12">
        <f t="shared" si="60"/>
        <v>6</v>
      </c>
      <c r="M48" s="12">
        <f t="shared" si="61"/>
        <v>1.3509090909090908</v>
      </c>
      <c r="N48" s="12">
        <f t="shared" si="62"/>
        <v>6</v>
      </c>
      <c r="O48" s="12">
        <f t="shared" si="63"/>
        <v>6</v>
      </c>
      <c r="P48" s="12">
        <f t="shared" si="64"/>
        <v>0.9</v>
      </c>
      <c r="Q48" s="143" t="str">
        <f t="shared" si="82"/>
        <v>XAF</v>
      </c>
      <c r="R48" s="137">
        <f>+VLOOKUP($B48,'Country-Level Tactics'!$B$5:$AL$248,'Country-Level Tactics'!AH$1,FALSE)</f>
        <v>44580</v>
      </c>
      <c r="S48" s="137">
        <f>+VLOOKUP($B48,'Country-Level Tactics'!$B$5:$AL$248,'Country-Level Tactics'!X$1,FALSE)</f>
        <v>7430</v>
      </c>
      <c r="T48" s="137">
        <f>+VLOOKUP($B48,'Country-Level Tactics'!$B$5:$AL$248,'Country-Level Tactics'!AC$1,FALSE)</f>
        <v>33000</v>
      </c>
      <c r="U48" s="137">
        <f>+VLOOKUP($B48,'Country-Level Tactics'!$B$5:$AL$248,'Country-Level Tactics'!T$1,FALSE)</f>
        <v>5500</v>
      </c>
      <c r="V48" s="137">
        <f t="shared" ref="V48:V68" si="83">+J48</f>
        <v>29700</v>
      </c>
      <c r="W48" s="137">
        <f t="shared" ref="W48:W68" si="84">+K48</f>
        <v>4950</v>
      </c>
      <c r="X48" s="12">
        <f t="shared" si="71"/>
        <v>6</v>
      </c>
      <c r="Y48" s="12">
        <f t="shared" si="72"/>
        <v>1.3509090909090908</v>
      </c>
      <c r="Z48" s="12">
        <f t="shared" si="73"/>
        <v>6</v>
      </c>
      <c r="AA48" s="12">
        <f t="shared" si="74"/>
        <v>6</v>
      </c>
      <c r="AB48" s="12">
        <f t="shared" si="75"/>
        <v>0.9</v>
      </c>
      <c r="AD48" s="10">
        <f t="shared" si="76"/>
        <v>0</v>
      </c>
      <c r="AE48" s="10">
        <f t="shared" si="77"/>
        <v>0</v>
      </c>
      <c r="AF48" s="10">
        <f t="shared" si="78"/>
        <v>0</v>
      </c>
      <c r="AG48" s="10">
        <f t="shared" si="79"/>
        <v>0</v>
      </c>
      <c r="AH48" s="10">
        <f t="shared" si="80"/>
        <v>0</v>
      </c>
      <c r="AI48" s="10">
        <f t="shared" si="81"/>
        <v>0</v>
      </c>
      <c r="AK48" s="165">
        <v>1.7405866999999999E-3</v>
      </c>
      <c r="AL48" s="173">
        <f t="shared" si="65"/>
        <v>77.595355085999998</v>
      </c>
      <c r="AM48" s="173">
        <f t="shared" si="66"/>
        <v>12.932559181</v>
      </c>
      <c r="AN48" s="173">
        <f t="shared" si="67"/>
        <v>57.439361099999999</v>
      </c>
      <c r="AO48" s="173">
        <f t="shared" si="68"/>
        <v>9.5732268499999993</v>
      </c>
      <c r="AP48" s="173">
        <f t="shared" si="69"/>
        <v>51.695424989999999</v>
      </c>
      <c r="AQ48" s="173">
        <f t="shared" si="70"/>
        <v>8.6159041649999999</v>
      </c>
      <c r="AS48" s="22" t="str">
        <f>+VLOOKUP(B48,'Country &amp; Code Abbreviation'!$B$3:$C$245,2,FALSE)</f>
        <v>CF</v>
      </c>
    </row>
    <row r="49" spans="2:45" ht="13.4" customHeight="1">
      <c r="B49" s="20" t="s">
        <v>117</v>
      </c>
      <c r="C49" s="20" t="s">
        <v>270</v>
      </c>
      <c r="E49" s="11" t="str">
        <f>+VLOOKUP($B49,'[3]INT Web'!$B$5:$W$247,'[3]INT Web'!Q$1,FALSE)</f>
        <v>XAF</v>
      </c>
      <c r="F49" s="136">
        <f>+VLOOKUP($B49,'[3]INT Web'!$B$5:$W$247,'[3]INT Web'!R$1,FALSE)</f>
        <v>43740</v>
      </c>
      <c r="G49" s="136">
        <f>+VLOOKUP($B49,'[3]INT Web'!$B$5:$W$247,'[3]INT Web'!S$1,FALSE)</f>
        <v>7290</v>
      </c>
      <c r="H49" s="136">
        <f>+VLOOKUP($B49,'[3]INT Web'!$B$5:$W$247,'[3]INT Web'!T$1,FALSE)</f>
        <v>32400</v>
      </c>
      <c r="I49" s="136">
        <f>+VLOOKUP($B49,'[3]INT Web'!$B$5:$W$247,'[3]INT Web'!U$1,FALSE)</f>
        <v>5400</v>
      </c>
      <c r="J49" s="136">
        <f>+VLOOKUP($B49,'[3]INT Web'!$B$5:$W$247,'[3]INT Web'!V$1,FALSE)</f>
        <v>29160</v>
      </c>
      <c r="K49" s="136">
        <f>+VLOOKUP($B49,'[3]INT Web'!$B$5:$W$247,'[3]INT Web'!W$1,FALSE)</f>
        <v>4860</v>
      </c>
      <c r="L49" s="12">
        <f t="shared" si="60"/>
        <v>6</v>
      </c>
      <c r="M49" s="12">
        <f t="shared" si="61"/>
        <v>1.35</v>
      </c>
      <c r="N49" s="12">
        <f t="shared" si="62"/>
        <v>6</v>
      </c>
      <c r="O49" s="12">
        <f t="shared" si="63"/>
        <v>6</v>
      </c>
      <c r="P49" s="12">
        <f t="shared" si="64"/>
        <v>0.9</v>
      </c>
      <c r="Q49" s="143" t="str">
        <f t="shared" si="82"/>
        <v>XAF</v>
      </c>
      <c r="R49" s="137">
        <f>+VLOOKUP($B49,'Country-Level Tactics'!$B$5:$AL$248,'Country-Level Tactics'!AH$1,FALSE)</f>
        <v>43740</v>
      </c>
      <c r="S49" s="137">
        <f>+VLOOKUP($B49,'Country-Level Tactics'!$B$5:$AL$248,'Country-Level Tactics'!X$1,FALSE)</f>
        <v>7290</v>
      </c>
      <c r="T49" s="137">
        <f>+VLOOKUP($B49,'Country-Level Tactics'!$B$5:$AL$248,'Country-Level Tactics'!AC$1,FALSE)</f>
        <v>32400</v>
      </c>
      <c r="U49" s="137">
        <f>+VLOOKUP($B49,'Country-Level Tactics'!$B$5:$AL$248,'Country-Level Tactics'!T$1,FALSE)</f>
        <v>5400</v>
      </c>
      <c r="V49" s="137">
        <f t="shared" si="83"/>
        <v>29160</v>
      </c>
      <c r="W49" s="137">
        <f t="shared" si="84"/>
        <v>4860</v>
      </c>
      <c r="X49" s="12">
        <f t="shared" si="71"/>
        <v>6</v>
      </c>
      <c r="Y49" s="12">
        <f t="shared" si="72"/>
        <v>1.35</v>
      </c>
      <c r="Z49" s="12">
        <f t="shared" si="73"/>
        <v>6</v>
      </c>
      <c r="AA49" s="12">
        <f t="shared" si="74"/>
        <v>6</v>
      </c>
      <c r="AB49" s="12">
        <f t="shared" si="75"/>
        <v>0.9</v>
      </c>
      <c r="AD49" s="10">
        <f t="shared" si="76"/>
        <v>0</v>
      </c>
      <c r="AE49" s="10">
        <f t="shared" si="77"/>
        <v>0</v>
      </c>
      <c r="AF49" s="10">
        <f t="shared" si="78"/>
        <v>0</v>
      </c>
      <c r="AG49" s="10">
        <f t="shared" si="79"/>
        <v>0</v>
      </c>
      <c r="AH49" s="10">
        <f t="shared" si="80"/>
        <v>0</v>
      </c>
      <c r="AI49" s="10">
        <f t="shared" si="81"/>
        <v>0</v>
      </c>
      <c r="AK49" s="165">
        <v>1.7405866999999999E-3</v>
      </c>
      <c r="AL49" s="173">
        <f t="shared" si="65"/>
        <v>76.133262258000002</v>
      </c>
      <c r="AM49" s="173">
        <f t="shared" si="66"/>
        <v>12.688877043</v>
      </c>
      <c r="AN49" s="173">
        <f t="shared" si="67"/>
        <v>56.395009080000001</v>
      </c>
      <c r="AO49" s="173">
        <f t="shared" si="68"/>
        <v>9.3991681800000002</v>
      </c>
      <c r="AP49" s="173">
        <f t="shared" si="69"/>
        <v>50.755508171999999</v>
      </c>
      <c r="AQ49" s="173">
        <f t="shared" si="70"/>
        <v>8.4592513619999998</v>
      </c>
      <c r="AS49" s="22" t="str">
        <f>+VLOOKUP(B49,'Country &amp; Code Abbreviation'!$B$3:$C$245,2,FALSE)</f>
        <v>TD</v>
      </c>
    </row>
    <row r="50" spans="2:45">
      <c r="B50" s="199" t="s">
        <v>118</v>
      </c>
      <c r="C50" s="199" t="s">
        <v>96</v>
      </c>
      <c r="D50" s="6" t="s">
        <v>348</v>
      </c>
      <c r="E50" s="11" t="str">
        <f>+VLOOKUP($B50,'[3]INT Web'!$B$5:$W$247,'[3]INT Web'!Q$1,FALSE)</f>
        <v>CLP</v>
      </c>
      <c r="F50" s="22">
        <f>+VLOOKUP($B50,'[3]INT Web'!$B$5:$W$247,'[3]INT Web'!R$1,FALSE)</f>
        <v>137900</v>
      </c>
      <c r="G50" s="22">
        <f>+VLOOKUP($B50,'[3]INT Web'!$B$5:$W$247,'[3]INT Web'!S$1,FALSE)</f>
        <v>22900</v>
      </c>
      <c r="H50" s="22">
        <f>+VLOOKUP($B50,'[3]INT Web'!$B$5:$W$247,'[3]INT Web'!T$1,FALSE)</f>
        <v>96300</v>
      </c>
      <c r="I50" s="22">
        <f>+VLOOKUP($B50,'[3]INT Web'!$B$5:$W$247,'[3]INT Web'!U$1,FALSE)</f>
        <v>15900</v>
      </c>
      <c r="J50" s="22">
        <f>+VLOOKUP($B50,'[3]INT Web'!$B$5:$W$247,'[3]INT Web'!V$1,FALSE)</f>
        <v>67400</v>
      </c>
      <c r="K50" s="22">
        <f>+VLOOKUP($B50,'[3]INT Web'!$B$5:$W$247,'[3]INT Web'!W$1,FALSE)</f>
        <v>11200</v>
      </c>
      <c r="L50" s="12">
        <f t="shared" si="60"/>
        <v>6.0218340611353716</v>
      </c>
      <c r="M50" s="12">
        <f t="shared" si="61"/>
        <v>1.4402515723270439</v>
      </c>
      <c r="N50" s="12">
        <f t="shared" si="62"/>
        <v>6.0566037735849054</v>
      </c>
      <c r="O50" s="12">
        <f t="shared" si="63"/>
        <v>6.0178571428571432</v>
      </c>
      <c r="P50" s="12">
        <f t="shared" si="64"/>
        <v>0.70440251572327039</v>
      </c>
      <c r="Q50" s="140" t="str">
        <f t="shared" si="82"/>
        <v>CLP</v>
      </c>
      <c r="R50" s="104">
        <f>+VLOOKUP($B50,'Country-Level Tactics'!$B$5:$AL$248,'Country-Level Tactics'!AH$1,FALSE)</f>
        <v>137900</v>
      </c>
      <c r="S50" s="104">
        <f>+VLOOKUP($B50,'Country-Level Tactics'!$B$5:$AL$248,'Country-Level Tactics'!X$1,FALSE)</f>
        <v>22900</v>
      </c>
      <c r="T50" s="104">
        <f>+VLOOKUP($B50,'Country-Level Tactics'!$B$5:$AL$248,'Country-Level Tactics'!AC$1,FALSE)</f>
        <v>96300</v>
      </c>
      <c r="U50" s="104">
        <f>+VLOOKUP($B50,'Country-Level Tactics'!$B$5:$AL$248,'Country-Level Tactics'!T$1,FALSE)</f>
        <v>15900</v>
      </c>
      <c r="V50" s="104">
        <f t="shared" si="83"/>
        <v>67400</v>
      </c>
      <c r="W50" s="104">
        <f t="shared" si="84"/>
        <v>11200</v>
      </c>
      <c r="X50" s="12">
        <f t="shared" si="71"/>
        <v>6.0218340611353716</v>
      </c>
      <c r="Y50" s="12">
        <f t="shared" si="72"/>
        <v>1.4402515723270439</v>
      </c>
      <c r="Z50" s="12">
        <f t="shared" si="73"/>
        <v>6.0566037735849054</v>
      </c>
      <c r="AA50" s="12">
        <f t="shared" si="74"/>
        <v>6.0178571428571432</v>
      </c>
      <c r="AB50" s="12">
        <f t="shared" si="75"/>
        <v>0.70440251572327039</v>
      </c>
      <c r="AD50" s="10">
        <f t="shared" si="76"/>
        <v>0</v>
      </c>
      <c r="AE50" s="10">
        <f t="shared" si="77"/>
        <v>0</v>
      </c>
      <c r="AF50" s="10">
        <f t="shared" si="78"/>
        <v>0</v>
      </c>
      <c r="AG50" s="10">
        <f t="shared" si="79"/>
        <v>0</v>
      </c>
      <c r="AH50" s="10">
        <f t="shared" si="80"/>
        <v>0</v>
      </c>
      <c r="AI50" s="10">
        <f t="shared" si="81"/>
        <v>0</v>
      </c>
      <c r="AK50" s="165">
        <v>1.0794240000000001E-3</v>
      </c>
      <c r="AL50" s="173">
        <f t="shared" si="65"/>
        <v>148.85256960000001</v>
      </c>
      <c r="AM50" s="173">
        <f t="shared" si="66"/>
        <v>24.7188096</v>
      </c>
      <c r="AN50" s="173">
        <f t="shared" si="67"/>
        <v>103.94853120000001</v>
      </c>
      <c r="AO50" s="173">
        <f t="shared" si="68"/>
        <v>17.1628416</v>
      </c>
      <c r="AP50" s="173">
        <f t="shared" si="69"/>
        <v>72.753177600000001</v>
      </c>
      <c r="AQ50" s="173">
        <f t="shared" si="70"/>
        <v>12.089548800000001</v>
      </c>
      <c r="AS50" s="22" t="str">
        <f>+VLOOKUP(B50,'Country &amp; Code Abbreviation'!$B$3:$C$245,2,FALSE)</f>
        <v>CL</v>
      </c>
    </row>
    <row r="51" spans="2:45">
      <c r="B51" s="20" t="s">
        <v>119</v>
      </c>
      <c r="C51" s="20" t="s">
        <v>182</v>
      </c>
      <c r="E51" s="11" t="str">
        <f>+VLOOKUP($B51,'[3]INT Web'!$B$5:$W$247,'[3]INT Web'!Q$1,FALSE)</f>
        <v>AUD</v>
      </c>
      <c r="F51" s="22">
        <f>+VLOOKUP($B51,'[3]INT Web'!$B$5:$W$247,'[3]INT Web'!R$1,FALSE)</f>
        <v>107.99</v>
      </c>
      <c r="G51" s="22">
        <f>+VLOOKUP($B51,'[3]INT Web'!$B$5:$W$247,'[3]INT Web'!S$1,FALSE)</f>
        <v>17.989999999999998</v>
      </c>
      <c r="H51" s="22">
        <f>+VLOOKUP($B51,'[3]INT Web'!$B$5:$W$247,'[3]INT Web'!T$1,FALSE)</f>
        <v>77.989999999999995</v>
      </c>
      <c r="I51" s="22">
        <f>+VLOOKUP($B51,'[3]INT Web'!$B$5:$W$247,'[3]INT Web'!U$1,FALSE)</f>
        <v>12.99</v>
      </c>
      <c r="J51" s="22">
        <f>+VLOOKUP($B51,'[3]INT Web'!$B$5:$W$247,'[3]INT Web'!V$1,FALSE)</f>
        <v>71.989999999999995</v>
      </c>
      <c r="K51" s="22">
        <f>+VLOOKUP($B51,'[3]INT Web'!$B$5:$W$247,'[3]INT Web'!W$1,FALSE)</f>
        <v>11.99</v>
      </c>
      <c r="L51" s="12">
        <f t="shared" si="60"/>
        <v>6.0027793218454697</v>
      </c>
      <c r="M51" s="12">
        <f t="shared" si="61"/>
        <v>1.3849114703618166</v>
      </c>
      <c r="N51" s="12">
        <f t="shared" si="62"/>
        <v>6.0038491147036179</v>
      </c>
      <c r="O51" s="12">
        <f t="shared" si="63"/>
        <v>6.0041701417848206</v>
      </c>
      <c r="P51" s="12">
        <f t="shared" si="64"/>
        <v>0.92301770592763666</v>
      </c>
      <c r="Q51" s="140" t="str">
        <f t="shared" si="82"/>
        <v>AUD</v>
      </c>
      <c r="R51" s="104">
        <f>+VLOOKUP($B51,'Country-Level Tactics'!$B$5:$AL$248,'Country-Level Tactics'!AH$1,FALSE)</f>
        <v>107.99</v>
      </c>
      <c r="S51" s="104">
        <f>+VLOOKUP($B51,'Country-Level Tactics'!$B$5:$AL$248,'Country-Level Tactics'!X$1,FALSE)</f>
        <v>17.989999999999998</v>
      </c>
      <c r="T51" s="104">
        <f>+VLOOKUP($B51,'Country-Level Tactics'!$B$5:$AL$248,'Country-Level Tactics'!AC$1,FALSE)</f>
        <v>77.989999999999995</v>
      </c>
      <c r="U51" s="104">
        <f>+VLOOKUP($B51,'Country-Level Tactics'!$B$5:$AL$248,'Country-Level Tactics'!T$1,FALSE)</f>
        <v>12.99</v>
      </c>
      <c r="V51" s="104">
        <f t="shared" si="83"/>
        <v>71.989999999999995</v>
      </c>
      <c r="W51" s="104">
        <f t="shared" si="84"/>
        <v>11.99</v>
      </c>
      <c r="X51" s="12">
        <f t="shared" si="71"/>
        <v>6.0027793218454697</v>
      </c>
      <c r="Y51" s="12">
        <f t="shared" si="72"/>
        <v>1.3849114703618166</v>
      </c>
      <c r="Z51" s="12">
        <f t="shared" si="73"/>
        <v>6.0038491147036179</v>
      </c>
      <c r="AA51" s="12">
        <f t="shared" si="74"/>
        <v>6.0041701417848206</v>
      </c>
      <c r="AB51" s="12">
        <f t="shared" si="75"/>
        <v>0.92301770592763666</v>
      </c>
      <c r="AD51" s="10">
        <f t="shared" si="76"/>
        <v>0</v>
      </c>
      <c r="AE51" s="10">
        <f t="shared" si="77"/>
        <v>0</v>
      </c>
      <c r="AF51" s="10">
        <f t="shared" si="78"/>
        <v>0</v>
      </c>
      <c r="AG51" s="10">
        <f t="shared" si="79"/>
        <v>0</v>
      </c>
      <c r="AH51" s="10">
        <f t="shared" si="80"/>
        <v>0</v>
      </c>
      <c r="AI51" s="10">
        <f t="shared" si="81"/>
        <v>0</v>
      </c>
      <c r="AK51" s="165">
        <v>0.69374999999999998</v>
      </c>
      <c r="AL51" s="173">
        <f t="shared" si="65"/>
        <v>74.918062499999991</v>
      </c>
      <c r="AM51" s="173">
        <f t="shared" si="66"/>
        <v>12.480562499999998</v>
      </c>
      <c r="AN51" s="173">
        <f t="shared" si="67"/>
        <v>54.105562499999998</v>
      </c>
      <c r="AO51" s="173">
        <f t="shared" si="68"/>
        <v>9.0118124999999996</v>
      </c>
      <c r="AP51" s="173">
        <f t="shared" si="69"/>
        <v>49.943062499999996</v>
      </c>
      <c r="AQ51" s="173">
        <f t="shared" si="70"/>
        <v>8.3180624999999999</v>
      </c>
      <c r="AS51" s="22" t="str">
        <f>+VLOOKUP(B51,'Country &amp; Code Abbreviation'!$B$3:$C$245,2,FALSE)</f>
        <v>CX</v>
      </c>
    </row>
    <row r="52" spans="2:45">
      <c r="B52" s="20" t="s">
        <v>120</v>
      </c>
      <c r="C52" s="20" t="s">
        <v>182</v>
      </c>
      <c r="E52" s="11" t="str">
        <f>+VLOOKUP($B52,'[3]INT Web'!$B$5:$W$247,'[3]INT Web'!Q$1,FALSE)</f>
        <v>AUD</v>
      </c>
      <c r="F52" s="22">
        <f>+VLOOKUP($B52,'[3]INT Web'!$B$5:$W$247,'[3]INT Web'!R$1,FALSE)</f>
        <v>161.99</v>
      </c>
      <c r="G52" s="22">
        <f>+VLOOKUP($B52,'[3]INT Web'!$B$5:$W$247,'[3]INT Web'!S$1,FALSE)</f>
        <v>26.99</v>
      </c>
      <c r="H52" s="22">
        <f>+VLOOKUP($B52,'[3]INT Web'!$B$5:$W$247,'[3]INT Web'!T$1,FALSE)</f>
        <v>119.99</v>
      </c>
      <c r="I52" s="22">
        <f>+VLOOKUP($B52,'[3]INT Web'!$B$5:$W$247,'[3]INT Web'!U$1,FALSE)</f>
        <v>19.989999999999998</v>
      </c>
      <c r="J52" s="22">
        <f>+VLOOKUP($B52,'[3]INT Web'!$B$5:$W$247,'[3]INT Web'!V$1,FALSE)</f>
        <v>107.99</v>
      </c>
      <c r="K52" s="22">
        <f>+VLOOKUP($B52,'[3]INT Web'!$B$5:$W$247,'[3]INT Web'!W$1,FALSE)</f>
        <v>17.989999999999998</v>
      </c>
      <c r="L52" s="12">
        <f t="shared" si="60"/>
        <v>6.0018525379770296</v>
      </c>
      <c r="M52" s="12">
        <f t="shared" si="61"/>
        <v>1.3501750875437719</v>
      </c>
      <c r="N52" s="12">
        <f t="shared" si="62"/>
        <v>6.002501250625313</v>
      </c>
      <c r="O52" s="12">
        <f t="shared" si="63"/>
        <v>6.0027793218454697</v>
      </c>
      <c r="P52" s="12">
        <f t="shared" si="64"/>
        <v>0.89994997498749374</v>
      </c>
      <c r="Q52" s="140" t="str">
        <f t="shared" si="82"/>
        <v>AUD</v>
      </c>
      <c r="R52" s="104">
        <f>+VLOOKUP($B52,'Country-Level Tactics'!$B$5:$AL$248,'Country-Level Tactics'!AH$1,FALSE)</f>
        <v>161.99</v>
      </c>
      <c r="S52" s="104">
        <f>+VLOOKUP($B52,'Country-Level Tactics'!$B$5:$AL$248,'Country-Level Tactics'!X$1,FALSE)</f>
        <v>26.99</v>
      </c>
      <c r="T52" s="104">
        <f>+VLOOKUP($B52,'Country-Level Tactics'!$B$5:$AL$248,'Country-Level Tactics'!AC$1,FALSE)</f>
        <v>119.99</v>
      </c>
      <c r="U52" s="104">
        <f>+VLOOKUP($B52,'Country-Level Tactics'!$B$5:$AL$248,'Country-Level Tactics'!T$1,FALSE)</f>
        <v>19.989999999999998</v>
      </c>
      <c r="V52" s="104">
        <f t="shared" si="83"/>
        <v>107.99</v>
      </c>
      <c r="W52" s="104">
        <f t="shared" si="84"/>
        <v>17.989999999999998</v>
      </c>
      <c r="X52" s="12">
        <f t="shared" si="71"/>
        <v>6.0018525379770296</v>
      </c>
      <c r="Y52" s="12">
        <f t="shared" si="72"/>
        <v>1.3501750875437719</v>
      </c>
      <c r="Z52" s="12">
        <f t="shared" si="73"/>
        <v>6.002501250625313</v>
      </c>
      <c r="AA52" s="12">
        <f t="shared" si="74"/>
        <v>6.0027793218454697</v>
      </c>
      <c r="AB52" s="12">
        <f t="shared" si="75"/>
        <v>0.89994997498749374</v>
      </c>
      <c r="AD52" s="10">
        <f t="shared" si="76"/>
        <v>0</v>
      </c>
      <c r="AE52" s="10">
        <f t="shared" si="77"/>
        <v>0</v>
      </c>
      <c r="AF52" s="10">
        <f t="shared" si="78"/>
        <v>0</v>
      </c>
      <c r="AG52" s="10">
        <f t="shared" si="79"/>
        <v>0</v>
      </c>
      <c r="AH52" s="10">
        <f t="shared" si="80"/>
        <v>0</v>
      </c>
      <c r="AI52" s="10">
        <f t="shared" si="81"/>
        <v>0</v>
      </c>
      <c r="AK52" s="165">
        <v>0.69374999999999998</v>
      </c>
      <c r="AL52" s="173">
        <f t="shared" si="65"/>
        <v>112.3805625</v>
      </c>
      <c r="AM52" s="173">
        <f t="shared" si="66"/>
        <v>18.7243125</v>
      </c>
      <c r="AN52" s="173">
        <f t="shared" si="67"/>
        <v>83.243062499999994</v>
      </c>
      <c r="AO52" s="173">
        <f t="shared" si="68"/>
        <v>13.868062499999999</v>
      </c>
      <c r="AP52" s="173">
        <f t="shared" si="69"/>
        <v>74.918062499999991</v>
      </c>
      <c r="AQ52" s="173">
        <f t="shared" si="70"/>
        <v>12.480562499999998</v>
      </c>
      <c r="AS52" s="22" t="str">
        <f>+VLOOKUP(B52,'Country &amp; Code Abbreviation'!$B$3:$C$245,2,FALSE)</f>
        <v>CC</v>
      </c>
    </row>
    <row r="53" spans="2:45">
      <c r="B53" s="199" t="s">
        <v>121</v>
      </c>
      <c r="C53" s="199" t="s">
        <v>96</v>
      </c>
      <c r="E53" s="11" t="str">
        <f>+VLOOKUP($B53,'[3]INT Web'!$B$5:$W$247,'[3]INT Web'!Q$1,FALSE)</f>
        <v>COP</v>
      </c>
      <c r="F53" s="22">
        <f>+VLOOKUP($B53,'[3]INT Web'!$B$5:$W$247,'[3]INT Web'!R$1,FALSE)</f>
        <v>335900</v>
      </c>
      <c r="G53" s="22">
        <f>+VLOOKUP($B53,'[3]INT Web'!$B$5:$W$247,'[3]INT Web'!S$1,FALSE)</f>
        <v>55900</v>
      </c>
      <c r="H53" s="22">
        <f>+VLOOKUP($B53,'[3]INT Web'!$B$5:$W$247,'[3]INT Web'!T$1,FALSE)</f>
        <v>248900</v>
      </c>
      <c r="I53" s="22">
        <f>+VLOOKUP($B53,'[3]INT Web'!$B$5:$W$247,'[3]INT Web'!U$1,FALSE)</f>
        <v>41400</v>
      </c>
      <c r="J53" s="22">
        <f>+VLOOKUP($B53,'[3]INT Web'!$B$5:$W$247,'[3]INT Web'!V$1,FALSE)</f>
        <v>223900</v>
      </c>
      <c r="K53" s="22">
        <f>+VLOOKUP($B53,'[3]INT Web'!$B$5:$W$247,'[3]INT Web'!W$1,FALSE)</f>
        <v>37400</v>
      </c>
      <c r="L53" s="12">
        <f t="shared" si="60"/>
        <v>6.0089445438282647</v>
      </c>
      <c r="M53" s="12">
        <f t="shared" si="61"/>
        <v>1.3502415458937198</v>
      </c>
      <c r="N53" s="12">
        <f t="shared" si="62"/>
        <v>6.0120772946859899</v>
      </c>
      <c r="O53" s="12">
        <f t="shared" si="63"/>
        <v>5.9866310160427805</v>
      </c>
      <c r="P53" s="12">
        <f t="shared" si="64"/>
        <v>0.90338164251207731</v>
      </c>
      <c r="Q53" s="140" t="str">
        <f t="shared" si="82"/>
        <v>COP</v>
      </c>
      <c r="R53" s="104">
        <f>+VLOOKUP($B53,'Country-Level Tactics'!$B$5:$AL$248,'Country-Level Tactics'!AH$1,FALSE)</f>
        <v>335900</v>
      </c>
      <c r="S53" s="104">
        <f>+VLOOKUP($B53,'Country-Level Tactics'!$B$5:$AL$248,'Country-Level Tactics'!X$1,FALSE)</f>
        <v>55900</v>
      </c>
      <c r="T53" s="104">
        <f>+VLOOKUP($B53,'Country-Level Tactics'!$B$5:$AL$248,'Country-Level Tactics'!AC$1,FALSE)</f>
        <v>248900</v>
      </c>
      <c r="U53" s="104">
        <f>+VLOOKUP($B53,'Country-Level Tactics'!$B$5:$AL$248,'Country-Level Tactics'!T$1,FALSE)</f>
        <v>41400</v>
      </c>
      <c r="V53" s="104">
        <f t="shared" si="83"/>
        <v>223900</v>
      </c>
      <c r="W53" s="104">
        <f t="shared" si="84"/>
        <v>37400</v>
      </c>
      <c r="X53" s="12">
        <f t="shared" si="71"/>
        <v>6.0089445438282647</v>
      </c>
      <c r="Y53" s="12">
        <f t="shared" si="72"/>
        <v>1.3502415458937198</v>
      </c>
      <c r="Z53" s="12">
        <f t="shared" si="73"/>
        <v>6.0120772946859899</v>
      </c>
      <c r="AA53" s="12">
        <f t="shared" si="74"/>
        <v>5.9866310160427805</v>
      </c>
      <c r="AB53" s="12">
        <f t="shared" si="75"/>
        <v>0.90338164251207731</v>
      </c>
      <c r="AD53" s="10">
        <f t="shared" si="76"/>
        <v>0</v>
      </c>
      <c r="AE53" s="10">
        <f t="shared" si="77"/>
        <v>0</v>
      </c>
      <c r="AF53" s="10">
        <f t="shared" si="78"/>
        <v>0</v>
      </c>
      <c r="AG53" s="10">
        <f t="shared" si="79"/>
        <v>0</v>
      </c>
      <c r="AH53" s="10">
        <f t="shared" si="80"/>
        <v>0</v>
      </c>
      <c r="AI53" s="10">
        <f t="shared" si="81"/>
        <v>0</v>
      </c>
      <c r="AK53" s="165">
        <v>2.9839078000000002E-4</v>
      </c>
      <c r="AL53" s="173">
        <f t="shared" si="65"/>
        <v>100.229463002</v>
      </c>
      <c r="AM53" s="173">
        <f t="shared" si="66"/>
        <v>16.680044602000002</v>
      </c>
      <c r="AN53" s="173">
        <f t="shared" si="67"/>
        <v>74.269465142000001</v>
      </c>
      <c r="AO53" s="173">
        <f t="shared" si="68"/>
        <v>12.353378292</v>
      </c>
      <c r="AP53" s="173">
        <f t="shared" si="69"/>
        <v>66.809695642000008</v>
      </c>
      <c r="AQ53" s="173">
        <f t="shared" si="70"/>
        <v>11.159815172</v>
      </c>
      <c r="AS53" s="22" t="str">
        <f>+VLOOKUP(B53,'Country &amp; Code Abbreviation'!$B$3:$C$245,2,FALSE)</f>
        <v>CO</v>
      </c>
    </row>
    <row r="54" spans="2:45">
      <c r="B54" s="20" t="s">
        <v>122</v>
      </c>
      <c r="C54" s="20" t="s">
        <v>270</v>
      </c>
      <c r="E54" s="11" t="str">
        <f>+VLOOKUP($B54,'[3]INT Web'!$B$5:$W$247,'[3]INT Web'!Q$1,FALSE)</f>
        <v>KMF</v>
      </c>
      <c r="F54" s="136">
        <f>+VLOOKUP($B54,'[3]INT Web'!$B$5:$W$247,'[3]INT Web'!R$1,FALSE)</f>
        <v>33240</v>
      </c>
      <c r="G54" s="136">
        <f>+VLOOKUP($B54,'[3]INT Web'!$B$5:$W$247,'[3]INT Web'!S$1,FALSE)</f>
        <v>5540</v>
      </c>
      <c r="H54" s="136">
        <f>+VLOOKUP($B54,'[3]INT Web'!$B$5:$W$247,'[3]INT Web'!T$1,FALSE)</f>
        <v>24600</v>
      </c>
      <c r="I54" s="136">
        <f>+VLOOKUP($B54,'[3]INT Web'!$B$5:$W$247,'[3]INT Web'!U$1,FALSE)</f>
        <v>4100</v>
      </c>
      <c r="J54" s="136">
        <f>+VLOOKUP($B54,'[3]INT Web'!$B$5:$W$247,'[3]INT Web'!V$1,FALSE)</f>
        <v>22140</v>
      </c>
      <c r="K54" s="136">
        <f>+VLOOKUP($B54,'[3]INT Web'!$B$5:$W$247,'[3]INT Web'!W$1,FALSE)</f>
        <v>3690</v>
      </c>
      <c r="L54" s="12">
        <f t="shared" si="60"/>
        <v>6</v>
      </c>
      <c r="M54" s="12">
        <f t="shared" si="61"/>
        <v>1.351219512195122</v>
      </c>
      <c r="N54" s="12">
        <f t="shared" si="62"/>
        <v>6</v>
      </c>
      <c r="O54" s="12">
        <f t="shared" si="63"/>
        <v>6</v>
      </c>
      <c r="P54" s="12">
        <f t="shared" si="64"/>
        <v>0.9</v>
      </c>
      <c r="Q54" s="143" t="str">
        <f t="shared" si="82"/>
        <v>KMF</v>
      </c>
      <c r="R54" s="137">
        <f>+VLOOKUP($B54,'Country-Level Tactics'!$B$5:$AL$248,'Country-Level Tactics'!AH$1,FALSE)</f>
        <v>33240</v>
      </c>
      <c r="S54" s="137">
        <f>+VLOOKUP($B54,'Country-Level Tactics'!$B$5:$AL$248,'Country-Level Tactics'!X$1,FALSE)</f>
        <v>5540</v>
      </c>
      <c r="T54" s="137">
        <f>+VLOOKUP($B54,'Country-Level Tactics'!$B$5:$AL$248,'Country-Level Tactics'!AC$1,FALSE)</f>
        <v>24600</v>
      </c>
      <c r="U54" s="137">
        <f>+VLOOKUP($B54,'Country-Level Tactics'!$B$5:$AL$248,'Country-Level Tactics'!T$1,FALSE)</f>
        <v>4100</v>
      </c>
      <c r="V54" s="137">
        <f t="shared" si="83"/>
        <v>22140</v>
      </c>
      <c r="W54" s="137">
        <f t="shared" si="84"/>
        <v>3690</v>
      </c>
      <c r="X54" s="12">
        <f t="shared" si="71"/>
        <v>6</v>
      </c>
      <c r="Y54" s="12">
        <f t="shared" si="72"/>
        <v>1.351219512195122</v>
      </c>
      <c r="Z54" s="12">
        <f t="shared" si="73"/>
        <v>6</v>
      </c>
      <c r="AA54" s="12">
        <f t="shared" si="74"/>
        <v>6</v>
      </c>
      <c r="AB54" s="12">
        <f t="shared" si="75"/>
        <v>0.9</v>
      </c>
      <c r="AD54" s="10">
        <f t="shared" si="76"/>
        <v>0</v>
      </c>
      <c r="AE54" s="10">
        <f t="shared" si="77"/>
        <v>0</v>
      </c>
      <c r="AF54" s="10">
        <f t="shared" si="78"/>
        <v>0</v>
      </c>
      <c r="AG54" s="10">
        <f t="shared" si="79"/>
        <v>0</v>
      </c>
      <c r="AH54" s="10">
        <f t="shared" si="80"/>
        <v>0</v>
      </c>
      <c r="AI54" s="10">
        <f t="shared" si="81"/>
        <v>0</v>
      </c>
      <c r="AK54" s="165">
        <v>2.3207823000000001E-3</v>
      </c>
      <c r="AL54" s="173">
        <f t="shared" si="65"/>
        <v>77.142803651999998</v>
      </c>
      <c r="AM54" s="173">
        <f t="shared" si="66"/>
        <v>12.857133942000001</v>
      </c>
      <c r="AN54" s="173">
        <f t="shared" si="67"/>
        <v>57.091244580000001</v>
      </c>
      <c r="AO54" s="173">
        <f t="shared" si="68"/>
        <v>9.5152074300000002</v>
      </c>
      <c r="AP54" s="173">
        <f t="shared" si="69"/>
        <v>51.382120122000003</v>
      </c>
      <c r="AQ54" s="173">
        <f t="shared" si="70"/>
        <v>8.5636866870000006</v>
      </c>
      <c r="AS54" s="22" t="str">
        <f>+VLOOKUP(B54,'Country &amp; Code Abbreviation'!$B$3:$C$245,2,FALSE)</f>
        <v>KM</v>
      </c>
    </row>
    <row r="55" spans="2:45">
      <c r="B55" s="20" t="s">
        <v>123</v>
      </c>
      <c r="C55" s="20" t="s">
        <v>270</v>
      </c>
      <c r="E55" s="11" t="str">
        <f>+VLOOKUP($B55,'[3]INT Web'!$B$5:$W$247,'[3]INT Web'!Q$1,FALSE)</f>
        <v>XAF</v>
      </c>
      <c r="F55" s="136">
        <f>+VLOOKUP($B55,'[3]INT Web'!$B$5:$W$247,'[3]INT Web'!R$1,FALSE)</f>
        <v>43740</v>
      </c>
      <c r="G55" s="136">
        <f>+VLOOKUP($B55,'[3]INT Web'!$B$5:$W$247,'[3]INT Web'!S$1,FALSE)</f>
        <v>7290</v>
      </c>
      <c r="H55" s="136">
        <f>+VLOOKUP($B55,'[3]INT Web'!$B$5:$W$247,'[3]INT Web'!T$1,FALSE)</f>
        <v>32400</v>
      </c>
      <c r="I55" s="136">
        <f>+VLOOKUP($B55,'[3]INT Web'!$B$5:$W$247,'[3]INT Web'!U$1,FALSE)</f>
        <v>5400</v>
      </c>
      <c r="J55" s="136">
        <f>+VLOOKUP($B55,'[3]INT Web'!$B$5:$W$247,'[3]INT Web'!V$1,FALSE)</f>
        <v>29160</v>
      </c>
      <c r="K55" s="136">
        <f>+VLOOKUP($B55,'[3]INT Web'!$B$5:$W$247,'[3]INT Web'!W$1,FALSE)</f>
        <v>4860</v>
      </c>
      <c r="L55" s="12">
        <f t="shared" si="60"/>
        <v>6</v>
      </c>
      <c r="M55" s="12">
        <f t="shared" si="61"/>
        <v>1.35</v>
      </c>
      <c r="N55" s="12">
        <f t="shared" si="62"/>
        <v>6</v>
      </c>
      <c r="O55" s="12">
        <f t="shared" si="63"/>
        <v>6</v>
      </c>
      <c r="P55" s="12">
        <f t="shared" si="64"/>
        <v>0.9</v>
      </c>
      <c r="Q55" s="143" t="str">
        <f t="shared" si="82"/>
        <v>XAF</v>
      </c>
      <c r="R55" s="137">
        <f>+VLOOKUP($B55,'Country-Level Tactics'!$B$5:$AL$248,'Country-Level Tactics'!AH$1,FALSE)</f>
        <v>43740</v>
      </c>
      <c r="S55" s="137">
        <f>+VLOOKUP($B55,'Country-Level Tactics'!$B$5:$AL$248,'Country-Level Tactics'!X$1,FALSE)</f>
        <v>7290</v>
      </c>
      <c r="T55" s="137">
        <f>+VLOOKUP($B55,'Country-Level Tactics'!$B$5:$AL$248,'Country-Level Tactics'!AC$1,FALSE)</f>
        <v>32400</v>
      </c>
      <c r="U55" s="137">
        <f>+VLOOKUP($B55,'Country-Level Tactics'!$B$5:$AL$248,'Country-Level Tactics'!T$1,FALSE)</f>
        <v>5400</v>
      </c>
      <c r="V55" s="137">
        <f t="shared" si="83"/>
        <v>29160</v>
      </c>
      <c r="W55" s="137">
        <f t="shared" si="84"/>
        <v>4860</v>
      </c>
      <c r="X55" s="12">
        <f t="shared" si="71"/>
        <v>6</v>
      </c>
      <c r="Y55" s="12">
        <f t="shared" si="72"/>
        <v>1.35</v>
      </c>
      <c r="Z55" s="12">
        <f t="shared" si="73"/>
        <v>6</v>
      </c>
      <c r="AA55" s="12">
        <f t="shared" si="74"/>
        <v>6</v>
      </c>
      <c r="AB55" s="12">
        <f t="shared" si="75"/>
        <v>0.9</v>
      </c>
      <c r="AD55" s="10">
        <f t="shared" si="76"/>
        <v>0</v>
      </c>
      <c r="AE55" s="10">
        <f t="shared" si="77"/>
        <v>0</v>
      </c>
      <c r="AF55" s="10">
        <f t="shared" si="78"/>
        <v>0</v>
      </c>
      <c r="AG55" s="10">
        <f t="shared" si="79"/>
        <v>0</v>
      </c>
      <c r="AH55" s="10">
        <f t="shared" si="80"/>
        <v>0</v>
      </c>
      <c r="AI55" s="10">
        <f t="shared" si="81"/>
        <v>0</v>
      </c>
      <c r="AK55" s="165">
        <v>1.7405866999999999E-3</v>
      </c>
      <c r="AL55" s="173">
        <f t="shared" si="65"/>
        <v>76.133262258000002</v>
      </c>
      <c r="AM55" s="173">
        <f t="shared" si="66"/>
        <v>12.688877043</v>
      </c>
      <c r="AN55" s="173">
        <f t="shared" si="67"/>
        <v>56.395009080000001</v>
      </c>
      <c r="AO55" s="173">
        <f t="shared" si="68"/>
        <v>9.3991681800000002</v>
      </c>
      <c r="AP55" s="173">
        <f t="shared" si="69"/>
        <v>50.755508171999999</v>
      </c>
      <c r="AQ55" s="173">
        <f t="shared" si="70"/>
        <v>8.4592513619999998</v>
      </c>
      <c r="AS55" s="22" t="str">
        <f>+VLOOKUP(B55,'Country &amp; Code Abbreviation'!$B$3:$C$245,2,FALSE)</f>
        <v>CG</v>
      </c>
    </row>
    <row r="56" spans="2:45">
      <c r="B56" s="20" t="s">
        <v>124</v>
      </c>
      <c r="C56" s="20" t="s">
        <v>182</v>
      </c>
      <c r="E56" s="11" t="str">
        <f>+VLOOKUP($B56,'[3]INT Web'!$B$5:$W$247,'[3]INT Web'!Q$1,FALSE)</f>
        <v>NZD</v>
      </c>
      <c r="F56" s="22">
        <f>+VLOOKUP($B56,'[3]INT Web'!$B$5:$W$247,'[3]INT Web'!R$1,FALSE)</f>
        <v>203.99</v>
      </c>
      <c r="G56" s="22">
        <f>+VLOOKUP($B56,'[3]INT Web'!$B$5:$W$247,'[3]INT Web'!S$1,FALSE)</f>
        <v>33.99</v>
      </c>
      <c r="H56" s="22">
        <f>+VLOOKUP($B56,'[3]INT Web'!$B$5:$W$247,'[3]INT Web'!T$1,FALSE)</f>
        <v>149.99</v>
      </c>
      <c r="I56" s="22">
        <f>+VLOOKUP($B56,'[3]INT Web'!$B$5:$W$247,'[3]INT Web'!U$1,FALSE)</f>
        <v>24.99</v>
      </c>
      <c r="J56" s="22">
        <f>+VLOOKUP($B56,'[3]INT Web'!$B$5:$W$247,'[3]INT Web'!V$1,FALSE)</f>
        <v>144.99</v>
      </c>
      <c r="K56" s="22">
        <f>+VLOOKUP($B56,'[3]INT Web'!$B$5:$W$247,'[3]INT Web'!W$1,FALSE)</f>
        <v>21.99</v>
      </c>
      <c r="L56" s="12">
        <f t="shared" si="60"/>
        <v>6.0014710208884967</v>
      </c>
      <c r="M56" s="12">
        <f t="shared" si="61"/>
        <v>1.3601440576230495</v>
      </c>
      <c r="N56" s="12">
        <f t="shared" si="62"/>
        <v>6.0020008003201291</v>
      </c>
      <c r="O56" s="12">
        <f t="shared" si="63"/>
        <v>6.5934515688949533</v>
      </c>
      <c r="P56" s="12">
        <f t="shared" si="64"/>
        <v>0.87995198079231696</v>
      </c>
      <c r="Q56" s="140" t="str">
        <f t="shared" si="82"/>
        <v>NZD</v>
      </c>
      <c r="R56" s="104">
        <f>+VLOOKUP($B56,'Country-Level Tactics'!$B$5:$AL$248,'Country-Level Tactics'!AH$1,FALSE)</f>
        <v>203.99</v>
      </c>
      <c r="S56" s="104">
        <f>+VLOOKUP($B56,'Country-Level Tactics'!$B$5:$AL$248,'Country-Level Tactics'!X$1,FALSE)</f>
        <v>33.99</v>
      </c>
      <c r="T56" s="104">
        <f>+VLOOKUP($B56,'Country-Level Tactics'!$B$5:$AL$248,'Country-Level Tactics'!AC$1,FALSE)</f>
        <v>149.99</v>
      </c>
      <c r="U56" s="104">
        <f>+VLOOKUP($B56,'Country-Level Tactics'!$B$5:$AL$248,'Country-Level Tactics'!T$1,FALSE)</f>
        <v>24.99</v>
      </c>
      <c r="V56" s="104">
        <f t="shared" si="83"/>
        <v>144.99</v>
      </c>
      <c r="W56" s="104">
        <f t="shared" si="84"/>
        <v>21.99</v>
      </c>
      <c r="X56" s="12">
        <f t="shared" si="71"/>
        <v>6.0014710208884967</v>
      </c>
      <c r="Y56" s="12">
        <f t="shared" si="72"/>
        <v>1.3601440576230495</v>
      </c>
      <c r="Z56" s="12">
        <f t="shared" si="73"/>
        <v>6.0020008003201291</v>
      </c>
      <c r="AA56" s="12">
        <f t="shared" si="74"/>
        <v>6.5934515688949533</v>
      </c>
      <c r="AB56" s="12">
        <f t="shared" si="75"/>
        <v>0.87995198079231696</v>
      </c>
      <c r="AD56" s="10">
        <f t="shared" si="76"/>
        <v>0</v>
      </c>
      <c r="AE56" s="10">
        <f t="shared" si="77"/>
        <v>0</v>
      </c>
      <c r="AF56" s="10">
        <f t="shared" si="78"/>
        <v>0</v>
      </c>
      <c r="AG56" s="10">
        <f t="shared" si="79"/>
        <v>0</v>
      </c>
      <c r="AH56" s="10">
        <f t="shared" si="80"/>
        <v>0</v>
      </c>
      <c r="AI56" s="10">
        <f t="shared" si="81"/>
        <v>0</v>
      </c>
      <c r="AK56" s="165">
        <v>0.56845000000000001</v>
      </c>
      <c r="AL56" s="173">
        <f t="shared" si="65"/>
        <v>115.95811550000001</v>
      </c>
      <c r="AM56" s="173">
        <f t="shared" si="66"/>
        <v>19.3216155</v>
      </c>
      <c r="AN56" s="173">
        <f t="shared" si="67"/>
        <v>85.261815500000012</v>
      </c>
      <c r="AO56" s="173">
        <f t="shared" si="68"/>
        <v>14.205565499999999</v>
      </c>
      <c r="AP56" s="173">
        <f t="shared" si="69"/>
        <v>82.419565500000004</v>
      </c>
      <c r="AQ56" s="173">
        <f t="shared" si="70"/>
        <v>12.500215499999999</v>
      </c>
      <c r="AS56" s="22" t="str">
        <f>+VLOOKUP(B56,'Country &amp; Code Abbreviation'!$B$3:$C$245,2,FALSE)</f>
        <v>CK</v>
      </c>
    </row>
    <row r="57" spans="2:45">
      <c r="B57" s="20" t="s">
        <v>125</v>
      </c>
      <c r="C57" s="20" t="s">
        <v>96</v>
      </c>
      <c r="E57" s="11" t="str">
        <f>+VLOOKUP($B57,'[3]INT Web'!$B$5:$W$247,'[3]INT Web'!Q$1,FALSE)</f>
        <v>CRC</v>
      </c>
      <c r="F57" s="22">
        <f>+VLOOKUP($B57,'[3]INT Web'!$B$5:$W$247,'[3]INT Web'!R$1,FALSE)</f>
        <v>78000</v>
      </c>
      <c r="G57" s="22">
        <f>+VLOOKUP($B57,'[3]INT Web'!$B$5:$W$247,'[3]INT Web'!S$1,FALSE)</f>
        <v>13000</v>
      </c>
      <c r="H57" s="22">
        <f>+VLOOKUP($B57,'[3]INT Web'!$B$5:$W$247,'[3]INT Web'!T$1,FALSE)</f>
        <v>60000</v>
      </c>
      <c r="I57" s="22">
        <f>+VLOOKUP($B57,'[3]INT Web'!$B$5:$W$247,'[3]INT Web'!U$1,FALSE)</f>
        <v>10000</v>
      </c>
      <c r="J57" s="22">
        <f>+VLOOKUP($B57,'[3]INT Web'!$B$5:$W$247,'[3]INT Web'!V$1,FALSE)</f>
        <v>54000</v>
      </c>
      <c r="K57" s="22">
        <f>+VLOOKUP($B57,'[3]INT Web'!$B$5:$W$247,'[3]INT Web'!W$1,FALSE)</f>
        <v>9000</v>
      </c>
      <c r="L57" s="12">
        <f t="shared" si="60"/>
        <v>6</v>
      </c>
      <c r="M57" s="12">
        <f t="shared" si="61"/>
        <v>1.3</v>
      </c>
      <c r="N57" s="12">
        <f t="shared" si="62"/>
        <v>6</v>
      </c>
      <c r="O57" s="12">
        <f t="shared" si="63"/>
        <v>6</v>
      </c>
      <c r="P57" s="12">
        <f t="shared" si="64"/>
        <v>0.9</v>
      </c>
      <c r="Q57" s="140" t="str">
        <f t="shared" si="82"/>
        <v>CRC</v>
      </c>
      <c r="R57" s="104">
        <f>+VLOOKUP($B57,'Country-Level Tactics'!$B$5:$AL$248,'Country-Level Tactics'!AH$1,FALSE)</f>
        <v>78000</v>
      </c>
      <c r="S57" s="104">
        <f>+VLOOKUP($B57,'Country-Level Tactics'!$B$5:$AL$248,'Country-Level Tactics'!X$1,FALSE)</f>
        <v>13000</v>
      </c>
      <c r="T57" s="104">
        <f>+VLOOKUP($B57,'Country-Level Tactics'!$B$5:$AL$248,'Country-Level Tactics'!AC$1,FALSE)</f>
        <v>60000</v>
      </c>
      <c r="U57" s="104">
        <f>+VLOOKUP($B57,'Country-Level Tactics'!$B$5:$AL$248,'Country-Level Tactics'!T$1,FALSE)</f>
        <v>10000</v>
      </c>
      <c r="V57" s="104">
        <f t="shared" si="83"/>
        <v>54000</v>
      </c>
      <c r="W57" s="104">
        <f t="shared" si="84"/>
        <v>9000</v>
      </c>
      <c r="X57" s="12">
        <f t="shared" si="71"/>
        <v>6</v>
      </c>
      <c r="Y57" s="12">
        <f t="shared" si="72"/>
        <v>1.3</v>
      </c>
      <c r="Z57" s="12">
        <f t="shared" si="73"/>
        <v>6</v>
      </c>
      <c r="AA57" s="12">
        <f t="shared" si="74"/>
        <v>6</v>
      </c>
      <c r="AB57" s="12">
        <f t="shared" si="75"/>
        <v>0.9</v>
      </c>
      <c r="AD57" s="10">
        <f t="shared" si="76"/>
        <v>0</v>
      </c>
      <c r="AE57" s="10">
        <f t="shared" si="77"/>
        <v>0</v>
      </c>
      <c r="AF57" s="10">
        <f t="shared" si="78"/>
        <v>0</v>
      </c>
      <c r="AG57" s="10">
        <f t="shared" si="79"/>
        <v>0</v>
      </c>
      <c r="AH57" s="10">
        <f t="shared" si="80"/>
        <v>0</v>
      </c>
      <c r="AI57" s="10">
        <f t="shared" si="81"/>
        <v>0</v>
      </c>
      <c r="AK57" s="165">
        <v>2.2055580999999999E-3</v>
      </c>
      <c r="AL57" s="173">
        <f t="shared" si="65"/>
        <v>172.03353179999999</v>
      </c>
      <c r="AM57" s="173">
        <f t="shared" si="66"/>
        <v>28.6722553</v>
      </c>
      <c r="AN57" s="173">
        <f t="shared" si="67"/>
        <v>132.33348599999999</v>
      </c>
      <c r="AO57" s="173">
        <f t="shared" si="68"/>
        <v>22.055581</v>
      </c>
      <c r="AP57" s="173">
        <f t="shared" si="69"/>
        <v>119.10013739999999</v>
      </c>
      <c r="AQ57" s="173">
        <f t="shared" si="70"/>
        <v>19.850022899999999</v>
      </c>
      <c r="AS57" s="22" t="str">
        <f>+VLOOKUP(B57,'Country &amp; Code Abbreviation'!$B$3:$C$245,2,FALSE)</f>
        <v>CR</v>
      </c>
    </row>
    <row r="58" spans="2:45">
      <c r="B58" s="20" t="s">
        <v>126</v>
      </c>
      <c r="C58" s="20" t="s">
        <v>270</v>
      </c>
      <c r="E58" s="11" t="str">
        <f>+VLOOKUP($B58,'[3]INT Web'!$B$5:$W$247,'[3]INT Web'!Q$1,FALSE)</f>
        <v>XOF</v>
      </c>
      <c r="F58" s="136">
        <f>+VLOOKUP($B58,'[3]INT Web'!$B$5:$W$247,'[3]INT Web'!R$1,FALSE)</f>
        <v>44580</v>
      </c>
      <c r="G58" s="136">
        <f>+VLOOKUP($B58,'[3]INT Web'!$B$5:$W$247,'[3]INT Web'!S$1,FALSE)</f>
        <v>7430</v>
      </c>
      <c r="H58" s="136">
        <f>+VLOOKUP($B58,'[3]INT Web'!$B$5:$W$247,'[3]INT Web'!T$1,FALSE)</f>
        <v>33000</v>
      </c>
      <c r="I58" s="136">
        <f>+VLOOKUP($B58,'[3]INT Web'!$B$5:$W$247,'[3]INT Web'!U$1,FALSE)</f>
        <v>5500</v>
      </c>
      <c r="J58" s="136">
        <f>+VLOOKUP($B58,'[3]INT Web'!$B$5:$W$247,'[3]INT Web'!V$1,FALSE)</f>
        <v>29700</v>
      </c>
      <c r="K58" s="136">
        <f>+VLOOKUP($B58,'[3]INT Web'!$B$5:$W$247,'[3]INT Web'!W$1,FALSE)</f>
        <v>4950</v>
      </c>
      <c r="L58" s="12">
        <f t="shared" ref="L58:L89" si="85">+F58/G58</f>
        <v>6</v>
      </c>
      <c r="M58" s="12">
        <f t="shared" ref="M58:M89" si="86">+G58/I58</f>
        <v>1.3509090909090908</v>
      </c>
      <c r="N58" s="12">
        <f t="shared" ref="N58:N89" si="87">+H58/I58</f>
        <v>6</v>
      </c>
      <c r="O58" s="12">
        <f t="shared" ref="O58:O89" si="88">+J58/K58</f>
        <v>6</v>
      </c>
      <c r="P58" s="12">
        <f t="shared" ref="P58:P89" si="89">+K58/I58</f>
        <v>0.9</v>
      </c>
      <c r="Q58" s="143" t="str">
        <f t="shared" si="82"/>
        <v>XOF</v>
      </c>
      <c r="R58" s="137">
        <f>+VLOOKUP($B58,'Country-Level Tactics'!$B$5:$AL$248,'Country-Level Tactics'!AH$1,FALSE)</f>
        <v>44580</v>
      </c>
      <c r="S58" s="137">
        <f>+VLOOKUP($B58,'Country-Level Tactics'!$B$5:$AL$248,'Country-Level Tactics'!X$1,FALSE)</f>
        <v>7430</v>
      </c>
      <c r="T58" s="137">
        <f>+VLOOKUP($B58,'Country-Level Tactics'!$B$5:$AL$248,'Country-Level Tactics'!AC$1,FALSE)</f>
        <v>33000</v>
      </c>
      <c r="U58" s="104">
        <f>+VLOOKUP($B58,'Country-Level Tactics'!$B$5:$AL$248,'Country-Level Tactics'!T$1,FALSE)</f>
        <v>5500</v>
      </c>
      <c r="V58" s="137">
        <f t="shared" si="83"/>
        <v>29700</v>
      </c>
      <c r="W58" s="137">
        <f t="shared" si="84"/>
        <v>4950</v>
      </c>
      <c r="X58" s="12">
        <f t="shared" si="71"/>
        <v>6</v>
      </c>
      <c r="Y58" s="12">
        <f t="shared" si="72"/>
        <v>1.3509090909090908</v>
      </c>
      <c r="Z58" s="12">
        <f t="shared" si="73"/>
        <v>6</v>
      </c>
      <c r="AA58" s="12">
        <f t="shared" si="74"/>
        <v>6</v>
      </c>
      <c r="AB58" s="12">
        <f t="shared" si="75"/>
        <v>0.9</v>
      </c>
      <c r="AD58" s="10">
        <f t="shared" si="76"/>
        <v>0</v>
      </c>
      <c r="AE58" s="10">
        <f t="shared" si="77"/>
        <v>0</v>
      </c>
      <c r="AF58" s="10">
        <f t="shared" si="78"/>
        <v>0</v>
      </c>
      <c r="AG58" s="10">
        <f t="shared" si="79"/>
        <v>0</v>
      </c>
      <c r="AH58" s="10">
        <f t="shared" si="80"/>
        <v>0</v>
      </c>
      <c r="AI58" s="10">
        <f t="shared" si="81"/>
        <v>0</v>
      </c>
      <c r="AK58" s="165">
        <v>1.7405866999999999E-3</v>
      </c>
      <c r="AL58" s="173">
        <f t="shared" ref="AL58:AL89" si="90">+R58*$AK58</f>
        <v>77.595355085999998</v>
      </c>
      <c r="AM58" s="173">
        <f t="shared" ref="AM58:AM89" si="91">+S58*$AK58</f>
        <v>12.932559181</v>
      </c>
      <c r="AN58" s="173">
        <f t="shared" ref="AN58:AN89" si="92">+T58*$AK58</f>
        <v>57.439361099999999</v>
      </c>
      <c r="AO58" s="173">
        <f t="shared" ref="AO58:AO89" si="93">+U58*$AK58</f>
        <v>9.5732268499999993</v>
      </c>
      <c r="AP58" s="173">
        <f t="shared" ref="AP58:AP89" si="94">+V58*$AK58</f>
        <v>51.695424989999999</v>
      </c>
      <c r="AQ58" s="173">
        <f t="shared" ref="AQ58:AQ89" si="95">+W58*$AK58</f>
        <v>8.6159041649999999</v>
      </c>
      <c r="AS58" s="22" t="str">
        <f>+VLOOKUP(B58,'Country &amp; Code Abbreviation'!$B$3:$C$245,2,FALSE)</f>
        <v>CI</v>
      </c>
    </row>
    <row r="59" spans="2:45">
      <c r="B59" s="20" t="s">
        <v>127</v>
      </c>
      <c r="C59" s="20" t="s">
        <v>100</v>
      </c>
      <c r="E59" s="11" t="str">
        <f>+VLOOKUP($B59,'[3]INT Web'!$B$5:$W$247,'[3]INT Web'!Q$1,FALSE)</f>
        <v>EUR</v>
      </c>
      <c r="F59" s="22">
        <f>+VLOOKUP($B59,'[3]INT Web'!$B$5:$W$247,'[3]INT Web'!R$1,FALSE)</f>
        <v>107.99</v>
      </c>
      <c r="G59" s="22">
        <f>+VLOOKUP($B59,'[3]INT Web'!$B$5:$W$247,'[3]INT Web'!S$1,FALSE)</f>
        <v>17.989999999999998</v>
      </c>
      <c r="H59" s="22">
        <f>+VLOOKUP($B59,'[3]INT Web'!$B$5:$W$247,'[3]INT Web'!T$1,FALSE)</f>
        <v>71.989999999999995</v>
      </c>
      <c r="I59" s="22">
        <f>+VLOOKUP($B59,'[3]INT Web'!$B$5:$W$247,'[3]INT Web'!U$1,FALSE)</f>
        <v>11.99</v>
      </c>
      <c r="J59" s="22">
        <f>+VLOOKUP($B59,'[3]INT Web'!$B$5:$W$247,'[3]INT Web'!V$1,FALSE)</f>
        <v>66.989999999999995</v>
      </c>
      <c r="K59" s="22">
        <f>+VLOOKUP($B59,'[3]INT Web'!$B$5:$W$247,'[3]INT Web'!W$1,FALSE)</f>
        <v>10.99</v>
      </c>
      <c r="L59" s="12">
        <f t="shared" si="85"/>
        <v>6.0027793218454697</v>
      </c>
      <c r="M59" s="12">
        <f t="shared" si="86"/>
        <v>1.5004170141784818</v>
      </c>
      <c r="N59" s="12">
        <f t="shared" si="87"/>
        <v>6.0041701417848206</v>
      </c>
      <c r="O59" s="12">
        <f t="shared" si="88"/>
        <v>6.0955414012738851</v>
      </c>
      <c r="P59" s="12">
        <f t="shared" si="89"/>
        <v>0.91659716430358629</v>
      </c>
      <c r="Q59" s="140" t="str">
        <f t="shared" si="82"/>
        <v>EUR</v>
      </c>
      <c r="R59" s="104">
        <f>+VLOOKUP($B59,'Country-Level Tactics'!$B$5:$AL$248,'Country-Level Tactics'!AH$1,FALSE)</f>
        <v>107.99</v>
      </c>
      <c r="S59" s="104">
        <f>+VLOOKUP($B59,'Country-Level Tactics'!$B$5:$AL$248,'Country-Level Tactics'!X$1,FALSE)</f>
        <v>17.989999999999998</v>
      </c>
      <c r="T59" s="104">
        <f>+VLOOKUP($B59,'Country-Level Tactics'!$B$5:$AL$248,'Country-Level Tactics'!AC$1,FALSE)</f>
        <v>71.989999999999995</v>
      </c>
      <c r="U59" s="104">
        <f>+VLOOKUP($B59,'Country-Level Tactics'!$B$5:$AL$248,'Country-Level Tactics'!T$1,FALSE)</f>
        <v>11.99</v>
      </c>
      <c r="V59" s="104">
        <f t="shared" si="83"/>
        <v>66.989999999999995</v>
      </c>
      <c r="W59" s="104">
        <f t="shared" si="84"/>
        <v>10.99</v>
      </c>
      <c r="X59" s="12">
        <f t="shared" si="71"/>
        <v>6.0027793218454697</v>
      </c>
      <c r="Y59" s="12">
        <f t="shared" si="72"/>
        <v>1.5004170141784818</v>
      </c>
      <c r="Z59" s="12">
        <f t="shared" si="73"/>
        <v>6.0041701417848206</v>
      </c>
      <c r="AA59" s="12">
        <f t="shared" si="74"/>
        <v>6.0955414012738851</v>
      </c>
      <c r="AB59" s="12">
        <f t="shared" si="75"/>
        <v>0.91659716430358629</v>
      </c>
      <c r="AD59" s="10">
        <f t="shared" si="76"/>
        <v>0</v>
      </c>
      <c r="AE59" s="10">
        <f t="shared" si="77"/>
        <v>0</v>
      </c>
      <c r="AF59" s="10">
        <f t="shared" si="78"/>
        <v>0</v>
      </c>
      <c r="AG59" s="10">
        <f t="shared" si="79"/>
        <v>0</v>
      </c>
      <c r="AH59" s="10">
        <f t="shared" si="80"/>
        <v>0</v>
      </c>
      <c r="AI59" s="10">
        <f t="shared" si="81"/>
        <v>0</v>
      </c>
      <c r="AK59" s="165">
        <v>1.14175</v>
      </c>
      <c r="AL59" s="173">
        <f t="shared" si="90"/>
        <v>123.2975825</v>
      </c>
      <c r="AM59" s="173">
        <f t="shared" si="91"/>
        <v>20.5400825</v>
      </c>
      <c r="AN59" s="173">
        <f t="shared" si="92"/>
        <v>82.194582499999996</v>
      </c>
      <c r="AO59" s="173">
        <f t="shared" si="93"/>
        <v>13.6895825</v>
      </c>
      <c r="AP59" s="173">
        <f t="shared" si="94"/>
        <v>76.485832500000001</v>
      </c>
      <c r="AQ59" s="173">
        <f t="shared" si="95"/>
        <v>12.5478325</v>
      </c>
      <c r="AS59" s="22" t="str">
        <f>+VLOOKUP(B59,'Country &amp; Code Abbreviation'!$B$3:$C$245,2,FALSE)</f>
        <v>HR</v>
      </c>
    </row>
    <row r="60" spans="2:45">
      <c r="B60" s="20" t="s">
        <v>128</v>
      </c>
      <c r="C60" s="20" t="s">
        <v>96</v>
      </c>
      <c r="E60" s="11" t="str">
        <f>+VLOOKUP($B60,'[3]INT Web'!$B$5:$W$247,'[3]INT Web'!Q$1,FALSE)</f>
        <v>ANG</v>
      </c>
      <c r="F60" s="22">
        <f>+VLOOKUP($B60,'[3]INT Web'!$B$5:$W$247,'[3]INT Web'!R$1,FALSE)</f>
        <v>167.99</v>
      </c>
      <c r="G60" s="22">
        <f>+VLOOKUP($B60,'[3]INT Web'!$B$5:$W$247,'[3]INT Web'!S$1,FALSE)</f>
        <v>27.99</v>
      </c>
      <c r="H60" s="22">
        <f>+VLOOKUP($B60,'[3]INT Web'!$B$5:$W$247,'[3]INT Web'!T$1,FALSE)</f>
        <v>125.99</v>
      </c>
      <c r="I60" s="22">
        <f>+VLOOKUP($B60,'[3]INT Web'!$B$5:$W$247,'[3]INT Web'!U$1,FALSE)</f>
        <v>20.99</v>
      </c>
      <c r="J60" s="22">
        <f>+VLOOKUP($B60,'[3]INT Web'!$B$5:$W$247,'[3]INT Web'!V$1,FALSE)</f>
        <v>113.99</v>
      </c>
      <c r="K60" s="22">
        <f>+VLOOKUP($B60,'[3]INT Web'!$B$5:$W$247,'[3]INT Web'!W$1,FALSE)</f>
        <v>18.989999999999998</v>
      </c>
      <c r="L60" s="12">
        <f t="shared" si="85"/>
        <v>6.0017863522686676</v>
      </c>
      <c r="M60" s="12">
        <f t="shared" si="86"/>
        <v>1.3334921391138637</v>
      </c>
      <c r="N60" s="12">
        <f t="shared" si="87"/>
        <v>6.0023820867079563</v>
      </c>
      <c r="O60" s="12">
        <f t="shared" si="88"/>
        <v>6.0026329647182726</v>
      </c>
      <c r="P60" s="12">
        <f t="shared" si="89"/>
        <v>0.90471653168175326</v>
      </c>
      <c r="Q60" s="140" t="str">
        <f t="shared" si="82"/>
        <v>ANG</v>
      </c>
      <c r="R60" s="104">
        <f>+VLOOKUP($B60,'Country-Level Tactics'!$B$5:$AL$248,'Country-Level Tactics'!AH$1,FALSE)</f>
        <v>167.99</v>
      </c>
      <c r="S60" s="104">
        <f>+VLOOKUP($B60,'Country-Level Tactics'!$B$5:$AL$248,'Country-Level Tactics'!X$1,FALSE)</f>
        <v>27.99</v>
      </c>
      <c r="T60" s="104">
        <f>+VLOOKUP($B60,'Country-Level Tactics'!$B$5:$AL$248,'Country-Level Tactics'!AC$1,FALSE)</f>
        <v>125.99</v>
      </c>
      <c r="U60" s="104">
        <f>+VLOOKUP($B60,'Country-Level Tactics'!$B$5:$AL$248,'Country-Level Tactics'!T$1,FALSE)</f>
        <v>20.99</v>
      </c>
      <c r="V60" s="104">
        <f t="shared" si="83"/>
        <v>113.99</v>
      </c>
      <c r="W60" s="104">
        <f t="shared" si="84"/>
        <v>18.989999999999998</v>
      </c>
      <c r="X60" s="12">
        <f t="shared" si="71"/>
        <v>6.0017863522686676</v>
      </c>
      <c r="Y60" s="12">
        <f t="shared" si="72"/>
        <v>1.3334921391138637</v>
      </c>
      <c r="Z60" s="12">
        <f t="shared" si="73"/>
        <v>6.0023820867079563</v>
      </c>
      <c r="AA60" s="12">
        <f t="shared" si="74"/>
        <v>6.0026329647182726</v>
      </c>
      <c r="AB60" s="12">
        <f t="shared" si="75"/>
        <v>0.90471653168175326</v>
      </c>
      <c r="AD60" s="10">
        <f t="shared" si="76"/>
        <v>0</v>
      </c>
      <c r="AE60" s="10">
        <f t="shared" si="77"/>
        <v>0</v>
      </c>
      <c r="AF60" s="10">
        <f t="shared" si="78"/>
        <v>0</v>
      </c>
      <c r="AG60" s="10">
        <f t="shared" si="79"/>
        <v>0</v>
      </c>
      <c r="AH60" s="10">
        <f t="shared" si="80"/>
        <v>0</v>
      </c>
      <c r="AI60" s="10">
        <f t="shared" si="81"/>
        <v>0</v>
      </c>
      <c r="AK60" s="165">
        <v>0.55865925999999999</v>
      </c>
      <c r="AL60" s="173">
        <f t="shared" si="90"/>
        <v>93.8491690874</v>
      </c>
      <c r="AM60" s="173">
        <f t="shared" si="91"/>
        <v>15.636872687399999</v>
      </c>
      <c r="AN60" s="173">
        <f t="shared" si="92"/>
        <v>70.38548016739999</v>
      </c>
      <c r="AO60" s="173">
        <f t="shared" si="93"/>
        <v>11.726257867399999</v>
      </c>
      <c r="AP60" s="173">
        <f t="shared" si="94"/>
        <v>63.681569047399996</v>
      </c>
      <c r="AQ60" s="173">
        <f t="shared" si="95"/>
        <v>10.6089393474</v>
      </c>
      <c r="AS60" s="22" t="str">
        <f>+VLOOKUP(B60,'Country &amp; Code Abbreviation'!$B$3:$C$245,2,FALSE)</f>
        <v>CW</v>
      </c>
    </row>
    <row r="61" spans="2:45">
      <c r="B61" s="20" t="s">
        <v>129</v>
      </c>
      <c r="C61" s="20" t="s">
        <v>100</v>
      </c>
      <c r="E61" s="11" t="str">
        <f>+VLOOKUP($B61,'[3]INT Web'!$B$5:$W$247,'[3]INT Web'!Q$1,FALSE)</f>
        <v>EUR</v>
      </c>
      <c r="F61" s="22">
        <f>+VLOOKUP($B61,'[3]INT Web'!$B$5:$W$247,'[3]INT Web'!R$1,FALSE)</f>
        <v>89.99</v>
      </c>
      <c r="G61" s="22">
        <f>+VLOOKUP($B61,'[3]INT Web'!$B$5:$W$247,'[3]INT Web'!S$1,FALSE)</f>
        <v>12.99</v>
      </c>
      <c r="H61" s="22">
        <f>+VLOOKUP($B61,'[3]INT Web'!$B$5:$W$247,'[3]INT Web'!T$1,FALSE)</f>
        <v>69.989999999999995</v>
      </c>
      <c r="I61" s="22">
        <f>+VLOOKUP($B61,'[3]INT Web'!$B$5:$W$247,'[3]INT Web'!U$1,FALSE)</f>
        <v>9.99</v>
      </c>
      <c r="J61" s="22">
        <f>+VLOOKUP($B61,'[3]INT Web'!$B$5:$W$247,'[3]INT Web'!V$1,FALSE)</f>
        <v>59.99</v>
      </c>
      <c r="K61" s="22">
        <f>+VLOOKUP($B61,'[3]INT Web'!$B$5:$W$247,'[3]INT Web'!W$1,FALSE)</f>
        <v>8.99</v>
      </c>
      <c r="L61" s="12">
        <f t="shared" si="85"/>
        <v>6.9276366435719776</v>
      </c>
      <c r="M61" s="12">
        <f t="shared" si="86"/>
        <v>1.3003003003003002</v>
      </c>
      <c r="N61" s="12">
        <f t="shared" si="87"/>
        <v>7.0060060060060056</v>
      </c>
      <c r="O61" s="12">
        <f t="shared" si="88"/>
        <v>6.6729699666295881</v>
      </c>
      <c r="P61" s="12">
        <f t="shared" si="89"/>
        <v>0.89989989989989994</v>
      </c>
      <c r="Q61" s="140" t="str">
        <f t="shared" si="82"/>
        <v>EUR</v>
      </c>
      <c r="R61" s="104">
        <f>+VLOOKUP($B61,'Country-Level Tactics'!$B$5:$AL$248,'Country-Level Tactics'!AH$1,FALSE)</f>
        <v>89.99</v>
      </c>
      <c r="S61" s="104">
        <f>+VLOOKUP($B61,'Country-Level Tactics'!$B$5:$AL$248,'Country-Level Tactics'!X$1,FALSE)</f>
        <v>12.99</v>
      </c>
      <c r="T61" s="104">
        <f>+VLOOKUP($B61,'Country-Level Tactics'!$B$5:$AL$248,'Country-Level Tactics'!AC$1,FALSE)</f>
        <v>69.989999999999995</v>
      </c>
      <c r="U61" s="104">
        <f>+VLOOKUP($B61,'Country-Level Tactics'!$B$5:$AL$248,'Country-Level Tactics'!T$1,FALSE)</f>
        <v>9.99</v>
      </c>
      <c r="V61" s="104">
        <f t="shared" si="83"/>
        <v>59.99</v>
      </c>
      <c r="W61" s="104">
        <f t="shared" si="84"/>
        <v>8.99</v>
      </c>
      <c r="X61" s="12">
        <f t="shared" si="71"/>
        <v>6.9276366435719776</v>
      </c>
      <c r="Y61" s="12">
        <f t="shared" si="72"/>
        <v>1.3003003003003002</v>
      </c>
      <c r="Z61" s="12">
        <f t="shared" si="73"/>
        <v>7.0060060060060056</v>
      </c>
      <c r="AA61" s="12">
        <f t="shared" si="74"/>
        <v>6.6729699666295881</v>
      </c>
      <c r="AB61" s="12">
        <f t="shared" si="75"/>
        <v>0.89989989989989994</v>
      </c>
      <c r="AD61" s="10">
        <f t="shared" si="76"/>
        <v>0</v>
      </c>
      <c r="AE61" s="10">
        <f t="shared" si="77"/>
        <v>0</v>
      </c>
      <c r="AF61" s="10">
        <f t="shared" si="78"/>
        <v>0</v>
      </c>
      <c r="AG61" s="10">
        <f t="shared" si="79"/>
        <v>0</v>
      </c>
      <c r="AH61" s="10">
        <f t="shared" si="80"/>
        <v>0</v>
      </c>
      <c r="AI61" s="10">
        <f t="shared" si="81"/>
        <v>0</v>
      </c>
      <c r="AK61" s="165">
        <v>1.14175</v>
      </c>
      <c r="AL61" s="173">
        <f t="shared" si="90"/>
        <v>102.7460825</v>
      </c>
      <c r="AM61" s="173">
        <f t="shared" si="91"/>
        <v>14.8313325</v>
      </c>
      <c r="AN61" s="173">
        <f t="shared" si="92"/>
        <v>79.911082499999992</v>
      </c>
      <c r="AO61" s="173">
        <f t="shared" si="93"/>
        <v>11.4060825</v>
      </c>
      <c r="AP61" s="173">
        <f t="shared" si="94"/>
        <v>68.493582500000002</v>
      </c>
      <c r="AQ61" s="173">
        <f t="shared" si="95"/>
        <v>10.2643325</v>
      </c>
      <c r="AS61" s="22" t="str">
        <f>+VLOOKUP(B61,'Country &amp; Code Abbreviation'!$B$3:$C$245,2,FALSE)</f>
        <v>CY</v>
      </c>
    </row>
    <row r="62" spans="2:45">
      <c r="B62" s="20" t="s">
        <v>130</v>
      </c>
      <c r="C62" s="20" t="s">
        <v>100</v>
      </c>
      <c r="E62" s="11" t="str">
        <f>+VLOOKUP($B62,'[3]INT Web'!$B$5:$W$247,'[3]INT Web'!Q$1,FALSE)</f>
        <v>CZK</v>
      </c>
      <c r="F62" s="22">
        <f>+VLOOKUP($B62,'[3]INT Web'!$B$5:$W$247,'[3]INT Web'!R$1,FALSE)</f>
        <v>3599.99</v>
      </c>
      <c r="G62" s="22">
        <f>+VLOOKUP($B62,'[3]INT Web'!$B$5:$W$247,'[3]INT Web'!S$1,FALSE)</f>
        <v>549.99</v>
      </c>
      <c r="H62" s="22">
        <f>+VLOOKUP($B62,'[3]INT Web'!$B$5:$W$247,'[3]INT Web'!T$1,FALSE)</f>
        <v>2399.9899999999998</v>
      </c>
      <c r="I62" s="22">
        <f>+VLOOKUP($B62,'[3]INT Web'!$B$5:$W$247,'[3]INT Web'!U$1,FALSE)</f>
        <v>399.99</v>
      </c>
      <c r="J62" s="22">
        <f>+VLOOKUP($B62,'[3]INT Web'!$B$5:$W$247,'[3]INT Web'!V$1,FALSE)</f>
        <v>2159.9899999999998</v>
      </c>
      <c r="K62" s="22">
        <f>+VLOOKUP($B62,'[3]INT Web'!$B$5:$W$247,'[3]INT Web'!W$1,FALSE)</f>
        <v>359.99</v>
      </c>
      <c r="L62" s="12">
        <f t="shared" si="85"/>
        <v>6.545555373734067</v>
      </c>
      <c r="M62" s="12">
        <f t="shared" si="86"/>
        <v>1.3750093752343808</v>
      </c>
      <c r="N62" s="12">
        <f t="shared" si="87"/>
        <v>6.0001250031250777</v>
      </c>
      <c r="O62" s="12">
        <f t="shared" si="88"/>
        <v>6.0001388927470201</v>
      </c>
      <c r="P62" s="12">
        <f t="shared" si="89"/>
        <v>0.89999749993749845</v>
      </c>
      <c r="Q62" s="140" t="str">
        <f t="shared" si="82"/>
        <v>CZK</v>
      </c>
      <c r="R62" s="104">
        <f>+VLOOKUP($B62,'Country-Level Tactics'!$B$5:$AL$248,'Country-Level Tactics'!AH$1,FALSE)</f>
        <v>3599.99</v>
      </c>
      <c r="S62" s="104">
        <f>+VLOOKUP($B62,'Country-Level Tactics'!$B$5:$AL$248,'Country-Level Tactics'!X$1,FALSE)</f>
        <v>549.99</v>
      </c>
      <c r="T62" s="104">
        <f>+VLOOKUP($B62,'Country-Level Tactics'!$B$5:$AL$248,'Country-Level Tactics'!AC$1,FALSE)</f>
        <v>2399.9899999999998</v>
      </c>
      <c r="U62" s="104">
        <f>+VLOOKUP($B62,'Country-Level Tactics'!$B$5:$AL$248,'Country-Level Tactics'!T$1,FALSE)</f>
        <v>399.99</v>
      </c>
      <c r="V62" s="104">
        <f t="shared" si="83"/>
        <v>2159.9899999999998</v>
      </c>
      <c r="W62" s="104">
        <f t="shared" si="84"/>
        <v>359.99</v>
      </c>
      <c r="X62" s="12">
        <f t="shared" si="71"/>
        <v>6.545555373734067</v>
      </c>
      <c r="Y62" s="12">
        <f t="shared" si="72"/>
        <v>1.3750093752343808</v>
      </c>
      <c r="Z62" s="12">
        <f t="shared" si="73"/>
        <v>6.0001250031250777</v>
      </c>
      <c r="AA62" s="12">
        <f t="shared" si="74"/>
        <v>6.0001388927470201</v>
      </c>
      <c r="AB62" s="12">
        <f t="shared" si="75"/>
        <v>0.89999749993749845</v>
      </c>
      <c r="AD62" s="10">
        <f t="shared" si="76"/>
        <v>0</v>
      </c>
      <c r="AE62" s="10">
        <f t="shared" si="77"/>
        <v>0</v>
      </c>
      <c r="AF62" s="10">
        <f t="shared" si="78"/>
        <v>0</v>
      </c>
      <c r="AG62" s="10">
        <f t="shared" si="79"/>
        <v>0</v>
      </c>
      <c r="AH62" s="10">
        <f t="shared" si="80"/>
        <v>0</v>
      </c>
      <c r="AI62" s="10">
        <f t="shared" si="81"/>
        <v>0</v>
      </c>
      <c r="AK62" s="165">
        <v>4.7255962999999998E-2</v>
      </c>
      <c r="AL62" s="173">
        <f t="shared" si="90"/>
        <v>170.12099424036998</v>
      </c>
      <c r="AM62" s="173">
        <f t="shared" si="91"/>
        <v>25.990307090369999</v>
      </c>
      <c r="AN62" s="173">
        <f t="shared" si="92"/>
        <v>113.41383864036999</v>
      </c>
      <c r="AO62" s="173">
        <f t="shared" si="93"/>
        <v>18.90191264037</v>
      </c>
      <c r="AP62" s="173">
        <f t="shared" si="94"/>
        <v>102.07240752036999</v>
      </c>
      <c r="AQ62" s="173">
        <f t="shared" si="95"/>
        <v>17.011674120369999</v>
      </c>
      <c r="AS62" s="22" t="str">
        <f>+VLOOKUP(B62,'Country &amp; Code Abbreviation'!$B$3:$C$245,2,FALSE)</f>
        <v>CZ</v>
      </c>
    </row>
    <row r="63" spans="2:45">
      <c r="B63" s="20" t="s">
        <v>131</v>
      </c>
      <c r="C63" s="20" t="s">
        <v>270</v>
      </c>
      <c r="E63" s="11" t="str">
        <f>+VLOOKUP($B63,'[3]INT Web'!$B$5:$W$247,'[3]INT Web'!Q$1,FALSE)</f>
        <v>USD</v>
      </c>
      <c r="F63" s="22">
        <f>+VLOOKUP($B63,'[3]INT Web'!$B$5:$W$247,'[3]INT Web'!R$1,FALSE)</f>
        <v>71.989999999999995</v>
      </c>
      <c r="G63" s="22">
        <f>+VLOOKUP($B63,'[3]INT Web'!$B$5:$W$247,'[3]INT Web'!S$1,FALSE)</f>
        <v>11.99</v>
      </c>
      <c r="H63" s="22">
        <f>+VLOOKUP($B63,'[3]INT Web'!$B$5:$W$247,'[3]INT Web'!T$1,FALSE)</f>
        <v>53.99</v>
      </c>
      <c r="I63" s="22">
        <f>+VLOOKUP($B63,'[3]INT Web'!$B$5:$W$247,'[3]INT Web'!U$1,FALSE)</f>
        <v>8.99</v>
      </c>
      <c r="J63" s="22">
        <f>+VLOOKUP($B63,'[3]INT Web'!$B$5:$W$247,'[3]INT Web'!V$1,FALSE)</f>
        <v>47.99</v>
      </c>
      <c r="K63" s="22">
        <f>+VLOOKUP($B63,'[3]INT Web'!$B$5:$W$247,'[3]INT Web'!W$1,FALSE)</f>
        <v>7.99</v>
      </c>
      <c r="L63" s="12">
        <f t="shared" si="85"/>
        <v>6.0041701417848206</v>
      </c>
      <c r="M63" s="12">
        <f t="shared" si="86"/>
        <v>1.3337041156840934</v>
      </c>
      <c r="N63" s="12">
        <f t="shared" si="87"/>
        <v>6.0055617352614012</v>
      </c>
      <c r="O63" s="12">
        <f t="shared" si="88"/>
        <v>6.0062578222778473</v>
      </c>
      <c r="P63" s="12">
        <f t="shared" si="89"/>
        <v>0.88876529477196886</v>
      </c>
      <c r="Q63" s="140" t="str">
        <f t="shared" si="82"/>
        <v>USD</v>
      </c>
      <c r="R63" s="104">
        <f>+VLOOKUP($B63,'Country-Level Tactics'!$B$5:$AL$248,'Country-Level Tactics'!AH$1,FALSE)</f>
        <v>71.989999999999995</v>
      </c>
      <c r="S63" s="104">
        <f>+VLOOKUP($B63,'Country-Level Tactics'!$B$5:$AL$248,'Country-Level Tactics'!X$1,FALSE)</f>
        <v>11.99</v>
      </c>
      <c r="T63" s="104">
        <f>+VLOOKUP($B63,'Country-Level Tactics'!$B$5:$AL$248,'Country-Level Tactics'!AC$1,FALSE)</f>
        <v>53.99</v>
      </c>
      <c r="U63" s="104">
        <f>+VLOOKUP($B63,'Country-Level Tactics'!$B$5:$AL$248,'Country-Level Tactics'!T$1,FALSE)</f>
        <v>8.99</v>
      </c>
      <c r="V63" s="104">
        <f t="shared" si="83"/>
        <v>47.99</v>
      </c>
      <c r="W63" s="104">
        <f t="shared" si="84"/>
        <v>7.99</v>
      </c>
      <c r="X63" s="12">
        <f t="shared" si="71"/>
        <v>6.0041701417848206</v>
      </c>
      <c r="Y63" s="12">
        <f t="shared" si="72"/>
        <v>1.3337041156840934</v>
      </c>
      <c r="Z63" s="12">
        <f t="shared" si="73"/>
        <v>6.0055617352614012</v>
      </c>
      <c r="AA63" s="12">
        <f t="shared" si="74"/>
        <v>6.0062578222778473</v>
      </c>
      <c r="AB63" s="12">
        <f t="shared" si="75"/>
        <v>0.88876529477196886</v>
      </c>
      <c r="AD63" s="10">
        <f t="shared" si="76"/>
        <v>0</v>
      </c>
      <c r="AE63" s="10">
        <f t="shared" si="77"/>
        <v>0</v>
      </c>
      <c r="AF63" s="10">
        <f t="shared" si="78"/>
        <v>0</v>
      </c>
      <c r="AG63" s="10">
        <f t="shared" si="79"/>
        <v>0</v>
      </c>
      <c r="AH63" s="10">
        <f t="shared" si="80"/>
        <v>0</v>
      </c>
      <c r="AI63" s="10">
        <f t="shared" si="81"/>
        <v>0</v>
      </c>
      <c r="AK63" s="165">
        <v>1</v>
      </c>
      <c r="AL63" s="173">
        <f t="shared" si="90"/>
        <v>71.989999999999995</v>
      </c>
      <c r="AM63" s="173">
        <f t="shared" si="91"/>
        <v>11.99</v>
      </c>
      <c r="AN63" s="173">
        <f t="shared" si="92"/>
        <v>53.99</v>
      </c>
      <c r="AO63" s="173">
        <f t="shared" si="93"/>
        <v>8.99</v>
      </c>
      <c r="AP63" s="173">
        <f t="shared" si="94"/>
        <v>47.99</v>
      </c>
      <c r="AQ63" s="173">
        <f t="shared" si="95"/>
        <v>7.99</v>
      </c>
      <c r="AS63" s="22" t="str">
        <f>+VLOOKUP(B63,'Country &amp; Code Abbreviation'!$B$3:$C$245,2,FALSE)</f>
        <v>CD</v>
      </c>
    </row>
    <row r="64" spans="2:45">
      <c r="B64" s="20" t="s">
        <v>132</v>
      </c>
      <c r="C64" s="20" t="s">
        <v>100</v>
      </c>
      <c r="E64" s="11" t="str">
        <f>+VLOOKUP($B64,'[3]INT Web'!$B$5:$W$247,'[3]INT Web'!Q$1,FALSE)</f>
        <v>DKK</v>
      </c>
      <c r="F64" s="22">
        <f>+VLOOKUP($B64,'[3]INT Web'!$B$5:$W$247,'[3]INT Web'!R$1,FALSE)</f>
        <v>1299.99</v>
      </c>
      <c r="G64" s="22">
        <f>+VLOOKUP($B64,'[3]INT Web'!$B$5:$W$247,'[3]INT Web'!S$1,FALSE)</f>
        <v>199.99</v>
      </c>
      <c r="H64" s="22">
        <f>+VLOOKUP($B64,'[3]INT Web'!$B$5:$W$247,'[3]INT Web'!T$1,FALSE)</f>
        <v>899.99</v>
      </c>
      <c r="I64" s="22">
        <f>+VLOOKUP($B64,'[3]INT Web'!$B$5:$W$247,'[3]INT Web'!U$1,FALSE)</f>
        <v>139.99</v>
      </c>
      <c r="J64" s="22">
        <f>+VLOOKUP($B64,'[3]INT Web'!$B$5:$W$247,'[3]INT Web'!V$1,FALSE)</f>
        <v>779.99</v>
      </c>
      <c r="K64" s="22">
        <f>+VLOOKUP($B64,'[3]INT Web'!$B$5:$W$247,'[3]INT Web'!W$1,FALSE)</f>
        <v>129.99</v>
      </c>
      <c r="L64" s="12">
        <f t="shared" si="85"/>
        <v>6.5002750137506871</v>
      </c>
      <c r="M64" s="12">
        <f t="shared" si="86"/>
        <v>1.4286020430030717</v>
      </c>
      <c r="N64" s="12">
        <f t="shared" si="87"/>
        <v>6.4289592113722405</v>
      </c>
      <c r="O64" s="12">
        <f t="shared" si="88"/>
        <v>6.0003846449726899</v>
      </c>
      <c r="P64" s="12">
        <f t="shared" si="89"/>
        <v>0.92856632616615475</v>
      </c>
      <c r="Q64" s="140" t="str">
        <f t="shared" si="82"/>
        <v>DKK</v>
      </c>
      <c r="R64" s="104">
        <f>+VLOOKUP($B64,'Country-Level Tactics'!$B$5:$AL$248,'Country-Level Tactics'!AH$1,FALSE)</f>
        <v>1299.99</v>
      </c>
      <c r="S64" s="104">
        <f>+VLOOKUP($B64,'Country-Level Tactics'!$B$5:$AL$248,'Country-Level Tactics'!X$1,FALSE)</f>
        <v>199.99</v>
      </c>
      <c r="T64" s="104">
        <f>+VLOOKUP($B64,'Country-Level Tactics'!$B$5:$AL$248,'Country-Level Tactics'!AC$1,FALSE)</f>
        <v>899.99</v>
      </c>
      <c r="U64" s="104">
        <f>+VLOOKUP($B64,'Country-Level Tactics'!$B$5:$AL$248,'Country-Level Tactics'!T$1,FALSE)</f>
        <v>139.99</v>
      </c>
      <c r="V64" s="104">
        <f t="shared" si="83"/>
        <v>779.99</v>
      </c>
      <c r="W64" s="104">
        <f t="shared" si="84"/>
        <v>129.99</v>
      </c>
      <c r="X64" s="12">
        <f t="shared" si="71"/>
        <v>6.5002750137506871</v>
      </c>
      <c r="Y64" s="12">
        <f t="shared" si="72"/>
        <v>1.4286020430030717</v>
      </c>
      <c r="Z64" s="12">
        <f t="shared" si="73"/>
        <v>6.4289592113722405</v>
      </c>
      <c r="AA64" s="12">
        <f t="shared" si="74"/>
        <v>6.0003846449726899</v>
      </c>
      <c r="AB64" s="12">
        <f t="shared" si="75"/>
        <v>0.92856632616615475</v>
      </c>
      <c r="AD64" s="10">
        <f t="shared" si="76"/>
        <v>0</v>
      </c>
      <c r="AE64" s="10">
        <f t="shared" si="77"/>
        <v>0</v>
      </c>
      <c r="AF64" s="10">
        <f t="shared" si="78"/>
        <v>0</v>
      </c>
      <c r="AG64" s="10">
        <f t="shared" si="79"/>
        <v>0</v>
      </c>
      <c r="AH64" s="10">
        <f t="shared" si="80"/>
        <v>0</v>
      </c>
      <c r="AI64" s="10">
        <f t="shared" si="81"/>
        <v>0</v>
      </c>
      <c r="AK64" s="165">
        <v>0.15274872</v>
      </c>
      <c r="AL64" s="173">
        <f t="shared" si="90"/>
        <v>198.5718085128</v>
      </c>
      <c r="AM64" s="173">
        <f t="shared" si="91"/>
        <v>30.548216512800003</v>
      </c>
      <c r="AN64" s="173">
        <f t="shared" si="92"/>
        <v>137.4723205128</v>
      </c>
      <c r="AO64" s="173">
        <f t="shared" si="93"/>
        <v>21.383293312800003</v>
      </c>
      <c r="AP64" s="173">
        <f t="shared" si="94"/>
        <v>119.1424741128</v>
      </c>
      <c r="AQ64" s="173">
        <f t="shared" si="95"/>
        <v>19.855806112800003</v>
      </c>
      <c r="AS64" s="22" t="str">
        <f>+VLOOKUP(B64,'Country &amp; Code Abbreviation'!$B$3:$C$245,2,FALSE)</f>
        <v>DK</v>
      </c>
    </row>
    <row r="65" spans="2:45" ht="13.4" customHeight="1">
      <c r="B65" s="20" t="s">
        <v>133</v>
      </c>
      <c r="C65" s="20" t="s">
        <v>270</v>
      </c>
      <c r="E65" s="11" t="str">
        <f>+VLOOKUP($B65,'[3]INT Web'!$B$5:$W$247,'[3]INT Web'!Q$1,FALSE)</f>
        <v>DJF</v>
      </c>
      <c r="F65" s="136">
        <f>+VLOOKUP($B65,'[3]INT Web'!$B$5:$W$247,'[3]INT Web'!R$1,FALSE)</f>
        <v>10560</v>
      </c>
      <c r="G65" s="136">
        <f>+VLOOKUP($B65,'[3]INT Web'!$B$5:$W$247,'[3]INT Web'!S$1,FALSE)</f>
        <v>1760</v>
      </c>
      <c r="H65" s="136">
        <f>+VLOOKUP($B65,'[3]INT Web'!$B$5:$W$247,'[3]INT Web'!T$1,FALSE)</f>
        <v>7800</v>
      </c>
      <c r="I65" s="136">
        <f>+VLOOKUP($B65,'[3]INT Web'!$B$5:$W$247,'[3]INT Web'!U$1,FALSE)</f>
        <v>1300</v>
      </c>
      <c r="J65" s="136">
        <f>+VLOOKUP($B65,'[3]INT Web'!$B$5:$W$247,'[3]INT Web'!V$1,FALSE)</f>
        <v>7020</v>
      </c>
      <c r="K65" s="136">
        <f>+VLOOKUP($B65,'[3]INT Web'!$B$5:$W$247,'[3]INT Web'!W$1,FALSE)</f>
        <v>1170</v>
      </c>
      <c r="L65" s="12">
        <f t="shared" si="85"/>
        <v>6</v>
      </c>
      <c r="M65" s="12">
        <f t="shared" si="86"/>
        <v>1.3538461538461539</v>
      </c>
      <c r="N65" s="12">
        <f t="shared" si="87"/>
        <v>6</v>
      </c>
      <c r="O65" s="12">
        <f t="shared" si="88"/>
        <v>6</v>
      </c>
      <c r="P65" s="12">
        <f t="shared" si="89"/>
        <v>0.9</v>
      </c>
      <c r="Q65" s="143" t="str">
        <f t="shared" si="82"/>
        <v>DJF</v>
      </c>
      <c r="R65" s="137">
        <f>+VLOOKUP($B65,'Country-Level Tactics'!$B$5:$AL$248,'Country-Level Tactics'!AH$1,FALSE)</f>
        <v>10560</v>
      </c>
      <c r="S65" s="137">
        <f>+VLOOKUP($B65,'Country-Level Tactics'!$B$5:$AL$248,'Country-Level Tactics'!X$1,FALSE)</f>
        <v>1760</v>
      </c>
      <c r="T65" s="137">
        <f>+VLOOKUP($B65,'Country-Level Tactics'!$B$5:$AL$248,'Country-Level Tactics'!AC$1,FALSE)</f>
        <v>7800</v>
      </c>
      <c r="U65" s="137">
        <f>+VLOOKUP($B65,'Country-Level Tactics'!$B$5:$AL$248,'Country-Level Tactics'!T$1,FALSE)</f>
        <v>1300</v>
      </c>
      <c r="V65" s="137">
        <f t="shared" si="83"/>
        <v>7020</v>
      </c>
      <c r="W65" s="137">
        <f t="shared" si="84"/>
        <v>1170</v>
      </c>
      <c r="X65" s="12">
        <f t="shared" si="71"/>
        <v>6</v>
      </c>
      <c r="Y65" s="12">
        <f t="shared" si="72"/>
        <v>1.3538461538461539</v>
      </c>
      <c r="Z65" s="12">
        <f t="shared" si="73"/>
        <v>6</v>
      </c>
      <c r="AA65" s="12">
        <f t="shared" si="74"/>
        <v>6</v>
      </c>
      <c r="AB65" s="12">
        <f t="shared" si="75"/>
        <v>0.9</v>
      </c>
      <c r="AD65" s="10">
        <f t="shared" si="76"/>
        <v>0</v>
      </c>
      <c r="AE65" s="10">
        <f t="shared" si="77"/>
        <v>0</v>
      </c>
      <c r="AF65" s="10">
        <f t="shared" si="78"/>
        <v>0</v>
      </c>
      <c r="AG65" s="10">
        <f t="shared" si="79"/>
        <v>0</v>
      </c>
      <c r="AH65" s="10">
        <f t="shared" si="80"/>
        <v>0</v>
      </c>
      <c r="AI65" s="10">
        <f t="shared" si="81"/>
        <v>0</v>
      </c>
      <c r="AK65" s="165">
        <v>5.6001176000000001E-3</v>
      </c>
      <c r="AL65" s="173">
        <f t="shared" si="90"/>
        <v>59.137241856000003</v>
      </c>
      <c r="AM65" s="173">
        <f t="shared" si="91"/>
        <v>9.8562069760000011</v>
      </c>
      <c r="AN65" s="173">
        <f t="shared" si="92"/>
        <v>43.680917280000003</v>
      </c>
      <c r="AO65" s="173">
        <f t="shared" si="93"/>
        <v>7.2801528800000002</v>
      </c>
      <c r="AP65" s="173">
        <f t="shared" si="94"/>
        <v>39.312825552</v>
      </c>
      <c r="AQ65" s="173">
        <f t="shared" si="95"/>
        <v>6.5521375920000002</v>
      </c>
      <c r="AS65" s="22" t="str">
        <f>+VLOOKUP(B65,'Country &amp; Code Abbreviation'!$B$3:$C$245,2,FALSE)</f>
        <v>DJ</v>
      </c>
    </row>
    <row r="66" spans="2:45" ht="13.4" customHeight="1">
      <c r="B66" s="20" t="s">
        <v>134</v>
      </c>
      <c r="C66" s="20" t="s">
        <v>96</v>
      </c>
      <c r="E66" s="11" t="str">
        <f>+VLOOKUP($B66,'[3]INT Web'!$B$5:$W$247,'[3]INT Web'!Q$1,FALSE)</f>
        <v>XCD</v>
      </c>
      <c r="F66" s="22">
        <f>+VLOOKUP($B66,'[3]INT Web'!$B$5:$W$247,'[3]INT Web'!R$1,FALSE)</f>
        <v>305.99</v>
      </c>
      <c r="G66" s="22">
        <f>+VLOOKUP($B66,'[3]INT Web'!$B$5:$W$247,'[3]INT Web'!S$1,FALSE)</f>
        <v>50.99</v>
      </c>
      <c r="H66" s="22">
        <f>+VLOOKUP($B66,'[3]INT Web'!$B$5:$W$247,'[3]INT Web'!T$1,FALSE)</f>
        <v>227.99</v>
      </c>
      <c r="I66" s="22">
        <f>+VLOOKUP($B66,'[3]INT Web'!$B$5:$W$247,'[3]INT Web'!U$1,FALSE)</f>
        <v>37.99</v>
      </c>
      <c r="J66" s="22">
        <f>+VLOOKUP($B66,'[3]INT Web'!$B$5:$W$247,'[3]INT Web'!V$1,FALSE)</f>
        <v>203.99</v>
      </c>
      <c r="K66" s="22">
        <f>+VLOOKUP($B66,'[3]INT Web'!$B$5:$W$247,'[3]INT Web'!W$1,FALSE)</f>
        <v>33.99</v>
      </c>
      <c r="L66" s="12">
        <f t="shared" si="85"/>
        <v>6.0009805844283193</v>
      </c>
      <c r="M66" s="12">
        <f t="shared" si="86"/>
        <v>1.3421953145564622</v>
      </c>
      <c r="N66" s="12">
        <f t="shared" si="87"/>
        <v>6.0013161358252169</v>
      </c>
      <c r="O66" s="12">
        <f t="shared" si="88"/>
        <v>6.0014710208884967</v>
      </c>
      <c r="P66" s="12">
        <f t="shared" si="89"/>
        <v>0.89470913398262697</v>
      </c>
      <c r="Q66" s="140" t="str">
        <f t="shared" si="82"/>
        <v>XCD</v>
      </c>
      <c r="R66" s="104">
        <f>+VLOOKUP($B66,'Country-Level Tactics'!$B$5:$AL$248,'Country-Level Tactics'!AH$1,FALSE)</f>
        <v>305.99</v>
      </c>
      <c r="S66" s="104">
        <f>+VLOOKUP($B66,'Country-Level Tactics'!$B$5:$AL$248,'Country-Level Tactics'!X$1,FALSE)</f>
        <v>50.99</v>
      </c>
      <c r="T66" s="104">
        <f>+VLOOKUP($B66,'Country-Level Tactics'!$B$5:$AL$248,'Country-Level Tactics'!AC$1,FALSE)</f>
        <v>227.99</v>
      </c>
      <c r="U66" s="104">
        <f>+VLOOKUP($B66,'Country-Level Tactics'!$B$5:$AL$248,'Country-Level Tactics'!T$1,FALSE)</f>
        <v>37.99</v>
      </c>
      <c r="V66" s="104">
        <f t="shared" si="83"/>
        <v>203.99</v>
      </c>
      <c r="W66" s="104">
        <f t="shared" si="84"/>
        <v>33.99</v>
      </c>
      <c r="X66" s="12">
        <f t="shared" si="71"/>
        <v>6.0009805844283193</v>
      </c>
      <c r="Y66" s="12">
        <f t="shared" si="72"/>
        <v>1.3421953145564622</v>
      </c>
      <c r="Z66" s="12">
        <f t="shared" si="73"/>
        <v>6.0013161358252169</v>
      </c>
      <c r="AA66" s="12">
        <f t="shared" si="74"/>
        <v>6.0014710208884967</v>
      </c>
      <c r="AB66" s="12">
        <f t="shared" si="75"/>
        <v>0.89470913398262697</v>
      </c>
      <c r="AD66" s="10">
        <f t="shared" si="76"/>
        <v>0</v>
      </c>
      <c r="AE66" s="10">
        <f t="shared" si="77"/>
        <v>0</v>
      </c>
      <c r="AF66" s="10">
        <f t="shared" si="78"/>
        <v>0</v>
      </c>
      <c r="AG66" s="10">
        <f t="shared" si="79"/>
        <v>0</v>
      </c>
      <c r="AH66" s="10">
        <f t="shared" si="80"/>
        <v>0</v>
      </c>
      <c r="AI66" s="10">
        <f t="shared" si="81"/>
        <v>0</v>
      </c>
      <c r="AK66" s="165">
        <v>0.37037036000000001</v>
      </c>
      <c r="AL66" s="173">
        <f t="shared" si="90"/>
        <v>113.32962645640001</v>
      </c>
      <c r="AM66" s="173">
        <f t="shared" si="91"/>
        <v>18.8851846564</v>
      </c>
      <c r="AN66" s="173">
        <f t="shared" si="92"/>
        <v>84.440738376400006</v>
      </c>
      <c r="AO66" s="173">
        <f t="shared" si="93"/>
        <v>14.0703699764</v>
      </c>
      <c r="AP66" s="173">
        <f t="shared" si="94"/>
        <v>75.551849736400001</v>
      </c>
      <c r="AQ66" s="173">
        <f t="shared" si="95"/>
        <v>12.588888536400001</v>
      </c>
      <c r="AS66" s="22" t="str">
        <f>+VLOOKUP(B66,'Country &amp; Code Abbreviation'!$B$3:$C$245,2,FALSE)</f>
        <v>DM</v>
      </c>
    </row>
    <row r="67" spans="2:45">
      <c r="B67" s="20" t="s">
        <v>135</v>
      </c>
      <c r="C67" s="20" t="s">
        <v>96</v>
      </c>
      <c r="D67" s="6" t="s">
        <v>350</v>
      </c>
      <c r="E67" s="11" t="str">
        <f>+VLOOKUP($B67,'[3]INT Web'!$B$5:$W$247,'[3]INT Web'!Q$1,FALSE)</f>
        <v>DOP</v>
      </c>
      <c r="F67" s="22">
        <f>+VLOOKUP($B67,'[3]INT Web'!$B$5:$W$247,'[3]INT Web'!R$1,FALSE)</f>
        <v>7499.99</v>
      </c>
      <c r="G67" s="22">
        <f>+VLOOKUP($B67,'[3]INT Web'!$B$5:$W$247,'[3]INT Web'!S$1,FALSE)</f>
        <v>1249.99</v>
      </c>
      <c r="H67" s="22">
        <f>+VLOOKUP($B67,'[3]INT Web'!$B$5:$W$247,'[3]INT Web'!T$1,FALSE)</f>
        <v>5219.99</v>
      </c>
      <c r="I67" s="22">
        <f>+VLOOKUP($B67,'[3]INT Web'!$B$5:$W$247,'[3]INT Web'!U$1,FALSE)</f>
        <v>869.99</v>
      </c>
      <c r="J67" s="22">
        <f>+VLOOKUP($B67,'[3]INT Web'!$B$5:$W$247,'[3]INT Web'!V$1,FALSE)</f>
        <v>4697.99</v>
      </c>
      <c r="K67" s="22">
        <f>+VLOOKUP($B67,'[3]INT Web'!$B$5:$W$247,'[3]INT Web'!W$1,FALSE)</f>
        <v>782.99</v>
      </c>
      <c r="L67" s="12">
        <f t="shared" si="85"/>
        <v>6.0000400003200021</v>
      </c>
      <c r="M67" s="12">
        <f t="shared" si="86"/>
        <v>1.4367866297313763</v>
      </c>
      <c r="N67" s="12">
        <f t="shared" si="87"/>
        <v>6.000057471924964</v>
      </c>
      <c r="O67" s="12">
        <f t="shared" si="88"/>
        <v>6.0000638577759613</v>
      </c>
      <c r="P67" s="12">
        <f t="shared" si="89"/>
        <v>0.89999885056150075</v>
      </c>
      <c r="Q67" s="140" t="str">
        <f t="shared" si="82"/>
        <v>DOP</v>
      </c>
      <c r="R67" s="104">
        <f>+VLOOKUP($B67,'Country-Level Tactics'!$B$5:$AL$248,'Country-Level Tactics'!AH$1,FALSE)</f>
        <v>7499.99</v>
      </c>
      <c r="S67" s="104">
        <f>+VLOOKUP($B67,'Country-Level Tactics'!$B$5:$AL$248,'Country-Level Tactics'!X$1,FALSE)</f>
        <v>1249.99</v>
      </c>
      <c r="T67" s="104">
        <f>+VLOOKUP($B67,'Country-Level Tactics'!$B$5:$AL$248,'Country-Level Tactics'!AC$1,FALSE)</f>
        <v>5219.99</v>
      </c>
      <c r="U67" s="104">
        <f>+VLOOKUP($B67,'Country-Level Tactics'!$B$5:$AL$248,'Country-Level Tactics'!T$1,FALSE)</f>
        <v>869.99</v>
      </c>
      <c r="V67" s="104">
        <f t="shared" si="83"/>
        <v>4697.99</v>
      </c>
      <c r="W67" s="104">
        <f t="shared" si="84"/>
        <v>782.99</v>
      </c>
      <c r="X67" s="12">
        <f t="shared" si="71"/>
        <v>6.0000400003200021</v>
      </c>
      <c r="Y67" s="12">
        <f t="shared" si="72"/>
        <v>1.4367866297313763</v>
      </c>
      <c r="Z67" s="12">
        <f t="shared" si="73"/>
        <v>6.000057471924964</v>
      </c>
      <c r="AA67" s="12">
        <f t="shared" si="74"/>
        <v>6.0000638577759613</v>
      </c>
      <c r="AB67" s="12">
        <f t="shared" si="75"/>
        <v>0.89999885056150075</v>
      </c>
      <c r="AD67" s="10">
        <f t="shared" si="76"/>
        <v>0</v>
      </c>
      <c r="AE67" s="10">
        <f t="shared" si="77"/>
        <v>0</v>
      </c>
      <c r="AF67" s="10">
        <f t="shared" si="78"/>
        <v>0</v>
      </c>
      <c r="AG67" s="10">
        <f t="shared" si="79"/>
        <v>0</v>
      </c>
      <c r="AH67" s="10">
        <f t="shared" si="80"/>
        <v>0</v>
      </c>
      <c r="AI67" s="10">
        <f t="shared" si="81"/>
        <v>0</v>
      </c>
      <c r="AK67" s="165">
        <v>1.6894747000000002E-2</v>
      </c>
      <c r="AL67" s="173">
        <f t="shared" si="90"/>
        <v>126.71043355253001</v>
      </c>
      <c r="AM67" s="173">
        <f t="shared" si="91"/>
        <v>21.118264802530003</v>
      </c>
      <c r="AN67" s="173">
        <f t="shared" si="92"/>
        <v>88.190410392529998</v>
      </c>
      <c r="AO67" s="173">
        <f t="shared" si="93"/>
        <v>14.698260942530002</v>
      </c>
      <c r="AP67" s="173">
        <f t="shared" si="94"/>
        <v>79.371352458529998</v>
      </c>
      <c r="AQ67" s="173">
        <f t="shared" si="95"/>
        <v>13.228417953530002</v>
      </c>
      <c r="AS67" s="22" t="str">
        <f>+VLOOKUP(B67,'Country &amp; Code Abbreviation'!$B$3:$C$245,2,FALSE)</f>
        <v>DO</v>
      </c>
    </row>
    <row r="68" spans="2:45">
      <c r="B68" s="20" t="s">
        <v>136</v>
      </c>
      <c r="C68" s="20" t="s">
        <v>96</v>
      </c>
      <c r="E68" s="11" t="str">
        <f>+VLOOKUP($B68,'[3]INT Web'!$B$5:$W$247,'[3]INT Web'!Q$1,FALSE)</f>
        <v>USD</v>
      </c>
      <c r="F68" s="22">
        <f>+VLOOKUP($B68,'[3]INT Web'!$B$5:$W$247,'[3]INT Web'!R$1,FALSE)</f>
        <v>102.99</v>
      </c>
      <c r="G68" s="22">
        <f>+VLOOKUP($B68,'[3]INT Web'!$B$5:$W$247,'[3]INT Web'!S$1,FALSE)</f>
        <v>16.989999999999998</v>
      </c>
      <c r="H68" s="22">
        <f>+VLOOKUP($B68,'[3]INT Web'!$B$5:$W$247,'[3]INT Web'!T$1,FALSE)</f>
        <v>71.989999999999995</v>
      </c>
      <c r="I68" s="22">
        <f>+VLOOKUP($B68,'[3]INT Web'!$B$5:$W$247,'[3]INT Web'!U$1,FALSE)</f>
        <v>11.99</v>
      </c>
      <c r="J68" s="22">
        <f>+VLOOKUP($B68,'[3]INT Web'!$B$5:$W$247,'[3]INT Web'!V$1,FALSE)</f>
        <v>65.989999999999995</v>
      </c>
      <c r="K68" s="22">
        <f>+VLOOKUP($B68,'[3]INT Web'!$B$5:$W$247,'[3]INT Web'!W$1,FALSE)</f>
        <v>10.99</v>
      </c>
      <c r="L68" s="12">
        <f t="shared" si="85"/>
        <v>6.0618010594467338</v>
      </c>
      <c r="M68" s="12">
        <f t="shared" si="86"/>
        <v>1.4170141784820682</v>
      </c>
      <c r="N68" s="12">
        <f t="shared" si="87"/>
        <v>6.0041701417848206</v>
      </c>
      <c r="O68" s="12">
        <f t="shared" si="88"/>
        <v>6.0045495905368513</v>
      </c>
      <c r="P68" s="12">
        <f t="shared" si="89"/>
        <v>0.91659716430358629</v>
      </c>
      <c r="Q68" s="140" t="str">
        <f t="shared" si="82"/>
        <v>USD</v>
      </c>
      <c r="R68" s="104">
        <f>+VLOOKUP($B68,'Country-Level Tactics'!$B$5:$AL$248,'Country-Level Tactics'!AH$1,FALSE)</f>
        <v>102.99</v>
      </c>
      <c r="S68" s="104">
        <f>+VLOOKUP($B68,'Country-Level Tactics'!$B$5:$AL$248,'Country-Level Tactics'!X$1,FALSE)</f>
        <v>16.989999999999998</v>
      </c>
      <c r="T68" s="104">
        <f>+VLOOKUP($B68,'Country-Level Tactics'!$B$5:$AL$248,'Country-Level Tactics'!AC$1,FALSE)</f>
        <v>71.989999999999995</v>
      </c>
      <c r="U68" s="104">
        <f>+VLOOKUP($B68,'Country-Level Tactics'!$B$5:$AL$248,'Country-Level Tactics'!T$1,FALSE)</f>
        <v>11.99</v>
      </c>
      <c r="V68" s="104">
        <f t="shared" si="83"/>
        <v>65.989999999999995</v>
      </c>
      <c r="W68" s="104">
        <f t="shared" si="84"/>
        <v>10.99</v>
      </c>
      <c r="X68" s="12">
        <f t="shared" si="71"/>
        <v>6.0618010594467338</v>
      </c>
      <c r="Y68" s="12">
        <f t="shared" si="72"/>
        <v>1.4170141784820682</v>
      </c>
      <c r="Z68" s="12">
        <f t="shared" si="73"/>
        <v>6.0041701417848206</v>
      </c>
      <c r="AA68" s="12">
        <f t="shared" si="74"/>
        <v>6.0045495905368513</v>
      </c>
      <c r="AB68" s="12">
        <f t="shared" si="75"/>
        <v>0.91659716430358629</v>
      </c>
      <c r="AD68" s="10">
        <f t="shared" si="76"/>
        <v>0</v>
      </c>
      <c r="AE68" s="10">
        <f t="shared" si="77"/>
        <v>0</v>
      </c>
      <c r="AF68" s="10">
        <f t="shared" si="78"/>
        <v>0</v>
      </c>
      <c r="AG68" s="10">
        <f t="shared" si="79"/>
        <v>0</v>
      </c>
      <c r="AH68" s="10">
        <f t="shared" si="80"/>
        <v>0</v>
      </c>
      <c r="AI68" s="10">
        <f t="shared" si="81"/>
        <v>0</v>
      </c>
      <c r="AK68" s="165">
        <v>1</v>
      </c>
      <c r="AL68" s="173">
        <f t="shared" si="90"/>
        <v>102.99</v>
      </c>
      <c r="AM68" s="173">
        <f t="shared" si="91"/>
        <v>16.989999999999998</v>
      </c>
      <c r="AN68" s="173">
        <f t="shared" si="92"/>
        <v>71.989999999999995</v>
      </c>
      <c r="AO68" s="173">
        <f t="shared" si="93"/>
        <v>11.99</v>
      </c>
      <c r="AP68" s="173">
        <f t="shared" si="94"/>
        <v>65.989999999999995</v>
      </c>
      <c r="AQ68" s="173">
        <f t="shared" si="95"/>
        <v>10.99</v>
      </c>
      <c r="AS68" s="22" t="str">
        <f>+VLOOKUP(B68,'Country &amp; Code Abbreviation'!$B$3:$C$245,2,FALSE)</f>
        <v>EC</v>
      </c>
    </row>
    <row r="69" spans="2:45">
      <c r="B69" s="20" t="s">
        <v>137</v>
      </c>
      <c r="C69" s="20" t="s">
        <v>270</v>
      </c>
      <c r="E69" s="11" t="str">
        <f>+VLOOKUP($B69,'[3]INT Web'!$B$5:$W$247,'[3]INT Web'!Q$1,FALSE)</f>
        <v>EGP</v>
      </c>
      <c r="F69" s="22">
        <f>+VLOOKUP($B69,'[3]INT Web'!$B$5:$W$247,'[3]INT Web'!R$1,FALSE)</f>
        <v>2359</v>
      </c>
      <c r="G69" s="22">
        <f>+VLOOKUP($B69,'[3]INT Web'!$B$5:$W$247,'[3]INT Web'!S$1,FALSE)</f>
        <v>399</v>
      </c>
      <c r="H69" s="22">
        <f>+VLOOKUP($B69,'[3]INT Web'!$B$5:$W$247,'[3]INT Web'!T$1,FALSE)</f>
        <v>1569</v>
      </c>
      <c r="I69" s="22">
        <f>+VLOOKUP($B69,'[3]INT Web'!$B$5:$W$247,'[3]INT Web'!U$1,FALSE)</f>
        <v>259</v>
      </c>
      <c r="J69" s="22">
        <f>+VLOOKUP($B69,'[3]INT Web'!$B$5:$W$247,'[3]INT Web'!V$1,FALSE)</f>
        <v>1419</v>
      </c>
      <c r="K69" s="22">
        <f>+VLOOKUP($B69,'[3]INT Web'!$B$5:$W$247,'[3]INT Web'!W$1,FALSE)</f>
        <v>239</v>
      </c>
      <c r="L69" s="12">
        <f t="shared" si="85"/>
        <v>5.9122807017543861</v>
      </c>
      <c r="M69" s="12">
        <f t="shared" si="86"/>
        <v>1.5405405405405406</v>
      </c>
      <c r="N69" s="12">
        <f t="shared" si="87"/>
        <v>6.057915057915058</v>
      </c>
      <c r="O69" s="12">
        <f t="shared" si="88"/>
        <v>5.9372384937238492</v>
      </c>
      <c r="P69" s="12">
        <f t="shared" si="89"/>
        <v>0.92277992277992282</v>
      </c>
      <c r="Q69" s="140" t="str">
        <f t="shared" si="82"/>
        <v>EGP</v>
      </c>
      <c r="R69" s="104">
        <f>+VLOOKUP($B69,'Country-Level Tactics'!$B$5:$AL$248,'Country-Level Tactics'!AH$1,FALSE)</f>
        <v>2359</v>
      </c>
      <c r="S69" s="104">
        <f>+VLOOKUP($B69,'Country-Level Tactics'!$B$5:$AL$248,'Country-Level Tactics'!X$1,FALSE)</f>
        <v>399</v>
      </c>
      <c r="T69" s="104">
        <f>+VLOOKUP($B69,'Country-Level Tactics'!$B$5:$AL$248,'Country-Level Tactics'!AC$1,FALSE)</f>
        <v>1569</v>
      </c>
      <c r="U69" s="104">
        <f>+VLOOKUP($B69,'Country-Level Tactics'!$B$5:$AL$248,'Country-Level Tactics'!T$1,FALSE)</f>
        <v>259</v>
      </c>
      <c r="V69" s="104">
        <f>+J69</f>
        <v>1419</v>
      </c>
      <c r="W69" s="104">
        <f>+K69</f>
        <v>239</v>
      </c>
      <c r="X69" s="12">
        <f t="shared" ref="X69:X100" si="96">+R69/S69</f>
        <v>5.9122807017543861</v>
      </c>
      <c r="Y69" s="12">
        <f t="shared" ref="Y69:Y100" si="97">+S69/U69</f>
        <v>1.5405405405405406</v>
      </c>
      <c r="Z69" s="12">
        <f t="shared" ref="Z69:Z100" si="98">+T69/U69</f>
        <v>6.057915057915058</v>
      </c>
      <c r="AA69" s="12">
        <f t="shared" ref="AA69:AA100" si="99">+V69/W69</f>
        <v>5.9372384937238492</v>
      </c>
      <c r="AB69" s="12">
        <f t="shared" ref="AB69:AB100" si="100">+W69/U69</f>
        <v>0.92277992277992282</v>
      </c>
      <c r="AD69" s="10">
        <f t="shared" ref="AD69:AD104" si="101">+R69/F69-1</f>
        <v>0</v>
      </c>
      <c r="AE69" s="10">
        <f t="shared" ref="AE69:AE104" si="102">+S69/G69-1</f>
        <v>0</v>
      </c>
      <c r="AF69" s="10">
        <f t="shared" ref="AF69:AF104" si="103">+T69/H69-1</f>
        <v>0</v>
      </c>
      <c r="AG69" s="10">
        <f t="shared" ref="AG69:AG104" si="104">+U69/I69-1</f>
        <v>0</v>
      </c>
      <c r="AH69" s="10">
        <f t="shared" ref="AH69:AH104" si="105">+V69/J69-1</f>
        <v>0</v>
      </c>
      <c r="AI69" s="10">
        <f t="shared" ref="AI69:AI104" si="106">+W69/K69-1</f>
        <v>0</v>
      </c>
      <c r="AK69" s="165">
        <v>2.0491802999999999E-2</v>
      </c>
      <c r="AL69" s="173">
        <f t="shared" si="90"/>
        <v>48.340163277000002</v>
      </c>
      <c r="AM69" s="173">
        <f t="shared" si="91"/>
        <v>8.1762293970000002</v>
      </c>
      <c r="AN69" s="173">
        <f t="shared" si="92"/>
        <v>32.151638906999999</v>
      </c>
      <c r="AO69" s="173">
        <f t="shared" si="93"/>
        <v>5.3073769769999997</v>
      </c>
      <c r="AP69" s="173">
        <f t="shared" si="94"/>
        <v>29.077868456999997</v>
      </c>
      <c r="AQ69" s="173">
        <f t="shared" si="95"/>
        <v>4.8975409169999997</v>
      </c>
      <c r="AS69" s="22" t="str">
        <f>+VLOOKUP(B69,'Country &amp; Code Abbreviation'!$B$3:$C$245,2,FALSE)</f>
        <v>EG</v>
      </c>
    </row>
    <row r="70" spans="2:45">
      <c r="B70" s="20" t="s">
        <v>138</v>
      </c>
      <c r="C70" s="20" t="s">
        <v>96</v>
      </c>
      <c r="E70" s="11" t="str">
        <f>+VLOOKUP($B70,'[3]INT Web'!$B$5:$W$247,'[3]INT Web'!Q$1,FALSE)</f>
        <v>USD</v>
      </c>
      <c r="F70" s="22">
        <f>+VLOOKUP($B70,'[3]INT Web'!$B$5:$W$247,'[3]INT Web'!R$1,FALSE)</f>
        <v>96.99</v>
      </c>
      <c r="G70" s="22">
        <f>+VLOOKUP($B70,'[3]INT Web'!$B$5:$W$247,'[3]INT Web'!S$1,FALSE)</f>
        <v>15.99</v>
      </c>
      <c r="H70" s="22">
        <f>+VLOOKUP($B70,'[3]INT Web'!$B$5:$W$247,'[3]INT Web'!T$1,FALSE)</f>
        <v>65.989999999999995</v>
      </c>
      <c r="I70" s="22">
        <f>+VLOOKUP($B70,'[3]INT Web'!$B$5:$W$247,'[3]INT Web'!U$1,FALSE)</f>
        <v>10.99</v>
      </c>
      <c r="J70" s="22">
        <f>+VLOOKUP($B70,'[3]INT Web'!$B$5:$W$247,'[3]INT Web'!V$1,FALSE)</f>
        <v>59.99</v>
      </c>
      <c r="K70" s="22">
        <f>+VLOOKUP($B70,'[3]INT Web'!$B$5:$W$247,'[3]INT Web'!W$1,FALSE)</f>
        <v>9.99</v>
      </c>
      <c r="L70" s="12">
        <f t="shared" si="85"/>
        <v>6.0656660412757972</v>
      </c>
      <c r="M70" s="12">
        <f t="shared" si="86"/>
        <v>1.4549590536851684</v>
      </c>
      <c r="N70" s="12">
        <f t="shared" si="87"/>
        <v>6.0045495905368513</v>
      </c>
      <c r="O70" s="12">
        <f t="shared" si="88"/>
        <v>6.005005005005005</v>
      </c>
      <c r="P70" s="12">
        <f t="shared" si="89"/>
        <v>0.90900818926296634</v>
      </c>
      <c r="Q70" s="140" t="str">
        <f t="shared" si="82"/>
        <v>USD</v>
      </c>
      <c r="R70" s="104">
        <f>+VLOOKUP($B70,'Country-Level Tactics'!$B$5:$AL$248,'Country-Level Tactics'!AH$1,FALSE)</f>
        <v>96.99</v>
      </c>
      <c r="S70" s="104">
        <f>+VLOOKUP($B70,'Country-Level Tactics'!$B$5:$AL$248,'Country-Level Tactics'!X$1,FALSE)</f>
        <v>15.99</v>
      </c>
      <c r="T70" s="104">
        <f>+VLOOKUP($B70,'Country-Level Tactics'!$B$5:$AL$248,'Country-Level Tactics'!AC$1,FALSE)</f>
        <v>65.989999999999995</v>
      </c>
      <c r="U70" s="104">
        <f>+VLOOKUP($B70,'Country-Level Tactics'!$B$5:$AL$248,'Country-Level Tactics'!T$1,FALSE)</f>
        <v>10.99</v>
      </c>
      <c r="V70" s="104">
        <f t="shared" ref="V70:V87" si="107">+J70</f>
        <v>59.99</v>
      </c>
      <c r="W70" s="104">
        <f t="shared" ref="W70:W87" si="108">+K70</f>
        <v>9.99</v>
      </c>
      <c r="X70" s="12">
        <f t="shared" si="96"/>
        <v>6.0656660412757972</v>
      </c>
      <c r="Y70" s="12">
        <f t="shared" si="97"/>
        <v>1.4549590536851684</v>
      </c>
      <c r="Z70" s="12">
        <f t="shared" si="98"/>
        <v>6.0045495905368513</v>
      </c>
      <c r="AA70" s="12">
        <f t="shared" si="99"/>
        <v>6.005005005005005</v>
      </c>
      <c r="AB70" s="12">
        <f t="shared" si="100"/>
        <v>0.90900818926296634</v>
      </c>
      <c r="AD70" s="10">
        <f t="shared" si="101"/>
        <v>0</v>
      </c>
      <c r="AE70" s="10">
        <f t="shared" si="102"/>
        <v>0</v>
      </c>
      <c r="AF70" s="10">
        <f t="shared" si="103"/>
        <v>0</v>
      </c>
      <c r="AG70" s="10">
        <f t="shared" si="104"/>
        <v>0</v>
      </c>
      <c r="AH70" s="10">
        <f t="shared" si="105"/>
        <v>0</v>
      </c>
      <c r="AI70" s="10">
        <f t="shared" si="106"/>
        <v>0</v>
      </c>
      <c r="AK70" s="165">
        <v>1</v>
      </c>
      <c r="AL70" s="173">
        <f t="shared" si="90"/>
        <v>96.99</v>
      </c>
      <c r="AM70" s="173">
        <f t="shared" si="91"/>
        <v>15.99</v>
      </c>
      <c r="AN70" s="173">
        <f t="shared" si="92"/>
        <v>65.989999999999995</v>
      </c>
      <c r="AO70" s="173">
        <f t="shared" si="93"/>
        <v>10.99</v>
      </c>
      <c r="AP70" s="173">
        <f t="shared" si="94"/>
        <v>59.99</v>
      </c>
      <c r="AQ70" s="173">
        <f t="shared" si="95"/>
        <v>9.99</v>
      </c>
      <c r="AS70" s="22" t="str">
        <f>+VLOOKUP(B70,'Country &amp; Code Abbreviation'!$B$3:$C$245,2,FALSE)</f>
        <v>SV</v>
      </c>
    </row>
    <row r="71" spans="2:45">
      <c r="B71" s="20" t="s">
        <v>139</v>
      </c>
      <c r="C71" s="20" t="s">
        <v>270</v>
      </c>
      <c r="E71" s="11" t="str">
        <f>+VLOOKUP($B71,'[3]INT Web'!$B$5:$W$247,'[3]INT Web'!Q$1,FALSE)</f>
        <v>XAF</v>
      </c>
      <c r="F71" s="136">
        <f>+VLOOKUP($B71,'[3]INT Web'!$B$5:$W$247,'[3]INT Web'!R$1,FALSE)</f>
        <v>34020</v>
      </c>
      <c r="G71" s="136">
        <f>+VLOOKUP($B71,'[3]INT Web'!$B$5:$W$247,'[3]INT Web'!S$1,FALSE)</f>
        <v>5670</v>
      </c>
      <c r="H71" s="136">
        <f>+VLOOKUP($B71,'[3]INT Web'!$B$5:$W$247,'[3]INT Web'!T$1,FALSE)</f>
        <v>25200</v>
      </c>
      <c r="I71" s="136">
        <f>+VLOOKUP($B71,'[3]INT Web'!$B$5:$W$247,'[3]INT Web'!U$1,FALSE)</f>
        <v>4200</v>
      </c>
      <c r="J71" s="136">
        <f>+VLOOKUP($B71,'[3]INT Web'!$B$5:$W$247,'[3]INT Web'!V$1,FALSE)</f>
        <v>22680</v>
      </c>
      <c r="K71" s="136">
        <f>+VLOOKUP($B71,'[3]INT Web'!$B$5:$W$247,'[3]INT Web'!W$1,FALSE)</f>
        <v>3780</v>
      </c>
      <c r="L71" s="12">
        <f t="shared" si="85"/>
        <v>6</v>
      </c>
      <c r="M71" s="12">
        <f t="shared" si="86"/>
        <v>1.35</v>
      </c>
      <c r="N71" s="12">
        <f t="shared" si="87"/>
        <v>6</v>
      </c>
      <c r="O71" s="12">
        <f t="shared" si="88"/>
        <v>6</v>
      </c>
      <c r="P71" s="12">
        <f t="shared" si="89"/>
        <v>0.9</v>
      </c>
      <c r="Q71" s="143" t="str">
        <f t="shared" si="82"/>
        <v>XAF</v>
      </c>
      <c r="R71" s="137">
        <f>+VLOOKUP($B71,'Country-Level Tactics'!$B$5:$AL$248,'Country-Level Tactics'!AH$1,FALSE)</f>
        <v>34020</v>
      </c>
      <c r="S71" s="137">
        <f>+VLOOKUP($B71,'Country-Level Tactics'!$B$5:$AL$248,'Country-Level Tactics'!X$1,FALSE)</f>
        <v>5670</v>
      </c>
      <c r="T71" s="137">
        <f>+VLOOKUP($B71,'Country-Level Tactics'!$B$5:$AL$248,'Country-Level Tactics'!AC$1,FALSE)</f>
        <v>25200</v>
      </c>
      <c r="U71" s="137">
        <f>+VLOOKUP($B71,'Country-Level Tactics'!$B$5:$AL$248,'Country-Level Tactics'!T$1,FALSE)</f>
        <v>4200</v>
      </c>
      <c r="V71" s="137">
        <f t="shared" si="107"/>
        <v>22680</v>
      </c>
      <c r="W71" s="137">
        <f t="shared" si="108"/>
        <v>3780</v>
      </c>
      <c r="X71" s="12">
        <f t="shared" si="96"/>
        <v>6</v>
      </c>
      <c r="Y71" s="12">
        <f t="shared" si="97"/>
        <v>1.35</v>
      </c>
      <c r="Z71" s="12">
        <f t="shared" si="98"/>
        <v>6</v>
      </c>
      <c r="AA71" s="12">
        <f t="shared" si="99"/>
        <v>6</v>
      </c>
      <c r="AB71" s="12">
        <f t="shared" si="100"/>
        <v>0.9</v>
      </c>
      <c r="AD71" s="10">
        <f t="shared" si="101"/>
        <v>0</v>
      </c>
      <c r="AE71" s="10">
        <f t="shared" si="102"/>
        <v>0</v>
      </c>
      <c r="AF71" s="10">
        <f t="shared" si="103"/>
        <v>0</v>
      </c>
      <c r="AG71" s="10">
        <f t="shared" si="104"/>
        <v>0</v>
      </c>
      <c r="AH71" s="10">
        <f t="shared" si="105"/>
        <v>0</v>
      </c>
      <c r="AI71" s="10">
        <f t="shared" si="106"/>
        <v>0</v>
      </c>
      <c r="AK71" s="165">
        <v>1.7405866999999999E-3</v>
      </c>
      <c r="AL71" s="173">
        <f t="shared" si="90"/>
        <v>59.214759533999995</v>
      </c>
      <c r="AM71" s="173">
        <f t="shared" si="91"/>
        <v>9.8691265890000004</v>
      </c>
      <c r="AN71" s="173">
        <f t="shared" si="92"/>
        <v>43.862784839999996</v>
      </c>
      <c r="AO71" s="173">
        <f t="shared" si="93"/>
        <v>7.3104641399999997</v>
      </c>
      <c r="AP71" s="173">
        <f t="shared" si="94"/>
        <v>39.476506356000002</v>
      </c>
      <c r="AQ71" s="173">
        <f t="shared" si="95"/>
        <v>6.579417726</v>
      </c>
      <c r="AS71" s="22" t="str">
        <f>+VLOOKUP(B71,'Country &amp; Code Abbreviation'!$B$3:$C$245,2,FALSE)</f>
        <v>GQ</v>
      </c>
    </row>
    <row r="72" spans="2:45">
      <c r="B72" s="20" t="s">
        <v>140</v>
      </c>
      <c r="C72" s="20" t="s">
        <v>270</v>
      </c>
      <c r="E72" s="11" t="str">
        <f>+VLOOKUP($B72,'[3]INT Web'!$B$5:$W$247,'[3]INT Web'!Q$1,FALSE)</f>
        <v>USD</v>
      </c>
      <c r="F72" s="22">
        <f>+VLOOKUP($B72,'[3]INT Web'!$B$5:$W$247,'[3]INT Web'!R$1,FALSE)</f>
        <v>71.989999999999995</v>
      </c>
      <c r="G72" s="22">
        <f>+VLOOKUP($B72,'[3]INT Web'!$B$5:$W$247,'[3]INT Web'!S$1,FALSE)</f>
        <v>11.99</v>
      </c>
      <c r="H72" s="22">
        <f>+VLOOKUP($B72,'[3]INT Web'!$B$5:$W$247,'[3]INT Web'!T$1,FALSE)</f>
        <v>53.99</v>
      </c>
      <c r="I72" s="22">
        <f>+VLOOKUP($B72,'[3]INT Web'!$B$5:$W$247,'[3]INT Web'!U$1,FALSE)</f>
        <v>8.99</v>
      </c>
      <c r="J72" s="22">
        <f>+VLOOKUP($B72,'[3]INT Web'!$B$5:$W$247,'[3]INT Web'!V$1,FALSE)</f>
        <v>47.99</v>
      </c>
      <c r="K72" s="22">
        <f>+VLOOKUP($B72,'[3]INT Web'!$B$5:$W$247,'[3]INT Web'!W$1,FALSE)</f>
        <v>7.99</v>
      </c>
      <c r="L72" s="12">
        <f t="shared" si="85"/>
        <v>6.0041701417848206</v>
      </c>
      <c r="M72" s="12">
        <f t="shared" si="86"/>
        <v>1.3337041156840934</v>
      </c>
      <c r="N72" s="12">
        <f t="shared" si="87"/>
        <v>6.0055617352614012</v>
      </c>
      <c r="O72" s="12">
        <f t="shared" si="88"/>
        <v>6.0062578222778473</v>
      </c>
      <c r="P72" s="12">
        <f t="shared" si="89"/>
        <v>0.88876529477196886</v>
      </c>
      <c r="Q72" s="140" t="str">
        <f t="shared" si="82"/>
        <v>USD</v>
      </c>
      <c r="R72" s="104">
        <f>+VLOOKUP($B72,'Country-Level Tactics'!$B$5:$AL$248,'Country-Level Tactics'!AH$1,FALSE)</f>
        <v>71.989999999999995</v>
      </c>
      <c r="S72" s="104">
        <f>+VLOOKUP($B72,'Country-Level Tactics'!$B$5:$AL$248,'Country-Level Tactics'!X$1,FALSE)</f>
        <v>11.99</v>
      </c>
      <c r="T72" s="104">
        <f>+VLOOKUP($B72,'Country-Level Tactics'!$B$5:$AL$248,'Country-Level Tactics'!AC$1,FALSE)</f>
        <v>53.99</v>
      </c>
      <c r="U72" s="104">
        <f>+VLOOKUP($B72,'Country-Level Tactics'!$B$5:$AL$248,'Country-Level Tactics'!T$1,FALSE)</f>
        <v>8.99</v>
      </c>
      <c r="V72" s="104">
        <f t="shared" si="107"/>
        <v>47.99</v>
      </c>
      <c r="W72" s="104">
        <f t="shared" si="108"/>
        <v>7.99</v>
      </c>
      <c r="X72" s="12">
        <f t="shared" si="96"/>
        <v>6.0041701417848206</v>
      </c>
      <c r="Y72" s="12">
        <f t="shared" si="97"/>
        <v>1.3337041156840934</v>
      </c>
      <c r="Z72" s="12">
        <f t="shared" si="98"/>
        <v>6.0055617352614012</v>
      </c>
      <c r="AA72" s="12">
        <f t="shared" si="99"/>
        <v>6.0062578222778473</v>
      </c>
      <c r="AB72" s="12">
        <f t="shared" si="100"/>
        <v>0.88876529477196886</v>
      </c>
      <c r="AD72" s="10">
        <f t="shared" si="101"/>
        <v>0</v>
      </c>
      <c r="AE72" s="10">
        <f t="shared" si="102"/>
        <v>0</v>
      </c>
      <c r="AF72" s="10">
        <f t="shared" si="103"/>
        <v>0</v>
      </c>
      <c r="AG72" s="10">
        <f t="shared" si="104"/>
        <v>0</v>
      </c>
      <c r="AH72" s="10">
        <f t="shared" si="105"/>
        <v>0</v>
      </c>
      <c r="AI72" s="10">
        <f t="shared" si="106"/>
        <v>0</v>
      </c>
      <c r="AK72" s="165">
        <v>1</v>
      </c>
      <c r="AL72" s="173">
        <f t="shared" si="90"/>
        <v>71.989999999999995</v>
      </c>
      <c r="AM72" s="173">
        <f t="shared" si="91"/>
        <v>11.99</v>
      </c>
      <c r="AN72" s="173">
        <f t="shared" si="92"/>
        <v>53.99</v>
      </c>
      <c r="AO72" s="173">
        <f t="shared" si="93"/>
        <v>8.99</v>
      </c>
      <c r="AP72" s="173">
        <f t="shared" si="94"/>
        <v>47.99</v>
      </c>
      <c r="AQ72" s="173">
        <f t="shared" si="95"/>
        <v>7.99</v>
      </c>
      <c r="AS72" s="22" t="str">
        <f>+VLOOKUP(B72,'Country &amp; Code Abbreviation'!$B$3:$C$245,2,FALSE)</f>
        <v>ER</v>
      </c>
    </row>
    <row r="73" spans="2:45">
      <c r="B73" s="20" t="s">
        <v>141</v>
      </c>
      <c r="C73" s="20" t="s">
        <v>100</v>
      </c>
      <c r="E73" s="11" t="str">
        <f>+VLOOKUP($B73,'[3]INT Web'!$B$5:$W$247,'[3]INT Web'!Q$1,FALSE)</f>
        <v>EUR</v>
      </c>
      <c r="F73" s="22">
        <f>+VLOOKUP($B73,'[3]INT Web'!$B$5:$W$247,'[3]INT Web'!R$1,FALSE)</f>
        <v>99.99</v>
      </c>
      <c r="G73" s="22">
        <f>+VLOOKUP($B73,'[3]INT Web'!$B$5:$W$247,'[3]INT Web'!S$1,FALSE)</f>
        <v>15.99</v>
      </c>
      <c r="H73" s="22">
        <f>+VLOOKUP($B73,'[3]INT Web'!$B$5:$W$247,'[3]INT Web'!T$1,FALSE)</f>
        <v>74.989999999999995</v>
      </c>
      <c r="I73" s="22">
        <f>+VLOOKUP($B73,'[3]INT Web'!$B$5:$W$247,'[3]INT Web'!U$1,FALSE)</f>
        <v>11.99</v>
      </c>
      <c r="J73" s="22">
        <f>+VLOOKUP($B73,'[3]INT Web'!$B$5:$W$247,'[3]INT Web'!V$1,FALSE)</f>
        <v>64.989999999999995</v>
      </c>
      <c r="K73" s="22">
        <f>+VLOOKUP($B73,'[3]INT Web'!$B$5:$W$247,'[3]INT Web'!W$1,FALSE)</f>
        <v>10.99</v>
      </c>
      <c r="L73" s="12">
        <f t="shared" si="85"/>
        <v>6.2532833020637897</v>
      </c>
      <c r="M73" s="12">
        <f t="shared" si="86"/>
        <v>1.3336113427856546</v>
      </c>
      <c r="N73" s="12">
        <f t="shared" si="87"/>
        <v>6.2543786488740611</v>
      </c>
      <c r="O73" s="12">
        <f t="shared" si="88"/>
        <v>5.9135577797998176</v>
      </c>
      <c r="P73" s="12">
        <f t="shared" si="89"/>
        <v>0.91659716430358629</v>
      </c>
      <c r="Q73" s="140" t="str">
        <f t="shared" si="82"/>
        <v>EUR</v>
      </c>
      <c r="R73" s="104">
        <f>+VLOOKUP($B73,'Country-Level Tactics'!$B$5:$AL$248,'Country-Level Tactics'!AH$1,FALSE)</f>
        <v>99.99</v>
      </c>
      <c r="S73" s="104">
        <f>+VLOOKUP($B73,'Country-Level Tactics'!$B$5:$AL$248,'Country-Level Tactics'!X$1,FALSE)</f>
        <v>15.99</v>
      </c>
      <c r="T73" s="104">
        <f>+VLOOKUP($B73,'Country-Level Tactics'!$B$5:$AL$248,'Country-Level Tactics'!AC$1,FALSE)</f>
        <v>74.989999999999995</v>
      </c>
      <c r="U73" s="104">
        <f>+VLOOKUP($B73,'Country-Level Tactics'!$B$5:$AL$248,'Country-Level Tactics'!T$1,FALSE)</f>
        <v>11.99</v>
      </c>
      <c r="V73" s="104">
        <f t="shared" si="107"/>
        <v>64.989999999999995</v>
      </c>
      <c r="W73" s="104">
        <f t="shared" si="108"/>
        <v>10.99</v>
      </c>
      <c r="X73" s="12">
        <f t="shared" si="96"/>
        <v>6.2532833020637897</v>
      </c>
      <c r="Y73" s="12">
        <f t="shared" si="97"/>
        <v>1.3336113427856546</v>
      </c>
      <c r="Z73" s="12">
        <f t="shared" si="98"/>
        <v>6.2543786488740611</v>
      </c>
      <c r="AA73" s="12">
        <f t="shared" si="99"/>
        <v>5.9135577797998176</v>
      </c>
      <c r="AB73" s="12">
        <f t="shared" si="100"/>
        <v>0.91659716430358629</v>
      </c>
      <c r="AD73" s="10">
        <f t="shared" si="101"/>
        <v>0</v>
      </c>
      <c r="AE73" s="10">
        <f t="shared" si="102"/>
        <v>0</v>
      </c>
      <c r="AF73" s="10">
        <f t="shared" si="103"/>
        <v>0</v>
      </c>
      <c r="AG73" s="10">
        <f t="shared" si="104"/>
        <v>0</v>
      </c>
      <c r="AH73" s="10">
        <f t="shared" si="105"/>
        <v>0</v>
      </c>
      <c r="AI73" s="10">
        <f t="shared" si="106"/>
        <v>0</v>
      </c>
      <c r="AK73" s="165">
        <v>1.14175</v>
      </c>
      <c r="AL73" s="173">
        <f t="shared" si="90"/>
        <v>114.1635825</v>
      </c>
      <c r="AM73" s="173">
        <f t="shared" si="91"/>
        <v>18.2565825</v>
      </c>
      <c r="AN73" s="173">
        <f t="shared" si="92"/>
        <v>85.619832500000001</v>
      </c>
      <c r="AO73" s="173">
        <f t="shared" si="93"/>
        <v>13.6895825</v>
      </c>
      <c r="AP73" s="173">
        <f t="shared" si="94"/>
        <v>74.202332499999997</v>
      </c>
      <c r="AQ73" s="173">
        <f t="shared" si="95"/>
        <v>12.5478325</v>
      </c>
      <c r="AS73" s="22" t="str">
        <f>+VLOOKUP(B73,'Country &amp; Code Abbreviation'!$B$3:$C$245,2,FALSE)</f>
        <v>EE</v>
      </c>
    </row>
    <row r="74" spans="2:45">
      <c r="B74" s="20" t="s">
        <v>142</v>
      </c>
      <c r="C74" s="20" t="s">
        <v>270</v>
      </c>
      <c r="E74" s="11" t="str">
        <f>+VLOOKUP($B74,'[3]INT Web'!$B$5:$W$247,'[3]INT Web'!Q$1,FALSE)</f>
        <v>SZL</v>
      </c>
      <c r="F74" s="22">
        <f>+VLOOKUP($B74,'[3]INT Web'!$B$5:$W$247,'[3]INT Web'!R$1,FALSE)</f>
        <v>1295.99</v>
      </c>
      <c r="G74" s="22">
        <f>+VLOOKUP($B74,'[3]INT Web'!$B$5:$W$247,'[3]INT Web'!S$1,FALSE)</f>
        <v>215.99</v>
      </c>
      <c r="H74" s="22">
        <f>+VLOOKUP($B74,'[3]INT Web'!$B$5:$W$247,'[3]INT Web'!T$1,FALSE)</f>
        <v>959.99</v>
      </c>
      <c r="I74" s="22">
        <f>+VLOOKUP($B74,'[3]INT Web'!$B$5:$W$247,'[3]INT Web'!U$1,FALSE)</f>
        <v>159.99</v>
      </c>
      <c r="J74" s="22">
        <f>+VLOOKUP($B74,'[3]INT Web'!$B$5:$W$247,'[3]INT Web'!V$1,FALSE)</f>
        <v>863.99</v>
      </c>
      <c r="K74" s="22">
        <f>+VLOOKUP($B74,'[3]INT Web'!$B$5:$W$247,'[3]INT Web'!W$1,FALSE)</f>
        <v>143.99</v>
      </c>
      <c r="L74" s="12">
        <f t="shared" si="85"/>
        <v>6.0002314921987123</v>
      </c>
      <c r="M74" s="12">
        <f t="shared" si="86"/>
        <v>1.3500218763672729</v>
      </c>
      <c r="N74" s="12">
        <f t="shared" si="87"/>
        <v>6.0003125195324705</v>
      </c>
      <c r="O74" s="12">
        <f t="shared" si="88"/>
        <v>6.0003472463365508</v>
      </c>
      <c r="P74" s="12">
        <f t="shared" si="89"/>
        <v>0.89999374960935064</v>
      </c>
      <c r="Q74" s="140" t="str">
        <f t="shared" si="82"/>
        <v>SZL</v>
      </c>
      <c r="R74" s="104">
        <f>+VLOOKUP($B74,'Country-Level Tactics'!$B$5:$AL$248,'Country-Level Tactics'!AH$1,FALSE)</f>
        <v>1295.99</v>
      </c>
      <c r="S74" s="104">
        <f>+VLOOKUP($B74,'Country-Level Tactics'!$B$5:$AL$248,'Country-Level Tactics'!X$1,FALSE)</f>
        <v>215.99</v>
      </c>
      <c r="T74" s="104">
        <f>+VLOOKUP($B74,'Country-Level Tactics'!$B$5:$AL$248,'Country-Level Tactics'!AC$1,FALSE)</f>
        <v>959.99</v>
      </c>
      <c r="U74" s="104">
        <f>+VLOOKUP($B74,'Country-Level Tactics'!$B$5:$AL$248,'Country-Level Tactics'!T$1,FALSE)</f>
        <v>159.99</v>
      </c>
      <c r="V74" s="104">
        <f t="shared" si="107"/>
        <v>863.99</v>
      </c>
      <c r="W74" s="104">
        <f t="shared" si="108"/>
        <v>143.99</v>
      </c>
      <c r="X74" s="12">
        <f t="shared" si="96"/>
        <v>6.0002314921987123</v>
      </c>
      <c r="Y74" s="12">
        <f t="shared" si="97"/>
        <v>1.3500218763672729</v>
      </c>
      <c r="Z74" s="12">
        <f t="shared" si="98"/>
        <v>6.0003125195324705</v>
      </c>
      <c r="AA74" s="12">
        <f t="shared" si="99"/>
        <v>6.0003472463365508</v>
      </c>
      <c r="AB74" s="12">
        <f t="shared" si="100"/>
        <v>0.89999374960935064</v>
      </c>
      <c r="AD74" s="10">
        <f t="shared" si="101"/>
        <v>0</v>
      </c>
      <c r="AE74" s="10">
        <f t="shared" si="102"/>
        <v>0</v>
      </c>
      <c r="AF74" s="10">
        <f t="shared" si="103"/>
        <v>0</v>
      </c>
      <c r="AG74" s="10">
        <f t="shared" si="104"/>
        <v>0</v>
      </c>
      <c r="AH74" s="10">
        <f t="shared" si="105"/>
        <v>0</v>
      </c>
      <c r="AI74" s="10">
        <f t="shared" si="106"/>
        <v>0</v>
      </c>
      <c r="AK74" s="165">
        <v>6.1533917E-2</v>
      </c>
      <c r="AL74" s="173">
        <f t="shared" si="90"/>
        <v>79.747341092829998</v>
      </c>
      <c r="AM74" s="173">
        <f t="shared" si="91"/>
        <v>13.29071073283</v>
      </c>
      <c r="AN74" s="173">
        <f t="shared" si="92"/>
        <v>59.071944980830004</v>
      </c>
      <c r="AO74" s="173">
        <f t="shared" si="93"/>
        <v>9.8448113808300004</v>
      </c>
      <c r="AP74" s="173">
        <f t="shared" si="94"/>
        <v>53.164688948829998</v>
      </c>
      <c r="AQ74" s="173">
        <f t="shared" si="95"/>
        <v>8.8602687088300005</v>
      </c>
      <c r="AS74" s="22" t="str">
        <f>+VLOOKUP(B74,'Country &amp; Code Abbreviation'!$B$3:$C$245,2,FALSE)</f>
        <v>SZ</v>
      </c>
    </row>
    <row r="75" spans="2:45">
      <c r="B75" s="20" t="s">
        <v>143</v>
      </c>
      <c r="C75" s="20" t="s">
        <v>270</v>
      </c>
      <c r="E75" s="11" t="str">
        <f>+VLOOKUP($B75,'[3]INT Web'!$B$5:$W$247,'[3]INT Web'!Q$1,FALSE)</f>
        <v>ETB</v>
      </c>
      <c r="F75" s="22">
        <f>+VLOOKUP($B75,'[3]INT Web'!$B$5:$W$247,'[3]INT Web'!R$1,FALSE)</f>
        <v>2591.9899999999998</v>
      </c>
      <c r="G75" s="22">
        <f>+VLOOKUP($B75,'[3]INT Web'!$B$5:$W$247,'[3]INT Web'!S$1,FALSE)</f>
        <v>431.99</v>
      </c>
      <c r="H75" s="22">
        <f>+VLOOKUP($B75,'[3]INT Web'!$B$5:$W$247,'[3]INT Web'!T$1,FALSE)</f>
        <v>1919.99</v>
      </c>
      <c r="I75" s="22">
        <f>+VLOOKUP($B75,'[3]INT Web'!$B$5:$W$247,'[3]INT Web'!U$1,FALSE)</f>
        <v>319.99</v>
      </c>
      <c r="J75" s="22">
        <f>+VLOOKUP($B75,'[3]INT Web'!$B$5:$W$247,'[3]INT Web'!V$1,FALSE)</f>
        <v>1727.99</v>
      </c>
      <c r="K75" s="22">
        <f>+VLOOKUP($B75,'[3]INT Web'!$B$5:$W$247,'[3]INT Web'!W$1,FALSE)</f>
        <v>287.99</v>
      </c>
      <c r="L75" s="12">
        <f t="shared" si="85"/>
        <v>6.0001157434199861</v>
      </c>
      <c r="M75" s="12">
        <f t="shared" si="86"/>
        <v>1.3500109378418075</v>
      </c>
      <c r="N75" s="12">
        <f t="shared" si="87"/>
        <v>6.000156254882965</v>
      </c>
      <c r="O75" s="12">
        <f t="shared" si="88"/>
        <v>6.0001736171394837</v>
      </c>
      <c r="P75" s="12">
        <f t="shared" si="89"/>
        <v>0.8999968749023407</v>
      </c>
      <c r="Q75" s="140" t="str">
        <f t="shared" si="82"/>
        <v>ETB</v>
      </c>
      <c r="R75" s="104">
        <f>+VLOOKUP($B75,'Country-Level Tactics'!$B$5:$AL$248,'Country-Level Tactics'!AH$1,FALSE)</f>
        <v>2591.9899999999998</v>
      </c>
      <c r="S75" s="104">
        <f>+VLOOKUP($B75,'Country-Level Tactics'!$B$5:$AL$248,'Country-Level Tactics'!X$1,FALSE)</f>
        <v>431.99</v>
      </c>
      <c r="T75" s="104">
        <f>+VLOOKUP($B75,'Country-Level Tactics'!$B$5:$AL$248,'Country-Level Tactics'!AC$1,FALSE)</f>
        <v>1919.99</v>
      </c>
      <c r="U75" s="104">
        <f>+VLOOKUP($B75,'Country-Level Tactics'!$B$5:$AL$248,'Country-Level Tactics'!T$1,FALSE)</f>
        <v>319.99</v>
      </c>
      <c r="V75" s="104">
        <f t="shared" si="107"/>
        <v>1727.99</v>
      </c>
      <c r="W75" s="104">
        <f t="shared" si="108"/>
        <v>287.99</v>
      </c>
      <c r="X75" s="12">
        <f t="shared" si="96"/>
        <v>6.0001157434199861</v>
      </c>
      <c r="Y75" s="12">
        <f t="shared" si="97"/>
        <v>1.3500109378418075</v>
      </c>
      <c r="Z75" s="12">
        <f t="shared" si="98"/>
        <v>6.000156254882965</v>
      </c>
      <c r="AA75" s="12">
        <f t="shared" si="99"/>
        <v>6.0001736171394837</v>
      </c>
      <c r="AB75" s="12">
        <f t="shared" si="100"/>
        <v>0.8999968749023407</v>
      </c>
      <c r="AD75" s="10">
        <f t="shared" si="101"/>
        <v>0</v>
      </c>
      <c r="AE75" s="10">
        <f t="shared" si="102"/>
        <v>0</v>
      </c>
      <c r="AF75" s="10">
        <f t="shared" si="103"/>
        <v>0</v>
      </c>
      <c r="AG75" s="10">
        <f t="shared" si="104"/>
        <v>0</v>
      </c>
      <c r="AH75" s="10">
        <f t="shared" si="105"/>
        <v>0</v>
      </c>
      <c r="AI75" s="10">
        <f t="shared" si="106"/>
        <v>0</v>
      </c>
      <c r="AK75" s="165">
        <v>6.1946357999999998E-3</v>
      </c>
      <c r="AL75" s="173">
        <f t="shared" si="90"/>
        <v>16.056434047242</v>
      </c>
      <c r="AM75" s="173">
        <f t="shared" si="91"/>
        <v>2.676020719242</v>
      </c>
      <c r="AN75" s="173">
        <f t="shared" si="92"/>
        <v>11.893638789641999</v>
      </c>
      <c r="AO75" s="173">
        <f t="shared" si="93"/>
        <v>1.9822215096419999</v>
      </c>
      <c r="AP75" s="173">
        <f t="shared" si="94"/>
        <v>10.704268716042</v>
      </c>
      <c r="AQ75" s="173">
        <f t="shared" si="95"/>
        <v>1.7839931640419999</v>
      </c>
      <c r="AS75" s="22" t="str">
        <f>+VLOOKUP(B75,'Country &amp; Code Abbreviation'!$B$3:$C$245,2,FALSE)</f>
        <v>ET</v>
      </c>
    </row>
    <row r="76" spans="2:45" ht="13.4" customHeight="1">
      <c r="B76" s="20" t="s">
        <v>144</v>
      </c>
      <c r="C76" s="20" t="s">
        <v>96</v>
      </c>
      <c r="E76" s="11" t="str">
        <f>+VLOOKUP($B76,'[3]INT Web'!$B$5:$W$247,'[3]INT Web'!Q$1,FALSE)</f>
        <v>FKP</v>
      </c>
      <c r="F76" s="22">
        <f>+VLOOKUP($B76,'[3]INT Web'!$B$5:$W$247,'[3]INT Web'!R$1,FALSE)</f>
        <v>60</v>
      </c>
      <c r="G76" s="22">
        <f>+VLOOKUP($B76,'[3]INT Web'!$B$5:$W$247,'[3]INT Web'!S$1,FALSE)</f>
        <v>10</v>
      </c>
      <c r="H76" s="22">
        <f>+VLOOKUP($B76,'[3]INT Web'!$B$5:$W$247,'[3]INT Web'!T$1,FALSE)</f>
        <v>50</v>
      </c>
      <c r="I76" s="22">
        <f>+VLOOKUP($B76,'[3]INT Web'!$B$5:$W$247,'[3]INT Web'!U$1,FALSE)</f>
        <v>7</v>
      </c>
      <c r="J76" s="22">
        <f>+VLOOKUP($B76,'[3]INT Web'!$B$5:$W$247,'[3]INT Web'!V$1,FALSE)</f>
        <v>40</v>
      </c>
      <c r="K76" s="22">
        <f>+VLOOKUP($B76,'[3]INT Web'!$B$5:$W$247,'[3]INT Web'!W$1,FALSE)</f>
        <v>6</v>
      </c>
      <c r="L76" s="12">
        <f t="shared" si="85"/>
        <v>6</v>
      </c>
      <c r="M76" s="12">
        <f t="shared" si="86"/>
        <v>1.4285714285714286</v>
      </c>
      <c r="N76" s="12">
        <f t="shared" si="87"/>
        <v>7.1428571428571432</v>
      </c>
      <c r="O76" s="12">
        <f t="shared" si="88"/>
        <v>6.666666666666667</v>
      </c>
      <c r="P76" s="12">
        <f t="shared" si="89"/>
        <v>0.8571428571428571</v>
      </c>
      <c r="Q76" s="140" t="str">
        <f t="shared" si="82"/>
        <v>FKP</v>
      </c>
      <c r="R76" s="104">
        <f>+VLOOKUP($B76,'Country-Level Tactics'!$B$5:$AL$248,'Country-Level Tactics'!AH$1,FALSE)</f>
        <v>60</v>
      </c>
      <c r="S76" s="104">
        <f>+VLOOKUP($B76,'Country-Level Tactics'!$B$5:$AL$248,'Country-Level Tactics'!X$1,FALSE)</f>
        <v>10</v>
      </c>
      <c r="T76" s="104">
        <f>+VLOOKUP($B76,'Country-Level Tactics'!$B$5:$AL$248,'Country-Level Tactics'!AC$1,FALSE)</f>
        <v>50</v>
      </c>
      <c r="U76" s="104">
        <f>+VLOOKUP($B76,'Country-Level Tactics'!$B$5:$AL$248,'Country-Level Tactics'!T$1,FALSE)</f>
        <v>7</v>
      </c>
      <c r="V76" s="104">
        <f t="shared" si="107"/>
        <v>40</v>
      </c>
      <c r="W76" s="104">
        <f t="shared" si="108"/>
        <v>6</v>
      </c>
      <c r="X76" s="12">
        <f t="shared" si="96"/>
        <v>6</v>
      </c>
      <c r="Y76" s="12">
        <f t="shared" si="97"/>
        <v>1.4285714285714286</v>
      </c>
      <c r="Z76" s="12">
        <f t="shared" si="98"/>
        <v>7.1428571428571432</v>
      </c>
      <c r="AA76" s="12">
        <f t="shared" si="99"/>
        <v>6.666666666666667</v>
      </c>
      <c r="AB76" s="12">
        <f t="shared" si="100"/>
        <v>0.8571428571428571</v>
      </c>
      <c r="AD76" s="10">
        <f t="shared" si="101"/>
        <v>0</v>
      </c>
      <c r="AE76" s="10">
        <f t="shared" si="102"/>
        <v>0</v>
      </c>
      <c r="AF76" s="10">
        <f t="shared" si="103"/>
        <v>0</v>
      </c>
      <c r="AG76" s="10">
        <f t="shared" si="104"/>
        <v>0</v>
      </c>
      <c r="AH76" s="10">
        <f t="shared" si="105"/>
        <v>0</v>
      </c>
      <c r="AI76" s="10">
        <f t="shared" si="106"/>
        <v>0</v>
      </c>
      <c r="AK76" s="165">
        <v>1.3334999999999999</v>
      </c>
      <c r="AL76" s="173">
        <f t="shared" si="90"/>
        <v>80.009999999999991</v>
      </c>
      <c r="AM76" s="173">
        <f t="shared" si="91"/>
        <v>13.334999999999999</v>
      </c>
      <c r="AN76" s="173">
        <f t="shared" si="92"/>
        <v>66.674999999999997</v>
      </c>
      <c r="AO76" s="173">
        <f t="shared" si="93"/>
        <v>9.3344999999999985</v>
      </c>
      <c r="AP76" s="173">
        <f t="shared" si="94"/>
        <v>53.339999999999996</v>
      </c>
      <c r="AQ76" s="173">
        <f t="shared" si="95"/>
        <v>8.0009999999999994</v>
      </c>
      <c r="AS76" s="22" t="str">
        <f>+VLOOKUP(B76,'Country &amp; Code Abbreviation'!$B$3:$C$245,2,FALSE)</f>
        <v>FK</v>
      </c>
    </row>
    <row r="77" spans="2:45">
      <c r="B77" s="20" t="s">
        <v>145</v>
      </c>
      <c r="C77" s="20" t="s">
        <v>100</v>
      </c>
      <c r="E77" s="11" t="str">
        <f>+VLOOKUP($B77,'[3]INT Web'!$B$5:$W$247,'[3]INT Web'!Q$1,FALSE)</f>
        <v>DKK</v>
      </c>
      <c r="F77" s="22">
        <f>+VLOOKUP($B77,'[3]INT Web'!$B$5:$W$247,'[3]INT Web'!R$1,FALSE)</f>
        <v>1139.99</v>
      </c>
      <c r="G77" s="22">
        <f>+VLOOKUP($B77,'[3]INT Web'!$B$5:$W$247,'[3]INT Web'!S$1,FALSE)</f>
        <v>189.99</v>
      </c>
      <c r="H77" s="22">
        <f>+VLOOKUP($B77,'[3]INT Web'!$B$5:$W$247,'[3]INT Web'!T$1,FALSE)</f>
        <v>829.99</v>
      </c>
      <c r="I77" s="22">
        <f>+VLOOKUP($B77,'[3]INT Web'!$B$5:$W$247,'[3]INT Web'!U$1,FALSE)</f>
        <v>139.99</v>
      </c>
      <c r="J77" s="22">
        <f>+VLOOKUP($B77,'[3]INT Web'!$B$5:$W$247,'[3]INT Web'!V$1,FALSE)</f>
        <v>779.99</v>
      </c>
      <c r="K77" s="22">
        <f>+VLOOKUP($B77,'[3]INT Web'!$B$5:$W$247,'[3]INT Web'!W$1,FALSE)</f>
        <v>129.99</v>
      </c>
      <c r="L77" s="12">
        <f t="shared" si="85"/>
        <v>6.000263171745881</v>
      </c>
      <c r="M77" s="12">
        <f t="shared" si="86"/>
        <v>1.3571683691692265</v>
      </c>
      <c r="N77" s="12">
        <f t="shared" si="87"/>
        <v>5.928923494535324</v>
      </c>
      <c r="O77" s="12">
        <f t="shared" si="88"/>
        <v>6.0003846449726899</v>
      </c>
      <c r="P77" s="12">
        <f t="shared" si="89"/>
        <v>0.92856632616615475</v>
      </c>
      <c r="Q77" s="140" t="str">
        <f t="shared" si="82"/>
        <v>DKK</v>
      </c>
      <c r="R77" s="104">
        <f>+VLOOKUP($B77,'Country-Level Tactics'!$B$5:$AL$248,'Country-Level Tactics'!AH$1,FALSE)</f>
        <v>1139.99</v>
      </c>
      <c r="S77" s="104">
        <f>+VLOOKUP($B77,'Country-Level Tactics'!$B$5:$AL$248,'Country-Level Tactics'!X$1,FALSE)</f>
        <v>189.99</v>
      </c>
      <c r="T77" s="104">
        <f>+VLOOKUP($B77,'Country-Level Tactics'!$B$5:$AL$248,'Country-Level Tactics'!AC$1,FALSE)</f>
        <v>829.99</v>
      </c>
      <c r="U77" s="104">
        <f>+VLOOKUP($B77,'Country-Level Tactics'!$B$5:$AL$248,'Country-Level Tactics'!T$1,FALSE)</f>
        <v>139.99</v>
      </c>
      <c r="V77" s="104">
        <f t="shared" si="107"/>
        <v>779.99</v>
      </c>
      <c r="W77" s="104">
        <f t="shared" si="108"/>
        <v>129.99</v>
      </c>
      <c r="X77" s="12">
        <f t="shared" si="96"/>
        <v>6.000263171745881</v>
      </c>
      <c r="Y77" s="12">
        <f t="shared" si="97"/>
        <v>1.3571683691692265</v>
      </c>
      <c r="Z77" s="12">
        <f t="shared" si="98"/>
        <v>5.928923494535324</v>
      </c>
      <c r="AA77" s="12">
        <f t="shared" si="99"/>
        <v>6.0003846449726899</v>
      </c>
      <c r="AB77" s="12">
        <f t="shared" si="100"/>
        <v>0.92856632616615475</v>
      </c>
      <c r="AD77" s="10">
        <f t="shared" si="101"/>
        <v>0</v>
      </c>
      <c r="AE77" s="10">
        <f t="shared" si="102"/>
        <v>0</v>
      </c>
      <c r="AF77" s="10">
        <f t="shared" si="103"/>
        <v>0</v>
      </c>
      <c r="AG77" s="10">
        <f t="shared" si="104"/>
        <v>0</v>
      </c>
      <c r="AH77" s="10">
        <f t="shared" si="105"/>
        <v>0</v>
      </c>
      <c r="AI77" s="10">
        <f t="shared" si="106"/>
        <v>0</v>
      </c>
      <c r="AK77" s="165">
        <v>0.15274872</v>
      </c>
      <c r="AL77" s="173">
        <f t="shared" si="90"/>
        <v>174.13201331280001</v>
      </c>
      <c r="AM77" s="173">
        <f t="shared" si="91"/>
        <v>29.020729312800004</v>
      </c>
      <c r="AN77" s="173">
        <f t="shared" si="92"/>
        <v>126.77991011280001</v>
      </c>
      <c r="AO77" s="173">
        <f t="shared" si="93"/>
        <v>21.383293312800003</v>
      </c>
      <c r="AP77" s="173">
        <f t="shared" si="94"/>
        <v>119.1424741128</v>
      </c>
      <c r="AQ77" s="173">
        <f t="shared" si="95"/>
        <v>19.855806112800003</v>
      </c>
      <c r="AS77" s="22" t="str">
        <f>+VLOOKUP(B77,'Country &amp; Code Abbreviation'!$B$3:$C$245,2,FALSE)</f>
        <v>FO</v>
      </c>
    </row>
    <row r="78" spans="2:45">
      <c r="B78" s="20" t="s">
        <v>146</v>
      </c>
      <c r="C78" s="20" t="s">
        <v>182</v>
      </c>
      <c r="E78" s="11" t="str">
        <f>+VLOOKUP($B78,'[3]INT Web'!$B$5:$W$247,'[3]INT Web'!Q$1,FALSE)</f>
        <v>FJD</v>
      </c>
      <c r="F78" s="22">
        <f>+VLOOKUP($B78,'[3]INT Web'!$B$5:$W$247,'[3]INT Web'!R$1,FALSE)</f>
        <v>179.99</v>
      </c>
      <c r="G78" s="22">
        <f>+VLOOKUP($B78,'[3]INT Web'!$B$5:$W$247,'[3]INT Web'!S$1,FALSE)</f>
        <v>29.99</v>
      </c>
      <c r="H78" s="22">
        <f>+VLOOKUP($B78,'[3]INT Web'!$B$5:$W$247,'[3]INT Web'!T$1,FALSE)</f>
        <v>131.99</v>
      </c>
      <c r="I78" s="22">
        <f>+VLOOKUP($B78,'[3]INT Web'!$B$5:$W$247,'[3]INT Web'!U$1,FALSE)</f>
        <v>21.99</v>
      </c>
      <c r="J78" s="22">
        <f>+VLOOKUP($B78,'[3]INT Web'!$B$5:$W$247,'[3]INT Web'!V$1,FALSE)</f>
        <v>119.99</v>
      </c>
      <c r="K78" s="22">
        <f>+VLOOKUP($B78,'[3]INT Web'!$B$5:$W$247,'[3]INT Web'!W$1,FALSE)</f>
        <v>19.989999999999998</v>
      </c>
      <c r="L78" s="12">
        <f t="shared" si="85"/>
        <v>6.0016672224074696</v>
      </c>
      <c r="M78" s="12">
        <f t="shared" si="86"/>
        <v>1.3638017280582082</v>
      </c>
      <c r="N78" s="12">
        <f t="shared" si="87"/>
        <v>6.0022737608003647</v>
      </c>
      <c r="O78" s="12">
        <f t="shared" si="88"/>
        <v>6.002501250625313</v>
      </c>
      <c r="P78" s="12">
        <f t="shared" si="89"/>
        <v>0.90904956798544789</v>
      </c>
      <c r="Q78" s="140" t="str">
        <f t="shared" si="82"/>
        <v>FJD</v>
      </c>
      <c r="R78" s="104">
        <f>+VLOOKUP($B78,'Country-Level Tactics'!$B$5:$AL$248,'Country-Level Tactics'!AH$1,FALSE)</f>
        <v>179.99</v>
      </c>
      <c r="S78" s="104">
        <f>+VLOOKUP($B78,'Country-Level Tactics'!$B$5:$AL$248,'Country-Level Tactics'!X$1,FALSE)</f>
        <v>29.99</v>
      </c>
      <c r="T78" s="104">
        <f>+VLOOKUP($B78,'Country-Level Tactics'!$B$5:$AL$248,'Country-Level Tactics'!AC$1,FALSE)</f>
        <v>131.99</v>
      </c>
      <c r="U78" s="104">
        <f>+VLOOKUP($B78,'Country-Level Tactics'!$B$5:$AL$248,'Country-Level Tactics'!T$1,FALSE)</f>
        <v>21.99</v>
      </c>
      <c r="V78" s="104">
        <f t="shared" si="107"/>
        <v>119.99</v>
      </c>
      <c r="W78" s="104">
        <f t="shared" si="108"/>
        <v>19.989999999999998</v>
      </c>
      <c r="X78" s="12">
        <f t="shared" si="96"/>
        <v>6.0016672224074696</v>
      </c>
      <c r="Y78" s="12">
        <f t="shared" si="97"/>
        <v>1.3638017280582082</v>
      </c>
      <c r="Z78" s="12">
        <f t="shared" si="98"/>
        <v>6.0022737608003647</v>
      </c>
      <c r="AA78" s="12">
        <f t="shared" si="99"/>
        <v>6.002501250625313</v>
      </c>
      <c r="AB78" s="12">
        <f t="shared" si="100"/>
        <v>0.90904956798544789</v>
      </c>
      <c r="AD78" s="10">
        <f t="shared" si="101"/>
        <v>0</v>
      </c>
      <c r="AE78" s="10">
        <f t="shared" si="102"/>
        <v>0</v>
      </c>
      <c r="AF78" s="10">
        <f t="shared" si="103"/>
        <v>0</v>
      </c>
      <c r="AG78" s="10">
        <f t="shared" si="104"/>
        <v>0</v>
      </c>
      <c r="AH78" s="10">
        <f t="shared" si="105"/>
        <v>0</v>
      </c>
      <c r="AI78" s="10">
        <f t="shared" si="106"/>
        <v>0</v>
      </c>
      <c r="AK78" s="165">
        <v>0.44274235000000001</v>
      </c>
      <c r="AL78" s="173">
        <f t="shared" si="90"/>
        <v>79.689195576500012</v>
      </c>
      <c r="AM78" s="173">
        <f t="shared" si="91"/>
        <v>13.2778430765</v>
      </c>
      <c r="AN78" s="173">
        <f t="shared" si="92"/>
        <v>58.437562776500002</v>
      </c>
      <c r="AO78" s="173">
        <f t="shared" si="93"/>
        <v>9.7359042764999995</v>
      </c>
      <c r="AP78" s="173">
        <f t="shared" si="94"/>
        <v>53.124654576499999</v>
      </c>
      <c r="AQ78" s="173">
        <f t="shared" si="95"/>
        <v>8.8504195765000002</v>
      </c>
      <c r="AS78" s="22" t="str">
        <f>+VLOOKUP(B78,'Country &amp; Code Abbreviation'!$B$3:$C$245,2,FALSE)</f>
        <v>FJ</v>
      </c>
    </row>
    <row r="79" spans="2:45">
      <c r="B79" s="199" t="s">
        <v>147</v>
      </c>
      <c r="C79" s="199" t="s">
        <v>100</v>
      </c>
      <c r="E79" s="11" t="str">
        <f>+VLOOKUP($B79,'[3]INT Web'!$B$5:$W$247,'[3]INT Web'!Q$1,FALSE)</f>
        <v>EUR</v>
      </c>
      <c r="F79" s="22">
        <f>+VLOOKUP($B79,'[3]INT Web'!$B$5:$W$247,'[3]INT Web'!R$1,FALSE)</f>
        <v>129.99</v>
      </c>
      <c r="G79" s="22">
        <f>+VLOOKUP($B79,'[3]INT Web'!$B$5:$W$247,'[3]INT Web'!S$1,FALSE)</f>
        <v>19.989999999999998</v>
      </c>
      <c r="H79" s="22">
        <f>+VLOOKUP($B79,'[3]INT Web'!$B$5:$W$247,'[3]INT Web'!T$1,FALSE)</f>
        <v>99.99</v>
      </c>
      <c r="I79" s="22">
        <f>+VLOOKUP($B79,'[3]INT Web'!$B$5:$W$247,'[3]INT Web'!U$1,FALSE)</f>
        <v>14.99</v>
      </c>
      <c r="J79" s="22">
        <f>+VLOOKUP($B79,'[3]INT Web'!$B$5:$W$247,'[3]INT Web'!V$1,FALSE)</f>
        <v>89.99</v>
      </c>
      <c r="K79" s="22">
        <f>+VLOOKUP($B79,'[3]INT Web'!$B$5:$W$247,'[3]INT Web'!W$1,FALSE)</f>
        <v>13.99</v>
      </c>
      <c r="L79" s="12">
        <f t="shared" si="85"/>
        <v>6.5027513756878452</v>
      </c>
      <c r="M79" s="12">
        <f t="shared" si="86"/>
        <v>1.333555703802535</v>
      </c>
      <c r="N79" s="12">
        <f t="shared" si="87"/>
        <v>6.6704469646430953</v>
      </c>
      <c r="O79" s="12">
        <f t="shared" si="88"/>
        <v>6.432451751250893</v>
      </c>
      <c r="P79" s="12">
        <f t="shared" si="89"/>
        <v>0.93328885923949301</v>
      </c>
      <c r="Q79" s="140" t="str">
        <f t="shared" ref="Q79:Q112" si="109">+E79</f>
        <v>EUR</v>
      </c>
      <c r="R79" s="104">
        <f>+VLOOKUP($B79,'Country-Level Tactics'!$B$5:$AL$248,'Country-Level Tactics'!AH$1,FALSE)</f>
        <v>129.99</v>
      </c>
      <c r="S79" s="104">
        <f>+VLOOKUP($B79,'Country-Level Tactics'!$B$5:$AL$248,'Country-Level Tactics'!X$1,FALSE)</f>
        <v>19.989999999999998</v>
      </c>
      <c r="T79" s="104">
        <f>+VLOOKUP($B79,'Country-Level Tactics'!$B$5:$AL$248,'Country-Level Tactics'!AC$1,FALSE)</f>
        <v>99.99</v>
      </c>
      <c r="U79" s="104">
        <f>+VLOOKUP($B79,'Country-Level Tactics'!$B$5:$AL$248,'Country-Level Tactics'!T$1,FALSE)</f>
        <v>14.99</v>
      </c>
      <c r="V79" s="104">
        <f t="shared" si="107"/>
        <v>89.99</v>
      </c>
      <c r="W79" s="104">
        <f t="shared" si="108"/>
        <v>13.99</v>
      </c>
      <c r="X79" s="12">
        <f t="shared" si="96"/>
        <v>6.5027513756878452</v>
      </c>
      <c r="Y79" s="12">
        <f t="shared" si="97"/>
        <v>1.333555703802535</v>
      </c>
      <c r="Z79" s="12">
        <f t="shared" si="98"/>
        <v>6.6704469646430953</v>
      </c>
      <c r="AA79" s="12">
        <f t="shared" si="99"/>
        <v>6.432451751250893</v>
      </c>
      <c r="AB79" s="12">
        <f t="shared" si="100"/>
        <v>0.93328885923949301</v>
      </c>
      <c r="AD79" s="10">
        <f t="shared" si="101"/>
        <v>0</v>
      </c>
      <c r="AE79" s="10">
        <f t="shared" si="102"/>
        <v>0</v>
      </c>
      <c r="AF79" s="10">
        <f t="shared" si="103"/>
        <v>0</v>
      </c>
      <c r="AG79" s="10">
        <f t="shared" si="104"/>
        <v>0</v>
      </c>
      <c r="AH79" s="10">
        <f t="shared" si="105"/>
        <v>0</v>
      </c>
      <c r="AI79" s="10">
        <f t="shared" si="106"/>
        <v>0</v>
      </c>
      <c r="AK79" s="165">
        <v>1.14175</v>
      </c>
      <c r="AL79" s="173">
        <f t="shared" si="90"/>
        <v>148.41608250000002</v>
      </c>
      <c r="AM79" s="173">
        <f t="shared" si="91"/>
        <v>22.823582500000001</v>
      </c>
      <c r="AN79" s="173">
        <f t="shared" si="92"/>
        <v>114.1635825</v>
      </c>
      <c r="AO79" s="173">
        <f t="shared" si="93"/>
        <v>17.114832500000002</v>
      </c>
      <c r="AP79" s="173">
        <f t="shared" si="94"/>
        <v>102.7460825</v>
      </c>
      <c r="AQ79" s="173">
        <f t="shared" si="95"/>
        <v>15.9730825</v>
      </c>
      <c r="AS79" s="22" t="str">
        <f>+VLOOKUP(B79,'Country &amp; Code Abbreviation'!$B$3:$C$245,2,FALSE)</f>
        <v>FI</v>
      </c>
    </row>
    <row r="80" spans="2:45">
      <c r="B80" s="199" t="s">
        <v>148</v>
      </c>
      <c r="C80" s="199" t="s">
        <v>100</v>
      </c>
      <c r="D80" s="6" t="s">
        <v>347</v>
      </c>
      <c r="E80" s="11" t="str">
        <f>+VLOOKUP($B80,'[3]INT Web'!$B$5:$W$247,'[3]INT Web'!Q$1,FALSE)</f>
        <v>EUR</v>
      </c>
      <c r="F80" s="22">
        <f>+VLOOKUP($B80,'[3]INT Web'!$B$5:$W$247,'[3]INT Web'!R$1,FALSE)</f>
        <v>199.99</v>
      </c>
      <c r="G80" s="22">
        <f>+VLOOKUP($B80,'[3]INT Web'!$B$5:$W$247,'[3]INT Web'!S$1,FALSE)</f>
        <v>28.99</v>
      </c>
      <c r="H80" s="22">
        <f>+VLOOKUP($B80,'[3]INT Web'!$B$5:$W$247,'[3]INT Web'!T$1,FALSE)</f>
        <v>146.99</v>
      </c>
      <c r="I80" s="22">
        <f>+VLOOKUP($B80,'[3]INT Web'!$B$5:$W$247,'[3]INT Web'!U$1,FALSE)</f>
        <v>21.99</v>
      </c>
      <c r="J80" s="22">
        <f>+VLOOKUP($B80,'[3]INT Web'!$B$5:$W$247,'[3]INT Web'!V$1,FALSE)</f>
        <v>134.99</v>
      </c>
      <c r="K80" s="22">
        <f>+VLOOKUP($B80,'[3]INT Web'!$B$5:$W$247,'[3]INT Web'!W$1,FALSE)</f>
        <v>19.989999999999998</v>
      </c>
      <c r="L80" s="12">
        <f t="shared" si="85"/>
        <v>6.8985857192135223</v>
      </c>
      <c r="M80" s="12">
        <f t="shared" si="86"/>
        <v>1.3183265120509322</v>
      </c>
      <c r="N80" s="12">
        <f t="shared" si="87"/>
        <v>6.6844020009095049</v>
      </c>
      <c r="O80" s="12">
        <f t="shared" si="88"/>
        <v>6.7528764382191104</v>
      </c>
      <c r="P80" s="12">
        <f t="shared" si="89"/>
        <v>0.90904956798544789</v>
      </c>
      <c r="Q80" s="140" t="str">
        <f t="shared" si="109"/>
        <v>EUR</v>
      </c>
      <c r="R80" s="104">
        <f>+VLOOKUP($B80,'Country-Level Tactics'!$B$5:$AL$248,'Country-Level Tactics'!AH$1,FALSE)</f>
        <v>199.99</v>
      </c>
      <c r="S80" s="104">
        <f>+VLOOKUP($B80,'Country-Level Tactics'!$B$5:$AL$248,'Country-Level Tactics'!X$1,FALSE)</f>
        <v>28.99</v>
      </c>
      <c r="T80" s="104">
        <f>+VLOOKUP($B80,'Country-Level Tactics'!$B$5:$AL$248,'Country-Level Tactics'!AC$1,FALSE)</f>
        <v>146.99</v>
      </c>
      <c r="U80" s="104">
        <f>+VLOOKUP($B80,'Country-Level Tactics'!$B$5:$AL$248,'Country-Level Tactics'!T$1,FALSE)</f>
        <v>21.99</v>
      </c>
      <c r="V80" s="104">
        <f t="shared" si="107"/>
        <v>134.99</v>
      </c>
      <c r="W80" s="104">
        <f t="shared" si="108"/>
        <v>19.989999999999998</v>
      </c>
      <c r="X80" s="12">
        <f t="shared" si="96"/>
        <v>6.8985857192135223</v>
      </c>
      <c r="Y80" s="12">
        <f t="shared" si="97"/>
        <v>1.3183265120509322</v>
      </c>
      <c r="Z80" s="12">
        <f t="shared" si="98"/>
        <v>6.6844020009095049</v>
      </c>
      <c r="AA80" s="12">
        <f t="shared" si="99"/>
        <v>6.7528764382191104</v>
      </c>
      <c r="AB80" s="12">
        <f t="shared" si="100"/>
        <v>0.90904956798544789</v>
      </c>
      <c r="AD80" s="10">
        <f t="shared" si="101"/>
        <v>0</v>
      </c>
      <c r="AE80" s="10">
        <f t="shared" si="102"/>
        <v>0</v>
      </c>
      <c r="AF80" s="10">
        <f t="shared" si="103"/>
        <v>0</v>
      </c>
      <c r="AG80" s="10">
        <f t="shared" si="104"/>
        <v>0</v>
      </c>
      <c r="AH80" s="10">
        <f t="shared" si="105"/>
        <v>0</v>
      </c>
      <c r="AI80" s="10">
        <f t="shared" si="106"/>
        <v>0</v>
      </c>
      <c r="AK80" s="165">
        <v>1.14175</v>
      </c>
      <c r="AL80" s="173">
        <f t="shared" si="90"/>
        <v>228.33858250000003</v>
      </c>
      <c r="AM80" s="173">
        <f t="shared" si="91"/>
        <v>33.099332500000003</v>
      </c>
      <c r="AN80" s="173">
        <f t="shared" si="92"/>
        <v>167.82583250000002</v>
      </c>
      <c r="AO80" s="173">
        <f t="shared" si="93"/>
        <v>25.107082500000001</v>
      </c>
      <c r="AP80" s="173">
        <f t="shared" si="94"/>
        <v>154.12483250000002</v>
      </c>
      <c r="AQ80" s="173">
        <f t="shared" si="95"/>
        <v>22.823582500000001</v>
      </c>
      <c r="AS80" s="22" t="str">
        <f>+VLOOKUP(B80,'Country &amp; Code Abbreviation'!$B$3:$C$245,2,FALSE)</f>
        <v>FR</v>
      </c>
    </row>
    <row r="81" spans="2:45" ht="13.4" customHeight="1">
      <c r="B81" s="20" t="s">
        <v>149</v>
      </c>
      <c r="C81" s="21" t="s">
        <v>100</v>
      </c>
      <c r="E81" s="11" t="str">
        <f>+VLOOKUP($B81,'[3]INT Web'!$B$5:$W$247,'[3]INT Web'!Q$1,FALSE)</f>
        <v>EUR</v>
      </c>
      <c r="F81" s="22">
        <f>+VLOOKUP($B81,'[3]INT Web'!$B$5:$W$247,'[3]INT Web'!R$1,FALSE)</f>
        <v>77.989999999999995</v>
      </c>
      <c r="G81" s="22">
        <f>+VLOOKUP($B81,'[3]INT Web'!$B$5:$W$247,'[3]INT Web'!S$1,FALSE)</f>
        <v>12.99</v>
      </c>
      <c r="H81" s="22">
        <f>+VLOOKUP($B81,'[3]INT Web'!$B$5:$W$247,'[3]INT Web'!T$1,FALSE)</f>
        <v>59.99</v>
      </c>
      <c r="I81" s="22">
        <f>+VLOOKUP($B81,'[3]INT Web'!$B$5:$W$247,'[3]INT Web'!U$1,FALSE)</f>
        <v>9.99</v>
      </c>
      <c r="J81" s="22">
        <f>+VLOOKUP($B81,'[3]INT Web'!$B$5:$W$247,'[3]INT Web'!V$1,FALSE)</f>
        <v>53.99</v>
      </c>
      <c r="K81" s="22">
        <f>+VLOOKUP($B81,'[3]INT Web'!$B$5:$W$247,'[3]INT Web'!W$1,FALSE)</f>
        <v>8.99</v>
      </c>
      <c r="L81" s="12">
        <f t="shared" si="85"/>
        <v>6.0038491147036179</v>
      </c>
      <c r="M81" s="12">
        <f t="shared" si="86"/>
        <v>1.3003003003003002</v>
      </c>
      <c r="N81" s="12">
        <f t="shared" si="87"/>
        <v>6.005005005005005</v>
      </c>
      <c r="O81" s="12">
        <f t="shared" si="88"/>
        <v>6.0055617352614012</v>
      </c>
      <c r="P81" s="12">
        <f t="shared" si="89"/>
        <v>0.89989989989989994</v>
      </c>
      <c r="Q81" s="140" t="str">
        <f t="shared" si="109"/>
        <v>EUR</v>
      </c>
      <c r="R81" s="104">
        <f>+VLOOKUP($B81,'Country-Level Tactics'!$B$5:$AL$248,'Country-Level Tactics'!AH$1,FALSE)</f>
        <v>77.989999999999995</v>
      </c>
      <c r="S81" s="104">
        <f>+VLOOKUP($B81,'Country-Level Tactics'!$B$5:$AL$248,'Country-Level Tactics'!X$1,FALSE)</f>
        <v>12.99</v>
      </c>
      <c r="T81" s="104">
        <f>+VLOOKUP($B81,'Country-Level Tactics'!$B$5:$AL$248,'Country-Level Tactics'!AC$1,FALSE)</f>
        <v>59.99</v>
      </c>
      <c r="U81" s="104">
        <f>+VLOOKUP($B81,'Country-Level Tactics'!$B$5:$AL$248,'Country-Level Tactics'!T$1,FALSE)</f>
        <v>9.99</v>
      </c>
      <c r="V81" s="104">
        <f t="shared" si="107"/>
        <v>53.99</v>
      </c>
      <c r="W81" s="104">
        <f t="shared" si="108"/>
        <v>8.99</v>
      </c>
      <c r="X81" s="12">
        <f t="shared" si="96"/>
        <v>6.0038491147036179</v>
      </c>
      <c r="Y81" s="12">
        <f t="shared" si="97"/>
        <v>1.3003003003003002</v>
      </c>
      <c r="Z81" s="12">
        <f t="shared" si="98"/>
        <v>6.005005005005005</v>
      </c>
      <c r="AA81" s="12">
        <f t="shared" si="99"/>
        <v>6.0055617352614012</v>
      </c>
      <c r="AB81" s="12">
        <f t="shared" si="100"/>
        <v>0.89989989989989994</v>
      </c>
      <c r="AD81" s="10">
        <f t="shared" si="101"/>
        <v>0</v>
      </c>
      <c r="AE81" s="10">
        <f t="shared" si="102"/>
        <v>0</v>
      </c>
      <c r="AF81" s="10">
        <f t="shared" si="103"/>
        <v>0</v>
      </c>
      <c r="AG81" s="10">
        <f t="shared" si="104"/>
        <v>0</v>
      </c>
      <c r="AH81" s="10">
        <f t="shared" si="105"/>
        <v>0</v>
      </c>
      <c r="AI81" s="10">
        <f t="shared" si="106"/>
        <v>0</v>
      </c>
      <c r="AK81" s="165">
        <v>1.14175</v>
      </c>
      <c r="AL81" s="173">
        <f t="shared" si="90"/>
        <v>89.045082499999992</v>
      </c>
      <c r="AM81" s="173">
        <f t="shared" si="91"/>
        <v>14.8313325</v>
      </c>
      <c r="AN81" s="173">
        <f t="shared" si="92"/>
        <v>68.493582500000002</v>
      </c>
      <c r="AO81" s="173">
        <f t="shared" si="93"/>
        <v>11.4060825</v>
      </c>
      <c r="AP81" s="173">
        <f t="shared" si="94"/>
        <v>61.643082500000006</v>
      </c>
      <c r="AQ81" s="173">
        <f t="shared" si="95"/>
        <v>10.2643325</v>
      </c>
      <c r="AS81" s="22" t="str">
        <f>+VLOOKUP(B81,'Country &amp; Code Abbreviation'!$B$3:$C$245,2,FALSE)</f>
        <v>GF</v>
      </c>
    </row>
    <row r="82" spans="2:45">
      <c r="B82" s="20" t="s">
        <v>150</v>
      </c>
      <c r="C82" s="20" t="s">
        <v>182</v>
      </c>
      <c r="E82" s="11" t="str">
        <f>+VLOOKUP($B82,'[3]INT Web'!$B$5:$W$247,'[3]INT Web'!Q$1,FALSE)</f>
        <v>XPF</v>
      </c>
      <c r="F82" s="136">
        <f>+VLOOKUP($B82,'[3]INT Web'!$B$5:$W$247,'[3]INT Web'!R$1,FALSE)</f>
        <v>8100</v>
      </c>
      <c r="G82" s="136">
        <f>+VLOOKUP($B82,'[3]INT Web'!$B$5:$W$247,'[3]INT Web'!S$1,FALSE)</f>
        <v>1350</v>
      </c>
      <c r="H82" s="136">
        <f>+VLOOKUP($B82,'[3]INT Web'!$B$5:$W$247,'[3]INT Web'!T$1,FALSE)</f>
        <v>6000</v>
      </c>
      <c r="I82" s="136">
        <f>+VLOOKUP($B82,'[3]INT Web'!$B$5:$W$247,'[3]INT Web'!U$1,FALSE)</f>
        <v>1000</v>
      </c>
      <c r="J82" s="136">
        <f>+VLOOKUP($B82,'[3]INT Web'!$B$5:$W$247,'[3]INT Web'!V$1,FALSE)</f>
        <v>5400</v>
      </c>
      <c r="K82" s="136">
        <f>+VLOOKUP($B82,'[3]INT Web'!$B$5:$W$247,'[3]INT Web'!W$1,FALSE)</f>
        <v>900</v>
      </c>
      <c r="L82" s="12">
        <f t="shared" si="85"/>
        <v>6</v>
      </c>
      <c r="M82" s="12">
        <f t="shared" si="86"/>
        <v>1.35</v>
      </c>
      <c r="N82" s="12">
        <f t="shared" si="87"/>
        <v>6</v>
      </c>
      <c r="O82" s="12">
        <f t="shared" si="88"/>
        <v>6</v>
      </c>
      <c r="P82" s="12">
        <f t="shared" si="89"/>
        <v>0.9</v>
      </c>
      <c r="Q82" s="143" t="str">
        <f t="shared" si="109"/>
        <v>XPF</v>
      </c>
      <c r="R82" s="137">
        <f>+VLOOKUP($B82,'Country-Level Tactics'!$B$5:$AL$248,'Country-Level Tactics'!AH$1,FALSE)</f>
        <v>8100</v>
      </c>
      <c r="S82" s="137">
        <f>+VLOOKUP($B82,'Country-Level Tactics'!$B$5:$AL$248,'Country-Level Tactics'!X$1,FALSE)</f>
        <v>1350</v>
      </c>
      <c r="T82" s="137">
        <f>+VLOOKUP($B82,'Country-Level Tactics'!$B$5:$AL$248,'Country-Level Tactics'!AC$1,FALSE)</f>
        <v>6000</v>
      </c>
      <c r="U82" s="137">
        <f>+VLOOKUP($B82,'Country-Level Tactics'!$B$5:$AL$248,'Country-Level Tactics'!T$1,FALSE)</f>
        <v>1000</v>
      </c>
      <c r="V82" s="137">
        <f t="shared" si="107"/>
        <v>5400</v>
      </c>
      <c r="W82" s="137">
        <f t="shared" si="108"/>
        <v>900</v>
      </c>
      <c r="X82" s="12">
        <f t="shared" si="96"/>
        <v>6</v>
      </c>
      <c r="Y82" s="12">
        <f t="shared" si="97"/>
        <v>1.35</v>
      </c>
      <c r="Z82" s="12">
        <f t="shared" si="98"/>
        <v>6</v>
      </c>
      <c r="AA82" s="12">
        <f t="shared" si="99"/>
        <v>6</v>
      </c>
      <c r="AB82" s="12">
        <f t="shared" si="100"/>
        <v>0.9</v>
      </c>
      <c r="AD82" s="10">
        <f t="shared" si="101"/>
        <v>0</v>
      </c>
      <c r="AE82" s="10">
        <f t="shared" si="102"/>
        <v>0</v>
      </c>
      <c r="AF82" s="10">
        <f t="shared" si="103"/>
        <v>0</v>
      </c>
      <c r="AG82" s="10">
        <f t="shared" si="104"/>
        <v>0</v>
      </c>
      <c r="AH82" s="10">
        <f t="shared" si="105"/>
        <v>0</v>
      </c>
      <c r="AI82" s="10">
        <f t="shared" si="106"/>
        <v>0</v>
      </c>
      <c r="AK82" s="165">
        <v>9.5678670000000007E-3</v>
      </c>
      <c r="AL82" s="173">
        <f t="shared" si="90"/>
        <v>77.499722700000007</v>
      </c>
      <c r="AM82" s="173">
        <f t="shared" si="91"/>
        <v>12.916620450000002</v>
      </c>
      <c r="AN82" s="173">
        <f t="shared" si="92"/>
        <v>57.407202000000005</v>
      </c>
      <c r="AO82" s="173">
        <f t="shared" si="93"/>
        <v>9.5678670000000015</v>
      </c>
      <c r="AP82" s="173">
        <f t="shared" si="94"/>
        <v>51.666481800000007</v>
      </c>
      <c r="AQ82" s="173">
        <f t="shared" si="95"/>
        <v>8.6110803000000011</v>
      </c>
      <c r="AS82" s="22" t="str">
        <f>+VLOOKUP(B82,'Country &amp; Code Abbreviation'!$B$3:$C$245,2,FALSE)</f>
        <v>PF</v>
      </c>
    </row>
    <row r="83" spans="2:45">
      <c r="B83" s="20" t="s">
        <v>151</v>
      </c>
      <c r="C83" s="20" t="s">
        <v>100</v>
      </c>
      <c r="E83" s="11" t="str">
        <f>+VLOOKUP($B83,'[3]INT Web'!$B$5:$W$247,'[3]INT Web'!Q$1,FALSE)</f>
        <v>EUR</v>
      </c>
      <c r="F83" s="22">
        <f>+VLOOKUP($B83,'[3]INT Web'!$B$5:$W$247,'[3]INT Web'!R$1,FALSE)</f>
        <v>119.99</v>
      </c>
      <c r="G83" s="22">
        <f>+VLOOKUP($B83,'[3]INT Web'!$B$5:$W$247,'[3]INT Web'!S$1,FALSE)</f>
        <v>19.989999999999998</v>
      </c>
      <c r="H83" s="22">
        <f>+VLOOKUP($B83,'[3]INT Web'!$B$5:$W$247,'[3]INT Web'!T$1,FALSE)</f>
        <v>89.99</v>
      </c>
      <c r="I83" s="22">
        <f>+VLOOKUP($B83,'[3]INT Web'!$B$5:$W$247,'[3]INT Web'!U$1,FALSE)</f>
        <v>14.99</v>
      </c>
      <c r="J83" s="22">
        <f>+VLOOKUP($B83,'[3]INT Web'!$B$5:$W$247,'[3]INT Web'!V$1,FALSE)</f>
        <v>79.989999999999995</v>
      </c>
      <c r="K83" s="22">
        <f>+VLOOKUP($B83,'[3]INT Web'!$B$5:$W$247,'[3]INT Web'!W$1,FALSE)</f>
        <v>12.99</v>
      </c>
      <c r="L83" s="12">
        <f t="shared" si="85"/>
        <v>6.002501250625313</v>
      </c>
      <c r="M83" s="12">
        <f t="shared" si="86"/>
        <v>1.333555703802535</v>
      </c>
      <c r="N83" s="12">
        <f t="shared" si="87"/>
        <v>6.0033355570380253</v>
      </c>
      <c r="O83" s="12">
        <f t="shared" si="88"/>
        <v>6.157813702848344</v>
      </c>
      <c r="P83" s="12">
        <f t="shared" si="89"/>
        <v>0.86657771847898601</v>
      </c>
      <c r="Q83" s="140" t="str">
        <f t="shared" si="109"/>
        <v>EUR</v>
      </c>
      <c r="R83" s="104">
        <f>+VLOOKUP($B83,'Country-Level Tactics'!$B$5:$AL$248,'Country-Level Tactics'!AH$1,FALSE)</f>
        <v>119.99</v>
      </c>
      <c r="S83" s="104">
        <f>+VLOOKUP($B83,'Country-Level Tactics'!$B$5:$AL$248,'Country-Level Tactics'!X$1,FALSE)</f>
        <v>19.989999999999998</v>
      </c>
      <c r="T83" s="104">
        <f>+VLOOKUP($B83,'Country-Level Tactics'!$B$5:$AL$248,'Country-Level Tactics'!AC$1,FALSE)</f>
        <v>89.99</v>
      </c>
      <c r="U83" s="104">
        <f>+VLOOKUP($B83,'Country-Level Tactics'!$B$5:$AL$248,'Country-Level Tactics'!T$1,FALSE)</f>
        <v>14.99</v>
      </c>
      <c r="V83" s="104">
        <f t="shared" si="107"/>
        <v>79.989999999999995</v>
      </c>
      <c r="W83" s="104">
        <f t="shared" si="108"/>
        <v>12.99</v>
      </c>
      <c r="X83" s="12">
        <f t="shared" si="96"/>
        <v>6.002501250625313</v>
      </c>
      <c r="Y83" s="12">
        <f t="shared" si="97"/>
        <v>1.333555703802535</v>
      </c>
      <c r="Z83" s="12">
        <f t="shared" si="98"/>
        <v>6.0033355570380253</v>
      </c>
      <c r="AA83" s="12">
        <f t="shared" si="99"/>
        <v>6.157813702848344</v>
      </c>
      <c r="AB83" s="12">
        <f t="shared" si="100"/>
        <v>0.86657771847898601</v>
      </c>
      <c r="AD83" s="10">
        <f t="shared" si="101"/>
        <v>0</v>
      </c>
      <c r="AE83" s="10">
        <f t="shared" si="102"/>
        <v>0</v>
      </c>
      <c r="AF83" s="10">
        <f t="shared" si="103"/>
        <v>0</v>
      </c>
      <c r="AG83" s="10">
        <f t="shared" si="104"/>
        <v>0</v>
      </c>
      <c r="AH83" s="10">
        <f t="shared" si="105"/>
        <v>0</v>
      </c>
      <c r="AI83" s="10">
        <f t="shared" si="106"/>
        <v>0</v>
      </c>
      <c r="AK83" s="165">
        <v>1.14175</v>
      </c>
      <c r="AL83" s="173">
        <f t="shared" si="90"/>
        <v>136.9985825</v>
      </c>
      <c r="AM83" s="173">
        <f t="shared" si="91"/>
        <v>22.823582500000001</v>
      </c>
      <c r="AN83" s="173">
        <f t="shared" si="92"/>
        <v>102.7460825</v>
      </c>
      <c r="AO83" s="173">
        <f t="shared" si="93"/>
        <v>17.114832500000002</v>
      </c>
      <c r="AP83" s="173">
        <f t="shared" si="94"/>
        <v>91.328582499999996</v>
      </c>
      <c r="AQ83" s="173">
        <f t="shared" si="95"/>
        <v>14.8313325</v>
      </c>
      <c r="AS83" s="22" t="str">
        <f>+VLOOKUP(B83,'Country &amp; Code Abbreviation'!$B$3:$C$245,2,FALSE)</f>
        <v>TF</v>
      </c>
    </row>
    <row r="84" spans="2:45">
      <c r="B84" s="20" t="s">
        <v>152</v>
      </c>
      <c r="C84" s="20" t="s">
        <v>270</v>
      </c>
      <c r="E84" s="11" t="str">
        <f>+VLOOKUP($B84,'[3]INT Web'!$B$5:$W$247,'[3]INT Web'!Q$1,FALSE)</f>
        <v>XAF</v>
      </c>
      <c r="F84" s="136">
        <f>+VLOOKUP($B84,'[3]INT Web'!$B$5:$W$247,'[3]INT Web'!R$1,FALSE)</f>
        <v>34020</v>
      </c>
      <c r="G84" s="136">
        <f>+VLOOKUP($B84,'[3]INT Web'!$B$5:$W$247,'[3]INT Web'!S$1,FALSE)</f>
        <v>5670</v>
      </c>
      <c r="H84" s="136">
        <f>+VLOOKUP($B84,'[3]INT Web'!$B$5:$W$247,'[3]INT Web'!T$1,FALSE)</f>
        <v>25200</v>
      </c>
      <c r="I84" s="136">
        <f>+VLOOKUP($B84,'[3]INT Web'!$B$5:$W$247,'[3]INT Web'!U$1,FALSE)</f>
        <v>4200</v>
      </c>
      <c r="J84" s="136">
        <f>+VLOOKUP($B84,'[3]INT Web'!$B$5:$W$247,'[3]INT Web'!V$1,FALSE)</f>
        <v>22680</v>
      </c>
      <c r="K84" s="136">
        <f>+VLOOKUP($B84,'[3]INT Web'!$B$5:$W$247,'[3]INT Web'!W$1,FALSE)</f>
        <v>3780</v>
      </c>
      <c r="L84" s="12">
        <f t="shared" si="85"/>
        <v>6</v>
      </c>
      <c r="M84" s="12">
        <f t="shared" si="86"/>
        <v>1.35</v>
      </c>
      <c r="N84" s="12">
        <f t="shared" si="87"/>
        <v>6</v>
      </c>
      <c r="O84" s="12">
        <f t="shared" si="88"/>
        <v>6</v>
      </c>
      <c r="P84" s="12">
        <f t="shared" si="89"/>
        <v>0.9</v>
      </c>
      <c r="Q84" s="143" t="str">
        <f t="shared" si="109"/>
        <v>XAF</v>
      </c>
      <c r="R84" s="137">
        <f>+VLOOKUP($B84,'Country-Level Tactics'!$B$5:$AL$248,'Country-Level Tactics'!AH$1,FALSE)</f>
        <v>34020</v>
      </c>
      <c r="S84" s="137">
        <f>+VLOOKUP($B84,'Country-Level Tactics'!$B$5:$AL$248,'Country-Level Tactics'!X$1,FALSE)</f>
        <v>5670</v>
      </c>
      <c r="T84" s="137">
        <f>+VLOOKUP($B84,'Country-Level Tactics'!$B$5:$AL$248,'Country-Level Tactics'!AC$1,FALSE)</f>
        <v>25200</v>
      </c>
      <c r="U84" s="137">
        <f>+VLOOKUP($B84,'Country-Level Tactics'!$B$5:$AL$248,'Country-Level Tactics'!T$1,FALSE)</f>
        <v>4200</v>
      </c>
      <c r="V84" s="137">
        <f t="shared" si="107"/>
        <v>22680</v>
      </c>
      <c r="W84" s="137">
        <f t="shared" si="108"/>
        <v>3780</v>
      </c>
      <c r="X84" s="12">
        <f t="shared" si="96"/>
        <v>6</v>
      </c>
      <c r="Y84" s="12">
        <f t="shared" si="97"/>
        <v>1.35</v>
      </c>
      <c r="Z84" s="12">
        <f t="shared" si="98"/>
        <v>6</v>
      </c>
      <c r="AA84" s="12">
        <f t="shared" si="99"/>
        <v>6</v>
      </c>
      <c r="AB84" s="12">
        <f t="shared" si="100"/>
        <v>0.9</v>
      </c>
      <c r="AD84" s="10">
        <f t="shared" si="101"/>
        <v>0</v>
      </c>
      <c r="AE84" s="10">
        <f t="shared" si="102"/>
        <v>0</v>
      </c>
      <c r="AF84" s="10">
        <f t="shared" si="103"/>
        <v>0</v>
      </c>
      <c r="AG84" s="10">
        <f t="shared" si="104"/>
        <v>0</v>
      </c>
      <c r="AH84" s="10">
        <f t="shared" si="105"/>
        <v>0</v>
      </c>
      <c r="AI84" s="10">
        <f t="shared" si="106"/>
        <v>0</v>
      </c>
      <c r="AK84" s="165">
        <v>1.7405866999999999E-3</v>
      </c>
      <c r="AL84" s="173">
        <f t="shared" si="90"/>
        <v>59.214759533999995</v>
      </c>
      <c r="AM84" s="173">
        <f t="shared" si="91"/>
        <v>9.8691265890000004</v>
      </c>
      <c r="AN84" s="173">
        <f t="shared" si="92"/>
        <v>43.862784839999996</v>
      </c>
      <c r="AO84" s="173">
        <f t="shared" si="93"/>
        <v>7.3104641399999997</v>
      </c>
      <c r="AP84" s="173">
        <f t="shared" si="94"/>
        <v>39.476506356000002</v>
      </c>
      <c r="AQ84" s="173">
        <f t="shared" si="95"/>
        <v>6.579417726</v>
      </c>
      <c r="AS84" s="22" t="str">
        <f>+VLOOKUP(B84,'Country &amp; Code Abbreviation'!$B$3:$C$245,2,FALSE)</f>
        <v>GA</v>
      </c>
    </row>
    <row r="85" spans="2:45">
      <c r="B85" s="20" t="s">
        <v>153</v>
      </c>
      <c r="C85" s="20" t="s">
        <v>270</v>
      </c>
      <c r="E85" s="11" t="str">
        <f>+VLOOKUP($B85,'[3]INT Web'!$B$5:$W$247,'[3]INT Web'!Q$1,FALSE)</f>
        <v>GMD</v>
      </c>
      <c r="F85" s="22">
        <f>+VLOOKUP($B85,'[3]INT Web'!$B$5:$W$247,'[3]INT Web'!R$1,FALSE)</f>
        <v>4451.99</v>
      </c>
      <c r="G85" s="22">
        <f>+VLOOKUP($B85,'[3]INT Web'!$B$5:$W$247,'[3]INT Web'!S$1,FALSE)</f>
        <v>741.99</v>
      </c>
      <c r="H85" s="22">
        <f>+VLOOKUP($B85,'[3]INT Web'!$B$5:$W$247,'[3]INT Web'!T$1,FALSE)</f>
        <v>3299.99</v>
      </c>
      <c r="I85" s="22">
        <f>+VLOOKUP($B85,'[3]INT Web'!$B$5:$W$247,'[3]INT Web'!U$1,FALSE)</f>
        <v>549.99</v>
      </c>
      <c r="J85" s="22">
        <f>+VLOOKUP($B85,'[3]INT Web'!$B$5:$W$247,'[3]INT Web'!V$1,FALSE)</f>
        <v>2969.99</v>
      </c>
      <c r="K85" s="22">
        <f>+VLOOKUP($B85,'[3]INT Web'!$B$5:$W$247,'[3]INT Web'!W$1,FALSE)</f>
        <v>494.99</v>
      </c>
      <c r="L85" s="12">
        <f t="shared" si="85"/>
        <v>6.0000673863529155</v>
      </c>
      <c r="M85" s="12">
        <f t="shared" si="86"/>
        <v>1.3490972563137511</v>
      </c>
      <c r="N85" s="12">
        <f t="shared" si="87"/>
        <v>6.0000909107438316</v>
      </c>
      <c r="O85" s="12">
        <f t="shared" si="88"/>
        <v>6.0001010121416591</v>
      </c>
      <c r="P85" s="12">
        <f t="shared" si="89"/>
        <v>0.89999818178512336</v>
      </c>
      <c r="Q85" s="140" t="str">
        <f t="shared" si="109"/>
        <v>GMD</v>
      </c>
      <c r="R85" s="104">
        <f>+VLOOKUP($B85,'Country-Level Tactics'!$B$5:$AL$248,'Country-Level Tactics'!AH$1,FALSE)</f>
        <v>4451.99</v>
      </c>
      <c r="S85" s="104">
        <f>+VLOOKUP($B85,'Country-Level Tactics'!$B$5:$AL$248,'Country-Level Tactics'!X$1,FALSE)</f>
        <v>741.99</v>
      </c>
      <c r="T85" s="104">
        <f>+VLOOKUP($B85,'Country-Level Tactics'!$B$5:$AL$248,'Country-Level Tactics'!AC$1,FALSE)</f>
        <v>3299.99</v>
      </c>
      <c r="U85" s="104">
        <f>+VLOOKUP($B85,'Country-Level Tactics'!$B$5:$AL$248,'Country-Level Tactics'!T$1,FALSE)</f>
        <v>549.99</v>
      </c>
      <c r="V85" s="104">
        <f t="shared" si="107"/>
        <v>2969.99</v>
      </c>
      <c r="W85" s="104">
        <f t="shared" si="108"/>
        <v>494.99</v>
      </c>
      <c r="X85" s="12">
        <f t="shared" si="96"/>
        <v>6.0000673863529155</v>
      </c>
      <c r="Y85" s="12">
        <f t="shared" si="97"/>
        <v>1.3490972563137511</v>
      </c>
      <c r="Z85" s="12">
        <f t="shared" si="98"/>
        <v>6.0000909107438316</v>
      </c>
      <c r="AA85" s="12">
        <f t="shared" si="99"/>
        <v>6.0001010121416591</v>
      </c>
      <c r="AB85" s="12">
        <f t="shared" si="100"/>
        <v>0.89999818178512336</v>
      </c>
      <c r="AD85" s="10">
        <f t="shared" si="101"/>
        <v>0</v>
      </c>
      <c r="AE85" s="10">
        <f t="shared" si="102"/>
        <v>0</v>
      </c>
      <c r="AF85" s="10">
        <f t="shared" si="103"/>
        <v>0</v>
      </c>
      <c r="AG85" s="10">
        <f t="shared" si="104"/>
        <v>0</v>
      </c>
      <c r="AH85" s="10">
        <f t="shared" si="105"/>
        <v>0</v>
      </c>
      <c r="AI85" s="10">
        <f t="shared" si="106"/>
        <v>0</v>
      </c>
      <c r="AK85" s="165">
        <v>1.3605442000000001E-2</v>
      </c>
      <c r="AL85" s="173">
        <f t="shared" si="90"/>
        <v>60.571291729579997</v>
      </c>
      <c r="AM85" s="173">
        <f t="shared" si="91"/>
        <v>10.09510190958</v>
      </c>
      <c r="AN85" s="173">
        <f t="shared" si="92"/>
        <v>44.897822545579999</v>
      </c>
      <c r="AO85" s="173">
        <f t="shared" si="93"/>
        <v>7.4828570455800003</v>
      </c>
      <c r="AP85" s="173">
        <f t="shared" si="94"/>
        <v>40.408026685579998</v>
      </c>
      <c r="AQ85" s="173">
        <f t="shared" si="95"/>
        <v>6.7345577355800001</v>
      </c>
      <c r="AS85" s="22" t="str">
        <f>+VLOOKUP(B85,'Country &amp; Code Abbreviation'!$B$3:$C$245,2,FALSE)</f>
        <v>GM</v>
      </c>
    </row>
    <row r="86" spans="2:45">
      <c r="B86" s="20" t="s">
        <v>154</v>
      </c>
      <c r="C86" s="20" t="s">
        <v>275</v>
      </c>
      <c r="E86" s="11" t="str">
        <f>+VLOOKUP($B86,'[3]INT Web'!$B$5:$W$247,'[3]INT Web'!Q$1,FALSE)</f>
        <v>GEL</v>
      </c>
      <c r="F86" s="22">
        <f>+VLOOKUP($B86,'[3]INT Web'!$B$5:$W$247,'[3]INT Web'!R$1,FALSE)</f>
        <v>299.99</v>
      </c>
      <c r="G86" s="22">
        <f>+VLOOKUP($B86,'[3]INT Web'!$B$5:$W$247,'[3]INT Web'!S$1,FALSE)</f>
        <v>50.99</v>
      </c>
      <c r="H86" s="22">
        <f>+VLOOKUP($B86,'[3]INT Web'!$B$5:$W$247,'[3]INT Web'!T$1,FALSE)</f>
        <v>229.99</v>
      </c>
      <c r="I86" s="22">
        <f>+VLOOKUP($B86,'[3]INT Web'!$B$5:$W$247,'[3]INT Web'!U$1,FALSE)</f>
        <v>37.99</v>
      </c>
      <c r="J86" s="22">
        <f>+VLOOKUP($B86,'[3]INT Web'!$B$5:$W$247,'[3]INT Web'!V$1,FALSE)</f>
        <v>199.99</v>
      </c>
      <c r="K86" s="22">
        <f>+VLOOKUP($B86,'[3]INT Web'!$B$5:$W$247,'[3]INT Web'!W$1,FALSE)</f>
        <v>33.99</v>
      </c>
      <c r="L86" s="12">
        <f t="shared" si="85"/>
        <v>5.8833104530300062</v>
      </c>
      <c r="M86" s="12">
        <f t="shared" si="86"/>
        <v>1.3421953145564622</v>
      </c>
      <c r="N86" s="12">
        <f t="shared" si="87"/>
        <v>6.0539615688339037</v>
      </c>
      <c r="O86" s="12">
        <f t="shared" si="88"/>
        <v>5.883789349808767</v>
      </c>
      <c r="P86" s="12">
        <f t="shared" si="89"/>
        <v>0.89470913398262697</v>
      </c>
      <c r="Q86" s="140" t="str">
        <f t="shared" si="109"/>
        <v>GEL</v>
      </c>
      <c r="R86" s="104">
        <f>+VLOOKUP($B86,'Country-Level Tactics'!$B$5:$AL$248,'Country-Level Tactics'!AH$1,FALSE)</f>
        <v>299.99</v>
      </c>
      <c r="S86" s="104">
        <f>+VLOOKUP($B86,'Country-Level Tactics'!$B$5:$AL$248,'Country-Level Tactics'!X$1,FALSE)</f>
        <v>50.99</v>
      </c>
      <c r="T86" s="104">
        <f>+VLOOKUP($B86,'Country-Level Tactics'!$B$5:$AL$248,'Country-Level Tactics'!AC$1,FALSE)</f>
        <v>229.99</v>
      </c>
      <c r="U86" s="104">
        <f>+VLOOKUP($B86,'Country-Level Tactics'!$B$5:$AL$248,'Country-Level Tactics'!T$1,FALSE)</f>
        <v>37.99</v>
      </c>
      <c r="V86" s="104">
        <f t="shared" si="107"/>
        <v>199.99</v>
      </c>
      <c r="W86" s="104">
        <f t="shared" si="108"/>
        <v>33.99</v>
      </c>
      <c r="X86" s="12">
        <f t="shared" si="96"/>
        <v>5.8833104530300062</v>
      </c>
      <c r="Y86" s="12">
        <f t="shared" si="97"/>
        <v>1.3421953145564622</v>
      </c>
      <c r="Z86" s="12">
        <f t="shared" si="98"/>
        <v>6.0539615688339037</v>
      </c>
      <c r="AA86" s="12">
        <f t="shared" si="99"/>
        <v>5.883789349808767</v>
      </c>
      <c r="AB86" s="12">
        <f t="shared" si="100"/>
        <v>0.89470913398262697</v>
      </c>
      <c r="AD86" s="10">
        <f t="shared" si="101"/>
        <v>0</v>
      </c>
      <c r="AE86" s="10">
        <f t="shared" si="102"/>
        <v>0</v>
      </c>
      <c r="AF86" s="10">
        <f t="shared" si="103"/>
        <v>0</v>
      </c>
      <c r="AG86" s="10">
        <f t="shared" si="104"/>
        <v>0</v>
      </c>
      <c r="AH86" s="10">
        <f t="shared" si="105"/>
        <v>0</v>
      </c>
      <c r="AI86" s="10">
        <f t="shared" si="106"/>
        <v>0</v>
      </c>
      <c r="AK86" s="165">
        <v>0.37979492999999998</v>
      </c>
      <c r="AL86" s="173">
        <f t="shared" si="90"/>
        <v>113.93468105069999</v>
      </c>
      <c r="AM86" s="173">
        <f t="shared" si="91"/>
        <v>19.365743480700001</v>
      </c>
      <c r="AN86" s="173">
        <f t="shared" si="92"/>
        <v>87.349035950699999</v>
      </c>
      <c r="AO86" s="173">
        <f t="shared" si="93"/>
        <v>14.428409390700001</v>
      </c>
      <c r="AP86" s="173">
        <f t="shared" si="94"/>
        <v>75.955188050700002</v>
      </c>
      <c r="AQ86" s="173">
        <f t="shared" si="95"/>
        <v>12.9092296707</v>
      </c>
      <c r="AS86" s="22" t="str">
        <f>+VLOOKUP(B86,'Country &amp; Code Abbreviation'!$B$3:$C$245,2,FALSE)</f>
        <v>GE</v>
      </c>
    </row>
    <row r="87" spans="2:45">
      <c r="B87" s="199" t="s">
        <v>155</v>
      </c>
      <c r="C87" s="199" t="s">
        <v>100</v>
      </c>
      <c r="D87" s="6" t="s">
        <v>347</v>
      </c>
      <c r="E87" s="11" t="str">
        <f>+VLOOKUP($B87,'[3]INT Web'!$B$5:$W$247,'[3]INT Web'!Q$1,FALSE)</f>
        <v>EUR</v>
      </c>
      <c r="F87" s="22">
        <f>+VLOOKUP($B87,'[3]INT Web'!$B$5:$W$247,'[3]INT Web'!R$1,FALSE)</f>
        <v>189.99</v>
      </c>
      <c r="G87" s="22">
        <f>+VLOOKUP($B87,'[3]INT Web'!$B$5:$W$247,'[3]INT Web'!S$1,FALSE)</f>
        <v>27.99</v>
      </c>
      <c r="H87" s="22">
        <f>+VLOOKUP($B87,'[3]INT Web'!$B$5:$W$247,'[3]INT Web'!T$1,FALSE)</f>
        <v>139.99</v>
      </c>
      <c r="I87" s="22">
        <f>+VLOOKUP($B87,'[3]INT Web'!$B$5:$W$247,'[3]INT Web'!U$1,FALSE)</f>
        <v>19.989999999999998</v>
      </c>
      <c r="J87" s="22">
        <f>+VLOOKUP($B87,'[3]INT Web'!$B$5:$W$247,'[3]INT Web'!V$1,FALSE)</f>
        <v>124.99</v>
      </c>
      <c r="K87" s="22">
        <f>+VLOOKUP($B87,'[3]INT Web'!$B$5:$W$247,'[3]INT Web'!W$1,FALSE)</f>
        <v>17.989999999999998</v>
      </c>
      <c r="L87" s="12">
        <f t="shared" si="85"/>
        <v>6.7877813504823159</v>
      </c>
      <c r="M87" s="12">
        <f t="shared" si="86"/>
        <v>1.400200100050025</v>
      </c>
      <c r="N87" s="12">
        <f t="shared" si="87"/>
        <v>7.0030015007503765</v>
      </c>
      <c r="O87" s="12">
        <f t="shared" si="88"/>
        <v>6.9477487493051697</v>
      </c>
      <c r="P87" s="12">
        <f t="shared" si="89"/>
        <v>0.89994997498749374</v>
      </c>
      <c r="Q87" s="140" t="str">
        <f t="shared" si="109"/>
        <v>EUR</v>
      </c>
      <c r="R87" s="104">
        <f>+VLOOKUP($B87,'Country-Level Tactics'!$B$5:$AL$248,'Country-Level Tactics'!AH$1,FALSE)</f>
        <v>189.99</v>
      </c>
      <c r="S87" s="104">
        <f>+VLOOKUP($B87,'Country-Level Tactics'!$B$5:$AL$248,'Country-Level Tactics'!X$1,FALSE)</f>
        <v>27.99</v>
      </c>
      <c r="T87" s="104">
        <f>+VLOOKUP($B87,'Country-Level Tactics'!$B$5:$AL$248,'Country-Level Tactics'!AC$1,FALSE)</f>
        <v>139.99</v>
      </c>
      <c r="U87" s="104">
        <f>+VLOOKUP($B87,'Country-Level Tactics'!$B$5:$AL$248,'Country-Level Tactics'!T$1,FALSE)</f>
        <v>19.989999999999998</v>
      </c>
      <c r="V87" s="104">
        <f t="shared" si="107"/>
        <v>124.99</v>
      </c>
      <c r="W87" s="104">
        <f t="shared" si="108"/>
        <v>17.989999999999998</v>
      </c>
      <c r="X87" s="12">
        <f t="shared" si="96"/>
        <v>6.7877813504823159</v>
      </c>
      <c r="Y87" s="12">
        <f t="shared" si="97"/>
        <v>1.400200100050025</v>
      </c>
      <c r="Z87" s="12">
        <f t="shared" si="98"/>
        <v>7.0030015007503765</v>
      </c>
      <c r="AA87" s="12">
        <f t="shared" si="99"/>
        <v>6.9477487493051697</v>
      </c>
      <c r="AB87" s="12">
        <f t="shared" si="100"/>
        <v>0.89994997498749374</v>
      </c>
      <c r="AD87" s="10">
        <f t="shared" si="101"/>
        <v>0</v>
      </c>
      <c r="AE87" s="10">
        <f t="shared" si="102"/>
        <v>0</v>
      </c>
      <c r="AF87" s="10">
        <f t="shared" si="103"/>
        <v>0</v>
      </c>
      <c r="AG87" s="10">
        <f t="shared" si="104"/>
        <v>0</v>
      </c>
      <c r="AH87" s="10">
        <f t="shared" si="105"/>
        <v>0</v>
      </c>
      <c r="AI87" s="10">
        <f t="shared" si="106"/>
        <v>0</v>
      </c>
      <c r="AK87" s="165">
        <v>1.14175</v>
      </c>
      <c r="AL87" s="173">
        <f t="shared" si="90"/>
        <v>216.92108250000001</v>
      </c>
      <c r="AM87" s="173">
        <f t="shared" si="91"/>
        <v>31.957582500000001</v>
      </c>
      <c r="AN87" s="173">
        <f t="shared" si="92"/>
        <v>159.83358250000001</v>
      </c>
      <c r="AO87" s="173">
        <f t="shared" si="93"/>
        <v>22.823582500000001</v>
      </c>
      <c r="AP87" s="173">
        <f t="shared" si="94"/>
        <v>142.70733250000001</v>
      </c>
      <c r="AQ87" s="173">
        <f t="shared" si="95"/>
        <v>20.5400825</v>
      </c>
      <c r="AS87" s="22" t="str">
        <f>+VLOOKUP(B87,'Country &amp; Code Abbreviation'!$B$3:$C$245,2,FALSE)</f>
        <v>DE</v>
      </c>
    </row>
    <row r="88" spans="2:45">
      <c r="B88" s="20" t="s">
        <v>156</v>
      </c>
      <c r="C88" s="20" t="s">
        <v>270</v>
      </c>
      <c r="E88" s="11" t="str">
        <f>+VLOOKUP($B88,'[3]INT Web'!$B$5:$W$247,'[3]INT Web'!Q$1,FALSE)</f>
        <v>GHS</v>
      </c>
      <c r="F88" s="22">
        <f>+VLOOKUP($B88,'[3]INT Web'!$B$5:$W$247,'[3]INT Web'!R$1,FALSE)</f>
        <v>679</v>
      </c>
      <c r="G88" s="22">
        <f>+VLOOKUP($B88,'[3]INT Web'!$B$5:$W$247,'[3]INT Web'!S$1,FALSE)</f>
        <v>114</v>
      </c>
      <c r="H88" s="22">
        <f>+VLOOKUP($B88,'[3]INT Web'!$B$5:$W$247,'[3]INT Web'!T$1,FALSE)</f>
        <v>479</v>
      </c>
      <c r="I88" s="22">
        <f>+VLOOKUP($B88,'[3]INT Web'!$B$5:$W$247,'[3]INT Web'!U$1,FALSE)</f>
        <v>79</v>
      </c>
      <c r="J88" s="22">
        <f>+VLOOKUP($B88,'[3]INT Web'!$B$5:$W$247,'[3]INT Web'!V$1,FALSE)</f>
        <v>419</v>
      </c>
      <c r="K88" s="22">
        <f>+VLOOKUP($B88,'[3]INT Web'!$B$5:$W$247,'[3]INT Web'!W$1,FALSE)</f>
        <v>69</v>
      </c>
      <c r="L88" s="12">
        <f t="shared" si="85"/>
        <v>5.9561403508771926</v>
      </c>
      <c r="M88" s="12">
        <f t="shared" si="86"/>
        <v>1.4430379746835442</v>
      </c>
      <c r="N88" s="12">
        <f t="shared" si="87"/>
        <v>6.0632911392405067</v>
      </c>
      <c r="O88" s="12">
        <f t="shared" si="88"/>
        <v>6.0724637681159424</v>
      </c>
      <c r="P88" s="12">
        <f t="shared" si="89"/>
        <v>0.87341772151898733</v>
      </c>
      <c r="Q88" s="140" t="str">
        <f t="shared" si="109"/>
        <v>GHS</v>
      </c>
      <c r="R88" s="104">
        <f>+VLOOKUP($B88,'Country-Level Tactics'!$B$5:$AL$248,'Country-Level Tactics'!AH$1,FALSE)</f>
        <v>679</v>
      </c>
      <c r="S88" s="104">
        <f>+VLOOKUP($B88,'Country-Level Tactics'!$B$5:$AL$248,'Country-Level Tactics'!X$1,FALSE)</f>
        <v>114</v>
      </c>
      <c r="T88" s="104">
        <f>+VLOOKUP($B88,'Country-Level Tactics'!$B$5:$AL$248,'Country-Level Tactics'!AC$1,FALSE)</f>
        <v>479</v>
      </c>
      <c r="U88" s="104">
        <f>+VLOOKUP($B88,'Country-Level Tactics'!$B$5:$AL$248,'Country-Level Tactics'!T$1,FALSE)</f>
        <v>79</v>
      </c>
      <c r="V88" s="104">
        <f>+J88</f>
        <v>419</v>
      </c>
      <c r="W88" s="104">
        <f>+K88</f>
        <v>69</v>
      </c>
      <c r="X88" s="12">
        <f t="shared" si="96"/>
        <v>5.9561403508771926</v>
      </c>
      <c r="Y88" s="12">
        <f t="shared" si="97"/>
        <v>1.4430379746835442</v>
      </c>
      <c r="Z88" s="12">
        <f t="shared" si="98"/>
        <v>6.0632911392405067</v>
      </c>
      <c r="AA88" s="12">
        <f t="shared" si="99"/>
        <v>6.0724637681159424</v>
      </c>
      <c r="AB88" s="12">
        <f t="shared" si="100"/>
        <v>0.87341772151898733</v>
      </c>
      <c r="AD88" s="10">
        <f t="shared" si="101"/>
        <v>0</v>
      </c>
      <c r="AE88" s="10">
        <f t="shared" si="102"/>
        <v>0</v>
      </c>
      <c r="AF88" s="10">
        <f t="shared" si="103"/>
        <v>0</v>
      </c>
      <c r="AG88" s="10">
        <f t="shared" si="104"/>
        <v>0</v>
      </c>
      <c r="AH88" s="10">
        <f t="shared" si="105"/>
        <v>0</v>
      </c>
      <c r="AI88" s="10">
        <f t="shared" si="106"/>
        <v>0</v>
      </c>
      <c r="AK88" s="165">
        <v>8.77193E-2</v>
      </c>
      <c r="AL88" s="173">
        <f t="shared" si="90"/>
        <v>59.561404699999997</v>
      </c>
      <c r="AM88" s="173">
        <f t="shared" si="91"/>
        <v>10.000000200000001</v>
      </c>
      <c r="AN88" s="173">
        <f t="shared" si="92"/>
        <v>42.017544700000002</v>
      </c>
      <c r="AO88" s="173">
        <f t="shared" si="93"/>
        <v>6.9298247000000002</v>
      </c>
      <c r="AP88" s="173">
        <f t="shared" si="94"/>
        <v>36.754386699999998</v>
      </c>
      <c r="AQ88" s="173">
        <f t="shared" si="95"/>
        <v>6.0526317000000001</v>
      </c>
      <c r="AS88" s="22" t="str">
        <f>+VLOOKUP(B88,'Country &amp; Code Abbreviation'!$B$3:$C$245,2,FALSE)</f>
        <v>GH</v>
      </c>
    </row>
    <row r="89" spans="2:45">
      <c r="B89" s="20" t="s">
        <v>157</v>
      </c>
      <c r="C89" s="20" t="s">
        <v>100</v>
      </c>
      <c r="E89" s="11" t="str">
        <f>+VLOOKUP($B89,'[3]INT Web'!$B$5:$W$247,'[3]INT Web'!Q$1,FALSE)</f>
        <v>GIP</v>
      </c>
      <c r="F89" s="22">
        <f>+VLOOKUP($B89,'[3]INT Web'!$B$5:$W$247,'[3]INT Web'!R$1,FALSE)</f>
        <v>124.99</v>
      </c>
      <c r="G89" s="22">
        <f>+VLOOKUP($B89,'[3]INT Web'!$B$5:$W$247,'[3]INT Web'!S$1,FALSE)</f>
        <v>17.989999999999998</v>
      </c>
      <c r="H89" s="22">
        <f>+VLOOKUP($B89,'[3]INT Web'!$B$5:$W$247,'[3]INT Web'!T$1,FALSE)</f>
        <v>79.989999999999995</v>
      </c>
      <c r="I89" s="22">
        <f>+VLOOKUP($B89,'[3]INT Web'!$B$5:$W$247,'[3]INT Web'!U$1,FALSE)</f>
        <v>12.99</v>
      </c>
      <c r="J89" s="22">
        <f>+VLOOKUP($B89,'[3]INT Web'!$B$5:$W$247,'[3]INT Web'!V$1,FALSE)</f>
        <v>69.989999999999995</v>
      </c>
      <c r="K89" s="22">
        <f>+VLOOKUP($B89,'[3]INT Web'!$B$5:$W$247,'[3]INT Web'!W$1,FALSE)</f>
        <v>11.99</v>
      </c>
      <c r="L89" s="12">
        <f t="shared" si="85"/>
        <v>6.9477487493051697</v>
      </c>
      <c r="M89" s="12">
        <f t="shared" si="86"/>
        <v>1.3849114703618166</v>
      </c>
      <c r="N89" s="12">
        <f t="shared" si="87"/>
        <v>6.157813702848344</v>
      </c>
      <c r="O89" s="12">
        <f t="shared" si="88"/>
        <v>5.8373644703919929</v>
      </c>
      <c r="P89" s="12">
        <f t="shared" si="89"/>
        <v>0.92301770592763666</v>
      </c>
      <c r="Q89" s="140" t="str">
        <f t="shared" si="109"/>
        <v>GIP</v>
      </c>
      <c r="R89" s="104">
        <f>+VLOOKUP($B89,'Country-Level Tactics'!$B$5:$AL$248,'Country-Level Tactics'!AH$1,FALSE)</f>
        <v>124.99</v>
      </c>
      <c r="S89" s="104">
        <f>+VLOOKUP($B89,'Country-Level Tactics'!$B$5:$AL$248,'Country-Level Tactics'!X$1,FALSE)</f>
        <v>17.989999999999998</v>
      </c>
      <c r="T89" s="104">
        <f>+VLOOKUP($B89,'Country-Level Tactics'!$B$5:$AL$248,'Country-Level Tactics'!AC$1,FALSE)</f>
        <v>79.989999999999995</v>
      </c>
      <c r="U89" s="104">
        <f>+VLOOKUP($B89,'Country-Level Tactics'!$B$5:$AL$248,'Country-Level Tactics'!T$1,FALSE)</f>
        <v>12.99</v>
      </c>
      <c r="V89" s="104">
        <f t="shared" ref="V89:V104" si="110">+J89</f>
        <v>69.989999999999995</v>
      </c>
      <c r="W89" s="104">
        <f t="shared" ref="W89:W104" si="111">+K89</f>
        <v>11.99</v>
      </c>
      <c r="X89" s="12">
        <f t="shared" si="96"/>
        <v>6.9477487493051697</v>
      </c>
      <c r="Y89" s="12">
        <f t="shared" si="97"/>
        <v>1.3849114703618166</v>
      </c>
      <c r="Z89" s="12">
        <f t="shared" si="98"/>
        <v>6.157813702848344</v>
      </c>
      <c r="AA89" s="12">
        <f t="shared" si="99"/>
        <v>5.8373644703919929</v>
      </c>
      <c r="AB89" s="12">
        <f t="shared" si="100"/>
        <v>0.92301770592763666</v>
      </c>
      <c r="AD89" s="10">
        <f t="shared" si="101"/>
        <v>0</v>
      </c>
      <c r="AE89" s="10">
        <f t="shared" si="102"/>
        <v>0</v>
      </c>
      <c r="AF89" s="10">
        <f t="shared" si="103"/>
        <v>0</v>
      </c>
      <c r="AG89" s="10">
        <f t="shared" si="104"/>
        <v>0</v>
      </c>
      <c r="AH89" s="10">
        <f t="shared" si="105"/>
        <v>0</v>
      </c>
      <c r="AI89" s="10">
        <f t="shared" si="106"/>
        <v>0</v>
      </c>
      <c r="AK89" s="165">
        <v>1.3334999999999999</v>
      </c>
      <c r="AL89" s="173">
        <f t="shared" si="90"/>
        <v>166.67416499999999</v>
      </c>
      <c r="AM89" s="173">
        <f t="shared" si="91"/>
        <v>23.989664999999995</v>
      </c>
      <c r="AN89" s="173">
        <f t="shared" si="92"/>
        <v>106.66666499999998</v>
      </c>
      <c r="AO89" s="173">
        <f t="shared" si="93"/>
        <v>17.322164999999998</v>
      </c>
      <c r="AP89" s="173">
        <f t="shared" si="94"/>
        <v>93.331664999999987</v>
      </c>
      <c r="AQ89" s="173">
        <f t="shared" si="95"/>
        <v>15.988664999999999</v>
      </c>
      <c r="AS89" s="22" t="str">
        <f>+VLOOKUP(B89,'Country &amp; Code Abbreviation'!$B$3:$C$245,2,FALSE)</f>
        <v>GI</v>
      </c>
    </row>
    <row r="90" spans="2:45">
      <c r="B90" s="20" t="s">
        <v>158</v>
      </c>
      <c r="C90" s="20" t="s">
        <v>100</v>
      </c>
      <c r="D90" s="6" t="s">
        <v>348</v>
      </c>
      <c r="E90" s="11" t="str">
        <f>+VLOOKUP($B90,'[3]INT Web'!$B$5:$W$247,'[3]INT Web'!Q$1,FALSE)</f>
        <v>EUR</v>
      </c>
      <c r="F90" s="22">
        <f>+VLOOKUP($B90,'[3]INT Web'!$B$5:$W$247,'[3]INT Web'!R$1,FALSE)</f>
        <v>117.99</v>
      </c>
      <c r="G90" s="22">
        <f>+VLOOKUP($B90,'[3]INT Web'!$B$5:$W$247,'[3]INT Web'!S$1,FALSE)</f>
        <v>16.989999999999998</v>
      </c>
      <c r="H90" s="22">
        <f>+VLOOKUP($B90,'[3]INT Web'!$B$5:$W$247,'[3]INT Web'!T$1,FALSE)</f>
        <v>89.99</v>
      </c>
      <c r="I90" s="22">
        <f>+VLOOKUP($B90,'[3]INT Web'!$B$5:$W$247,'[3]INT Web'!U$1,FALSE)</f>
        <v>12.99</v>
      </c>
      <c r="J90" s="22">
        <f>+VLOOKUP($B90,'[3]INT Web'!$B$5:$W$247,'[3]INT Web'!V$1,FALSE)</f>
        <v>79.989999999999995</v>
      </c>
      <c r="K90" s="22">
        <f>+VLOOKUP($B90,'[3]INT Web'!$B$5:$W$247,'[3]INT Web'!W$1,FALSE)</f>
        <v>11.99</v>
      </c>
      <c r="L90" s="12">
        <f t="shared" ref="L90:L112" si="112">+F90/G90</f>
        <v>6.9446733372572105</v>
      </c>
      <c r="M90" s="12">
        <f t="shared" ref="M90:M112" si="113">+G90/I90</f>
        <v>1.3079291762894534</v>
      </c>
      <c r="N90" s="12">
        <f t="shared" ref="N90:N112" si="114">+H90/I90</f>
        <v>6.9276366435719776</v>
      </c>
      <c r="O90" s="12">
        <f t="shared" ref="O90:O104" si="115">+J90/K90</f>
        <v>6.6713928273561294</v>
      </c>
      <c r="P90" s="12">
        <f t="shared" ref="P90:P104" si="116">+K90/I90</f>
        <v>0.92301770592763666</v>
      </c>
      <c r="Q90" s="140" t="str">
        <f t="shared" si="109"/>
        <v>EUR</v>
      </c>
      <c r="R90" s="104">
        <f>+VLOOKUP($B90,'Country-Level Tactics'!$B$5:$AL$248,'Country-Level Tactics'!AH$1,FALSE)</f>
        <v>117.99</v>
      </c>
      <c r="S90" s="104">
        <f>+VLOOKUP($B90,'Country-Level Tactics'!$B$5:$AL$248,'Country-Level Tactics'!X$1,FALSE)</f>
        <v>16.989999999999998</v>
      </c>
      <c r="T90" s="104">
        <f>+VLOOKUP($B90,'Country-Level Tactics'!$B$5:$AL$248,'Country-Level Tactics'!AC$1,FALSE)</f>
        <v>89.99</v>
      </c>
      <c r="U90" s="104">
        <f>+VLOOKUP($B90,'Country-Level Tactics'!$B$5:$AL$248,'Country-Level Tactics'!T$1,FALSE)</f>
        <v>12.99</v>
      </c>
      <c r="V90" s="104">
        <f t="shared" si="110"/>
        <v>79.989999999999995</v>
      </c>
      <c r="W90" s="104">
        <f t="shared" si="111"/>
        <v>11.99</v>
      </c>
      <c r="X90" s="12">
        <f t="shared" si="96"/>
        <v>6.9446733372572105</v>
      </c>
      <c r="Y90" s="12">
        <f t="shared" si="97"/>
        <v>1.3079291762894534</v>
      </c>
      <c r="Z90" s="12">
        <f t="shared" si="98"/>
        <v>6.9276366435719776</v>
      </c>
      <c r="AA90" s="12">
        <f t="shared" si="99"/>
        <v>6.6713928273561294</v>
      </c>
      <c r="AB90" s="12">
        <f t="shared" si="100"/>
        <v>0.92301770592763666</v>
      </c>
      <c r="AD90" s="10">
        <f t="shared" si="101"/>
        <v>0</v>
      </c>
      <c r="AE90" s="10">
        <f t="shared" si="102"/>
        <v>0</v>
      </c>
      <c r="AF90" s="10">
        <f t="shared" si="103"/>
        <v>0</v>
      </c>
      <c r="AG90" s="10">
        <f t="shared" si="104"/>
        <v>0</v>
      </c>
      <c r="AH90" s="10">
        <f t="shared" si="105"/>
        <v>0</v>
      </c>
      <c r="AI90" s="10">
        <f t="shared" si="106"/>
        <v>0</v>
      </c>
      <c r="AK90" s="165">
        <v>1.14175</v>
      </c>
      <c r="AL90" s="173">
        <f t="shared" ref="AL90:AL121" si="117">+R90*$AK90</f>
        <v>134.71508249999999</v>
      </c>
      <c r="AM90" s="173">
        <f t="shared" ref="AM90:AM121" si="118">+S90*$AK90</f>
        <v>19.398332499999999</v>
      </c>
      <c r="AN90" s="173">
        <f t="shared" ref="AN90:AN121" si="119">+T90*$AK90</f>
        <v>102.7460825</v>
      </c>
      <c r="AO90" s="173">
        <f t="shared" ref="AO90:AO121" si="120">+U90*$AK90</f>
        <v>14.8313325</v>
      </c>
      <c r="AP90" s="173">
        <f t="shared" ref="AP90:AP121" si="121">+V90*$AK90</f>
        <v>91.328582499999996</v>
      </c>
      <c r="AQ90" s="173">
        <f t="shared" ref="AQ90:AQ121" si="122">+W90*$AK90</f>
        <v>13.6895825</v>
      </c>
      <c r="AS90" s="22" t="str">
        <f>+VLOOKUP(B90,'Country &amp; Code Abbreviation'!$B$3:$C$245,2,FALSE)</f>
        <v>GR</v>
      </c>
    </row>
    <row r="91" spans="2:45">
      <c r="B91" s="20" t="s">
        <v>159</v>
      </c>
      <c r="C91" s="20" t="s">
        <v>100</v>
      </c>
      <c r="E91" s="11" t="str">
        <f>+VLOOKUP($B91,'[3]INT Web'!$B$5:$W$247,'[3]INT Web'!Q$1,FALSE)</f>
        <v>DKK</v>
      </c>
      <c r="F91" s="22">
        <f>+VLOOKUP($B91,'[3]INT Web'!$B$5:$W$247,'[3]INT Web'!R$1,FALSE)</f>
        <v>1079.99</v>
      </c>
      <c r="G91" s="22">
        <f>+VLOOKUP($B91,'[3]INT Web'!$B$5:$W$247,'[3]INT Web'!S$1,FALSE)</f>
        <v>179.99</v>
      </c>
      <c r="H91" s="22">
        <f>+VLOOKUP($B91,'[3]INT Web'!$B$5:$W$247,'[3]INT Web'!T$1,FALSE)</f>
        <v>829.99</v>
      </c>
      <c r="I91" s="22">
        <f>+VLOOKUP($B91,'[3]INT Web'!$B$5:$W$247,'[3]INT Web'!U$1,FALSE)</f>
        <v>139.99</v>
      </c>
      <c r="J91" s="22">
        <f>+VLOOKUP($B91,'[3]INT Web'!$B$5:$W$247,'[3]INT Web'!V$1,FALSE)</f>
        <v>779.99</v>
      </c>
      <c r="K91" s="22">
        <f>+VLOOKUP($B91,'[3]INT Web'!$B$5:$W$247,'[3]INT Web'!W$1,FALSE)</f>
        <v>129.99</v>
      </c>
      <c r="L91" s="12">
        <f t="shared" si="112"/>
        <v>6.0002777932107341</v>
      </c>
      <c r="M91" s="12">
        <f t="shared" si="113"/>
        <v>1.285734695335381</v>
      </c>
      <c r="N91" s="12">
        <f t="shared" si="114"/>
        <v>5.928923494535324</v>
      </c>
      <c r="O91" s="12">
        <f t="shared" si="115"/>
        <v>6.0003846449726899</v>
      </c>
      <c r="P91" s="12">
        <f t="shared" si="116"/>
        <v>0.92856632616615475</v>
      </c>
      <c r="Q91" s="140" t="str">
        <f t="shared" si="109"/>
        <v>DKK</v>
      </c>
      <c r="R91" s="104">
        <f>+VLOOKUP($B91,'Country-Level Tactics'!$B$5:$AL$248,'Country-Level Tactics'!AH$1,FALSE)</f>
        <v>1079.99</v>
      </c>
      <c r="S91" s="104">
        <f>+VLOOKUP($B91,'Country-Level Tactics'!$B$5:$AL$248,'Country-Level Tactics'!X$1,FALSE)</f>
        <v>179.99</v>
      </c>
      <c r="T91" s="104">
        <f>+VLOOKUP($B91,'Country-Level Tactics'!$B$5:$AL$248,'Country-Level Tactics'!AC$1,FALSE)</f>
        <v>829.99</v>
      </c>
      <c r="U91" s="104">
        <f>+VLOOKUP($B91,'Country-Level Tactics'!$B$5:$AL$248,'Country-Level Tactics'!T$1,FALSE)</f>
        <v>139.99</v>
      </c>
      <c r="V91" s="104">
        <f t="shared" si="110"/>
        <v>779.99</v>
      </c>
      <c r="W91" s="104">
        <f t="shared" si="111"/>
        <v>129.99</v>
      </c>
      <c r="X91" s="12">
        <f t="shared" si="96"/>
        <v>6.0002777932107341</v>
      </c>
      <c r="Y91" s="12">
        <f t="shared" si="97"/>
        <v>1.285734695335381</v>
      </c>
      <c r="Z91" s="12">
        <f t="shared" si="98"/>
        <v>5.928923494535324</v>
      </c>
      <c r="AA91" s="12">
        <f t="shared" si="99"/>
        <v>6.0003846449726899</v>
      </c>
      <c r="AB91" s="12">
        <f t="shared" si="100"/>
        <v>0.92856632616615475</v>
      </c>
      <c r="AD91" s="10">
        <f t="shared" si="101"/>
        <v>0</v>
      </c>
      <c r="AE91" s="10">
        <f t="shared" si="102"/>
        <v>0</v>
      </c>
      <c r="AF91" s="10">
        <f t="shared" si="103"/>
        <v>0</v>
      </c>
      <c r="AG91" s="10">
        <f t="shared" si="104"/>
        <v>0</v>
      </c>
      <c r="AH91" s="10">
        <f t="shared" si="105"/>
        <v>0</v>
      </c>
      <c r="AI91" s="10">
        <f t="shared" si="106"/>
        <v>0</v>
      </c>
      <c r="AK91" s="165">
        <v>0.15274872</v>
      </c>
      <c r="AL91" s="173">
        <f t="shared" si="117"/>
        <v>164.96709011280001</v>
      </c>
      <c r="AM91" s="173">
        <f t="shared" si="118"/>
        <v>27.493242112800001</v>
      </c>
      <c r="AN91" s="173">
        <f t="shared" si="119"/>
        <v>126.77991011280001</v>
      </c>
      <c r="AO91" s="173">
        <f t="shared" si="120"/>
        <v>21.383293312800003</v>
      </c>
      <c r="AP91" s="173">
        <f t="shared" si="121"/>
        <v>119.1424741128</v>
      </c>
      <c r="AQ91" s="173">
        <f t="shared" si="122"/>
        <v>19.855806112800003</v>
      </c>
      <c r="AS91" s="22" t="str">
        <f>+VLOOKUP(B91,'Country &amp; Code Abbreviation'!$B$3:$C$245,2,FALSE)</f>
        <v>GL</v>
      </c>
    </row>
    <row r="92" spans="2:45">
      <c r="B92" s="20" t="s">
        <v>160</v>
      </c>
      <c r="C92" s="20" t="s">
        <v>96</v>
      </c>
      <c r="E92" s="11" t="str">
        <f>+VLOOKUP($B92,'[3]INT Web'!$B$5:$W$247,'[3]INT Web'!Q$1,FALSE)</f>
        <v>XCD</v>
      </c>
      <c r="F92" s="22">
        <f>+VLOOKUP($B92,'[3]INT Web'!$B$5:$W$247,'[3]INT Web'!R$1,FALSE)</f>
        <v>305.99</v>
      </c>
      <c r="G92" s="22">
        <f>+VLOOKUP($B92,'[3]INT Web'!$B$5:$W$247,'[3]INT Web'!S$1,FALSE)</f>
        <v>50.99</v>
      </c>
      <c r="H92" s="22">
        <f>+VLOOKUP($B92,'[3]INT Web'!$B$5:$W$247,'[3]INT Web'!T$1,FALSE)</f>
        <v>227.99</v>
      </c>
      <c r="I92" s="22">
        <f>+VLOOKUP($B92,'[3]INT Web'!$B$5:$W$247,'[3]INT Web'!U$1,FALSE)</f>
        <v>37.99</v>
      </c>
      <c r="J92" s="22">
        <f>+VLOOKUP($B92,'[3]INT Web'!$B$5:$W$247,'[3]INT Web'!V$1,FALSE)</f>
        <v>203.99</v>
      </c>
      <c r="K92" s="22">
        <f>+VLOOKUP($B92,'[3]INT Web'!$B$5:$W$247,'[3]INT Web'!W$1,FALSE)</f>
        <v>33.99</v>
      </c>
      <c r="L92" s="12">
        <f t="shared" si="112"/>
        <v>6.0009805844283193</v>
      </c>
      <c r="M92" s="12">
        <f t="shared" si="113"/>
        <v>1.3421953145564622</v>
      </c>
      <c r="N92" s="12">
        <f t="shared" si="114"/>
        <v>6.0013161358252169</v>
      </c>
      <c r="O92" s="12">
        <f t="shared" si="115"/>
        <v>6.0014710208884967</v>
      </c>
      <c r="P92" s="12">
        <f t="shared" si="116"/>
        <v>0.89470913398262697</v>
      </c>
      <c r="Q92" s="140" t="str">
        <f t="shared" si="109"/>
        <v>XCD</v>
      </c>
      <c r="R92" s="104">
        <f>+VLOOKUP($B92,'Country-Level Tactics'!$B$5:$AL$248,'Country-Level Tactics'!AH$1,FALSE)</f>
        <v>305.99</v>
      </c>
      <c r="S92" s="104">
        <f>+VLOOKUP($B92,'Country-Level Tactics'!$B$5:$AL$248,'Country-Level Tactics'!X$1,FALSE)</f>
        <v>50.99</v>
      </c>
      <c r="T92" s="104">
        <f>+VLOOKUP($B92,'Country-Level Tactics'!$B$5:$AL$248,'Country-Level Tactics'!AC$1,FALSE)</f>
        <v>227.99</v>
      </c>
      <c r="U92" s="104">
        <f>+VLOOKUP($B92,'Country-Level Tactics'!$B$5:$AL$248,'Country-Level Tactics'!T$1,FALSE)</f>
        <v>37.99</v>
      </c>
      <c r="V92" s="104">
        <f t="shared" si="110"/>
        <v>203.99</v>
      </c>
      <c r="W92" s="104">
        <f t="shared" si="111"/>
        <v>33.99</v>
      </c>
      <c r="X92" s="12">
        <f t="shared" si="96"/>
        <v>6.0009805844283193</v>
      </c>
      <c r="Y92" s="12">
        <f t="shared" si="97"/>
        <v>1.3421953145564622</v>
      </c>
      <c r="Z92" s="12">
        <f t="shared" si="98"/>
        <v>6.0013161358252169</v>
      </c>
      <c r="AA92" s="12">
        <f t="shared" si="99"/>
        <v>6.0014710208884967</v>
      </c>
      <c r="AB92" s="12">
        <f t="shared" si="100"/>
        <v>0.89470913398262697</v>
      </c>
      <c r="AD92" s="10">
        <f t="shared" si="101"/>
        <v>0</v>
      </c>
      <c r="AE92" s="10">
        <f t="shared" si="102"/>
        <v>0</v>
      </c>
      <c r="AF92" s="10">
        <f t="shared" si="103"/>
        <v>0</v>
      </c>
      <c r="AG92" s="10">
        <f t="shared" si="104"/>
        <v>0</v>
      </c>
      <c r="AH92" s="10">
        <f t="shared" si="105"/>
        <v>0</v>
      </c>
      <c r="AI92" s="10">
        <f t="shared" si="106"/>
        <v>0</v>
      </c>
      <c r="AK92" s="165">
        <v>0.37037036000000001</v>
      </c>
      <c r="AL92" s="173">
        <f t="shared" si="117"/>
        <v>113.32962645640001</v>
      </c>
      <c r="AM92" s="173">
        <f t="shared" si="118"/>
        <v>18.8851846564</v>
      </c>
      <c r="AN92" s="173">
        <f t="shared" si="119"/>
        <v>84.440738376400006</v>
      </c>
      <c r="AO92" s="173">
        <f t="shared" si="120"/>
        <v>14.0703699764</v>
      </c>
      <c r="AP92" s="173">
        <f t="shared" si="121"/>
        <v>75.551849736400001</v>
      </c>
      <c r="AQ92" s="173">
        <f t="shared" si="122"/>
        <v>12.588888536400001</v>
      </c>
      <c r="AS92" s="22" t="str">
        <f>+VLOOKUP(B92,'Country &amp; Code Abbreviation'!$B$3:$C$245,2,FALSE)</f>
        <v>GD</v>
      </c>
    </row>
    <row r="93" spans="2:45">
      <c r="B93" s="20" t="s">
        <v>161</v>
      </c>
      <c r="C93" s="21" t="s">
        <v>100</v>
      </c>
      <c r="E93" s="11" t="str">
        <f>+VLOOKUP($B93,'[3]INT Web'!$B$5:$W$247,'[3]INT Web'!Q$1,FALSE)</f>
        <v>EUR</v>
      </c>
      <c r="F93" s="22">
        <f>+VLOOKUP($B93,'[3]INT Web'!$B$5:$W$247,'[3]INT Web'!R$1,FALSE)</f>
        <v>84.99</v>
      </c>
      <c r="G93" s="22">
        <f>+VLOOKUP($B93,'[3]INT Web'!$B$5:$W$247,'[3]INT Web'!S$1,FALSE)</f>
        <v>13.99</v>
      </c>
      <c r="H93" s="22">
        <f>+VLOOKUP($B93,'[3]INT Web'!$B$5:$W$247,'[3]INT Web'!T$1,FALSE)</f>
        <v>59.99</v>
      </c>
      <c r="I93" s="22">
        <f>+VLOOKUP($B93,'[3]INT Web'!$B$5:$W$247,'[3]INT Web'!U$1,FALSE)</f>
        <v>9.99</v>
      </c>
      <c r="J93" s="22">
        <f>+VLOOKUP($B93,'[3]INT Web'!$B$5:$W$247,'[3]INT Web'!V$1,FALSE)</f>
        <v>53.99</v>
      </c>
      <c r="K93" s="22">
        <f>+VLOOKUP($B93,'[3]INT Web'!$B$5:$W$247,'[3]INT Web'!W$1,FALSE)</f>
        <v>8.99</v>
      </c>
      <c r="L93" s="12">
        <f t="shared" si="112"/>
        <v>6.0750536097212287</v>
      </c>
      <c r="M93" s="12">
        <f t="shared" si="113"/>
        <v>1.4004004004004005</v>
      </c>
      <c r="N93" s="12">
        <f t="shared" si="114"/>
        <v>6.005005005005005</v>
      </c>
      <c r="O93" s="12">
        <f t="shared" si="115"/>
        <v>6.0055617352614012</v>
      </c>
      <c r="P93" s="12">
        <f t="shared" si="116"/>
        <v>0.89989989989989994</v>
      </c>
      <c r="Q93" s="140" t="str">
        <f t="shared" si="109"/>
        <v>EUR</v>
      </c>
      <c r="R93" s="104">
        <f>+VLOOKUP($B93,'Country-Level Tactics'!$B$5:$AL$248,'Country-Level Tactics'!AH$1,FALSE)</f>
        <v>84.99</v>
      </c>
      <c r="S93" s="104">
        <f>+VLOOKUP($B93,'Country-Level Tactics'!$B$5:$AL$248,'Country-Level Tactics'!X$1,FALSE)</f>
        <v>13.99</v>
      </c>
      <c r="T93" s="104">
        <f>+VLOOKUP($B93,'Country-Level Tactics'!$B$5:$AL$248,'Country-Level Tactics'!AC$1,FALSE)</f>
        <v>59.99</v>
      </c>
      <c r="U93" s="104">
        <f>+VLOOKUP($B93,'Country-Level Tactics'!$B$5:$AL$248,'Country-Level Tactics'!T$1,FALSE)</f>
        <v>9.99</v>
      </c>
      <c r="V93" s="104">
        <f t="shared" si="110"/>
        <v>53.99</v>
      </c>
      <c r="W93" s="104">
        <f t="shared" si="111"/>
        <v>8.99</v>
      </c>
      <c r="X93" s="12">
        <f t="shared" si="96"/>
        <v>6.0750536097212287</v>
      </c>
      <c r="Y93" s="12">
        <f t="shared" si="97"/>
        <v>1.4004004004004005</v>
      </c>
      <c r="Z93" s="12">
        <f t="shared" si="98"/>
        <v>6.005005005005005</v>
      </c>
      <c r="AA93" s="12">
        <f t="shared" si="99"/>
        <v>6.0055617352614012</v>
      </c>
      <c r="AB93" s="12">
        <f t="shared" si="100"/>
        <v>0.89989989989989994</v>
      </c>
      <c r="AD93" s="10">
        <f t="shared" si="101"/>
        <v>0</v>
      </c>
      <c r="AE93" s="10">
        <f t="shared" si="102"/>
        <v>0</v>
      </c>
      <c r="AF93" s="10">
        <f t="shared" si="103"/>
        <v>0</v>
      </c>
      <c r="AG93" s="10">
        <f t="shared" si="104"/>
        <v>0</v>
      </c>
      <c r="AH93" s="10">
        <f t="shared" si="105"/>
        <v>0</v>
      </c>
      <c r="AI93" s="10">
        <f t="shared" si="106"/>
        <v>0</v>
      </c>
      <c r="AK93" s="165">
        <v>1.14175</v>
      </c>
      <c r="AL93" s="173">
        <f t="shared" si="117"/>
        <v>97.037332499999991</v>
      </c>
      <c r="AM93" s="173">
        <f t="shared" si="118"/>
        <v>15.9730825</v>
      </c>
      <c r="AN93" s="173">
        <f t="shared" si="119"/>
        <v>68.493582500000002</v>
      </c>
      <c r="AO93" s="173">
        <f t="shared" si="120"/>
        <v>11.4060825</v>
      </c>
      <c r="AP93" s="173">
        <f t="shared" si="121"/>
        <v>61.643082500000006</v>
      </c>
      <c r="AQ93" s="173">
        <f t="shared" si="122"/>
        <v>10.2643325</v>
      </c>
      <c r="AS93" s="22" t="str">
        <f>+VLOOKUP(B93,'Country &amp; Code Abbreviation'!$B$3:$C$245,2,FALSE)</f>
        <v>GP</v>
      </c>
    </row>
    <row r="94" spans="2:45">
      <c r="B94" s="20" t="s">
        <v>162</v>
      </c>
      <c r="C94" s="20" t="s">
        <v>96</v>
      </c>
      <c r="E94" s="11" t="str">
        <f>+VLOOKUP($B94,'[3]INT Web'!$B$5:$W$247,'[3]INT Web'!Q$1,FALSE)</f>
        <v>GTQ</v>
      </c>
      <c r="F94" s="22">
        <f>+VLOOKUP($B94,'[3]INT Web'!$B$5:$W$247,'[3]INT Web'!R$1,FALSE)</f>
        <v>749.99</v>
      </c>
      <c r="G94" s="22">
        <f>+VLOOKUP($B94,'[3]INT Web'!$B$5:$W$247,'[3]INT Web'!S$1,FALSE)</f>
        <v>124.99</v>
      </c>
      <c r="H94" s="22">
        <f>+VLOOKUP($B94,'[3]INT Web'!$B$5:$W$247,'[3]INT Web'!T$1,FALSE)</f>
        <v>509.99</v>
      </c>
      <c r="I94" s="22">
        <f>+VLOOKUP($B94,'[3]INT Web'!$B$5:$W$247,'[3]INT Web'!U$1,FALSE)</f>
        <v>84.99</v>
      </c>
      <c r="J94" s="22">
        <f>+VLOOKUP($B94,'[3]INT Web'!$B$5:$W$247,'[3]INT Web'!V$1,FALSE)</f>
        <v>455.99</v>
      </c>
      <c r="K94" s="22">
        <f>+VLOOKUP($B94,'[3]INT Web'!$B$5:$W$247,'[3]INT Web'!W$1,FALSE)</f>
        <v>75.989999999999995</v>
      </c>
      <c r="L94" s="12">
        <f t="shared" si="112"/>
        <v>6.0004000320025606</v>
      </c>
      <c r="M94" s="12">
        <f t="shared" si="113"/>
        <v>1.4706436051300154</v>
      </c>
      <c r="N94" s="12">
        <f t="shared" si="114"/>
        <v>6.0005883045064126</v>
      </c>
      <c r="O94" s="12">
        <f t="shared" si="115"/>
        <v>6.0006579813133314</v>
      </c>
      <c r="P94" s="12">
        <f t="shared" si="116"/>
        <v>0.89410518884574652</v>
      </c>
      <c r="Q94" s="140" t="str">
        <f t="shared" si="109"/>
        <v>GTQ</v>
      </c>
      <c r="R94" s="104">
        <f>+VLOOKUP($B94,'Country-Level Tactics'!$B$5:$AL$248,'Country-Level Tactics'!AH$1,FALSE)</f>
        <v>749.99</v>
      </c>
      <c r="S94" s="104">
        <f>+VLOOKUP($B94,'Country-Level Tactics'!$B$5:$AL$248,'Country-Level Tactics'!X$1,FALSE)</f>
        <v>124.99</v>
      </c>
      <c r="T94" s="104">
        <f>+VLOOKUP($B94,'Country-Level Tactics'!$B$5:$AL$248,'Country-Level Tactics'!AC$1,FALSE)</f>
        <v>509.99</v>
      </c>
      <c r="U94" s="104">
        <f>+VLOOKUP($B94,'Country-Level Tactics'!$B$5:$AL$248,'Country-Level Tactics'!T$1,FALSE)</f>
        <v>84.99</v>
      </c>
      <c r="V94" s="104">
        <f t="shared" si="110"/>
        <v>455.99</v>
      </c>
      <c r="W94" s="104">
        <f t="shared" si="111"/>
        <v>75.989999999999995</v>
      </c>
      <c r="X94" s="12">
        <f t="shared" si="96"/>
        <v>6.0004000320025606</v>
      </c>
      <c r="Y94" s="12">
        <f t="shared" si="97"/>
        <v>1.4706436051300154</v>
      </c>
      <c r="Z94" s="12">
        <f t="shared" si="98"/>
        <v>6.0005883045064126</v>
      </c>
      <c r="AA94" s="12">
        <f t="shared" si="99"/>
        <v>6.0006579813133314</v>
      </c>
      <c r="AB94" s="12">
        <f t="shared" si="100"/>
        <v>0.89410518884574652</v>
      </c>
      <c r="AD94" s="10">
        <f t="shared" si="101"/>
        <v>0</v>
      </c>
      <c r="AE94" s="10">
        <f t="shared" si="102"/>
        <v>0</v>
      </c>
      <c r="AF94" s="10">
        <f t="shared" si="103"/>
        <v>0</v>
      </c>
      <c r="AG94" s="10">
        <f t="shared" si="104"/>
        <v>0</v>
      </c>
      <c r="AH94" s="10">
        <f t="shared" si="105"/>
        <v>0</v>
      </c>
      <c r="AI94" s="10">
        <f t="shared" si="106"/>
        <v>0</v>
      </c>
      <c r="AK94" s="165">
        <v>0.13116646000000001</v>
      </c>
      <c r="AL94" s="173">
        <f t="shared" si="117"/>
        <v>98.373533335400012</v>
      </c>
      <c r="AM94" s="173">
        <f t="shared" si="118"/>
        <v>16.394495835400001</v>
      </c>
      <c r="AN94" s="173">
        <f t="shared" si="119"/>
        <v>66.893582935400005</v>
      </c>
      <c r="AO94" s="173">
        <f t="shared" si="120"/>
        <v>11.1478374354</v>
      </c>
      <c r="AP94" s="173">
        <f t="shared" si="121"/>
        <v>59.810594095400006</v>
      </c>
      <c r="AQ94" s="173">
        <f t="shared" si="122"/>
        <v>9.9673392954000004</v>
      </c>
      <c r="AS94" s="22" t="str">
        <f>+VLOOKUP(B94,'Country &amp; Code Abbreviation'!$B$3:$C$245,2,FALSE)</f>
        <v>GT</v>
      </c>
    </row>
    <row r="95" spans="2:45">
      <c r="B95" s="20" t="s">
        <v>163</v>
      </c>
      <c r="C95" s="20" t="s">
        <v>100</v>
      </c>
      <c r="E95" s="11" t="str">
        <f>+VLOOKUP($B95,'[3]INT Web'!$B$5:$W$247,'[3]INT Web'!Q$1,FALSE)</f>
        <v>GBP</v>
      </c>
      <c r="F95" s="22">
        <f>+VLOOKUP($B95,'[3]INT Web'!$B$5:$W$247,'[3]INT Web'!R$1,FALSE)</f>
        <v>139.99</v>
      </c>
      <c r="G95" s="22">
        <f>+VLOOKUP($B95,'[3]INT Web'!$B$5:$W$247,'[3]INT Web'!S$1,FALSE)</f>
        <v>19.989999999999998</v>
      </c>
      <c r="H95" s="22">
        <f>+VLOOKUP($B95,'[3]INT Web'!$B$5:$W$247,'[3]INT Web'!T$1,FALSE)</f>
        <v>89.99</v>
      </c>
      <c r="I95" s="22">
        <f>+VLOOKUP($B95,'[3]INT Web'!$B$5:$W$247,'[3]INT Web'!U$1,FALSE)</f>
        <v>14.99</v>
      </c>
      <c r="J95" s="22">
        <f>+VLOOKUP($B95,'[3]INT Web'!$B$5:$W$247,'[3]INT Web'!V$1,FALSE)</f>
        <v>79.989999999999995</v>
      </c>
      <c r="K95" s="22">
        <f>+VLOOKUP($B95,'[3]INT Web'!$B$5:$W$247,'[3]INT Web'!W$1,FALSE)</f>
        <v>12.99</v>
      </c>
      <c r="L95" s="12">
        <f t="shared" si="112"/>
        <v>7.0030015007503765</v>
      </c>
      <c r="M95" s="12">
        <f t="shared" si="113"/>
        <v>1.333555703802535</v>
      </c>
      <c r="N95" s="12">
        <f t="shared" si="114"/>
        <v>6.0033355570380253</v>
      </c>
      <c r="O95" s="12">
        <f t="shared" si="115"/>
        <v>6.157813702848344</v>
      </c>
      <c r="P95" s="12">
        <f t="shared" si="116"/>
        <v>0.86657771847898601</v>
      </c>
      <c r="Q95" s="140" t="str">
        <f t="shared" si="109"/>
        <v>GBP</v>
      </c>
      <c r="R95" s="104">
        <f>+VLOOKUP($B95,'Country-Level Tactics'!$B$5:$AL$248,'Country-Level Tactics'!AH$1,FALSE)</f>
        <v>139.99</v>
      </c>
      <c r="S95" s="104">
        <f>+VLOOKUP($B95,'Country-Level Tactics'!$B$5:$AL$248,'Country-Level Tactics'!X$1,FALSE)</f>
        <v>19.989999999999998</v>
      </c>
      <c r="T95" s="104">
        <f>+VLOOKUP($B95,'Country-Level Tactics'!$B$5:$AL$248,'Country-Level Tactics'!AC$1,FALSE)</f>
        <v>89.99</v>
      </c>
      <c r="U95" s="104">
        <f>+VLOOKUP($B95,'Country-Level Tactics'!$B$5:$AL$248,'Country-Level Tactics'!T$1,FALSE)</f>
        <v>14.99</v>
      </c>
      <c r="V95" s="104">
        <f t="shared" si="110"/>
        <v>79.989999999999995</v>
      </c>
      <c r="W95" s="104">
        <f t="shared" si="111"/>
        <v>12.99</v>
      </c>
      <c r="X95" s="12">
        <f t="shared" si="96"/>
        <v>7.0030015007503765</v>
      </c>
      <c r="Y95" s="12">
        <f t="shared" si="97"/>
        <v>1.333555703802535</v>
      </c>
      <c r="Z95" s="12">
        <f t="shared" si="98"/>
        <v>6.0033355570380253</v>
      </c>
      <c r="AA95" s="12">
        <f t="shared" si="99"/>
        <v>6.157813702848344</v>
      </c>
      <c r="AB95" s="12">
        <f t="shared" si="100"/>
        <v>0.86657771847898601</v>
      </c>
      <c r="AD95" s="10">
        <f t="shared" si="101"/>
        <v>0</v>
      </c>
      <c r="AE95" s="10">
        <f t="shared" si="102"/>
        <v>0</v>
      </c>
      <c r="AF95" s="10">
        <f t="shared" si="103"/>
        <v>0</v>
      </c>
      <c r="AG95" s="10">
        <f t="shared" si="104"/>
        <v>0</v>
      </c>
      <c r="AH95" s="10">
        <f t="shared" si="105"/>
        <v>0</v>
      </c>
      <c r="AI95" s="10">
        <f t="shared" si="106"/>
        <v>0</v>
      </c>
      <c r="AK95" s="165">
        <v>1.33565</v>
      </c>
      <c r="AL95" s="173">
        <f t="shared" si="117"/>
        <v>186.9776435</v>
      </c>
      <c r="AM95" s="173">
        <f t="shared" si="118"/>
        <v>26.699643499999997</v>
      </c>
      <c r="AN95" s="173">
        <f t="shared" si="119"/>
        <v>120.1951435</v>
      </c>
      <c r="AO95" s="173">
        <f t="shared" si="120"/>
        <v>20.021393500000002</v>
      </c>
      <c r="AP95" s="173">
        <f t="shared" si="121"/>
        <v>106.83864349999999</v>
      </c>
      <c r="AQ95" s="173">
        <f t="shared" si="122"/>
        <v>17.3500935</v>
      </c>
      <c r="AS95" s="22" t="str">
        <f>+VLOOKUP(B95,'Country &amp; Code Abbreviation'!$B$3:$C$245,2,FALSE)</f>
        <v>GG</v>
      </c>
    </row>
    <row r="96" spans="2:45">
      <c r="B96" s="20" t="s">
        <v>164</v>
      </c>
      <c r="C96" s="20" t="s">
        <v>270</v>
      </c>
      <c r="E96" s="11" t="str">
        <f>+VLOOKUP($B96,'[3]INT Web'!$B$5:$W$247,'[3]INT Web'!Q$1,FALSE)</f>
        <v>GNF</v>
      </c>
      <c r="F96" s="136">
        <f>+VLOOKUP($B96,'[3]INT Web'!$B$5:$W$247,'[3]INT Web'!R$1,FALSE)</f>
        <v>654480</v>
      </c>
      <c r="G96" s="136">
        <f>+VLOOKUP($B96,'[3]INT Web'!$B$5:$W$247,'[3]INT Web'!S$1,FALSE)</f>
        <v>109080</v>
      </c>
      <c r="H96" s="136">
        <f>+VLOOKUP($B96,'[3]INT Web'!$B$5:$W$247,'[3]INT Web'!T$1,FALSE)</f>
        <v>484800</v>
      </c>
      <c r="I96" s="136">
        <f>+VLOOKUP($B96,'[3]INT Web'!$B$5:$W$247,'[3]INT Web'!U$1,FALSE)</f>
        <v>80800</v>
      </c>
      <c r="J96" s="136">
        <f>+VLOOKUP($B96,'[3]INT Web'!$B$5:$W$247,'[3]INT Web'!V$1,FALSE)</f>
        <v>436320</v>
      </c>
      <c r="K96" s="136">
        <f>+VLOOKUP($B96,'[3]INT Web'!$B$5:$W$247,'[3]INT Web'!W$1,FALSE)</f>
        <v>72720</v>
      </c>
      <c r="L96" s="12">
        <f t="shared" si="112"/>
        <v>6</v>
      </c>
      <c r="M96" s="12">
        <f t="shared" si="113"/>
        <v>1.35</v>
      </c>
      <c r="N96" s="12">
        <f t="shared" si="114"/>
        <v>6</v>
      </c>
      <c r="O96" s="12">
        <f t="shared" si="115"/>
        <v>6</v>
      </c>
      <c r="P96" s="12">
        <f t="shared" si="116"/>
        <v>0.9</v>
      </c>
      <c r="Q96" s="143" t="str">
        <f t="shared" si="109"/>
        <v>GNF</v>
      </c>
      <c r="R96" s="137">
        <f>+VLOOKUP($B96,'Country-Level Tactics'!$B$5:$AL$248,'Country-Level Tactics'!AH$1,FALSE)</f>
        <v>654480</v>
      </c>
      <c r="S96" s="137">
        <f>+VLOOKUP($B96,'Country-Level Tactics'!$B$5:$AL$248,'Country-Level Tactics'!X$1,FALSE)</f>
        <v>109080</v>
      </c>
      <c r="T96" s="137">
        <f>+VLOOKUP($B96,'Country-Level Tactics'!$B$5:$AL$248,'Country-Level Tactics'!AC$1,FALSE)</f>
        <v>484800</v>
      </c>
      <c r="U96" s="137">
        <f>+VLOOKUP($B96,'Country-Level Tactics'!$B$5:$AL$248,'Country-Level Tactics'!T$1,FALSE)</f>
        <v>80800</v>
      </c>
      <c r="V96" s="137">
        <f t="shared" si="110"/>
        <v>436320</v>
      </c>
      <c r="W96" s="137">
        <f t="shared" si="111"/>
        <v>72720</v>
      </c>
      <c r="X96" s="12">
        <f t="shared" si="96"/>
        <v>6</v>
      </c>
      <c r="Y96" s="12">
        <f t="shared" si="97"/>
        <v>1.35</v>
      </c>
      <c r="Z96" s="12">
        <f t="shared" si="98"/>
        <v>6</v>
      </c>
      <c r="AA96" s="12">
        <f t="shared" si="99"/>
        <v>6</v>
      </c>
      <c r="AB96" s="12">
        <f t="shared" si="100"/>
        <v>0.9</v>
      </c>
      <c r="AD96" s="10">
        <f t="shared" si="101"/>
        <v>0</v>
      </c>
      <c r="AE96" s="10">
        <f t="shared" si="102"/>
        <v>0</v>
      </c>
      <c r="AF96" s="10">
        <f t="shared" si="103"/>
        <v>0</v>
      </c>
      <c r="AG96" s="10">
        <f t="shared" si="104"/>
        <v>0</v>
      </c>
      <c r="AH96" s="10">
        <f t="shared" si="105"/>
        <v>0</v>
      </c>
      <c r="AI96" s="10">
        <f t="shared" si="106"/>
        <v>0</v>
      </c>
      <c r="AK96" s="165">
        <v>1.1392766E-4</v>
      </c>
      <c r="AL96" s="173">
        <f t="shared" si="117"/>
        <v>74.563374916800001</v>
      </c>
      <c r="AM96" s="173">
        <f t="shared" si="118"/>
        <v>12.427229152800001</v>
      </c>
      <c r="AN96" s="173">
        <f t="shared" si="119"/>
        <v>55.232129567999998</v>
      </c>
      <c r="AO96" s="173">
        <f t="shared" si="120"/>
        <v>9.2053549280000002</v>
      </c>
      <c r="AP96" s="173">
        <f t="shared" si="121"/>
        <v>49.708916611200003</v>
      </c>
      <c r="AQ96" s="173">
        <f t="shared" si="122"/>
        <v>8.2848194351999993</v>
      </c>
      <c r="AS96" s="22" t="str">
        <f>+VLOOKUP(B96,'Country &amp; Code Abbreviation'!$B$3:$C$245,2,FALSE)</f>
        <v>GN</v>
      </c>
    </row>
    <row r="97" spans="2:45">
      <c r="B97" s="20" t="s">
        <v>165</v>
      </c>
      <c r="C97" s="20" t="s">
        <v>270</v>
      </c>
      <c r="E97" s="11" t="str">
        <f>+VLOOKUP($B97,'[3]INT Web'!$B$5:$W$247,'[3]INT Web'!Q$1,FALSE)</f>
        <v>XOF</v>
      </c>
      <c r="F97" s="136">
        <f>+VLOOKUP($B97,'[3]INT Web'!$B$5:$W$247,'[3]INT Web'!R$1,FALSE)</f>
        <v>43740</v>
      </c>
      <c r="G97" s="136">
        <f>+VLOOKUP($B97,'[3]INT Web'!$B$5:$W$247,'[3]INT Web'!S$1,FALSE)</f>
        <v>7290</v>
      </c>
      <c r="H97" s="136">
        <f>+VLOOKUP($B97,'[3]INT Web'!$B$5:$W$247,'[3]INT Web'!T$1,FALSE)</f>
        <v>32400</v>
      </c>
      <c r="I97" s="136">
        <f>+VLOOKUP($B97,'[3]INT Web'!$B$5:$W$247,'[3]INT Web'!U$1,FALSE)</f>
        <v>5400</v>
      </c>
      <c r="J97" s="136">
        <f>+VLOOKUP($B97,'[3]INT Web'!$B$5:$W$247,'[3]INT Web'!V$1,FALSE)</f>
        <v>29160</v>
      </c>
      <c r="K97" s="136">
        <f>+VLOOKUP($B97,'[3]INT Web'!$B$5:$W$247,'[3]INT Web'!W$1,FALSE)</f>
        <v>4860</v>
      </c>
      <c r="L97" s="12">
        <f t="shared" si="112"/>
        <v>6</v>
      </c>
      <c r="M97" s="12">
        <f t="shared" si="113"/>
        <v>1.35</v>
      </c>
      <c r="N97" s="12">
        <f t="shared" si="114"/>
        <v>6</v>
      </c>
      <c r="O97" s="12">
        <f t="shared" si="115"/>
        <v>6</v>
      </c>
      <c r="P97" s="12">
        <f t="shared" si="116"/>
        <v>0.9</v>
      </c>
      <c r="Q97" s="143" t="str">
        <f t="shared" si="109"/>
        <v>XOF</v>
      </c>
      <c r="R97" s="137">
        <f>+VLOOKUP($B97,'Country-Level Tactics'!$B$5:$AL$248,'Country-Level Tactics'!AH$1,FALSE)</f>
        <v>43740</v>
      </c>
      <c r="S97" s="137">
        <f>+VLOOKUP($B97,'Country-Level Tactics'!$B$5:$AL$248,'Country-Level Tactics'!X$1,FALSE)</f>
        <v>7290</v>
      </c>
      <c r="T97" s="137">
        <f>+VLOOKUP($B97,'Country-Level Tactics'!$B$5:$AL$248,'Country-Level Tactics'!AC$1,FALSE)</f>
        <v>32400</v>
      </c>
      <c r="U97" s="137">
        <f>+VLOOKUP($B97,'Country-Level Tactics'!$B$5:$AL$248,'Country-Level Tactics'!T$1,FALSE)</f>
        <v>5400</v>
      </c>
      <c r="V97" s="137">
        <f t="shared" si="110"/>
        <v>29160</v>
      </c>
      <c r="W97" s="137">
        <f t="shared" si="111"/>
        <v>4860</v>
      </c>
      <c r="X97" s="12">
        <f t="shared" si="96"/>
        <v>6</v>
      </c>
      <c r="Y97" s="12">
        <f t="shared" si="97"/>
        <v>1.35</v>
      </c>
      <c r="Z97" s="12">
        <f t="shared" si="98"/>
        <v>6</v>
      </c>
      <c r="AA97" s="12">
        <f t="shared" si="99"/>
        <v>6</v>
      </c>
      <c r="AB97" s="12">
        <f t="shared" si="100"/>
        <v>0.9</v>
      </c>
      <c r="AD97" s="10">
        <f t="shared" si="101"/>
        <v>0</v>
      </c>
      <c r="AE97" s="10">
        <f t="shared" si="102"/>
        <v>0</v>
      </c>
      <c r="AF97" s="10">
        <f t="shared" si="103"/>
        <v>0</v>
      </c>
      <c r="AG97" s="10">
        <f t="shared" si="104"/>
        <v>0</v>
      </c>
      <c r="AH97" s="10">
        <f t="shared" si="105"/>
        <v>0</v>
      </c>
      <c r="AI97" s="10">
        <f t="shared" si="106"/>
        <v>0</v>
      </c>
      <c r="AK97" s="165">
        <v>1.7405866999999999E-3</v>
      </c>
      <c r="AL97" s="173">
        <f t="shared" si="117"/>
        <v>76.133262258000002</v>
      </c>
      <c r="AM97" s="173">
        <f t="shared" si="118"/>
        <v>12.688877043</v>
      </c>
      <c r="AN97" s="173">
        <f t="shared" si="119"/>
        <v>56.395009080000001</v>
      </c>
      <c r="AO97" s="173">
        <f t="shared" si="120"/>
        <v>9.3991681800000002</v>
      </c>
      <c r="AP97" s="173">
        <f t="shared" si="121"/>
        <v>50.755508171999999</v>
      </c>
      <c r="AQ97" s="173">
        <f t="shared" si="122"/>
        <v>8.4592513619999998</v>
      </c>
      <c r="AS97" s="22" t="str">
        <f>+VLOOKUP(B97,'Country &amp; Code Abbreviation'!$B$3:$C$245,2,FALSE)</f>
        <v>GW</v>
      </c>
    </row>
    <row r="98" spans="2:45">
      <c r="B98" s="20" t="s">
        <v>166</v>
      </c>
      <c r="C98" s="20" t="s">
        <v>96</v>
      </c>
      <c r="E98" s="11" t="str">
        <f>+VLOOKUP($B98,'[3]INT Web'!$B$5:$W$247,'[3]INT Web'!Q$1,FALSE)</f>
        <v>GYD</v>
      </c>
      <c r="F98" s="22">
        <f>+VLOOKUP($B98,'[3]INT Web'!$B$5:$W$247,'[3]INT Web'!R$1,FALSE)</f>
        <v>25199.99</v>
      </c>
      <c r="G98" s="22">
        <f>+VLOOKUP($B98,'[3]INT Web'!$B$5:$W$247,'[3]INT Web'!S$1,FALSE)</f>
        <v>4199.99</v>
      </c>
      <c r="H98" s="22">
        <f>+VLOOKUP($B98,'[3]INT Web'!$B$5:$W$247,'[3]INT Web'!T$1,FALSE)</f>
        <v>17399.990000000002</v>
      </c>
      <c r="I98" s="22">
        <f>+VLOOKUP($B98,'[3]INT Web'!$B$5:$W$247,'[3]INT Web'!U$1,FALSE)</f>
        <v>2899.99</v>
      </c>
      <c r="J98" s="22">
        <f>+VLOOKUP($B98,'[3]INT Web'!$B$5:$W$247,'[3]INT Web'!V$1,FALSE)</f>
        <v>15659.99</v>
      </c>
      <c r="K98" s="22">
        <f>+VLOOKUP($B98,'[3]INT Web'!$B$5:$W$247,'[3]INT Web'!W$1,FALSE)</f>
        <v>2609.9899999999998</v>
      </c>
      <c r="L98" s="12">
        <f t="shared" si="112"/>
        <v>6.0000119047902505</v>
      </c>
      <c r="M98" s="12">
        <f t="shared" si="113"/>
        <v>1.4482774078531306</v>
      </c>
      <c r="N98" s="12">
        <f t="shared" si="114"/>
        <v>6.0000172414387647</v>
      </c>
      <c r="O98" s="12">
        <f t="shared" si="115"/>
        <v>6.000019157161522</v>
      </c>
      <c r="P98" s="12">
        <f t="shared" si="116"/>
        <v>0.89999965517122471</v>
      </c>
      <c r="Q98" s="140" t="str">
        <f t="shared" si="109"/>
        <v>GYD</v>
      </c>
      <c r="R98" s="104">
        <f>+VLOOKUP($B98,'Country-Level Tactics'!$B$5:$AL$248,'Country-Level Tactics'!AH$1,FALSE)</f>
        <v>25199.99</v>
      </c>
      <c r="S98" s="104">
        <f>+VLOOKUP($B98,'Country-Level Tactics'!$B$5:$AL$248,'Country-Level Tactics'!X$1,FALSE)</f>
        <v>4199.99</v>
      </c>
      <c r="T98" s="104">
        <f>+VLOOKUP($B98,'Country-Level Tactics'!$B$5:$AL$248,'Country-Level Tactics'!AC$1,FALSE)</f>
        <v>17399.990000000002</v>
      </c>
      <c r="U98" s="104">
        <f>+VLOOKUP($B98,'Country-Level Tactics'!$B$5:$AL$248,'Country-Level Tactics'!T$1,FALSE)</f>
        <v>2899.99</v>
      </c>
      <c r="V98" s="104">
        <f t="shared" si="110"/>
        <v>15659.99</v>
      </c>
      <c r="W98" s="104">
        <f t="shared" si="111"/>
        <v>2609.9899999999998</v>
      </c>
      <c r="X98" s="12">
        <f t="shared" si="96"/>
        <v>6.0000119047902505</v>
      </c>
      <c r="Y98" s="12">
        <f t="shared" si="97"/>
        <v>1.4482774078531306</v>
      </c>
      <c r="Z98" s="12">
        <f t="shared" si="98"/>
        <v>6.0000172414387647</v>
      </c>
      <c r="AA98" s="12">
        <f t="shared" si="99"/>
        <v>6.000019157161522</v>
      </c>
      <c r="AB98" s="12">
        <f t="shared" si="100"/>
        <v>0.89999965517122471</v>
      </c>
      <c r="AD98" s="10">
        <f t="shared" si="101"/>
        <v>0</v>
      </c>
      <c r="AE98" s="10">
        <f t="shared" si="102"/>
        <v>0</v>
      </c>
      <c r="AF98" s="10">
        <f t="shared" si="103"/>
        <v>0</v>
      </c>
      <c r="AG98" s="10">
        <f t="shared" si="104"/>
        <v>0</v>
      </c>
      <c r="AH98" s="10">
        <f t="shared" si="105"/>
        <v>0</v>
      </c>
      <c r="AI98" s="10">
        <f t="shared" si="106"/>
        <v>0</v>
      </c>
      <c r="AK98" s="165">
        <v>4.7831699999999998E-3</v>
      </c>
      <c r="AL98" s="173">
        <f t="shared" si="117"/>
        <v>120.53583616830001</v>
      </c>
      <c r="AM98" s="173">
        <f t="shared" si="118"/>
        <v>20.089266168299996</v>
      </c>
      <c r="AN98" s="173">
        <f t="shared" si="119"/>
        <v>83.227110168300001</v>
      </c>
      <c r="AO98" s="173">
        <f t="shared" si="120"/>
        <v>13.871145168299998</v>
      </c>
      <c r="AP98" s="173">
        <f t="shared" si="121"/>
        <v>74.90439436829999</v>
      </c>
      <c r="AQ98" s="173">
        <f t="shared" si="122"/>
        <v>12.484025868299998</v>
      </c>
      <c r="AS98" s="22" t="str">
        <f>+VLOOKUP(B98,'Country &amp; Code Abbreviation'!$B$3:$C$245,2,FALSE)</f>
        <v>GY</v>
      </c>
    </row>
    <row r="99" spans="2:45">
      <c r="B99" s="20" t="s">
        <v>167</v>
      </c>
      <c r="C99" s="20" t="s">
        <v>96</v>
      </c>
      <c r="E99" s="11" t="str">
        <f>+VLOOKUP($B99,'[3]INT Web'!$B$5:$W$247,'[3]INT Web'!Q$1,FALSE)</f>
        <v>HTG</v>
      </c>
      <c r="F99" s="22">
        <f>+VLOOKUP($B99,'[3]INT Web'!$B$5:$W$247,'[3]INT Web'!R$1,FALSE)</f>
        <v>12960</v>
      </c>
      <c r="G99" s="22">
        <f>+VLOOKUP($B99,'[3]INT Web'!$B$5:$W$247,'[3]INT Web'!S$1,FALSE)</f>
        <v>2160</v>
      </c>
      <c r="H99" s="22">
        <f>+VLOOKUP($B99,'[3]INT Web'!$B$5:$W$247,'[3]INT Web'!T$1,FALSE)</f>
        <v>9600</v>
      </c>
      <c r="I99" s="22">
        <f>+VLOOKUP($B99,'[3]INT Web'!$B$5:$W$247,'[3]INT Web'!U$1,FALSE)</f>
        <v>1600</v>
      </c>
      <c r="J99" s="22">
        <f>+VLOOKUP($B99,'[3]INT Web'!$B$5:$W$247,'[3]INT Web'!V$1,FALSE)</f>
        <v>8640</v>
      </c>
      <c r="K99" s="22">
        <f>+VLOOKUP($B99,'[3]INT Web'!$B$5:$W$247,'[3]INT Web'!W$1,FALSE)</f>
        <v>1440</v>
      </c>
      <c r="L99" s="12">
        <f t="shared" si="112"/>
        <v>6</v>
      </c>
      <c r="M99" s="12">
        <f t="shared" si="113"/>
        <v>1.35</v>
      </c>
      <c r="N99" s="12">
        <f t="shared" si="114"/>
        <v>6</v>
      </c>
      <c r="O99" s="12">
        <f t="shared" si="115"/>
        <v>6</v>
      </c>
      <c r="P99" s="12">
        <f t="shared" si="116"/>
        <v>0.9</v>
      </c>
      <c r="Q99" s="140" t="str">
        <f t="shared" si="109"/>
        <v>HTG</v>
      </c>
      <c r="R99" s="104">
        <f>+VLOOKUP($B99,'Country-Level Tactics'!$B$5:$AL$248,'Country-Level Tactics'!AH$1,FALSE)</f>
        <v>12960</v>
      </c>
      <c r="S99" s="104">
        <f>+VLOOKUP($B99,'Country-Level Tactics'!$B$5:$AL$248,'Country-Level Tactics'!X$1,FALSE)</f>
        <v>2160</v>
      </c>
      <c r="T99" s="104">
        <f>+VLOOKUP($B99,'Country-Level Tactics'!$B$5:$AL$248,'Country-Level Tactics'!AC$1,FALSE)</f>
        <v>9600</v>
      </c>
      <c r="U99" s="104">
        <f>+VLOOKUP($B99,'Country-Level Tactics'!$B$5:$AL$248,'Country-Level Tactics'!T$1,FALSE)</f>
        <v>1600</v>
      </c>
      <c r="V99" s="104">
        <f t="shared" si="110"/>
        <v>8640</v>
      </c>
      <c r="W99" s="104">
        <f t="shared" si="111"/>
        <v>1440</v>
      </c>
      <c r="X99" s="12">
        <f t="shared" si="96"/>
        <v>6</v>
      </c>
      <c r="Y99" s="12">
        <f t="shared" si="97"/>
        <v>1.35</v>
      </c>
      <c r="Z99" s="12">
        <f t="shared" si="98"/>
        <v>6</v>
      </c>
      <c r="AA99" s="12">
        <f t="shared" si="99"/>
        <v>6</v>
      </c>
      <c r="AB99" s="12">
        <f t="shared" si="100"/>
        <v>0.9</v>
      </c>
      <c r="AD99" s="10">
        <f t="shared" si="101"/>
        <v>0</v>
      </c>
      <c r="AE99" s="10">
        <f t="shared" si="102"/>
        <v>0</v>
      </c>
      <c r="AF99" s="10">
        <f t="shared" si="103"/>
        <v>0</v>
      </c>
      <c r="AG99" s="10">
        <f t="shared" si="104"/>
        <v>0</v>
      </c>
      <c r="AH99" s="10">
        <f t="shared" si="105"/>
        <v>0</v>
      </c>
      <c r="AI99" s="10">
        <f t="shared" si="106"/>
        <v>0</v>
      </c>
      <c r="AK99" s="165">
        <v>7.6618140000000003E-3</v>
      </c>
      <c r="AL99" s="173">
        <f t="shared" si="117"/>
        <v>99.29710944</v>
      </c>
      <c r="AM99" s="173">
        <f t="shared" si="118"/>
        <v>16.549518240000001</v>
      </c>
      <c r="AN99" s="173">
        <f t="shared" si="119"/>
        <v>73.553414400000008</v>
      </c>
      <c r="AO99" s="173">
        <f t="shared" si="120"/>
        <v>12.2589024</v>
      </c>
      <c r="AP99" s="173">
        <f t="shared" si="121"/>
        <v>66.198072960000005</v>
      </c>
      <c r="AQ99" s="173">
        <f t="shared" si="122"/>
        <v>11.03301216</v>
      </c>
      <c r="AS99" s="22" t="str">
        <f>+VLOOKUP(B99,'Country &amp; Code Abbreviation'!$B$3:$C$245,2,FALSE)</f>
        <v>HT</v>
      </c>
    </row>
    <row r="100" spans="2:45">
      <c r="B100" s="20" t="s">
        <v>168</v>
      </c>
      <c r="C100" s="20" t="s">
        <v>173</v>
      </c>
      <c r="E100" s="11" t="str">
        <f>+VLOOKUP($B100,'[3]INT Web'!$B$5:$W$247,'[3]INT Web'!Q$1,FALSE)</f>
        <v>AUD</v>
      </c>
      <c r="F100" s="22">
        <f>+VLOOKUP($B100,'[3]INT Web'!$B$5:$W$247,'[3]INT Web'!R$1,FALSE)</f>
        <v>107.99</v>
      </c>
      <c r="G100" s="22">
        <f>+VLOOKUP($B100,'[3]INT Web'!$B$5:$W$247,'[3]INT Web'!S$1,FALSE)</f>
        <v>17.989999999999998</v>
      </c>
      <c r="H100" s="22">
        <f>+VLOOKUP($B100,'[3]INT Web'!$B$5:$W$247,'[3]INT Web'!T$1,FALSE)</f>
        <v>77.989999999999995</v>
      </c>
      <c r="I100" s="22">
        <f>+VLOOKUP($B100,'[3]INT Web'!$B$5:$W$247,'[3]INT Web'!U$1,FALSE)</f>
        <v>12.99</v>
      </c>
      <c r="J100" s="22">
        <f>+VLOOKUP($B100,'[3]INT Web'!$B$5:$W$247,'[3]INT Web'!V$1,FALSE)</f>
        <v>71.989999999999995</v>
      </c>
      <c r="K100" s="22">
        <f>+VLOOKUP($B100,'[3]INT Web'!$B$5:$W$247,'[3]INT Web'!W$1,FALSE)</f>
        <v>11.99</v>
      </c>
      <c r="L100" s="12">
        <f t="shared" si="112"/>
        <v>6.0027793218454697</v>
      </c>
      <c r="M100" s="12">
        <f t="shared" si="113"/>
        <v>1.3849114703618166</v>
      </c>
      <c r="N100" s="12">
        <f t="shared" si="114"/>
        <v>6.0038491147036179</v>
      </c>
      <c r="O100" s="12">
        <f t="shared" si="115"/>
        <v>6.0041701417848206</v>
      </c>
      <c r="P100" s="12">
        <f t="shared" si="116"/>
        <v>0.92301770592763666</v>
      </c>
      <c r="Q100" s="140" t="str">
        <f t="shared" si="109"/>
        <v>AUD</v>
      </c>
      <c r="R100" s="104">
        <f>+VLOOKUP($B100,'Country-Level Tactics'!$B$5:$AL$248,'Country-Level Tactics'!AH$1,FALSE)</f>
        <v>107.99</v>
      </c>
      <c r="S100" s="104">
        <f>+VLOOKUP($B100,'Country-Level Tactics'!$B$5:$AL$248,'Country-Level Tactics'!X$1,FALSE)</f>
        <v>17.989999999999998</v>
      </c>
      <c r="T100" s="104">
        <f>+VLOOKUP($B100,'Country-Level Tactics'!$B$5:$AL$248,'Country-Level Tactics'!AC$1,FALSE)</f>
        <v>77.989999999999995</v>
      </c>
      <c r="U100" s="104">
        <f>+VLOOKUP($B100,'Country-Level Tactics'!$B$5:$AL$248,'Country-Level Tactics'!T$1,FALSE)</f>
        <v>12.99</v>
      </c>
      <c r="V100" s="104">
        <f t="shared" si="110"/>
        <v>71.989999999999995</v>
      </c>
      <c r="W100" s="104">
        <f t="shared" si="111"/>
        <v>11.99</v>
      </c>
      <c r="X100" s="12">
        <f t="shared" si="96"/>
        <v>6.0027793218454697</v>
      </c>
      <c r="Y100" s="12">
        <f t="shared" si="97"/>
        <v>1.3849114703618166</v>
      </c>
      <c r="Z100" s="12">
        <f t="shared" si="98"/>
        <v>6.0038491147036179</v>
      </c>
      <c r="AA100" s="12">
        <f t="shared" si="99"/>
        <v>6.0041701417848206</v>
      </c>
      <c r="AB100" s="12">
        <f t="shared" si="100"/>
        <v>0.92301770592763666</v>
      </c>
      <c r="AD100" s="10">
        <f t="shared" si="101"/>
        <v>0</v>
      </c>
      <c r="AE100" s="10">
        <f t="shared" si="102"/>
        <v>0</v>
      </c>
      <c r="AF100" s="10">
        <f t="shared" si="103"/>
        <v>0</v>
      </c>
      <c r="AG100" s="10">
        <f t="shared" si="104"/>
        <v>0</v>
      </c>
      <c r="AH100" s="10">
        <f t="shared" si="105"/>
        <v>0</v>
      </c>
      <c r="AI100" s="10">
        <f t="shared" si="106"/>
        <v>0</v>
      </c>
      <c r="AK100" s="165">
        <v>0.69374999999999998</v>
      </c>
      <c r="AL100" s="173">
        <f t="shared" si="117"/>
        <v>74.918062499999991</v>
      </c>
      <c r="AM100" s="173">
        <f t="shared" si="118"/>
        <v>12.480562499999998</v>
      </c>
      <c r="AN100" s="173">
        <f t="shared" si="119"/>
        <v>54.105562499999998</v>
      </c>
      <c r="AO100" s="173">
        <f t="shared" si="120"/>
        <v>9.0118124999999996</v>
      </c>
      <c r="AP100" s="173">
        <f t="shared" si="121"/>
        <v>49.943062499999996</v>
      </c>
      <c r="AQ100" s="173">
        <f t="shared" si="122"/>
        <v>8.3180624999999999</v>
      </c>
      <c r="AS100" s="22" t="str">
        <f>+VLOOKUP(B100,'Country &amp; Code Abbreviation'!$B$3:$C$245,2,FALSE)</f>
        <v>HM</v>
      </c>
    </row>
    <row r="101" spans="2:45">
      <c r="B101" s="20" t="s">
        <v>169</v>
      </c>
      <c r="C101" s="20" t="s">
        <v>96</v>
      </c>
      <c r="E101" s="11" t="str">
        <f>+VLOOKUP($B101,'[3]INT Web'!$B$5:$W$247,'[3]INT Web'!Q$1,FALSE)</f>
        <v>HNL</v>
      </c>
      <c r="F101" s="22">
        <f>+VLOOKUP($B101,'[3]INT Web'!$B$5:$W$247,'[3]INT Web'!R$1,FALSE)</f>
        <v>1919.99</v>
      </c>
      <c r="G101" s="22">
        <f>+VLOOKUP($B101,'[3]INT Web'!$B$5:$W$247,'[3]INT Web'!S$1,FALSE)</f>
        <v>319.99</v>
      </c>
      <c r="H101" s="22">
        <f>+VLOOKUP($B101,'[3]INT Web'!$B$5:$W$247,'[3]INT Web'!T$1,FALSE)</f>
        <v>1319.99</v>
      </c>
      <c r="I101" s="22">
        <f>+VLOOKUP($B101,'[3]INT Web'!$B$5:$W$247,'[3]INT Web'!U$1,FALSE)</f>
        <v>219.99</v>
      </c>
      <c r="J101" s="22">
        <f>+VLOOKUP($B101,'[3]INT Web'!$B$5:$W$247,'[3]INT Web'!V$1,FALSE)</f>
        <v>1187.99</v>
      </c>
      <c r="K101" s="22">
        <f>+VLOOKUP($B101,'[3]INT Web'!$B$5:$W$247,'[3]INT Web'!W$1,FALSE)</f>
        <v>197.99</v>
      </c>
      <c r="L101" s="12">
        <f t="shared" si="112"/>
        <v>6.000156254882965</v>
      </c>
      <c r="M101" s="12">
        <f t="shared" si="113"/>
        <v>1.4545661166416655</v>
      </c>
      <c r="N101" s="12">
        <f t="shared" si="114"/>
        <v>6.0002272830583205</v>
      </c>
      <c r="O101" s="12">
        <f t="shared" si="115"/>
        <v>6.0002525380069702</v>
      </c>
      <c r="P101" s="12">
        <f t="shared" si="116"/>
        <v>0.89999545433883354</v>
      </c>
      <c r="Q101" s="140" t="str">
        <f t="shared" si="109"/>
        <v>HNL</v>
      </c>
      <c r="R101" s="104">
        <f>+VLOOKUP($B101,'Country-Level Tactics'!$B$5:$AL$248,'Country-Level Tactics'!AH$1,FALSE)</f>
        <v>1919.99</v>
      </c>
      <c r="S101" s="104">
        <f>+VLOOKUP($B101,'Country-Level Tactics'!$B$5:$AL$248,'Country-Level Tactics'!X$1,FALSE)</f>
        <v>319.99</v>
      </c>
      <c r="T101" s="104">
        <f>+VLOOKUP($B101,'Country-Level Tactics'!$B$5:$AL$248,'Country-Level Tactics'!AC$1,FALSE)</f>
        <v>1319.99</v>
      </c>
      <c r="U101" s="104">
        <f>+VLOOKUP($B101,'Country-Level Tactics'!$B$5:$AL$248,'Country-Level Tactics'!T$1,FALSE)</f>
        <v>219.99</v>
      </c>
      <c r="V101" s="104">
        <f t="shared" si="110"/>
        <v>1187.99</v>
      </c>
      <c r="W101" s="104">
        <f t="shared" si="111"/>
        <v>197.99</v>
      </c>
      <c r="X101" s="12">
        <f t="shared" ref="X101:X132" si="123">+R101/S101</f>
        <v>6.000156254882965</v>
      </c>
      <c r="Y101" s="12">
        <f t="shared" ref="Y101:Y132" si="124">+S101/U101</f>
        <v>1.4545661166416655</v>
      </c>
      <c r="Z101" s="12">
        <f t="shared" ref="Z101:Z132" si="125">+T101/U101</f>
        <v>6.0002272830583205</v>
      </c>
      <c r="AA101" s="12">
        <f t="shared" ref="AA101:AA132" si="126">+V101/W101</f>
        <v>6.0002525380069702</v>
      </c>
      <c r="AB101" s="12">
        <f t="shared" ref="AB101:AB132" si="127">+W101/U101</f>
        <v>0.89999545433883354</v>
      </c>
      <c r="AD101" s="10">
        <f t="shared" si="101"/>
        <v>0</v>
      </c>
      <c r="AE101" s="10">
        <f t="shared" si="102"/>
        <v>0</v>
      </c>
      <c r="AF101" s="10">
        <f t="shared" si="103"/>
        <v>0</v>
      </c>
      <c r="AG101" s="10">
        <f t="shared" si="104"/>
        <v>0</v>
      </c>
      <c r="AH101" s="10">
        <f t="shared" si="105"/>
        <v>0</v>
      </c>
      <c r="AI101" s="10">
        <f t="shared" si="106"/>
        <v>0</v>
      </c>
      <c r="AK101" s="165">
        <v>3.7355248000000001E-2</v>
      </c>
      <c r="AL101" s="173">
        <f t="shared" si="117"/>
        <v>71.721702607520001</v>
      </c>
      <c r="AM101" s="173">
        <f t="shared" si="118"/>
        <v>11.953305807520001</v>
      </c>
      <c r="AN101" s="173">
        <f t="shared" si="119"/>
        <v>49.308553807519999</v>
      </c>
      <c r="AO101" s="173">
        <f t="shared" si="120"/>
        <v>8.2177810075200011</v>
      </c>
      <c r="AP101" s="173">
        <f t="shared" si="121"/>
        <v>44.377661071520002</v>
      </c>
      <c r="AQ101" s="173">
        <f t="shared" si="122"/>
        <v>7.3959655515200007</v>
      </c>
      <c r="AS101" s="22" t="str">
        <f>+VLOOKUP(B101,'Country &amp; Code Abbreviation'!$B$3:$C$245,2,FALSE)</f>
        <v>HN</v>
      </c>
    </row>
    <row r="102" spans="2:45">
      <c r="B102" s="20" t="s">
        <v>170</v>
      </c>
      <c r="C102" s="20" t="s">
        <v>351</v>
      </c>
      <c r="D102" s="6" t="s">
        <v>347</v>
      </c>
      <c r="E102" s="11" t="str">
        <f>+VLOOKUP($B102,'[3]INT Web'!$B$5:$W$247,'[3]INT Web'!Q$1,FALSE)</f>
        <v>HKD</v>
      </c>
      <c r="F102" s="22">
        <f>+VLOOKUP($B102,'[3]INT Web'!$B$5:$W$247,'[3]INT Web'!R$1,FALSE)</f>
        <v>1149</v>
      </c>
      <c r="G102" s="22">
        <f>+VLOOKUP($B102,'[3]INT Web'!$B$5:$W$247,'[3]INT Web'!S$1,FALSE)</f>
        <v>164</v>
      </c>
      <c r="H102" s="22">
        <f>+VLOOKUP($B102,'[3]INT Web'!$B$5:$W$247,'[3]INT Web'!T$1,FALSE)</f>
        <v>759</v>
      </c>
      <c r="I102" s="22">
        <f>+VLOOKUP($B102,'[3]INT Web'!$B$5:$W$247,'[3]INT Web'!U$1,FALSE)</f>
        <v>109</v>
      </c>
      <c r="J102" s="22">
        <f>+VLOOKUP($B102,'[3]INT Web'!$B$5:$W$247,'[3]INT Web'!V$1,FALSE)</f>
        <v>699</v>
      </c>
      <c r="K102" s="22">
        <f>+VLOOKUP($B102,'[3]INT Web'!$B$5:$W$247,'[3]INT Web'!W$1,FALSE)</f>
        <v>100</v>
      </c>
      <c r="L102" s="12">
        <f t="shared" si="112"/>
        <v>7.0060975609756095</v>
      </c>
      <c r="M102" s="12">
        <f t="shared" si="113"/>
        <v>1.5045871559633028</v>
      </c>
      <c r="N102" s="12">
        <f t="shared" si="114"/>
        <v>6.9633027522935782</v>
      </c>
      <c r="O102" s="12">
        <f t="shared" si="115"/>
        <v>6.99</v>
      </c>
      <c r="P102" s="12">
        <f t="shared" si="116"/>
        <v>0.91743119266055051</v>
      </c>
      <c r="Q102" s="140" t="str">
        <f t="shared" si="109"/>
        <v>HKD</v>
      </c>
      <c r="R102" s="104">
        <f>+VLOOKUP($B102,'Country-Level Tactics'!$B$5:$AL$248,'Country-Level Tactics'!AH$1,FALSE)</f>
        <v>1149</v>
      </c>
      <c r="S102" s="104">
        <f>+VLOOKUP($B102,'Country-Level Tactics'!$B$5:$AL$248,'Country-Level Tactics'!X$1,FALSE)</f>
        <v>164</v>
      </c>
      <c r="T102" s="104">
        <f>+VLOOKUP($B102,'Country-Level Tactics'!$B$5:$AL$248,'Country-Level Tactics'!AC$1,FALSE)</f>
        <v>759</v>
      </c>
      <c r="U102" s="104">
        <f>+VLOOKUP($B102,'Country-Level Tactics'!$B$5:$AL$248,'Country-Level Tactics'!T$1,FALSE)</f>
        <v>109</v>
      </c>
      <c r="V102" s="104">
        <f t="shared" si="110"/>
        <v>699</v>
      </c>
      <c r="W102" s="104">
        <f t="shared" si="111"/>
        <v>100</v>
      </c>
      <c r="X102" s="12">
        <f t="shared" si="123"/>
        <v>7.0060975609756095</v>
      </c>
      <c r="Y102" s="12">
        <f t="shared" si="124"/>
        <v>1.5045871559633028</v>
      </c>
      <c r="Z102" s="12">
        <f t="shared" si="125"/>
        <v>6.9633027522935782</v>
      </c>
      <c r="AA102" s="12">
        <f t="shared" si="126"/>
        <v>6.99</v>
      </c>
      <c r="AB102" s="12">
        <f t="shared" si="127"/>
        <v>0.91743119266055051</v>
      </c>
      <c r="AD102" s="10">
        <f t="shared" si="101"/>
        <v>0</v>
      </c>
      <c r="AE102" s="10">
        <f t="shared" si="102"/>
        <v>0</v>
      </c>
      <c r="AF102" s="10">
        <f t="shared" si="103"/>
        <v>0</v>
      </c>
      <c r="AG102" s="10">
        <f t="shared" si="104"/>
        <v>0</v>
      </c>
      <c r="AH102" s="10">
        <f t="shared" si="105"/>
        <v>0</v>
      </c>
      <c r="AI102" s="10">
        <f t="shared" si="106"/>
        <v>0</v>
      </c>
      <c r="AK102" s="165">
        <v>0.12750548</v>
      </c>
      <c r="AL102" s="173">
        <f t="shared" si="117"/>
        <v>146.50379652000001</v>
      </c>
      <c r="AM102" s="173">
        <f t="shared" si="118"/>
        <v>20.910898720000002</v>
      </c>
      <c r="AN102" s="173">
        <f t="shared" si="119"/>
        <v>96.776659320000007</v>
      </c>
      <c r="AO102" s="173">
        <f t="shared" si="120"/>
        <v>13.89809732</v>
      </c>
      <c r="AP102" s="173">
        <f t="shared" si="121"/>
        <v>89.126330519999996</v>
      </c>
      <c r="AQ102" s="173">
        <f t="shared" si="122"/>
        <v>12.750548</v>
      </c>
      <c r="AS102" s="22" t="str">
        <f>+VLOOKUP(B102,'Country &amp; Code Abbreviation'!$B$3:$C$245,2,FALSE)</f>
        <v>HK</v>
      </c>
    </row>
    <row r="103" spans="2:45">
      <c r="B103" s="20" t="s">
        <v>171</v>
      </c>
      <c r="C103" s="20" t="s">
        <v>100</v>
      </c>
      <c r="E103" s="11" t="str">
        <f>+VLOOKUP($B103,'[3]INT Web'!$B$5:$W$247,'[3]INT Web'!Q$1,FALSE)</f>
        <v>HUF</v>
      </c>
      <c r="F103" s="136">
        <f>+VLOOKUP($B103,'[3]INT Web'!$B$5:$W$247,'[3]INT Web'!R$1,FALSE)</f>
        <v>33999</v>
      </c>
      <c r="G103" s="136">
        <f>+VLOOKUP($B103,'[3]INT Web'!$B$5:$W$247,'[3]INT Web'!S$1,FALSE)</f>
        <v>5499</v>
      </c>
      <c r="H103" s="136">
        <f>+VLOOKUP($B103,'[3]INT Web'!$B$5:$W$247,'[3]INT Web'!T$1,FALSE)</f>
        <v>25999</v>
      </c>
      <c r="I103" s="136">
        <f>+VLOOKUP($B103,'[3]INT Web'!$B$5:$W$247,'[3]INT Web'!U$1,FALSE)</f>
        <v>4199</v>
      </c>
      <c r="J103" s="136">
        <f>+VLOOKUP($B103,'[3]INT Web'!$B$5:$W$247,'[3]INT Web'!V$1,FALSE)</f>
        <v>23499</v>
      </c>
      <c r="K103" s="136">
        <f>+VLOOKUP($B103,'[3]INT Web'!$B$5:$W$247,'[3]INT Web'!W$1,FALSE)</f>
        <v>3799</v>
      </c>
      <c r="L103" s="12">
        <f t="shared" si="112"/>
        <v>6.1827605019094385</v>
      </c>
      <c r="M103" s="12">
        <f t="shared" si="113"/>
        <v>1.3095975232198143</v>
      </c>
      <c r="N103" s="12">
        <f t="shared" si="114"/>
        <v>6.1917123124553468</v>
      </c>
      <c r="O103" s="12">
        <f t="shared" si="115"/>
        <v>6.1855751513556196</v>
      </c>
      <c r="P103" s="12">
        <f t="shared" si="116"/>
        <v>0.90473922362467252</v>
      </c>
      <c r="Q103" s="143" t="str">
        <f t="shared" si="109"/>
        <v>HUF</v>
      </c>
      <c r="R103" s="137">
        <f>+VLOOKUP($B103,'Country-Level Tactics'!$B$5:$AL$248,'Country-Level Tactics'!AH$1,FALSE)</f>
        <v>33999</v>
      </c>
      <c r="S103" s="137">
        <f>+VLOOKUP($B103,'Country-Level Tactics'!$B$5:$AL$248,'Country-Level Tactics'!X$1,FALSE)</f>
        <v>5499</v>
      </c>
      <c r="T103" s="137">
        <f>+VLOOKUP($B103,'Country-Level Tactics'!$B$5:$AL$248,'Country-Level Tactics'!AC$1,FALSE)</f>
        <v>25999</v>
      </c>
      <c r="U103" s="137">
        <f>+VLOOKUP($B103,'Country-Level Tactics'!$B$5:$AL$248,'Country-Level Tactics'!T$1,FALSE)</f>
        <v>4199</v>
      </c>
      <c r="V103" s="137">
        <f t="shared" si="110"/>
        <v>23499</v>
      </c>
      <c r="W103" s="137">
        <f t="shared" si="111"/>
        <v>3799</v>
      </c>
      <c r="X103" s="12">
        <f t="shared" si="123"/>
        <v>6.1827605019094385</v>
      </c>
      <c r="Y103" s="12">
        <f t="shared" si="124"/>
        <v>1.3095975232198143</v>
      </c>
      <c r="Z103" s="12">
        <f t="shared" si="125"/>
        <v>6.1917123124553468</v>
      </c>
      <c r="AA103" s="12">
        <f t="shared" si="126"/>
        <v>6.1855751513556196</v>
      </c>
      <c r="AB103" s="12">
        <f t="shared" si="127"/>
        <v>0.90473922362467252</v>
      </c>
      <c r="AD103" s="10">
        <f t="shared" si="101"/>
        <v>0</v>
      </c>
      <c r="AE103" s="10">
        <f t="shared" si="102"/>
        <v>0</v>
      </c>
      <c r="AF103" s="10">
        <f t="shared" si="103"/>
        <v>0</v>
      </c>
      <c r="AG103" s="10">
        <f t="shared" si="104"/>
        <v>0</v>
      </c>
      <c r="AH103" s="10">
        <f t="shared" si="105"/>
        <v>0</v>
      </c>
      <c r="AI103" s="10">
        <f t="shared" si="106"/>
        <v>0</v>
      </c>
      <c r="AK103" s="165">
        <v>3.2271054000000002E-3</v>
      </c>
      <c r="AL103" s="173">
        <f t="shared" si="117"/>
        <v>109.7183564946</v>
      </c>
      <c r="AM103" s="173">
        <f t="shared" si="118"/>
        <v>17.745852594600002</v>
      </c>
      <c r="AN103" s="173">
        <f t="shared" si="119"/>
        <v>83.901513294600008</v>
      </c>
      <c r="AO103" s="173">
        <f t="shared" si="120"/>
        <v>13.5506155746</v>
      </c>
      <c r="AP103" s="173">
        <f t="shared" si="121"/>
        <v>75.83374979460001</v>
      </c>
      <c r="AQ103" s="173">
        <f t="shared" si="122"/>
        <v>12.259773414600001</v>
      </c>
      <c r="AS103" s="22" t="str">
        <f>+VLOOKUP(B103,'Country &amp; Code Abbreviation'!$B$3:$C$245,2,FALSE)</f>
        <v>HU</v>
      </c>
    </row>
    <row r="104" spans="2:45">
      <c r="B104" s="20" t="s">
        <v>172</v>
      </c>
      <c r="C104" s="20" t="s">
        <v>100</v>
      </c>
      <c r="E104" s="11" t="str">
        <f>+VLOOKUP($B104,'[3]INT Web'!$B$5:$W$247,'[3]INT Web'!Q$1,FALSE)</f>
        <v>ISK</v>
      </c>
      <c r="F104" s="22">
        <f>+VLOOKUP($B104,'[3]INT Web'!$B$5:$W$247,'[3]INT Web'!R$1,FALSE)</f>
        <v>32999.99</v>
      </c>
      <c r="G104" s="22">
        <f>+VLOOKUP($B104,'[3]INT Web'!$B$5:$W$247,'[3]INT Web'!S$1,FALSE)</f>
        <v>5099.99</v>
      </c>
      <c r="H104" s="22">
        <f>+VLOOKUP($B104,'[3]INT Web'!$B$5:$W$247,'[3]INT Web'!T$1,FALSE)</f>
        <v>23999.99</v>
      </c>
      <c r="I104" s="22">
        <f>+VLOOKUP($B104,'[3]INT Web'!$B$5:$W$247,'[3]INT Web'!U$1,FALSE)</f>
        <v>3699.99</v>
      </c>
      <c r="J104" s="22">
        <f>+VLOOKUP($B104,'[3]INT Web'!$B$5:$W$247,'[3]INT Web'!V$1,FALSE)</f>
        <v>19979.99285715193</v>
      </c>
      <c r="K104" s="22">
        <f>+VLOOKUP($B104,'[3]INT Web'!$B$5:$W$247,'[3]INT Web'!W$1,FALSE)</f>
        <v>3329.99</v>
      </c>
      <c r="L104" s="12">
        <f t="shared" si="112"/>
        <v>6.470598961958749</v>
      </c>
      <c r="M104" s="12">
        <f t="shared" si="113"/>
        <v>1.3783794010254082</v>
      </c>
      <c r="N104" s="12">
        <f t="shared" si="114"/>
        <v>6.486501314868419</v>
      </c>
      <c r="O104" s="12">
        <f t="shared" si="115"/>
        <v>6.0000158730662649</v>
      </c>
      <c r="P104" s="12">
        <f t="shared" si="116"/>
        <v>0.89999972972899922</v>
      </c>
      <c r="Q104" s="140" t="str">
        <f t="shared" si="109"/>
        <v>ISK</v>
      </c>
      <c r="R104" s="104">
        <f>+VLOOKUP($B104,'Country-Level Tactics'!$B$5:$AL$248,'Country-Level Tactics'!AH$1,FALSE)</f>
        <v>32999.99</v>
      </c>
      <c r="S104" s="104">
        <f>+VLOOKUP($B104,'Country-Level Tactics'!$B$5:$AL$248,'Country-Level Tactics'!X$1,FALSE)</f>
        <v>5099.99</v>
      </c>
      <c r="T104" s="104">
        <f>+VLOOKUP($B104,'Country-Level Tactics'!$B$5:$AL$248,'Country-Level Tactics'!AC$1,FALSE)</f>
        <v>23999.99</v>
      </c>
      <c r="U104" s="104">
        <f>+VLOOKUP($B104,'Country-Level Tactics'!$B$5:$AL$248,'Country-Level Tactics'!T$1,FALSE)</f>
        <v>3699.99</v>
      </c>
      <c r="V104" s="104">
        <f t="shared" si="110"/>
        <v>19979.99285715193</v>
      </c>
      <c r="W104" s="104">
        <f t="shared" si="111"/>
        <v>3329.99</v>
      </c>
      <c r="X104" s="12">
        <f t="shared" si="123"/>
        <v>6.470598961958749</v>
      </c>
      <c r="Y104" s="12">
        <f t="shared" si="124"/>
        <v>1.3783794010254082</v>
      </c>
      <c r="Z104" s="12">
        <f t="shared" si="125"/>
        <v>6.486501314868419</v>
      </c>
      <c r="AA104" s="12">
        <f t="shared" si="126"/>
        <v>6.0000158730662649</v>
      </c>
      <c r="AB104" s="12">
        <f t="shared" si="127"/>
        <v>0.89999972972899922</v>
      </c>
      <c r="AD104" s="10">
        <f t="shared" si="101"/>
        <v>0</v>
      </c>
      <c r="AE104" s="10">
        <f t="shared" si="102"/>
        <v>0</v>
      </c>
      <c r="AF104" s="10">
        <f t="shared" si="103"/>
        <v>0</v>
      </c>
      <c r="AG104" s="10">
        <f t="shared" si="104"/>
        <v>0</v>
      </c>
      <c r="AH104" s="10">
        <f t="shared" si="105"/>
        <v>0</v>
      </c>
      <c r="AI104" s="10">
        <f t="shared" si="106"/>
        <v>0</v>
      </c>
      <c r="AK104" s="165">
        <v>7.9286419999999996E-3</v>
      </c>
      <c r="AL104" s="173">
        <f t="shared" si="117"/>
        <v>261.64510671357999</v>
      </c>
      <c r="AM104" s="173">
        <f t="shared" si="118"/>
        <v>40.435994913579997</v>
      </c>
      <c r="AN104" s="173">
        <f t="shared" si="119"/>
        <v>190.28732871358</v>
      </c>
      <c r="AO104" s="173">
        <f t="shared" si="120"/>
        <v>29.335896113579995</v>
      </c>
      <c r="AP104" s="173">
        <f t="shared" si="121"/>
        <v>158.41421052691479</v>
      </c>
      <c r="AQ104" s="173">
        <f t="shared" si="122"/>
        <v>26.402298573579998</v>
      </c>
      <c r="AS104" s="22" t="str">
        <f>+VLOOKUP(B104,'Country &amp; Code Abbreviation'!$B$3:$C$245,2,FALSE)</f>
        <v>IS</v>
      </c>
    </row>
    <row r="105" spans="2:45">
      <c r="B105" s="199" t="s">
        <v>173</v>
      </c>
      <c r="C105" s="199" t="s">
        <v>173</v>
      </c>
      <c r="D105" s="6" t="s">
        <v>350</v>
      </c>
      <c r="E105" s="11" t="str">
        <f>+VLOOKUP($B105,'[3]INT Web'!$B$5:$W$247,'[3]INT Web'!Q$1,FALSE)</f>
        <v>INR</v>
      </c>
      <c r="F105" s="22">
        <f>+VLOOKUP($B105,'[3]INT Web'!$B$5:$W$247,'[3]INT Web'!R$1,FALSE)</f>
        <v>2099</v>
      </c>
      <c r="G105" s="22">
        <f>+VLOOKUP($B105,'[3]INT Web'!$B$5:$W$247,'[3]INT Web'!S$1,FALSE)</f>
        <v>329</v>
      </c>
      <c r="H105" s="22">
        <f>+VLOOKUP($B105,'[3]INT Web'!$B$5:$W$247,'[3]INT Web'!T$1,FALSE)</f>
        <v>1499</v>
      </c>
      <c r="I105" s="22">
        <f>+VLOOKUP($B105,'[3]INT Web'!$B$5:$W$247,'[3]INT Web'!U$1,FALSE)</f>
        <v>219</v>
      </c>
      <c r="J105" s="22">
        <f>+VLOOKUP($B105,'[3]INT Web'!$B$5:$W$247,'[3]INT Web'!V$1,FALSE)</f>
        <v>1269</v>
      </c>
      <c r="K105" s="22">
        <f>+VLOOKUP($B105,'[3]INT Web'!$B$5:$W$247,'[3]INT Web'!W$1,FALSE)</f>
        <v>199</v>
      </c>
      <c r="L105" s="12">
        <f t="shared" si="112"/>
        <v>6.3799392097264436</v>
      </c>
      <c r="M105" s="12">
        <f t="shared" si="113"/>
        <v>1.5022831050228311</v>
      </c>
      <c r="N105" s="12">
        <f t="shared" si="114"/>
        <v>6.8447488584474883</v>
      </c>
      <c r="O105" s="12">
        <f>+J105/K105</f>
        <v>6.3768844221105532</v>
      </c>
      <c r="P105" s="12">
        <f>+K105/I105</f>
        <v>0.908675799086758</v>
      </c>
      <c r="Q105" s="140" t="str">
        <f t="shared" si="109"/>
        <v>INR</v>
      </c>
      <c r="R105" s="104">
        <f>+VLOOKUP($B105,'Country-Level Tactics'!$B$5:$AL$248,'Country-Level Tactics'!AH$1,FALSE)</f>
        <v>2099</v>
      </c>
      <c r="S105" s="104">
        <f>+VLOOKUP($B105,'Country-Level Tactics'!$B$5:$AL$248,'Country-Level Tactics'!X$1,FALSE)</f>
        <v>329</v>
      </c>
      <c r="T105" s="104">
        <f>+VLOOKUP($B105,'Country-Level Tactics'!$B$5:$AL$248,'Country-Level Tactics'!AC$1,FALSE)</f>
        <v>1499</v>
      </c>
      <c r="U105" s="104">
        <f>+VLOOKUP($B105,'Country-Level Tactics'!$B$5:$AL$248,'Country-Level Tactics'!T$1,FALSE)</f>
        <v>219</v>
      </c>
      <c r="V105" s="104">
        <f t="shared" ref="V105:W107" si="128">+J105</f>
        <v>1269</v>
      </c>
      <c r="W105" s="104">
        <f t="shared" si="128"/>
        <v>199</v>
      </c>
      <c r="X105" s="12">
        <f t="shared" si="123"/>
        <v>6.3799392097264436</v>
      </c>
      <c r="Y105" s="12">
        <f t="shared" si="124"/>
        <v>1.5022831050228311</v>
      </c>
      <c r="Z105" s="12">
        <f t="shared" si="125"/>
        <v>6.8447488584474883</v>
      </c>
      <c r="AA105" s="12">
        <f t="shared" si="126"/>
        <v>6.3768844221105532</v>
      </c>
      <c r="AB105" s="12">
        <f t="shared" si="127"/>
        <v>0.908675799086758</v>
      </c>
      <c r="AD105" s="10">
        <f t="shared" ref="AD105:AG112" si="129">+R105/F105-1</f>
        <v>0</v>
      </c>
      <c r="AE105" s="10">
        <f t="shared" si="129"/>
        <v>0</v>
      </c>
      <c r="AF105" s="10">
        <f t="shared" si="129"/>
        <v>0</v>
      </c>
      <c r="AG105" s="10">
        <f t="shared" si="129"/>
        <v>0</v>
      </c>
      <c r="AH105" s="10">
        <f>+V105/J105-1</f>
        <v>0</v>
      </c>
      <c r="AI105" s="10">
        <f>+W105/K105-1</f>
        <v>0</v>
      </c>
      <c r="AK105" s="165">
        <v>1.0482455E-2</v>
      </c>
      <c r="AL105" s="173">
        <f t="shared" si="117"/>
        <v>22.002673044999998</v>
      </c>
      <c r="AM105" s="173">
        <f t="shared" si="118"/>
        <v>3.4487276950000001</v>
      </c>
      <c r="AN105" s="173">
        <f t="shared" si="119"/>
        <v>15.713200045000001</v>
      </c>
      <c r="AO105" s="173">
        <f t="shared" si="120"/>
        <v>2.2956576449999999</v>
      </c>
      <c r="AP105" s="173">
        <f t="shared" si="121"/>
        <v>13.302235395</v>
      </c>
      <c r="AQ105" s="173">
        <f t="shared" si="122"/>
        <v>2.0860085449999999</v>
      </c>
      <c r="AS105" s="22" t="str">
        <f>+VLOOKUP(B105,'Country &amp; Code Abbreviation'!$B$3:$C$245,2,FALSE)</f>
        <v>IN</v>
      </c>
    </row>
    <row r="106" spans="2:45">
      <c r="B106" s="20" t="s">
        <v>174</v>
      </c>
      <c r="C106" s="20" t="s">
        <v>182</v>
      </c>
      <c r="D106" s="6" t="s">
        <v>348</v>
      </c>
      <c r="E106" s="11" t="str">
        <f>+VLOOKUP($B106,'[3]INT Web'!$B$5:$W$247,'[3]INT Web'!Q$1,FALSE)</f>
        <v>IDR</v>
      </c>
      <c r="F106" s="136">
        <f>+VLOOKUP($B106,'[3]INT Web'!$B$5:$W$247,'[3]INT Web'!R$1,FALSE)</f>
        <v>1200000</v>
      </c>
      <c r="G106" s="136">
        <f>+VLOOKUP($B106,'[3]INT Web'!$B$5:$W$247,'[3]INT Web'!S$1,FALSE)</f>
        <v>200000</v>
      </c>
      <c r="H106" s="136">
        <f>+VLOOKUP($B106,'[3]INT Web'!$B$5:$W$247,'[3]INT Web'!T$1,FALSE)</f>
        <v>945000</v>
      </c>
      <c r="I106" s="136">
        <f>+VLOOKUP($B106,'[3]INT Web'!$B$5:$W$247,'[3]INT Web'!U$1,FALSE)</f>
        <v>135000</v>
      </c>
      <c r="J106" s="136">
        <f>+VLOOKUP($B106,'[3]INT Web'!$B$5:$W$247,'[3]INT Web'!V$1,FALSE)</f>
        <v>732000</v>
      </c>
      <c r="K106" s="136">
        <f>+VLOOKUP($B106,'[3]INT Web'!$B$5:$W$247,'[3]INT Web'!W$1,FALSE)</f>
        <v>122000</v>
      </c>
      <c r="L106" s="12">
        <f t="shared" si="112"/>
        <v>6</v>
      </c>
      <c r="M106" s="12">
        <f t="shared" si="113"/>
        <v>1.4814814814814814</v>
      </c>
      <c r="N106" s="12">
        <f t="shared" si="114"/>
        <v>7</v>
      </c>
      <c r="O106" s="12">
        <f t="shared" ref="O106:O112" si="130">+J106/K106</f>
        <v>6</v>
      </c>
      <c r="P106" s="12">
        <f t="shared" ref="P106:P112" si="131">+K106/I106</f>
        <v>0.90370370370370368</v>
      </c>
      <c r="Q106" s="143" t="str">
        <f t="shared" si="109"/>
        <v>IDR</v>
      </c>
      <c r="R106" s="137">
        <f>+VLOOKUP($B106,'Country-Level Tactics'!$B$5:$AL$248,'Country-Level Tactics'!AH$1,FALSE)</f>
        <v>1200000</v>
      </c>
      <c r="S106" s="137">
        <f>+VLOOKUP($B106,'Country-Level Tactics'!$B$5:$AL$248,'Country-Level Tactics'!X$1,FALSE)</f>
        <v>200000</v>
      </c>
      <c r="T106" s="137">
        <f>+VLOOKUP($B106,'Country-Level Tactics'!$B$5:$AL$248,'Country-Level Tactics'!AC$1,FALSE)</f>
        <v>945000</v>
      </c>
      <c r="U106" s="137">
        <f>+VLOOKUP($B106,'Country-Level Tactics'!$B$5:$AL$248,'Country-Level Tactics'!T$1,FALSE)</f>
        <v>135000</v>
      </c>
      <c r="V106" s="137">
        <f t="shared" si="128"/>
        <v>732000</v>
      </c>
      <c r="W106" s="137">
        <f t="shared" si="128"/>
        <v>122000</v>
      </c>
      <c r="X106" s="12">
        <f t="shared" si="123"/>
        <v>6</v>
      </c>
      <c r="Y106" s="12">
        <f t="shared" si="124"/>
        <v>1.4814814814814814</v>
      </c>
      <c r="Z106" s="12">
        <f t="shared" si="125"/>
        <v>7</v>
      </c>
      <c r="AA106" s="12">
        <f t="shared" si="126"/>
        <v>6</v>
      </c>
      <c r="AB106" s="12">
        <f t="shared" si="127"/>
        <v>0.90370370370370368</v>
      </c>
      <c r="AD106" s="10">
        <f t="shared" si="129"/>
        <v>0</v>
      </c>
      <c r="AE106" s="10">
        <f t="shared" si="129"/>
        <v>0</v>
      </c>
      <c r="AF106" s="10">
        <f t="shared" si="129"/>
        <v>0</v>
      </c>
      <c r="AG106" s="10">
        <f t="shared" si="129"/>
        <v>0</v>
      </c>
      <c r="AH106" s="10">
        <f t="shared" ref="AH106:AI112" si="132">+V106/J106-1</f>
        <v>0</v>
      </c>
      <c r="AI106" s="10">
        <f t="shared" si="132"/>
        <v>0</v>
      </c>
      <c r="AK106" s="165">
        <v>5.5586435000000003E-5</v>
      </c>
      <c r="AL106" s="173">
        <f t="shared" si="117"/>
        <v>66.703721999999999</v>
      </c>
      <c r="AM106" s="173">
        <f t="shared" si="118"/>
        <v>11.117287000000001</v>
      </c>
      <c r="AN106" s="173">
        <f t="shared" si="119"/>
        <v>52.529181075000004</v>
      </c>
      <c r="AO106" s="173">
        <f t="shared" si="120"/>
        <v>7.5041687250000004</v>
      </c>
      <c r="AP106" s="173">
        <f t="shared" si="121"/>
        <v>40.68927042</v>
      </c>
      <c r="AQ106" s="173">
        <f t="shared" si="122"/>
        <v>6.78154507</v>
      </c>
      <c r="AS106" s="22" t="str">
        <f>+VLOOKUP(B106,'Country &amp; Code Abbreviation'!$B$3:$C$245,2,FALSE)</f>
        <v>ID</v>
      </c>
    </row>
    <row r="107" spans="2:45">
      <c r="B107" s="20" t="s">
        <v>175</v>
      </c>
      <c r="C107" s="20" t="s">
        <v>275</v>
      </c>
      <c r="E107" s="11" t="str">
        <f>+VLOOKUP($B107,'[3]INT Web'!$B$5:$W$247,'[3]INT Web'!Q$1,FALSE)</f>
        <v>USD</v>
      </c>
      <c r="F107" s="22">
        <f>+VLOOKUP($B107,'[3]INT Web'!$B$5:$W$247,'[3]INT Web'!R$1,FALSE)</f>
        <v>99.99</v>
      </c>
      <c r="G107" s="22">
        <f>+VLOOKUP($B107,'[3]INT Web'!$B$5:$W$247,'[3]INT Web'!S$1,FALSE)</f>
        <v>16.989999999999998</v>
      </c>
      <c r="H107" s="22">
        <f>+VLOOKUP($B107,'[3]INT Web'!$B$5:$W$247,'[3]INT Web'!T$1,FALSE)</f>
        <v>74.989999999999995</v>
      </c>
      <c r="I107" s="22">
        <f>+VLOOKUP($B107,'[3]INT Web'!$B$5:$W$247,'[3]INT Web'!U$1,FALSE)</f>
        <v>12.99</v>
      </c>
      <c r="J107" s="22">
        <f>+VLOOKUP($B107,'[3]INT Web'!$B$5:$W$247,'[3]INT Web'!V$1,FALSE)</f>
        <v>64.989999999999995</v>
      </c>
      <c r="K107" s="22">
        <f>+VLOOKUP($B107,'[3]INT Web'!$B$5:$W$247,'[3]INT Web'!W$1,FALSE)</f>
        <v>10.99</v>
      </c>
      <c r="L107" s="12">
        <f t="shared" si="112"/>
        <v>5.8852266038846386</v>
      </c>
      <c r="M107" s="12">
        <f t="shared" si="113"/>
        <v>1.3079291762894534</v>
      </c>
      <c r="N107" s="12">
        <f t="shared" si="114"/>
        <v>5.772902232486528</v>
      </c>
      <c r="O107" s="12">
        <f t="shared" si="130"/>
        <v>5.9135577797998176</v>
      </c>
      <c r="P107" s="12">
        <f t="shared" si="131"/>
        <v>0.84603541185527331</v>
      </c>
      <c r="Q107" s="140" t="str">
        <f t="shared" si="109"/>
        <v>USD</v>
      </c>
      <c r="R107" s="104">
        <f>+VLOOKUP($B107,'Country-Level Tactics'!$B$5:$AL$248,'Country-Level Tactics'!AH$1,FALSE)</f>
        <v>99.99</v>
      </c>
      <c r="S107" s="104">
        <f>+VLOOKUP($B107,'Country-Level Tactics'!$B$5:$AL$248,'Country-Level Tactics'!X$1,FALSE)</f>
        <v>16.989999999999998</v>
      </c>
      <c r="T107" s="104">
        <f>+VLOOKUP($B107,'Country-Level Tactics'!$B$5:$AL$248,'Country-Level Tactics'!AC$1,FALSE)</f>
        <v>74.989999999999995</v>
      </c>
      <c r="U107" s="104">
        <f>+VLOOKUP($B107,'Country-Level Tactics'!$B$5:$AL$248,'Country-Level Tactics'!T$1,FALSE)</f>
        <v>12.99</v>
      </c>
      <c r="V107" s="104">
        <f t="shared" si="128"/>
        <v>64.989999999999995</v>
      </c>
      <c r="W107" s="104">
        <f t="shared" si="128"/>
        <v>10.99</v>
      </c>
      <c r="X107" s="12">
        <f t="shared" si="123"/>
        <v>5.8852266038846386</v>
      </c>
      <c r="Y107" s="12">
        <f t="shared" si="124"/>
        <v>1.3079291762894534</v>
      </c>
      <c r="Z107" s="12">
        <f t="shared" si="125"/>
        <v>5.772902232486528</v>
      </c>
      <c r="AA107" s="12">
        <f t="shared" si="126"/>
        <v>5.9135577797998176</v>
      </c>
      <c r="AB107" s="12">
        <f t="shared" si="127"/>
        <v>0.84603541185527331</v>
      </c>
      <c r="AD107" s="10">
        <f t="shared" si="129"/>
        <v>0</v>
      </c>
      <c r="AE107" s="10">
        <f t="shared" si="129"/>
        <v>0</v>
      </c>
      <c r="AF107" s="10">
        <f t="shared" si="129"/>
        <v>0</v>
      </c>
      <c r="AG107" s="10">
        <f t="shared" si="129"/>
        <v>0</v>
      </c>
      <c r="AH107" s="10">
        <f t="shared" si="132"/>
        <v>0</v>
      </c>
      <c r="AI107" s="10">
        <f t="shared" si="132"/>
        <v>0</v>
      </c>
      <c r="AK107" s="165">
        <v>1</v>
      </c>
      <c r="AL107" s="173">
        <f t="shared" si="117"/>
        <v>99.99</v>
      </c>
      <c r="AM107" s="173">
        <f t="shared" si="118"/>
        <v>16.989999999999998</v>
      </c>
      <c r="AN107" s="173">
        <f t="shared" si="119"/>
        <v>74.989999999999995</v>
      </c>
      <c r="AO107" s="173">
        <f t="shared" si="120"/>
        <v>12.99</v>
      </c>
      <c r="AP107" s="173">
        <f t="shared" si="121"/>
        <v>64.989999999999995</v>
      </c>
      <c r="AQ107" s="173">
        <f t="shared" si="122"/>
        <v>10.99</v>
      </c>
      <c r="AS107" s="22" t="str">
        <f>+VLOOKUP(B107,'Country &amp; Code Abbreviation'!$B$3:$C$245,2,FALSE)</f>
        <v>IQ</v>
      </c>
    </row>
    <row r="108" spans="2:45">
      <c r="B108" s="20" t="s">
        <v>176</v>
      </c>
      <c r="C108" s="20" t="s">
        <v>100</v>
      </c>
      <c r="E108" s="11" t="str">
        <f>+VLOOKUP($B108,'[3]INT Web'!$B$5:$W$247,'[3]INT Web'!Q$1,FALSE)</f>
        <v>EUR</v>
      </c>
      <c r="F108" s="22">
        <f>+VLOOKUP($B108,'[3]INT Web'!$B$5:$W$247,'[3]INT Web'!R$1,FALSE)</f>
        <v>159.99</v>
      </c>
      <c r="G108" s="22">
        <f>+VLOOKUP($B108,'[3]INT Web'!$B$5:$W$247,'[3]INT Web'!S$1,FALSE)</f>
        <v>24.99</v>
      </c>
      <c r="H108" s="22">
        <f>+VLOOKUP($B108,'[3]INT Web'!$B$5:$W$247,'[3]INT Web'!T$1,FALSE)</f>
        <v>121.99</v>
      </c>
      <c r="I108" s="22">
        <f>+VLOOKUP($B108,'[3]INT Web'!$B$5:$W$247,'[3]INT Web'!U$1,FALSE)</f>
        <v>18.989999999999998</v>
      </c>
      <c r="J108" s="22">
        <f>+VLOOKUP($B108,'[3]INT Web'!$B$5:$W$247,'[3]INT Web'!V$1,FALSE)</f>
        <v>109.99</v>
      </c>
      <c r="K108" s="22">
        <f>+VLOOKUP($B108,'[3]INT Web'!$B$5:$W$247,'[3]INT Web'!W$1,FALSE)</f>
        <v>16.989999999999998</v>
      </c>
      <c r="L108" s="12">
        <f t="shared" si="112"/>
        <v>6.4021608643457393</v>
      </c>
      <c r="M108" s="12">
        <f t="shared" si="113"/>
        <v>1.315955766192733</v>
      </c>
      <c r="N108" s="12">
        <f t="shared" si="114"/>
        <v>6.4239073196419172</v>
      </c>
      <c r="O108" s="12">
        <f t="shared" si="130"/>
        <v>6.4738081224249564</v>
      </c>
      <c r="P108" s="12">
        <f t="shared" si="131"/>
        <v>0.89468141126908896</v>
      </c>
      <c r="Q108" s="140" t="str">
        <f t="shared" si="109"/>
        <v>EUR</v>
      </c>
      <c r="R108" s="104">
        <f>+VLOOKUP($B108,'Country-Level Tactics'!$B$5:$AL$248,'Country-Level Tactics'!AH$1,FALSE)</f>
        <v>159.99</v>
      </c>
      <c r="S108" s="104">
        <f>+VLOOKUP($B108,'Country-Level Tactics'!$B$5:$AL$248,'Country-Level Tactics'!X$1,FALSE)</f>
        <v>24.99</v>
      </c>
      <c r="T108" s="104">
        <f>+VLOOKUP($B108,'Country-Level Tactics'!$B$5:$AL$248,'Country-Level Tactics'!AC$1,FALSE)</f>
        <v>121.99</v>
      </c>
      <c r="U108" s="104">
        <f>+VLOOKUP($B108,'Country-Level Tactics'!$B$5:$AL$248,'Country-Level Tactics'!T$1,FALSE)</f>
        <v>18.989999999999998</v>
      </c>
      <c r="V108" s="104">
        <f t="shared" ref="V108:W112" si="133">+J108</f>
        <v>109.99</v>
      </c>
      <c r="W108" s="104">
        <f t="shared" si="133"/>
        <v>16.989999999999998</v>
      </c>
      <c r="X108" s="12">
        <f t="shared" si="123"/>
        <v>6.4021608643457393</v>
      </c>
      <c r="Y108" s="12">
        <f t="shared" si="124"/>
        <v>1.315955766192733</v>
      </c>
      <c r="Z108" s="12">
        <f t="shared" si="125"/>
        <v>6.4239073196419172</v>
      </c>
      <c r="AA108" s="12">
        <f t="shared" si="126"/>
        <v>6.4738081224249564</v>
      </c>
      <c r="AB108" s="12">
        <f t="shared" si="127"/>
        <v>0.89468141126908896</v>
      </c>
      <c r="AD108" s="10">
        <f t="shared" si="129"/>
        <v>0</v>
      </c>
      <c r="AE108" s="10">
        <f t="shared" si="129"/>
        <v>0</v>
      </c>
      <c r="AF108" s="10">
        <f t="shared" si="129"/>
        <v>0</v>
      </c>
      <c r="AG108" s="10">
        <f t="shared" si="129"/>
        <v>0</v>
      </c>
      <c r="AH108" s="10">
        <f t="shared" si="132"/>
        <v>0</v>
      </c>
      <c r="AI108" s="10">
        <f t="shared" si="132"/>
        <v>0</v>
      </c>
      <c r="AK108" s="165">
        <v>1.14175</v>
      </c>
      <c r="AL108" s="173">
        <f t="shared" si="117"/>
        <v>182.66858250000001</v>
      </c>
      <c r="AM108" s="173">
        <f t="shared" si="118"/>
        <v>28.532332499999999</v>
      </c>
      <c r="AN108" s="173">
        <f t="shared" si="119"/>
        <v>139.2820825</v>
      </c>
      <c r="AO108" s="173">
        <f t="shared" si="120"/>
        <v>21.681832499999999</v>
      </c>
      <c r="AP108" s="173">
        <f t="shared" si="121"/>
        <v>125.58108249999999</v>
      </c>
      <c r="AQ108" s="173">
        <f t="shared" si="122"/>
        <v>19.398332499999999</v>
      </c>
      <c r="AS108" s="22" t="str">
        <f>+VLOOKUP(B108,'Country &amp; Code Abbreviation'!$B$3:$C$245,2,FALSE)</f>
        <v>IE</v>
      </c>
    </row>
    <row r="109" spans="2:45">
      <c r="B109" s="20" t="s">
        <v>177</v>
      </c>
      <c r="C109" s="20" t="s">
        <v>100</v>
      </c>
      <c r="E109" s="11" t="str">
        <f>+VLOOKUP($B109,'[3]INT Web'!$B$5:$W$247,'[3]INT Web'!Q$1,FALSE)</f>
        <v>USD</v>
      </c>
      <c r="F109" s="22">
        <f>+VLOOKUP($B109,'[3]INT Web'!$B$5:$W$247,'[3]INT Web'!R$1,FALSE)</f>
        <v>179.99</v>
      </c>
      <c r="G109" s="22">
        <f>+VLOOKUP($B109,'[3]INT Web'!$B$5:$W$247,'[3]INT Web'!S$1,FALSE)</f>
        <v>25.99</v>
      </c>
      <c r="H109" s="22">
        <f>+VLOOKUP($B109,'[3]INT Web'!$B$5:$W$247,'[3]INT Web'!T$1,FALSE)</f>
        <v>119.99</v>
      </c>
      <c r="I109" s="22">
        <f>+VLOOKUP($B109,'[3]INT Web'!$B$5:$W$247,'[3]INT Web'!U$1,FALSE)</f>
        <v>19.989999999999998</v>
      </c>
      <c r="J109" s="22">
        <f>+VLOOKUP($B109,'[3]INT Web'!$B$5:$W$247,'[3]INT Web'!V$1,FALSE)</f>
        <v>109.99</v>
      </c>
      <c r="K109" s="22">
        <f>+VLOOKUP($B109,'[3]INT Web'!$B$5:$W$247,'[3]INT Web'!W$1,FALSE)</f>
        <v>17.989999999999998</v>
      </c>
      <c r="L109" s="12">
        <f t="shared" si="112"/>
        <v>6.9253559061177388</v>
      </c>
      <c r="M109" s="12">
        <f t="shared" si="113"/>
        <v>1.3001500750375188</v>
      </c>
      <c r="N109" s="12">
        <f t="shared" si="114"/>
        <v>6.002501250625313</v>
      </c>
      <c r="O109" s="12">
        <f t="shared" si="130"/>
        <v>6.1139521956642584</v>
      </c>
      <c r="P109" s="12">
        <f t="shared" si="131"/>
        <v>0.89994997498749374</v>
      </c>
      <c r="Q109" s="140" t="str">
        <f t="shared" si="109"/>
        <v>USD</v>
      </c>
      <c r="R109" s="104">
        <f>+VLOOKUP($B109,'Country-Level Tactics'!$B$5:$AL$248,'Country-Level Tactics'!AH$1,FALSE)</f>
        <v>179.99</v>
      </c>
      <c r="S109" s="104">
        <f>+VLOOKUP($B109,'Country-Level Tactics'!$B$5:$AL$248,'Country-Level Tactics'!X$1,FALSE)</f>
        <v>25.99</v>
      </c>
      <c r="T109" s="104">
        <f>+VLOOKUP($B109,'Country-Level Tactics'!$B$5:$AL$248,'Country-Level Tactics'!AC$1,FALSE)</f>
        <v>119.99</v>
      </c>
      <c r="U109" s="104">
        <f>+VLOOKUP($B109,'Country-Level Tactics'!$B$5:$AL$248,'Country-Level Tactics'!T$1,FALSE)</f>
        <v>19.989999999999998</v>
      </c>
      <c r="V109" s="104">
        <f t="shared" si="133"/>
        <v>109.99</v>
      </c>
      <c r="W109" s="104">
        <f t="shared" si="133"/>
        <v>17.989999999999998</v>
      </c>
      <c r="X109" s="12">
        <f t="shared" si="123"/>
        <v>6.9253559061177388</v>
      </c>
      <c r="Y109" s="12">
        <f t="shared" si="124"/>
        <v>1.3001500750375188</v>
      </c>
      <c r="Z109" s="12">
        <f t="shared" si="125"/>
        <v>6.002501250625313</v>
      </c>
      <c r="AA109" s="12">
        <f t="shared" si="126"/>
        <v>6.1139521956642584</v>
      </c>
      <c r="AB109" s="12">
        <f t="shared" si="127"/>
        <v>0.89994997498749374</v>
      </c>
      <c r="AD109" s="10">
        <f t="shared" si="129"/>
        <v>0</v>
      </c>
      <c r="AE109" s="10">
        <f t="shared" si="129"/>
        <v>0</v>
      </c>
      <c r="AF109" s="10">
        <f t="shared" si="129"/>
        <v>0</v>
      </c>
      <c r="AG109" s="10">
        <f t="shared" si="129"/>
        <v>0</v>
      </c>
      <c r="AH109" s="10">
        <f t="shared" si="132"/>
        <v>0</v>
      </c>
      <c r="AI109" s="10">
        <f t="shared" si="132"/>
        <v>0</v>
      </c>
      <c r="AK109" s="165">
        <v>1</v>
      </c>
      <c r="AL109" s="173">
        <f t="shared" si="117"/>
        <v>179.99</v>
      </c>
      <c r="AM109" s="173">
        <f t="shared" si="118"/>
        <v>25.99</v>
      </c>
      <c r="AN109" s="173">
        <f t="shared" si="119"/>
        <v>119.99</v>
      </c>
      <c r="AO109" s="173">
        <f t="shared" si="120"/>
        <v>19.989999999999998</v>
      </c>
      <c r="AP109" s="173">
        <f t="shared" si="121"/>
        <v>109.99</v>
      </c>
      <c r="AQ109" s="173">
        <f t="shared" si="122"/>
        <v>17.989999999999998</v>
      </c>
      <c r="AS109" s="22" t="str">
        <f>+VLOOKUP(B109,'Country &amp; Code Abbreviation'!$B$3:$C$245,2,FALSE)</f>
        <v>IM</v>
      </c>
    </row>
    <row r="110" spans="2:45">
      <c r="B110" s="20" t="s">
        <v>178</v>
      </c>
      <c r="C110" s="20" t="s">
        <v>100</v>
      </c>
      <c r="D110" s="6" t="s">
        <v>348</v>
      </c>
      <c r="E110" s="11" t="str">
        <f>+VLOOKUP($B110,'[3]INT Web'!$B$5:$W$247,'[3]INT Web'!Q$1,FALSE)</f>
        <v>ILS</v>
      </c>
      <c r="F110" s="22">
        <f>+VLOOKUP($B110,'[3]INT Web'!$B$5:$W$247,'[3]INT Web'!R$1,FALSE)</f>
        <v>569.99</v>
      </c>
      <c r="G110" s="22">
        <f>+VLOOKUP($B110,'[3]INT Web'!$B$5:$W$247,'[3]INT Web'!S$1,FALSE)</f>
        <v>87.99</v>
      </c>
      <c r="H110" s="22">
        <f>+VLOOKUP($B110,'[3]INT Web'!$B$5:$W$247,'[3]INT Web'!T$1,FALSE)</f>
        <v>419.99</v>
      </c>
      <c r="I110" s="22">
        <f>+VLOOKUP($B110,'[3]INT Web'!$B$5:$W$247,'[3]INT Web'!U$1,FALSE)</f>
        <v>64.989999999999995</v>
      </c>
      <c r="J110" s="22">
        <f>+VLOOKUP($B110,'[3]INT Web'!$B$5:$W$247,'[3]INT Web'!V$1,FALSE)</f>
        <v>369.99</v>
      </c>
      <c r="K110" s="22">
        <f>+VLOOKUP($B110,'[3]INT Web'!$B$5:$W$247,'[3]INT Web'!W$1,FALSE)</f>
        <v>57.99</v>
      </c>
      <c r="L110" s="12">
        <f t="shared" si="112"/>
        <v>6.4778952153653826</v>
      </c>
      <c r="M110" s="12">
        <f t="shared" si="113"/>
        <v>1.3539006000923219</v>
      </c>
      <c r="N110" s="12">
        <f t="shared" si="114"/>
        <v>6.4623788275119258</v>
      </c>
      <c r="O110" s="12">
        <f t="shared" si="130"/>
        <v>6.3802379720641493</v>
      </c>
      <c r="P110" s="12">
        <f t="shared" si="131"/>
        <v>0.89229112171103253</v>
      </c>
      <c r="Q110" s="140" t="str">
        <f t="shared" si="109"/>
        <v>ILS</v>
      </c>
      <c r="R110" s="104">
        <f>+VLOOKUP($B110,'Country-Level Tactics'!$B$5:$AL$248,'Country-Level Tactics'!AH$1,FALSE)</f>
        <v>569.99</v>
      </c>
      <c r="S110" s="104">
        <f>+VLOOKUP($B110,'Country-Level Tactics'!$B$5:$AL$248,'Country-Level Tactics'!X$1,FALSE)</f>
        <v>87.99</v>
      </c>
      <c r="T110" s="104">
        <f>+VLOOKUP($B110,'Country-Level Tactics'!$B$5:$AL$248,'Country-Level Tactics'!AC$1,FALSE)</f>
        <v>419.99</v>
      </c>
      <c r="U110" s="104">
        <f>+VLOOKUP($B110,'Country-Level Tactics'!$B$5:$AL$248,'Country-Level Tactics'!T$1,FALSE)</f>
        <v>64.989999999999995</v>
      </c>
      <c r="V110" s="104">
        <f t="shared" si="133"/>
        <v>369.99</v>
      </c>
      <c r="W110" s="104">
        <f t="shared" si="133"/>
        <v>57.99</v>
      </c>
      <c r="X110" s="12">
        <f t="shared" si="123"/>
        <v>6.4778952153653826</v>
      </c>
      <c r="Y110" s="12">
        <f t="shared" si="124"/>
        <v>1.3539006000923219</v>
      </c>
      <c r="Z110" s="12">
        <f t="shared" si="125"/>
        <v>6.4623788275119258</v>
      </c>
      <c r="AA110" s="12">
        <f t="shared" si="126"/>
        <v>6.3802379720641493</v>
      </c>
      <c r="AB110" s="12">
        <f t="shared" si="127"/>
        <v>0.89229112171103253</v>
      </c>
      <c r="AD110" s="10">
        <f t="shared" si="129"/>
        <v>0</v>
      </c>
      <c r="AE110" s="10">
        <f t="shared" si="129"/>
        <v>0</v>
      </c>
      <c r="AF110" s="10">
        <f t="shared" si="129"/>
        <v>0</v>
      </c>
      <c r="AG110" s="10">
        <f t="shared" si="129"/>
        <v>0</v>
      </c>
      <c r="AH110" s="10">
        <f t="shared" si="132"/>
        <v>0</v>
      </c>
      <c r="AI110" s="10">
        <f t="shared" si="132"/>
        <v>0</v>
      </c>
      <c r="AK110" s="165">
        <v>0.33361688</v>
      </c>
      <c r="AL110" s="173">
        <f t="shared" si="117"/>
        <v>190.1582854312</v>
      </c>
      <c r="AM110" s="173">
        <f t="shared" si="118"/>
        <v>29.354949271199999</v>
      </c>
      <c r="AN110" s="173">
        <f t="shared" si="119"/>
        <v>140.11575343120001</v>
      </c>
      <c r="AO110" s="173">
        <f t="shared" si="120"/>
        <v>21.681761031199997</v>
      </c>
      <c r="AP110" s="173">
        <f t="shared" si="121"/>
        <v>123.4349094312</v>
      </c>
      <c r="AQ110" s="173">
        <f t="shared" si="122"/>
        <v>19.346442871200001</v>
      </c>
      <c r="AS110" s="22" t="str">
        <f>+VLOOKUP(B110,'Country &amp; Code Abbreviation'!$B$3:$C$245,2,FALSE)</f>
        <v>IL</v>
      </c>
    </row>
    <row r="111" spans="2:45">
      <c r="B111" s="199" t="s">
        <v>179</v>
      </c>
      <c r="C111" s="199" t="s">
        <v>100</v>
      </c>
      <c r="D111" s="6" t="s">
        <v>347</v>
      </c>
      <c r="E111" s="11" t="str">
        <f>+VLOOKUP($B111,'[3]INT Web'!$B$5:$W$247,'[3]INT Web'!Q$1,FALSE)</f>
        <v>EUR</v>
      </c>
      <c r="F111" s="22">
        <f>+VLOOKUP($B111,'[3]INT Web'!$B$5:$W$247,'[3]INT Web'!R$1,FALSE)</f>
        <v>149.99</v>
      </c>
      <c r="G111" s="22">
        <f>+VLOOKUP($B111,'[3]INT Web'!$B$5:$W$247,'[3]INT Web'!S$1,FALSE)</f>
        <v>21.99</v>
      </c>
      <c r="H111" s="22">
        <f>+VLOOKUP($B111,'[3]INT Web'!$B$5:$W$247,'[3]INT Web'!T$1,FALSE)</f>
        <v>109.99</v>
      </c>
      <c r="I111" s="22">
        <f>+VLOOKUP($B111,'[3]INT Web'!$B$5:$W$247,'[3]INT Web'!U$1,FALSE)</f>
        <v>15.99</v>
      </c>
      <c r="J111" s="22">
        <f>+VLOOKUP($B111,'[3]INT Web'!$B$5:$W$247,'[3]INT Web'!V$1,FALSE)</f>
        <v>94.99</v>
      </c>
      <c r="K111" s="22">
        <f>+VLOOKUP($B111,'[3]INT Web'!$B$5:$W$247,'[3]INT Web'!W$1,FALSE)</f>
        <v>13.99</v>
      </c>
      <c r="L111" s="12">
        <f t="shared" si="112"/>
        <v>6.8208276489313331</v>
      </c>
      <c r="M111" s="12">
        <f t="shared" si="113"/>
        <v>1.3752345215759849</v>
      </c>
      <c r="N111" s="12">
        <f t="shared" si="114"/>
        <v>6.8786741713570976</v>
      </c>
      <c r="O111" s="12">
        <f t="shared" si="130"/>
        <v>6.7898498927805573</v>
      </c>
      <c r="P111" s="12">
        <f t="shared" si="131"/>
        <v>0.87492182614133829</v>
      </c>
      <c r="Q111" s="140" t="str">
        <f t="shared" si="109"/>
        <v>EUR</v>
      </c>
      <c r="R111" s="104">
        <f>+VLOOKUP($B111,'Country-Level Tactics'!$B$5:$AL$248,'Country-Level Tactics'!AH$1,FALSE)</f>
        <v>149.99</v>
      </c>
      <c r="S111" s="104">
        <f>+VLOOKUP($B111,'Country-Level Tactics'!$B$5:$AL$248,'Country-Level Tactics'!X$1,FALSE)</f>
        <v>21.99</v>
      </c>
      <c r="T111" s="104">
        <f>+VLOOKUP($B111,'Country-Level Tactics'!$B$5:$AL$248,'Country-Level Tactics'!AC$1,FALSE)</f>
        <v>109.99</v>
      </c>
      <c r="U111" s="104">
        <f>+VLOOKUP($B111,'Country-Level Tactics'!$B$5:$AL$248,'Country-Level Tactics'!T$1,FALSE)</f>
        <v>15.99</v>
      </c>
      <c r="V111" s="104">
        <f t="shared" si="133"/>
        <v>94.99</v>
      </c>
      <c r="W111" s="104">
        <f t="shared" si="133"/>
        <v>13.99</v>
      </c>
      <c r="X111" s="12">
        <f t="shared" si="123"/>
        <v>6.8208276489313331</v>
      </c>
      <c r="Y111" s="12">
        <f t="shared" si="124"/>
        <v>1.3752345215759849</v>
      </c>
      <c r="Z111" s="12">
        <f t="shared" si="125"/>
        <v>6.8786741713570976</v>
      </c>
      <c r="AA111" s="12">
        <f t="shared" si="126"/>
        <v>6.7898498927805573</v>
      </c>
      <c r="AB111" s="12">
        <f t="shared" si="127"/>
        <v>0.87492182614133829</v>
      </c>
      <c r="AD111" s="10">
        <f t="shared" si="129"/>
        <v>0</v>
      </c>
      <c r="AE111" s="10">
        <f t="shared" si="129"/>
        <v>0</v>
      </c>
      <c r="AF111" s="10">
        <f t="shared" si="129"/>
        <v>0</v>
      </c>
      <c r="AG111" s="10">
        <f t="shared" si="129"/>
        <v>0</v>
      </c>
      <c r="AH111" s="10">
        <f t="shared" si="132"/>
        <v>0</v>
      </c>
      <c r="AI111" s="10">
        <f t="shared" si="132"/>
        <v>0</v>
      </c>
      <c r="AK111" s="165">
        <v>1.14175</v>
      </c>
      <c r="AL111" s="173">
        <f t="shared" si="117"/>
        <v>171.25108250000002</v>
      </c>
      <c r="AM111" s="173">
        <f t="shared" si="118"/>
        <v>25.107082500000001</v>
      </c>
      <c r="AN111" s="173">
        <f t="shared" si="119"/>
        <v>125.58108249999999</v>
      </c>
      <c r="AO111" s="173">
        <f t="shared" si="120"/>
        <v>18.2565825</v>
      </c>
      <c r="AP111" s="173">
        <f t="shared" si="121"/>
        <v>108.45483249999999</v>
      </c>
      <c r="AQ111" s="173">
        <f t="shared" si="122"/>
        <v>15.9730825</v>
      </c>
      <c r="AS111" s="22" t="str">
        <f>+VLOOKUP(B111,'Country &amp; Code Abbreviation'!$B$3:$C$245,2,FALSE)</f>
        <v>IT</v>
      </c>
    </row>
    <row r="112" spans="2:45" ht="13.4" customHeight="1">
      <c r="B112" s="20" t="s">
        <v>180</v>
      </c>
      <c r="C112" s="20" t="s">
        <v>96</v>
      </c>
      <c r="E112" s="11" t="str">
        <f>+VLOOKUP($B112,'[3]INT Web'!$B$5:$W$247,'[3]INT Web'!Q$1,FALSE)</f>
        <v>JMD</v>
      </c>
      <c r="F112" s="22">
        <f>+VLOOKUP($B112,'[3]INT Web'!$B$5:$W$247,'[3]INT Web'!R$1,FALSE)</f>
        <v>14399.99</v>
      </c>
      <c r="G112" s="22">
        <f>+VLOOKUP($B112,'[3]INT Web'!$B$5:$W$247,'[3]INT Web'!S$1,FALSE)</f>
        <v>2399.9899999999998</v>
      </c>
      <c r="H112" s="22">
        <f>+VLOOKUP($B112,'[3]INT Web'!$B$5:$W$247,'[3]INT Web'!T$1,FALSE)</f>
        <v>10199.99</v>
      </c>
      <c r="I112" s="22">
        <f>+VLOOKUP($B112,'[3]INT Web'!$B$5:$W$247,'[3]INT Web'!U$1,FALSE)</f>
        <v>1699.99</v>
      </c>
      <c r="J112" s="22">
        <f>+VLOOKUP($B112,'[3]INT Web'!$B$5:$W$247,'[3]INT Web'!V$1,FALSE)</f>
        <v>8999.99</v>
      </c>
      <c r="K112" s="22">
        <f>+VLOOKUP($B112,'[3]INT Web'!$B$5:$W$247,'[3]INT Web'!W$1,FALSE)</f>
        <v>1499.99</v>
      </c>
      <c r="L112" s="12">
        <f t="shared" si="112"/>
        <v>6.0000208334201401</v>
      </c>
      <c r="M112" s="12">
        <f t="shared" si="113"/>
        <v>1.4117671280419295</v>
      </c>
      <c r="N112" s="12">
        <f t="shared" si="114"/>
        <v>6.0000294119377173</v>
      </c>
      <c r="O112" s="12">
        <f t="shared" si="130"/>
        <v>6.0000333335555567</v>
      </c>
      <c r="P112" s="12">
        <f t="shared" si="131"/>
        <v>0.88235224913087729</v>
      </c>
      <c r="Q112" s="140" t="str">
        <f t="shared" si="109"/>
        <v>JMD</v>
      </c>
      <c r="R112" s="104">
        <f>+VLOOKUP($B112,'Country-Level Tactics'!$B$5:$AL$248,'Country-Level Tactics'!AH$1,FALSE)</f>
        <v>14399.99</v>
      </c>
      <c r="S112" s="104">
        <f>+VLOOKUP($B112,'Country-Level Tactics'!$B$5:$AL$248,'Country-Level Tactics'!X$1,FALSE)</f>
        <v>2399.9899999999998</v>
      </c>
      <c r="T112" s="104">
        <f>+VLOOKUP($B112,'Country-Level Tactics'!$B$5:$AL$248,'Country-Level Tactics'!AC$1,FALSE)</f>
        <v>10199.99</v>
      </c>
      <c r="U112" s="104">
        <f>+VLOOKUP($B112,'Country-Level Tactics'!$B$5:$AL$248,'Country-Level Tactics'!T$1,FALSE)</f>
        <v>1699.99</v>
      </c>
      <c r="V112" s="104">
        <f t="shared" si="133"/>
        <v>8999.99</v>
      </c>
      <c r="W112" s="104">
        <f t="shared" si="133"/>
        <v>1499.99</v>
      </c>
      <c r="X112" s="12">
        <f t="shared" si="123"/>
        <v>6.0000208334201401</v>
      </c>
      <c r="Y112" s="12">
        <f t="shared" si="124"/>
        <v>1.4117671280419295</v>
      </c>
      <c r="Z112" s="12">
        <f t="shared" si="125"/>
        <v>6.0000294119377173</v>
      </c>
      <c r="AA112" s="12">
        <f t="shared" si="126"/>
        <v>6.0000333335555567</v>
      </c>
      <c r="AB112" s="12">
        <f t="shared" si="127"/>
        <v>0.88235224913087729</v>
      </c>
      <c r="AD112" s="10">
        <f t="shared" si="129"/>
        <v>0</v>
      </c>
      <c r="AE112" s="10">
        <f t="shared" si="129"/>
        <v>0</v>
      </c>
      <c r="AF112" s="10">
        <f t="shared" si="129"/>
        <v>0</v>
      </c>
      <c r="AG112" s="10">
        <f t="shared" si="129"/>
        <v>0</v>
      </c>
      <c r="AH112" s="10">
        <f t="shared" si="132"/>
        <v>0</v>
      </c>
      <c r="AI112" s="10">
        <f t="shared" si="132"/>
        <v>0</v>
      </c>
      <c r="AK112" s="165">
        <v>6.3163209999999997E-3</v>
      </c>
      <c r="AL112" s="173">
        <f t="shared" si="117"/>
        <v>90.954959236789989</v>
      </c>
      <c r="AM112" s="173">
        <f t="shared" si="118"/>
        <v>15.159107236789998</v>
      </c>
      <c r="AN112" s="173">
        <f t="shared" si="119"/>
        <v>64.42641103679</v>
      </c>
      <c r="AO112" s="173">
        <f t="shared" si="120"/>
        <v>10.73768253679</v>
      </c>
      <c r="AP112" s="173">
        <f t="shared" si="121"/>
        <v>56.846825836789996</v>
      </c>
      <c r="AQ112" s="173">
        <f t="shared" si="122"/>
        <v>9.4744183367900003</v>
      </c>
      <c r="AS112" s="22" t="str">
        <f>+VLOOKUP(B112,'Country &amp; Code Abbreviation'!$B$3:$C$245,2,FALSE)</f>
        <v>JM</v>
      </c>
    </row>
    <row r="113" spans="2:45" ht="13.4" customHeight="1">
      <c r="B113" s="199" t="s">
        <v>181</v>
      </c>
      <c r="C113" s="199" t="s">
        <v>182</v>
      </c>
      <c r="E113" s="11" t="str">
        <f>+VLOOKUP($B113,'[3]INT Web'!$B$5:$W$247,'[3]INT Web'!Q$1,FALSE)</f>
        <v>JPY</v>
      </c>
      <c r="F113" s="22">
        <f>+VLOOKUP($B113,'[3]INT Web'!$B$5:$W$247,'[3]INT Web'!R$1,FALSE)</f>
        <v>25190</v>
      </c>
      <c r="G113" s="22">
        <f>+VLOOKUP($B113,'[3]INT Web'!$B$5:$W$247,'[3]INT Web'!S$1,FALSE)</f>
        <v>4190</v>
      </c>
      <c r="H113" s="22">
        <f>+VLOOKUP($B113,'[3]INT Web'!$B$5:$W$247,'[3]INT Web'!T$1,FALSE)</f>
        <v>19190</v>
      </c>
      <c r="I113" s="22">
        <f>+VLOOKUP($B113,'[3]INT Web'!$B$5:$W$247,'[3]INT Web'!U$1,FALSE)</f>
        <v>3190</v>
      </c>
      <c r="J113" s="22">
        <f>+VLOOKUP($B113,'[3]INT Web'!$B$5:$W$247,'[3]INT Web'!V$1,FALSE)</f>
        <v>17390</v>
      </c>
      <c r="K113" s="22">
        <f>+VLOOKUP($B113,'[3]INT Web'!$B$5:$W$247,'[3]INT Web'!W$1,FALSE)</f>
        <v>2890</v>
      </c>
      <c r="L113" s="12">
        <f t="shared" ref="L113" si="134">+F113/G113</f>
        <v>6.0119331742243434</v>
      </c>
      <c r="M113" s="12">
        <f t="shared" ref="M113" si="135">+G113/I113</f>
        <v>1.3134796238244515</v>
      </c>
      <c r="N113" s="12">
        <f t="shared" ref="N113" si="136">+H113/I113</f>
        <v>6.015673981191223</v>
      </c>
      <c r="O113" s="12">
        <f t="shared" ref="O113" si="137">+J113/K113</f>
        <v>6.0173010380622838</v>
      </c>
      <c r="P113" s="12">
        <f t="shared" ref="P113" si="138">+K113/I113</f>
        <v>0.90595611285266453</v>
      </c>
      <c r="Q113" s="140" t="s">
        <v>352</v>
      </c>
      <c r="R113" s="104">
        <f>+VLOOKUP($B113,'Country-Level Tactics'!$B$5:$AL$248,'Country-Level Tactics'!AH$1,FALSE)</f>
        <v>25190</v>
      </c>
      <c r="S113" s="104">
        <f>+VLOOKUP($B113,'Country-Level Tactics'!$B$5:$AL$248,'Country-Level Tactics'!X$1,FALSE)</f>
        <v>4190</v>
      </c>
      <c r="T113" s="104">
        <f>+VLOOKUP($B113,'Country-Level Tactics'!$B$5:$AL$248,'Country-Level Tactics'!AC$1,FALSE)</f>
        <v>19190</v>
      </c>
      <c r="U113" s="104">
        <f>+VLOOKUP($B113,'Country-Level Tactics'!$B$5:$AL$248,'Country-Level Tactics'!T$1,FALSE)</f>
        <v>3190</v>
      </c>
      <c r="V113" s="137">
        <f>+J113</f>
        <v>17390</v>
      </c>
      <c r="W113" s="137">
        <f>+K113</f>
        <v>2890</v>
      </c>
      <c r="X113" s="12">
        <f t="shared" si="123"/>
        <v>6.0119331742243434</v>
      </c>
      <c r="Y113" s="12">
        <f t="shared" si="124"/>
        <v>1.3134796238244515</v>
      </c>
      <c r="Z113" s="12">
        <f t="shared" si="125"/>
        <v>6.015673981191223</v>
      </c>
      <c r="AA113" s="12">
        <f t="shared" si="126"/>
        <v>6.0173010380622838</v>
      </c>
      <c r="AB113" s="12">
        <f t="shared" si="127"/>
        <v>0.90595611285266453</v>
      </c>
      <c r="AD113" s="10">
        <f t="shared" ref="AD113" si="139">+R113/F113-1</f>
        <v>0</v>
      </c>
      <c r="AE113" s="10">
        <f t="shared" ref="AE113" si="140">+S113/G113-1</f>
        <v>0</v>
      </c>
      <c r="AF113" s="10">
        <f t="shared" ref="AF113" si="141">+T113/H113-1</f>
        <v>0</v>
      </c>
      <c r="AG113" s="10">
        <f t="shared" ref="AG113" si="142">+U113/I113-1</f>
        <v>0</v>
      </c>
      <c r="AH113" s="10">
        <f t="shared" ref="AH113" si="143">+V113/J113-1</f>
        <v>0</v>
      </c>
      <c r="AI113" s="10">
        <f t="shared" ref="AI113" si="144">+W113/K113-1</f>
        <v>0</v>
      </c>
      <c r="AK113" s="165">
        <v>6.1585833000000001E-3</v>
      </c>
      <c r="AL113" s="173">
        <f t="shared" si="117"/>
        <v>155.13471332700001</v>
      </c>
      <c r="AM113" s="173">
        <f t="shared" si="118"/>
        <v>25.804464027000002</v>
      </c>
      <c r="AN113" s="173">
        <f t="shared" si="119"/>
        <v>118.18321352700001</v>
      </c>
      <c r="AO113" s="173">
        <f t="shared" si="120"/>
        <v>19.645880727000002</v>
      </c>
      <c r="AP113" s="173">
        <f t="shared" si="121"/>
        <v>107.097763587</v>
      </c>
      <c r="AQ113" s="173">
        <f t="shared" si="122"/>
        <v>17.798305737</v>
      </c>
      <c r="AS113" s="9" t="s">
        <v>353</v>
      </c>
    </row>
    <row r="114" spans="2:45">
      <c r="B114" s="20" t="s">
        <v>183</v>
      </c>
      <c r="C114" s="20" t="s">
        <v>100</v>
      </c>
      <c r="E114" s="11" t="str">
        <f>+VLOOKUP($B114,'[3]INT Web'!$B$5:$W$247,'[3]INT Web'!Q$1,FALSE)</f>
        <v>USD</v>
      </c>
      <c r="F114" s="22">
        <f>+VLOOKUP($B114,'[3]INT Web'!$B$5:$W$247,'[3]INT Web'!R$1,FALSE)</f>
        <v>179.99</v>
      </c>
      <c r="G114" s="22">
        <f>+VLOOKUP($B114,'[3]INT Web'!$B$5:$W$247,'[3]INT Web'!S$1,FALSE)</f>
        <v>25.99</v>
      </c>
      <c r="H114" s="22">
        <f>+VLOOKUP($B114,'[3]INT Web'!$B$5:$W$247,'[3]INT Web'!T$1,FALSE)</f>
        <v>119.99</v>
      </c>
      <c r="I114" s="22">
        <f>+VLOOKUP($B114,'[3]INT Web'!$B$5:$W$247,'[3]INT Web'!U$1,FALSE)</f>
        <v>19.989999999999998</v>
      </c>
      <c r="J114" s="22">
        <f>+VLOOKUP($B114,'[3]INT Web'!$B$5:$W$247,'[3]INT Web'!V$1,FALSE)</f>
        <v>109.99</v>
      </c>
      <c r="K114" s="22">
        <f>+VLOOKUP($B114,'[3]INT Web'!$B$5:$W$247,'[3]INT Web'!W$1,FALSE)</f>
        <v>17.989999999999998</v>
      </c>
      <c r="L114" s="12">
        <f t="shared" ref="L114:L145" si="145">+F114/G114</f>
        <v>6.9253559061177388</v>
      </c>
      <c r="M114" s="12">
        <f t="shared" ref="M114:M145" si="146">+G114/I114</f>
        <v>1.3001500750375188</v>
      </c>
      <c r="N114" s="12">
        <f t="shared" ref="N114:N145" si="147">+H114/I114</f>
        <v>6.002501250625313</v>
      </c>
      <c r="O114" s="12">
        <f t="shared" ref="O114:O145" si="148">+J114/K114</f>
        <v>6.1139521956642584</v>
      </c>
      <c r="P114" s="12">
        <f t="shared" ref="P114:P145" si="149">+K114/I114</f>
        <v>0.89994997498749374</v>
      </c>
      <c r="Q114" s="140" t="str">
        <f t="shared" ref="Q114:W119" si="150">+E114</f>
        <v>USD</v>
      </c>
      <c r="R114" s="104">
        <f>+VLOOKUP($B114,'Country-Level Tactics'!$B$5:$AL$248,'Country-Level Tactics'!AH$1,FALSE)</f>
        <v>179.99</v>
      </c>
      <c r="S114" s="104">
        <f>+VLOOKUP($B114,'Country-Level Tactics'!$B$5:$AL$248,'Country-Level Tactics'!X$1,FALSE)</f>
        <v>25.99</v>
      </c>
      <c r="T114" s="104">
        <f>+VLOOKUP($B114,'Country-Level Tactics'!$B$5:$AL$248,'Country-Level Tactics'!AC$1,FALSE)</f>
        <v>119.99</v>
      </c>
      <c r="U114" s="104">
        <f>+VLOOKUP($B114,'Country-Level Tactics'!$B$5:$AL$248,'Country-Level Tactics'!T$1,FALSE)</f>
        <v>19.989999999999998</v>
      </c>
      <c r="V114" s="104">
        <f t="shared" si="150"/>
        <v>109.99</v>
      </c>
      <c r="W114" s="104">
        <f t="shared" si="150"/>
        <v>17.989999999999998</v>
      </c>
      <c r="X114" s="12">
        <f t="shared" si="123"/>
        <v>6.9253559061177388</v>
      </c>
      <c r="Y114" s="12">
        <f t="shared" si="124"/>
        <v>1.3001500750375188</v>
      </c>
      <c r="Z114" s="12">
        <f t="shared" si="125"/>
        <v>6.002501250625313</v>
      </c>
      <c r="AA114" s="12">
        <f t="shared" si="126"/>
        <v>6.1139521956642584</v>
      </c>
      <c r="AB114" s="12">
        <f t="shared" si="127"/>
        <v>0.89994997498749374</v>
      </c>
      <c r="AD114" s="10">
        <f t="shared" ref="AD114:AD145" si="151">+R114/F114-1</f>
        <v>0</v>
      </c>
      <c r="AE114" s="10">
        <f t="shared" ref="AE114:AE145" si="152">+S114/G114-1</f>
        <v>0</v>
      </c>
      <c r="AF114" s="10">
        <f t="shared" ref="AF114:AF145" si="153">+T114/H114-1</f>
        <v>0</v>
      </c>
      <c r="AG114" s="10">
        <f t="shared" ref="AG114:AG145" si="154">+U114/I114-1</f>
        <v>0</v>
      </c>
      <c r="AH114" s="10">
        <f t="shared" ref="AH114:AH145" si="155">+V114/J114-1</f>
        <v>0</v>
      </c>
      <c r="AI114" s="10">
        <f t="shared" ref="AI114:AI145" si="156">+W114/K114-1</f>
        <v>0</v>
      </c>
      <c r="AK114" s="165">
        <v>1</v>
      </c>
      <c r="AL114" s="173">
        <f t="shared" si="117"/>
        <v>179.99</v>
      </c>
      <c r="AM114" s="173">
        <f t="shared" si="118"/>
        <v>25.99</v>
      </c>
      <c r="AN114" s="173">
        <f t="shared" si="119"/>
        <v>119.99</v>
      </c>
      <c r="AO114" s="173">
        <f t="shared" si="120"/>
        <v>19.989999999999998</v>
      </c>
      <c r="AP114" s="173">
        <f t="shared" si="121"/>
        <v>109.99</v>
      </c>
      <c r="AQ114" s="173">
        <f t="shared" si="122"/>
        <v>17.989999999999998</v>
      </c>
      <c r="AS114" s="22" t="str">
        <f>+VLOOKUP(B114,'Country &amp; Code Abbreviation'!$B$3:$C$245,2,FALSE)</f>
        <v>JE</v>
      </c>
    </row>
    <row r="115" spans="2:45">
      <c r="B115" s="20" t="s">
        <v>184</v>
      </c>
      <c r="C115" s="20" t="s">
        <v>275</v>
      </c>
      <c r="E115" s="11" t="str">
        <f>+VLOOKUP($B115,'[3]INT Web'!$B$5:$W$247,'[3]INT Web'!Q$1,FALSE)</f>
        <v>JOD</v>
      </c>
      <c r="F115" s="190">
        <f>+VLOOKUP($B115,'[3]INT Web'!$B$5:$W$247,'[3]INT Web'!R$1,FALSE)</f>
        <v>79.998999999999995</v>
      </c>
      <c r="G115" s="190">
        <f>+VLOOKUP($B115,'[3]INT Web'!$B$5:$W$247,'[3]INT Web'!S$1,FALSE)</f>
        <v>11.999000000000001</v>
      </c>
      <c r="H115" s="190">
        <f>+VLOOKUP($B115,'[3]INT Web'!$B$5:$W$247,'[3]INT Web'!T$1,FALSE)</f>
        <v>59.999000000000002</v>
      </c>
      <c r="I115" s="190">
        <f>+VLOOKUP($B115,'[3]INT Web'!$B$5:$W$247,'[3]INT Web'!U$1,FALSE)</f>
        <v>8.9990000000000006</v>
      </c>
      <c r="J115" s="190">
        <f>+VLOOKUP($B115,'[3]INT Web'!$B$5:$W$247,'[3]INT Web'!V$1,FALSE)</f>
        <v>49.999000000000002</v>
      </c>
      <c r="K115" s="190">
        <f>+VLOOKUP($B115,'[3]INT Web'!$B$5:$W$247,'[3]INT Web'!W$1,FALSE)</f>
        <v>7.9989999999999997</v>
      </c>
      <c r="L115" s="12">
        <f t="shared" si="145"/>
        <v>6.6671389282440199</v>
      </c>
      <c r="M115" s="12">
        <f t="shared" si="146"/>
        <v>1.3333703744860539</v>
      </c>
      <c r="N115" s="12">
        <f t="shared" si="147"/>
        <v>6.6672963662629181</v>
      </c>
      <c r="O115" s="12">
        <f t="shared" si="148"/>
        <v>6.2506563320415056</v>
      </c>
      <c r="P115" s="12">
        <f t="shared" si="149"/>
        <v>0.88887654183798193</v>
      </c>
      <c r="Q115" s="141" t="str">
        <f t="shared" si="150"/>
        <v>JOD</v>
      </c>
      <c r="R115" s="135">
        <f>+VLOOKUP($B115,'Country-Level Tactics'!$B$5:$AL$248,'Country-Level Tactics'!AH$1,FALSE)</f>
        <v>79.998999999999995</v>
      </c>
      <c r="S115" s="135">
        <f>+VLOOKUP($B115,'Country-Level Tactics'!$B$5:$AL$248,'Country-Level Tactics'!X$1,FALSE)</f>
        <v>11.999000000000001</v>
      </c>
      <c r="T115" s="135">
        <f>+VLOOKUP($B115,'Country-Level Tactics'!$B$5:$AL$248,'Country-Level Tactics'!AC$1,FALSE)</f>
        <v>59.999000000000002</v>
      </c>
      <c r="U115" s="135">
        <f>+VLOOKUP($B115,'Country-Level Tactics'!$B$5:$AL$248,'Country-Level Tactics'!T$1,FALSE)</f>
        <v>8.9990000000000006</v>
      </c>
      <c r="V115" s="135">
        <f t="shared" si="150"/>
        <v>49.999000000000002</v>
      </c>
      <c r="W115" s="135">
        <f t="shared" si="150"/>
        <v>7.9989999999999997</v>
      </c>
      <c r="X115" s="12">
        <f t="shared" si="123"/>
        <v>6.6671389282440199</v>
      </c>
      <c r="Y115" s="12">
        <f t="shared" si="124"/>
        <v>1.3333703744860539</v>
      </c>
      <c r="Z115" s="12">
        <f t="shared" si="125"/>
        <v>6.6672963662629181</v>
      </c>
      <c r="AA115" s="12">
        <f t="shared" si="126"/>
        <v>6.2506563320415056</v>
      </c>
      <c r="AB115" s="12">
        <f t="shared" si="127"/>
        <v>0.88887654183798193</v>
      </c>
      <c r="AD115" s="10">
        <f t="shared" si="151"/>
        <v>0</v>
      </c>
      <c r="AE115" s="10">
        <f t="shared" si="152"/>
        <v>0</v>
      </c>
      <c r="AF115" s="10">
        <f t="shared" si="153"/>
        <v>0</v>
      </c>
      <c r="AG115" s="10">
        <f t="shared" si="154"/>
        <v>0</v>
      </c>
      <c r="AH115" s="10">
        <f t="shared" si="155"/>
        <v>0</v>
      </c>
      <c r="AI115" s="10">
        <f t="shared" si="156"/>
        <v>0</v>
      </c>
      <c r="AK115" s="165">
        <v>1.4104372000000001</v>
      </c>
      <c r="AL115" s="173">
        <f t="shared" si="117"/>
        <v>112.8335655628</v>
      </c>
      <c r="AM115" s="173">
        <f t="shared" si="118"/>
        <v>16.923835962800002</v>
      </c>
      <c r="AN115" s="173">
        <f t="shared" si="119"/>
        <v>84.624821562800008</v>
      </c>
      <c r="AO115" s="173">
        <f t="shared" si="120"/>
        <v>12.692524362800002</v>
      </c>
      <c r="AP115" s="173">
        <f t="shared" si="121"/>
        <v>70.52044956280001</v>
      </c>
      <c r="AQ115" s="173">
        <f t="shared" si="122"/>
        <v>11.2820871628</v>
      </c>
      <c r="AS115" s="22" t="str">
        <f>+VLOOKUP(B115,'Country &amp; Code Abbreviation'!$B$3:$C$245,2,FALSE)</f>
        <v>JO</v>
      </c>
    </row>
    <row r="116" spans="2:45">
      <c r="B116" s="20" t="s">
        <v>185</v>
      </c>
      <c r="C116" s="20" t="s">
        <v>182</v>
      </c>
      <c r="E116" s="11" t="str">
        <f>+VLOOKUP($B116,'[3]INT Web'!$B$5:$W$247,'[3]INT Web'!Q$1,FALSE)</f>
        <v>KZT</v>
      </c>
      <c r="F116" s="22">
        <f>+VLOOKUP($B116,'[3]INT Web'!$B$5:$W$247,'[3]INT Web'!R$1,FALSE)</f>
        <v>37260</v>
      </c>
      <c r="G116" s="22">
        <f>+VLOOKUP($B116,'[3]INT Web'!$B$5:$W$247,'[3]INT Web'!S$1,FALSE)</f>
        <v>6210</v>
      </c>
      <c r="H116" s="22">
        <f>+VLOOKUP($B116,'[3]INT Web'!$B$5:$W$247,'[3]INT Web'!T$1,FALSE)</f>
        <v>27600</v>
      </c>
      <c r="I116" s="22">
        <f>+VLOOKUP($B116,'[3]INT Web'!$B$5:$W$247,'[3]INT Web'!U$1,FALSE)</f>
        <v>4600</v>
      </c>
      <c r="J116" s="22">
        <f>+VLOOKUP($B116,'[3]INT Web'!$B$5:$W$247,'[3]INT Web'!V$1,FALSE)</f>
        <v>24840</v>
      </c>
      <c r="K116" s="22">
        <f>+VLOOKUP($B116,'[3]INT Web'!$B$5:$W$247,'[3]INT Web'!W$1,FALSE)</f>
        <v>4140</v>
      </c>
      <c r="L116" s="12">
        <f t="shared" si="145"/>
        <v>6</v>
      </c>
      <c r="M116" s="12">
        <f t="shared" si="146"/>
        <v>1.35</v>
      </c>
      <c r="N116" s="12">
        <f t="shared" si="147"/>
        <v>6</v>
      </c>
      <c r="O116" s="12">
        <f t="shared" si="148"/>
        <v>6</v>
      </c>
      <c r="P116" s="12">
        <f t="shared" si="149"/>
        <v>0.9</v>
      </c>
      <c r="Q116" s="140" t="str">
        <f t="shared" si="150"/>
        <v>KZT</v>
      </c>
      <c r="R116" s="104">
        <f>+VLOOKUP($B116,'Country-Level Tactics'!$B$5:$AL$248,'Country-Level Tactics'!AH$1,FALSE)</f>
        <v>37260</v>
      </c>
      <c r="S116" s="104">
        <f>+VLOOKUP($B116,'Country-Level Tactics'!$B$5:$AL$248,'Country-Level Tactics'!X$1,FALSE)</f>
        <v>6210</v>
      </c>
      <c r="T116" s="104">
        <f>+VLOOKUP($B116,'Country-Level Tactics'!$B$5:$AL$248,'Country-Level Tactics'!AC$1,FALSE)</f>
        <v>27600</v>
      </c>
      <c r="U116" s="104">
        <f>+VLOOKUP($B116,'Country-Level Tactics'!$B$5:$AL$248,'Country-Level Tactics'!T$1,FALSE)</f>
        <v>4600</v>
      </c>
      <c r="V116" s="104">
        <f t="shared" si="150"/>
        <v>24840</v>
      </c>
      <c r="W116" s="104">
        <f t="shared" si="150"/>
        <v>4140</v>
      </c>
      <c r="X116" s="12">
        <f t="shared" si="123"/>
        <v>6</v>
      </c>
      <c r="Y116" s="12">
        <f t="shared" si="124"/>
        <v>1.35</v>
      </c>
      <c r="Z116" s="12">
        <f t="shared" si="125"/>
        <v>6</v>
      </c>
      <c r="AA116" s="12">
        <f t="shared" si="126"/>
        <v>6</v>
      </c>
      <c r="AB116" s="12">
        <f t="shared" si="127"/>
        <v>0.9</v>
      </c>
      <c r="AD116" s="10">
        <f t="shared" si="151"/>
        <v>0</v>
      </c>
      <c r="AE116" s="10">
        <f t="shared" si="152"/>
        <v>0</v>
      </c>
      <c r="AF116" s="10">
        <f t="shared" si="153"/>
        <v>0</v>
      </c>
      <c r="AG116" s="10">
        <f t="shared" si="154"/>
        <v>0</v>
      </c>
      <c r="AH116" s="10">
        <f t="shared" si="155"/>
        <v>0</v>
      </c>
      <c r="AI116" s="10">
        <f t="shared" si="156"/>
        <v>0</v>
      </c>
      <c r="AK116" s="165">
        <v>2.1157528000000001E-3</v>
      </c>
      <c r="AL116" s="173">
        <f t="shared" si="117"/>
        <v>78.832949327999998</v>
      </c>
      <c r="AM116" s="173">
        <f t="shared" si="118"/>
        <v>13.138824888</v>
      </c>
      <c r="AN116" s="173">
        <f t="shared" si="119"/>
        <v>58.39477728</v>
      </c>
      <c r="AO116" s="173">
        <f t="shared" si="120"/>
        <v>9.7324628799999999</v>
      </c>
      <c r="AP116" s="173">
        <f t="shared" si="121"/>
        <v>52.555299552000001</v>
      </c>
      <c r="AQ116" s="173">
        <f t="shared" si="122"/>
        <v>8.7592165919999996</v>
      </c>
      <c r="AS116" s="22" t="str">
        <f>+VLOOKUP(B116,'Country &amp; Code Abbreviation'!$B$3:$C$245,2,FALSE)</f>
        <v>KZ</v>
      </c>
    </row>
    <row r="117" spans="2:45">
      <c r="B117" s="20" t="s">
        <v>186</v>
      </c>
      <c r="C117" s="20" t="s">
        <v>270</v>
      </c>
      <c r="E117" s="11" t="str">
        <f>+VLOOKUP($B117,'[3]INT Web'!$B$5:$W$247,'[3]INT Web'!Q$1,FALSE)</f>
        <v>KES</v>
      </c>
      <c r="F117" s="22">
        <f>+VLOOKUP($B117,'[3]INT Web'!$B$5:$W$247,'[3]INT Web'!R$1,FALSE)</f>
        <v>8940</v>
      </c>
      <c r="G117" s="22">
        <f>+VLOOKUP($B117,'[3]INT Web'!$B$5:$W$247,'[3]INT Web'!S$1,FALSE)</f>
        <v>1490</v>
      </c>
      <c r="H117" s="22">
        <f>+VLOOKUP($B117,'[3]INT Web'!$B$5:$W$247,'[3]INT Web'!T$1,FALSE)</f>
        <v>6600</v>
      </c>
      <c r="I117" s="22">
        <f>+VLOOKUP($B117,'[3]INT Web'!$B$5:$W$247,'[3]INT Web'!U$1,FALSE)</f>
        <v>1100</v>
      </c>
      <c r="J117" s="22">
        <f>+VLOOKUP($B117,'[3]INT Web'!$B$5:$W$247,'[3]INT Web'!V$1,FALSE)</f>
        <v>5940</v>
      </c>
      <c r="K117" s="22">
        <f>+VLOOKUP($B117,'[3]INT Web'!$B$5:$W$247,'[3]INT Web'!W$1,FALSE)</f>
        <v>990</v>
      </c>
      <c r="L117" s="12">
        <f t="shared" si="145"/>
        <v>6</v>
      </c>
      <c r="M117" s="12">
        <f t="shared" si="146"/>
        <v>1.3545454545454545</v>
      </c>
      <c r="N117" s="12">
        <f t="shared" si="147"/>
        <v>6</v>
      </c>
      <c r="O117" s="12">
        <f t="shared" si="148"/>
        <v>6</v>
      </c>
      <c r="P117" s="12">
        <f t="shared" si="149"/>
        <v>0.9</v>
      </c>
      <c r="Q117" s="140" t="str">
        <f t="shared" si="150"/>
        <v>KES</v>
      </c>
      <c r="R117" s="104">
        <f>+VLOOKUP($B117,'Country-Level Tactics'!$B$5:$AL$248,'Country-Level Tactics'!AH$1,FALSE)</f>
        <v>8940</v>
      </c>
      <c r="S117" s="104">
        <f>+VLOOKUP($B117,'Country-Level Tactics'!$B$5:$AL$248,'Country-Level Tactics'!X$1,FALSE)</f>
        <v>1490</v>
      </c>
      <c r="T117" s="104">
        <f>+VLOOKUP($B117,'Country-Level Tactics'!$B$5:$AL$248,'Country-Level Tactics'!AC$1,FALSE)</f>
        <v>6600</v>
      </c>
      <c r="U117" s="104">
        <f>+VLOOKUP($B117,'Country-Level Tactics'!$B$5:$AL$248,'Country-Level Tactics'!T$1,FALSE)</f>
        <v>1100</v>
      </c>
      <c r="V117" s="104">
        <f t="shared" si="150"/>
        <v>5940</v>
      </c>
      <c r="W117" s="104">
        <f t="shared" si="150"/>
        <v>990</v>
      </c>
      <c r="X117" s="12">
        <f t="shared" si="123"/>
        <v>6</v>
      </c>
      <c r="Y117" s="12">
        <f t="shared" si="124"/>
        <v>1.3545454545454545</v>
      </c>
      <c r="Z117" s="12">
        <f t="shared" si="125"/>
        <v>6</v>
      </c>
      <c r="AA117" s="12">
        <f t="shared" si="126"/>
        <v>6</v>
      </c>
      <c r="AB117" s="12">
        <f t="shared" si="127"/>
        <v>0.9</v>
      </c>
      <c r="AD117" s="10">
        <f t="shared" si="151"/>
        <v>0</v>
      </c>
      <c r="AE117" s="10">
        <f t="shared" si="152"/>
        <v>0</v>
      </c>
      <c r="AF117" s="10">
        <f t="shared" si="153"/>
        <v>0</v>
      </c>
      <c r="AG117" s="10">
        <f t="shared" si="154"/>
        <v>0</v>
      </c>
      <c r="AH117" s="10">
        <f t="shared" si="155"/>
        <v>0</v>
      </c>
      <c r="AI117" s="10">
        <f t="shared" si="156"/>
        <v>0</v>
      </c>
      <c r="AK117" s="165">
        <v>7.7369439999999999E-3</v>
      </c>
      <c r="AL117" s="173">
        <f t="shared" si="117"/>
        <v>69.16827936</v>
      </c>
      <c r="AM117" s="173">
        <f t="shared" si="118"/>
        <v>11.52804656</v>
      </c>
      <c r="AN117" s="173">
        <f t="shared" si="119"/>
        <v>51.063830400000001</v>
      </c>
      <c r="AO117" s="173">
        <f t="shared" si="120"/>
        <v>8.5106383999999995</v>
      </c>
      <c r="AP117" s="173">
        <f t="shared" si="121"/>
        <v>45.957447359999996</v>
      </c>
      <c r="AQ117" s="173">
        <f t="shared" si="122"/>
        <v>7.6595745600000003</v>
      </c>
      <c r="AS117" s="22" t="str">
        <f>+VLOOKUP(B117,'Country &amp; Code Abbreviation'!$B$3:$C$245,2,FALSE)</f>
        <v>KE</v>
      </c>
    </row>
    <row r="118" spans="2:45">
      <c r="B118" s="20" t="s">
        <v>187</v>
      </c>
      <c r="C118" s="20" t="s">
        <v>182</v>
      </c>
      <c r="E118" s="11" t="str">
        <f>+VLOOKUP($B118,'[3]INT Web'!$B$5:$W$247,'[3]INT Web'!Q$1,FALSE)</f>
        <v>AUD</v>
      </c>
      <c r="F118" s="22">
        <f>+VLOOKUP($B118,'[3]INT Web'!$B$5:$W$247,'[3]INT Web'!R$1,FALSE)</f>
        <v>107.99</v>
      </c>
      <c r="G118" s="22">
        <f>+VLOOKUP($B118,'[3]INT Web'!$B$5:$W$247,'[3]INT Web'!S$1,FALSE)</f>
        <v>17.989999999999998</v>
      </c>
      <c r="H118" s="22">
        <f>+VLOOKUP($B118,'[3]INT Web'!$B$5:$W$247,'[3]INT Web'!T$1,FALSE)</f>
        <v>77.989999999999995</v>
      </c>
      <c r="I118" s="22">
        <f>+VLOOKUP($B118,'[3]INT Web'!$B$5:$W$247,'[3]INT Web'!U$1,FALSE)</f>
        <v>12.99</v>
      </c>
      <c r="J118" s="22">
        <f>+VLOOKUP($B118,'[3]INT Web'!$B$5:$W$247,'[3]INT Web'!V$1,FALSE)</f>
        <v>71.989999999999995</v>
      </c>
      <c r="K118" s="22">
        <f>+VLOOKUP($B118,'[3]INT Web'!$B$5:$W$247,'[3]INT Web'!W$1,FALSE)</f>
        <v>11.99</v>
      </c>
      <c r="L118" s="12">
        <f t="shared" si="145"/>
        <v>6.0027793218454697</v>
      </c>
      <c r="M118" s="12">
        <f t="shared" si="146"/>
        <v>1.3849114703618166</v>
      </c>
      <c r="N118" s="12">
        <f t="shared" si="147"/>
        <v>6.0038491147036179</v>
      </c>
      <c r="O118" s="12">
        <f t="shared" si="148"/>
        <v>6.0041701417848206</v>
      </c>
      <c r="P118" s="12">
        <f t="shared" si="149"/>
        <v>0.92301770592763666</v>
      </c>
      <c r="Q118" s="140" t="str">
        <f t="shared" si="150"/>
        <v>AUD</v>
      </c>
      <c r="R118" s="104">
        <f>+VLOOKUP($B118,'Country-Level Tactics'!$B$5:$AL$248,'Country-Level Tactics'!AH$1,FALSE)</f>
        <v>107.99</v>
      </c>
      <c r="S118" s="104">
        <f>+VLOOKUP($B118,'Country-Level Tactics'!$B$5:$AL$248,'Country-Level Tactics'!X$1,FALSE)</f>
        <v>17.989999999999998</v>
      </c>
      <c r="T118" s="104">
        <f>+VLOOKUP($B118,'Country-Level Tactics'!$B$5:$AL$248,'Country-Level Tactics'!AC$1,FALSE)</f>
        <v>77.989999999999995</v>
      </c>
      <c r="U118" s="104">
        <f>+VLOOKUP($B118,'Country-Level Tactics'!$B$5:$AL$248,'Country-Level Tactics'!T$1,FALSE)</f>
        <v>12.99</v>
      </c>
      <c r="V118" s="104">
        <f t="shared" si="150"/>
        <v>71.989999999999995</v>
      </c>
      <c r="W118" s="104">
        <f t="shared" si="150"/>
        <v>11.99</v>
      </c>
      <c r="X118" s="12">
        <f t="shared" si="123"/>
        <v>6.0027793218454697</v>
      </c>
      <c r="Y118" s="12">
        <f t="shared" si="124"/>
        <v>1.3849114703618166</v>
      </c>
      <c r="Z118" s="12">
        <f t="shared" si="125"/>
        <v>6.0038491147036179</v>
      </c>
      <c r="AA118" s="12">
        <f t="shared" si="126"/>
        <v>6.0041701417848206</v>
      </c>
      <c r="AB118" s="12">
        <f t="shared" si="127"/>
        <v>0.92301770592763666</v>
      </c>
      <c r="AD118" s="10">
        <f t="shared" si="151"/>
        <v>0</v>
      </c>
      <c r="AE118" s="10">
        <f t="shared" si="152"/>
        <v>0</v>
      </c>
      <c r="AF118" s="10">
        <f t="shared" si="153"/>
        <v>0</v>
      </c>
      <c r="AG118" s="10">
        <f t="shared" si="154"/>
        <v>0</v>
      </c>
      <c r="AH118" s="10">
        <f t="shared" si="155"/>
        <v>0</v>
      </c>
      <c r="AI118" s="10">
        <f t="shared" si="156"/>
        <v>0</v>
      </c>
      <c r="AK118" s="165">
        <v>0.69374999999999998</v>
      </c>
      <c r="AL118" s="173">
        <f t="shared" si="117"/>
        <v>74.918062499999991</v>
      </c>
      <c r="AM118" s="173">
        <f t="shared" si="118"/>
        <v>12.480562499999998</v>
      </c>
      <c r="AN118" s="173">
        <f t="shared" si="119"/>
        <v>54.105562499999998</v>
      </c>
      <c r="AO118" s="173">
        <f t="shared" si="120"/>
        <v>9.0118124999999996</v>
      </c>
      <c r="AP118" s="173">
        <f t="shared" si="121"/>
        <v>49.943062499999996</v>
      </c>
      <c r="AQ118" s="173">
        <f t="shared" si="122"/>
        <v>8.3180624999999999</v>
      </c>
      <c r="AS118" s="22" t="str">
        <f>+VLOOKUP(B118,'Country &amp; Code Abbreviation'!$B$3:$C$245,2,FALSE)</f>
        <v>KI</v>
      </c>
    </row>
    <row r="119" spans="2:45">
      <c r="B119" s="20" t="s">
        <v>188</v>
      </c>
      <c r="C119" s="20" t="s">
        <v>100</v>
      </c>
      <c r="E119" s="11" t="str">
        <f>+VLOOKUP($B119,'[3]INT Web'!$B$5:$W$247,'[3]INT Web'!Q$1,FALSE)</f>
        <v>EUR</v>
      </c>
      <c r="F119" s="22">
        <f>+VLOOKUP($B119,'[3]INT Web'!$B$5:$W$247,'[3]INT Web'!R$1,FALSE)</f>
        <v>47.99</v>
      </c>
      <c r="G119" s="22">
        <f>+VLOOKUP($B119,'[3]INT Web'!$B$5:$W$247,'[3]INT Web'!S$1,FALSE)</f>
        <v>7.99</v>
      </c>
      <c r="H119" s="22">
        <f>+VLOOKUP($B119,'[3]INT Web'!$B$5:$W$247,'[3]INT Web'!T$1,FALSE)</f>
        <v>35.99</v>
      </c>
      <c r="I119" s="22">
        <f>+VLOOKUP($B119,'[3]INT Web'!$B$5:$W$247,'[3]INT Web'!U$1,FALSE)</f>
        <v>5.99</v>
      </c>
      <c r="J119" s="22">
        <f>+VLOOKUP($B119,'[3]INT Web'!$B$5:$W$247,'[3]INT Web'!V$1,FALSE)</f>
        <v>29.99</v>
      </c>
      <c r="K119" s="22">
        <f>+VLOOKUP($B119,'[3]INT Web'!$B$5:$W$247,'[3]INT Web'!W$1,FALSE)</f>
        <v>4.99</v>
      </c>
      <c r="L119" s="12">
        <f t="shared" si="145"/>
        <v>6.0062578222778473</v>
      </c>
      <c r="M119" s="12">
        <f t="shared" si="146"/>
        <v>1.333889816360601</v>
      </c>
      <c r="N119" s="12">
        <f t="shared" si="147"/>
        <v>6.0083472454090154</v>
      </c>
      <c r="O119" s="12">
        <f t="shared" si="148"/>
        <v>6.0100200400801596</v>
      </c>
      <c r="P119" s="12">
        <f t="shared" si="149"/>
        <v>0.8330550918196995</v>
      </c>
      <c r="Q119" s="140" t="str">
        <f t="shared" si="150"/>
        <v>EUR</v>
      </c>
      <c r="R119" s="104">
        <f>+VLOOKUP($B119,'Country-Level Tactics'!$B$5:$AL$248,'Country-Level Tactics'!AH$1,FALSE)</f>
        <v>47.99</v>
      </c>
      <c r="S119" s="104">
        <f>+VLOOKUP($B119,'Country-Level Tactics'!$B$5:$AL$248,'Country-Level Tactics'!X$1,FALSE)</f>
        <v>7.99</v>
      </c>
      <c r="T119" s="104">
        <f>+VLOOKUP($B119,'Country-Level Tactics'!$B$5:$AL$248,'Country-Level Tactics'!AC$1,FALSE)</f>
        <v>35.99</v>
      </c>
      <c r="U119" s="104">
        <f>+VLOOKUP($B119,'Country-Level Tactics'!$B$5:$AL$248,'Country-Level Tactics'!T$1,FALSE)</f>
        <v>5.99</v>
      </c>
      <c r="V119" s="104">
        <f t="shared" si="150"/>
        <v>29.99</v>
      </c>
      <c r="W119" s="104">
        <f t="shared" si="150"/>
        <v>4.99</v>
      </c>
      <c r="X119" s="12">
        <f t="shared" si="123"/>
        <v>6.0062578222778473</v>
      </c>
      <c r="Y119" s="12">
        <f t="shared" si="124"/>
        <v>1.333889816360601</v>
      </c>
      <c r="Z119" s="12">
        <f t="shared" si="125"/>
        <v>6.0083472454090154</v>
      </c>
      <c r="AA119" s="12">
        <f t="shared" si="126"/>
        <v>6.0100200400801596</v>
      </c>
      <c r="AB119" s="12">
        <f t="shared" si="127"/>
        <v>0.8330550918196995</v>
      </c>
      <c r="AD119" s="10">
        <f t="shared" si="151"/>
        <v>0</v>
      </c>
      <c r="AE119" s="10">
        <f t="shared" si="152"/>
        <v>0</v>
      </c>
      <c r="AF119" s="10">
        <f t="shared" si="153"/>
        <v>0</v>
      </c>
      <c r="AG119" s="10">
        <f t="shared" si="154"/>
        <v>0</v>
      </c>
      <c r="AH119" s="10">
        <f t="shared" si="155"/>
        <v>0</v>
      </c>
      <c r="AI119" s="10">
        <f t="shared" si="156"/>
        <v>0</v>
      </c>
      <c r="AK119" s="165">
        <v>1.14175</v>
      </c>
      <c r="AL119" s="173">
        <f t="shared" si="117"/>
        <v>54.792582500000002</v>
      </c>
      <c r="AM119" s="173">
        <f t="shared" si="118"/>
        <v>9.1225825</v>
      </c>
      <c r="AN119" s="173">
        <f t="shared" si="119"/>
        <v>41.091582500000001</v>
      </c>
      <c r="AO119" s="173">
        <f t="shared" si="120"/>
        <v>6.8390825000000008</v>
      </c>
      <c r="AP119" s="173">
        <f t="shared" si="121"/>
        <v>34.241082499999997</v>
      </c>
      <c r="AQ119" s="173">
        <f t="shared" si="122"/>
        <v>5.6973325000000008</v>
      </c>
      <c r="AS119" s="22" t="str">
        <f>+VLOOKUP(B119,'Country &amp; Code Abbreviation'!$B$3:$C$245,2,FALSE)</f>
        <v>XK</v>
      </c>
    </row>
    <row r="120" spans="2:45">
      <c r="B120" s="20" t="s">
        <v>189</v>
      </c>
      <c r="C120" s="20" t="s">
        <v>275</v>
      </c>
      <c r="E120" s="11" t="str">
        <f>+VLOOKUP($B120,'[3]INT Web'!$B$5:$W$247,'[3]INT Web'!Q$1,FALSE)</f>
        <v>KWD</v>
      </c>
      <c r="F120" s="190">
        <f>+VLOOKUP($B120,'[3]INT Web'!$B$5:$W$247,'[3]INT Web'!R$1,FALSE)</f>
        <v>64.998999999999995</v>
      </c>
      <c r="G120" s="190">
        <f>+VLOOKUP($B120,'[3]INT Web'!$B$5:$W$247,'[3]INT Web'!S$1,FALSE)</f>
        <v>9.9990000000000006</v>
      </c>
      <c r="H120" s="190">
        <f>+VLOOKUP($B120,'[3]INT Web'!$B$5:$W$247,'[3]INT Web'!T$1,FALSE)</f>
        <v>49.999000000000002</v>
      </c>
      <c r="I120" s="190">
        <f>+VLOOKUP($B120,'[3]INT Web'!$B$5:$W$247,'[3]INT Web'!U$1,FALSE)</f>
        <v>6.9989999999999997</v>
      </c>
      <c r="J120" s="190">
        <f>+VLOOKUP($B120,'[3]INT Web'!$B$5:$W$247,'[3]INT Web'!V$1,FALSE)</f>
        <v>44.999100000000006</v>
      </c>
      <c r="K120" s="190">
        <f>+VLOOKUP($B120,'[3]INT Web'!$B$5:$W$247,'[3]INT Web'!W$1,FALSE)</f>
        <v>5.9989999999999997</v>
      </c>
      <c r="L120" s="12">
        <f t="shared" si="145"/>
        <v>6.5005500550054993</v>
      </c>
      <c r="M120" s="12">
        <f t="shared" si="146"/>
        <v>1.4286326618088301</v>
      </c>
      <c r="N120" s="12">
        <f t="shared" si="147"/>
        <v>7.1437348192598948</v>
      </c>
      <c r="O120" s="12">
        <f t="shared" si="148"/>
        <v>7.5011001833638957</v>
      </c>
      <c r="P120" s="12">
        <f t="shared" si="149"/>
        <v>0.85712244606372334</v>
      </c>
      <c r="Q120" s="141" t="str">
        <f t="shared" ref="Q120:Q162" si="157">+E120</f>
        <v>KWD</v>
      </c>
      <c r="R120" s="208">
        <f>+VLOOKUP($B120,'Country-Level Tactics'!$B$5:$AL$248,'Country-Level Tactics'!AH$1,FALSE)</f>
        <v>64.998999999999995</v>
      </c>
      <c r="S120" s="208">
        <f>+VLOOKUP($B120,'Country-Level Tactics'!$B$5:$AL$248,'Country-Level Tactics'!X$1,FALSE)</f>
        <v>9.9990000000000006</v>
      </c>
      <c r="T120" s="208">
        <f>+VLOOKUP($B120,'Country-Level Tactics'!$B$5:$AL$248,'Country-Level Tactics'!AC$1,FALSE)</f>
        <v>49.999000000000002</v>
      </c>
      <c r="U120" s="208">
        <f>+VLOOKUP($B120,'Country-Level Tactics'!$B$5:$AL$248,'Country-Level Tactics'!T$1,FALSE)</f>
        <v>6.9989999999999997</v>
      </c>
      <c r="V120" s="135">
        <f>+J120</f>
        <v>44.999100000000006</v>
      </c>
      <c r="W120" s="135">
        <f>+K120</f>
        <v>5.9989999999999997</v>
      </c>
      <c r="X120" s="12">
        <f t="shared" si="123"/>
        <v>6.5005500550054993</v>
      </c>
      <c r="Y120" s="12">
        <f t="shared" si="124"/>
        <v>1.4286326618088301</v>
      </c>
      <c r="Z120" s="12">
        <f t="shared" si="125"/>
        <v>7.1437348192598948</v>
      </c>
      <c r="AA120" s="12">
        <f t="shared" si="126"/>
        <v>7.5011001833638957</v>
      </c>
      <c r="AB120" s="12">
        <f t="shared" si="127"/>
        <v>0.85712244606372334</v>
      </c>
      <c r="AD120" s="10">
        <f t="shared" si="151"/>
        <v>0</v>
      </c>
      <c r="AE120" s="10">
        <f t="shared" si="152"/>
        <v>0</v>
      </c>
      <c r="AF120" s="10">
        <f t="shared" si="153"/>
        <v>0</v>
      </c>
      <c r="AG120" s="10">
        <f t="shared" si="154"/>
        <v>0</v>
      </c>
      <c r="AH120" s="10">
        <f t="shared" si="155"/>
        <v>0</v>
      </c>
      <c r="AI120" s="10">
        <f t="shared" si="156"/>
        <v>0</v>
      </c>
      <c r="AK120" s="165">
        <v>3.2216494</v>
      </c>
      <c r="AL120" s="173">
        <f t="shared" si="117"/>
        <v>209.40398935059997</v>
      </c>
      <c r="AM120" s="173">
        <f t="shared" si="118"/>
        <v>32.2132723506</v>
      </c>
      <c r="AN120" s="173">
        <f t="shared" si="119"/>
        <v>161.07924835060001</v>
      </c>
      <c r="AO120" s="173">
        <f t="shared" si="120"/>
        <v>22.548324150599999</v>
      </c>
      <c r="AP120" s="173">
        <f t="shared" si="121"/>
        <v>144.97132351554001</v>
      </c>
      <c r="AQ120" s="173">
        <f t="shared" si="122"/>
        <v>19.326674750599999</v>
      </c>
      <c r="AS120" s="22" t="str">
        <f>+VLOOKUP(B120,'Country &amp; Code Abbreviation'!$B$3:$C$245,2,FALSE)</f>
        <v>KW</v>
      </c>
    </row>
    <row r="121" spans="2:45">
      <c r="B121" s="20" t="s">
        <v>190</v>
      </c>
      <c r="C121" s="20" t="s">
        <v>182</v>
      </c>
      <c r="E121" s="11" t="str">
        <f>+VLOOKUP($B121,'[3]INT Web'!$B$5:$W$247,'[3]INT Web'!Q$1,FALSE)</f>
        <v>KGS</v>
      </c>
      <c r="F121" s="22">
        <f>+VLOOKUP($B121,'[3]INT Web'!$B$5:$W$247,'[3]INT Web'!R$1,FALSE)</f>
        <v>7937.99</v>
      </c>
      <c r="G121" s="22">
        <f>+VLOOKUP($B121,'[3]INT Web'!$B$5:$W$247,'[3]INT Web'!S$1,FALSE)</f>
        <v>1322.99</v>
      </c>
      <c r="H121" s="22">
        <f>+VLOOKUP($B121,'[3]INT Web'!$B$5:$W$247,'[3]INT Web'!T$1,FALSE)</f>
        <v>5879.99</v>
      </c>
      <c r="I121" s="22">
        <f>+VLOOKUP($B121,'[3]INT Web'!$B$5:$W$247,'[3]INT Web'!U$1,FALSE)</f>
        <v>979.99</v>
      </c>
      <c r="J121" s="22">
        <f>+VLOOKUP($B121,'[3]INT Web'!$B$5:$W$247,'[3]INT Web'!V$1,FALSE)</f>
        <v>5291.99</v>
      </c>
      <c r="K121" s="22">
        <f>+VLOOKUP($B121,'[3]INT Web'!$B$5:$W$247,'[3]INT Web'!W$1,FALSE)</f>
        <v>881.99</v>
      </c>
      <c r="L121" s="12">
        <f t="shared" si="145"/>
        <v>6.0000377931805984</v>
      </c>
      <c r="M121" s="12">
        <f t="shared" si="146"/>
        <v>1.3500035714650149</v>
      </c>
      <c r="N121" s="12">
        <f t="shared" si="147"/>
        <v>6.000051020928785</v>
      </c>
      <c r="O121" s="12">
        <f t="shared" si="148"/>
        <v>6.0000566899851471</v>
      </c>
      <c r="P121" s="12">
        <f t="shared" si="149"/>
        <v>0.89999897958142427</v>
      </c>
      <c r="Q121" s="140" t="str">
        <f t="shared" si="157"/>
        <v>KGS</v>
      </c>
      <c r="R121" s="104">
        <f>+VLOOKUP($B121,'Country-Level Tactics'!$B$5:$AL$248,'Country-Level Tactics'!AH$1,FALSE)</f>
        <v>7937.99</v>
      </c>
      <c r="S121" s="104">
        <f>+VLOOKUP($B121,'Country-Level Tactics'!$B$5:$AL$248,'Country-Level Tactics'!X$1,FALSE)</f>
        <v>1322.99</v>
      </c>
      <c r="T121" s="104">
        <f>+VLOOKUP($B121,'Country-Level Tactics'!$B$5:$AL$248,'Country-Level Tactics'!AC$1,FALSE)</f>
        <v>5879.99</v>
      </c>
      <c r="U121" s="104">
        <f>+VLOOKUP($B121,'Country-Level Tactics'!$B$5:$AL$248,'Country-Level Tactics'!T$1,FALSE)</f>
        <v>979.99</v>
      </c>
      <c r="V121" s="104">
        <f t="shared" ref="V121:V162" si="158">+J121</f>
        <v>5291.99</v>
      </c>
      <c r="W121" s="104">
        <f t="shared" ref="W121:W162" si="159">+K121</f>
        <v>881.99</v>
      </c>
      <c r="X121" s="12">
        <f t="shared" si="123"/>
        <v>6.0000377931805984</v>
      </c>
      <c r="Y121" s="12">
        <f t="shared" si="124"/>
        <v>1.3500035714650149</v>
      </c>
      <c r="Z121" s="12">
        <f t="shared" si="125"/>
        <v>6.000051020928785</v>
      </c>
      <c r="AA121" s="12">
        <f t="shared" si="126"/>
        <v>6.0000566899851471</v>
      </c>
      <c r="AB121" s="12">
        <f t="shared" si="127"/>
        <v>0.89999897958142427</v>
      </c>
      <c r="AD121" s="10">
        <f t="shared" si="151"/>
        <v>0</v>
      </c>
      <c r="AE121" s="10">
        <f t="shared" si="152"/>
        <v>0</v>
      </c>
      <c r="AF121" s="10">
        <f t="shared" si="153"/>
        <v>0</v>
      </c>
      <c r="AG121" s="10">
        <f t="shared" si="154"/>
        <v>0</v>
      </c>
      <c r="AH121" s="10">
        <f t="shared" si="155"/>
        <v>0</v>
      </c>
      <c r="AI121" s="10">
        <f t="shared" si="156"/>
        <v>0</v>
      </c>
      <c r="AK121" s="165">
        <v>1.1435106E-2</v>
      </c>
      <c r="AL121" s="173">
        <f t="shared" si="117"/>
        <v>90.771757076940006</v>
      </c>
      <c r="AM121" s="173">
        <f t="shared" si="118"/>
        <v>15.12853088694</v>
      </c>
      <c r="AN121" s="173">
        <f t="shared" si="119"/>
        <v>67.23830892894</v>
      </c>
      <c r="AO121" s="173">
        <f t="shared" si="120"/>
        <v>11.206289528940001</v>
      </c>
      <c r="AP121" s="173">
        <f t="shared" si="121"/>
        <v>60.514466600939997</v>
      </c>
      <c r="AQ121" s="173">
        <f t="shared" si="122"/>
        <v>10.085649140940001</v>
      </c>
      <c r="AS121" s="22" t="str">
        <f>+VLOOKUP(B121,'Country &amp; Code Abbreviation'!$B$3:$C$245,2,FALSE)</f>
        <v>KG</v>
      </c>
    </row>
    <row r="122" spans="2:45">
      <c r="B122" s="20" t="s">
        <v>191</v>
      </c>
      <c r="C122" s="20" t="s">
        <v>182</v>
      </c>
      <c r="E122" s="11" t="str">
        <f>+VLOOKUP($B122,'[3]INT Web'!$B$5:$W$247,'[3]INT Web'!Q$1,FALSE)</f>
        <v>LAK</v>
      </c>
      <c r="F122" s="22">
        <f>+VLOOKUP($B122,'[3]INT Web'!$B$5:$W$247,'[3]INT Web'!R$1,FALSE)</f>
        <v>770340</v>
      </c>
      <c r="G122" s="22">
        <f>+VLOOKUP($B122,'[3]INT Web'!$B$5:$W$247,'[3]INT Web'!S$1,FALSE)</f>
        <v>128390</v>
      </c>
      <c r="H122" s="22">
        <f>+VLOOKUP($B122,'[3]INT Web'!$B$5:$W$247,'[3]INT Web'!T$1,FALSE)</f>
        <v>570600</v>
      </c>
      <c r="I122" s="22">
        <f>+VLOOKUP($B122,'[3]INT Web'!$B$5:$W$247,'[3]INT Web'!U$1,FALSE)</f>
        <v>95100</v>
      </c>
      <c r="J122" s="22">
        <f>+VLOOKUP($B122,'[3]INT Web'!$B$5:$W$247,'[3]INT Web'!V$1,FALSE)</f>
        <v>513540</v>
      </c>
      <c r="K122" s="22">
        <f>+VLOOKUP($B122,'[3]INT Web'!$B$5:$W$247,'[3]INT Web'!W$1,FALSE)</f>
        <v>85590</v>
      </c>
      <c r="L122" s="12">
        <f t="shared" si="145"/>
        <v>6</v>
      </c>
      <c r="M122" s="12">
        <f t="shared" si="146"/>
        <v>1.3500525762355415</v>
      </c>
      <c r="N122" s="12">
        <f t="shared" si="147"/>
        <v>6</v>
      </c>
      <c r="O122" s="12">
        <f t="shared" si="148"/>
        <v>6</v>
      </c>
      <c r="P122" s="12">
        <f t="shared" si="149"/>
        <v>0.9</v>
      </c>
      <c r="Q122" s="140" t="str">
        <f t="shared" si="157"/>
        <v>LAK</v>
      </c>
      <c r="R122" s="104">
        <f>+VLOOKUP($B122,'Country-Level Tactics'!$B$5:$AL$248,'Country-Level Tactics'!AH$1,FALSE)</f>
        <v>770340</v>
      </c>
      <c r="S122" s="104">
        <f>+VLOOKUP($B122,'Country-Level Tactics'!$B$5:$AL$248,'Country-Level Tactics'!X$1,FALSE)</f>
        <v>128390</v>
      </c>
      <c r="T122" s="104">
        <f>+VLOOKUP($B122,'Country-Level Tactics'!$B$5:$AL$248,'Country-Level Tactics'!AC$1,FALSE)</f>
        <v>570600</v>
      </c>
      <c r="U122" s="104">
        <f>+VLOOKUP($B122,'Country-Level Tactics'!$B$5:$AL$248,'Country-Level Tactics'!T$1,FALSE)</f>
        <v>95100</v>
      </c>
      <c r="V122" s="104">
        <f t="shared" si="158"/>
        <v>513540</v>
      </c>
      <c r="W122" s="104">
        <f t="shared" si="159"/>
        <v>85590</v>
      </c>
      <c r="X122" s="12">
        <f t="shared" si="123"/>
        <v>6</v>
      </c>
      <c r="Y122" s="12">
        <f t="shared" si="124"/>
        <v>1.3500525762355415</v>
      </c>
      <c r="Z122" s="12">
        <f t="shared" si="125"/>
        <v>6</v>
      </c>
      <c r="AA122" s="12">
        <f t="shared" si="126"/>
        <v>6</v>
      </c>
      <c r="AB122" s="12">
        <f t="shared" si="127"/>
        <v>0.9</v>
      </c>
      <c r="AD122" s="10">
        <f t="shared" si="151"/>
        <v>0</v>
      </c>
      <c r="AE122" s="10">
        <f t="shared" si="152"/>
        <v>0</v>
      </c>
      <c r="AF122" s="10">
        <f t="shared" si="153"/>
        <v>0</v>
      </c>
      <c r="AG122" s="10">
        <f t="shared" si="154"/>
        <v>0</v>
      </c>
      <c r="AH122" s="10">
        <f t="shared" si="155"/>
        <v>0</v>
      </c>
      <c r="AI122" s="10">
        <f t="shared" si="156"/>
        <v>0</v>
      </c>
      <c r="AK122" s="165">
        <v>4.4494198E-5</v>
      </c>
      <c r="AL122" s="173">
        <f t="shared" ref="AL122:AL157" si="160">+R122*$AK122</f>
        <v>34.275660487319996</v>
      </c>
      <c r="AM122" s="173">
        <f t="shared" ref="AM122:AM157" si="161">+S122*$AK122</f>
        <v>5.7126100812200002</v>
      </c>
      <c r="AN122" s="173">
        <f t="shared" ref="AN122:AN157" si="162">+T122*$AK122</f>
        <v>25.388389378799999</v>
      </c>
      <c r="AO122" s="173">
        <f t="shared" ref="AO122:AO157" si="163">+U122*$AK122</f>
        <v>4.2313982297999999</v>
      </c>
      <c r="AP122" s="173">
        <f t="shared" ref="AP122:AP157" si="164">+V122*$AK122</f>
        <v>22.849550440919998</v>
      </c>
      <c r="AQ122" s="173">
        <f t="shared" ref="AQ122:AQ157" si="165">+W122*$AK122</f>
        <v>3.8082584068199998</v>
      </c>
      <c r="AS122" s="22" t="str">
        <f>+VLOOKUP(B122,'Country &amp; Code Abbreviation'!$B$3:$C$245,2,FALSE)</f>
        <v>LA</v>
      </c>
    </row>
    <row r="123" spans="2:45">
      <c r="B123" s="20" t="s">
        <v>192</v>
      </c>
      <c r="C123" s="20" t="s">
        <v>100</v>
      </c>
      <c r="E123" s="11" t="str">
        <f>+VLOOKUP($B123,'[3]INT Web'!$B$5:$W$247,'[3]INT Web'!Q$1,FALSE)</f>
        <v>EUR</v>
      </c>
      <c r="F123" s="22">
        <f>+VLOOKUP($B123,'[3]INT Web'!$B$5:$W$247,'[3]INT Web'!R$1,FALSE)</f>
        <v>91.99</v>
      </c>
      <c r="G123" s="22">
        <f>+VLOOKUP($B123,'[3]INT Web'!$B$5:$W$247,'[3]INT Web'!S$1,FALSE)</f>
        <v>14.99</v>
      </c>
      <c r="H123" s="22">
        <f>+VLOOKUP($B123,'[3]INT Web'!$B$5:$W$247,'[3]INT Web'!T$1,FALSE)</f>
        <v>67.989999999999995</v>
      </c>
      <c r="I123" s="22">
        <f>+VLOOKUP($B123,'[3]INT Web'!$B$5:$W$247,'[3]INT Web'!U$1,FALSE)</f>
        <v>10.99</v>
      </c>
      <c r="J123" s="22">
        <f>+VLOOKUP($B123,'[3]INT Web'!$B$5:$W$247,'[3]INT Web'!V$1,FALSE)</f>
        <v>59.99</v>
      </c>
      <c r="K123" s="22">
        <f>+VLOOKUP($B123,'[3]INT Web'!$B$5:$W$247,'[3]INT Web'!W$1,FALSE)</f>
        <v>9.99</v>
      </c>
      <c r="L123" s="12">
        <f t="shared" si="145"/>
        <v>6.1367578385590393</v>
      </c>
      <c r="M123" s="12">
        <f t="shared" si="146"/>
        <v>1.3639672429481347</v>
      </c>
      <c r="N123" s="12">
        <f t="shared" si="147"/>
        <v>6.186533212010918</v>
      </c>
      <c r="O123" s="12">
        <f t="shared" si="148"/>
        <v>6.005005005005005</v>
      </c>
      <c r="P123" s="12">
        <f t="shared" si="149"/>
        <v>0.90900818926296634</v>
      </c>
      <c r="Q123" s="140" t="str">
        <f t="shared" si="157"/>
        <v>EUR</v>
      </c>
      <c r="R123" s="104">
        <f>+VLOOKUP($B123,'Country-Level Tactics'!$B$5:$AL$248,'Country-Level Tactics'!AH$1,FALSE)</f>
        <v>91.99</v>
      </c>
      <c r="S123" s="104">
        <f>+VLOOKUP($B123,'Country-Level Tactics'!$B$5:$AL$248,'Country-Level Tactics'!X$1,FALSE)</f>
        <v>14.99</v>
      </c>
      <c r="T123" s="104">
        <f>+VLOOKUP($B123,'Country-Level Tactics'!$B$5:$AL$248,'Country-Level Tactics'!AC$1,FALSE)</f>
        <v>67.989999999999995</v>
      </c>
      <c r="U123" s="104">
        <f>+VLOOKUP($B123,'Country-Level Tactics'!$B$5:$AL$248,'Country-Level Tactics'!T$1,FALSE)</f>
        <v>10.99</v>
      </c>
      <c r="V123" s="104">
        <f t="shared" si="158"/>
        <v>59.99</v>
      </c>
      <c r="W123" s="104">
        <f t="shared" si="159"/>
        <v>9.99</v>
      </c>
      <c r="X123" s="12">
        <f t="shared" si="123"/>
        <v>6.1367578385590393</v>
      </c>
      <c r="Y123" s="12">
        <f t="shared" si="124"/>
        <v>1.3639672429481347</v>
      </c>
      <c r="Z123" s="12">
        <f t="shared" si="125"/>
        <v>6.186533212010918</v>
      </c>
      <c r="AA123" s="12">
        <f t="shared" si="126"/>
        <v>6.005005005005005</v>
      </c>
      <c r="AB123" s="12">
        <f t="shared" si="127"/>
        <v>0.90900818926296634</v>
      </c>
      <c r="AD123" s="10">
        <f t="shared" si="151"/>
        <v>0</v>
      </c>
      <c r="AE123" s="10">
        <f t="shared" si="152"/>
        <v>0</v>
      </c>
      <c r="AF123" s="10">
        <f t="shared" si="153"/>
        <v>0</v>
      </c>
      <c r="AG123" s="10">
        <f t="shared" si="154"/>
        <v>0</v>
      </c>
      <c r="AH123" s="10">
        <f t="shared" si="155"/>
        <v>0</v>
      </c>
      <c r="AI123" s="10">
        <f t="shared" si="156"/>
        <v>0</v>
      </c>
      <c r="AK123" s="165">
        <v>1.14175</v>
      </c>
      <c r="AL123" s="173">
        <f t="shared" si="160"/>
        <v>105.0295825</v>
      </c>
      <c r="AM123" s="173">
        <f t="shared" si="161"/>
        <v>17.114832500000002</v>
      </c>
      <c r="AN123" s="173">
        <f t="shared" si="162"/>
        <v>77.627582500000003</v>
      </c>
      <c r="AO123" s="173">
        <f t="shared" si="163"/>
        <v>12.5478325</v>
      </c>
      <c r="AP123" s="173">
        <f t="shared" si="164"/>
        <v>68.493582500000002</v>
      </c>
      <c r="AQ123" s="173">
        <f t="shared" si="165"/>
        <v>11.4060825</v>
      </c>
      <c r="AS123" s="22" t="str">
        <f>+VLOOKUP(B123,'Country &amp; Code Abbreviation'!$B$3:$C$245,2,FALSE)</f>
        <v>LV</v>
      </c>
    </row>
    <row r="124" spans="2:45">
      <c r="B124" s="20" t="s">
        <v>193</v>
      </c>
      <c r="C124" s="20" t="s">
        <v>275</v>
      </c>
      <c r="E124" s="11" t="str">
        <f>+VLOOKUP($B124,'[3]INT Web'!$B$5:$W$247,'[3]INT Web'!Q$1,FALSE)</f>
        <v>USD</v>
      </c>
      <c r="F124" s="22">
        <f>+VLOOKUP($B124,'[3]INT Web'!$B$5:$W$247,'[3]INT Web'!R$1,FALSE)</f>
        <v>34.99</v>
      </c>
      <c r="G124" s="22">
        <f>+VLOOKUP($B124,'[3]INT Web'!$B$5:$W$247,'[3]INT Web'!S$1,FALSE)</f>
        <v>4.99</v>
      </c>
      <c r="H124" s="22">
        <f>+VLOOKUP($B124,'[3]INT Web'!$B$5:$W$247,'[3]INT Web'!T$1,FALSE)</f>
        <v>27.99</v>
      </c>
      <c r="I124" s="22">
        <f>+VLOOKUP($B124,'[3]INT Web'!$B$5:$W$247,'[3]INT Web'!U$1,FALSE)</f>
        <v>3.99</v>
      </c>
      <c r="J124" s="22">
        <f>+VLOOKUP($B124,'[3]INT Web'!$B$5:$W$247,'[3]INT Web'!V$1,FALSE)</f>
        <v>17.989999999999998</v>
      </c>
      <c r="K124" s="22">
        <f>+VLOOKUP($B124,'[3]INT Web'!$B$5:$W$247,'[3]INT Web'!W$1,FALSE)</f>
        <v>2.99</v>
      </c>
      <c r="L124" s="12">
        <f t="shared" si="145"/>
        <v>7.0120240480961922</v>
      </c>
      <c r="M124" s="12">
        <f t="shared" si="146"/>
        <v>1.2506265664160401</v>
      </c>
      <c r="N124" s="12">
        <f t="shared" si="147"/>
        <v>7.0150375939849621</v>
      </c>
      <c r="O124" s="12">
        <f t="shared" si="148"/>
        <v>6.0167224080267552</v>
      </c>
      <c r="P124" s="12">
        <f t="shared" si="149"/>
        <v>0.74937343358395991</v>
      </c>
      <c r="Q124" s="140" t="str">
        <f t="shared" si="157"/>
        <v>USD</v>
      </c>
      <c r="R124" s="104">
        <f>+VLOOKUP($B124,'Country-Level Tactics'!$B$5:$AL$248,'Country-Level Tactics'!AH$1,FALSE)</f>
        <v>34.99</v>
      </c>
      <c r="S124" s="104">
        <f>+VLOOKUP($B124,'Country-Level Tactics'!$B$5:$AL$248,'Country-Level Tactics'!X$1,FALSE)</f>
        <v>4.99</v>
      </c>
      <c r="T124" s="104">
        <f>+VLOOKUP($B124,'Country-Level Tactics'!$B$5:$AL$248,'Country-Level Tactics'!AC$1,FALSE)</f>
        <v>27.99</v>
      </c>
      <c r="U124" s="104">
        <f>+VLOOKUP($B124,'Country-Level Tactics'!$B$5:$AL$248,'Country-Level Tactics'!T$1,FALSE)</f>
        <v>3.99</v>
      </c>
      <c r="V124" s="104">
        <f t="shared" si="158"/>
        <v>17.989999999999998</v>
      </c>
      <c r="W124" s="104">
        <f t="shared" si="159"/>
        <v>2.99</v>
      </c>
      <c r="X124" s="12">
        <f t="shared" si="123"/>
        <v>7.0120240480961922</v>
      </c>
      <c r="Y124" s="12">
        <f t="shared" si="124"/>
        <v>1.2506265664160401</v>
      </c>
      <c r="Z124" s="12">
        <f t="shared" si="125"/>
        <v>7.0150375939849621</v>
      </c>
      <c r="AA124" s="12">
        <f t="shared" si="126"/>
        <v>6.0167224080267552</v>
      </c>
      <c r="AB124" s="12">
        <f t="shared" si="127"/>
        <v>0.74937343358395991</v>
      </c>
      <c r="AD124" s="10">
        <f t="shared" si="151"/>
        <v>0</v>
      </c>
      <c r="AE124" s="10">
        <f t="shared" si="152"/>
        <v>0</v>
      </c>
      <c r="AF124" s="10">
        <f t="shared" si="153"/>
        <v>0</v>
      </c>
      <c r="AG124" s="10">
        <f t="shared" si="154"/>
        <v>0</v>
      </c>
      <c r="AH124" s="10">
        <f t="shared" si="155"/>
        <v>0</v>
      </c>
      <c r="AI124" s="10">
        <f t="shared" si="156"/>
        <v>0</v>
      </c>
      <c r="AK124" s="165">
        <v>1</v>
      </c>
      <c r="AL124" s="173">
        <f t="shared" si="160"/>
        <v>34.99</v>
      </c>
      <c r="AM124" s="173">
        <f t="shared" si="161"/>
        <v>4.99</v>
      </c>
      <c r="AN124" s="173">
        <f t="shared" si="162"/>
        <v>27.99</v>
      </c>
      <c r="AO124" s="173">
        <f t="shared" si="163"/>
        <v>3.99</v>
      </c>
      <c r="AP124" s="173">
        <f t="shared" si="164"/>
        <v>17.989999999999998</v>
      </c>
      <c r="AQ124" s="173">
        <f t="shared" si="165"/>
        <v>2.99</v>
      </c>
      <c r="AS124" s="22" t="str">
        <f>+VLOOKUP(B124,'Country &amp; Code Abbreviation'!$B$3:$C$245,2,FALSE)</f>
        <v>LB</v>
      </c>
    </row>
    <row r="125" spans="2:45">
      <c r="B125" s="20" t="s">
        <v>194</v>
      </c>
      <c r="C125" s="20" t="s">
        <v>270</v>
      </c>
      <c r="E125" s="11" t="str">
        <f>+VLOOKUP($B125,'[3]INT Web'!$B$5:$W$247,'[3]INT Web'!Q$1,FALSE)</f>
        <v>USD</v>
      </c>
      <c r="F125" s="22">
        <f>+VLOOKUP($B125,'[3]INT Web'!$B$5:$W$247,'[3]INT Web'!R$1,FALSE)</f>
        <v>71.989999999999995</v>
      </c>
      <c r="G125" s="22">
        <f>+VLOOKUP($B125,'[3]INT Web'!$B$5:$W$247,'[3]INT Web'!S$1,FALSE)</f>
        <v>11.99</v>
      </c>
      <c r="H125" s="22">
        <f>+VLOOKUP($B125,'[3]INT Web'!$B$5:$W$247,'[3]INT Web'!T$1,FALSE)</f>
        <v>53.99</v>
      </c>
      <c r="I125" s="22">
        <f>+VLOOKUP($B125,'[3]INT Web'!$B$5:$W$247,'[3]INT Web'!U$1,FALSE)</f>
        <v>8.99</v>
      </c>
      <c r="J125" s="22">
        <f>+VLOOKUP($B125,'[3]INT Web'!$B$5:$W$247,'[3]INT Web'!V$1,FALSE)</f>
        <v>47.99</v>
      </c>
      <c r="K125" s="22">
        <f>+VLOOKUP($B125,'[3]INT Web'!$B$5:$W$247,'[3]INT Web'!W$1,FALSE)</f>
        <v>7.99</v>
      </c>
      <c r="L125" s="12">
        <f t="shared" si="145"/>
        <v>6.0041701417848206</v>
      </c>
      <c r="M125" s="12">
        <f t="shared" si="146"/>
        <v>1.3337041156840934</v>
      </c>
      <c r="N125" s="12">
        <f t="shared" si="147"/>
        <v>6.0055617352614012</v>
      </c>
      <c r="O125" s="12">
        <f t="shared" si="148"/>
        <v>6.0062578222778473</v>
      </c>
      <c r="P125" s="12">
        <f t="shared" si="149"/>
        <v>0.88876529477196886</v>
      </c>
      <c r="Q125" s="140" t="str">
        <f t="shared" si="157"/>
        <v>USD</v>
      </c>
      <c r="R125" s="104">
        <f>+VLOOKUP($B125,'Country-Level Tactics'!$B$5:$AL$248,'Country-Level Tactics'!AH$1,FALSE)</f>
        <v>71.989999999999995</v>
      </c>
      <c r="S125" s="104">
        <f>+VLOOKUP($B125,'Country-Level Tactics'!$B$5:$AL$248,'Country-Level Tactics'!X$1,FALSE)</f>
        <v>11.99</v>
      </c>
      <c r="T125" s="104">
        <f>+VLOOKUP($B125,'Country-Level Tactics'!$B$5:$AL$248,'Country-Level Tactics'!AC$1,FALSE)</f>
        <v>53.99</v>
      </c>
      <c r="U125" s="104">
        <f>+VLOOKUP($B125,'Country-Level Tactics'!$B$5:$AL$248,'Country-Level Tactics'!T$1,FALSE)</f>
        <v>8.99</v>
      </c>
      <c r="V125" s="104">
        <f t="shared" si="158"/>
        <v>47.99</v>
      </c>
      <c r="W125" s="104">
        <f t="shared" si="159"/>
        <v>7.99</v>
      </c>
      <c r="X125" s="12">
        <f t="shared" si="123"/>
        <v>6.0041701417848206</v>
      </c>
      <c r="Y125" s="12">
        <f t="shared" si="124"/>
        <v>1.3337041156840934</v>
      </c>
      <c r="Z125" s="12">
        <f t="shared" si="125"/>
        <v>6.0055617352614012</v>
      </c>
      <c r="AA125" s="12">
        <f t="shared" si="126"/>
        <v>6.0062578222778473</v>
      </c>
      <c r="AB125" s="12">
        <f t="shared" si="127"/>
        <v>0.88876529477196886</v>
      </c>
      <c r="AD125" s="10">
        <f t="shared" si="151"/>
        <v>0</v>
      </c>
      <c r="AE125" s="10">
        <f t="shared" si="152"/>
        <v>0</v>
      </c>
      <c r="AF125" s="10">
        <f t="shared" si="153"/>
        <v>0</v>
      </c>
      <c r="AG125" s="10">
        <f t="shared" si="154"/>
        <v>0</v>
      </c>
      <c r="AH125" s="10">
        <f t="shared" si="155"/>
        <v>0</v>
      </c>
      <c r="AI125" s="10">
        <f t="shared" si="156"/>
        <v>0</v>
      </c>
      <c r="AK125" s="165">
        <v>1</v>
      </c>
      <c r="AL125" s="173">
        <f t="shared" si="160"/>
        <v>71.989999999999995</v>
      </c>
      <c r="AM125" s="173">
        <f t="shared" si="161"/>
        <v>11.99</v>
      </c>
      <c r="AN125" s="173">
        <f t="shared" si="162"/>
        <v>53.99</v>
      </c>
      <c r="AO125" s="173">
        <f t="shared" si="163"/>
        <v>8.99</v>
      </c>
      <c r="AP125" s="173">
        <f t="shared" si="164"/>
        <v>47.99</v>
      </c>
      <c r="AQ125" s="173">
        <f t="shared" si="165"/>
        <v>7.99</v>
      </c>
      <c r="AS125" s="22" t="str">
        <f>+VLOOKUP(B125,'Country &amp; Code Abbreviation'!$B$3:$C$245,2,FALSE)</f>
        <v>LS</v>
      </c>
    </row>
    <row r="126" spans="2:45">
      <c r="B126" s="20" t="s">
        <v>195</v>
      </c>
      <c r="C126" s="20" t="s">
        <v>270</v>
      </c>
      <c r="E126" s="11" t="str">
        <f>+VLOOKUP($B126,'[3]INT Web'!$B$5:$W$247,'[3]INT Web'!Q$1,FALSE)</f>
        <v>USD</v>
      </c>
      <c r="F126" s="22">
        <f>+VLOOKUP($B126,'[3]INT Web'!$B$5:$W$247,'[3]INT Web'!R$1,FALSE)</f>
        <v>71.989999999999995</v>
      </c>
      <c r="G126" s="22">
        <f>+VLOOKUP($B126,'[3]INT Web'!$B$5:$W$247,'[3]INT Web'!S$1,FALSE)</f>
        <v>11.99</v>
      </c>
      <c r="H126" s="22">
        <f>+VLOOKUP($B126,'[3]INT Web'!$B$5:$W$247,'[3]INT Web'!T$1,FALSE)</f>
        <v>53.99</v>
      </c>
      <c r="I126" s="22">
        <f>+VLOOKUP($B126,'[3]INT Web'!$B$5:$W$247,'[3]INT Web'!U$1,FALSE)</f>
        <v>8.99</v>
      </c>
      <c r="J126" s="22">
        <f>+VLOOKUP($B126,'[3]INT Web'!$B$5:$W$247,'[3]INT Web'!V$1,FALSE)</f>
        <v>47.99</v>
      </c>
      <c r="K126" s="22">
        <f>+VLOOKUP($B126,'[3]INT Web'!$B$5:$W$247,'[3]INT Web'!W$1,FALSE)</f>
        <v>7.99</v>
      </c>
      <c r="L126" s="12">
        <f t="shared" si="145"/>
        <v>6.0041701417848206</v>
      </c>
      <c r="M126" s="12">
        <f t="shared" si="146"/>
        <v>1.3337041156840934</v>
      </c>
      <c r="N126" s="12">
        <f t="shared" si="147"/>
        <v>6.0055617352614012</v>
      </c>
      <c r="O126" s="12">
        <f t="shared" si="148"/>
        <v>6.0062578222778473</v>
      </c>
      <c r="P126" s="12">
        <f t="shared" si="149"/>
        <v>0.88876529477196886</v>
      </c>
      <c r="Q126" s="140" t="str">
        <f t="shared" si="157"/>
        <v>USD</v>
      </c>
      <c r="R126" s="104">
        <f>+VLOOKUP($B126,'Country-Level Tactics'!$B$5:$AL$248,'Country-Level Tactics'!AH$1,FALSE)</f>
        <v>71.989999999999995</v>
      </c>
      <c r="S126" s="104">
        <f>+VLOOKUP($B126,'Country-Level Tactics'!$B$5:$AL$248,'Country-Level Tactics'!X$1,FALSE)</f>
        <v>11.99</v>
      </c>
      <c r="T126" s="104">
        <f>+VLOOKUP($B126,'Country-Level Tactics'!$B$5:$AL$248,'Country-Level Tactics'!AC$1,FALSE)</f>
        <v>53.99</v>
      </c>
      <c r="U126" s="104">
        <f>+VLOOKUP($B126,'Country-Level Tactics'!$B$5:$AL$248,'Country-Level Tactics'!T$1,FALSE)</f>
        <v>8.99</v>
      </c>
      <c r="V126" s="104">
        <f t="shared" si="158"/>
        <v>47.99</v>
      </c>
      <c r="W126" s="104">
        <f t="shared" si="159"/>
        <v>7.99</v>
      </c>
      <c r="X126" s="12">
        <f t="shared" si="123"/>
        <v>6.0041701417848206</v>
      </c>
      <c r="Y126" s="12">
        <f t="shared" si="124"/>
        <v>1.3337041156840934</v>
      </c>
      <c r="Z126" s="12">
        <f t="shared" si="125"/>
        <v>6.0055617352614012</v>
      </c>
      <c r="AA126" s="12">
        <f t="shared" si="126"/>
        <v>6.0062578222778473</v>
      </c>
      <c r="AB126" s="12">
        <f t="shared" si="127"/>
        <v>0.88876529477196886</v>
      </c>
      <c r="AD126" s="10">
        <f t="shared" si="151"/>
        <v>0</v>
      </c>
      <c r="AE126" s="10">
        <f t="shared" si="152"/>
        <v>0</v>
      </c>
      <c r="AF126" s="10">
        <f t="shared" si="153"/>
        <v>0</v>
      </c>
      <c r="AG126" s="10">
        <f t="shared" si="154"/>
        <v>0</v>
      </c>
      <c r="AH126" s="10">
        <f t="shared" si="155"/>
        <v>0</v>
      </c>
      <c r="AI126" s="10">
        <f t="shared" si="156"/>
        <v>0</v>
      </c>
      <c r="AK126" s="165">
        <v>1</v>
      </c>
      <c r="AL126" s="173">
        <f t="shared" si="160"/>
        <v>71.989999999999995</v>
      </c>
      <c r="AM126" s="173">
        <f t="shared" si="161"/>
        <v>11.99</v>
      </c>
      <c r="AN126" s="173">
        <f t="shared" si="162"/>
        <v>53.99</v>
      </c>
      <c r="AO126" s="173">
        <f t="shared" si="163"/>
        <v>8.99</v>
      </c>
      <c r="AP126" s="173">
        <f t="shared" si="164"/>
        <v>47.99</v>
      </c>
      <c r="AQ126" s="173">
        <f t="shared" si="165"/>
        <v>7.99</v>
      </c>
      <c r="AS126" s="22" t="str">
        <f>+VLOOKUP(B126,'Country &amp; Code Abbreviation'!$B$3:$C$245,2,FALSE)</f>
        <v>LR</v>
      </c>
    </row>
    <row r="127" spans="2:45">
      <c r="B127" s="20" t="s">
        <v>196</v>
      </c>
      <c r="C127" s="20" t="s">
        <v>270</v>
      </c>
      <c r="E127" s="11" t="str">
        <f>+VLOOKUP($B127,'[3]INT Web'!$B$5:$W$247,'[3]INT Web'!Q$1,FALSE)</f>
        <v>USD</v>
      </c>
      <c r="F127" s="22">
        <f>+VLOOKUP($B127,'[3]INT Web'!$B$5:$W$247,'[3]INT Web'!R$1,FALSE)</f>
        <v>79.989999999999995</v>
      </c>
      <c r="G127" s="22">
        <f>+VLOOKUP($B127,'[3]INT Web'!$B$5:$W$247,'[3]INT Web'!S$1,FALSE)</f>
        <v>13.99</v>
      </c>
      <c r="H127" s="22">
        <f>+VLOOKUP($B127,'[3]INT Web'!$B$5:$W$247,'[3]INT Web'!T$1,FALSE)</f>
        <v>59.99</v>
      </c>
      <c r="I127" s="22">
        <f>+VLOOKUP($B127,'[3]INT Web'!$B$5:$W$247,'[3]INT Web'!U$1,FALSE)</f>
        <v>9.99</v>
      </c>
      <c r="J127" s="22">
        <f>+VLOOKUP($B127,'[3]INT Web'!$B$5:$W$247,'[3]INT Web'!V$1,FALSE)</f>
        <v>54.99</v>
      </c>
      <c r="K127" s="22">
        <f>+VLOOKUP($B127,'[3]INT Web'!$B$5:$W$247,'[3]INT Web'!W$1,FALSE)</f>
        <v>8.99</v>
      </c>
      <c r="L127" s="12">
        <f t="shared" si="145"/>
        <v>5.7176554681915652</v>
      </c>
      <c r="M127" s="12">
        <f t="shared" si="146"/>
        <v>1.4004004004004005</v>
      </c>
      <c r="N127" s="12">
        <f t="shared" si="147"/>
        <v>6.005005005005005</v>
      </c>
      <c r="O127" s="12">
        <f t="shared" si="148"/>
        <v>6.1167964404894324</v>
      </c>
      <c r="P127" s="12">
        <f t="shared" si="149"/>
        <v>0.89989989989989994</v>
      </c>
      <c r="Q127" s="140" t="str">
        <f t="shared" si="157"/>
        <v>USD</v>
      </c>
      <c r="R127" s="104">
        <f>+VLOOKUP($B127,'Country-Level Tactics'!$B$5:$AL$248,'Country-Level Tactics'!AH$1,FALSE)</f>
        <v>79.989999999999995</v>
      </c>
      <c r="S127" s="104">
        <f>+VLOOKUP($B127,'Country-Level Tactics'!$B$5:$AL$248,'Country-Level Tactics'!X$1,FALSE)</f>
        <v>13.99</v>
      </c>
      <c r="T127" s="104">
        <f>+VLOOKUP($B127,'Country-Level Tactics'!$B$5:$AL$248,'Country-Level Tactics'!AC$1,FALSE)</f>
        <v>59.99</v>
      </c>
      <c r="U127" s="104">
        <f>+VLOOKUP($B127,'Country-Level Tactics'!$B$5:$AL$248,'Country-Level Tactics'!T$1,FALSE)</f>
        <v>9.99</v>
      </c>
      <c r="V127" s="104">
        <f t="shared" si="158"/>
        <v>54.99</v>
      </c>
      <c r="W127" s="104">
        <f t="shared" si="159"/>
        <v>8.99</v>
      </c>
      <c r="X127" s="12">
        <f t="shared" si="123"/>
        <v>5.7176554681915652</v>
      </c>
      <c r="Y127" s="12">
        <f t="shared" si="124"/>
        <v>1.4004004004004005</v>
      </c>
      <c r="Z127" s="12">
        <f t="shared" si="125"/>
        <v>6.005005005005005</v>
      </c>
      <c r="AA127" s="12">
        <f t="shared" si="126"/>
        <v>6.1167964404894324</v>
      </c>
      <c r="AB127" s="12">
        <f t="shared" si="127"/>
        <v>0.89989989989989994</v>
      </c>
      <c r="AD127" s="10">
        <f t="shared" si="151"/>
        <v>0</v>
      </c>
      <c r="AE127" s="10">
        <f t="shared" si="152"/>
        <v>0</v>
      </c>
      <c r="AF127" s="10">
        <f t="shared" si="153"/>
        <v>0</v>
      </c>
      <c r="AG127" s="10">
        <f t="shared" si="154"/>
        <v>0</v>
      </c>
      <c r="AH127" s="10">
        <f t="shared" si="155"/>
        <v>0</v>
      </c>
      <c r="AI127" s="10">
        <f t="shared" si="156"/>
        <v>0</v>
      </c>
      <c r="AK127" s="165">
        <v>1</v>
      </c>
      <c r="AL127" s="173">
        <f t="shared" si="160"/>
        <v>79.989999999999995</v>
      </c>
      <c r="AM127" s="173">
        <f t="shared" si="161"/>
        <v>13.99</v>
      </c>
      <c r="AN127" s="173">
        <f t="shared" si="162"/>
        <v>59.99</v>
      </c>
      <c r="AO127" s="173">
        <f t="shared" si="163"/>
        <v>9.99</v>
      </c>
      <c r="AP127" s="173">
        <f t="shared" si="164"/>
        <v>54.99</v>
      </c>
      <c r="AQ127" s="173">
        <f t="shared" si="165"/>
        <v>8.99</v>
      </c>
      <c r="AS127" s="22" t="str">
        <f>+VLOOKUP(B127,'Country &amp; Code Abbreviation'!$B$3:$C$245,2,FALSE)</f>
        <v>LY</v>
      </c>
    </row>
    <row r="128" spans="2:45">
      <c r="B128" s="20" t="s">
        <v>197</v>
      </c>
      <c r="C128" s="20" t="s">
        <v>100</v>
      </c>
      <c r="E128" s="11" t="str">
        <f>+VLOOKUP($B128,'[3]INT Web'!$B$5:$W$247,'[3]INT Web'!Q$1,FALSE)</f>
        <v>CHF</v>
      </c>
      <c r="F128" s="22">
        <f>+VLOOKUP($B128,'[3]INT Web'!$B$5:$W$247,'[3]INT Web'!R$1,FALSE)</f>
        <v>189.99</v>
      </c>
      <c r="G128" s="22">
        <f>+VLOOKUP($B128,'[3]INT Web'!$B$5:$W$247,'[3]INT Web'!S$1,FALSE)</f>
        <v>31.99</v>
      </c>
      <c r="H128" s="22">
        <f>+VLOOKUP($B128,'[3]INT Web'!$B$5:$W$247,'[3]INT Web'!T$1,FALSE)</f>
        <v>149.99</v>
      </c>
      <c r="I128" s="22">
        <f>+VLOOKUP($B128,'[3]INT Web'!$B$5:$W$247,'[3]INT Web'!U$1,FALSE)</f>
        <v>24.99</v>
      </c>
      <c r="J128" s="22">
        <f>+VLOOKUP($B128,'[3]INT Web'!$B$5:$W$247,'[3]INT Web'!V$1,FALSE)</f>
        <v>129.99</v>
      </c>
      <c r="K128" s="22">
        <f>+VLOOKUP($B128,'[3]INT Web'!$B$5:$W$247,'[3]INT Web'!W$1,FALSE)</f>
        <v>21.99</v>
      </c>
      <c r="L128" s="12">
        <f t="shared" si="145"/>
        <v>5.9390434510784624</v>
      </c>
      <c r="M128" s="12">
        <f t="shared" si="146"/>
        <v>1.2801120448179273</v>
      </c>
      <c r="N128" s="12">
        <f t="shared" si="147"/>
        <v>6.0020008003201291</v>
      </c>
      <c r="O128" s="12">
        <f t="shared" si="148"/>
        <v>5.9113233287858122</v>
      </c>
      <c r="P128" s="12">
        <f t="shared" si="149"/>
        <v>0.87995198079231696</v>
      </c>
      <c r="Q128" s="140" t="str">
        <f t="shared" si="157"/>
        <v>CHF</v>
      </c>
      <c r="R128" s="104">
        <f>+VLOOKUP($B128,'Country-Level Tactics'!$B$5:$AL$248,'Country-Level Tactics'!AH$1,FALSE)</f>
        <v>189.99</v>
      </c>
      <c r="S128" s="104">
        <f>+VLOOKUP($B128,'Country-Level Tactics'!$B$5:$AL$248,'Country-Level Tactics'!X$1,FALSE)</f>
        <v>31.99</v>
      </c>
      <c r="T128" s="104">
        <f>+VLOOKUP($B128,'Country-Level Tactics'!$B$5:$AL$248,'Country-Level Tactics'!AC$1,FALSE)</f>
        <v>149.99</v>
      </c>
      <c r="U128" s="104">
        <f>+VLOOKUP($B128,'Country-Level Tactics'!$B$5:$AL$248,'Country-Level Tactics'!T$1,FALSE)</f>
        <v>24.99</v>
      </c>
      <c r="V128" s="104">
        <f t="shared" si="158"/>
        <v>129.99</v>
      </c>
      <c r="W128" s="104">
        <f t="shared" si="159"/>
        <v>21.99</v>
      </c>
      <c r="X128" s="12">
        <f t="shared" si="123"/>
        <v>5.9390434510784624</v>
      </c>
      <c r="Y128" s="12">
        <f t="shared" si="124"/>
        <v>1.2801120448179273</v>
      </c>
      <c r="Z128" s="12">
        <f t="shared" si="125"/>
        <v>6.0020008003201291</v>
      </c>
      <c r="AA128" s="12">
        <f t="shared" si="126"/>
        <v>5.9113233287858122</v>
      </c>
      <c r="AB128" s="12">
        <f t="shared" si="127"/>
        <v>0.87995198079231696</v>
      </c>
      <c r="AD128" s="10">
        <f t="shared" si="151"/>
        <v>0</v>
      </c>
      <c r="AE128" s="10">
        <f t="shared" si="152"/>
        <v>0</v>
      </c>
      <c r="AF128" s="10">
        <f t="shared" si="153"/>
        <v>0</v>
      </c>
      <c r="AG128" s="10">
        <f t="shared" si="154"/>
        <v>0</v>
      </c>
      <c r="AH128" s="10">
        <f t="shared" si="155"/>
        <v>0</v>
      </c>
      <c r="AI128" s="10">
        <f t="shared" si="156"/>
        <v>0</v>
      </c>
      <c r="AK128" s="165">
        <v>1.2398487</v>
      </c>
      <c r="AL128" s="173">
        <f t="shared" si="160"/>
        <v>235.55885451300003</v>
      </c>
      <c r="AM128" s="173">
        <f t="shared" si="161"/>
        <v>39.662759913000002</v>
      </c>
      <c r="AN128" s="173">
        <f t="shared" si="162"/>
        <v>185.96490651300002</v>
      </c>
      <c r="AO128" s="173">
        <f t="shared" si="163"/>
        <v>30.983819012999998</v>
      </c>
      <c r="AP128" s="173">
        <f t="shared" si="164"/>
        <v>161.16793251300001</v>
      </c>
      <c r="AQ128" s="173">
        <f t="shared" si="165"/>
        <v>27.264272912999999</v>
      </c>
      <c r="AS128" s="22" t="str">
        <f>+VLOOKUP(B128,'Country &amp; Code Abbreviation'!$B$3:$C$245,2,FALSE)</f>
        <v>LI</v>
      </c>
    </row>
    <row r="129" spans="2:45">
      <c r="B129" s="20" t="s">
        <v>198</v>
      </c>
      <c r="C129" s="20" t="s">
        <v>100</v>
      </c>
      <c r="E129" s="11" t="str">
        <f>+VLOOKUP($B129,'[3]INT Web'!$B$5:$W$247,'[3]INT Web'!Q$1,FALSE)</f>
        <v>EUR</v>
      </c>
      <c r="F129" s="22">
        <f>+VLOOKUP($B129,'[3]INT Web'!$B$5:$W$247,'[3]INT Web'!R$1,FALSE)</f>
        <v>94.99</v>
      </c>
      <c r="G129" s="22">
        <f>+VLOOKUP($B129,'[3]INT Web'!$B$5:$W$247,'[3]INT Web'!S$1,FALSE)</f>
        <v>14.99</v>
      </c>
      <c r="H129" s="22">
        <f>+VLOOKUP($B129,'[3]INT Web'!$B$5:$W$247,'[3]INT Web'!T$1,FALSE)</f>
        <v>69.989999999999995</v>
      </c>
      <c r="I129" s="22">
        <f>+VLOOKUP($B129,'[3]INT Web'!$B$5:$W$247,'[3]INT Web'!U$1,FALSE)</f>
        <v>10.99</v>
      </c>
      <c r="J129" s="22">
        <f>+VLOOKUP($B129,'[3]INT Web'!$B$5:$W$247,'[3]INT Web'!V$1,FALSE)</f>
        <v>59.99</v>
      </c>
      <c r="K129" s="22">
        <f>+VLOOKUP($B129,'[3]INT Web'!$B$5:$W$247,'[3]INT Web'!W$1,FALSE)</f>
        <v>9.99</v>
      </c>
      <c r="L129" s="12">
        <f t="shared" si="145"/>
        <v>6.3368912608405603</v>
      </c>
      <c r="M129" s="12">
        <f t="shared" si="146"/>
        <v>1.3639672429481347</v>
      </c>
      <c r="N129" s="12">
        <f t="shared" si="147"/>
        <v>6.3685168334849855</v>
      </c>
      <c r="O129" s="12">
        <f t="shared" si="148"/>
        <v>6.005005005005005</v>
      </c>
      <c r="P129" s="12">
        <f t="shared" si="149"/>
        <v>0.90900818926296634</v>
      </c>
      <c r="Q129" s="140" t="str">
        <f t="shared" si="157"/>
        <v>EUR</v>
      </c>
      <c r="R129" s="104">
        <f>+VLOOKUP($B129,'Country-Level Tactics'!$B$5:$AL$248,'Country-Level Tactics'!AH$1,FALSE)</f>
        <v>94.99</v>
      </c>
      <c r="S129" s="104">
        <f>+VLOOKUP($B129,'Country-Level Tactics'!$B$5:$AL$248,'Country-Level Tactics'!X$1,FALSE)</f>
        <v>14.99</v>
      </c>
      <c r="T129" s="104">
        <f>+VLOOKUP($B129,'Country-Level Tactics'!$B$5:$AL$248,'Country-Level Tactics'!AC$1,FALSE)</f>
        <v>69.989999999999995</v>
      </c>
      <c r="U129" s="104">
        <f>+VLOOKUP($B129,'Country-Level Tactics'!$B$5:$AL$248,'Country-Level Tactics'!T$1,FALSE)</f>
        <v>10.99</v>
      </c>
      <c r="V129" s="104">
        <f t="shared" si="158"/>
        <v>59.99</v>
      </c>
      <c r="W129" s="104">
        <f t="shared" si="159"/>
        <v>9.99</v>
      </c>
      <c r="X129" s="12">
        <f t="shared" si="123"/>
        <v>6.3368912608405603</v>
      </c>
      <c r="Y129" s="12">
        <f t="shared" si="124"/>
        <v>1.3639672429481347</v>
      </c>
      <c r="Z129" s="12">
        <f t="shared" si="125"/>
        <v>6.3685168334849855</v>
      </c>
      <c r="AA129" s="12">
        <f t="shared" si="126"/>
        <v>6.005005005005005</v>
      </c>
      <c r="AB129" s="12">
        <f t="shared" si="127"/>
        <v>0.90900818926296634</v>
      </c>
      <c r="AD129" s="10">
        <f t="shared" si="151"/>
        <v>0</v>
      </c>
      <c r="AE129" s="10">
        <f t="shared" si="152"/>
        <v>0</v>
      </c>
      <c r="AF129" s="10">
        <f t="shared" si="153"/>
        <v>0</v>
      </c>
      <c r="AG129" s="10">
        <f t="shared" si="154"/>
        <v>0</v>
      </c>
      <c r="AH129" s="10">
        <f t="shared" si="155"/>
        <v>0</v>
      </c>
      <c r="AI129" s="10">
        <f t="shared" si="156"/>
        <v>0</v>
      </c>
      <c r="AK129" s="165">
        <v>1.14175</v>
      </c>
      <c r="AL129" s="173">
        <f t="shared" si="160"/>
        <v>108.45483249999999</v>
      </c>
      <c r="AM129" s="173">
        <f t="shared" si="161"/>
        <v>17.114832500000002</v>
      </c>
      <c r="AN129" s="173">
        <f t="shared" si="162"/>
        <v>79.911082499999992</v>
      </c>
      <c r="AO129" s="173">
        <f t="shared" si="163"/>
        <v>12.5478325</v>
      </c>
      <c r="AP129" s="173">
        <f t="shared" si="164"/>
        <v>68.493582500000002</v>
      </c>
      <c r="AQ129" s="173">
        <f t="shared" si="165"/>
        <v>11.4060825</v>
      </c>
      <c r="AS129" s="22" t="str">
        <f>+VLOOKUP(B129,'Country &amp; Code Abbreviation'!$B$3:$C$245,2,FALSE)</f>
        <v>LT</v>
      </c>
    </row>
    <row r="130" spans="2:45">
      <c r="B130" s="20" t="s">
        <v>199</v>
      </c>
      <c r="C130" s="20" t="s">
        <v>100</v>
      </c>
      <c r="E130" s="11" t="str">
        <f>+VLOOKUP($B130,'[3]INT Web'!$B$5:$W$247,'[3]INT Web'!Q$1,FALSE)</f>
        <v>EUR</v>
      </c>
      <c r="F130" s="22">
        <f>+VLOOKUP($B130,'[3]INT Web'!$B$5:$W$247,'[3]INT Web'!R$1,FALSE)</f>
        <v>194.99</v>
      </c>
      <c r="G130" s="22">
        <f>+VLOOKUP($B130,'[3]INT Web'!$B$5:$W$247,'[3]INT Web'!S$1,FALSE)</f>
        <v>28.99</v>
      </c>
      <c r="H130" s="22">
        <f>+VLOOKUP($B130,'[3]INT Web'!$B$5:$W$247,'[3]INT Web'!T$1,FALSE)</f>
        <v>149.99</v>
      </c>
      <c r="I130" s="22">
        <f>+VLOOKUP($B130,'[3]INT Web'!$B$5:$W$247,'[3]INT Web'!U$1,FALSE)</f>
        <v>21.99</v>
      </c>
      <c r="J130" s="22">
        <f>+VLOOKUP($B130,'[3]INT Web'!$B$5:$W$247,'[3]INT Web'!V$1,FALSE)</f>
        <v>134.99</v>
      </c>
      <c r="K130" s="22">
        <f>+VLOOKUP($B130,'[3]INT Web'!$B$5:$W$247,'[3]INT Web'!W$1,FALSE)</f>
        <v>19.989999999999998</v>
      </c>
      <c r="L130" s="12">
        <f t="shared" si="145"/>
        <v>6.7261124525698524</v>
      </c>
      <c r="M130" s="12">
        <f t="shared" si="146"/>
        <v>1.3183265120509322</v>
      </c>
      <c r="N130" s="12">
        <f t="shared" si="147"/>
        <v>6.8208276489313331</v>
      </c>
      <c r="O130" s="12">
        <f t="shared" si="148"/>
        <v>6.7528764382191104</v>
      </c>
      <c r="P130" s="12">
        <f t="shared" si="149"/>
        <v>0.90904956798544789</v>
      </c>
      <c r="Q130" s="140" t="str">
        <f t="shared" si="157"/>
        <v>EUR</v>
      </c>
      <c r="R130" s="104">
        <f>+VLOOKUP($B130,'Country-Level Tactics'!$B$5:$AL$248,'Country-Level Tactics'!AH$1,FALSE)</f>
        <v>194.99</v>
      </c>
      <c r="S130" s="104">
        <f>+VLOOKUP($B130,'Country-Level Tactics'!$B$5:$AL$248,'Country-Level Tactics'!X$1,FALSE)</f>
        <v>28.99</v>
      </c>
      <c r="T130" s="104">
        <f>+VLOOKUP($B130,'Country-Level Tactics'!$B$5:$AL$248,'Country-Level Tactics'!AC$1,FALSE)</f>
        <v>149.99</v>
      </c>
      <c r="U130" s="104">
        <f>+VLOOKUP($B130,'Country-Level Tactics'!$B$5:$AL$248,'Country-Level Tactics'!T$1,FALSE)</f>
        <v>21.99</v>
      </c>
      <c r="V130" s="104">
        <f t="shared" si="158"/>
        <v>134.99</v>
      </c>
      <c r="W130" s="104">
        <f t="shared" si="159"/>
        <v>19.989999999999998</v>
      </c>
      <c r="X130" s="12">
        <f t="shared" si="123"/>
        <v>6.7261124525698524</v>
      </c>
      <c r="Y130" s="12">
        <f t="shared" si="124"/>
        <v>1.3183265120509322</v>
      </c>
      <c r="Z130" s="12">
        <f t="shared" si="125"/>
        <v>6.8208276489313331</v>
      </c>
      <c r="AA130" s="12">
        <f t="shared" si="126"/>
        <v>6.7528764382191104</v>
      </c>
      <c r="AB130" s="12">
        <f t="shared" si="127"/>
        <v>0.90904956798544789</v>
      </c>
      <c r="AD130" s="10">
        <f t="shared" si="151"/>
        <v>0</v>
      </c>
      <c r="AE130" s="10">
        <f t="shared" si="152"/>
        <v>0</v>
      </c>
      <c r="AF130" s="10">
        <f t="shared" si="153"/>
        <v>0</v>
      </c>
      <c r="AG130" s="10">
        <f t="shared" si="154"/>
        <v>0</v>
      </c>
      <c r="AH130" s="10">
        <f t="shared" si="155"/>
        <v>0</v>
      </c>
      <c r="AI130" s="10">
        <f t="shared" si="156"/>
        <v>0</v>
      </c>
      <c r="AK130" s="165">
        <v>1.14175</v>
      </c>
      <c r="AL130" s="173">
        <f t="shared" si="160"/>
        <v>222.62983250000002</v>
      </c>
      <c r="AM130" s="173">
        <f t="shared" si="161"/>
        <v>33.099332500000003</v>
      </c>
      <c r="AN130" s="173">
        <f t="shared" si="162"/>
        <v>171.25108250000002</v>
      </c>
      <c r="AO130" s="173">
        <f t="shared" si="163"/>
        <v>25.107082500000001</v>
      </c>
      <c r="AP130" s="173">
        <f t="shared" si="164"/>
        <v>154.12483250000002</v>
      </c>
      <c r="AQ130" s="173">
        <f t="shared" si="165"/>
        <v>22.823582500000001</v>
      </c>
      <c r="AS130" s="22" t="str">
        <f>+VLOOKUP(B130,'Country &amp; Code Abbreviation'!$B$3:$C$245,2,FALSE)</f>
        <v>LU</v>
      </c>
    </row>
    <row r="131" spans="2:45">
      <c r="B131" s="20" t="s">
        <v>200</v>
      </c>
      <c r="C131" s="20" t="s">
        <v>351</v>
      </c>
      <c r="E131" s="11" t="str">
        <f>+VLOOKUP($B131,'[3]INT Web'!$B$5:$W$247,'[3]INT Web'!Q$1,FALSE)</f>
        <v>MOP</v>
      </c>
      <c r="F131" s="22">
        <f>+VLOOKUP($B131,'[3]INT Web'!$B$5:$W$247,'[3]INT Web'!R$1,FALSE)</f>
        <v>869.99</v>
      </c>
      <c r="G131" s="22">
        <f>+VLOOKUP($B131,'[3]INT Web'!$B$5:$W$247,'[3]INT Web'!S$1,FALSE)</f>
        <v>124.99</v>
      </c>
      <c r="H131" s="22">
        <f>+VLOOKUP($B131,'[3]INT Web'!$B$5:$W$247,'[3]INT Web'!T$1,FALSE)</f>
        <v>629.99</v>
      </c>
      <c r="I131" s="22">
        <f>+VLOOKUP($B131,'[3]INT Web'!$B$5:$W$247,'[3]INT Web'!U$1,FALSE)</f>
        <v>89.99</v>
      </c>
      <c r="J131" s="22">
        <f>+VLOOKUP($B131,'[3]INT Web'!$B$5:$W$247,'[3]INT Web'!V$1,FALSE)</f>
        <v>549.99</v>
      </c>
      <c r="K131" s="22">
        <f>+VLOOKUP($B131,'[3]INT Web'!$B$5:$W$247,'[3]INT Web'!W$1,FALSE)</f>
        <v>80.989999999999995</v>
      </c>
      <c r="L131" s="12">
        <f t="shared" si="145"/>
        <v>6.9604768381470521</v>
      </c>
      <c r="M131" s="12">
        <f t="shared" si="146"/>
        <v>1.388932103567063</v>
      </c>
      <c r="N131" s="12">
        <f t="shared" si="147"/>
        <v>7.0006667407489722</v>
      </c>
      <c r="O131" s="12">
        <f t="shared" si="148"/>
        <v>6.7908383751080388</v>
      </c>
      <c r="P131" s="12">
        <f t="shared" si="149"/>
        <v>0.89998888765418383</v>
      </c>
      <c r="Q131" s="140" t="str">
        <f t="shared" si="157"/>
        <v>MOP</v>
      </c>
      <c r="R131" s="104">
        <f>+VLOOKUP($B131,'Country-Level Tactics'!$B$5:$AL$248,'Country-Level Tactics'!AH$1,FALSE)</f>
        <v>869.99</v>
      </c>
      <c r="S131" s="104">
        <f>+VLOOKUP($B131,'Country-Level Tactics'!$B$5:$AL$248,'Country-Level Tactics'!X$1,FALSE)</f>
        <v>124.99</v>
      </c>
      <c r="T131" s="104">
        <f>+VLOOKUP($B131,'Country-Level Tactics'!$B$5:$AL$248,'Country-Level Tactics'!AC$1,FALSE)</f>
        <v>629.99</v>
      </c>
      <c r="U131" s="104">
        <f>+VLOOKUP($B131,'Country-Level Tactics'!$B$5:$AL$248,'Country-Level Tactics'!T$1,FALSE)</f>
        <v>89.99</v>
      </c>
      <c r="V131" s="104">
        <f t="shared" si="158"/>
        <v>549.99</v>
      </c>
      <c r="W131" s="104">
        <f t="shared" si="159"/>
        <v>80.989999999999995</v>
      </c>
      <c r="X131" s="12">
        <f t="shared" si="123"/>
        <v>6.9604768381470521</v>
      </c>
      <c r="Y131" s="12">
        <f t="shared" si="124"/>
        <v>1.388932103567063</v>
      </c>
      <c r="Z131" s="12">
        <f t="shared" si="125"/>
        <v>7.0006667407489722</v>
      </c>
      <c r="AA131" s="12">
        <f t="shared" si="126"/>
        <v>6.7908383751080388</v>
      </c>
      <c r="AB131" s="12">
        <f t="shared" si="127"/>
        <v>0.89998888765418383</v>
      </c>
      <c r="AD131" s="10">
        <f t="shared" si="151"/>
        <v>0</v>
      </c>
      <c r="AE131" s="10">
        <f t="shared" si="152"/>
        <v>0</v>
      </c>
      <c r="AF131" s="10">
        <f t="shared" si="153"/>
        <v>0</v>
      </c>
      <c r="AG131" s="10">
        <f t="shared" si="154"/>
        <v>0</v>
      </c>
      <c r="AH131" s="10">
        <f t="shared" si="155"/>
        <v>0</v>
      </c>
      <c r="AI131" s="10">
        <f t="shared" si="156"/>
        <v>0</v>
      </c>
      <c r="AK131" s="165">
        <v>0.12379148600000001</v>
      </c>
      <c r="AL131" s="173">
        <f t="shared" si="160"/>
        <v>107.69735490514</v>
      </c>
      <c r="AM131" s="173">
        <f t="shared" si="161"/>
        <v>15.47269783514</v>
      </c>
      <c r="AN131" s="173">
        <f t="shared" si="162"/>
        <v>77.987398265140001</v>
      </c>
      <c r="AO131" s="173">
        <f t="shared" si="163"/>
        <v>11.13999582514</v>
      </c>
      <c r="AP131" s="173">
        <f t="shared" si="164"/>
        <v>68.084079385140001</v>
      </c>
      <c r="AQ131" s="173">
        <f t="shared" si="165"/>
        <v>10.02587245114</v>
      </c>
      <c r="AS131" s="22" t="str">
        <f>+VLOOKUP(B131,'Country &amp; Code Abbreviation'!$B$3:$C$245,2,FALSE)</f>
        <v>MO</v>
      </c>
    </row>
    <row r="132" spans="2:45">
      <c r="B132" s="20" t="s">
        <v>201</v>
      </c>
      <c r="C132" s="20" t="s">
        <v>100</v>
      </c>
      <c r="E132" s="11" t="str">
        <f>+VLOOKUP($B132,'[3]INT Web'!$B$5:$W$247,'[3]INT Web'!Q$1,FALSE)</f>
        <v>MKD</v>
      </c>
      <c r="F132" s="22">
        <f>+VLOOKUP($B132,'[3]INT Web'!$B$5:$W$247,'[3]INT Web'!R$1,FALSE)</f>
        <v>5499.99</v>
      </c>
      <c r="G132" s="22">
        <f>+VLOOKUP($B132,'[3]INT Web'!$B$5:$W$247,'[3]INT Web'!S$1,FALSE)</f>
        <v>909.99</v>
      </c>
      <c r="H132" s="22">
        <f>+VLOOKUP($B132,'[3]INT Web'!$B$5:$W$247,'[3]INT Web'!T$1,FALSE)</f>
        <v>3899.99</v>
      </c>
      <c r="I132" s="22">
        <f>+VLOOKUP($B132,'[3]INT Web'!$B$5:$W$247,'[3]INT Web'!U$1,FALSE)</f>
        <v>649.99</v>
      </c>
      <c r="J132" s="22">
        <f>+VLOOKUP($B132,'[3]INT Web'!$B$5:$W$247,'[3]INT Web'!V$1,FALSE)</f>
        <v>3509.99</v>
      </c>
      <c r="K132" s="22">
        <f>+VLOOKUP($B132,'[3]INT Web'!$B$5:$W$247,'[3]INT Web'!W$1,FALSE)</f>
        <v>584.99</v>
      </c>
      <c r="L132" s="12">
        <f t="shared" si="145"/>
        <v>6.044011472653545</v>
      </c>
      <c r="M132" s="12">
        <f t="shared" si="146"/>
        <v>1.4000061539408299</v>
      </c>
      <c r="N132" s="12">
        <f t="shared" si="147"/>
        <v>6.0000769242603731</v>
      </c>
      <c r="O132" s="12">
        <f t="shared" si="148"/>
        <v>6.0000854715465213</v>
      </c>
      <c r="P132" s="12">
        <f t="shared" si="149"/>
        <v>0.89999846151479257</v>
      </c>
      <c r="Q132" s="140" t="str">
        <f t="shared" si="157"/>
        <v>MKD</v>
      </c>
      <c r="R132" s="104">
        <f>+VLOOKUP($B132,'Country-Level Tactics'!$B$5:$AL$248,'Country-Level Tactics'!AH$1,FALSE)</f>
        <v>5499.99</v>
      </c>
      <c r="S132" s="104">
        <f>+VLOOKUP($B132,'Country-Level Tactics'!$B$5:$AL$248,'Country-Level Tactics'!X$1,FALSE)</f>
        <v>909.99</v>
      </c>
      <c r="T132" s="104">
        <f>+VLOOKUP($B132,'Country-Level Tactics'!$B$5:$AL$248,'Country-Level Tactics'!AC$1,FALSE)</f>
        <v>3899.99</v>
      </c>
      <c r="U132" s="104">
        <f>+VLOOKUP($B132,'Country-Level Tactics'!$B$5:$AL$248,'Country-Level Tactics'!T$1,FALSE)</f>
        <v>649.99</v>
      </c>
      <c r="V132" s="104">
        <f t="shared" si="158"/>
        <v>3509.99</v>
      </c>
      <c r="W132" s="104">
        <f t="shared" si="159"/>
        <v>584.99</v>
      </c>
      <c r="X132" s="12">
        <f t="shared" si="123"/>
        <v>6.044011472653545</v>
      </c>
      <c r="Y132" s="12">
        <f t="shared" si="124"/>
        <v>1.4000061539408299</v>
      </c>
      <c r="Z132" s="12">
        <f t="shared" si="125"/>
        <v>6.0000769242603731</v>
      </c>
      <c r="AA132" s="12">
        <f t="shared" si="126"/>
        <v>6.0000854715465213</v>
      </c>
      <c r="AB132" s="12">
        <f t="shared" si="127"/>
        <v>0.89999846151479257</v>
      </c>
      <c r="AD132" s="10">
        <f t="shared" si="151"/>
        <v>0</v>
      </c>
      <c r="AE132" s="10">
        <f t="shared" si="152"/>
        <v>0</v>
      </c>
      <c r="AF132" s="10">
        <f t="shared" si="153"/>
        <v>0</v>
      </c>
      <c r="AG132" s="10">
        <f t="shared" si="154"/>
        <v>0</v>
      </c>
      <c r="AH132" s="10">
        <f t="shared" si="155"/>
        <v>0</v>
      </c>
      <c r="AI132" s="10">
        <f t="shared" si="156"/>
        <v>0</v>
      </c>
      <c r="AK132" s="165">
        <v>1.8551155999999999E-2</v>
      </c>
      <c r="AL132" s="173">
        <f t="shared" si="160"/>
        <v>102.03117248843999</v>
      </c>
      <c r="AM132" s="173">
        <f t="shared" si="161"/>
        <v>16.881366448439998</v>
      </c>
      <c r="AN132" s="173">
        <f t="shared" si="162"/>
        <v>72.34932288844</v>
      </c>
      <c r="AO132" s="173">
        <f t="shared" si="163"/>
        <v>12.05806588844</v>
      </c>
      <c r="AP132" s="173">
        <f t="shared" si="164"/>
        <v>65.114372048439989</v>
      </c>
      <c r="AQ132" s="173">
        <f t="shared" si="165"/>
        <v>10.85224074844</v>
      </c>
      <c r="AS132" s="22" t="str">
        <f>+VLOOKUP(B132,'Country &amp; Code Abbreviation'!$B$3:$C$245,2,FALSE)</f>
        <v>MK</v>
      </c>
    </row>
    <row r="133" spans="2:45">
      <c r="B133" s="20" t="s">
        <v>202</v>
      </c>
      <c r="C133" s="20" t="s">
        <v>270</v>
      </c>
      <c r="E133" s="11" t="str">
        <f>+VLOOKUP($B133,'[3]INT Web'!$B$5:$W$247,'[3]INT Web'!Q$1,FALSE)</f>
        <v>USD</v>
      </c>
      <c r="F133" s="22">
        <f>+VLOOKUP($B133,'[3]INT Web'!$B$5:$W$247,'[3]INT Web'!R$1,FALSE)</f>
        <v>71.989999999999995</v>
      </c>
      <c r="G133" s="22">
        <f>+VLOOKUP($B133,'[3]INT Web'!$B$5:$W$247,'[3]INT Web'!S$1,FALSE)</f>
        <v>11.99</v>
      </c>
      <c r="H133" s="22">
        <f>+VLOOKUP($B133,'[3]INT Web'!$B$5:$W$247,'[3]INT Web'!T$1,FALSE)</f>
        <v>53.99</v>
      </c>
      <c r="I133" s="22">
        <f>+VLOOKUP($B133,'[3]INT Web'!$B$5:$W$247,'[3]INT Web'!U$1,FALSE)</f>
        <v>8.99</v>
      </c>
      <c r="J133" s="22">
        <f>+VLOOKUP($B133,'[3]INT Web'!$B$5:$W$247,'[3]INT Web'!V$1,FALSE)</f>
        <v>47.99</v>
      </c>
      <c r="K133" s="22">
        <f>+VLOOKUP($B133,'[3]INT Web'!$B$5:$W$247,'[3]INT Web'!W$1,FALSE)</f>
        <v>7.99</v>
      </c>
      <c r="L133" s="12">
        <f t="shared" si="145"/>
        <v>6.0041701417848206</v>
      </c>
      <c r="M133" s="12">
        <f t="shared" si="146"/>
        <v>1.3337041156840934</v>
      </c>
      <c r="N133" s="12">
        <f t="shared" si="147"/>
        <v>6.0055617352614012</v>
      </c>
      <c r="O133" s="12">
        <f t="shared" si="148"/>
        <v>6.0062578222778473</v>
      </c>
      <c r="P133" s="12">
        <f t="shared" si="149"/>
        <v>0.88876529477196886</v>
      </c>
      <c r="Q133" s="140" t="str">
        <f t="shared" si="157"/>
        <v>USD</v>
      </c>
      <c r="R133" s="104">
        <f>+VLOOKUP($B133,'Country-Level Tactics'!$B$5:$AL$248,'Country-Level Tactics'!AH$1,FALSE)</f>
        <v>71.989999999999995</v>
      </c>
      <c r="S133" s="104">
        <f>+VLOOKUP($B133,'Country-Level Tactics'!$B$5:$AL$248,'Country-Level Tactics'!X$1,FALSE)</f>
        <v>11.99</v>
      </c>
      <c r="T133" s="104">
        <f>+VLOOKUP($B133,'Country-Level Tactics'!$B$5:$AL$248,'Country-Level Tactics'!AC$1,FALSE)</f>
        <v>53.99</v>
      </c>
      <c r="U133" s="104">
        <f>+VLOOKUP($B133,'Country-Level Tactics'!$B$5:$AL$248,'Country-Level Tactics'!T$1,FALSE)</f>
        <v>8.99</v>
      </c>
      <c r="V133" s="104">
        <f t="shared" si="158"/>
        <v>47.99</v>
      </c>
      <c r="W133" s="104">
        <f t="shared" si="159"/>
        <v>7.99</v>
      </c>
      <c r="X133" s="12">
        <f t="shared" ref="X133:X166" si="166">+R133/S133</f>
        <v>6.0041701417848206</v>
      </c>
      <c r="Y133" s="12">
        <f t="shared" ref="Y133:Y166" si="167">+S133/U133</f>
        <v>1.3337041156840934</v>
      </c>
      <c r="Z133" s="12">
        <f t="shared" ref="Z133:Z166" si="168">+T133/U133</f>
        <v>6.0055617352614012</v>
      </c>
      <c r="AA133" s="12">
        <f t="shared" ref="AA133:AA166" si="169">+V133/W133</f>
        <v>6.0062578222778473</v>
      </c>
      <c r="AB133" s="12">
        <f t="shared" ref="AB133:AB166" si="170">+W133/U133</f>
        <v>0.88876529477196886</v>
      </c>
      <c r="AD133" s="10">
        <f t="shared" si="151"/>
        <v>0</v>
      </c>
      <c r="AE133" s="10">
        <f t="shared" si="152"/>
        <v>0</v>
      </c>
      <c r="AF133" s="10">
        <f t="shared" si="153"/>
        <v>0</v>
      </c>
      <c r="AG133" s="10">
        <f t="shared" si="154"/>
        <v>0</v>
      </c>
      <c r="AH133" s="10">
        <f t="shared" si="155"/>
        <v>0</v>
      </c>
      <c r="AI133" s="10">
        <f t="shared" si="156"/>
        <v>0</v>
      </c>
      <c r="AK133" s="165">
        <v>1</v>
      </c>
      <c r="AL133" s="173">
        <f t="shared" si="160"/>
        <v>71.989999999999995</v>
      </c>
      <c r="AM133" s="173">
        <f t="shared" si="161"/>
        <v>11.99</v>
      </c>
      <c r="AN133" s="173">
        <f t="shared" si="162"/>
        <v>53.99</v>
      </c>
      <c r="AO133" s="173">
        <f t="shared" si="163"/>
        <v>8.99</v>
      </c>
      <c r="AP133" s="173">
        <f t="shared" si="164"/>
        <v>47.99</v>
      </c>
      <c r="AQ133" s="173">
        <f t="shared" si="165"/>
        <v>7.99</v>
      </c>
      <c r="AS133" s="22" t="str">
        <f>+VLOOKUP(B133,'Country &amp; Code Abbreviation'!$B$3:$C$245,2,FALSE)</f>
        <v>MG</v>
      </c>
    </row>
    <row r="134" spans="2:45">
      <c r="B134" s="20" t="s">
        <v>203</v>
      </c>
      <c r="C134" s="20" t="s">
        <v>270</v>
      </c>
      <c r="E134" s="11" t="str">
        <f>+VLOOKUP($B134,'[3]INT Web'!$B$5:$W$247,'[3]INT Web'!Q$1,FALSE)</f>
        <v>MWK</v>
      </c>
      <c r="F134" s="22">
        <f>+VLOOKUP($B134,'[3]INT Web'!$B$5:$W$247,'[3]INT Web'!R$1,FALSE)</f>
        <v>59129.99</v>
      </c>
      <c r="G134" s="22">
        <f>+VLOOKUP($B134,'[3]INT Web'!$B$5:$W$247,'[3]INT Web'!S$1,FALSE)</f>
        <v>9854.99</v>
      </c>
      <c r="H134" s="22">
        <f>+VLOOKUP($B134,'[3]INT Web'!$B$5:$W$247,'[3]INT Web'!T$1,FALSE)</f>
        <v>43799.99</v>
      </c>
      <c r="I134" s="22">
        <f>+VLOOKUP($B134,'[3]INT Web'!$B$5:$W$247,'[3]INT Web'!U$1,FALSE)</f>
        <v>7299.99</v>
      </c>
      <c r="J134" s="22">
        <f>+VLOOKUP($B134,'[3]INT Web'!$B$5:$W$247,'[3]INT Web'!V$1,FALSE)</f>
        <v>39419.99</v>
      </c>
      <c r="K134" s="22">
        <f>+VLOOKUP($B134,'[3]INT Web'!$B$5:$W$247,'[3]INT Web'!W$1,FALSE)</f>
        <v>6569.99</v>
      </c>
      <c r="L134" s="12">
        <f t="shared" si="145"/>
        <v>6.0000050735718657</v>
      </c>
      <c r="M134" s="12">
        <f t="shared" si="146"/>
        <v>1.3500004794527116</v>
      </c>
      <c r="N134" s="12">
        <f t="shared" si="147"/>
        <v>6.0000068493244507</v>
      </c>
      <c r="O134" s="12">
        <f t="shared" si="148"/>
        <v>6.0000076103616591</v>
      </c>
      <c r="P134" s="12">
        <f t="shared" si="149"/>
        <v>0.89999986301351098</v>
      </c>
      <c r="Q134" s="140" t="str">
        <f t="shared" si="157"/>
        <v>MWK</v>
      </c>
      <c r="R134" s="104">
        <f>+VLOOKUP($B134,'Country-Level Tactics'!$B$5:$AL$248,'Country-Level Tactics'!AH$1,FALSE)</f>
        <v>59129.99</v>
      </c>
      <c r="S134" s="104">
        <f>+VLOOKUP($B134,'Country-Level Tactics'!$B$5:$AL$248,'Country-Level Tactics'!X$1,FALSE)</f>
        <v>9854.99</v>
      </c>
      <c r="T134" s="104">
        <f>+VLOOKUP($B134,'Country-Level Tactics'!$B$5:$AL$248,'Country-Level Tactics'!AC$1,FALSE)</f>
        <v>43799.99</v>
      </c>
      <c r="U134" s="104">
        <f>+VLOOKUP($B134,'Country-Level Tactics'!$B$5:$AL$248,'Country-Level Tactics'!T$1,FALSE)</f>
        <v>7299.99</v>
      </c>
      <c r="V134" s="104">
        <f t="shared" si="158"/>
        <v>39419.99</v>
      </c>
      <c r="W134" s="104">
        <f t="shared" si="159"/>
        <v>6569.99</v>
      </c>
      <c r="X134" s="12">
        <f t="shared" si="166"/>
        <v>6.0000050735718657</v>
      </c>
      <c r="Y134" s="12">
        <f t="shared" si="167"/>
        <v>1.3500004794527116</v>
      </c>
      <c r="Z134" s="12">
        <f t="shared" si="168"/>
        <v>6.0000068493244507</v>
      </c>
      <c r="AA134" s="12">
        <f t="shared" si="169"/>
        <v>6.0000076103616591</v>
      </c>
      <c r="AB134" s="12">
        <f t="shared" si="170"/>
        <v>0.89999986301351098</v>
      </c>
      <c r="AD134" s="10">
        <f t="shared" si="151"/>
        <v>0</v>
      </c>
      <c r="AE134" s="10">
        <f t="shared" si="152"/>
        <v>0</v>
      </c>
      <c r="AF134" s="10">
        <f t="shared" si="153"/>
        <v>0</v>
      </c>
      <c r="AG134" s="10">
        <f t="shared" si="154"/>
        <v>0</v>
      </c>
      <c r="AH134" s="10">
        <f t="shared" si="155"/>
        <v>0</v>
      </c>
      <c r="AI134" s="10">
        <f t="shared" si="156"/>
        <v>0</v>
      </c>
      <c r="AK134" s="165">
        <v>5.7803466999999998E-4</v>
      </c>
      <c r="AL134" s="173">
        <f t="shared" si="160"/>
        <v>34.179184256753295</v>
      </c>
      <c r="AM134" s="173">
        <f t="shared" si="161"/>
        <v>5.6965258925033</v>
      </c>
      <c r="AN134" s="173">
        <f t="shared" si="162"/>
        <v>25.317912765653297</v>
      </c>
      <c r="AO134" s="173">
        <f t="shared" si="163"/>
        <v>4.2196473106532997</v>
      </c>
      <c r="AP134" s="173">
        <f t="shared" si="164"/>
        <v>22.786120911053299</v>
      </c>
      <c r="AQ134" s="173">
        <f t="shared" si="165"/>
        <v>3.7976820015532997</v>
      </c>
      <c r="AS134" s="22" t="str">
        <f>+VLOOKUP(B134,'Country &amp; Code Abbreviation'!$B$3:$C$245,2,FALSE)</f>
        <v>MW</v>
      </c>
    </row>
    <row r="135" spans="2:45">
      <c r="B135" s="20" t="s">
        <v>204</v>
      </c>
      <c r="C135" s="20" t="s">
        <v>182</v>
      </c>
      <c r="E135" s="11" t="str">
        <f>+VLOOKUP($B135,'[3]INT Web'!$B$5:$W$247,'[3]INT Web'!Q$1,FALSE)</f>
        <v>MYR</v>
      </c>
      <c r="F135" s="22">
        <f>+VLOOKUP($B135,'[3]INT Web'!$B$5:$W$247,'[3]INT Web'!R$1,FALSE)</f>
        <v>389.99</v>
      </c>
      <c r="G135" s="22">
        <f>+VLOOKUP($B135,'[3]INT Web'!$B$5:$W$247,'[3]INT Web'!S$1,FALSE)</f>
        <v>64.989999999999995</v>
      </c>
      <c r="H135" s="22">
        <f>+VLOOKUP($B135,'[3]INT Web'!$B$5:$W$247,'[3]INT Web'!T$1,FALSE)</f>
        <v>319.99</v>
      </c>
      <c r="I135" s="22">
        <f>+VLOOKUP($B135,'[3]INT Web'!$B$5:$W$247,'[3]INT Web'!U$1,FALSE)</f>
        <v>45.99</v>
      </c>
      <c r="J135" s="22">
        <f>+VLOOKUP($B135,'[3]INT Web'!$B$5:$W$247,'[3]INT Web'!V$1,FALSE)</f>
        <v>249.99</v>
      </c>
      <c r="K135" s="22">
        <f>+VLOOKUP($B135,'[3]INT Web'!$B$5:$W$247,'[3]INT Web'!W$1,FALSE)</f>
        <v>39.99</v>
      </c>
      <c r="L135" s="12">
        <f t="shared" si="145"/>
        <v>6.0007693491306364</v>
      </c>
      <c r="M135" s="12">
        <f t="shared" si="146"/>
        <v>1.4131332898456184</v>
      </c>
      <c r="N135" s="12">
        <f t="shared" si="147"/>
        <v>6.9578169167210264</v>
      </c>
      <c r="O135" s="12">
        <f t="shared" si="148"/>
        <v>6.2513128282070518</v>
      </c>
      <c r="P135" s="12">
        <f t="shared" si="149"/>
        <v>0.86953685583822571</v>
      </c>
      <c r="Q135" s="140" t="str">
        <f t="shared" si="157"/>
        <v>MYR</v>
      </c>
      <c r="R135" s="104">
        <f>+VLOOKUP($B135,'Country-Level Tactics'!$B$5:$AL$248,'Country-Level Tactics'!AH$1,FALSE)</f>
        <v>389.99</v>
      </c>
      <c r="S135" s="104">
        <f>+VLOOKUP($B135,'Country-Level Tactics'!$B$5:$AL$248,'Country-Level Tactics'!X$1,FALSE)</f>
        <v>64.989999999999995</v>
      </c>
      <c r="T135" s="104">
        <f>+VLOOKUP($B135,'Country-Level Tactics'!$B$5:$AL$248,'Country-Level Tactics'!AC$1,FALSE)</f>
        <v>319.99</v>
      </c>
      <c r="U135" s="104">
        <f>+VLOOKUP($B135,'Country-Level Tactics'!$B$5:$AL$248,'Country-Level Tactics'!T$1,FALSE)</f>
        <v>45.99</v>
      </c>
      <c r="V135" s="104">
        <f t="shared" si="158"/>
        <v>249.99</v>
      </c>
      <c r="W135" s="104">
        <f t="shared" si="159"/>
        <v>39.99</v>
      </c>
      <c r="X135" s="12">
        <f t="shared" si="166"/>
        <v>6.0007693491306364</v>
      </c>
      <c r="Y135" s="12">
        <f t="shared" si="167"/>
        <v>1.4131332898456184</v>
      </c>
      <c r="Z135" s="12">
        <f t="shared" si="168"/>
        <v>6.9578169167210264</v>
      </c>
      <c r="AA135" s="12">
        <f t="shared" si="169"/>
        <v>6.2513128282070518</v>
      </c>
      <c r="AB135" s="12">
        <f t="shared" si="170"/>
        <v>0.86953685583822571</v>
      </c>
      <c r="AD135" s="10">
        <f t="shared" si="151"/>
        <v>0</v>
      </c>
      <c r="AE135" s="10">
        <f t="shared" si="152"/>
        <v>0</v>
      </c>
      <c r="AF135" s="10">
        <f t="shared" si="153"/>
        <v>0</v>
      </c>
      <c r="AG135" s="10">
        <f t="shared" si="154"/>
        <v>0</v>
      </c>
      <c r="AH135" s="10">
        <f t="shared" si="155"/>
        <v>0</v>
      </c>
      <c r="AI135" s="10">
        <f t="shared" si="156"/>
        <v>0</v>
      </c>
      <c r="AK135" s="165">
        <v>0.24479803</v>
      </c>
      <c r="AL135" s="173">
        <f t="shared" si="160"/>
        <v>95.468783719699999</v>
      </c>
      <c r="AM135" s="173">
        <f t="shared" si="161"/>
        <v>15.909423969699999</v>
      </c>
      <c r="AN135" s="173">
        <f t="shared" si="162"/>
        <v>78.332921619700002</v>
      </c>
      <c r="AO135" s="173">
        <f t="shared" si="163"/>
        <v>11.2582613997</v>
      </c>
      <c r="AP135" s="173">
        <f t="shared" si="164"/>
        <v>61.197059519700005</v>
      </c>
      <c r="AQ135" s="173">
        <f t="shared" si="165"/>
        <v>9.7894732196999996</v>
      </c>
      <c r="AS135" s="22" t="str">
        <f>+VLOOKUP(B135,'Country &amp; Code Abbreviation'!$B$3:$C$245,2,FALSE)</f>
        <v>MY</v>
      </c>
    </row>
    <row r="136" spans="2:45">
      <c r="B136" s="20" t="s">
        <v>205</v>
      </c>
      <c r="C136" s="20" t="s">
        <v>182</v>
      </c>
      <c r="E136" s="11" t="str">
        <f>+VLOOKUP($B136,'[3]INT Web'!$B$5:$W$247,'[3]INT Web'!Q$1,FALSE)</f>
        <v>MVR</v>
      </c>
      <c r="F136" s="22">
        <f>+VLOOKUP($B136,'[3]INT Web'!$B$5:$W$247,'[3]INT Web'!R$1,FALSE)</f>
        <v>1091.99</v>
      </c>
      <c r="G136" s="22">
        <f>+VLOOKUP($B136,'[3]INT Web'!$B$5:$W$247,'[3]INT Web'!S$1,FALSE)</f>
        <v>181.99</v>
      </c>
      <c r="H136" s="22">
        <f>+VLOOKUP($B136,'[3]INT Web'!$B$5:$W$247,'[3]INT Web'!T$1,FALSE)</f>
        <v>809.99</v>
      </c>
      <c r="I136" s="22">
        <f>+VLOOKUP($B136,'[3]INT Web'!$B$5:$W$247,'[3]INT Web'!U$1,FALSE)</f>
        <v>134.99</v>
      </c>
      <c r="J136" s="22">
        <f>+VLOOKUP($B136,'[3]INT Web'!$B$5:$W$247,'[3]INT Web'!V$1,FALSE)</f>
        <v>725.99</v>
      </c>
      <c r="K136" s="22">
        <f>+VLOOKUP($B136,'[3]INT Web'!$B$5:$W$247,'[3]INT Web'!W$1,FALSE)</f>
        <v>120.99</v>
      </c>
      <c r="L136" s="12">
        <f t="shared" si="145"/>
        <v>6.00027474037035</v>
      </c>
      <c r="M136" s="12">
        <f t="shared" si="146"/>
        <v>1.3481739388102822</v>
      </c>
      <c r="N136" s="12">
        <f t="shared" si="147"/>
        <v>6.0003703978072442</v>
      </c>
      <c r="O136" s="12">
        <f t="shared" si="148"/>
        <v>6.0004132572939914</v>
      </c>
      <c r="P136" s="12">
        <f t="shared" si="149"/>
        <v>0.89628861397140525</v>
      </c>
      <c r="Q136" s="140" t="str">
        <f t="shared" si="157"/>
        <v>MVR</v>
      </c>
      <c r="R136" s="104">
        <f>+VLOOKUP($B136,'Country-Level Tactics'!$B$5:$AL$248,'Country-Level Tactics'!AH$1,FALSE)</f>
        <v>1091.99</v>
      </c>
      <c r="S136" s="104">
        <f>+VLOOKUP($B136,'Country-Level Tactics'!$B$5:$AL$248,'Country-Level Tactics'!X$1,FALSE)</f>
        <v>181.99</v>
      </c>
      <c r="T136" s="104">
        <f>+VLOOKUP($B136,'Country-Level Tactics'!$B$5:$AL$248,'Country-Level Tactics'!AC$1,FALSE)</f>
        <v>809.99</v>
      </c>
      <c r="U136" s="104">
        <f>+VLOOKUP($B136,'Country-Level Tactics'!$B$5:$AL$248,'Country-Level Tactics'!T$1,FALSE)</f>
        <v>134.99</v>
      </c>
      <c r="V136" s="104">
        <f t="shared" si="158"/>
        <v>725.99</v>
      </c>
      <c r="W136" s="104">
        <f t="shared" si="159"/>
        <v>120.99</v>
      </c>
      <c r="X136" s="12">
        <f t="shared" si="166"/>
        <v>6.00027474037035</v>
      </c>
      <c r="Y136" s="12">
        <f t="shared" si="167"/>
        <v>1.3481739388102822</v>
      </c>
      <c r="Z136" s="12">
        <f t="shared" si="168"/>
        <v>6.0003703978072442</v>
      </c>
      <c r="AA136" s="12">
        <f t="shared" si="169"/>
        <v>6.0004132572939914</v>
      </c>
      <c r="AB136" s="12">
        <f t="shared" si="170"/>
        <v>0.89628861397140525</v>
      </c>
      <c r="AD136" s="10">
        <f t="shared" si="151"/>
        <v>0</v>
      </c>
      <c r="AE136" s="10">
        <f t="shared" si="152"/>
        <v>0</v>
      </c>
      <c r="AF136" s="10">
        <f t="shared" si="153"/>
        <v>0</v>
      </c>
      <c r="AG136" s="10">
        <f t="shared" si="154"/>
        <v>0</v>
      </c>
      <c r="AH136" s="10">
        <f t="shared" si="155"/>
        <v>0</v>
      </c>
      <c r="AI136" s="10">
        <f t="shared" si="156"/>
        <v>0</v>
      </c>
      <c r="AK136" s="165">
        <v>6.4850844000000005E-2</v>
      </c>
      <c r="AL136" s="173">
        <f t="shared" si="160"/>
        <v>70.816473139560003</v>
      </c>
      <c r="AM136" s="173">
        <f t="shared" si="161"/>
        <v>11.802205099560002</v>
      </c>
      <c r="AN136" s="173">
        <f t="shared" si="162"/>
        <v>52.528535131560005</v>
      </c>
      <c r="AO136" s="173">
        <f t="shared" si="163"/>
        <v>8.7542154315600005</v>
      </c>
      <c r="AP136" s="173">
        <f t="shared" si="164"/>
        <v>47.081064235560007</v>
      </c>
      <c r="AQ136" s="173">
        <f t="shared" si="165"/>
        <v>7.8463036155600001</v>
      </c>
      <c r="AS136" s="22" t="str">
        <f>+VLOOKUP(B136,'Country &amp; Code Abbreviation'!$B$3:$C$245,2,FALSE)</f>
        <v>MV</v>
      </c>
    </row>
    <row r="137" spans="2:45">
      <c r="B137" s="20" t="s">
        <v>206</v>
      </c>
      <c r="C137" s="20" t="s">
        <v>270</v>
      </c>
      <c r="E137" s="11" t="str">
        <f>+VLOOKUP($B137,'[3]INT Web'!$B$5:$W$247,'[3]INT Web'!Q$1,FALSE)</f>
        <v>XOF</v>
      </c>
      <c r="F137" s="136">
        <f>+VLOOKUP($B137,'[3]INT Web'!$B$5:$W$247,'[3]INT Web'!R$1,FALSE)</f>
        <v>43740</v>
      </c>
      <c r="G137" s="136">
        <f>+VLOOKUP($B137,'[3]INT Web'!$B$5:$W$247,'[3]INT Web'!S$1,FALSE)</f>
        <v>7290</v>
      </c>
      <c r="H137" s="136">
        <f>+VLOOKUP($B137,'[3]INT Web'!$B$5:$W$247,'[3]INT Web'!T$1,FALSE)</f>
        <v>32400</v>
      </c>
      <c r="I137" s="136">
        <f>+VLOOKUP($B137,'[3]INT Web'!$B$5:$W$247,'[3]INT Web'!U$1,FALSE)</f>
        <v>5400</v>
      </c>
      <c r="J137" s="136">
        <f>+VLOOKUP($B137,'[3]INT Web'!$B$5:$W$247,'[3]INT Web'!V$1,FALSE)</f>
        <v>29160</v>
      </c>
      <c r="K137" s="136">
        <f>+VLOOKUP($B137,'[3]INT Web'!$B$5:$W$247,'[3]INT Web'!W$1,FALSE)</f>
        <v>4860</v>
      </c>
      <c r="L137" s="12">
        <f t="shared" si="145"/>
        <v>6</v>
      </c>
      <c r="M137" s="12">
        <f t="shared" si="146"/>
        <v>1.35</v>
      </c>
      <c r="N137" s="12">
        <f t="shared" si="147"/>
        <v>6</v>
      </c>
      <c r="O137" s="12">
        <f t="shared" si="148"/>
        <v>6</v>
      </c>
      <c r="P137" s="12">
        <f t="shared" si="149"/>
        <v>0.9</v>
      </c>
      <c r="Q137" s="143" t="str">
        <f t="shared" si="157"/>
        <v>XOF</v>
      </c>
      <c r="R137" s="137">
        <f>+VLOOKUP($B137,'Country-Level Tactics'!$B$5:$AL$248,'Country-Level Tactics'!AH$1,FALSE)</f>
        <v>43740</v>
      </c>
      <c r="S137" s="137">
        <f>+VLOOKUP($B137,'Country-Level Tactics'!$B$5:$AL$248,'Country-Level Tactics'!X$1,FALSE)</f>
        <v>7290</v>
      </c>
      <c r="T137" s="137">
        <f>+VLOOKUP($B137,'Country-Level Tactics'!$B$5:$AL$248,'Country-Level Tactics'!AC$1,FALSE)</f>
        <v>32400</v>
      </c>
      <c r="U137" s="137">
        <f>+VLOOKUP($B137,'Country-Level Tactics'!$B$5:$AL$248,'Country-Level Tactics'!T$1,FALSE)</f>
        <v>5400</v>
      </c>
      <c r="V137" s="104">
        <f t="shared" si="158"/>
        <v>29160</v>
      </c>
      <c r="W137" s="104">
        <f t="shared" si="159"/>
        <v>4860</v>
      </c>
      <c r="X137" s="12">
        <f t="shared" si="166"/>
        <v>6</v>
      </c>
      <c r="Y137" s="12">
        <f t="shared" si="167"/>
        <v>1.35</v>
      </c>
      <c r="Z137" s="12">
        <f t="shared" si="168"/>
        <v>6</v>
      </c>
      <c r="AA137" s="12">
        <f t="shared" si="169"/>
        <v>6</v>
      </c>
      <c r="AB137" s="12">
        <f t="shared" si="170"/>
        <v>0.9</v>
      </c>
      <c r="AD137" s="10">
        <f t="shared" si="151"/>
        <v>0</v>
      </c>
      <c r="AE137" s="10">
        <f t="shared" si="152"/>
        <v>0</v>
      </c>
      <c r="AF137" s="10">
        <f t="shared" si="153"/>
        <v>0</v>
      </c>
      <c r="AG137" s="10">
        <f t="shared" si="154"/>
        <v>0</v>
      </c>
      <c r="AH137" s="10">
        <f t="shared" si="155"/>
        <v>0</v>
      </c>
      <c r="AI137" s="10">
        <f t="shared" si="156"/>
        <v>0</v>
      </c>
      <c r="AK137" s="165">
        <v>1.7405866999999999E-3</v>
      </c>
      <c r="AL137" s="173">
        <f t="shared" si="160"/>
        <v>76.133262258000002</v>
      </c>
      <c r="AM137" s="173">
        <f t="shared" si="161"/>
        <v>12.688877043</v>
      </c>
      <c r="AN137" s="173">
        <f t="shared" si="162"/>
        <v>56.395009080000001</v>
      </c>
      <c r="AO137" s="173">
        <f t="shared" si="163"/>
        <v>9.3991681800000002</v>
      </c>
      <c r="AP137" s="173">
        <f t="shared" si="164"/>
        <v>50.755508171999999</v>
      </c>
      <c r="AQ137" s="173">
        <f t="shared" si="165"/>
        <v>8.4592513619999998</v>
      </c>
      <c r="AS137" s="22" t="str">
        <f>+VLOOKUP(B137,'Country &amp; Code Abbreviation'!$B$3:$C$245,2,FALSE)</f>
        <v>ML</v>
      </c>
    </row>
    <row r="138" spans="2:45">
      <c r="B138" s="20" t="s">
        <v>207</v>
      </c>
      <c r="C138" s="20" t="s">
        <v>100</v>
      </c>
      <c r="E138" s="11" t="str">
        <f>+VLOOKUP($B138,'[3]INT Web'!$B$5:$W$247,'[3]INT Web'!Q$1,FALSE)</f>
        <v>EUR</v>
      </c>
      <c r="F138" s="22">
        <f>+VLOOKUP($B138,'[3]INT Web'!$B$5:$W$247,'[3]INT Web'!R$1,FALSE)</f>
        <v>129.99</v>
      </c>
      <c r="G138" s="22">
        <f>+VLOOKUP($B138,'[3]INT Web'!$B$5:$W$247,'[3]INT Web'!S$1,FALSE)</f>
        <v>21.99</v>
      </c>
      <c r="H138" s="22">
        <f>+VLOOKUP($B138,'[3]INT Web'!$B$5:$W$247,'[3]INT Web'!T$1,FALSE)</f>
        <v>99.99</v>
      </c>
      <c r="I138" s="22">
        <f>+VLOOKUP($B138,'[3]INT Web'!$B$5:$W$247,'[3]INT Web'!U$1,FALSE)</f>
        <v>16.989999999999998</v>
      </c>
      <c r="J138" s="22">
        <f>+VLOOKUP($B138,'[3]INT Web'!$B$5:$W$247,'[3]INT Web'!V$1,FALSE)</f>
        <v>89.99</v>
      </c>
      <c r="K138" s="22">
        <f>+VLOOKUP($B138,'[3]INT Web'!$B$5:$W$247,'[3]INT Web'!W$1,FALSE)</f>
        <v>14.99</v>
      </c>
      <c r="L138" s="12">
        <f t="shared" si="145"/>
        <v>5.9113233287858122</v>
      </c>
      <c r="M138" s="12">
        <f t="shared" si="146"/>
        <v>1.2942907592701589</v>
      </c>
      <c r="N138" s="12">
        <f t="shared" si="147"/>
        <v>5.8852266038846386</v>
      </c>
      <c r="O138" s="12">
        <f t="shared" si="148"/>
        <v>6.0033355570380253</v>
      </c>
      <c r="P138" s="12">
        <f t="shared" si="149"/>
        <v>0.88228369629193648</v>
      </c>
      <c r="Q138" s="140" t="str">
        <f t="shared" si="157"/>
        <v>EUR</v>
      </c>
      <c r="R138" s="104">
        <f>+VLOOKUP($B138,'Country-Level Tactics'!$B$5:$AL$248,'Country-Level Tactics'!AH$1,FALSE)</f>
        <v>129.99</v>
      </c>
      <c r="S138" s="104">
        <f>+VLOOKUP($B138,'Country-Level Tactics'!$B$5:$AL$248,'Country-Level Tactics'!X$1,FALSE)</f>
        <v>21.99</v>
      </c>
      <c r="T138" s="104">
        <f>+VLOOKUP($B138,'Country-Level Tactics'!$B$5:$AL$248,'Country-Level Tactics'!AC$1,FALSE)</f>
        <v>99.99</v>
      </c>
      <c r="U138" s="104">
        <f>+VLOOKUP($B138,'Country-Level Tactics'!$B$5:$AL$248,'Country-Level Tactics'!T$1,FALSE)</f>
        <v>16.989999999999998</v>
      </c>
      <c r="V138" s="104">
        <f t="shared" si="158"/>
        <v>89.99</v>
      </c>
      <c r="W138" s="104">
        <f t="shared" si="159"/>
        <v>14.99</v>
      </c>
      <c r="X138" s="12">
        <f t="shared" si="166"/>
        <v>5.9113233287858122</v>
      </c>
      <c r="Y138" s="12">
        <f t="shared" si="167"/>
        <v>1.2942907592701589</v>
      </c>
      <c r="Z138" s="12">
        <f t="shared" si="168"/>
        <v>5.8852266038846386</v>
      </c>
      <c r="AA138" s="12">
        <f t="shared" si="169"/>
        <v>6.0033355570380253</v>
      </c>
      <c r="AB138" s="12">
        <f t="shared" si="170"/>
        <v>0.88228369629193648</v>
      </c>
      <c r="AD138" s="10">
        <f t="shared" si="151"/>
        <v>0</v>
      </c>
      <c r="AE138" s="10">
        <f t="shared" si="152"/>
        <v>0</v>
      </c>
      <c r="AF138" s="10">
        <f t="shared" si="153"/>
        <v>0</v>
      </c>
      <c r="AG138" s="10">
        <f t="shared" si="154"/>
        <v>0</v>
      </c>
      <c r="AH138" s="10">
        <f t="shared" si="155"/>
        <v>0</v>
      </c>
      <c r="AI138" s="10">
        <f t="shared" si="156"/>
        <v>0</v>
      </c>
      <c r="AK138" s="165">
        <v>1.14175</v>
      </c>
      <c r="AL138" s="173">
        <f t="shared" si="160"/>
        <v>148.41608250000002</v>
      </c>
      <c r="AM138" s="173">
        <f t="shared" si="161"/>
        <v>25.107082500000001</v>
      </c>
      <c r="AN138" s="173">
        <f t="shared" si="162"/>
        <v>114.1635825</v>
      </c>
      <c r="AO138" s="173">
        <f t="shared" si="163"/>
        <v>19.398332499999999</v>
      </c>
      <c r="AP138" s="173">
        <f t="shared" si="164"/>
        <v>102.7460825</v>
      </c>
      <c r="AQ138" s="173">
        <f t="shared" si="165"/>
        <v>17.114832500000002</v>
      </c>
      <c r="AS138" s="22" t="str">
        <f>+VLOOKUP(B138,'Country &amp; Code Abbreviation'!$B$3:$C$245,2,FALSE)</f>
        <v>MT</v>
      </c>
    </row>
    <row r="139" spans="2:45">
      <c r="B139" s="20" t="s">
        <v>208</v>
      </c>
      <c r="C139" s="20" t="s">
        <v>182</v>
      </c>
      <c r="E139" s="11" t="str">
        <f>+VLOOKUP($B139,'[3]INT Web'!$B$5:$W$247,'[3]INT Web'!Q$1,FALSE)</f>
        <v>USD</v>
      </c>
      <c r="F139" s="22">
        <f>+VLOOKUP($B139,'[3]INT Web'!$B$5:$W$247,'[3]INT Web'!R$1,FALSE)</f>
        <v>129.99</v>
      </c>
      <c r="G139" s="22">
        <f>+VLOOKUP($B139,'[3]INT Web'!$B$5:$W$247,'[3]INT Web'!S$1,FALSE)</f>
        <v>18.989999999999998</v>
      </c>
      <c r="H139" s="22">
        <f>+VLOOKUP($B139,'[3]INT Web'!$B$5:$W$247,'[3]INT Web'!T$1,FALSE)</f>
        <v>83.99</v>
      </c>
      <c r="I139" s="22">
        <f>+VLOOKUP($B139,'[3]INT Web'!$B$5:$W$247,'[3]INT Web'!U$1,FALSE)</f>
        <v>13.99</v>
      </c>
      <c r="J139" s="22">
        <f>+VLOOKUP($B139,'[3]INT Web'!$B$5:$W$247,'[3]INT Web'!V$1,FALSE)</f>
        <v>77.989999999999995</v>
      </c>
      <c r="K139" s="22">
        <f>+VLOOKUP($B139,'[3]INT Web'!$B$5:$W$247,'[3]INT Web'!W$1,FALSE)</f>
        <v>12.99</v>
      </c>
      <c r="L139" s="12">
        <f t="shared" si="145"/>
        <v>6.8451816745655618</v>
      </c>
      <c r="M139" s="12">
        <f t="shared" si="146"/>
        <v>1.3573981415296639</v>
      </c>
      <c r="N139" s="12">
        <f t="shared" si="147"/>
        <v>6.003573981415296</v>
      </c>
      <c r="O139" s="12">
        <f t="shared" si="148"/>
        <v>6.0038491147036179</v>
      </c>
      <c r="P139" s="12">
        <f t="shared" si="149"/>
        <v>0.9285203716940672</v>
      </c>
      <c r="Q139" s="140" t="str">
        <f t="shared" si="157"/>
        <v>USD</v>
      </c>
      <c r="R139" s="104">
        <f>+VLOOKUP($B139,'Country-Level Tactics'!$B$5:$AL$248,'Country-Level Tactics'!AH$1,FALSE)</f>
        <v>129.99</v>
      </c>
      <c r="S139" s="104">
        <f>+VLOOKUP($B139,'Country-Level Tactics'!$B$5:$AL$248,'Country-Level Tactics'!X$1,FALSE)</f>
        <v>18.989999999999998</v>
      </c>
      <c r="T139" s="104">
        <f>+VLOOKUP($B139,'Country-Level Tactics'!$B$5:$AL$248,'Country-Level Tactics'!AC$1,FALSE)</f>
        <v>83.99</v>
      </c>
      <c r="U139" s="104">
        <f>+VLOOKUP($B139,'Country-Level Tactics'!$B$5:$AL$248,'Country-Level Tactics'!T$1,FALSE)</f>
        <v>13.99</v>
      </c>
      <c r="V139" s="104">
        <f t="shared" si="158"/>
        <v>77.989999999999995</v>
      </c>
      <c r="W139" s="104">
        <f t="shared" si="159"/>
        <v>12.99</v>
      </c>
      <c r="X139" s="12">
        <f t="shared" si="166"/>
        <v>6.8451816745655618</v>
      </c>
      <c r="Y139" s="12">
        <f t="shared" si="167"/>
        <v>1.3573981415296639</v>
      </c>
      <c r="Z139" s="12">
        <f t="shared" si="168"/>
        <v>6.003573981415296</v>
      </c>
      <c r="AA139" s="12">
        <f t="shared" si="169"/>
        <v>6.0038491147036179</v>
      </c>
      <c r="AB139" s="12">
        <f t="shared" si="170"/>
        <v>0.9285203716940672</v>
      </c>
      <c r="AD139" s="10">
        <f t="shared" si="151"/>
        <v>0</v>
      </c>
      <c r="AE139" s="10">
        <f t="shared" si="152"/>
        <v>0</v>
      </c>
      <c r="AF139" s="10">
        <f t="shared" si="153"/>
        <v>0</v>
      </c>
      <c r="AG139" s="10">
        <f t="shared" si="154"/>
        <v>0</v>
      </c>
      <c r="AH139" s="10">
        <f t="shared" si="155"/>
        <v>0</v>
      </c>
      <c r="AI139" s="10">
        <f t="shared" si="156"/>
        <v>0</v>
      </c>
      <c r="AK139" s="165">
        <v>1</v>
      </c>
      <c r="AL139" s="173">
        <f t="shared" si="160"/>
        <v>129.99</v>
      </c>
      <c r="AM139" s="173">
        <f t="shared" si="161"/>
        <v>18.989999999999998</v>
      </c>
      <c r="AN139" s="173">
        <f t="shared" si="162"/>
        <v>83.99</v>
      </c>
      <c r="AO139" s="173">
        <f t="shared" si="163"/>
        <v>13.99</v>
      </c>
      <c r="AP139" s="173">
        <f t="shared" si="164"/>
        <v>77.989999999999995</v>
      </c>
      <c r="AQ139" s="173">
        <f t="shared" si="165"/>
        <v>12.99</v>
      </c>
      <c r="AS139" s="22" t="str">
        <f>+VLOOKUP(B139,'Country &amp; Code Abbreviation'!$B$3:$C$245,2,FALSE)</f>
        <v>MH</v>
      </c>
    </row>
    <row r="140" spans="2:45">
      <c r="B140" s="20" t="s">
        <v>209</v>
      </c>
      <c r="C140" s="21" t="s">
        <v>100</v>
      </c>
      <c r="E140" s="11" t="str">
        <f>+VLOOKUP($B140,'[3]INT Web'!$B$5:$W$247,'[3]INT Web'!Q$1,FALSE)</f>
        <v>EUR</v>
      </c>
      <c r="F140" s="22">
        <f>+VLOOKUP($B140,'[3]INT Web'!$B$5:$W$247,'[3]INT Web'!R$1,FALSE)</f>
        <v>89.99</v>
      </c>
      <c r="G140" s="22">
        <f>+VLOOKUP($B140,'[3]INT Web'!$B$5:$W$247,'[3]INT Web'!S$1,FALSE)</f>
        <v>14.99</v>
      </c>
      <c r="H140" s="22">
        <f>+VLOOKUP($B140,'[3]INT Web'!$B$5:$W$247,'[3]INT Web'!T$1,FALSE)</f>
        <v>64.989999999999995</v>
      </c>
      <c r="I140" s="22">
        <f>+VLOOKUP($B140,'[3]INT Web'!$B$5:$W$247,'[3]INT Web'!U$1,FALSE)</f>
        <v>10.99</v>
      </c>
      <c r="J140" s="22">
        <f>+VLOOKUP($B140,'[3]INT Web'!$B$5:$W$247,'[3]INT Web'!V$1,FALSE)</f>
        <v>59.99</v>
      </c>
      <c r="K140" s="22">
        <f>+VLOOKUP($B140,'[3]INT Web'!$B$5:$W$247,'[3]INT Web'!W$1,FALSE)</f>
        <v>9.99</v>
      </c>
      <c r="L140" s="12">
        <f t="shared" si="145"/>
        <v>6.0033355570380253</v>
      </c>
      <c r="M140" s="12">
        <f t="shared" si="146"/>
        <v>1.3639672429481347</v>
      </c>
      <c r="N140" s="12">
        <f t="shared" si="147"/>
        <v>5.9135577797998176</v>
      </c>
      <c r="O140" s="12">
        <f t="shared" si="148"/>
        <v>6.005005005005005</v>
      </c>
      <c r="P140" s="12">
        <f t="shared" si="149"/>
        <v>0.90900818926296634</v>
      </c>
      <c r="Q140" s="140" t="str">
        <f t="shared" si="157"/>
        <v>EUR</v>
      </c>
      <c r="R140" s="104">
        <f>+VLOOKUP($B140,'Country-Level Tactics'!$B$5:$AL$248,'Country-Level Tactics'!AH$1,FALSE)</f>
        <v>89.99</v>
      </c>
      <c r="S140" s="104">
        <f>+VLOOKUP($B140,'Country-Level Tactics'!$B$5:$AL$248,'Country-Level Tactics'!X$1,FALSE)</f>
        <v>14.99</v>
      </c>
      <c r="T140" s="104">
        <f>+VLOOKUP($B140,'Country-Level Tactics'!$B$5:$AL$248,'Country-Level Tactics'!AC$1,FALSE)</f>
        <v>64.989999999999995</v>
      </c>
      <c r="U140" s="104">
        <f>+VLOOKUP($B140,'Country-Level Tactics'!$B$5:$AL$248,'Country-Level Tactics'!T$1,FALSE)</f>
        <v>10.99</v>
      </c>
      <c r="V140" s="104">
        <f t="shared" si="158"/>
        <v>59.99</v>
      </c>
      <c r="W140" s="104">
        <f t="shared" si="159"/>
        <v>9.99</v>
      </c>
      <c r="X140" s="12">
        <f t="shared" si="166"/>
        <v>6.0033355570380253</v>
      </c>
      <c r="Y140" s="12">
        <f t="shared" si="167"/>
        <v>1.3639672429481347</v>
      </c>
      <c r="Z140" s="12">
        <f t="shared" si="168"/>
        <v>5.9135577797998176</v>
      </c>
      <c r="AA140" s="12">
        <f t="shared" si="169"/>
        <v>6.005005005005005</v>
      </c>
      <c r="AB140" s="12">
        <f t="shared" si="170"/>
        <v>0.90900818926296634</v>
      </c>
      <c r="AD140" s="10">
        <f t="shared" si="151"/>
        <v>0</v>
      </c>
      <c r="AE140" s="10">
        <f t="shared" si="152"/>
        <v>0</v>
      </c>
      <c r="AF140" s="10">
        <f t="shared" si="153"/>
        <v>0</v>
      </c>
      <c r="AG140" s="10">
        <f t="shared" si="154"/>
        <v>0</v>
      </c>
      <c r="AH140" s="10">
        <f t="shared" si="155"/>
        <v>0</v>
      </c>
      <c r="AI140" s="10">
        <f t="shared" si="156"/>
        <v>0</v>
      </c>
      <c r="AK140" s="165">
        <v>1.14175</v>
      </c>
      <c r="AL140" s="173">
        <f t="shared" si="160"/>
        <v>102.7460825</v>
      </c>
      <c r="AM140" s="173">
        <f t="shared" si="161"/>
        <v>17.114832500000002</v>
      </c>
      <c r="AN140" s="173">
        <f t="shared" si="162"/>
        <v>74.202332499999997</v>
      </c>
      <c r="AO140" s="173">
        <f t="shared" si="163"/>
        <v>12.5478325</v>
      </c>
      <c r="AP140" s="173">
        <f t="shared" si="164"/>
        <v>68.493582500000002</v>
      </c>
      <c r="AQ140" s="173">
        <f t="shared" si="165"/>
        <v>11.4060825</v>
      </c>
      <c r="AS140" s="22" t="str">
        <f>+VLOOKUP(B140,'Country &amp; Code Abbreviation'!$B$3:$C$245,2,FALSE)</f>
        <v>MQ</v>
      </c>
    </row>
    <row r="141" spans="2:45">
      <c r="B141" s="20" t="s">
        <v>210</v>
      </c>
      <c r="C141" s="20" t="s">
        <v>270</v>
      </c>
      <c r="E141" s="11" t="str">
        <f>+VLOOKUP($B141,'[3]INT Web'!$B$5:$W$247,'[3]INT Web'!Q$1,FALSE)</f>
        <v>USD</v>
      </c>
      <c r="F141" s="22">
        <f>+VLOOKUP($B141,'[3]INT Web'!$B$5:$W$247,'[3]INT Web'!R$1,FALSE)</f>
        <v>71.989999999999995</v>
      </c>
      <c r="G141" s="22">
        <f>+VLOOKUP($B141,'[3]INT Web'!$B$5:$W$247,'[3]INT Web'!S$1,FALSE)</f>
        <v>11.99</v>
      </c>
      <c r="H141" s="22">
        <f>+VLOOKUP($B141,'[3]INT Web'!$B$5:$W$247,'[3]INT Web'!T$1,FALSE)</f>
        <v>53.99</v>
      </c>
      <c r="I141" s="22">
        <f>+VLOOKUP($B141,'[3]INT Web'!$B$5:$W$247,'[3]INT Web'!U$1,FALSE)</f>
        <v>8.99</v>
      </c>
      <c r="J141" s="22">
        <f>+VLOOKUP($B141,'[3]INT Web'!$B$5:$W$247,'[3]INT Web'!V$1,FALSE)</f>
        <v>47.99</v>
      </c>
      <c r="K141" s="22">
        <f>+VLOOKUP($B141,'[3]INT Web'!$B$5:$W$247,'[3]INT Web'!W$1,FALSE)</f>
        <v>7.99</v>
      </c>
      <c r="L141" s="12">
        <f t="shared" si="145"/>
        <v>6.0041701417848206</v>
      </c>
      <c r="M141" s="12">
        <f t="shared" si="146"/>
        <v>1.3337041156840934</v>
      </c>
      <c r="N141" s="12">
        <f t="shared" si="147"/>
        <v>6.0055617352614012</v>
      </c>
      <c r="O141" s="12">
        <f t="shared" si="148"/>
        <v>6.0062578222778473</v>
      </c>
      <c r="P141" s="12">
        <f t="shared" si="149"/>
        <v>0.88876529477196886</v>
      </c>
      <c r="Q141" s="140" t="str">
        <f t="shared" si="157"/>
        <v>USD</v>
      </c>
      <c r="R141" s="104">
        <f>+VLOOKUP($B141,'Country-Level Tactics'!$B$5:$AL$248,'Country-Level Tactics'!AH$1,FALSE)</f>
        <v>71.989999999999995</v>
      </c>
      <c r="S141" s="104">
        <f>+VLOOKUP($B141,'Country-Level Tactics'!$B$5:$AL$248,'Country-Level Tactics'!X$1,FALSE)</f>
        <v>11.99</v>
      </c>
      <c r="T141" s="104">
        <f>+VLOOKUP($B141,'Country-Level Tactics'!$B$5:$AL$248,'Country-Level Tactics'!AC$1,FALSE)</f>
        <v>53.99</v>
      </c>
      <c r="U141" s="104">
        <f>+VLOOKUP($B141,'Country-Level Tactics'!$B$5:$AL$248,'Country-Level Tactics'!T$1,FALSE)</f>
        <v>8.99</v>
      </c>
      <c r="V141" s="104">
        <f t="shared" si="158"/>
        <v>47.99</v>
      </c>
      <c r="W141" s="104">
        <f t="shared" si="159"/>
        <v>7.99</v>
      </c>
      <c r="X141" s="12">
        <f t="shared" si="166"/>
        <v>6.0041701417848206</v>
      </c>
      <c r="Y141" s="12">
        <f t="shared" si="167"/>
        <v>1.3337041156840934</v>
      </c>
      <c r="Z141" s="12">
        <f t="shared" si="168"/>
        <v>6.0055617352614012</v>
      </c>
      <c r="AA141" s="12">
        <f t="shared" si="169"/>
        <v>6.0062578222778473</v>
      </c>
      <c r="AB141" s="12">
        <f t="shared" si="170"/>
        <v>0.88876529477196886</v>
      </c>
      <c r="AD141" s="10">
        <f t="shared" si="151"/>
        <v>0</v>
      </c>
      <c r="AE141" s="10">
        <f t="shared" si="152"/>
        <v>0</v>
      </c>
      <c r="AF141" s="10">
        <f t="shared" si="153"/>
        <v>0</v>
      </c>
      <c r="AG141" s="10">
        <f t="shared" si="154"/>
        <v>0</v>
      </c>
      <c r="AH141" s="10">
        <f t="shared" si="155"/>
        <v>0</v>
      </c>
      <c r="AI141" s="10">
        <f t="shared" si="156"/>
        <v>0</v>
      </c>
      <c r="AK141" s="165">
        <v>1</v>
      </c>
      <c r="AL141" s="173">
        <f t="shared" si="160"/>
        <v>71.989999999999995</v>
      </c>
      <c r="AM141" s="173">
        <f t="shared" si="161"/>
        <v>11.99</v>
      </c>
      <c r="AN141" s="173">
        <f t="shared" si="162"/>
        <v>53.99</v>
      </c>
      <c r="AO141" s="173">
        <f t="shared" si="163"/>
        <v>8.99</v>
      </c>
      <c r="AP141" s="173">
        <f t="shared" si="164"/>
        <v>47.99</v>
      </c>
      <c r="AQ141" s="173">
        <f t="shared" si="165"/>
        <v>7.99</v>
      </c>
      <c r="AS141" s="22" t="str">
        <f>+VLOOKUP(B141,'Country &amp; Code Abbreviation'!$B$3:$C$245,2,FALSE)</f>
        <v>MR</v>
      </c>
    </row>
    <row r="142" spans="2:45">
      <c r="B142" s="20" t="s">
        <v>211</v>
      </c>
      <c r="C142" s="20" t="s">
        <v>270</v>
      </c>
      <c r="E142" s="11" t="str">
        <f>+VLOOKUP($B142,'[3]INT Web'!$B$5:$W$247,'[3]INT Web'!Q$1,FALSE)</f>
        <v>MUR</v>
      </c>
      <c r="F142" s="22">
        <f>+VLOOKUP($B142,'[3]INT Web'!$B$5:$W$247,'[3]INT Web'!R$1,FALSE)</f>
        <v>2591.9899999999998</v>
      </c>
      <c r="G142" s="22">
        <f>+VLOOKUP($B142,'[3]INT Web'!$B$5:$W$247,'[3]INT Web'!S$1,FALSE)</f>
        <v>431.99</v>
      </c>
      <c r="H142" s="22">
        <f>+VLOOKUP($B142,'[3]INT Web'!$B$5:$W$247,'[3]INT Web'!T$1,FALSE)</f>
        <v>1919.99</v>
      </c>
      <c r="I142" s="22">
        <f>+VLOOKUP($B142,'[3]INT Web'!$B$5:$W$247,'[3]INT Web'!U$1,FALSE)</f>
        <v>319.99</v>
      </c>
      <c r="J142" s="22">
        <f>+VLOOKUP($B142,'[3]INT Web'!$B$5:$W$247,'[3]INT Web'!V$1,FALSE)</f>
        <v>1727.99</v>
      </c>
      <c r="K142" s="22">
        <f>+VLOOKUP($B142,'[3]INT Web'!$B$5:$W$247,'[3]INT Web'!W$1,FALSE)</f>
        <v>287.99</v>
      </c>
      <c r="L142" s="12">
        <f t="shared" si="145"/>
        <v>6.0001157434199861</v>
      </c>
      <c r="M142" s="12">
        <f t="shared" si="146"/>
        <v>1.3500109378418075</v>
      </c>
      <c r="N142" s="12">
        <f t="shared" si="147"/>
        <v>6.000156254882965</v>
      </c>
      <c r="O142" s="12">
        <f t="shared" si="148"/>
        <v>6.0001736171394837</v>
      </c>
      <c r="P142" s="12">
        <f t="shared" si="149"/>
        <v>0.8999968749023407</v>
      </c>
      <c r="Q142" s="140" t="str">
        <f t="shared" si="157"/>
        <v>MUR</v>
      </c>
      <c r="R142" s="104">
        <f>+VLOOKUP($B142,'Country-Level Tactics'!$B$5:$AL$248,'Country-Level Tactics'!AH$1,FALSE)</f>
        <v>2591.9899999999998</v>
      </c>
      <c r="S142" s="104">
        <f>+VLOOKUP($B142,'Country-Level Tactics'!$B$5:$AL$248,'Country-Level Tactics'!X$1,FALSE)</f>
        <v>431.99</v>
      </c>
      <c r="T142" s="104">
        <f>+VLOOKUP($B142,'Country-Level Tactics'!$B$5:$AL$248,'Country-Level Tactics'!AC$1,FALSE)</f>
        <v>1919.99</v>
      </c>
      <c r="U142" s="104">
        <f>+VLOOKUP($B142,'Country-Level Tactics'!$B$5:$AL$248,'Country-Level Tactics'!T$1,FALSE)</f>
        <v>319.99</v>
      </c>
      <c r="V142" s="104">
        <f t="shared" si="158"/>
        <v>1727.99</v>
      </c>
      <c r="W142" s="104">
        <f t="shared" si="159"/>
        <v>287.99</v>
      </c>
      <c r="X142" s="12">
        <f t="shared" si="166"/>
        <v>6.0001157434199861</v>
      </c>
      <c r="Y142" s="12">
        <f t="shared" si="167"/>
        <v>1.3500109378418075</v>
      </c>
      <c r="Z142" s="12">
        <f t="shared" si="168"/>
        <v>6.000156254882965</v>
      </c>
      <c r="AA142" s="12">
        <f t="shared" si="169"/>
        <v>6.0001736171394837</v>
      </c>
      <c r="AB142" s="12">
        <f t="shared" si="170"/>
        <v>0.8999968749023407</v>
      </c>
      <c r="AD142" s="10">
        <f t="shared" si="151"/>
        <v>0</v>
      </c>
      <c r="AE142" s="10">
        <f t="shared" si="152"/>
        <v>0</v>
      </c>
      <c r="AF142" s="10">
        <f t="shared" si="153"/>
        <v>0</v>
      </c>
      <c r="AG142" s="10">
        <f t="shared" si="154"/>
        <v>0</v>
      </c>
      <c r="AH142" s="10">
        <f t="shared" si="155"/>
        <v>0</v>
      </c>
      <c r="AI142" s="10">
        <f t="shared" si="156"/>
        <v>0</v>
      </c>
      <c r="AK142" s="165">
        <v>2.1244954E-2</v>
      </c>
      <c r="AL142" s="173">
        <f t="shared" si="160"/>
        <v>55.066708318459995</v>
      </c>
      <c r="AM142" s="173">
        <f t="shared" si="161"/>
        <v>9.1776076784599994</v>
      </c>
      <c r="AN142" s="173">
        <f t="shared" si="162"/>
        <v>40.790099230460001</v>
      </c>
      <c r="AO142" s="173">
        <f t="shared" si="163"/>
        <v>6.7981728304600004</v>
      </c>
      <c r="AP142" s="173">
        <f t="shared" si="164"/>
        <v>36.711068062460001</v>
      </c>
      <c r="AQ142" s="173">
        <f t="shared" si="165"/>
        <v>6.1183343024600001</v>
      </c>
      <c r="AS142" s="22" t="str">
        <f>+VLOOKUP(B142,'Country &amp; Code Abbreviation'!$B$3:$C$245,2,FALSE)</f>
        <v>MU</v>
      </c>
    </row>
    <row r="143" spans="2:45">
      <c r="B143" s="20" t="s">
        <v>212</v>
      </c>
      <c r="C143" s="21" t="s">
        <v>100</v>
      </c>
      <c r="E143" s="11" t="str">
        <f>+VLOOKUP($B143,'[3]INT Web'!$B$5:$W$247,'[3]INT Web'!Q$1,FALSE)</f>
        <v>EUR</v>
      </c>
      <c r="F143" s="22">
        <f>+VLOOKUP($B143,'[3]INT Web'!$B$5:$W$247,'[3]INT Web'!R$1,FALSE)</f>
        <v>77.989999999999995</v>
      </c>
      <c r="G143" s="22">
        <f>+VLOOKUP($B143,'[3]INT Web'!$B$5:$W$247,'[3]INT Web'!S$1,FALSE)</f>
        <v>12.99</v>
      </c>
      <c r="H143" s="22">
        <f>+VLOOKUP($B143,'[3]INT Web'!$B$5:$W$247,'[3]INT Web'!T$1,FALSE)</f>
        <v>59.99</v>
      </c>
      <c r="I143" s="22">
        <f>+VLOOKUP($B143,'[3]INT Web'!$B$5:$W$247,'[3]INT Web'!U$1,FALSE)</f>
        <v>9.99</v>
      </c>
      <c r="J143" s="22">
        <f>+VLOOKUP($B143,'[3]INT Web'!$B$5:$W$247,'[3]INT Web'!V$1,FALSE)</f>
        <v>53.99</v>
      </c>
      <c r="K143" s="22">
        <f>+VLOOKUP($B143,'[3]INT Web'!$B$5:$W$247,'[3]INT Web'!W$1,FALSE)</f>
        <v>8.99</v>
      </c>
      <c r="L143" s="12">
        <f t="shared" si="145"/>
        <v>6.0038491147036179</v>
      </c>
      <c r="M143" s="12">
        <f t="shared" si="146"/>
        <v>1.3003003003003002</v>
      </c>
      <c r="N143" s="12">
        <f t="shared" si="147"/>
        <v>6.005005005005005</v>
      </c>
      <c r="O143" s="12">
        <f t="shared" si="148"/>
        <v>6.0055617352614012</v>
      </c>
      <c r="P143" s="12">
        <f t="shared" si="149"/>
        <v>0.89989989989989994</v>
      </c>
      <c r="Q143" s="140" t="str">
        <f t="shared" si="157"/>
        <v>EUR</v>
      </c>
      <c r="R143" s="104">
        <f>+VLOOKUP($B143,'Country-Level Tactics'!$B$5:$AL$248,'Country-Level Tactics'!AH$1,FALSE)</f>
        <v>77.989999999999995</v>
      </c>
      <c r="S143" s="104">
        <f>+VLOOKUP($B143,'Country-Level Tactics'!$B$5:$AL$248,'Country-Level Tactics'!X$1,FALSE)</f>
        <v>12.99</v>
      </c>
      <c r="T143" s="104">
        <f>+VLOOKUP($B143,'Country-Level Tactics'!$B$5:$AL$248,'Country-Level Tactics'!AC$1,FALSE)</f>
        <v>59.99</v>
      </c>
      <c r="U143" s="104">
        <f>+VLOOKUP($B143,'Country-Level Tactics'!$B$5:$AL$248,'Country-Level Tactics'!T$1,FALSE)</f>
        <v>9.99</v>
      </c>
      <c r="V143" s="104">
        <f t="shared" si="158"/>
        <v>53.99</v>
      </c>
      <c r="W143" s="104">
        <f t="shared" si="159"/>
        <v>8.99</v>
      </c>
      <c r="X143" s="12">
        <f t="shared" si="166"/>
        <v>6.0038491147036179</v>
      </c>
      <c r="Y143" s="12">
        <f t="shared" si="167"/>
        <v>1.3003003003003002</v>
      </c>
      <c r="Z143" s="12">
        <f t="shared" si="168"/>
        <v>6.005005005005005</v>
      </c>
      <c r="AA143" s="12">
        <f t="shared" si="169"/>
        <v>6.0055617352614012</v>
      </c>
      <c r="AB143" s="12">
        <f t="shared" si="170"/>
        <v>0.89989989989989994</v>
      </c>
      <c r="AD143" s="10">
        <f t="shared" si="151"/>
        <v>0</v>
      </c>
      <c r="AE143" s="10">
        <f t="shared" si="152"/>
        <v>0</v>
      </c>
      <c r="AF143" s="10">
        <f t="shared" si="153"/>
        <v>0</v>
      </c>
      <c r="AG143" s="10">
        <f t="shared" si="154"/>
        <v>0</v>
      </c>
      <c r="AH143" s="10">
        <f t="shared" si="155"/>
        <v>0</v>
      </c>
      <c r="AI143" s="10">
        <f t="shared" si="156"/>
        <v>0</v>
      </c>
      <c r="AK143" s="165">
        <v>1.14175</v>
      </c>
      <c r="AL143" s="173">
        <f t="shared" si="160"/>
        <v>89.045082499999992</v>
      </c>
      <c r="AM143" s="173">
        <f t="shared" si="161"/>
        <v>14.8313325</v>
      </c>
      <c r="AN143" s="173">
        <f t="shared" si="162"/>
        <v>68.493582500000002</v>
      </c>
      <c r="AO143" s="173">
        <f t="shared" si="163"/>
        <v>11.4060825</v>
      </c>
      <c r="AP143" s="173">
        <f t="shared" si="164"/>
        <v>61.643082500000006</v>
      </c>
      <c r="AQ143" s="173">
        <f t="shared" si="165"/>
        <v>10.2643325</v>
      </c>
      <c r="AS143" s="22" t="str">
        <f>+VLOOKUP(B143,'Country &amp; Code Abbreviation'!$B$3:$C$245,2,FALSE)</f>
        <v>YT</v>
      </c>
    </row>
    <row r="144" spans="2:45">
      <c r="B144" s="199" t="s">
        <v>213</v>
      </c>
      <c r="C144" s="199" t="s">
        <v>96</v>
      </c>
      <c r="D144" s="6" t="s">
        <v>345</v>
      </c>
      <c r="E144" s="11" t="str">
        <f>+VLOOKUP($B144,'[3]INT Web'!$B$5:$W$247,'[3]INT Web'!Q$1,FALSE)</f>
        <v>MXN</v>
      </c>
      <c r="F144" s="22">
        <f>+VLOOKUP($B144,'[3]INT Web'!$B$5:$W$247,'[3]INT Web'!R$1,FALSE)</f>
        <v>1990</v>
      </c>
      <c r="G144" s="22">
        <f>+VLOOKUP($B144,'[3]INT Web'!$B$5:$W$247,'[3]INT Web'!S$1,FALSE)</f>
        <v>290</v>
      </c>
      <c r="H144" s="22">
        <f>+VLOOKUP($B144,'[3]INT Web'!$B$5:$W$247,'[3]INT Web'!T$1,FALSE)</f>
        <v>1470</v>
      </c>
      <c r="I144" s="22">
        <f>+VLOOKUP($B144,'[3]INT Web'!$B$5:$W$247,'[3]INT Web'!U$1,FALSE)</f>
        <v>210</v>
      </c>
      <c r="J144" s="22">
        <f>+VLOOKUP($B144,'[3]INT Web'!$B$5:$W$247,'[3]INT Web'!V$1,FALSE)</f>
        <v>1330</v>
      </c>
      <c r="K144" s="22">
        <f>+VLOOKUP($B144,'[3]INT Web'!$B$5:$W$247,'[3]INT Web'!W$1,FALSE)</f>
        <v>190</v>
      </c>
      <c r="L144" s="12">
        <f t="shared" si="145"/>
        <v>6.8620689655172411</v>
      </c>
      <c r="M144" s="12">
        <f t="shared" si="146"/>
        <v>1.3809523809523809</v>
      </c>
      <c r="N144" s="12">
        <f t="shared" si="147"/>
        <v>7</v>
      </c>
      <c r="O144" s="12">
        <f t="shared" si="148"/>
        <v>7</v>
      </c>
      <c r="P144" s="12">
        <f t="shared" si="149"/>
        <v>0.90476190476190477</v>
      </c>
      <c r="Q144" s="140" t="str">
        <f t="shared" si="157"/>
        <v>MXN</v>
      </c>
      <c r="R144" s="104">
        <f>+VLOOKUP($B144,'Country-Level Tactics'!$B$5:$AL$248,'Country-Level Tactics'!AH$1,FALSE)</f>
        <v>1990</v>
      </c>
      <c r="S144" s="104">
        <f>+VLOOKUP($B144,'Country-Level Tactics'!$B$5:$AL$248,'Country-Level Tactics'!X$1,FALSE)</f>
        <v>290</v>
      </c>
      <c r="T144" s="104">
        <f>+VLOOKUP($B144,'Country-Level Tactics'!$B$5:$AL$248,'Country-Level Tactics'!AC$1,FALSE)</f>
        <v>1470</v>
      </c>
      <c r="U144" s="104">
        <f>+VLOOKUP($B144,'Country-Level Tactics'!$B$5:$AL$248,'Country-Level Tactics'!T$1,FALSE)</f>
        <v>210</v>
      </c>
      <c r="V144" s="104">
        <f t="shared" si="158"/>
        <v>1330</v>
      </c>
      <c r="W144" s="104">
        <f t="shared" si="159"/>
        <v>190</v>
      </c>
      <c r="X144" s="12">
        <f t="shared" si="166"/>
        <v>6.8620689655172411</v>
      </c>
      <c r="Y144" s="12">
        <f t="shared" si="167"/>
        <v>1.3809523809523809</v>
      </c>
      <c r="Z144" s="12">
        <f t="shared" si="168"/>
        <v>7</v>
      </c>
      <c r="AA144" s="12">
        <f t="shared" si="169"/>
        <v>7</v>
      </c>
      <c r="AB144" s="12">
        <f t="shared" si="170"/>
        <v>0.90476190476190477</v>
      </c>
      <c r="AD144" s="10">
        <f t="shared" si="151"/>
        <v>0</v>
      </c>
      <c r="AE144" s="10">
        <f t="shared" si="152"/>
        <v>0</v>
      </c>
      <c r="AF144" s="10">
        <f t="shared" si="153"/>
        <v>0</v>
      </c>
      <c r="AG144" s="10">
        <f t="shared" si="154"/>
        <v>0</v>
      </c>
      <c r="AH144" s="10">
        <f t="shared" si="155"/>
        <v>0</v>
      </c>
      <c r="AI144" s="10">
        <f t="shared" si="156"/>
        <v>0</v>
      </c>
      <c r="AK144" s="165">
        <v>5.7286235999999997E-2</v>
      </c>
      <c r="AL144" s="173">
        <f t="shared" si="160"/>
        <v>113.99960963999999</v>
      </c>
      <c r="AM144" s="173">
        <f t="shared" si="161"/>
        <v>16.613008439999998</v>
      </c>
      <c r="AN144" s="173">
        <f t="shared" si="162"/>
        <v>84.210766919999998</v>
      </c>
      <c r="AO144" s="173">
        <f t="shared" si="163"/>
        <v>12.03010956</v>
      </c>
      <c r="AP144" s="173">
        <f t="shared" si="164"/>
        <v>76.190693879999998</v>
      </c>
      <c r="AQ144" s="173">
        <f t="shared" si="165"/>
        <v>10.884384839999999</v>
      </c>
      <c r="AS144" s="22" t="str">
        <f>+VLOOKUP(B144,'Country &amp; Code Abbreviation'!$B$3:$C$245,2,FALSE)</f>
        <v>MX</v>
      </c>
    </row>
    <row r="145" spans="2:49">
      <c r="B145" s="20" t="s">
        <v>214</v>
      </c>
      <c r="C145" s="20" t="s">
        <v>182</v>
      </c>
      <c r="E145" s="11" t="str">
        <f>+VLOOKUP($B145,'[3]INT Web'!$B$5:$W$247,'[3]INT Web'!Q$1,FALSE)</f>
        <v>USD</v>
      </c>
      <c r="F145" s="22">
        <f>+VLOOKUP($B145,'[3]INT Web'!$B$5:$W$247,'[3]INT Web'!R$1,FALSE)</f>
        <v>129.99</v>
      </c>
      <c r="G145" s="22">
        <f>+VLOOKUP($B145,'[3]INT Web'!$B$5:$W$247,'[3]INT Web'!S$1,FALSE)</f>
        <v>18.989999999999998</v>
      </c>
      <c r="H145" s="22">
        <f>+VLOOKUP($B145,'[3]INT Web'!$B$5:$W$247,'[3]INT Web'!T$1,FALSE)</f>
        <v>83.99</v>
      </c>
      <c r="I145" s="22">
        <f>+VLOOKUP($B145,'[3]INT Web'!$B$5:$W$247,'[3]INT Web'!U$1,FALSE)</f>
        <v>13.99</v>
      </c>
      <c r="J145" s="22">
        <f>+VLOOKUP($B145,'[3]INT Web'!$B$5:$W$247,'[3]INT Web'!V$1,FALSE)</f>
        <v>77.989999999999995</v>
      </c>
      <c r="K145" s="22">
        <f>+VLOOKUP($B145,'[3]INT Web'!$B$5:$W$247,'[3]INT Web'!W$1,FALSE)</f>
        <v>12.99</v>
      </c>
      <c r="L145" s="12">
        <f t="shared" si="145"/>
        <v>6.8451816745655618</v>
      </c>
      <c r="M145" s="12">
        <f t="shared" si="146"/>
        <v>1.3573981415296639</v>
      </c>
      <c r="N145" s="12">
        <f t="shared" si="147"/>
        <v>6.003573981415296</v>
      </c>
      <c r="O145" s="12">
        <f t="shared" si="148"/>
        <v>6.0038491147036179</v>
      </c>
      <c r="P145" s="12">
        <f t="shared" si="149"/>
        <v>0.9285203716940672</v>
      </c>
      <c r="Q145" s="140" t="str">
        <f t="shared" si="157"/>
        <v>USD</v>
      </c>
      <c r="R145" s="104">
        <f>+VLOOKUP($B145,'Country-Level Tactics'!$B$5:$AL$248,'Country-Level Tactics'!AH$1,FALSE)</f>
        <v>129.99</v>
      </c>
      <c r="S145" s="104">
        <f>+VLOOKUP($B145,'Country-Level Tactics'!$B$5:$AL$248,'Country-Level Tactics'!X$1,FALSE)</f>
        <v>18.989999999999998</v>
      </c>
      <c r="T145" s="104">
        <f>+VLOOKUP($B145,'Country-Level Tactics'!$B$5:$AL$248,'Country-Level Tactics'!AC$1,FALSE)</f>
        <v>83.99</v>
      </c>
      <c r="U145" s="104">
        <f>+VLOOKUP($B145,'Country-Level Tactics'!$B$5:$AL$248,'Country-Level Tactics'!T$1,FALSE)</f>
        <v>13.99</v>
      </c>
      <c r="V145" s="104">
        <f t="shared" si="158"/>
        <v>77.989999999999995</v>
      </c>
      <c r="W145" s="104">
        <f t="shared" si="159"/>
        <v>12.99</v>
      </c>
      <c r="X145" s="12">
        <f t="shared" si="166"/>
        <v>6.8451816745655618</v>
      </c>
      <c r="Y145" s="12">
        <f t="shared" si="167"/>
        <v>1.3573981415296639</v>
      </c>
      <c r="Z145" s="12">
        <f t="shared" si="168"/>
        <v>6.003573981415296</v>
      </c>
      <c r="AA145" s="12">
        <f t="shared" si="169"/>
        <v>6.0038491147036179</v>
      </c>
      <c r="AB145" s="12">
        <f t="shared" si="170"/>
        <v>0.9285203716940672</v>
      </c>
      <c r="AD145" s="10">
        <f t="shared" si="151"/>
        <v>0</v>
      </c>
      <c r="AE145" s="10">
        <f t="shared" si="152"/>
        <v>0</v>
      </c>
      <c r="AF145" s="10">
        <f t="shared" si="153"/>
        <v>0</v>
      </c>
      <c r="AG145" s="10">
        <f t="shared" si="154"/>
        <v>0</v>
      </c>
      <c r="AH145" s="10">
        <f t="shared" si="155"/>
        <v>0</v>
      </c>
      <c r="AI145" s="10">
        <f t="shared" si="156"/>
        <v>0</v>
      </c>
      <c r="AK145" s="165">
        <v>1</v>
      </c>
      <c r="AL145" s="173">
        <f t="shared" si="160"/>
        <v>129.99</v>
      </c>
      <c r="AM145" s="173">
        <f t="shared" si="161"/>
        <v>18.989999999999998</v>
      </c>
      <c r="AN145" s="173">
        <f t="shared" si="162"/>
        <v>83.99</v>
      </c>
      <c r="AO145" s="173">
        <f t="shared" si="163"/>
        <v>13.99</v>
      </c>
      <c r="AP145" s="173">
        <f t="shared" si="164"/>
        <v>77.989999999999995</v>
      </c>
      <c r="AQ145" s="173">
        <f t="shared" si="165"/>
        <v>12.99</v>
      </c>
      <c r="AS145" s="22" t="str">
        <f>+VLOOKUP(B145,'Country &amp; Code Abbreviation'!$B$3:$C$245,2,FALSE)</f>
        <v>FM</v>
      </c>
    </row>
    <row r="146" spans="2:49">
      <c r="B146" s="20" t="s">
        <v>215</v>
      </c>
      <c r="C146" s="20" t="s">
        <v>100</v>
      </c>
      <c r="E146" s="11" t="str">
        <f>+VLOOKUP($B146,'[3]INT Web'!$B$5:$W$247,'[3]INT Web'!Q$1,FALSE)</f>
        <v>MDL</v>
      </c>
      <c r="F146" s="22">
        <f>+VLOOKUP($B146,'[3]INT Web'!$B$5:$W$247,'[3]INT Web'!R$1,FALSE)</f>
        <v>1499.99</v>
      </c>
      <c r="G146" s="22">
        <f>+VLOOKUP($B146,'[3]INT Web'!$B$5:$W$247,'[3]INT Web'!S$1,FALSE)</f>
        <v>249.99</v>
      </c>
      <c r="H146" s="22">
        <f>+VLOOKUP($B146,'[3]INT Web'!$B$5:$W$247,'[3]INT Web'!T$1,FALSE)</f>
        <v>1109.99</v>
      </c>
      <c r="I146" s="22">
        <f>+VLOOKUP($B146,'[3]INT Web'!$B$5:$W$247,'[3]INT Web'!U$1,FALSE)</f>
        <v>184.99</v>
      </c>
      <c r="J146" s="22">
        <f>+VLOOKUP($B146,'[3]INT Web'!$B$5:$W$247,'[3]INT Web'!V$1,FALSE)</f>
        <v>999.99</v>
      </c>
      <c r="K146" s="22">
        <f>+VLOOKUP($B146,'[3]INT Web'!$B$5:$W$247,'[3]INT Web'!W$1,FALSE)</f>
        <v>165.99</v>
      </c>
      <c r="L146" s="12">
        <f t="shared" ref="L146:L166" si="171">+F146/G146</f>
        <v>6.0002000080003199</v>
      </c>
      <c r="M146" s="12">
        <f t="shared" ref="M146:M166" si="172">+G146/I146</f>
        <v>1.3513703443429375</v>
      </c>
      <c r="N146" s="12">
        <f t="shared" ref="N146:N166" si="173">+H146/I146</f>
        <v>6.0002702848802638</v>
      </c>
      <c r="O146" s="12">
        <f t="shared" ref="O146:O166" si="174">+J146/K146</f>
        <v>6.024399060184348</v>
      </c>
      <c r="P146" s="12">
        <f t="shared" ref="P146:P166" si="175">+K146/I146</f>
        <v>0.89729174549975677</v>
      </c>
      <c r="Q146" s="140" t="str">
        <f t="shared" si="157"/>
        <v>MDL</v>
      </c>
      <c r="R146" s="104">
        <f>+VLOOKUP($B146,'Country-Level Tactics'!$B$5:$AL$248,'Country-Level Tactics'!AH$1,FALSE)</f>
        <v>1499.99</v>
      </c>
      <c r="S146" s="104">
        <f>+VLOOKUP($B146,'Country-Level Tactics'!$B$5:$AL$248,'Country-Level Tactics'!X$1,FALSE)</f>
        <v>249.99</v>
      </c>
      <c r="T146" s="104">
        <f>+VLOOKUP($B146,'Country-Level Tactics'!$B$5:$AL$248,'Country-Level Tactics'!AC$1,FALSE)</f>
        <v>1109.99</v>
      </c>
      <c r="U146" s="104">
        <f>+VLOOKUP($B146,'Country-Level Tactics'!$B$5:$AL$248,'Country-Level Tactics'!T$1,FALSE)</f>
        <v>184.99</v>
      </c>
      <c r="V146" s="104">
        <f t="shared" si="158"/>
        <v>999.99</v>
      </c>
      <c r="W146" s="104">
        <f t="shared" si="159"/>
        <v>165.99</v>
      </c>
      <c r="X146" s="12">
        <f t="shared" si="166"/>
        <v>6.0002000080003199</v>
      </c>
      <c r="Y146" s="12">
        <f t="shared" si="167"/>
        <v>1.3513703443429375</v>
      </c>
      <c r="Z146" s="12">
        <f t="shared" si="168"/>
        <v>6.0002702848802638</v>
      </c>
      <c r="AA146" s="12">
        <f t="shared" si="169"/>
        <v>6.024399060184348</v>
      </c>
      <c r="AB146" s="12">
        <f t="shared" si="170"/>
        <v>0.89729174549975677</v>
      </c>
      <c r="AD146" s="10">
        <f t="shared" ref="AD146:AD166" si="176">+R146/F146-1</f>
        <v>0</v>
      </c>
      <c r="AE146" s="10">
        <f t="shared" ref="AE146:AE166" si="177">+S146/G146-1</f>
        <v>0</v>
      </c>
      <c r="AF146" s="10">
        <f t="shared" ref="AF146:AF166" si="178">+T146/H146-1</f>
        <v>0</v>
      </c>
      <c r="AG146" s="10">
        <f t="shared" ref="AG146:AG166" si="179">+U146/I146-1</f>
        <v>0</v>
      </c>
      <c r="AH146" s="10">
        <f t="shared" ref="AH146:AH166" si="180">+V146/J146-1</f>
        <v>0</v>
      </c>
      <c r="AI146" s="10">
        <f t="shared" ref="AI146:AI166" si="181">+W146/K146-1</f>
        <v>0</v>
      </c>
      <c r="AK146" s="165">
        <v>5.7110220000000003E-2</v>
      </c>
      <c r="AL146" s="173">
        <f t="shared" si="160"/>
        <v>85.664758897799999</v>
      </c>
      <c r="AM146" s="173">
        <f t="shared" si="161"/>
        <v>14.276983897800001</v>
      </c>
      <c r="AN146" s="173">
        <f t="shared" si="162"/>
        <v>63.391773097800005</v>
      </c>
      <c r="AO146" s="173">
        <f t="shared" si="163"/>
        <v>10.564819597800001</v>
      </c>
      <c r="AP146" s="173">
        <f t="shared" si="164"/>
        <v>57.109648897800007</v>
      </c>
      <c r="AQ146" s="173">
        <f t="shared" si="165"/>
        <v>9.479725417800001</v>
      </c>
      <c r="AS146" s="22" t="str">
        <f>+VLOOKUP(B146,'Country &amp; Code Abbreviation'!$B$3:$C$245,2,FALSE)</f>
        <v>MD</v>
      </c>
      <c r="AW146" s="127"/>
    </row>
    <row r="147" spans="2:49">
      <c r="B147" s="20" t="s">
        <v>216</v>
      </c>
      <c r="C147" s="20" t="s">
        <v>100</v>
      </c>
      <c r="E147" s="11" t="str">
        <f>+VLOOKUP($B147,'[3]INT Web'!$B$5:$W$247,'[3]INT Web'!Q$1,FALSE)</f>
        <v>EUR</v>
      </c>
      <c r="F147" s="22">
        <f>+VLOOKUP($B147,'[3]INT Web'!$B$5:$W$247,'[3]INT Web'!R$1,FALSE)</f>
        <v>119.99</v>
      </c>
      <c r="G147" s="22">
        <f>+VLOOKUP($B147,'[3]INT Web'!$B$5:$W$247,'[3]INT Web'!S$1,FALSE)</f>
        <v>19.989999999999998</v>
      </c>
      <c r="H147" s="22">
        <f>+VLOOKUP($B147,'[3]INT Web'!$B$5:$W$247,'[3]INT Web'!T$1,FALSE)</f>
        <v>89.99</v>
      </c>
      <c r="I147" s="22">
        <f>+VLOOKUP($B147,'[3]INT Web'!$B$5:$W$247,'[3]INT Web'!U$1,FALSE)</f>
        <v>14.99</v>
      </c>
      <c r="J147" s="22">
        <f>+VLOOKUP($B147,'[3]INT Web'!$B$5:$W$247,'[3]INT Web'!V$1,FALSE)</f>
        <v>79.989999999999995</v>
      </c>
      <c r="K147" s="22">
        <f>+VLOOKUP($B147,'[3]INT Web'!$B$5:$W$247,'[3]INT Web'!W$1,FALSE)</f>
        <v>12.99</v>
      </c>
      <c r="L147" s="12">
        <f t="shared" si="171"/>
        <v>6.002501250625313</v>
      </c>
      <c r="M147" s="12">
        <f t="shared" si="172"/>
        <v>1.333555703802535</v>
      </c>
      <c r="N147" s="12">
        <f t="shared" si="173"/>
        <v>6.0033355570380253</v>
      </c>
      <c r="O147" s="12">
        <f t="shared" si="174"/>
        <v>6.157813702848344</v>
      </c>
      <c r="P147" s="12">
        <f t="shared" si="175"/>
        <v>0.86657771847898601</v>
      </c>
      <c r="Q147" s="140" t="str">
        <f t="shared" si="157"/>
        <v>EUR</v>
      </c>
      <c r="R147" s="104">
        <f>+VLOOKUP($B147,'Country-Level Tactics'!$B$5:$AL$248,'Country-Level Tactics'!AH$1,FALSE)</f>
        <v>119.99</v>
      </c>
      <c r="S147" s="104">
        <f>+VLOOKUP($B147,'Country-Level Tactics'!$B$5:$AL$248,'Country-Level Tactics'!X$1,FALSE)</f>
        <v>19.989999999999998</v>
      </c>
      <c r="T147" s="104">
        <f>+VLOOKUP($B147,'Country-Level Tactics'!$B$5:$AL$248,'Country-Level Tactics'!AC$1,FALSE)</f>
        <v>89.99</v>
      </c>
      <c r="U147" s="104">
        <f>+VLOOKUP($B147,'Country-Level Tactics'!$B$5:$AL$248,'Country-Level Tactics'!T$1,FALSE)</f>
        <v>14.99</v>
      </c>
      <c r="V147" s="104">
        <f t="shared" si="158"/>
        <v>79.989999999999995</v>
      </c>
      <c r="W147" s="104">
        <f t="shared" si="159"/>
        <v>12.99</v>
      </c>
      <c r="X147" s="12">
        <f t="shared" si="166"/>
        <v>6.002501250625313</v>
      </c>
      <c r="Y147" s="12">
        <f t="shared" si="167"/>
        <v>1.333555703802535</v>
      </c>
      <c r="Z147" s="12">
        <f t="shared" si="168"/>
        <v>6.0033355570380253</v>
      </c>
      <c r="AA147" s="12">
        <f t="shared" si="169"/>
        <v>6.157813702848344</v>
      </c>
      <c r="AB147" s="12">
        <f t="shared" si="170"/>
        <v>0.86657771847898601</v>
      </c>
      <c r="AD147" s="10">
        <f t="shared" si="176"/>
        <v>0</v>
      </c>
      <c r="AE147" s="10">
        <f t="shared" si="177"/>
        <v>0</v>
      </c>
      <c r="AF147" s="10">
        <f t="shared" si="178"/>
        <v>0</v>
      </c>
      <c r="AG147" s="10">
        <f t="shared" si="179"/>
        <v>0</v>
      </c>
      <c r="AH147" s="10">
        <f t="shared" si="180"/>
        <v>0</v>
      </c>
      <c r="AI147" s="10">
        <f t="shared" si="181"/>
        <v>0</v>
      </c>
      <c r="AK147" s="165">
        <v>1.14175</v>
      </c>
      <c r="AL147" s="173">
        <f t="shared" si="160"/>
        <v>136.9985825</v>
      </c>
      <c r="AM147" s="173">
        <f t="shared" si="161"/>
        <v>22.823582500000001</v>
      </c>
      <c r="AN147" s="173">
        <f t="shared" si="162"/>
        <v>102.7460825</v>
      </c>
      <c r="AO147" s="173">
        <f t="shared" si="163"/>
        <v>17.114832500000002</v>
      </c>
      <c r="AP147" s="173">
        <f t="shared" si="164"/>
        <v>91.328582499999996</v>
      </c>
      <c r="AQ147" s="173">
        <f t="shared" si="165"/>
        <v>14.8313325</v>
      </c>
      <c r="AS147" s="22" t="str">
        <f>+VLOOKUP(B147,'Country &amp; Code Abbreviation'!$B$3:$C$245,2,FALSE)</f>
        <v>MC</v>
      </c>
    </row>
    <row r="148" spans="2:49">
      <c r="B148" s="20" t="s">
        <v>217</v>
      </c>
      <c r="C148" s="20" t="s">
        <v>182</v>
      </c>
      <c r="E148" s="11" t="str">
        <f>+VLOOKUP($B148,'[3]INT Web'!$B$5:$W$247,'[3]INT Web'!Q$1,FALSE)</f>
        <v>MNT</v>
      </c>
      <c r="F148" s="22">
        <f>+VLOOKUP($B148,'[3]INT Web'!$B$5:$W$247,'[3]INT Web'!R$1,FALSE)</f>
        <v>245900</v>
      </c>
      <c r="G148" s="22">
        <f>+VLOOKUP($B148,'[3]INT Web'!$B$5:$W$247,'[3]INT Web'!S$1,FALSE)</f>
        <v>40880</v>
      </c>
      <c r="H148" s="22">
        <f>+VLOOKUP($B148,'[3]INT Web'!$B$5:$W$247,'[3]INT Web'!T$1,FALSE)</f>
        <v>175200</v>
      </c>
      <c r="I148" s="22">
        <f>+VLOOKUP($B148,'[3]INT Web'!$B$5:$W$247,'[3]INT Web'!U$1,FALSE)</f>
        <v>29200</v>
      </c>
      <c r="J148" s="22">
        <f>+VLOOKUP($B148,'[3]INT Web'!$B$5:$W$247,'[3]INT Web'!V$1,FALSE)</f>
        <v>157680</v>
      </c>
      <c r="K148" s="22">
        <f>+VLOOKUP($B148,'[3]INT Web'!$B$5:$W$247,'[3]INT Web'!W$1,FALSE)</f>
        <v>26280</v>
      </c>
      <c r="L148" s="12">
        <f t="shared" si="171"/>
        <v>6.0151663405088058</v>
      </c>
      <c r="M148" s="12">
        <f t="shared" si="172"/>
        <v>1.4</v>
      </c>
      <c r="N148" s="12">
        <f t="shared" si="173"/>
        <v>6</v>
      </c>
      <c r="O148" s="12">
        <f t="shared" si="174"/>
        <v>6</v>
      </c>
      <c r="P148" s="12">
        <f t="shared" si="175"/>
        <v>0.9</v>
      </c>
      <c r="Q148" s="140" t="str">
        <f t="shared" si="157"/>
        <v>MNT</v>
      </c>
      <c r="R148" s="104">
        <f>+VLOOKUP($B148,'Country-Level Tactics'!$B$5:$AL$248,'Country-Level Tactics'!AH$1,FALSE)</f>
        <v>245900</v>
      </c>
      <c r="S148" s="104">
        <f>+VLOOKUP($B148,'Country-Level Tactics'!$B$5:$AL$248,'Country-Level Tactics'!X$1,FALSE)</f>
        <v>40880</v>
      </c>
      <c r="T148" s="104">
        <f>+VLOOKUP($B148,'Country-Level Tactics'!$B$5:$AL$248,'Country-Level Tactics'!AC$1,FALSE)</f>
        <v>175200</v>
      </c>
      <c r="U148" s="104">
        <f>+VLOOKUP($B148,'Country-Level Tactics'!$B$5:$AL$248,'Country-Level Tactics'!T$1,FALSE)</f>
        <v>29200</v>
      </c>
      <c r="V148" s="104">
        <f t="shared" si="158"/>
        <v>157680</v>
      </c>
      <c r="W148" s="104">
        <f t="shared" si="159"/>
        <v>26280</v>
      </c>
      <c r="X148" s="12">
        <f t="shared" si="166"/>
        <v>6.0151663405088058</v>
      </c>
      <c r="Y148" s="12">
        <f t="shared" si="167"/>
        <v>1.4</v>
      </c>
      <c r="Z148" s="12">
        <f t="shared" si="168"/>
        <v>6</v>
      </c>
      <c r="AA148" s="12">
        <f t="shared" si="169"/>
        <v>6</v>
      </c>
      <c r="AB148" s="12">
        <f t="shared" si="170"/>
        <v>0.9</v>
      </c>
      <c r="AD148" s="10">
        <f t="shared" si="176"/>
        <v>0</v>
      </c>
      <c r="AE148" s="10">
        <f t="shared" si="177"/>
        <v>0</v>
      </c>
      <c r="AF148" s="10">
        <f t="shared" si="178"/>
        <v>0</v>
      </c>
      <c r="AG148" s="10">
        <f t="shared" si="179"/>
        <v>0</v>
      </c>
      <c r="AH148" s="10">
        <f t="shared" si="180"/>
        <v>0</v>
      </c>
      <c r="AI148" s="10">
        <f t="shared" si="181"/>
        <v>0</v>
      </c>
      <c r="AK148" s="165">
        <v>2.7913470000000002E-4</v>
      </c>
      <c r="AL148" s="173">
        <f t="shared" si="160"/>
        <v>68.63922273</v>
      </c>
      <c r="AM148" s="173">
        <f t="shared" si="161"/>
        <v>11.411026536000001</v>
      </c>
      <c r="AN148" s="173">
        <f t="shared" si="162"/>
        <v>48.904399440000006</v>
      </c>
      <c r="AO148" s="173">
        <f t="shared" si="163"/>
        <v>8.150733240000001</v>
      </c>
      <c r="AP148" s="173">
        <f t="shared" si="164"/>
        <v>44.013959496000005</v>
      </c>
      <c r="AQ148" s="173">
        <f t="shared" si="165"/>
        <v>7.3356599160000009</v>
      </c>
      <c r="AS148" s="22" t="str">
        <f>+VLOOKUP(B148,'Country &amp; Code Abbreviation'!$B$3:$C$245,2,FALSE)</f>
        <v>MN</v>
      </c>
    </row>
    <row r="149" spans="2:49">
      <c r="B149" s="20" t="s">
        <v>218</v>
      </c>
      <c r="C149" s="20" t="s">
        <v>100</v>
      </c>
      <c r="E149" s="11" t="str">
        <f>+VLOOKUP($B149,'[3]INT Web'!$B$5:$W$247,'[3]INT Web'!Q$1,FALSE)</f>
        <v>EUR</v>
      </c>
      <c r="F149" s="22">
        <f>+VLOOKUP($B149,'[3]INT Web'!$B$5:$W$247,'[3]INT Web'!R$1,FALSE)</f>
        <v>79.989999999999995</v>
      </c>
      <c r="G149" s="22">
        <f>+VLOOKUP($B149,'[3]INT Web'!$B$5:$W$247,'[3]INT Web'!S$1,FALSE)</f>
        <v>12.99</v>
      </c>
      <c r="H149" s="22">
        <f>+VLOOKUP($B149,'[3]INT Web'!$B$5:$W$247,'[3]INT Web'!T$1,FALSE)</f>
        <v>59.99</v>
      </c>
      <c r="I149" s="22">
        <f>+VLOOKUP($B149,'[3]INT Web'!$B$5:$W$247,'[3]INT Web'!U$1,FALSE)</f>
        <v>9.99</v>
      </c>
      <c r="J149" s="22">
        <f>+VLOOKUP($B149,'[3]INT Web'!$B$5:$W$247,'[3]INT Web'!V$1,FALSE)</f>
        <v>49.99</v>
      </c>
      <c r="K149" s="22">
        <f>+VLOOKUP($B149,'[3]INT Web'!$B$5:$W$247,'[3]INT Web'!W$1,FALSE)</f>
        <v>8.99</v>
      </c>
      <c r="L149" s="12">
        <f t="shared" si="171"/>
        <v>6.157813702848344</v>
      </c>
      <c r="M149" s="12">
        <f t="shared" si="172"/>
        <v>1.3003003003003002</v>
      </c>
      <c r="N149" s="12">
        <f t="shared" si="173"/>
        <v>6.005005005005005</v>
      </c>
      <c r="O149" s="12">
        <f t="shared" si="174"/>
        <v>5.5606229143492767</v>
      </c>
      <c r="P149" s="12">
        <f t="shared" si="175"/>
        <v>0.89989989989989994</v>
      </c>
      <c r="Q149" s="140" t="str">
        <f t="shared" si="157"/>
        <v>EUR</v>
      </c>
      <c r="R149" s="104">
        <f>+VLOOKUP($B149,'Country-Level Tactics'!$B$5:$AL$248,'Country-Level Tactics'!AH$1,FALSE)</f>
        <v>79.989999999999995</v>
      </c>
      <c r="S149" s="104">
        <f>+VLOOKUP($B149,'Country-Level Tactics'!$B$5:$AL$248,'Country-Level Tactics'!X$1,FALSE)</f>
        <v>12.99</v>
      </c>
      <c r="T149" s="104">
        <f>+VLOOKUP($B149,'Country-Level Tactics'!$B$5:$AL$248,'Country-Level Tactics'!AC$1,FALSE)</f>
        <v>59.99</v>
      </c>
      <c r="U149" s="104">
        <f>+VLOOKUP($B149,'Country-Level Tactics'!$B$5:$AL$248,'Country-Level Tactics'!T$1,FALSE)</f>
        <v>9.99</v>
      </c>
      <c r="V149" s="104">
        <f t="shared" si="158"/>
        <v>49.99</v>
      </c>
      <c r="W149" s="104">
        <f t="shared" si="159"/>
        <v>8.99</v>
      </c>
      <c r="X149" s="12">
        <f t="shared" si="166"/>
        <v>6.157813702848344</v>
      </c>
      <c r="Y149" s="12">
        <f t="shared" si="167"/>
        <v>1.3003003003003002</v>
      </c>
      <c r="Z149" s="12">
        <f t="shared" si="168"/>
        <v>6.005005005005005</v>
      </c>
      <c r="AA149" s="12">
        <f t="shared" si="169"/>
        <v>5.5606229143492767</v>
      </c>
      <c r="AB149" s="12">
        <f t="shared" si="170"/>
        <v>0.89989989989989994</v>
      </c>
      <c r="AD149" s="10">
        <f t="shared" si="176"/>
        <v>0</v>
      </c>
      <c r="AE149" s="10">
        <f t="shared" si="177"/>
        <v>0</v>
      </c>
      <c r="AF149" s="10">
        <f t="shared" si="178"/>
        <v>0</v>
      </c>
      <c r="AG149" s="10">
        <f t="shared" si="179"/>
        <v>0</v>
      </c>
      <c r="AH149" s="10">
        <f t="shared" si="180"/>
        <v>0</v>
      </c>
      <c r="AI149" s="10">
        <f t="shared" si="181"/>
        <v>0</v>
      </c>
      <c r="AK149" s="165">
        <v>1.14175</v>
      </c>
      <c r="AL149" s="173">
        <f t="shared" si="160"/>
        <v>91.328582499999996</v>
      </c>
      <c r="AM149" s="173">
        <f t="shared" si="161"/>
        <v>14.8313325</v>
      </c>
      <c r="AN149" s="173">
        <f t="shared" si="162"/>
        <v>68.493582500000002</v>
      </c>
      <c r="AO149" s="173">
        <f t="shared" si="163"/>
        <v>11.4060825</v>
      </c>
      <c r="AP149" s="173">
        <f t="shared" si="164"/>
        <v>57.076082500000005</v>
      </c>
      <c r="AQ149" s="173">
        <f t="shared" si="165"/>
        <v>10.2643325</v>
      </c>
      <c r="AS149" s="22" t="str">
        <f>+VLOOKUP(B149,'Country &amp; Code Abbreviation'!$B$3:$C$245,2,FALSE)</f>
        <v>ME</v>
      </c>
    </row>
    <row r="150" spans="2:49">
      <c r="B150" s="20" t="s">
        <v>219</v>
      </c>
      <c r="C150" s="20" t="s">
        <v>96</v>
      </c>
      <c r="E150" s="11" t="str">
        <f>+VLOOKUP($B150,'[3]INT Web'!$B$5:$W$247,'[3]INT Web'!Q$1,FALSE)</f>
        <v>XCD</v>
      </c>
      <c r="F150" s="22">
        <f>+VLOOKUP($B150,'[3]INT Web'!$B$5:$W$247,'[3]INT Web'!R$1,FALSE)</f>
        <v>269.99</v>
      </c>
      <c r="G150" s="22">
        <f>+VLOOKUP($B150,'[3]INT Web'!$B$5:$W$247,'[3]INT Web'!S$1,FALSE)</f>
        <v>44.99</v>
      </c>
      <c r="H150" s="22">
        <f>+VLOOKUP($B150,'[3]INT Web'!$B$5:$W$247,'[3]INT Web'!T$1,FALSE)</f>
        <v>197.99</v>
      </c>
      <c r="I150" s="22">
        <f>+VLOOKUP($B150,'[3]INT Web'!$B$5:$W$247,'[3]INT Web'!U$1,FALSE)</f>
        <v>32.99</v>
      </c>
      <c r="J150" s="22">
        <f>+VLOOKUP($B150,'[3]INT Web'!$B$5:$W$247,'[3]INT Web'!V$1,FALSE)</f>
        <v>179.99</v>
      </c>
      <c r="K150" s="22">
        <f>+VLOOKUP($B150,'[3]INT Web'!$B$5:$W$247,'[3]INT Web'!W$1,FALSE)</f>
        <v>29.99</v>
      </c>
      <c r="L150" s="12">
        <f t="shared" si="171"/>
        <v>6.001111358079573</v>
      </c>
      <c r="M150" s="12">
        <f t="shared" si="172"/>
        <v>1.36374658987572</v>
      </c>
      <c r="N150" s="12">
        <f t="shared" si="173"/>
        <v>6.0015156107911487</v>
      </c>
      <c r="O150" s="12">
        <f t="shared" si="174"/>
        <v>6.0016672224074696</v>
      </c>
      <c r="P150" s="12">
        <f t="shared" si="175"/>
        <v>0.90906335253106996</v>
      </c>
      <c r="Q150" s="140" t="str">
        <f t="shared" si="157"/>
        <v>XCD</v>
      </c>
      <c r="R150" s="104">
        <f>+VLOOKUP($B150,'Country-Level Tactics'!$B$5:$AL$248,'Country-Level Tactics'!AH$1,FALSE)</f>
        <v>269.99</v>
      </c>
      <c r="S150" s="104">
        <f>+VLOOKUP($B150,'Country-Level Tactics'!$B$5:$AL$248,'Country-Level Tactics'!X$1,FALSE)</f>
        <v>44.99</v>
      </c>
      <c r="T150" s="104">
        <f>+VLOOKUP($B150,'Country-Level Tactics'!$B$5:$AL$248,'Country-Level Tactics'!AC$1,FALSE)</f>
        <v>197.99</v>
      </c>
      <c r="U150" s="104">
        <f>+VLOOKUP($B150,'Country-Level Tactics'!$B$5:$AL$248,'Country-Level Tactics'!T$1,FALSE)</f>
        <v>32.99</v>
      </c>
      <c r="V150" s="104">
        <f t="shared" si="158"/>
        <v>179.99</v>
      </c>
      <c r="W150" s="104">
        <f t="shared" si="159"/>
        <v>29.99</v>
      </c>
      <c r="X150" s="12">
        <f t="shared" si="166"/>
        <v>6.001111358079573</v>
      </c>
      <c r="Y150" s="12">
        <f t="shared" si="167"/>
        <v>1.36374658987572</v>
      </c>
      <c r="Z150" s="12">
        <f t="shared" si="168"/>
        <v>6.0015156107911487</v>
      </c>
      <c r="AA150" s="12">
        <f t="shared" si="169"/>
        <v>6.0016672224074696</v>
      </c>
      <c r="AB150" s="12">
        <f t="shared" si="170"/>
        <v>0.90906335253106996</v>
      </c>
      <c r="AD150" s="10">
        <f t="shared" si="176"/>
        <v>0</v>
      </c>
      <c r="AE150" s="10">
        <f t="shared" si="177"/>
        <v>0</v>
      </c>
      <c r="AF150" s="10">
        <f t="shared" si="178"/>
        <v>0</v>
      </c>
      <c r="AG150" s="10">
        <f t="shared" si="179"/>
        <v>0</v>
      </c>
      <c r="AH150" s="10">
        <f t="shared" si="180"/>
        <v>0</v>
      </c>
      <c r="AI150" s="10">
        <f t="shared" si="181"/>
        <v>0</v>
      </c>
      <c r="AK150" s="165">
        <v>0.37037036000000001</v>
      </c>
      <c r="AL150" s="173">
        <f t="shared" si="160"/>
        <v>99.9962934964</v>
      </c>
      <c r="AM150" s="173">
        <f t="shared" si="161"/>
        <v>16.662962496400002</v>
      </c>
      <c r="AN150" s="173">
        <f t="shared" si="162"/>
        <v>73.3296275764</v>
      </c>
      <c r="AO150" s="173">
        <f t="shared" si="163"/>
        <v>12.218518176400002</v>
      </c>
      <c r="AP150" s="173">
        <f t="shared" si="164"/>
        <v>66.662961096400011</v>
      </c>
      <c r="AQ150" s="173">
        <f t="shared" si="165"/>
        <v>11.107407096399999</v>
      </c>
      <c r="AS150" s="22" t="str">
        <f>+VLOOKUP(B150,'Country &amp; Code Abbreviation'!$B$3:$C$245,2,FALSE)</f>
        <v>MS</v>
      </c>
    </row>
    <row r="151" spans="2:49">
      <c r="B151" s="20" t="s">
        <v>220</v>
      </c>
      <c r="C151" s="20" t="s">
        <v>270</v>
      </c>
      <c r="E151" s="11" t="str">
        <f>+VLOOKUP($B151,'[3]INT Web'!$B$5:$W$247,'[3]INT Web'!Q$1,FALSE)</f>
        <v>MAD</v>
      </c>
      <c r="F151" s="22">
        <f>+VLOOKUP($B151,'[3]INT Web'!$B$5:$W$247,'[3]INT Web'!R$1,FALSE)</f>
        <v>720</v>
      </c>
      <c r="G151" s="22">
        <f>+VLOOKUP($B151,'[3]INT Web'!$B$5:$W$247,'[3]INT Web'!S$1,FALSE)</f>
        <v>120</v>
      </c>
      <c r="H151" s="22">
        <f>+VLOOKUP($B151,'[3]INT Web'!$B$5:$W$247,'[3]INT Web'!T$1,FALSE)</f>
        <v>540</v>
      </c>
      <c r="I151" s="22">
        <f>+VLOOKUP($B151,'[3]INT Web'!$B$5:$W$247,'[3]INT Web'!U$1,FALSE)</f>
        <v>90</v>
      </c>
      <c r="J151" s="22">
        <f>+VLOOKUP($B151,'[3]INT Web'!$B$5:$W$247,'[3]INT Web'!V$1,FALSE)</f>
        <v>480</v>
      </c>
      <c r="K151" s="22">
        <f>+VLOOKUP($B151,'[3]INT Web'!$B$5:$W$247,'[3]INT Web'!W$1,FALSE)</f>
        <v>80</v>
      </c>
      <c r="L151" s="12">
        <f t="shared" si="171"/>
        <v>6</v>
      </c>
      <c r="M151" s="12">
        <f t="shared" si="172"/>
        <v>1.3333333333333333</v>
      </c>
      <c r="N151" s="12">
        <f t="shared" si="173"/>
        <v>6</v>
      </c>
      <c r="O151" s="12">
        <f t="shared" si="174"/>
        <v>6</v>
      </c>
      <c r="P151" s="12">
        <f t="shared" si="175"/>
        <v>0.88888888888888884</v>
      </c>
      <c r="Q151" s="140" t="str">
        <f t="shared" si="157"/>
        <v>MAD</v>
      </c>
      <c r="R151" s="104">
        <f>+VLOOKUP($B151,'Country-Level Tactics'!$B$5:$AL$248,'Country-Level Tactics'!AH$1,FALSE)</f>
        <v>720</v>
      </c>
      <c r="S151" s="104">
        <f>+VLOOKUP($B151,'Country-Level Tactics'!$B$5:$AL$248,'Country-Level Tactics'!X$1,FALSE)</f>
        <v>120</v>
      </c>
      <c r="T151" s="104">
        <f>+VLOOKUP($B151,'Country-Level Tactics'!$B$5:$AL$248,'Country-Level Tactics'!AC$1,FALSE)</f>
        <v>540</v>
      </c>
      <c r="U151" s="104">
        <f>+VLOOKUP($B151,'Country-Level Tactics'!$B$5:$AL$248,'Country-Level Tactics'!T$1,FALSE)</f>
        <v>90</v>
      </c>
      <c r="V151" s="104">
        <f t="shared" si="158"/>
        <v>480</v>
      </c>
      <c r="W151" s="104">
        <f t="shared" si="159"/>
        <v>80</v>
      </c>
      <c r="X151" s="12">
        <f t="shared" si="166"/>
        <v>6</v>
      </c>
      <c r="Y151" s="12">
        <f t="shared" si="167"/>
        <v>1.3333333333333333</v>
      </c>
      <c r="Z151" s="12">
        <f t="shared" si="168"/>
        <v>6</v>
      </c>
      <c r="AA151" s="12">
        <f t="shared" si="169"/>
        <v>6</v>
      </c>
      <c r="AB151" s="12">
        <f t="shared" si="170"/>
        <v>0.88888888888888884</v>
      </c>
      <c r="AD151" s="10">
        <f t="shared" si="176"/>
        <v>0</v>
      </c>
      <c r="AE151" s="10">
        <f t="shared" si="177"/>
        <v>0</v>
      </c>
      <c r="AF151" s="10">
        <f t="shared" si="178"/>
        <v>0</v>
      </c>
      <c r="AG151" s="10">
        <f t="shared" si="179"/>
        <v>0</v>
      </c>
      <c r="AH151" s="10">
        <f t="shared" si="180"/>
        <v>0</v>
      </c>
      <c r="AI151" s="10">
        <f t="shared" si="181"/>
        <v>0</v>
      </c>
      <c r="AK151" s="165">
        <v>0.10669569</v>
      </c>
      <c r="AL151" s="173">
        <f t="shared" si="160"/>
        <v>76.8208968</v>
      </c>
      <c r="AM151" s="173">
        <f t="shared" si="161"/>
        <v>12.803482799999999</v>
      </c>
      <c r="AN151" s="173">
        <f t="shared" si="162"/>
        <v>57.615672599999996</v>
      </c>
      <c r="AO151" s="173">
        <f t="shared" si="163"/>
        <v>9.6026121</v>
      </c>
      <c r="AP151" s="173">
        <f t="shared" si="164"/>
        <v>51.213931199999998</v>
      </c>
      <c r="AQ151" s="173">
        <f t="shared" si="165"/>
        <v>8.535655199999999</v>
      </c>
      <c r="AS151" s="22" t="str">
        <f>+VLOOKUP(B151,'Country &amp; Code Abbreviation'!$B$3:$C$245,2,FALSE)</f>
        <v>MA</v>
      </c>
    </row>
    <row r="152" spans="2:49">
      <c r="B152" s="20" t="s">
        <v>221</v>
      </c>
      <c r="C152" s="20" t="s">
        <v>270</v>
      </c>
      <c r="E152" s="11" t="str">
        <f>+VLOOKUP($B152,'[3]INT Web'!$B$5:$W$247,'[3]INT Web'!Q$1,FALSE)</f>
        <v>USD</v>
      </c>
      <c r="F152" s="22">
        <f>+VLOOKUP($B152,'[3]INT Web'!$B$5:$W$247,'[3]INT Web'!R$1,FALSE)</f>
        <v>71.989999999999995</v>
      </c>
      <c r="G152" s="22">
        <f>+VLOOKUP($B152,'[3]INT Web'!$B$5:$W$247,'[3]INT Web'!S$1,FALSE)</f>
        <v>11.99</v>
      </c>
      <c r="H152" s="22">
        <f>+VLOOKUP($B152,'[3]INT Web'!$B$5:$W$247,'[3]INT Web'!T$1,FALSE)</f>
        <v>53.99</v>
      </c>
      <c r="I152" s="22">
        <f>+VLOOKUP($B152,'[3]INT Web'!$B$5:$W$247,'[3]INT Web'!U$1,FALSE)</f>
        <v>8.99</v>
      </c>
      <c r="J152" s="22">
        <f>+VLOOKUP($B152,'[3]INT Web'!$B$5:$W$247,'[3]INT Web'!V$1,FALSE)</f>
        <v>47.99</v>
      </c>
      <c r="K152" s="22">
        <f>+VLOOKUP($B152,'[3]INT Web'!$B$5:$W$247,'[3]INT Web'!W$1,FALSE)</f>
        <v>7.99</v>
      </c>
      <c r="L152" s="12">
        <f t="shared" si="171"/>
        <v>6.0041701417848206</v>
      </c>
      <c r="M152" s="12">
        <f t="shared" si="172"/>
        <v>1.3337041156840934</v>
      </c>
      <c r="N152" s="12">
        <f t="shared" si="173"/>
        <v>6.0055617352614012</v>
      </c>
      <c r="O152" s="12">
        <f t="shared" si="174"/>
        <v>6.0062578222778473</v>
      </c>
      <c r="P152" s="12">
        <f t="shared" si="175"/>
        <v>0.88876529477196886</v>
      </c>
      <c r="Q152" s="140" t="str">
        <f t="shared" si="157"/>
        <v>USD</v>
      </c>
      <c r="R152" s="104">
        <f>+VLOOKUP($B152,'Country-Level Tactics'!$B$5:$AL$248,'Country-Level Tactics'!AH$1,FALSE)</f>
        <v>71.989999999999995</v>
      </c>
      <c r="S152" s="104">
        <f>+VLOOKUP($B152,'Country-Level Tactics'!$B$5:$AL$248,'Country-Level Tactics'!X$1,FALSE)</f>
        <v>11.99</v>
      </c>
      <c r="T152" s="104">
        <f>+VLOOKUP($B152,'Country-Level Tactics'!$B$5:$AL$248,'Country-Level Tactics'!AC$1,FALSE)</f>
        <v>53.99</v>
      </c>
      <c r="U152" s="104">
        <f>+VLOOKUP($B152,'Country-Level Tactics'!$B$5:$AL$248,'Country-Level Tactics'!T$1,FALSE)</f>
        <v>8.99</v>
      </c>
      <c r="V152" s="104">
        <f t="shared" si="158"/>
        <v>47.99</v>
      </c>
      <c r="W152" s="104">
        <f t="shared" si="159"/>
        <v>7.99</v>
      </c>
      <c r="X152" s="12">
        <f t="shared" si="166"/>
        <v>6.0041701417848206</v>
      </c>
      <c r="Y152" s="12">
        <f t="shared" si="167"/>
        <v>1.3337041156840934</v>
      </c>
      <c r="Z152" s="12">
        <f t="shared" si="168"/>
        <v>6.0055617352614012</v>
      </c>
      <c r="AA152" s="12">
        <f t="shared" si="169"/>
        <v>6.0062578222778473</v>
      </c>
      <c r="AB152" s="12">
        <f t="shared" si="170"/>
        <v>0.88876529477196886</v>
      </c>
      <c r="AD152" s="10">
        <f t="shared" si="176"/>
        <v>0</v>
      </c>
      <c r="AE152" s="10">
        <f t="shared" si="177"/>
        <v>0</v>
      </c>
      <c r="AF152" s="10">
        <f t="shared" si="178"/>
        <v>0</v>
      </c>
      <c r="AG152" s="10">
        <f t="shared" si="179"/>
        <v>0</v>
      </c>
      <c r="AH152" s="10">
        <f t="shared" si="180"/>
        <v>0</v>
      </c>
      <c r="AI152" s="10">
        <f t="shared" si="181"/>
        <v>0</v>
      </c>
      <c r="AK152" s="165">
        <v>1</v>
      </c>
      <c r="AL152" s="173">
        <f t="shared" si="160"/>
        <v>71.989999999999995</v>
      </c>
      <c r="AM152" s="173">
        <f t="shared" si="161"/>
        <v>11.99</v>
      </c>
      <c r="AN152" s="173">
        <f t="shared" si="162"/>
        <v>53.99</v>
      </c>
      <c r="AO152" s="173">
        <f t="shared" si="163"/>
        <v>8.99</v>
      </c>
      <c r="AP152" s="173">
        <f t="shared" si="164"/>
        <v>47.99</v>
      </c>
      <c r="AQ152" s="173">
        <f t="shared" si="165"/>
        <v>7.99</v>
      </c>
      <c r="AS152" s="22" t="str">
        <f>+VLOOKUP(B152,'Country &amp; Code Abbreviation'!$B$3:$C$245,2,FALSE)</f>
        <v>MZ</v>
      </c>
    </row>
    <row r="153" spans="2:49">
      <c r="B153" s="20" t="s">
        <v>222</v>
      </c>
      <c r="C153" s="20" t="s">
        <v>182</v>
      </c>
      <c r="E153" s="11" t="str">
        <f>+VLOOKUP($B153,'[3]INT Web'!$B$5:$W$247,'[3]INT Web'!Q$1,FALSE)</f>
        <v>MMK</v>
      </c>
      <c r="F153" s="22">
        <f>+VLOOKUP($B153,'[3]INT Web'!$B$5:$W$247,'[3]INT Web'!R$1,FALSE)</f>
        <v>129600</v>
      </c>
      <c r="G153" s="22">
        <f>+VLOOKUP($B153,'[3]INT Web'!$B$5:$W$247,'[3]INT Web'!S$1,FALSE)</f>
        <v>21600</v>
      </c>
      <c r="H153" s="22">
        <f>+VLOOKUP($B153,'[3]INT Web'!$B$5:$W$247,'[3]INT Web'!T$1,FALSE)</f>
        <v>96000</v>
      </c>
      <c r="I153" s="22">
        <f>+VLOOKUP($B153,'[3]INT Web'!$B$5:$W$247,'[3]INT Web'!U$1,FALSE)</f>
        <v>16000</v>
      </c>
      <c r="J153" s="22">
        <f>+VLOOKUP($B153,'[3]INT Web'!$B$5:$W$247,'[3]INT Web'!V$1,FALSE)</f>
        <v>86400</v>
      </c>
      <c r="K153" s="22">
        <f>+VLOOKUP($B153,'[3]INT Web'!$B$5:$W$247,'[3]INT Web'!W$1,FALSE)</f>
        <v>14399.99</v>
      </c>
      <c r="L153" s="12">
        <f t="shared" si="171"/>
        <v>6</v>
      </c>
      <c r="M153" s="12">
        <f t="shared" si="172"/>
        <v>1.35</v>
      </c>
      <c r="N153" s="12">
        <f t="shared" si="173"/>
        <v>6</v>
      </c>
      <c r="O153" s="12">
        <f t="shared" si="174"/>
        <v>6.0000041666695605</v>
      </c>
      <c r="P153" s="12">
        <f t="shared" si="175"/>
        <v>0.89999937499999993</v>
      </c>
      <c r="Q153" s="140" t="str">
        <f t="shared" si="157"/>
        <v>MMK</v>
      </c>
      <c r="R153" s="104">
        <f>+VLOOKUP($B153,'Country-Level Tactics'!$B$5:$AL$248,'Country-Level Tactics'!AH$1,FALSE)</f>
        <v>129600</v>
      </c>
      <c r="S153" s="104">
        <f>+VLOOKUP($B153,'Country-Level Tactics'!$B$5:$AL$248,'Country-Level Tactics'!X$1,FALSE)</f>
        <v>21600</v>
      </c>
      <c r="T153" s="104">
        <f>+VLOOKUP($B153,'Country-Level Tactics'!$B$5:$AL$248,'Country-Level Tactics'!AC$1,FALSE)</f>
        <v>96000</v>
      </c>
      <c r="U153" s="104">
        <f>+VLOOKUP($B153,'Country-Level Tactics'!$B$5:$AL$248,'Country-Level Tactics'!T$1,FALSE)</f>
        <v>16000</v>
      </c>
      <c r="V153" s="104">
        <f t="shared" si="158"/>
        <v>86400</v>
      </c>
      <c r="W153" s="104">
        <f t="shared" si="159"/>
        <v>14399.99</v>
      </c>
      <c r="X153" s="12">
        <f t="shared" si="166"/>
        <v>6</v>
      </c>
      <c r="Y153" s="12">
        <f t="shared" si="167"/>
        <v>1.35</v>
      </c>
      <c r="Z153" s="12">
        <f t="shared" si="168"/>
        <v>6</v>
      </c>
      <c r="AA153" s="12">
        <f t="shared" si="169"/>
        <v>6.0000041666695605</v>
      </c>
      <c r="AB153" s="12">
        <f t="shared" si="170"/>
        <v>0.89999937499999993</v>
      </c>
      <c r="AD153" s="10">
        <f t="shared" si="176"/>
        <v>0</v>
      </c>
      <c r="AE153" s="10">
        <f t="shared" si="177"/>
        <v>0</v>
      </c>
      <c r="AF153" s="10">
        <f t="shared" si="178"/>
        <v>0</v>
      </c>
      <c r="AG153" s="10">
        <f t="shared" si="179"/>
        <v>0</v>
      </c>
      <c r="AH153" s="10">
        <f t="shared" si="180"/>
        <v>0</v>
      </c>
      <c r="AI153" s="10">
        <f t="shared" si="181"/>
        <v>0</v>
      </c>
      <c r="AK153" s="165">
        <v>4.7586424999999997E-4</v>
      </c>
      <c r="AL153" s="173">
        <f t="shared" si="160"/>
        <v>61.672006799999998</v>
      </c>
      <c r="AM153" s="173">
        <f t="shared" si="161"/>
        <v>10.278667799999999</v>
      </c>
      <c r="AN153" s="173">
        <f t="shared" si="162"/>
        <v>45.682967999999995</v>
      </c>
      <c r="AO153" s="173">
        <f t="shared" si="163"/>
        <v>7.6138279999999998</v>
      </c>
      <c r="AP153" s="173">
        <f t="shared" si="164"/>
        <v>41.114671199999997</v>
      </c>
      <c r="AQ153" s="173">
        <f t="shared" si="165"/>
        <v>6.8524404413574995</v>
      </c>
      <c r="AS153" s="22" t="str">
        <f>+VLOOKUP(B153,'Country &amp; Code Abbreviation'!$B$3:$C$245,2,FALSE)</f>
        <v>MM</v>
      </c>
    </row>
    <row r="154" spans="2:49">
      <c r="B154" s="20" t="s">
        <v>223</v>
      </c>
      <c r="C154" s="20" t="s">
        <v>270</v>
      </c>
      <c r="E154" s="11" t="str">
        <f>+VLOOKUP($B154,'[3]INT Web'!$B$5:$W$247,'[3]INT Web'!Q$1,FALSE)</f>
        <v>NAD</v>
      </c>
      <c r="F154" s="22">
        <f>+VLOOKUP($B154,'[3]INT Web'!$B$5:$W$247,'[3]INT Web'!R$1,FALSE)</f>
        <v>851.99</v>
      </c>
      <c r="G154" s="22">
        <f>+VLOOKUP($B154,'[3]INT Web'!$B$5:$W$247,'[3]INT Web'!S$1,FALSE)</f>
        <v>141.99</v>
      </c>
      <c r="H154" s="22">
        <f>+VLOOKUP($B154,'[3]INT Web'!$B$5:$W$247,'[3]INT Web'!T$1,FALSE)</f>
        <v>629.99</v>
      </c>
      <c r="I154" s="22">
        <f>+VLOOKUP($B154,'[3]INT Web'!$B$5:$W$247,'[3]INT Web'!U$1,FALSE)</f>
        <v>104.99</v>
      </c>
      <c r="J154" s="22">
        <f>+VLOOKUP($B154,'[3]INT Web'!$B$5:$W$247,'[3]INT Web'!V$1,FALSE)</f>
        <v>563.99</v>
      </c>
      <c r="K154" s="22">
        <f>+VLOOKUP($B154,'[3]INT Web'!$B$5:$W$247,'[3]INT Web'!W$1,FALSE)</f>
        <v>93.99</v>
      </c>
      <c r="L154" s="12">
        <f t="shared" si="171"/>
        <v>6.0003521374744695</v>
      </c>
      <c r="M154" s="12">
        <f t="shared" si="172"/>
        <v>1.3524145156681591</v>
      </c>
      <c r="N154" s="12">
        <f t="shared" si="173"/>
        <v>6.0004762358319841</v>
      </c>
      <c r="O154" s="12">
        <f t="shared" si="174"/>
        <v>6.0005319714863283</v>
      </c>
      <c r="P154" s="12">
        <f t="shared" si="175"/>
        <v>0.89522811696352034</v>
      </c>
      <c r="Q154" s="140" t="str">
        <f t="shared" si="157"/>
        <v>NAD</v>
      </c>
      <c r="R154" s="104">
        <f>+VLOOKUP($B154,'Country-Level Tactics'!$B$5:$AL$248,'Country-Level Tactics'!AH$1,FALSE)</f>
        <v>851.99</v>
      </c>
      <c r="S154" s="104">
        <f>+VLOOKUP($B154,'Country-Level Tactics'!$B$5:$AL$248,'Country-Level Tactics'!X$1,FALSE)</f>
        <v>141.99</v>
      </c>
      <c r="T154" s="104">
        <f>+VLOOKUP($B154,'Country-Level Tactics'!$B$5:$AL$248,'Country-Level Tactics'!AC$1,FALSE)</f>
        <v>629.99</v>
      </c>
      <c r="U154" s="104">
        <f>+VLOOKUP($B154,'Country-Level Tactics'!$B$5:$AL$248,'Country-Level Tactics'!T$1,FALSE)</f>
        <v>104.99</v>
      </c>
      <c r="V154" s="104">
        <f t="shared" si="158"/>
        <v>563.99</v>
      </c>
      <c r="W154" s="104">
        <f t="shared" si="159"/>
        <v>93.99</v>
      </c>
      <c r="X154" s="12">
        <f t="shared" si="166"/>
        <v>6.0003521374744695</v>
      </c>
      <c r="Y154" s="12">
        <f t="shared" si="167"/>
        <v>1.3524145156681591</v>
      </c>
      <c r="Z154" s="12">
        <f t="shared" si="168"/>
        <v>6.0004762358319841</v>
      </c>
      <c r="AA154" s="12">
        <f t="shared" si="169"/>
        <v>6.0005319714863283</v>
      </c>
      <c r="AB154" s="12">
        <f t="shared" si="170"/>
        <v>0.89522811696352034</v>
      </c>
      <c r="AD154" s="10">
        <f t="shared" si="176"/>
        <v>0</v>
      </c>
      <c r="AE154" s="10">
        <f t="shared" si="177"/>
        <v>0</v>
      </c>
      <c r="AF154" s="10">
        <f t="shared" si="178"/>
        <v>0</v>
      </c>
      <c r="AG154" s="10">
        <f t="shared" si="179"/>
        <v>0</v>
      </c>
      <c r="AH154" s="10">
        <f t="shared" si="180"/>
        <v>0</v>
      </c>
      <c r="AI154" s="10">
        <f t="shared" si="181"/>
        <v>0</v>
      </c>
      <c r="AK154" s="165">
        <v>6.1533917E-2</v>
      </c>
      <c r="AL154" s="173">
        <f t="shared" si="160"/>
        <v>52.426281944830002</v>
      </c>
      <c r="AM154" s="173">
        <f t="shared" si="161"/>
        <v>8.7372008748300001</v>
      </c>
      <c r="AN154" s="173">
        <f t="shared" si="162"/>
        <v>38.76575237083</v>
      </c>
      <c r="AO154" s="173">
        <f t="shared" si="163"/>
        <v>6.4604459458300001</v>
      </c>
      <c r="AP154" s="173">
        <f t="shared" si="164"/>
        <v>34.704513848830004</v>
      </c>
      <c r="AQ154" s="173">
        <f t="shared" si="165"/>
        <v>5.7835728588299995</v>
      </c>
      <c r="AS154" s="22" t="str">
        <f>+VLOOKUP(B154,'Country &amp; Code Abbreviation'!$B$3:$C$245,2,FALSE)</f>
        <v>NA</v>
      </c>
    </row>
    <row r="155" spans="2:49">
      <c r="B155" s="20" t="s">
        <v>224</v>
      </c>
      <c r="C155" s="20" t="s">
        <v>182</v>
      </c>
      <c r="E155" s="11" t="str">
        <f>+VLOOKUP($B155,'[3]INT Web'!$B$5:$W$247,'[3]INT Web'!Q$1,FALSE)</f>
        <v>AUD</v>
      </c>
      <c r="F155" s="22">
        <f>+VLOOKUP($B155,'[3]INT Web'!$B$5:$W$247,'[3]INT Web'!R$1,FALSE)</f>
        <v>107.99</v>
      </c>
      <c r="G155" s="22">
        <f>+VLOOKUP($B155,'[3]INT Web'!$B$5:$W$247,'[3]INT Web'!S$1,FALSE)</f>
        <v>17.989999999999998</v>
      </c>
      <c r="H155" s="22">
        <f>+VLOOKUP($B155,'[3]INT Web'!$B$5:$W$247,'[3]INT Web'!T$1,FALSE)</f>
        <v>77.989999999999995</v>
      </c>
      <c r="I155" s="22">
        <f>+VLOOKUP($B155,'[3]INT Web'!$B$5:$W$247,'[3]INT Web'!U$1,FALSE)</f>
        <v>12.99</v>
      </c>
      <c r="J155" s="22">
        <f>+VLOOKUP($B155,'[3]INT Web'!$B$5:$W$247,'[3]INT Web'!V$1,FALSE)</f>
        <v>71.989999999999995</v>
      </c>
      <c r="K155" s="22">
        <f>+VLOOKUP($B155,'[3]INT Web'!$B$5:$W$247,'[3]INT Web'!W$1,FALSE)</f>
        <v>11.99</v>
      </c>
      <c r="L155" s="12">
        <f t="shared" si="171"/>
        <v>6.0027793218454697</v>
      </c>
      <c r="M155" s="12">
        <f t="shared" si="172"/>
        <v>1.3849114703618166</v>
      </c>
      <c r="N155" s="12">
        <f t="shared" si="173"/>
        <v>6.0038491147036179</v>
      </c>
      <c r="O155" s="12">
        <f t="shared" si="174"/>
        <v>6.0041701417848206</v>
      </c>
      <c r="P155" s="12">
        <f t="shared" si="175"/>
        <v>0.92301770592763666</v>
      </c>
      <c r="Q155" s="140" t="str">
        <f t="shared" si="157"/>
        <v>AUD</v>
      </c>
      <c r="R155" s="104">
        <f>+VLOOKUP($B155,'Country-Level Tactics'!$B$5:$AL$248,'Country-Level Tactics'!AH$1,FALSE)</f>
        <v>107.99</v>
      </c>
      <c r="S155" s="104">
        <f>+VLOOKUP($B155,'Country-Level Tactics'!$B$5:$AL$248,'Country-Level Tactics'!X$1,FALSE)</f>
        <v>17.989999999999998</v>
      </c>
      <c r="T155" s="104">
        <f>+VLOOKUP($B155,'Country-Level Tactics'!$B$5:$AL$248,'Country-Level Tactics'!AC$1,FALSE)</f>
        <v>77.989999999999995</v>
      </c>
      <c r="U155" s="104">
        <f>+VLOOKUP($B155,'Country-Level Tactics'!$B$5:$AL$248,'Country-Level Tactics'!T$1,FALSE)</f>
        <v>12.99</v>
      </c>
      <c r="V155" s="104">
        <f t="shared" si="158"/>
        <v>71.989999999999995</v>
      </c>
      <c r="W155" s="104">
        <f t="shared" si="159"/>
        <v>11.99</v>
      </c>
      <c r="X155" s="12">
        <f t="shared" si="166"/>
        <v>6.0027793218454697</v>
      </c>
      <c r="Y155" s="12">
        <f t="shared" si="167"/>
        <v>1.3849114703618166</v>
      </c>
      <c r="Z155" s="12">
        <f t="shared" si="168"/>
        <v>6.0038491147036179</v>
      </c>
      <c r="AA155" s="12">
        <f t="shared" si="169"/>
        <v>6.0041701417848206</v>
      </c>
      <c r="AB155" s="12">
        <f t="shared" si="170"/>
        <v>0.92301770592763666</v>
      </c>
      <c r="AD155" s="10">
        <f t="shared" si="176"/>
        <v>0</v>
      </c>
      <c r="AE155" s="10">
        <f t="shared" si="177"/>
        <v>0</v>
      </c>
      <c r="AF155" s="10">
        <f t="shared" si="178"/>
        <v>0</v>
      </c>
      <c r="AG155" s="10">
        <f t="shared" si="179"/>
        <v>0</v>
      </c>
      <c r="AH155" s="10">
        <f t="shared" si="180"/>
        <v>0</v>
      </c>
      <c r="AI155" s="10">
        <f t="shared" si="181"/>
        <v>0</v>
      </c>
      <c r="AK155" s="165">
        <v>0.69374999999999998</v>
      </c>
      <c r="AL155" s="173">
        <f t="shared" si="160"/>
        <v>74.918062499999991</v>
      </c>
      <c r="AM155" s="173">
        <f t="shared" si="161"/>
        <v>12.480562499999998</v>
      </c>
      <c r="AN155" s="173">
        <f t="shared" si="162"/>
        <v>54.105562499999998</v>
      </c>
      <c r="AO155" s="173">
        <f t="shared" si="163"/>
        <v>9.0118124999999996</v>
      </c>
      <c r="AP155" s="173">
        <f t="shared" si="164"/>
        <v>49.943062499999996</v>
      </c>
      <c r="AQ155" s="173">
        <f t="shared" si="165"/>
        <v>8.3180624999999999</v>
      </c>
      <c r="AS155" s="22" t="str">
        <f>+VLOOKUP(B155,'Country &amp; Code Abbreviation'!$B$3:$C$245,2,FALSE)</f>
        <v>NR</v>
      </c>
    </row>
    <row r="156" spans="2:49">
      <c r="B156" s="20" t="s">
        <v>225</v>
      </c>
      <c r="C156" s="20" t="s">
        <v>182</v>
      </c>
      <c r="E156" s="11" t="str">
        <f>+VLOOKUP($B156,'[3]INT Web'!$B$5:$W$247,'[3]INT Web'!Q$1,FALSE)</f>
        <v>NPR</v>
      </c>
      <c r="F156" s="22">
        <f>+VLOOKUP($B156,'[3]INT Web'!$B$5:$W$247,'[3]INT Web'!R$1,FALSE)</f>
        <v>9719.99</v>
      </c>
      <c r="G156" s="22">
        <f>+VLOOKUP($B156,'[3]INT Web'!$B$5:$W$247,'[3]INT Web'!S$1,FALSE)</f>
        <v>1619.99</v>
      </c>
      <c r="H156" s="22">
        <f>+VLOOKUP($B156,'[3]INT Web'!$B$5:$W$247,'[3]INT Web'!T$1,FALSE)</f>
        <v>7199.99</v>
      </c>
      <c r="I156" s="22">
        <f>+VLOOKUP($B156,'[3]INT Web'!$B$5:$W$247,'[3]INT Web'!U$1,FALSE)</f>
        <v>1199.99</v>
      </c>
      <c r="J156" s="22">
        <f>+VLOOKUP($B156,'[3]INT Web'!$B$5:$W$247,'[3]INT Web'!V$1,FALSE)</f>
        <v>6479.99</v>
      </c>
      <c r="K156" s="22">
        <f>+VLOOKUP($B156,'[3]INT Web'!$B$5:$W$247,'[3]INT Web'!W$1,FALSE)</f>
        <v>1079.99</v>
      </c>
      <c r="L156" s="12">
        <f t="shared" si="171"/>
        <v>6.0000308643880516</v>
      </c>
      <c r="M156" s="12">
        <f t="shared" si="172"/>
        <v>1.3500029166909724</v>
      </c>
      <c r="N156" s="12">
        <f t="shared" si="173"/>
        <v>6.0000416670138916</v>
      </c>
      <c r="O156" s="12">
        <f t="shared" si="174"/>
        <v>6.0000462967249693</v>
      </c>
      <c r="P156" s="12">
        <f t="shared" si="175"/>
        <v>0.89999916665972213</v>
      </c>
      <c r="Q156" s="140" t="str">
        <f t="shared" si="157"/>
        <v>NPR</v>
      </c>
      <c r="R156" s="104">
        <f>+VLOOKUP($B156,'Country-Level Tactics'!$B$5:$AL$248,'Country-Level Tactics'!AH$1,FALSE)</f>
        <v>9719.99</v>
      </c>
      <c r="S156" s="104">
        <f>+VLOOKUP($B156,'Country-Level Tactics'!$B$5:$AL$248,'Country-Level Tactics'!X$1,FALSE)</f>
        <v>1619.99</v>
      </c>
      <c r="T156" s="104">
        <f>+VLOOKUP($B156,'Country-Level Tactics'!$B$5:$AL$248,'Country-Level Tactics'!AC$1,FALSE)</f>
        <v>7199.99</v>
      </c>
      <c r="U156" s="104">
        <f>+VLOOKUP($B156,'Country-Level Tactics'!$B$5:$AL$248,'Country-Level Tactics'!T$1,FALSE)</f>
        <v>1199.99</v>
      </c>
      <c r="V156" s="104">
        <f t="shared" si="158"/>
        <v>6479.99</v>
      </c>
      <c r="W156" s="104">
        <f t="shared" si="159"/>
        <v>1079.99</v>
      </c>
      <c r="X156" s="12">
        <f t="shared" si="166"/>
        <v>6.0000308643880516</v>
      </c>
      <c r="Y156" s="12">
        <f t="shared" si="167"/>
        <v>1.3500029166909724</v>
      </c>
      <c r="Z156" s="12">
        <f t="shared" si="168"/>
        <v>6.0000416670138916</v>
      </c>
      <c r="AA156" s="12">
        <f t="shared" si="169"/>
        <v>6.0000462967249693</v>
      </c>
      <c r="AB156" s="12">
        <f t="shared" si="170"/>
        <v>0.89999916665972213</v>
      </c>
      <c r="AD156" s="10">
        <f t="shared" si="176"/>
        <v>0</v>
      </c>
      <c r="AE156" s="10">
        <f t="shared" si="177"/>
        <v>0</v>
      </c>
      <c r="AF156" s="10">
        <f t="shared" si="178"/>
        <v>0</v>
      </c>
      <c r="AG156" s="10">
        <f t="shared" si="179"/>
        <v>0</v>
      </c>
      <c r="AH156" s="10">
        <f t="shared" si="180"/>
        <v>0</v>
      </c>
      <c r="AI156" s="10">
        <f t="shared" si="181"/>
        <v>0</v>
      </c>
      <c r="AK156" s="165">
        <v>6.5515343999999996E-3</v>
      </c>
      <c r="AL156" s="173">
        <f t="shared" si="160"/>
        <v>63.680848852655998</v>
      </c>
      <c r="AM156" s="173">
        <f t="shared" si="161"/>
        <v>10.613420212655999</v>
      </c>
      <c r="AN156" s="173">
        <f t="shared" si="162"/>
        <v>47.170982164655996</v>
      </c>
      <c r="AO156" s="173">
        <f t="shared" si="163"/>
        <v>7.8617757646559996</v>
      </c>
      <c r="AP156" s="173">
        <f t="shared" si="164"/>
        <v>42.453877396655997</v>
      </c>
      <c r="AQ156" s="173">
        <f t="shared" si="165"/>
        <v>7.0755916366559992</v>
      </c>
      <c r="AS156" s="22" t="str">
        <f>+VLOOKUP(B156,'Country &amp; Code Abbreviation'!$B$3:$C$245,2,FALSE)</f>
        <v>NP</v>
      </c>
    </row>
    <row r="157" spans="2:49">
      <c r="B157" s="199" t="s">
        <v>226</v>
      </c>
      <c r="C157" s="199" t="s">
        <v>100</v>
      </c>
      <c r="D157" s="6" t="s">
        <v>348</v>
      </c>
      <c r="E157" s="11" t="str">
        <f>+VLOOKUP($B157,'[3]INT Web'!$B$5:$W$247,'[3]INT Web'!Q$1,FALSE)</f>
        <v>EUR</v>
      </c>
      <c r="F157" s="22">
        <f>+VLOOKUP($B157,'[3]INT Web'!$B$5:$W$247,'[3]INT Web'!R$1,FALSE)</f>
        <v>149.99</v>
      </c>
      <c r="G157" s="22">
        <f>+VLOOKUP($B157,'[3]INT Web'!$B$5:$W$247,'[3]INT Web'!S$1,FALSE)</f>
        <v>22.99</v>
      </c>
      <c r="H157" s="22">
        <f>+VLOOKUP($B157,'[3]INT Web'!$B$5:$W$247,'[3]INT Web'!T$1,FALSE)</f>
        <v>109.99</v>
      </c>
      <c r="I157" s="22">
        <f>+VLOOKUP($B157,'[3]INT Web'!$B$5:$W$247,'[3]INT Web'!U$1,FALSE)</f>
        <v>16.989999999999998</v>
      </c>
      <c r="J157" s="22">
        <f>+VLOOKUP($B157,'[3]INT Web'!$B$5:$W$247,'[3]INT Web'!V$1,FALSE)</f>
        <v>94.99</v>
      </c>
      <c r="K157" s="22">
        <f>+VLOOKUP($B157,'[3]INT Web'!$B$5:$W$247,'[3]INT Web'!W$1,FALSE)</f>
        <v>14.99</v>
      </c>
      <c r="L157" s="12">
        <f t="shared" si="171"/>
        <v>6.5241409308394962</v>
      </c>
      <c r="M157" s="12">
        <f t="shared" si="172"/>
        <v>1.3531489111241908</v>
      </c>
      <c r="N157" s="12">
        <f t="shared" si="173"/>
        <v>6.4738081224249564</v>
      </c>
      <c r="O157" s="12">
        <f t="shared" si="174"/>
        <v>6.3368912608405603</v>
      </c>
      <c r="P157" s="12">
        <f t="shared" si="175"/>
        <v>0.88228369629193648</v>
      </c>
      <c r="Q157" s="140" t="str">
        <f t="shared" si="157"/>
        <v>EUR</v>
      </c>
      <c r="R157" s="104">
        <f>+VLOOKUP($B157,'Country-Level Tactics'!$B$5:$AL$248,'Country-Level Tactics'!AH$1,FALSE)</f>
        <v>149.99</v>
      </c>
      <c r="S157" s="104">
        <f>+VLOOKUP($B157,'Country-Level Tactics'!$B$5:$AL$248,'Country-Level Tactics'!X$1,FALSE)</f>
        <v>22.99</v>
      </c>
      <c r="T157" s="104">
        <f>+VLOOKUP($B157,'Country-Level Tactics'!$B$5:$AL$248,'Country-Level Tactics'!AC$1,FALSE)</f>
        <v>109.99</v>
      </c>
      <c r="U157" s="104">
        <f>+VLOOKUP($B157,'Country-Level Tactics'!$B$5:$AL$248,'Country-Level Tactics'!T$1,FALSE)</f>
        <v>16.989999999999998</v>
      </c>
      <c r="V157" s="104">
        <f t="shared" si="158"/>
        <v>94.99</v>
      </c>
      <c r="W157" s="104">
        <f t="shared" si="159"/>
        <v>14.99</v>
      </c>
      <c r="X157" s="12">
        <f t="shared" si="166"/>
        <v>6.5241409308394962</v>
      </c>
      <c r="Y157" s="12">
        <f t="shared" si="167"/>
        <v>1.3531489111241908</v>
      </c>
      <c r="Z157" s="12">
        <f t="shared" si="168"/>
        <v>6.4738081224249564</v>
      </c>
      <c r="AA157" s="12">
        <f t="shared" si="169"/>
        <v>6.3368912608405603</v>
      </c>
      <c r="AB157" s="12">
        <f t="shared" si="170"/>
        <v>0.88228369629193648</v>
      </c>
      <c r="AD157" s="10">
        <f t="shared" si="176"/>
        <v>0</v>
      </c>
      <c r="AE157" s="10">
        <f t="shared" si="177"/>
        <v>0</v>
      </c>
      <c r="AF157" s="10">
        <f t="shared" si="178"/>
        <v>0</v>
      </c>
      <c r="AG157" s="10">
        <f t="shared" si="179"/>
        <v>0</v>
      </c>
      <c r="AH157" s="10">
        <f t="shared" si="180"/>
        <v>0</v>
      </c>
      <c r="AI157" s="10">
        <f t="shared" si="181"/>
        <v>0</v>
      </c>
      <c r="AK157" s="165">
        <v>1.14175</v>
      </c>
      <c r="AL157" s="173">
        <f t="shared" si="160"/>
        <v>171.25108250000002</v>
      </c>
      <c r="AM157" s="173">
        <f t="shared" si="161"/>
        <v>26.248832499999999</v>
      </c>
      <c r="AN157" s="173">
        <f t="shared" si="162"/>
        <v>125.58108249999999</v>
      </c>
      <c r="AO157" s="173">
        <f t="shared" si="163"/>
        <v>19.398332499999999</v>
      </c>
      <c r="AP157" s="173">
        <f t="shared" si="164"/>
        <v>108.45483249999999</v>
      </c>
      <c r="AQ157" s="173">
        <f t="shared" si="165"/>
        <v>17.114832500000002</v>
      </c>
      <c r="AS157" s="22" t="str">
        <f>+VLOOKUP(B157,'Country &amp; Code Abbreviation'!$B$3:$C$245,2,FALSE)</f>
        <v>NL</v>
      </c>
    </row>
    <row r="158" spans="2:49" hidden="1" outlineLevel="1">
      <c r="B158" s="20" t="s">
        <v>227</v>
      </c>
      <c r="C158" s="20" t="s">
        <v>96</v>
      </c>
      <c r="D158" s="27"/>
      <c r="E158" s="11" t="str">
        <f>+VLOOKUP($B158,'[3]INT Web'!$B$5:$W$247,'[3]INT Web'!Q$1,FALSE)</f>
        <v>ANG</v>
      </c>
      <c r="F158" s="22">
        <f>+VLOOKUP($B158,'[3]INT Web'!$B$5:$W$247,'[3]INT Web'!R$1,FALSE)</f>
        <v>0</v>
      </c>
      <c r="G158" s="22">
        <f>+VLOOKUP($B158,'[3]INT Web'!$B$5:$W$247,'[3]INT Web'!S$1,FALSE)</f>
        <v>0</v>
      </c>
      <c r="H158" s="22">
        <f>+VLOOKUP($B158,'[3]INT Web'!$B$5:$W$247,'[3]INT Web'!T$1,FALSE)</f>
        <v>0</v>
      </c>
      <c r="I158" s="22">
        <f>+VLOOKUP($B158,'[3]INT Web'!$B$5:$W$247,'[3]INT Web'!U$1,FALSE)</f>
        <v>0</v>
      </c>
      <c r="J158" s="22">
        <f>+VLOOKUP($B158,'[3]INT Web'!$B$5:$W$247,'[3]INT Web'!V$1,FALSE)</f>
        <v>0</v>
      </c>
      <c r="K158" s="22">
        <f>+VLOOKUP($B158,'[3]INT Web'!$B$5:$W$247,'[3]INT Web'!W$1,FALSE)</f>
        <v>0</v>
      </c>
      <c r="L158" s="28" t="e">
        <f t="shared" si="171"/>
        <v>#DIV/0!</v>
      </c>
      <c r="M158" s="28" t="e">
        <f t="shared" si="172"/>
        <v>#DIV/0!</v>
      </c>
      <c r="N158" s="28" t="e">
        <f t="shared" si="173"/>
        <v>#DIV/0!</v>
      </c>
      <c r="O158" s="28" t="e">
        <f t="shared" si="174"/>
        <v>#DIV/0!</v>
      </c>
      <c r="P158" s="28" t="e">
        <f t="shared" si="175"/>
        <v>#DIV/0!</v>
      </c>
      <c r="Q158" s="142" t="str">
        <f t="shared" si="157"/>
        <v>ANG</v>
      </c>
      <c r="R158" s="104">
        <f>+VLOOKUP($B158,'Country-Level Tactics'!$B$5:$AL$248,'Country-Level Tactics'!AH$1,FALSE)</f>
        <v>0</v>
      </c>
      <c r="S158" s="104">
        <f>+VLOOKUP($B158,'Country-Level Tactics'!$B$5:$AL$248,'Country-Level Tactics'!X$1,FALSE)</f>
        <v>0</v>
      </c>
      <c r="T158" s="104">
        <f>+VLOOKUP($B158,'Country-Level Tactics'!$B$5:$AL$248,'Country-Level Tactics'!AC$1,FALSE)</f>
        <v>0</v>
      </c>
      <c r="U158" s="104">
        <f>+VLOOKUP($B158,'Country-Level Tactics'!$B$5:$AL$248,'Country-Level Tactics'!T$1,FALSE)</f>
        <v>0</v>
      </c>
      <c r="V158" s="104">
        <f t="shared" si="158"/>
        <v>0</v>
      </c>
      <c r="W158" s="104">
        <f t="shared" si="159"/>
        <v>0</v>
      </c>
      <c r="X158" s="12" t="e">
        <f t="shared" si="166"/>
        <v>#DIV/0!</v>
      </c>
      <c r="Y158" s="12" t="e">
        <f t="shared" si="167"/>
        <v>#DIV/0!</v>
      </c>
      <c r="Z158" s="12" t="e">
        <f t="shared" si="168"/>
        <v>#DIV/0!</v>
      </c>
      <c r="AA158" s="12" t="e">
        <f t="shared" si="169"/>
        <v>#DIV/0!</v>
      </c>
      <c r="AB158" s="12" t="e">
        <f t="shared" si="170"/>
        <v>#DIV/0!</v>
      </c>
      <c r="AD158" s="10" t="e">
        <f t="shared" si="176"/>
        <v>#DIV/0!</v>
      </c>
      <c r="AE158" s="10" t="e">
        <f t="shared" si="177"/>
        <v>#DIV/0!</v>
      </c>
      <c r="AF158" s="10" t="e">
        <f t="shared" si="178"/>
        <v>#DIV/0!</v>
      </c>
      <c r="AG158" s="10" t="e">
        <f t="shared" si="179"/>
        <v>#DIV/0!</v>
      </c>
      <c r="AH158" s="10" t="e">
        <f t="shared" si="180"/>
        <v>#DIV/0!</v>
      </c>
      <c r="AI158" s="10" t="e">
        <f t="shared" si="181"/>
        <v>#DIV/0!</v>
      </c>
      <c r="AK158" s="165">
        <v>0.55865925999999999</v>
      </c>
      <c r="AL158" s="173"/>
      <c r="AM158" s="173"/>
      <c r="AN158" s="173"/>
      <c r="AO158" s="173"/>
      <c r="AP158" s="173"/>
      <c r="AQ158" s="173"/>
      <c r="AS158" s="22" t="str">
        <f>+VLOOKUP(B158,'Country &amp; Code Abbreviation'!$B$3:$C$245,2,FALSE)</f>
        <v>AN</v>
      </c>
    </row>
    <row r="159" spans="2:49" collapsed="1">
      <c r="B159" s="20" t="s">
        <v>228</v>
      </c>
      <c r="C159" s="20" t="s">
        <v>182</v>
      </c>
      <c r="E159" s="11" t="str">
        <f>+VLOOKUP($B159,'[3]INT Web'!$B$5:$W$247,'[3]INT Web'!Q$1,FALSE)</f>
        <v>XPF</v>
      </c>
      <c r="F159" s="136">
        <f>+VLOOKUP($B159,'[3]INT Web'!$B$5:$W$247,'[3]INT Web'!R$1,FALSE)</f>
        <v>8100</v>
      </c>
      <c r="G159" s="136">
        <f>+VLOOKUP($B159,'[3]INT Web'!$B$5:$W$247,'[3]INT Web'!S$1,FALSE)</f>
        <v>1350</v>
      </c>
      <c r="H159" s="136">
        <f>+VLOOKUP($B159,'[3]INT Web'!$B$5:$W$247,'[3]INT Web'!T$1,FALSE)</f>
        <v>6000</v>
      </c>
      <c r="I159" s="136">
        <f>+VLOOKUP($B159,'[3]INT Web'!$B$5:$W$247,'[3]INT Web'!U$1,FALSE)</f>
        <v>1000</v>
      </c>
      <c r="J159" s="136">
        <f>+VLOOKUP($B159,'[3]INT Web'!$B$5:$W$247,'[3]INT Web'!V$1,FALSE)</f>
        <v>5400</v>
      </c>
      <c r="K159" s="136">
        <f>+VLOOKUP($B159,'[3]INT Web'!$B$5:$W$247,'[3]INT Web'!W$1,FALSE)</f>
        <v>900</v>
      </c>
      <c r="L159" s="12">
        <f t="shared" si="171"/>
        <v>6</v>
      </c>
      <c r="M159" s="12">
        <f t="shared" si="172"/>
        <v>1.35</v>
      </c>
      <c r="N159" s="12">
        <f t="shared" si="173"/>
        <v>6</v>
      </c>
      <c r="O159" s="12">
        <f t="shared" si="174"/>
        <v>6</v>
      </c>
      <c r="P159" s="12">
        <f t="shared" si="175"/>
        <v>0.9</v>
      </c>
      <c r="Q159" s="143" t="str">
        <f t="shared" si="157"/>
        <v>XPF</v>
      </c>
      <c r="R159" s="137">
        <f>+VLOOKUP($B159,'Country-Level Tactics'!$B$5:$AL$248,'Country-Level Tactics'!AH$1,FALSE)</f>
        <v>8100</v>
      </c>
      <c r="S159" s="137">
        <f>+VLOOKUP($B159,'Country-Level Tactics'!$B$5:$AL$248,'Country-Level Tactics'!X$1,FALSE)</f>
        <v>1350</v>
      </c>
      <c r="T159" s="137">
        <f>+VLOOKUP($B159,'Country-Level Tactics'!$B$5:$AL$248,'Country-Level Tactics'!AC$1,FALSE)</f>
        <v>6000</v>
      </c>
      <c r="U159" s="137">
        <f>+VLOOKUP($B159,'Country-Level Tactics'!$B$5:$AL$248,'Country-Level Tactics'!T$1,FALSE)</f>
        <v>1000</v>
      </c>
      <c r="V159" s="104">
        <f t="shared" si="158"/>
        <v>5400</v>
      </c>
      <c r="W159" s="104">
        <f t="shared" si="159"/>
        <v>900</v>
      </c>
      <c r="X159" s="12">
        <f t="shared" si="166"/>
        <v>6</v>
      </c>
      <c r="Y159" s="12">
        <f t="shared" si="167"/>
        <v>1.35</v>
      </c>
      <c r="Z159" s="12">
        <f t="shared" si="168"/>
        <v>6</v>
      </c>
      <c r="AA159" s="12">
        <f t="shared" si="169"/>
        <v>6</v>
      </c>
      <c r="AB159" s="12">
        <f t="shared" si="170"/>
        <v>0.9</v>
      </c>
      <c r="AD159" s="10">
        <f t="shared" si="176"/>
        <v>0</v>
      </c>
      <c r="AE159" s="10">
        <f t="shared" si="177"/>
        <v>0</v>
      </c>
      <c r="AF159" s="10">
        <f t="shared" si="178"/>
        <v>0</v>
      </c>
      <c r="AG159" s="10">
        <f t="shared" si="179"/>
        <v>0</v>
      </c>
      <c r="AH159" s="10">
        <f t="shared" si="180"/>
        <v>0</v>
      </c>
      <c r="AI159" s="10">
        <f t="shared" si="181"/>
        <v>0</v>
      </c>
      <c r="AK159" s="165">
        <v>9.5678670000000007E-3</v>
      </c>
      <c r="AL159" s="173">
        <f t="shared" ref="AL159:AQ166" si="182">+R159*$AK159</f>
        <v>77.499722700000007</v>
      </c>
      <c r="AM159" s="173">
        <f t="shared" si="182"/>
        <v>12.916620450000002</v>
      </c>
      <c r="AN159" s="173">
        <f t="shared" si="182"/>
        <v>57.407202000000005</v>
      </c>
      <c r="AO159" s="173">
        <f t="shared" si="182"/>
        <v>9.5678670000000015</v>
      </c>
      <c r="AP159" s="173">
        <f t="shared" si="182"/>
        <v>51.666481800000007</v>
      </c>
      <c r="AQ159" s="173">
        <f t="shared" si="182"/>
        <v>8.6110803000000011</v>
      </c>
      <c r="AS159" s="22" t="str">
        <f>+VLOOKUP(B159,'Country &amp; Code Abbreviation'!$B$3:$C$245,2,FALSE)</f>
        <v>NC</v>
      </c>
    </row>
    <row r="160" spans="2:49">
      <c r="B160" s="199" t="s">
        <v>229</v>
      </c>
      <c r="C160" s="199" t="s">
        <v>182</v>
      </c>
      <c r="D160" s="6" t="s">
        <v>347</v>
      </c>
      <c r="E160" s="11" t="str">
        <f>+VLOOKUP($B160,'[3]INT Web'!$B$5:$W$247,'[3]INT Web'!Q$1,FALSE)</f>
        <v>NZD</v>
      </c>
      <c r="F160" s="22">
        <f>+VLOOKUP($B160,'[3]INT Web'!$B$5:$W$247,'[3]INT Web'!R$1,FALSE)</f>
        <v>219.99</v>
      </c>
      <c r="G160" s="22">
        <f>+VLOOKUP($B160,'[3]INT Web'!$B$5:$W$247,'[3]INT Web'!S$1,FALSE)</f>
        <v>33.99</v>
      </c>
      <c r="H160" s="22">
        <f>+VLOOKUP($B160,'[3]INT Web'!$B$5:$W$247,'[3]INT Web'!T$1,FALSE)</f>
        <v>159.99</v>
      </c>
      <c r="I160" s="22">
        <f>+VLOOKUP($B160,'[3]INT Web'!$B$5:$W$247,'[3]INT Web'!U$1,FALSE)</f>
        <v>24.99</v>
      </c>
      <c r="J160" s="22">
        <f>+VLOOKUP($B160,'[3]INT Web'!$B$5:$W$247,'[3]INT Web'!V$1,FALSE)</f>
        <v>144.99</v>
      </c>
      <c r="K160" s="22">
        <f>+VLOOKUP($B160,'[3]INT Web'!$B$5:$W$247,'[3]INT Web'!W$1,FALSE)</f>
        <v>21.99</v>
      </c>
      <c r="L160" s="12">
        <f t="shared" si="171"/>
        <v>6.4721977052074138</v>
      </c>
      <c r="M160" s="12">
        <f t="shared" si="172"/>
        <v>1.3601440576230495</v>
      </c>
      <c r="N160" s="12">
        <f t="shared" si="173"/>
        <v>6.4021608643457393</v>
      </c>
      <c r="O160" s="12">
        <f t="shared" si="174"/>
        <v>6.5934515688949533</v>
      </c>
      <c r="P160" s="12">
        <f t="shared" si="175"/>
        <v>0.87995198079231696</v>
      </c>
      <c r="Q160" s="140" t="str">
        <f t="shared" si="157"/>
        <v>NZD</v>
      </c>
      <c r="R160" s="104">
        <f>+VLOOKUP($B160,'Country-Level Tactics'!$B$5:$AL$248,'Country-Level Tactics'!AH$1,FALSE)</f>
        <v>219.99</v>
      </c>
      <c r="S160" s="104">
        <f>+VLOOKUP($B160,'Country-Level Tactics'!$B$5:$AL$248,'Country-Level Tactics'!X$1,FALSE)</f>
        <v>33.99</v>
      </c>
      <c r="T160" s="104">
        <f>+VLOOKUP($B160,'Country-Level Tactics'!$B$5:$AL$248,'Country-Level Tactics'!AC$1,FALSE)</f>
        <v>159.99</v>
      </c>
      <c r="U160" s="104">
        <f>+VLOOKUP($B160,'Country-Level Tactics'!$B$5:$AL$248,'Country-Level Tactics'!T$1,FALSE)</f>
        <v>24.99</v>
      </c>
      <c r="V160" s="104">
        <f t="shared" si="158"/>
        <v>144.99</v>
      </c>
      <c r="W160" s="104">
        <f t="shared" si="159"/>
        <v>21.99</v>
      </c>
      <c r="X160" s="12">
        <f t="shared" si="166"/>
        <v>6.4721977052074138</v>
      </c>
      <c r="Y160" s="12">
        <f t="shared" si="167"/>
        <v>1.3601440576230495</v>
      </c>
      <c r="Z160" s="12">
        <f t="shared" si="168"/>
        <v>6.4021608643457393</v>
      </c>
      <c r="AA160" s="12">
        <f t="shared" si="169"/>
        <v>6.5934515688949533</v>
      </c>
      <c r="AB160" s="12">
        <f t="shared" si="170"/>
        <v>0.87995198079231696</v>
      </c>
      <c r="AD160" s="10">
        <f t="shared" si="176"/>
        <v>0</v>
      </c>
      <c r="AE160" s="10">
        <f t="shared" si="177"/>
        <v>0</v>
      </c>
      <c r="AF160" s="10">
        <f t="shared" si="178"/>
        <v>0</v>
      </c>
      <c r="AG160" s="10">
        <f t="shared" si="179"/>
        <v>0</v>
      </c>
      <c r="AH160" s="10">
        <f t="shared" si="180"/>
        <v>0</v>
      </c>
      <c r="AI160" s="10">
        <f t="shared" si="181"/>
        <v>0</v>
      </c>
      <c r="AK160" s="165">
        <v>0.56845000000000001</v>
      </c>
      <c r="AL160" s="173">
        <f t="shared" si="182"/>
        <v>125.05331550000001</v>
      </c>
      <c r="AM160" s="173">
        <f t="shared" si="182"/>
        <v>19.3216155</v>
      </c>
      <c r="AN160" s="173">
        <f t="shared" si="182"/>
        <v>90.946315500000011</v>
      </c>
      <c r="AO160" s="173">
        <f t="shared" si="182"/>
        <v>14.205565499999999</v>
      </c>
      <c r="AP160" s="173">
        <f t="shared" si="182"/>
        <v>82.419565500000004</v>
      </c>
      <c r="AQ160" s="173">
        <f t="shared" si="182"/>
        <v>12.500215499999999</v>
      </c>
      <c r="AS160" s="22" t="str">
        <f>+VLOOKUP(B160,'Country &amp; Code Abbreviation'!$B$3:$C$245,2,FALSE)</f>
        <v>NZ</v>
      </c>
    </row>
    <row r="161" spans="2:45">
      <c r="B161" s="20" t="s">
        <v>230</v>
      </c>
      <c r="C161" s="20" t="s">
        <v>96</v>
      </c>
      <c r="E161" s="11" t="str">
        <f>+VLOOKUP($B161,'[3]INT Web'!$B$5:$W$247,'[3]INT Web'!Q$1,FALSE)</f>
        <v>NIO</v>
      </c>
      <c r="F161" s="22">
        <f>+VLOOKUP($B161,'[3]INT Web'!$B$5:$W$247,'[3]INT Web'!R$1,FALSE)</f>
        <v>2993.99</v>
      </c>
      <c r="G161" s="22">
        <f>+VLOOKUP($B161,'[3]INT Web'!$B$5:$W$247,'[3]INT Web'!S$1,FALSE)</f>
        <v>498.99</v>
      </c>
      <c r="H161" s="22">
        <f>+VLOOKUP($B161,'[3]INT Web'!$B$5:$W$247,'[3]INT Web'!T$1,FALSE)</f>
        <v>2219.9899999999998</v>
      </c>
      <c r="I161" s="22">
        <f>+VLOOKUP($B161,'[3]INT Web'!$B$5:$W$247,'[3]INT Web'!U$1,FALSE)</f>
        <v>369.99</v>
      </c>
      <c r="J161" s="22">
        <f>+VLOOKUP($B161,'[3]INT Web'!$B$5:$W$247,'[3]INT Web'!V$1,FALSE)</f>
        <v>1997.99</v>
      </c>
      <c r="K161" s="22">
        <f>+VLOOKUP($B161,'[3]INT Web'!$B$5:$W$247,'[3]INT Web'!W$1,FALSE)</f>
        <v>332.99</v>
      </c>
      <c r="L161" s="12">
        <f t="shared" si="171"/>
        <v>6.0001002024088654</v>
      </c>
      <c r="M161" s="12">
        <f t="shared" si="172"/>
        <v>1.3486580718397794</v>
      </c>
      <c r="N161" s="12">
        <f t="shared" si="173"/>
        <v>6.0001351387875337</v>
      </c>
      <c r="O161" s="12">
        <f t="shared" si="174"/>
        <v>6.0001501546592992</v>
      </c>
      <c r="P161" s="12">
        <f t="shared" si="175"/>
        <v>0.89999729722424926</v>
      </c>
      <c r="Q161" s="140" t="str">
        <f t="shared" si="157"/>
        <v>NIO</v>
      </c>
      <c r="R161" s="104">
        <f>+VLOOKUP($B161,'Country-Level Tactics'!$B$5:$AL$248,'Country-Level Tactics'!AH$1,FALSE)</f>
        <v>2993.99</v>
      </c>
      <c r="S161" s="104">
        <f>+VLOOKUP($B161,'Country-Level Tactics'!$B$5:$AL$248,'Country-Level Tactics'!X$1,FALSE)</f>
        <v>498.99</v>
      </c>
      <c r="T161" s="104">
        <f>+VLOOKUP($B161,'Country-Level Tactics'!$B$5:$AL$248,'Country-Level Tactics'!AC$1,FALSE)</f>
        <v>2219.9899999999998</v>
      </c>
      <c r="U161" s="104">
        <f>+VLOOKUP($B161,'Country-Level Tactics'!$B$5:$AL$248,'Country-Level Tactics'!T$1,FALSE)</f>
        <v>369.99</v>
      </c>
      <c r="V161" s="104">
        <f t="shared" si="158"/>
        <v>1997.99</v>
      </c>
      <c r="W161" s="104">
        <f t="shared" si="159"/>
        <v>332.99</v>
      </c>
      <c r="X161" s="12">
        <f t="shared" si="166"/>
        <v>6.0001002024088654</v>
      </c>
      <c r="Y161" s="12">
        <f t="shared" si="167"/>
        <v>1.3486580718397794</v>
      </c>
      <c r="Z161" s="12">
        <f t="shared" si="168"/>
        <v>6.0001351387875337</v>
      </c>
      <c r="AA161" s="12">
        <f t="shared" si="169"/>
        <v>6.0001501546592992</v>
      </c>
      <c r="AB161" s="12">
        <f t="shared" si="170"/>
        <v>0.89999729722424926</v>
      </c>
      <c r="AD161" s="10">
        <f t="shared" si="176"/>
        <v>0</v>
      </c>
      <c r="AE161" s="10">
        <f t="shared" si="177"/>
        <v>0</v>
      </c>
      <c r="AF161" s="10">
        <f t="shared" si="178"/>
        <v>0</v>
      </c>
      <c r="AG161" s="10">
        <f t="shared" si="179"/>
        <v>0</v>
      </c>
      <c r="AH161" s="10">
        <f t="shared" si="180"/>
        <v>0</v>
      </c>
      <c r="AI161" s="10">
        <f t="shared" si="181"/>
        <v>0</v>
      </c>
      <c r="AK161" s="165">
        <v>2.7304276999999998E-2</v>
      </c>
      <c r="AL161" s="173">
        <f t="shared" si="182"/>
        <v>81.748732295229985</v>
      </c>
      <c r="AM161" s="173">
        <f t="shared" si="182"/>
        <v>13.62456118023</v>
      </c>
      <c r="AN161" s="173">
        <f t="shared" si="182"/>
        <v>60.615221897229993</v>
      </c>
      <c r="AO161" s="173">
        <f t="shared" si="182"/>
        <v>10.102309447229999</v>
      </c>
      <c r="AP161" s="173">
        <f t="shared" si="182"/>
        <v>54.553672403229996</v>
      </c>
      <c r="AQ161" s="173">
        <f t="shared" si="182"/>
        <v>9.0920511982299992</v>
      </c>
      <c r="AS161" s="22" t="str">
        <f>+VLOOKUP(B161,'Country &amp; Code Abbreviation'!$B$3:$C$245,2,FALSE)</f>
        <v>NI</v>
      </c>
    </row>
    <row r="162" spans="2:45">
      <c r="B162" s="20" t="s">
        <v>231</v>
      </c>
      <c r="C162" s="20" t="s">
        <v>270</v>
      </c>
      <c r="E162" s="11" t="str">
        <f>+VLOOKUP($B162,'[3]INT Web'!$B$5:$W$247,'[3]INT Web'!Q$1,FALSE)</f>
        <v>XOF</v>
      </c>
      <c r="F162" s="136">
        <f>+VLOOKUP($B162,'[3]INT Web'!$B$5:$W$247,'[3]INT Web'!R$1,FALSE)</f>
        <v>43740</v>
      </c>
      <c r="G162" s="136">
        <f>+VLOOKUP($B162,'[3]INT Web'!$B$5:$W$247,'[3]INT Web'!S$1,FALSE)</f>
        <v>7290</v>
      </c>
      <c r="H162" s="136">
        <f>+VLOOKUP($B162,'[3]INT Web'!$B$5:$W$247,'[3]INT Web'!T$1,FALSE)</f>
        <v>32400</v>
      </c>
      <c r="I162" s="136">
        <f>+VLOOKUP($B162,'[3]INT Web'!$B$5:$W$247,'[3]INT Web'!U$1,FALSE)</f>
        <v>5400</v>
      </c>
      <c r="J162" s="136">
        <f>+VLOOKUP($B162,'[3]INT Web'!$B$5:$W$247,'[3]INT Web'!V$1,FALSE)</f>
        <v>29160</v>
      </c>
      <c r="K162" s="136">
        <f>+VLOOKUP($B162,'[3]INT Web'!$B$5:$W$247,'[3]INT Web'!W$1,FALSE)</f>
        <v>4860</v>
      </c>
      <c r="L162" s="12">
        <f t="shared" si="171"/>
        <v>6</v>
      </c>
      <c r="M162" s="12">
        <f t="shared" si="172"/>
        <v>1.35</v>
      </c>
      <c r="N162" s="12">
        <f t="shared" si="173"/>
        <v>6</v>
      </c>
      <c r="O162" s="12">
        <f t="shared" si="174"/>
        <v>6</v>
      </c>
      <c r="P162" s="12">
        <f t="shared" si="175"/>
        <v>0.9</v>
      </c>
      <c r="Q162" s="143" t="str">
        <f t="shared" si="157"/>
        <v>XOF</v>
      </c>
      <c r="R162" s="137">
        <f>+VLOOKUP($B162,'Country-Level Tactics'!$B$5:$AL$248,'Country-Level Tactics'!AH$1,FALSE)</f>
        <v>43740</v>
      </c>
      <c r="S162" s="137">
        <f>+VLOOKUP($B162,'Country-Level Tactics'!$B$5:$AL$248,'Country-Level Tactics'!X$1,FALSE)</f>
        <v>7290</v>
      </c>
      <c r="T162" s="137">
        <f>+VLOOKUP($B162,'Country-Level Tactics'!$B$5:$AL$248,'Country-Level Tactics'!AC$1,FALSE)</f>
        <v>32400</v>
      </c>
      <c r="U162" s="137">
        <f>+VLOOKUP($B162,'Country-Level Tactics'!$B$5:$AL$248,'Country-Level Tactics'!T$1,FALSE)</f>
        <v>5400</v>
      </c>
      <c r="V162" s="104">
        <f t="shared" si="158"/>
        <v>29160</v>
      </c>
      <c r="W162" s="104">
        <f t="shared" si="159"/>
        <v>4860</v>
      </c>
      <c r="X162" s="12">
        <f t="shared" si="166"/>
        <v>6</v>
      </c>
      <c r="Y162" s="12">
        <f t="shared" si="167"/>
        <v>1.35</v>
      </c>
      <c r="Z162" s="12">
        <f t="shared" si="168"/>
        <v>6</v>
      </c>
      <c r="AA162" s="12">
        <f t="shared" si="169"/>
        <v>6</v>
      </c>
      <c r="AB162" s="12">
        <f t="shared" si="170"/>
        <v>0.9</v>
      </c>
      <c r="AD162" s="10">
        <f t="shared" si="176"/>
        <v>0</v>
      </c>
      <c r="AE162" s="10">
        <f t="shared" si="177"/>
        <v>0</v>
      </c>
      <c r="AF162" s="10">
        <f t="shared" si="178"/>
        <v>0</v>
      </c>
      <c r="AG162" s="10">
        <f t="shared" si="179"/>
        <v>0</v>
      </c>
      <c r="AH162" s="10">
        <f t="shared" si="180"/>
        <v>0</v>
      </c>
      <c r="AI162" s="10">
        <f t="shared" si="181"/>
        <v>0</v>
      </c>
      <c r="AK162" s="165">
        <v>1.7405866999999999E-3</v>
      </c>
      <c r="AL162" s="173">
        <f t="shared" si="182"/>
        <v>76.133262258000002</v>
      </c>
      <c r="AM162" s="173">
        <f t="shared" si="182"/>
        <v>12.688877043</v>
      </c>
      <c r="AN162" s="173">
        <f t="shared" si="182"/>
        <v>56.395009080000001</v>
      </c>
      <c r="AO162" s="173">
        <f t="shared" si="182"/>
        <v>9.3991681800000002</v>
      </c>
      <c r="AP162" s="173">
        <f t="shared" si="182"/>
        <v>50.755508171999999</v>
      </c>
      <c r="AQ162" s="173">
        <f t="shared" si="182"/>
        <v>8.4592513619999998</v>
      </c>
      <c r="AS162" s="22" t="str">
        <f>+VLOOKUP(B162,'Country &amp; Code Abbreviation'!$B$3:$C$245,2,FALSE)</f>
        <v>NE</v>
      </c>
    </row>
    <row r="163" spans="2:45" ht="13.4" customHeight="1">
      <c r="B163" s="100" t="s">
        <v>232</v>
      </c>
      <c r="C163" s="100" t="s">
        <v>270</v>
      </c>
      <c r="E163" s="11" t="str">
        <f>+VLOOKUP($B163,'[3]INT Web'!$B$5:$W$247,'[3]INT Web'!Q$1,FALSE)</f>
        <v>NGN</v>
      </c>
      <c r="F163" s="136">
        <f>+VLOOKUP($B163,'[3]INT Web'!$B$5:$W$247,'[3]INT Web'!R$1,FALSE)</f>
        <v>46900</v>
      </c>
      <c r="G163" s="136">
        <f>+VLOOKUP($B163,'[3]INT Web'!$B$5:$W$247,'[3]INT Web'!S$1,FALSE)</f>
        <v>7900</v>
      </c>
      <c r="H163" s="136">
        <f>+VLOOKUP($B163,'[3]INT Web'!$B$5:$W$247,'[3]INT Web'!T$1,FALSE)</f>
        <v>34900</v>
      </c>
      <c r="I163" s="136">
        <f>+VLOOKUP($B163,'[3]INT Web'!$B$5:$W$247,'[3]INT Web'!U$1,FALSE)</f>
        <v>5900</v>
      </c>
      <c r="J163" s="136">
        <f>+VLOOKUP($B163,'[3]INT Web'!$B$5:$W$247,'[3]INT Web'!V$1,FALSE)</f>
        <v>31900</v>
      </c>
      <c r="K163" s="136">
        <f>+VLOOKUP($B163,'[3]INT Web'!$B$5:$W$247,'[3]INT Web'!W$1,FALSE)</f>
        <v>5400</v>
      </c>
      <c r="L163" s="12">
        <f t="shared" si="171"/>
        <v>5.9367088607594933</v>
      </c>
      <c r="M163" s="12">
        <f t="shared" si="172"/>
        <v>1.3389830508474576</v>
      </c>
      <c r="N163" s="12">
        <f t="shared" si="173"/>
        <v>5.9152542372881358</v>
      </c>
      <c r="O163" s="12">
        <f t="shared" si="174"/>
        <v>5.9074074074074074</v>
      </c>
      <c r="P163" s="12">
        <f t="shared" si="175"/>
        <v>0.9152542372881356</v>
      </c>
      <c r="Q163" s="143" t="str">
        <f t="shared" ref="Q163:Q194" si="183">+E163</f>
        <v>NGN</v>
      </c>
      <c r="R163" s="209">
        <f>+VLOOKUP($B163,'Country-Level Tactics'!$B$5:$AL$248,'Country-Level Tactics'!AH$1,FALSE)</f>
        <v>48800</v>
      </c>
      <c r="S163" s="209">
        <f>+VLOOKUP($B163,'Country-Level Tactics'!$B$5:$AL$248,'Country-Level Tactics'!X$1,FALSE)</f>
        <v>8200</v>
      </c>
      <c r="T163" s="209">
        <f>+VLOOKUP($B163,'Country-Level Tactics'!$B$5:$AL$248,'Country-Level Tactics'!AC$1,FALSE)</f>
        <v>36300</v>
      </c>
      <c r="U163" s="209">
        <f>+VLOOKUP($B163,'Country-Level Tactics'!$B$5:$AL$248,'Country-Level Tactics'!T$1,FALSE)</f>
        <v>6100</v>
      </c>
      <c r="V163" s="210">
        <f>+MROUND(W163*O163,100)</f>
        <v>33100</v>
      </c>
      <c r="W163" s="210">
        <f>+MROUND(U163*P163,100)</f>
        <v>5600</v>
      </c>
      <c r="X163" s="12">
        <f t="shared" si="166"/>
        <v>5.9512195121951219</v>
      </c>
      <c r="Y163" s="12">
        <f t="shared" si="167"/>
        <v>1.3442622950819672</v>
      </c>
      <c r="Z163" s="12">
        <f t="shared" si="168"/>
        <v>5.9508196721311473</v>
      </c>
      <c r="AA163" s="12">
        <f t="shared" si="169"/>
        <v>5.9107142857142856</v>
      </c>
      <c r="AB163" s="12">
        <f t="shared" si="170"/>
        <v>0.91803278688524592</v>
      </c>
      <c r="AD163" s="10">
        <f t="shared" si="176"/>
        <v>4.051172707889128E-2</v>
      </c>
      <c r="AE163" s="10">
        <f t="shared" si="177"/>
        <v>3.7974683544303778E-2</v>
      </c>
      <c r="AF163" s="10">
        <f t="shared" si="178"/>
        <v>4.0114613180515679E-2</v>
      </c>
      <c r="AG163" s="10">
        <f t="shared" si="179"/>
        <v>3.3898305084745672E-2</v>
      </c>
      <c r="AH163" s="10">
        <f t="shared" si="180"/>
        <v>3.7617554858934144E-2</v>
      </c>
      <c r="AI163" s="10">
        <f t="shared" si="181"/>
        <v>3.7037037037036979E-2</v>
      </c>
      <c r="AK163" s="165">
        <v>7.3002029999999995E-4</v>
      </c>
      <c r="AL163" s="173">
        <f t="shared" si="182"/>
        <v>35.62499064</v>
      </c>
      <c r="AM163" s="173">
        <f t="shared" si="182"/>
        <v>5.9861664599999997</v>
      </c>
      <c r="AN163" s="173">
        <f t="shared" si="182"/>
        <v>26.499736889999998</v>
      </c>
      <c r="AO163" s="173">
        <f t="shared" si="182"/>
        <v>4.45312383</v>
      </c>
      <c r="AP163" s="173">
        <f t="shared" si="182"/>
        <v>24.16367193</v>
      </c>
      <c r="AQ163" s="173">
        <f t="shared" si="182"/>
        <v>4.0881136799999993</v>
      </c>
      <c r="AS163" s="22" t="str">
        <f>+VLOOKUP(B163,'Country &amp; Code Abbreviation'!$B$3:$C$245,2,FALSE)</f>
        <v>NG</v>
      </c>
    </row>
    <row r="164" spans="2:45">
      <c r="B164" s="20" t="s">
        <v>233</v>
      </c>
      <c r="C164" s="20" t="s">
        <v>182</v>
      </c>
      <c r="E164" s="11" t="str">
        <f>+VLOOKUP($B164,'[3]INT Web'!$B$5:$W$247,'[3]INT Web'!Q$1,FALSE)</f>
        <v>NZD</v>
      </c>
      <c r="F164" s="22">
        <f>+VLOOKUP($B164,'[3]INT Web'!$B$5:$W$247,'[3]INT Web'!R$1,FALSE)</f>
        <v>203.99</v>
      </c>
      <c r="G164" s="22">
        <f>+VLOOKUP($B164,'[3]INT Web'!$B$5:$W$247,'[3]INT Web'!S$1,FALSE)</f>
        <v>33.99</v>
      </c>
      <c r="H164" s="22">
        <f>+VLOOKUP($B164,'[3]INT Web'!$B$5:$W$247,'[3]INT Web'!T$1,FALSE)</f>
        <v>149.99</v>
      </c>
      <c r="I164" s="22">
        <f>+VLOOKUP($B164,'[3]INT Web'!$B$5:$W$247,'[3]INT Web'!U$1,FALSE)</f>
        <v>24.99</v>
      </c>
      <c r="J164" s="22">
        <f>+VLOOKUP($B164,'[3]INT Web'!$B$5:$W$247,'[3]INT Web'!V$1,FALSE)</f>
        <v>144.99</v>
      </c>
      <c r="K164" s="22">
        <f>+VLOOKUP($B164,'[3]INT Web'!$B$5:$W$247,'[3]INT Web'!W$1,FALSE)</f>
        <v>21.99</v>
      </c>
      <c r="L164" s="12">
        <f t="shared" si="171"/>
        <v>6.0014710208884967</v>
      </c>
      <c r="M164" s="12">
        <f t="shared" si="172"/>
        <v>1.3601440576230495</v>
      </c>
      <c r="N164" s="12">
        <f t="shared" si="173"/>
        <v>6.0020008003201291</v>
      </c>
      <c r="O164" s="12">
        <f t="shared" si="174"/>
        <v>6.5934515688949533</v>
      </c>
      <c r="P164" s="12">
        <f t="shared" si="175"/>
        <v>0.87995198079231696</v>
      </c>
      <c r="Q164" s="140" t="str">
        <f t="shared" si="183"/>
        <v>NZD</v>
      </c>
      <c r="R164" s="104">
        <f>+VLOOKUP($B164,'Country-Level Tactics'!$B$5:$AL$248,'Country-Level Tactics'!AH$1,FALSE)</f>
        <v>203.99</v>
      </c>
      <c r="S164" s="104">
        <f>+VLOOKUP($B164,'Country-Level Tactics'!$B$5:$AL$248,'Country-Level Tactics'!X$1,FALSE)</f>
        <v>33.99</v>
      </c>
      <c r="T164" s="104">
        <f>+VLOOKUP($B164,'Country-Level Tactics'!$B$5:$AL$248,'Country-Level Tactics'!AC$1,FALSE)</f>
        <v>149.99</v>
      </c>
      <c r="U164" s="104">
        <f>+VLOOKUP($B164,'Country-Level Tactics'!$B$5:$AL$248,'Country-Level Tactics'!T$1,FALSE)</f>
        <v>24.99</v>
      </c>
      <c r="V164" s="104">
        <f t="shared" ref="V164:V176" si="184">+J164</f>
        <v>144.99</v>
      </c>
      <c r="W164" s="104">
        <f t="shared" ref="W164:W176" si="185">+K164</f>
        <v>21.99</v>
      </c>
      <c r="X164" s="12">
        <f t="shared" si="166"/>
        <v>6.0014710208884967</v>
      </c>
      <c r="Y164" s="12">
        <f t="shared" si="167"/>
        <v>1.3601440576230495</v>
      </c>
      <c r="Z164" s="12">
        <f t="shared" si="168"/>
        <v>6.0020008003201291</v>
      </c>
      <c r="AA164" s="12">
        <f t="shared" si="169"/>
        <v>6.5934515688949533</v>
      </c>
      <c r="AB164" s="12">
        <f t="shared" si="170"/>
        <v>0.87995198079231696</v>
      </c>
      <c r="AD164" s="10">
        <f t="shared" si="176"/>
        <v>0</v>
      </c>
      <c r="AE164" s="10">
        <f t="shared" si="177"/>
        <v>0</v>
      </c>
      <c r="AF164" s="10">
        <f t="shared" si="178"/>
        <v>0</v>
      </c>
      <c r="AG164" s="10">
        <f t="shared" si="179"/>
        <v>0</v>
      </c>
      <c r="AH164" s="10">
        <f t="shared" si="180"/>
        <v>0</v>
      </c>
      <c r="AI164" s="10">
        <f t="shared" si="181"/>
        <v>0</v>
      </c>
      <c r="AK164" s="165">
        <v>0.56845000000000001</v>
      </c>
      <c r="AL164" s="173">
        <f t="shared" si="182"/>
        <v>115.95811550000001</v>
      </c>
      <c r="AM164" s="173">
        <f t="shared" si="182"/>
        <v>19.3216155</v>
      </c>
      <c r="AN164" s="173">
        <f t="shared" si="182"/>
        <v>85.261815500000012</v>
      </c>
      <c r="AO164" s="173">
        <f t="shared" si="182"/>
        <v>14.205565499999999</v>
      </c>
      <c r="AP164" s="173">
        <f t="shared" si="182"/>
        <v>82.419565500000004</v>
      </c>
      <c r="AQ164" s="173">
        <f t="shared" si="182"/>
        <v>12.500215499999999</v>
      </c>
      <c r="AS164" s="22" t="str">
        <f>+VLOOKUP(B164,'Country &amp; Code Abbreviation'!$B$3:$C$245,2,FALSE)</f>
        <v>NU</v>
      </c>
    </row>
    <row r="165" spans="2:45">
      <c r="B165" s="20" t="s">
        <v>234</v>
      </c>
      <c r="C165" s="20" t="s">
        <v>182</v>
      </c>
      <c r="E165" s="11" t="str">
        <f>+VLOOKUP($B165,'[3]INT Web'!$B$5:$W$247,'[3]INT Web'!Q$1,FALSE)</f>
        <v>AUD</v>
      </c>
      <c r="F165" s="22">
        <f>+VLOOKUP($B165,'[3]INT Web'!$B$5:$W$247,'[3]INT Web'!R$1,FALSE)</f>
        <v>161.99</v>
      </c>
      <c r="G165" s="22">
        <f>+VLOOKUP($B165,'[3]INT Web'!$B$5:$W$247,'[3]INT Web'!S$1,FALSE)</f>
        <v>26.99</v>
      </c>
      <c r="H165" s="22">
        <f>+VLOOKUP($B165,'[3]INT Web'!$B$5:$W$247,'[3]INT Web'!T$1,FALSE)</f>
        <v>119.99</v>
      </c>
      <c r="I165" s="22">
        <f>+VLOOKUP($B165,'[3]INT Web'!$B$5:$W$247,'[3]INT Web'!U$1,FALSE)</f>
        <v>19.989999999999998</v>
      </c>
      <c r="J165" s="22">
        <f>+VLOOKUP($B165,'[3]INT Web'!$B$5:$W$247,'[3]INT Web'!V$1,FALSE)</f>
        <v>107.99</v>
      </c>
      <c r="K165" s="22">
        <f>+VLOOKUP($B165,'[3]INT Web'!$B$5:$W$247,'[3]INT Web'!W$1,FALSE)</f>
        <v>17.989999999999998</v>
      </c>
      <c r="L165" s="12">
        <f t="shared" si="171"/>
        <v>6.0018525379770296</v>
      </c>
      <c r="M165" s="12">
        <f t="shared" si="172"/>
        <v>1.3501750875437719</v>
      </c>
      <c r="N165" s="12">
        <f t="shared" si="173"/>
        <v>6.002501250625313</v>
      </c>
      <c r="O165" s="12">
        <f t="shared" si="174"/>
        <v>6.0027793218454697</v>
      </c>
      <c r="P165" s="12">
        <f t="shared" si="175"/>
        <v>0.89994997498749374</v>
      </c>
      <c r="Q165" s="140" t="str">
        <f t="shared" si="183"/>
        <v>AUD</v>
      </c>
      <c r="R165" s="104">
        <f>+VLOOKUP($B165,'Country-Level Tactics'!$B$5:$AL$248,'Country-Level Tactics'!AH$1,FALSE)</f>
        <v>161.99</v>
      </c>
      <c r="S165" s="104">
        <f>+VLOOKUP($B165,'Country-Level Tactics'!$B$5:$AL$248,'Country-Level Tactics'!X$1,FALSE)</f>
        <v>26.99</v>
      </c>
      <c r="T165" s="104">
        <f>+VLOOKUP($B165,'Country-Level Tactics'!$B$5:$AL$248,'Country-Level Tactics'!AC$1,FALSE)</f>
        <v>119.99</v>
      </c>
      <c r="U165" s="104">
        <f>+VLOOKUP($B165,'Country-Level Tactics'!$B$5:$AL$248,'Country-Level Tactics'!T$1,FALSE)</f>
        <v>19.989999999999998</v>
      </c>
      <c r="V165" s="104">
        <f t="shared" si="184"/>
        <v>107.99</v>
      </c>
      <c r="W165" s="104">
        <f t="shared" si="185"/>
        <v>17.989999999999998</v>
      </c>
      <c r="X165" s="12">
        <f t="shared" si="166"/>
        <v>6.0018525379770296</v>
      </c>
      <c r="Y165" s="12">
        <f t="shared" si="167"/>
        <v>1.3501750875437719</v>
      </c>
      <c r="Z165" s="12">
        <f t="shared" si="168"/>
        <v>6.002501250625313</v>
      </c>
      <c r="AA165" s="12">
        <f t="shared" si="169"/>
        <v>6.0027793218454697</v>
      </c>
      <c r="AB165" s="12">
        <f t="shared" si="170"/>
        <v>0.89994997498749374</v>
      </c>
      <c r="AD165" s="10">
        <f t="shared" si="176"/>
        <v>0</v>
      </c>
      <c r="AE165" s="10">
        <f t="shared" si="177"/>
        <v>0</v>
      </c>
      <c r="AF165" s="10">
        <f t="shared" si="178"/>
        <v>0</v>
      </c>
      <c r="AG165" s="10">
        <f t="shared" si="179"/>
        <v>0</v>
      </c>
      <c r="AH165" s="10">
        <f t="shared" si="180"/>
        <v>0</v>
      </c>
      <c r="AI165" s="10">
        <f t="shared" si="181"/>
        <v>0</v>
      </c>
      <c r="AK165" s="165">
        <v>0.69374999999999998</v>
      </c>
      <c r="AL165" s="173">
        <f t="shared" si="182"/>
        <v>112.3805625</v>
      </c>
      <c r="AM165" s="173">
        <f t="shared" si="182"/>
        <v>18.7243125</v>
      </c>
      <c r="AN165" s="173">
        <f t="shared" si="182"/>
        <v>83.243062499999994</v>
      </c>
      <c r="AO165" s="173">
        <f t="shared" si="182"/>
        <v>13.868062499999999</v>
      </c>
      <c r="AP165" s="173">
        <f t="shared" si="182"/>
        <v>74.918062499999991</v>
      </c>
      <c r="AQ165" s="173">
        <f t="shared" si="182"/>
        <v>12.480562499999998</v>
      </c>
      <c r="AS165" s="22" t="str">
        <f>+VLOOKUP(B165,'Country &amp; Code Abbreviation'!$B$3:$C$245,2,FALSE)</f>
        <v>NF</v>
      </c>
    </row>
    <row r="166" spans="2:45">
      <c r="B166" s="20" t="s">
        <v>235</v>
      </c>
      <c r="C166" s="20" t="s">
        <v>182</v>
      </c>
      <c r="E166" s="11" t="str">
        <f>+VLOOKUP($B166,'[3]INT Web'!$B$5:$W$247,'[3]INT Web'!Q$1,FALSE)</f>
        <v>USD</v>
      </c>
      <c r="F166" s="22">
        <f>+VLOOKUP($B166,'[3]INT Web'!$B$5:$W$247,'[3]INT Web'!R$1,FALSE)</f>
        <v>129.99</v>
      </c>
      <c r="G166" s="22">
        <f>+VLOOKUP($B166,'[3]INT Web'!$B$5:$W$247,'[3]INT Web'!S$1,FALSE)</f>
        <v>18.989999999999998</v>
      </c>
      <c r="H166" s="22">
        <f>+VLOOKUP($B166,'[3]INT Web'!$B$5:$W$247,'[3]INT Web'!T$1,FALSE)</f>
        <v>83.99</v>
      </c>
      <c r="I166" s="22">
        <f>+VLOOKUP($B166,'[3]INT Web'!$B$5:$W$247,'[3]INT Web'!U$1,FALSE)</f>
        <v>13.99</v>
      </c>
      <c r="J166" s="22">
        <f>+VLOOKUP($B166,'[3]INT Web'!$B$5:$W$247,'[3]INT Web'!V$1,FALSE)</f>
        <v>77.989999999999995</v>
      </c>
      <c r="K166" s="22">
        <f>+VLOOKUP($B166,'[3]INT Web'!$B$5:$W$247,'[3]INT Web'!W$1,FALSE)</f>
        <v>12.99</v>
      </c>
      <c r="L166" s="12">
        <f t="shared" si="171"/>
        <v>6.8451816745655618</v>
      </c>
      <c r="M166" s="12">
        <f t="shared" si="172"/>
        <v>1.3573981415296639</v>
      </c>
      <c r="N166" s="12">
        <f t="shared" si="173"/>
        <v>6.003573981415296</v>
      </c>
      <c r="O166" s="12">
        <f t="shared" si="174"/>
        <v>6.0038491147036179</v>
      </c>
      <c r="P166" s="12">
        <f t="shared" si="175"/>
        <v>0.9285203716940672</v>
      </c>
      <c r="Q166" s="140" t="str">
        <f t="shared" si="183"/>
        <v>USD</v>
      </c>
      <c r="R166" s="104">
        <f>+VLOOKUP($B166,'Country-Level Tactics'!$B$5:$AL$248,'Country-Level Tactics'!AH$1,FALSE)</f>
        <v>129.99</v>
      </c>
      <c r="S166" s="104">
        <f>+VLOOKUP($B166,'Country-Level Tactics'!$B$5:$AL$248,'Country-Level Tactics'!X$1,FALSE)</f>
        <v>18.989999999999998</v>
      </c>
      <c r="T166" s="104">
        <f>+VLOOKUP($B166,'Country-Level Tactics'!$B$5:$AL$248,'Country-Level Tactics'!AC$1,FALSE)</f>
        <v>83.99</v>
      </c>
      <c r="U166" s="104">
        <f>+VLOOKUP($B166,'Country-Level Tactics'!$B$5:$AL$248,'Country-Level Tactics'!T$1,FALSE)</f>
        <v>13.99</v>
      </c>
      <c r="V166" s="104">
        <f t="shared" si="184"/>
        <v>77.989999999999995</v>
      </c>
      <c r="W166" s="104">
        <f t="shared" si="185"/>
        <v>12.99</v>
      </c>
      <c r="X166" s="12">
        <f t="shared" si="166"/>
        <v>6.8451816745655618</v>
      </c>
      <c r="Y166" s="12">
        <f t="shared" si="167"/>
        <v>1.3573981415296639</v>
      </c>
      <c r="Z166" s="12">
        <f t="shared" si="168"/>
        <v>6.003573981415296</v>
      </c>
      <c r="AA166" s="12">
        <f t="shared" si="169"/>
        <v>6.0038491147036179</v>
      </c>
      <c r="AB166" s="12">
        <f t="shared" si="170"/>
        <v>0.9285203716940672</v>
      </c>
      <c r="AD166" s="10">
        <f t="shared" si="176"/>
        <v>0</v>
      </c>
      <c r="AE166" s="10">
        <f t="shared" si="177"/>
        <v>0</v>
      </c>
      <c r="AF166" s="10">
        <f t="shared" si="178"/>
        <v>0</v>
      </c>
      <c r="AG166" s="10">
        <f t="shared" si="179"/>
        <v>0</v>
      </c>
      <c r="AH166" s="10">
        <f t="shared" si="180"/>
        <v>0</v>
      </c>
      <c r="AI166" s="10">
        <f t="shared" si="181"/>
        <v>0</v>
      </c>
      <c r="AK166" s="165">
        <v>1</v>
      </c>
      <c r="AL166" s="173">
        <f t="shared" si="182"/>
        <v>129.99</v>
      </c>
      <c r="AM166" s="173">
        <f t="shared" si="182"/>
        <v>18.989999999999998</v>
      </c>
      <c r="AN166" s="173">
        <f t="shared" si="182"/>
        <v>83.99</v>
      </c>
      <c r="AO166" s="173">
        <f t="shared" si="182"/>
        <v>13.99</v>
      </c>
      <c r="AP166" s="173">
        <f t="shared" si="182"/>
        <v>77.989999999999995</v>
      </c>
      <c r="AQ166" s="173">
        <f t="shared" si="182"/>
        <v>12.99</v>
      </c>
      <c r="AS166" s="22" t="str">
        <f>+VLOOKUP(B166,'Country &amp; Code Abbreviation'!$B$3:$C$245,2,FALSE)</f>
        <v>MP</v>
      </c>
    </row>
    <row r="167" spans="2:45" hidden="1" outlineLevel="1">
      <c r="B167" s="20" t="s">
        <v>236</v>
      </c>
      <c r="C167" s="20" t="s">
        <v>182</v>
      </c>
      <c r="E167" s="11">
        <f>+VLOOKUP($B167,'[3]INT Web'!$B$5:$W$247,'[3]INT Web'!Q$1,FALSE)</f>
        <v>0</v>
      </c>
      <c r="F167" s="22">
        <f>+VLOOKUP($B167,'[3]INT Web'!$B$5:$W$247,'[3]INT Web'!R$1,FALSE)</f>
        <v>0</v>
      </c>
      <c r="G167" s="22">
        <f>+VLOOKUP($B167,'[3]INT Web'!$B$5:$W$247,'[3]INT Web'!S$1,FALSE)</f>
        <v>0</v>
      </c>
      <c r="H167" s="22">
        <f>+VLOOKUP($B167,'[3]INT Web'!$B$5:$W$247,'[3]INT Web'!T$1,FALSE)</f>
        <v>0</v>
      </c>
      <c r="I167" s="22">
        <f>+VLOOKUP($B167,'[3]INT Web'!$B$5:$W$247,'[3]INT Web'!U$1,FALSE)</f>
        <v>0</v>
      </c>
      <c r="J167" s="22">
        <f>+VLOOKUP($B167,'[3]INT Web'!$B$5:$W$247,'[3]INT Web'!V$1,FALSE)</f>
        <v>0</v>
      </c>
      <c r="K167" s="22">
        <f>+VLOOKUP($B167,'[3]INT Web'!$B$5:$W$247,'[3]INT Web'!W$1,FALSE)</f>
        <v>0</v>
      </c>
      <c r="L167" s="28"/>
      <c r="M167" s="28"/>
      <c r="N167" s="28"/>
      <c r="O167" s="28"/>
      <c r="P167" s="28"/>
      <c r="Q167" s="142">
        <f t="shared" si="183"/>
        <v>0</v>
      </c>
      <c r="R167" s="104">
        <f>+VLOOKUP($B167,'Country-Level Tactics'!$B$5:$AL$248,'Country-Level Tactics'!AH$1,FALSE)</f>
        <v>0</v>
      </c>
      <c r="S167" s="104">
        <f>+VLOOKUP($B167,'Country-Level Tactics'!$B$5:$AL$248,'Country-Level Tactics'!X$1,FALSE)</f>
        <v>0</v>
      </c>
      <c r="T167" s="104">
        <f>+VLOOKUP($B167,'Country-Level Tactics'!$B$5:$AL$248,'Country-Level Tactics'!AC$1,FALSE)</f>
        <v>0</v>
      </c>
      <c r="U167" s="104">
        <f>+VLOOKUP($B167,'Country-Level Tactics'!$B$5:$AL$248,'Country-Level Tactics'!T$1,FALSE)</f>
        <v>0</v>
      </c>
      <c r="V167" s="104">
        <f t="shared" si="184"/>
        <v>0</v>
      </c>
      <c r="W167" s="104">
        <f t="shared" si="185"/>
        <v>0</v>
      </c>
      <c r="X167" s="12"/>
      <c r="Y167" s="12"/>
      <c r="Z167" s="12"/>
      <c r="AA167" s="12"/>
      <c r="AB167" s="12"/>
      <c r="AD167" s="10"/>
      <c r="AE167" s="10"/>
      <c r="AF167" s="10"/>
      <c r="AG167" s="10"/>
      <c r="AH167" s="10"/>
      <c r="AI167" s="10"/>
      <c r="AK167" s="165" t="s">
        <v>1513</v>
      </c>
      <c r="AL167" s="173"/>
      <c r="AM167" s="173"/>
      <c r="AN167" s="173"/>
      <c r="AO167" s="173"/>
      <c r="AP167" s="173"/>
      <c r="AQ167" s="173"/>
      <c r="AS167" s="22"/>
    </row>
    <row r="168" spans="2:45" collapsed="1">
      <c r="B168" s="20" t="s">
        <v>237</v>
      </c>
      <c r="C168" s="20" t="s">
        <v>100</v>
      </c>
      <c r="E168" s="11" t="str">
        <f>+VLOOKUP($B168,'[3]INT Web'!$B$5:$W$247,'[3]INT Web'!Q$1,FALSE)</f>
        <v>NOK</v>
      </c>
      <c r="F168" s="22">
        <f>+VLOOKUP($B168,'[3]INT Web'!$B$5:$W$247,'[3]INT Web'!R$1,FALSE)</f>
        <v>1399.99</v>
      </c>
      <c r="G168" s="22">
        <f>+VLOOKUP($B168,'[3]INT Web'!$B$5:$W$247,'[3]INT Web'!S$1,FALSE)</f>
        <v>209.99</v>
      </c>
      <c r="H168" s="22">
        <f>+VLOOKUP($B168,'[3]INT Web'!$B$5:$W$247,'[3]INT Web'!T$1,FALSE)</f>
        <v>999.99</v>
      </c>
      <c r="I168" s="22">
        <f>+VLOOKUP($B168,'[3]INT Web'!$B$5:$W$247,'[3]INT Web'!U$1,FALSE)</f>
        <v>149.99</v>
      </c>
      <c r="J168" s="22">
        <f>+VLOOKUP($B168,'[3]INT Web'!$B$5:$W$247,'[3]INT Web'!V$1,FALSE)</f>
        <v>979.99</v>
      </c>
      <c r="K168" s="22">
        <f>+VLOOKUP($B168,'[3]INT Web'!$B$5:$W$247,'[3]INT Web'!W$1,FALSE)</f>
        <v>139.99</v>
      </c>
      <c r="L168" s="12">
        <f t="shared" ref="L168:L183" si="186">+F168/G168</f>
        <v>6.6669365207867042</v>
      </c>
      <c r="M168" s="12">
        <f t="shared" ref="M168:M183" si="187">+G168/I168</f>
        <v>1.400026668444563</v>
      </c>
      <c r="N168" s="12">
        <f t="shared" ref="N168:N183" si="188">+H168/I168</f>
        <v>6.6670444696313087</v>
      </c>
      <c r="O168" s="12">
        <f t="shared" ref="O168:O183" si="189">+J168/K168</f>
        <v>7.0004286020430024</v>
      </c>
      <c r="P168" s="12">
        <f t="shared" ref="P168:P183" si="190">+K168/I168</f>
        <v>0.93332888859257279</v>
      </c>
      <c r="Q168" s="140" t="str">
        <f t="shared" si="183"/>
        <v>NOK</v>
      </c>
      <c r="R168" s="104">
        <f>+VLOOKUP($B168,'Country-Level Tactics'!$B$5:$AL$248,'Country-Level Tactics'!AH$1,FALSE)</f>
        <v>1399.99</v>
      </c>
      <c r="S168" s="104">
        <f>+VLOOKUP($B168,'Country-Level Tactics'!$B$5:$AL$248,'Country-Level Tactics'!X$1,FALSE)</f>
        <v>209.99</v>
      </c>
      <c r="T168" s="104">
        <f>+VLOOKUP($B168,'Country-Level Tactics'!$B$5:$AL$248,'Country-Level Tactics'!AC$1,FALSE)</f>
        <v>999.99</v>
      </c>
      <c r="U168" s="104">
        <f>+VLOOKUP($B168,'Country-Level Tactics'!$B$5:$AL$248,'Country-Level Tactics'!T$1,FALSE)</f>
        <v>149.99</v>
      </c>
      <c r="V168" s="104">
        <f t="shared" si="184"/>
        <v>979.99</v>
      </c>
      <c r="W168" s="104">
        <f t="shared" si="185"/>
        <v>139.99</v>
      </c>
      <c r="X168" s="12">
        <f t="shared" ref="X168:X183" si="191">+R168/S168</f>
        <v>6.6669365207867042</v>
      </c>
      <c r="Y168" s="12">
        <f t="shared" ref="Y168:Y183" si="192">+S168/U168</f>
        <v>1.400026668444563</v>
      </c>
      <c r="Z168" s="12">
        <f t="shared" ref="Z168:Z183" si="193">+T168/U168</f>
        <v>6.6670444696313087</v>
      </c>
      <c r="AA168" s="12">
        <f t="shared" ref="AA168:AA183" si="194">+V168/W168</f>
        <v>7.0004286020430024</v>
      </c>
      <c r="AB168" s="12">
        <f t="shared" ref="AB168:AB183" si="195">+W168/U168</f>
        <v>0.93332888859257279</v>
      </c>
      <c r="AC168" s="10"/>
      <c r="AD168" s="10">
        <f t="shared" ref="AD168:AD183" si="196">+R168/F168-1</f>
        <v>0</v>
      </c>
      <c r="AE168" s="10">
        <f t="shared" ref="AE168:AE183" si="197">+S168/G168-1</f>
        <v>0</v>
      </c>
      <c r="AF168" s="10">
        <f t="shared" ref="AF168:AF183" si="198">+T168/H168-1</f>
        <v>0</v>
      </c>
      <c r="AG168" s="10">
        <f t="shared" ref="AG168:AG183" si="199">+U168/I168-1</f>
        <v>0</v>
      </c>
      <c r="AH168" s="10">
        <f t="shared" ref="AH168:AH183" si="200">+V168/J168-1</f>
        <v>0</v>
      </c>
      <c r="AI168" s="10">
        <f t="shared" ref="AI168:AI183" si="201">+W168/K168-1</f>
        <v>0</v>
      </c>
      <c r="AK168" s="165">
        <v>0.1016534</v>
      </c>
      <c r="AL168" s="173">
        <f t="shared" ref="AL168:AL183" si="202">+R168*$AK168</f>
        <v>142.31374346600001</v>
      </c>
      <c r="AM168" s="173">
        <f t="shared" ref="AM168:AM183" si="203">+S168*$AK168</f>
        <v>21.346197466000003</v>
      </c>
      <c r="AN168" s="173">
        <f t="shared" ref="AN168:AN183" si="204">+T168*$AK168</f>
        <v>101.652383466</v>
      </c>
      <c r="AO168" s="173">
        <f t="shared" ref="AO168:AO183" si="205">+U168*$AK168</f>
        <v>15.246993466000001</v>
      </c>
      <c r="AP168" s="173">
        <f t="shared" ref="AP168:AP183" si="206">+V168*$AK168</f>
        <v>99.619315466000003</v>
      </c>
      <c r="AQ168" s="173">
        <f t="shared" ref="AQ168:AQ183" si="207">+W168*$AK168</f>
        <v>14.230459466000001</v>
      </c>
      <c r="AS168" s="22" t="str">
        <f>+VLOOKUP(B168,'Country &amp; Code Abbreviation'!$B$3:$C$245,2,FALSE)</f>
        <v>NO</v>
      </c>
    </row>
    <row r="169" spans="2:45" ht="13.4" customHeight="1">
      <c r="B169" s="20" t="s">
        <v>238</v>
      </c>
      <c r="C169" s="20" t="s">
        <v>275</v>
      </c>
      <c r="E169" s="11" t="str">
        <f>+VLOOKUP($B169,'[3]INT Web'!$B$5:$W$247,'[3]INT Web'!Q$1,FALSE)</f>
        <v>OMR</v>
      </c>
      <c r="F169" s="190">
        <f>+VLOOKUP($B169,'[3]INT Web'!$B$5:$W$247,'[3]INT Web'!R$1,FALSE)</f>
        <v>29.998999999999999</v>
      </c>
      <c r="G169" s="190">
        <f>+VLOOKUP($B169,'[3]INT Web'!$B$5:$W$247,'[3]INT Web'!S$1,FALSE)</f>
        <v>4.9989999999999997</v>
      </c>
      <c r="H169" s="190">
        <f>+VLOOKUP($B169,'[3]INT Web'!$B$5:$W$247,'[3]INT Web'!T$1,FALSE)</f>
        <v>23.998999999999999</v>
      </c>
      <c r="I169" s="190">
        <f>+VLOOKUP($B169,'[3]INT Web'!$B$5:$W$247,'[3]INT Web'!U$1,FALSE)</f>
        <v>3.9990000000000001</v>
      </c>
      <c r="J169" s="190">
        <f>+VLOOKUP($B169,'[3]INT Web'!$B$5:$W$247,'[3]INT Web'!V$1,FALSE)</f>
        <v>17.998999999999999</v>
      </c>
      <c r="K169" s="190">
        <f>+VLOOKUP($B169,'[3]INT Web'!$B$5:$W$247,'[3]INT Web'!W$1,FALSE)</f>
        <v>2.9990000000000001</v>
      </c>
      <c r="L169" s="12">
        <f t="shared" si="186"/>
        <v>6.001000200040008</v>
      </c>
      <c r="M169" s="12">
        <f t="shared" si="187"/>
        <v>1.2500625156289071</v>
      </c>
      <c r="N169" s="12">
        <f t="shared" si="188"/>
        <v>6.0012503125781445</v>
      </c>
      <c r="O169" s="12">
        <f t="shared" si="189"/>
        <v>6.0016672224074687</v>
      </c>
      <c r="P169" s="12">
        <f t="shared" si="190"/>
        <v>0.74993748437109276</v>
      </c>
      <c r="Q169" s="141" t="str">
        <f t="shared" si="183"/>
        <v>OMR</v>
      </c>
      <c r="R169" s="135">
        <f>+VLOOKUP($B169,'Country-Level Tactics'!$B$5:$AL$248,'Country-Level Tactics'!AH$1,FALSE)</f>
        <v>29.998999999999999</v>
      </c>
      <c r="S169" s="135">
        <f>+VLOOKUP($B169,'Country-Level Tactics'!$B$5:$AL$248,'Country-Level Tactics'!X$1,FALSE)</f>
        <v>4.9989999999999997</v>
      </c>
      <c r="T169" s="135">
        <f>+VLOOKUP($B169,'Country-Level Tactics'!$B$5:$AL$248,'Country-Level Tactics'!AC$1,FALSE)</f>
        <v>23.998999999999999</v>
      </c>
      <c r="U169" s="135">
        <f>+VLOOKUP($B169,'Country-Level Tactics'!$B$5:$AL$248,'Country-Level Tactics'!T$1,FALSE)</f>
        <v>3.9990000000000001</v>
      </c>
      <c r="V169" s="135">
        <f t="shared" si="184"/>
        <v>17.998999999999999</v>
      </c>
      <c r="W169" s="135">
        <f t="shared" si="185"/>
        <v>2.9990000000000001</v>
      </c>
      <c r="X169" s="12">
        <f t="shared" si="191"/>
        <v>6.001000200040008</v>
      </c>
      <c r="Y169" s="12">
        <f t="shared" si="192"/>
        <v>1.2500625156289071</v>
      </c>
      <c r="Z169" s="12">
        <f t="shared" si="193"/>
        <v>6.0012503125781445</v>
      </c>
      <c r="AA169" s="12">
        <f t="shared" si="194"/>
        <v>6.0016672224074687</v>
      </c>
      <c r="AB169" s="12">
        <f t="shared" si="195"/>
        <v>0.74993748437109276</v>
      </c>
      <c r="AD169" s="10">
        <f t="shared" si="196"/>
        <v>0</v>
      </c>
      <c r="AE169" s="10">
        <f t="shared" si="197"/>
        <v>0</v>
      </c>
      <c r="AF169" s="10">
        <f t="shared" si="198"/>
        <v>0</v>
      </c>
      <c r="AG169" s="10">
        <f t="shared" si="199"/>
        <v>0</v>
      </c>
      <c r="AH169" s="10">
        <f t="shared" si="200"/>
        <v>0</v>
      </c>
      <c r="AI169" s="10">
        <f t="shared" si="201"/>
        <v>0</v>
      </c>
      <c r="AK169" s="165">
        <v>2.5974026000000001</v>
      </c>
      <c r="AL169" s="173">
        <f t="shared" si="202"/>
        <v>77.919480597399996</v>
      </c>
      <c r="AM169" s="173">
        <f t="shared" si="203"/>
        <v>12.9844155974</v>
      </c>
      <c r="AN169" s="173">
        <f t="shared" si="204"/>
        <v>62.335064997399996</v>
      </c>
      <c r="AO169" s="173">
        <f t="shared" si="205"/>
        <v>10.387012997400001</v>
      </c>
      <c r="AP169" s="173">
        <f t="shared" si="206"/>
        <v>46.750649397399997</v>
      </c>
      <c r="AQ169" s="173">
        <f t="shared" si="207"/>
        <v>7.7896103974000006</v>
      </c>
      <c r="AS169" s="22" t="str">
        <f>+VLOOKUP(B169,'Country &amp; Code Abbreviation'!$B$3:$C$245,2,FALSE)</f>
        <v>OM</v>
      </c>
    </row>
    <row r="170" spans="2:45">
      <c r="B170" s="20" t="s">
        <v>239</v>
      </c>
      <c r="C170" s="20" t="s">
        <v>182</v>
      </c>
      <c r="E170" s="11" t="str">
        <f>+VLOOKUP($B170,'[3]INT Web'!$B$5:$W$247,'[3]INT Web'!Q$1,FALSE)</f>
        <v>PKR</v>
      </c>
      <c r="F170" s="22">
        <f>+VLOOKUP($B170,'[3]INT Web'!$B$5:$W$247,'[3]INT Web'!R$1,FALSE)</f>
        <v>12180</v>
      </c>
      <c r="G170" s="22">
        <f>+VLOOKUP($B170,'[3]INT Web'!$B$5:$W$247,'[3]INT Web'!S$1,FALSE)</f>
        <v>2030</v>
      </c>
      <c r="H170" s="22">
        <f>+VLOOKUP($B170,'[3]INT Web'!$B$5:$W$247,'[3]INT Web'!T$1,FALSE)</f>
        <v>9000</v>
      </c>
      <c r="I170" s="22">
        <f>+VLOOKUP($B170,'[3]INT Web'!$B$5:$W$247,'[3]INT Web'!U$1,FALSE)</f>
        <v>1500</v>
      </c>
      <c r="J170" s="22">
        <f>+VLOOKUP($B170,'[3]INT Web'!$B$5:$W$247,'[3]INT Web'!V$1,FALSE)</f>
        <v>8100</v>
      </c>
      <c r="K170" s="22">
        <f>+VLOOKUP($B170,'[3]INT Web'!$B$5:$W$247,'[3]INT Web'!W$1,FALSE)</f>
        <v>1350</v>
      </c>
      <c r="L170" s="12">
        <f t="shared" si="186"/>
        <v>6</v>
      </c>
      <c r="M170" s="12">
        <f t="shared" si="187"/>
        <v>1.3533333333333333</v>
      </c>
      <c r="N170" s="12">
        <f t="shared" si="188"/>
        <v>6</v>
      </c>
      <c r="O170" s="12">
        <f t="shared" si="189"/>
        <v>6</v>
      </c>
      <c r="P170" s="12">
        <f t="shared" si="190"/>
        <v>0.9</v>
      </c>
      <c r="Q170" s="140" t="str">
        <f t="shared" si="183"/>
        <v>PKR</v>
      </c>
      <c r="R170" s="104">
        <f>+VLOOKUP($B170,'Country-Level Tactics'!$B$5:$AL$248,'Country-Level Tactics'!AH$1,FALSE)</f>
        <v>12180</v>
      </c>
      <c r="S170" s="104">
        <f>+VLOOKUP($B170,'Country-Level Tactics'!$B$5:$AL$248,'Country-Level Tactics'!X$1,FALSE)</f>
        <v>2030</v>
      </c>
      <c r="T170" s="104">
        <f>+VLOOKUP($B170,'Country-Level Tactics'!$B$5:$AL$248,'Country-Level Tactics'!AC$1,FALSE)</f>
        <v>9000</v>
      </c>
      <c r="U170" s="104">
        <f>+VLOOKUP($B170,'Country-Level Tactics'!$B$5:$AL$248,'Country-Level Tactics'!T$1,FALSE)</f>
        <v>1500</v>
      </c>
      <c r="V170" s="104">
        <f t="shared" si="184"/>
        <v>8100</v>
      </c>
      <c r="W170" s="104">
        <f t="shared" si="185"/>
        <v>1350</v>
      </c>
      <c r="X170" s="12">
        <f t="shared" si="191"/>
        <v>6</v>
      </c>
      <c r="Y170" s="12">
        <f t="shared" si="192"/>
        <v>1.3533333333333333</v>
      </c>
      <c r="Z170" s="12">
        <f t="shared" si="193"/>
        <v>6</v>
      </c>
      <c r="AA170" s="12">
        <f t="shared" si="194"/>
        <v>6</v>
      </c>
      <c r="AB170" s="12">
        <f t="shared" si="195"/>
        <v>0.9</v>
      </c>
      <c r="AD170" s="10">
        <f t="shared" si="196"/>
        <v>0</v>
      </c>
      <c r="AE170" s="10">
        <f t="shared" si="197"/>
        <v>0</v>
      </c>
      <c r="AF170" s="10">
        <f t="shared" si="198"/>
        <v>0</v>
      </c>
      <c r="AG170" s="10">
        <f t="shared" si="199"/>
        <v>0</v>
      </c>
      <c r="AH170" s="10">
        <f t="shared" si="200"/>
        <v>0</v>
      </c>
      <c r="AI170" s="10">
        <f t="shared" si="201"/>
        <v>0</v>
      </c>
      <c r="AK170" s="165">
        <v>3.5967989999999999E-3</v>
      </c>
      <c r="AL170" s="173">
        <f t="shared" si="202"/>
        <v>43.809011820000002</v>
      </c>
      <c r="AM170" s="173">
        <f t="shared" si="203"/>
        <v>7.3015019699999995</v>
      </c>
      <c r="AN170" s="173">
        <f t="shared" si="204"/>
        <v>32.371190999999996</v>
      </c>
      <c r="AO170" s="173">
        <f t="shared" si="205"/>
        <v>5.3951985000000002</v>
      </c>
      <c r="AP170" s="173">
        <f t="shared" si="206"/>
        <v>29.134071899999999</v>
      </c>
      <c r="AQ170" s="173">
        <f t="shared" si="207"/>
        <v>4.8556786499999998</v>
      </c>
      <c r="AS170" s="22" t="str">
        <f>+VLOOKUP(B170,'Country &amp; Code Abbreviation'!$B$3:$C$245,2,FALSE)</f>
        <v>PK</v>
      </c>
    </row>
    <row r="171" spans="2:45">
      <c r="B171" s="20" t="s">
        <v>240</v>
      </c>
      <c r="C171" s="20" t="s">
        <v>182</v>
      </c>
      <c r="E171" s="11" t="str">
        <f>+VLOOKUP($B171,'[3]INT Web'!$B$5:$W$247,'[3]INT Web'!Q$1,FALSE)</f>
        <v>USD</v>
      </c>
      <c r="F171" s="22">
        <f>+VLOOKUP($B171,'[3]INT Web'!$B$5:$W$247,'[3]INT Web'!R$1,FALSE)</f>
        <v>129.99</v>
      </c>
      <c r="G171" s="22">
        <f>+VLOOKUP($B171,'[3]INT Web'!$B$5:$W$247,'[3]INT Web'!S$1,FALSE)</f>
        <v>18.989999999999998</v>
      </c>
      <c r="H171" s="22">
        <f>+VLOOKUP($B171,'[3]INT Web'!$B$5:$W$247,'[3]INT Web'!T$1,FALSE)</f>
        <v>83.99</v>
      </c>
      <c r="I171" s="22">
        <f>+VLOOKUP($B171,'[3]INT Web'!$B$5:$W$247,'[3]INT Web'!U$1,FALSE)</f>
        <v>13.99</v>
      </c>
      <c r="J171" s="22">
        <f>+VLOOKUP($B171,'[3]INT Web'!$B$5:$W$247,'[3]INT Web'!V$1,FALSE)</f>
        <v>77.989999999999995</v>
      </c>
      <c r="K171" s="22">
        <f>+VLOOKUP($B171,'[3]INT Web'!$B$5:$W$247,'[3]INT Web'!W$1,FALSE)</f>
        <v>12.99</v>
      </c>
      <c r="L171" s="12">
        <f t="shared" si="186"/>
        <v>6.8451816745655618</v>
      </c>
      <c r="M171" s="12">
        <f t="shared" si="187"/>
        <v>1.3573981415296639</v>
      </c>
      <c r="N171" s="12">
        <f t="shared" si="188"/>
        <v>6.003573981415296</v>
      </c>
      <c r="O171" s="12">
        <f t="shared" si="189"/>
        <v>6.0038491147036179</v>
      </c>
      <c r="P171" s="12">
        <f t="shared" si="190"/>
        <v>0.9285203716940672</v>
      </c>
      <c r="Q171" s="140" t="str">
        <f t="shared" si="183"/>
        <v>USD</v>
      </c>
      <c r="R171" s="104">
        <f>+VLOOKUP($B171,'Country-Level Tactics'!$B$5:$AL$248,'Country-Level Tactics'!AH$1,FALSE)</f>
        <v>129.99</v>
      </c>
      <c r="S171" s="104">
        <f>+VLOOKUP($B171,'Country-Level Tactics'!$B$5:$AL$248,'Country-Level Tactics'!X$1,FALSE)</f>
        <v>18.989999999999998</v>
      </c>
      <c r="T171" s="104">
        <f>+VLOOKUP($B171,'Country-Level Tactics'!$B$5:$AL$248,'Country-Level Tactics'!AC$1,FALSE)</f>
        <v>83.99</v>
      </c>
      <c r="U171" s="104">
        <f>+VLOOKUP($B171,'Country-Level Tactics'!$B$5:$AL$248,'Country-Level Tactics'!T$1,FALSE)</f>
        <v>13.99</v>
      </c>
      <c r="V171" s="104">
        <f t="shared" si="184"/>
        <v>77.989999999999995</v>
      </c>
      <c r="W171" s="104">
        <f t="shared" si="185"/>
        <v>12.99</v>
      </c>
      <c r="X171" s="12">
        <f t="shared" si="191"/>
        <v>6.8451816745655618</v>
      </c>
      <c r="Y171" s="12">
        <f t="shared" si="192"/>
        <v>1.3573981415296639</v>
      </c>
      <c r="Z171" s="12">
        <f t="shared" si="193"/>
        <v>6.003573981415296</v>
      </c>
      <c r="AA171" s="12">
        <f t="shared" si="194"/>
        <v>6.0038491147036179</v>
      </c>
      <c r="AB171" s="12">
        <f t="shared" si="195"/>
        <v>0.9285203716940672</v>
      </c>
      <c r="AD171" s="10">
        <f t="shared" si="196"/>
        <v>0</v>
      </c>
      <c r="AE171" s="10">
        <f t="shared" si="197"/>
        <v>0</v>
      </c>
      <c r="AF171" s="10">
        <f t="shared" si="198"/>
        <v>0</v>
      </c>
      <c r="AG171" s="10">
        <f t="shared" si="199"/>
        <v>0</v>
      </c>
      <c r="AH171" s="10">
        <f t="shared" si="200"/>
        <v>0</v>
      </c>
      <c r="AI171" s="10">
        <f t="shared" si="201"/>
        <v>0</v>
      </c>
      <c r="AK171" s="165">
        <v>1</v>
      </c>
      <c r="AL171" s="173">
        <f t="shared" si="202"/>
        <v>129.99</v>
      </c>
      <c r="AM171" s="173">
        <f t="shared" si="203"/>
        <v>18.989999999999998</v>
      </c>
      <c r="AN171" s="173">
        <f t="shared" si="204"/>
        <v>83.99</v>
      </c>
      <c r="AO171" s="173">
        <f t="shared" si="205"/>
        <v>13.99</v>
      </c>
      <c r="AP171" s="173">
        <f t="shared" si="206"/>
        <v>77.989999999999995</v>
      </c>
      <c r="AQ171" s="173">
        <f t="shared" si="207"/>
        <v>12.99</v>
      </c>
      <c r="AS171" s="22" t="str">
        <f>+VLOOKUP(B171,'Country &amp; Code Abbreviation'!$B$3:$C$245,2,FALSE)</f>
        <v>PW</v>
      </c>
    </row>
    <row r="172" spans="2:45">
      <c r="B172" s="20" t="s">
        <v>241</v>
      </c>
      <c r="C172" s="20" t="s">
        <v>275</v>
      </c>
      <c r="E172" s="11" t="str">
        <f>+VLOOKUP($B172,'[3]INT Web'!$B$5:$W$247,'[3]INT Web'!Q$1,FALSE)</f>
        <v>ILS</v>
      </c>
      <c r="F172" s="22">
        <f>+VLOOKUP($B172,'[3]INT Web'!$B$5:$W$247,'[3]INT Web'!R$1,FALSE)</f>
        <v>239.99</v>
      </c>
      <c r="G172" s="22">
        <f>+VLOOKUP($B172,'[3]INT Web'!$B$5:$W$247,'[3]INT Web'!S$1,FALSE)</f>
        <v>39.99</v>
      </c>
      <c r="H172" s="22">
        <f>+VLOOKUP($B172,'[3]INT Web'!$B$5:$W$247,'[3]INT Web'!T$1,FALSE)</f>
        <v>179.99</v>
      </c>
      <c r="I172" s="22">
        <f>+VLOOKUP($B172,'[3]INT Web'!$B$5:$W$247,'[3]INT Web'!U$1,FALSE)</f>
        <v>29.99</v>
      </c>
      <c r="J172" s="22">
        <f>+VLOOKUP($B172,'[3]INT Web'!$B$5:$W$247,'[3]INT Web'!V$1,FALSE)</f>
        <v>159.99</v>
      </c>
      <c r="K172" s="22">
        <f>+VLOOKUP($B172,'[3]INT Web'!$B$5:$W$247,'[3]INT Web'!W$1,FALSE)</f>
        <v>26.99</v>
      </c>
      <c r="L172" s="12">
        <f t="shared" si="186"/>
        <v>6.0012503125781445</v>
      </c>
      <c r="M172" s="12">
        <f t="shared" si="187"/>
        <v>1.3334444814938313</v>
      </c>
      <c r="N172" s="12">
        <f t="shared" si="188"/>
        <v>6.0016672224074696</v>
      </c>
      <c r="O172" s="12">
        <f t="shared" si="189"/>
        <v>5.9277510188958882</v>
      </c>
      <c r="P172" s="12">
        <f t="shared" si="190"/>
        <v>0.89996665555185063</v>
      </c>
      <c r="Q172" s="140" t="str">
        <f t="shared" si="183"/>
        <v>ILS</v>
      </c>
      <c r="R172" s="104">
        <f>+VLOOKUP($B172,'Country-Level Tactics'!$B$5:$AL$248,'Country-Level Tactics'!AH$1,FALSE)</f>
        <v>239.99</v>
      </c>
      <c r="S172" s="104">
        <f>+VLOOKUP($B172,'Country-Level Tactics'!$B$5:$AL$248,'Country-Level Tactics'!X$1,FALSE)</f>
        <v>39.99</v>
      </c>
      <c r="T172" s="104">
        <f>+VLOOKUP($B172,'Country-Level Tactics'!$B$5:$AL$248,'Country-Level Tactics'!AC$1,FALSE)</f>
        <v>179.99</v>
      </c>
      <c r="U172" s="104">
        <f>+VLOOKUP($B172,'Country-Level Tactics'!$B$5:$AL$248,'Country-Level Tactics'!T$1,FALSE)</f>
        <v>29.99</v>
      </c>
      <c r="V172" s="104">
        <f t="shared" si="184"/>
        <v>159.99</v>
      </c>
      <c r="W172" s="104">
        <f t="shared" si="185"/>
        <v>26.99</v>
      </c>
      <c r="X172" s="12">
        <f t="shared" si="191"/>
        <v>6.0012503125781445</v>
      </c>
      <c r="Y172" s="12">
        <f t="shared" si="192"/>
        <v>1.3334444814938313</v>
      </c>
      <c r="Z172" s="12">
        <f t="shared" si="193"/>
        <v>6.0016672224074696</v>
      </c>
      <c r="AA172" s="12">
        <f t="shared" si="194"/>
        <v>5.9277510188958882</v>
      </c>
      <c r="AB172" s="12">
        <f t="shared" si="195"/>
        <v>0.89996665555185063</v>
      </c>
      <c r="AD172" s="10">
        <f t="shared" si="196"/>
        <v>0</v>
      </c>
      <c r="AE172" s="10">
        <f t="shared" si="197"/>
        <v>0</v>
      </c>
      <c r="AF172" s="10">
        <f t="shared" si="198"/>
        <v>0</v>
      </c>
      <c r="AG172" s="10">
        <f t="shared" si="199"/>
        <v>0</v>
      </c>
      <c r="AH172" s="10">
        <f t="shared" si="200"/>
        <v>0</v>
      </c>
      <c r="AI172" s="10">
        <f t="shared" si="201"/>
        <v>0</v>
      </c>
      <c r="AK172" s="165">
        <v>0.33361688</v>
      </c>
      <c r="AL172" s="173">
        <f t="shared" si="202"/>
        <v>80.064715031200009</v>
      </c>
      <c r="AM172" s="173">
        <f t="shared" si="203"/>
        <v>13.3413390312</v>
      </c>
      <c r="AN172" s="173">
        <f t="shared" si="204"/>
        <v>60.047702231200006</v>
      </c>
      <c r="AO172" s="173">
        <f t="shared" si="205"/>
        <v>10.005170231199999</v>
      </c>
      <c r="AP172" s="173">
        <f t="shared" si="206"/>
        <v>53.375364631200007</v>
      </c>
      <c r="AQ172" s="173">
        <f t="shared" si="207"/>
        <v>9.0043195911999998</v>
      </c>
      <c r="AS172" s="22" t="str">
        <f>+VLOOKUP(B172,'Country &amp; Code Abbreviation'!$B$3:$C$245,2,FALSE)</f>
        <v>PS</v>
      </c>
    </row>
    <row r="173" spans="2:45">
      <c r="B173" s="20" t="s">
        <v>242</v>
      </c>
      <c r="C173" s="20" t="s">
        <v>96</v>
      </c>
      <c r="E173" s="11" t="str">
        <f>+VLOOKUP($B173,'[3]INT Web'!$B$5:$W$247,'[3]INT Web'!Q$1,FALSE)</f>
        <v>USD</v>
      </c>
      <c r="F173" s="22">
        <f>+VLOOKUP($B173,'[3]INT Web'!$B$5:$W$247,'[3]INT Web'!R$1,FALSE)</f>
        <v>113.99</v>
      </c>
      <c r="G173" s="22">
        <f>+VLOOKUP($B173,'[3]INT Web'!$B$5:$W$247,'[3]INT Web'!S$1,FALSE)</f>
        <v>18.989999999999998</v>
      </c>
      <c r="H173" s="22">
        <f>+VLOOKUP($B173,'[3]INT Web'!$B$5:$W$247,'[3]INT Web'!T$1,FALSE)</f>
        <v>83.99</v>
      </c>
      <c r="I173" s="22">
        <f>+VLOOKUP($B173,'[3]INT Web'!$B$5:$W$247,'[3]INT Web'!U$1,FALSE)</f>
        <v>13.99</v>
      </c>
      <c r="J173" s="22">
        <f>+VLOOKUP($B173,'[3]INT Web'!$B$5:$W$247,'[3]INT Web'!V$1,FALSE)</f>
        <v>77.989999999999995</v>
      </c>
      <c r="K173" s="22">
        <f>+VLOOKUP($B173,'[3]INT Web'!$B$5:$W$247,'[3]INT Web'!W$1,FALSE)</f>
        <v>12.99</v>
      </c>
      <c r="L173" s="12">
        <f t="shared" si="186"/>
        <v>6.0026329647182726</v>
      </c>
      <c r="M173" s="12">
        <f t="shared" si="187"/>
        <v>1.3573981415296639</v>
      </c>
      <c r="N173" s="12">
        <f t="shared" si="188"/>
        <v>6.003573981415296</v>
      </c>
      <c r="O173" s="12">
        <f t="shared" si="189"/>
        <v>6.0038491147036179</v>
      </c>
      <c r="P173" s="12">
        <f t="shared" si="190"/>
        <v>0.9285203716940672</v>
      </c>
      <c r="Q173" s="140" t="str">
        <f t="shared" si="183"/>
        <v>USD</v>
      </c>
      <c r="R173" s="104">
        <f>+VLOOKUP($B173,'Country-Level Tactics'!$B$5:$AL$248,'Country-Level Tactics'!AH$1,FALSE)</f>
        <v>113.99</v>
      </c>
      <c r="S173" s="104">
        <f>+VLOOKUP($B173,'Country-Level Tactics'!$B$5:$AL$248,'Country-Level Tactics'!X$1,FALSE)</f>
        <v>18.989999999999998</v>
      </c>
      <c r="T173" s="104">
        <f>+VLOOKUP($B173,'Country-Level Tactics'!$B$5:$AL$248,'Country-Level Tactics'!AC$1,FALSE)</f>
        <v>83.99</v>
      </c>
      <c r="U173" s="104">
        <f>+VLOOKUP($B173,'Country-Level Tactics'!$B$5:$AL$248,'Country-Level Tactics'!T$1,FALSE)</f>
        <v>13.99</v>
      </c>
      <c r="V173" s="104">
        <f t="shared" si="184"/>
        <v>77.989999999999995</v>
      </c>
      <c r="W173" s="104">
        <f t="shared" si="185"/>
        <v>12.99</v>
      </c>
      <c r="X173" s="12">
        <f t="shared" si="191"/>
        <v>6.0026329647182726</v>
      </c>
      <c r="Y173" s="12">
        <f t="shared" si="192"/>
        <v>1.3573981415296639</v>
      </c>
      <c r="Z173" s="12">
        <f t="shared" si="193"/>
        <v>6.003573981415296</v>
      </c>
      <c r="AA173" s="12">
        <f t="shared" si="194"/>
        <v>6.0038491147036179</v>
      </c>
      <c r="AB173" s="12">
        <f t="shared" si="195"/>
        <v>0.9285203716940672</v>
      </c>
      <c r="AD173" s="10">
        <f t="shared" si="196"/>
        <v>0</v>
      </c>
      <c r="AE173" s="10">
        <f t="shared" si="197"/>
        <v>0</v>
      </c>
      <c r="AF173" s="10">
        <f t="shared" si="198"/>
        <v>0</v>
      </c>
      <c r="AG173" s="10">
        <f t="shared" si="199"/>
        <v>0</v>
      </c>
      <c r="AH173" s="10">
        <f t="shared" si="200"/>
        <v>0</v>
      </c>
      <c r="AI173" s="10">
        <f t="shared" si="201"/>
        <v>0</v>
      </c>
      <c r="AK173" s="165">
        <v>1</v>
      </c>
      <c r="AL173" s="173">
        <f t="shared" si="202"/>
        <v>113.99</v>
      </c>
      <c r="AM173" s="173">
        <f t="shared" si="203"/>
        <v>18.989999999999998</v>
      </c>
      <c r="AN173" s="173">
        <f t="shared" si="204"/>
        <v>83.99</v>
      </c>
      <c r="AO173" s="173">
        <f t="shared" si="205"/>
        <v>13.99</v>
      </c>
      <c r="AP173" s="173">
        <f t="shared" si="206"/>
        <v>77.989999999999995</v>
      </c>
      <c r="AQ173" s="173">
        <f t="shared" si="207"/>
        <v>12.99</v>
      </c>
      <c r="AS173" s="22" t="str">
        <f>+VLOOKUP(B173,'Country &amp; Code Abbreviation'!$B$3:$C$245,2,FALSE)</f>
        <v>PA</v>
      </c>
    </row>
    <row r="174" spans="2:45">
      <c r="B174" s="20" t="s">
        <v>243</v>
      </c>
      <c r="C174" s="20" t="s">
        <v>182</v>
      </c>
      <c r="E174" s="11" t="str">
        <f>+VLOOKUP($B174,'[3]INT Web'!$B$5:$W$247,'[3]INT Web'!Q$1,FALSE)</f>
        <v>PGK</v>
      </c>
      <c r="F174" s="22">
        <f>+VLOOKUP($B174,'[3]INT Web'!$B$5:$W$247,'[3]INT Web'!R$1,FALSE)</f>
        <v>239.99</v>
      </c>
      <c r="G174" s="22">
        <f>+VLOOKUP($B174,'[3]INT Web'!$B$5:$W$247,'[3]INT Web'!S$1,FALSE)</f>
        <v>39.99</v>
      </c>
      <c r="H174" s="22">
        <f>+VLOOKUP($B174,'[3]INT Web'!$B$5:$W$247,'[3]INT Web'!T$1,FALSE)</f>
        <v>179.99</v>
      </c>
      <c r="I174" s="22">
        <f>+VLOOKUP($B174,'[3]INT Web'!$B$5:$W$247,'[3]INT Web'!U$1,FALSE)</f>
        <v>29.99</v>
      </c>
      <c r="J174" s="22">
        <f>+VLOOKUP($B174,'[3]INT Web'!$B$5:$W$247,'[3]INT Web'!V$1,FALSE)</f>
        <v>161.99</v>
      </c>
      <c r="K174" s="22">
        <f>+VLOOKUP($B174,'[3]INT Web'!$B$5:$W$247,'[3]INT Web'!W$1,FALSE)</f>
        <v>26.99</v>
      </c>
      <c r="L174" s="12">
        <f t="shared" si="186"/>
        <v>6.0012503125781445</v>
      </c>
      <c r="M174" s="12">
        <f t="shared" si="187"/>
        <v>1.3334444814938313</v>
      </c>
      <c r="N174" s="12">
        <f t="shared" si="188"/>
        <v>6.0016672224074696</v>
      </c>
      <c r="O174" s="12">
        <f t="shared" si="189"/>
        <v>6.0018525379770296</v>
      </c>
      <c r="P174" s="12">
        <f t="shared" si="190"/>
        <v>0.89996665555185063</v>
      </c>
      <c r="Q174" s="140" t="str">
        <f t="shared" si="183"/>
        <v>PGK</v>
      </c>
      <c r="R174" s="104">
        <f>+VLOOKUP($B174,'Country-Level Tactics'!$B$5:$AL$248,'Country-Level Tactics'!AH$1,FALSE)</f>
        <v>239.99</v>
      </c>
      <c r="S174" s="104">
        <f>+VLOOKUP($B174,'Country-Level Tactics'!$B$5:$AL$248,'Country-Level Tactics'!X$1,FALSE)</f>
        <v>39.99</v>
      </c>
      <c r="T174" s="104">
        <f>+VLOOKUP($B174,'Country-Level Tactics'!$B$5:$AL$248,'Country-Level Tactics'!AC$1,FALSE)</f>
        <v>179.99</v>
      </c>
      <c r="U174" s="104">
        <f>+VLOOKUP($B174,'Country-Level Tactics'!$B$5:$AL$248,'Country-Level Tactics'!T$1,FALSE)</f>
        <v>29.99</v>
      </c>
      <c r="V174" s="104">
        <f t="shared" si="184"/>
        <v>161.99</v>
      </c>
      <c r="W174" s="104">
        <f t="shared" si="185"/>
        <v>26.99</v>
      </c>
      <c r="X174" s="12">
        <f t="shared" si="191"/>
        <v>6.0012503125781445</v>
      </c>
      <c r="Y174" s="12">
        <f t="shared" si="192"/>
        <v>1.3334444814938313</v>
      </c>
      <c r="Z174" s="12">
        <f t="shared" si="193"/>
        <v>6.0016672224074696</v>
      </c>
      <c r="AA174" s="12">
        <f t="shared" si="194"/>
        <v>6.0018525379770296</v>
      </c>
      <c r="AB174" s="12">
        <f t="shared" si="195"/>
        <v>0.89996665555185063</v>
      </c>
      <c r="AD174" s="10">
        <f t="shared" si="196"/>
        <v>0</v>
      </c>
      <c r="AE174" s="10">
        <f t="shared" si="197"/>
        <v>0</v>
      </c>
      <c r="AF174" s="10">
        <f t="shared" si="198"/>
        <v>0</v>
      </c>
      <c r="AG174" s="10">
        <f t="shared" si="199"/>
        <v>0</v>
      </c>
      <c r="AH174" s="10">
        <f t="shared" si="200"/>
        <v>0</v>
      </c>
      <c r="AI174" s="10">
        <f t="shared" si="201"/>
        <v>0</v>
      </c>
      <c r="AK174" s="165">
        <v>0.22758307</v>
      </c>
      <c r="AL174" s="173">
        <f t="shared" si="202"/>
        <v>54.617660969300005</v>
      </c>
      <c r="AM174" s="173">
        <f t="shared" si="203"/>
        <v>9.1010469693000005</v>
      </c>
      <c r="AN174" s="173">
        <f t="shared" si="204"/>
        <v>40.962676769300003</v>
      </c>
      <c r="AO174" s="173">
        <f t="shared" si="205"/>
        <v>6.8252162692999994</v>
      </c>
      <c r="AP174" s="173">
        <f t="shared" si="206"/>
        <v>36.866181509299999</v>
      </c>
      <c r="AQ174" s="173">
        <f t="shared" si="207"/>
        <v>6.1424670592999995</v>
      </c>
      <c r="AS174" s="22" t="str">
        <f>+VLOOKUP(B174,'Country &amp; Code Abbreviation'!$B$3:$C$245,2,FALSE)</f>
        <v>PG</v>
      </c>
    </row>
    <row r="175" spans="2:45">
      <c r="B175" s="20" t="s">
        <v>244</v>
      </c>
      <c r="C175" s="20" t="s">
        <v>96</v>
      </c>
      <c r="E175" s="11" t="str">
        <f>+VLOOKUP($B175,'[3]INT Web'!$B$5:$W$247,'[3]INT Web'!Q$1,FALSE)</f>
        <v>PYG</v>
      </c>
      <c r="F175" s="136">
        <f>+VLOOKUP($B175,'[3]INT Web'!$B$5:$W$247,'[3]INT Web'!R$1,FALSE)</f>
        <v>557280</v>
      </c>
      <c r="G175" s="136">
        <f>+VLOOKUP($B175,'[3]INT Web'!$B$5:$W$247,'[3]INT Web'!S$1,FALSE)</f>
        <v>92880</v>
      </c>
      <c r="H175" s="136">
        <f>+VLOOKUP($B175,'[3]INT Web'!$B$5:$W$247,'[3]INT Web'!T$1,FALSE)</f>
        <v>412800</v>
      </c>
      <c r="I175" s="136">
        <f>+VLOOKUP($B175,'[3]INT Web'!$B$5:$W$247,'[3]INT Web'!U$1,FALSE)</f>
        <v>68800</v>
      </c>
      <c r="J175" s="136">
        <f>+VLOOKUP($B175,'[3]INT Web'!$B$5:$W$247,'[3]INT Web'!V$1,FALSE)</f>
        <v>371520</v>
      </c>
      <c r="K175" s="136">
        <f>+VLOOKUP($B175,'[3]INT Web'!$B$5:$W$247,'[3]INT Web'!W$1,FALSE)</f>
        <v>61920</v>
      </c>
      <c r="L175" s="12">
        <f t="shared" si="186"/>
        <v>6</v>
      </c>
      <c r="M175" s="12">
        <f t="shared" si="187"/>
        <v>1.35</v>
      </c>
      <c r="N175" s="12">
        <f t="shared" si="188"/>
        <v>6</v>
      </c>
      <c r="O175" s="12">
        <f t="shared" si="189"/>
        <v>6</v>
      </c>
      <c r="P175" s="12">
        <f t="shared" si="190"/>
        <v>0.9</v>
      </c>
      <c r="Q175" s="143" t="str">
        <f t="shared" si="183"/>
        <v>PYG</v>
      </c>
      <c r="R175" s="137">
        <f>+VLOOKUP($B175,'Country-Level Tactics'!$B$5:$AL$248,'Country-Level Tactics'!AH$1,FALSE)</f>
        <v>557280</v>
      </c>
      <c r="S175" s="137">
        <f>+VLOOKUP($B175,'Country-Level Tactics'!$B$5:$AL$248,'Country-Level Tactics'!X$1,FALSE)</f>
        <v>92880</v>
      </c>
      <c r="T175" s="137">
        <f>+VLOOKUP($B175,'Country-Level Tactics'!$B$5:$AL$248,'Country-Level Tactics'!AC$1,FALSE)</f>
        <v>412800</v>
      </c>
      <c r="U175" s="137">
        <f>+VLOOKUP($B175,'Country-Level Tactics'!$B$5:$AL$248,'Country-Level Tactics'!T$1,FALSE)</f>
        <v>68800</v>
      </c>
      <c r="V175" s="137">
        <f t="shared" si="184"/>
        <v>371520</v>
      </c>
      <c r="W175" s="137">
        <f t="shared" si="185"/>
        <v>61920</v>
      </c>
      <c r="X175" s="12">
        <f t="shared" si="191"/>
        <v>6</v>
      </c>
      <c r="Y175" s="12">
        <f t="shared" si="192"/>
        <v>1.35</v>
      </c>
      <c r="Z175" s="12">
        <f t="shared" si="193"/>
        <v>6</v>
      </c>
      <c r="AA175" s="12">
        <f t="shared" si="194"/>
        <v>6</v>
      </c>
      <c r="AB175" s="12">
        <f t="shared" si="195"/>
        <v>0.9</v>
      </c>
      <c r="AD175" s="10">
        <f t="shared" si="196"/>
        <v>0</v>
      </c>
      <c r="AE175" s="10">
        <f t="shared" si="197"/>
        <v>0</v>
      </c>
      <c r="AF175" s="10">
        <f t="shared" si="198"/>
        <v>0</v>
      </c>
      <c r="AG175" s="10">
        <f t="shared" si="199"/>
        <v>0</v>
      </c>
      <c r="AH175" s="10">
        <f t="shared" si="200"/>
        <v>0</v>
      </c>
      <c r="AI175" s="10">
        <f t="shared" si="201"/>
        <v>0</v>
      </c>
      <c r="AK175" s="165">
        <v>1.6484784000000001E-4</v>
      </c>
      <c r="AL175" s="173">
        <f t="shared" si="202"/>
        <v>91.866404275199997</v>
      </c>
      <c r="AM175" s="173">
        <f t="shared" si="203"/>
        <v>15.311067379200001</v>
      </c>
      <c r="AN175" s="173">
        <f t="shared" si="204"/>
        <v>68.049188352000002</v>
      </c>
      <c r="AO175" s="173">
        <f t="shared" si="205"/>
        <v>11.341531392</v>
      </c>
      <c r="AP175" s="173">
        <f t="shared" si="206"/>
        <v>61.244269516800003</v>
      </c>
      <c r="AQ175" s="173">
        <f t="shared" si="207"/>
        <v>10.2073782528</v>
      </c>
      <c r="AS175" s="22" t="str">
        <f>+VLOOKUP(B175,'Country &amp; Code Abbreviation'!$B$3:$C$245,2,FALSE)</f>
        <v>PY</v>
      </c>
    </row>
    <row r="176" spans="2:45">
      <c r="B176" s="20" t="s">
        <v>245</v>
      </c>
      <c r="C176" s="20" t="s">
        <v>96</v>
      </c>
      <c r="E176" s="11" t="str">
        <f>+VLOOKUP($B176,'[3]INT Web'!$B$5:$W$247,'[3]INT Web'!Q$1,FALSE)</f>
        <v>PEN</v>
      </c>
      <c r="F176" s="22">
        <f>+VLOOKUP($B176,'[3]INT Web'!$B$5:$W$247,'[3]INT Web'!R$1,FALSE)</f>
        <v>377.99</v>
      </c>
      <c r="G176" s="22">
        <f>+VLOOKUP($B176,'[3]INT Web'!$B$5:$W$247,'[3]INT Web'!S$1,FALSE)</f>
        <v>62.99</v>
      </c>
      <c r="H176" s="22">
        <f>+VLOOKUP($B176,'[3]INT Web'!$B$5:$W$247,'[3]INT Web'!T$1,FALSE)</f>
        <v>281.99</v>
      </c>
      <c r="I176" s="22">
        <f>+VLOOKUP($B176,'[3]INT Web'!$B$5:$W$247,'[3]INT Web'!U$1,FALSE)</f>
        <v>46.99</v>
      </c>
      <c r="J176" s="22">
        <f>+VLOOKUP($B176,'[3]INT Web'!$B$5:$W$247,'[3]INT Web'!V$1,FALSE)</f>
        <v>251.99</v>
      </c>
      <c r="K176" s="22">
        <f>+VLOOKUP($B176,'[3]INT Web'!$B$5:$W$247,'[3]INT Web'!W$1,FALSE)</f>
        <v>41.99</v>
      </c>
      <c r="L176" s="12">
        <f t="shared" si="186"/>
        <v>6.0007937767899664</v>
      </c>
      <c r="M176" s="12">
        <f t="shared" si="187"/>
        <v>1.3404979782932538</v>
      </c>
      <c r="N176" s="12">
        <f t="shared" si="188"/>
        <v>6.001064056182166</v>
      </c>
      <c r="O176" s="12">
        <f t="shared" si="189"/>
        <v>6.0011907597046914</v>
      </c>
      <c r="P176" s="12">
        <f t="shared" si="190"/>
        <v>0.89359438178335815</v>
      </c>
      <c r="Q176" s="140" t="str">
        <f t="shared" si="183"/>
        <v>PEN</v>
      </c>
      <c r="R176" s="104">
        <f>+VLOOKUP($B176,'Country-Level Tactics'!$B$5:$AL$248,'Country-Level Tactics'!AH$1,FALSE)</f>
        <v>377.99</v>
      </c>
      <c r="S176" s="104">
        <f>+VLOOKUP($B176,'Country-Level Tactics'!$B$5:$AL$248,'Country-Level Tactics'!X$1,FALSE)</f>
        <v>62.99</v>
      </c>
      <c r="T176" s="104">
        <f>+VLOOKUP($B176,'Country-Level Tactics'!$B$5:$AL$248,'Country-Level Tactics'!AC$1,FALSE)</f>
        <v>281.99</v>
      </c>
      <c r="U176" s="104">
        <f>+VLOOKUP($B176,'Country-Level Tactics'!$B$5:$AL$248,'Country-Level Tactics'!T$1,FALSE)</f>
        <v>46.99</v>
      </c>
      <c r="V176" s="104">
        <f t="shared" si="184"/>
        <v>251.99</v>
      </c>
      <c r="W176" s="104">
        <f t="shared" si="185"/>
        <v>41.99</v>
      </c>
      <c r="X176" s="12">
        <f t="shared" si="191"/>
        <v>6.0007937767899664</v>
      </c>
      <c r="Y176" s="12">
        <f t="shared" si="192"/>
        <v>1.3404979782932538</v>
      </c>
      <c r="Z176" s="12">
        <f t="shared" si="193"/>
        <v>6.001064056182166</v>
      </c>
      <c r="AA176" s="12">
        <f t="shared" si="194"/>
        <v>6.0011907597046914</v>
      </c>
      <c r="AB176" s="12">
        <f t="shared" si="195"/>
        <v>0.89359438178335815</v>
      </c>
      <c r="AD176" s="10">
        <f t="shared" si="196"/>
        <v>0</v>
      </c>
      <c r="AE176" s="10">
        <f t="shared" si="197"/>
        <v>0</v>
      </c>
      <c r="AF176" s="10">
        <f t="shared" si="198"/>
        <v>0</v>
      </c>
      <c r="AG176" s="10">
        <f t="shared" si="199"/>
        <v>0</v>
      </c>
      <c r="AH176" s="10">
        <f t="shared" si="200"/>
        <v>0</v>
      </c>
      <c r="AI176" s="10">
        <f t="shared" si="201"/>
        <v>0</v>
      </c>
      <c r="AK176" s="165">
        <v>0.29391882000000003</v>
      </c>
      <c r="AL176" s="173">
        <f t="shared" si="202"/>
        <v>111.09837477180001</v>
      </c>
      <c r="AM176" s="173">
        <f t="shared" si="203"/>
        <v>18.513946471800001</v>
      </c>
      <c r="AN176" s="173">
        <f t="shared" si="204"/>
        <v>82.882168051800008</v>
      </c>
      <c r="AO176" s="173">
        <f t="shared" si="205"/>
        <v>13.811245351800002</v>
      </c>
      <c r="AP176" s="173">
        <f t="shared" si="206"/>
        <v>74.064603451800011</v>
      </c>
      <c r="AQ176" s="173">
        <f t="shared" si="207"/>
        <v>12.341651251800002</v>
      </c>
      <c r="AS176" s="22" t="str">
        <f>+VLOOKUP(B176,'Country &amp; Code Abbreviation'!$B$3:$C$245,2,FALSE)</f>
        <v>PE</v>
      </c>
    </row>
    <row r="177" spans="2:45">
      <c r="B177" s="20" t="s">
        <v>246</v>
      </c>
      <c r="C177" s="20" t="s">
        <v>182</v>
      </c>
      <c r="D177" s="6" t="s">
        <v>345</v>
      </c>
      <c r="E177" s="11" t="str">
        <f>+VLOOKUP($B177,'[3]INT Web'!$B$5:$W$247,'[3]INT Web'!Q$1,FALSE)</f>
        <v>PHP</v>
      </c>
      <c r="F177" s="22">
        <f>+VLOOKUP($B177,'[3]INT Web'!$B$5:$W$247,'[3]INT Web'!R$1,FALSE)</f>
        <v>5039</v>
      </c>
      <c r="G177" s="22">
        <f>+VLOOKUP($B177,'[3]INT Web'!$B$5:$W$247,'[3]INT Web'!S$1,FALSE)</f>
        <v>839</v>
      </c>
      <c r="H177" s="22">
        <f>+VLOOKUP($B177,'[3]INT Web'!$B$5:$W$247,'[3]INT Web'!T$1,FALSE)</f>
        <v>3919</v>
      </c>
      <c r="I177" s="22">
        <f>+VLOOKUP($B177,'[3]INT Web'!$B$5:$W$247,'[3]INT Web'!U$1,FALSE)</f>
        <v>559</v>
      </c>
      <c r="J177" s="22">
        <f>+VLOOKUP($B177,'[3]INT Web'!$B$5:$W$247,'[3]INT Web'!V$1,FALSE)</f>
        <v>3249</v>
      </c>
      <c r="K177" s="22">
        <f>+VLOOKUP($B177,'[3]INT Web'!$B$5:$W$247,'[3]INT Web'!W$1,FALSE)</f>
        <v>499</v>
      </c>
      <c r="L177" s="12">
        <f t="shared" si="186"/>
        <v>6.0059594755661498</v>
      </c>
      <c r="M177" s="12">
        <f t="shared" si="187"/>
        <v>1.5008944543828264</v>
      </c>
      <c r="N177" s="12">
        <f t="shared" si="188"/>
        <v>7.010733452593918</v>
      </c>
      <c r="O177" s="12">
        <f t="shared" si="189"/>
        <v>6.5110220440881763</v>
      </c>
      <c r="P177" s="12">
        <f t="shared" si="190"/>
        <v>0.89266547406082286</v>
      </c>
      <c r="Q177" s="140" t="str">
        <f t="shared" si="183"/>
        <v>PHP</v>
      </c>
      <c r="R177" s="104">
        <f>+VLOOKUP($B177,'Country-Level Tactics'!$B$5:$AL$248,'Country-Level Tactics'!AH$1,FALSE)</f>
        <v>5039</v>
      </c>
      <c r="S177" s="104">
        <f>+VLOOKUP($B177,'Country-Level Tactics'!$B$5:$AL$248,'Country-Level Tactics'!X$1,FALSE)</f>
        <v>839</v>
      </c>
      <c r="T177" s="104">
        <f>+VLOOKUP($B177,'Country-Level Tactics'!$B$5:$AL$248,'Country-Level Tactics'!AC$1,FALSE)</f>
        <v>3919</v>
      </c>
      <c r="U177" s="104">
        <f>+VLOOKUP($B177,'Country-Level Tactics'!$B$5:$AL$248,'Country-Level Tactics'!T$1,FALSE)</f>
        <v>559</v>
      </c>
      <c r="V177" s="104">
        <f>+J177</f>
        <v>3249</v>
      </c>
      <c r="W177" s="104">
        <f>+K177</f>
        <v>499</v>
      </c>
      <c r="X177" s="12">
        <f t="shared" si="191"/>
        <v>6.0059594755661498</v>
      </c>
      <c r="Y177" s="12">
        <f t="shared" si="192"/>
        <v>1.5008944543828264</v>
      </c>
      <c r="Z177" s="12">
        <f t="shared" si="193"/>
        <v>7.010733452593918</v>
      </c>
      <c r="AA177" s="12">
        <f t="shared" si="194"/>
        <v>6.5110220440881763</v>
      </c>
      <c r="AB177" s="12">
        <f t="shared" si="195"/>
        <v>0.89266547406082286</v>
      </c>
      <c r="AD177" s="10">
        <f t="shared" si="196"/>
        <v>0</v>
      </c>
      <c r="AE177" s="10">
        <f t="shared" si="197"/>
        <v>0</v>
      </c>
      <c r="AF177" s="10">
        <f t="shared" si="198"/>
        <v>0</v>
      </c>
      <c r="AG177" s="10">
        <f t="shared" si="199"/>
        <v>0</v>
      </c>
      <c r="AH177" s="10">
        <f t="shared" si="200"/>
        <v>0</v>
      </c>
      <c r="AI177" s="10">
        <f t="shared" si="201"/>
        <v>0</v>
      </c>
      <c r="AK177" s="165">
        <v>1.6261484E-2</v>
      </c>
      <c r="AL177" s="173">
        <f t="shared" si="202"/>
        <v>81.941617875999995</v>
      </c>
      <c r="AM177" s="173">
        <f t="shared" si="203"/>
        <v>13.643385076</v>
      </c>
      <c r="AN177" s="173">
        <f t="shared" si="204"/>
        <v>63.728755796000002</v>
      </c>
      <c r="AO177" s="173">
        <f t="shared" si="205"/>
        <v>9.0901695559999993</v>
      </c>
      <c r="AP177" s="173">
        <f t="shared" si="206"/>
        <v>52.833561515999996</v>
      </c>
      <c r="AQ177" s="173">
        <f t="shared" si="207"/>
        <v>8.1144805160000004</v>
      </c>
      <c r="AS177" s="22" t="str">
        <f>+VLOOKUP(B177,'Country &amp; Code Abbreviation'!$B$3:$C$245,2,FALSE)</f>
        <v>PH</v>
      </c>
    </row>
    <row r="178" spans="2:45">
      <c r="B178" s="20" t="s">
        <v>247</v>
      </c>
      <c r="C178" s="20" t="s">
        <v>182</v>
      </c>
      <c r="E178" s="11" t="str">
        <f>+VLOOKUP($B178,'[3]INT Web'!$B$5:$W$247,'[3]INT Web'!Q$1,FALSE)</f>
        <v>NZD</v>
      </c>
      <c r="F178" s="22">
        <f>+VLOOKUP($B178,'[3]INT Web'!$B$5:$W$247,'[3]INT Web'!R$1,FALSE)</f>
        <v>113.99</v>
      </c>
      <c r="G178" s="22">
        <f>+VLOOKUP($B178,'[3]INT Web'!$B$5:$W$247,'[3]INT Web'!S$1,FALSE)</f>
        <v>18.989999999999998</v>
      </c>
      <c r="H178" s="22">
        <f>+VLOOKUP($B178,'[3]INT Web'!$B$5:$W$247,'[3]INT Web'!T$1,FALSE)</f>
        <v>83.99</v>
      </c>
      <c r="I178" s="22">
        <f>+VLOOKUP($B178,'[3]INT Web'!$B$5:$W$247,'[3]INT Web'!U$1,FALSE)</f>
        <v>13.99</v>
      </c>
      <c r="J178" s="22">
        <f>+VLOOKUP($B178,'[3]INT Web'!$B$5:$W$247,'[3]INT Web'!V$1,FALSE)</f>
        <v>77.989999999999995</v>
      </c>
      <c r="K178" s="22">
        <f>+VLOOKUP($B178,'[3]INT Web'!$B$5:$W$247,'[3]INT Web'!W$1,FALSE)</f>
        <v>12.99</v>
      </c>
      <c r="L178" s="12">
        <f t="shared" si="186"/>
        <v>6.0026329647182726</v>
      </c>
      <c r="M178" s="12">
        <f t="shared" si="187"/>
        <v>1.3573981415296639</v>
      </c>
      <c r="N178" s="12">
        <f t="shared" si="188"/>
        <v>6.003573981415296</v>
      </c>
      <c r="O178" s="12">
        <f t="shared" si="189"/>
        <v>6.0038491147036179</v>
      </c>
      <c r="P178" s="12">
        <f t="shared" si="190"/>
        <v>0.9285203716940672</v>
      </c>
      <c r="Q178" s="140" t="str">
        <f t="shared" si="183"/>
        <v>NZD</v>
      </c>
      <c r="R178" s="104">
        <f>+VLOOKUP($B178,'Country-Level Tactics'!$B$5:$AL$248,'Country-Level Tactics'!AH$1,FALSE)</f>
        <v>113.99</v>
      </c>
      <c r="S178" s="104">
        <f>+VLOOKUP($B178,'Country-Level Tactics'!$B$5:$AL$248,'Country-Level Tactics'!X$1,FALSE)</f>
        <v>18.989999999999998</v>
      </c>
      <c r="T178" s="104">
        <f>+VLOOKUP($B178,'Country-Level Tactics'!$B$5:$AL$248,'Country-Level Tactics'!AC$1,FALSE)</f>
        <v>83.99</v>
      </c>
      <c r="U178" s="104">
        <f>+VLOOKUP($B178,'Country-Level Tactics'!$B$5:$AL$248,'Country-Level Tactics'!T$1,FALSE)</f>
        <v>13.99</v>
      </c>
      <c r="V178" s="104">
        <f t="shared" ref="V178:V209" si="208">+J178</f>
        <v>77.989999999999995</v>
      </c>
      <c r="W178" s="104">
        <f t="shared" ref="W178:W209" si="209">+K178</f>
        <v>12.99</v>
      </c>
      <c r="X178" s="12">
        <f t="shared" si="191"/>
        <v>6.0026329647182726</v>
      </c>
      <c r="Y178" s="12">
        <f t="shared" si="192"/>
        <v>1.3573981415296639</v>
      </c>
      <c r="Z178" s="12">
        <f t="shared" si="193"/>
        <v>6.003573981415296</v>
      </c>
      <c r="AA178" s="12">
        <f t="shared" si="194"/>
        <v>6.0038491147036179</v>
      </c>
      <c r="AB178" s="12">
        <f t="shared" si="195"/>
        <v>0.9285203716940672</v>
      </c>
      <c r="AD178" s="10">
        <f t="shared" si="196"/>
        <v>0</v>
      </c>
      <c r="AE178" s="10">
        <f t="shared" si="197"/>
        <v>0</v>
      </c>
      <c r="AF178" s="10">
        <f t="shared" si="198"/>
        <v>0</v>
      </c>
      <c r="AG178" s="10">
        <f t="shared" si="199"/>
        <v>0</v>
      </c>
      <c r="AH178" s="10">
        <f t="shared" si="200"/>
        <v>0</v>
      </c>
      <c r="AI178" s="10">
        <f t="shared" si="201"/>
        <v>0</v>
      </c>
      <c r="AK178" s="165">
        <v>0.56845000000000001</v>
      </c>
      <c r="AL178" s="173">
        <f t="shared" si="202"/>
        <v>64.797615499999992</v>
      </c>
      <c r="AM178" s="173">
        <f t="shared" si="203"/>
        <v>10.794865499999998</v>
      </c>
      <c r="AN178" s="173">
        <f t="shared" si="204"/>
        <v>47.744115499999999</v>
      </c>
      <c r="AO178" s="173">
        <f t="shared" si="205"/>
        <v>7.9526155000000003</v>
      </c>
      <c r="AP178" s="173">
        <f t="shared" si="206"/>
        <v>44.333415500000001</v>
      </c>
      <c r="AQ178" s="173">
        <f t="shared" si="207"/>
        <v>7.3841654999999999</v>
      </c>
      <c r="AS178" s="22" t="str">
        <f>+VLOOKUP(B178,'Country &amp; Code Abbreviation'!$B$3:$C$245,2,FALSE)</f>
        <v>PN</v>
      </c>
    </row>
    <row r="179" spans="2:45">
      <c r="B179" s="199" t="s">
        <v>248</v>
      </c>
      <c r="C179" s="199" t="s">
        <v>100</v>
      </c>
      <c r="D179" s="6" t="s">
        <v>348</v>
      </c>
      <c r="E179" s="11" t="str">
        <f>+VLOOKUP($B179,'[3]INT Web'!$B$5:$W$247,'[3]INT Web'!Q$1,FALSE)</f>
        <v>PLN</v>
      </c>
      <c r="F179" s="22">
        <f>+VLOOKUP($B179,'[3]INT Web'!$B$5:$W$247,'[3]INT Web'!R$1,FALSE)</f>
        <v>539.99</v>
      </c>
      <c r="G179" s="22">
        <f>+VLOOKUP($B179,'[3]INT Web'!$B$5:$W$247,'[3]INT Web'!S$1,FALSE)</f>
        <v>82.99</v>
      </c>
      <c r="H179" s="22">
        <f>+VLOOKUP($B179,'[3]INT Web'!$B$5:$W$247,'[3]INT Web'!T$1,FALSE)</f>
        <v>399.99</v>
      </c>
      <c r="I179" s="22">
        <f>+VLOOKUP($B179,'[3]INT Web'!$B$5:$W$247,'[3]INT Web'!U$1,FALSE)</f>
        <v>61.99</v>
      </c>
      <c r="J179" s="22">
        <f>+VLOOKUP($B179,'[3]INT Web'!$B$5:$W$247,'[3]INT Web'!V$1,FALSE)</f>
        <v>354.99</v>
      </c>
      <c r="K179" s="22">
        <f>+VLOOKUP($B179,'[3]INT Web'!$B$5:$W$247,'[3]INT Web'!W$1,FALSE)</f>
        <v>54.99</v>
      </c>
      <c r="L179" s="12">
        <f t="shared" si="186"/>
        <v>6.506687552717195</v>
      </c>
      <c r="M179" s="12">
        <f t="shared" si="187"/>
        <v>1.3387643168252943</v>
      </c>
      <c r="N179" s="12">
        <f t="shared" si="188"/>
        <v>6.4524923374737861</v>
      </c>
      <c r="O179" s="12">
        <f t="shared" si="189"/>
        <v>6.4555373704309877</v>
      </c>
      <c r="P179" s="12">
        <f t="shared" si="190"/>
        <v>0.88707856105823524</v>
      </c>
      <c r="Q179" s="140" t="str">
        <f t="shared" si="183"/>
        <v>PLN</v>
      </c>
      <c r="R179" s="104">
        <f>+VLOOKUP($B179,'Country-Level Tactics'!$B$5:$AL$248,'Country-Level Tactics'!AH$1,FALSE)</f>
        <v>539.99</v>
      </c>
      <c r="S179" s="104">
        <f>+VLOOKUP($B179,'Country-Level Tactics'!$B$5:$AL$248,'Country-Level Tactics'!X$1,FALSE)</f>
        <v>82.99</v>
      </c>
      <c r="T179" s="104">
        <f>+VLOOKUP($B179,'Country-Level Tactics'!$B$5:$AL$248,'Country-Level Tactics'!AC$1,FALSE)</f>
        <v>399.99</v>
      </c>
      <c r="U179" s="104">
        <f>+VLOOKUP($B179,'Country-Level Tactics'!$B$5:$AL$248,'Country-Level Tactics'!T$1,FALSE)</f>
        <v>61.99</v>
      </c>
      <c r="V179" s="104">
        <f t="shared" si="208"/>
        <v>354.99</v>
      </c>
      <c r="W179" s="104">
        <f t="shared" si="209"/>
        <v>54.99</v>
      </c>
      <c r="X179" s="12">
        <f t="shared" si="191"/>
        <v>6.506687552717195</v>
      </c>
      <c r="Y179" s="12">
        <f t="shared" si="192"/>
        <v>1.3387643168252943</v>
      </c>
      <c r="Z179" s="12">
        <f t="shared" si="193"/>
        <v>6.4524923374737861</v>
      </c>
      <c r="AA179" s="12">
        <f t="shared" si="194"/>
        <v>6.4555373704309877</v>
      </c>
      <c r="AB179" s="12">
        <f t="shared" si="195"/>
        <v>0.88707856105823524</v>
      </c>
      <c r="AD179" s="10">
        <f t="shared" si="196"/>
        <v>0</v>
      </c>
      <c r="AE179" s="10">
        <f t="shared" si="197"/>
        <v>0</v>
      </c>
      <c r="AF179" s="10">
        <f t="shared" si="198"/>
        <v>0</v>
      </c>
      <c r="AG179" s="10">
        <f t="shared" si="199"/>
        <v>0</v>
      </c>
      <c r="AH179" s="10">
        <f t="shared" si="200"/>
        <v>0</v>
      </c>
      <c r="AI179" s="10">
        <f t="shared" si="201"/>
        <v>0</v>
      </c>
      <c r="AK179" s="165">
        <v>0.26604944000000003</v>
      </c>
      <c r="AL179" s="173">
        <f t="shared" si="202"/>
        <v>143.66403710560002</v>
      </c>
      <c r="AM179" s="173">
        <f t="shared" si="203"/>
        <v>22.0794430256</v>
      </c>
      <c r="AN179" s="173">
        <f t="shared" si="204"/>
        <v>106.41711550560001</v>
      </c>
      <c r="AO179" s="173">
        <f t="shared" si="205"/>
        <v>16.492404785600002</v>
      </c>
      <c r="AP179" s="173">
        <f t="shared" si="206"/>
        <v>94.444890705600017</v>
      </c>
      <c r="AQ179" s="173">
        <f t="shared" si="207"/>
        <v>14.630058705600002</v>
      </c>
      <c r="AS179" s="22" t="str">
        <f>+VLOOKUP(B179,'Country &amp; Code Abbreviation'!$B$3:$C$245,2,FALSE)</f>
        <v>PL</v>
      </c>
    </row>
    <row r="180" spans="2:45">
      <c r="B180" s="20" t="s">
        <v>249</v>
      </c>
      <c r="C180" s="20" t="s">
        <v>100</v>
      </c>
      <c r="E180" s="11" t="str">
        <f>+VLOOKUP($B180,'[3]INT Web'!$B$5:$W$247,'[3]INT Web'!Q$1,FALSE)</f>
        <v>EUR</v>
      </c>
      <c r="F180" s="22">
        <f>+VLOOKUP($B180,'[3]INT Web'!$B$5:$W$247,'[3]INT Web'!R$1,FALSE)</f>
        <v>129.99</v>
      </c>
      <c r="G180" s="22">
        <f>+VLOOKUP($B180,'[3]INT Web'!$B$5:$W$247,'[3]INT Web'!S$1,FALSE)</f>
        <v>19.989999999999998</v>
      </c>
      <c r="H180" s="22">
        <f>+VLOOKUP($B180,'[3]INT Web'!$B$5:$W$247,'[3]INT Web'!T$1,FALSE)</f>
        <v>97.99</v>
      </c>
      <c r="I180" s="22">
        <f>+VLOOKUP($B180,'[3]INT Web'!$B$5:$W$247,'[3]INT Web'!U$1,FALSE)</f>
        <v>14.99</v>
      </c>
      <c r="J180" s="22">
        <f>+VLOOKUP($B180,'[3]INT Web'!$B$5:$W$247,'[3]INT Web'!V$1,FALSE)</f>
        <v>84.99</v>
      </c>
      <c r="K180" s="22">
        <f>+VLOOKUP($B180,'[3]INT Web'!$B$5:$W$247,'[3]INT Web'!W$1,FALSE)</f>
        <v>12.99</v>
      </c>
      <c r="L180" s="12">
        <f t="shared" si="186"/>
        <v>6.5027513756878452</v>
      </c>
      <c r="M180" s="12">
        <f t="shared" si="187"/>
        <v>1.333555703802535</v>
      </c>
      <c r="N180" s="12">
        <f t="shared" si="188"/>
        <v>6.5370246831220813</v>
      </c>
      <c r="O180" s="12">
        <f t="shared" si="189"/>
        <v>6.5427251732101608</v>
      </c>
      <c r="P180" s="12">
        <f t="shared" si="190"/>
        <v>0.86657771847898601</v>
      </c>
      <c r="Q180" s="140" t="str">
        <f t="shared" si="183"/>
        <v>EUR</v>
      </c>
      <c r="R180" s="104">
        <f>+VLOOKUP($B180,'Country-Level Tactics'!$B$5:$AL$248,'Country-Level Tactics'!AH$1,FALSE)</f>
        <v>129.99</v>
      </c>
      <c r="S180" s="104">
        <f>+VLOOKUP($B180,'Country-Level Tactics'!$B$5:$AL$248,'Country-Level Tactics'!X$1,FALSE)</f>
        <v>19.989999999999998</v>
      </c>
      <c r="T180" s="104">
        <f>+VLOOKUP($B180,'Country-Level Tactics'!$B$5:$AL$248,'Country-Level Tactics'!AC$1,FALSE)</f>
        <v>97.99</v>
      </c>
      <c r="U180" s="104">
        <f>+VLOOKUP($B180,'Country-Level Tactics'!$B$5:$AL$248,'Country-Level Tactics'!T$1,FALSE)</f>
        <v>14.99</v>
      </c>
      <c r="V180" s="104">
        <f t="shared" si="208"/>
        <v>84.99</v>
      </c>
      <c r="W180" s="104">
        <f t="shared" si="209"/>
        <v>12.99</v>
      </c>
      <c r="X180" s="12">
        <f t="shared" si="191"/>
        <v>6.5027513756878452</v>
      </c>
      <c r="Y180" s="12">
        <f t="shared" si="192"/>
        <v>1.333555703802535</v>
      </c>
      <c r="Z180" s="12">
        <f t="shared" si="193"/>
        <v>6.5370246831220813</v>
      </c>
      <c r="AA180" s="12">
        <f t="shared" si="194"/>
        <v>6.5427251732101608</v>
      </c>
      <c r="AB180" s="12">
        <f t="shared" si="195"/>
        <v>0.86657771847898601</v>
      </c>
      <c r="AD180" s="10">
        <f t="shared" si="196"/>
        <v>0</v>
      </c>
      <c r="AE180" s="10">
        <f t="shared" si="197"/>
        <v>0</v>
      </c>
      <c r="AF180" s="10">
        <f t="shared" si="198"/>
        <v>0</v>
      </c>
      <c r="AG180" s="10">
        <f t="shared" si="199"/>
        <v>0</v>
      </c>
      <c r="AH180" s="10">
        <f t="shared" si="200"/>
        <v>0</v>
      </c>
      <c r="AI180" s="10">
        <f t="shared" si="201"/>
        <v>0</v>
      </c>
      <c r="AK180" s="165">
        <v>1.14175</v>
      </c>
      <c r="AL180" s="173">
        <f t="shared" si="202"/>
        <v>148.41608250000002</v>
      </c>
      <c r="AM180" s="173">
        <f t="shared" si="203"/>
        <v>22.823582500000001</v>
      </c>
      <c r="AN180" s="173">
        <f t="shared" si="204"/>
        <v>111.8800825</v>
      </c>
      <c r="AO180" s="173">
        <f t="shared" si="205"/>
        <v>17.114832500000002</v>
      </c>
      <c r="AP180" s="173">
        <f t="shared" si="206"/>
        <v>97.037332499999991</v>
      </c>
      <c r="AQ180" s="173">
        <f t="shared" si="207"/>
        <v>14.8313325</v>
      </c>
      <c r="AS180" s="22" t="str">
        <f>+VLOOKUP(B180,'Country &amp; Code Abbreviation'!$B$3:$C$245,2,FALSE)</f>
        <v>PT</v>
      </c>
    </row>
    <row r="181" spans="2:45">
      <c r="B181" s="20" t="s">
        <v>250</v>
      </c>
      <c r="C181" s="20" t="s">
        <v>275</v>
      </c>
      <c r="E181" s="11" t="str">
        <f>+VLOOKUP($B181,'[3]INT Web'!$B$5:$W$247,'[3]INT Web'!Q$1,FALSE)</f>
        <v>QAR</v>
      </c>
      <c r="F181" s="22">
        <f>+VLOOKUP($B181,'[3]INT Web'!$B$5:$W$247,'[3]INT Web'!R$1,FALSE)</f>
        <v>679.99</v>
      </c>
      <c r="G181" s="22">
        <f>+VLOOKUP($B181,'[3]INT Web'!$B$5:$W$247,'[3]INT Web'!S$1,FALSE)</f>
        <v>96.99</v>
      </c>
      <c r="H181" s="22">
        <f>+VLOOKUP($B181,'[3]INT Web'!$B$5:$W$247,'[3]INT Web'!T$1,FALSE)</f>
        <v>524.99</v>
      </c>
      <c r="I181" s="22">
        <f>+VLOOKUP($B181,'[3]INT Web'!$B$5:$W$247,'[3]INT Web'!U$1,FALSE)</f>
        <v>74.989999999999995</v>
      </c>
      <c r="J181" s="22">
        <f>+VLOOKUP($B181,'[3]INT Web'!$B$5:$W$247,'[3]INT Web'!V$1,FALSE)</f>
        <v>469.99</v>
      </c>
      <c r="K181" s="22">
        <f>+VLOOKUP($B181,'[3]INT Web'!$B$5:$W$247,'[3]INT Web'!W$1,FALSE)</f>
        <v>66.989999999999995</v>
      </c>
      <c r="L181" s="12">
        <f t="shared" si="186"/>
        <v>7.0109289617486343</v>
      </c>
      <c r="M181" s="12">
        <f t="shared" si="187"/>
        <v>1.2933724496599546</v>
      </c>
      <c r="N181" s="12">
        <f t="shared" si="188"/>
        <v>7.0008001066808916</v>
      </c>
      <c r="O181" s="12">
        <f t="shared" si="189"/>
        <v>7.0158232572025678</v>
      </c>
      <c r="P181" s="12">
        <f t="shared" si="190"/>
        <v>0.89331910921456192</v>
      </c>
      <c r="Q181" s="140" t="str">
        <f t="shared" si="183"/>
        <v>QAR</v>
      </c>
      <c r="R181" s="104">
        <f>+VLOOKUP($B181,'Country-Level Tactics'!$B$5:$AL$248,'Country-Level Tactics'!AH$1,FALSE)</f>
        <v>679.99</v>
      </c>
      <c r="S181" s="104">
        <f>+VLOOKUP($B181,'Country-Level Tactics'!$B$5:$AL$248,'Country-Level Tactics'!X$1,FALSE)</f>
        <v>96.99</v>
      </c>
      <c r="T181" s="104">
        <f>+VLOOKUP($B181,'Country-Level Tactics'!$B$5:$AL$248,'Country-Level Tactics'!AC$1,FALSE)</f>
        <v>524.99</v>
      </c>
      <c r="U181" s="104">
        <f>+VLOOKUP($B181,'Country-Level Tactics'!$B$5:$AL$248,'Country-Level Tactics'!T$1,FALSE)</f>
        <v>74.989999999999995</v>
      </c>
      <c r="V181" s="104">
        <f t="shared" si="208"/>
        <v>469.99</v>
      </c>
      <c r="W181" s="104">
        <f t="shared" si="209"/>
        <v>66.989999999999995</v>
      </c>
      <c r="X181" s="12">
        <f t="shared" si="191"/>
        <v>7.0109289617486343</v>
      </c>
      <c r="Y181" s="12">
        <f t="shared" si="192"/>
        <v>1.2933724496599546</v>
      </c>
      <c r="Z181" s="12">
        <f t="shared" si="193"/>
        <v>7.0008001066808916</v>
      </c>
      <c r="AA181" s="12">
        <f t="shared" si="194"/>
        <v>7.0158232572025678</v>
      </c>
      <c r="AB181" s="12">
        <f t="shared" si="195"/>
        <v>0.89331910921456192</v>
      </c>
      <c r="AD181" s="10">
        <f t="shared" si="196"/>
        <v>0</v>
      </c>
      <c r="AE181" s="10">
        <f t="shared" si="197"/>
        <v>0</v>
      </c>
      <c r="AF181" s="10">
        <f t="shared" si="198"/>
        <v>0</v>
      </c>
      <c r="AG181" s="10">
        <f t="shared" si="199"/>
        <v>0</v>
      </c>
      <c r="AH181" s="10">
        <f t="shared" si="200"/>
        <v>0</v>
      </c>
      <c r="AI181" s="10">
        <f t="shared" si="201"/>
        <v>0</v>
      </c>
      <c r="AK181" s="165">
        <v>0.27464982999999998</v>
      </c>
      <c r="AL181" s="173">
        <f t="shared" si="202"/>
        <v>186.7591379017</v>
      </c>
      <c r="AM181" s="173">
        <f t="shared" si="203"/>
        <v>26.638287011699997</v>
      </c>
      <c r="AN181" s="173">
        <f t="shared" si="204"/>
        <v>144.18841425169998</v>
      </c>
      <c r="AO181" s="173">
        <f t="shared" si="205"/>
        <v>20.595990751699997</v>
      </c>
      <c r="AP181" s="173">
        <f t="shared" si="206"/>
        <v>129.08267360170001</v>
      </c>
      <c r="AQ181" s="173">
        <f t="shared" si="207"/>
        <v>18.398792111699997</v>
      </c>
      <c r="AS181" s="22" t="str">
        <f>+VLOOKUP(B181,'Country &amp; Code Abbreviation'!$B$3:$C$245,2,FALSE)</f>
        <v>QA</v>
      </c>
    </row>
    <row r="182" spans="2:45">
      <c r="B182" s="20" t="s">
        <v>251</v>
      </c>
      <c r="C182" s="21" t="s">
        <v>100</v>
      </c>
      <c r="E182" s="11" t="str">
        <f>+VLOOKUP($B182,'[3]INT Web'!$B$5:$W$247,'[3]INT Web'!Q$1,FALSE)</f>
        <v>EUR</v>
      </c>
      <c r="F182" s="22">
        <f>+VLOOKUP($B182,'[3]INT Web'!$B$5:$W$247,'[3]INT Web'!R$1,FALSE)</f>
        <v>77.989999999999995</v>
      </c>
      <c r="G182" s="22">
        <f>+VLOOKUP($B182,'[3]INT Web'!$B$5:$W$247,'[3]INT Web'!S$1,FALSE)</f>
        <v>12.99</v>
      </c>
      <c r="H182" s="22">
        <f>+VLOOKUP($B182,'[3]INT Web'!$B$5:$W$247,'[3]INT Web'!T$1,FALSE)</f>
        <v>59.99</v>
      </c>
      <c r="I182" s="22">
        <f>+VLOOKUP($B182,'[3]INT Web'!$B$5:$W$247,'[3]INT Web'!U$1,FALSE)</f>
        <v>9.99</v>
      </c>
      <c r="J182" s="22">
        <f>+VLOOKUP($B182,'[3]INT Web'!$B$5:$W$247,'[3]INT Web'!V$1,FALSE)</f>
        <v>53.99</v>
      </c>
      <c r="K182" s="22">
        <f>+VLOOKUP($B182,'[3]INT Web'!$B$5:$W$247,'[3]INT Web'!W$1,FALSE)</f>
        <v>8.99</v>
      </c>
      <c r="L182" s="12">
        <f t="shared" si="186"/>
        <v>6.0038491147036179</v>
      </c>
      <c r="M182" s="12">
        <f t="shared" si="187"/>
        <v>1.3003003003003002</v>
      </c>
      <c r="N182" s="12">
        <f t="shared" si="188"/>
        <v>6.005005005005005</v>
      </c>
      <c r="O182" s="12">
        <f t="shared" si="189"/>
        <v>6.0055617352614012</v>
      </c>
      <c r="P182" s="12">
        <f t="shared" si="190"/>
        <v>0.89989989989989994</v>
      </c>
      <c r="Q182" s="140" t="str">
        <f t="shared" si="183"/>
        <v>EUR</v>
      </c>
      <c r="R182" s="104">
        <f>+VLOOKUP($B182,'Country-Level Tactics'!$B$5:$AL$248,'Country-Level Tactics'!AH$1,FALSE)</f>
        <v>77.989999999999995</v>
      </c>
      <c r="S182" s="104">
        <f>+VLOOKUP($B182,'Country-Level Tactics'!$B$5:$AL$248,'Country-Level Tactics'!X$1,FALSE)</f>
        <v>12.99</v>
      </c>
      <c r="T182" s="104">
        <f>+VLOOKUP($B182,'Country-Level Tactics'!$B$5:$AL$248,'Country-Level Tactics'!AC$1,FALSE)</f>
        <v>59.99</v>
      </c>
      <c r="U182" s="104">
        <f>+VLOOKUP($B182,'Country-Level Tactics'!$B$5:$AL$248,'Country-Level Tactics'!T$1,FALSE)</f>
        <v>9.99</v>
      </c>
      <c r="V182" s="104">
        <f t="shared" si="208"/>
        <v>53.99</v>
      </c>
      <c r="W182" s="104">
        <f t="shared" si="209"/>
        <v>8.99</v>
      </c>
      <c r="X182" s="12">
        <f t="shared" si="191"/>
        <v>6.0038491147036179</v>
      </c>
      <c r="Y182" s="12">
        <f t="shared" si="192"/>
        <v>1.3003003003003002</v>
      </c>
      <c r="Z182" s="12">
        <f t="shared" si="193"/>
        <v>6.005005005005005</v>
      </c>
      <c r="AA182" s="12">
        <f t="shared" si="194"/>
        <v>6.0055617352614012</v>
      </c>
      <c r="AB182" s="12">
        <f t="shared" si="195"/>
        <v>0.89989989989989994</v>
      </c>
      <c r="AD182" s="10">
        <f t="shared" si="196"/>
        <v>0</v>
      </c>
      <c r="AE182" s="10">
        <f t="shared" si="197"/>
        <v>0</v>
      </c>
      <c r="AF182" s="10">
        <f t="shared" si="198"/>
        <v>0</v>
      </c>
      <c r="AG182" s="10">
        <f t="shared" si="199"/>
        <v>0</v>
      </c>
      <c r="AH182" s="10">
        <f t="shared" si="200"/>
        <v>0</v>
      </c>
      <c r="AI182" s="10">
        <f t="shared" si="201"/>
        <v>0</v>
      </c>
      <c r="AK182" s="165">
        <v>1.14175</v>
      </c>
      <c r="AL182" s="173">
        <f t="shared" si="202"/>
        <v>89.045082499999992</v>
      </c>
      <c r="AM182" s="173">
        <f t="shared" si="203"/>
        <v>14.8313325</v>
      </c>
      <c r="AN182" s="173">
        <f t="shared" si="204"/>
        <v>68.493582500000002</v>
      </c>
      <c r="AO182" s="173">
        <f t="shared" si="205"/>
        <v>11.4060825</v>
      </c>
      <c r="AP182" s="173">
        <f t="shared" si="206"/>
        <v>61.643082500000006</v>
      </c>
      <c r="AQ182" s="173">
        <f t="shared" si="207"/>
        <v>10.2643325</v>
      </c>
      <c r="AS182" s="22" t="str">
        <f>+VLOOKUP(B182,'Country &amp; Code Abbreviation'!$B$3:$C$245,2,FALSE)</f>
        <v>RE</v>
      </c>
    </row>
    <row r="183" spans="2:45">
      <c r="B183" s="100" t="s">
        <v>252</v>
      </c>
      <c r="C183" s="100" t="s">
        <v>100</v>
      </c>
      <c r="E183" s="11" t="str">
        <f>+VLOOKUP($B183,'[3]INT Web'!$B$5:$W$247,'[3]INT Web'!Q$1,FALSE)</f>
        <v>RON</v>
      </c>
      <c r="F183" s="22">
        <f>+VLOOKUP($B183,'[3]INT Web'!$B$5:$W$247,'[3]INT Web'!R$1,FALSE)</f>
        <v>549.99</v>
      </c>
      <c r="G183" s="22">
        <f>+VLOOKUP($B183,'[3]INT Web'!$B$5:$W$247,'[3]INT Web'!S$1,FALSE)</f>
        <v>81.99</v>
      </c>
      <c r="H183" s="22">
        <f>+VLOOKUP($B183,'[3]INT Web'!$B$5:$W$247,'[3]INT Web'!T$1,FALSE)</f>
        <v>394.99</v>
      </c>
      <c r="I183" s="22">
        <f>+VLOOKUP($B183,'[3]INT Web'!$B$5:$W$247,'[3]INT Web'!U$1,FALSE)</f>
        <v>58.99</v>
      </c>
      <c r="J183" s="22">
        <f>+VLOOKUP($B183,'[3]INT Web'!$B$5:$W$247,'[3]INT Web'!V$1,FALSE)</f>
        <v>354.99</v>
      </c>
      <c r="K183" s="22">
        <f>+VLOOKUP($B183,'[3]INT Web'!$B$5:$W$247,'[3]INT Web'!W$1,FALSE)</f>
        <v>52.99</v>
      </c>
      <c r="L183" s="12">
        <f t="shared" si="186"/>
        <v>6.7080131723380907</v>
      </c>
      <c r="M183" s="12">
        <f t="shared" si="187"/>
        <v>1.3898965926428206</v>
      </c>
      <c r="N183" s="12">
        <f t="shared" si="188"/>
        <v>6.6958806577385994</v>
      </c>
      <c r="O183" s="12">
        <f t="shared" si="189"/>
        <v>6.6991885261370072</v>
      </c>
      <c r="P183" s="12">
        <f t="shared" si="190"/>
        <v>0.89828784539752504</v>
      </c>
      <c r="Q183" s="140" t="str">
        <f t="shared" si="183"/>
        <v>RON</v>
      </c>
      <c r="R183" s="144">
        <f>+VLOOKUP($B183,'Country-Level Tactics'!$B$5:$AL$248,'Country-Level Tactics'!AH$1,FALSE)</f>
        <v>619.99</v>
      </c>
      <c r="S183" s="144">
        <f>+VLOOKUP($B183,'Country-Level Tactics'!$B$5:$AL$248,'Country-Level Tactics'!X$1,FALSE)</f>
        <v>92.99</v>
      </c>
      <c r="T183" s="144">
        <f>+VLOOKUP($B183,'Country-Level Tactics'!$B$5:$AL$248,'Country-Level Tactics'!AC$1,FALSE)</f>
        <v>444.99</v>
      </c>
      <c r="U183" s="144">
        <f>+VLOOKUP($B183,'Country-Level Tactics'!$B$5:$AL$248,'Country-Level Tactics'!T$1,FALSE)</f>
        <v>66.989999999999995</v>
      </c>
      <c r="V183" s="107">
        <v>399.99</v>
      </c>
      <c r="W183" s="107">
        <f>+MROUND(U183*P183,1)-0.01</f>
        <v>59.99</v>
      </c>
      <c r="X183" s="12">
        <f t="shared" si="191"/>
        <v>6.6672760511883</v>
      </c>
      <c r="Y183" s="12">
        <f t="shared" si="192"/>
        <v>1.38811762949694</v>
      </c>
      <c r="Z183" s="12">
        <f t="shared" si="193"/>
        <v>6.6426332288401264</v>
      </c>
      <c r="AA183" s="12">
        <f t="shared" si="194"/>
        <v>6.6676112685447571</v>
      </c>
      <c r="AB183" s="12">
        <f t="shared" si="195"/>
        <v>0.89550679205851624</v>
      </c>
      <c r="AD183" s="10">
        <f t="shared" si="196"/>
        <v>0.12727504136438839</v>
      </c>
      <c r="AE183" s="10">
        <f t="shared" si="197"/>
        <v>0.13416270276863029</v>
      </c>
      <c r="AF183" s="10">
        <f t="shared" si="198"/>
        <v>0.12658548317678919</v>
      </c>
      <c r="AG183" s="10">
        <f t="shared" si="199"/>
        <v>0.13561620613663328</v>
      </c>
      <c r="AH183" s="10">
        <f t="shared" si="200"/>
        <v>0.12676413420096333</v>
      </c>
      <c r="AI183" s="10">
        <f t="shared" si="201"/>
        <v>0.13210039630118886</v>
      </c>
      <c r="AK183" s="165">
        <v>0.21834062000000001</v>
      </c>
      <c r="AL183" s="173">
        <f t="shared" si="202"/>
        <v>135.3690009938</v>
      </c>
      <c r="AM183" s="173">
        <f t="shared" si="203"/>
        <v>20.3034942538</v>
      </c>
      <c r="AN183" s="173">
        <f t="shared" si="204"/>
        <v>97.159392493800013</v>
      </c>
      <c r="AO183" s="173">
        <f t="shared" si="205"/>
        <v>14.6266381338</v>
      </c>
      <c r="AP183" s="173">
        <f t="shared" si="206"/>
        <v>87.334064593800008</v>
      </c>
      <c r="AQ183" s="173">
        <f t="shared" si="207"/>
        <v>13.098253793800001</v>
      </c>
      <c r="AS183" s="22" t="str">
        <f>+VLOOKUP(B183,'Country &amp; Code Abbreviation'!$B$3:$C$245,2,FALSE)</f>
        <v>RO</v>
      </c>
    </row>
    <row r="184" spans="2:45" hidden="1" outlineLevel="1">
      <c r="B184" s="20" t="s">
        <v>253</v>
      </c>
      <c r="C184" s="20" t="s">
        <v>100</v>
      </c>
      <c r="D184" s="27"/>
      <c r="E184" s="11" t="str">
        <f>+VLOOKUP($B184,'[3]INT Web'!$B$5:$W$247,'[3]INT Web'!Q$1,FALSE)</f>
        <v>RUB</v>
      </c>
      <c r="F184" s="22">
        <f>+VLOOKUP($B184,'[3]INT Web'!$B$5:$W$247,'[3]INT Web'!R$1,FALSE)</f>
        <v>0</v>
      </c>
      <c r="G184" s="22">
        <f>+VLOOKUP($B184,'[3]INT Web'!$B$5:$W$247,'[3]INT Web'!S$1,FALSE)</f>
        <v>0</v>
      </c>
      <c r="H184" s="22">
        <f>+VLOOKUP($B184,'[3]INT Web'!$B$5:$W$247,'[3]INT Web'!T$1,FALSE)</f>
        <v>0</v>
      </c>
      <c r="I184" s="22">
        <f>+VLOOKUP($B184,'[3]INT Web'!$B$5:$W$247,'[3]INT Web'!U$1,FALSE)</f>
        <v>0</v>
      </c>
      <c r="J184" s="22">
        <f>+VLOOKUP($B184,'[3]INT Web'!$B$5:$W$247,'[3]INT Web'!V$1,FALSE)</f>
        <v>0</v>
      </c>
      <c r="K184" s="22">
        <f>+VLOOKUP($B184,'[3]INT Web'!$B$5:$W$247,'[3]INT Web'!W$1,FALSE)</f>
        <v>0</v>
      </c>
      <c r="L184" s="28"/>
      <c r="M184" s="28"/>
      <c r="N184" s="28"/>
      <c r="O184" s="28"/>
      <c r="P184" s="28"/>
      <c r="Q184" s="142" t="str">
        <f t="shared" si="183"/>
        <v>RUB</v>
      </c>
      <c r="R184" s="104">
        <f>+VLOOKUP($B184,'Country-Level Tactics'!$B$5:$AL$248,'Country-Level Tactics'!AH$1,FALSE)</f>
        <v>0</v>
      </c>
      <c r="S184" s="104">
        <f>+VLOOKUP($B184,'Country-Level Tactics'!$B$5:$AL$248,'Country-Level Tactics'!X$1,FALSE)</f>
        <v>0</v>
      </c>
      <c r="T184" s="104">
        <f>+VLOOKUP($B184,'Country-Level Tactics'!$B$5:$AL$248,'Country-Level Tactics'!AC$1,FALSE)</f>
        <v>0</v>
      </c>
      <c r="U184" s="104">
        <f>+VLOOKUP($B184,'Country-Level Tactics'!$B$5:$AL$248,'Country-Level Tactics'!T$1,FALSE)</f>
        <v>0</v>
      </c>
      <c r="V184" s="104">
        <f t="shared" si="208"/>
        <v>0</v>
      </c>
      <c r="W184" s="104">
        <f t="shared" si="209"/>
        <v>0</v>
      </c>
      <c r="X184" s="12"/>
      <c r="Y184" s="12"/>
      <c r="Z184" s="12"/>
      <c r="AA184" s="12"/>
      <c r="AB184" s="12"/>
      <c r="AD184" s="10"/>
      <c r="AE184" s="10"/>
      <c r="AF184" s="10"/>
      <c r="AG184" s="10"/>
      <c r="AH184" s="10"/>
      <c r="AI184" s="10"/>
      <c r="AK184" s="165">
        <v>1.2965964E-2</v>
      </c>
      <c r="AL184" s="173"/>
      <c r="AM184" s="173"/>
      <c r="AN184" s="173"/>
      <c r="AO184" s="173"/>
      <c r="AP184" s="173"/>
      <c r="AQ184" s="173"/>
      <c r="AS184" s="22" t="str">
        <f>+VLOOKUP(B184,'Country &amp; Code Abbreviation'!$B$3:$C$245,2,FALSE)</f>
        <v>RU</v>
      </c>
    </row>
    <row r="185" spans="2:45" collapsed="1">
      <c r="B185" s="20" t="s">
        <v>254</v>
      </c>
      <c r="C185" s="20" t="s">
        <v>270</v>
      </c>
      <c r="E185" s="11" t="str">
        <f>+VLOOKUP($B185,'[3]INT Web'!$B$5:$W$247,'[3]INT Web'!Q$1,FALSE)</f>
        <v>RWF</v>
      </c>
      <c r="F185" s="136">
        <f>+VLOOKUP($B185,'[3]INT Web'!$B$5:$W$247,'[3]INT Web'!R$1,FALSE)</f>
        <v>81000</v>
      </c>
      <c r="G185" s="136">
        <f>+VLOOKUP($B185,'[3]INT Web'!$B$5:$W$247,'[3]INT Web'!S$1,FALSE)</f>
        <v>13500</v>
      </c>
      <c r="H185" s="136">
        <f>+VLOOKUP($B185,'[3]INT Web'!$B$5:$W$247,'[3]INT Web'!T$1,FALSE)</f>
        <v>60000</v>
      </c>
      <c r="I185" s="136">
        <f>+VLOOKUP($B185,'[3]INT Web'!$B$5:$W$247,'[3]INT Web'!U$1,FALSE)</f>
        <v>10000</v>
      </c>
      <c r="J185" s="136">
        <f>+VLOOKUP($B185,'[3]INT Web'!$B$5:$W$247,'[3]INT Web'!V$1,FALSE)</f>
        <v>54000</v>
      </c>
      <c r="K185" s="136">
        <f>+VLOOKUP($B185,'[3]INT Web'!$B$5:$W$247,'[3]INT Web'!W$1,FALSE)</f>
        <v>9000</v>
      </c>
      <c r="L185" s="12">
        <f t="shared" ref="L185:L217" si="210">+F185/G185</f>
        <v>6</v>
      </c>
      <c r="M185" s="12">
        <f t="shared" ref="M185:M217" si="211">+G185/I185</f>
        <v>1.35</v>
      </c>
      <c r="N185" s="12">
        <f t="shared" ref="N185:N217" si="212">+H185/I185</f>
        <v>6</v>
      </c>
      <c r="O185" s="12">
        <f t="shared" ref="O185:O217" si="213">+J185/K185</f>
        <v>6</v>
      </c>
      <c r="P185" s="12">
        <f t="shared" ref="P185:P217" si="214">+K185/I185</f>
        <v>0.9</v>
      </c>
      <c r="Q185" s="143" t="str">
        <f t="shared" si="183"/>
        <v>RWF</v>
      </c>
      <c r="R185" s="137">
        <f>+VLOOKUP($B185,'Country-Level Tactics'!$B$5:$AL$248,'Country-Level Tactics'!AH$1,FALSE)</f>
        <v>81000</v>
      </c>
      <c r="S185" s="137">
        <f>+VLOOKUP($B185,'Country-Level Tactics'!$B$5:$AL$248,'Country-Level Tactics'!X$1,FALSE)</f>
        <v>13500</v>
      </c>
      <c r="T185" s="137">
        <f>+VLOOKUP($B185,'Country-Level Tactics'!$B$5:$AL$248,'Country-Level Tactics'!AC$1,FALSE)</f>
        <v>60000</v>
      </c>
      <c r="U185" s="137">
        <f>+VLOOKUP($B185,'Country-Level Tactics'!$B$5:$AL$248,'Country-Level Tactics'!T$1,FALSE)</f>
        <v>10000</v>
      </c>
      <c r="V185" s="104">
        <f t="shared" si="208"/>
        <v>54000</v>
      </c>
      <c r="W185" s="104">
        <f t="shared" si="209"/>
        <v>9000</v>
      </c>
      <c r="X185" s="12">
        <f t="shared" ref="X185:X217" si="215">+R185/S185</f>
        <v>6</v>
      </c>
      <c r="Y185" s="12">
        <f t="shared" ref="Y185:Y217" si="216">+S185/U185</f>
        <v>1.35</v>
      </c>
      <c r="Z185" s="12">
        <f t="shared" ref="Z185:Z217" si="217">+T185/U185</f>
        <v>6</v>
      </c>
      <c r="AA185" s="12">
        <f t="shared" ref="AA185:AA217" si="218">+V185/W185</f>
        <v>6</v>
      </c>
      <c r="AB185" s="12">
        <f t="shared" ref="AB185:AB217" si="219">+W185/U185</f>
        <v>0.9</v>
      </c>
      <c r="AD185" s="10">
        <f t="shared" ref="AD185:AD217" si="220">+R185/F185-1</f>
        <v>0</v>
      </c>
      <c r="AE185" s="10">
        <f t="shared" ref="AE185:AE217" si="221">+S185/G185-1</f>
        <v>0</v>
      </c>
      <c r="AF185" s="10">
        <f t="shared" ref="AF185:AF217" si="222">+T185/H185-1</f>
        <v>0</v>
      </c>
      <c r="AG185" s="10">
        <f t="shared" ref="AG185:AG217" si="223">+U185/I185-1</f>
        <v>0</v>
      </c>
      <c r="AH185" s="10">
        <f t="shared" ref="AH185:AH217" si="224">+V185/J185-1</f>
        <v>0</v>
      </c>
      <c r="AI185" s="10">
        <f t="shared" ref="AI185:AI217" si="225">+W185/K185-1</f>
        <v>0</v>
      </c>
      <c r="AK185" s="165">
        <v>6.8236095999999998E-4</v>
      </c>
      <c r="AL185" s="173">
        <f t="shared" ref="AL185:AL217" si="226">+R185*$AK185</f>
        <v>55.271237759999998</v>
      </c>
      <c r="AM185" s="173">
        <f t="shared" ref="AM185:AM217" si="227">+S185*$AK185</f>
        <v>9.2118729599999991</v>
      </c>
      <c r="AN185" s="173">
        <f t="shared" ref="AN185:AN217" si="228">+T185*$AK185</f>
        <v>40.941657599999999</v>
      </c>
      <c r="AO185" s="173">
        <f t="shared" ref="AO185:AO217" si="229">+U185*$AK185</f>
        <v>6.8236096000000002</v>
      </c>
      <c r="AP185" s="173">
        <f t="shared" ref="AP185:AP217" si="230">+V185*$AK185</f>
        <v>36.847491839999996</v>
      </c>
      <c r="AQ185" s="173">
        <f t="shared" ref="AQ185:AQ217" si="231">+W185*$AK185</f>
        <v>6.1412486399999997</v>
      </c>
      <c r="AS185" s="22" t="str">
        <f>+VLOOKUP(B185,'Country &amp; Code Abbreviation'!$B$3:$C$245,2,FALSE)</f>
        <v>RW</v>
      </c>
    </row>
    <row r="186" spans="2:45">
      <c r="B186" s="20" t="s">
        <v>255</v>
      </c>
      <c r="C186" s="20" t="s">
        <v>96</v>
      </c>
      <c r="E186" s="11" t="str">
        <f>+VLOOKUP($B186,'[3]INT Web'!$B$5:$W$247,'[3]INT Web'!Q$1,FALSE)</f>
        <v>EUR</v>
      </c>
      <c r="F186" s="22">
        <f>+VLOOKUP($B186,'[3]INT Web'!$B$5:$W$247,'[3]INT Web'!R$1,FALSE)</f>
        <v>89.99</v>
      </c>
      <c r="G186" s="22">
        <f>+VLOOKUP($B186,'[3]INT Web'!$B$5:$W$247,'[3]INT Web'!S$1,FALSE)</f>
        <v>14.99</v>
      </c>
      <c r="H186" s="22">
        <f>+VLOOKUP($B186,'[3]INT Web'!$B$5:$W$247,'[3]INT Web'!T$1,FALSE)</f>
        <v>65.989999999999995</v>
      </c>
      <c r="I186" s="22">
        <f>+VLOOKUP($B186,'[3]INT Web'!$B$5:$W$247,'[3]INT Web'!U$1,FALSE)</f>
        <v>10.99</v>
      </c>
      <c r="J186" s="22">
        <f>+VLOOKUP($B186,'[3]INT Web'!$B$5:$W$247,'[3]INT Web'!V$1,FALSE)</f>
        <v>59.99</v>
      </c>
      <c r="K186" s="22">
        <f>+VLOOKUP($B186,'[3]INT Web'!$B$5:$W$247,'[3]INT Web'!W$1,FALSE)</f>
        <v>9.99</v>
      </c>
      <c r="L186" s="12">
        <f t="shared" si="210"/>
        <v>6.0033355570380253</v>
      </c>
      <c r="M186" s="12">
        <f t="shared" si="211"/>
        <v>1.3639672429481347</v>
      </c>
      <c r="N186" s="12">
        <f t="shared" si="212"/>
        <v>6.0045495905368513</v>
      </c>
      <c r="O186" s="12">
        <f t="shared" si="213"/>
        <v>6.005005005005005</v>
      </c>
      <c r="P186" s="12">
        <f t="shared" si="214"/>
        <v>0.90900818926296634</v>
      </c>
      <c r="Q186" s="140" t="str">
        <f t="shared" si="183"/>
        <v>EUR</v>
      </c>
      <c r="R186" s="104">
        <f>+VLOOKUP($B186,'Country-Level Tactics'!$B$5:$AL$248,'Country-Level Tactics'!AH$1,FALSE)</f>
        <v>89.99</v>
      </c>
      <c r="S186" s="104">
        <f>+VLOOKUP($B186,'Country-Level Tactics'!$B$5:$AL$248,'Country-Level Tactics'!X$1,FALSE)</f>
        <v>14.99</v>
      </c>
      <c r="T186" s="104">
        <f>+VLOOKUP($B186,'Country-Level Tactics'!$B$5:$AL$248,'Country-Level Tactics'!AC$1,FALSE)</f>
        <v>65.989999999999995</v>
      </c>
      <c r="U186" s="104">
        <f>+VLOOKUP($B186,'Country-Level Tactics'!$B$5:$AL$248,'Country-Level Tactics'!T$1,FALSE)</f>
        <v>10.99</v>
      </c>
      <c r="V186" s="104">
        <f t="shared" si="208"/>
        <v>59.99</v>
      </c>
      <c r="W186" s="104">
        <f t="shared" si="209"/>
        <v>9.99</v>
      </c>
      <c r="X186" s="12">
        <f t="shared" si="215"/>
        <v>6.0033355570380253</v>
      </c>
      <c r="Y186" s="12">
        <f t="shared" si="216"/>
        <v>1.3639672429481347</v>
      </c>
      <c r="Z186" s="12">
        <f t="shared" si="217"/>
        <v>6.0045495905368513</v>
      </c>
      <c r="AA186" s="12">
        <f t="shared" si="218"/>
        <v>6.005005005005005</v>
      </c>
      <c r="AB186" s="12">
        <f t="shared" si="219"/>
        <v>0.90900818926296634</v>
      </c>
      <c r="AD186" s="10">
        <f t="shared" si="220"/>
        <v>0</v>
      </c>
      <c r="AE186" s="10">
        <f t="shared" si="221"/>
        <v>0</v>
      </c>
      <c r="AF186" s="10">
        <f t="shared" si="222"/>
        <v>0</v>
      </c>
      <c r="AG186" s="10">
        <f t="shared" si="223"/>
        <v>0</v>
      </c>
      <c r="AH186" s="10">
        <f t="shared" si="224"/>
        <v>0</v>
      </c>
      <c r="AI186" s="10">
        <f t="shared" si="225"/>
        <v>0</v>
      </c>
      <c r="AK186" s="165">
        <v>1.14175</v>
      </c>
      <c r="AL186" s="173">
        <f t="shared" si="226"/>
        <v>102.7460825</v>
      </c>
      <c r="AM186" s="173">
        <f t="shared" si="227"/>
        <v>17.114832500000002</v>
      </c>
      <c r="AN186" s="173">
        <f t="shared" si="228"/>
        <v>75.344082499999999</v>
      </c>
      <c r="AO186" s="173">
        <f t="shared" si="229"/>
        <v>12.5478325</v>
      </c>
      <c r="AP186" s="173">
        <f t="shared" si="230"/>
        <v>68.493582500000002</v>
      </c>
      <c r="AQ186" s="173">
        <f t="shared" si="231"/>
        <v>11.4060825</v>
      </c>
      <c r="AS186" s="22" t="str">
        <f>+VLOOKUP(B186,'Country &amp; Code Abbreviation'!$B$3:$C$245,2,FALSE)</f>
        <v>MF</v>
      </c>
    </row>
    <row r="187" spans="2:45">
      <c r="B187" s="20" t="s">
        <v>256</v>
      </c>
      <c r="C187" s="20" t="s">
        <v>182</v>
      </c>
      <c r="E187" s="11" t="str">
        <f>+VLOOKUP($B187,'[3]INT Web'!$B$5:$W$247,'[3]INT Web'!Q$1,FALSE)</f>
        <v>WST</v>
      </c>
      <c r="F187" s="22">
        <f>+VLOOKUP($B187,'[3]INT Web'!$B$5:$W$247,'[3]INT Web'!R$1,FALSE)</f>
        <v>161.99</v>
      </c>
      <c r="G187" s="22">
        <f>+VLOOKUP($B187,'[3]INT Web'!$B$5:$W$247,'[3]INT Web'!S$1,FALSE)</f>
        <v>26.99</v>
      </c>
      <c r="H187" s="22">
        <f>+VLOOKUP($B187,'[3]INT Web'!$B$5:$W$247,'[3]INT Web'!T$1,FALSE)</f>
        <v>119.99</v>
      </c>
      <c r="I187" s="22">
        <f>+VLOOKUP($B187,'[3]INT Web'!$B$5:$W$247,'[3]INT Web'!U$1,FALSE)</f>
        <v>19.989999999999998</v>
      </c>
      <c r="J187" s="22">
        <f>+VLOOKUP($B187,'[3]INT Web'!$B$5:$W$247,'[3]INT Web'!V$1,FALSE)</f>
        <v>107.99</v>
      </c>
      <c r="K187" s="22">
        <f>+VLOOKUP($B187,'[3]INT Web'!$B$5:$W$247,'[3]INT Web'!W$1,FALSE)</f>
        <v>17.989999999999998</v>
      </c>
      <c r="L187" s="12">
        <f t="shared" si="210"/>
        <v>6.0018525379770296</v>
      </c>
      <c r="M187" s="12">
        <f t="shared" si="211"/>
        <v>1.3501750875437719</v>
      </c>
      <c r="N187" s="12">
        <f t="shared" si="212"/>
        <v>6.002501250625313</v>
      </c>
      <c r="O187" s="12">
        <f t="shared" si="213"/>
        <v>6.0027793218454697</v>
      </c>
      <c r="P187" s="12">
        <f t="shared" si="214"/>
        <v>0.89994997498749374</v>
      </c>
      <c r="Q187" s="140" t="str">
        <f t="shared" si="183"/>
        <v>WST</v>
      </c>
      <c r="R187" s="104">
        <f>+VLOOKUP($B187,'Country-Level Tactics'!$B$5:$AL$248,'Country-Level Tactics'!AH$1,FALSE)</f>
        <v>161.99</v>
      </c>
      <c r="S187" s="104">
        <f>+VLOOKUP($B187,'Country-Level Tactics'!$B$5:$AL$248,'Country-Level Tactics'!X$1,FALSE)</f>
        <v>26.99</v>
      </c>
      <c r="T187" s="104">
        <f>+VLOOKUP($B187,'Country-Level Tactics'!$B$5:$AL$248,'Country-Level Tactics'!AC$1,FALSE)</f>
        <v>119.99</v>
      </c>
      <c r="U187" s="104">
        <f>+VLOOKUP($B187,'Country-Level Tactics'!$B$5:$AL$248,'Country-Level Tactics'!T$1,FALSE)</f>
        <v>19.989999999999998</v>
      </c>
      <c r="V187" s="104">
        <f t="shared" si="208"/>
        <v>107.99</v>
      </c>
      <c r="W187" s="104">
        <f t="shared" si="209"/>
        <v>17.989999999999998</v>
      </c>
      <c r="X187" s="12">
        <f t="shared" si="215"/>
        <v>6.0018525379770296</v>
      </c>
      <c r="Y187" s="12">
        <f t="shared" si="216"/>
        <v>1.3501750875437719</v>
      </c>
      <c r="Z187" s="12">
        <f t="shared" si="217"/>
        <v>6.002501250625313</v>
      </c>
      <c r="AA187" s="12">
        <f t="shared" si="218"/>
        <v>6.0027793218454697</v>
      </c>
      <c r="AB187" s="12">
        <f t="shared" si="219"/>
        <v>0.89994997498749374</v>
      </c>
      <c r="AD187" s="10">
        <f t="shared" si="220"/>
        <v>0</v>
      </c>
      <c r="AE187" s="10">
        <f t="shared" si="221"/>
        <v>0</v>
      </c>
      <c r="AF187" s="10">
        <f t="shared" si="222"/>
        <v>0</v>
      </c>
      <c r="AG187" s="10">
        <f t="shared" si="223"/>
        <v>0</v>
      </c>
      <c r="AH187" s="10">
        <f t="shared" si="224"/>
        <v>0</v>
      </c>
      <c r="AI187" s="10">
        <f t="shared" si="225"/>
        <v>0</v>
      </c>
      <c r="AK187" s="165">
        <v>0.36290001999999999</v>
      </c>
      <c r="AL187" s="173">
        <f t="shared" si="226"/>
        <v>58.786174239800005</v>
      </c>
      <c r="AM187" s="173">
        <f t="shared" si="227"/>
        <v>9.7946715397999995</v>
      </c>
      <c r="AN187" s="173">
        <f t="shared" si="228"/>
        <v>43.544373399799994</v>
      </c>
      <c r="AO187" s="173">
        <f t="shared" si="229"/>
        <v>7.2543713997999992</v>
      </c>
      <c r="AP187" s="173">
        <f t="shared" si="230"/>
        <v>39.189573159799998</v>
      </c>
      <c r="AQ187" s="173">
        <f t="shared" si="231"/>
        <v>6.528571359799999</v>
      </c>
      <c r="AS187" s="22" t="str">
        <f>+VLOOKUP(B187,'Country &amp; Code Abbreviation'!$B$3:$C$245,2,FALSE)</f>
        <v>WS</v>
      </c>
    </row>
    <row r="188" spans="2:45">
      <c r="B188" s="20" t="s">
        <v>257</v>
      </c>
      <c r="C188" s="20" t="s">
        <v>100</v>
      </c>
      <c r="E188" s="11" t="str">
        <f>+VLOOKUP($B188,'[3]INT Web'!$B$5:$W$247,'[3]INT Web'!Q$1,FALSE)</f>
        <v>EUR</v>
      </c>
      <c r="F188" s="22">
        <f>+VLOOKUP($B188,'[3]INT Web'!$B$5:$W$247,'[3]INT Web'!R$1,FALSE)</f>
        <v>159.99</v>
      </c>
      <c r="G188" s="22">
        <f>+VLOOKUP($B188,'[3]INT Web'!$B$5:$W$247,'[3]INT Web'!S$1,FALSE)</f>
        <v>22.99</v>
      </c>
      <c r="H188" s="22">
        <f>+VLOOKUP($B188,'[3]INT Web'!$B$5:$W$247,'[3]INT Web'!T$1,FALSE)</f>
        <v>109.99</v>
      </c>
      <c r="I188" s="22">
        <f>+VLOOKUP($B188,'[3]INT Web'!$B$5:$W$247,'[3]INT Web'!U$1,FALSE)</f>
        <v>17.989999999999998</v>
      </c>
      <c r="J188" s="22">
        <f>+VLOOKUP($B188,'[3]INT Web'!$B$5:$W$247,'[3]INT Web'!V$1,FALSE)</f>
        <v>99.99</v>
      </c>
      <c r="K188" s="22">
        <f>+VLOOKUP($B188,'[3]INT Web'!$B$5:$W$247,'[3]INT Web'!W$1,FALSE)</f>
        <v>15.99</v>
      </c>
      <c r="L188" s="12">
        <f t="shared" si="210"/>
        <v>6.9591126576772515</v>
      </c>
      <c r="M188" s="12">
        <f t="shared" si="211"/>
        <v>1.2779321845469707</v>
      </c>
      <c r="N188" s="12">
        <f t="shared" si="212"/>
        <v>6.1139521956642584</v>
      </c>
      <c r="O188" s="12">
        <f t="shared" si="213"/>
        <v>6.2532833020637897</v>
      </c>
      <c r="P188" s="12">
        <f t="shared" si="214"/>
        <v>0.88882712618121185</v>
      </c>
      <c r="Q188" s="140" t="str">
        <f t="shared" si="183"/>
        <v>EUR</v>
      </c>
      <c r="R188" s="104">
        <f>+VLOOKUP($B188,'Country-Level Tactics'!$B$5:$AL$248,'Country-Level Tactics'!AH$1,FALSE)</f>
        <v>159.99</v>
      </c>
      <c r="S188" s="104">
        <f>+VLOOKUP($B188,'Country-Level Tactics'!$B$5:$AL$248,'Country-Level Tactics'!X$1,FALSE)</f>
        <v>22.99</v>
      </c>
      <c r="T188" s="104">
        <f>+VLOOKUP($B188,'Country-Level Tactics'!$B$5:$AL$248,'Country-Level Tactics'!AC$1,FALSE)</f>
        <v>109.99</v>
      </c>
      <c r="U188" s="104">
        <f>+VLOOKUP($B188,'Country-Level Tactics'!$B$5:$AL$248,'Country-Level Tactics'!T$1,FALSE)</f>
        <v>17.989999999999998</v>
      </c>
      <c r="V188" s="104">
        <f t="shared" si="208"/>
        <v>99.99</v>
      </c>
      <c r="W188" s="104">
        <f t="shared" si="209"/>
        <v>15.99</v>
      </c>
      <c r="X188" s="12">
        <f t="shared" si="215"/>
        <v>6.9591126576772515</v>
      </c>
      <c r="Y188" s="12">
        <f t="shared" si="216"/>
        <v>1.2779321845469707</v>
      </c>
      <c r="Z188" s="12">
        <f t="shared" si="217"/>
        <v>6.1139521956642584</v>
      </c>
      <c r="AA188" s="12">
        <f t="shared" si="218"/>
        <v>6.2532833020637897</v>
      </c>
      <c r="AB188" s="12">
        <f t="shared" si="219"/>
        <v>0.88882712618121185</v>
      </c>
      <c r="AD188" s="10">
        <f t="shared" si="220"/>
        <v>0</v>
      </c>
      <c r="AE188" s="10">
        <f t="shared" si="221"/>
        <v>0</v>
      </c>
      <c r="AF188" s="10">
        <f t="shared" si="222"/>
        <v>0</v>
      </c>
      <c r="AG188" s="10">
        <f t="shared" si="223"/>
        <v>0</v>
      </c>
      <c r="AH188" s="10">
        <f t="shared" si="224"/>
        <v>0</v>
      </c>
      <c r="AI188" s="10">
        <f t="shared" si="225"/>
        <v>0</v>
      </c>
      <c r="AK188" s="165">
        <v>1.14175</v>
      </c>
      <c r="AL188" s="173">
        <f t="shared" si="226"/>
        <v>182.66858250000001</v>
      </c>
      <c r="AM188" s="173">
        <f t="shared" si="227"/>
        <v>26.248832499999999</v>
      </c>
      <c r="AN188" s="173">
        <f t="shared" si="228"/>
        <v>125.58108249999999</v>
      </c>
      <c r="AO188" s="173">
        <f t="shared" si="229"/>
        <v>20.5400825</v>
      </c>
      <c r="AP188" s="173">
        <f t="shared" si="230"/>
        <v>114.1635825</v>
      </c>
      <c r="AQ188" s="173">
        <f t="shared" si="231"/>
        <v>18.2565825</v>
      </c>
      <c r="AS188" s="22" t="str">
        <f>+VLOOKUP(B188,'Country &amp; Code Abbreviation'!$B$3:$C$245,2,FALSE)</f>
        <v>SM</v>
      </c>
    </row>
    <row r="189" spans="2:45">
      <c r="B189" s="20" t="s">
        <v>258</v>
      </c>
      <c r="C189" s="20" t="s">
        <v>270</v>
      </c>
      <c r="E189" s="11" t="str">
        <f>+VLOOKUP($B189,'[3]INT Web'!$B$5:$W$247,'[3]INT Web'!Q$1,FALSE)</f>
        <v>USD</v>
      </c>
      <c r="F189" s="22">
        <f>+VLOOKUP($B189,'[3]INT Web'!$B$5:$W$247,'[3]INT Web'!R$1,FALSE)</f>
        <v>77.989999999999995</v>
      </c>
      <c r="G189" s="22">
        <f>+VLOOKUP($B189,'[3]INT Web'!$B$5:$W$247,'[3]INT Web'!S$1,FALSE)</f>
        <v>12.99</v>
      </c>
      <c r="H189" s="22">
        <f>+VLOOKUP($B189,'[3]INT Web'!$B$5:$W$247,'[3]INT Web'!T$1,FALSE)</f>
        <v>59.99</v>
      </c>
      <c r="I189" s="22">
        <f>+VLOOKUP($B189,'[3]INT Web'!$B$5:$W$247,'[3]INT Web'!U$1,FALSE)</f>
        <v>9.99</v>
      </c>
      <c r="J189" s="22">
        <f>+VLOOKUP($B189,'[3]INT Web'!$B$5:$W$247,'[3]INT Web'!V$1,FALSE)</f>
        <v>53.99</v>
      </c>
      <c r="K189" s="22">
        <f>+VLOOKUP($B189,'[3]INT Web'!$B$5:$W$247,'[3]INT Web'!W$1,FALSE)</f>
        <v>8.99</v>
      </c>
      <c r="L189" s="12">
        <f t="shared" si="210"/>
        <v>6.0038491147036179</v>
      </c>
      <c r="M189" s="12">
        <f t="shared" si="211"/>
        <v>1.3003003003003002</v>
      </c>
      <c r="N189" s="12">
        <f t="shared" si="212"/>
        <v>6.005005005005005</v>
      </c>
      <c r="O189" s="12">
        <f t="shared" si="213"/>
        <v>6.0055617352614012</v>
      </c>
      <c r="P189" s="12">
        <f t="shared" si="214"/>
        <v>0.89989989989989994</v>
      </c>
      <c r="Q189" s="140" t="str">
        <f t="shared" si="183"/>
        <v>USD</v>
      </c>
      <c r="R189" s="104">
        <f>+VLOOKUP($B189,'Country-Level Tactics'!$B$5:$AL$248,'Country-Level Tactics'!AH$1,FALSE)</f>
        <v>77.989999999999995</v>
      </c>
      <c r="S189" s="104">
        <f>+VLOOKUP($B189,'Country-Level Tactics'!$B$5:$AL$248,'Country-Level Tactics'!X$1,FALSE)</f>
        <v>12.99</v>
      </c>
      <c r="T189" s="104">
        <f>+VLOOKUP($B189,'Country-Level Tactics'!$B$5:$AL$248,'Country-Level Tactics'!AC$1,FALSE)</f>
        <v>59.99</v>
      </c>
      <c r="U189" s="104">
        <f>+VLOOKUP($B189,'Country-Level Tactics'!$B$5:$AL$248,'Country-Level Tactics'!T$1,FALSE)</f>
        <v>9.99</v>
      </c>
      <c r="V189" s="104">
        <f t="shared" si="208"/>
        <v>53.99</v>
      </c>
      <c r="W189" s="104">
        <f t="shared" si="209"/>
        <v>8.99</v>
      </c>
      <c r="X189" s="12">
        <f t="shared" si="215"/>
        <v>6.0038491147036179</v>
      </c>
      <c r="Y189" s="12">
        <f t="shared" si="216"/>
        <v>1.3003003003003002</v>
      </c>
      <c r="Z189" s="12">
        <f t="shared" si="217"/>
        <v>6.005005005005005</v>
      </c>
      <c r="AA189" s="12">
        <f t="shared" si="218"/>
        <v>6.0055617352614012</v>
      </c>
      <c r="AB189" s="12">
        <f t="shared" si="219"/>
        <v>0.89989989989989994</v>
      </c>
      <c r="AD189" s="10">
        <f t="shared" si="220"/>
        <v>0</v>
      </c>
      <c r="AE189" s="10">
        <f t="shared" si="221"/>
        <v>0</v>
      </c>
      <c r="AF189" s="10">
        <f t="shared" si="222"/>
        <v>0</v>
      </c>
      <c r="AG189" s="10">
        <f t="shared" si="223"/>
        <v>0</v>
      </c>
      <c r="AH189" s="10">
        <f t="shared" si="224"/>
        <v>0</v>
      </c>
      <c r="AI189" s="10">
        <f t="shared" si="225"/>
        <v>0</v>
      </c>
      <c r="AK189" s="165">
        <v>1</v>
      </c>
      <c r="AL189" s="173">
        <f t="shared" si="226"/>
        <v>77.989999999999995</v>
      </c>
      <c r="AM189" s="173">
        <f t="shared" si="227"/>
        <v>12.99</v>
      </c>
      <c r="AN189" s="173">
        <f t="shared" si="228"/>
        <v>59.99</v>
      </c>
      <c r="AO189" s="173">
        <f t="shared" si="229"/>
        <v>9.99</v>
      </c>
      <c r="AP189" s="173">
        <f t="shared" si="230"/>
        <v>53.99</v>
      </c>
      <c r="AQ189" s="173">
        <f t="shared" si="231"/>
        <v>8.99</v>
      </c>
      <c r="AS189" s="22" t="str">
        <f>+VLOOKUP(B189,'Country &amp; Code Abbreviation'!$B$3:$C$245,2,FALSE)</f>
        <v>ST</v>
      </c>
    </row>
    <row r="190" spans="2:45">
      <c r="B190" s="20" t="s">
        <v>259</v>
      </c>
      <c r="C190" s="20" t="s">
        <v>275</v>
      </c>
      <c r="E190" s="11" t="str">
        <f>+VLOOKUP($B190,'[3]INT Web'!$B$5:$W$247,'[3]INT Web'!Q$1,FALSE)</f>
        <v>SAR</v>
      </c>
      <c r="F190" s="22">
        <f>+VLOOKUP($B190,'[3]INT Web'!$B$5:$W$247,'[3]INT Web'!R$1,FALSE)</f>
        <v>526.99</v>
      </c>
      <c r="G190" s="22">
        <f>+VLOOKUP($B190,'[3]INT Web'!$B$5:$W$247,'[3]INT Web'!S$1,FALSE)</f>
        <v>84.99</v>
      </c>
      <c r="H190" s="22">
        <f>+VLOOKUP($B190,'[3]INT Web'!$B$5:$W$247,'[3]INT Web'!T$1,FALSE)</f>
        <v>384.99</v>
      </c>
      <c r="I190" s="22">
        <f>+VLOOKUP($B190,'[3]INT Web'!$B$5:$W$247,'[3]INT Web'!U$1,FALSE)</f>
        <v>61.99</v>
      </c>
      <c r="J190" s="22">
        <f>+VLOOKUP($B190,'[3]INT Web'!$B$5:$W$247,'[3]INT Web'!V$1,FALSE)</f>
        <v>334.99</v>
      </c>
      <c r="K190" s="22">
        <f>+VLOOKUP($B190,'[3]INT Web'!$B$5:$W$247,'[3]INT Web'!W$1,FALSE)</f>
        <v>53.99</v>
      </c>
      <c r="L190" s="12">
        <f t="shared" si="210"/>
        <v>6.2006118366866696</v>
      </c>
      <c r="M190" s="12">
        <f t="shared" si="211"/>
        <v>1.3710275850943698</v>
      </c>
      <c r="N190" s="12">
        <f t="shared" si="212"/>
        <v>6.2105178254557183</v>
      </c>
      <c r="O190" s="12">
        <f t="shared" si="213"/>
        <v>6.2046675310242634</v>
      </c>
      <c r="P190" s="12">
        <f t="shared" si="214"/>
        <v>0.87094692692369735</v>
      </c>
      <c r="Q190" s="140" t="str">
        <f t="shared" si="183"/>
        <v>SAR</v>
      </c>
      <c r="R190" s="104">
        <f>+VLOOKUP($B190,'Country-Level Tactics'!$B$5:$AL$248,'Country-Level Tactics'!AH$1,FALSE)</f>
        <v>526.99</v>
      </c>
      <c r="S190" s="104">
        <f>+VLOOKUP($B190,'Country-Level Tactics'!$B$5:$AL$248,'Country-Level Tactics'!X$1,FALSE)</f>
        <v>84.99</v>
      </c>
      <c r="T190" s="104">
        <f>+VLOOKUP($B190,'Country-Level Tactics'!$B$5:$AL$248,'Country-Level Tactics'!AC$1,FALSE)</f>
        <v>384.99</v>
      </c>
      <c r="U190" s="104">
        <f>+VLOOKUP($B190,'Country-Level Tactics'!$B$5:$AL$248,'Country-Level Tactics'!T$1,FALSE)</f>
        <v>61.99</v>
      </c>
      <c r="V190" s="104">
        <f t="shared" si="208"/>
        <v>334.99</v>
      </c>
      <c r="W190" s="104">
        <f t="shared" si="209"/>
        <v>53.99</v>
      </c>
      <c r="X190" s="12">
        <f t="shared" si="215"/>
        <v>6.2006118366866696</v>
      </c>
      <c r="Y190" s="12">
        <f t="shared" si="216"/>
        <v>1.3710275850943698</v>
      </c>
      <c r="Z190" s="12">
        <f t="shared" si="217"/>
        <v>6.2105178254557183</v>
      </c>
      <c r="AA190" s="12">
        <f t="shared" si="218"/>
        <v>6.2046675310242634</v>
      </c>
      <c r="AB190" s="12">
        <f t="shared" si="219"/>
        <v>0.87094692692369735</v>
      </c>
      <c r="AD190" s="10">
        <f t="shared" si="220"/>
        <v>0</v>
      </c>
      <c r="AE190" s="10">
        <f t="shared" si="221"/>
        <v>0</v>
      </c>
      <c r="AF190" s="10">
        <f t="shared" si="222"/>
        <v>0</v>
      </c>
      <c r="AG190" s="10">
        <f t="shared" si="223"/>
        <v>0</v>
      </c>
      <c r="AH190" s="10">
        <f t="shared" si="224"/>
        <v>0</v>
      </c>
      <c r="AI190" s="10">
        <f t="shared" si="225"/>
        <v>0</v>
      </c>
      <c r="AK190" s="165">
        <v>0.26629740000000002</v>
      </c>
      <c r="AL190" s="173">
        <f t="shared" si="226"/>
        <v>140.33606682600001</v>
      </c>
      <c r="AM190" s="173">
        <f t="shared" si="227"/>
        <v>22.632616026000001</v>
      </c>
      <c r="AN190" s="173">
        <f t="shared" si="228"/>
        <v>102.521836026</v>
      </c>
      <c r="AO190" s="173">
        <f t="shared" si="229"/>
        <v>16.507775826000003</v>
      </c>
      <c r="AP190" s="173">
        <f t="shared" si="230"/>
        <v>89.206966026000003</v>
      </c>
      <c r="AQ190" s="173">
        <f t="shared" si="231"/>
        <v>14.377396626000001</v>
      </c>
      <c r="AS190" s="22" t="str">
        <f>+VLOOKUP(B190,'Country &amp; Code Abbreviation'!$B$3:$C$245,2,FALSE)</f>
        <v>SA</v>
      </c>
    </row>
    <row r="191" spans="2:45">
      <c r="B191" s="20" t="s">
        <v>260</v>
      </c>
      <c r="C191" s="20" t="s">
        <v>270</v>
      </c>
      <c r="E191" s="11" t="str">
        <f>+VLOOKUP($B191,'[3]INT Web'!$B$5:$W$247,'[3]INT Web'!Q$1,FALSE)</f>
        <v>XOF</v>
      </c>
      <c r="F191" s="136">
        <f>+VLOOKUP($B191,'[3]INT Web'!$B$5:$W$247,'[3]INT Web'!R$1,FALSE)</f>
        <v>43740</v>
      </c>
      <c r="G191" s="136">
        <f>+VLOOKUP($B191,'[3]INT Web'!$B$5:$W$247,'[3]INT Web'!S$1,FALSE)</f>
        <v>7290</v>
      </c>
      <c r="H191" s="136">
        <f>+VLOOKUP($B191,'[3]INT Web'!$B$5:$W$247,'[3]INT Web'!T$1,FALSE)</f>
        <v>32400</v>
      </c>
      <c r="I191" s="136">
        <f>+VLOOKUP($B191,'[3]INT Web'!$B$5:$W$247,'[3]INT Web'!U$1,FALSE)</f>
        <v>5400</v>
      </c>
      <c r="J191" s="136">
        <f>+VLOOKUP($B191,'[3]INT Web'!$B$5:$W$247,'[3]INT Web'!V$1,FALSE)</f>
        <v>29160</v>
      </c>
      <c r="K191" s="136">
        <f>+VLOOKUP($B191,'[3]INT Web'!$B$5:$W$247,'[3]INT Web'!W$1,FALSE)</f>
        <v>4860</v>
      </c>
      <c r="L191" s="12">
        <f t="shared" si="210"/>
        <v>6</v>
      </c>
      <c r="M191" s="12">
        <f t="shared" si="211"/>
        <v>1.35</v>
      </c>
      <c r="N191" s="12">
        <f t="shared" si="212"/>
        <v>6</v>
      </c>
      <c r="O191" s="12">
        <f t="shared" si="213"/>
        <v>6</v>
      </c>
      <c r="P191" s="12">
        <f t="shared" si="214"/>
        <v>0.9</v>
      </c>
      <c r="Q191" s="143" t="str">
        <f t="shared" si="183"/>
        <v>XOF</v>
      </c>
      <c r="R191" s="137">
        <f>+VLOOKUP($B191,'Country-Level Tactics'!$B$5:$AL$248,'Country-Level Tactics'!AH$1,FALSE)</f>
        <v>43740</v>
      </c>
      <c r="S191" s="137">
        <f>+VLOOKUP($B191,'Country-Level Tactics'!$B$5:$AL$248,'Country-Level Tactics'!X$1,FALSE)</f>
        <v>7290</v>
      </c>
      <c r="T191" s="137">
        <f>+VLOOKUP($B191,'Country-Level Tactics'!$B$5:$AL$248,'Country-Level Tactics'!AC$1,FALSE)</f>
        <v>32400</v>
      </c>
      <c r="U191" s="137">
        <f>+VLOOKUP($B191,'Country-Level Tactics'!$B$5:$AL$248,'Country-Level Tactics'!T$1,FALSE)</f>
        <v>5400</v>
      </c>
      <c r="V191" s="104">
        <f t="shared" si="208"/>
        <v>29160</v>
      </c>
      <c r="W191" s="104">
        <f t="shared" si="209"/>
        <v>4860</v>
      </c>
      <c r="X191" s="12">
        <f t="shared" si="215"/>
        <v>6</v>
      </c>
      <c r="Y191" s="12">
        <f t="shared" si="216"/>
        <v>1.35</v>
      </c>
      <c r="Z191" s="12">
        <f t="shared" si="217"/>
        <v>6</v>
      </c>
      <c r="AA191" s="12">
        <f t="shared" si="218"/>
        <v>6</v>
      </c>
      <c r="AB191" s="12">
        <f t="shared" si="219"/>
        <v>0.9</v>
      </c>
      <c r="AD191" s="10">
        <f t="shared" si="220"/>
        <v>0</v>
      </c>
      <c r="AE191" s="10">
        <f t="shared" si="221"/>
        <v>0</v>
      </c>
      <c r="AF191" s="10">
        <f t="shared" si="222"/>
        <v>0</v>
      </c>
      <c r="AG191" s="10">
        <f t="shared" si="223"/>
        <v>0</v>
      </c>
      <c r="AH191" s="10">
        <f t="shared" si="224"/>
        <v>0</v>
      </c>
      <c r="AI191" s="10">
        <f t="shared" si="225"/>
        <v>0</v>
      </c>
      <c r="AK191" s="165">
        <v>1.7405866999999999E-3</v>
      </c>
      <c r="AL191" s="173">
        <f t="shared" si="226"/>
        <v>76.133262258000002</v>
      </c>
      <c r="AM191" s="173">
        <f t="shared" si="227"/>
        <v>12.688877043</v>
      </c>
      <c r="AN191" s="173">
        <f t="shared" si="228"/>
        <v>56.395009080000001</v>
      </c>
      <c r="AO191" s="173">
        <f t="shared" si="229"/>
        <v>9.3991681800000002</v>
      </c>
      <c r="AP191" s="173">
        <f t="shared" si="230"/>
        <v>50.755508171999999</v>
      </c>
      <c r="AQ191" s="173">
        <f t="shared" si="231"/>
        <v>8.4592513619999998</v>
      </c>
      <c r="AS191" s="22" t="str">
        <f>+VLOOKUP(B191,'Country &amp; Code Abbreviation'!$B$3:$C$245,2,FALSE)</f>
        <v>SN</v>
      </c>
    </row>
    <row r="192" spans="2:45">
      <c r="B192" s="20" t="s">
        <v>261</v>
      </c>
      <c r="C192" s="20" t="s">
        <v>100</v>
      </c>
      <c r="E192" s="11" t="str">
        <f>+VLOOKUP($B192,'[3]INT Web'!$B$5:$W$247,'[3]INT Web'!Q$1,FALSE)</f>
        <v>RSD</v>
      </c>
      <c r="F192" s="22">
        <f>+VLOOKUP($B192,'[3]INT Web'!$B$5:$W$247,'[3]INT Web'!R$1,FALSE)</f>
        <v>10309.99</v>
      </c>
      <c r="G192" s="22">
        <f>+VLOOKUP($B192,'[3]INT Web'!$B$5:$W$247,'[3]INT Web'!S$1,FALSE)</f>
        <v>1649.99</v>
      </c>
      <c r="H192" s="22">
        <f>+VLOOKUP($B192,'[3]INT Web'!$B$5:$W$247,'[3]INT Web'!T$1,FALSE)</f>
        <v>7499.99</v>
      </c>
      <c r="I192" s="22">
        <f>+VLOOKUP($B192,'[3]INT Web'!$B$5:$W$247,'[3]INT Web'!U$1,FALSE)</f>
        <v>1199.99</v>
      </c>
      <c r="J192" s="22">
        <f>+VLOOKUP($B192,'[3]INT Web'!$B$5:$W$247,'[3]INT Web'!V$1,FALSE)</f>
        <v>6749.99</v>
      </c>
      <c r="K192" s="22">
        <f>+VLOOKUP($B192,'[3]INT Web'!$B$5:$W$247,'[3]INT Web'!W$1,FALSE)</f>
        <v>1079.99</v>
      </c>
      <c r="L192" s="12">
        <f t="shared" si="210"/>
        <v>6.2485166576767126</v>
      </c>
      <c r="M192" s="12">
        <f t="shared" si="211"/>
        <v>1.3750031250260419</v>
      </c>
      <c r="N192" s="12">
        <f t="shared" si="212"/>
        <v>6.2500437503645863</v>
      </c>
      <c r="O192" s="12">
        <f t="shared" si="213"/>
        <v>6.2500486115612182</v>
      </c>
      <c r="P192" s="12">
        <f t="shared" si="214"/>
        <v>0.89999916665972213</v>
      </c>
      <c r="Q192" s="140" t="str">
        <f t="shared" si="183"/>
        <v>RSD</v>
      </c>
      <c r="R192" s="104">
        <f>+VLOOKUP($B192,'Country-Level Tactics'!$B$5:$AL$248,'Country-Level Tactics'!AH$1,FALSE)</f>
        <v>10309.99</v>
      </c>
      <c r="S192" s="104">
        <f>+VLOOKUP($B192,'Country-Level Tactics'!$B$5:$AL$248,'Country-Level Tactics'!X$1,FALSE)</f>
        <v>1649.99</v>
      </c>
      <c r="T192" s="104">
        <f>+VLOOKUP($B192,'Country-Level Tactics'!$B$5:$AL$248,'Country-Level Tactics'!AC$1,FALSE)</f>
        <v>7499.99</v>
      </c>
      <c r="U192" s="104">
        <f>+VLOOKUP($B192,'Country-Level Tactics'!$B$5:$AL$248,'Country-Level Tactics'!T$1,FALSE)</f>
        <v>1199.99</v>
      </c>
      <c r="V192" s="104">
        <f t="shared" si="208"/>
        <v>6749.99</v>
      </c>
      <c r="W192" s="104">
        <f t="shared" si="209"/>
        <v>1079.99</v>
      </c>
      <c r="X192" s="12">
        <f t="shared" si="215"/>
        <v>6.2485166576767126</v>
      </c>
      <c r="Y192" s="12">
        <f t="shared" si="216"/>
        <v>1.3750031250260419</v>
      </c>
      <c r="Z192" s="12">
        <f t="shared" si="217"/>
        <v>6.2500437503645863</v>
      </c>
      <c r="AA192" s="12">
        <f t="shared" si="218"/>
        <v>6.2500486115612182</v>
      </c>
      <c r="AB192" s="12">
        <f t="shared" si="219"/>
        <v>0.89999916665972213</v>
      </c>
      <c r="AD192" s="10">
        <f t="shared" si="220"/>
        <v>0</v>
      </c>
      <c r="AE192" s="10">
        <f t="shared" si="221"/>
        <v>0</v>
      </c>
      <c r="AF192" s="10">
        <f t="shared" si="222"/>
        <v>0</v>
      </c>
      <c r="AG192" s="10">
        <f t="shared" si="223"/>
        <v>0</v>
      </c>
      <c r="AH192" s="10">
        <f t="shared" si="224"/>
        <v>0</v>
      </c>
      <c r="AI192" s="10">
        <f t="shared" si="225"/>
        <v>0</v>
      </c>
      <c r="AK192" s="165">
        <v>9.7285719999999996E-3</v>
      </c>
      <c r="AL192" s="173">
        <f t="shared" si="226"/>
        <v>100.30148003427999</v>
      </c>
      <c r="AM192" s="173">
        <f t="shared" si="227"/>
        <v>16.052046514280001</v>
      </c>
      <c r="AN192" s="173">
        <f t="shared" si="228"/>
        <v>72.964192714279989</v>
      </c>
      <c r="AO192" s="173">
        <f t="shared" si="229"/>
        <v>11.674189114279999</v>
      </c>
      <c r="AP192" s="173">
        <f t="shared" si="230"/>
        <v>65.667763714279999</v>
      </c>
      <c r="AQ192" s="173">
        <f t="shared" si="231"/>
        <v>10.50676047428</v>
      </c>
      <c r="AS192" s="22" t="str">
        <f>+VLOOKUP(B192,'Country &amp; Code Abbreviation'!$B$3:$C$245,2,FALSE)</f>
        <v>RS</v>
      </c>
    </row>
    <row r="193" spans="2:46">
      <c r="B193" s="20" t="s">
        <v>262</v>
      </c>
      <c r="C193" s="20" t="s">
        <v>270</v>
      </c>
      <c r="E193" s="11" t="str">
        <f>+VLOOKUP($B193,'[3]INT Web'!$B$5:$W$247,'[3]INT Web'!Q$1,FALSE)</f>
        <v>SCR</v>
      </c>
      <c r="F193" s="22">
        <f>+VLOOKUP($B193,'[3]INT Web'!$B$5:$W$247,'[3]INT Web'!R$1,FALSE)</f>
        <v>809.99</v>
      </c>
      <c r="G193" s="22">
        <f>+VLOOKUP($B193,'[3]INT Web'!$B$5:$W$247,'[3]INT Web'!S$1,FALSE)</f>
        <v>134.99</v>
      </c>
      <c r="H193" s="22">
        <f>+VLOOKUP($B193,'[3]INT Web'!$B$5:$W$247,'[3]INT Web'!T$1,FALSE)</f>
        <v>599.99</v>
      </c>
      <c r="I193" s="22">
        <f>+VLOOKUP($B193,'[3]INT Web'!$B$5:$W$247,'[3]INT Web'!U$1,FALSE)</f>
        <v>99.99</v>
      </c>
      <c r="J193" s="22">
        <f>+VLOOKUP($B193,'[3]INT Web'!$B$5:$W$247,'[3]INT Web'!V$1,FALSE)</f>
        <v>539.99</v>
      </c>
      <c r="K193" s="22">
        <f>+VLOOKUP($B193,'[3]INT Web'!$B$5:$W$247,'[3]INT Web'!W$1,FALSE)</f>
        <v>89.99</v>
      </c>
      <c r="L193" s="12">
        <f t="shared" si="210"/>
        <v>6.0003703978072442</v>
      </c>
      <c r="M193" s="12">
        <f t="shared" si="211"/>
        <v>1.3500350035003501</v>
      </c>
      <c r="N193" s="12">
        <f t="shared" si="212"/>
        <v>6.0005000500050008</v>
      </c>
      <c r="O193" s="12">
        <f t="shared" si="213"/>
        <v>6.0005556172908108</v>
      </c>
      <c r="P193" s="12">
        <f t="shared" si="214"/>
        <v>0.89998999899989995</v>
      </c>
      <c r="Q193" s="140" t="str">
        <f t="shared" si="183"/>
        <v>SCR</v>
      </c>
      <c r="R193" s="104">
        <f>+VLOOKUP($B193,'Country-Level Tactics'!$B$5:$AL$248,'Country-Level Tactics'!AH$1,FALSE)</f>
        <v>809.99</v>
      </c>
      <c r="S193" s="104">
        <f>+VLOOKUP($B193,'Country-Level Tactics'!$B$5:$AL$248,'Country-Level Tactics'!X$1,FALSE)</f>
        <v>134.99</v>
      </c>
      <c r="T193" s="104">
        <f>+VLOOKUP($B193,'Country-Level Tactics'!$B$5:$AL$248,'Country-Level Tactics'!AC$1,FALSE)</f>
        <v>599.99</v>
      </c>
      <c r="U193" s="104">
        <f>+VLOOKUP($B193,'Country-Level Tactics'!$B$5:$AL$248,'Country-Level Tactics'!T$1,FALSE)</f>
        <v>99.99</v>
      </c>
      <c r="V193" s="104">
        <f t="shared" si="208"/>
        <v>539.99</v>
      </c>
      <c r="W193" s="104">
        <f t="shared" si="209"/>
        <v>89.99</v>
      </c>
      <c r="X193" s="12">
        <f t="shared" si="215"/>
        <v>6.0003703978072442</v>
      </c>
      <c r="Y193" s="12">
        <f t="shared" si="216"/>
        <v>1.3500350035003501</v>
      </c>
      <c r="Z193" s="12">
        <f t="shared" si="217"/>
        <v>6.0005000500050008</v>
      </c>
      <c r="AA193" s="12">
        <f t="shared" si="218"/>
        <v>6.0005556172908108</v>
      </c>
      <c r="AB193" s="12">
        <f t="shared" si="219"/>
        <v>0.89998999899989995</v>
      </c>
      <c r="AD193" s="10">
        <f t="shared" si="220"/>
        <v>0</v>
      </c>
      <c r="AE193" s="10">
        <f t="shared" si="221"/>
        <v>0</v>
      </c>
      <c r="AF193" s="10">
        <f t="shared" si="222"/>
        <v>0</v>
      </c>
      <c r="AG193" s="10">
        <f t="shared" si="223"/>
        <v>0</v>
      </c>
      <c r="AH193" s="10">
        <f t="shared" si="224"/>
        <v>0</v>
      </c>
      <c r="AI193" s="10">
        <f t="shared" si="225"/>
        <v>0</v>
      </c>
      <c r="AK193" s="165">
        <v>6.791287E-2</v>
      </c>
      <c r="AL193" s="173">
        <f t="shared" si="226"/>
        <v>55.008745571300004</v>
      </c>
      <c r="AM193" s="173">
        <f t="shared" si="227"/>
        <v>9.1675583213000014</v>
      </c>
      <c r="AN193" s="173">
        <f t="shared" si="228"/>
        <v>40.747042871300003</v>
      </c>
      <c r="AO193" s="173">
        <f t="shared" si="229"/>
        <v>6.7906078712999998</v>
      </c>
      <c r="AP193" s="173">
        <f t="shared" si="230"/>
        <v>36.672270671299998</v>
      </c>
      <c r="AQ193" s="173">
        <f t="shared" si="231"/>
        <v>6.1114791713000001</v>
      </c>
      <c r="AS193" s="22" t="str">
        <f>+VLOOKUP(B193,'Country &amp; Code Abbreviation'!$B$3:$C$245,2,FALSE)</f>
        <v>SC</v>
      </c>
    </row>
    <row r="194" spans="2:46">
      <c r="B194" s="20" t="s">
        <v>263</v>
      </c>
      <c r="C194" s="20" t="s">
        <v>270</v>
      </c>
      <c r="E194" s="11" t="str">
        <f>+VLOOKUP($B194,'[3]INT Web'!$B$5:$W$247,'[3]INT Web'!Q$1,FALSE)</f>
        <v>SLL</v>
      </c>
      <c r="F194" s="22">
        <f>+VLOOKUP($B194,'[3]INT Web'!$B$5:$W$247,'[3]INT Web'!R$1,FALSE)</f>
        <v>792180</v>
      </c>
      <c r="G194" s="22">
        <f>+VLOOKUP($B194,'[3]INT Web'!$B$5:$W$247,'[3]INT Web'!S$1,FALSE)</f>
        <v>132030</v>
      </c>
      <c r="H194" s="22">
        <f>+VLOOKUP($B194,'[3]INT Web'!$B$5:$W$247,'[3]INT Web'!T$1,FALSE)</f>
        <v>586800</v>
      </c>
      <c r="I194" s="22">
        <f>+VLOOKUP($B194,'[3]INT Web'!$B$5:$W$247,'[3]INT Web'!U$1,FALSE)</f>
        <v>97800</v>
      </c>
      <c r="J194" s="22">
        <f>+VLOOKUP($B194,'[3]INT Web'!$B$5:$W$247,'[3]INT Web'!V$1,FALSE)</f>
        <v>528120</v>
      </c>
      <c r="K194" s="22">
        <f>+VLOOKUP($B194,'[3]INT Web'!$B$5:$W$247,'[3]INT Web'!W$1,FALSE)</f>
        <v>88020</v>
      </c>
      <c r="L194" s="12">
        <f t="shared" si="210"/>
        <v>6</v>
      </c>
      <c r="M194" s="12">
        <f t="shared" si="211"/>
        <v>1.35</v>
      </c>
      <c r="N194" s="12">
        <f t="shared" si="212"/>
        <v>6</v>
      </c>
      <c r="O194" s="12">
        <f t="shared" si="213"/>
        <v>6</v>
      </c>
      <c r="P194" s="12">
        <f t="shared" si="214"/>
        <v>0.9</v>
      </c>
      <c r="Q194" s="140" t="str">
        <f t="shared" si="183"/>
        <v>SLL</v>
      </c>
      <c r="R194" s="104">
        <f>+VLOOKUP($B194,'Country-Level Tactics'!$B$5:$AL$248,'Country-Level Tactics'!AH$1,FALSE)</f>
        <v>792180</v>
      </c>
      <c r="S194" s="104">
        <f>+VLOOKUP($B194,'Country-Level Tactics'!$B$5:$AL$248,'Country-Level Tactics'!X$1,FALSE)</f>
        <v>132030</v>
      </c>
      <c r="T194" s="104">
        <f>+VLOOKUP($B194,'Country-Level Tactics'!$B$5:$AL$248,'Country-Level Tactics'!AC$1,FALSE)</f>
        <v>586800</v>
      </c>
      <c r="U194" s="104">
        <f>+VLOOKUP($B194,'Country-Level Tactics'!$B$5:$AL$248,'Country-Level Tactics'!T$1,FALSE)</f>
        <v>97800</v>
      </c>
      <c r="V194" s="104">
        <f t="shared" si="208"/>
        <v>528120</v>
      </c>
      <c r="W194" s="104">
        <f t="shared" si="209"/>
        <v>88020</v>
      </c>
      <c r="X194" s="12">
        <f t="shared" si="215"/>
        <v>6</v>
      </c>
      <c r="Y194" s="12">
        <f t="shared" si="216"/>
        <v>1.35</v>
      </c>
      <c r="Z194" s="12">
        <f t="shared" si="217"/>
        <v>6</v>
      </c>
      <c r="AA194" s="12">
        <f t="shared" si="218"/>
        <v>6</v>
      </c>
      <c r="AB194" s="12">
        <f t="shared" si="219"/>
        <v>0.9</v>
      </c>
      <c r="AD194" s="10">
        <f t="shared" si="220"/>
        <v>0</v>
      </c>
      <c r="AE194" s="10">
        <f t="shared" si="221"/>
        <v>0</v>
      </c>
      <c r="AF194" s="10">
        <f t="shared" si="222"/>
        <v>0</v>
      </c>
      <c r="AG194" s="10">
        <f t="shared" si="223"/>
        <v>0</v>
      </c>
      <c r="AH194" s="10">
        <f t="shared" si="224"/>
        <v>0</v>
      </c>
      <c r="AI194" s="10">
        <f t="shared" si="225"/>
        <v>0</v>
      </c>
      <c r="AK194" s="165">
        <v>4.0983606999999998E-5</v>
      </c>
      <c r="AL194" s="173">
        <f t="shared" si="226"/>
        <v>32.466393793259996</v>
      </c>
      <c r="AM194" s="173">
        <f t="shared" si="227"/>
        <v>5.4110656322099997</v>
      </c>
      <c r="AN194" s="173">
        <f t="shared" si="228"/>
        <v>24.049180587599999</v>
      </c>
      <c r="AO194" s="173">
        <f t="shared" si="229"/>
        <v>4.0081967646000001</v>
      </c>
      <c r="AP194" s="173">
        <f t="shared" si="230"/>
        <v>21.644262528839999</v>
      </c>
      <c r="AQ194" s="173">
        <f t="shared" si="231"/>
        <v>3.6073770881399998</v>
      </c>
      <c r="AS194" s="22" t="str">
        <f>+VLOOKUP(B194,'Country &amp; Code Abbreviation'!$B$3:$C$245,2,FALSE)</f>
        <v>SL</v>
      </c>
      <c r="AT194" s="126"/>
    </row>
    <row r="195" spans="2:46">
      <c r="B195" s="20" t="s">
        <v>264</v>
      </c>
      <c r="C195" s="20" t="s">
        <v>182</v>
      </c>
      <c r="D195" s="6" t="s">
        <v>348</v>
      </c>
      <c r="E195" s="11" t="str">
        <f>+VLOOKUP($B195,'[3]INT Web'!$B$5:$W$247,'[3]INT Web'!Q$1,FALSE)</f>
        <v>SGD</v>
      </c>
      <c r="F195" s="22">
        <f>+VLOOKUP($B195,'[3]INT Web'!$B$5:$W$247,'[3]INT Web'!R$1,FALSE)</f>
        <v>184.99</v>
      </c>
      <c r="G195" s="22">
        <f>+VLOOKUP($B195,'[3]INT Web'!$B$5:$W$247,'[3]INT Web'!S$1,FALSE)</f>
        <v>26.984999999999999</v>
      </c>
      <c r="H195" s="22">
        <f>+VLOOKUP($B195,'[3]INT Web'!$B$5:$W$247,'[3]INT Web'!T$1,FALSE)</f>
        <v>124.99</v>
      </c>
      <c r="I195" s="22">
        <f>+VLOOKUP($B195,'[3]INT Web'!$B$5:$W$247,'[3]INT Web'!U$1,FALSE)</f>
        <v>17.989999999999998</v>
      </c>
      <c r="J195" s="22">
        <f>+VLOOKUP($B195,'[3]INT Web'!$B$5:$W$247,'[3]INT Web'!V$1,FALSE)</f>
        <v>104.99</v>
      </c>
      <c r="K195" s="22">
        <f>+VLOOKUP($B195,'[3]INT Web'!$B$5:$W$247,'[3]INT Web'!W$1,FALSE)</f>
        <v>14.99</v>
      </c>
      <c r="L195" s="12">
        <f t="shared" si="210"/>
        <v>6.8552899759125445</v>
      </c>
      <c r="M195" s="12">
        <f t="shared" si="211"/>
        <v>1.5</v>
      </c>
      <c r="N195" s="12">
        <f t="shared" si="212"/>
        <v>6.9477487493051697</v>
      </c>
      <c r="O195" s="12">
        <f t="shared" si="213"/>
        <v>7.0040026684456302</v>
      </c>
      <c r="P195" s="12">
        <f t="shared" si="214"/>
        <v>0.83324068927181771</v>
      </c>
      <c r="Q195" s="140" t="str">
        <f t="shared" ref="Q195:Q226" si="232">+E195</f>
        <v>SGD</v>
      </c>
      <c r="R195" s="104">
        <f>+VLOOKUP($B195,'Country-Level Tactics'!$B$5:$AL$248,'Country-Level Tactics'!AH$1,FALSE)</f>
        <v>184.99</v>
      </c>
      <c r="S195" s="104">
        <f>+VLOOKUP($B195,'Country-Level Tactics'!$B$5:$AL$248,'Country-Level Tactics'!X$1,FALSE)</f>
        <v>26.984999999999999</v>
      </c>
      <c r="T195" s="104">
        <f>+VLOOKUP($B195,'Country-Level Tactics'!$B$5:$AL$248,'Country-Level Tactics'!AC$1,FALSE)</f>
        <v>124.99</v>
      </c>
      <c r="U195" s="104">
        <f>+VLOOKUP($B195,'Country-Level Tactics'!$B$5:$AL$248,'Country-Level Tactics'!T$1,FALSE)</f>
        <v>17.989999999999998</v>
      </c>
      <c r="V195" s="104">
        <f t="shared" si="208"/>
        <v>104.99</v>
      </c>
      <c r="W195" s="104">
        <f t="shared" si="209"/>
        <v>14.99</v>
      </c>
      <c r="X195" s="12">
        <f t="shared" si="215"/>
        <v>6.8552899759125445</v>
      </c>
      <c r="Y195" s="12">
        <f t="shared" si="216"/>
        <v>1.5</v>
      </c>
      <c r="Z195" s="12">
        <f t="shared" si="217"/>
        <v>6.9477487493051697</v>
      </c>
      <c r="AA195" s="12">
        <f t="shared" si="218"/>
        <v>7.0040026684456302</v>
      </c>
      <c r="AB195" s="12">
        <f t="shared" si="219"/>
        <v>0.83324068927181771</v>
      </c>
      <c r="AD195" s="10">
        <f t="shared" si="220"/>
        <v>0</v>
      </c>
      <c r="AE195" s="10">
        <f t="shared" si="221"/>
        <v>0</v>
      </c>
      <c r="AF195" s="10">
        <f t="shared" si="222"/>
        <v>0</v>
      </c>
      <c r="AG195" s="10">
        <f t="shared" si="223"/>
        <v>0</v>
      </c>
      <c r="AH195" s="10">
        <f t="shared" si="224"/>
        <v>0</v>
      </c>
      <c r="AI195" s="10">
        <f t="shared" si="225"/>
        <v>0</v>
      </c>
      <c r="AK195" s="165">
        <v>0.77300659999999999</v>
      </c>
      <c r="AL195" s="173">
        <f t="shared" si="226"/>
        <v>142.99849093400002</v>
      </c>
      <c r="AM195" s="173">
        <f t="shared" si="227"/>
        <v>20.859583100999998</v>
      </c>
      <c r="AN195" s="173">
        <f t="shared" si="228"/>
        <v>96.618094933999998</v>
      </c>
      <c r="AO195" s="173">
        <f t="shared" si="229"/>
        <v>13.906388733999998</v>
      </c>
      <c r="AP195" s="173">
        <f t="shared" si="230"/>
        <v>81.157962933999997</v>
      </c>
      <c r="AQ195" s="173">
        <f t="shared" si="231"/>
        <v>11.587368934000001</v>
      </c>
      <c r="AS195" s="22" t="str">
        <f>+VLOOKUP(B195,'Country &amp; Code Abbreviation'!$B$3:$C$245,2,FALSE)</f>
        <v>SG</v>
      </c>
    </row>
    <row r="196" spans="2:46">
      <c r="B196" s="20" t="s">
        <v>265</v>
      </c>
      <c r="C196" s="20" t="s">
        <v>96</v>
      </c>
      <c r="E196" s="11" t="str">
        <f>+VLOOKUP($B196,'[3]INT Web'!$B$5:$W$247,'[3]INT Web'!Q$1,FALSE)</f>
        <v>ANG</v>
      </c>
      <c r="F196" s="22">
        <f>+VLOOKUP($B196,'[3]INT Web'!$B$5:$W$247,'[3]INT Web'!R$1,FALSE)</f>
        <v>169.99</v>
      </c>
      <c r="G196" s="22">
        <f>+VLOOKUP($B196,'[3]INT Web'!$B$5:$W$247,'[3]INT Web'!S$1,FALSE)</f>
        <v>24.99</v>
      </c>
      <c r="H196" s="22">
        <f>+VLOOKUP($B196,'[3]INT Web'!$B$5:$W$247,'[3]INT Web'!T$1,FALSE)</f>
        <v>124.99</v>
      </c>
      <c r="I196" s="22">
        <f>+VLOOKUP($B196,'[3]INT Web'!$B$5:$W$247,'[3]INT Web'!U$1,FALSE)</f>
        <v>19.989999999999998</v>
      </c>
      <c r="J196" s="22">
        <f>+VLOOKUP($B196,'[3]INT Web'!$B$5:$W$247,'[3]INT Web'!V$1,FALSE)</f>
        <v>114.99</v>
      </c>
      <c r="K196" s="22">
        <f>+VLOOKUP($B196,'[3]INT Web'!$B$5:$W$247,'[3]INT Web'!W$1,FALSE)</f>
        <v>18.989999999999998</v>
      </c>
      <c r="L196" s="12">
        <f t="shared" si="210"/>
        <v>6.8023209283713495</v>
      </c>
      <c r="M196" s="12">
        <f t="shared" si="211"/>
        <v>1.2501250625312657</v>
      </c>
      <c r="N196" s="12">
        <f t="shared" si="212"/>
        <v>6.2526263131565782</v>
      </c>
      <c r="O196" s="12">
        <f t="shared" si="213"/>
        <v>6.0552922590837284</v>
      </c>
      <c r="P196" s="12">
        <f t="shared" si="214"/>
        <v>0.94997498749374687</v>
      </c>
      <c r="Q196" s="140" t="str">
        <f t="shared" si="232"/>
        <v>ANG</v>
      </c>
      <c r="R196" s="104">
        <f>+VLOOKUP($B196,'Country-Level Tactics'!$B$5:$AL$248,'Country-Level Tactics'!AH$1,FALSE)</f>
        <v>169.99</v>
      </c>
      <c r="S196" s="104">
        <f>+VLOOKUP($B196,'Country-Level Tactics'!$B$5:$AL$248,'Country-Level Tactics'!X$1,FALSE)</f>
        <v>24.99</v>
      </c>
      <c r="T196" s="104">
        <f>+VLOOKUP($B196,'Country-Level Tactics'!$B$5:$AL$248,'Country-Level Tactics'!AC$1,FALSE)</f>
        <v>124.99</v>
      </c>
      <c r="U196" s="104">
        <f>+VLOOKUP($B196,'Country-Level Tactics'!$B$5:$AL$248,'Country-Level Tactics'!T$1,FALSE)</f>
        <v>19.989999999999998</v>
      </c>
      <c r="V196" s="104">
        <f t="shared" si="208"/>
        <v>114.99</v>
      </c>
      <c r="W196" s="104">
        <f t="shared" si="209"/>
        <v>18.989999999999998</v>
      </c>
      <c r="X196" s="12">
        <f t="shared" si="215"/>
        <v>6.8023209283713495</v>
      </c>
      <c r="Y196" s="12">
        <f t="shared" si="216"/>
        <v>1.2501250625312657</v>
      </c>
      <c r="Z196" s="12">
        <f t="shared" si="217"/>
        <v>6.2526263131565782</v>
      </c>
      <c r="AA196" s="12">
        <f t="shared" si="218"/>
        <v>6.0552922590837284</v>
      </c>
      <c r="AB196" s="12">
        <f t="shared" si="219"/>
        <v>0.94997498749374687</v>
      </c>
      <c r="AD196" s="10">
        <f t="shared" si="220"/>
        <v>0</v>
      </c>
      <c r="AE196" s="10">
        <f t="shared" si="221"/>
        <v>0</v>
      </c>
      <c r="AF196" s="10">
        <f t="shared" si="222"/>
        <v>0</v>
      </c>
      <c r="AG196" s="10">
        <f t="shared" si="223"/>
        <v>0</v>
      </c>
      <c r="AH196" s="10">
        <f t="shared" si="224"/>
        <v>0</v>
      </c>
      <c r="AI196" s="10">
        <f t="shared" si="225"/>
        <v>0</v>
      </c>
      <c r="AK196" s="165">
        <v>0.55865925999999999</v>
      </c>
      <c r="AL196" s="173">
        <f t="shared" si="226"/>
        <v>94.966487607399998</v>
      </c>
      <c r="AM196" s="173">
        <f t="shared" si="227"/>
        <v>13.960894907399998</v>
      </c>
      <c r="AN196" s="173">
        <f t="shared" si="228"/>
        <v>69.826820907399991</v>
      </c>
      <c r="AO196" s="173">
        <f t="shared" si="229"/>
        <v>11.167598607399999</v>
      </c>
      <c r="AP196" s="173">
        <f t="shared" si="230"/>
        <v>64.240228307400002</v>
      </c>
      <c r="AQ196" s="173">
        <f t="shared" si="231"/>
        <v>10.6089393474</v>
      </c>
      <c r="AS196" s="22" t="str">
        <f>+VLOOKUP(B196,'Country &amp; Code Abbreviation'!$B$3:$C$245,2,FALSE)</f>
        <v>SX</v>
      </c>
    </row>
    <row r="197" spans="2:46">
      <c r="B197" s="20" t="s">
        <v>266</v>
      </c>
      <c r="C197" s="20" t="s">
        <v>100</v>
      </c>
      <c r="E197" s="11" t="str">
        <f>+VLOOKUP($B197,'[3]INT Web'!$B$5:$W$247,'[3]INT Web'!Q$1,FALSE)</f>
        <v>EUR</v>
      </c>
      <c r="F197" s="22">
        <f>+VLOOKUP($B197,'[3]INT Web'!$B$5:$W$247,'[3]INT Web'!R$1,FALSE)</f>
        <v>94.99</v>
      </c>
      <c r="G197" s="22">
        <f>+VLOOKUP($B197,'[3]INT Web'!$B$5:$W$247,'[3]INT Web'!S$1,FALSE)</f>
        <v>14.99</v>
      </c>
      <c r="H197" s="22">
        <f>+VLOOKUP($B197,'[3]INT Web'!$B$5:$W$247,'[3]INT Web'!T$1,FALSE)</f>
        <v>69.989999999999995</v>
      </c>
      <c r="I197" s="22">
        <f>+VLOOKUP($B197,'[3]INT Web'!$B$5:$W$247,'[3]INT Web'!U$1,FALSE)</f>
        <v>10.99</v>
      </c>
      <c r="J197" s="22">
        <f>+VLOOKUP($B197,'[3]INT Web'!$B$5:$W$247,'[3]INT Web'!V$1,FALSE)</f>
        <v>59.99</v>
      </c>
      <c r="K197" s="22">
        <f>+VLOOKUP($B197,'[3]INT Web'!$B$5:$W$247,'[3]INT Web'!W$1,FALSE)</f>
        <v>9.99</v>
      </c>
      <c r="L197" s="12">
        <f t="shared" si="210"/>
        <v>6.3368912608405603</v>
      </c>
      <c r="M197" s="12">
        <f t="shared" si="211"/>
        <v>1.3639672429481347</v>
      </c>
      <c r="N197" s="12">
        <f t="shared" si="212"/>
        <v>6.3685168334849855</v>
      </c>
      <c r="O197" s="12">
        <f t="shared" si="213"/>
        <v>6.005005005005005</v>
      </c>
      <c r="P197" s="12">
        <f t="shared" si="214"/>
        <v>0.90900818926296634</v>
      </c>
      <c r="Q197" s="140" t="str">
        <f t="shared" si="232"/>
        <v>EUR</v>
      </c>
      <c r="R197" s="104">
        <f>+VLOOKUP($B197,'Country-Level Tactics'!$B$5:$AL$248,'Country-Level Tactics'!AH$1,FALSE)</f>
        <v>94.99</v>
      </c>
      <c r="S197" s="104">
        <f>+VLOOKUP($B197,'Country-Level Tactics'!$B$5:$AL$248,'Country-Level Tactics'!X$1,FALSE)</f>
        <v>14.99</v>
      </c>
      <c r="T197" s="104">
        <f>+VLOOKUP($B197,'Country-Level Tactics'!$B$5:$AL$248,'Country-Level Tactics'!AC$1,FALSE)</f>
        <v>69.989999999999995</v>
      </c>
      <c r="U197" s="104">
        <f>+VLOOKUP($B197,'Country-Level Tactics'!$B$5:$AL$248,'Country-Level Tactics'!T$1,FALSE)</f>
        <v>10.99</v>
      </c>
      <c r="V197" s="104">
        <f t="shared" si="208"/>
        <v>59.99</v>
      </c>
      <c r="W197" s="104">
        <f t="shared" si="209"/>
        <v>9.99</v>
      </c>
      <c r="X197" s="12">
        <f t="shared" si="215"/>
        <v>6.3368912608405603</v>
      </c>
      <c r="Y197" s="12">
        <f t="shared" si="216"/>
        <v>1.3639672429481347</v>
      </c>
      <c r="Z197" s="12">
        <f t="shared" si="217"/>
        <v>6.3685168334849855</v>
      </c>
      <c r="AA197" s="12">
        <f t="shared" si="218"/>
        <v>6.005005005005005</v>
      </c>
      <c r="AB197" s="12">
        <f t="shared" si="219"/>
        <v>0.90900818926296634</v>
      </c>
      <c r="AD197" s="10">
        <f t="shared" si="220"/>
        <v>0</v>
      </c>
      <c r="AE197" s="10">
        <f t="shared" si="221"/>
        <v>0</v>
      </c>
      <c r="AF197" s="10">
        <f t="shared" si="222"/>
        <v>0</v>
      </c>
      <c r="AG197" s="10">
        <f t="shared" si="223"/>
        <v>0</v>
      </c>
      <c r="AH197" s="10">
        <f t="shared" si="224"/>
        <v>0</v>
      </c>
      <c r="AI197" s="10">
        <f t="shared" si="225"/>
        <v>0</v>
      </c>
      <c r="AK197" s="165">
        <v>1.14175</v>
      </c>
      <c r="AL197" s="173">
        <f t="shared" si="226"/>
        <v>108.45483249999999</v>
      </c>
      <c r="AM197" s="173">
        <f t="shared" si="227"/>
        <v>17.114832500000002</v>
      </c>
      <c r="AN197" s="173">
        <f t="shared" si="228"/>
        <v>79.911082499999992</v>
      </c>
      <c r="AO197" s="173">
        <f t="shared" si="229"/>
        <v>12.5478325</v>
      </c>
      <c r="AP197" s="173">
        <f t="shared" si="230"/>
        <v>68.493582500000002</v>
      </c>
      <c r="AQ197" s="173">
        <f t="shared" si="231"/>
        <v>11.4060825</v>
      </c>
      <c r="AS197" s="22" t="str">
        <f>+VLOOKUP(B197,'Country &amp; Code Abbreviation'!$B$3:$C$245,2,FALSE)</f>
        <v>SK</v>
      </c>
    </row>
    <row r="198" spans="2:46">
      <c r="B198" s="20" t="s">
        <v>267</v>
      </c>
      <c r="C198" s="20" t="s">
        <v>100</v>
      </c>
      <c r="E198" s="11" t="str">
        <f>+VLOOKUP($B198,'[3]INT Web'!$B$5:$W$247,'[3]INT Web'!Q$1,FALSE)</f>
        <v>EUR</v>
      </c>
      <c r="F198" s="22">
        <f>+VLOOKUP($B198,'[3]INT Web'!$B$5:$W$247,'[3]INT Web'!R$1,FALSE)</f>
        <v>121.99</v>
      </c>
      <c r="G198" s="22">
        <f>+VLOOKUP($B198,'[3]INT Web'!$B$5:$W$247,'[3]INT Web'!S$1,FALSE)</f>
        <v>18.989999999999998</v>
      </c>
      <c r="H198" s="22">
        <f>+VLOOKUP($B198,'[3]INT Web'!$B$5:$W$247,'[3]INT Web'!T$1,FALSE)</f>
        <v>89.99</v>
      </c>
      <c r="I198" s="22">
        <f>+VLOOKUP($B198,'[3]INT Web'!$B$5:$W$247,'[3]INT Web'!U$1,FALSE)</f>
        <v>13.99</v>
      </c>
      <c r="J198" s="22">
        <f>+VLOOKUP($B198,'[3]INT Web'!$B$5:$W$247,'[3]INT Web'!V$1,FALSE)</f>
        <v>79.989999999999995</v>
      </c>
      <c r="K198" s="22">
        <f>+VLOOKUP($B198,'[3]INT Web'!$B$5:$W$247,'[3]INT Web'!W$1,FALSE)</f>
        <v>12.99</v>
      </c>
      <c r="L198" s="12">
        <f t="shared" si="210"/>
        <v>6.4239073196419172</v>
      </c>
      <c r="M198" s="12">
        <f t="shared" si="211"/>
        <v>1.3573981415296639</v>
      </c>
      <c r="N198" s="12">
        <f t="shared" si="212"/>
        <v>6.432451751250893</v>
      </c>
      <c r="O198" s="12">
        <f t="shared" si="213"/>
        <v>6.157813702848344</v>
      </c>
      <c r="P198" s="12">
        <f t="shared" si="214"/>
        <v>0.9285203716940672</v>
      </c>
      <c r="Q198" s="140" t="str">
        <f t="shared" si="232"/>
        <v>EUR</v>
      </c>
      <c r="R198" s="104">
        <f>+VLOOKUP($B198,'Country-Level Tactics'!$B$5:$AL$248,'Country-Level Tactics'!AH$1,FALSE)</f>
        <v>121.99</v>
      </c>
      <c r="S198" s="104">
        <f>+VLOOKUP($B198,'Country-Level Tactics'!$B$5:$AL$248,'Country-Level Tactics'!X$1,FALSE)</f>
        <v>18.989999999999998</v>
      </c>
      <c r="T198" s="104">
        <f>+VLOOKUP($B198,'Country-Level Tactics'!$B$5:$AL$248,'Country-Level Tactics'!AC$1,FALSE)</f>
        <v>89.99</v>
      </c>
      <c r="U198" s="104">
        <f>+VLOOKUP($B198,'Country-Level Tactics'!$B$5:$AL$248,'Country-Level Tactics'!T$1,FALSE)</f>
        <v>13.99</v>
      </c>
      <c r="V198" s="104">
        <f t="shared" si="208"/>
        <v>79.989999999999995</v>
      </c>
      <c r="W198" s="104">
        <f t="shared" si="209"/>
        <v>12.99</v>
      </c>
      <c r="X198" s="12">
        <f t="shared" si="215"/>
        <v>6.4239073196419172</v>
      </c>
      <c r="Y198" s="12">
        <f t="shared" si="216"/>
        <v>1.3573981415296639</v>
      </c>
      <c r="Z198" s="12">
        <f t="shared" si="217"/>
        <v>6.432451751250893</v>
      </c>
      <c r="AA198" s="12">
        <f t="shared" si="218"/>
        <v>6.157813702848344</v>
      </c>
      <c r="AB198" s="12">
        <f t="shared" si="219"/>
        <v>0.9285203716940672</v>
      </c>
      <c r="AD198" s="10">
        <f t="shared" si="220"/>
        <v>0</v>
      </c>
      <c r="AE198" s="10">
        <f t="shared" si="221"/>
        <v>0</v>
      </c>
      <c r="AF198" s="10">
        <f t="shared" si="222"/>
        <v>0</v>
      </c>
      <c r="AG198" s="10">
        <f t="shared" si="223"/>
        <v>0</v>
      </c>
      <c r="AH198" s="10">
        <f t="shared" si="224"/>
        <v>0</v>
      </c>
      <c r="AI198" s="10">
        <f t="shared" si="225"/>
        <v>0</v>
      </c>
      <c r="AK198" s="165">
        <v>1.14175</v>
      </c>
      <c r="AL198" s="173">
        <f t="shared" si="226"/>
        <v>139.2820825</v>
      </c>
      <c r="AM198" s="173">
        <f t="shared" si="227"/>
        <v>21.681832499999999</v>
      </c>
      <c r="AN198" s="173">
        <f t="shared" si="228"/>
        <v>102.7460825</v>
      </c>
      <c r="AO198" s="173">
        <f t="shared" si="229"/>
        <v>15.9730825</v>
      </c>
      <c r="AP198" s="173">
        <f t="shared" si="230"/>
        <v>91.328582499999996</v>
      </c>
      <c r="AQ198" s="173">
        <f t="shared" si="231"/>
        <v>14.8313325</v>
      </c>
      <c r="AS198" s="22" t="str">
        <f>+VLOOKUP(B198,'Country &amp; Code Abbreviation'!$B$3:$C$245,2,FALSE)</f>
        <v>SI</v>
      </c>
    </row>
    <row r="199" spans="2:46">
      <c r="B199" s="20" t="s">
        <v>268</v>
      </c>
      <c r="C199" s="20" t="s">
        <v>182</v>
      </c>
      <c r="E199" s="11" t="str">
        <f>+VLOOKUP($B199,'[3]INT Web'!$B$5:$W$247,'[3]INT Web'!Q$1,FALSE)</f>
        <v>SBD</v>
      </c>
      <c r="F199" s="22">
        <f>+VLOOKUP($B199,'[3]INT Web'!$B$5:$W$247,'[3]INT Web'!R$1,FALSE)</f>
        <v>563.99</v>
      </c>
      <c r="G199" s="22">
        <f>+VLOOKUP($B199,'[3]INT Web'!$B$5:$W$247,'[3]INT Web'!S$1,FALSE)</f>
        <v>93.99</v>
      </c>
      <c r="H199" s="22">
        <f>+VLOOKUP($B199,'[3]INT Web'!$B$5:$W$247,'[3]INT Web'!T$1,FALSE)</f>
        <v>419.99</v>
      </c>
      <c r="I199" s="22">
        <f>+VLOOKUP($B199,'[3]INT Web'!$B$5:$W$247,'[3]INT Web'!U$1,FALSE)</f>
        <v>69.989999999999995</v>
      </c>
      <c r="J199" s="22">
        <f>+VLOOKUP($B199,'[3]INT Web'!$B$5:$W$247,'[3]INT Web'!V$1,FALSE)</f>
        <v>377.99</v>
      </c>
      <c r="K199" s="22">
        <f>+VLOOKUP($B199,'[3]INT Web'!$B$5:$W$247,'[3]INT Web'!W$1,FALSE)</f>
        <v>62.99</v>
      </c>
      <c r="L199" s="12">
        <f t="shared" si="210"/>
        <v>6.0005319714863283</v>
      </c>
      <c r="M199" s="12">
        <f t="shared" si="211"/>
        <v>1.3429061294470639</v>
      </c>
      <c r="N199" s="12">
        <f t="shared" si="212"/>
        <v>6.0007143877696816</v>
      </c>
      <c r="O199" s="12">
        <f t="shared" si="213"/>
        <v>6.0007937767899664</v>
      </c>
      <c r="P199" s="12">
        <f t="shared" si="214"/>
        <v>0.89998571224460644</v>
      </c>
      <c r="Q199" s="140" t="str">
        <f t="shared" si="232"/>
        <v>SBD</v>
      </c>
      <c r="R199" s="104">
        <f>+VLOOKUP($B199,'Country-Level Tactics'!$B$5:$AL$248,'Country-Level Tactics'!AH$1,FALSE)</f>
        <v>563.99</v>
      </c>
      <c r="S199" s="104">
        <f>+VLOOKUP($B199,'Country-Level Tactics'!$B$5:$AL$248,'Country-Level Tactics'!X$1,FALSE)</f>
        <v>93.99</v>
      </c>
      <c r="T199" s="104">
        <f>+VLOOKUP($B199,'Country-Level Tactics'!$B$5:$AL$248,'Country-Level Tactics'!AC$1,FALSE)</f>
        <v>419.99</v>
      </c>
      <c r="U199" s="104">
        <f>+VLOOKUP($B199,'Country-Level Tactics'!$B$5:$AL$248,'Country-Level Tactics'!T$1,FALSE)</f>
        <v>69.989999999999995</v>
      </c>
      <c r="V199" s="104">
        <f t="shared" si="208"/>
        <v>377.99</v>
      </c>
      <c r="W199" s="104">
        <f t="shared" si="209"/>
        <v>62.99</v>
      </c>
      <c r="X199" s="12">
        <f t="shared" si="215"/>
        <v>6.0005319714863283</v>
      </c>
      <c r="Y199" s="12">
        <f t="shared" si="216"/>
        <v>1.3429061294470639</v>
      </c>
      <c r="Z199" s="12">
        <f t="shared" si="217"/>
        <v>6.0007143877696816</v>
      </c>
      <c r="AA199" s="12">
        <f t="shared" si="218"/>
        <v>6.0007937767899664</v>
      </c>
      <c r="AB199" s="12">
        <f t="shared" si="219"/>
        <v>0.89998571224460644</v>
      </c>
      <c r="AD199" s="10">
        <f t="shared" si="220"/>
        <v>0</v>
      </c>
      <c r="AE199" s="10">
        <f t="shared" si="221"/>
        <v>0</v>
      </c>
      <c r="AF199" s="10">
        <f t="shared" si="222"/>
        <v>0</v>
      </c>
      <c r="AG199" s="10">
        <f t="shared" si="223"/>
        <v>0</v>
      </c>
      <c r="AH199" s="10">
        <f t="shared" si="224"/>
        <v>0</v>
      </c>
      <c r="AI199" s="10">
        <f t="shared" si="225"/>
        <v>0</v>
      </c>
      <c r="AK199" s="165">
        <v>0.1234</v>
      </c>
      <c r="AL199" s="173">
        <f t="shared" si="226"/>
        <v>69.596366000000003</v>
      </c>
      <c r="AM199" s="173">
        <f t="shared" si="227"/>
        <v>11.598365999999999</v>
      </c>
      <c r="AN199" s="173">
        <f t="shared" si="228"/>
        <v>51.826765999999999</v>
      </c>
      <c r="AO199" s="173">
        <f t="shared" si="229"/>
        <v>8.6367659999999997</v>
      </c>
      <c r="AP199" s="173">
        <f t="shared" si="230"/>
        <v>46.643965999999999</v>
      </c>
      <c r="AQ199" s="173">
        <f t="shared" si="231"/>
        <v>7.7729660000000003</v>
      </c>
      <c r="AS199" s="22" t="str">
        <f>+VLOOKUP(B199,'Country &amp; Code Abbreviation'!$B$3:$C$245,2,FALSE)</f>
        <v>SB</v>
      </c>
    </row>
    <row r="200" spans="2:46">
      <c r="B200" s="20" t="s">
        <v>269</v>
      </c>
      <c r="C200" s="20" t="s">
        <v>270</v>
      </c>
      <c r="E200" s="11" t="str">
        <f>+VLOOKUP($B200,'[3]INT Web'!$B$5:$W$247,'[3]INT Web'!Q$1,FALSE)</f>
        <v>SOS</v>
      </c>
      <c r="F200" s="22">
        <f>+VLOOKUP($B200,'[3]INT Web'!$B$5:$W$247,'[3]INT Web'!R$1,FALSE)</f>
        <v>33889.99</v>
      </c>
      <c r="G200" s="22">
        <f>+VLOOKUP($B200,'[3]INT Web'!$B$5:$W$247,'[3]INT Web'!S$1,FALSE)</f>
        <v>5649.99</v>
      </c>
      <c r="H200" s="22">
        <f>+VLOOKUP($B200,'[3]INT Web'!$B$5:$W$247,'[3]INT Web'!T$1,FALSE)</f>
        <v>25039.99</v>
      </c>
      <c r="I200" s="22">
        <f>+VLOOKUP($B200,'[3]INT Web'!$B$5:$W$247,'[3]INT Web'!U$1,FALSE)</f>
        <v>4174.99</v>
      </c>
      <c r="J200" s="22">
        <f>+VLOOKUP($B200,'[3]INT Web'!$B$5:$W$247,'[3]INT Web'!V$1,FALSE)</f>
        <v>22549.99</v>
      </c>
      <c r="K200" s="22">
        <f>+VLOOKUP($B200,'[3]INT Web'!$B$5:$W$247,'[3]INT Web'!W$1,FALSE)</f>
        <v>3754.99</v>
      </c>
      <c r="L200" s="12">
        <f t="shared" si="210"/>
        <v>5.9982389349361682</v>
      </c>
      <c r="M200" s="12">
        <f t="shared" si="211"/>
        <v>1.3532942593874477</v>
      </c>
      <c r="N200" s="12">
        <f t="shared" si="212"/>
        <v>5.9976167607587092</v>
      </c>
      <c r="O200" s="12">
        <f t="shared" si="213"/>
        <v>6.0053395614901781</v>
      </c>
      <c r="P200" s="12">
        <f t="shared" si="214"/>
        <v>0.899400956648998</v>
      </c>
      <c r="Q200" s="140" t="str">
        <f t="shared" si="232"/>
        <v>SOS</v>
      </c>
      <c r="R200" s="104">
        <f>+VLOOKUP($B200,'Country-Level Tactics'!$B$5:$AL$248,'Country-Level Tactics'!AH$1,FALSE)</f>
        <v>33889.99</v>
      </c>
      <c r="S200" s="104">
        <f>+VLOOKUP($B200,'Country-Level Tactics'!$B$5:$AL$248,'Country-Level Tactics'!X$1,FALSE)</f>
        <v>5649.99</v>
      </c>
      <c r="T200" s="104">
        <f>+VLOOKUP($B200,'Country-Level Tactics'!$B$5:$AL$248,'Country-Level Tactics'!AC$1,FALSE)</f>
        <v>25039.99</v>
      </c>
      <c r="U200" s="104">
        <f>+VLOOKUP($B200,'Country-Level Tactics'!$B$5:$AL$248,'Country-Level Tactics'!T$1,FALSE)</f>
        <v>4174.99</v>
      </c>
      <c r="V200" s="104">
        <f t="shared" si="208"/>
        <v>22549.99</v>
      </c>
      <c r="W200" s="104">
        <f t="shared" si="209"/>
        <v>3754.99</v>
      </c>
      <c r="X200" s="12">
        <f t="shared" si="215"/>
        <v>5.9982389349361682</v>
      </c>
      <c r="Y200" s="12">
        <f t="shared" si="216"/>
        <v>1.3532942593874477</v>
      </c>
      <c r="Z200" s="12">
        <f t="shared" si="217"/>
        <v>5.9976167607587092</v>
      </c>
      <c r="AA200" s="12">
        <f t="shared" si="218"/>
        <v>6.0053395614901781</v>
      </c>
      <c r="AB200" s="12">
        <f t="shared" si="219"/>
        <v>0.899400956648998</v>
      </c>
      <c r="AD200" s="10">
        <f t="shared" si="220"/>
        <v>0</v>
      </c>
      <c r="AE200" s="10">
        <f t="shared" si="221"/>
        <v>0</v>
      </c>
      <c r="AF200" s="10">
        <f t="shared" si="222"/>
        <v>0</v>
      </c>
      <c r="AG200" s="10">
        <f t="shared" si="223"/>
        <v>0</v>
      </c>
      <c r="AH200" s="10">
        <f t="shared" si="224"/>
        <v>0</v>
      </c>
      <c r="AI200" s="10">
        <f t="shared" si="225"/>
        <v>0</v>
      </c>
      <c r="AK200" s="165">
        <v>1.7480729999999999E-3</v>
      </c>
      <c r="AL200" s="173">
        <f t="shared" si="226"/>
        <v>59.242176489269994</v>
      </c>
      <c r="AM200" s="173">
        <f t="shared" si="227"/>
        <v>9.8765949692700001</v>
      </c>
      <c r="AN200" s="173">
        <f t="shared" si="228"/>
        <v>43.771730439270002</v>
      </c>
      <c r="AO200" s="173">
        <f t="shared" si="229"/>
        <v>7.298187294269999</v>
      </c>
      <c r="AP200" s="173">
        <f t="shared" si="230"/>
        <v>39.419028669269998</v>
      </c>
      <c r="AQ200" s="173">
        <f t="shared" si="231"/>
        <v>6.5639966342699996</v>
      </c>
      <c r="AS200" s="22" t="str">
        <f>+VLOOKUP(B200,'Country &amp; Code Abbreviation'!$B$3:$C$245,2,FALSE)</f>
        <v>SO</v>
      </c>
    </row>
    <row r="201" spans="2:46">
      <c r="B201" s="20" t="s">
        <v>271</v>
      </c>
      <c r="C201" s="20" t="s">
        <v>270</v>
      </c>
      <c r="D201" s="6" t="s">
        <v>350</v>
      </c>
      <c r="E201" s="11" t="str">
        <f>+VLOOKUP($B201,'[3]INT Web'!$B$5:$W$247,'[3]INT Web'!Q$1,FALSE)</f>
        <v>ZAR</v>
      </c>
      <c r="F201" s="22">
        <f>+VLOOKUP($B201,'[3]INT Web'!$B$5:$W$247,'[3]INT Web'!R$1,FALSE)</f>
        <v>1133.99</v>
      </c>
      <c r="G201" s="22">
        <f>+VLOOKUP($B201,'[3]INT Web'!$B$5:$W$247,'[3]INT Web'!S$1,FALSE)</f>
        <v>188.99</v>
      </c>
      <c r="H201" s="22">
        <f>+VLOOKUP($B201,'[3]INT Web'!$B$5:$W$247,'[3]INT Web'!T$1,FALSE)</f>
        <v>839.99</v>
      </c>
      <c r="I201" s="22">
        <f>+VLOOKUP($B201,'[3]INT Web'!$B$5:$W$247,'[3]INT Web'!U$1,FALSE)</f>
        <v>139.99</v>
      </c>
      <c r="J201" s="22">
        <f>+VLOOKUP($B201,'[3]INT Web'!$B$5:$W$247,'[3]INT Web'!V$1,FALSE)</f>
        <v>755.99</v>
      </c>
      <c r="K201" s="22">
        <f>+VLOOKUP($B201,'[3]INT Web'!$B$5:$W$247,'[3]INT Web'!W$1,FALSE)</f>
        <v>125.99</v>
      </c>
      <c r="L201" s="12">
        <f t="shared" si="210"/>
        <v>6.0002645642626593</v>
      </c>
      <c r="M201" s="12">
        <f t="shared" si="211"/>
        <v>1.3500250017858417</v>
      </c>
      <c r="N201" s="12">
        <f t="shared" si="212"/>
        <v>6.0003571683691685</v>
      </c>
      <c r="O201" s="12">
        <f t="shared" si="213"/>
        <v>6.0003968568934045</v>
      </c>
      <c r="P201" s="12">
        <f t="shared" si="214"/>
        <v>0.89999285663261652</v>
      </c>
      <c r="Q201" s="140" t="str">
        <f t="shared" si="232"/>
        <v>ZAR</v>
      </c>
      <c r="R201" s="104">
        <f>+VLOOKUP($B201,'Country-Level Tactics'!$B$5:$AL$248,'Country-Level Tactics'!AH$1,FALSE)</f>
        <v>1133.99</v>
      </c>
      <c r="S201" s="104">
        <f>+VLOOKUP($B201,'Country-Level Tactics'!$B$5:$AL$248,'Country-Level Tactics'!X$1,FALSE)</f>
        <v>188.99</v>
      </c>
      <c r="T201" s="104">
        <f>+VLOOKUP($B201,'Country-Level Tactics'!$B$5:$AL$248,'Country-Level Tactics'!AC$1,FALSE)</f>
        <v>839.99</v>
      </c>
      <c r="U201" s="104">
        <f>+VLOOKUP($B201,'Country-Level Tactics'!$B$5:$AL$248,'Country-Level Tactics'!T$1,FALSE)</f>
        <v>139.99</v>
      </c>
      <c r="V201" s="104">
        <f t="shared" si="208"/>
        <v>755.99</v>
      </c>
      <c r="W201" s="104">
        <f t="shared" si="209"/>
        <v>125.99</v>
      </c>
      <c r="X201" s="12">
        <f t="shared" si="215"/>
        <v>6.0002645642626593</v>
      </c>
      <c r="Y201" s="12">
        <f t="shared" si="216"/>
        <v>1.3500250017858417</v>
      </c>
      <c r="Z201" s="12">
        <f t="shared" si="217"/>
        <v>6.0003571683691685</v>
      </c>
      <c r="AA201" s="12">
        <f t="shared" si="218"/>
        <v>6.0003968568934045</v>
      </c>
      <c r="AB201" s="12">
        <f t="shared" si="219"/>
        <v>0.89999285663261652</v>
      </c>
      <c r="AD201" s="10">
        <f t="shared" si="220"/>
        <v>0</v>
      </c>
      <c r="AE201" s="10">
        <f t="shared" si="221"/>
        <v>0</v>
      </c>
      <c r="AF201" s="10">
        <f t="shared" si="222"/>
        <v>0</v>
      </c>
      <c r="AG201" s="10">
        <f t="shared" si="223"/>
        <v>0</v>
      </c>
      <c r="AH201" s="10">
        <f t="shared" si="224"/>
        <v>0</v>
      </c>
      <c r="AI201" s="10">
        <f t="shared" si="225"/>
        <v>0</v>
      </c>
      <c r="AK201" s="165">
        <v>6.1533917E-2</v>
      </c>
      <c r="AL201" s="173">
        <f t="shared" si="226"/>
        <v>69.778846538829995</v>
      </c>
      <c r="AM201" s="173">
        <f t="shared" si="227"/>
        <v>11.629294973830001</v>
      </c>
      <c r="AN201" s="173">
        <f t="shared" si="228"/>
        <v>51.68787494083</v>
      </c>
      <c r="AO201" s="173">
        <f t="shared" si="229"/>
        <v>8.6141330408300014</v>
      </c>
      <c r="AP201" s="173">
        <f t="shared" si="230"/>
        <v>46.519025912830003</v>
      </c>
      <c r="AQ201" s="173">
        <f t="shared" si="231"/>
        <v>7.7526582028300002</v>
      </c>
      <c r="AS201" s="22" t="str">
        <f>+VLOOKUP(B201,'Country &amp; Code Abbreviation'!$B$3:$C$245,2,FALSE)</f>
        <v>ZA</v>
      </c>
    </row>
    <row r="202" spans="2:46">
      <c r="B202" s="20" t="s">
        <v>272</v>
      </c>
      <c r="C202" s="20" t="s">
        <v>100</v>
      </c>
      <c r="E202" s="11" t="str">
        <f>+VLOOKUP($B202,'[3]INT Web'!$B$5:$W$247,'[3]INT Web'!Q$1,FALSE)</f>
        <v>GBP</v>
      </c>
      <c r="F202" s="22">
        <f>+VLOOKUP($B202,'[3]INT Web'!$B$5:$W$247,'[3]INT Web'!R$1,FALSE)</f>
        <v>89.99</v>
      </c>
      <c r="G202" s="22">
        <f>+VLOOKUP($B202,'[3]INT Web'!$B$5:$W$247,'[3]INT Web'!S$1,FALSE)</f>
        <v>12.99</v>
      </c>
      <c r="H202" s="22">
        <f>+VLOOKUP($B202,'[3]INT Web'!$B$5:$W$247,'[3]INT Web'!T$1,FALSE)</f>
        <v>69.989999999999995</v>
      </c>
      <c r="I202" s="22">
        <f>+VLOOKUP($B202,'[3]INT Web'!$B$5:$W$247,'[3]INT Web'!U$1,FALSE)</f>
        <v>9.99</v>
      </c>
      <c r="J202" s="22">
        <f>+VLOOKUP($B202,'[3]INT Web'!$B$5:$W$247,'[3]INT Web'!V$1,FALSE)</f>
        <v>59.99</v>
      </c>
      <c r="K202" s="22">
        <f>+VLOOKUP($B202,'[3]INT Web'!$B$5:$W$247,'[3]INT Web'!W$1,FALSE)</f>
        <v>8.99</v>
      </c>
      <c r="L202" s="12">
        <f t="shared" si="210"/>
        <v>6.9276366435719776</v>
      </c>
      <c r="M202" s="12">
        <f t="shared" si="211"/>
        <v>1.3003003003003002</v>
      </c>
      <c r="N202" s="12">
        <f t="shared" si="212"/>
        <v>7.0060060060060056</v>
      </c>
      <c r="O202" s="12">
        <f t="shared" si="213"/>
        <v>6.6729699666295881</v>
      </c>
      <c r="P202" s="12">
        <f t="shared" si="214"/>
        <v>0.89989989989989994</v>
      </c>
      <c r="Q202" s="140" t="str">
        <f t="shared" si="232"/>
        <v>GBP</v>
      </c>
      <c r="R202" s="104">
        <f>+VLOOKUP($B202,'Country-Level Tactics'!$B$5:$AL$248,'Country-Level Tactics'!AH$1,FALSE)</f>
        <v>89.99</v>
      </c>
      <c r="S202" s="104">
        <f>+VLOOKUP($B202,'Country-Level Tactics'!$B$5:$AL$248,'Country-Level Tactics'!X$1,FALSE)</f>
        <v>12.99</v>
      </c>
      <c r="T202" s="104">
        <f>+VLOOKUP($B202,'Country-Level Tactics'!$B$5:$AL$248,'Country-Level Tactics'!AC$1,FALSE)</f>
        <v>69.989999999999995</v>
      </c>
      <c r="U202" s="104">
        <f>+VLOOKUP($B202,'Country-Level Tactics'!$B$5:$AL$248,'Country-Level Tactics'!T$1,FALSE)</f>
        <v>9.99</v>
      </c>
      <c r="V202" s="104">
        <f t="shared" si="208"/>
        <v>59.99</v>
      </c>
      <c r="W202" s="104">
        <f t="shared" si="209"/>
        <v>8.99</v>
      </c>
      <c r="X202" s="12">
        <f t="shared" si="215"/>
        <v>6.9276366435719776</v>
      </c>
      <c r="Y202" s="12">
        <f t="shared" si="216"/>
        <v>1.3003003003003002</v>
      </c>
      <c r="Z202" s="12">
        <f t="shared" si="217"/>
        <v>7.0060060060060056</v>
      </c>
      <c r="AA202" s="12">
        <f t="shared" si="218"/>
        <v>6.6729699666295881</v>
      </c>
      <c r="AB202" s="12">
        <f t="shared" si="219"/>
        <v>0.89989989989989994</v>
      </c>
      <c r="AD202" s="10">
        <f t="shared" si="220"/>
        <v>0</v>
      </c>
      <c r="AE202" s="10">
        <f t="shared" si="221"/>
        <v>0</v>
      </c>
      <c r="AF202" s="10">
        <f t="shared" si="222"/>
        <v>0</v>
      </c>
      <c r="AG202" s="10">
        <f t="shared" si="223"/>
        <v>0</v>
      </c>
      <c r="AH202" s="10">
        <f t="shared" si="224"/>
        <v>0</v>
      </c>
      <c r="AI202" s="10">
        <f t="shared" si="225"/>
        <v>0</v>
      </c>
      <c r="AK202" s="165">
        <v>1.33565</v>
      </c>
      <c r="AL202" s="173">
        <f t="shared" si="226"/>
        <v>120.1951435</v>
      </c>
      <c r="AM202" s="173">
        <f t="shared" si="227"/>
        <v>17.3500935</v>
      </c>
      <c r="AN202" s="173">
        <f t="shared" si="228"/>
        <v>93.482143499999992</v>
      </c>
      <c r="AO202" s="173">
        <f t="shared" si="229"/>
        <v>13.3431435</v>
      </c>
      <c r="AP202" s="173">
        <f t="shared" si="230"/>
        <v>80.12564350000001</v>
      </c>
      <c r="AQ202" s="173">
        <f t="shared" si="231"/>
        <v>12.007493500000001</v>
      </c>
      <c r="AS202" s="22" t="str">
        <f>+VLOOKUP(B202,'Country &amp; Code Abbreviation'!$B$3:$C$245,2,FALSE)</f>
        <v>GS</v>
      </c>
    </row>
    <row r="203" spans="2:46">
      <c r="B203" s="20" t="s">
        <v>273</v>
      </c>
      <c r="C203" s="20" t="s">
        <v>182</v>
      </c>
      <c r="D203" s="6" t="s">
        <v>348</v>
      </c>
      <c r="E203" s="11" t="str">
        <f>+VLOOKUP($B203,'[3]INT Web'!$B$5:$W$247,'[3]INT Web'!Q$1,FALSE)</f>
        <v>KRW</v>
      </c>
      <c r="F203" s="136">
        <f>+VLOOKUP($B203,'[3]INT Web'!$B$5:$W$247,'[3]INT Web'!R$1,FALSE)</f>
        <v>189990</v>
      </c>
      <c r="G203" s="136">
        <f>+VLOOKUP($B203,'[3]INT Web'!$B$5:$W$247,'[3]INT Web'!S$1,FALSE)</f>
        <v>29990</v>
      </c>
      <c r="H203" s="136">
        <f>+VLOOKUP($B203,'[3]INT Web'!$B$5:$W$247,'[3]INT Web'!T$1,FALSE)</f>
        <v>129990</v>
      </c>
      <c r="I203" s="136">
        <f>+VLOOKUP($B203,'[3]INT Web'!$B$5:$W$247,'[3]INT Web'!U$1,FALSE)</f>
        <v>20000</v>
      </c>
      <c r="J203" s="136">
        <f>+VLOOKUP($B203,'[3]INT Web'!$B$5:$W$247,'[3]INT Web'!V$1,FALSE)</f>
        <v>115000</v>
      </c>
      <c r="K203" s="136">
        <f>+VLOOKUP($B203,'[3]INT Web'!$B$5:$W$247,'[3]INT Web'!W$1,FALSE)</f>
        <v>18000</v>
      </c>
      <c r="L203" s="12">
        <f t="shared" si="210"/>
        <v>6.3351117039013003</v>
      </c>
      <c r="M203" s="12">
        <f t="shared" si="211"/>
        <v>1.4995000000000001</v>
      </c>
      <c r="N203" s="12">
        <f t="shared" si="212"/>
        <v>6.4995000000000003</v>
      </c>
      <c r="O203" s="12">
        <f t="shared" si="213"/>
        <v>6.3888888888888893</v>
      </c>
      <c r="P203" s="12">
        <f t="shared" si="214"/>
        <v>0.9</v>
      </c>
      <c r="Q203" s="143" t="str">
        <f t="shared" si="232"/>
        <v>KRW</v>
      </c>
      <c r="R203" s="137">
        <f>+VLOOKUP($B203,'Country-Level Tactics'!$B$5:$AL$248,'Country-Level Tactics'!AH$1,FALSE)</f>
        <v>189990</v>
      </c>
      <c r="S203" s="137">
        <f>+VLOOKUP($B203,'Country-Level Tactics'!$B$5:$AL$248,'Country-Level Tactics'!X$1,FALSE)</f>
        <v>29990</v>
      </c>
      <c r="T203" s="137">
        <f>+VLOOKUP($B203,'Country-Level Tactics'!$B$5:$AL$248,'Country-Level Tactics'!AC$1,FALSE)</f>
        <v>129990</v>
      </c>
      <c r="U203" s="137">
        <f>+VLOOKUP($B203,'Country-Level Tactics'!$B$5:$AL$248,'Country-Level Tactics'!T$1,FALSE)</f>
        <v>20000</v>
      </c>
      <c r="V203" s="104">
        <f t="shared" si="208"/>
        <v>115000</v>
      </c>
      <c r="W203" s="104">
        <f t="shared" si="209"/>
        <v>18000</v>
      </c>
      <c r="X203" s="12">
        <f t="shared" si="215"/>
        <v>6.3351117039013003</v>
      </c>
      <c r="Y203" s="12">
        <f t="shared" si="216"/>
        <v>1.4995000000000001</v>
      </c>
      <c r="Z203" s="12">
        <f t="shared" si="217"/>
        <v>6.4995000000000003</v>
      </c>
      <c r="AA203" s="12">
        <f t="shared" si="218"/>
        <v>6.3888888888888893</v>
      </c>
      <c r="AB203" s="12">
        <f t="shared" si="219"/>
        <v>0.9</v>
      </c>
      <c r="AD203" s="10">
        <f t="shared" si="220"/>
        <v>0</v>
      </c>
      <c r="AE203" s="10">
        <f t="shared" si="221"/>
        <v>0</v>
      </c>
      <c r="AF203" s="10">
        <f t="shared" si="222"/>
        <v>0</v>
      </c>
      <c r="AG203" s="10">
        <f t="shared" si="223"/>
        <v>0</v>
      </c>
      <c r="AH203" s="10">
        <f t="shared" si="224"/>
        <v>0</v>
      </c>
      <c r="AI203" s="10">
        <f t="shared" si="225"/>
        <v>0</v>
      </c>
      <c r="AK203" s="165">
        <v>6.5280543999999999E-4</v>
      </c>
      <c r="AL203" s="173">
        <f t="shared" si="226"/>
        <v>124.0265055456</v>
      </c>
      <c r="AM203" s="173">
        <f t="shared" si="227"/>
        <v>19.577635145599999</v>
      </c>
      <c r="AN203" s="173">
        <f t="shared" si="228"/>
        <v>84.858179145600005</v>
      </c>
      <c r="AO203" s="173">
        <f t="shared" si="229"/>
        <v>13.056108800000001</v>
      </c>
      <c r="AP203" s="173">
        <f t="shared" si="230"/>
        <v>75.072625599999995</v>
      </c>
      <c r="AQ203" s="173">
        <f t="shared" si="231"/>
        <v>11.750497919999999</v>
      </c>
      <c r="AS203" s="22" t="str">
        <f>+VLOOKUP(B203,'Country &amp; Code Abbreviation'!$B$3:$C$245,2,FALSE)</f>
        <v>KR</v>
      </c>
    </row>
    <row r="204" spans="2:46">
      <c r="B204" s="20" t="s">
        <v>274</v>
      </c>
      <c r="C204" s="20" t="s">
        <v>275</v>
      </c>
      <c r="E204" s="11" t="str">
        <f>+VLOOKUP($B204,'[3]INT Web'!$B$5:$W$247,'[3]INT Web'!Q$1,FALSE)</f>
        <v>USD</v>
      </c>
      <c r="F204" s="22">
        <f>+VLOOKUP($B204,'[3]INT Web'!$B$5:$W$247,'[3]INT Web'!R$1,FALSE)</f>
        <v>71.989999999999995</v>
      </c>
      <c r="G204" s="22">
        <f>+VLOOKUP($B204,'[3]INT Web'!$B$5:$W$247,'[3]INT Web'!S$1,FALSE)</f>
        <v>11.99</v>
      </c>
      <c r="H204" s="22">
        <f>+VLOOKUP($B204,'[3]INT Web'!$B$5:$W$247,'[3]INT Web'!T$1,FALSE)</f>
        <v>53.99</v>
      </c>
      <c r="I204" s="22">
        <f>+VLOOKUP($B204,'[3]INT Web'!$B$5:$W$247,'[3]INT Web'!U$1,FALSE)</f>
        <v>8.99</v>
      </c>
      <c r="J204" s="22">
        <f>+VLOOKUP($B204,'[3]INT Web'!$B$5:$W$247,'[3]INT Web'!V$1,FALSE)</f>
        <v>47.99</v>
      </c>
      <c r="K204" s="22">
        <f>+VLOOKUP($B204,'[3]INT Web'!$B$5:$W$247,'[3]INT Web'!W$1,FALSE)</f>
        <v>7.99</v>
      </c>
      <c r="L204" s="12">
        <f t="shared" si="210"/>
        <v>6.0041701417848206</v>
      </c>
      <c r="M204" s="12">
        <f t="shared" si="211"/>
        <v>1.3337041156840934</v>
      </c>
      <c r="N204" s="12">
        <f t="shared" si="212"/>
        <v>6.0055617352614012</v>
      </c>
      <c r="O204" s="12">
        <f t="shared" si="213"/>
        <v>6.0062578222778473</v>
      </c>
      <c r="P204" s="12">
        <f t="shared" si="214"/>
        <v>0.88876529477196886</v>
      </c>
      <c r="Q204" s="140" t="str">
        <f t="shared" si="232"/>
        <v>USD</v>
      </c>
      <c r="R204" s="104">
        <f>+VLOOKUP($B204,'Country-Level Tactics'!$B$5:$AL$248,'Country-Level Tactics'!AH$1,FALSE)</f>
        <v>71.989999999999995</v>
      </c>
      <c r="S204" s="104">
        <f>+VLOOKUP($B204,'Country-Level Tactics'!$B$5:$AL$248,'Country-Level Tactics'!X$1,FALSE)</f>
        <v>11.99</v>
      </c>
      <c r="T204" s="104">
        <f>+VLOOKUP($B204,'Country-Level Tactics'!$B$5:$AL$248,'Country-Level Tactics'!AC$1,FALSE)</f>
        <v>53.99</v>
      </c>
      <c r="U204" s="104">
        <f>+VLOOKUP($B204,'Country-Level Tactics'!$B$5:$AL$248,'Country-Level Tactics'!T$1,FALSE)</f>
        <v>8.99</v>
      </c>
      <c r="V204" s="104">
        <f t="shared" si="208"/>
        <v>47.99</v>
      </c>
      <c r="W204" s="104">
        <f t="shared" si="209"/>
        <v>7.99</v>
      </c>
      <c r="X204" s="12">
        <f t="shared" si="215"/>
        <v>6.0041701417848206</v>
      </c>
      <c r="Y204" s="12">
        <f t="shared" si="216"/>
        <v>1.3337041156840934</v>
      </c>
      <c r="Z204" s="12">
        <f t="shared" si="217"/>
        <v>6.0055617352614012</v>
      </c>
      <c r="AA204" s="12">
        <f t="shared" si="218"/>
        <v>6.0062578222778473</v>
      </c>
      <c r="AB204" s="12">
        <f t="shared" si="219"/>
        <v>0.88876529477196886</v>
      </c>
      <c r="AD204" s="10">
        <f t="shared" si="220"/>
        <v>0</v>
      </c>
      <c r="AE204" s="10">
        <f t="shared" si="221"/>
        <v>0</v>
      </c>
      <c r="AF204" s="10">
        <f t="shared" si="222"/>
        <v>0</v>
      </c>
      <c r="AG204" s="10">
        <f t="shared" si="223"/>
        <v>0</v>
      </c>
      <c r="AH204" s="10">
        <f t="shared" si="224"/>
        <v>0</v>
      </c>
      <c r="AI204" s="10">
        <f t="shared" si="225"/>
        <v>0</v>
      </c>
      <c r="AK204" s="165">
        <v>1</v>
      </c>
      <c r="AL204" s="173">
        <f t="shared" si="226"/>
        <v>71.989999999999995</v>
      </c>
      <c r="AM204" s="173">
        <f t="shared" si="227"/>
        <v>11.99</v>
      </c>
      <c r="AN204" s="173">
        <f t="shared" si="228"/>
        <v>53.99</v>
      </c>
      <c r="AO204" s="173">
        <f t="shared" si="229"/>
        <v>8.99</v>
      </c>
      <c r="AP204" s="173">
        <f t="shared" si="230"/>
        <v>47.99</v>
      </c>
      <c r="AQ204" s="173">
        <f t="shared" si="231"/>
        <v>7.99</v>
      </c>
      <c r="AS204" s="22" t="str">
        <f>+VLOOKUP(B204,'Country &amp; Code Abbreviation'!$B$3:$C$245,2,FALSE)</f>
        <v>SS</v>
      </c>
    </row>
    <row r="205" spans="2:46">
      <c r="B205" s="199" t="s">
        <v>276</v>
      </c>
      <c r="C205" s="199" t="s">
        <v>100</v>
      </c>
      <c r="D205" s="6" t="s">
        <v>347</v>
      </c>
      <c r="E205" s="11" t="str">
        <f>+VLOOKUP($B205,'[3]INT Web'!$B$5:$W$247,'[3]INT Web'!Q$1,FALSE)</f>
        <v>EUR</v>
      </c>
      <c r="F205" s="22">
        <f>+VLOOKUP($B205,'[3]INT Web'!$B$5:$W$247,'[3]INT Web'!R$1,FALSE)</f>
        <v>139.99</v>
      </c>
      <c r="G205" s="22">
        <f>+VLOOKUP($B205,'[3]INT Web'!$B$5:$W$247,'[3]INT Web'!S$1,FALSE)</f>
        <v>19.989999999999998</v>
      </c>
      <c r="H205" s="22">
        <f>+VLOOKUP($B205,'[3]INT Web'!$B$5:$W$247,'[3]INT Web'!T$1,FALSE)</f>
        <v>109.99</v>
      </c>
      <c r="I205" s="22">
        <f>+VLOOKUP($B205,'[3]INT Web'!$B$5:$W$247,'[3]INT Web'!U$1,FALSE)</f>
        <v>15.99</v>
      </c>
      <c r="J205" s="22">
        <f>+VLOOKUP($B205,'[3]INT Web'!$B$5:$W$247,'[3]INT Web'!V$1,FALSE)</f>
        <v>94.99</v>
      </c>
      <c r="K205" s="22">
        <f>+VLOOKUP($B205,'[3]INT Web'!$B$5:$W$247,'[3]INT Web'!W$1,FALSE)</f>
        <v>13.99</v>
      </c>
      <c r="L205" s="12">
        <f t="shared" si="210"/>
        <v>7.0030015007503765</v>
      </c>
      <c r="M205" s="12">
        <f t="shared" si="211"/>
        <v>1.2501563477173232</v>
      </c>
      <c r="N205" s="12">
        <f t="shared" si="212"/>
        <v>6.8786741713570976</v>
      </c>
      <c r="O205" s="12">
        <f t="shared" si="213"/>
        <v>6.7898498927805573</v>
      </c>
      <c r="P205" s="12">
        <f t="shared" si="214"/>
        <v>0.87492182614133829</v>
      </c>
      <c r="Q205" s="140" t="str">
        <f t="shared" si="232"/>
        <v>EUR</v>
      </c>
      <c r="R205" s="104">
        <f>+VLOOKUP($B205,'Country-Level Tactics'!$B$5:$AL$248,'Country-Level Tactics'!AH$1,FALSE)</f>
        <v>139.99</v>
      </c>
      <c r="S205" s="104">
        <f>+VLOOKUP($B205,'Country-Level Tactics'!$B$5:$AL$248,'Country-Level Tactics'!X$1,FALSE)</f>
        <v>19.989999999999998</v>
      </c>
      <c r="T205" s="104">
        <f>+VLOOKUP($B205,'Country-Level Tactics'!$B$5:$AL$248,'Country-Level Tactics'!AC$1,FALSE)</f>
        <v>109.99</v>
      </c>
      <c r="U205" s="104">
        <f>+VLOOKUP($B205,'Country-Level Tactics'!$B$5:$AL$248,'Country-Level Tactics'!T$1,FALSE)</f>
        <v>15.99</v>
      </c>
      <c r="V205" s="104">
        <f t="shared" si="208"/>
        <v>94.99</v>
      </c>
      <c r="W205" s="104">
        <f t="shared" si="209"/>
        <v>13.99</v>
      </c>
      <c r="X205" s="12">
        <f t="shared" si="215"/>
        <v>7.0030015007503765</v>
      </c>
      <c r="Y205" s="12">
        <f t="shared" si="216"/>
        <v>1.2501563477173232</v>
      </c>
      <c r="Z205" s="12">
        <f t="shared" si="217"/>
        <v>6.8786741713570976</v>
      </c>
      <c r="AA205" s="12">
        <f t="shared" si="218"/>
        <v>6.7898498927805573</v>
      </c>
      <c r="AB205" s="12">
        <f t="shared" si="219"/>
        <v>0.87492182614133829</v>
      </c>
      <c r="AD205" s="10">
        <f t="shared" si="220"/>
        <v>0</v>
      </c>
      <c r="AE205" s="10">
        <f t="shared" si="221"/>
        <v>0</v>
      </c>
      <c r="AF205" s="10">
        <f t="shared" si="222"/>
        <v>0</v>
      </c>
      <c r="AG205" s="10">
        <f t="shared" si="223"/>
        <v>0</v>
      </c>
      <c r="AH205" s="10">
        <f t="shared" si="224"/>
        <v>0</v>
      </c>
      <c r="AI205" s="10">
        <f t="shared" si="225"/>
        <v>0</v>
      </c>
      <c r="AK205" s="165">
        <v>1.14175</v>
      </c>
      <c r="AL205" s="173">
        <f t="shared" si="226"/>
        <v>159.83358250000001</v>
      </c>
      <c r="AM205" s="173">
        <f t="shared" si="227"/>
        <v>22.823582500000001</v>
      </c>
      <c r="AN205" s="173">
        <f t="shared" si="228"/>
        <v>125.58108249999999</v>
      </c>
      <c r="AO205" s="173">
        <f t="shared" si="229"/>
        <v>18.2565825</v>
      </c>
      <c r="AP205" s="173">
        <f t="shared" si="230"/>
        <v>108.45483249999999</v>
      </c>
      <c r="AQ205" s="173">
        <f t="shared" si="231"/>
        <v>15.9730825</v>
      </c>
      <c r="AS205" s="22" t="str">
        <f>+VLOOKUP(B205,'Country &amp; Code Abbreviation'!$B$3:$C$245,2,FALSE)</f>
        <v>ES</v>
      </c>
    </row>
    <row r="206" spans="2:46">
      <c r="B206" s="20" t="s">
        <v>277</v>
      </c>
      <c r="C206" s="20" t="s">
        <v>182</v>
      </c>
      <c r="E206" s="11" t="str">
        <f>+VLOOKUP($B206,'[3]INT Web'!$B$5:$W$247,'[3]INT Web'!Q$1,FALSE)</f>
        <v>LKR</v>
      </c>
      <c r="F206" s="22">
        <f>+VLOOKUP($B206,'[3]INT Web'!$B$5:$W$247,'[3]INT Web'!R$1,FALSE)</f>
        <v>15420</v>
      </c>
      <c r="G206" s="22">
        <f>+VLOOKUP($B206,'[3]INT Web'!$B$5:$W$247,'[3]INT Web'!S$1,FALSE)</f>
        <v>2570</v>
      </c>
      <c r="H206" s="22">
        <f>+VLOOKUP($B206,'[3]INT Web'!$B$5:$W$247,'[3]INT Web'!T$1,FALSE)</f>
        <v>11400</v>
      </c>
      <c r="I206" s="22">
        <f>+VLOOKUP($B206,'[3]INT Web'!$B$5:$W$247,'[3]INT Web'!U$1,FALSE)</f>
        <v>1900</v>
      </c>
      <c r="J206" s="22">
        <f>+VLOOKUP($B206,'[3]INT Web'!$B$5:$W$247,'[3]INT Web'!V$1,FALSE)</f>
        <v>10260</v>
      </c>
      <c r="K206" s="22">
        <f>+VLOOKUP($B206,'[3]INT Web'!$B$5:$W$247,'[3]INT Web'!W$1,FALSE)</f>
        <v>1710</v>
      </c>
      <c r="L206" s="12">
        <f t="shared" si="210"/>
        <v>6</v>
      </c>
      <c r="M206" s="12">
        <f t="shared" si="211"/>
        <v>1.3526315789473684</v>
      </c>
      <c r="N206" s="12">
        <f t="shared" si="212"/>
        <v>6</v>
      </c>
      <c r="O206" s="12">
        <f t="shared" si="213"/>
        <v>6</v>
      </c>
      <c r="P206" s="12">
        <f t="shared" si="214"/>
        <v>0.9</v>
      </c>
      <c r="Q206" s="140" t="str">
        <f t="shared" si="232"/>
        <v>LKR</v>
      </c>
      <c r="R206" s="104">
        <f>+VLOOKUP($B206,'Country-Level Tactics'!$B$5:$AL$248,'Country-Level Tactics'!AH$1,FALSE)</f>
        <v>15420</v>
      </c>
      <c r="S206" s="104">
        <f>+VLOOKUP($B206,'Country-Level Tactics'!$B$5:$AL$248,'Country-Level Tactics'!X$1,FALSE)</f>
        <v>2570</v>
      </c>
      <c r="T206" s="104">
        <f>+VLOOKUP($B206,'Country-Level Tactics'!$B$5:$AL$248,'Country-Level Tactics'!AC$1,FALSE)</f>
        <v>11400</v>
      </c>
      <c r="U206" s="104">
        <f>+VLOOKUP($B206,'Country-Level Tactics'!$B$5:$AL$248,'Country-Level Tactics'!T$1,FALSE)</f>
        <v>1900</v>
      </c>
      <c r="V206" s="104">
        <f t="shared" si="208"/>
        <v>10260</v>
      </c>
      <c r="W206" s="104">
        <f t="shared" si="209"/>
        <v>1710</v>
      </c>
      <c r="X206" s="12">
        <f t="shared" si="215"/>
        <v>6</v>
      </c>
      <c r="Y206" s="12">
        <f t="shared" si="216"/>
        <v>1.3526315789473684</v>
      </c>
      <c r="Z206" s="12">
        <f t="shared" si="217"/>
        <v>6</v>
      </c>
      <c r="AA206" s="12">
        <f t="shared" si="218"/>
        <v>6</v>
      </c>
      <c r="AB206" s="12">
        <f t="shared" si="219"/>
        <v>0.9</v>
      </c>
      <c r="AD206" s="10">
        <f t="shared" si="220"/>
        <v>0</v>
      </c>
      <c r="AE206" s="10">
        <f t="shared" si="221"/>
        <v>0</v>
      </c>
      <c r="AF206" s="10">
        <f t="shared" si="222"/>
        <v>0</v>
      </c>
      <c r="AG206" s="10">
        <f t="shared" si="223"/>
        <v>0</v>
      </c>
      <c r="AH206" s="10">
        <f t="shared" si="224"/>
        <v>0</v>
      </c>
      <c r="AI206" s="10">
        <f t="shared" si="225"/>
        <v>0</v>
      </c>
      <c r="AK206" s="165">
        <v>2.9855200000000002E-3</v>
      </c>
      <c r="AL206" s="173">
        <f t="shared" si="226"/>
        <v>46.036718400000005</v>
      </c>
      <c r="AM206" s="173">
        <f t="shared" si="227"/>
        <v>7.6727864000000006</v>
      </c>
      <c r="AN206" s="173">
        <f t="shared" si="228"/>
        <v>34.034928000000001</v>
      </c>
      <c r="AO206" s="173">
        <f t="shared" si="229"/>
        <v>5.6724880000000004</v>
      </c>
      <c r="AP206" s="173">
        <f t="shared" si="230"/>
        <v>30.631435200000002</v>
      </c>
      <c r="AQ206" s="173">
        <f t="shared" si="231"/>
        <v>5.1052392000000006</v>
      </c>
      <c r="AS206" s="22" t="str">
        <f>+VLOOKUP(B206,'Country &amp; Code Abbreviation'!$B$3:$C$245,2,FALSE)</f>
        <v>LK</v>
      </c>
    </row>
    <row r="207" spans="2:46">
      <c r="B207" s="20" t="s">
        <v>278</v>
      </c>
      <c r="C207" s="20" t="s">
        <v>96</v>
      </c>
      <c r="E207" s="11" t="str">
        <f>+VLOOKUP($B207,'[3]INT Web'!$B$5:$W$247,'[3]INT Web'!Q$1,FALSE)</f>
        <v>EUR</v>
      </c>
      <c r="F207" s="22">
        <f>+VLOOKUP($B207,'[3]INT Web'!$B$5:$W$247,'[3]INT Web'!R$1,FALSE)</f>
        <v>77.989999999999995</v>
      </c>
      <c r="G207" s="22">
        <f>+VLOOKUP($B207,'[3]INT Web'!$B$5:$W$247,'[3]INT Web'!S$1,FALSE)</f>
        <v>12.99</v>
      </c>
      <c r="H207" s="22">
        <f>+VLOOKUP($B207,'[3]INT Web'!$B$5:$W$247,'[3]INT Web'!T$1,FALSE)</f>
        <v>59.99</v>
      </c>
      <c r="I207" s="22">
        <f>+VLOOKUP($B207,'[3]INT Web'!$B$5:$W$247,'[3]INT Web'!U$1,FALSE)</f>
        <v>9.99</v>
      </c>
      <c r="J207" s="22">
        <f>+VLOOKUP($B207,'[3]INT Web'!$B$5:$W$247,'[3]INT Web'!V$1,FALSE)</f>
        <v>53.99</v>
      </c>
      <c r="K207" s="22">
        <f>+VLOOKUP($B207,'[3]INT Web'!$B$5:$W$247,'[3]INT Web'!W$1,FALSE)</f>
        <v>8.99</v>
      </c>
      <c r="L207" s="12">
        <f t="shared" si="210"/>
        <v>6.0038491147036179</v>
      </c>
      <c r="M207" s="12">
        <f t="shared" si="211"/>
        <v>1.3003003003003002</v>
      </c>
      <c r="N207" s="12">
        <f t="shared" si="212"/>
        <v>6.005005005005005</v>
      </c>
      <c r="O207" s="12">
        <f t="shared" si="213"/>
        <v>6.0055617352614012</v>
      </c>
      <c r="P207" s="12">
        <f t="shared" si="214"/>
        <v>0.89989989989989994</v>
      </c>
      <c r="Q207" s="140" t="str">
        <f t="shared" si="232"/>
        <v>EUR</v>
      </c>
      <c r="R207" s="104">
        <f>+VLOOKUP($B207,'Country-Level Tactics'!$B$5:$AL$248,'Country-Level Tactics'!AH$1,FALSE)</f>
        <v>77.989999999999995</v>
      </c>
      <c r="S207" s="104">
        <f>+VLOOKUP($B207,'Country-Level Tactics'!$B$5:$AL$248,'Country-Level Tactics'!X$1,FALSE)</f>
        <v>12.99</v>
      </c>
      <c r="T207" s="104">
        <f>+VLOOKUP($B207,'Country-Level Tactics'!$B$5:$AL$248,'Country-Level Tactics'!AC$1,FALSE)</f>
        <v>59.99</v>
      </c>
      <c r="U207" s="104">
        <f>+VLOOKUP($B207,'Country-Level Tactics'!$B$5:$AL$248,'Country-Level Tactics'!T$1,FALSE)</f>
        <v>9.99</v>
      </c>
      <c r="V207" s="104">
        <f t="shared" si="208"/>
        <v>53.99</v>
      </c>
      <c r="W207" s="104">
        <f t="shared" si="209"/>
        <v>8.99</v>
      </c>
      <c r="X207" s="12">
        <f t="shared" si="215"/>
        <v>6.0038491147036179</v>
      </c>
      <c r="Y207" s="12">
        <f t="shared" si="216"/>
        <v>1.3003003003003002</v>
      </c>
      <c r="Z207" s="12">
        <f t="shared" si="217"/>
        <v>6.005005005005005</v>
      </c>
      <c r="AA207" s="12">
        <f t="shared" si="218"/>
        <v>6.0055617352614012</v>
      </c>
      <c r="AB207" s="12">
        <f t="shared" si="219"/>
        <v>0.89989989989989994</v>
      </c>
      <c r="AD207" s="10">
        <f t="shared" si="220"/>
        <v>0</v>
      </c>
      <c r="AE207" s="10">
        <f t="shared" si="221"/>
        <v>0</v>
      </c>
      <c r="AF207" s="10">
        <f t="shared" si="222"/>
        <v>0</v>
      </c>
      <c r="AG207" s="10">
        <f t="shared" si="223"/>
        <v>0</v>
      </c>
      <c r="AH207" s="10">
        <f t="shared" si="224"/>
        <v>0</v>
      </c>
      <c r="AI207" s="10">
        <f t="shared" si="225"/>
        <v>0</v>
      </c>
      <c r="AK207" s="165">
        <v>1.14175</v>
      </c>
      <c r="AL207" s="173">
        <f t="shared" si="226"/>
        <v>89.045082499999992</v>
      </c>
      <c r="AM207" s="173">
        <f t="shared" si="227"/>
        <v>14.8313325</v>
      </c>
      <c r="AN207" s="173">
        <f t="shared" si="228"/>
        <v>68.493582500000002</v>
      </c>
      <c r="AO207" s="173">
        <f t="shared" si="229"/>
        <v>11.4060825</v>
      </c>
      <c r="AP207" s="173">
        <f t="shared" si="230"/>
        <v>61.643082500000006</v>
      </c>
      <c r="AQ207" s="173">
        <f t="shared" si="231"/>
        <v>10.2643325</v>
      </c>
      <c r="AS207" s="22" t="str">
        <f>+VLOOKUP(B207,'Country &amp; Code Abbreviation'!$B$3:$C$245,2,FALSE)</f>
        <v>BL</v>
      </c>
    </row>
    <row r="208" spans="2:46">
      <c r="B208" s="20" t="s">
        <v>279</v>
      </c>
      <c r="C208" s="20" t="s">
        <v>270</v>
      </c>
      <c r="E208" s="11" t="str">
        <f>+VLOOKUP($B208,'[3]INT Web'!$B$5:$W$247,'[3]INT Web'!Q$1,FALSE)</f>
        <v>SHP</v>
      </c>
      <c r="F208" s="22">
        <f>+VLOOKUP($B208,'[3]INT Web'!$B$5:$W$247,'[3]INT Web'!R$1,FALSE)</f>
        <v>53.99</v>
      </c>
      <c r="G208" s="22">
        <f>+VLOOKUP($B208,'[3]INT Web'!$B$5:$W$247,'[3]INT Web'!S$1,FALSE)</f>
        <v>8.99</v>
      </c>
      <c r="H208" s="22">
        <f>+VLOOKUP($B208,'[3]INT Web'!$B$5:$W$247,'[3]INT Web'!T$1,FALSE)</f>
        <v>41.99</v>
      </c>
      <c r="I208" s="22">
        <f>+VLOOKUP($B208,'[3]INT Web'!$B$5:$W$247,'[3]INT Web'!U$1,FALSE)</f>
        <v>6.99</v>
      </c>
      <c r="J208" s="22">
        <f>+VLOOKUP($B208,'[3]INT Web'!$B$5:$W$247,'[3]INT Web'!V$1,FALSE)</f>
        <v>35.99</v>
      </c>
      <c r="K208" s="22">
        <f>+VLOOKUP($B208,'[3]INT Web'!$B$5:$W$247,'[3]INT Web'!W$1,FALSE)</f>
        <v>5.99</v>
      </c>
      <c r="L208" s="12">
        <f t="shared" si="210"/>
        <v>6.0055617352614012</v>
      </c>
      <c r="M208" s="12">
        <f t="shared" si="211"/>
        <v>1.2861230329041489</v>
      </c>
      <c r="N208" s="12">
        <f t="shared" si="212"/>
        <v>6.0071530758226039</v>
      </c>
      <c r="O208" s="12">
        <f t="shared" si="213"/>
        <v>6.0083472454090154</v>
      </c>
      <c r="P208" s="12">
        <f t="shared" si="214"/>
        <v>0.85693848354792557</v>
      </c>
      <c r="Q208" s="140" t="str">
        <f t="shared" si="232"/>
        <v>SHP</v>
      </c>
      <c r="R208" s="104">
        <f>+VLOOKUP($B208,'Country-Level Tactics'!$B$5:$AL$248,'Country-Level Tactics'!AH$1,FALSE)</f>
        <v>53.99</v>
      </c>
      <c r="S208" s="104">
        <f>+VLOOKUP($B208,'Country-Level Tactics'!$B$5:$AL$248,'Country-Level Tactics'!X$1,FALSE)</f>
        <v>8.99</v>
      </c>
      <c r="T208" s="104">
        <f>+VLOOKUP($B208,'Country-Level Tactics'!$B$5:$AL$248,'Country-Level Tactics'!AC$1,FALSE)</f>
        <v>41.99</v>
      </c>
      <c r="U208" s="104">
        <f>+VLOOKUP($B208,'Country-Level Tactics'!$B$5:$AL$248,'Country-Level Tactics'!T$1,FALSE)</f>
        <v>6.99</v>
      </c>
      <c r="V208" s="104">
        <f t="shared" si="208"/>
        <v>35.99</v>
      </c>
      <c r="W208" s="104">
        <f t="shared" si="209"/>
        <v>5.99</v>
      </c>
      <c r="X208" s="12">
        <f t="shared" si="215"/>
        <v>6.0055617352614012</v>
      </c>
      <c r="Y208" s="12">
        <f t="shared" si="216"/>
        <v>1.2861230329041489</v>
      </c>
      <c r="Z208" s="12">
        <f t="shared" si="217"/>
        <v>6.0071530758226039</v>
      </c>
      <c r="AA208" s="12">
        <f t="shared" si="218"/>
        <v>6.0083472454090154</v>
      </c>
      <c r="AB208" s="12">
        <f t="shared" si="219"/>
        <v>0.85693848354792557</v>
      </c>
      <c r="AD208" s="10">
        <f t="shared" si="220"/>
        <v>0</v>
      </c>
      <c r="AE208" s="10">
        <f t="shared" si="221"/>
        <v>0</v>
      </c>
      <c r="AF208" s="10">
        <f t="shared" si="222"/>
        <v>0</v>
      </c>
      <c r="AG208" s="10">
        <f t="shared" si="223"/>
        <v>0</v>
      </c>
      <c r="AH208" s="10">
        <f t="shared" si="224"/>
        <v>0</v>
      </c>
      <c r="AI208" s="10">
        <f t="shared" si="225"/>
        <v>0</v>
      </c>
      <c r="AK208" s="165">
        <v>1.3334999999999999</v>
      </c>
      <c r="AL208" s="173">
        <f t="shared" si="226"/>
        <v>71.995665000000002</v>
      </c>
      <c r="AM208" s="173">
        <f t="shared" si="227"/>
        <v>11.988164999999999</v>
      </c>
      <c r="AN208" s="173">
        <f t="shared" si="228"/>
        <v>55.993665</v>
      </c>
      <c r="AO208" s="173">
        <f t="shared" si="229"/>
        <v>9.3211649999999988</v>
      </c>
      <c r="AP208" s="173">
        <f t="shared" si="230"/>
        <v>47.992665000000002</v>
      </c>
      <c r="AQ208" s="173">
        <f t="shared" si="231"/>
        <v>7.9876649999999998</v>
      </c>
      <c r="AS208" s="22" t="str">
        <f>+VLOOKUP(B208,'Country &amp; Code Abbreviation'!$B$3:$C$245,2,FALSE)</f>
        <v>SH</v>
      </c>
    </row>
    <row r="209" spans="2:45">
      <c r="B209" s="20" t="s">
        <v>280</v>
      </c>
      <c r="C209" s="20" t="s">
        <v>96</v>
      </c>
      <c r="E209" s="11" t="str">
        <f>+VLOOKUP($B209,'[3]INT Web'!$B$5:$W$247,'[3]INT Web'!Q$1,FALSE)</f>
        <v>XCD</v>
      </c>
      <c r="F209" s="22">
        <f>+VLOOKUP($B209,'[3]INT Web'!$B$5:$W$247,'[3]INT Web'!R$1,FALSE)</f>
        <v>269.99</v>
      </c>
      <c r="G209" s="22">
        <f>+VLOOKUP($B209,'[3]INT Web'!$B$5:$W$247,'[3]INT Web'!S$1,FALSE)</f>
        <v>44.99</v>
      </c>
      <c r="H209" s="22">
        <f>+VLOOKUP($B209,'[3]INT Web'!$B$5:$W$247,'[3]INT Web'!T$1,FALSE)</f>
        <v>197.99</v>
      </c>
      <c r="I209" s="22">
        <f>+VLOOKUP($B209,'[3]INT Web'!$B$5:$W$247,'[3]INT Web'!U$1,FALSE)</f>
        <v>32.99</v>
      </c>
      <c r="J209" s="22">
        <f>+VLOOKUP($B209,'[3]INT Web'!$B$5:$W$247,'[3]INT Web'!V$1,FALSE)</f>
        <v>179.99</v>
      </c>
      <c r="K209" s="22">
        <f>+VLOOKUP($B209,'[3]INT Web'!$B$5:$W$247,'[3]INT Web'!W$1,FALSE)</f>
        <v>29.99</v>
      </c>
      <c r="L209" s="12">
        <f t="shared" si="210"/>
        <v>6.001111358079573</v>
      </c>
      <c r="M209" s="12">
        <f t="shared" si="211"/>
        <v>1.36374658987572</v>
      </c>
      <c r="N209" s="12">
        <f t="shared" si="212"/>
        <v>6.0015156107911487</v>
      </c>
      <c r="O209" s="12">
        <f t="shared" si="213"/>
        <v>6.0016672224074696</v>
      </c>
      <c r="P209" s="12">
        <f t="shared" si="214"/>
        <v>0.90906335253106996</v>
      </c>
      <c r="Q209" s="140" t="str">
        <f t="shared" si="232"/>
        <v>XCD</v>
      </c>
      <c r="R209" s="104">
        <f>+VLOOKUP($B209,'Country-Level Tactics'!$B$5:$AL$248,'Country-Level Tactics'!AH$1,FALSE)</f>
        <v>269.99</v>
      </c>
      <c r="S209" s="104">
        <f>+VLOOKUP($B209,'Country-Level Tactics'!$B$5:$AL$248,'Country-Level Tactics'!X$1,FALSE)</f>
        <v>44.99</v>
      </c>
      <c r="T209" s="104">
        <f>+VLOOKUP($B209,'Country-Level Tactics'!$B$5:$AL$248,'Country-Level Tactics'!AC$1,FALSE)</f>
        <v>197.99</v>
      </c>
      <c r="U209" s="104">
        <f>+VLOOKUP($B209,'Country-Level Tactics'!$B$5:$AL$248,'Country-Level Tactics'!T$1,FALSE)</f>
        <v>32.99</v>
      </c>
      <c r="V209" s="104">
        <f t="shared" si="208"/>
        <v>179.99</v>
      </c>
      <c r="W209" s="104">
        <f t="shared" si="209"/>
        <v>29.99</v>
      </c>
      <c r="X209" s="12">
        <f t="shared" si="215"/>
        <v>6.001111358079573</v>
      </c>
      <c r="Y209" s="12">
        <f t="shared" si="216"/>
        <v>1.36374658987572</v>
      </c>
      <c r="Z209" s="12">
        <f t="shared" si="217"/>
        <v>6.0015156107911487</v>
      </c>
      <c r="AA209" s="12">
        <f t="shared" si="218"/>
        <v>6.0016672224074696</v>
      </c>
      <c r="AB209" s="12">
        <f t="shared" si="219"/>
        <v>0.90906335253106996</v>
      </c>
      <c r="AD209" s="10">
        <f t="shared" si="220"/>
        <v>0</v>
      </c>
      <c r="AE209" s="10">
        <f t="shared" si="221"/>
        <v>0</v>
      </c>
      <c r="AF209" s="10">
        <f t="shared" si="222"/>
        <v>0</v>
      </c>
      <c r="AG209" s="10">
        <f t="shared" si="223"/>
        <v>0</v>
      </c>
      <c r="AH209" s="10">
        <f t="shared" si="224"/>
        <v>0</v>
      </c>
      <c r="AI209" s="10">
        <f t="shared" si="225"/>
        <v>0</v>
      </c>
      <c r="AK209" s="165">
        <v>0.37037036000000001</v>
      </c>
      <c r="AL209" s="173">
        <f t="shared" si="226"/>
        <v>99.9962934964</v>
      </c>
      <c r="AM209" s="173">
        <f t="shared" si="227"/>
        <v>16.662962496400002</v>
      </c>
      <c r="AN209" s="173">
        <f t="shared" si="228"/>
        <v>73.3296275764</v>
      </c>
      <c r="AO209" s="173">
        <f t="shared" si="229"/>
        <v>12.218518176400002</v>
      </c>
      <c r="AP209" s="173">
        <f t="shared" si="230"/>
        <v>66.662961096400011</v>
      </c>
      <c r="AQ209" s="173">
        <f t="shared" si="231"/>
        <v>11.107407096399999</v>
      </c>
      <c r="AS209" s="22" t="str">
        <f>+VLOOKUP(B209,'Country &amp; Code Abbreviation'!$B$3:$C$245,2,FALSE)</f>
        <v>KN</v>
      </c>
    </row>
    <row r="210" spans="2:45">
      <c r="B210" s="20" t="s">
        <v>281</v>
      </c>
      <c r="C210" s="20" t="s">
        <v>270</v>
      </c>
      <c r="E210" s="11" t="str">
        <f>+VLOOKUP($B210,'[3]INT Web'!$B$5:$W$247,'[3]INT Web'!Q$1,FALSE)</f>
        <v>XCD</v>
      </c>
      <c r="F210" s="22">
        <f>+VLOOKUP($B210,'[3]INT Web'!$B$5:$W$247,'[3]INT Web'!R$1,FALSE)</f>
        <v>239.99</v>
      </c>
      <c r="G210" s="22">
        <f>+VLOOKUP($B210,'[3]INT Web'!$B$5:$W$247,'[3]INT Web'!S$1,FALSE)</f>
        <v>39.99</v>
      </c>
      <c r="H210" s="22">
        <f>+VLOOKUP($B210,'[3]INT Web'!$B$5:$W$247,'[3]INT Web'!T$1,FALSE)</f>
        <v>179.99</v>
      </c>
      <c r="I210" s="22">
        <f>+VLOOKUP($B210,'[3]INT Web'!$B$5:$W$247,'[3]INT Web'!U$1,FALSE)</f>
        <v>29.99</v>
      </c>
      <c r="J210" s="22">
        <f>+VLOOKUP($B210,'[3]INT Web'!$B$5:$W$247,'[3]INT Web'!V$1,FALSE)</f>
        <v>161.99</v>
      </c>
      <c r="K210" s="22">
        <f>+VLOOKUP($B210,'[3]INT Web'!$B$5:$W$247,'[3]INT Web'!W$1,FALSE)</f>
        <v>26.99</v>
      </c>
      <c r="L210" s="12">
        <f t="shared" si="210"/>
        <v>6.0012503125781445</v>
      </c>
      <c r="M210" s="12">
        <f t="shared" si="211"/>
        <v>1.3334444814938313</v>
      </c>
      <c r="N210" s="12">
        <f t="shared" si="212"/>
        <v>6.0016672224074696</v>
      </c>
      <c r="O210" s="12">
        <f t="shared" si="213"/>
        <v>6.0018525379770296</v>
      </c>
      <c r="P210" s="12">
        <f t="shared" si="214"/>
        <v>0.89996665555185063</v>
      </c>
      <c r="Q210" s="140" t="str">
        <f t="shared" si="232"/>
        <v>XCD</v>
      </c>
      <c r="R210" s="104">
        <f>+VLOOKUP($B210,'Country-Level Tactics'!$B$5:$AL$248,'Country-Level Tactics'!AH$1,FALSE)</f>
        <v>239.99</v>
      </c>
      <c r="S210" s="104">
        <f>+VLOOKUP($B210,'Country-Level Tactics'!$B$5:$AL$248,'Country-Level Tactics'!X$1,FALSE)</f>
        <v>39.99</v>
      </c>
      <c r="T210" s="104">
        <f>+VLOOKUP($B210,'Country-Level Tactics'!$B$5:$AL$248,'Country-Level Tactics'!AC$1,FALSE)</f>
        <v>179.99</v>
      </c>
      <c r="U210" s="104">
        <f>+VLOOKUP($B210,'Country-Level Tactics'!$B$5:$AL$248,'Country-Level Tactics'!T$1,FALSE)</f>
        <v>29.99</v>
      </c>
      <c r="V210" s="104">
        <f t="shared" ref="V210:V228" si="233">+J210</f>
        <v>161.99</v>
      </c>
      <c r="W210" s="104">
        <f t="shared" ref="W210:W228" si="234">+K210</f>
        <v>26.99</v>
      </c>
      <c r="X210" s="12">
        <f t="shared" si="215"/>
        <v>6.0012503125781445</v>
      </c>
      <c r="Y210" s="12">
        <f t="shared" si="216"/>
        <v>1.3334444814938313</v>
      </c>
      <c r="Z210" s="12">
        <f t="shared" si="217"/>
        <v>6.0016672224074696</v>
      </c>
      <c r="AA210" s="12">
        <f t="shared" si="218"/>
        <v>6.0018525379770296</v>
      </c>
      <c r="AB210" s="12">
        <f t="shared" si="219"/>
        <v>0.89996665555185063</v>
      </c>
      <c r="AD210" s="10">
        <f t="shared" si="220"/>
        <v>0</v>
      </c>
      <c r="AE210" s="10">
        <f t="shared" si="221"/>
        <v>0</v>
      </c>
      <c r="AF210" s="10">
        <f t="shared" si="222"/>
        <v>0</v>
      </c>
      <c r="AG210" s="10">
        <f t="shared" si="223"/>
        <v>0</v>
      </c>
      <c r="AH210" s="10">
        <f t="shared" si="224"/>
        <v>0</v>
      </c>
      <c r="AI210" s="10">
        <f t="shared" si="225"/>
        <v>0</v>
      </c>
      <c r="AK210" s="165">
        <v>0.37037036000000001</v>
      </c>
      <c r="AL210" s="173">
        <f t="shared" si="226"/>
        <v>88.885182696400008</v>
      </c>
      <c r="AM210" s="173">
        <f t="shared" si="227"/>
        <v>14.811110696400002</v>
      </c>
      <c r="AN210" s="173">
        <f t="shared" si="228"/>
        <v>66.662961096400011</v>
      </c>
      <c r="AO210" s="173">
        <f t="shared" si="229"/>
        <v>11.107407096399999</v>
      </c>
      <c r="AP210" s="173">
        <f t="shared" si="230"/>
        <v>59.996294616400007</v>
      </c>
      <c r="AQ210" s="173">
        <f t="shared" si="231"/>
        <v>9.9962960164000005</v>
      </c>
      <c r="AS210" s="22" t="str">
        <f>+VLOOKUP(B210,'Country &amp; Code Abbreviation'!$B$3:$C$245,2,FALSE)</f>
        <v>LC</v>
      </c>
    </row>
    <row r="211" spans="2:45">
      <c r="B211" s="20" t="s">
        <v>282</v>
      </c>
      <c r="C211" s="20" t="s">
        <v>96</v>
      </c>
      <c r="E211" s="11" t="str">
        <f>+VLOOKUP($B211,'[3]INT Web'!$B$5:$W$247,'[3]INT Web'!Q$1,FALSE)</f>
        <v>EUR</v>
      </c>
      <c r="F211" s="22">
        <f>+VLOOKUP($B211,'[3]INT Web'!$B$5:$W$247,'[3]INT Web'!R$1,FALSE)</f>
        <v>77.989999999999995</v>
      </c>
      <c r="G211" s="22">
        <f>+VLOOKUP($B211,'[3]INT Web'!$B$5:$W$247,'[3]INT Web'!S$1,FALSE)</f>
        <v>12.99</v>
      </c>
      <c r="H211" s="22">
        <f>+VLOOKUP($B211,'[3]INT Web'!$B$5:$W$247,'[3]INT Web'!T$1,FALSE)</f>
        <v>59.99</v>
      </c>
      <c r="I211" s="22">
        <f>+VLOOKUP($B211,'[3]INT Web'!$B$5:$W$247,'[3]INT Web'!U$1,FALSE)</f>
        <v>9.99</v>
      </c>
      <c r="J211" s="22">
        <f>+VLOOKUP($B211,'[3]INT Web'!$B$5:$W$247,'[3]INT Web'!V$1,FALSE)</f>
        <v>53.99</v>
      </c>
      <c r="K211" s="22">
        <f>+VLOOKUP($B211,'[3]INT Web'!$B$5:$W$247,'[3]INT Web'!W$1,FALSE)</f>
        <v>8.99</v>
      </c>
      <c r="L211" s="12">
        <f t="shared" si="210"/>
        <v>6.0038491147036179</v>
      </c>
      <c r="M211" s="12">
        <f t="shared" si="211"/>
        <v>1.3003003003003002</v>
      </c>
      <c r="N211" s="12">
        <f t="shared" si="212"/>
        <v>6.005005005005005</v>
      </c>
      <c r="O211" s="12">
        <f t="shared" si="213"/>
        <v>6.0055617352614012</v>
      </c>
      <c r="P211" s="12">
        <f t="shared" si="214"/>
        <v>0.89989989989989994</v>
      </c>
      <c r="Q211" s="140" t="str">
        <f t="shared" si="232"/>
        <v>EUR</v>
      </c>
      <c r="R211" s="104">
        <f>+VLOOKUP($B211,'Country-Level Tactics'!$B$5:$AL$248,'Country-Level Tactics'!AH$1,FALSE)</f>
        <v>77.989999999999995</v>
      </c>
      <c r="S211" s="104">
        <f>+VLOOKUP($B211,'Country-Level Tactics'!$B$5:$AL$248,'Country-Level Tactics'!X$1,FALSE)</f>
        <v>12.99</v>
      </c>
      <c r="T211" s="104">
        <f>+VLOOKUP($B211,'Country-Level Tactics'!$B$5:$AL$248,'Country-Level Tactics'!AC$1,FALSE)</f>
        <v>59.99</v>
      </c>
      <c r="U211" s="104">
        <f>+VLOOKUP($B211,'Country-Level Tactics'!$B$5:$AL$248,'Country-Level Tactics'!T$1,FALSE)</f>
        <v>9.99</v>
      </c>
      <c r="V211" s="104">
        <f t="shared" si="233"/>
        <v>53.99</v>
      </c>
      <c r="W211" s="104">
        <f t="shared" si="234"/>
        <v>8.99</v>
      </c>
      <c r="X211" s="12">
        <f t="shared" si="215"/>
        <v>6.0038491147036179</v>
      </c>
      <c r="Y211" s="12">
        <f t="shared" si="216"/>
        <v>1.3003003003003002</v>
      </c>
      <c r="Z211" s="12">
        <f t="shared" si="217"/>
        <v>6.005005005005005</v>
      </c>
      <c r="AA211" s="12">
        <f t="shared" si="218"/>
        <v>6.0055617352614012</v>
      </c>
      <c r="AB211" s="12">
        <f t="shared" si="219"/>
        <v>0.89989989989989994</v>
      </c>
      <c r="AD211" s="10">
        <f t="shared" si="220"/>
        <v>0</v>
      </c>
      <c r="AE211" s="10">
        <f t="shared" si="221"/>
        <v>0</v>
      </c>
      <c r="AF211" s="10">
        <f t="shared" si="222"/>
        <v>0</v>
      </c>
      <c r="AG211" s="10">
        <f t="shared" si="223"/>
        <v>0</v>
      </c>
      <c r="AH211" s="10">
        <f t="shared" si="224"/>
        <v>0</v>
      </c>
      <c r="AI211" s="10">
        <f t="shared" si="225"/>
        <v>0</v>
      </c>
      <c r="AK211" s="165">
        <v>1.14175</v>
      </c>
      <c r="AL211" s="173">
        <f t="shared" si="226"/>
        <v>89.045082499999992</v>
      </c>
      <c r="AM211" s="173">
        <f t="shared" si="227"/>
        <v>14.8313325</v>
      </c>
      <c r="AN211" s="173">
        <f t="shared" si="228"/>
        <v>68.493582500000002</v>
      </c>
      <c r="AO211" s="173">
        <f t="shared" si="229"/>
        <v>11.4060825</v>
      </c>
      <c r="AP211" s="173">
        <f t="shared" si="230"/>
        <v>61.643082500000006</v>
      </c>
      <c r="AQ211" s="173">
        <f t="shared" si="231"/>
        <v>10.2643325</v>
      </c>
      <c r="AS211" s="22" t="str">
        <f>+VLOOKUP(B211,'Country &amp; Code Abbreviation'!$B$3:$C$245,2,FALSE)</f>
        <v>PM</v>
      </c>
    </row>
    <row r="212" spans="2:45">
      <c r="B212" s="20" t="s">
        <v>283</v>
      </c>
      <c r="C212" s="20" t="s">
        <v>96</v>
      </c>
      <c r="E212" s="11" t="str">
        <f>+VLOOKUP($B212,'[3]INT Web'!$B$5:$W$247,'[3]INT Web'!Q$1,FALSE)</f>
        <v>XCD</v>
      </c>
      <c r="F212" s="22">
        <f>+VLOOKUP($B212,'[3]INT Web'!$B$5:$W$247,'[3]INT Web'!R$1,FALSE)</f>
        <v>239.99</v>
      </c>
      <c r="G212" s="22">
        <f>+VLOOKUP($B212,'[3]INT Web'!$B$5:$W$247,'[3]INT Web'!S$1,FALSE)</f>
        <v>39.99</v>
      </c>
      <c r="H212" s="22">
        <f>+VLOOKUP($B212,'[3]INT Web'!$B$5:$W$247,'[3]INT Web'!T$1,FALSE)</f>
        <v>179.99</v>
      </c>
      <c r="I212" s="22">
        <f>+VLOOKUP($B212,'[3]INT Web'!$B$5:$W$247,'[3]INT Web'!U$1,FALSE)</f>
        <v>29.99</v>
      </c>
      <c r="J212" s="22">
        <f>+VLOOKUP($B212,'[3]INT Web'!$B$5:$W$247,'[3]INT Web'!V$1,FALSE)</f>
        <v>161.99</v>
      </c>
      <c r="K212" s="22">
        <f>+VLOOKUP($B212,'[3]INT Web'!$B$5:$W$247,'[3]INT Web'!W$1,FALSE)</f>
        <v>26.99</v>
      </c>
      <c r="L212" s="12">
        <f t="shared" si="210"/>
        <v>6.0012503125781445</v>
      </c>
      <c r="M212" s="12">
        <f t="shared" si="211"/>
        <v>1.3334444814938313</v>
      </c>
      <c r="N212" s="12">
        <f t="shared" si="212"/>
        <v>6.0016672224074696</v>
      </c>
      <c r="O212" s="12">
        <f t="shared" si="213"/>
        <v>6.0018525379770296</v>
      </c>
      <c r="P212" s="12">
        <f t="shared" si="214"/>
        <v>0.89996665555185063</v>
      </c>
      <c r="Q212" s="140" t="str">
        <f t="shared" si="232"/>
        <v>XCD</v>
      </c>
      <c r="R212" s="104">
        <f>+VLOOKUP($B212,'Country-Level Tactics'!$B$5:$AL$248,'Country-Level Tactics'!AH$1,FALSE)</f>
        <v>239.99</v>
      </c>
      <c r="S212" s="104">
        <f>+VLOOKUP($B212,'Country-Level Tactics'!$B$5:$AL$248,'Country-Level Tactics'!X$1,FALSE)</f>
        <v>39.99</v>
      </c>
      <c r="T212" s="104">
        <f>+VLOOKUP($B212,'Country-Level Tactics'!$B$5:$AL$248,'Country-Level Tactics'!AC$1,FALSE)</f>
        <v>179.99</v>
      </c>
      <c r="U212" s="104">
        <f>+VLOOKUP($B212,'Country-Level Tactics'!$B$5:$AL$248,'Country-Level Tactics'!T$1,FALSE)</f>
        <v>29.99</v>
      </c>
      <c r="V212" s="104">
        <f t="shared" si="233"/>
        <v>161.99</v>
      </c>
      <c r="W212" s="104">
        <f t="shared" si="234"/>
        <v>26.99</v>
      </c>
      <c r="X212" s="12">
        <f t="shared" si="215"/>
        <v>6.0012503125781445</v>
      </c>
      <c r="Y212" s="12">
        <f t="shared" si="216"/>
        <v>1.3334444814938313</v>
      </c>
      <c r="Z212" s="12">
        <f t="shared" si="217"/>
        <v>6.0016672224074696</v>
      </c>
      <c r="AA212" s="12">
        <f t="shared" si="218"/>
        <v>6.0018525379770296</v>
      </c>
      <c r="AB212" s="12">
        <f t="shared" si="219"/>
        <v>0.89996665555185063</v>
      </c>
      <c r="AD212" s="10">
        <f t="shared" si="220"/>
        <v>0</v>
      </c>
      <c r="AE212" s="10">
        <f t="shared" si="221"/>
        <v>0</v>
      </c>
      <c r="AF212" s="10">
        <f t="shared" si="222"/>
        <v>0</v>
      </c>
      <c r="AG212" s="10">
        <f t="shared" si="223"/>
        <v>0</v>
      </c>
      <c r="AH212" s="10">
        <f t="shared" si="224"/>
        <v>0</v>
      </c>
      <c r="AI212" s="10">
        <f t="shared" si="225"/>
        <v>0</v>
      </c>
      <c r="AK212" s="165">
        <v>0.37037036000000001</v>
      </c>
      <c r="AL212" s="173">
        <f t="shared" si="226"/>
        <v>88.885182696400008</v>
      </c>
      <c r="AM212" s="173">
        <f t="shared" si="227"/>
        <v>14.811110696400002</v>
      </c>
      <c r="AN212" s="173">
        <f t="shared" si="228"/>
        <v>66.662961096400011</v>
      </c>
      <c r="AO212" s="173">
        <f t="shared" si="229"/>
        <v>11.107407096399999</v>
      </c>
      <c r="AP212" s="173">
        <f t="shared" si="230"/>
        <v>59.996294616400007</v>
      </c>
      <c r="AQ212" s="173">
        <f t="shared" si="231"/>
        <v>9.9962960164000005</v>
      </c>
      <c r="AS212" s="22" t="str">
        <f>+VLOOKUP(B212,'Country &amp; Code Abbreviation'!$B$3:$C$245,2,FALSE)</f>
        <v>VC</v>
      </c>
    </row>
    <row r="213" spans="2:45">
      <c r="B213" s="20" t="s">
        <v>284</v>
      </c>
      <c r="C213" s="20" t="s">
        <v>270</v>
      </c>
      <c r="E213" s="11" t="str">
        <f>+VLOOKUP($B213,'[3]INT Web'!$B$5:$W$247,'[3]INT Web'!Q$1,FALSE)</f>
        <v>USD</v>
      </c>
      <c r="F213" s="22">
        <f>+VLOOKUP($B213,'[3]INT Web'!$B$5:$W$247,'[3]INT Web'!R$1,FALSE)</f>
        <v>84.99</v>
      </c>
      <c r="G213" s="22">
        <f>+VLOOKUP($B213,'[3]INT Web'!$B$5:$W$247,'[3]INT Web'!S$1,FALSE)</f>
        <v>13.99</v>
      </c>
      <c r="H213" s="22">
        <f>+VLOOKUP($B213,'[3]INT Web'!$B$5:$W$247,'[3]INT Web'!T$1,FALSE)</f>
        <v>59.99</v>
      </c>
      <c r="I213" s="22">
        <f>+VLOOKUP($B213,'[3]INT Web'!$B$5:$W$247,'[3]INT Web'!U$1,FALSE)</f>
        <v>9.99</v>
      </c>
      <c r="J213" s="22">
        <f>+VLOOKUP($B213,'[3]INT Web'!$B$5:$W$247,'[3]INT Web'!V$1,FALSE)</f>
        <v>54.99</v>
      </c>
      <c r="K213" s="22">
        <f>+VLOOKUP($B213,'[3]INT Web'!$B$5:$W$247,'[3]INT Web'!W$1,FALSE)</f>
        <v>8.99</v>
      </c>
      <c r="L213" s="12">
        <f t="shared" si="210"/>
        <v>6.0750536097212287</v>
      </c>
      <c r="M213" s="12">
        <f t="shared" si="211"/>
        <v>1.4004004004004005</v>
      </c>
      <c r="N213" s="12">
        <f t="shared" si="212"/>
        <v>6.005005005005005</v>
      </c>
      <c r="O213" s="12">
        <f t="shared" si="213"/>
        <v>6.1167964404894324</v>
      </c>
      <c r="P213" s="12">
        <f t="shared" si="214"/>
        <v>0.89989989989989994</v>
      </c>
      <c r="Q213" s="140" t="str">
        <f t="shared" si="232"/>
        <v>USD</v>
      </c>
      <c r="R213" s="104">
        <f>+VLOOKUP($B213,'Country-Level Tactics'!$B$5:$AL$248,'Country-Level Tactics'!AH$1,FALSE)</f>
        <v>84.99</v>
      </c>
      <c r="S213" s="104">
        <f>+VLOOKUP($B213,'Country-Level Tactics'!$B$5:$AL$248,'Country-Level Tactics'!X$1,FALSE)</f>
        <v>13.99</v>
      </c>
      <c r="T213" s="104">
        <f>+VLOOKUP($B213,'Country-Level Tactics'!$B$5:$AL$248,'Country-Level Tactics'!AC$1,FALSE)</f>
        <v>59.99</v>
      </c>
      <c r="U213" s="104">
        <f>+VLOOKUP($B213,'Country-Level Tactics'!$B$5:$AL$248,'Country-Level Tactics'!T$1,FALSE)</f>
        <v>9.99</v>
      </c>
      <c r="V213" s="104">
        <f t="shared" si="233"/>
        <v>54.99</v>
      </c>
      <c r="W213" s="104">
        <f t="shared" si="234"/>
        <v>8.99</v>
      </c>
      <c r="X213" s="12">
        <f t="shared" si="215"/>
        <v>6.0750536097212287</v>
      </c>
      <c r="Y213" s="12">
        <f t="shared" si="216"/>
        <v>1.4004004004004005</v>
      </c>
      <c r="Z213" s="12">
        <f t="shared" si="217"/>
        <v>6.005005005005005</v>
      </c>
      <c r="AA213" s="12">
        <f t="shared" si="218"/>
        <v>6.1167964404894324</v>
      </c>
      <c r="AB213" s="12">
        <f t="shared" si="219"/>
        <v>0.89989989989989994</v>
      </c>
      <c r="AD213" s="10">
        <f t="shared" si="220"/>
        <v>0</v>
      </c>
      <c r="AE213" s="10">
        <f t="shared" si="221"/>
        <v>0</v>
      </c>
      <c r="AF213" s="10">
        <f t="shared" si="222"/>
        <v>0</v>
      </c>
      <c r="AG213" s="10">
        <f t="shared" si="223"/>
        <v>0</v>
      </c>
      <c r="AH213" s="10">
        <f t="shared" si="224"/>
        <v>0</v>
      </c>
      <c r="AI213" s="10">
        <f t="shared" si="225"/>
        <v>0</v>
      </c>
      <c r="AK213" s="165">
        <v>1</v>
      </c>
      <c r="AL213" s="173">
        <f t="shared" si="226"/>
        <v>84.99</v>
      </c>
      <c r="AM213" s="173">
        <f t="shared" si="227"/>
        <v>13.99</v>
      </c>
      <c r="AN213" s="173">
        <f t="shared" si="228"/>
        <v>59.99</v>
      </c>
      <c r="AO213" s="173">
        <f t="shared" si="229"/>
        <v>9.99</v>
      </c>
      <c r="AP213" s="173">
        <f t="shared" si="230"/>
        <v>54.99</v>
      </c>
      <c r="AQ213" s="173">
        <f t="shared" si="231"/>
        <v>8.99</v>
      </c>
      <c r="AS213" s="22" t="str">
        <f>+VLOOKUP(B213,'Country &amp; Code Abbreviation'!$B$3:$C$245,2,FALSE)</f>
        <v>SD</v>
      </c>
    </row>
    <row r="214" spans="2:45">
      <c r="B214" s="20" t="s">
        <v>285</v>
      </c>
      <c r="C214" s="20" t="s">
        <v>96</v>
      </c>
      <c r="E214" s="11" t="str">
        <f>+VLOOKUP($B214,'[3]INT Web'!$B$5:$W$247,'[3]INT Web'!Q$1,FALSE)</f>
        <v>SRD</v>
      </c>
      <c r="F214" s="22">
        <f>+VLOOKUP($B214,'[3]INT Web'!$B$5:$W$247,'[3]INT Web'!R$1,FALSE)</f>
        <v>1860</v>
      </c>
      <c r="G214" s="22">
        <f>+VLOOKUP($B214,'[3]INT Web'!$B$5:$W$247,'[3]INT Web'!S$1,FALSE)</f>
        <v>310</v>
      </c>
      <c r="H214" s="22">
        <f>+VLOOKUP($B214,'[3]INT Web'!$B$5:$W$247,'[3]INT Web'!T$1,FALSE)</f>
        <v>1360</v>
      </c>
      <c r="I214" s="22">
        <f>+VLOOKUP($B214,'[3]INT Web'!$B$5:$W$247,'[3]INT Web'!U$1,FALSE)</f>
        <v>227</v>
      </c>
      <c r="J214" s="22">
        <f>+VLOOKUP($B214,'[3]INT Web'!$B$5:$W$247,'[3]INT Web'!V$1,FALSE)</f>
        <v>1200</v>
      </c>
      <c r="K214" s="22">
        <f>+VLOOKUP($B214,'[3]INT Web'!$B$5:$W$247,'[3]INT Web'!W$1,FALSE)</f>
        <v>200</v>
      </c>
      <c r="L214" s="12">
        <f t="shared" si="210"/>
        <v>6</v>
      </c>
      <c r="M214" s="12">
        <f t="shared" si="211"/>
        <v>1.3656387665198237</v>
      </c>
      <c r="N214" s="12">
        <f t="shared" si="212"/>
        <v>5.9911894273127757</v>
      </c>
      <c r="O214" s="12">
        <f t="shared" si="213"/>
        <v>6</v>
      </c>
      <c r="P214" s="12">
        <f t="shared" si="214"/>
        <v>0.88105726872246692</v>
      </c>
      <c r="Q214" s="140" t="str">
        <f t="shared" si="232"/>
        <v>SRD</v>
      </c>
      <c r="R214" s="104">
        <f>+VLOOKUP($B214,'Country-Level Tactics'!$B$5:$AL$248,'Country-Level Tactics'!AH$1,FALSE)</f>
        <v>1860</v>
      </c>
      <c r="S214" s="104">
        <f>+VLOOKUP($B214,'Country-Level Tactics'!$B$5:$AL$248,'Country-Level Tactics'!X$1,FALSE)</f>
        <v>310</v>
      </c>
      <c r="T214" s="104">
        <f>+VLOOKUP($B214,'Country-Level Tactics'!$B$5:$AL$248,'Country-Level Tactics'!AC$1,FALSE)</f>
        <v>1360</v>
      </c>
      <c r="U214" s="104">
        <f>+VLOOKUP($B214,'Country-Level Tactics'!$B$5:$AL$248,'Country-Level Tactics'!T$1,FALSE)</f>
        <v>227</v>
      </c>
      <c r="V214" s="104">
        <f t="shared" si="233"/>
        <v>1200</v>
      </c>
      <c r="W214" s="104">
        <f t="shared" si="234"/>
        <v>200</v>
      </c>
      <c r="X214" s="12">
        <f t="shared" si="215"/>
        <v>6</v>
      </c>
      <c r="Y214" s="12">
        <f t="shared" si="216"/>
        <v>1.3656387665198237</v>
      </c>
      <c r="Z214" s="12">
        <f t="shared" si="217"/>
        <v>5.9911894273127757</v>
      </c>
      <c r="AA214" s="12">
        <f t="shared" si="218"/>
        <v>6</v>
      </c>
      <c r="AB214" s="12">
        <f t="shared" si="219"/>
        <v>0.88105726872246692</v>
      </c>
      <c r="AD214" s="10">
        <f t="shared" si="220"/>
        <v>0</v>
      </c>
      <c r="AE214" s="10">
        <f t="shared" si="221"/>
        <v>0</v>
      </c>
      <c r="AF214" s="10">
        <f t="shared" si="222"/>
        <v>0</v>
      </c>
      <c r="AG214" s="10">
        <f t="shared" si="223"/>
        <v>0</v>
      </c>
      <c r="AH214" s="10">
        <f t="shared" si="224"/>
        <v>0</v>
      </c>
      <c r="AI214" s="10">
        <f t="shared" si="225"/>
        <v>0</v>
      </c>
      <c r="AK214" s="165">
        <v>2.6635415999999999E-2</v>
      </c>
      <c r="AL214" s="173">
        <f t="shared" si="226"/>
        <v>49.541873759999994</v>
      </c>
      <c r="AM214" s="173">
        <f t="shared" si="227"/>
        <v>8.2569789599999996</v>
      </c>
      <c r="AN214" s="173">
        <f t="shared" si="228"/>
        <v>36.224165759999998</v>
      </c>
      <c r="AO214" s="173">
        <f t="shared" si="229"/>
        <v>6.0462394319999992</v>
      </c>
      <c r="AP214" s="173">
        <f t="shared" si="230"/>
        <v>31.9624992</v>
      </c>
      <c r="AQ214" s="173">
        <f t="shared" si="231"/>
        <v>5.3270831999999997</v>
      </c>
      <c r="AS214" s="22" t="str">
        <f>+VLOOKUP(B214,'Country &amp; Code Abbreviation'!$B$3:$C$245,2,FALSE)</f>
        <v>SR</v>
      </c>
    </row>
    <row r="215" spans="2:45">
      <c r="B215" s="20" t="s">
        <v>286</v>
      </c>
      <c r="C215" s="20" t="s">
        <v>100</v>
      </c>
      <c r="E215" s="11" t="str">
        <f>+VLOOKUP($B215,'[3]INT Web'!$B$5:$W$247,'[3]INT Web'!Q$1,FALSE)</f>
        <v>NOK</v>
      </c>
      <c r="F215" s="22">
        <f>+VLOOKUP($B215,'[3]INT Web'!$B$5:$W$247,'[3]INT Web'!R$1,FALSE)</f>
        <v>1399.99</v>
      </c>
      <c r="G215" s="22">
        <f>+VLOOKUP($B215,'[3]INT Web'!$B$5:$W$247,'[3]INT Web'!S$1,FALSE)</f>
        <v>199.99</v>
      </c>
      <c r="H215" s="22">
        <f>+VLOOKUP($B215,'[3]INT Web'!$B$5:$W$247,'[3]INT Web'!T$1,FALSE)</f>
        <v>899.99</v>
      </c>
      <c r="I215" s="22">
        <f>+VLOOKUP($B215,'[3]INT Web'!$B$5:$W$247,'[3]INT Web'!U$1,FALSE)</f>
        <v>149.99</v>
      </c>
      <c r="J215" s="22">
        <f>+VLOOKUP($B215,'[3]INT Web'!$B$5:$W$247,'[3]INT Web'!V$1,FALSE)</f>
        <v>839.99</v>
      </c>
      <c r="K215" s="22">
        <f>+VLOOKUP($B215,'[3]INT Web'!$B$5:$W$247,'[3]INT Web'!W$1,FALSE)</f>
        <v>139.99</v>
      </c>
      <c r="L215" s="12">
        <f t="shared" si="210"/>
        <v>7.0003000150007502</v>
      </c>
      <c r="M215" s="12">
        <f t="shared" si="211"/>
        <v>1.3333555570371358</v>
      </c>
      <c r="N215" s="12">
        <f t="shared" si="212"/>
        <v>6.0003333555570366</v>
      </c>
      <c r="O215" s="12">
        <f t="shared" si="213"/>
        <v>6.0003571683691685</v>
      </c>
      <c r="P215" s="12">
        <f t="shared" si="214"/>
        <v>0.93332888859257279</v>
      </c>
      <c r="Q215" s="140" t="str">
        <f t="shared" si="232"/>
        <v>NOK</v>
      </c>
      <c r="R215" s="104">
        <f>+VLOOKUP($B215,'Country-Level Tactics'!$B$5:$AL$248,'Country-Level Tactics'!AH$1,FALSE)</f>
        <v>1399.99</v>
      </c>
      <c r="S215" s="104">
        <f>+VLOOKUP($B215,'Country-Level Tactics'!$B$5:$AL$248,'Country-Level Tactics'!X$1,FALSE)</f>
        <v>199.99</v>
      </c>
      <c r="T215" s="104">
        <f>+VLOOKUP($B215,'Country-Level Tactics'!$B$5:$AL$248,'Country-Level Tactics'!AC$1,FALSE)</f>
        <v>899.99</v>
      </c>
      <c r="U215" s="104">
        <f>+VLOOKUP($B215,'Country-Level Tactics'!$B$5:$AL$248,'Country-Level Tactics'!T$1,FALSE)</f>
        <v>149.99</v>
      </c>
      <c r="V215" s="104">
        <f t="shared" si="233"/>
        <v>839.99</v>
      </c>
      <c r="W215" s="104">
        <f t="shared" si="234"/>
        <v>139.99</v>
      </c>
      <c r="X215" s="12">
        <f t="shared" si="215"/>
        <v>7.0003000150007502</v>
      </c>
      <c r="Y215" s="12">
        <f t="shared" si="216"/>
        <v>1.3333555570371358</v>
      </c>
      <c r="Z215" s="12">
        <f t="shared" si="217"/>
        <v>6.0003333555570366</v>
      </c>
      <c r="AA215" s="12">
        <f t="shared" si="218"/>
        <v>6.0003571683691685</v>
      </c>
      <c r="AB215" s="12">
        <f t="shared" si="219"/>
        <v>0.93332888859257279</v>
      </c>
      <c r="AD215" s="10">
        <f t="shared" si="220"/>
        <v>0</v>
      </c>
      <c r="AE215" s="10">
        <f t="shared" si="221"/>
        <v>0</v>
      </c>
      <c r="AF215" s="10">
        <f t="shared" si="222"/>
        <v>0</v>
      </c>
      <c r="AG215" s="10">
        <f t="shared" si="223"/>
        <v>0</v>
      </c>
      <c r="AH215" s="10">
        <f t="shared" si="224"/>
        <v>0</v>
      </c>
      <c r="AI215" s="10">
        <f t="shared" si="225"/>
        <v>0</v>
      </c>
      <c r="AK215" s="165">
        <v>0.1016534</v>
      </c>
      <c r="AL215" s="173">
        <f t="shared" si="226"/>
        <v>142.31374346600001</v>
      </c>
      <c r="AM215" s="173">
        <f t="shared" si="227"/>
        <v>20.329663466000003</v>
      </c>
      <c r="AN215" s="173">
        <f t="shared" si="228"/>
        <v>91.487043466000003</v>
      </c>
      <c r="AO215" s="173">
        <f t="shared" si="229"/>
        <v>15.246993466000001</v>
      </c>
      <c r="AP215" s="173">
        <f t="shared" si="230"/>
        <v>85.387839466000003</v>
      </c>
      <c r="AQ215" s="173">
        <f t="shared" si="231"/>
        <v>14.230459466000001</v>
      </c>
      <c r="AS215" s="22" t="str">
        <f>+VLOOKUP(B215,'Country &amp; Code Abbreviation'!$B$3:$C$245,2,FALSE)</f>
        <v>SJ</v>
      </c>
    </row>
    <row r="216" spans="2:45">
      <c r="B216" s="199" t="s">
        <v>287</v>
      </c>
      <c r="C216" s="199" t="s">
        <v>100</v>
      </c>
      <c r="D216" s="6" t="s">
        <v>348</v>
      </c>
      <c r="E216" s="11" t="str">
        <f>+VLOOKUP($B216,'[3]INT Web'!$B$5:$W$247,'[3]INT Web'!Q$1,FALSE)</f>
        <v>SEK</v>
      </c>
      <c r="F216" s="22">
        <f>+VLOOKUP($B216,'[3]INT Web'!$B$5:$W$247,'[3]INT Web'!R$1,FALSE)</f>
        <v>1469.99</v>
      </c>
      <c r="G216" s="22">
        <f>+VLOOKUP($B216,'[3]INT Web'!$B$5:$W$247,'[3]INT Web'!S$1,FALSE)</f>
        <v>219.99</v>
      </c>
      <c r="H216" s="22">
        <f>+VLOOKUP($B216,'[3]INT Web'!$B$5:$W$247,'[3]INT Web'!T$1,FALSE)</f>
        <v>1069.99</v>
      </c>
      <c r="I216" s="22">
        <f>+VLOOKUP($B216,'[3]INT Web'!$B$5:$W$247,'[3]INT Web'!U$1,FALSE)</f>
        <v>159.99</v>
      </c>
      <c r="J216" s="22">
        <f>+VLOOKUP($B216,'[3]INT Web'!$B$5:$W$247,'[3]INT Web'!V$1,FALSE)</f>
        <v>969.99</v>
      </c>
      <c r="K216" s="22">
        <f>+VLOOKUP($B216,'[3]INT Web'!$B$5:$W$247,'[3]INT Web'!W$1,FALSE)</f>
        <v>144.99</v>
      </c>
      <c r="L216" s="12">
        <f t="shared" si="210"/>
        <v>6.682076458020819</v>
      </c>
      <c r="M216" s="12">
        <f t="shared" si="211"/>
        <v>1.3750234389649354</v>
      </c>
      <c r="N216" s="12">
        <f t="shared" si="212"/>
        <v>6.6878554909681851</v>
      </c>
      <c r="O216" s="12">
        <f t="shared" si="213"/>
        <v>6.6900475894889295</v>
      </c>
      <c r="P216" s="12">
        <f t="shared" si="214"/>
        <v>0.90624414025876621</v>
      </c>
      <c r="Q216" s="140" t="str">
        <f t="shared" si="232"/>
        <v>SEK</v>
      </c>
      <c r="R216" s="104">
        <f>+VLOOKUP($B216,'Country-Level Tactics'!$B$5:$AL$248,'Country-Level Tactics'!AH$1,FALSE)</f>
        <v>1469.99</v>
      </c>
      <c r="S216" s="104">
        <f>+VLOOKUP($B216,'Country-Level Tactics'!$B$5:$AL$248,'Country-Level Tactics'!X$1,FALSE)</f>
        <v>219.99</v>
      </c>
      <c r="T216" s="104">
        <f>+VLOOKUP($B216,'Country-Level Tactics'!$B$5:$AL$248,'Country-Level Tactics'!AC$1,FALSE)</f>
        <v>1069.99</v>
      </c>
      <c r="U216" s="104">
        <f>+VLOOKUP($B216,'Country-Level Tactics'!$B$5:$AL$248,'Country-Level Tactics'!T$1,FALSE)</f>
        <v>159.99</v>
      </c>
      <c r="V216" s="104">
        <f t="shared" si="233"/>
        <v>969.99</v>
      </c>
      <c r="W216" s="104">
        <f t="shared" si="234"/>
        <v>144.99</v>
      </c>
      <c r="X216" s="12">
        <f t="shared" si="215"/>
        <v>6.682076458020819</v>
      </c>
      <c r="Y216" s="12">
        <f t="shared" si="216"/>
        <v>1.3750234389649354</v>
      </c>
      <c r="Z216" s="12">
        <f t="shared" si="217"/>
        <v>6.6878554909681851</v>
      </c>
      <c r="AA216" s="12">
        <f t="shared" si="218"/>
        <v>6.6900475894889295</v>
      </c>
      <c r="AB216" s="12">
        <f t="shared" si="219"/>
        <v>0.90624414025876621</v>
      </c>
      <c r="AD216" s="10">
        <f t="shared" si="220"/>
        <v>0</v>
      </c>
      <c r="AE216" s="10">
        <f t="shared" si="221"/>
        <v>0</v>
      </c>
      <c r="AF216" s="10">
        <f t="shared" si="222"/>
        <v>0</v>
      </c>
      <c r="AG216" s="10">
        <f t="shared" si="223"/>
        <v>0</v>
      </c>
      <c r="AH216" s="10">
        <f t="shared" si="224"/>
        <v>0</v>
      </c>
      <c r="AI216" s="10">
        <f t="shared" si="225"/>
        <v>0</v>
      </c>
      <c r="AK216" s="165">
        <v>0.10351485000000001</v>
      </c>
      <c r="AL216" s="173">
        <f t="shared" si="226"/>
        <v>152.16579435150001</v>
      </c>
      <c r="AM216" s="173">
        <f t="shared" si="227"/>
        <v>22.772231851500003</v>
      </c>
      <c r="AN216" s="173">
        <f t="shared" si="228"/>
        <v>110.75985435150001</v>
      </c>
      <c r="AO216" s="173">
        <f t="shared" si="229"/>
        <v>16.561340851500002</v>
      </c>
      <c r="AP216" s="173">
        <f t="shared" si="230"/>
        <v>100.4083693515</v>
      </c>
      <c r="AQ216" s="173">
        <f t="shared" si="231"/>
        <v>15.008618101500002</v>
      </c>
      <c r="AS216" s="22" t="str">
        <f>+VLOOKUP(B216,'Country &amp; Code Abbreviation'!$B$3:$C$245,2,FALSE)</f>
        <v>SE</v>
      </c>
    </row>
    <row r="217" spans="2:45">
      <c r="B217" s="20" t="s">
        <v>288</v>
      </c>
      <c r="C217" s="20" t="s">
        <v>100</v>
      </c>
      <c r="D217" s="6" t="s">
        <v>348</v>
      </c>
      <c r="E217" s="11" t="str">
        <f>+VLOOKUP($B217,'[3]INT Web'!$B$5:$W$247,'[3]INT Web'!Q$1,FALSE)</f>
        <v>CHF</v>
      </c>
      <c r="F217" s="22">
        <f>+VLOOKUP($B217,'[3]INT Web'!$B$5:$W$247,'[3]INT Web'!R$1,FALSE)</f>
        <v>219.99</v>
      </c>
      <c r="G217" s="22">
        <f>+VLOOKUP($B217,'[3]INT Web'!$B$5:$W$247,'[3]INT Web'!S$1,FALSE)</f>
        <v>33.99</v>
      </c>
      <c r="H217" s="22">
        <f>+VLOOKUP($B217,'[3]INT Web'!$B$5:$W$247,'[3]INT Web'!T$1,FALSE)</f>
        <v>159.99</v>
      </c>
      <c r="I217" s="22">
        <f>+VLOOKUP($B217,'[3]INT Web'!$B$5:$W$247,'[3]INT Web'!U$1,FALSE)</f>
        <v>24.99</v>
      </c>
      <c r="J217" s="22">
        <f>+VLOOKUP($B217,'[3]INT Web'!$B$5:$W$247,'[3]INT Web'!V$1,FALSE)</f>
        <v>139.99</v>
      </c>
      <c r="K217" s="22">
        <f>+VLOOKUP($B217,'[3]INT Web'!$B$5:$W$247,'[3]INT Web'!W$1,FALSE)</f>
        <v>21.99</v>
      </c>
      <c r="L217" s="12">
        <f t="shared" si="210"/>
        <v>6.4721977052074138</v>
      </c>
      <c r="M217" s="12">
        <f t="shared" si="211"/>
        <v>1.3601440576230495</v>
      </c>
      <c r="N217" s="12">
        <f t="shared" si="212"/>
        <v>6.4021608643457393</v>
      </c>
      <c r="O217" s="12">
        <f t="shared" si="213"/>
        <v>6.3660754888585727</v>
      </c>
      <c r="P217" s="12">
        <f t="shared" si="214"/>
        <v>0.87995198079231696</v>
      </c>
      <c r="Q217" s="140" t="str">
        <f t="shared" si="232"/>
        <v>CHF</v>
      </c>
      <c r="R217" s="104">
        <f>+VLOOKUP($B217,'Country-Level Tactics'!$B$5:$AL$248,'Country-Level Tactics'!AH$1,FALSE)</f>
        <v>219.99</v>
      </c>
      <c r="S217" s="104">
        <f>+VLOOKUP($B217,'Country-Level Tactics'!$B$5:$AL$248,'Country-Level Tactics'!X$1,FALSE)</f>
        <v>33.99</v>
      </c>
      <c r="T217" s="104">
        <f>+VLOOKUP($B217,'Country-Level Tactics'!$B$5:$AL$248,'Country-Level Tactics'!AC$1,FALSE)</f>
        <v>159.99</v>
      </c>
      <c r="U217" s="104">
        <f>+VLOOKUP($B217,'Country-Level Tactics'!$B$5:$AL$248,'Country-Level Tactics'!T$1,FALSE)</f>
        <v>24.99</v>
      </c>
      <c r="V217" s="104">
        <f t="shared" si="233"/>
        <v>139.99</v>
      </c>
      <c r="W217" s="104">
        <f t="shared" si="234"/>
        <v>21.99</v>
      </c>
      <c r="X217" s="12">
        <f t="shared" si="215"/>
        <v>6.4721977052074138</v>
      </c>
      <c r="Y217" s="12">
        <f t="shared" si="216"/>
        <v>1.3601440576230495</v>
      </c>
      <c r="Z217" s="12">
        <f t="shared" si="217"/>
        <v>6.4021608643457393</v>
      </c>
      <c r="AA217" s="12">
        <f t="shared" si="218"/>
        <v>6.3660754888585727</v>
      </c>
      <c r="AB217" s="12">
        <f t="shared" si="219"/>
        <v>0.87995198079231696</v>
      </c>
      <c r="AD217" s="10">
        <f t="shared" si="220"/>
        <v>0</v>
      </c>
      <c r="AE217" s="10">
        <f t="shared" si="221"/>
        <v>0</v>
      </c>
      <c r="AF217" s="10">
        <f t="shared" si="222"/>
        <v>0</v>
      </c>
      <c r="AG217" s="10">
        <f t="shared" si="223"/>
        <v>0</v>
      </c>
      <c r="AH217" s="10">
        <f t="shared" si="224"/>
        <v>0</v>
      </c>
      <c r="AI217" s="10">
        <f t="shared" si="225"/>
        <v>0</v>
      </c>
      <c r="AK217" s="165">
        <v>1.2398487</v>
      </c>
      <c r="AL217" s="173">
        <f t="shared" si="226"/>
        <v>272.75431551299999</v>
      </c>
      <c r="AM217" s="173">
        <f t="shared" si="227"/>
        <v>42.142457313000001</v>
      </c>
      <c r="AN217" s="173">
        <f t="shared" si="228"/>
        <v>198.36339351300001</v>
      </c>
      <c r="AO217" s="173">
        <f t="shared" si="229"/>
        <v>30.983819012999998</v>
      </c>
      <c r="AP217" s="173">
        <f t="shared" si="230"/>
        <v>173.56641951300003</v>
      </c>
      <c r="AQ217" s="173">
        <f t="shared" si="231"/>
        <v>27.264272912999999</v>
      </c>
      <c r="AS217" s="22" t="str">
        <f>+VLOOKUP(B217,'Country &amp; Code Abbreviation'!$B$3:$C$245,2,FALSE)</f>
        <v>CH</v>
      </c>
    </row>
    <row r="218" spans="2:45" hidden="1" outlineLevel="1">
      <c r="B218" s="20" t="s">
        <v>289</v>
      </c>
      <c r="C218" s="20" t="s">
        <v>275</v>
      </c>
      <c r="D218" s="27"/>
      <c r="E218" s="11">
        <f>+VLOOKUP($B218,'[3]INT Web'!$B$5:$W$247,'[3]INT Web'!Q$1,FALSE)</f>
        <v>0</v>
      </c>
      <c r="F218" s="22">
        <f>+VLOOKUP($B218,'[3]INT Web'!$B$5:$W$247,'[3]INT Web'!R$1,FALSE)</f>
        <v>0</v>
      </c>
      <c r="G218" s="22">
        <f>+VLOOKUP($B218,'[3]INT Web'!$B$5:$W$247,'[3]INT Web'!S$1,FALSE)</f>
        <v>0</v>
      </c>
      <c r="H218" s="22">
        <f>+VLOOKUP($B218,'[3]INT Web'!$B$5:$W$247,'[3]INT Web'!T$1,FALSE)</f>
        <v>0</v>
      </c>
      <c r="I218" s="22">
        <f>+VLOOKUP($B218,'[3]INT Web'!$B$5:$W$247,'[3]INT Web'!U$1,FALSE)</f>
        <v>0</v>
      </c>
      <c r="J218" s="22">
        <f>+VLOOKUP($B218,'[3]INT Web'!$B$5:$W$247,'[3]INT Web'!V$1,FALSE)</f>
        <v>0</v>
      </c>
      <c r="K218" s="22">
        <f>+VLOOKUP($B218,'[3]INT Web'!$B$5:$W$247,'[3]INT Web'!W$1,FALSE)</f>
        <v>0</v>
      </c>
      <c r="L218" s="28"/>
      <c r="M218" s="28"/>
      <c r="N218" s="28"/>
      <c r="O218" s="28"/>
      <c r="P218" s="28"/>
      <c r="Q218" s="142">
        <f t="shared" si="232"/>
        <v>0</v>
      </c>
      <c r="R218" s="104">
        <f>+VLOOKUP($B218,'Country-Level Tactics'!$B$5:$AL$248,'Country-Level Tactics'!AH$1,FALSE)</f>
        <v>0</v>
      </c>
      <c r="S218" s="104">
        <f>+VLOOKUP($B218,'Country-Level Tactics'!$B$5:$AL$248,'Country-Level Tactics'!X$1,FALSE)</f>
        <v>0</v>
      </c>
      <c r="T218" s="104">
        <f>+VLOOKUP($B218,'Country-Level Tactics'!$B$5:$AL$248,'Country-Level Tactics'!AC$1,FALSE)</f>
        <v>0</v>
      </c>
      <c r="U218" s="104">
        <f>+VLOOKUP($B218,'Country-Level Tactics'!$B$5:$AL$248,'Country-Level Tactics'!T$1,FALSE)</f>
        <v>0</v>
      </c>
      <c r="V218" s="104">
        <f t="shared" si="233"/>
        <v>0</v>
      </c>
      <c r="W218" s="104">
        <f t="shared" si="234"/>
        <v>0</v>
      </c>
      <c r="X218" s="12"/>
      <c r="Y218" s="12"/>
      <c r="Z218" s="12"/>
      <c r="AA218" s="12"/>
      <c r="AB218" s="12"/>
      <c r="AD218" s="10"/>
      <c r="AE218" s="10"/>
      <c r="AF218" s="10"/>
      <c r="AG218" s="10"/>
      <c r="AH218" s="10"/>
      <c r="AI218" s="10"/>
      <c r="AK218" s="165" t="s">
        <v>1513</v>
      </c>
      <c r="AL218" s="173"/>
      <c r="AM218" s="173"/>
      <c r="AN218" s="173"/>
      <c r="AO218" s="173"/>
      <c r="AP218" s="173"/>
      <c r="AQ218" s="173"/>
      <c r="AS218" s="22" t="e">
        <f>+VLOOKUP(B218,'Country &amp; Code Abbreviation'!$B$3:$C$245,2,FALSE)</f>
        <v>#N/A</v>
      </c>
    </row>
    <row r="219" spans="2:45" collapsed="1">
      <c r="B219" s="20" t="s">
        <v>290</v>
      </c>
      <c r="C219" s="20" t="s">
        <v>351</v>
      </c>
      <c r="D219" s="6" t="s">
        <v>347</v>
      </c>
      <c r="E219" s="11" t="str">
        <f>+VLOOKUP($B219,'[3]INT Web'!$B$5:$W$247,'[3]INT Web'!Q$1,FALSE)</f>
        <v>TWD</v>
      </c>
      <c r="F219" s="22">
        <f>+VLOOKUP($B219,'[3]INT Web'!$B$5:$W$247,'[3]INT Web'!R$1,FALSE)</f>
        <v>3590</v>
      </c>
      <c r="G219" s="22">
        <f>+VLOOKUP($B219,'[3]INT Web'!$B$5:$W$247,'[3]INT Web'!S$1,FALSE)</f>
        <v>540</v>
      </c>
      <c r="H219" s="22">
        <f>+VLOOKUP($B219,'[3]INT Web'!$B$5:$W$247,'[3]INT Web'!T$1,FALSE)</f>
        <v>2720</v>
      </c>
      <c r="I219" s="22">
        <f>+VLOOKUP($B219,'[3]INT Web'!$B$5:$W$247,'[3]INT Web'!U$1,FALSE)</f>
        <v>390</v>
      </c>
      <c r="J219" s="22">
        <f>+VLOOKUP($B219,'[3]INT Web'!$B$5:$W$247,'[3]INT Web'!V$1,FALSE)</f>
        <v>2450</v>
      </c>
      <c r="K219" s="22">
        <f>+VLOOKUP($B219,'[3]INT Web'!$B$5:$W$247,'[3]INT Web'!W$1,FALSE)</f>
        <v>350</v>
      </c>
      <c r="L219" s="12">
        <f t="shared" ref="L219:L247" si="235">+F219/G219</f>
        <v>6.6481481481481479</v>
      </c>
      <c r="M219" s="12">
        <f t="shared" ref="M219:M247" si="236">+G219/I219</f>
        <v>1.3846153846153846</v>
      </c>
      <c r="N219" s="12">
        <f t="shared" ref="N219:N247" si="237">+H219/I219</f>
        <v>6.9743589743589745</v>
      </c>
      <c r="O219" s="12">
        <f t="shared" ref="O219:O247" si="238">+J219/K219</f>
        <v>7</v>
      </c>
      <c r="P219" s="12">
        <f t="shared" ref="P219:P247" si="239">+K219/I219</f>
        <v>0.89743589743589747</v>
      </c>
      <c r="Q219" s="140" t="str">
        <f t="shared" si="232"/>
        <v>TWD</v>
      </c>
      <c r="R219" s="104">
        <f>+VLOOKUP($B219,'Country-Level Tactics'!$B$5:$AL$248,'Country-Level Tactics'!AH$1,FALSE)</f>
        <v>3590</v>
      </c>
      <c r="S219" s="104">
        <f>+VLOOKUP($B219,'Country-Level Tactics'!$B$5:$AL$248,'Country-Level Tactics'!X$1,FALSE)</f>
        <v>540</v>
      </c>
      <c r="T219" s="104">
        <f>+VLOOKUP($B219,'Country-Level Tactics'!$B$5:$AL$248,'Country-Level Tactics'!AC$1,FALSE)</f>
        <v>2720</v>
      </c>
      <c r="U219" s="104">
        <f>+VLOOKUP($B219,'Country-Level Tactics'!$B$5:$AL$248,'Country-Level Tactics'!T$1,FALSE)</f>
        <v>390</v>
      </c>
      <c r="V219" s="104">
        <f t="shared" si="233"/>
        <v>2450</v>
      </c>
      <c r="W219" s="104">
        <f t="shared" si="234"/>
        <v>350</v>
      </c>
      <c r="X219" s="12">
        <f t="shared" ref="X219:X247" si="240">+R219/S219</f>
        <v>6.6481481481481479</v>
      </c>
      <c r="Y219" s="12">
        <f t="shared" ref="Y219:Y247" si="241">+S219/U219</f>
        <v>1.3846153846153846</v>
      </c>
      <c r="Z219" s="12">
        <f t="shared" ref="Z219:Z247" si="242">+T219/U219</f>
        <v>6.9743589743589745</v>
      </c>
      <c r="AA219" s="12">
        <f t="shared" ref="AA219:AA247" si="243">+V219/W219</f>
        <v>7</v>
      </c>
      <c r="AB219" s="12">
        <f t="shared" ref="AB219:AB247" si="244">+W219/U219</f>
        <v>0.89743589743589747</v>
      </c>
      <c r="AD219" s="10">
        <f t="shared" ref="AD219:AD247" si="245">+R219/F219-1</f>
        <v>0</v>
      </c>
      <c r="AE219" s="10">
        <f t="shared" ref="AE219:AE247" si="246">+S219/G219-1</f>
        <v>0</v>
      </c>
      <c r="AF219" s="10">
        <f t="shared" ref="AF219:AF247" si="247">+T219/H219-1</f>
        <v>0</v>
      </c>
      <c r="AG219" s="10">
        <f t="shared" ref="AG219:AG247" si="248">+U219/I219-1</f>
        <v>0</v>
      </c>
      <c r="AH219" s="10">
        <f t="shared" ref="AH219:AH247" si="249">+V219/J219-1</f>
        <v>0</v>
      </c>
      <c r="AI219" s="10">
        <f t="shared" ref="AI219:AI247" si="250">+W219/K219-1</f>
        <v>0</v>
      </c>
      <c r="AK219" s="165">
        <v>3.1196867999999999E-2</v>
      </c>
      <c r="AL219" s="173">
        <f t="shared" ref="AL219:AL247" si="251">+R219*$AK219</f>
        <v>111.99675612</v>
      </c>
      <c r="AM219" s="173">
        <f t="shared" ref="AM219:AM247" si="252">+S219*$AK219</f>
        <v>16.84630872</v>
      </c>
      <c r="AN219" s="173">
        <f t="shared" ref="AN219:AN247" si="253">+T219*$AK219</f>
        <v>84.855480959999994</v>
      </c>
      <c r="AO219" s="173">
        <f t="shared" ref="AO219:AO247" si="254">+U219*$AK219</f>
        <v>12.166778519999999</v>
      </c>
      <c r="AP219" s="173">
        <f t="shared" ref="AP219:AP247" si="255">+V219*$AK219</f>
        <v>76.432326599999996</v>
      </c>
      <c r="AQ219" s="173">
        <f t="shared" ref="AQ219:AQ247" si="256">+W219*$AK219</f>
        <v>10.918903799999999</v>
      </c>
      <c r="AS219" s="22" t="str">
        <f>+VLOOKUP(B219,'Country &amp; Code Abbreviation'!$B$3:$C$245,2,FALSE)</f>
        <v>TW</v>
      </c>
    </row>
    <row r="220" spans="2:45">
      <c r="B220" s="20" t="s">
        <v>291</v>
      </c>
      <c r="C220" s="20" t="s">
        <v>182</v>
      </c>
      <c r="E220" s="11" t="str">
        <f>+VLOOKUP($B220,'[3]INT Web'!$B$5:$W$247,'[3]INT Web'!Q$1,FALSE)</f>
        <v>USD</v>
      </c>
      <c r="F220" s="22">
        <f>+VLOOKUP($B220,'[3]INT Web'!$B$5:$W$247,'[3]INT Web'!R$1,FALSE)</f>
        <v>71.989999999999995</v>
      </c>
      <c r="G220" s="22">
        <f>+VLOOKUP($B220,'[3]INT Web'!$B$5:$W$247,'[3]INT Web'!S$1,FALSE)</f>
        <v>11.99</v>
      </c>
      <c r="H220" s="22">
        <f>+VLOOKUP($B220,'[3]INT Web'!$B$5:$W$247,'[3]INT Web'!T$1,FALSE)</f>
        <v>53.99</v>
      </c>
      <c r="I220" s="22">
        <f>+VLOOKUP($B220,'[3]INT Web'!$B$5:$W$247,'[3]INT Web'!U$1,FALSE)</f>
        <v>8.99</v>
      </c>
      <c r="J220" s="22">
        <f>+VLOOKUP($B220,'[3]INT Web'!$B$5:$W$247,'[3]INT Web'!V$1,FALSE)</f>
        <v>47.99</v>
      </c>
      <c r="K220" s="22">
        <f>+VLOOKUP($B220,'[3]INT Web'!$B$5:$W$247,'[3]INT Web'!W$1,FALSE)</f>
        <v>7.99</v>
      </c>
      <c r="L220" s="12">
        <f t="shared" si="235"/>
        <v>6.0041701417848206</v>
      </c>
      <c r="M220" s="12">
        <f t="shared" si="236"/>
        <v>1.3337041156840934</v>
      </c>
      <c r="N220" s="12">
        <f t="shared" si="237"/>
        <v>6.0055617352614012</v>
      </c>
      <c r="O220" s="12">
        <f t="shared" si="238"/>
        <v>6.0062578222778473</v>
      </c>
      <c r="P220" s="12">
        <f t="shared" si="239"/>
        <v>0.88876529477196886</v>
      </c>
      <c r="Q220" s="140" t="str">
        <f t="shared" si="232"/>
        <v>USD</v>
      </c>
      <c r="R220" s="104">
        <f>+VLOOKUP($B220,'Country-Level Tactics'!$B$5:$AL$248,'Country-Level Tactics'!AH$1,FALSE)</f>
        <v>71.989999999999995</v>
      </c>
      <c r="S220" s="104">
        <f>+VLOOKUP($B220,'Country-Level Tactics'!$B$5:$AL$248,'Country-Level Tactics'!X$1,FALSE)</f>
        <v>11.99</v>
      </c>
      <c r="T220" s="104">
        <f>+VLOOKUP($B220,'Country-Level Tactics'!$B$5:$AL$248,'Country-Level Tactics'!AC$1,FALSE)</f>
        <v>53.99</v>
      </c>
      <c r="U220" s="104">
        <f>+VLOOKUP($B220,'Country-Level Tactics'!$B$5:$AL$248,'Country-Level Tactics'!T$1,FALSE)</f>
        <v>8.99</v>
      </c>
      <c r="V220" s="104">
        <f t="shared" si="233"/>
        <v>47.99</v>
      </c>
      <c r="W220" s="104">
        <f t="shared" si="234"/>
        <v>7.99</v>
      </c>
      <c r="X220" s="12">
        <f t="shared" si="240"/>
        <v>6.0041701417848206</v>
      </c>
      <c r="Y220" s="12">
        <f t="shared" si="241"/>
        <v>1.3337041156840934</v>
      </c>
      <c r="Z220" s="12">
        <f t="shared" si="242"/>
        <v>6.0055617352614012</v>
      </c>
      <c r="AA220" s="12">
        <f t="shared" si="243"/>
        <v>6.0062578222778473</v>
      </c>
      <c r="AB220" s="12">
        <f t="shared" si="244"/>
        <v>0.88876529477196886</v>
      </c>
      <c r="AD220" s="10">
        <f t="shared" si="245"/>
        <v>0</v>
      </c>
      <c r="AE220" s="10">
        <f t="shared" si="246"/>
        <v>0</v>
      </c>
      <c r="AF220" s="10">
        <f t="shared" si="247"/>
        <v>0</v>
      </c>
      <c r="AG220" s="10">
        <f t="shared" si="248"/>
        <v>0</v>
      </c>
      <c r="AH220" s="10">
        <f t="shared" si="249"/>
        <v>0</v>
      </c>
      <c r="AI220" s="10">
        <f t="shared" si="250"/>
        <v>0</v>
      </c>
      <c r="AK220" s="165">
        <v>1</v>
      </c>
      <c r="AL220" s="173">
        <f t="shared" si="251"/>
        <v>71.989999999999995</v>
      </c>
      <c r="AM220" s="173">
        <f t="shared" si="252"/>
        <v>11.99</v>
      </c>
      <c r="AN220" s="173">
        <f t="shared" si="253"/>
        <v>53.99</v>
      </c>
      <c r="AO220" s="173">
        <f t="shared" si="254"/>
        <v>8.99</v>
      </c>
      <c r="AP220" s="173">
        <f t="shared" si="255"/>
        <v>47.99</v>
      </c>
      <c r="AQ220" s="173">
        <f t="shared" si="256"/>
        <v>7.99</v>
      </c>
      <c r="AS220" s="22" t="str">
        <f>+VLOOKUP(B220,'Country &amp; Code Abbreviation'!$B$3:$C$245,2,FALSE)</f>
        <v>TJ</v>
      </c>
    </row>
    <row r="221" spans="2:45">
      <c r="B221" s="20" t="s">
        <v>292</v>
      </c>
      <c r="C221" s="20" t="s">
        <v>270</v>
      </c>
      <c r="E221" s="11" t="str">
        <f>+VLOOKUP($B221,'[3]INT Web'!$B$5:$W$247,'[3]INT Web'!Q$1,FALSE)</f>
        <v>TZS</v>
      </c>
      <c r="F221" s="22">
        <f>+VLOOKUP($B221,'[3]INT Web'!$B$5:$W$247,'[3]INT Web'!R$1,FALSE)</f>
        <v>169320</v>
      </c>
      <c r="G221" s="22">
        <f>+VLOOKUP($B221,'[3]INT Web'!$B$5:$W$247,'[3]INT Web'!S$1,FALSE)</f>
        <v>28220</v>
      </c>
      <c r="H221" s="22">
        <f>+VLOOKUP($B221,'[3]INT Web'!$B$5:$W$247,'[3]INT Web'!T$1,FALSE)</f>
        <v>125400</v>
      </c>
      <c r="I221" s="22">
        <f>+VLOOKUP($B221,'[3]INT Web'!$B$5:$W$247,'[3]INT Web'!U$1,FALSE)</f>
        <v>20900</v>
      </c>
      <c r="J221" s="22">
        <f>+VLOOKUP($B221,'[3]INT Web'!$B$5:$W$247,'[3]INT Web'!V$1,FALSE)</f>
        <v>112860</v>
      </c>
      <c r="K221" s="22">
        <f>+VLOOKUP($B221,'[3]INT Web'!$B$5:$W$247,'[3]INT Web'!W$1,FALSE)</f>
        <v>18810</v>
      </c>
      <c r="L221" s="12">
        <f t="shared" si="235"/>
        <v>6</v>
      </c>
      <c r="M221" s="12">
        <f t="shared" si="236"/>
        <v>1.3502392344497607</v>
      </c>
      <c r="N221" s="12">
        <f t="shared" si="237"/>
        <v>6</v>
      </c>
      <c r="O221" s="12">
        <f t="shared" si="238"/>
        <v>6</v>
      </c>
      <c r="P221" s="12">
        <f t="shared" si="239"/>
        <v>0.9</v>
      </c>
      <c r="Q221" s="140" t="str">
        <f t="shared" si="232"/>
        <v>TZS</v>
      </c>
      <c r="R221" s="104">
        <f>+VLOOKUP($B221,'Country-Level Tactics'!$B$5:$AL$248,'Country-Level Tactics'!AH$1,FALSE)</f>
        <v>169320</v>
      </c>
      <c r="S221" s="104">
        <f>+VLOOKUP($B221,'Country-Level Tactics'!$B$5:$AL$248,'Country-Level Tactics'!X$1,FALSE)</f>
        <v>28220</v>
      </c>
      <c r="T221" s="104">
        <f>+VLOOKUP($B221,'Country-Level Tactics'!$B$5:$AL$248,'Country-Level Tactics'!AC$1,FALSE)</f>
        <v>125400</v>
      </c>
      <c r="U221" s="104">
        <f>+VLOOKUP($B221,'Country-Level Tactics'!$B$5:$AL$248,'Country-Level Tactics'!T$1,FALSE)</f>
        <v>20900</v>
      </c>
      <c r="V221" s="104">
        <f t="shared" si="233"/>
        <v>112860</v>
      </c>
      <c r="W221" s="104">
        <f t="shared" si="234"/>
        <v>18810</v>
      </c>
      <c r="X221" s="12">
        <f t="shared" si="240"/>
        <v>6</v>
      </c>
      <c r="Y221" s="12">
        <f t="shared" si="241"/>
        <v>1.3502392344497607</v>
      </c>
      <c r="Z221" s="12">
        <f t="shared" si="242"/>
        <v>6</v>
      </c>
      <c r="AA221" s="12">
        <f t="shared" si="243"/>
        <v>6</v>
      </c>
      <c r="AB221" s="12">
        <f t="shared" si="244"/>
        <v>0.9</v>
      </c>
      <c r="AD221" s="10">
        <f t="shared" si="245"/>
        <v>0</v>
      </c>
      <c r="AE221" s="10">
        <f t="shared" si="246"/>
        <v>0</v>
      </c>
      <c r="AF221" s="10">
        <f t="shared" si="247"/>
        <v>0</v>
      </c>
      <c r="AG221" s="10">
        <f t="shared" si="248"/>
        <v>0</v>
      </c>
      <c r="AH221" s="10">
        <f t="shared" si="249"/>
        <v>0</v>
      </c>
      <c r="AI221" s="10">
        <f t="shared" si="250"/>
        <v>0</v>
      </c>
      <c r="AK221" s="165">
        <v>3.8037276999999998E-4</v>
      </c>
      <c r="AL221" s="173">
        <f t="shared" si="251"/>
        <v>64.404717416400004</v>
      </c>
      <c r="AM221" s="173">
        <f t="shared" si="252"/>
        <v>10.734119569399999</v>
      </c>
      <c r="AN221" s="173">
        <f t="shared" si="253"/>
        <v>47.698745357999996</v>
      </c>
      <c r="AO221" s="173">
        <f t="shared" si="254"/>
        <v>7.9497908929999994</v>
      </c>
      <c r="AP221" s="173">
        <f t="shared" si="255"/>
        <v>42.928870822199997</v>
      </c>
      <c r="AQ221" s="173">
        <f t="shared" si="256"/>
        <v>7.1548118036999995</v>
      </c>
      <c r="AS221" s="22" t="str">
        <f>+VLOOKUP(B221,'Country &amp; Code Abbreviation'!$B$3:$C$245,2,FALSE)</f>
        <v>TZ</v>
      </c>
    </row>
    <row r="222" spans="2:45">
      <c r="B222" s="20" t="s">
        <v>293</v>
      </c>
      <c r="C222" s="20" t="s">
        <v>182</v>
      </c>
      <c r="D222" s="6" t="s">
        <v>348</v>
      </c>
      <c r="E222" s="11" t="str">
        <f>+VLOOKUP($B222,'[3]INT Web'!$B$5:$W$247,'[3]INT Web'!Q$1,FALSE)</f>
        <v>THB</v>
      </c>
      <c r="F222" s="22">
        <f>+VLOOKUP($B222,'[3]INT Web'!$B$5:$W$247,'[3]INT Web'!R$1,FALSE)</f>
        <v>2919</v>
      </c>
      <c r="G222" s="22">
        <f>+VLOOKUP($B222,'[3]INT Web'!$B$5:$W$247,'[3]INT Web'!S$1,FALSE)</f>
        <v>449</v>
      </c>
      <c r="H222" s="22">
        <f>+VLOOKUP($B222,'[3]INT Web'!$B$5:$W$247,'[3]INT Web'!T$1,FALSE)</f>
        <v>2100</v>
      </c>
      <c r="I222" s="22">
        <f>+VLOOKUP($B222,'[3]INT Web'!$B$5:$W$247,'[3]INT Web'!U$1,FALSE)</f>
        <v>300</v>
      </c>
      <c r="J222" s="22">
        <f>+VLOOKUP($B222,'[3]INT Web'!$B$5:$W$247,'[3]INT Web'!V$1,FALSE)</f>
        <v>1890</v>
      </c>
      <c r="K222" s="22">
        <f>+VLOOKUP($B222,'[3]INT Web'!$B$5:$W$247,'[3]INT Web'!W$1,FALSE)</f>
        <v>270</v>
      </c>
      <c r="L222" s="12">
        <f t="shared" si="235"/>
        <v>6.5011135857461024</v>
      </c>
      <c r="M222" s="12">
        <f t="shared" si="236"/>
        <v>1.4966666666666666</v>
      </c>
      <c r="N222" s="12">
        <f t="shared" si="237"/>
        <v>7</v>
      </c>
      <c r="O222" s="12">
        <f t="shared" si="238"/>
        <v>7</v>
      </c>
      <c r="P222" s="12">
        <f t="shared" si="239"/>
        <v>0.9</v>
      </c>
      <c r="Q222" s="140" t="str">
        <f t="shared" si="232"/>
        <v>THB</v>
      </c>
      <c r="R222" s="104">
        <f>+VLOOKUP($B222,'Country-Level Tactics'!$B$5:$AL$248,'Country-Level Tactics'!AH$1,FALSE)</f>
        <v>2919</v>
      </c>
      <c r="S222" s="104">
        <f>+VLOOKUP($B222,'Country-Level Tactics'!$B$5:$AL$248,'Country-Level Tactics'!X$1,FALSE)</f>
        <v>449</v>
      </c>
      <c r="T222" s="104">
        <f>+VLOOKUP($B222,'Country-Level Tactics'!$B$5:$AL$248,'Country-Level Tactics'!AC$1,FALSE)</f>
        <v>2100</v>
      </c>
      <c r="U222" s="104">
        <f>+VLOOKUP($B222,'Country-Level Tactics'!$B$5:$AL$248,'Country-Level Tactics'!T$1,FALSE)</f>
        <v>300</v>
      </c>
      <c r="V222" s="104">
        <f t="shared" si="233"/>
        <v>1890</v>
      </c>
      <c r="W222" s="104">
        <f t="shared" si="234"/>
        <v>270</v>
      </c>
      <c r="X222" s="12">
        <f t="shared" si="240"/>
        <v>6.5011135857461024</v>
      </c>
      <c r="Y222" s="12">
        <f t="shared" si="241"/>
        <v>1.4966666666666666</v>
      </c>
      <c r="Z222" s="12">
        <f t="shared" si="242"/>
        <v>7</v>
      </c>
      <c r="AA222" s="12">
        <f t="shared" si="243"/>
        <v>7</v>
      </c>
      <c r="AB222" s="12">
        <f t="shared" si="244"/>
        <v>0.9</v>
      </c>
      <c r="AD222" s="10">
        <f t="shared" si="245"/>
        <v>0</v>
      </c>
      <c r="AE222" s="10">
        <f t="shared" si="246"/>
        <v>0</v>
      </c>
      <c r="AF222" s="10">
        <f t="shared" si="247"/>
        <v>0</v>
      </c>
      <c r="AG222" s="10">
        <f t="shared" si="248"/>
        <v>0</v>
      </c>
      <c r="AH222" s="10">
        <f t="shared" si="249"/>
        <v>0</v>
      </c>
      <c r="AI222" s="10">
        <f t="shared" si="250"/>
        <v>0</v>
      </c>
      <c r="AK222" s="165">
        <v>2.9987255000000001E-2</v>
      </c>
      <c r="AL222" s="173">
        <f t="shared" si="251"/>
        <v>87.532797345000006</v>
      </c>
      <c r="AM222" s="173">
        <f t="shared" si="252"/>
        <v>13.464277495000001</v>
      </c>
      <c r="AN222" s="173">
        <f t="shared" si="253"/>
        <v>62.973235500000001</v>
      </c>
      <c r="AO222" s="173">
        <f t="shared" si="254"/>
        <v>8.9961765000000007</v>
      </c>
      <c r="AP222" s="173">
        <f t="shared" si="255"/>
        <v>56.67591195</v>
      </c>
      <c r="AQ222" s="173">
        <f t="shared" si="256"/>
        <v>8.096558850000001</v>
      </c>
      <c r="AS222" s="22" t="str">
        <f>+VLOOKUP(B222,'Country &amp; Code Abbreviation'!$B$3:$C$245,2,FALSE)</f>
        <v>TH</v>
      </c>
    </row>
    <row r="223" spans="2:45">
      <c r="B223" s="20" t="s">
        <v>294</v>
      </c>
      <c r="C223" s="20" t="s">
        <v>182</v>
      </c>
      <c r="E223" s="11" t="str">
        <f>+VLOOKUP($B223,'[3]INT Web'!$B$5:$W$247,'[3]INT Web'!Q$1,FALSE)</f>
        <v>USD</v>
      </c>
      <c r="F223" s="22">
        <f>+VLOOKUP($B223,'[3]INT Web'!$B$5:$W$247,'[3]INT Web'!R$1,FALSE)</f>
        <v>71.989999999999995</v>
      </c>
      <c r="G223" s="22">
        <f>+VLOOKUP($B223,'[3]INT Web'!$B$5:$W$247,'[3]INT Web'!S$1,FALSE)</f>
        <v>11.99</v>
      </c>
      <c r="H223" s="22">
        <f>+VLOOKUP($B223,'[3]INT Web'!$B$5:$W$247,'[3]INT Web'!T$1,FALSE)</f>
        <v>53.99</v>
      </c>
      <c r="I223" s="22">
        <f>+VLOOKUP($B223,'[3]INT Web'!$B$5:$W$247,'[3]INT Web'!U$1,FALSE)</f>
        <v>8.99</v>
      </c>
      <c r="J223" s="22">
        <f>+VLOOKUP($B223,'[3]INT Web'!$B$5:$W$247,'[3]INT Web'!V$1,FALSE)</f>
        <v>47.99</v>
      </c>
      <c r="K223" s="22">
        <f>+VLOOKUP($B223,'[3]INT Web'!$B$5:$W$247,'[3]INT Web'!W$1,FALSE)</f>
        <v>7.99</v>
      </c>
      <c r="L223" s="12">
        <f t="shared" si="235"/>
        <v>6.0041701417848206</v>
      </c>
      <c r="M223" s="12">
        <f t="shared" si="236"/>
        <v>1.3337041156840934</v>
      </c>
      <c r="N223" s="12">
        <f t="shared" si="237"/>
        <v>6.0055617352614012</v>
      </c>
      <c r="O223" s="12">
        <f t="shared" si="238"/>
        <v>6.0062578222778473</v>
      </c>
      <c r="P223" s="12">
        <f t="shared" si="239"/>
        <v>0.88876529477196886</v>
      </c>
      <c r="Q223" s="140" t="str">
        <f t="shared" si="232"/>
        <v>USD</v>
      </c>
      <c r="R223" s="104">
        <f>+VLOOKUP($B223,'Country-Level Tactics'!$B$5:$AL$248,'Country-Level Tactics'!AH$1,FALSE)</f>
        <v>71.989999999999995</v>
      </c>
      <c r="S223" s="104">
        <f>+VLOOKUP($B223,'Country-Level Tactics'!$B$5:$AL$248,'Country-Level Tactics'!X$1,FALSE)</f>
        <v>11.99</v>
      </c>
      <c r="T223" s="104">
        <f>+VLOOKUP($B223,'Country-Level Tactics'!$B$5:$AL$248,'Country-Level Tactics'!AC$1,FALSE)</f>
        <v>53.99</v>
      </c>
      <c r="U223" s="104">
        <f>+VLOOKUP($B223,'Country-Level Tactics'!$B$5:$AL$248,'Country-Level Tactics'!T$1,FALSE)</f>
        <v>8.99</v>
      </c>
      <c r="V223" s="104">
        <f t="shared" si="233"/>
        <v>47.99</v>
      </c>
      <c r="W223" s="104">
        <f t="shared" si="234"/>
        <v>7.99</v>
      </c>
      <c r="X223" s="12">
        <f t="shared" si="240"/>
        <v>6.0041701417848206</v>
      </c>
      <c r="Y223" s="12">
        <f t="shared" si="241"/>
        <v>1.3337041156840934</v>
      </c>
      <c r="Z223" s="12">
        <f t="shared" si="242"/>
        <v>6.0055617352614012</v>
      </c>
      <c r="AA223" s="12">
        <f t="shared" si="243"/>
        <v>6.0062578222778473</v>
      </c>
      <c r="AB223" s="12">
        <f t="shared" si="244"/>
        <v>0.88876529477196886</v>
      </c>
      <c r="AD223" s="10">
        <f t="shared" si="245"/>
        <v>0</v>
      </c>
      <c r="AE223" s="10">
        <f t="shared" si="246"/>
        <v>0</v>
      </c>
      <c r="AF223" s="10">
        <f t="shared" si="247"/>
        <v>0</v>
      </c>
      <c r="AG223" s="10">
        <f t="shared" si="248"/>
        <v>0</v>
      </c>
      <c r="AH223" s="10">
        <f t="shared" si="249"/>
        <v>0</v>
      </c>
      <c r="AI223" s="10">
        <f t="shared" si="250"/>
        <v>0</v>
      </c>
      <c r="AK223" s="165">
        <v>1</v>
      </c>
      <c r="AL223" s="173">
        <f t="shared" si="251"/>
        <v>71.989999999999995</v>
      </c>
      <c r="AM223" s="173">
        <f t="shared" si="252"/>
        <v>11.99</v>
      </c>
      <c r="AN223" s="173">
        <f t="shared" si="253"/>
        <v>53.99</v>
      </c>
      <c r="AO223" s="173">
        <f t="shared" si="254"/>
        <v>8.99</v>
      </c>
      <c r="AP223" s="173">
        <f t="shared" si="255"/>
        <v>47.99</v>
      </c>
      <c r="AQ223" s="173">
        <f t="shared" si="256"/>
        <v>7.99</v>
      </c>
      <c r="AS223" s="22" t="str">
        <f>+VLOOKUP(B223,'Country &amp; Code Abbreviation'!$B$3:$C$245,2,FALSE)</f>
        <v>TL</v>
      </c>
    </row>
    <row r="224" spans="2:45">
      <c r="B224" s="20" t="s">
        <v>295</v>
      </c>
      <c r="C224" s="20" t="s">
        <v>270</v>
      </c>
      <c r="E224" s="11" t="str">
        <f>+VLOOKUP($B224,'[3]INT Web'!$B$5:$W$247,'[3]INT Web'!Q$1,FALSE)</f>
        <v>XOF</v>
      </c>
      <c r="F224" s="136">
        <f>+VLOOKUP($B224,'[3]INT Web'!$B$5:$W$247,'[3]INT Web'!R$1,FALSE)</f>
        <v>43740</v>
      </c>
      <c r="G224" s="136">
        <f>+VLOOKUP($B224,'[3]INT Web'!$B$5:$W$247,'[3]INT Web'!S$1,FALSE)</f>
        <v>7290</v>
      </c>
      <c r="H224" s="136">
        <f>+VLOOKUP($B224,'[3]INT Web'!$B$5:$W$247,'[3]INT Web'!T$1,FALSE)</f>
        <v>32400</v>
      </c>
      <c r="I224" s="136">
        <f>+VLOOKUP($B224,'[3]INT Web'!$B$5:$W$247,'[3]INT Web'!U$1,FALSE)</f>
        <v>5400</v>
      </c>
      <c r="J224" s="136">
        <f>+VLOOKUP($B224,'[3]INT Web'!$B$5:$W$247,'[3]INT Web'!V$1,FALSE)</f>
        <v>29160</v>
      </c>
      <c r="K224" s="136">
        <f>+VLOOKUP($B224,'[3]INT Web'!$B$5:$W$247,'[3]INT Web'!W$1,FALSE)</f>
        <v>4860</v>
      </c>
      <c r="L224" s="12">
        <f t="shared" si="235"/>
        <v>6</v>
      </c>
      <c r="M224" s="12">
        <f t="shared" si="236"/>
        <v>1.35</v>
      </c>
      <c r="N224" s="12">
        <f t="shared" si="237"/>
        <v>6</v>
      </c>
      <c r="O224" s="12">
        <f t="shared" si="238"/>
        <v>6</v>
      </c>
      <c r="P224" s="12">
        <f t="shared" si="239"/>
        <v>0.9</v>
      </c>
      <c r="Q224" s="143" t="str">
        <f t="shared" si="232"/>
        <v>XOF</v>
      </c>
      <c r="R224" s="137">
        <f>+VLOOKUP($B224,'Country-Level Tactics'!$B$5:$AL$248,'Country-Level Tactics'!AH$1,FALSE)</f>
        <v>43740</v>
      </c>
      <c r="S224" s="137">
        <f>+VLOOKUP($B224,'Country-Level Tactics'!$B$5:$AL$248,'Country-Level Tactics'!X$1,FALSE)</f>
        <v>7290</v>
      </c>
      <c r="T224" s="137">
        <f>+VLOOKUP($B224,'Country-Level Tactics'!$B$5:$AL$248,'Country-Level Tactics'!AC$1,FALSE)</f>
        <v>32400</v>
      </c>
      <c r="U224" s="137">
        <f>+VLOOKUP($B224,'Country-Level Tactics'!$B$5:$AL$248,'Country-Level Tactics'!T$1,FALSE)</f>
        <v>5400</v>
      </c>
      <c r="V224" s="137">
        <f t="shared" si="233"/>
        <v>29160</v>
      </c>
      <c r="W224" s="137">
        <f t="shared" si="234"/>
        <v>4860</v>
      </c>
      <c r="X224" s="12">
        <f t="shared" si="240"/>
        <v>6</v>
      </c>
      <c r="Y224" s="12">
        <f t="shared" si="241"/>
        <v>1.35</v>
      </c>
      <c r="Z224" s="12">
        <f t="shared" si="242"/>
        <v>6</v>
      </c>
      <c r="AA224" s="12">
        <f t="shared" si="243"/>
        <v>6</v>
      </c>
      <c r="AB224" s="12">
        <f t="shared" si="244"/>
        <v>0.9</v>
      </c>
      <c r="AD224" s="10">
        <f t="shared" si="245"/>
        <v>0</v>
      </c>
      <c r="AE224" s="10">
        <f t="shared" si="246"/>
        <v>0</v>
      </c>
      <c r="AF224" s="10">
        <f t="shared" si="247"/>
        <v>0</v>
      </c>
      <c r="AG224" s="10">
        <f t="shared" si="248"/>
        <v>0</v>
      </c>
      <c r="AH224" s="10">
        <f t="shared" si="249"/>
        <v>0</v>
      </c>
      <c r="AI224" s="10">
        <f t="shared" si="250"/>
        <v>0</v>
      </c>
      <c r="AK224" s="165">
        <v>1.7405866999999999E-3</v>
      </c>
      <c r="AL224" s="173">
        <f t="shared" si="251"/>
        <v>76.133262258000002</v>
      </c>
      <c r="AM224" s="173">
        <f t="shared" si="252"/>
        <v>12.688877043</v>
      </c>
      <c r="AN224" s="173">
        <f t="shared" si="253"/>
        <v>56.395009080000001</v>
      </c>
      <c r="AO224" s="173">
        <f t="shared" si="254"/>
        <v>9.3991681800000002</v>
      </c>
      <c r="AP224" s="173">
        <f t="shared" si="255"/>
        <v>50.755508171999999</v>
      </c>
      <c r="AQ224" s="173">
        <f t="shared" si="256"/>
        <v>8.4592513619999998</v>
      </c>
      <c r="AS224" s="22" t="str">
        <f>+VLOOKUP(B224,'Country &amp; Code Abbreviation'!$B$3:$C$245,2,FALSE)</f>
        <v>TG</v>
      </c>
    </row>
    <row r="225" spans="2:45">
      <c r="B225" s="20" t="s">
        <v>296</v>
      </c>
      <c r="C225" s="20" t="s">
        <v>182</v>
      </c>
      <c r="E225" s="11" t="str">
        <f>+VLOOKUP($B225,'[3]INT Web'!$B$5:$W$247,'[3]INT Web'!Q$1,FALSE)</f>
        <v>NZD</v>
      </c>
      <c r="F225" s="22">
        <f>+VLOOKUP($B225,'[3]INT Web'!$B$5:$W$247,'[3]INT Web'!R$1,FALSE)</f>
        <v>203.99</v>
      </c>
      <c r="G225" s="22">
        <f>+VLOOKUP($B225,'[3]INT Web'!$B$5:$W$247,'[3]INT Web'!S$1,FALSE)</f>
        <v>33.99</v>
      </c>
      <c r="H225" s="22">
        <f>+VLOOKUP($B225,'[3]INT Web'!$B$5:$W$247,'[3]INT Web'!T$1,FALSE)</f>
        <v>149.99</v>
      </c>
      <c r="I225" s="22">
        <f>+VLOOKUP($B225,'[3]INT Web'!$B$5:$W$247,'[3]INT Web'!U$1,FALSE)</f>
        <v>24.99</v>
      </c>
      <c r="J225" s="22">
        <f>+VLOOKUP($B225,'[3]INT Web'!$B$5:$W$247,'[3]INT Web'!V$1,FALSE)</f>
        <v>144.99</v>
      </c>
      <c r="K225" s="22">
        <f>+VLOOKUP($B225,'[3]INT Web'!$B$5:$W$247,'[3]INT Web'!W$1,FALSE)</f>
        <v>21.99</v>
      </c>
      <c r="L225" s="12">
        <f t="shared" si="235"/>
        <v>6.0014710208884967</v>
      </c>
      <c r="M225" s="12">
        <f t="shared" si="236"/>
        <v>1.3601440576230495</v>
      </c>
      <c r="N225" s="12">
        <f t="shared" si="237"/>
        <v>6.0020008003201291</v>
      </c>
      <c r="O225" s="12">
        <f t="shared" si="238"/>
        <v>6.5934515688949533</v>
      </c>
      <c r="P225" s="12">
        <f t="shared" si="239"/>
        <v>0.87995198079231696</v>
      </c>
      <c r="Q225" s="140" t="str">
        <f t="shared" si="232"/>
        <v>NZD</v>
      </c>
      <c r="R225" s="104">
        <f>+VLOOKUP($B225,'Country-Level Tactics'!$B$5:$AL$248,'Country-Level Tactics'!AH$1,FALSE)</f>
        <v>203.99</v>
      </c>
      <c r="S225" s="104">
        <f>+VLOOKUP($B225,'Country-Level Tactics'!$B$5:$AL$248,'Country-Level Tactics'!X$1,FALSE)</f>
        <v>33.99</v>
      </c>
      <c r="T225" s="104">
        <f>+VLOOKUP($B225,'Country-Level Tactics'!$B$5:$AL$248,'Country-Level Tactics'!AC$1,FALSE)</f>
        <v>149.99</v>
      </c>
      <c r="U225" s="104">
        <f>+VLOOKUP($B225,'Country-Level Tactics'!$B$5:$AL$248,'Country-Level Tactics'!T$1,FALSE)</f>
        <v>24.99</v>
      </c>
      <c r="V225" s="104">
        <f t="shared" si="233"/>
        <v>144.99</v>
      </c>
      <c r="W225" s="104">
        <f t="shared" si="234"/>
        <v>21.99</v>
      </c>
      <c r="X225" s="12">
        <f t="shared" si="240"/>
        <v>6.0014710208884967</v>
      </c>
      <c r="Y225" s="12">
        <f t="shared" si="241"/>
        <v>1.3601440576230495</v>
      </c>
      <c r="Z225" s="12">
        <f t="shared" si="242"/>
        <v>6.0020008003201291</v>
      </c>
      <c r="AA225" s="12">
        <f t="shared" si="243"/>
        <v>6.5934515688949533</v>
      </c>
      <c r="AB225" s="12">
        <f t="shared" si="244"/>
        <v>0.87995198079231696</v>
      </c>
      <c r="AD225" s="10">
        <f t="shared" si="245"/>
        <v>0</v>
      </c>
      <c r="AE225" s="10">
        <f t="shared" si="246"/>
        <v>0</v>
      </c>
      <c r="AF225" s="10">
        <f t="shared" si="247"/>
        <v>0</v>
      </c>
      <c r="AG225" s="10">
        <f t="shared" si="248"/>
        <v>0</v>
      </c>
      <c r="AH225" s="10">
        <f t="shared" si="249"/>
        <v>0</v>
      </c>
      <c r="AI225" s="10">
        <f t="shared" si="250"/>
        <v>0</v>
      </c>
      <c r="AK225" s="165">
        <v>0.56845000000000001</v>
      </c>
      <c r="AL225" s="173">
        <f t="shared" si="251"/>
        <v>115.95811550000001</v>
      </c>
      <c r="AM225" s="173">
        <f t="shared" si="252"/>
        <v>19.3216155</v>
      </c>
      <c r="AN225" s="173">
        <f t="shared" si="253"/>
        <v>85.261815500000012</v>
      </c>
      <c r="AO225" s="173">
        <f t="shared" si="254"/>
        <v>14.205565499999999</v>
      </c>
      <c r="AP225" s="173">
        <f t="shared" si="255"/>
        <v>82.419565500000004</v>
      </c>
      <c r="AQ225" s="173">
        <f t="shared" si="256"/>
        <v>12.500215499999999</v>
      </c>
      <c r="AS225" s="22" t="str">
        <f>+VLOOKUP(B225,'Country &amp; Code Abbreviation'!$B$3:$C$245,2,FALSE)</f>
        <v>TK</v>
      </c>
    </row>
    <row r="226" spans="2:45">
      <c r="B226" s="20" t="s">
        <v>297</v>
      </c>
      <c r="C226" s="20" t="s">
        <v>182</v>
      </c>
      <c r="E226" s="11" t="str">
        <f>+VLOOKUP($B226,'[3]INT Web'!$B$5:$W$247,'[3]INT Web'!Q$1,FALSE)</f>
        <v>TOP</v>
      </c>
      <c r="F226" s="22">
        <f>+VLOOKUP($B226,'[3]INT Web'!$B$5:$W$247,'[3]INT Web'!R$1,FALSE)</f>
        <v>185.99</v>
      </c>
      <c r="G226" s="22">
        <f>+VLOOKUP($B226,'[3]INT Web'!$B$5:$W$247,'[3]INT Web'!S$1,FALSE)</f>
        <v>30.99</v>
      </c>
      <c r="H226" s="22">
        <f>+VLOOKUP($B226,'[3]INT Web'!$B$5:$W$247,'[3]INT Web'!T$1,FALSE)</f>
        <v>137.99</v>
      </c>
      <c r="I226" s="22">
        <f>+VLOOKUP($B226,'[3]INT Web'!$B$5:$W$247,'[3]INT Web'!U$1,FALSE)</f>
        <v>22.99</v>
      </c>
      <c r="J226" s="22">
        <f>+VLOOKUP($B226,'[3]INT Web'!$B$5:$W$247,'[3]INT Web'!V$1,FALSE)</f>
        <v>125.99</v>
      </c>
      <c r="K226" s="22">
        <f>+VLOOKUP($B226,'[3]INT Web'!$B$5:$W$247,'[3]INT Web'!W$1,FALSE)</f>
        <v>20.99</v>
      </c>
      <c r="L226" s="12">
        <f t="shared" si="235"/>
        <v>6.0016134236850602</v>
      </c>
      <c r="M226" s="12">
        <f t="shared" si="236"/>
        <v>1.3479773814702045</v>
      </c>
      <c r="N226" s="12">
        <f t="shared" si="237"/>
        <v>6.0021748586341896</v>
      </c>
      <c r="O226" s="12">
        <f t="shared" si="238"/>
        <v>6.0023820867079563</v>
      </c>
      <c r="P226" s="12">
        <f t="shared" si="239"/>
        <v>0.91300565463244887</v>
      </c>
      <c r="Q226" s="140" t="str">
        <f t="shared" si="232"/>
        <v>TOP</v>
      </c>
      <c r="R226" s="104">
        <f>+VLOOKUP($B226,'Country-Level Tactics'!$B$5:$AL$248,'Country-Level Tactics'!AH$1,FALSE)</f>
        <v>185.99</v>
      </c>
      <c r="S226" s="104">
        <f>+VLOOKUP($B226,'Country-Level Tactics'!$B$5:$AL$248,'Country-Level Tactics'!X$1,FALSE)</f>
        <v>30.99</v>
      </c>
      <c r="T226" s="104">
        <f>+VLOOKUP($B226,'Country-Level Tactics'!$B$5:$AL$248,'Country-Level Tactics'!AC$1,FALSE)</f>
        <v>137.99</v>
      </c>
      <c r="U226" s="104">
        <f>+VLOOKUP($B226,'Country-Level Tactics'!$B$5:$AL$248,'Country-Level Tactics'!T$1,FALSE)</f>
        <v>22.99</v>
      </c>
      <c r="V226" s="104">
        <f t="shared" si="233"/>
        <v>125.99</v>
      </c>
      <c r="W226" s="104">
        <f t="shared" si="234"/>
        <v>20.99</v>
      </c>
      <c r="X226" s="12">
        <f t="shared" si="240"/>
        <v>6.0016134236850602</v>
      </c>
      <c r="Y226" s="12">
        <f t="shared" si="241"/>
        <v>1.3479773814702045</v>
      </c>
      <c r="Z226" s="12">
        <f t="shared" si="242"/>
        <v>6.0021748586341896</v>
      </c>
      <c r="AA226" s="12">
        <f t="shared" si="243"/>
        <v>6.0023820867079563</v>
      </c>
      <c r="AB226" s="12">
        <f t="shared" si="244"/>
        <v>0.91300565463244887</v>
      </c>
      <c r="AD226" s="10">
        <f t="shared" si="245"/>
        <v>0</v>
      </c>
      <c r="AE226" s="10">
        <f t="shared" si="246"/>
        <v>0</v>
      </c>
      <c r="AF226" s="10">
        <f t="shared" si="247"/>
        <v>0</v>
      </c>
      <c r="AG226" s="10">
        <f t="shared" si="248"/>
        <v>0</v>
      </c>
      <c r="AH226" s="10">
        <f t="shared" si="249"/>
        <v>0</v>
      </c>
      <c r="AI226" s="10">
        <f t="shared" si="250"/>
        <v>0</v>
      </c>
      <c r="AK226" s="165">
        <v>0.41720000000000002</v>
      </c>
      <c r="AL226" s="173">
        <f t="shared" si="251"/>
        <v>77.595028000000013</v>
      </c>
      <c r="AM226" s="173">
        <f t="shared" si="252"/>
        <v>12.929028000000001</v>
      </c>
      <c r="AN226" s="173">
        <f t="shared" si="253"/>
        <v>57.569428000000009</v>
      </c>
      <c r="AO226" s="173">
        <f t="shared" si="254"/>
        <v>9.5914280000000005</v>
      </c>
      <c r="AP226" s="173">
        <f t="shared" si="255"/>
        <v>52.563028000000003</v>
      </c>
      <c r="AQ226" s="173">
        <f t="shared" si="256"/>
        <v>8.757028</v>
      </c>
      <c r="AS226" s="22" t="str">
        <f>+VLOOKUP(B226,'Country &amp; Code Abbreviation'!$B$3:$C$245,2,FALSE)</f>
        <v>TO</v>
      </c>
    </row>
    <row r="227" spans="2:45">
      <c r="B227" s="20" t="s">
        <v>298</v>
      </c>
      <c r="C227" s="20" t="s">
        <v>96</v>
      </c>
      <c r="E227" s="11" t="str">
        <f>+VLOOKUP($B227,'[3]INT Web'!$B$5:$W$247,'[3]INT Web'!Q$1,FALSE)</f>
        <v>TTD</v>
      </c>
      <c r="F227" s="22">
        <f>+VLOOKUP($B227,'[3]INT Web'!$B$5:$W$247,'[3]INT Web'!R$1,FALSE)</f>
        <v>689.99</v>
      </c>
      <c r="G227" s="22">
        <f>+VLOOKUP($B227,'[3]INT Web'!$B$5:$W$247,'[3]INT Web'!S$1,FALSE)</f>
        <v>114.99</v>
      </c>
      <c r="H227" s="22">
        <f>+VLOOKUP($B227,'[3]INT Web'!$B$5:$W$247,'[3]INT Web'!T$1,FALSE)</f>
        <v>485.99</v>
      </c>
      <c r="I227" s="22">
        <f>+VLOOKUP($B227,'[3]INT Web'!$B$5:$W$247,'[3]INT Web'!U$1,FALSE)</f>
        <v>80.989999999999995</v>
      </c>
      <c r="J227" s="22">
        <f>+VLOOKUP($B227,'[3]INT Web'!$B$5:$W$247,'[3]INT Web'!V$1,FALSE)</f>
        <v>437.99</v>
      </c>
      <c r="K227" s="22">
        <f>+VLOOKUP($B227,'[3]INT Web'!$B$5:$W$247,'[3]INT Web'!W$1,FALSE)</f>
        <v>72.989999999999995</v>
      </c>
      <c r="L227" s="12">
        <f t="shared" si="235"/>
        <v>6.0004348204191675</v>
      </c>
      <c r="M227" s="12">
        <f t="shared" si="236"/>
        <v>1.4198049141869367</v>
      </c>
      <c r="N227" s="12">
        <f t="shared" si="237"/>
        <v>6.0006173601679222</v>
      </c>
      <c r="O227" s="12">
        <f t="shared" si="238"/>
        <v>6.0006850253459385</v>
      </c>
      <c r="P227" s="12">
        <f t="shared" si="239"/>
        <v>0.90122237313248543</v>
      </c>
      <c r="Q227" s="140" t="str">
        <f t="shared" ref="Q227:Q247" si="257">+E227</f>
        <v>TTD</v>
      </c>
      <c r="R227" s="104">
        <f>+VLOOKUP($B227,'Country-Level Tactics'!$B$5:$AL$248,'Country-Level Tactics'!AH$1,FALSE)</f>
        <v>689.99</v>
      </c>
      <c r="S227" s="104">
        <f>+VLOOKUP($B227,'Country-Level Tactics'!$B$5:$AL$248,'Country-Level Tactics'!X$1,FALSE)</f>
        <v>114.99</v>
      </c>
      <c r="T227" s="104">
        <f>+VLOOKUP($B227,'Country-Level Tactics'!$B$5:$AL$248,'Country-Level Tactics'!AC$1,FALSE)</f>
        <v>485.99</v>
      </c>
      <c r="U227" s="104">
        <f>+VLOOKUP($B227,'Country-Level Tactics'!$B$5:$AL$248,'Country-Level Tactics'!T$1,FALSE)</f>
        <v>80.989999999999995</v>
      </c>
      <c r="V227" s="104">
        <f t="shared" si="233"/>
        <v>437.99</v>
      </c>
      <c r="W227" s="104">
        <f t="shared" si="234"/>
        <v>72.989999999999995</v>
      </c>
      <c r="X227" s="12">
        <f t="shared" si="240"/>
        <v>6.0004348204191675</v>
      </c>
      <c r="Y227" s="12">
        <f t="shared" si="241"/>
        <v>1.4198049141869367</v>
      </c>
      <c r="Z227" s="12">
        <f t="shared" si="242"/>
        <v>6.0006173601679222</v>
      </c>
      <c r="AA227" s="12">
        <f t="shared" si="243"/>
        <v>6.0006850253459385</v>
      </c>
      <c r="AB227" s="12">
        <f t="shared" si="244"/>
        <v>0.90122237313248543</v>
      </c>
      <c r="AD227" s="10">
        <f t="shared" si="245"/>
        <v>0</v>
      </c>
      <c r="AE227" s="10">
        <f t="shared" si="246"/>
        <v>0</v>
      </c>
      <c r="AF227" s="10">
        <f t="shared" si="247"/>
        <v>0</v>
      </c>
      <c r="AG227" s="10">
        <f t="shared" si="248"/>
        <v>0</v>
      </c>
      <c r="AH227" s="10">
        <f t="shared" si="249"/>
        <v>0</v>
      </c>
      <c r="AI227" s="10">
        <f t="shared" si="250"/>
        <v>0</v>
      </c>
      <c r="AK227" s="165">
        <v>0.14819863</v>
      </c>
      <c r="AL227" s="173">
        <f t="shared" si="251"/>
        <v>102.2555727137</v>
      </c>
      <c r="AM227" s="173">
        <f t="shared" si="252"/>
        <v>17.041360463699998</v>
      </c>
      <c r="AN227" s="173">
        <f t="shared" si="253"/>
        <v>72.023052193699996</v>
      </c>
      <c r="AO227" s="173">
        <f t="shared" si="254"/>
        <v>12.002607043699999</v>
      </c>
      <c r="AP227" s="173">
        <f t="shared" si="255"/>
        <v>64.909517953700004</v>
      </c>
      <c r="AQ227" s="173">
        <f t="shared" si="256"/>
        <v>10.817018003699999</v>
      </c>
      <c r="AS227" s="22" t="str">
        <f>+VLOOKUP(B227,'Country &amp; Code Abbreviation'!$B$3:$C$245,2,FALSE)</f>
        <v>TT</v>
      </c>
    </row>
    <row r="228" spans="2:45">
      <c r="B228" s="20" t="s">
        <v>299</v>
      </c>
      <c r="C228" s="20" t="s">
        <v>270</v>
      </c>
      <c r="E228" s="11" t="str">
        <f>+VLOOKUP($B228,'[3]INT Web'!$B$5:$W$247,'[3]INT Web'!Q$1,FALSE)</f>
        <v>TND</v>
      </c>
      <c r="F228" s="190">
        <f>+VLOOKUP($B228,'[3]INT Web'!$B$5:$W$247,'[3]INT Web'!R$1,FALSE)</f>
        <v>215.999</v>
      </c>
      <c r="G228" s="190">
        <f>+VLOOKUP($B228,'[3]INT Web'!$B$5:$W$247,'[3]INT Web'!S$1,FALSE)</f>
        <v>35.999000000000002</v>
      </c>
      <c r="H228" s="190">
        <f>+VLOOKUP($B228,'[3]INT Web'!$B$5:$W$247,'[3]INT Web'!T$1,FALSE)</f>
        <v>161.999</v>
      </c>
      <c r="I228" s="190">
        <f>+VLOOKUP($B228,'[3]INT Web'!$B$5:$W$247,'[3]INT Web'!U$1,FALSE)</f>
        <v>26.998999999999999</v>
      </c>
      <c r="J228" s="190">
        <f>+VLOOKUP($B228,'[3]INT Web'!$B$5:$W$247,'[3]INT Web'!V$1,FALSE)</f>
        <v>143.999</v>
      </c>
      <c r="K228" s="190">
        <f>+VLOOKUP($B228,'[3]INT Web'!$B$5:$W$247,'[3]INT Web'!W$1,FALSE)</f>
        <v>23.998999999999999</v>
      </c>
      <c r="L228" s="12">
        <f t="shared" si="235"/>
        <v>6.0001388927470201</v>
      </c>
      <c r="M228" s="12">
        <f t="shared" si="236"/>
        <v>1.3333456794696101</v>
      </c>
      <c r="N228" s="12">
        <f t="shared" si="237"/>
        <v>6.0001851920441496</v>
      </c>
      <c r="O228" s="12">
        <f t="shared" si="238"/>
        <v>6.0002083420142505</v>
      </c>
      <c r="P228" s="12">
        <f t="shared" si="239"/>
        <v>0.88888477351012996</v>
      </c>
      <c r="Q228" s="141" t="str">
        <f t="shared" si="257"/>
        <v>TND</v>
      </c>
      <c r="R228" s="135">
        <f>+VLOOKUP($B228,'Country-Level Tactics'!$B$5:$AL$248,'Country-Level Tactics'!AH$1,FALSE)</f>
        <v>215.999</v>
      </c>
      <c r="S228" s="135">
        <f>+VLOOKUP($B228,'Country-Level Tactics'!$B$5:$AL$248,'Country-Level Tactics'!X$1,FALSE)</f>
        <v>35.999000000000002</v>
      </c>
      <c r="T228" s="135">
        <f>+VLOOKUP($B228,'Country-Level Tactics'!$B$5:$AL$248,'Country-Level Tactics'!AC$1,FALSE)</f>
        <v>161.999</v>
      </c>
      <c r="U228" s="135">
        <f>+VLOOKUP($B228,'Country-Level Tactics'!$B$5:$AL$248,'Country-Level Tactics'!T$1,FALSE)</f>
        <v>26.998999999999999</v>
      </c>
      <c r="V228" s="135">
        <f t="shared" si="233"/>
        <v>143.999</v>
      </c>
      <c r="W228" s="135">
        <f t="shared" si="234"/>
        <v>23.998999999999999</v>
      </c>
      <c r="X228" s="12">
        <f t="shared" si="240"/>
        <v>6.0001388927470201</v>
      </c>
      <c r="Y228" s="12">
        <f t="shared" si="241"/>
        <v>1.3333456794696101</v>
      </c>
      <c r="Z228" s="12">
        <f t="shared" si="242"/>
        <v>6.0001851920441496</v>
      </c>
      <c r="AA228" s="12">
        <f t="shared" si="243"/>
        <v>6.0002083420142505</v>
      </c>
      <c r="AB228" s="12">
        <f t="shared" si="244"/>
        <v>0.88888477351012996</v>
      </c>
      <c r="AD228" s="10">
        <f t="shared" si="245"/>
        <v>0</v>
      </c>
      <c r="AE228" s="10">
        <f t="shared" si="246"/>
        <v>0</v>
      </c>
      <c r="AF228" s="10">
        <f t="shared" si="247"/>
        <v>0</v>
      </c>
      <c r="AG228" s="10">
        <f t="shared" si="248"/>
        <v>0</v>
      </c>
      <c r="AH228" s="10">
        <f t="shared" si="249"/>
        <v>0</v>
      </c>
      <c r="AI228" s="10">
        <f t="shared" si="250"/>
        <v>0</v>
      </c>
      <c r="AK228" s="165">
        <v>0.33881650000000002</v>
      </c>
      <c r="AL228" s="173">
        <f t="shared" si="251"/>
        <v>73.184025183499998</v>
      </c>
      <c r="AM228" s="173">
        <f t="shared" si="252"/>
        <v>12.197055183500002</v>
      </c>
      <c r="AN228" s="173">
        <f t="shared" si="253"/>
        <v>54.887934183500001</v>
      </c>
      <c r="AO228" s="173">
        <f t="shared" si="254"/>
        <v>9.1477066835000009</v>
      </c>
      <c r="AP228" s="173">
        <f t="shared" si="255"/>
        <v>48.789237183499999</v>
      </c>
      <c r="AQ228" s="173">
        <f t="shared" si="256"/>
        <v>8.1312571835000007</v>
      </c>
      <c r="AS228" s="22" t="str">
        <f>+VLOOKUP(B228,'Country &amp; Code Abbreviation'!$B$3:$C$245,2,FALSE)</f>
        <v>TN</v>
      </c>
    </row>
    <row r="229" spans="2:45">
      <c r="B229" s="100" t="s">
        <v>300</v>
      </c>
      <c r="C229" s="100" t="s">
        <v>100</v>
      </c>
      <c r="D229" s="6" t="s">
        <v>350</v>
      </c>
      <c r="E229" s="11" t="str">
        <f>+VLOOKUP($B229,'[3]INT Web'!$B$5:$W$247,'[3]INT Web'!Q$1,FALSE)</f>
        <v>TRY</v>
      </c>
      <c r="F229" s="22">
        <f>+VLOOKUP($B229,'[3]INT Web'!$B$5:$W$247,'[3]INT Web'!R$1,FALSE)</f>
        <v>1249.99</v>
      </c>
      <c r="G229" s="22">
        <f>+VLOOKUP($B229,'[3]INT Web'!$B$5:$W$247,'[3]INT Web'!S$1,FALSE)</f>
        <v>192.99</v>
      </c>
      <c r="H229" s="22">
        <f>+VLOOKUP($B229,'[3]INT Web'!$B$5:$W$247,'[3]INT Web'!T$1,FALSE)</f>
        <v>924.99</v>
      </c>
      <c r="I229" s="22">
        <f>+VLOOKUP($B229,'[3]INT Web'!$B$5:$W$247,'[3]INT Web'!U$1,FALSE)</f>
        <v>141.99</v>
      </c>
      <c r="J229" s="22">
        <f>+VLOOKUP($B229,'[3]INT Web'!$B$5:$W$247,'[3]INT Web'!V$1,FALSE)</f>
        <v>826.99</v>
      </c>
      <c r="K229" s="22">
        <f>+VLOOKUP($B229,'[3]INT Web'!$B$5:$W$247,'[3]INT Web'!W$1,FALSE)</f>
        <v>126.99</v>
      </c>
      <c r="L229" s="12">
        <f t="shared" si="235"/>
        <v>6.476967718534639</v>
      </c>
      <c r="M229" s="12">
        <f t="shared" si="236"/>
        <v>1.3591802239594337</v>
      </c>
      <c r="N229" s="12">
        <f t="shared" si="237"/>
        <v>6.5144728502007183</v>
      </c>
      <c r="O229" s="12">
        <f t="shared" si="238"/>
        <v>6.5122450586660374</v>
      </c>
      <c r="P229" s="12">
        <f t="shared" si="239"/>
        <v>0.89435875765898998</v>
      </c>
      <c r="Q229" s="140" t="str">
        <f t="shared" si="257"/>
        <v>TRY</v>
      </c>
      <c r="R229" s="144">
        <f>+VLOOKUP($B229,'Country-Level Tactics'!$B$5:$AL$248,'Country-Level Tactics'!AH$1,FALSE)</f>
        <v>1784.99</v>
      </c>
      <c r="S229" s="144">
        <f>+VLOOKUP($B229,'Country-Level Tactics'!$B$5:$AL$248,'Country-Level Tactics'!X$1,FALSE)</f>
        <v>274.99</v>
      </c>
      <c r="T229" s="144">
        <f>+VLOOKUP($B229,'Country-Level Tactics'!$B$5:$AL$248,'Country-Level Tactics'!AC$1,FALSE)</f>
        <v>1329.99</v>
      </c>
      <c r="U229" s="144">
        <f>+VLOOKUP($B229,'Country-Level Tactics'!$B$5:$AL$248,'Country-Level Tactics'!T$1,FALSE)</f>
        <v>204.99</v>
      </c>
      <c r="V229" s="107">
        <f>+MROUND(W229*O229,5)-0.01</f>
        <v>1204.99</v>
      </c>
      <c r="W229" s="107">
        <f>+MROUND(U229*P229,5)-0.01</f>
        <v>184.99</v>
      </c>
      <c r="X229" s="12">
        <f t="shared" si="240"/>
        <v>6.4911087675915482</v>
      </c>
      <c r="Y229" s="12">
        <f t="shared" si="241"/>
        <v>1.3414800721986437</v>
      </c>
      <c r="Z229" s="12">
        <f t="shared" si="242"/>
        <v>6.4880725889067756</v>
      </c>
      <c r="AA229" s="12">
        <f t="shared" si="243"/>
        <v>6.5138115573814801</v>
      </c>
      <c r="AB229" s="12">
        <f t="shared" si="244"/>
        <v>0.90243426508610181</v>
      </c>
      <c r="AD229" s="10">
        <f t="shared" si="245"/>
        <v>0.42800342402739222</v>
      </c>
      <c r="AE229" s="10">
        <f t="shared" si="246"/>
        <v>0.424892481475724</v>
      </c>
      <c r="AF229" s="10">
        <f t="shared" si="247"/>
        <v>0.43784257127104076</v>
      </c>
      <c r="AG229" s="10">
        <f t="shared" si="248"/>
        <v>0.44369321783224169</v>
      </c>
      <c r="AH229" s="10">
        <f t="shared" si="249"/>
        <v>0.45707928753672955</v>
      </c>
      <c r="AI229" s="10">
        <f t="shared" si="250"/>
        <v>0.45672887628947167</v>
      </c>
      <c r="AK229" s="165">
        <v>2.1357366999999999E-2</v>
      </c>
      <c r="AL229" s="173">
        <f t="shared" si="251"/>
        <v>38.122686521329996</v>
      </c>
      <c r="AM229" s="173">
        <f t="shared" si="252"/>
        <v>5.8730623513299998</v>
      </c>
      <c r="AN229" s="173">
        <f t="shared" si="253"/>
        <v>28.405084536329998</v>
      </c>
      <c r="AO229" s="173">
        <f t="shared" si="254"/>
        <v>4.37804666133</v>
      </c>
      <c r="AP229" s="173">
        <f t="shared" si="255"/>
        <v>25.73541366133</v>
      </c>
      <c r="AQ229" s="173">
        <f t="shared" si="256"/>
        <v>3.9508993213300001</v>
      </c>
      <c r="AS229" s="22" t="str">
        <f>+VLOOKUP(B229,'Country &amp; Code Abbreviation'!$B$3:$C$245,2,FALSE)</f>
        <v>TR</v>
      </c>
    </row>
    <row r="230" spans="2:45">
      <c r="B230" s="20" t="s">
        <v>301</v>
      </c>
      <c r="C230" s="20" t="s">
        <v>182</v>
      </c>
      <c r="E230" s="11" t="str">
        <f>+VLOOKUP($B230,'[3]INT Web'!$B$5:$W$247,'[3]INT Web'!Q$1,FALSE)</f>
        <v>USD</v>
      </c>
      <c r="F230" s="22">
        <f>+VLOOKUP($B230,'[3]INT Web'!$B$5:$W$247,'[3]INT Web'!R$1,FALSE)</f>
        <v>89.99</v>
      </c>
      <c r="G230" s="22">
        <f>+VLOOKUP($B230,'[3]INT Web'!$B$5:$W$247,'[3]INT Web'!S$1,FALSE)</f>
        <v>14.99</v>
      </c>
      <c r="H230" s="22">
        <f>+VLOOKUP($B230,'[3]INT Web'!$B$5:$W$247,'[3]INT Web'!T$1,FALSE)</f>
        <v>65.989999999999995</v>
      </c>
      <c r="I230" s="22">
        <f>+VLOOKUP($B230,'[3]INT Web'!$B$5:$W$247,'[3]INT Web'!U$1,FALSE)</f>
        <v>10.99</v>
      </c>
      <c r="J230" s="22">
        <f>+VLOOKUP($B230,'[3]INT Web'!$B$5:$W$247,'[3]INT Web'!V$1,FALSE)</f>
        <v>59.99</v>
      </c>
      <c r="K230" s="22">
        <f>+VLOOKUP($B230,'[3]INT Web'!$B$5:$W$247,'[3]INT Web'!W$1,FALSE)</f>
        <v>9.99</v>
      </c>
      <c r="L230" s="12">
        <f t="shared" si="235"/>
        <v>6.0033355570380253</v>
      </c>
      <c r="M230" s="12">
        <f t="shared" si="236"/>
        <v>1.3639672429481347</v>
      </c>
      <c r="N230" s="12">
        <f t="shared" si="237"/>
        <v>6.0045495905368513</v>
      </c>
      <c r="O230" s="12">
        <f t="shared" si="238"/>
        <v>6.005005005005005</v>
      </c>
      <c r="P230" s="12">
        <f t="shared" si="239"/>
        <v>0.90900818926296634</v>
      </c>
      <c r="Q230" s="140" t="str">
        <f t="shared" si="257"/>
        <v>USD</v>
      </c>
      <c r="R230" s="104">
        <f>+VLOOKUP($B230,'Country-Level Tactics'!$B$5:$AL$248,'Country-Level Tactics'!AH$1,FALSE)</f>
        <v>89.99</v>
      </c>
      <c r="S230" s="104">
        <f>+VLOOKUP($B230,'Country-Level Tactics'!$B$5:$AL$248,'Country-Level Tactics'!X$1,FALSE)</f>
        <v>14.99</v>
      </c>
      <c r="T230" s="104">
        <f>+VLOOKUP($B230,'Country-Level Tactics'!$B$5:$AL$248,'Country-Level Tactics'!AC$1,FALSE)</f>
        <v>65.989999999999995</v>
      </c>
      <c r="U230" s="104">
        <f>+VLOOKUP($B230,'Country-Level Tactics'!$B$5:$AL$248,'Country-Level Tactics'!T$1,FALSE)</f>
        <v>10.99</v>
      </c>
      <c r="V230" s="104">
        <f t="shared" ref="V230:V247" si="258">+J230</f>
        <v>59.99</v>
      </c>
      <c r="W230" s="104">
        <f t="shared" ref="W230:W247" si="259">+K230</f>
        <v>9.99</v>
      </c>
      <c r="X230" s="12">
        <f t="shared" si="240"/>
        <v>6.0033355570380253</v>
      </c>
      <c r="Y230" s="12">
        <f t="shared" si="241"/>
        <v>1.3639672429481347</v>
      </c>
      <c r="Z230" s="12">
        <f t="shared" si="242"/>
        <v>6.0045495905368513</v>
      </c>
      <c r="AA230" s="12">
        <f t="shared" si="243"/>
        <v>6.005005005005005</v>
      </c>
      <c r="AB230" s="12">
        <f t="shared" si="244"/>
        <v>0.90900818926296634</v>
      </c>
      <c r="AD230" s="10">
        <f t="shared" si="245"/>
        <v>0</v>
      </c>
      <c r="AE230" s="10">
        <f t="shared" si="246"/>
        <v>0</v>
      </c>
      <c r="AF230" s="10">
        <f t="shared" si="247"/>
        <v>0</v>
      </c>
      <c r="AG230" s="10">
        <f t="shared" si="248"/>
        <v>0</v>
      </c>
      <c r="AH230" s="10">
        <f t="shared" si="249"/>
        <v>0</v>
      </c>
      <c r="AI230" s="10">
        <f t="shared" si="250"/>
        <v>0</v>
      </c>
      <c r="AK230" s="165">
        <v>1</v>
      </c>
      <c r="AL230" s="173">
        <f t="shared" si="251"/>
        <v>89.99</v>
      </c>
      <c r="AM230" s="173">
        <f t="shared" si="252"/>
        <v>14.99</v>
      </c>
      <c r="AN230" s="173">
        <f t="shared" si="253"/>
        <v>65.989999999999995</v>
      </c>
      <c r="AO230" s="173">
        <f t="shared" si="254"/>
        <v>10.99</v>
      </c>
      <c r="AP230" s="173">
        <f t="shared" si="255"/>
        <v>59.99</v>
      </c>
      <c r="AQ230" s="173">
        <f t="shared" si="256"/>
        <v>9.99</v>
      </c>
      <c r="AS230" s="22" t="str">
        <f>+VLOOKUP(B230,'Country &amp; Code Abbreviation'!$B$3:$C$245,2,FALSE)</f>
        <v>TM</v>
      </c>
    </row>
    <row r="231" spans="2:45">
      <c r="B231" s="20" t="s">
        <v>302</v>
      </c>
      <c r="C231" s="20" t="s">
        <v>96</v>
      </c>
      <c r="E231" s="11" t="str">
        <f>+VLOOKUP($B231,'[3]INT Web'!$B$5:$W$247,'[3]INT Web'!Q$1,FALSE)</f>
        <v>USD</v>
      </c>
      <c r="F231" s="22">
        <f>+VLOOKUP($B231,'[3]INT Web'!$B$5:$W$247,'[3]INT Web'!R$1,FALSE)</f>
        <v>102.99</v>
      </c>
      <c r="G231" s="22">
        <f>+VLOOKUP($B231,'[3]INT Web'!$B$5:$W$247,'[3]INT Web'!S$1,FALSE)</f>
        <v>16.989999999999998</v>
      </c>
      <c r="H231" s="22">
        <f>+VLOOKUP($B231,'[3]INT Web'!$B$5:$W$247,'[3]INT Web'!T$1,FALSE)</f>
        <v>71.989999999999995</v>
      </c>
      <c r="I231" s="22">
        <f>+VLOOKUP($B231,'[3]INT Web'!$B$5:$W$247,'[3]INT Web'!U$1,FALSE)</f>
        <v>11.99</v>
      </c>
      <c r="J231" s="22">
        <f>+VLOOKUP($B231,'[3]INT Web'!$B$5:$W$247,'[3]INT Web'!V$1,FALSE)</f>
        <v>65.989999999999995</v>
      </c>
      <c r="K231" s="22">
        <f>+VLOOKUP($B231,'[3]INT Web'!$B$5:$W$247,'[3]INT Web'!W$1,FALSE)</f>
        <v>10.99</v>
      </c>
      <c r="L231" s="12">
        <f t="shared" si="235"/>
        <v>6.0618010594467338</v>
      </c>
      <c r="M231" s="12">
        <f t="shared" si="236"/>
        <v>1.4170141784820682</v>
      </c>
      <c r="N231" s="12">
        <f t="shared" si="237"/>
        <v>6.0041701417848206</v>
      </c>
      <c r="O231" s="12">
        <f t="shared" si="238"/>
        <v>6.0045495905368513</v>
      </c>
      <c r="P231" s="12">
        <f t="shared" si="239"/>
        <v>0.91659716430358629</v>
      </c>
      <c r="Q231" s="140" t="str">
        <f t="shared" si="257"/>
        <v>USD</v>
      </c>
      <c r="R231" s="104">
        <f>+VLOOKUP($B231,'Country-Level Tactics'!$B$5:$AL$248,'Country-Level Tactics'!AH$1,FALSE)</f>
        <v>102.99</v>
      </c>
      <c r="S231" s="104">
        <f>+VLOOKUP($B231,'Country-Level Tactics'!$B$5:$AL$248,'Country-Level Tactics'!X$1,FALSE)</f>
        <v>16.989999999999998</v>
      </c>
      <c r="T231" s="104">
        <f>+VLOOKUP($B231,'Country-Level Tactics'!$B$5:$AL$248,'Country-Level Tactics'!AC$1,FALSE)</f>
        <v>71.989999999999995</v>
      </c>
      <c r="U231" s="104">
        <f>+VLOOKUP($B231,'Country-Level Tactics'!$B$5:$AL$248,'Country-Level Tactics'!T$1,FALSE)</f>
        <v>11.99</v>
      </c>
      <c r="V231" s="104">
        <f t="shared" si="258"/>
        <v>65.989999999999995</v>
      </c>
      <c r="W231" s="104">
        <f t="shared" si="259"/>
        <v>10.99</v>
      </c>
      <c r="X231" s="12">
        <f t="shared" si="240"/>
        <v>6.0618010594467338</v>
      </c>
      <c r="Y231" s="12">
        <f t="shared" si="241"/>
        <v>1.4170141784820682</v>
      </c>
      <c r="Z231" s="12">
        <f t="shared" si="242"/>
        <v>6.0041701417848206</v>
      </c>
      <c r="AA231" s="12">
        <f t="shared" si="243"/>
        <v>6.0045495905368513</v>
      </c>
      <c r="AB231" s="12">
        <f t="shared" si="244"/>
        <v>0.91659716430358629</v>
      </c>
      <c r="AD231" s="10">
        <f t="shared" si="245"/>
        <v>0</v>
      </c>
      <c r="AE231" s="10">
        <f t="shared" si="246"/>
        <v>0</v>
      </c>
      <c r="AF231" s="10">
        <f t="shared" si="247"/>
        <v>0</v>
      </c>
      <c r="AG231" s="10">
        <f t="shared" si="248"/>
        <v>0</v>
      </c>
      <c r="AH231" s="10">
        <f t="shared" si="249"/>
        <v>0</v>
      </c>
      <c r="AI231" s="10">
        <f t="shared" si="250"/>
        <v>0</v>
      </c>
      <c r="AK231" s="165">
        <v>1</v>
      </c>
      <c r="AL231" s="173">
        <f t="shared" si="251"/>
        <v>102.99</v>
      </c>
      <c r="AM231" s="173">
        <f t="shared" si="252"/>
        <v>16.989999999999998</v>
      </c>
      <c r="AN231" s="173">
        <f t="shared" si="253"/>
        <v>71.989999999999995</v>
      </c>
      <c r="AO231" s="173">
        <f t="shared" si="254"/>
        <v>11.99</v>
      </c>
      <c r="AP231" s="173">
        <f t="shared" si="255"/>
        <v>65.989999999999995</v>
      </c>
      <c r="AQ231" s="173">
        <f t="shared" si="256"/>
        <v>10.99</v>
      </c>
      <c r="AS231" s="22" t="str">
        <f>+VLOOKUP(B231,'Country &amp; Code Abbreviation'!$B$3:$C$245,2,FALSE)</f>
        <v>TC</v>
      </c>
    </row>
    <row r="232" spans="2:45">
      <c r="B232" s="20" t="s">
        <v>303</v>
      </c>
      <c r="C232" s="20" t="s">
        <v>182</v>
      </c>
      <c r="E232" s="11" t="str">
        <f>+VLOOKUP($B232,'[3]INT Web'!$B$5:$W$247,'[3]INT Web'!Q$1,FALSE)</f>
        <v>AUD</v>
      </c>
      <c r="F232" s="22">
        <f>+VLOOKUP($B232,'[3]INT Web'!$B$5:$W$247,'[3]INT Web'!R$1,FALSE)</f>
        <v>113.99</v>
      </c>
      <c r="G232" s="22">
        <f>+VLOOKUP($B232,'[3]INT Web'!$B$5:$W$247,'[3]INT Web'!S$1,FALSE)</f>
        <v>18.989999999999998</v>
      </c>
      <c r="H232" s="22">
        <f>+VLOOKUP($B232,'[3]INT Web'!$B$5:$W$247,'[3]INT Web'!T$1,FALSE)</f>
        <v>83.99</v>
      </c>
      <c r="I232" s="22">
        <f>+VLOOKUP($B232,'[3]INT Web'!$B$5:$W$247,'[3]INT Web'!U$1,FALSE)</f>
        <v>13.99</v>
      </c>
      <c r="J232" s="22">
        <f>+VLOOKUP($B232,'[3]INT Web'!$B$5:$W$247,'[3]INT Web'!V$1,FALSE)</f>
        <v>77.989999999999995</v>
      </c>
      <c r="K232" s="22">
        <f>+VLOOKUP($B232,'[3]INT Web'!$B$5:$W$247,'[3]INT Web'!W$1,FALSE)</f>
        <v>12.99</v>
      </c>
      <c r="L232" s="12">
        <f t="shared" si="235"/>
        <v>6.0026329647182726</v>
      </c>
      <c r="M232" s="12">
        <f t="shared" si="236"/>
        <v>1.3573981415296639</v>
      </c>
      <c r="N232" s="12">
        <f t="shared" si="237"/>
        <v>6.003573981415296</v>
      </c>
      <c r="O232" s="12">
        <f t="shared" si="238"/>
        <v>6.0038491147036179</v>
      </c>
      <c r="P232" s="12">
        <f t="shared" si="239"/>
        <v>0.9285203716940672</v>
      </c>
      <c r="Q232" s="140" t="str">
        <f t="shared" si="257"/>
        <v>AUD</v>
      </c>
      <c r="R232" s="104">
        <f>+VLOOKUP($B232,'Country-Level Tactics'!$B$5:$AL$248,'Country-Level Tactics'!AH$1,FALSE)</f>
        <v>113.99</v>
      </c>
      <c r="S232" s="104">
        <f>+VLOOKUP($B232,'Country-Level Tactics'!$B$5:$AL$248,'Country-Level Tactics'!X$1,FALSE)</f>
        <v>18.989999999999998</v>
      </c>
      <c r="T232" s="104">
        <f>+VLOOKUP($B232,'Country-Level Tactics'!$B$5:$AL$248,'Country-Level Tactics'!AC$1,FALSE)</f>
        <v>83.99</v>
      </c>
      <c r="U232" s="104">
        <f>+VLOOKUP($B232,'Country-Level Tactics'!$B$5:$AL$248,'Country-Level Tactics'!T$1,FALSE)</f>
        <v>13.99</v>
      </c>
      <c r="V232" s="104">
        <f t="shared" si="258"/>
        <v>77.989999999999995</v>
      </c>
      <c r="W232" s="104">
        <f t="shared" si="259"/>
        <v>12.99</v>
      </c>
      <c r="X232" s="12">
        <f t="shared" si="240"/>
        <v>6.0026329647182726</v>
      </c>
      <c r="Y232" s="12">
        <f t="shared" si="241"/>
        <v>1.3573981415296639</v>
      </c>
      <c r="Z232" s="12">
        <f t="shared" si="242"/>
        <v>6.003573981415296</v>
      </c>
      <c r="AA232" s="12">
        <f t="shared" si="243"/>
        <v>6.0038491147036179</v>
      </c>
      <c r="AB232" s="12">
        <f t="shared" si="244"/>
        <v>0.9285203716940672</v>
      </c>
      <c r="AD232" s="10">
        <f t="shared" si="245"/>
        <v>0</v>
      </c>
      <c r="AE232" s="10">
        <f t="shared" si="246"/>
        <v>0</v>
      </c>
      <c r="AF232" s="10">
        <f t="shared" si="247"/>
        <v>0</v>
      </c>
      <c r="AG232" s="10">
        <f t="shared" si="248"/>
        <v>0</v>
      </c>
      <c r="AH232" s="10">
        <f t="shared" si="249"/>
        <v>0</v>
      </c>
      <c r="AI232" s="10">
        <f t="shared" si="250"/>
        <v>0</v>
      </c>
      <c r="AK232" s="165">
        <v>0.69374999999999998</v>
      </c>
      <c r="AL232" s="173">
        <f t="shared" si="251"/>
        <v>79.080562499999999</v>
      </c>
      <c r="AM232" s="173">
        <f t="shared" si="252"/>
        <v>13.174312499999999</v>
      </c>
      <c r="AN232" s="173">
        <f t="shared" si="253"/>
        <v>58.268062499999992</v>
      </c>
      <c r="AO232" s="173">
        <f t="shared" si="254"/>
        <v>9.7055624999999992</v>
      </c>
      <c r="AP232" s="173">
        <f t="shared" si="255"/>
        <v>54.105562499999998</v>
      </c>
      <c r="AQ232" s="173">
        <f t="shared" si="256"/>
        <v>9.0118124999999996</v>
      </c>
      <c r="AS232" s="22" t="str">
        <f>+VLOOKUP(B232,'Country &amp; Code Abbreviation'!$B$3:$C$245,2,FALSE)</f>
        <v>TV</v>
      </c>
    </row>
    <row r="233" spans="2:45">
      <c r="B233" s="20" t="s">
        <v>304</v>
      </c>
      <c r="C233" s="20" t="s">
        <v>270</v>
      </c>
      <c r="E233" s="11" t="str">
        <f>+VLOOKUP($B233,'[3]INT Web'!$B$5:$W$247,'[3]INT Web'!Q$1,FALSE)</f>
        <v>UGX</v>
      </c>
      <c r="F233" s="136">
        <f>+VLOOKUP($B233,'[3]INT Web'!$B$5:$W$247,'[3]INT Web'!R$1,FALSE)</f>
        <v>261660</v>
      </c>
      <c r="G233" s="136">
        <f>+VLOOKUP($B233,'[3]INT Web'!$B$5:$W$247,'[3]INT Web'!S$1,FALSE)</f>
        <v>43610</v>
      </c>
      <c r="H233" s="136">
        <f>+VLOOKUP($B233,'[3]INT Web'!$B$5:$W$247,'[3]INT Web'!T$1,FALSE)</f>
        <v>193800</v>
      </c>
      <c r="I233" s="136">
        <f>+VLOOKUP($B233,'[3]INT Web'!$B$5:$W$247,'[3]INT Web'!U$1,FALSE)</f>
        <v>32300</v>
      </c>
      <c r="J233" s="136">
        <f>+VLOOKUP($B233,'[3]INT Web'!$B$5:$W$247,'[3]INT Web'!V$1,FALSE)</f>
        <v>174420</v>
      </c>
      <c r="K233" s="136">
        <f>+VLOOKUP($B233,'[3]INT Web'!$B$5:$W$247,'[3]INT Web'!W$1,FALSE)</f>
        <v>29070</v>
      </c>
      <c r="L233" s="12">
        <f t="shared" si="235"/>
        <v>6</v>
      </c>
      <c r="M233" s="12">
        <f t="shared" si="236"/>
        <v>1.3501547987616098</v>
      </c>
      <c r="N233" s="12">
        <f t="shared" si="237"/>
        <v>6</v>
      </c>
      <c r="O233" s="12">
        <f t="shared" si="238"/>
        <v>6</v>
      </c>
      <c r="P233" s="12">
        <f t="shared" si="239"/>
        <v>0.9</v>
      </c>
      <c r="Q233" s="143" t="str">
        <f t="shared" si="257"/>
        <v>UGX</v>
      </c>
      <c r="R233" s="137">
        <f>+VLOOKUP($B233,'Country-Level Tactics'!$B$5:$AL$248,'Country-Level Tactics'!AH$1,FALSE)</f>
        <v>261660</v>
      </c>
      <c r="S233" s="137">
        <f>+VLOOKUP($B233,'Country-Level Tactics'!$B$5:$AL$248,'Country-Level Tactics'!X$1,FALSE)</f>
        <v>43610</v>
      </c>
      <c r="T233" s="137">
        <f>+VLOOKUP($B233,'Country-Level Tactics'!$B$5:$AL$248,'Country-Level Tactics'!AC$1,FALSE)</f>
        <v>193800</v>
      </c>
      <c r="U233" s="137">
        <f>+VLOOKUP($B233,'Country-Level Tactics'!$B$5:$AL$248,'Country-Level Tactics'!T$1,FALSE)</f>
        <v>32300</v>
      </c>
      <c r="V233" s="137">
        <f t="shared" si="258"/>
        <v>174420</v>
      </c>
      <c r="W233" s="137">
        <f t="shared" si="259"/>
        <v>29070</v>
      </c>
      <c r="X233" s="12">
        <f t="shared" si="240"/>
        <v>6</v>
      </c>
      <c r="Y233" s="12">
        <f t="shared" si="241"/>
        <v>1.3501547987616098</v>
      </c>
      <c r="Z233" s="12">
        <f t="shared" si="242"/>
        <v>6</v>
      </c>
      <c r="AA233" s="12">
        <f t="shared" si="243"/>
        <v>6</v>
      </c>
      <c r="AB233" s="12">
        <f t="shared" si="244"/>
        <v>0.9</v>
      </c>
      <c r="AD233" s="10">
        <f t="shared" si="245"/>
        <v>0</v>
      </c>
      <c r="AE233" s="10">
        <f t="shared" si="246"/>
        <v>0</v>
      </c>
      <c r="AF233" s="10">
        <f t="shared" si="247"/>
        <v>0</v>
      </c>
      <c r="AG233" s="10">
        <f t="shared" si="248"/>
        <v>0</v>
      </c>
      <c r="AH233" s="10">
        <f t="shared" si="249"/>
        <v>0</v>
      </c>
      <c r="AI233" s="10">
        <f t="shared" si="250"/>
        <v>0</v>
      </c>
      <c r="AK233" s="165">
        <v>2.7397260000000003E-4</v>
      </c>
      <c r="AL233" s="173">
        <f t="shared" si="251"/>
        <v>71.687670516000011</v>
      </c>
      <c r="AM233" s="173">
        <f t="shared" si="252"/>
        <v>11.947945086000001</v>
      </c>
      <c r="AN233" s="173">
        <f t="shared" si="253"/>
        <v>53.095889880000009</v>
      </c>
      <c r="AO233" s="173">
        <f t="shared" si="254"/>
        <v>8.8493149800000008</v>
      </c>
      <c r="AP233" s="173">
        <f t="shared" si="255"/>
        <v>47.786300892000007</v>
      </c>
      <c r="AQ233" s="173">
        <f t="shared" si="256"/>
        <v>7.9643834820000006</v>
      </c>
      <c r="AS233" s="22" t="str">
        <f>+VLOOKUP(B233,'Country &amp; Code Abbreviation'!$B$3:$C$245,2,FALSE)</f>
        <v>UG</v>
      </c>
    </row>
    <row r="234" spans="2:45">
      <c r="B234" s="20" t="s">
        <v>305</v>
      </c>
      <c r="C234" s="20" t="s">
        <v>100</v>
      </c>
      <c r="E234" s="11" t="str">
        <f>+VLOOKUP($B234,'[3]INT Web'!$B$5:$W$247,'[3]INT Web'!Q$1,FALSE)</f>
        <v>UAH</v>
      </c>
      <c r="F234" s="22">
        <f>+VLOOKUP($B234,'[3]INT Web'!$B$5:$W$247,'[3]INT Web'!R$1,FALSE)</f>
        <v>1699.99</v>
      </c>
      <c r="G234" s="22">
        <f>+VLOOKUP($B234,'[3]INT Web'!$B$5:$W$247,'[3]INT Web'!S$1,FALSE)</f>
        <v>282.99</v>
      </c>
      <c r="H234" s="22">
        <f>+VLOOKUP($B234,'[3]INT Web'!$B$5:$W$247,'[3]INT Web'!T$1,FALSE)</f>
        <v>1259.99</v>
      </c>
      <c r="I234" s="22">
        <f>+VLOOKUP($B234,'[3]INT Web'!$B$5:$W$247,'[3]INT Web'!U$1,FALSE)</f>
        <v>209.99</v>
      </c>
      <c r="J234" s="22">
        <f>+VLOOKUP($B234,'[3]INT Web'!$B$5:$W$247,'[3]INT Web'!V$1,FALSE)</f>
        <v>1129.99</v>
      </c>
      <c r="K234" s="22">
        <f>+VLOOKUP($B234,'[3]INT Web'!$B$5:$W$247,'[3]INT Web'!W$1,FALSE)</f>
        <v>188.99</v>
      </c>
      <c r="L234" s="12">
        <f t="shared" si="235"/>
        <v>6.0072440722287004</v>
      </c>
      <c r="M234" s="12">
        <f t="shared" si="236"/>
        <v>1.3476356016953188</v>
      </c>
      <c r="N234" s="12">
        <f t="shared" si="237"/>
        <v>6.0002381065765036</v>
      </c>
      <c r="O234" s="12">
        <f t="shared" si="238"/>
        <v>5.9790994232499068</v>
      </c>
      <c r="P234" s="12">
        <f t="shared" si="239"/>
        <v>0.89999523786846991</v>
      </c>
      <c r="Q234" s="140" t="str">
        <f t="shared" si="257"/>
        <v>UAH</v>
      </c>
      <c r="R234" s="104">
        <f>+VLOOKUP($B234,'Country-Level Tactics'!$B$5:$AL$248,'Country-Level Tactics'!AH$1,FALSE)</f>
        <v>1699.99</v>
      </c>
      <c r="S234" s="104">
        <f>+VLOOKUP($B234,'Country-Level Tactics'!$B$5:$AL$248,'Country-Level Tactics'!X$1,FALSE)</f>
        <v>282.99</v>
      </c>
      <c r="T234" s="104">
        <f>+VLOOKUP($B234,'Country-Level Tactics'!$B$5:$AL$248,'Country-Level Tactics'!AC$1,FALSE)</f>
        <v>1259.99</v>
      </c>
      <c r="U234" s="104">
        <f>+VLOOKUP($B234,'Country-Level Tactics'!$B$5:$AL$248,'Country-Level Tactics'!T$1,FALSE)</f>
        <v>209.99</v>
      </c>
      <c r="V234" s="104">
        <f t="shared" si="258"/>
        <v>1129.99</v>
      </c>
      <c r="W234" s="104">
        <f t="shared" si="259"/>
        <v>188.99</v>
      </c>
      <c r="X234" s="12">
        <f t="shared" si="240"/>
        <v>6.0072440722287004</v>
      </c>
      <c r="Y234" s="12">
        <f t="shared" si="241"/>
        <v>1.3476356016953188</v>
      </c>
      <c r="Z234" s="12">
        <f t="shared" si="242"/>
        <v>6.0002381065765036</v>
      </c>
      <c r="AA234" s="12">
        <f t="shared" si="243"/>
        <v>5.9790994232499068</v>
      </c>
      <c r="AB234" s="12">
        <f t="shared" si="244"/>
        <v>0.89999523786846991</v>
      </c>
      <c r="AD234" s="10">
        <f t="shared" si="245"/>
        <v>0</v>
      </c>
      <c r="AE234" s="10">
        <f t="shared" si="246"/>
        <v>0</v>
      </c>
      <c r="AF234" s="10">
        <f t="shared" si="247"/>
        <v>0</v>
      </c>
      <c r="AG234" s="10">
        <f t="shared" si="248"/>
        <v>0</v>
      </c>
      <c r="AH234" s="10">
        <f t="shared" si="249"/>
        <v>0</v>
      </c>
      <c r="AI234" s="10">
        <f t="shared" si="250"/>
        <v>0</v>
      </c>
      <c r="AK234" s="165">
        <v>2.2437598999999999E-2</v>
      </c>
      <c r="AL234" s="173">
        <f t="shared" si="251"/>
        <v>38.143693924010002</v>
      </c>
      <c r="AM234" s="173">
        <f t="shared" si="252"/>
        <v>6.3496161410100003</v>
      </c>
      <c r="AN234" s="173">
        <f t="shared" si="253"/>
        <v>28.271150364009998</v>
      </c>
      <c r="AO234" s="173">
        <f t="shared" si="254"/>
        <v>4.7116714140100004</v>
      </c>
      <c r="AP234" s="173">
        <f t="shared" si="255"/>
        <v>25.354262494009998</v>
      </c>
      <c r="AQ234" s="173">
        <f t="shared" si="256"/>
        <v>4.2404818350099998</v>
      </c>
      <c r="AS234" s="22" t="str">
        <f>+VLOOKUP(B234,'Country &amp; Code Abbreviation'!$B$3:$C$245,2,FALSE)</f>
        <v>UA</v>
      </c>
    </row>
    <row r="235" spans="2:45">
      <c r="B235" s="20" t="s">
        <v>306</v>
      </c>
      <c r="C235" s="20" t="s">
        <v>275</v>
      </c>
      <c r="E235" s="11" t="str">
        <f>+VLOOKUP($B235,'[3]INT Web'!$B$5:$W$247,'[3]INT Web'!Q$1,FALSE)</f>
        <v>AED</v>
      </c>
      <c r="F235" s="22">
        <f>+VLOOKUP($B235,'[3]INT Web'!$B$5:$W$247,'[3]INT Web'!R$1,FALSE)</f>
        <v>559.99</v>
      </c>
      <c r="G235" s="22">
        <f>+VLOOKUP($B235,'[3]INT Web'!$B$5:$W$247,'[3]INT Web'!S$1,FALSE)</f>
        <v>86.99</v>
      </c>
      <c r="H235" s="22">
        <f>+VLOOKUP($B235,'[3]INT Web'!$B$5:$W$247,'[3]INT Web'!T$1,FALSE)</f>
        <v>399.99</v>
      </c>
      <c r="I235" s="22">
        <f>+VLOOKUP($B235,'[3]INT Web'!$B$5:$W$247,'[3]INT Web'!U$1,FALSE)</f>
        <v>61.99</v>
      </c>
      <c r="J235" s="22">
        <f>+VLOOKUP($B235,'[3]INT Web'!$B$5:$W$247,'[3]INT Web'!V$1,FALSE)</f>
        <v>354.99</v>
      </c>
      <c r="K235" s="22">
        <f>+VLOOKUP($B235,'[3]INT Web'!$B$5:$W$247,'[3]INT Web'!W$1,FALSE)</f>
        <v>54.99</v>
      </c>
      <c r="L235" s="12">
        <f t="shared" si="235"/>
        <v>6.4374065984595932</v>
      </c>
      <c r="M235" s="12">
        <f t="shared" si="236"/>
        <v>1.4032908533634456</v>
      </c>
      <c r="N235" s="12">
        <f t="shared" si="237"/>
        <v>6.4524923374737861</v>
      </c>
      <c r="O235" s="12">
        <f t="shared" si="238"/>
        <v>6.4555373704309877</v>
      </c>
      <c r="P235" s="12">
        <f t="shared" si="239"/>
        <v>0.88707856105823524</v>
      </c>
      <c r="Q235" s="140" t="str">
        <f t="shared" si="257"/>
        <v>AED</v>
      </c>
      <c r="R235" s="104">
        <f>+VLOOKUP($B235,'Country-Level Tactics'!$B$5:$AL$248,'Country-Level Tactics'!AH$1,FALSE)</f>
        <v>559.99</v>
      </c>
      <c r="S235" s="104">
        <f>+VLOOKUP($B235,'Country-Level Tactics'!$B$5:$AL$248,'Country-Level Tactics'!X$1,FALSE)</f>
        <v>86.99</v>
      </c>
      <c r="T235" s="104">
        <f>+VLOOKUP($B235,'Country-Level Tactics'!$B$5:$AL$248,'Country-Level Tactics'!AC$1,FALSE)</f>
        <v>399.99</v>
      </c>
      <c r="U235" s="104">
        <f>+VLOOKUP($B235,'Country-Level Tactics'!$B$5:$AL$248,'Country-Level Tactics'!T$1,FALSE)</f>
        <v>61.99</v>
      </c>
      <c r="V235" s="104">
        <f t="shared" si="258"/>
        <v>354.99</v>
      </c>
      <c r="W235" s="104">
        <f t="shared" si="259"/>
        <v>54.99</v>
      </c>
      <c r="X235" s="12">
        <f t="shared" si="240"/>
        <v>6.4374065984595932</v>
      </c>
      <c r="Y235" s="12">
        <f t="shared" si="241"/>
        <v>1.4032908533634456</v>
      </c>
      <c r="Z235" s="12">
        <f t="shared" si="242"/>
        <v>6.4524923374737861</v>
      </c>
      <c r="AA235" s="12">
        <f t="shared" si="243"/>
        <v>6.4555373704309877</v>
      </c>
      <c r="AB235" s="12">
        <f t="shared" si="244"/>
        <v>0.88707856105823524</v>
      </c>
      <c r="AD235" s="10">
        <f t="shared" si="245"/>
        <v>0</v>
      </c>
      <c r="AE235" s="10">
        <f t="shared" si="246"/>
        <v>0</v>
      </c>
      <c r="AF235" s="10">
        <f t="shared" si="247"/>
        <v>0</v>
      </c>
      <c r="AG235" s="10">
        <f t="shared" si="248"/>
        <v>0</v>
      </c>
      <c r="AH235" s="10">
        <f t="shared" si="249"/>
        <v>0</v>
      </c>
      <c r="AI235" s="10">
        <f t="shared" si="250"/>
        <v>0</v>
      </c>
      <c r="AK235" s="165">
        <v>0.27227926000000002</v>
      </c>
      <c r="AL235" s="173">
        <f t="shared" si="251"/>
        <v>152.47366280740002</v>
      </c>
      <c r="AM235" s="173">
        <f t="shared" si="252"/>
        <v>23.685572827400001</v>
      </c>
      <c r="AN235" s="173">
        <f t="shared" si="253"/>
        <v>108.90898120740002</v>
      </c>
      <c r="AO235" s="173">
        <f t="shared" si="254"/>
        <v>16.878591327400002</v>
      </c>
      <c r="AP235" s="173">
        <f t="shared" si="255"/>
        <v>96.656414507400015</v>
      </c>
      <c r="AQ235" s="173">
        <f t="shared" si="256"/>
        <v>14.972636507400003</v>
      </c>
      <c r="AS235" s="22" t="str">
        <f>+VLOOKUP(B235,'Country &amp; Code Abbreviation'!$B$3:$C$245,2,FALSE)</f>
        <v>AE</v>
      </c>
    </row>
    <row r="236" spans="2:45">
      <c r="B236" s="199" t="s">
        <v>307</v>
      </c>
      <c r="C236" s="199" t="s">
        <v>100</v>
      </c>
      <c r="D236" s="6" t="s">
        <v>347</v>
      </c>
      <c r="E236" s="11" t="str">
        <f>+VLOOKUP($B236,'[3]INT Web'!$B$5:$W$247,'[3]INT Web'!Q$1,FALSE)</f>
        <v>GBP</v>
      </c>
      <c r="F236" s="22">
        <f>+VLOOKUP($B236,'[3]INT Web'!$B$5:$W$247,'[3]INT Web'!R$1,FALSE)</f>
        <v>149.99</v>
      </c>
      <c r="G236" s="22">
        <f>+VLOOKUP($B236,'[3]INT Web'!$B$5:$W$247,'[3]INT Web'!S$1,FALSE)</f>
        <v>22.99</v>
      </c>
      <c r="H236" s="22">
        <f>+VLOOKUP($B236,'[3]INT Web'!$B$5:$W$247,'[3]INT Web'!T$1,FALSE)</f>
        <v>114.99</v>
      </c>
      <c r="I236" s="22">
        <f>+VLOOKUP($B236,'[3]INT Web'!$B$5:$W$247,'[3]INT Web'!U$1,FALSE)</f>
        <v>16.989999999999998</v>
      </c>
      <c r="J236" s="22">
        <f>+VLOOKUP($B236,'[3]INT Web'!$B$5:$W$247,'[3]INT Web'!V$1,FALSE)</f>
        <v>99.99</v>
      </c>
      <c r="K236" s="22">
        <f>+VLOOKUP($B236,'[3]INT Web'!$B$5:$W$247,'[3]INT Web'!W$1,FALSE)</f>
        <v>14.99</v>
      </c>
      <c r="L236" s="12">
        <f t="shared" si="235"/>
        <v>6.5241409308394962</v>
      </c>
      <c r="M236" s="12">
        <f t="shared" si="236"/>
        <v>1.3531489111241908</v>
      </c>
      <c r="N236" s="12">
        <f t="shared" si="237"/>
        <v>6.7680988816951153</v>
      </c>
      <c r="O236" s="12">
        <f t="shared" si="238"/>
        <v>6.6704469646430953</v>
      </c>
      <c r="P236" s="12">
        <f t="shared" si="239"/>
        <v>0.88228369629193648</v>
      </c>
      <c r="Q236" s="140" t="str">
        <f t="shared" si="257"/>
        <v>GBP</v>
      </c>
      <c r="R236" s="104">
        <f>+VLOOKUP($B236,'Country-Level Tactics'!$B$5:$AL$248,'Country-Level Tactics'!AH$1,FALSE)</f>
        <v>149.99</v>
      </c>
      <c r="S236" s="104">
        <f>+VLOOKUP($B236,'Country-Level Tactics'!$B$5:$AL$248,'Country-Level Tactics'!X$1,FALSE)</f>
        <v>22.99</v>
      </c>
      <c r="T236" s="104">
        <f>+VLOOKUP($B236,'Country-Level Tactics'!$B$5:$AL$248,'Country-Level Tactics'!AC$1,FALSE)</f>
        <v>114.99</v>
      </c>
      <c r="U236" s="104">
        <f>+VLOOKUP($B236,'Country-Level Tactics'!$B$5:$AL$248,'Country-Level Tactics'!T$1,FALSE)</f>
        <v>16.989999999999998</v>
      </c>
      <c r="V236" s="104">
        <f t="shared" si="258"/>
        <v>99.99</v>
      </c>
      <c r="W236" s="104">
        <f t="shared" si="259"/>
        <v>14.99</v>
      </c>
      <c r="X236" s="12">
        <f t="shared" si="240"/>
        <v>6.5241409308394962</v>
      </c>
      <c r="Y236" s="12">
        <f t="shared" si="241"/>
        <v>1.3531489111241908</v>
      </c>
      <c r="Z236" s="12">
        <f t="shared" si="242"/>
        <v>6.7680988816951153</v>
      </c>
      <c r="AA236" s="12">
        <f t="shared" si="243"/>
        <v>6.6704469646430953</v>
      </c>
      <c r="AB236" s="12">
        <f t="shared" si="244"/>
        <v>0.88228369629193648</v>
      </c>
      <c r="AD236" s="10">
        <f t="shared" si="245"/>
        <v>0</v>
      </c>
      <c r="AE236" s="10">
        <f t="shared" si="246"/>
        <v>0</v>
      </c>
      <c r="AF236" s="10">
        <f t="shared" si="247"/>
        <v>0</v>
      </c>
      <c r="AG236" s="10">
        <f t="shared" si="248"/>
        <v>0</v>
      </c>
      <c r="AH236" s="10">
        <f t="shared" si="249"/>
        <v>0</v>
      </c>
      <c r="AI236" s="10">
        <f t="shared" si="250"/>
        <v>0</v>
      </c>
      <c r="AK236" s="165">
        <v>1.33565</v>
      </c>
      <c r="AL236" s="173">
        <f t="shared" si="251"/>
        <v>200.33414350000001</v>
      </c>
      <c r="AM236" s="173">
        <f t="shared" si="252"/>
        <v>30.706593499999997</v>
      </c>
      <c r="AN236" s="173">
        <f t="shared" si="253"/>
        <v>153.58639349999999</v>
      </c>
      <c r="AO236" s="173">
        <f t="shared" si="254"/>
        <v>22.692693499999997</v>
      </c>
      <c r="AP236" s="173">
        <f t="shared" si="255"/>
        <v>133.55164349999998</v>
      </c>
      <c r="AQ236" s="173">
        <f t="shared" si="256"/>
        <v>20.021393500000002</v>
      </c>
      <c r="AS236" s="22" t="str">
        <f>+VLOOKUP(B236,'Country &amp; Code Abbreviation'!$B$3:$C$245,2,FALSE)</f>
        <v>GB</v>
      </c>
    </row>
    <row r="237" spans="2:45">
      <c r="B237" s="20" t="s">
        <v>308</v>
      </c>
      <c r="C237" s="20" t="s">
        <v>96</v>
      </c>
      <c r="E237" s="11" t="str">
        <f>+VLOOKUP($B237,'[3]INT Web'!$B$5:$W$247,'[3]INT Web'!Q$1,FALSE)</f>
        <v>UYU</v>
      </c>
      <c r="F237" s="22">
        <f>+VLOOKUP($B237,'[3]INT Web'!$B$5:$W$247,'[3]INT Web'!R$1,FALSE)</f>
        <v>3965.99</v>
      </c>
      <c r="G237" s="22">
        <f>+VLOOKUP($B237,'[3]INT Web'!$B$5:$W$247,'[3]INT Web'!S$1,FALSE)</f>
        <v>660.99</v>
      </c>
      <c r="H237" s="22">
        <f>+VLOOKUP($B237,'[3]INT Web'!$B$5:$W$247,'[3]INT Web'!T$1,FALSE)</f>
        <v>2939.99</v>
      </c>
      <c r="I237" s="22">
        <f>+VLOOKUP($B237,'[3]INT Web'!$B$5:$W$247,'[3]INT Web'!U$1,FALSE)</f>
        <v>489.99</v>
      </c>
      <c r="J237" s="22">
        <f>+VLOOKUP($B237,'[3]INT Web'!$B$5:$W$247,'[3]INT Web'!V$1,FALSE)</f>
        <v>2645.99</v>
      </c>
      <c r="K237" s="22">
        <f>+VLOOKUP($B237,'[3]INT Web'!$B$5:$W$247,'[3]INT Web'!W$1,FALSE)</f>
        <v>440.99</v>
      </c>
      <c r="L237" s="12">
        <f t="shared" si="235"/>
        <v>6.000075644109593</v>
      </c>
      <c r="M237" s="12">
        <f t="shared" si="236"/>
        <v>1.3489867140145717</v>
      </c>
      <c r="N237" s="12">
        <f t="shared" si="237"/>
        <v>6.0001020428988339</v>
      </c>
      <c r="O237" s="12">
        <f t="shared" si="238"/>
        <v>6.0001133812558098</v>
      </c>
      <c r="P237" s="12">
        <f t="shared" si="239"/>
        <v>0.8999979591420233</v>
      </c>
      <c r="Q237" s="140" t="str">
        <f t="shared" si="257"/>
        <v>UYU</v>
      </c>
      <c r="R237" s="104">
        <f>+VLOOKUP($B237,'Country-Level Tactics'!$B$5:$AL$248,'Country-Level Tactics'!AH$1,FALSE)</f>
        <v>3965.99</v>
      </c>
      <c r="S237" s="104">
        <f>+VLOOKUP($B237,'Country-Level Tactics'!$B$5:$AL$248,'Country-Level Tactics'!X$1,FALSE)</f>
        <v>660.99</v>
      </c>
      <c r="T237" s="104">
        <f>+VLOOKUP($B237,'Country-Level Tactics'!$B$5:$AL$248,'Country-Level Tactics'!AC$1,FALSE)</f>
        <v>2939.99</v>
      </c>
      <c r="U237" s="104">
        <f>+VLOOKUP($B237,'Country-Level Tactics'!$B$5:$AL$248,'Country-Level Tactics'!T$1,FALSE)</f>
        <v>489.99</v>
      </c>
      <c r="V237" s="104">
        <f t="shared" si="258"/>
        <v>2645.99</v>
      </c>
      <c r="W237" s="104">
        <f t="shared" si="259"/>
        <v>440.99</v>
      </c>
      <c r="X237" s="12">
        <f t="shared" si="240"/>
        <v>6.000075644109593</v>
      </c>
      <c r="Y237" s="12">
        <f t="shared" si="241"/>
        <v>1.3489867140145717</v>
      </c>
      <c r="Z237" s="12">
        <f>+S237/U237</f>
        <v>1.3489867140145717</v>
      </c>
      <c r="AA237" s="12">
        <f t="shared" si="243"/>
        <v>6.0001133812558098</v>
      </c>
      <c r="AB237" s="12">
        <f t="shared" si="244"/>
        <v>0.8999979591420233</v>
      </c>
      <c r="AD237" s="10">
        <f t="shared" si="245"/>
        <v>0</v>
      </c>
      <c r="AE237" s="10">
        <f t="shared" si="246"/>
        <v>0</v>
      </c>
      <c r="AF237" s="10">
        <f>+T237/H237-1</f>
        <v>0</v>
      </c>
      <c r="AG237" s="10">
        <f t="shared" si="248"/>
        <v>0</v>
      </c>
      <c r="AH237" s="10">
        <f t="shared" si="249"/>
        <v>0</v>
      </c>
      <c r="AI237" s="10">
        <f t="shared" si="250"/>
        <v>0</v>
      </c>
      <c r="AK237" s="165">
        <v>2.4847807E-2</v>
      </c>
      <c r="AL237" s="173">
        <f t="shared" si="251"/>
        <v>98.546154083929991</v>
      </c>
      <c r="AM237" s="173">
        <f t="shared" si="252"/>
        <v>16.42415194893</v>
      </c>
      <c r="AN237" s="173">
        <f>+S237*$AK237</f>
        <v>16.42415194893</v>
      </c>
      <c r="AO237" s="173">
        <f t="shared" si="254"/>
        <v>12.17517695193</v>
      </c>
      <c r="AP237" s="173">
        <f t="shared" si="255"/>
        <v>65.747048843929988</v>
      </c>
      <c r="AQ237" s="173">
        <f t="shared" si="256"/>
        <v>10.95763440893</v>
      </c>
      <c r="AS237" s="22" t="str">
        <f>+VLOOKUP(B237,'Country &amp; Code Abbreviation'!$B$3:$C$245,2,FALSE)</f>
        <v>UY</v>
      </c>
    </row>
    <row r="238" spans="2:45">
      <c r="B238" s="20" t="s">
        <v>309</v>
      </c>
      <c r="C238" s="20" t="s">
        <v>182</v>
      </c>
      <c r="E238" s="11" t="str">
        <f>+VLOOKUP($B238,'[3]INT Web'!$B$5:$W$247,'[3]INT Web'!Q$1,FALSE)</f>
        <v>UZS</v>
      </c>
      <c r="F238" s="22">
        <f>+VLOOKUP($B238,'[3]INT Web'!$B$5:$W$247,'[3]INT Web'!R$1,FALSE)</f>
        <v>923400</v>
      </c>
      <c r="G238" s="22">
        <f>+VLOOKUP($B238,'[3]INT Web'!$B$5:$W$247,'[3]INT Web'!S$1,FALSE)</f>
        <v>153900</v>
      </c>
      <c r="H238" s="22">
        <f>+VLOOKUP($B238,'[3]INT Web'!$B$5:$W$247,'[3]INT Web'!T$1,FALSE)</f>
        <v>683400</v>
      </c>
      <c r="I238" s="22">
        <f>+VLOOKUP($B238,'[3]INT Web'!$B$5:$W$247,'[3]INT Web'!U$1,FALSE)</f>
        <v>113900</v>
      </c>
      <c r="J238" s="22">
        <f>+VLOOKUP($B238,'[3]INT Web'!$B$5:$W$247,'[3]INT Web'!V$1,FALSE)</f>
        <v>614400</v>
      </c>
      <c r="K238" s="22">
        <f>+VLOOKUP($B238,'[3]INT Web'!$B$5:$W$247,'[3]INT Web'!W$1,FALSE)</f>
        <v>102400</v>
      </c>
      <c r="L238" s="12">
        <f t="shared" si="235"/>
        <v>6</v>
      </c>
      <c r="M238" s="12">
        <f t="shared" si="236"/>
        <v>1.3511852502194908</v>
      </c>
      <c r="N238" s="12">
        <f t="shared" si="237"/>
        <v>6</v>
      </c>
      <c r="O238" s="12">
        <f t="shared" si="238"/>
        <v>6</v>
      </c>
      <c r="P238" s="12">
        <f t="shared" si="239"/>
        <v>0.8990342405618964</v>
      </c>
      <c r="Q238" s="140" t="str">
        <f t="shared" si="257"/>
        <v>UZS</v>
      </c>
      <c r="R238" s="104">
        <f>+VLOOKUP($B238,'Country-Level Tactics'!$B$5:$AL$248,'Country-Level Tactics'!AH$1,FALSE)</f>
        <v>923400</v>
      </c>
      <c r="S238" s="104">
        <f>+VLOOKUP($B238,'Country-Level Tactics'!$B$5:$AL$248,'Country-Level Tactics'!X$1,FALSE)</f>
        <v>153900</v>
      </c>
      <c r="T238" s="104">
        <f>+VLOOKUP($B238,'Country-Level Tactics'!$B$5:$AL$248,'Country-Level Tactics'!AC$1,FALSE)</f>
        <v>683400</v>
      </c>
      <c r="U238" s="104">
        <f>+VLOOKUP($B238,'Country-Level Tactics'!$B$5:$AL$248,'Country-Level Tactics'!T$1,FALSE)</f>
        <v>113900</v>
      </c>
      <c r="V238" s="104">
        <f t="shared" si="258"/>
        <v>614400</v>
      </c>
      <c r="W238" s="104">
        <f t="shared" si="259"/>
        <v>102400</v>
      </c>
      <c r="X238" s="12">
        <f t="shared" si="240"/>
        <v>6</v>
      </c>
      <c r="Y238" s="12">
        <f t="shared" si="241"/>
        <v>1.3511852502194908</v>
      </c>
      <c r="Z238" s="12">
        <f t="shared" si="242"/>
        <v>6</v>
      </c>
      <c r="AA238" s="12">
        <f t="shared" si="243"/>
        <v>6</v>
      </c>
      <c r="AB238" s="12">
        <f t="shared" si="244"/>
        <v>0.8990342405618964</v>
      </c>
      <c r="AD238" s="10">
        <f t="shared" si="245"/>
        <v>0</v>
      </c>
      <c r="AE238" s="10">
        <f t="shared" si="246"/>
        <v>0</v>
      </c>
      <c r="AF238" s="10">
        <f t="shared" si="247"/>
        <v>0</v>
      </c>
      <c r="AG238" s="10">
        <f t="shared" si="248"/>
        <v>0</v>
      </c>
      <c r="AH238" s="10">
        <f t="shared" si="249"/>
        <v>0</v>
      </c>
      <c r="AI238" s="10">
        <f t="shared" si="250"/>
        <v>0</v>
      </c>
      <c r="AK238" s="165">
        <v>8.3042340000000006E-5</v>
      </c>
      <c r="AL238" s="173">
        <f t="shared" si="251"/>
        <v>76.681296756000009</v>
      </c>
      <c r="AM238" s="173">
        <f t="shared" si="252"/>
        <v>12.780216126000001</v>
      </c>
      <c r="AN238" s="173">
        <f t="shared" si="253"/>
        <v>56.751135156000004</v>
      </c>
      <c r="AO238" s="173">
        <f t="shared" si="254"/>
        <v>9.4585225260000012</v>
      </c>
      <c r="AP238" s="173">
        <f t="shared" si="255"/>
        <v>51.021213696000004</v>
      </c>
      <c r="AQ238" s="173">
        <f t="shared" si="256"/>
        <v>8.5035356160000006</v>
      </c>
      <c r="AS238" s="22" t="str">
        <f>+VLOOKUP(B238,'Country &amp; Code Abbreviation'!$B$3:$C$245,2,FALSE)</f>
        <v>UZ</v>
      </c>
    </row>
    <row r="239" spans="2:45">
      <c r="B239" s="20" t="s">
        <v>310</v>
      </c>
      <c r="C239" s="20" t="s">
        <v>182</v>
      </c>
      <c r="E239" s="11" t="str">
        <f>+VLOOKUP($B239,'[3]INT Web'!$B$5:$W$247,'[3]INT Web'!Q$1,FALSE)</f>
        <v>VUV</v>
      </c>
      <c r="F239" s="136">
        <f>+VLOOKUP($B239,'[3]INT Web'!$B$5:$W$247,'[3]INT Web'!R$1,FALSE)</f>
        <v>7320</v>
      </c>
      <c r="G239" s="136">
        <f>+VLOOKUP($B239,'[3]INT Web'!$B$5:$W$247,'[3]INT Web'!S$1,FALSE)</f>
        <v>1220</v>
      </c>
      <c r="H239" s="136">
        <f>+VLOOKUP($B239,'[3]INT Web'!$B$5:$W$247,'[3]INT Web'!T$1,FALSE)</f>
        <v>5400</v>
      </c>
      <c r="I239" s="136">
        <f>+VLOOKUP($B239,'[3]INT Web'!$B$5:$W$247,'[3]INT Web'!U$1,FALSE)</f>
        <v>900</v>
      </c>
      <c r="J239" s="136">
        <f>+VLOOKUP($B239,'[3]INT Web'!$B$5:$W$247,'[3]INT Web'!V$1,FALSE)</f>
        <v>4860</v>
      </c>
      <c r="K239" s="136">
        <f>+VLOOKUP($B239,'[3]INT Web'!$B$5:$W$247,'[3]INT Web'!W$1,FALSE)</f>
        <v>810</v>
      </c>
      <c r="L239" s="12">
        <f t="shared" si="235"/>
        <v>6</v>
      </c>
      <c r="M239" s="12">
        <f t="shared" si="236"/>
        <v>1.3555555555555556</v>
      </c>
      <c r="N239" s="12">
        <f t="shared" si="237"/>
        <v>6</v>
      </c>
      <c r="O239" s="12">
        <f t="shared" si="238"/>
        <v>6</v>
      </c>
      <c r="P239" s="12">
        <f t="shared" si="239"/>
        <v>0.9</v>
      </c>
      <c r="Q239" s="143" t="str">
        <f t="shared" si="257"/>
        <v>VUV</v>
      </c>
      <c r="R239" s="137">
        <f>+VLOOKUP($B239,'Country-Level Tactics'!$B$5:$AL$248,'Country-Level Tactics'!AH$1,FALSE)</f>
        <v>7320</v>
      </c>
      <c r="S239" s="137">
        <f>+VLOOKUP($B239,'Country-Level Tactics'!$B$5:$AL$248,'Country-Level Tactics'!X$1,FALSE)</f>
        <v>1220</v>
      </c>
      <c r="T239" s="137">
        <f>+VLOOKUP($B239,'Country-Level Tactics'!$B$5:$AL$248,'Country-Level Tactics'!AC$1,FALSE)</f>
        <v>5400</v>
      </c>
      <c r="U239" s="137">
        <f>+VLOOKUP($B239,'Country-Level Tactics'!$B$5:$AL$248,'Country-Level Tactics'!T$1,FALSE)</f>
        <v>900</v>
      </c>
      <c r="V239" s="104">
        <f t="shared" si="258"/>
        <v>4860</v>
      </c>
      <c r="W239" s="104">
        <f t="shared" si="259"/>
        <v>810</v>
      </c>
      <c r="X239" s="12">
        <f t="shared" si="240"/>
        <v>6</v>
      </c>
      <c r="Y239" s="12">
        <f t="shared" si="241"/>
        <v>1.3555555555555556</v>
      </c>
      <c r="Z239" s="12">
        <f t="shared" si="242"/>
        <v>6</v>
      </c>
      <c r="AA239" s="12">
        <f t="shared" si="243"/>
        <v>6</v>
      </c>
      <c r="AB239" s="12">
        <f t="shared" si="244"/>
        <v>0.9</v>
      </c>
      <c r="AD239" s="10">
        <f t="shared" si="245"/>
        <v>0</v>
      </c>
      <c r="AE239" s="10">
        <f t="shared" si="246"/>
        <v>0</v>
      </c>
      <c r="AF239" s="10">
        <f t="shared" si="247"/>
        <v>0</v>
      </c>
      <c r="AG239" s="10">
        <f t="shared" si="248"/>
        <v>0</v>
      </c>
      <c r="AH239" s="10">
        <f t="shared" si="249"/>
        <v>0</v>
      </c>
      <c r="AI239" s="10">
        <f t="shared" si="250"/>
        <v>0</v>
      </c>
      <c r="AK239" s="165">
        <v>8.3994789999999996E-3</v>
      </c>
      <c r="AL239" s="173">
        <f t="shared" si="251"/>
        <v>61.484186279999996</v>
      </c>
      <c r="AM239" s="173">
        <f t="shared" si="252"/>
        <v>10.247364379999999</v>
      </c>
      <c r="AN239" s="173">
        <f t="shared" si="253"/>
        <v>45.357186599999999</v>
      </c>
      <c r="AO239" s="173">
        <f t="shared" si="254"/>
        <v>7.5595311000000001</v>
      </c>
      <c r="AP239" s="173">
        <f t="shared" si="255"/>
        <v>40.821467939999998</v>
      </c>
      <c r="AQ239" s="173">
        <f t="shared" si="256"/>
        <v>6.80357799</v>
      </c>
      <c r="AS239" s="22" t="str">
        <f>+VLOOKUP(B239,'Country &amp; Code Abbreviation'!$B$3:$C$245,2,FALSE)</f>
        <v>VU</v>
      </c>
    </row>
    <row r="240" spans="2:45">
      <c r="B240" s="20" t="s">
        <v>311</v>
      </c>
      <c r="C240" s="20" t="s">
        <v>100</v>
      </c>
      <c r="E240" s="11" t="str">
        <f>+VLOOKUP($B240,'[3]INT Web'!$B$5:$W$247,'[3]INT Web'!Q$1,FALSE)</f>
        <v>EUR</v>
      </c>
      <c r="F240" s="22">
        <f>+VLOOKUP($B240,'[3]INT Web'!$B$5:$W$247,'[3]INT Web'!R$1,FALSE)</f>
        <v>129.99</v>
      </c>
      <c r="G240" s="22">
        <f>+VLOOKUP($B240,'[3]INT Web'!$B$5:$W$247,'[3]INT Web'!S$1,FALSE)</f>
        <v>18.989999999999998</v>
      </c>
      <c r="H240" s="22">
        <f>+VLOOKUP($B240,'[3]INT Web'!$B$5:$W$247,'[3]INT Web'!T$1,FALSE)</f>
        <v>89.99</v>
      </c>
      <c r="I240" s="22">
        <f>+VLOOKUP($B240,'[3]INT Web'!$B$5:$W$247,'[3]INT Web'!U$1,FALSE)</f>
        <v>14.99</v>
      </c>
      <c r="J240" s="22">
        <f>+VLOOKUP($B240,'[3]INT Web'!$B$5:$W$247,'[3]INT Web'!V$1,FALSE)</f>
        <v>79.989999999999995</v>
      </c>
      <c r="K240" s="22">
        <f>+VLOOKUP($B240,'[3]INT Web'!$B$5:$W$247,'[3]INT Web'!W$1,FALSE)</f>
        <v>12.99</v>
      </c>
      <c r="L240" s="12">
        <f t="shared" si="235"/>
        <v>6.8451816745655618</v>
      </c>
      <c r="M240" s="12">
        <f t="shared" si="236"/>
        <v>1.266844563042028</v>
      </c>
      <c r="N240" s="12">
        <f t="shared" si="237"/>
        <v>6.0033355570380253</v>
      </c>
      <c r="O240" s="12">
        <f t="shared" si="238"/>
        <v>6.157813702848344</v>
      </c>
      <c r="P240" s="12">
        <f t="shared" si="239"/>
        <v>0.86657771847898601</v>
      </c>
      <c r="Q240" s="140" t="str">
        <f t="shared" si="257"/>
        <v>EUR</v>
      </c>
      <c r="R240" s="104">
        <f>+VLOOKUP($B240,'Country-Level Tactics'!$B$5:$AL$248,'Country-Level Tactics'!AH$1,FALSE)</f>
        <v>129.99</v>
      </c>
      <c r="S240" s="104">
        <f>+VLOOKUP($B240,'Country-Level Tactics'!$B$5:$AL$248,'Country-Level Tactics'!X$1,FALSE)</f>
        <v>18.989999999999998</v>
      </c>
      <c r="T240" s="104">
        <f>+VLOOKUP($B240,'Country-Level Tactics'!$B$5:$AL$248,'Country-Level Tactics'!AC$1,FALSE)</f>
        <v>89.99</v>
      </c>
      <c r="U240" s="104">
        <f>+VLOOKUP($B240,'Country-Level Tactics'!$B$5:$AL$248,'Country-Level Tactics'!T$1,FALSE)</f>
        <v>14.99</v>
      </c>
      <c r="V240" s="104">
        <f t="shared" si="258"/>
        <v>79.989999999999995</v>
      </c>
      <c r="W240" s="104">
        <f t="shared" si="259"/>
        <v>12.99</v>
      </c>
      <c r="X240" s="12">
        <f t="shared" si="240"/>
        <v>6.8451816745655618</v>
      </c>
      <c r="Y240" s="12">
        <f t="shared" si="241"/>
        <v>1.266844563042028</v>
      </c>
      <c r="Z240" s="12">
        <f t="shared" si="242"/>
        <v>6.0033355570380253</v>
      </c>
      <c r="AA240" s="12">
        <f t="shared" si="243"/>
        <v>6.157813702848344</v>
      </c>
      <c r="AB240" s="12">
        <f t="shared" si="244"/>
        <v>0.86657771847898601</v>
      </c>
      <c r="AD240" s="10">
        <f t="shared" si="245"/>
        <v>0</v>
      </c>
      <c r="AE240" s="10">
        <f t="shared" si="246"/>
        <v>0</v>
      </c>
      <c r="AF240" s="10">
        <f t="shared" si="247"/>
        <v>0</v>
      </c>
      <c r="AG240" s="10">
        <f t="shared" si="248"/>
        <v>0</v>
      </c>
      <c r="AH240" s="10">
        <f t="shared" si="249"/>
        <v>0</v>
      </c>
      <c r="AI240" s="10">
        <f t="shared" si="250"/>
        <v>0</v>
      </c>
      <c r="AK240" s="165">
        <v>1.14175</v>
      </c>
      <c r="AL240" s="173">
        <f t="shared" si="251"/>
        <v>148.41608250000002</v>
      </c>
      <c r="AM240" s="173">
        <f t="shared" si="252"/>
        <v>21.681832499999999</v>
      </c>
      <c r="AN240" s="173">
        <f t="shared" si="253"/>
        <v>102.7460825</v>
      </c>
      <c r="AO240" s="173">
        <f t="shared" si="254"/>
        <v>17.114832500000002</v>
      </c>
      <c r="AP240" s="173">
        <f t="shared" si="255"/>
        <v>91.328582499999996</v>
      </c>
      <c r="AQ240" s="173">
        <f t="shared" si="256"/>
        <v>14.8313325</v>
      </c>
      <c r="AS240" s="22" t="str">
        <f>+VLOOKUP(B240,'Country &amp; Code Abbreviation'!$B$3:$C$245,2,FALSE)</f>
        <v>VA</v>
      </c>
    </row>
    <row r="241" spans="2:45">
      <c r="B241" s="20" t="s">
        <v>312</v>
      </c>
      <c r="C241" s="20" t="s">
        <v>96</v>
      </c>
      <c r="E241" s="11" t="str">
        <f>+VLOOKUP($B241,'[3]INT Web'!$B$5:$W$247,'[3]INT Web'!Q$1,FALSE)</f>
        <v>USD</v>
      </c>
      <c r="F241" s="22">
        <f>+VLOOKUP($B241,'[3]INT Web'!$B$5:$W$247,'[3]INT Web'!R$1,FALSE)</f>
        <v>95.99</v>
      </c>
      <c r="G241" s="22">
        <f>+VLOOKUP($B241,'[3]INT Web'!$B$5:$W$247,'[3]INT Web'!S$1,FALSE)</f>
        <v>15.99</v>
      </c>
      <c r="H241" s="22">
        <f>+VLOOKUP($B241,'[3]INT Web'!$B$5:$W$247,'[3]INT Web'!T$1,FALSE)</f>
        <v>71.989999999999995</v>
      </c>
      <c r="I241" s="22">
        <f>+VLOOKUP($B241,'[3]INT Web'!$B$5:$W$247,'[3]INT Web'!U$1,FALSE)</f>
        <v>11.99</v>
      </c>
      <c r="J241" s="22">
        <f>+VLOOKUP($B241,'[3]INT Web'!$B$5:$W$247,'[3]INT Web'!V$1,FALSE)</f>
        <v>65.989999999999995</v>
      </c>
      <c r="K241" s="22">
        <f>+VLOOKUP($B241,'[3]INT Web'!$B$5:$W$247,'[3]INT Web'!W$1,FALSE)</f>
        <v>10.99</v>
      </c>
      <c r="L241" s="12">
        <f t="shared" si="235"/>
        <v>6.0031269543464658</v>
      </c>
      <c r="M241" s="12">
        <f t="shared" si="236"/>
        <v>1.3336113427856546</v>
      </c>
      <c r="N241" s="12">
        <f t="shared" si="237"/>
        <v>6.0041701417848206</v>
      </c>
      <c r="O241" s="12">
        <f t="shared" si="238"/>
        <v>6.0045495905368513</v>
      </c>
      <c r="P241" s="12">
        <f t="shared" si="239"/>
        <v>0.91659716430358629</v>
      </c>
      <c r="Q241" s="140" t="str">
        <f t="shared" si="257"/>
        <v>USD</v>
      </c>
      <c r="R241" s="104">
        <f>+VLOOKUP($B241,'Country-Level Tactics'!$B$5:$AL$248,'Country-Level Tactics'!AH$1,FALSE)</f>
        <v>95.99</v>
      </c>
      <c r="S241" s="104">
        <f>+VLOOKUP($B241,'Country-Level Tactics'!$B$5:$AL$248,'Country-Level Tactics'!X$1,FALSE)</f>
        <v>15.99</v>
      </c>
      <c r="T241" s="104">
        <f>+VLOOKUP($B241,'Country-Level Tactics'!$B$5:$AL$248,'Country-Level Tactics'!AC$1,FALSE)</f>
        <v>71.989999999999995</v>
      </c>
      <c r="U241" s="104">
        <f>+VLOOKUP($B241,'Country-Level Tactics'!$B$5:$AL$248,'Country-Level Tactics'!T$1,FALSE)</f>
        <v>11.99</v>
      </c>
      <c r="V241" s="104">
        <f t="shared" si="258"/>
        <v>65.989999999999995</v>
      </c>
      <c r="W241" s="104">
        <f t="shared" si="259"/>
        <v>10.99</v>
      </c>
      <c r="X241" s="12">
        <f t="shared" si="240"/>
        <v>6.0031269543464658</v>
      </c>
      <c r="Y241" s="12">
        <f t="shared" si="241"/>
        <v>1.3336113427856546</v>
      </c>
      <c r="Z241" s="12">
        <f t="shared" si="242"/>
        <v>6.0041701417848206</v>
      </c>
      <c r="AA241" s="12">
        <f t="shared" si="243"/>
        <v>6.0045495905368513</v>
      </c>
      <c r="AB241" s="12">
        <f t="shared" si="244"/>
        <v>0.91659716430358629</v>
      </c>
      <c r="AD241" s="10">
        <f t="shared" si="245"/>
        <v>0</v>
      </c>
      <c r="AE241" s="10">
        <f t="shared" si="246"/>
        <v>0</v>
      </c>
      <c r="AF241" s="10">
        <f t="shared" si="247"/>
        <v>0</v>
      </c>
      <c r="AG241" s="10">
        <f t="shared" si="248"/>
        <v>0</v>
      </c>
      <c r="AH241" s="10">
        <f t="shared" si="249"/>
        <v>0</v>
      </c>
      <c r="AI241" s="10">
        <f t="shared" si="250"/>
        <v>0</v>
      </c>
      <c r="AK241" s="165">
        <v>1</v>
      </c>
      <c r="AL241" s="173">
        <f t="shared" si="251"/>
        <v>95.99</v>
      </c>
      <c r="AM241" s="173">
        <f t="shared" si="252"/>
        <v>15.99</v>
      </c>
      <c r="AN241" s="173">
        <f t="shared" si="253"/>
        <v>71.989999999999995</v>
      </c>
      <c r="AO241" s="173">
        <f t="shared" si="254"/>
        <v>11.99</v>
      </c>
      <c r="AP241" s="173">
        <f t="shared" si="255"/>
        <v>65.989999999999995</v>
      </c>
      <c r="AQ241" s="173">
        <f t="shared" si="256"/>
        <v>10.99</v>
      </c>
      <c r="AS241" s="22" t="str">
        <f>+VLOOKUP(B241,'Country &amp; Code Abbreviation'!$B$3:$C$245,2,FALSE)</f>
        <v>VE</v>
      </c>
    </row>
    <row r="242" spans="2:45">
      <c r="B242" s="20" t="s">
        <v>313</v>
      </c>
      <c r="C242" s="20" t="s">
        <v>182</v>
      </c>
      <c r="E242" s="11" t="str">
        <f>+VLOOKUP($B242,'[3]INT Web'!$B$5:$W$247,'[3]INT Web'!Q$1,FALSE)</f>
        <v>VND</v>
      </c>
      <c r="F242" s="136">
        <f>+VLOOKUP($B242,'[3]INT Web'!$B$5:$W$247,'[3]INT Web'!R$1,FALSE)</f>
        <v>1999900</v>
      </c>
      <c r="G242" s="136">
        <f>+VLOOKUP($B242,'[3]INT Web'!$B$5:$W$247,'[3]INT Web'!S$1,FALSE)</f>
        <v>309000</v>
      </c>
      <c r="H242" s="136">
        <f>+VLOOKUP($B242,'[3]INT Web'!$B$5:$W$247,'[3]INT Web'!T$1,FALSE)</f>
        <v>1539000</v>
      </c>
      <c r="I242" s="136">
        <f>+VLOOKUP($B242,'[3]INT Web'!$B$5:$W$247,'[3]INT Web'!U$1,FALSE)</f>
        <v>220000</v>
      </c>
      <c r="J242" s="136">
        <f>+VLOOKUP($B242,'[3]INT Web'!$B$5:$W$247,'[3]INT Web'!V$1,FALSE)</f>
        <v>1379000</v>
      </c>
      <c r="K242" s="136">
        <f>+VLOOKUP($B242,'[3]INT Web'!$B$5:$W$247,'[3]INT Web'!W$1,FALSE)</f>
        <v>199000</v>
      </c>
      <c r="L242" s="12">
        <f t="shared" si="235"/>
        <v>6.4721682847896442</v>
      </c>
      <c r="M242" s="12">
        <f t="shared" si="236"/>
        <v>1.4045454545454545</v>
      </c>
      <c r="N242" s="12">
        <f t="shared" si="237"/>
        <v>6.9954545454545451</v>
      </c>
      <c r="O242" s="12">
        <f t="shared" si="238"/>
        <v>6.9296482412060305</v>
      </c>
      <c r="P242" s="12">
        <f t="shared" si="239"/>
        <v>0.90454545454545454</v>
      </c>
      <c r="Q242" s="143" t="str">
        <f t="shared" si="257"/>
        <v>VND</v>
      </c>
      <c r="R242" s="137">
        <f>+VLOOKUP($B242,'Country-Level Tactics'!$B$5:$AL$248,'Country-Level Tactics'!AH$1,FALSE)</f>
        <v>1999900</v>
      </c>
      <c r="S242" s="137">
        <f>+VLOOKUP($B242,'Country-Level Tactics'!$B$5:$AL$248,'Country-Level Tactics'!X$1,FALSE)</f>
        <v>309000</v>
      </c>
      <c r="T242" s="137">
        <f>+VLOOKUP($B242,'Country-Level Tactics'!$B$5:$AL$248,'Country-Level Tactics'!AC$1,FALSE)</f>
        <v>1539000</v>
      </c>
      <c r="U242" s="137">
        <f>+VLOOKUP($B242,'Country-Level Tactics'!$B$5:$AL$248,'Country-Level Tactics'!T$1,FALSE)</f>
        <v>220000</v>
      </c>
      <c r="V242" s="104">
        <f t="shared" si="258"/>
        <v>1379000</v>
      </c>
      <c r="W242" s="104">
        <f t="shared" si="259"/>
        <v>199000</v>
      </c>
      <c r="X242" s="12">
        <f t="shared" si="240"/>
        <v>6.4721682847896442</v>
      </c>
      <c r="Y242" s="12">
        <f t="shared" si="241"/>
        <v>1.4045454545454545</v>
      </c>
      <c r="Z242" s="12">
        <f t="shared" si="242"/>
        <v>6.9954545454545451</v>
      </c>
      <c r="AA242" s="12">
        <f t="shared" si="243"/>
        <v>6.9296482412060305</v>
      </c>
      <c r="AB242" s="12">
        <f t="shared" si="244"/>
        <v>0.90454545454545454</v>
      </c>
      <c r="AD242" s="10">
        <f t="shared" si="245"/>
        <v>0</v>
      </c>
      <c r="AE242" s="10">
        <f t="shared" si="246"/>
        <v>0</v>
      </c>
      <c r="AF242" s="10">
        <f t="shared" si="247"/>
        <v>0</v>
      </c>
      <c r="AG242" s="10">
        <f t="shared" si="248"/>
        <v>0</v>
      </c>
      <c r="AH242" s="10">
        <f t="shared" si="249"/>
        <v>0</v>
      </c>
      <c r="AI242" s="10">
        <f t="shared" si="250"/>
        <v>0</v>
      </c>
      <c r="AK242" s="165">
        <v>3.8022811999999997E-5</v>
      </c>
      <c r="AL242" s="173">
        <f t="shared" si="251"/>
        <v>76.041821718799994</v>
      </c>
      <c r="AM242" s="173">
        <f t="shared" si="252"/>
        <v>11.749048907999999</v>
      </c>
      <c r="AN242" s="173">
        <f t="shared" si="253"/>
        <v>58.517107667999994</v>
      </c>
      <c r="AO242" s="173">
        <f t="shared" si="254"/>
        <v>8.3650186399999988</v>
      </c>
      <c r="AP242" s="173">
        <f t="shared" si="255"/>
        <v>52.433457747999995</v>
      </c>
      <c r="AQ242" s="173">
        <f t="shared" si="256"/>
        <v>7.5665395879999995</v>
      </c>
      <c r="AS242" s="22" t="str">
        <f>+VLOOKUP(B242,'Country &amp; Code Abbreviation'!$B$3:$C$245,2,FALSE)</f>
        <v>VN</v>
      </c>
    </row>
    <row r="243" spans="2:45">
      <c r="B243" s="20" t="s">
        <v>314</v>
      </c>
      <c r="C243" s="20" t="s">
        <v>182</v>
      </c>
      <c r="E243" s="11" t="str">
        <f>+VLOOKUP($B243,'[3]INT Web'!$B$5:$W$247,'[3]INT Web'!Q$1,FALSE)</f>
        <v>XPF</v>
      </c>
      <c r="F243" s="136">
        <f>+VLOOKUP($B243,'[3]INT Web'!$B$5:$W$247,'[3]INT Web'!R$1,FALSE)</f>
        <v>8100</v>
      </c>
      <c r="G243" s="136">
        <f>+VLOOKUP($B243,'[3]INT Web'!$B$5:$W$247,'[3]INT Web'!S$1,FALSE)</f>
        <v>1350</v>
      </c>
      <c r="H243" s="136">
        <f>+VLOOKUP($B243,'[3]INT Web'!$B$5:$W$247,'[3]INT Web'!T$1,FALSE)</f>
        <v>6000</v>
      </c>
      <c r="I243" s="136">
        <f>+VLOOKUP($B243,'[3]INT Web'!$B$5:$W$247,'[3]INT Web'!U$1,FALSE)</f>
        <v>1000</v>
      </c>
      <c r="J243" s="136">
        <f>+VLOOKUP($B243,'[3]INT Web'!$B$5:$W$247,'[3]INT Web'!V$1,FALSE)</f>
        <v>5400</v>
      </c>
      <c r="K243" s="136">
        <f>+VLOOKUP($B243,'[3]INT Web'!$B$5:$W$247,'[3]INT Web'!W$1,FALSE)</f>
        <v>900</v>
      </c>
      <c r="L243" s="12">
        <f t="shared" si="235"/>
        <v>6</v>
      </c>
      <c r="M243" s="12">
        <f t="shared" si="236"/>
        <v>1.35</v>
      </c>
      <c r="N243" s="12">
        <f t="shared" si="237"/>
        <v>6</v>
      </c>
      <c r="O243" s="12">
        <f t="shared" si="238"/>
        <v>6</v>
      </c>
      <c r="P243" s="12">
        <f t="shared" si="239"/>
        <v>0.9</v>
      </c>
      <c r="Q243" s="143" t="str">
        <f t="shared" si="257"/>
        <v>XPF</v>
      </c>
      <c r="R243" s="137">
        <f>+VLOOKUP($B243,'Country-Level Tactics'!$B$5:$AL$248,'Country-Level Tactics'!AH$1,FALSE)</f>
        <v>8100</v>
      </c>
      <c r="S243" s="137">
        <f>+VLOOKUP($B243,'Country-Level Tactics'!$B$5:$AL$248,'Country-Level Tactics'!X$1,FALSE)</f>
        <v>1350</v>
      </c>
      <c r="T243" s="137">
        <f>+VLOOKUP($B243,'Country-Level Tactics'!$B$5:$AL$248,'Country-Level Tactics'!AC$1,FALSE)</f>
        <v>6000</v>
      </c>
      <c r="U243" s="137">
        <f>+VLOOKUP($B243,'Country-Level Tactics'!$B$5:$AL$248,'Country-Level Tactics'!T$1,FALSE)</f>
        <v>1000</v>
      </c>
      <c r="V243" s="104">
        <f t="shared" si="258"/>
        <v>5400</v>
      </c>
      <c r="W243" s="104">
        <f t="shared" si="259"/>
        <v>900</v>
      </c>
      <c r="X243" s="12">
        <f t="shared" si="240"/>
        <v>6</v>
      </c>
      <c r="Y243" s="12">
        <f t="shared" si="241"/>
        <v>1.35</v>
      </c>
      <c r="Z243" s="12">
        <f t="shared" si="242"/>
        <v>6</v>
      </c>
      <c r="AA243" s="12">
        <f t="shared" si="243"/>
        <v>6</v>
      </c>
      <c r="AB243" s="12">
        <f t="shared" si="244"/>
        <v>0.9</v>
      </c>
      <c r="AD243" s="10">
        <f t="shared" si="245"/>
        <v>0</v>
      </c>
      <c r="AE243" s="10">
        <f t="shared" si="246"/>
        <v>0</v>
      </c>
      <c r="AF243" s="10">
        <f t="shared" si="247"/>
        <v>0</v>
      </c>
      <c r="AG243" s="10">
        <f t="shared" si="248"/>
        <v>0</v>
      </c>
      <c r="AH243" s="10">
        <f t="shared" si="249"/>
        <v>0</v>
      </c>
      <c r="AI243" s="10">
        <f t="shared" si="250"/>
        <v>0</v>
      </c>
      <c r="AK243" s="165">
        <v>9.5678670000000007E-3</v>
      </c>
      <c r="AL243" s="173">
        <f t="shared" si="251"/>
        <v>77.499722700000007</v>
      </c>
      <c r="AM243" s="173">
        <f t="shared" si="252"/>
        <v>12.916620450000002</v>
      </c>
      <c r="AN243" s="173">
        <f t="shared" si="253"/>
        <v>57.407202000000005</v>
      </c>
      <c r="AO243" s="173">
        <f t="shared" si="254"/>
        <v>9.5678670000000015</v>
      </c>
      <c r="AP243" s="173">
        <f t="shared" si="255"/>
        <v>51.666481800000007</v>
      </c>
      <c r="AQ243" s="173">
        <f t="shared" si="256"/>
        <v>8.6110803000000011</v>
      </c>
      <c r="AS243" s="22" t="str">
        <f>+VLOOKUP(B243,'Country &amp; Code Abbreviation'!$B$3:$C$245,2,FALSE)</f>
        <v>WF</v>
      </c>
    </row>
    <row r="244" spans="2:45">
      <c r="B244" s="20" t="s">
        <v>315</v>
      </c>
      <c r="C244" s="20" t="s">
        <v>270</v>
      </c>
      <c r="E244" s="11" t="str">
        <f>+VLOOKUP($B244,'[3]INT Web'!$B$5:$W$247,'[3]INT Web'!Q$1,FALSE)</f>
        <v>MAD</v>
      </c>
      <c r="F244" s="22">
        <f>+VLOOKUP($B244,'[3]INT Web'!$B$5:$W$247,'[3]INT Web'!R$1,FALSE)</f>
        <v>720</v>
      </c>
      <c r="G244" s="22">
        <f>+VLOOKUP($B244,'[3]INT Web'!$B$5:$W$247,'[3]INT Web'!S$1,FALSE)</f>
        <v>120</v>
      </c>
      <c r="H244" s="22">
        <f>+VLOOKUP($B244,'[3]INT Web'!$B$5:$W$247,'[3]INT Web'!T$1,FALSE)</f>
        <v>540</v>
      </c>
      <c r="I244" s="22">
        <f>+VLOOKUP($B244,'[3]INT Web'!$B$5:$W$247,'[3]INT Web'!U$1,FALSE)</f>
        <v>90</v>
      </c>
      <c r="J244" s="22">
        <f>+VLOOKUP($B244,'[3]INT Web'!$B$5:$W$247,'[3]INT Web'!V$1,FALSE)</f>
        <v>480</v>
      </c>
      <c r="K244" s="22">
        <f>+VLOOKUP($B244,'[3]INT Web'!$B$5:$W$247,'[3]INT Web'!W$1,FALSE)</f>
        <v>80</v>
      </c>
      <c r="L244" s="12">
        <f t="shared" si="235"/>
        <v>6</v>
      </c>
      <c r="M244" s="12">
        <f t="shared" si="236"/>
        <v>1.3333333333333333</v>
      </c>
      <c r="N244" s="12">
        <f t="shared" si="237"/>
        <v>6</v>
      </c>
      <c r="O244" s="12">
        <f t="shared" si="238"/>
        <v>6</v>
      </c>
      <c r="P244" s="12">
        <f t="shared" si="239"/>
        <v>0.88888888888888884</v>
      </c>
      <c r="Q244" s="140" t="str">
        <f t="shared" si="257"/>
        <v>MAD</v>
      </c>
      <c r="R244" s="104">
        <f>+VLOOKUP($B244,'Country-Level Tactics'!$B$5:$AL$248,'Country-Level Tactics'!AH$1,FALSE)</f>
        <v>720</v>
      </c>
      <c r="S244" s="104">
        <f>+VLOOKUP($B244,'Country-Level Tactics'!$B$5:$AL$248,'Country-Level Tactics'!X$1,FALSE)</f>
        <v>120</v>
      </c>
      <c r="T244" s="104">
        <f>+VLOOKUP($B244,'Country-Level Tactics'!$B$5:$AL$248,'Country-Level Tactics'!AC$1,FALSE)</f>
        <v>540</v>
      </c>
      <c r="U244" s="104">
        <f>+VLOOKUP($B244,'Country-Level Tactics'!$B$5:$AL$248,'Country-Level Tactics'!T$1,FALSE)</f>
        <v>90</v>
      </c>
      <c r="V244" s="104">
        <f t="shared" si="258"/>
        <v>480</v>
      </c>
      <c r="W244" s="104">
        <f t="shared" si="259"/>
        <v>80</v>
      </c>
      <c r="X244" s="12">
        <f t="shared" si="240"/>
        <v>6</v>
      </c>
      <c r="Y244" s="12">
        <f t="shared" si="241"/>
        <v>1.3333333333333333</v>
      </c>
      <c r="Z244" s="12">
        <f t="shared" si="242"/>
        <v>6</v>
      </c>
      <c r="AA244" s="12">
        <f t="shared" si="243"/>
        <v>6</v>
      </c>
      <c r="AB244" s="12">
        <f t="shared" si="244"/>
        <v>0.88888888888888884</v>
      </c>
      <c r="AD244" s="10">
        <f t="shared" si="245"/>
        <v>0</v>
      </c>
      <c r="AE244" s="10">
        <f t="shared" si="246"/>
        <v>0</v>
      </c>
      <c r="AF244" s="10">
        <f t="shared" si="247"/>
        <v>0</v>
      </c>
      <c r="AG244" s="10">
        <f t="shared" si="248"/>
        <v>0</v>
      </c>
      <c r="AH244" s="10">
        <f t="shared" si="249"/>
        <v>0</v>
      </c>
      <c r="AI244" s="10">
        <f t="shared" si="250"/>
        <v>0</v>
      </c>
      <c r="AK244" s="165">
        <v>0.10669569</v>
      </c>
      <c r="AL244" s="173">
        <f t="shared" si="251"/>
        <v>76.8208968</v>
      </c>
      <c r="AM244" s="173">
        <f t="shared" si="252"/>
        <v>12.803482799999999</v>
      </c>
      <c r="AN244" s="173">
        <f t="shared" si="253"/>
        <v>57.615672599999996</v>
      </c>
      <c r="AO244" s="173">
        <f t="shared" si="254"/>
        <v>9.6026121</v>
      </c>
      <c r="AP244" s="173">
        <f t="shared" si="255"/>
        <v>51.213931199999998</v>
      </c>
      <c r="AQ244" s="173">
        <f t="shared" si="256"/>
        <v>8.535655199999999</v>
      </c>
      <c r="AS244" s="22" t="str">
        <f>+VLOOKUP(B244,'Country &amp; Code Abbreviation'!$B$3:$C$245,2,FALSE)</f>
        <v>EH</v>
      </c>
    </row>
    <row r="245" spans="2:45">
      <c r="B245" s="20" t="s">
        <v>316</v>
      </c>
      <c r="C245" s="20" t="s">
        <v>275</v>
      </c>
      <c r="E245" s="11" t="str">
        <f>+VLOOKUP($B245,'[3]INT Web'!$B$5:$W$247,'[3]INT Web'!Q$1,FALSE)</f>
        <v>YER</v>
      </c>
      <c r="F245" s="22">
        <f>+VLOOKUP($B245,'[3]INT Web'!$B$5:$W$247,'[3]INT Web'!R$1,FALSE)</f>
        <v>19439.990000000002</v>
      </c>
      <c r="G245" s="22">
        <f>+VLOOKUP($B245,'[3]INT Web'!$B$5:$W$247,'[3]INT Web'!S$1,FALSE)</f>
        <v>3239.99</v>
      </c>
      <c r="H245" s="22">
        <f>+VLOOKUP($B245,'[3]INT Web'!$B$5:$W$247,'[3]INT Web'!T$1,FALSE)</f>
        <v>14399.99</v>
      </c>
      <c r="I245" s="22">
        <f>+VLOOKUP($B245,'[3]INT Web'!$B$5:$W$247,'[3]INT Web'!U$1,FALSE)</f>
        <v>2399.9899999999998</v>
      </c>
      <c r="J245" s="22">
        <f>+VLOOKUP($B245,'[3]INT Web'!$B$5:$W$247,'[3]INT Web'!V$1,FALSE)</f>
        <v>12959.99</v>
      </c>
      <c r="K245" s="22">
        <f>+VLOOKUP($B245,'[3]INT Web'!$B$5:$W$247,'[3]INT Web'!W$1,FALSE)</f>
        <v>2159.9899999999998</v>
      </c>
      <c r="L245" s="12">
        <f t="shared" si="235"/>
        <v>6.0000154321463963</v>
      </c>
      <c r="M245" s="12">
        <f t="shared" si="236"/>
        <v>1.3500014583394098</v>
      </c>
      <c r="N245" s="12">
        <f t="shared" si="237"/>
        <v>6.0000208334201401</v>
      </c>
      <c r="O245" s="12">
        <f t="shared" si="238"/>
        <v>6.0000231482553161</v>
      </c>
      <c r="P245" s="12">
        <f t="shared" si="239"/>
        <v>0.89999958333159724</v>
      </c>
      <c r="Q245" s="146" t="s">
        <v>346</v>
      </c>
      <c r="R245" s="104">
        <f>+VLOOKUP($B245,'Country-Level Tactics'!$B$5:$AL$248,'Country-Level Tactics'!AH$1,FALSE)</f>
        <v>81.99</v>
      </c>
      <c r="S245" s="104">
        <f>+VLOOKUP($B245,'Country-Level Tactics'!$B$5:$AL$248,'Country-Level Tactics'!X$1,FALSE)</f>
        <v>13.99</v>
      </c>
      <c r="T245" s="104">
        <f>+VLOOKUP($B245,'Country-Level Tactics'!$B$5:$AL$248,'Country-Level Tactics'!AC$1,FALSE)</f>
        <v>59.99</v>
      </c>
      <c r="U245" s="104">
        <f>+VLOOKUP($B245,'Country-Level Tactics'!$B$5:$AL$248,'Country-Level Tactics'!T$1,FALSE)</f>
        <v>9.99</v>
      </c>
      <c r="V245" s="9">
        <f>+MROUND(W245*O245,1)-0.01</f>
        <v>53.99</v>
      </c>
      <c r="W245" s="9">
        <f>+MROUND(U245*P245,1)-0.01</f>
        <v>8.99</v>
      </c>
      <c r="X245" s="12">
        <f t="shared" si="240"/>
        <v>5.8606147248034306</v>
      </c>
      <c r="Y245" s="12">
        <f t="shared" si="241"/>
        <v>1.4004004004004005</v>
      </c>
      <c r="Z245" s="12">
        <f t="shared" si="242"/>
        <v>6.005005005005005</v>
      </c>
      <c r="AA245" s="12">
        <f t="shared" si="243"/>
        <v>6.0055617352614012</v>
      </c>
      <c r="AB245" s="12">
        <f t="shared" si="244"/>
        <v>0.89989989989989994</v>
      </c>
      <c r="AD245" s="10">
        <f t="shared" si="245"/>
        <v>-0.99578240523786277</v>
      </c>
      <c r="AE245" s="10">
        <f t="shared" si="246"/>
        <v>-0.99568208543853531</v>
      </c>
      <c r="AF245" s="10">
        <f t="shared" si="247"/>
        <v>-0.99583402488473949</v>
      </c>
      <c r="AG245" s="10">
        <f t="shared" si="248"/>
        <v>-0.99583748265617777</v>
      </c>
      <c r="AH245" s="10">
        <f t="shared" si="249"/>
        <v>-0.9958341017238439</v>
      </c>
      <c r="AI245" s="10">
        <f t="shared" si="250"/>
        <v>-0.99583794369418377</v>
      </c>
      <c r="AK245" s="165">
        <v>1</v>
      </c>
      <c r="AL245" s="173">
        <f t="shared" si="251"/>
        <v>81.99</v>
      </c>
      <c r="AM245" s="173">
        <f t="shared" si="252"/>
        <v>13.99</v>
      </c>
      <c r="AN245" s="173">
        <f t="shared" si="253"/>
        <v>59.99</v>
      </c>
      <c r="AO245" s="173">
        <f t="shared" si="254"/>
        <v>9.99</v>
      </c>
      <c r="AP245" s="173">
        <f t="shared" si="255"/>
        <v>53.99</v>
      </c>
      <c r="AQ245" s="173">
        <f t="shared" si="256"/>
        <v>8.99</v>
      </c>
      <c r="AS245" s="22" t="str">
        <f>+VLOOKUP(B245,'Country &amp; Code Abbreviation'!$B$3:$C$245,2,FALSE)</f>
        <v>YE</v>
      </c>
    </row>
    <row r="246" spans="2:45">
      <c r="B246" s="20" t="s">
        <v>317</v>
      </c>
      <c r="C246" s="20" t="s">
        <v>270</v>
      </c>
      <c r="E246" s="11" t="str">
        <f>+VLOOKUP($B246,'[3]INT Web'!$B$5:$W$247,'[3]INT Web'!Q$1,FALSE)</f>
        <v>ZMW</v>
      </c>
      <c r="F246" s="22">
        <f>+VLOOKUP($B246,'[3]INT Web'!$B$5:$W$247,'[3]INT Web'!R$1,FALSE)</f>
        <v>1980</v>
      </c>
      <c r="G246" s="22">
        <f>+VLOOKUP($B246,'[3]INT Web'!$B$5:$W$247,'[3]INT Web'!S$1,FALSE)</f>
        <v>330</v>
      </c>
      <c r="H246" s="22">
        <f>+VLOOKUP($B246,'[3]INT Web'!$B$5:$W$247,'[3]INT Web'!T$1,FALSE)</f>
        <v>1440</v>
      </c>
      <c r="I246" s="22">
        <f>+VLOOKUP($B246,'[3]INT Web'!$B$5:$W$247,'[3]INT Web'!U$1,FALSE)</f>
        <v>240</v>
      </c>
      <c r="J246" s="22">
        <f>+VLOOKUP($B246,'[3]INT Web'!$B$5:$W$247,'[3]INT Web'!V$1,FALSE)</f>
        <v>1320</v>
      </c>
      <c r="K246" s="22">
        <f>+VLOOKUP($B246,'[3]INT Web'!$B$5:$W$247,'[3]INT Web'!W$1,FALSE)</f>
        <v>220</v>
      </c>
      <c r="L246" s="12">
        <f t="shared" si="235"/>
        <v>6</v>
      </c>
      <c r="M246" s="12">
        <f t="shared" si="236"/>
        <v>1.375</v>
      </c>
      <c r="N246" s="12">
        <f t="shared" si="237"/>
        <v>6</v>
      </c>
      <c r="O246" s="12">
        <f t="shared" si="238"/>
        <v>6</v>
      </c>
      <c r="P246" s="12">
        <f t="shared" si="239"/>
        <v>0.91666666666666663</v>
      </c>
      <c r="Q246" s="140" t="str">
        <f t="shared" si="257"/>
        <v>ZMW</v>
      </c>
      <c r="R246" s="104">
        <f>+VLOOKUP($B246,'Country-Level Tactics'!$B$5:$AL$248,'Country-Level Tactics'!AH$1,FALSE)</f>
        <v>1980</v>
      </c>
      <c r="S246" s="104">
        <f>+VLOOKUP($B246,'Country-Level Tactics'!$B$5:$AL$248,'Country-Level Tactics'!X$1,FALSE)</f>
        <v>330</v>
      </c>
      <c r="T246" s="104">
        <f>+VLOOKUP($B246,'Country-Level Tactics'!$B$5:$AL$248,'Country-Level Tactics'!AC$1,FALSE)</f>
        <v>1440</v>
      </c>
      <c r="U246" s="104">
        <f>+VLOOKUP($B246,'Country-Level Tactics'!$B$5:$AL$248,'Country-Level Tactics'!T$1,FALSE)</f>
        <v>240</v>
      </c>
      <c r="V246" s="104">
        <f t="shared" si="258"/>
        <v>1320</v>
      </c>
      <c r="W246" s="104">
        <f t="shared" si="259"/>
        <v>220</v>
      </c>
      <c r="X246" s="12">
        <f t="shared" si="240"/>
        <v>6</v>
      </c>
      <c r="Y246" s="12">
        <f t="shared" si="241"/>
        <v>1.375</v>
      </c>
      <c r="Z246" s="12">
        <f t="shared" si="242"/>
        <v>6</v>
      </c>
      <c r="AA246" s="12">
        <f t="shared" si="243"/>
        <v>6</v>
      </c>
      <c r="AB246" s="12">
        <f t="shared" si="244"/>
        <v>0.91666666666666663</v>
      </c>
      <c r="AD246" s="10">
        <f t="shared" si="245"/>
        <v>0</v>
      </c>
      <c r="AE246" s="10">
        <f t="shared" si="246"/>
        <v>0</v>
      </c>
      <c r="AF246" s="10">
        <f t="shared" si="247"/>
        <v>0</v>
      </c>
      <c r="AG246" s="10">
        <f t="shared" si="248"/>
        <v>0</v>
      </c>
      <c r="AH246" s="10">
        <f t="shared" si="249"/>
        <v>0</v>
      </c>
      <c r="AI246" s="10">
        <f t="shared" si="250"/>
        <v>0</v>
      </c>
      <c r="AK246" s="165">
        <v>5.4274085999999999E-2</v>
      </c>
      <c r="AL246" s="173">
        <f t="shared" si="251"/>
        <v>107.46269028</v>
      </c>
      <c r="AM246" s="173">
        <f t="shared" si="252"/>
        <v>17.910448379999998</v>
      </c>
      <c r="AN246" s="173">
        <f t="shared" si="253"/>
        <v>78.154683840000004</v>
      </c>
      <c r="AO246" s="173">
        <f t="shared" si="254"/>
        <v>13.025780640000001</v>
      </c>
      <c r="AP246" s="173">
        <f t="shared" si="255"/>
        <v>71.641793519999993</v>
      </c>
      <c r="AQ246" s="173">
        <f t="shared" si="256"/>
        <v>11.94029892</v>
      </c>
      <c r="AS246" s="22" t="str">
        <f>+VLOOKUP(B246,'Country &amp; Code Abbreviation'!$B$3:$C$245,2,FALSE)</f>
        <v>ZM</v>
      </c>
    </row>
    <row r="247" spans="2:45">
      <c r="B247" s="20" t="s">
        <v>318</v>
      </c>
      <c r="C247" s="20" t="s">
        <v>270</v>
      </c>
      <c r="E247" s="11" t="str">
        <f>+VLOOKUP($B247,'[3]INT Web'!$B$5:$W$247,'[3]INT Web'!Q$1,FALSE)</f>
        <v>USD</v>
      </c>
      <c r="F247" s="22">
        <f>+VLOOKUP($B247,'[3]INT Web'!$B$5:$W$247,'[3]INT Web'!R$1,FALSE)</f>
        <v>71.989999999999995</v>
      </c>
      <c r="G247" s="22">
        <f>+VLOOKUP($B247,'[3]INT Web'!$B$5:$W$247,'[3]INT Web'!S$1,FALSE)</f>
        <v>11.99</v>
      </c>
      <c r="H247" s="22">
        <f>+VLOOKUP($B247,'[3]INT Web'!$B$5:$W$247,'[3]INT Web'!T$1,FALSE)</f>
        <v>53.99</v>
      </c>
      <c r="I247" s="22">
        <f>+VLOOKUP($B247,'[3]INT Web'!$B$5:$W$247,'[3]INT Web'!U$1,FALSE)</f>
        <v>8.99</v>
      </c>
      <c r="J247" s="22">
        <f>+VLOOKUP($B247,'[3]INT Web'!$B$5:$W$247,'[3]INT Web'!V$1,FALSE)</f>
        <v>47.99</v>
      </c>
      <c r="K247" s="22">
        <f>+VLOOKUP($B247,'[3]INT Web'!$B$5:$W$247,'[3]INT Web'!W$1,FALSE)</f>
        <v>7.99</v>
      </c>
      <c r="L247" s="12">
        <f t="shared" si="235"/>
        <v>6.0041701417848206</v>
      </c>
      <c r="M247" s="12">
        <f t="shared" si="236"/>
        <v>1.3337041156840934</v>
      </c>
      <c r="N247" s="12">
        <f t="shared" si="237"/>
        <v>6.0055617352614012</v>
      </c>
      <c r="O247" s="12">
        <f t="shared" si="238"/>
        <v>6.0062578222778473</v>
      </c>
      <c r="P247" s="12">
        <f t="shared" si="239"/>
        <v>0.88876529477196886</v>
      </c>
      <c r="Q247" s="140" t="str">
        <f t="shared" si="257"/>
        <v>USD</v>
      </c>
      <c r="R247" s="104">
        <f>+VLOOKUP($B247,'Country-Level Tactics'!$B$5:$AL$248,'Country-Level Tactics'!AH$1,FALSE)</f>
        <v>71.989999999999995</v>
      </c>
      <c r="S247" s="104">
        <f>+VLOOKUP($B247,'Country-Level Tactics'!$B$5:$AL$248,'Country-Level Tactics'!X$1,FALSE)</f>
        <v>11.99</v>
      </c>
      <c r="T247" s="104">
        <f>+VLOOKUP($B247,'Country-Level Tactics'!$B$5:$AL$248,'Country-Level Tactics'!AC$1,FALSE)</f>
        <v>53.99</v>
      </c>
      <c r="U247" s="104">
        <f>+VLOOKUP($B247,'Country-Level Tactics'!$B$5:$AL$248,'Country-Level Tactics'!T$1,FALSE)</f>
        <v>8.99</v>
      </c>
      <c r="V247" s="104">
        <f t="shared" si="258"/>
        <v>47.99</v>
      </c>
      <c r="W247" s="104">
        <f t="shared" si="259"/>
        <v>7.99</v>
      </c>
      <c r="X247" s="12">
        <f t="shared" si="240"/>
        <v>6.0041701417848206</v>
      </c>
      <c r="Y247" s="12">
        <f t="shared" si="241"/>
        <v>1.3337041156840934</v>
      </c>
      <c r="Z247" s="12">
        <f t="shared" si="242"/>
        <v>6.0055617352614012</v>
      </c>
      <c r="AA247" s="12">
        <f t="shared" si="243"/>
        <v>6.0062578222778473</v>
      </c>
      <c r="AB247" s="12">
        <f t="shared" si="244"/>
        <v>0.88876529477196886</v>
      </c>
      <c r="AD247" s="10">
        <f t="shared" si="245"/>
        <v>0</v>
      </c>
      <c r="AE247" s="10">
        <f t="shared" si="246"/>
        <v>0</v>
      </c>
      <c r="AF247" s="10">
        <f t="shared" si="247"/>
        <v>0</v>
      </c>
      <c r="AG247" s="10">
        <f t="shared" si="248"/>
        <v>0</v>
      </c>
      <c r="AH247" s="10">
        <f t="shared" si="249"/>
        <v>0</v>
      </c>
      <c r="AI247" s="10">
        <f t="shared" si="250"/>
        <v>0</v>
      </c>
      <c r="AK247" s="165">
        <v>1</v>
      </c>
      <c r="AL247" s="173">
        <f t="shared" si="251"/>
        <v>71.989999999999995</v>
      </c>
      <c r="AM247" s="173">
        <f t="shared" si="252"/>
        <v>11.99</v>
      </c>
      <c r="AN247" s="173">
        <f t="shared" si="253"/>
        <v>53.99</v>
      </c>
      <c r="AO247" s="173">
        <f t="shared" si="254"/>
        <v>8.99</v>
      </c>
      <c r="AP247" s="173">
        <f t="shared" si="255"/>
        <v>47.99</v>
      </c>
      <c r="AQ247" s="173">
        <f t="shared" si="256"/>
        <v>7.99</v>
      </c>
      <c r="AS247" s="22" t="str">
        <f>+VLOOKUP(B247,'Country &amp; Code Abbreviation'!$B$3:$C$245,2,FALSE)</f>
        <v>ZW</v>
      </c>
    </row>
    <row r="249" spans="2:45">
      <c r="AM249" s="283">
        <f>MIN(AM5:AM247)</f>
        <v>2.676020719242</v>
      </c>
      <c r="AO249" s="283">
        <f>MIN(AO5:AO247)</f>
        <v>1.9822215096419999</v>
      </c>
    </row>
    <row r="250" spans="2:45">
      <c r="R250" s="138"/>
      <c r="T250" s="138"/>
    </row>
  </sheetData>
  <autoFilter ref="B4:AS247" xr:uid="{8836548F-4518-423D-B52D-4D97F1857691}">
    <sortState xmlns:xlrd2="http://schemas.microsoft.com/office/spreadsheetml/2017/richdata2" ref="B5:AS247">
      <sortCondition ref="B4:B247"/>
    </sortState>
  </autoFilter>
  <conditionalFormatting sqref="AD5:AI2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3735-D871-46D3-A8AD-03A20F528485}">
  <sheetPr>
    <tabColor rgb="FFFFFF00"/>
  </sheetPr>
  <dimension ref="B1:M45"/>
  <sheetViews>
    <sheetView workbookViewId="0">
      <pane xSplit="4" ySplit="4" topLeftCell="G5" activePane="bottomRight" state="frozen"/>
      <selection pane="topRight" activeCell="O39" sqref="O39"/>
      <selection pane="bottomLeft" activeCell="O39" sqref="O39"/>
      <selection pane="bottomRight" activeCell="G5" sqref="G5"/>
    </sheetView>
  </sheetViews>
  <sheetFormatPr defaultColWidth="8.6328125" defaultRowHeight="12.5" outlineLevelRow="1" outlineLevelCol="1"/>
  <cols>
    <col min="1" max="1" width="1.453125" customWidth="1"/>
    <col min="2" max="2" width="27.453125" bestFit="1" customWidth="1"/>
    <col min="3" max="3" width="12.36328125" bestFit="1" customWidth="1"/>
    <col min="4" max="4" width="14" style="6" bestFit="1" customWidth="1"/>
    <col min="5" max="5" width="13.453125" style="7" hidden="1" customWidth="1" outlineLevel="1"/>
    <col min="6" max="6" width="15.36328125" style="7" hidden="1" customWidth="1" outlineLevel="1"/>
    <col min="7" max="7" width="22.6328125" style="7" customWidth="1" collapsed="1"/>
    <col min="8" max="9" width="22.6328125" style="9" customWidth="1"/>
    <col min="10" max="10" width="1.6328125" customWidth="1"/>
    <col min="11" max="11" width="43" bestFit="1" customWidth="1"/>
    <col min="12" max="12" width="44" bestFit="1" customWidth="1"/>
  </cols>
  <sheetData>
    <row r="1" spans="2:13">
      <c r="D1"/>
      <c r="E1"/>
      <c r="F1"/>
      <c r="G1"/>
      <c r="H1"/>
      <c r="I1"/>
      <c r="K1">
        <v>10</v>
      </c>
      <c r="L1">
        <v>11</v>
      </c>
    </row>
    <row r="2" spans="2:13">
      <c r="D2"/>
      <c r="E2"/>
      <c r="F2"/>
      <c r="G2"/>
      <c r="H2" s="6" t="s">
        <v>58</v>
      </c>
      <c r="I2" s="6"/>
      <c r="K2" s="90">
        <v>0.4</v>
      </c>
      <c r="L2" s="90">
        <v>0.4</v>
      </c>
    </row>
    <row r="3" spans="2:13" ht="13">
      <c r="B3" s="6"/>
      <c r="C3" s="6"/>
      <c r="D3" s="5" t="s">
        <v>354</v>
      </c>
      <c r="E3" s="14" t="s">
        <v>355</v>
      </c>
      <c r="F3" s="14"/>
      <c r="G3" s="17" t="s">
        <v>324</v>
      </c>
      <c r="H3" s="17"/>
      <c r="I3" s="17"/>
      <c r="K3" s="91" t="s">
        <v>356</v>
      </c>
      <c r="L3" s="91" t="s">
        <v>356</v>
      </c>
    </row>
    <row r="4" spans="2:13" ht="13">
      <c r="B4" s="5" t="s">
        <v>31</v>
      </c>
      <c r="C4" s="5" t="s">
        <v>32</v>
      </c>
      <c r="D4" s="5" t="s">
        <v>330</v>
      </c>
      <c r="E4" s="2" t="s">
        <v>331</v>
      </c>
      <c r="F4" s="2" t="s">
        <v>335</v>
      </c>
      <c r="G4" s="4" t="s">
        <v>331</v>
      </c>
      <c r="H4" s="4" t="s">
        <v>335</v>
      </c>
      <c r="I4" s="4" t="s">
        <v>333</v>
      </c>
      <c r="K4" s="92" t="s">
        <v>335</v>
      </c>
      <c r="L4" s="92" t="s">
        <v>333</v>
      </c>
    </row>
    <row r="5" spans="2:13">
      <c r="B5" s="20" t="s">
        <v>81</v>
      </c>
      <c r="C5" s="213" t="str">
        <f>+VLOOKUP($B5,'INT Web'!$B$5:$U$247,'INT Web'!$C$1,FALSE)</f>
        <v>Latin America</v>
      </c>
      <c r="D5" s="13" t="str">
        <f>+IF(IFERROR(VLOOKUP($B5,'INT Web'!$B$5:$U$247,'INT Web'!$D$1,FALSE),"")=0,"",VLOOKUP($B5,'INT Web'!$B$5:$U$247,'INT Web'!$D$1,FALSE))</f>
        <v>C</v>
      </c>
      <c r="E5" s="11" t="str">
        <f>+VLOOKUP($B5,[4]Subscriptions!$B$4:$S$238,[4]Subscriptions!M$1,FALSE)</f>
        <v>ARS</v>
      </c>
      <c r="F5" s="22">
        <f>+VLOOKUP($B5,[4]Subscriptions!$B$4:$S$238,[4]Subscriptions!Q$1,FALSE)</f>
        <v>479.99</v>
      </c>
      <c r="G5" s="13" t="str">
        <f>+VLOOKUP($B5,'INT Web'!$B$5:$U$247,'INT Web'!$Q$1,FALSE)</f>
        <v>USD</v>
      </c>
      <c r="H5" s="22">
        <f>+VLOOKUP($B5,'INT Web'!$B$5:$U$247,'INT Web'!$U$1,FALSE)</f>
        <v>9.99</v>
      </c>
      <c r="I5" s="22">
        <f>+VLOOKUP($B5,'INT Web'!$B$5:$U$247,'INT Web'!$S$1,FALSE)</f>
        <v>12.99</v>
      </c>
      <c r="K5" s="147">
        <f t="shared" ref="K5:L10" si="0">+H5*(1-$K$2)</f>
        <v>5.9939999999999998</v>
      </c>
      <c r="L5" s="147">
        <f t="shared" si="0"/>
        <v>7.7939999999999996</v>
      </c>
    </row>
    <row r="6" spans="2:13" ht="13">
      <c r="B6" s="20" t="s">
        <v>84</v>
      </c>
      <c r="C6" s="213" t="str">
        <f>+VLOOKUP($B6,'INT Web'!$B$5:$U$247,'INT Web'!$C$1,FALSE)</f>
        <v>Asia</v>
      </c>
      <c r="D6" s="13" t="str">
        <f>+IF(IFERROR(VLOOKUP($B6,'INT Web'!$B$5:$U$247,'INT Web'!$D$1,FALSE),"")=0,"",VLOOKUP($B6,'INT Web'!$B$5:$U$247,'INT Web'!$D$1,FALSE))</f>
        <v>B</v>
      </c>
      <c r="E6" s="11" t="str">
        <f>+VLOOKUP($B6,[4]Subscriptions!$B$4:$S$238,[4]Subscriptions!M$1,FALSE)</f>
        <v>AUD</v>
      </c>
      <c r="F6" s="22">
        <f>+VLOOKUP($B6,[4]Subscriptions!$B$4:$S$238,[4]Subscriptions!Q$1,FALSE)</f>
        <v>21.99</v>
      </c>
      <c r="G6" s="13" t="str">
        <f>+VLOOKUP($B6,'INT Web'!$B$5:$U$247,'INT Web'!$Q$1,FALSE)</f>
        <v>AUD</v>
      </c>
      <c r="H6" s="22">
        <f>+VLOOKUP($B6,'INT Web'!$B$5:$U$247,'INT Web'!$U$1,FALSE)</f>
        <v>24.99</v>
      </c>
      <c r="I6" s="22">
        <f>+VLOOKUP($B6,'INT Web'!$B$5:$U$247,'INT Web'!$S$1,FALSE)</f>
        <v>34.99</v>
      </c>
      <c r="K6" s="147">
        <f t="shared" si="0"/>
        <v>14.993999999999998</v>
      </c>
      <c r="L6" s="147">
        <f t="shared" si="0"/>
        <v>20.994</v>
      </c>
      <c r="M6" s="41"/>
    </row>
    <row r="7" spans="2:13">
      <c r="B7" s="20" t="s">
        <v>85</v>
      </c>
      <c r="C7" s="213" t="str">
        <f>+VLOOKUP($B7,'INT Web'!$B$5:$U$247,'INT Web'!$C$1,FALSE)</f>
        <v>Europe</v>
      </c>
      <c r="D7" s="13" t="str">
        <f>+IF(IFERROR(VLOOKUP($B7,'INT Web'!$B$5:$U$247,'INT Web'!$D$1,FALSE),"")=0,"",VLOOKUP($B7,'INT Web'!$B$5:$U$247,'INT Web'!$D$1,FALSE))</f>
        <v/>
      </c>
      <c r="E7" s="11" t="str">
        <f>+VLOOKUP($B7,[4]Subscriptions!$B$4:$S$238,[4]Subscriptions!M$1,FALSE)</f>
        <v>EUR</v>
      </c>
      <c r="F7" s="22">
        <f>+VLOOKUP($B7,[4]Subscriptions!$B$4:$S$238,[4]Subscriptions!Q$1,FALSE)</f>
        <v>17.989999999999998</v>
      </c>
      <c r="G7" s="13" t="str">
        <f>+VLOOKUP($B7,'INT Web'!$B$5:$U$247,'INT Web'!$Q$1,FALSE)</f>
        <v>EUR</v>
      </c>
      <c r="H7" s="22">
        <f>+VLOOKUP($B7,'INT Web'!$B$5:$U$247,'INT Web'!$U$1,FALSE)</f>
        <v>17.989999999999998</v>
      </c>
      <c r="I7" s="22">
        <f>+VLOOKUP($B7,'INT Web'!$B$5:$U$247,'INT Web'!$S$1,FALSE)</f>
        <v>23.99</v>
      </c>
      <c r="K7" s="147">
        <f t="shared" si="0"/>
        <v>10.793999999999999</v>
      </c>
      <c r="L7" s="147">
        <f t="shared" si="0"/>
        <v>14.393999999999998</v>
      </c>
    </row>
    <row r="8" spans="2:13">
      <c r="B8" s="20" t="s">
        <v>92</v>
      </c>
      <c r="C8" s="213" t="str">
        <f>+VLOOKUP($B8,'INT Web'!$B$5:$U$247,'INT Web'!$C$1,FALSE)</f>
        <v>Europe</v>
      </c>
      <c r="D8" s="13" t="str">
        <f>+IF(IFERROR(VLOOKUP($B8,'INT Web'!$B$5:$U$247,'INT Web'!$D$1,FALSE),"")=0,"",VLOOKUP($B8,'INT Web'!$B$5:$U$247,'INT Web'!$D$1,FALSE))</f>
        <v>E~</v>
      </c>
      <c r="E8" s="11" t="str">
        <f>+VLOOKUP($B8,[4]Subscriptions!$B$4:$S$238,[4]Subscriptions!M$1,FALSE)</f>
        <v>EUR</v>
      </c>
      <c r="F8" s="22">
        <f>+VLOOKUP($B8,[4]Subscriptions!$B$4:$S$238,[4]Subscriptions!Q$1,FALSE)</f>
        <v>18.989999999999998</v>
      </c>
      <c r="G8" s="13" t="str">
        <f>+VLOOKUP($B8,'INT Web'!$B$5:$U$247,'INT Web'!$Q$1,FALSE)</f>
        <v>EUR</v>
      </c>
      <c r="H8" s="22">
        <f>+VLOOKUP($B8,'INT Web'!$B$5:$U$247,'INT Web'!$U$1,FALSE)</f>
        <v>18.989999999999998</v>
      </c>
      <c r="I8" s="22">
        <f>+VLOOKUP($B8,'INT Web'!$B$5:$U$247,'INT Web'!$S$1,FALSE)</f>
        <v>25.99</v>
      </c>
      <c r="K8" s="147">
        <f t="shared" si="0"/>
        <v>11.393999999999998</v>
      </c>
      <c r="L8" s="147">
        <f t="shared" si="0"/>
        <v>15.593999999999998</v>
      </c>
    </row>
    <row r="9" spans="2:13">
      <c r="B9" s="20" t="s">
        <v>104</v>
      </c>
      <c r="C9" s="213" t="str">
        <f>+VLOOKUP($B9,'INT Web'!$B$5:$U$247,'INT Web'!$C$1,FALSE)</f>
        <v>Latin America</v>
      </c>
      <c r="D9" s="13" t="str">
        <f>+IF(IFERROR(VLOOKUP($B9,'INT Web'!$B$5:$U$247,'INT Web'!$D$1,FALSE),"")=0,"",VLOOKUP($B9,'INT Web'!$B$5:$U$247,'INT Web'!$D$1,FALSE))</f>
        <v>C</v>
      </c>
      <c r="E9" s="11" t="str">
        <f>+VLOOKUP($B9,[4]Subscriptions!$B$4:$S$238,[4]Subscriptions!M$1,FALSE)</f>
        <v>BRL</v>
      </c>
      <c r="F9" s="22">
        <f>+VLOOKUP($B9,[4]Subscriptions!$B$4:$S$238,[4]Subscriptions!Q$1,FALSE)</f>
        <v>50.99</v>
      </c>
      <c r="G9" s="13" t="str">
        <f>+VLOOKUP($B9,'INT Web'!$B$5:$U$247,'INT Web'!$Q$1,FALSE)</f>
        <v>BRL</v>
      </c>
      <c r="H9" s="22">
        <f>+VLOOKUP($B9,'INT Web'!$B$5:$U$247,'INT Web'!$U$1,FALSE)</f>
        <v>54.99</v>
      </c>
      <c r="I9" s="22">
        <f>+VLOOKUP($B9,'INT Web'!$B$5:$U$247,'INT Web'!$S$1,FALSE)</f>
        <v>69.989999999999995</v>
      </c>
      <c r="K9" s="147">
        <f t="shared" si="0"/>
        <v>32.994</v>
      </c>
      <c r="L9" s="147">
        <f t="shared" si="0"/>
        <v>41.993999999999993</v>
      </c>
    </row>
    <row r="10" spans="2:13">
      <c r="B10" s="20" t="s">
        <v>113</v>
      </c>
      <c r="C10" s="213" t="str">
        <f>+VLOOKUP($B10,'INT Web'!$B$5:$U$247,'INT Web'!$C$1,FALSE)</f>
        <v>Canada</v>
      </c>
      <c r="D10" s="13" t="str">
        <f>+IF(IFERROR(VLOOKUP($B10,'INT Web'!$B$5:$U$247,'INT Web'!$D$1,FALSE),"")=0,"",VLOOKUP($B10,'INT Web'!$B$5:$U$247,'INT Web'!$D$1,FALSE))</f>
        <v>A</v>
      </c>
      <c r="E10" s="11" t="str">
        <f>+VLOOKUP($B10,[4]Subscriptions!$B$4:$S$238,[4]Subscriptions!M$1,FALSE)</f>
        <v>CAD</v>
      </c>
      <c r="F10" s="22">
        <f>+VLOOKUP($B10,[4]Subscriptions!$B$4:$S$238,[4]Subscriptions!Q$1,FALSE)</f>
        <v>19.989999999999998</v>
      </c>
      <c r="G10" s="13" t="str">
        <f>+VLOOKUP($B10,'INT Web'!$B$5:$U$247,'INT Web'!$Q$1,FALSE)</f>
        <v>CAD</v>
      </c>
      <c r="H10" s="22">
        <f>+VLOOKUP($B10,'INT Web'!$B$5:$U$247,'INT Web'!$U$1,FALSE)</f>
        <v>19.989999999999998</v>
      </c>
      <c r="I10" s="22">
        <f>+VLOOKUP($B10,'INT Web'!$B$5:$U$247,'INT Web'!$S$1,FALSE)</f>
        <v>27.99</v>
      </c>
      <c r="K10" s="147">
        <f t="shared" si="0"/>
        <v>11.993999999999998</v>
      </c>
      <c r="L10" s="147">
        <f t="shared" si="0"/>
        <v>16.793999999999997</v>
      </c>
    </row>
    <row r="11" spans="2:13">
      <c r="B11" s="20" t="s">
        <v>118</v>
      </c>
      <c r="C11" s="213" t="str">
        <f>+VLOOKUP($B11,'INT Web'!$B$5:$U$247,'INT Web'!$C$1,FALSE)</f>
        <v>Latin America</v>
      </c>
      <c r="D11" s="13" t="str">
        <f>+IF(IFERROR(VLOOKUP($B11,'INT Web'!$B$5:$U$247,'INT Web'!$D$1,FALSE),"")=0,"",VLOOKUP($B11,'INT Web'!$B$5:$U$247,'INT Web'!$D$1,FALSE))</f>
        <v>E~</v>
      </c>
      <c r="E11" s="11" t="str">
        <f>+VLOOKUP($B11,[4]Subscriptions!$B$4:$S$238,[4]Subscriptions!M$1,FALSE)</f>
        <v>CLP</v>
      </c>
      <c r="F11" s="22">
        <f>+VLOOKUP($B11,[4]Subscriptions!$B$4:$S$238,[4]Subscriptions!Q$1,FALSE)</f>
        <v>11800</v>
      </c>
      <c r="G11" s="13" t="str">
        <f>+VLOOKUP($B11,'INT Web'!$B$5:$U$247,'INT Web'!$Q$1,FALSE)</f>
        <v>CLP</v>
      </c>
      <c r="H11" s="22">
        <f>+VLOOKUP($B11,'INT Web'!$B$5:$U$247,'INT Web'!$U$1,FALSE)</f>
        <v>15900</v>
      </c>
      <c r="I11" s="22">
        <f>+VLOOKUP($B11,'INT Web'!$B$5:$U$247,'INT Web'!$S$1,FALSE)</f>
        <v>22900</v>
      </c>
      <c r="K11" s="147">
        <f t="shared" ref="K11:K12" si="1">+H11*(1-$K$2)</f>
        <v>9540</v>
      </c>
      <c r="L11" s="147">
        <f t="shared" ref="L11:L12" si="2">+I11*(1-$K$2)</f>
        <v>13740</v>
      </c>
    </row>
    <row r="12" spans="2:13">
      <c r="B12" s="20" t="s">
        <v>121</v>
      </c>
      <c r="C12" s="213" t="str">
        <f>+VLOOKUP($B12,'INT Web'!$B$5:$U$247,'INT Web'!$C$1,FALSE)</f>
        <v>Latin America</v>
      </c>
      <c r="D12" s="13" t="str">
        <f>+IF(IFERROR(VLOOKUP($B12,'INT Web'!$B$5:$U$247,'INT Web'!$D$1,FALSE),"")=0,"",VLOOKUP($B12,'INT Web'!$B$5:$U$247,'INT Web'!$D$1,FALSE))</f>
        <v/>
      </c>
      <c r="E12" s="11" t="str">
        <f>+VLOOKUP($B12,[4]Subscriptions!$B$4:$S$238,[4]Subscriptions!M$1,FALSE)</f>
        <v>COP</v>
      </c>
      <c r="F12" s="22">
        <f>+VLOOKUP($B12,[4]Subscriptions!$B$4:$S$238,[4]Subscriptions!Q$1,FALSE)</f>
        <v>37700</v>
      </c>
      <c r="G12" s="13" t="str">
        <f>+VLOOKUP($B12,'INT Web'!$B$5:$U$247,'INT Web'!$Q$1,FALSE)</f>
        <v>COP</v>
      </c>
      <c r="H12" s="22">
        <f>+VLOOKUP($B12,'INT Web'!$B$5:$U$247,'INT Web'!$U$1,FALSE)</f>
        <v>41400</v>
      </c>
      <c r="I12" s="22">
        <f>+VLOOKUP($B12,'INT Web'!$B$5:$U$247,'INT Web'!$S$1,FALSE)</f>
        <v>55900</v>
      </c>
      <c r="K12" s="147">
        <f t="shared" si="1"/>
        <v>24840</v>
      </c>
      <c r="L12" s="147">
        <f t="shared" si="2"/>
        <v>33540</v>
      </c>
    </row>
    <row r="13" spans="2:13">
      <c r="B13" s="20" t="s">
        <v>132</v>
      </c>
      <c r="C13" s="213" t="str">
        <f>+VLOOKUP($B13,'INT Web'!$B$5:$U$247,'INT Web'!$C$1,FALSE)</f>
        <v>Europe</v>
      </c>
      <c r="D13" s="13" t="str">
        <f>+IF(IFERROR(VLOOKUP($B13,'INT Web'!$B$5:$U$247,'INT Web'!$D$1,FALSE),"")=0,"",VLOOKUP($B13,'INT Web'!$B$5:$U$247,'INT Web'!$D$1,FALSE))</f>
        <v/>
      </c>
      <c r="E13" s="11" t="str">
        <f>+VLOOKUP($B13,[4]Subscriptions!$B$4:$S$238,[4]Subscriptions!M$1,FALSE)</f>
        <v>DKK</v>
      </c>
      <c r="F13" s="22">
        <f>+VLOOKUP($B13,[4]Subscriptions!$B$4:$S$238,[4]Subscriptions!Q$1,FALSE)</f>
        <v>139.99</v>
      </c>
      <c r="G13" s="13" t="str">
        <f>+VLOOKUP($B13,'INT Web'!$B$5:$U$247,'INT Web'!$Q$1,FALSE)</f>
        <v>DKK</v>
      </c>
      <c r="H13" s="22">
        <f>+VLOOKUP($B13,'INT Web'!$B$5:$U$247,'INT Web'!$U$1,FALSE)</f>
        <v>139.99</v>
      </c>
      <c r="I13" s="22">
        <f>+VLOOKUP($B13,'INT Web'!$B$5:$U$247,'INT Web'!$S$1,FALSE)</f>
        <v>199.99</v>
      </c>
      <c r="K13" s="147">
        <f t="shared" ref="K13:K43" si="3">+H13*(1-$K$2)</f>
        <v>83.994</v>
      </c>
      <c r="L13" s="147">
        <f t="shared" ref="L13:L43" si="4">+I13*(1-$K$2)</f>
        <v>119.994</v>
      </c>
    </row>
    <row r="14" spans="2:13">
      <c r="B14" s="20" t="s">
        <v>137</v>
      </c>
      <c r="C14" s="213" t="str">
        <f>+VLOOKUP($B14,'INT Web'!$B$5:$U$247,'INT Web'!$C$1,FALSE)</f>
        <v>Africa</v>
      </c>
      <c r="D14" s="13" t="str">
        <f>+IF(IFERROR(VLOOKUP($B14,'INT Web'!$B$5:$U$247,'INT Web'!$D$1,FALSE),"")=0,"",VLOOKUP($B14,'INT Web'!$B$5:$U$247,'INT Web'!$D$1,FALSE))</f>
        <v/>
      </c>
      <c r="E14" s="11" t="str">
        <f>+VLOOKUP($B14,[4]Subscriptions!$B$4:$S$238,[4]Subscriptions!M$1,FALSE)</f>
        <v>EGP</v>
      </c>
      <c r="F14" s="22">
        <f>+VLOOKUP($B14,[4]Subscriptions!$B$4:$S$238,[4]Subscriptions!Q$1,FALSE)</f>
        <v>160</v>
      </c>
      <c r="G14" s="13" t="str">
        <f>+VLOOKUP($B14,'INT Web'!$B$5:$U$247,'INT Web'!$Q$1,FALSE)</f>
        <v>EGP</v>
      </c>
      <c r="H14" s="22">
        <f>+VLOOKUP($B14,'INT Web'!$B$5:$U$247,'INT Web'!$U$1,FALSE)</f>
        <v>259</v>
      </c>
      <c r="I14" s="22">
        <f>+VLOOKUP($B14,'INT Web'!$B$5:$U$247,'INT Web'!$S$1,FALSE)</f>
        <v>399</v>
      </c>
      <c r="K14" s="147">
        <f t="shared" si="3"/>
        <v>155.4</v>
      </c>
      <c r="L14" s="147">
        <f t="shared" si="4"/>
        <v>239.39999999999998</v>
      </c>
    </row>
    <row r="15" spans="2:13">
      <c r="B15" s="20" t="s">
        <v>147</v>
      </c>
      <c r="C15" s="213" t="str">
        <f>+VLOOKUP($B15,'INT Web'!$B$5:$U$247,'INT Web'!$C$1,FALSE)</f>
        <v>Europe</v>
      </c>
      <c r="D15" s="13" t="str">
        <f>+IF(IFERROR(VLOOKUP($B15,'INT Web'!$B$5:$U$247,'INT Web'!$D$1,FALSE),"")=0,"",VLOOKUP($B15,'INT Web'!$B$5:$U$247,'INT Web'!$D$1,FALSE))</f>
        <v/>
      </c>
      <c r="E15" s="11" t="str">
        <f>+VLOOKUP($B15,[4]Subscriptions!$B$4:$S$238,[4]Subscriptions!M$1,FALSE)</f>
        <v>EUR</v>
      </c>
      <c r="F15" s="22">
        <f>+VLOOKUP($B15,[4]Subscriptions!$B$4:$S$238,[4]Subscriptions!Q$1,FALSE)</f>
        <v>14.99</v>
      </c>
      <c r="G15" s="13" t="str">
        <f>+VLOOKUP($B15,'INT Web'!$B$5:$U$247,'INT Web'!$Q$1,FALSE)</f>
        <v>EUR</v>
      </c>
      <c r="H15" s="22">
        <f>+VLOOKUP($B15,'INT Web'!$B$5:$U$247,'INT Web'!$U$1,FALSE)</f>
        <v>14.99</v>
      </c>
      <c r="I15" s="22">
        <f>+VLOOKUP($B15,'INT Web'!$B$5:$U$247,'INT Web'!$S$1,FALSE)</f>
        <v>19.989999999999998</v>
      </c>
      <c r="K15" s="147">
        <f t="shared" si="3"/>
        <v>8.9939999999999998</v>
      </c>
      <c r="L15" s="147">
        <f t="shared" si="4"/>
        <v>11.993999999999998</v>
      </c>
    </row>
    <row r="16" spans="2:13">
      <c r="B16" s="20" t="s">
        <v>148</v>
      </c>
      <c r="C16" s="213" t="str">
        <f>+VLOOKUP($B16,'INT Web'!$B$5:$U$247,'INT Web'!$C$1,FALSE)</f>
        <v>Europe</v>
      </c>
      <c r="D16" s="13" t="str">
        <f>+IF(IFERROR(VLOOKUP($B16,'INT Web'!$B$5:$U$247,'INT Web'!$D$1,FALSE),"")=0,"",VLOOKUP($B16,'INT Web'!$B$5:$U$247,'INT Web'!$D$1,FALSE))</f>
        <v>B</v>
      </c>
      <c r="E16" s="11" t="str">
        <f>+VLOOKUP($B16,[4]Subscriptions!$B$4:$S$238,[4]Subscriptions!M$1,FALSE)</f>
        <v>EUR</v>
      </c>
      <c r="F16" s="22">
        <f>+VLOOKUP($B16,[4]Subscriptions!$B$4:$S$238,[4]Subscriptions!Q$1,FALSE)</f>
        <v>17.989999999999998</v>
      </c>
      <c r="G16" s="13" t="str">
        <f>+VLOOKUP($B16,'INT Web'!$B$5:$U$247,'INT Web'!$Q$1,FALSE)</f>
        <v>EUR</v>
      </c>
      <c r="H16" s="22">
        <f>+VLOOKUP($B16,'INT Web'!$B$5:$U$247,'INT Web'!$U$1,FALSE)</f>
        <v>21.99</v>
      </c>
      <c r="I16" s="22">
        <f>+VLOOKUP($B16,'INT Web'!$B$5:$U$247,'INT Web'!$S$1,FALSE)</f>
        <v>28.99</v>
      </c>
      <c r="K16" s="147">
        <f t="shared" si="3"/>
        <v>13.193999999999999</v>
      </c>
      <c r="L16" s="147">
        <f t="shared" si="4"/>
        <v>17.393999999999998</v>
      </c>
    </row>
    <row r="17" spans="2:12">
      <c r="B17" s="20" t="s">
        <v>155</v>
      </c>
      <c r="C17" s="213" t="str">
        <f>+VLOOKUP($B17,'INT Web'!$B$5:$U$247,'INT Web'!$C$1,FALSE)</f>
        <v>Europe</v>
      </c>
      <c r="D17" s="13" t="str">
        <f>+IF(IFERROR(VLOOKUP($B17,'INT Web'!$B$5:$U$247,'INT Web'!$D$1,FALSE),"")=0,"",VLOOKUP($B17,'INT Web'!$B$5:$U$247,'INT Web'!$D$1,FALSE))</f>
        <v>B</v>
      </c>
      <c r="E17" s="11" t="str">
        <f>+VLOOKUP($B17,[4]Subscriptions!$B$4:$S$238,[4]Subscriptions!M$1,FALSE)</f>
        <v>EUR</v>
      </c>
      <c r="F17" s="22">
        <f>+VLOOKUP($B17,[4]Subscriptions!$B$4:$S$238,[4]Subscriptions!Q$1,FALSE)</f>
        <v>17.989999999999998</v>
      </c>
      <c r="G17" s="13" t="str">
        <f>+VLOOKUP($B17,'INT Web'!$B$5:$U$247,'INT Web'!$Q$1,FALSE)</f>
        <v>EUR</v>
      </c>
      <c r="H17" s="22">
        <f>+VLOOKUP($B17,'INT Web'!$B$5:$U$247,'INT Web'!$U$1,FALSE)</f>
        <v>19.989999999999998</v>
      </c>
      <c r="I17" s="22">
        <f>+VLOOKUP($B17,'INT Web'!$B$5:$U$247,'INT Web'!$S$1,FALSE)</f>
        <v>27.99</v>
      </c>
      <c r="K17" s="147">
        <f t="shared" si="3"/>
        <v>11.993999999999998</v>
      </c>
      <c r="L17" s="147">
        <f t="shared" si="4"/>
        <v>16.793999999999997</v>
      </c>
    </row>
    <row r="18" spans="2:12">
      <c r="B18" s="20" t="s">
        <v>158</v>
      </c>
      <c r="C18" s="213" t="str">
        <f>+VLOOKUP($B18,'INT Web'!$B$5:$U$247,'INT Web'!$C$1,FALSE)</f>
        <v>Europe</v>
      </c>
      <c r="D18" s="13" t="str">
        <f>+IF(IFERROR(VLOOKUP($B18,'INT Web'!$B$5:$U$247,'INT Web'!$D$1,FALSE),"")=0,"",VLOOKUP($B18,'INT Web'!$B$5:$U$247,'INT Web'!$D$1,FALSE))</f>
        <v>E~</v>
      </c>
      <c r="E18" s="11" t="str">
        <f>+VLOOKUP($B18,[4]Subscriptions!$B$4:$S$238,[4]Subscriptions!M$1,FALSE)</f>
        <v>EUR</v>
      </c>
      <c r="F18" s="22">
        <f>+VLOOKUP($B18,[4]Subscriptions!$B$4:$S$238,[4]Subscriptions!Q$1,FALSE)</f>
        <v>9.99</v>
      </c>
      <c r="G18" s="13" t="str">
        <f>+VLOOKUP($B18,'INT Web'!$B$5:$U$247,'INT Web'!$Q$1,FALSE)</f>
        <v>EUR</v>
      </c>
      <c r="H18" s="22">
        <f>+VLOOKUP($B18,'INT Web'!$B$5:$U$247,'INT Web'!$U$1,FALSE)</f>
        <v>12.99</v>
      </c>
      <c r="I18" s="22">
        <f>+VLOOKUP($B18,'INT Web'!$B$5:$U$247,'INT Web'!$S$1,FALSE)</f>
        <v>16.989999999999998</v>
      </c>
      <c r="K18" s="147">
        <f t="shared" si="3"/>
        <v>7.7939999999999996</v>
      </c>
      <c r="L18" s="147">
        <f t="shared" si="4"/>
        <v>10.193999999999999</v>
      </c>
    </row>
    <row r="19" spans="2:12">
      <c r="B19" s="20" t="s">
        <v>170</v>
      </c>
      <c r="C19" s="213" t="str">
        <f>+VLOOKUP($B19,'INT Web'!$B$5:$U$247,'INT Web'!$C$1,FALSE)</f>
        <v>NBA China</v>
      </c>
      <c r="D19" s="13" t="str">
        <f>+IF(IFERROR(VLOOKUP($B19,'INT Web'!$B$5:$U$247,'INT Web'!$D$1,FALSE),"")=0,"",VLOOKUP($B19,'INT Web'!$B$5:$U$247,'INT Web'!$D$1,FALSE))</f>
        <v>B</v>
      </c>
      <c r="E19" s="11" t="str">
        <f>+VLOOKUP($B19,[4]Subscriptions!$B$4:$S$238,[4]Subscriptions!M$1,FALSE)</f>
        <v>HKD</v>
      </c>
      <c r="F19" s="22">
        <f>+VLOOKUP($B19,[4]Subscriptions!$B$4:$S$238,[4]Subscriptions!Q$1,FALSE)</f>
        <v>109</v>
      </c>
      <c r="G19" s="13" t="str">
        <f>+VLOOKUP($B19,'INT Web'!$B$5:$U$247,'INT Web'!$Q$1,FALSE)</f>
        <v>HKD</v>
      </c>
      <c r="H19" s="22">
        <f>+VLOOKUP($B19,'INT Web'!$B$5:$U$247,'INT Web'!$U$1,FALSE)</f>
        <v>109</v>
      </c>
      <c r="I19" s="22">
        <f>+VLOOKUP($B19,'INT Web'!$B$5:$U$247,'INT Web'!$S$1,FALSE)</f>
        <v>164</v>
      </c>
      <c r="K19" s="147">
        <f t="shared" si="3"/>
        <v>65.399999999999991</v>
      </c>
      <c r="L19" s="147">
        <f t="shared" si="4"/>
        <v>98.399999999999991</v>
      </c>
    </row>
    <row r="20" spans="2:12">
      <c r="B20" s="21" t="s">
        <v>173</v>
      </c>
      <c r="C20" s="248" t="str">
        <f>+VLOOKUP($B20,'INT Web'!$B$5:$U$247,'INT Web'!$C$1,FALSE)</f>
        <v>India</v>
      </c>
      <c r="D20" s="154" t="str">
        <f>+IF(IFERROR(VLOOKUP($B20,'INT Web'!$B$5:$U$247,'INT Web'!$D$1,FALSE),"")=0,"",VLOOKUP($B20,'INT Web'!$B$5:$U$247,'INT Web'!$D$1,FALSE))</f>
        <v>D</v>
      </c>
      <c r="E20" s="170"/>
      <c r="F20" s="249"/>
      <c r="G20" s="154" t="str">
        <f>+VLOOKUP($B20,'INT Web'!$B$5:$U$247,'INT Web'!$Q$1,FALSE)</f>
        <v>INR</v>
      </c>
      <c r="H20" s="249">
        <f>+VLOOKUP($B20,'INT Web'!$B$5:$U$247,'INT Web'!$U$1,FALSE)</f>
        <v>219</v>
      </c>
      <c r="I20" s="249">
        <f>+VLOOKUP($B20,'INT Web'!$B$5:$U$247,'INT Web'!$S$1,FALSE)</f>
        <v>329</v>
      </c>
      <c r="J20" s="73"/>
      <c r="K20" s="250">
        <f t="shared" ref="K20" si="5">+H20*(1-$K$2)</f>
        <v>131.4</v>
      </c>
      <c r="L20" s="250">
        <f t="shared" ref="L20" si="6">+I20*(1-$K$2)</f>
        <v>197.4</v>
      </c>
    </row>
    <row r="21" spans="2:12" hidden="1" outlineLevel="1">
      <c r="B21" s="214" t="s">
        <v>174</v>
      </c>
      <c r="C21" s="215" t="str">
        <f>+VLOOKUP($B21,'INT Web'!$B$5:$U$247,'INT Web'!$C$1,FALSE)</f>
        <v>Asia</v>
      </c>
      <c r="D21" s="216" t="str">
        <f>+IF(IFERROR(VLOOKUP($B21,'INT Web'!$B$5:$U$247,'INT Web'!$D$1,FALSE),"")=0,"",VLOOKUP($B21,'INT Web'!$B$5:$U$247,'INT Web'!$D$1,FALSE))</f>
        <v>E~</v>
      </c>
      <c r="E21" s="217" t="str">
        <f>+VLOOKUP($B21,[4]Subscriptions!$B$4:$S$238,[4]Subscriptions!M$1,FALSE)</f>
        <v>IDR</v>
      </c>
      <c r="F21" s="218">
        <f>+VLOOKUP($B21,[4]Subscriptions!$B$4:$S$238,[4]Subscriptions!Q$1,FALSE)</f>
        <v>135000</v>
      </c>
      <c r="G21" s="216" t="str">
        <f>+VLOOKUP($B21,'INT Web'!$B$5:$U$247,'INT Web'!$Q$1,FALSE)</f>
        <v>IDR</v>
      </c>
      <c r="H21" s="218">
        <f>+VLOOKUP($B21,'INT Web'!$B$5:$U$247,'INT Web'!$U$1,FALSE)</f>
        <v>135000</v>
      </c>
      <c r="I21" s="218">
        <f>+VLOOKUP($B21,'INT Web'!$B$5:$U$247,'INT Web'!$S$1,FALSE)</f>
        <v>200000</v>
      </c>
      <c r="J21" s="219"/>
      <c r="K21" s="149">
        <f t="shared" si="3"/>
        <v>81000</v>
      </c>
      <c r="L21" s="149">
        <f t="shared" si="4"/>
        <v>120000</v>
      </c>
    </row>
    <row r="22" spans="2:12" collapsed="1">
      <c r="B22" s="20" t="s">
        <v>176</v>
      </c>
      <c r="C22" s="213" t="str">
        <f>+VLOOKUP($B22,'INT Web'!$B$5:$U$247,'INT Web'!$C$1,FALSE)</f>
        <v>Europe</v>
      </c>
      <c r="D22" s="13" t="str">
        <f>+IF(IFERROR(VLOOKUP($B22,'INT Web'!$B$5:$U$247,'INT Web'!$D$1,FALSE),"")=0,"",VLOOKUP($B22,'INT Web'!$B$5:$U$247,'INT Web'!$D$1,FALSE))</f>
        <v/>
      </c>
      <c r="E22" s="11" t="str">
        <f>+VLOOKUP($B22,[4]Subscriptions!$B$4:$S$238,[4]Subscriptions!M$1,FALSE)</f>
        <v>EUR</v>
      </c>
      <c r="F22" s="22">
        <f>+VLOOKUP($B22,[4]Subscriptions!$B$4:$S$238,[4]Subscriptions!Q$1,FALSE)</f>
        <v>17.989999999999998</v>
      </c>
      <c r="G22" s="13" t="str">
        <f>+VLOOKUP($B22,'INT Web'!$B$5:$U$247,'INT Web'!$Q$1,FALSE)</f>
        <v>EUR</v>
      </c>
      <c r="H22" s="22">
        <f>+VLOOKUP($B22,'INT Web'!$B$5:$U$247,'INT Web'!$U$1,FALSE)</f>
        <v>18.989999999999998</v>
      </c>
      <c r="I22" s="22">
        <f>+VLOOKUP($B22,'INT Web'!$B$5:$U$247,'INT Web'!$S$1,FALSE)</f>
        <v>24.99</v>
      </c>
      <c r="K22" s="147">
        <f t="shared" si="3"/>
        <v>11.393999999999998</v>
      </c>
      <c r="L22" s="147">
        <f t="shared" si="4"/>
        <v>14.993999999999998</v>
      </c>
    </row>
    <row r="23" spans="2:12">
      <c r="B23" s="20" t="s">
        <v>178</v>
      </c>
      <c r="C23" s="213" t="str">
        <f>+VLOOKUP($B23,'INT Web'!$B$5:$U$247,'INT Web'!$C$1,FALSE)</f>
        <v>Europe</v>
      </c>
      <c r="D23" s="13" t="str">
        <f>+IF(IFERROR(VLOOKUP($B23,'INT Web'!$B$5:$U$247,'INT Web'!$D$1,FALSE),"")=0,"",VLOOKUP($B23,'INT Web'!$B$5:$U$247,'INT Web'!$D$1,FALSE))</f>
        <v>E~</v>
      </c>
      <c r="E23" s="11" t="str">
        <f>+VLOOKUP($B23,[4]Subscriptions!$B$4:$S$238,[4]Subscriptions!M$1,FALSE)</f>
        <v>ILS</v>
      </c>
      <c r="F23" s="22">
        <f>+VLOOKUP($B23,[4]Subscriptions!$B$4:$S$238,[4]Subscriptions!Q$1,FALSE)</f>
        <v>64.989999999999995</v>
      </c>
      <c r="G23" s="13" t="str">
        <f>+VLOOKUP($B23,'INT Web'!$B$5:$U$247,'INT Web'!$Q$1,FALSE)</f>
        <v>ILS</v>
      </c>
      <c r="H23" s="22">
        <f>+VLOOKUP($B23,'INT Web'!$B$5:$U$247,'INT Web'!$U$1,FALSE)</f>
        <v>64.989999999999995</v>
      </c>
      <c r="I23" s="22">
        <f>+VLOOKUP($B23,'INT Web'!$B$5:$U$247,'INT Web'!$S$1,FALSE)</f>
        <v>87.99</v>
      </c>
      <c r="K23" s="147">
        <f t="shared" si="3"/>
        <v>38.993999999999993</v>
      </c>
      <c r="L23" s="147">
        <f t="shared" si="4"/>
        <v>52.793999999999997</v>
      </c>
    </row>
    <row r="24" spans="2:12">
      <c r="B24" s="20" t="s">
        <v>179</v>
      </c>
      <c r="C24" s="213" t="str">
        <f>+VLOOKUP($B24,'INT Web'!$B$5:$U$247,'INT Web'!$C$1,FALSE)</f>
        <v>Europe</v>
      </c>
      <c r="D24" s="13" t="str">
        <f>+IF(IFERROR(VLOOKUP($B24,'INT Web'!$B$5:$U$247,'INT Web'!$D$1,FALSE),"")=0,"",VLOOKUP($B24,'INT Web'!$B$5:$U$247,'INT Web'!$D$1,FALSE))</f>
        <v>B</v>
      </c>
      <c r="E24" s="11" t="str">
        <f>+VLOOKUP($B24,[4]Subscriptions!$B$4:$S$238,[4]Subscriptions!M$1,FALSE)</f>
        <v>EUR</v>
      </c>
      <c r="F24" s="22">
        <f>+VLOOKUP($B24,[4]Subscriptions!$B$4:$S$238,[4]Subscriptions!Q$1,FALSE)</f>
        <v>14.99</v>
      </c>
      <c r="G24" s="13" t="str">
        <f>+VLOOKUP($B24,'INT Web'!$B$5:$U$247,'INT Web'!$Q$1,FALSE)</f>
        <v>EUR</v>
      </c>
      <c r="H24" s="22">
        <f>+VLOOKUP($B24,'INT Web'!$B$5:$U$247,'INT Web'!$U$1,FALSE)</f>
        <v>15.99</v>
      </c>
      <c r="I24" s="22">
        <f>+VLOOKUP($B24,'INT Web'!$B$5:$U$247,'INT Web'!$S$1,FALSE)</f>
        <v>21.99</v>
      </c>
      <c r="K24" s="147">
        <f t="shared" si="3"/>
        <v>9.5939999999999994</v>
      </c>
      <c r="L24" s="147">
        <f t="shared" si="4"/>
        <v>13.193999999999999</v>
      </c>
    </row>
    <row r="25" spans="2:12">
      <c r="B25" s="20" t="s">
        <v>181</v>
      </c>
      <c r="C25" s="213" t="str">
        <f>+VLOOKUP($B25,'INT Web'!$B$5:$U$247,'INT Web'!$C$1,FALSE)</f>
        <v>Asia</v>
      </c>
      <c r="D25" s="13" t="str">
        <f>+IF(IFERROR(VLOOKUP($B25,'INT Web'!$B$5:$U$247,'INT Web'!$D$1,FALSE),"")=0,"",VLOOKUP($B25,'INT Web'!$B$5:$U$247,'INT Web'!$D$1,FALSE))</f>
        <v/>
      </c>
      <c r="E25" s="11" t="e">
        <f>+VLOOKUP($B25,[4]Subscriptions!$B$4:$S$238,[4]Subscriptions!M$1,FALSE)</f>
        <v>#N/A</v>
      </c>
      <c r="F25" s="22" t="e">
        <f>+VLOOKUP($B25,[4]Subscriptions!$B$4:$S$238,[4]Subscriptions!Q$1,FALSE)</f>
        <v>#N/A</v>
      </c>
      <c r="G25" s="13" t="str">
        <f>+VLOOKUP($B25,'INT Web'!$B$5:$U$247,'INT Web'!$Q$1,FALSE)</f>
        <v>JPY</v>
      </c>
      <c r="H25" s="22">
        <f>+VLOOKUP($B25,'INT Web'!$B$5:$U$247,'INT Web'!$U$1,FALSE)</f>
        <v>3190</v>
      </c>
      <c r="I25" s="22">
        <f>+VLOOKUP($B25,'INT Web'!$B$5:$U$247,'INT Web'!$S$1,FALSE)</f>
        <v>4190</v>
      </c>
      <c r="K25" s="147">
        <f t="shared" si="3"/>
        <v>1914</v>
      </c>
      <c r="L25" s="147">
        <f t="shared" si="4"/>
        <v>2514</v>
      </c>
    </row>
    <row r="26" spans="2:12">
      <c r="B26" s="20" t="s">
        <v>204</v>
      </c>
      <c r="C26" s="213" t="str">
        <f>+VLOOKUP($B26,'INT Web'!$B$5:$U$247,'INT Web'!$C$1,FALSE)</f>
        <v>Asia</v>
      </c>
      <c r="D26" s="13" t="str">
        <f>+IF(IFERROR(VLOOKUP($B26,'INT Web'!$B$5:$U$247,'INT Web'!$D$1,FALSE),"")=0,"",VLOOKUP($B26,'INT Web'!$B$5:$U$247,'INT Web'!$D$1,FALSE))</f>
        <v/>
      </c>
      <c r="E26" s="11" t="str">
        <f>+VLOOKUP($B26,[4]Subscriptions!$B$4:$S$238,[4]Subscriptions!M$1,FALSE)</f>
        <v>MYR</v>
      </c>
      <c r="F26" s="22">
        <f>+VLOOKUP($B26,[4]Subscriptions!$B$4:$S$238,[4]Subscriptions!Q$1,FALSE)</f>
        <v>45.99</v>
      </c>
      <c r="G26" s="13" t="str">
        <f>+VLOOKUP($B26,'INT Web'!$B$5:$U$247,'INT Web'!$Q$1,FALSE)</f>
        <v>MYR</v>
      </c>
      <c r="H26" s="22">
        <f>+VLOOKUP($B26,'INT Web'!$B$5:$U$247,'INT Web'!$U$1,FALSE)</f>
        <v>45.99</v>
      </c>
      <c r="I26" s="22">
        <f>+VLOOKUP($B26,'INT Web'!$B$5:$U$247,'INT Web'!$S$1,FALSE)</f>
        <v>64.989999999999995</v>
      </c>
      <c r="K26" s="147">
        <f t="shared" si="3"/>
        <v>27.594000000000001</v>
      </c>
      <c r="L26" s="147">
        <f t="shared" si="4"/>
        <v>38.993999999999993</v>
      </c>
    </row>
    <row r="27" spans="2:12">
      <c r="B27" s="20" t="s">
        <v>213</v>
      </c>
      <c r="C27" s="213" t="str">
        <f>+VLOOKUP($B27,'INT Web'!$B$5:$U$247,'INT Web'!$C$1,FALSE)</f>
        <v>Latin America</v>
      </c>
      <c r="D27" s="13" t="str">
        <f>+IF(IFERROR(VLOOKUP($B27,'INT Web'!$B$5:$U$247,'INT Web'!$D$1,FALSE),"")=0,"",VLOOKUP($B27,'INT Web'!$B$5:$U$247,'INT Web'!$D$1,FALSE))</f>
        <v>C</v>
      </c>
      <c r="E27" s="11" t="str">
        <f>+VLOOKUP($B27,[4]Subscriptions!$B$4:$S$238,[4]Subscriptions!M$1,FALSE)</f>
        <v>MXN</v>
      </c>
      <c r="F27" s="22">
        <f>+VLOOKUP($B27,[4]Subscriptions!$B$4:$S$238,[4]Subscriptions!Q$1,FALSE)</f>
        <v>210</v>
      </c>
      <c r="G27" s="13" t="str">
        <f>+VLOOKUP($B27,'INT Web'!$B$5:$U$247,'INT Web'!$Q$1,FALSE)</f>
        <v>MXN</v>
      </c>
      <c r="H27" s="22">
        <f>+VLOOKUP($B27,'INT Web'!$B$5:$U$247,'INT Web'!$U$1,FALSE)</f>
        <v>210</v>
      </c>
      <c r="I27" s="22">
        <f>+VLOOKUP($B27,'INT Web'!$B$5:$U$247,'INT Web'!$S$1,FALSE)</f>
        <v>290</v>
      </c>
      <c r="K27" s="147">
        <f t="shared" si="3"/>
        <v>126</v>
      </c>
      <c r="L27" s="147">
        <f t="shared" si="4"/>
        <v>174</v>
      </c>
    </row>
    <row r="28" spans="2:12">
      <c r="B28" s="20" t="s">
        <v>226</v>
      </c>
      <c r="C28" s="213" t="str">
        <f>+VLOOKUP($B28,'INT Web'!$B$5:$U$247,'INT Web'!$C$1,FALSE)</f>
        <v>Europe</v>
      </c>
      <c r="D28" s="13" t="str">
        <f>+IF(IFERROR(VLOOKUP($B28,'INT Web'!$B$5:$U$247,'INT Web'!$D$1,FALSE),"")=0,"",VLOOKUP($B28,'INT Web'!$B$5:$U$247,'INT Web'!$D$1,FALSE))</f>
        <v>E~</v>
      </c>
      <c r="E28" s="11" t="str">
        <f>+VLOOKUP($B28,[4]Subscriptions!$B$4:$S$238,[4]Subscriptions!M$1,FALSE)</f>
        <v>EUR</v>
      </c>
      <c r="F28" s="22">
        <f>+VLOOKUP($B28,[4]Subscriptions!$B$4:$S$238,[4]Subscriptions!Q$1,FALSE)</f>
        <v>16.989999999999998</v>
      </c>
      <c r="G28" s="13" t="str">
        <f>+VLOOKUP($B28,'INT Web'!$B$5:$U$247,'INT Web'!$Q$1,FALSE)</f>
        <v>EUR</v>
      </c>
      <c r="H28" s="22">
        <f>+VLOOKUP($B28,'INT Web'!$B$5:$U$247,'INT Web'!$U$1,FALSE)</f>
        <v>16.989999999999998</v>
      </c>
      <c r="I28" s="22">
        <f>+VLOOKUP($B28,'INT Web'!$B$5:$U$247,'INT Web'!$S$1,FALSE)</f>
        <v>22.99</v>
      </c>
      <c r="K28" s="147">
        <f t="shared" si="3"/>
        <v>10.193999999999999</v>
      </c>
      <c r="L28" s="147">
        <f t="shared" si="4"/>
        <v>13.793999999999999</v>
      </c>
    </row>
    <row r="29" spans="2:12">
      <c r="B29" s="20" t="s">
        <v>229</v>
      </c>
      <c r="C29" s="213" t="str">
        <f>+VLOOKUP($B29,'INT Web'!$B$5:$U$247,'INT Web'!$C$1,FALSE)</f>
        <v>Asia</v>
      </c>
      <c r="D29" s="13" t="str">
        <f>+IF(IFERROR(VLOOKUP($B29,'INT Web'!$B$5:$U$247,'INT Web'!$D$1,FALSE),"")=0,"",VLOOKUP($B29,'INT Web'!$B$5:$U$247,'INT Web'!$D$1,FALSE))</f>
        <v>B</v>
      </c>
      <c r="E29" s="11" t="str">
        <f>+VLOOKUP($B29,[4]Subscriptions!$B$4:$S$238,[4]Subscriptions!M$1,FALSE)</f>
        <v>NZD</v>
      </c>
      <c r="F29" s="22">
        <f>+VLOOKUP($B29,[4]Subscriptions!$B$4:$S$238,[4]Subscriptions!Q$1,FALSE)</f>
        <v>24.99</v>
      </c>
      <c r="G29" s="13" t="str">
        <f>+VLOOKUP($B29,'INT Web'!$B$5:$U$247,'INT Web'!$Q$1,FALSE)</f>
        <v>NZD</v>
      </c>
      <c r="H29" s="22">
        <f>+VLOOKUP($B29,'INT Web'!$B$5:$U$247,'INT Web'!$U$1,FALSE)</f>
        <v>24.99</v>
      </c>
      <c r="I29" s="22">
        <f>+VLOOKUP($B29,'INT Web'!$B$5:$U$247,'INT Web'!$S$1,FALSE)</f>
        <v>33.99</v>
      </c>
      <c r="K29" s="147">
        <f t="shared" si="3"/>
        <v>14.993999999999998</v>
      </c>
      <c r="L29" s="147">
        <f t="shared" si="4"/>
        <v>20.394000000000002</v>
      </c>
    </row>
    <row r="30" spans="2:12">
      <c r="B30" s="20" t="s">
        <v>237</v>
      </c>
      <c r="C30" s="213" t="str">
        <f>+VLOOKUP($B30,'INT Web'!$B$5:$U$247,'INT Web'!$C$1,FALSE)</f>
        <v>Europe</v>
      </c>
      <c r="D30" s="13" t="str">
        <f>+IF(IFERROR(VLOOKUP($B30,'INT Web'!$B$5:$U$247,'INT Web'!$D$1,FALSE),"")=0,"",VLOOKUP($B30,'INT Web'!$B$5:$U$247,'INT Web'!$D$1,FALSE))</f>
        <v/>
      </c>
      <c r="E30" s="11" t="str">
        <f>+VLOOKUP($B30,[4]Subscriptions!$B$4:$S$238,[4]Subscriptions!M$1,FALSE)</f>
        <v>NOK</v>
      </c>
      <c r="F30" s="22">
        <f>+VLOOKUP($B30,[4]Subscriptions!$B$4:$S$238,[4]Subscriptions!Q$1,FALSE)</f>
        <v>149.99</v>
      </c>
      <c r="G30" s="13" t="str">
        <f>+VLOOKUP($B30,'INT Web'!$B$5:$U$247,'INT Web'!$Q$1,FALSE)</f>
        <v>NOK</v>
      </c>
      <c r="H30" s="22">
        <f>+VLOOKUP($B30,'INT Web'!$B$5:$U$247,'INT Web'!$U$1,FALSE)</f>
        <v>149.99</v>
      </c>
      <c r="I30" s="22">
        <f>+VLOOKUP($B30,'INT Web'!$B$5:$U$247,'INT Web'!$S$1,FALSE)</f>
        <v>209.99</v>
      </c>
      <c r="K30" s="147">
        <f t="shared" si="3"/>
        <v>89.994</v>
      </c>
      <c r="L30" s="147">
        <f t="shared" si="4"/>
        <v>125.994</v>
      </c>
    </row>
    <row r="31" spans="2:12">
      <c r="B31" s="20" t="s">
        <v>246</v>
      </c>
      <c r="C31" s="213" t="str">
        <f>+VLOOKUP($B31,'INT Web'!$B$5:$U$247,'INT Web'!$C$1,FALSE)</f>
        <v>Asia</v>
      </c>
      <c r="D31" s="13" t="str">
        <f>+IF(IFERROR(VLOOKUP($B31,'INT Web'!$B$5:$U$247,'INT Web'!$D$1,FALSE),"")=0,"",VLOOKUP($B31,'INT Web'!$B$5:$U$247,'INT Web'!$D$1,FALSE))</f>
        <v>C</v>
      </c>
      <c r="E31" s="11" t="str">
        <f>+VLOOKUP($B31,[4]Subscriptions!$B$4:$S$238,[4]Subscriptions!M$1,FALSE)</f>
        <v>PHP</v>
      </c>
      <c r="F31" s="22">
        <f>+VLOOKUP($B31,[4]Subscriptions!$B$4:$S$238,[4]Subscriptions!Q$1,FALSE)</f>
        <v>499</v>
      </c>
      <c r="G31" s="13" t="str">
        <f>+VLOOKUP($B31,'INT Web'!$B$5:$U$247,'INT Web'!$Q$1,FALSE)</f>
        <v>PHP</v>
      </c>
      <c r="H31" s="22">
        <f>+VLOOKUP($B31,'INT Web'!$B$5:$U$247,'INT Web'!$U$1,FALSE)</f>
        <v>559</v>
      </c>
      <c r="I31" s="22">
        <f>+VLOOKUP($B31,'INT Web'!$B$5:$U$247,'INT Web'!$S$1,FALSE)</f>
        <v>839</v>
      </c>
      <c r="K31" s="147">
        <f t="shared" si="3"/>
        <v>335.4</v>
      </c>
      <c r="L31" s="147">
        <f t="shared" si="4"/>
        <v>503.4</v>
      </c>
    </row>
    <row r="32" spans="2:12">
      <c r="B32" s="20" t="s">
        <v>248</v>
      </c>
      <c r="C32" s="213" t="str">
        <f>+VLOOKUP($B32,'INT Web'!$B$5:$U$247,'INT Web'!$C$1,FALSE)</f>
        <v>Europe</v>
      </c>
      <c r="D32" s="13" t="str">
        <f>+IF(IFERROR(VLOOKUP($B32,'INT Web'!$B$5:$U$247,'INT Web'!$D$1,FALSE),"")=0,"",VLOOKUP($B32,'INT Web'!$B$5:$U$247,'INT Web'!$D$1,FALSE))</f>
        <v>E~</v>
      </c>
      <c r="E32" s="11" t="str">
        <f>+VLOOKUP($B32,[4]Subscriptions!$B$4:$S$238,[4]Subscriptions!M$1,FALSE)</f>
        <v>PLN</v>
      </c>
      <c r="F32" s="22">
        <f>+VLOOKUP($B32,[4]Subscriptions!$B$4:$S$238,[4]Subscriptions!Q$1,FALSE)</f>
        <v>59.99</v>
      </c>
      <c r="G32" s="13" t="str">
        <f>+VLOOKUP($B32,'INT Web'!$B$5:$U$247,'INT Web'!$Q$1,FALSE)</f>
        <v>PLN</v>
      </c>
      <c r="H32" s="22">
        <f>+VLOOKUP($B32,'INT Web'!$B$5:$U$247,'INT Web'!$U$1,FALSE)</f>
        <v>61.99</v>
      </c>
      <c r="I32" s="22">
        <f>+VLOOKUP($B32,'INT Web'!$B$5:$U$247,'INT Web'!$S$1,FALSE)</f>
        <v>82.99</v>
      </c>
      <c r="K32" s="147">
        <f t="shared" si="3"/>
        <v>37.194000000000003</v>
      </c>
      <c r="L32" s="147">
        <f t="shared" si="4"/>
        <v>49.793999999999997</v>
      </c>
    </row>
    <row r="33" spans="2:12">
      <c r="B33" s="20" t="s">
        <v>249</v>
      </c>
      <c r="C33" s="213" t="str">
        <f>+VLOOKUP($B33,'INT Web'!$B$5:$U$247,'INT Web'!$C$1,FALSE)</f>
        <v>Europe</v>
      </c>
      <c r="D33" s="13" t="str">
        <f>+IF(IFERROR(VLOOKUP($B33,'INT Web'!$B$5:$U$247,'INT Web'!$D$1,FALSE),"")=0,"",VLOOKUP($B33,'INT Web'!$B$5:$U$247,'INT Web'!$D$1,FALSE))</f>
        <v/>
      </c>
      <c r="E33" s="11" t="str">
        <f>+VLOOKUP($B33,[4]Subscriptions!$B$4:$S$238,[4]Subscriptions!M$1,FALSE)</f>
        <v>EUR</v>
      </c>
      <c r="F33" s="22">
        <f>+VLOOKUP($B33,[4]Subscriptions!$B$4:$S$238,[4]Subscriptions!Q$1,FALSE)</f>
        <v>14.99</v>
      </c>
      <c r="G33" s="13" t="str">
        <f>+VLOOKUP($B33,'INT Web'!$B$5:$U$247,'INT Web'!$Q$1,FALSE)</f>
        <v>EUR</v>
      </c>
      <c r="H33" s="22">
        <f>+VLOOKUP($B33,'INT Web'!$B$5:$U$247,'INT Web'!$U$1,FALSE)</f>
        <v>14.99</v>
      </c>
      <c r="I33" s="22">
        <f>+VLOOKUP($B33,'INT Web'!$B$5:$U$247,'INT Web'!$S$1,FALSE)</f>
        <v>19.989999999999998</v>
      </c>
      <c r="K33" s="147">
        <f t="shared" si="3"/>
        <v>8.9939999999999998</v>
      </c>
      <c r="L33" s="147">
        <f t="shared" si="4"/>
        <v>11.993999999999998</v>
      </c>
    </row>
    <row r="34" spans="2:12">
      <c r="B34" s="20" t="s">
        <v>264</v>
      </c>
      <c r="C34" s="213" t="str">
        <f>+VLOOKUP($B34,'INT Web'!$B$5:$U$247,'INT Web'!$C$1,FALSE)</f>
        <v>Asia</v>
      </c>
      <c r="D34" s="13" t="str">
        <f>+IF(IFERROR(VLOOKUP($B34,'INT Web'!$B$5:$U$247,'INT Web'!$D$1,FALSE),"")=0,"",VLOOKUP($B34,'INT Web'!$B$5:$U$247,'INT Web'!$D$1,FALSE))</f>
        <v>E~</v>
      </c>
      <c r="E34" s="11" t="str">
        <f>+VLOOKUP($B34,[4]Subscriptions!$B$4:$S$238,[4]Subscriptions!M$1,FALSE)</f>
        <v>SGD</v>
      </c>
      <c r="F34" s="22">
        <f>+VLOOKUP($B34,[4]Subscriptions!$B$4:$S$238,[4]Subscriptions!Q$1,FALSE)</f>
        <v>17.989999999999998</v>
      </c>
      <c r="G34" s="13" t="str">
        <f>+VLOOKUP($B34,'INT Web'!$B$5:$U$247,'INT Web'!$Q$1,FALSE)</f>
        <v>SGD</v>
      </c>
      <c r="H34" s="22">
        <f>+VLOOKUP($B34,'INT Web'!$B$5:$U$247,'INT Web'!$U$1,FALSE)</f>
        <v>17.989999999999998</v>
      </c>
      <c r="I34" s="22">
        <f>+VLOOKUP($B34,'INT Web'!$B$5:$U$247,'INT Web'!$S$1,FALSE)</f>
        <v>26.984999999999999</v>
      </c>
      <c r="K34" s="147">
        <f t="shared" si="3"/>
        <v>10.793999999999999</v>
      </c>
      <c r="L34" s="147">
        <f t="shared" si="4"/>
        <v>16.190999999999999</v>
      </c>
    </row>
    <row r="35" spans="2:12">
      <c r="B35" s="20" t="s">
        <v>267</v>
      </c>
      <c r="C35" s="213" t="str">
        <f>+VLOOKUP($B35,'INT Web'!$B$5:$U$247,'INT Web'!$C$1,FALSE)</f>
        <v>Europe</v>
      </c>
      <c r="D35" s="13" t="str">
        <f>+IF(IFERROR(VLOOKUP($B35,'INT Web'!$B$5:$U$247,'INT Web'!$D$1,FALSE),"")=0,"",VLOOKUP($B35,'INT Web'!$B$5:$U$247,'INT Web'!$D$1,FALSE))</f>
        <v/>
      </c>
      <c r="E35" s="11" t="str">
        <f>+VLOOKUP($B35,[4]Subscriptions!$B$4:$S$238,[4]Subscriptions!M$1,FALSE)</f>
        <v>EUR</v>
      </c>
      <c r="F35" s="22">
        <f>+VLOOKUP($B35,[4]Subscriptions!$B$4:$S$238,[4]Subscriptions!Q$1,FALSE)</f>
        <v>13.99</v>
      </c>
      <c r="G35" s="13" t="str">
        <f>+VLOOKUP($B35,'INT Web'!$B$5:$U$247,'INT Web'!$Q$1,FALSE)</f>
        <v>EUR</v>
      </c>
      <c r="H35" s="22">
        <f>+VLOOKUP($B35,'INT Web'!$B$5:$U$247,'INT Web'!$U$1,FALSE)</f>
        <v>13.99</v>
      </c>
      <c r="I35" s="22">
        <f>+VLOOKUP($B35,'INT Web'!$B$5:$U$247,'INT Web'!$S$1,FALSE)</f>
        <v>18.989999999999998</v>
      </c>
      <c r="K35" s="147">
        <f t="shared" si="3"/>
        <v>8.3940000000000001</v>
      </c>
      <c r="L35" s="147">
        <f t="shared" si="4"/>
        <v>11.393999999999998</v>
      </c>
    </row>
    <row r="36" spans="2:12" hidden="1" outlineLevel="1">
      <c r="B36" s="214" t="s">
        <v>271</v>
      </c>
      <c r="C36" s="215" t="str">
        <f>+VLOOKUP($B36,'INT Web'!$B$5:$U$247,'INT Web'!$C$1,FALSE)</f>
        <v>Africa</v>
      </c>
      <c r="D36" s="216" t="str">
        <f>+IF(IFERROR(VLOOKUP($B36,'INT Web'!$B$5:$U$247,'INT Web'!$D$1,FALSE),"")=0,"",VLOOKUP($B36,'INT Web'!$B$5:$U$247,'INT Web'!$D$1,FALSE))</f>
        <v>D</v>
      </c>
      <c r="E36" s="217" t="str">
        <f>+VLOOKUP($B36,[4]Subscriptions!$B$4:$S$238,[4]Subscriptions!M$1,FALSE)</f>
        <v>ZAR</v>
      </c>
      <c r="F36" s="218">
        <f>+VLOOKUP($B36,[4]Subscriptions!$B$4:$S$238,[4]Subscriptions!Q$1,FALSE)</f>
        <v>139.99</v>
      </c>
      <c r="G36" s="216" t="str">
        <f>+VLOOKUP($B36,'INT Web'!$B$5:$U$247,'INT Web'!$Q$1,FALSE)</f>
        <v>ZAR</v>
      </c>
      <c r="H36" s="218">
        <f>+VLOOKUP($B36,'INT Web'!$B$5:$U$247,'INT Web'!$U$1,FALSE)</f>
        <v>139.99</v>
      </c>
      <c r="I36" s="218">
        <f>+VLOOKUP($B36,'INT Web'!$B$5:$U$247,'INT Web'!$S$1,FALSE)</f>
        <v>188.99</v>
      </c>
      <c r="J36" s="219"/>
      <c r="K36" s="149">
        <f t="shared" si="3"/>
        <v>83.994</v>
      </c>
      <c r="L36" s="149">
        <f t="shared" si="4"/>
        <v>113.39400000000001</v>
      </c>
    </row>
    <row r="37" spans="2:12" collapsed="1">
      <c r="B37" s="20" t="s">
        <v>273</v>
      </c>
      <c r="C37" s="213" t="str">
        <f>+VLOOKUP($B37,'INT Web'!$B$5:$U$247,'INT Web'!$C$1,FALSE)</f>
        <v>Asia</v>
      </c>
      <c r="D37" s="13" t="str">
        <f>+IF(IFERROR(VLOOKUP($B37,'INT Web'!$B$5:$U$247,'INT Web'!$D$1,FALSE),"")=0,"",VLOOKUP($B37,'INT Web'!$B$5:$U$247,'INT Web'!$D$1,FALSE))</f>
        <v>E~</v>
      </c>
      <c r="E37" s="11" t="str">
        <f>+VLOOKUP($B37,[4]Subscriptions!$B$4:$S$238,[4]Subscriptions!M$1,FALSE)</f>
        <v>KRW</v>
      </c>
      <c r="F37" s="136">
        <f>+VLOOKUP($B37,[4]Subscriptions!$B$4:$S$238,[4]Subscriptions!Q$1,FALSE)</f>
        <v>20000</v>
      </c>
      <c r="G37" s="13" t="str">
        <f>+VLOOKUP($B37,'INT Web'!$B$5:$U$247,'INT Web'!$Q$1,FALSE)</f>
        <v>KRW</v>
      </c>
      <c r="H37" s="136">
        <f>+VLOOKUP($B37,'INT Web'!$B$5:$U$247,'INT Web'!$U$1,FALSE)</f>
        <v>20000</v>
      </c>
      <c r="I37" s="136">
        <f>+VLOOKUP($B37,'INT Web'!$B$5:$U$247,'INT Web'!$S$1,FALSE)</f>
        <v>29990</v>
      </c>
      <c r="K37" s="147">
        <f t="shared" si="3"/>
        <v>12000</v>
      </c>
      <c r="L37" s="147">
        <f t="shared" si="4"/>
        <v>17994</v>
      </c>
    </row>
    <row r="38" spans="2:12">
      <c r="B38" s="20" t="s">
        <v>276</v>
      </c>
      <c r="C38" s="213" t="str">
        <f>+VLOOKUP($B38,'INT Web'!$B$5:$U$247,'INT Web'!$C$1,FALSE)</f>
        <v>Europe</v>
      </c>
      <c r="D38" s="13" t="str">
        <f>+IF(IFERROR(VLOOKUP($B38,'INT Web'!$B$5:$U$247,'INT Web'!$D$1,FALSE),"")=0,"",VLOOKUP($B38,'INT Web'!$B$5:$U$247,'INT Web'!$D$1,FALSE))</f>
        <v>B</v>
      </c>
      <c r="E38" s="11" t="str">
        <f>+VLOOKUP($B38,[4]Subscriptions!$B$4:$S$238,[4]Subscriptions!M$1,FALSE)</f>
        <v>EUR</v>
      </c>
      <c r="F38" s="22">
        <f>+VLOOKUP($B38,[4]Subscriptions!$B$4:$S$238,[4]Subscriptions!Q$1,FALSE)</f>
        <v>14.99</v>
      </c>
      <c r="G38" s="13" t="str">
        <f>+VLOOKUP($B38,'INT Web'!$B$5:$U$247,'INT Web'!$Q$1,FALSE)</f>
        <v>EUR</v>
      </c>
      <c r="H38" s="22">
        <f>+VLOOKUP($B38,'INT Web'!$B$5:$U$247,'INT Web'!$U$1,FALSE)</f>
        <v>15.99</v>
      </c>
      <c r="I38" s="22">
        <f>+VLOOKUP($B38,'INT Web'!$B$5:$U$247,'INT Web'!$S$1,FALSE)</f>
        <v>19.989999999999998</v>
      </c>
      <c r="K38" s="147">
        <f t="shared" si="3"/>
        <v>9.5939999999999994</v>
      </c>
      <c r="L38" s="147">
        <f t="shared" si="4"/>
        <v>11.993999999999998</v>
      </c>
    </row>
    <row r="39" spans="2:12">
      <c r="B39" s="20" t="s">
        <v>287</v>
      </c>
      <c r="C39" s="213" t="str">
        <f>+VLOOKUP($B39,'INT Web'!$B$5:$U$247,'INT Web'!$C$1,FALSE)</f>
        <v>Europe</v>
      </c>
      <c r="D39" s="13" t="str">
        <f>+IF(IFERROR(VLOOKUP($B39,'INT Web'!$B$5:$U$247,'INT Web'!$D$1,FALSE),"")=0,"",VLOOKUP($B39,'INT Web'!$B$5:$U$247,'INT Web'!$D$1,FALSE))</f>
        <v>E~</v>
      </c>
      <c r="E39" s="11" t="str">
        <f>+VLOOKUP($B39,[4]Subscriptions!$B$4:$S$238,[4]Subscriptions!M$1,FALSE)</f>
        <v>SEK</v>
      </c>
      <c r="F39" s="22">
        <f>+VLOOKUP($B39,[4]Subscriptions!$B$4:$S$238,[4]Subscriptions!Q$1,FALSE)</f>
        <v>149.99</v>
      </c>
      <c r="G39" s="13" t="str">
        <f>+VLOOKUP($B39,'INT Web'!$B$5:$U$247,'INT Web'!$Q$1,FALSE)</f>
        <v>SEK</v>
      </c>
      <c r="H39" s="22">
        <f>+VLOOKUP($B39,'INT Web'!$B$5:$U$247,'INT Web'!$U$1,FALSE)</f>
        <v>159.99</v>
      </c>
      <c r="I39" s="22">
        <f>+VLOOKUP($B39,'INT Web'!$B$5:$U$247,'INT Web'!$S$1,FALSE)</f>
        <v>219.99</v>
      </c>
      <c r="K39" s="147">
        <f t="shared" si="3"/>
        <v>95.994</v>
      </c>
      <c r="L39" s="147">
        <f t="shared" si="4"/>
        <v>131.994</v>
      </c>
    </row>
    <row r="40" spans="2:12">
      <c r="B40" s="20" t="s">
        <v>288</v>
      </c>
      <c r="C40" s="213" t="str">
        <f>+VLOOKUP($B40,'INT Web'!$B$5:$U$247,'INT Web'!$C$1,FALSE)</f>
        <v>Europe</v>
      </c>
      <c r="D40" s="13" t="str">
        <f>+IF(IFERROR(VLOOKUP($B40,'INT Web'!$B$5:$U$247,'INT Web'!$D$1,FALSE),"")=0,"",VLOOKUP($B40,'INT Web'!$B$5:$U$247,'INT Web'!$D$1,FALSE))</f>
        <v>E~</v>
      </c>
      <c r="E40" s="11" t="str">
        <f>+VLOOKUP($B40,[4]Subscriptions!$B$4:$S$238,[4]Subscriptions!M$1,FALSE)</f>
        <v>CHF</v>
      </c>
      <c r="F40" s="22">
        <f>+VLOOKUP($B40,[4]Subscriptions!$B$4:$S$238,[4]Subscriptions!Q$1,FALSE)</f>
        <v>24.99</v>
      </c>
      <c r="G40" s="13" t="str">
        <f>+VLOOKUP($B40,'INT Web'!$B$5:$U$247,'INT Web'!$Q$1,FALSE)</f>
        <v>CHF</v>
      </c>
      <c r="H40" s="22">
        <f>+VLOOKUP($B40,'INT Web'!$B$5:$U$247,'INT Web'!$U$1,FALSE)</f>
        <v>24.99</v>
      </c>
      <c r="I40" s="22">
        <f>+VLOOKUP($B40,'INT Web'!$B$5:$U$247,'INT Web'!$S$1,FALSE)</f>
        <v>33.99</v>
      </c>
      <c r="K40" s="147">
        <f t="shared" si="3"/>
        <v>14.993999999999998</v>
      </c>
      <c r="L40" s="147">
        <f t="shared" si="4"/>
        <v>20.394000000000002</v>
      </c>
    </row>
    <row r="41" spans="2:12">
      <c r="B41" s="20" t="s">
        <v>290</v>
      </c>
      <c r="C41" s="213" t="str">
        <f>+VLOOKUP($B41,'INT Web'!$B$5:$U$247,'INT Web'!$C$1,FALSE)</f>
        <v>NBA China</v>
      </c>
      <c r="D41" s="13" t="str">
        <f>+IF(IFERROR(VLOOKUP($B41,'INT Web'!$B$5:$U$247,'INT Web'!$D$1,FALSE),"")=0,"",VLOOKUP($B41,'INT Web'!$B$5:$U$247,'INT Web'!$D$1,FALSE))</f>
        <v>B</v>
      </c>
      <c r="E41" s="11" t="str">
        <f>+VLOOKUP($B41,[4]Subscriptions!$B$4:$S$238,[4]Subscriptions!M$1,FALSE)</f>
        <v>TWD</v>
      </c>
      <c r="F41" s="22">
        <f>+VLOOKUP($B41,[4]Subscriptions!$B$4:$S$238,[4]Subscriptions!Q$1,FALSE)</f>
        <v>390</v>
      </c>
      <c r="G41" s="13" t="str">
        <f>+VLOOKUP($B41,'INT Web'!$B$5:$U$247,'INT Web'!$Q$1,FALSE)</f>
        <v>TWD</v>
      </c>
      <c r="H41" s="22">
        <f>+VLOOKUP($B41,'INT Web'!$B$5:$U$247,'INT Web'!$U$1,FALSE)</f>
        <v>390</v>
      </c>
      <c r="I41" s="22">
        <f>+VLOOKUP($B41,'INT Web'!$B$5:$U$247,'INT Web'!$S$1,FALSE)</f>
        <v>540</v>
      </c>
      <c r="K41" s="147">
        <f t="shared" si="3"/>
        <v>234</v>
      </c>
      <c r="L41" s="147">
        <f t="shared" si="4"/>
        <v>324</v>
      </c>
    </row>
    <row r="42" spans="2:12" hidden="1" outlineLevel="1">
      <c r="B42" s="214" t="s">
        <v>293</v>
      </c>
      <c r="C42" s="215" t="str">
        <f>+VLOOKUP($B42,'INT Web'!$B$5:$U$247,'INT Web'!$C$1,FALSE)</f>
        <v>Asia</v>
      </c>
      <c r="D42" s="216" t="str">
        <f>+IF(IFERROR(VLOOKUP($B42,'INT Web'!$B$5:$U$247,'INT Web'!$D$1,FALSE),"")=0,"",VLOOKUP($B42,'INT Web'!$B$5:$U$247,'INT Web'!$D$1,FALSE))</f>
        <v>E~</v>
      </c>
      <c r="E42" s="217" t="str">
        <f>+VLOOKUP($B42,[4]Subscriptions!$B$4:$S$238,[4]Subscriptions!M$1,FALSE)</f>
        <v>THB</v>
      </c>
      <c r="F42" s="218">
        <f>+VLOOKUP($B42,[4]Subscriptions!$B$4:$S$238,[4]Subscriptions!Q$1,FALSE)</f>
        <v>300</v>
      </c>
      <c r="G42" s="216" t="str">
        <f>+VLOOKUP($B42,'INT Web'!$B$5:$U$247,'INT Web'!$Q$1,FALSE)</f>
        <v>THB</v>
      </c>
      <c r="H42" s="218">
        <f>+VLOOKUP($B42,'INT Web'!$B$5:$U$247,'INT Web'!$U$1,FALSE)</f>
        <v>300</v>
      </c>
      <c r="I42" s="218">
        <f>+VLOOKUP($B42,'INT Web'!$B$5:$U$247,'INT Web'!$S$1,FALSE)</f>
        <v>449</v>
      </c>
      <c r="J42" s="219"/>
      <c r="K42" s="149">
        <f t="shared" si="3"/>
        <v>180</v>
      </c>
      <c r="L42" s="149">
        <f t="shared" si="4"/>
        <v>269.39999999999998</v>
      </c>
    </row>
    <row r="43" spans="2:12" hidden="1" outlineLevel="1">
      <c r="B43" s="214" t="s">
        <v>306</v>
      </c>
      <c r="C43" s="215" t="str">
        <f>+VLOOKUP($B43,'INT Web'!$B$5:$U$247,'INT Web'!$C$1,FALSE)</f>
        <v>Middle East</v>
      </c>
      <c r="D43" s="216" t="str">
        <f>+IF(IFERROR(VLOOKUP($B43,'INT Web'!$B$5:$U$247,'INT Web'!$D$1,FALSE),"")=0,"",VLOOKUP($B43,'INT Web'!$B$5:$U$247,'INT Web'!$D$1,FALSE))</f>
        <v/>
      </c>
      <c r="E43" s="217" t="str">
        <f>+VLOOKUP($B43,[4]Subscriptions!$B$4:$S$238,[4]Subscriptions!M$1,FALSE)</f>
        <v>AED</v>
      </c>
      <c r="F43" s="218">
        <f>+VLOOKUP($B43,[4]Subscriptions!$B$4:$S$238,[4]Subscriptions!Q$1,FALSE)</f>
        <v>58.99</v>
      </c>
      <c r="G43" s="216" t="str">
        <f>+VLOOKUP($B43,'INT Web'!$B$5:$U$247,'INT Web'!$Q$1,FALSE)</f>
        <v>AED</v>
      </c>
      <c r="H43" s="218">
        <f>+VLOOKUP($B43,'INT Web'!$B$5:$U$247,'INT Web'!$U$1,FALSE)</f>
        <v>61.99</v>
      </c>
      <c r="I43" s="218">
        <f>+VLOOKUP($B43,'INT Web'!$B$5:$U$247,'INT Web'!$S$1,FALSE)</f>
        <v>86.99</v>
      </c>
      <c r="J43" s="219"/>
      <c r="K43" s="149">
        <f t="shared" si="3"/>
        <v>37.194000000000003</v>
      </c>
      <c r="L43" s="149">
        <f t="shared" si="4"/>
        <v>52.193999999999996</v>
      </c>
    </row>
    <row r="44" spans="2:12" ht="12.75" customHeight="1" collapsed="1">
      <c r="B44" s="20" t="s">
        <v>357</v>
      </c>
      <c r="C44" s="213" t="s">
        <v>46</v>
      </c>
      <c r="D44" s="13"/>
      <c r="E44" s="11"/>
      <c r="F44" s="22"/>
      <c r="G44" s="146" t="s">
        <v>346</v>
      </c>
      <c r="H44" s="22">
        <f>+'DOM Web'!G3</f>
        <v>16.989999999999998</v>
      </c>
      <c r="I44" s="22">
        <f>+'DOM Web'!E3</f>
        <v>24.99</v>
      </c>
      <c r="K44" s="148">
        <v>9.99</v>
      </c>
      <c r="L44" s="148">
        <f>+I44*(1-0.4120071)</f>
        <v>14.693942570999997</v>
      </c>
    </row>
    <row r="45" spans="2:12">
      <c r="B45" s="20" t="s">
        <v>307</v>
      </c>
      <c r="C45" s="213" t="str">
        <f>+VLOOKUP($B45,'INT Web'!$B$5:$U$247,'INT Web'!$C$1,FALSE)</f>
        <v>Europe</v>
      </c>
      <c r="D45" s="13" t="str">
        <f>+IF(IFERROR(VLOOKUP($B45,'INT Web'!$B$5:$U$247,'INT Web'!$D$1,FALSE),"")=0,"",VLOOKUP($B45,'INT Web'!$B$5:$U$247,'INT Web'!$D$1,FALSE))</f>
        <v>B</v>
      </c>
      <c r="E45" s="11" t="str">
        <f>+VLOOKUP($B45,[4]Subscriptions!$B$4:$S$238,[4]Subscriptions!M$1,FALSE)</f>
        <v>GBP</v>
      </c>
      <c r="F45" s="22">
        <f>+VLOOKUP($B45,[4]Subscriptions!$B$4:$S$238,[4]Subscriptions!Q$1,FALSE)</f>
        <v>14.99</v>
      </c>
      <c r="G45" s="13" t="str">
        <f>+VLOOKUP($B45,'INT Web'!$B$5:$U$247,'INT Web'!$Q$1,FALSE)</f>
        <v>GBP</v>
      </c>
      <c r="H45" s="22">
        <f>+VLOOKUP($B45,'INT Web'!$B$5:$U$247,'INT Web'!$U$1,FALSE)</f>
        <v>16.989999999999998</v>
      </c>
      <c r="I45" s="22">
        <f>+VLOOKUP($B45,'INT Web'!$B$5:$U$247,'INT Web'!$S$1,FALSE)</f>
        <v>22.99</v>
      </c>
      <c r="K45" s="147">
        <f>+H45*(1-$K$2)</f>
        <v>10.193999999999999</v>
      </c>
      <c r="L45" s="147">
        <f>+I45*(1-$K$2)</f>
        <v>13.793999999999999</v>
      </c>
    </row>
  </sheetData>
  <autoFilter ref="B4:H45" xr:uid="{8836548F-4518-423D-B52D-4D97F1857691}">
    <sortState xmlns:xlrd2="http://schemas.microsoft.com/office/spreadsheetml/2017/richdata2" ref="B5:H45">
      <sortCondition ref="B4:B45"/>
    </sortState>
  </autoFilter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EC48-31FE-4673-A23F-FC63DEC0D80C}">
  <dimension ref="B2:P8"/>
  <sheetViews>
    <sheetView workbookViewId="0"/>
  </sheetViews>
  <sheetFormatPr defaultColWidth="8.6328125" defaultRowHeight="12.5" outlineLevelRow="1"/>
  <cols>
    <col min="1" max="1" width="1.6328125" customWidth="1"/>
    <col min="2" max="2" width="22.36328125" bestFit="1" customWidth="1"/>
    <col min="3" max="3" width="8.453125" customWidth="1"/>
    <col min="4" max="4" width="12.36328125" bestFit="1" customWidth="1"/>
  </cols>
  <sheetData>
    <row r="2" spans="2:16" ht="13">
      <c r="B2" s="24" t="s">
        <v>31</v>
      </c>
      <c r="C2" s="24" t="s">
        <v>32</v>
      </c>
      <c r="D2" s="24" t="s">
        <v>358</v>
      </c>
      <c r="E2" s="24"/>
      <c r="F2" s="24"/>
      <c r="G2" s="24"/>
      <c r="H2" s="6"/>
      <c r="I2" s="6"/>
      <c r="J2" s="6"/>
      <c r="K2" s="6"/>
      <c r="L2" s="24"/>
      <c r="M2" s="24"/>
      <c r="N2" s="24"/>
      <c r="O2" s="24"/>
    </row>
    <row r="3" spans="2:16">
      <c r="B3" t="s">
        <v>46</v>
      </c>
      <c r="C3" t="s">
        <v>47</v>
      </c>
      <c r="D3" s="13">
        <f>+'DOM Web'!$F$3</f>
        <v>109.99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2:16" ht="13.4" hidden="1" customHeight="1" outlineLevel="1">
      <c r="B4" s="25" t="s">
        <v>51</v>
      </c>
      <c r="C4" s="25" t="s">
        <v>47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2:16" ht="13.4" hidden="1" customHeight="1" outlineLevel="1">
      <c r="B5" s="25" t="s">
        <v>52</v>
      </c>
      <c r="C5" s="25" t="s">
        <v>47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2:16" ht="13.4" hidden="1" customHeight="1" outlineLevel="1">
      <c r="B6" s="25" t="s">
        <v>53</v>
      </c>
      <c r="C6" s="25" t="s">
        <v>47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idden="1" outlineLevel="1">
      <c r="B7" s="25" t="s">
        <v>54</v>
      </c>
      <c r="C7" s="25" t="s">
        <v>47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collapsed="1">
      <c r="D8" s="6"/>
    </row>
  </sheetData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86244-EBE3-4F16-BCCC-0347D8A5DA1D}">
  <sheetPr>
    <tabColor rgb="FFFFFF00"/>
  </sheetPr>
  <dimension ref="B1:AD184"/>
  <sheetViews>
    <sheetView zoomScaleNormal="100" workbookViewId="0">
      <pane xSplit="5" ySplit="2" topLeftCell="F3" activePane="bottomRight" state="frozen"/>
      <selection pane="topRight" activeCell="L52" sqref="L52"/>
      <selection pane="bottomLeft" activeCell="L52" sqref="L52"/>
      <selection pane="bottomRight" activeCell="F3" sqref="F3"/>
    </sheetView>
  </sheetViews>
  <sheetFormatPr defaultColWidth="8.6328125" defaultRowHeight="12.5" outlineLevelRow="1" outlineLevelCol="1"/>
  <cols>
    <col min="1" max="1" width="1.6328125" customWidth="1"/>
    <col min="2" max="2" width="27.453125" bestFit="1" customWidth="1"/>
    <col min="3" max="3" width="17.6328125" bestFit="1" customWidth="1"/>
    <col min="4" max="4" width="18.36328125" bestFit="1" customWidth="1"/>
    <col min="5" max="5" width="19.36328125" bestFit="1" customWidth="1"/>
    <col min="6" max="6" width="11.453125" customWidth="1"/>
    <col min="7" max="7" width="19.453125" customWidth="1"/>
    <col min="8" max="8" width="12.36328125" customWidth="1"/>
    <col min="9" max="9" width="19.453125" customWidth="1"/>
    <col min="10" max="10" width="19.36328125" customWidth="1"/>
    <col min="11" max="13" width="20.453125" customWidth="1"/>
    <col min="14" max="14" width="1.6328125" customWidth="1"/>
    <col min="15" max="15" width="22" customWidth="1"/>
    <col min="16" max="16" width="1.6328125" customWidth="1"/>
    <col min="17" max="18" width="8.6328125" customWidth="1" outlineLevel="1"/>
    <col min="19" max="19" width="9.36328125" customWidth="1" outlineLevel="1"/>
    <col min="20" max="24" width="8.6328125" customWidth="1" outlineLevel="1"/>
    <col min="25" max="25" width="26.54296875" customWidth="1"/>
    <col min="26" max="26" width="13.6328125" bestFit="1" customWidth="1"/>
    <col min="27" max="27" width="14.54296875" bestFit="1" customWidth="1"/>
    <col min="28" max="28" width="13.6328125" bestFit="1" customWidth="1"/>
    <col min="29" max="29" width="14.54296875" bestFit="1" customWidth="1"/>
  </cols>
  <sheetData>
    <row r="1" spans="2:29">
      <c r="B1">
        <v>1</v>
      </c>
      <c r="C1">
        <f>+B1+1</f>
        <v>2</v>
      </c>
      <c r="D1">
        <f t="shared" ref="D1:E1" si="0">+C1+1</f>
        <v>3</v>
      </c>
      <c r="E1">
        <f t="shared" si="0"/>
        <v>4</v>
      </c>
      <c r="F1">
        <f t="shared" ref="F1" si="1">+E1+1</f>
        <v>5</v>
      </c>
      <c r="G1">
        <f t="shared" ref="G1" si="2">+F1+1</f>
        <v>6</v>
      </c>
      <c r="H1">
        <f t="shared" ref="H1" si="3">+G1+1</f>
        <v>7</v>
      </c>
      <c r="I1">
        <f t="shared" ref="I1" si="4">+H1+1</f>
        <v>8</v>
      </c>
      <c r="J1">
        <f t="shared" ref="J1" si="5">+I1+1</f>
        <v>9</v>
      </c>
      <c r="K1">
        <f t="shared" ref="K1" si="6">+J1+1</f>
        <v>10</v>
      </c>
      <c r="L1">
        <f t="shared" ref="L1" si="7">+K1+1</f>
        <v>11</v>
      </c>
      <c r="M1">
        <f t="shared" ref="M1" si="8">+L1+1</f>
        <v>12</v>
      </c>
    </row>
    <row r="2" spans="2:29" ht="13">
      <c r="B2" s="24" t="s">
        <v>31</v>
      </c>
      <c r="C2" s="24" t="s">
        <v>359</v>
      </c>
      <c r="D2" s="24" t="s">
        <v>360</v>
      </c>
      <c r="E2" s="24" t="s">
        <v>361</v>
      </c>
      <c r="F2" s="24" t="s">
        <v>55</v>
      </c>
      <c r="G2" s="24" t="s">
        <v>56</v>
      </c>
      <c r="H2" s="24" t="s">
        <v>57</v>
      </c>
      <c r="I2" s="24" t="s">
        <v>58</v>
      </c>
      <c r="J2" s="24" t="s">
        <v>61</v>
      </c>
      <c r="K2" s="24" t="s">
        <v>62</v>
      </c>
      <c r="L2" s="24" t="s">
        <v>63</v>
      </c>
      <c r="M2" s="24" t="s">
        <v>64</v>
      </c>
      <c r="O2" s="24" t="s">
        <v>362</v>
      </c>
      <c r="Y2" s="24" t="s">
        <v>363</v>
      </c>
      <c r="Z2" s="24"/>
      <c r="AA2" s="24"/>
      <c r="AB2" s="24"/>
      <c r="AC2" s="24"/>
    </row>
    <row r="3" spans="2:29">
      <c r="B3" t="s">
        <v>70</v>
      </c>
      <c r="C3" s="31" t="str">
        <f>+VLOOKUP(B3,'Country &amp; Code Abbreviation'!$B$3:$C$245,2,FALSE)</f>
        <v>AF</v>
      </c>
      <c r="D3" s="31" t="str">
        <f>+VLOOKUP(B3,'INT Web'!$B$5:$Q$247,16,FALSE)</f>
        <v>USD</v>
      </c>
      <c r="E3" s="32" t="s">
        <v>346</v>
      </c>
      <c r="F3" s="33">
        <f>+IF($D3=$E3,VLOOKUP($B3,'INT Web'!$B$5:$W$247,'INT Web'!R$1,FALSE),MROUND(VLOOKUP($B3,'INT Web'!$B$5:$AQ$247,'INT Web'!AL$1,FALSE),1)-0.01)</f>
        <v>71.989999999999995</v>
      </c>
      <c r="G3" s="33">
        <f>+IF($D3=$E3,VLOOKUP($B3,'INT Web'!$B$5:$W$247,'INT Web'!S$1,FALSE),MROUND(VLOOKUP($B3,'INT Web'!$B$5:$AQ$247,'INT Web'!AM$1,FALSE),1)-0.01)</f>
        <v>11.99</v>
      </c>
      <c r="H3" s="33">
        <f>+IF($D3=$E3,VLOOKUP($B3,'INT Web'!$B$5:$W$247,'INT Web'!T$1,FALSE),MROUND(VLOOKUP($B3,'INT Web'!$B$5:$AQ$247,'INT Web'!AN$1,FALSE),1)-0.01)</f>
        <v>53.99</v>
      </c>
      <c r="I3" s="33">
        <f>+IF($D3=$E3,VLOOKUP($B3,'INT Web'!$B$5:$W$247,'INT Web'!U$1,FALSE),MROUND(VLOOKUP($B3,'INT Web'!$B$5:$AQ$247,'INT Web'!AO$1,FALSE),1)-0.01)</f>
        <v>8.99</v>
      </c>
      <c r="J3" s="34">
        <v>3.99</v>
      </c>
      <c r="K3" s="34">
        <v>3.99</v>
      </c>
      <c r="L3" s="34">
        <v>1.99</v>
      </c>
      <c r="M3" s="34">
        <v>1.99</v>
      </c>
      <c r="N3" s="35"/>
      <c r="O3" s="32" t="s">
        <v>364</v>
      </c>
      <c r="Q3" t="b">
        <f>+F3=VLOOKUP($B3,[5]Apple!$A$3:$L$176,F$1,FALSE)</f>
        <v>1</v>
      </c>
      <c r="R3" t="b">
        <f>+G3=VLOOKUP($B3,[5]Apple!$A$3:$L$176,G$1,FALSE)</f>
        <v>1</v>
      </c>
      <c r="S3" t="b">
        <f>+H3=VLOOKUP($B3,[5]Apple!$A$3:$L$176,H$1,FALSE)</f>
        <v>1</v>
      </c>
      <c r="T3" t="b">
        <f>+I3=VLOOKUP($B3,[5]Apple!$A$3:$L$176,I$1,FALSE)</f>
        <v>1</v>
      </c>
      <c r="U3" t="b">
        <f>+J3=VLOOKUP($B3,[5]Apple!$A$3:$L$176,J$1,FALSE)</f>
        <v>1</v>
      </c>
      <c r="V3" t="b">
        <f>+K3=VLOOKUP($B3,[5]Apple!$A$3:$L$176,K$1,FALSE)</f>
        <v>1</v>
      </c>
      <c r="W3" t="b">
        <f>+L3=VLOOKUP($B3,[5]Apple!$A$3:$L$176,L$1,FALSE)</f>
        <v>1</v>
      </c>
      <c r="X3" t="b">
        <f>+M3=VLOOKUP($B3,[5]Apple!$A$3:$L$176,M$1,FALSE)</f>
        <v>1</v>
      </c>
      <c r="Y3" s="31" t="str">
        <f>+VLOOKUP(C3,'Country &amp; Code Abbreviation'!$C$3:$D$245,2,FALSE)</f>
        <v>AFG</v>
      </c>
    </row>
    <row r="4" spans="2:29" ht="13.4" customHeight="1">
      <c r="B4" t="s">
        <v>73</v>
      </c>
      <c r="C4" s="31" t="str">
        <f>+VLOOKUP(B4,'Country &amp; Code Abbreviation'!$B$3:$C$245,2,FALSE)</f>
        <v>AL</v>
      </c>
      <c r="D4" s="31" t="str">
        <f>+VLOOKUP(B4,'INT Web'!$B$5:$Q$247,16,FALSE)</f>
        <v>ALL</v>
      </c>
      <c r="E4" s="32" t="s">
        <v>346</v>
      </c>
      <c r="F4" s="33">
        <f>+VLOOKUP($B4,[5]Apple!$A$4:$M$175,[5]Apple!E$1,FALSE)</f>
        <v>104.99</v>
      </c>
      <c r="G4" s="33">
        <f>+VLOOKUP($B4,[5]Apple!$A$4:$M$175,[5]Apple!F$1,FALSE)</f>
        <v>16.989999999999998</v>
      </c>
      <c r="H4" s="33">
        <f>+VLOOKUP($B4,[5]Apple!$A$4:$M$175,[5]Apple!G$1,FALSE)</f>
        <v>77.989999999999995</v>
      </c>
      <c r="I4" s="33">
        <f>+VLOOKUP($B4,[5]Apple!$A$4:$M$175,[5]Apple!H$1,FALSE)</f>
        <v>12.99</v>
      </c>
      <c r="J4" s="34">
        <v>4.99</v>
      </c>
      <c r="K4" s="34">
        <v>4.99</v>
      </c>
      <c r="L4" s="34">
        <v>3.99</v>
      </c>
      <c r="M4" s="34">
        <v>3.99</v>
      </c>
      <c r="N4" s="35"/>
      <c r="O4" s="32" t="s">
        <v>364</v>
      </c>
      <c r="Q4" t="b">
        <f>+F4=VLOOKUP($B4,[5]Apple!$A$3:$L$176,F$1,FALSE)</f>
        <v>1</v>
      </c>
      <c r="R4" t="b">
        <f>+G4=VLOOKUP($B4,[5]Apple!$A$3:$L$176,G$1,FALSE)</f>
        <v>1</v>
      </c>
      <c r="S4" t="b">
        <f>+H4=VLOOKUP($B4,[5]Apple!$A$3:$L$176,H$1,FALSE)</f>
        <v>1</v>
      </c>
      <c r="T4" t="b">
        <f>+I4=VLOOKUP($B4,[5]Apple!$A$3:$L$176,I$1,FALSE)</f>
        <v>1</v>
      </c>
      <c r="U4" t="b">
        <f>+J4=VLOOKUP($B4,[5]Apple!$A$3:$L$176,J$1,FALSE)</f>
        <v>1</v>
      </c>
      <c r="V4" t="b">
        <f>+K4=VLOOKUP($B4,[5]Apple!$A$3:$L$176,K$1,FALSE)</f>
        <v>1</v>
      </c>
      <c r="W4" t="b">
        <f>+L4=VLOOKUP($B4,[5]Apple!$A$3:$L$176,L$1,FALSE)</f>
        <v>1</v>
      </c>
      <c r="X4" t="b">
        <f>+M4=VLOOKUP($B4,[5]Apple!$A$3:$L$176,M$1,FALSE)</f>
        <v>1</v>
      </c>
      <c r="Y4" s="31" t="str">
        <f>+VLOOKUP(C4,'Country &amp; Code Abbreviation'!$C$3:$D$245,2,FALSE)</f>
        <v>ALB</v>
      </c>
    </row>
    <row r="5" spans="2:29">
      <c r="B5" t="s">
        <v>74</v>
      </c>
      <c r="C5" s="31" t="str">
        <f>+VLOOKUP(B5,'Country &amp; Code Abbreviation'!$B$3:$C$245,2,FALSE)</f>
        <v>DZ</v>
      </c>
      <c r="D5" s="31" t="str">
        <f>+VLOOKUP(B5,'INT Web'!$B$5:$Q$247,16,FALSE)</f>
        <v>DZD</v>
      </c>
      <c r="E5" s="32" t="s">
        <v>346</v>
      </c>
      <c r="F5" s="33">
        <f>+VLOOKUP($B5,[5]Apple!$A$4:$M$175,[5]Apple!E$1,FALSE)</f>
        <v>59.99</v>
      </c>
      <c r="G5" s="33">
        <f>+VLOOKUP($B5,[5]Apple!$A$4:$M$175,[5]Apple!F$1,FALSE)</f>
        <v>9.99</v>
      </c>
      <c r="H5" s="33">
        <f>+VLOOKUP($B5,[5]Apple!$A$4:$M$175,[5]Apple!G$1,FALSE)</f>
        <v>44.99</v>
      </c>
      <c r="I5" s="33">
        <f>+VLOOKUP($B5,[5]Apple!$A$4:$M$175,[5]Apple!H$1,FALSE)</f>
        <v>6.99</v>
      </c>
      <c r="J5" s="34">
        <v>1.99</v>
      </c>
      <c r="K5" s="34">
        <v>1.99</v>
      </c>
      <c r="L5" s="34">
        <v>0.99</v>
      </c>
      <c r="M5" s="34">
        <v>0.99</v>
      </c>
      <c r="N5" s="35"/>
      <c r="O5" s="32" t="s">
        <v>364</v>
      </c>
      <c r="Q5" t="b">
        <f>+F5=VLOOKUP($B5,[5]Apple!$A$3:$L$176,F$1,FALSE)</f>
        <v>1</v>
      </c>
      <c r="R5" t="b">
        <f>+G5=VLOOKUP($B5,[5]Apple!$A$3:$L$176,G$1,FALSE)</f>
        <v>1</v>
      </c>
      <c r="S5" t="b">
        <f>+H5=VLOOKUP($B5,[5]Apple!$A$3:$L$176,H$1,FALSE)</f>
        <v>1</v>
      </c>
      <c r="T5" t="b">
        <f>+I5=VLOOKUP($B5,[5]Apple!$A$3:$L$176,I$1,FALSE)</f>
        <v>1</v>
      </c>
      <c r="U5" t="b">
        <f>+J5=VLOOKUP($B5,[5]Apple!$A$3:$L$176,J$1,FALSE)</f>
        <v>1</v>
      </c>
      <c r="V5" t="b">
        <f>+K5=VLOOKUP($B5,[5]Apple!$A$3:$L$176,K$1,FALSE)</f>
        <v>1</v>
      </c>
      <c r="W5" t="b">
        <f>+L5=VLOOKUP($B5,[5]Apple!$A$3:$L$176,L$1,FALSE)</f>
        <v>1</v>
      </c>
      <c r="X5" t="b">
        <f>+M5=VLOOKUP($B5,[5]Apple!$A$3:$L$176,M$1,FALSE)</f>
        <v>1</v>
      </c>
      <c r="Y5" s="31" t="str">
        <f>+VLOOKUP(C5,'Country &amp; Code Abbreviation'!$C$3:$D$245,2,FALSE)</f>
        <v>DZA</v>
      </c>
    </row>
    <row r="6" spans="2:29">
      <c r="B6" t="s">
        <v>77</v>
      </c>
      <c r="C6" s="31" t="str">
        <f>+VLOOKUP(B6,'Country &amp; Code Abbreviation'!$B$3:$C$245,2,FALSE)</f>
        <v>AO</v>
      </c>
      <c r="D6" s="31" t="str">
        <f>+VLOOKUP(B6,'INT Web'!$B$5:$Q$247,16,FALSE)</f>
        <v>USD</v>
      </c>
      <c r="E6" s="32" t="s">
        <v>346</v>
      </c>
      <c r="F6" s="33">
        <f>+IF($D6=$E6,VLOOKUP($B6,'INT Web'!$B$5:$W$247,'INT Web'!R$1,FALSE),MROUND(VLOOKUP($B6,'INT Web'!$B$5:$AQ$247,'INT Web'!AL$1,FALSE),1)-0.01)</f>
        <v>71.989999999999995</v>
      </c>
      <c r="G6" s="33">
        <f>+IF($D6=$E6,VLOOKUP($B6,'INT Web'!$B$5:$W$247,'INT Web'!S$1,FALSE),MROUND(VLOOKUP($B6,'INT Web'!$B$5:$AQ$247,'INT Web'!AM$1,FALSE),1)-0.01)</f>
        <v>11.99</v>
      </c>
      <c r="H6" s="33">
        <f>+IF($D6=$E6,VLOOKUP($B6,'INT Web'!$B$5:$W$247,'INT Web'!T$1,FALSE),MROUND(VLOOKUP($B6,'INT Web'!$B$5:$AQ$247,'INT Web'!AN$1,FALSE),1)-0.01)</f>
        <v>53.99</v>
      </c>
      <c r="I6" s="33">
        <f>+IF($D6=$E6,VLOOKUP($B6,'INT Web'!$B$5:$W$247,'INT Web'!U$1,FALSE),MROUND(VLOOKUP($B6,'INT Web'!$B$5:$AQ$247,'INT Web'!AO$1,FALSE),1)-0.01)</f>
        <v>8.99</v>
      </c>
      <c r="J6" s="34">
        <v>3.99</v>
      </c>
      <c r="K6" s="34">
        <v>3.99</v>
      </c>
      <c r="L6" s="34">
        <v>1.99</v>
      </c>
      <c r="M6" s="34">
        <v>1.99</v>
      </c>
      <c r="N6" s="35"/>
      <c r="O6" s="32" t="s">
        <v>364</v>
      </c>
      <c r="Q6" t="b">
        <f>+F6=VLOOKUP($B6,[5]Apple!$A$3:$L$176,F$1,FALSE)</f>
        <v>1</v>
      </c>
      <c r="R6" t="b">
        <f>+G6=VLOOKUP($B6,[5]Apple!$A$3:$L$176,G$1,FALSE)</f>
        <v>1</v>
      </c>
      <c r="S6" t="b">
        <f>+H6=VLOOKUP($B6,[5]Apple!$A$3:$L$176,H$1,FALSE)</f>
        <v>1</v>
      </c>
      <c r="T6" t="b">
        <f>+I6=VLOOKUP($B6,[5]Apple!$A$3:$L$176,I$1,FALSE)</f>
        <v>1</v>
      </c>
      <c r="U6" t="b">
        <f>+J6=VLOOKUP($B6,[5]Apple!$A$3:$L$176,J$1,FALSE)</f>
        <v>1</v>
      </c>
      <c r="V6" t="b">
        <f>+K6=VLOOKUP($B6,[5]Apple!$A$3:$L$176,K$1,FALSE)</f>
        <v>1</v>
      </c>
      <c r="W6" t="b">
        <f>+L6=VLOOKUP($B6,[5]Apple!$A$3:$L$176,L$1,FALSE)</f>
        <v>1</v>
      </c>
      <c r="X6" t="b">
        <f>+M6=VLOOKUP($B6,[5]Apple!$A$3:$L$176,M$1,FALSE)</f>
        <v>1</v>
      </c>
      <c r="Y6" s="31" t="str">
        <f>+VLOOKUP(C6,'Country &amp; Code Abbreviation'!$C$3:$D$245,2,FALSE)</f>
        <v>AGO</v>
      </c>
    </row>
    <row r="7" spans="2:29">
      <c r="B7" t="s">
        <v>78</v>
      </c>
      <c r="C7" s="31" t="str">
        <f>+VLOOKUP(B7,'Country &amp; Code Abbreviation'!$B$3:$C$245,2,FALSE)</f>
        <v>AI</v>
      </c>
      <c r="D7" s="31" t="str">
        <f>+VLOOKUP(B7,'INT Web'!$B$5:$Q$247,16,FALSE)</f>
        <v>XCD</v>
      </c>
      <c r="E7" s="32" t="s">
        <v>346</v>
      </c>
      <c r="F7" s="33">
        <f>+IF($D7=$E7,VLOOKUP($B7,'INT Web'!$B$5:$W$247,'INT Web'!R$1,FALSE),MROUND(VLOOKUP($B7,'INT Web'!$B$5:$AQ$247,'INT Web'!AL$1,FALSE),1)-0.01)</f>
        <v>99.99</v>
      </c>
      <c r="G7" s="33">
        <f>+IF($D7=$E7,VLOOKUP($B7,'INT Web'!$B$5:$W$247,'INT Web'!S$1,FALSE),MROUND(VLOOKUP($B7,'INT Web'!$B$5:$AQ$247,'INT Web'!AM$1,FALSE),1)-0.01)</f>
        <v>16.989999999999998</v>
      </c>
      <c r="H7" s="33">
        <f>+IF($D7=$E7,VLOOKUP($B7,'INT Web'!$B$5:$W$247,'INT Web'!T$1,FALSE),MROUND(VLOOKUP($B7,'INT Web'!$B$5:$AQ$247,'INT Web'!AN$1,FALSE),1)-0.01)</f>
        <v>72.989999999999995</v>
      </c>
      <c r="I7" s="33">
        <f>+IF($D7=$E7,VLOOKUP($B7,'INT Web'!$B$5:$W$247,'INT Web'!U$1,FALSE),MROUND(VLOOKUP($B7,'INT Web'!$B$5:$AQ$247,'INT Web'!AO$1,FALSE),1)-0.01)</f>
        <v>11.99</v>
      </c>
      <c r="J7" s="34">
        <v>3.99</v>
      </c>
      <c r="K7" s="34">
        <v>3.99</v>
      </c>
      <c r="L7" s="34">
        <v>2.99</v>
      </c>
      <c r="M7" s="34">
        <v>2.99</v>
      </c>
      <c r="N7" s="35"/>
      <c r="O7" s="32" t="s">
        <v>364</v>
      </c>
      <c r="Q7" t="b">
        <f>+F7=VLOOKUP($B7,[5]Apple!$A$3:$L$176,F$1,FALSE)</f>
        <v>1</v>
      </c>
      <c r="R7" t="b">
        <f>+G7=VLOOKUP($B7,[5]Apple!$A$3:$L$176,G$1,FALSE)</f>
        <v>1</v>
      </c>
      <c r="S7" t="b">
        <f>+H7=VLOOKUP($B7,[5]Apple!$A$3:$L$176,H$1,FALSE)</f>
        <v>1</v>
      </c>
      <c r="T7" t="b">
        <f>+I7=VLOOKUP($B7,[5]Apple!$A$3:$L$176,I$1,FALSE)</f>
        <v>1</v>
      </c>
      <c r="U7" t="b">
        <f>+J7=VLOOKUP($B7,[5]Apple!$A$3:$L$176,J$1,FALSE)</f>
        <v>1</v>
      </c>
      <c r="V7" t="b">
        <f>+K7=VLOOKUP($B7,[5]Apple!$A$3:$L$176,K$1,FALSE)</f>
        <v>1</v>
      </c>
      <c r="W7" t="b">
        <f>+L7=VLOOKUP($B7,[5]Apple!$A$3:$L$176,L$1,FALSE)</f>
        <v>1</v>
      </c>
      <c r="X7" t="b">
        <f>+M7=VLOOKUP($B7,[5]Apple!$A$3:$L$176,M$1,FALSE)</f>
        <v>1</v>
      </c>
      <c r="Y7" s="31" t="str">
        <f>+VLOOKUP(C7,'Country &amp; Code Abbreviation'!$C$3:$D$245,2,FALSE)</f>
        <v>AIA</v>
      </c>
    </row>
    <row r="8" spans="2:29">
      <c r="B8" t="s">
        <v>365</v>
      </c>
      <c r="C8" s="31" t="str">
        <f>+VLOOKUP(B8,'Country &amp; Code Abbreviation'!$B$3:$C$245,2,FALSE)</f>
        <v>AG</v>
      </c>
      <c r="D8" s="31" t="str">
        <f>+VLOOKUP(B8,'INT Web'!$B$5:$Q$247,16,FALSE)</f>
        <v>XCD</v>
      </c>
      <c r="E8" s="32" t="s">
        <v>346</v>
      </c>
      <c r="F8" s="33">
        <f>+IF($D8=$E8,VLOOKUP($B8,'INT Web'!$B$5:$W$247,'INT Web'!R$1,FALSE),MROUND(VLOOKUP($B8,'INT Web'!$B$5:$AQ$247,'INT Web'!AL$1,FALSE),1)-0.01)</f>
        <v>112.99</v>
      </c>
      <c r="G8" s="33">
        <f>+IF($D8=$E8,VLOOKUP($B8,'INT Web'!$B$5:$W$247,'INT Web'!S$1,FALSE),MROUND(VLOOKUP($B8,'INT Web'!$B$5:$AQ$247,'INT Web'!AM$1,FALSE),1)-0.01)</f>
        <v>18.989999999999998</v>
      </c>
      <c r="H8" s="33">
        <f>+IF($D8=$E8,VLOOKUP($B8,'INT Web'!$B$5:$W$247,'INT Web'!T$1,FALSE),MROUND(VLOOKUP($B8,'INT Web'!$B$5:$AQ$247,'INT Web'!AN$1,FALSE),1)-0.01)</f>
        <v>83.99</v>
      </c>
      <c r="I8" s="33">
        <f>+IF($D8=$E8,VLOOKUP($B8,'INT Web'!$B$5:$W$247,'INT Web'!U$1,FALSE),MROUND(VLOOKUP($B8,'INT Web'!$B$5:$AQ$247,'INT Web'!AO$1,FALSE),1)-0.01)</f>
        <v>13.99</v>
      </c>
      <c r="J8" s="34">
        <v>4.99</v>
      </c>
      <c r="K8" s="34">
        <v>3.99</v>
      </c>
      <c r="L8" s="34">
        <v>2.99</v>
      </c>
      <c r="M8" s="34">
        <v>1.99</v>
      </c>
      <c r="N8" s="35"/>
      <c r="O8" s="32" t="s">
        <v>366</v>
      </c>
      <c r="Q8" t="b">
        <f>+F8=VLOOKUP($B8,[5]Apple!$A$3:$L$176,F$1,FALSE)</f>
        <v>1</v>
      </c>
      <c r="R8" t="b">
        <f>+G8=VLOOKUP($B8,[5]Apple!$A$3:$L$176,G$1,FALSE)</f>
        <v>1</v>
      </c>
      <c r="S8" t="b">
        <f>+H8=VLOOKUP($B8,[5]Apple!$A$3:$L$176,H$1,FALSE)</f>
        <v>1</v>
      </c>
      <c r="T8" t="b">
        <f>+I8=VLOOKUP($B8,[5]Apple!$A$3:$L$176,I$1,FALSE)</f>
        <v>1</v>
      </c>
      <c r="U8" t="b">
        <f>+J8=VLOOKUP($B8,[5]Apple!$A$3:$L$176,J$1,FALSE)</f>
        <v>1</v>
      </c>
      <c r="V8" t="b">
        <f>+K8=VLOOKUP($B8,[5]Apple!$A$3:$L$176,K$1,FALSE)</f>
        <v>1</v>
      </c>
      <c r="W8" t="b">
        <f>+L8=VLOOKUP($B8,[5]Apple!$A$3:$L$176,L$1,FALSE)</f>
        <v>1</v>
      </c>
      <c r="X8" t="b">
        <f>+M8=VLOOKUP($B8,[5]Apple!$A$3:$L$176,M$1,FALSE)</f>
        <v>1</v>
      </c>
      <c r="Y8" s="31" t="str">
        <f>+VLOOKUP(C8,'Country &amp; Code Abbreviation'!$C$3:$D$245,2,FALSE)</f>
        <v>ATG</v>
      </c>
    </row>
    <row r="9" spans="2:29">
      <c r="B9" t="s">
        <v>81</v>
      </c>
      <c r="C9" s="31" t="str">
        <f>+VLOOKUP(B9,'Country &amp; Code Abbreviation'!$B$3:$C$245,2,FALSE)</f>
        <v>AR</v>
      </c>
      <c r="D9" s="31" t="str">
        <f>+VLOOKUP(B9,'INT Web'!$B$5:$Q$247,16,FALSE)</f>
        <v>USD</v>
      </c>
      <c r="E9" s="32" t="s">
        <v>346</v>
      </c>
      <c r="F9" s="34">
        <v>79.989999999999995</v>
      </c>
      <c r="G9" s="34">
        <v>12.99</v>
      </c>
      <c r="H9" s="34">
        <v>59.99</v>
      </c>
      <c r="I9" s="34">
        <v>9.99</v>
      </c>
      <c r="J9" s="34">
        <v>3.99</v>
      </c>
      <c r="K9" s="34">
        <v>3.99</v>
      </c>
      <c r="L9" s="34">
        <v>2.99</v>
      </c>
      <c r="M9" s="34">
        <v>2.99</v>
      </c>
      <c r="N9" s="35"/>
      <c r="O9" s="32" t="s">
        <v>364</v>
      </c>
      <c r="Q9" t="b">
        <f>+F9=VLOOKUP($B9,[5]Apple!$A$3:$L$176,F$1,FALSE)</f>
        <v>1</v>
      </c>
      <c r="R9" t="b">
        <f>+G9=VLOOKUP($B9,[5]Apple!$A$3:$L$176,G$1,FALSE)</f>
        <v>1</v>
      </c>
      <c r="S9" t="b">
        <f>+H9=VLOOKUP($B9,[5]Apple!$A$3:$L$176,H$1,FALSE)</f>
        <v>1</v>
      </c>
      <c r="T9" t="b">
        <f>+I9=VLOOKUP($B9,[5]Apple!$A$3:$L$176,I$1,FALSE)</f>
        <v>1</v>
      </c>
      <c r="U9" t="b">
        <f>+J9=VLOOKUP($B9,[5]Apple!$A$3:$L$176,J$1,FALSE)</f>
        <v>1</v>
      </c>
      <c r="V9" t="b">
        <f>+K9=VLOOKUP($B9,[5]Apple!$A$3:$L$176,K$1,FALSE)</f>
        <v>1</v>
      </c>
      <c r="W9" t="b">
        <f>+L9=VLOOKUP($B9,[5]Apple!$A$3:$L$176,L$1,FALSE)</f>
        <v>1</v>
      </c>
      <c r="X9" t="b">
        <f>+M9=VLOOKUP($B9,[5]Apple!$A$3:$L$176,M$1,FALSE)</f>
        <v>1</v>
      </c>
      <c r="Y9" s="31" t="str">
        <f>+VLOOKUP(C9,'Country &amp; Code Abbreviation'!$C$3:$D$245,2,FALSE)</f>
        <v>ARG</v>
      </c>
    </row>
    <row r="10" spans="2:29">
      <c r="B10" t="s">
        <v>82</v>
      </c>
      <c r="C10" s="31" t="str">
        <f>+VLOOKUP(B10,'Country &amp; Code Abbreviation'!$B$3:$C$245,2,FALSE)</f>
        <v>AM</v>
      </c>
      <c r="D10" s="31" t="str">
        <f>+VLOOKUP(B10,'INT Web'!$B$5:$Q$247,16,FALSE)</f>
        <v>AMD</v>
      </c>
      <c r="E10" s="32" t="s">
        <v>346</v>
      </c>
      <c r="F10" s="33">
        <f>+VLOOKUP($B10,[5]Apple!$A$4:$M$175,[5]Apple!E$1,FALSE)</f>
        <v>139.99</v>
      </c>
      <c r="G10" s="33">
        <f>+VLOOKUP($B10,[5]Apple!$A$4:$M$175,[5]Apple!F$1,FALSE)</f>
        <v>22.99</v>
      </c>
      <c r="H10" s="33">
        <f>+VLOOKUP($B10,[5]Apple!$A$4:$M$175,[5]Apple!G$1,FALSE)</f>
        <v>103.99</v>
      </c>
      <c r="I10" s="72">
        <v>16.989999999999998</v>
      </c>
      <c r="J10" s="34">
        <v>4.99</v>
      </c>
      <c r="K10" s="34">
        <v>4.99</v>
      </c>
      <c r="L10" s="34">
        <v>3.49</v>
      </c>
      <c r="M10" s="34">
        <v>3.49</v>
      </c>
      <c r="N10" s="35"/>
      <c r="O10" s="32" t="s">
        <v>364</v>
      </c>
      <c r="Q10" t="b">
        <f>+F10=VLOOKUP($B10,[5]Apple!$A$3:$L$176,F$1,FALSE)</f>
        <v>1</v>
      </c>
      <c r="R10" t="b">
        <f>+G10=VLOOKUP($B10,[5]Apple!$A$3:$L$176,G$1,FALSE)</f>
        <v>1</v>
      </c>
      <c r="S10" t="b">
        <f>+H10=VLOOKUP($B10,[5]Apple!$A$3:$L$176,H$1,FALSE)</f>
        <v>1</v>
      </c>
      <c r="T10" t="b">
        <f>+I10=VLOOKUP($B10,[5]Apple!$A$3:$L$176,I$1,FALSE)</f>
        <v>1</v>
      </c>
      <c r="U10" t="b">
        <f>+J10=VLOOKUP($B10,[5]Apple!$A$3:$L$176,J$1,FALSE)</f>
        <v>1</v>
      </c>
      <c r="V10" t="b">
        <f>+K10=VLOOKUP($B10,[5]Apple!$A$3:$L$176,K$1,FALSE)</f>
        <v>1</v>
      </c>
      <c r="W10" t="b">
        <f>+L10=VLOOKUP($B10,[5]Apple!$A$3:$L$176,L$1,FALSE)</f>
        <v>1</v>
      </c>
      <c r="X10" t="b">
        <f>+M10=VLOOKUP($B10,[5]Apple!$A$3:$L$176,M$1,FALSE)</f>
        <v>1</v>
      </c>
      <c r="Y10" s="31" t="str">
        <f>+VLOOKUP(C10,'Country &amp; Code Abbreviation'!$C$3:$D$245,2,FALSE)</f>
        <v>ARM</v>
      </c>
    </row>
    <row r="11" spans="2:29">
      <c r="B11" s="73" t="s">
        <v>84</v>
      </c>
      <c r="C11" s="110" t="str">
        <f>+VLOOKUP(B11,'Country &amp; Code Abbreviation'!$B$3:$C$245,2,FALSE)</f>
        <v>AU</v>
      </c>
      <c r="D11" s="31" t="str">
        <f>+VLOOKUP(B11,'INT Web'!$B$5:$Q$247,16,FALSE)</f>
        <v>AUD</v>
      </c>
      <c r="E11" s="32" t="s">
        <v>367</v>
      </c>
      <c r="F11" s="109">
        <f>+IF($D11=$E11,VLOOKUP($B11,'INT Web'!$B$5:$W$247,'INT Web'!R$1,FALSE),MROUND(VLOOKUP($B11,'INT Web'!$B$5:$AQ$247,'INT Web'!AL$1,FALSE),1)-0.01)</f>
        <v>244.99</v>
      </c>
      <c r="G11" s="109">
        <f>+IF($D11=$E11,VLOOKUP($B11,'INT Web'!$B$5:$W$247,'INT Web'!S$1,FALSE),MROUND(VLOOKUP($B11,'INT Web'!$B$5:$AQ$247,'INT Web'!AM$1,FALSE),1)-0.01)</f>
        <v>34.99</v>
      </c>
      <c r="H11" s="33">
        <f>+IF($D11=$E11,VLOOKUP($B11,'INT Web'!$B$5:$W$247,'INT Web'!T$1,FALSE),MROUND(VLOOKUP($B11,'INT Web'!$B$5:$AQ$247,'INT Web'!AN$1,FALSE),1)-0.01)</f>
        <v>174.99</v>
      </c>
      <c r="I11" s="33">
        <f>+IF($D11=$E11,VLOOKUP($B11,'INT Web'!$B$5:$W$247,'INT Web'!U$1,FALSE),MROUND(VLOOKUP($B11,'INT Web'!$B$5:$AQ$247,'INT Web'!AO$1,FALSE),1)-0.01)</f>
        <v>24.99</v>
      </c>
      <c r="J11" s="34">
        <v>9.99</v>
      </c>
      <c r="K11" s="34">
        <v>7.99</v>
      </c>
      <c r="L11" s="34">
        <v>5.99</v>
      </c>
      <c r="M11" s="34">
        <v>3.99</v>
      </c>
      <c r="N11" s="35"/>
      <c r="O11" s="32" t="s">
        <v>364</v>
      </c>
      <c r="Q11" t="b">
        <f>+F11=VLOOKUP($B11,[5]Apple!$A$3:$L$176,F$1,FALSE)</f>
        <v>0</v>
      </c>
      <c r="R11" t="b">
        <f>+G11=VLOOKUP($B11,[5]Apple!$A$3:$L$176,G$1,FALSE)</f>
        <v>0</v>
      </c>
      <c r="S11" t="b">
        <f>+H11=VLOOKUP($B11,[5]Apple!$A$3:$L$176,H$1,FALSE)</f>
        <v>1</v>
      </c>
      <c r="T11" t="b">
        <f>+I11=VLOOKUP($B11,[5]Apple!$A$3:$L$176,I$1,FALSE)</f>
        <v>1</v>
      </c>
      <c r="U11" t="b">
        <f>+J11=VLOOKUP($B11,[5]Apple!$A$3:$L$176,J$1,FALSE)</f>
        <v>1</v>
      </c>
      <c r="V11" t="b">
        <f>+K11=VLOOKUP($B11,[5]Apple!$A$3:$L$176,K$1,FALSE)</f>
        <v>1</v>
      </c>
      <c r="W11" t="b">
        <f>+L11=VLOOKUP($B11,[5]Apple!$A$3:$L$176,L$1,FALSE)</f>
        <v>1</v>
      </c>
      <c r="X11" t="b">
        <f>+M11=VLOOKUP($B11,[5]Apple!$A$3:$L$176,M$1,FALSE)</f>
        <v>1</v>
      </c>
      <c r="Y11" s="31" t="str">
        <f>+VLOOKUP(C11,'Country &amp; Code Abbreviation'!$C$3:$D$245,2,FALSE)</f>
        <v>AUS</v>
      </c>
    </row>
    <row r="12" spans="2:29">
      <c r="B12" t="s">
        <v>85</v>
      </c>
      <c r="C12" s="31" t="str">
        <f>+VLOOKUP(B12,'Country &amp; Code Abbreviation'!$B$3:$C$245,2,FALSE)</f>
        <v>AT</v>
      </c>
      <c r="D12" s="31" t="str">
        <f>+VLOOKUP(B12,'INT Web'!$B$5:$Q$247,16,FALSE)</f>
        <v>EUR</v>
      </c>
      <c r="E12" s="32" t="s">
        <v>368</v>
      </c>
      <c r="F12" s="33">
        <f>+IF($D12=$E12,VLOOKUP($B12,'INT Web'!$B$5:$W$247,'INT Web'!R$1,FALSE),MROUND(VLOOKUP($B12,'INT Web'!$B$5:$AQ$247,'INT Web'!AL$1,FALSE),1)-0.01)</f>
        <v>159.99</v>
      </c>
      <c r="G12" s="33">
        <f>+IF($D12=$E12,VLOOKUP($B12,'INT Web'!$B$5:$W$247,'INT Web'!S$1,FALSE),MROUND(VLOOKUP($B12,'INT Web'!$B$5:$AQ$247,'INT Web'!AM$1,FALSE),1)-0.01)</f>
        <v>23.99</v>
      </c>
      <c r="H12" s="33">
        <f>+IF($D12=$E12,VLOOKUP($B12,'INT Web'!$B$5:$W$247,'INT Web'!T$1,FALSE),MROUND(VLOOKUP($B12,'INT Web'!$B$5:$AQ$247,'INT Web'!AN$1,FALSE),1)-0.01)</f>
        <v>116.99</v>
      </c>
      <c r="I12" s="33">
        <f>+IF($D12=$E12,VLOOKUP($B12,'INT Web'!$B$5:$W$247,'INT Web'!U$1,FALSE),MROUND(VLOOKUP($B12,'INT Web'!$B$5:$AQ$247,'INT Web'!AO$1,FALSE),1)-0.01)</f>
        <v>17.989999999999998</v>
      </c>
      <c r="J12" s="34">
        <v>5.99</v>
      </c>
      <c r="K12" s="34">
        <v>4.99</v>
      </c>
      <c r="L12" s="34">
        <v>3.99</v>
      </c>
      <c r="M12" s="34">
        <v>2.99</v>
      </c>
      <c r="N12" s="35"/>
      <c r="O12" s="32" t="s">
        <v>366</v>
      </c>
      <c r="Q12" t="b">
        <f>+F12=VLOOKUP($B12,[5]Apple!$A$3:$L$176,F$1,FALSE)</f>
        <v>1</v>
      </c>
      <c r="R12" t="b">
        <f>+G12=VLOOKUP($B12,[5]Apple!$A$3:$L$176,G$1,FALSE)</f>
        <v>1</v>
      </c>
      <c r="S12" t="b">
        <f>+H12=VLOOKUP($B12,[5]Apple!$A$3:$L$176,H$1,FALSE)</f>
        <v>1</v>
      </c>
      <c r="T12" t="b">
        <f>+I12=VLOOKUP($B12,[5]Apple!$A$3:$L$176,I$1,FALSE)</f>
        <v>1</v>
      </c>
      <c r="U12" t="b">
        <f>+J12=VLOOKUP($B12,[5]Apple!$A$3:$L$176,J$1,FALSE)</f>
        <v>1</v>
      </c>
      <c r="V12" t="b">
        <f>+K12=VLOOKUP($B12,[5]Apple!$A$3:$L$176,K$1,FALSE)</f>
        <v>1</v>
      </c>
      <c r="W12" t="b">
        <f>+L12=VLOOKUP($B12,[5]Apple!$A$3:$L$176,L$1,FALSE)</f>
        <v>1</v>
      </c>
      <c r="X12" t="b">
        <f>+M12=VLOOKUP($B12,[5]Apple!$A$3:$L$176,M$1,FALSE)</f>
        <v>1</v>
      </c>
      <c r="Y12" s="31" t="str">
        <f>+VLOOKUP(C12,'Country &amp; Code Abbreviation'!$C$3:$D$245,2,FALSE)</f>
        <v>AUT</v>
      </c>
    </row>
    <row r="13" spans="2:29">
      <c r="B13" t="s">
        <v>86</v>
      </c>
      <c r="C13" s="31" t="str">
        <f>+VLOOKUP(B13,'Country &amp; Code Abbreviation'!$B$3:$C$245,2,FALSE)</f>
        <v>AZ</v>
      </c>
      <c r="D13" s="31" t="str">
        <f>+VLOOKUP(B13,'INT Web'!$B$5:$Q$247,16,FALSE)</f>
        <v>AZN</v>
      </c>
      <c r="E13" s="32" t="s">
        <v>346</v>
      </c>
      <c r="F13" s="33">
        <f>+IF($D13=$E13,VLOOKUP($B13,'INT Web'!$B$5:$W$247,'INT Web'!R$1,FALSE),MROUND(VLOOKUP($B13,'INT Web'!$B$5:$AQ$247,'INT Web'!AL$1,FALSE),1)-0.01)</f>
        <v>105.99</v>
      </c>
      <c r="G13" s="33">
        <f>+IF($D13=$E13,VLOOKUP($B13,'INT Web'!$B$5:$W$247,'INT Web'!S$1,FALSE),MROUND(VLOOKUP($B13,'INT Web'!$B$5:$AQ$247,'INT Web'!AM$1,FALSE),1)-0.01)</f>
        <v>17.989999999999998</v>
      </c>
      <c r="H13" s="34">
        <v>76.989999999999995</v>
      </c>
      <c r="I13" s="33">
        <f>+IF($D13=$E13,VLOOKUP($B13,'INT Web'!$B$5:$W$247,'INT Web'!U$1,FALSE),MROUND(VLOOKUP($B13,'INT Web'!$B$5:$AQ$247,'INT Web'!AO$1,FALSE),1)-0.01)</f>
        <v>12.99</v>
      </c>
      <c r="J13" s="34">
        <v>4.99</v>
      </c>
      <c r="K13" s="34">
        <v>3.99</v>
      </c>
      <c r="L13" s="34">
        <v>2.99</v>
      </c>
      <c r="M13" s="34">
        <v>1.99</v>
      </c>
      <c r="N13" s="35"/>
      <c r="O13" s="32" t="s">
        <v>366</v>
      </c>
      <c r="Q13" t="b">
        <f>+F13=VLOOKUP($B13,[5]Apple!$A$3:$L$176,F$1,FALSE)</f>
        <v>1</v>
      </c>
      <c r="R13" t="b">
        <f>+G13=VLOOKUP($B13,[5]Apple!$A$3:$L$176,G$1,FALSE)</f>
        <v>1</v>
      </c>
      <c r="S13" t="b">
        <f>+H13=VLOOKUP($B13,[5]Apple!$A$3:$L$176,H$1,FALSE)</f>
        <v>1</v>
      </c>
      <c r="T13" t="b">
        <f>+I13=VLOOKUP($B13,[5]Apple!$A$3:$L$176,I$1,FALSE)</f>
        <v>1</v>
      </c>
      <c r="U13" t="b">
        <f>+J13=VLOOKUP($B13,[5]Apple!$A$3:$L$176,J$1,FALSE)</f>
        <v>1</v>
      </c>
      <c r="V13" t="b">
        <f>+K13=VLOOKUP($B13,[5]Apple!$A$3:$L$176,K$1,FALSE)</f>
        <v>1</v>
      </c>
      <c r="W13" t="b">
        <f>+L13=VLOOKUP($B13,[5]Apple!$A$3:$L$176,L$1,FALSE)</f>
        <v>1</v>
      </c>
      <c r="X13" t="b">
        <f>+M13=VLOOKUP($B13,[5]Apple!$A$3:$L$176,M$1,FALSE)</f>
        <v>1</v>
      </c>
      <c r="Y13" s="31" t="str">
        <f>+VLOOKUP(C13,'Country &amp; Code Abbreviation'!$C$3:$D$245,2,FALSE)</f>
        <v>AZE</v>
      </c>
    </row>
    <row r="14" spans="2:29">
      <c r="B14" t="s">
        <v>87</v>
      </c>
      <c r="C14" s="31" t="str">
        <f>+VLOOKUP(B14,'Country &amp; Code Abbreviation'!$B$3:$C$245,2,FALSE)</f>
        <v>BS</v>
      </c>
      <c r="D14" s="31" t="str">
        <f>+VLOOKUP(B14,'INT Web'!$B$5:$Q$247,16,FALSE)</f>
        <v>BSD</v>
      </c>
      <c r="E14" s="32" t="s">
        <v>346</v>
      </c>
      <c r="F14" s="33">
        <f>+IF($D14=$E14,VLOOKUP($B14,'INT Web'!$B$5:$W$247,'INT Web'!R$1,FALSE),MROUND(VLOOKUP($B14,'INT Web'!$B$5:$AQ$247,'INT Web'!AL$1,FALSE),1)-0.01)</f>
        <v>95.99</v>
      </c>
      <c r="G14" s="33">
        <f>+IF($D14=$E14,VLOOKUP($B14,'INT Web'!$B$5:$W$247,'INT Web'!S$1,FALSE),MROUND(VLOOKUP($B14,'INT Web'!$B$5:$AQ$247,'INT Web'!AM$1,FALSE),1)-0.01)</f>
        <v>15.99</v>
      </c>
      <c r="H14" s="33">
        <f>+IF($D14=$E14,VLOOKUP($B14,'INT Web'!$B$5:$W$247,'INT Web'!T$1,FALSE),MROUND(VLOOKUP($B14,'INT Web'!$B$5:$AQ$247,'INT Web'!AN$1,FALSE),1)-0.01)</f>
        <v>71.989999999999995</v>
      </c>
      <c r="I14" s="33">
        <f>+IF($D14=$E14,VLOOKUP($B14,'INT Web'!$B$5:$W$247,'INT Web'!U$1,FALSE),MROUND(VLOOKUP($B14,'INT Web'!$B$5:$AQ$247,'INT Web'!AO$1,FALSE),1)-0.01)</f>
        <v>11.99</v>
      </c>
      <c r="J14" s="34">
        <v>4.49</v>
      </c>
      <c r="K14" s="34">
        <v>3.49</v>
      </c>
      <c r="L14" s="34">
        <v>2.29</v>
      </c>
      <c r="M14" s="35">
        <v>1.0900000000000001</v>
      </c>
      <c r="N14" s="35"/>
      <c r="O14" s="32" t="s">
        <v>366</v>
      </c>
      <c r="Q14" t="b">
        <f>+F14=VLOOKUP($B14,[5]Apple!$A$3:$L$176,F$1,FALSE)</f>
        <v>1</v>
      </c>
      <c r="R14" t="b">
        <f>+G14=VLOOKUP($B14,[5]Apple!$A$3:$L$176,G$1,FALSE)</f>
        <v>1</v>
      </c>
      <c r="S14" t="b">
        <f>+H14=VLOOKUP($B14,[5]Apple!$A$3:$L$176,H$1,FALSE)</f>
        <v>1</v>
      </c>
      <c r="T14" t="b">
        <f>+I14=VLOOKUP($B14,[5]Apple!$A$3:$L$176,I$1,FALSE)</f>
        <v>1</v>
      </c>
      <c r="U14" t="b">
        <f>+J14=VLOOKUP($B14,[5]Apple!$A$3:$L$176,J$1,FALSE)</f>
        <v>1</v>
      </c>
      <c r="V14" t="b">
        <f>+K14=VLOOKUP($B14,[5]Apple!$A$3:$L$176,K$1,FALSE)</f>
        <v>1</v>
      </c>
      <c r="W14" t="b">
        <f>+L14=VLOOKUP($B14,[5]Apple!$A$3:$L$176,L$1,FALSE)</f>
        <v>1</v>
      </c>
      <c r="X14" t="b">
        <f>+M14=VLOOKUP($B14,[5]Apple!$A$3:$L$176,M$1,FALSE)</f>
        <v>1</v>
      </c>
      <c r="Y14" s="31" t="str">
        <f>+VLOOKUP(C14,'Country &amp; Code Abbreviation'!$C$3:$D$245,2,FALSE)</f>
        <v>BHS</v>
      </c>
    </row>
    <row r="15" spans="2:29">
      <c r="B15" t="s">
        <v>88</v>
      </c>
      <c r="C15" s="31" t="str">
        <f>+VLOOKUP(B15,'Country &amp; Code Abbreviation'!$B$3:$C$245,2,FALSE)</f>
        <v>BH</v>
      </c>
      <c r="D15" s="31" t="str">
        <f>+VLOOKUP(B15,'INT Web'!$B$5:$Q$247,16,FALSE)</f>
        <v>BHD</v>
      </c>
      <c r="E15" s="32" t="s">
        <v>346</v>
      </c>
      <c r="F15" s="34">
        <v>159.99</v>
      </c>
      <c r="G15" s="33">
        <f>+IF($D15=$E15,VLOOKUP($B15,'INT Web'!$B$5:$W$247,'INT Web'!S$1,FALSE),MROUND(VLOOKUP($B15,'INT Web'!$B$5:$AQ$247,'INT Web'!AM$1,FALSE),1)-0.01)</f>
        <v>23.99</v>
      </c>
      <c r="H15" s="33">
        <f>+IF($D15=$E15,VLOOKUP($B15,'INT Web'!$B$5:$W$247,'INT Web'!T$1,FALSE),MROUND(VLOOKUP($B15,'INT Web'!$B$5:$AQ$247,'INT Web'!AN$1,FALSE),1)-0.01)</f>
        <v>132.99</v>
      </c>
      <c r="I15" s="33">
        <f>+IF($D15=$E15,VLOOKUP($B15,'INT Web'!$B$5:$W$247,'INT Web'!U$1,FALSE),MROUND(VLOOKUP($B15,'INT Web'!$B$5:$AQ$247,'INT Web'!AO$1,FALSE),1)-0.01)</f>
        <v>18.989999999999998</v>
      </c>
      <c r="J15" s="34">
        <v>6.99</v>
      </c>
      <c r="K15" s="108">
        <f>J15</f>
        <v>6.99</v>
      </c>
      <c r="L15" s="34">
        <v>3.99</v>
      </c>
      <c r="M15" s="108">
        <f>L15</f>
        <v>3.99</v>
      </c>
      <c r="N15" s="35"/>
      <c r="O15" s="32" t="s">
        <v>364</v>
      </c>
      <c r="Q15" t="b">
        <f>+F15=VLOOKUP($B15,[5]Apple!$A$3:$L$176,F$1,FALSE)</f>
        <v>1</v>
      </c>
      <c r="R15" t="b">
        <f>+G15=VLOOKUP($B15,[5]Apple!$A$3:$L$176,G$1,FALSE)</f>
        <v>1</v>
      </c>
      <c r="S15" t="b">
        <f>+H15=VLOOKUP($B15,[5]Apple!$A$3:$L$176,H$1,FALSE)</f>
        <v>1</v>
      </c>
      <c r="T15" t="b">
        <f>+I15=VLOOKUP($B15,[5]Apple!$A$3:$L$176,I$1,FALSE)</f>
        <v>1</v>
      </c>
      <c r="U15" t="b">
        <f>+J15=VLOOKUP($B15,[5]Apple!$A$3:$L$176,J$1,FALSE)</f>
        <v>1</v>
      </c>
      <c r="V15" t="b">
        <f>+K15=VLOOKUP($B15,[5]Apple!$A$3:$L$176,K$1,FALSE)</f>
        <v>1</v>
      </c>
      <c r="W15" t="b">
        <f>+L15=VLOOKUP($B15,[5]Apple!$A$3:$L$176,L$1,FALSE)</f>
        <v>1</v>
      </c>
      <c r="X15" t="b">
        <f>+M15=VLOOKUP($B15,[5]Apple!$A$3:$L$176,M$1,FALSE)</f>
        <v>1</v>
      </c>
      <c r="Y15" s="31" t="str">
        <f>+VLOOKUP(C15,'Country &amp; Code Abbreviation'!$C$3:$D$245,2,FALSE)</f>
        <v>BHR</v>
      </c>
    </row>
    <row r="16" spans="2:29">
      <c r="B16" t="s">
        <v>90</v>
      </c>
      <c r="C16" s="31" t="str">
        <f>+VLOOKUP(B16,'Country &amp; Code Abbreviation'!$B$3:$C$245,2,FALSE)</f>
        <v>BB</v>
      </c>
      <c r="D16" s="31" t="str">
        <f>+VLOOKUP(B16,'INT Web'!$B$5:$Q$247,16,FALSE)</f>
        <v>BBD</v>
      </c>
      <c r="E16" s="32" t="s">
        <v>346</v>
      </c>
      <c r="F16" s="33">
        <f>+IF($D16=$E16,VLOOKUP($B16,'INT Web'!$B$5:$W$247,'INT Web'!R$1,FALSE),MROUND(VLOOKUP($B16,'INT Web'!$B$5:$AQ$247,'INT Web'!AL$1,FALSE),1)-0.01)</f>
        <v>104.99</v>
      </c>
      <c r="G16" s="34">
        <v>17.989999999999998</v>
      </c>
      <c r="H16" s="33">
        <f>+IF($D16=$E16,VLOOKUP($B16,'INT Web'!$B$5:$W$247,'INT Web'!T$1,FALSE),MROUND(VLOOKUP($B16,'INT Web'!$B$5:$AQ$247,'INT Web'!AN$1,FALSE),1)-0.01)</f>
        <v>77.989999999999995</v>
      </c>
      <c r="I16" s="33">
        <f>+IF($D16=$E16,VLOOKUP($B16,'INT Web'!$B$5:$W$247,'INT Web'!U$1,FALSE),MROUND(VLOOKUP($B16,'INT Web'!$B$5:$AQ$247,'INT Web'!AO$1,FALSE),1)-0.01)</f>
        <v>12.99</v>
      </c>
      <c r="J16" s="34">
        <v>4.99</v>
      </c>
      <c r="K16" s="34">
        <v>4.99</v>
      </c>
      <c r="L16" s="34">
        <v>3.49</v>
      </c>
      <c r="M16" s="34">
        <v>3.49</v>
      </c>
      <c r="N16" s="35"/>
      <c r="O16" s="32" t="s">
        <v>364</v>
      </c>
      <c r="Q16" t="b">
        <f>+F16=VLOOKUP($B16,[5]Apple!$A$3:$L$176,F$1,FALSE)</f>
        <v>1</v>
      </c>
      <c r="R16" t="b">
        <f>+G16=VLOOKUP($B16,[5]Apple!$A$3:$L$176,G$1,FALSE)</f>
        <v>1</v>
      </c>
      <c r="S16" t="b">
        <f>+H16=VLOOKUP($B16,[5]Apple!$A$3:$L$176,H$1,FALSE)</f>
        <v>1</v>
      </c>
      <c r="T16" t="b">
        <f>+I16=VLOOKUP($B16,[5]Apple!$A$3:$L$176,I$1,FALSE)</f>
        <v>1</v>
      </c>
      <c r="U16" t="b">
        <f>+J16=VLOOKUP($B16,[5]Apple!$A$3:$L$176,J$1,FALSE)</f>
        <v>1</v>
      </c>
      <c r="V16" t="b">
        <f>+K16=VLOOKUP($B16,[5]Apple!$A$3:$L$176,K$1,FALSE)</f>
        <v>1</v>
      </c>
      <c r="W16" t="b">
        <f>+L16=VLOOKUP($B16,[5]Apple!$A$3:$L$176,L$1,FALSE)</f>
        <v>1</v>
      </c>
      <c r="X16" t="b">
        <f>+M16=VLOOKUP($B16,[5]Apple!$A$3:$L$176,M$1,FALSE)</f>
        <v>1</v>
      </c>
      <c r="Y16" s="31" t="str">
        <f>+VLOOKUP(C16,'Country &amp; Code Abbreviation'!$C$3:$D$245,2,FALSE)</f>
        <v>BRB</v>
      </c>
    </row>
    <row r="17" spans="2:25" hidden="1" outlineLevel="1">
      <c r="B17" t="s">
        <v>91</v>
      </c>
      <c r="C17" s="31" t="str">
        <f>+VLOOKUP(B17,'Country &amp; Code Abbreviation'!$B$3:$C$245,2,FALSE)</f>
        <v>BY</v>
      </c>
      <c r="D17" s="31" t="str">
        <f>+VLOOKUP(B17,'INT Web'!$B$5:$Q$247,16,FALSE)</f>
        <v>BYN</v>
      </c>
      <c r="E17" s="32" t="s">
        <v>346</v>
      </c>
      <c r="F17" s="33">
        <f>+IF($D17=$E17,VLOOKUP($B17,'INT Web'!$B$5:$W$247,'INT Web'!R$1,FALSE),MROUND(VLOOKUP($B17,'INT Web'!$B$5:$AQ$247,'INT Web'!AL$1,FALSE),1)-0.01)</f>
        <v>-0.01</v>
      </c>
      <c r="G17" s="33">
        <f>+IF($D17=$E17,VLOOKUP($B17,'INT Web'!$B$5:$W$247,'INT Web'!S$1,FALSE),MROUND(VLOOKUP($B17,'INT Web'!$B$5:$AQ$247,'INT Web'!AM$1,FALSE),1)-0.01)</f>
        <v>-0.01</v>
      </c>
      <c r="H17" s="33">
        <f>+IF($D17=$E17,VLOOKUP($B17,'INT Web'!$B$5:$W$247,'INT Web'!T$1,FALSE),MROUND(VLOOKUP($B17,'INT Web'!$B$5:$AQ$247,'INT Web'!AN$1,FALSE),1)-0.01)</f>
        <v>-0.01</v>
      </c>
      <c r="I17" s="33">
        <f>+IF($D17=$E17,VLOOKUP($B17,'INT Web'!$B$5:$W$247,'INT Web'!U$1,FALSE),MROUND(VLOOKUP($B17,'INT Web'!$B$5:$AQ$247,'INT Web'!AO$1,FALSE),1)-0.01)</f>
        <v>-0.01</v>
      </c>
      <c r="J17" s="34"/>
      <c r="K17" s="34"/>
      <c r="L17" s="34"/>
      <c r="M17" s="34"/>
      <c r="N17" s="35"/>
      <c r="O17" s="35"/>
      <c r="Q17" t="b">
        <f>+F17=VLOOKUP($B17,[5]Apple!$A$3:$L$176,F$1,FALSE)</f>
        <v>1</v>
      </c>
      <c r="R17" t="b">
        <f>+G17=VLOOKUP($B17,[5]Apple!$A$3:$L$176,G$1,FALSE)</f>
        <v>1</v>
      </c>
      <c r="S17" t="b">
        <f>+H17=VLOOKUP($B17,[5]Apple!$A$3:$L$176,H$1,FALSE)</f>
        <v>1</v>
      </c>
      <c r="T17" t="b">
        <f>+I17=VLOOKUP($B17,[5]Apple!$A$3:$L$176,I$1,FALSE)</f>
        <v>1</v>
      </c>
      <c r="U17" t="b">
        <f>+J17=VLOOKUP($B17,[5]Apple!$A$3:$L$176,J$1,FALSE)</f>
        <v>1</v>
      </c>
      <c r="V17" t="b">
        <f>+K17=VLOOKUP($B17,[5]Apple!$A$3:$L$176,K$1,FALSE)</f>
        <v>1</v>
      </c>
      <c r="W17" t="b">
        <f>+L17=VLOOKUP($B17,[5]Apple!$A$3:$L$176,L$1,FALSE)</f>
        <v>1</v>
      </c>
      <c r="X17" t="b">
        <f>+M17=VLOOKUP($B17,[5]Apple!$A$3:$L$176,M$1,FALSE)</f>
        <v>1</v>
      </c>
      <c r="Y17" s="31" t="str">
        <f>+VLOOKUP(C17,'Country &amp; Code Abbreviation'!$C$3:$D$245,2,FALSE)</f>
        <v>BLR</v>
      </c>
    </row>
    <row r="18" spans="2:25" collapsed="1">
      <c r="B18" t="s">
        <v>92</v>
      </c>
      <c r="C18" s="31" t="str">
        <f>+VLOOKUP(B18,'Country &amp; Code Abbreviation'!$B$3:$C$245,2,FALSE)</f>
        <v>BE</v>
      </c>
      <c r="D18" s="31" t="str">
        <f>+VLOOKUP(B18,'INT Web'!$B$5:$Q$247,16,FALSE)</f>
        <v>EUR</v>
      </c>
      <c r="E18" s="32" t="s">
        <v>368</v>
      </c>
      <c r="F18" s="33">
        <f>+IF($D18=$E18,VLOOKUP($B18,'INT Web'!$B$5:$W$247,'INT Web'!R$1,FALSE),MROUND(VLOOKUP($B18,'INT Web'!$B$5:$AQ$247,'INT Web'!AL$1,FALSE),1)-0.01)</f>
        <v>169.99</v>
      </c>
      <c r="G18" s="33">
        <f>+IF($D18=$E18,VLOOKUP($B18,'INT Web'!$B$5:$W$247,'INT Web'!S$1,FALSE),MROUND(VLOOKUP($B18,'INT Web'!$B$5:$AQ$247,'INT Web'!AM$1,FALSE),1)-0.01)</f>
        <v>25.99</v>
      </c>
      <c r="H18" s="33">
        <f>+IF($D18=$E18,VLOOKUP($B18,'INT Web'!$B$5:$W$247,'INT Web'!T$1,FALSE),MROUND(VLOOKUP($B18,'INT Web'!$B$5:$AQ$247,'INT Web'!AN$1,FALSE),1)-0.01)</f>
        <v>124.99</v>
      </c>
      <c r="I18" s="33">
        <f>+IF($D18=$E18,VLOOKUP($B18,'INT Web'!$B$5:$W$247,'INT Web'!U$1,FALSE),MROUND(VLOOKUP($B18,'INT Web'!$B$5:$AQ$247,'INT Web'!AO$1,FALSE),1)-0.01)</f>
        <v>18.989999999999998</v>
      </c>
      <c r="J18" s="34">
        <v>6.99</v>
      </c>
      <c r="K18" s="34">
        <v>4.99</v>
      </c>
      <c r="L18" s="34">
        <v>3.99</v>
      </c>
      <c r="M18" s="34">
        <v>2.99</v>
      </c>
      <c r="N18" s="35"/>
      <c r="O18" s="32" t="s">
        <v>366</v>
      </c>
      <c r="Q18" t="b">
        <f>+F18=VLOOKUP($B18,[5]Apple!$A$3:$L$176,F$1,FALSE)</f>
        <v>1</v>
      </c>
      <c r="R18" t="b">
        <f>+G18=VLOOKUP($B18,[5]Apple!$A$3:$L$176,G$1,FALSE)</f>
        <v>1</v>
      </c>
      <c r="S18" t="b">
        <f>+H18=VLOOKUP($B18,[5]Apple!$A$3:$L$176,H$1,FALSE)</f>
        <v>1</v>
      </c>
      <c r="T18" t="b">
        <f>+I18=VLOOKUP($B18,[5]Apple!$A$3:$L$176,I$1,FALSE)</f>
        <v>1</v>
      </c>
      <c r="U18" t="b">
        <f>+J18=VLOOKUP($B18,[5]Apple!$A$3:$L$176,J$1,FALSE)</f>
        <v>1</v>
      </c>
      <c r="V18" t="b">
        <f>+K18=VLOOKUP($B18,[5]Apple!$A$3:$L$176,K$1,FALSE)</f>
        <v>1</v>
      </c>
      <c r="W18" t="b">
        <f>+L18=VLOOKUP($B18,[5]Apple!$A$3:$L$176,L$1,FALSE)</f>
        <v>1</v>
      </c>
      <c r="X18" t="b">
        <f>+M18=VLOOKUP($B18,[5]Apple!$A$3:$L$176,M$1,FALSE)</f>
        <v>1</v>
      </c>
      <c r="Y18" s="31" t="str">
        <f>+VLOOKUP(C18,'Country &amp; Code Abbreviation'!$C$3:$D$245,2,FALSE)</f>
        <v>BEL</v>
      </c>
    </row>
    <row r="19" spans="2:25">
      <c r="B19" t="s">
        <v>93</v>
      </c>
      <c r="C19" s="31" t="str">
        <f>+VLOOKUP(B19,'Country &amp; Code Abbreviation'!$B$3:$C$245,2,FALSE)</f>
        <v>BZ</v>
      </c>
      <c r="D19" s="31" t="str">
        <f>+VLOOKUP(B19,'INT Web'!$B$5:$Q$247,16,FALSE)</f>
        <v>BZD</v>
      </c>
      <c r="E19" s="32" t="s">
        <v>346</v>
      </c>
      <c r="F19" s="33">
        <f>+IF($D19=$E19,VLOOKUP($B19,'INT Web'!$B$5:$W$247,'INT Web'!R$1,FALSE),MROUND(VLOOKUP($B19,'INT Web'!$B$5:$AQ$247,'INT Web'!AL$1,FALSE),1)-0.01)</f>
        <v>74.989999999999995</v>
      </c>
      <c r="G19" s="33">
        <f>+IF($D19=$E19,VLOOKUP($B19,'INT Web'!$B$5:$W$247,'INT Web'!S$1,FALSE),MROUND(VLOOKUP($B19,'INT Web'!$B$5:$AQ$247,'INT Web'!AM$1,FALSE),1)-0.01)</f>
        <v>11.99</v>
      </c>
      <c r="H19" s="33">
        <f>+IF($D19=$E19,VLOOKUP($B19,'INT Web'!$B$5:$W$247,'INT Web'!T$1,FALSE),MROUND(VLOOKUP($B19,'INT Web'!$B$5:$AQ$247,'INT Web'!AN$1,FALSE),1)-0.01)</f>
        <v>53.99</v>
      </c>
      <c r="I19" s="33">
        <f>+IF($D19=$E19,VLOOKUP($B19,'INT Web'!$B$5:$W$247,'INT Web'!U$1,FALSE),MROUND(VLOOKUP($B19,'INT Web'!$B$5:$AQ$247,'INT Web'!AO$1,FALSE),1)-0.01)</f>
        <v>8.99</v>
      </c>
      <c r="J19" s="34">
        <v>2.99</v>
      </c>
      <c r="K19" s="34">
        <v>2.99</v>
      </c>
      <c r="L19" s="34">
        <v>1.99</v>
      </c>
      <c r="M19" s="34">
        <v>1.99</v>
      </c>
      <c r="N19" s="35"/>
      <c r="O19" s="32" t="s">
        <v>364</v>
      </c>
      <c r="Q19" t="b">
        <f>+F19=VLOOKUP($B19,[5]Apple!$A$3:$L$176,F$1,FALSE)</f>
        <v>1</v>
      </c>
      <c r="R19" t="b">
        <f>+G19=VLOOKUP($B19,[5]Apple!$A$3:$L$176,G$1,FALSE)</f>
        <v>1</v>
      </c>
      <c r="S19" t="b">
        <f>+H19=VLOOKUP($B19,[5]Apple!$A$3:$L$176,H$1,FALSE)</f>
        <v>1</v>
      </c>
      <c r="T19" t="b">
        <f>+I19=VLOOKUP($B19,[5]Apple!$A$3:$L$176,I$1,FALSE)</f>
        <v>1</v>
      </c>
      <c r="U19" t="b">
        <f>+J19=VLOOKUP($B19,[5]Apple!$A$3:$L$176,J$1,FALSE)</f>
        <v>1</v>
      </c>
      <c r="V19" t="b">
        <f>+K19=VLOOKUP($B19,[5]Apple!$A$3:$L$176,K$1,FALSE)</f>
        <v>1</v>
      </c>
      <c r="W19" t="b">
        <f>+L19=VLOOKUP($B19,[5]Apple!$A$3:$L$176,L$1,FALSE)</f>
        <v>1</v>
      </c>
      <c r="X19" t="b">
        <f>+M19=VLOOKUP($B19,[5]Apple!$A$3:$L$176,M$1,FALSE)</f>
        <v>1</v>
      </c>
      <c r="Y19" s="31" t="str">
        <f>+VLOOKUP(C19,'Country &amp; Code Abbreviation'!$C$3:$D$245,2,FALSE)</f>
        <v>BLZ</v>
      </c>
    </row>
    <row r="20" spans="2:25">
      <c r="B20" t="s">
        <v>94</v>
      </c>
      <c r="C20" s="31" t="str">
        <f>+VLOOKUP(B20,'Country &amp; Code Abbreviation'!$B$3:$C$245,2,FALSE)</f>
        <v>BJ</v>
      </c>
      <c r="D20" s="31" t="str">
        <f>+VLOOKUP(B20,'INT Web'!$B$5:$Q$247,16,FALSE)</f>
        <v>XOF</v>
      </c>
      <c r="E20" s="32" t="s">
        <v>346</v>
      </c>
      <c r="F20" s="34">
        <v>72.989999999999995</v>
      </c>
      <c r="G20" s="33">
        <f>+VLOOKUP($B20,[5]Apple!$A$4:$M$175,[5]Apple!F$1,FALSE)</f>
        <v>11.99</v>
      </c>
      <c r="H20" s="34">
        <v>54.99</v>
      </c>
      <c r="I20" s="33">
        <f>+VLOOKUP($B20,[5]Apple!$A$4:$M$175,[5]Apple!H$1,FALSE)</f>
        <v>8.99</v>
      </c>
      <c r="J20" s="34">
        <v>2.99</v>
      </c>
      <c r="K20" s="34">
        <v>2.99</v>
      </c>
      <c r="L20" s="34">
        <v>1.99</v>
      </c>
      <c r="M20" s="34">
        <v>1.99</v>
      </c>
      <c r="N20" s="35"/>
      <c r="O20" s="32" t="s">
        <v>364</v>
      </c>
      <c r="Q20" t="b">
        <f>+F20=VLOOKUP($B20,[5]Apple!$A$3:$L$176,F$1,FALSE)</f>
        <v>1</v>
      </c>
      <c r="R20" t="b">
        <f>+G20=VLOOKUP($B20,[5]Apple!$A$3:$L$176,G$1,FALSE)</f>
        <v>1</v>
      </c>
      <c r="S20" t="b">
        <f>+H20=VLOOKUP($B20,[5]Apple!$A$3:$L$176,H$1,FALSE)</f>
        <v>1</v>
      </c>
      <c r="T20" t="b">
        <f>+I20=VLOOKUP($B20,[5]Apple!$A$3:$L$176,I$1,FALSE)</f>
        <v>1</v>
      </c>
      <c r="U20" t="b">
        <f>+J20=VLOOKUP($B20,[5]Apple!$A$3:$L$176,J$1,FALSE)</f>
        <v>1</v>
      </c>
      <c r="V20" t="b">
        <f>+K20=VLOOKUP($B20,[5]Apple!$A$3:$L$176,K$1,FALSE)</f>
        <v>1</v>
      </c>
      <c r="W20" t="b">
        <f>+L20=VLOOKUP($B20,[5]Apple!$A$3:$L$176,L$1,FALSE)</f>
        <v>1</v>
      </c>
      <c r="X20" t="b">
        <f>+M20=VLOOKUP($B20,[5]Apple!$A$3:$L$176,M$1,FALSE)</f>
        <v>1</v>
      </c>
      <c r="Y20" s="31" t="str">
        <f>+VLOOKUP(C20,'Country &amp; Code Abbreviation'!$C$3:$D$245,2,FALSE)</f>
        <v>BEN</v>
      </c>
    </row>
    <row r="21" spans="2:25">
      <c r="B21" t="s">
        <v>95</v>
      </c>
      <c r="C21" s="31" t="str">
        <f>+VLOOKUP(B21,'Country &amp; Code Abbreviation'!$B$3:$C$245,2,FALSE)</f>
        <v>BM</v>
      </c>
      <c r="D21" s="31" t="str">
        <f>+VLOOKUP(B21,'INT Web'!$B$5:$Q$247,16,FALSE)</f>
        <v>BMD</v>
      </c>
      <c r="E21" s="32" t="s">
        <v>346</v>
      </c>
      <c r="F21" s="33">
        <f>+IF($D21=$E21,VLOOKUP($B21,'INT Web'!$B$5:$W$247,'INT Web'!R$1,FALSE),MROUND(VLOOKUP($B21,'INT Web'!$B$5:$AQ$247,'INT Web'!AL$1,FALSE),1)-0.01)</f>
        <v>95.99</v>
      </c>
      <c r="G21" s="33">
        <f>+IF($D21=$E21,VLOOKUP($B21,'INT Web'!$B$5:$W$247,'INT Web'!S$1,FALSE),MROUND(VLOOKUP($B21,'INT Web'!$B$5:$AQ$247,'INT Web'!AM$1,FALSE),1)-0.01)</f>
        <v>15.99</v>
      </c>
      <c r="H21" s="33">
        <f>+IF($D21=$E21,VLOOKUP($B21,'INT Web'!$B$5:$W$247,'INT Web'!T$1,FALSE),MROUND(VLOOKUP($B21,'INT Web'!$B$5:$AQ$247,'INT Web'!AN$1,FALSE),1)-0.01)</f>
        <v>71.989999999999995</v>
      </c>
      <c r="I21" s="33">
        <f>+IF($D21=$E21,VLOOKUP($B21,'INT Web'!$B$5:$W$247,'INT Web'!U$1,FALSE),MROUND(VLOOKUP($B21,'INT Web'!$B$5:$AQ$247,'INT Web'!AO$1,FALSE),1)-0.01)</f>
        <v>11.99</v>
      </c>
      <c r="J21" s="34">
        <v>4.99</v>
      </c>
      <c r="K21" s="34">
        <v>3.99</v>
      </c>
      <c r="L21" s="34">
        <v>2.99</v>
      </c>
      <c r="M21" s="34">
        <v>1.99</v>
      </c>
      <c r="N21" s="35"/>
      <c r="O21" s="32" t="s">
        <v>366</v>
      </c>
      <c r="Q21" t="b">
        <f>+F21=VLOOKUP($B21,[5]Apple!$A$3:$L$176,F$1,FALSE)</f>
        <v>1</v>
      </c>
      <c r="R21" t="b">
        <f>+G21=VLOOKUP($B21,[5]Apple!$A$3:$L$176,G$1,FALSE)</f>
        <v>1</v>
      </c>
      <c r="S21" t="b">
        <f>+H21=VLOOKUP($B21,[5]Apple!$A$3:$L$176,H$1,FALSE)</f>
        <v>1</v>
      </c>
      <c r="T21" t="b">
        <f>+I21=VLOOKUP($B21,[5]Apple!$A$3:$L$176,I$1,FALSE)</f>
        <v>1</v>
      </c>
      <c r="U21" t="b">
        <f>+J21=VLOOKUP($B21,[5]Apple!$A$3:$L$176,J$1,FALSE)</f>
        <v>1</v>
      </c>
      <c r="V21" t="b">
        <f>+K21=VLOOKUP($B21,[5]Apple!$A$3:$L$176,K$1,FALSE)</f>
        <v>1</v>
      </c>
      <c r="W21" t="b">
        <f>+L21=VLOOKUP($B21,[5]Apple!$A$3:$L$176,L$1,FALSE)</f>
        <v>1</v>
      </c>
      <c r="X21" t="b">
        <f>+M21=VLOOKUP($B21,[5]Apple!$A$3:$L$176,M$1,FALSE)</f>
        <v>1</v>
      </c>
      <c r="Y21" s="31" t="str">
        <f>+VLOOKUP(C21,'Country &amp; Code Abbreviation'!$C$3:$D$245,2,FALSE)</f>
        <v>BMU</v>
      </c>
    </row>
    <row r="22" spans="2:25">
      <c r="B22" t="s">
        <v>97</v>
      </c>
      <c r="C22" s="31" t="str">
        <f>+VLOOKUP(B22,'Country &amp; Code Abbreviation'!$B$3:$C$245,2,FALSE)</f>
        <v>BT</v>
      </c>
      <c r="D22" s="31" t="str">
        <f>+VLOOKUP(B22,'INT Web'!$B$5:$Q$247,16,FALSE)</f>
        <v>USD</v>
      </c>
      <c r="E22" s="32" t="s">
        <v>346</v>
      </c>
      <c r="F22" s="33">
        <f>+IF($D22=$E22,VLOOKUP($B22,'INT Web'!$B$5:$W$247,'INT Web'!R$1,FALSE),MROUND(VLOOKUP($B22,'INT Web'!$B$5:$AQ$247,'INT Web'!AL$1,FALSE),1)-0.01)</f>
        <v>71.989999999999995</v>
      </c>
      <c r="G22" s="33">
        <f>+IF($D22=$E22,VLOOKUP($B22,'INT Web'!$B$5:$W$247,'INT Web'!S$1,FALSE),MROUND(VLOOKUP($B22,'INT Web'!$B$5:$AQ$247,'INT Web'!AM$1,FALSE),1)-0.01)</f>
        <v>11.99</v>
      </c>
      <c r="H22" s="33">
        <f>+IF($D22=$E22,VLOOKUP($B22,'INT Web'!$B$5:$W$247,'INT Web'!T$1,FALSE),MROUND(VLOOKUP($B22,'INT Web'!$B$5:$AQ$247,'INT Web'!AN$1,FALSE),1)-0.01)</f>
        <v>53.99</v>
      </c>
      <c r="I22" s="33">
        <f>+IF($D22=$E22,VLOOKUP($B22,'INT Web'!$B$5:$W$247,'INT Web'!U$1,FALSE),MROUND(VLOOKUP($B22,'INT Web'!$B$5:$AQ$247,'INT Web'!AO$1,FALSE),1)-0.01)</f>
        <v>8.99</v>
      </c>
      <c r="J22" s="34">
        <v>3.99</v>
      </c>
      <c r="K22" s="34">
        <v>3.99</v>
      </c>
      <c r="L22" s="34">
        <v>1.99</v>
      </c>
      <c r="M22" s="34">
        <v>1.99</v>
      </c>
      <c r="N22" s="35"/>
      <c r="O22" s="32" t="s">
        <v>364</v>
      </c>
      <c r="Q22" t="b">
        <f>+F22=VLOOKUP($B22,[5]Apple!$A$3:$L$176,F$1,FALSE)</f>
        <v>1</v>
      </c>
      <c r="R22" t="b">
        <f>+G22=VLOOKUP($B22,[5]Apple!$A$3:$L$176,G$1,FALSE)</f>
        <v>1</v>
      </c>
      <c r="S22" t="b">
        <f>+H22=VLOOKUP($B22,[5]Apple!$A$3:$L$176,H$1,FALSE)</f>
        <v>1</v>
      </c>
      <c r="T22" t="b">
        <f>+I22=VLOOKUP($B22,[5]Apple!$A$3:$L$176,I$1,FALSE)</f>
        <v>1</v>
      </c>
      <c r="U22" t="b">
        <f>+J22=VLOOKUP($B22,[5]Apple!$A$3:$L$176,J$1,FALSE)</f>
        <v>1</v>
      </c>
      <c r="V22" t="b">
        <f>+K22=VLOOKUP($B22,[5]Apple!$A$3:$L$176,K$1,FALSE)</f>
        <v>1</v>
      </c>
      <c r="W22" t="b">
        <f>+L22=VLOOKUP($B22,[5]Apple!$A$3:$L$176,L$1,FALSE)</f>
        <v>1</v>
      </c>
      <c r="X22" t="b">
        <f>+M22=VLOOKUP($B22,[5]Apple!$A$3:$L$176,M$1,FALSE)</f>
        <v>1</v>
      </c>
      <c r="Y22" s="31" t="str">
        <f>+VLOOKUP(C22,'Country &amp; Code Abbreviation'!$C$3:$D$245,2,FALSE)</f>
        <v>BTN</v>
      </c>
    </row>
    <row r="23" spans="2:25">
      <c r="B23" t="s">
        <v>98</v>
      </c>
      <c r="C23" s="31" t="str">
        <f>+VLOOKUP(B23,'Country &amp; Code Abbreviation'!$B$3:$C$245,2,FALSE)</f>
        <v>BO</v>
      </c>
      <c r="D23" s="31" t="str">
        <f>+VLOOKUP(B23,'INT Web'!$B$5:$Q$247,16,FALSE)</f>
        <v>BOB</v>
      </c>
      <c r="E23" s="32" t="s">
        <v>346</v>
      </c>
      <c r="F23" s="33">
        <f>+IF($D23=$E23,VLOOKUP($B23,'INT Web'!$B$5:$W$247,'INT Web'!R$1,FALSE),MROUND(VLOOKUP($B23,'INT Web'!$B$5:$AQ$247,'INT Web'!AL$1,FALSE),1)-0.01)</f>
        <v>80.989999999999995</v>
      </c>
      <c r="G23" s="33">
        <f>+IF($D23=$E23,VLOOKUP($B23,'INT Web'!$B$5:$W$247,'INT Web'!S$1,FALSE),MROUND(VLOOKUP($B23,'INT Web'!$B$5:$AQ$247,'INT Web'!AM$1,FALSE),1)-0.01)</f>
        <v>12.99</v>
      </c>
      <c r="H23" s="34">
        <v>59.99</v>
      </c>
      <c r="I23" s="33">
        <f>+IF($D23=$E23,VLOOKUP($B23,'INT Web'!$B$5:$W$247,'INT Web'!U$1,FALSE),MROUND(VLOOKUP($B23,'INT Web'!$B$5:$AQ$247,'INT Web'!AO$1,FALSE),1)-0.01)</f>
        <v>9.99</v>
      </c>
      <c r="J23" s="34">
        <v>3.99</v>
      </c>
      <c r="K23" s="34">
        <v>2.99</v>
      </c>
      <c r="L23" s="34">
        <v>1.99</v>
      </c>
      <c r="M23" s="34">
        <v>0.99</v>
      </c>
      <c r="N23" s="35"/>
      <c r="O23" s="32" t="s">
        <v>366</v>
      </c>
      <c r="Q23" t="b">
        <f>+F23=VLOOKUP($B23,[5]Apple!$A$3:$L$176,F$1,FALSE)</f>
        <v>1</v>
      </c>
      <c r="R23" t="b">
        <f>+G23=VLOOKUP($B23,[5]Apple!$A$3:$L$176,G$1,FALSE)</f>
        <v>1</v>
      </c>
      <c r="S23" t="b">
        <f>+H23=VLOOKUP($B23,[5]Apple!$A$3:$L$176,H$1,FALSE)</f>
        <v>1</v>
      </c>
      <c r="T23" t="b">
        <f>+I23=VLOOKUP($B23,[5]Apple!$A$3:$L$176,I$1,FALSE)</f>
        <v>1</v>
      </c>
      <c r="U23" t="b">
        <f>+J23=VLOOKUP($B23,[5]Apple!$A$3:$L$176,J$1,FALSE)</f>
        <v>1</v>
      </c>
      <c r="V23" t="b">
        <f>+K23=VLOOKUP($B23,[5]Apple!$A$3:$L$176,K$1,FALSE)</f>
        <v>1</v>
      </c>
      <c r="W23" t="b">
        <f>+L23=VLOOKUP($B23,[5]Apple!$A$3:$L$176,L$1,FALSE)</f>
        <v>1</v>
      </c>
      <c r="X23" t="b">
        <f>+M23=VLOOKUP($B23,[5]Apple!$A$3:$L$176,M$1,FALSE)</f>
        <v>1</v>
      </c>
      <c r="Y23" s="31" t="str">
        <f>+VLOOKUP(C23,'Country &amp; Code Abbreviation'!$C$3:$D$245,2,FALSE)</f>
        <v>BOL</v>
      </c>
    </row>
    <row r="24" spans="2:25">
      <c r="B24" s="36" t="s">
        <v>101</v>
      </c>
      <c r="C24" s="37" t="str">
        <f>+VLOOKUP(B24,'Country &amp; Code Abbreviation'!$B$3:$C$245,2,FALSE)</f>
        <v>BA</v>
      </c>
      <c r="D24" s="37" t="str">
        <f>+VLOOKUP(B24,'INT Web'!$B$5:$Q$247,16,FALSE)</f>
        <v>BAM</v>
      </c>
      <c r="E24" s="38" t="s">
        <v>368</v>
      </c>
      <c r="F24" s="39">
        <f>+MROUND(VLOOKUP($B24,'INT Web'!$B$5:$AQ$247,'INT Web'!R$1,FALSE)*'FX Rates'!$F$3,1)-0.01</f>
        <v>76.989999999999995</v>
      </c>
      <c r="G24" s="39">
        <f>+MROUND(VLOOKUP($B24,'INT Web'!$B$5:$AQ$247,'INT Web'!S$1,FALSE)*'FX Rates'!$F$3,1)-0.01</f>
        <v>12.99</v>
      </c>
      <c r="H24" s="39">
        <v>54.99</v>
      </c>
      <c r="I24" s="39">
        <f>+MROUND(VLOOKUP($B24,'INT Web'!$B$5:$AQ$247,'INT Web'!U$1,FALSE)*'FX Rates'!$F$3,1)-0.01</f>
        <v>8.99</v>
      </c>
      <c r="J24" s="39">
        <v>2.99</v>
      </c>
      <c r="K24" s="39">
        <v>2.99</v>
      </c>
      <c r="L24" s="39">
        <v>1.99</v>
      </c>
      <c r="M24" s="39">
        <v>1.99</v>
      </c>
      <c r="N24" s="40"/>
      <c r="O24" s="38" t="s">
        <v>364</v>
      </c>
      <c r="Q24" t="b">
        <f>+F24=VLOOKUP($B24,[5]Apple!$A$3:$L$176,F$1,FALSE)</f>
        <v>1</v>
      </c>
      <c r="R24" t="b">
        <f>+G24=VLOOKUP($B24,[5]Apple!$A$3:$L$176,G$1,FALSE)</f>
        <v>1</v>
      </c>
      <c r="S24" t="b">
        <f>+H24=VLOOKUP($B24,[5]Apple!$A$3:$L$176,H$1,FALSE)</f>
        <v>1</v>
      </c>
      <c r="T24" t="b">
        <f>+I24=VLOOKUP($B24,[5]Apple!$A$3:$L$176,I$1,FALSE)</f>
        <v>1</v>
      </c>
      <c r="U24" t="b">
        <f>+J24=VLOOKUP($B24,[5]Apple!$A$3:$L$176,J$1,FALSE)</f>
        <v>1</v>
      </c>
      <c r="V24" t="b">
        <f>+K24=VLOOKUP($B24,[5]Apple!$A$3:$L$176,K$1,FALSE)</f>
        <v>1</v>
      </c>
      <c r="W24" t="b">
        <f>+L24=VLOOKUP($B24,[5]Apple!$A$3:$L$176,L$1,FALSE)</f>
        <v>1</v>
      </c>
      <c r="X24" t="b">
        <f>+M24=VLOOKUP($B24,[5]Apple!$A$3:$L$176,M$1,FALSE)</f>
        <v>1</v>
      </c>
      <c r="Y24" s="31" t="str">
        <f>+VLOOKUP(C24,'Country &amp; Code Abbreviation'!$C$3:$D$245,2,FALSE)</f>
        <v>BIH</v>
      </c>
    </row>
    <row r="25" spans="2:25">
      <c r="B25" t="s">
        <v>102</v>
      </c>
      <c r="C25" s="31" t="str">
        <f>+VLOOKUP(B25,'Country &amp; Code Abbreviation'!$B$3:$C$245,2,FALSE)</f>
        <v>BW</v>
      </c>
      <c r="D25" s="31" t="str">
        <f>+VLOOKUP(B25,'INT Web'!$B$5:$Q$247,16,FALSE)</f>
        <v>BWP</v>
      </c>
      <c r="E25" s="32" t="s">
        <v>346</v>
      </c>
      <c r="F25" s="34">
        <v>53.99</v>
      </c>
      <c r="G25" s="34">
        <v>8.99</v>
      </c>
      <c r="H25" s="34">
        <v>39.99</v>
      </c>
      <c r="I25" s="33">
        <f>+IF($D25=$E25,VLOOKUP($B25,'INT Web'!$B$5:$W$247,'INT Web'!U$1,FALSE),MROUND(VLOOKUP($B25,'INT Web'!$B$5:$AQ$247,'INT Web'!AO$1,FALSE),1)-0.01)</f>
        <v>5.99</v>
      </c>
      <c r="J25" s="34">
        <v>1.99</v>
      </c>
      <c r="K25" s="34">
        <v>1.99</v>
      </c>
      <c r="L25" s="34">
        <v>0.99</v>
      </c>
      <c r="M25" s="34">
        <v>0.99</v>
      </c>
      <c r="N25" s="35"/>
      <c r="O25" s="32" t="s">
        <v>364</v>
      </c>
      <c r="Q25" t="b">
        <f>+F25=VLOOKUP($B25,[5]Apple!$A$3:$L$176,F$1,FALSE)</f>
        <v>1</v>
      </c>
      <c r="R25" t="b">
        <f>+G25=VLOOKUP($B25,[5]Apple!$A$3:$L$176,G$1,FALSE)</f>
        <v>1</v>
      </c>
      <c r="S25" t="b">
        <f>+H25=VLOOKUP($B25,[5]Apple!$A$3:$L$176,H$1,FALSE)</f>
        <v>1</v>
      </c>
      <c r="T25" t="b">
        <f>+I25=VLOOKUP($B25,[5]Apple!$A$3:$L$176,I$1,FALSE)</f>
        <v>1</v>
      </c>
      <c r="U25" t="b">
        <f>+J25=VLOOKUP($B25,[5]Apple!$A$3:$L$176,J$1,FALSE)</f>
        <v>1</v>
      </c>
      <c r="V25" t="b">
        <f>+K25=VLOOKUP($B25,[5]Apple!$A$3:$L$176,K$1,FALSE)</f>
        <v>1</v>
      </c>
      <c r="W25" t="b">
        <f>+L25=VLOOKUP($B25,[5]Apple!$A$3:$L$176,L$1,FALSE)</f>
        <v>1</v>
      </c>
      <c r="X25" t="b">
        <f>+M25=VLOOKUP($B25,[5]Apple!$A$3:$L$176,M$1,FALSE)</f>
        <v>1</v>
      </c>
      <c r="Y25" s="31" t="str">
        <f>+VLOOKUP(C25,'Country &amp; Code Abbreviation'!$C$3:$D$245,2,FALSE)</f>
        <v>BWA</v>
      </c>
    </row>
    <row r="26" spans="2:25" ht="13.4" customHeight="1">
      <c r="B26" t="s">
        <v>104</v>
      </c>
      <c r="C26" s="31" t="str">
        <f>+VLOOKUP(B26,'Country &amp; Code Abbreviation'!$B$3:$C$245,2,FALSE)</f>
        <v>BR</v>
      </c>
      <c r="D26" s="31" t="str">
        <f>+VLOOKUP(B26,'INT Web'!$B$5:$Q$247,16,FALSE)</f>
        <v>BRL</v>
      </c>
      <c r="E26" s="32" t="s">
        <v>369</v>
      </c>
      <c r="F26" s="72">
        <v>489.9</v>
      </c>
      <c r="G26" s="72">
        <v>69.900000000000006</v>
      </c>
      <c r="H26" s="72">
        <v>384.9</v>
      </c>
      <c r="I26" s="33">
        <f>+IF($D26=$E26,VLOOKUP($B26,'INT Web'!$B$5:$W$247,'INT Web'!U$1,FALSE),MROUND(VLOOKUP($B26,'INT Web'!$B$5:$AQ$247,'INT Web'!AO$1,FALSE),1)-0.01)</f>
        <v>54.99</v>
      </c>
      <c r="J26" s="34">
        <v>22.9</v>
      </c>
      <c r="K26" s="34">
        <v>16.899999999999999</v>
      </c>
      <c r="L26" s="34">
        <v>10.9</v>
      </c>
      <c r="M26" s="34">
        <v>4.9000000000000004</v>
      </c>
      <c r="N26" s="35"/>
      <c r="O26" s="32" t="s">
        <v>364</v>
      </c>
      <c r="Q26" t="b">
        <f>+F26=VLOOKUP($B26,[5]Apple!$A$3:$L$176,F$1,FALSE)</f>
        <v>1</v>
      </c>
      <c r="R26" t="b">
        <f>+G26=VLOOKUP($B26,[5]Apple!$A$3:$L$176,G$1,FALSE)</f>
        <v>1</v>
      </c>
      <c r="S26" t="b">
        <f>+H26=VLOOKUP($B26,[5]Apple!$A$3:$L$176,H$1,FALSE)</f>
        <v>1</v>
      </c>
      <c r="T26" t="b">
        <f>+I26=VLOOKUP($B26,[5]Apple!$A$3:$L$176,I$1,FALSE)</f>
        <v>1</v>
      </c>
      <c r="U26" t="b">
        <f>+J26=VLOOKUP($B26,[5]Apple!$A$3:$L$176,J$1,FALSE)</f>
        <v>1</v>
      </c>
      <c r="V26" t="b">
        <f>+K26=VLOOKUP($B26,[5]Apple!$A$3:$L$176,K$1,FALSE)</f>
        <v>1</v>
      </c>
      <c r="W26" t="b">
        <f>+L26=VLOOKUP($B26,[5]Apple!$A$3:$L$176,L$1,FALSE)</f>
        <v>1</v>
      </c>
      <c r="X26" t="b">
        <f>+M26=VLOOKUP($B26,[5]Apple!$A$3:$L$176,M$1,FALSE)</f>
        <v>1</v>
      </c>
      <c r="Y26" s="31" t="str">
        <f>+VLOOKUP(C26,'Country &amp; Code Abbreviation'!$C$3:$D$245,2,FALSE)</f>
        <v>BRA</v>
      </c>
    </row>
    <row r="27" spans="2:25">
      <c r="B27" t="s">
        <v>106</v>
      </c>
      <c r="C27" s="31" t="str">
        <f>+VLOOKUP(B27,'Country &amp; Code Abbreviation'!$B$3:$C$245,2,FALSE)</f>
        <v>VG</v>
      </c>
      <c r="D27" s="31" t="str">
        <f>+VLOOKUP(B27,'INT Web'!$B$5:$Q$247,16,FALSE)</f>
        <v>USD</v>
      </c>
      <c r="E27" s="32" t="s">
        <v>346</v>
      </c>
      <c r="F27" s="33">
        <f>+IF($D27=$E27,VLOOKUP($B27,'INT Web'!$B$5:$W$247,'INT Web'!R$1,FALSE),MROUND(VLOOKUP($B27,'INT Web'!$B$5:$AQ$247,'INT Web'!AL$1,FALSE),1)-0.01)</f>
        <v>102.99</v>
      </c>
      <c r="G27" s="33">
        <f>+IF($D27=$E27,VLOOKUP($B27,'INT Web'!$B$5:$W$247,'INT Web'!S$1,FALSE),MROUND(VLOOKUP($B27,'INT Web'!$B$5:$AQ$247,'INT Web'!AM$1,FALSE),1)-0.01)</f>
        <v>16.989999999999998</v>
      </c>
      <c r="H27" s="33">
        <f>+IF($D27=$E27,VLOOKUP($B27,'INT Web'!$B$5:$W$247,'INT Web'!T$1,FALSE),MROUND(VLOOKUP($B27,'INT Web'!$B$5:$AQ$247,'INT Web'!AN$1,FALSE),1)-0.01)</f>
        <v>71.989999999999995</v>
      </c>
      <c r="I27" s="33">
        <f>+IF($D27=$E27,VLOOKUP($B27,'INT Web'!$B$5:$W$247,'INT Web'!U$1,FALSE),MROUND(VLOOKUP($B27,'INT Web'!$B$5:$AQ$247,'INT Web'!AO$1,FALSE),1)-0.01)</f>
        <v>11.99</v>
      </c>
      <c r="J27" s="34">
        <v>4.99</v>
      </c>
      <c r="K27" s="34">
        <v>3.99</v>
      </c>
      <c r="L27" s="34">
        <v>2.99</v>
      </c>
      <c r="M27" s="34">
        <v>1.99</v>
      </c>
      <c r="N27" s="35"/>
      <c r="O27" s="32" t="s">
        <v>366</v>
      </c>
      <c r="Q27" t="b">
        <f>+F27=VLOOKUP($B27,[5]Apple!$A$3:$L$176,F$1,FALSE)</f>
        <v>1</v>
      </c>
      <c r="R27" t="b">
        <f>+G27=VLOOKUP($B27,[5]Apple!$A$3:$L$176,G$1,FALSE)</f>
        <v>1</v>
      </c>
      <c r="S27" t="b">
        <f>+H27=VLOOKUP($B27,[5]Apple!$A$3:$L$176,H$1,FALSE)</f>
        <v>1</v>
      </c>
      <c r="T27" t="b">
        <f>+I27=VLOOKUP($B27,[5]Apple!$A$3:$L$176,I$1,FALSE)</f>
        <v>1</v>
      </c>
      <c r="U27" t="b">
        <f>+J27=VLOOKUP($B27,[5]Apple!$A$3:$L$176,J$1,FALSE)</f>
        <v>1</v>
      </c>
      <c r="V27" t="b">
        <f>+K27=VLOOKUP($B27,[5]Apple!$A$3:$L$176,K$1,FALSE)</f>
        <v>1</v>
      </c>
      <c r="W27" t="b">
        <f>+L27=VLOOKUP($B27,[5]Apple!$A$3:$L$176,L$1,FALSE)</f>
        <v>1</v>
      </c>
      <c r="X27" t="b">
        <f>+M27=VLOOKUP($B27,[5]Apple!$A$3:$L$176,M$1,FALSE)</f>
        <v>1</v>
      </c>
      <c r="Y27" s="31" t="str">
        <f>+VLOOKUP(C27,'Country &amp; Code Abbreviation'!$C$3:$D$245,2,FALSE)</f>
        <v>VGB</v>
      </c>
    </row>
    <row r="28" spans="2:25">
      <c r="B28" t="s">
        <v>107</v>
      </c>
      <c r="C28" s="31" t="str">
        <f>+VLOOKUP(B28,'Country &amp; Code Abbreviation'!$B$3:$C$245,2,FALSE)</f>
        <v>BN</v>
      </c>
      <c r="D28" s="31" t="str">
        <f>+VLOOKUP(B28,'INT Web'!$B$5:$Q$247,16,FALSE)</f>
        <v>BND</v>
      </c>
      <c r="E28" s="32" t="s">
        <v>346</v>
      </c>
      <c r="F28" s="33">
        <f>+VLOOKUP($B28,[5]Apple!$A$4:$M$175,[5]Apple!E$1,FALSE)</f>
        <v>79.989999999999995</v>
      </c>
      <c r="G28" s="33">
        <f>+VLOOKUP($B28,[5]Apple!$A$4:$M$175,[5]Apple!F$1,FALSE)</f>
        <v>12.99</v>
      </c>
      <c r="H28" s="33">
        <f>+VLOOKUP($B28,[5]Apple!$A$4:$M$175,[5]Apple!G$1,FALSE)</f>
        <v>57.99</v>
      </c>
      <c r="I28" s="33">
        <f>+IF($D28=$E28,VLOOKUP($B28,'INT Web'!$B$5:$W$247,'INT Web'!U$1,FALSE),MROUND(VLOOKUP($B28,'INT Web'!$B$5:$AQ$247,'INT Web'!AO$1,FALSE),1)-0.01)</f>
        <v>9.99</v>
      </c>
      <c r="J28" s="34">
        <v>3.99</v>
      </c>
      <c r="K28" s="34">
        <v>2.99</v>
      </c>
      <c r="L28" s="34">
        <v>1.99</v>
      </c>
      <c r="M28" s="34">
        <v>0.99</v>
      </c>
      <c r="N28" s="35"/>
      <c r="O28" s="32" t="s">
        <v>366</v>
      </c>
      <c r="Q28" t="b">
        <f>+F28=VLOOKUP($B28,[5]Apple!$A$3:$L$176,F$1,FALSE)</f>
        <v>1</v>
      </c>
      <c r="R28" t="b">
        <f>+G28=VLOOKUP($B28,[5]Apple!$A$3:$L$176,G$1,FALSE)</f>
        <v>1</v>
      </c>
      <c r="S28" t="b">
        <f>+H28=VLOOKUP($B28,[5]Apple!$A$3:$L$176,H$1,FALSE)</f>
        <v>1</v>
      </c>
      <c r="T28" t="b">
        <f>+I28=VLOOKUP($B28,[5]Apple!$A$3:$L$176,I$1,FALSE)</f>
        <v>1</v>
      </c>
      <c r="U28" t="b">
        <f>+J28=VLOOKUP($B28,[5]Apple!$A$3:$L$176,J$1,FALSE)</f>
        <v>1</v>
      </c>
      <c r="V28" t="b">
        <f>+K28=VLOOKUP($B28,[5]Apple!$A$3:$L$176,K$1,FALSE)</f>
        <v>1</v>
      </c>
      <c r="W28" t="b">
        <f>+L28=VLOOKUP($B28,[5]Apple!$A$3:$L$176,L$1,FALSE)</f>
        <v>1</v>
      </c>
      <c r="X28" t="b">
        <f>+M28=VLOOKUP($B28,[5]Apple!$A$3:$L$176,M$1,FALSE)</f>
        <v>1</v>
      </c>
      <c r="Y28" s="31" t="str">
        <f>+VLOOKUP(C28,'Country &amp; Code Abbreviation'!$C$3:$D$245,2,FALSE)</f>
        <v>BRN</v>
      </c>
    </row>
    <row r="29" spans="2:25" ht="13.4" customHeight="1">
      <c r="B29" t="s">
        <v>108</v>
      </c>
      <c r="C29" s="31" t="str">
        <f>+VLOOKUP(B29,'Country &amp; Code Abbreviation'!$B$3:$C$245,2,FALSE)</f>
        <v>BG</v>
      </c>
      <c r="D29" s="31" t="str">
        <f>+VLOOKUP(B29,'INT Web'!$B$5:$Q$247,16,FALSE)</f>
        <v>EUR</v>
      </c>
      <c r="E29" s="32" t="s">
        <v>368</v>
      </c>
      <c r="F29" s="72">
        <v>92.99</v>
      </c>
      <c r="G29" s="33">
        <f>+IF($D29=$E29,VLOOKUP($B29,'INT Web'!$B$5:$W$247,'INT Web'!S$1,FALSE),MROUND(VLOOKUP($B29,'INT Web'!$B$5:$AQ$247,'INT Web'!AM$1,FALSE),1)-0.01)</f>
        <v>14.99</v>
      </c>
      <c r="H29" s="72">
        <v>68.989999999999995</v>
      </c>
      <c r="I29" s="72">
        <v>10.99</v>
      </c>
      <c r="J29" s="34">
        <v>4.99</v>
      </c>
      <c r="K29" s="34">
        <v>4.99</v>
      </c>
      <c r="L29" s="34">
        <v>2.99</v>
      </c>
      <c r="M29" s="34">
        <v>2.99</v>
      </c>
      <c r="N29" s="35"/>
      <c r="O29" s="32" t="s">
        <v>364</v>
      </c>
      <c r="Q29" t="b">
        <f>+F29=VLOOKUP($B29,[5]Apple!$A$3:$L$176,F$1,FALSE)</f>
        <v>1</v>
      </c>
      <c r="R29" t="b">
        <f>+G29=VLOOKUP($B29,[5]Apple!$A$3:$L$176,G$1,FALSE)</f>
        <v>1</v>
      </c>
      <c r="S29" t="b">
        <f>+H29=VLOOKUP($B29,[5]Apple!$A$3:$L$176,H$1,FALSE)</f>
        <v>1</v>
      </c>
      <c r="T29" t="b">
        <f>+I29=VLOOKUP($B29,[5]Apple!$A$3:$L$176,I$1,FALSE)</f>
        <v>1</v>
      </c>
      <c r="U29" t="b">
        <f>+J29=VLOOKUP($B29,[5]Apple!$A$3:$L$176,J$1,FALSE)</f>
        <v>1</v>
      </c>
      <c r="V29" t="b">
        <f>+K29=VLOOKUP($B29,[5]Apple!$A$3:$L$176,K$1,FALSE)</f>
        <v>1</v>
      </c>
      <c r="W29" t="b">
        <f>+L29=VLOOKUP($B29,[5]Apple!$A$3:$L$176,L$1,FALSE)</f>
        <v>1</v>
      </c>
      <c r="X29" t="b">
        <f>+M29=VLOOKUP($B29,[5]Apple!$A$3:$L$176,M$1,FALSE)</f>
        <v>1</v>
      </c>
      <c r="Y29" s="31" t="str">
        <f>+VLOOKUP(C29,'Country &amp; Code Abbreviation'!$C$3:$D$245,2,FALSE)</f>
        <v>BGR</v>
      </c>
    </row>
    <row r="30" spans="2:25">
      <c r="B30" t="s">
        <v>109</v>
      </c>
      <c r="C30" s="31" t="str">
        <f>+VLOOKUP(B30,'Country &amp; Code Abbreviation'!$B$3:$C$245,2,FALSE)</f>
        <v>BF</v>
      </c>
      <c r="D30" s="31" t="str">
        <f>+VLOOKUP(B30,'INT Web'!$B$5:$Q$247,16,FALSE)</f>
        <v>XOF</v>
      </c>
      <c r="E30" s="32" t="s">
        <v>346</v>
      </c>
      <c r="F30" s="34">
        <v>72.989999999999995</v>
      </c>
      <c r="G30" s="33">
        <f>+VLOOKUP($B30,[5]Apple!$A$4:$M$175,[5]Apple!F$1,FALSE)</f>
        <v>11.99</v>
      </c>
      <c r="H30" s="34">
        <v>54.99</v>
      </c>
      <c r="I30" s="33">
        <f>+VLOOKUP($B30,[5]Apple!$A$4:$M$175,[5]Apple!H$1,FALSE)</f>
        <v>8.99</v>
      </c>
      <c r="J30" s="34">
        <v>2.99</v>
      </c>
      <c r="K30" s="34">
        <v>2.99</v>
      </c>
      <c r="L30" s="34">
        <v>1.99</v>
      </c>
      <c r="M30" s="34">
        <v>1.99</v>
      </c>
      <c r="N30" s="35"/>
      <c r="O30" s="32" t="s">
        <v>364</v>
      </c>
      <c r="Q30" t="b">
        <f>+F30=VLOOKUP($B30,[5]Apple!$A$3:$L$176,F$1,FALSE)</f>
        <v>1</v>
      </c>
      <c r="R30" t="b">
        <f>+G30=VLOOKUP($B30,[5]Apple!$A$3:$L$176,G$1,FALSE)</f>
        <v>1</v>
      </c>
      <c r="S30" t="b">
        <f>+H30=VLOOKUP($B30,[5]Apple!$A$3:$L$176,H$1,FALSE)</f>
        <v>1</v>
      </c>
      <c r="T30" t="b">
        <f>+I30=VLOOKUP($B30,[5]Apple!$A$3:$L$176,I$1,FALSE)</f>
        <v>1</v>
      </c>
      <c r="U30" t="b">
        <f>+J30=VLOOKUP($B30,[5]Apple!$A$3:$L$176,J$1,FALSE)</f>
        <v>1</v>
      </c>
      <c r="V30" t="b">
        <f>+K30=VLOOKUP($B30,[5]Apple!$A$3:$L$176,K$1,FALSE)</f>
        <v>1</v>
      </c>
      <c r="W30" t="b">
        <f>+L30=VLOOKUP($B30,[5]Apple!$A$3:$L$176,L$1,FALSE)</f>
        <v>1</v>
      </c>
      <c r="X30" t="b">
        <f>+M30=VLOOKUP($B30,[5]Apple!$A$3:$L$176,M$1,FALSE)</f>
        <v>1</v>
      </c>
      <c r="Y30" s="31" t="str">
        <f>+VLOOKUP(C30,'Country &amp; Code Abbreviation'!$C$3:$D$245,2,FALSE)</f>
        <v>BFA</v>
      </c>
    </row>
    <row r="31" spans="2:25">
      <c r="B31" t="s">
        <v>111</v>
      </c>
      <c r="C31" s="31" t="str">
        <f>+VLOOKUP(B31,'Country &amp; Code Abbreviation'!$B$3:$C$245,2,FALSE)</f>
        <v>KH</v>
      </c>
      <c r="D31" s="31" t="str">
        <f>+VLOOKUP(B31,'INT Web'!$B$5:$Q$247,16,FALSE)</f>
        <v>KHR</v>
      </c>
      <c r="E31" s="32" t="s">
        <v>346</v>
      </c>
      <c r="F31" s="33">
        <f>+VLOOKUP($B31,[5]Apple!$A$4:$M$175,[5]Apple!E$1,FALSE)</f>
        <v>71.989999999999995</v>
      </c>
      <c r="G31" s="33">
        <f>+IF($D31=$E31,VLOOKUP($B31,'INT Web'!$B$5:$W$247,'INT Web'!S$1,FALSE),MROUND(VLOOKUP($B31,'INT Web'!$B$5:$AQ$247,'INT Web'!AM$1,FALSE),1)-0.01)</f>
        <v>11.99</v>
      </c>
      <c r="H31" s="34">
        <v>53.99</v>
      </c>
      <c r="I31" s="33">
        <f>+IF($D31=$E31,VLOOKUP($B31,'INT Web'!$B$5:$W$247,'INT Web'!U$1,FALSE),MROUND(VLOOKUP($B31,'INT Web'!$B$5:$AQ$247,'INT Web'!AO$1,FALSE),1)-0.01)</f>
        <v>8.99</v>
      </c>
      <c r="J31" s="34">
        <v>3.49</v>
      </c>
      <c r="K31" s="34">
        <v>3.49</v>
      </c>
      <c r="L31" s="34">
        <v>1.0900000000000001</v>
      </c>
      <c r="M31" s="34">
        <v>1.0900000000000001</v>
      </c>
      <c r="N31" s="35"/>
      <c r="O31" s="32" t="s">
        <v>364</v>
      </c>
      <c r="Q31" t="b">
        <f>+F31=VLOOKUP($B31,[5]Apple!$A$3:$L$176,F$1,FALSE)</f>
        <v>1</v>
      </c>
      <c r="R31" t="b">
        <f>+G31=VLOOKUP($B31,[5]Apple!$A$3:$L$176,G$1,FALSE)</f>
        <v>1</v>
      </c>
      <c r="S31" t="b">
        <f>+H31=VLOOKUP($B31,[5]Apple!$A$3:$L$176,H$1,FALSE)</f>
        <v>1</v>
      </c>
      <c r="T31" t="b">
        <f>+I31=VLOOKUP($B31,[5]Apple!$A$3:$L$176,I$1,FALSE)</f>
        <v>1</v>
      </c>
      <c r="U31" t="b">
        <f>+J31=VLOOKUP($B31,[5]Apple!$A$3:$L$176,J$1,FALSE)</f>
        <v>1</v>
      </c>
      <c r="V31" t="b">
        <f>+K31=VLOOKUP($B31,[5]Apple!$A$3:$L$176,K$1,FALSE)</f>
        <v>1</v>
      </c>
      <c r="W31" t="b">
        <f>+L31=VLOOKUP($B31,[5]Apple!$A$3:$L$176,L$1,FALSE)</f>
        <v>1</v>
      </c>
      <c r="X31" t="b">
        <f>+M31=VLOOKUP($B31,[5]Apple!$A$3:$L$176,M$1,FALSE)</f>
        <v>1</v>
      </c>
      <c r="Y31" s="31" t="str">
        <f>+VLOOKUP(C31,'Country &amp; Code Abbreviation'!$C$3:$D$245,2,FALSE)</f>
        <v>KHM</v>
      </c>
    </row>
    <row r="32" spans="2:25">
      <c r="B32" t="s">
        <v>112</v>
      </c>
      <c r="C32" s="31" t="str">
        <f>+VLOOKUP(B32,'Country &amp; Code Abbreviation'!$B$3:$C$245,2,FALSE)</f>
        <v>CM</v>
      </c>
      <c r="D32" s="31" t="str">
        <f>+VLOOKUP(B32,'INT Web'!$B$5:$Q$247,16,FALSE)</f>
        <v>XAF</v>
      </c>
      <c r="E32" s="32" t="s">
        <v>346</v>
      </c>
      <c r="F32" s="33">
        <f>+VLOOKUP($B32,[5]Apple!$A$4:$M$175,[5]Apple!E$1,FALSE)</f>
        <v>71.989999999999995</v>
      </c>
      <c r="G32" s="33">
        <f>+VLOOKUP($B32,[5]Apple!$A$4:$M$175,[5]Apple!F$1,FALSE)</f>
        <v>11.99</v>
      </c>
      <c r="H32" s="34">
        <v>53.99</v>
      </c>
      <c r="I32" s="33">
        <f>+VLOOKUP($B32,[5]Apple!$A$4:$M$175,[5]Apple!H$1,FALSE)</f>
        <v>8.99</v>
      </c>
      <c r="J32" s="34">
        <v>3.49</v>
      </c>
      <c r="K32" s="34">
        <v>3.49</v>
      </c>
      <c r="L32" s="34">
        <v>2.4900000000000002</v>
      </c>
      <c r="M32" s="34">
        <v>2.4900000000000002</v>
      </c>
      <c r="N32" s="35"/>
      <c r="O32" s="32" t="s">
        <v>364</v>
      </c>
      <c r="Q32" t="b">
        <f>+F32=VLOOKUP($B32,[5]Apple!$A$3:$L$176,F$1,FALSE)</f>
        <v>1</v>
      </c>
      <c r="R32" t="b">
        <f>+G32=VLOOKUP($B32,[5]Apple!$A$3:$L$176,G$1,FALSE)</f>
        <v>1</v>
      </c>
      <c r="S32" t="b">
        <f>+H32=VLOOKUP($B32,[5]Apple!$A$3:$L$176,H$1,FALSE)</f>
        <v>1</v>
      </c>
      <c r="T32" t="b">
        <f>+I32=VLOOKUP($B32,[5]Apple!$A$3:$L$176,I$1,FALSE)</f>
        <v>1</v>
      </c>
      <c r="U32" t="b">
        <f>+J32=VLOOKUP($B32,[5]Apple!$A$3:$L$176,J$1,FALSE)</f>
        <v>1</v>
      </c>
      <c r="V32" t="b">
        <f>+K32=VLOOKUP($B32,[5]Apple!$A$3:$L$176,K$1,FALSE)</f>
        <v>1</v>
      </c>
      <c r="W32" t="b">
        <f>+L32=VLOOKUP($B32,[5]Apple!$A$3:$L$176,L$1,FALSE)</f>
        <v>1</v>
      </c>
      <c r="X32" t="b">
        <f>+M32=VLOOKUP($B32,[5]Apple!$A$3:$L$176,M$1,FALSE)</f>
        <v>1</v>
      </c>
      <c r="Y32" s="31" t="str">
        <f>+VLOOKUP(C32,'Country &amp; Code Abbreviation'!$C$3:$D$245,2,FALSE)</f>
        <v>CMR</v>
      </c>
    </row>
    <row r="33" spans="2:30">
      <c r="B33" t="s">
        <v>113</v>
      </c>
      <c r="C33" s="31" t="str">
        <f>+VLOOKUP(B33,'Country &amp; Code Abbreviation'!$B$3:$C$245,2,FALSE)</f>
        <v>CA</v>
      </c>
      <c r="D33" s="31" t="str">
        <f>+VLOOKUP(B33,'INT Web'!$B$5:$Q$247,16,FALSE)</f>
        <v>CAD</v>
      </c>
      <c r="E33" s="32" t="s">
        <v>370</v>
      </c>
      <c r="F33" s="33">
        <f>+IF($D33=$E33,VLOOKUP($B33,'INT Web'!$B$5:$W$247,'INT Web'!R$1,FALSE),MROUND(VLOOKUP($B33,'INT Web'!$B$5:$AQ$247,'INT Web'!AL$1,FALSE),1)-0.01)</f>
        <v>184.99</v>
      </c>
      <c r="G33" s="33">
        <f>+IF($D33=$E33,VLOOKUP($B33,'INT Web'!$B$5:$W$247,'INT Web'!S$1,FALSE),MROUND(VLOOKUP($B33,'INT Web'!$B$5:$AQ$247,'INT Web'!AM$1,FALSE),1)-0.01)</f>
        <v>27.99</v>
      </c>
      <c r="H33" s="33">
        <f>+IF($D33=$E33,VLOOKUP($B33,'INT Web'!$B$5:$W$247,'INT Web'!T$1,FALSE),MROUND(VLOOKUP($B33,'INT Web'!$B$5:$AQ$247,'INT Web'!AN$1,FALSE),1)-0.01)</f>
        <v>129.99</v>
      </c>
      <c r="I33" s="33">
        <f>+IF($D33=$E33,VLOOKUP($B33,'INT Web'!$B$5:$W$247,'INT Web'!U$1,FALSE),MROUND(VLOOKUP($B33,'INT Web'!$B$5:$AQ$247,'INT Web'!AO$1,FALSE),1)-0.01)</f>
        <v>19.989999999999998</v>
      </c>
      <c r="J33" s="34">
        <v>6.99</v>
      </c>
      <c r="K33" s="34">
        <v>5.49</v>
      </c>
      <c r="L33" s="34">
        <v>3.99</v>
      </c>
      <c r="M33" s="34">
        <v>2.79</v>
      </c>
      <c r="N33" s="35"/>
      <c r="O33" s="32" t="s">
        <v>366</v>
      </c>
      <c r="Q33" t="b">
        <f>+F33=VLOOKUP($B33,[5]Apple!$A$3:$L$176,F$1,FALSE)</f>
        <v>1</v>
      </c>
      <c r="R33" t="b">
        <f>+G33=VLOOKUP($B33,[5]Apple!$A$3:$L$176,G$1,FALSE)</f>
        <v>1</v>
      </c>
      <c r="S33" t="b">
        <f>+H33=VLOOKUP($B33,[5]Apple!$A$3:$L$176,H$1,FALSE)</f>
        <v>1</v>
      </c>
      <c r="T33" t="b">
        <f>+I33=VLOOKUP($B33,[5]Apple!$A$3:$L$176,I$1,FALSE)</f>
        <v>1</v>
      </c>
      <c r="U33" t="b">
        <f>+J33=VLOOKUP($B33,[5]Apple!$A$3:$L$176,J$1,FALSE)</f>
        <v>1</v>
      </c>
      <c r="V33" t="b">
        <f>+K33=VLOOKUP($B33,[5]Apple!$A$3:$L$176,K$1,FALSE)</f>
        <v>1</v>
      </c>
      <c r="W33" t="b">
        <f>+L33=VLOOKUP($B33,[5]Apple!$A$3:$L$176,L$1,FALSE)</f>
        <v>1</v>
      </c>
      <c r="X33" t="b">
        <f>+M33=VLOOKUP($B33,[5]Apple!$A$3:$L$176,M$1,FALSE)</f>
        <v>1</v>
      </c>
      <c r="Y33" s="31" t="str">
        <f>+VLOOKUP(C33,'Country &amp; Code Abbreviation'!$C$3:$D$245,2,FALSE)</f>
        <v>CAN</v>
      </c>
    </row>
    <row r="34" spans="2:30">
      <c r="B34" t="s">
        <v>114</v>
      </c>
      <c r="C34" s="31" t="str">
        <f>+VLOOKUP(B34,'Country &amp; Code Abbreviation'!$B$3:$C$245,2,FALSE)</f>
        <v>CV</v>
      </c>
      <c r="D34" s="31" t="str">
        <f>+VLOOKUP(B34,'INT Web'!$B$5:$Q$247,16,FALSE)</f>
        <v>CVE</v>
      </c>
      <c r="E34" s="32" t="s">
        <v>346</v>
      </c>
      <c r="F34" s="34">
        <v>72.989999999999995</v>
      </c>
      <c r="G34" s="33">
        <f>+VLOOKUP($B34,[5]Apple!$A$4:$M$175,[5]Apple!F$1,FALSE)</f>
        <v>11.99</v>
      </c>
      <c r="H34" s="34">
        <v>53.99</v>
      </c>
      <c r="I34" s="33">
        <f>+VLOOKUP($B34,[5]Apple!$A$4:$M$175,[5]Apple!H$1,FALSE)</f>
        <v>8.99</v>
      </c>
      <c r="J34" s="34">
        <v>2.99</v>
      </c>
      <c r="K34" s="34">
        <v>2.99</v>
      </c>
      <c r="L34" s="34">
        <v>1.99</v>
      </c>
      <c r="M34" s="34">
        <v>1.99</v>
      </c>
      <c r="N34" s="35"/>
      <c r="O34" s="32" t="s">
        <v>364</v>
      </c>
      <c r="Q34" t="b">
        <f>+F34=VLOOKUP($B34,[5]Apple!$A$3:$L$176,F$1,FALSE)</f>
        <v>1</v>
      </c>
      <c r="R34" t="b">
        <f>+G34=VLOOKUP($B34,[5]Apple!$A$3:$L$176,G$1,FALSE)</f>
        <v>1</v>
      </c>
      <c r="S34" t="b">
        <f>+H34=VLOOKUP($B34,[5]Apple!$A$3:$L$176,H$1,FALSE)</f>
        <v>1</v>
      </c>
      <c r="T34" t="b">
        <f>+I34=VLOOKUP($B34,[5]Apple!$A$3:$L$176,I$1,FALSE)</f>
        <v>1</v>
      </c>
      <c r="U34" t="b">
        <f>+J34=VLOOKUP($B34,[5]Apple!$A$3:$L$176,J$1,FALSE)</f>
        <v>1</v>
      </c>
      <c r="V34" t="b">
        <f>+K34=VLOOKUP($B34,[5]Apple!$A$3:$L$176,K$1,FALSE)</f>
        <v>1</v>
      </c>
      <c r="W34" t="b">
        <f>+L34=VLOOKUP($B34,[5]Apple!$A$3:$L$176,L$1,FALSE)</f>
        <v>1</v>
      </c>
      <c r="X34" t="b">
        <f>+M34=VLOOKUP($B34,[5]Apple!$A$3:$L$176,M$1,FALSE)</f>
        <v>1</v>
      </c>
      <c r="Y34" s="31" t="str">
        <f>+VLOOKUP(C34,'Country &amp; Code Abbreviation'!$C$3:$D$245,2,FALSE)</f>
        <v>CPV</v>
      </c>
    </row>
    <row r="35" spans="2:30">
      <c r="B35" t="s">
        <v>115</v>
      </c>
      <c r="C35" s="31" t="str">
        <f>+VLOOKUP(B35,'Country &amp; Code Abbreviation'!$B$3:$C$245,2,FALSE)</f>
        <v>KY</v>
      </c>
      <c r="D35" s="31" t="str">
        <f>+VLOOKUP(B35,'INT Web'!$B$5:$Q$247,16,FALSE)</f>
        <v>USD</v>
      </c>
      <c r="E35" s="32" t="s">
        <v>346</v>
      </c>
      <c r="F35" s="33">
        <f>+IF($D35=$E35,VLOOKUP($B35,'INT Web'!$B$5:$W$247,'INT Web'!R$1,FALSE),MROUND(VLOOKUP($B35,'INT Web'!$B$5:$AQ$247,'INT Web'!AL$1,FALSE),1)-0.01)</f>
        <v>102.99</v>
      </c>
      <c r="G35" s="33">
        <f>+IF($D35=$E35,VLOOKUP($B35,'INT Web'!$B$5:$W$247,'INT Web'!S$1,FALSE),MROUND(VLOOKUP($B35,'INT Web'!$B$5:$AQ$247,'INT Web'!AM$1,FALSE),1)-0.01)</f>
        <v>16.989999999999998</v>
      </c>
      <c r="H35" s="33">
        <f>+IF($D35=$E35,VLOOKUP($B35,'INT Web'!$B$5:$W$247,'INT Web'!T$1,FALSE),MROUND(VLOOKUP($B35,'INT Web'!$B$5:$AQ$247,'INT Web'!AN$1,FALSE),1)-0.01)</f>
        <v>71.989999999999995</v>
      </c>
      <c r="I35" s="33">
        <f>+IF($D35=$E35,VLOOKUP($B35,'INT Web'!$B$5:$W$247,'INT Web'!U$1,FALSE),MROUND(VLOOKUP($B35,'INT Web'!$B$5:$AQ$247,'INT Web'!AO$1,FALSE),1)-0.01)</f>
        <v>11.99</v>
      </c>
      <c r="J35" s="34">
        <v>4.99</v>
      </c>
      <c r="K35" s="34">
        <v>3.99</v>
      </c>
      <c r="L35" s="34">
        <v>2.99</v>
      </c>
      <c r="M35" s="34">
        <v>1.99</v>
      </c>
      <c r="N35" s="35"/>
      <c r="O35" s="32" t="s">
        <v>366</v>
      </c>
      <c r="Q35" t="b">
        <f>+F35=VLOOKUP($B35,[5]Apple!$A$3:$L$176,F$1,FALSE)</f>
        <v>1</v>
      </c>
      <c r="R35" t="b">
        <f>+G35=VLOOKUP($B35,[5]Apple!$A$3:$L$176,G$1,FALSE)</f>
        <v>1</v>
      </c>
      <c r="S35" t="b">
        <f>+H35=VLOOKUP($B35,[5]Apple!$A$3:$L$176,H$1,FALSE)</f>
        <v>1</v>
      </c>
      <c r="T35" t="b">
        <f>+I35=VLOOKUP($B35,[5]Apple!$A$3:$L$176,I$1,FALSE)</f>
        <v>1</v>
      </c>
      <c r="U35" t="b">
        <f>+J35=VLOOKUP($B35,[5]Apple!$A$3:$L$176,J$1,FALSE)</f>
        <v>1</v>
      </c>
      <c r="V35" t="b">
        <f>+K35=VLOOKUP($B35,[5]Apple!$A$3:$L$176,K$1,FALSE)</f>
        <v>1</v>
      </c>
      <c r="W35" t="b">
        <f>+L35=VLOOKUP($B35,[5]Apple!$A$3:$L$176,L$1,FALSE)</f>
        <v>1</v>
      </c>
      <c r="X35" t="b">
        <f>+M35=VLOOKUP($B35,[5]Apple!$A$3:$L$176,M$1,FALSE)</f>
        <v>1</v>
      </c>
      <c r="Y35" s="31" t="str">
        <f>+VLOOKUP(C35,'Country &amp; Code Abbreviation'!$C$3:$D$245,2,FALSE)</f>
        <v>CYM</v>
      </c>
    </row>
    <row r="36" spans="2:30">
      <c r="B36" t="s">
        <v>117</v>
      </c>
      <c r="C36" s="31" t="str">
        <f>+VLOOKUP(B36,'Country &amp; Code Abbreviation'!$B$3:$C$245,2,FALSE)</f>
        <v>TD</v>
      </c>
      <c r="D36" s="31" t="str">
        <f>+VLOOKUP(B36,'INT Web'!$B$5:$Q$247,16,FALSE)</f>
        <v>XAF</v>
      </c>
      <c r="E36" s="32" t="s">
        <v>346</v>
      </c>
      <c r="F36" s="34">
        <v>72.989999999999995</v>
      </c>
      <c r="G36" s="33">
        <f>+VLOOKUP($B36,[5]Apple!$A$4:$M$175,[5]Apple!F$1,FALSE)</f>
        <v>11.99</v>
      </c>
      <c r="H36" s="34">
        <v>53.99</v>
      </c>
      <c r="I36" s="33">
        <f>+VLOOKUP($B36,[5]Apple!$A$4:$M$175,[5]Apple!H$1,FALSE)</f>
        <v>8.99</v>
      </c>
      <c r="J36" s="34">
        <v>2.99</v>
      </c>
      <c r="K36" s="34">
        <v>2.99</v>
      </c>
      <c r="L36" s="34">
        <v>1.99</v>
      </c>
      <c r="M36" s="34">
        <v>1.99</v>
      </c>
      <c r="N36" s="35"/>
      <c r="O36" s="32" t="s">
        <v>364</v>
      </c>
      <c r="Q36" t="b">
        <f>+F36=VLOOKUP($B36,[5]Apple!$A$3:$L$176,F$1,FALSE)</f>
        <v>1</v>
      </c>
      <c r="R36" t="b">
        <f>+G36=VLOOKUP($B36,[5]Apple!$A$3:$L$176,G$1,FALSE)</f>
        <v>1</v>
      </c>
      <c r="S36" t="b">
        <f>+H36=VLOOKUP($B36,[5]Apple!$A$3:$L$176,H$1,FALSE)</f>
        <v>1</v>
      </c>
      <c r="T36" t="b">
        <f>+I36=VLOOKUP($B36,[5]Apple!$A$3:$L$176,I$1,FALSE)</f>
        <v>1</v>
      </c>
      <c r="U36" t="b">
        <f>+J36=VLOOKUP($B36,[5]Apple!$A$3:$L$176,J$1,FALSE)</f>
        <v>1</v>
      </c>
      <c r="V36" t="b">
        <f>+K36=VLOOKUP($B36,[5]Apple!$A$3:$L$176,K$1,FALSE)</f>
        <v>1</v>
      </c>
      <c r="W36" t="b">
        <f>+L36=VLOOKUP($B36,[5]Apple!$A$3:$L$176,L$1,FALSE)</f>
        <v>1</v>
      </c>
      <c r="X36" t="b">
        <f>+M36=VLOOKUP($B36,[5]Apple!$A$3:$L$176,M$1,FALSE)</f>
        <v>1</v>
      </c>
      <c r="Y36" s="31" t="str">
        <f>+VLOOKUP(C36,'Country &amp; Code Abbreviation'!$C$3:$D$245,2,FALSE)</f>
        <v>TCD</v>
      </c>
    </row>
    <row r="37" spans="2:30" ht="13.4" customHeight="1">
      <c r="B37" t="s">
        <v>118</v>
      </c>
      <c r="C37" s="31" t="str">
        <f>+VLOOKUP(B37,'Country &amp; Code Abbreviation'!$B$3:$C$245,2,FALSE)</f>
        <v>CL</v>
      </c>
      <c r="D37" s="31" t="str">
        <f>+VLOOKUP(B37,'INT Web'!$B$5:$Q$247,16,FALSE)</f>
        <v>CLP</v>
      </c>
      <c r="E37" s="32" t="s">
        <v>371</v>
      </c>
      <c r="F37" s="72">
        <v>137990</v>
      </c>
      <c r="G37" s="33">
        <f>+IF($D37=$E37,VLOOKUP($B37,'INT Web'!$B$5:$W$247,'INT Web'!S$1,FALSE),MROUND(VLOOKUP($B37,'INT Web'!$B$5:$AQ$247,'INT Web'!AM$1,FALSE),1)-0.01)</f>
        <v>22900</v>
      </c>
      <c r="H37" s="72">
        <v>96990</v>
      </c>
      <c r="I37" s="33">
        <f>+IF($D37=$E37,VLOOKUP($B37,'INT Web'!$B$5:$W$247,'INT Web'!U$1,FALSE),MROUND(VLOOKUP($B37,'INT Web'!$B$5:$AQ$247,'INT Web'!AO$1,FALSE),1)-0.01)</f>
        <v>15900</v>
      </c>
      <c r="J37" s="34">
        <v>5900</v>
      </c>
      <c r="K37" s="108">
        <f>J37-500</f>
        <v>5400</v>
      </c>
      <c r="L37" s="108">
        <f>K37-500</f>
        <v>4900</v>
      </c>
      <c r="M37" s="108">
        <f>L37-500</f>
        <v>4400</v>
      </c>
      <c r="N37" s="35"/>
      <c r="O37" s="32" t="s">
        <v>366</v>
      </c>
      <c r="Q37" t="b">
        <f>+F37=VLOOKUP($B37,[5]Apple!$A$3:$L$176,F$1,FALSE)</f>
        <v>1</v>
      </c>
      <c r="R37" t="b">
        <f>+G37=VLOOKUP($B37,[5]Apple!$A$3:$L$176,G$1,FALSE)</f>
        <v>1</v>
      </c>
      <c r="S37" t="b">
        <f>+H37=VLOOKUP($B37,[5]Apple!$A$3:$L$176,H$1,FALSE)</f>
        <v>1</v>
      </c>
      <c r="T37" t="b">
        <f>+I37=VLOOKUP($B37,[5]Apple!$A$3:$L$176,I$1,FALSE)</f>
        <v>1</v>
      </c>
      <c r="U37" t="b">
        <f>+J37=VLOOKUP($B37,[5]Apple!$A$3:$L$176,J$1,FALSE)</f>
        <v>1</v>
      </c>
      <c r="V37" t="b">
        <f>+K37=VLOOKUP($B37,[5]Apple!$A$3:$L$176,K$1,FALSE)</f>
        <v>1</v>
      </c>
      <c r="W37" t="b">
        <f>+L37=VLOOKUP($B37,[5]Apple!$A$3:$L$176,L$1,FALSE)</f>
        <v>1</v>
      </c>
      <c r="X37" t="b">
        <f>+M37=VLOOKUP($B37,[5]Apple!$A$3:$L$176,M$1,FALSE)</f>
        <v>1</v>
      </c>
      <c r="Y37" s="31" t="str">
        <f>+VLOOKUP(C37,'Country &amp; Code Abbreviation'!$C$3:$D$245,2,FALSE)</f>
        <v>CHL</v>
      </c>
    </row>
    <row r="38" spans="2:30">
      <c r="B38" t="s">
        <v>121</v>
      </c>
      <c r="C38" s="31" t="str">
        <f>+VLOOKUP(B38,'Country &amp; Code Abbreviation'!$B$3:$C$245,2,FALSE)</f>
        <v>CO</v>
      </c>
      <c r="D38" s="31" t="str">
        <f>+VLOOKUP(B38,'INT Web'!$B$5:$Q$247,16,FALSE)</f>
        <v>COP</v>
      </c>
      <c r="E38" s="32" t="s">
        <v>372</v>
      </c>
      <c r="F38" s="72">
        <v>334900</v>
      </c>
      <c r="G38" s="33">
        <f>+IF($D38=$E38,VLOOKUP($B38,'INT Web'!$B$5:$W$247,'INT Web'!S$1,FALSE),MROUND(VLOOKUP($B38,'INT Web'!$B$5:$AQ$247,'INT Web'!AM$1,FALSE),1)-0.01)</f>
        <v>55900</v>
      </c>
      <c r="H38" s="34">
        <v>249000</v>
      </c>
      <c r="I38" s="72">
        <v>41500</v>
      </c>
      <c r="J38" s="34">
        <v>17900</v>
      </c>
      <c r="K38" s="34">
        <v>13500</v>
      </c>
      <c r="L38" s="34">
        <v>8900</v>
      </c>
      <c r="M38" s="34">
        <v>4500</v>
      </c>
      <c r="N38" s="35"/>
      <c r="O38" s="32" t="s">
        <v>364</v>
      </c>
      <c r="Q38" t="b">
        <f>+F38=VLOOKUP($B38,[5]Apple!$A$3:$L$176,F$1,FALSE)</f>
        <v>1</v>
      </c>
      <c r="R38" t="b">
        <f>+G38=VLOOKUP($B38,[5]Apple!$A$3:$L$176,G$1,FALSE)</f>
        <v>1</v>
      </c>
      <c r="S38" t="b">
        <f>+H38=VLOOKUP($B38,[5]Apple!$A$3:$L$176,H$1,FALSE)</f>
        <v>1</v>
      </c>
      <c r="T38" t="b">
        <f>+I38=VLOOKUP($B38,[5]Apple!$A$3:$L$176,I$1,FALSE)</f>
        <v>1</v>
      </c>
      <c r="U38" t="b">
        <f>+J38=VLOOKUP($B38,[5]Apple!$A$3:$L$176,J$1,FALSE)</f>
        <v>1</v>
      </c>
      <c r="V38" t="b">
        <f>+K38=VLOOKUP($B38,[5]Apple!$A$3:$L$176,K$1,FALSE)</f>
        <v>1</v>
      </c>
      <c r="W38" t="b">
        <f>+L38=VLOOKUP($B38,[5]Apple!$A$3:$L$176,L$1,FALSE)</f>
        <v>1</v>
      </c>
      <c r="X38" t="b">
        <f>+M38=VLOOKUP($B38,[5]Apple!$A$3:$L$176,M$1,FALSE)</f>
        <v>1</v>
      </c>
      <c r="Y38" s="31" t="str">
        <f>+VLOOKUP(C38,'Country &amp; Code Abbreviation'!$C$3:$D$245,2,FALSE)</f>
        <v>COL</v>
      </c>
    </row>
    <row r="39" spans="2:30">
      <c r="B39" t="s">
        <v>123</v>
      </c>
      <c r="C39" s="31" t="str">
        <f>+VLOOKUP(B39,'Country &amp; Code Abbreviation'!$B$3:$C$245,2,FALSE)</f>
        <v>CG</v>
      </c>
      <c r="D39" s="31" t="str">
        <f>+VLOOKUP(B39,'INT Web'!$B$5:$Q$247,16,FALSE)</f>
        <v>XAF</v>
      </c>
      <c r="E39" s="32" t="s">
        <v>346</v>
      </c>
      <c r="F39" s="34">
        <v>72.989999999999995</v>
      </c>
      <c r="G39" s="33">
        <f>+VLOOKUP($B39,[5]Apple!$A$4:$M$175,[5]Apple!F$1,FALSE)</f>
        <v>11.99</v>
      </c>
      <c r="H39" s="34">
        <v>53.99</v>
      </c>
      <c r="I39" s="33">
        <f>+VLOOKUP($B39,[5]Apple!$A$4:$M$175,[5]Apple!H$1,FALSE)</f>
        <v>8.99</v>
      </c>
      <c r="J39" s="34">
        <v>2.99</v>
      </c>
      <c r="K39" s="34">
        <v>2.99</v>
      </c>
      <c r="L39" s="34">
        <v>1.99</v>
      </c>
      <c r="M39" s="34">
        <v>1.99</v>
      </c>
      <c r="N39" s="35"/>
      <c r="O39" s="32" t="s">
        <v>364</v>
      </c>
      <c r="Q39" t="b">
        <f>+F39=VLOOKUP($B39,[5]Apple!$A$3:$L$176,F$1,FALSE)</f>
        <v>1</v>
      </c>
      <c r="R39" t="b">
        <f>+G39=VLOOKUP($B39,[5]Apple!$A$3:$L$176,G$1,FALSE)</f>
        <v>1</v>
      </c>
      <c r="S39" t="b">
        <f>+H39=VLOOKUP($B39,[5]Apple!$A$3:$L$176,H$1,FALSE)</f>
        <v>1</v>
      </c>
      <c r="T39" t="b">
        <f>+I39=VLOOKUP($B39,[5]Apple!$A$3:$L$176,I$1,FALSE)</f>
        <v>1</v>
      </c>
      <c r="U39" t="b">
        <f>+J39=VLOOKUP($B39,[5]Apple!$A$3:$L$176,J$1,FALSE)</f>
        <v>1</v>
      </c>
      <c r="V39" t="b">
        <f>+K39=VLOOKUP($B39,[5]Apple!$A$3:$L$176,K$1,FALSE)</f>
        <v>1</v>
      </c>
      <c r="W39" t="b">
        <f>+L39=VLOOKUP($B39,[5]Apple!$A$3:$L$176,L$1,FALSE)</f>
        <v>1</v>
      </c>
      <c r="X39" t="b">
        <f>+M39=VLOOKUP($B39,[5]Apple!$A$3:$L$176,M$1,FALSE)</f>
        <v>1</v>
      </c>
      <c r="Y39" s="31" t="str">
        <f>+VLOOKUP(C39,'Country &amp; Code Abbreviation'!$C$3:$D$245,2,FALSE)</f>
        <v>COG</v>
      </c>
    </row>
    <row r="40" spans="2:30">
      <c r="B40" t="s">
        <v>125</v>
      </c>
      <c r="C40" s="31" t="str">
        <f>+VLOOKUP(B40,'Country &amp; Code Abbreviation'!$B$3:$C$245,2,FALSE)</f>
        <v>CR</v>
      </c>
      <c r="D40" s="31" t="str">
        <f>+VLOOKUP(B40,'INT Web'!$B$5:$Q$247,16,FALSE)</f>
        <v>CRC</v>
      </c>
      <c r="E40" s="32" t="s">
        <v>346</v>
      </c>
      <c r="F40" s="33">
        <f>+VLOOKUP($B40,[5]Apple!$A$4:$M$175,[5]Apple!E$1,FALSE)</f>
        <v>147.99</v>
      </c>
      <c r="G40" s="33">
        <f>+VLOOKUP($B40,[5]Apple!$A$4:$M$175,[5]Apple!F$1,FALSE)</f>
        <v>24.99</v>
      </c>
      <c r="H40" s="33">
        <f>+VLOOKUP($B40,[5]Apple!$A$4:$M$175,[5]Apple!G$1,FALSE)</f>
        <v>113.99</v>
      </c>
      <c r="I40" s="33">
        <f>+VLOOKUP($B40,[5]Apple!$A$4:$M$175,[5]Apple!H$1,FALSE)</f>
        <v>18.989999999999998</v>
      </c>
      <c r="J40" s="34">
        <v>6.99</v>
      </c>
      <c r="K40" s="108">
        <f>J40-1</f>
        <v>5.99</v>
      </c>
      <c r="L40" s="108">
        <f t="shared" ref="L40:M40" si="9">K40-1</f>
        <v>4.99</v>
      </c>
      <c r="M40" s="108">
        <f t="shared" si="9"/>
        <v>3.99</v>
      </c>
      <c r="N40" s="35"/>
      <c r="O40" s="32" t="s">
        <v>366</v>
      </c>
      <c r="Q40" t="b">
        <f>+F40=VLOOKUP($B40,[5]Apple!$A$3:$L$176,F$1,FALSE)</f>
        <v>1</v>
      </c>
      <c r="R40" t="b">
        <f>+G40=VLOOKUP($B40,[5]Apple!$A$3:$L$176,G$1,FALSE)</f>
        <v>1</v>
      </c>
      <c r="S40" t="b">
        <f>+H40=VLOOKUP($B40,[5]Apple!$A$3:$L$176,H$1,FALSE)</f>
        <v>1</v>
      </c>
      <c r="T40" t="b">
        <f>+I40=VLOOKUP($B40,[5]Apple!$A$3:$L$176,I$1,FALSE)</f>
        <v>1</v>
      </c>
      <c r="U40" t="b">
        <f>+J40=VLOOKUP($B40,[5]Apple!$A$3:$L$176,J$1,FALSE)</f>
        <v>1</v>
      </c>
      <c r="V40" t="b">
        <f>+K40=VLOOKUP($B40,[5]Apple!$A$3:$L$176,K$1,FALSE)</f>
        <v>1</v>
      </c>
      <c r="W40" t="b">
        <f>+L40=VLOOKUP($B40,[5]Apple!$A$3:$L$176,L$1,FALSE)</f>
        <v>1</v>
      </c>
      <c r="X40" t="b">
        <f>+M40=VLOOKUP($B40,[5]Apple!$A$3:$L$176,M$1,FALSE)</f>
        <v>1</v>
      </c>
      <c r="Y40" s="31" t="str">
        <f>+VLOOKUP(C40,'Country &amp; Code Abbreviation'!$C$3:$D$245,2,FALSE)</f>
        <v>CRI</v>
      </c>
    </row>
    <row r="41" spans="2:30">
      <c r="B41" t="s">
        <v>126</v>
      </c>
      <c r="C41" s="31" t="str">
        <f>+VLOOKUP(B41,'Country &amp; Code Abbreviation'!$B$3:$C$245,2,FALSE)</f>
        <v>CI</v>
      </c>
      <c r="D41" s="31" t="str">
        <f>+VLOOKUP(B41,'INT Web'!$B$5:$Q$247,16,FALSE)</f>
        <v>XOF</v>
      </c>
      <c r="E41" s="32" t="s">
        <v>346</v>
      </c>
      <c r="F41" s="33">
        <f>+VLOOKUP($B41,[5]Apple!$A$4:$M$175,[5]Apple!E$1,FALSE)</f>
        <v>73.989999999999995</v>
      </c>
      <c r="G41" s="33">
        <f>+VLOOKUP($B41,[5]Apple!$A$4:$M$175,[5]Apple!F$1,FALSE)</f>
        <v>11.99</v>
      </c>
      <c r="H41" s="34">
        <v>54.99</v>
      </c>
      <c r="I41" s="33">
        <f>+VLOOKUP($B41,[5]Apple!$A$4:$M$175,[5]Apple!H$1,FALSE)</f>
        <v>8.99</v>
      </c>
      <c r="J41" s="34">
        <v>2.99</v>
      </c>
      <c r="K41" s="34">
        <v>2.99</v>
      </c>
      <c r="L41" s="34">
        <v>1.99</v>
      </c>
      <c r="M41" s="34">
        <v>1.99</v>
      </c>
      <c r="N41" s="35"/>
      <c r="O41" s="32" t="s">
        <v>364</v>
      </c>
      <c r="Q41" t="b">
        <f>+F41=VLOOKUP($B41,[5]Apple!$A$3:$L$176,F$1,FALSE)</f>
        <v>1</v>
      </c>
      <c r="R41" t="b">
        <f>+G41=VLOOKUP($B41,[5]Apple!$A$3:$L$176,G$1,FALSE)</f>
        <v>1</v>
      </c>
      <c r="S41" t="b">
        <f>+H41=VLOOKUP($B41,[5]Apple!$A$3:$L$176,H$1,FALSE)</f>
        <v>1</v>
      </c>
      <c r="T41" t="b">
        <f>+I41=VLOOKUP($B41,[5]Apple!$A$3:$L$176,I$1,FALSE)</f>
        <v>1</v>
      </c>
      <c r="U41" t="b">
        <f>+J41=VLOOKUP($B41,[5]Apple!$A$3:$L$176,J$1,FALSE)</f>
        <v>1</v>
      </c>
      <c r="V41" t="b">
        <f>+K41=VLOOKUP($B41,[5]Apple!$A$3:$L$176,K$1,FALSE)</f>
        <v>1</v>
      </c>
      <c r="W41" t="b">
        <f>+L41=VLOOKUP($B41,[5]Apple!$A$3:$L$176,L$1,FALSE)</f>
        <v>1</v>
      </c>
      <c r="X41" t="b">
        <f>+M41=VLOOKUP($B41,[5]Apple!$A$3:$L$176,M$1,FALSE)</f>
        <v>1</v>
      </c>
      <c r="Y41" s="31" t="str">
        <f>+VLOOKUP(C41,'Country &amp; Code Abbreviation'!$C$3:$D$245,2,FALSE)</f>
        <v>CIV</v>
      </c>
    </row>
    <row r="42" spans="2:30">
      <c r="B42" t="s">
        <v>127</v>
      </c>
      <c r="C42" s="31" t="str">
        <f>+VLOOKUP(B42,'Country &amp; Code Abbreviation'!$B$3:$C$245,2,FALSE)</f>
        <v>HR</v>
      </c>
      <c r="D42" s="31" t="str">
        <f>+VLOOKUP(B42,'INT Web'!$B$5:$Q$247,16,FALSE)</f>
        <v>EUR</v>
      </c>
      <c r="E42" s="32" t="s">
        <v>368</v>
      </c>
      <c r="F42" s="33">
        <f>+IF($D42=$E42,VLOOKUP($B42,'INT Web'!$B$5:$W$247,'INT Web'!R$1,FALSE),MROUND(VLOOKUP($B42,'INT Web'!$B$5:$AQ$247,'INT Web'!AL$1,FALSE),1)-0.01)</f>
        <v>107.99</v>
      </c>
      <c r="G42" s="33">
        <f>+IF($D42=$E42,VLOOKUP($B42,'INT Web'!$B$5:$W$247,'INT Web'!S$1,FALSE),MROUND(VLOOKUP($B42,'INT Web'!$B$5:$AQ$247,'INT Web'!AM$1,FALSE),1)-0.01)</f>
        <v>17.989999999999998</v>
      </c>
      <c r="H42" s="33">
        <f>+IF($D42=$E42,VLOOKUP($B42,'INT Web'!$B$5:$W$247,'INT Web'!T$1,FALSE),MROUND(VLOOKUP($B42,'INT Web'!$B$5:$AQ$247,'INT Web'!AN$1,FALSE),1)-0.01)</f>
        <v>71.989999999999995</v>
      </c>
      <c r="I42" s="33">
        <f>+IF($D42=$E42,VLOOKUP($B42,'INT Web'!$B$5:$W$247,'INT Web'!U$1,FALSE),MROUND(VLOOKUP($B42,'INT Web'!$B$5:$AQ$247,'INT Web'!AO$1,FALSE),1)-0.01)</f>
        <v>11.99</v>
      </c>
      <c r="J42" s="34">
        <v>3.99</v>
      </c>
      <c r="K42" s="34">
        <v>3.99</v>
      </c>
      <c r="L42" s="34">
        <v>1.99</v>
      </c>
      <c r="M42" s="34">
        <v>1.99</v>
      </c>
      <c r="N42" s="35"/>
      <c r="O42" s="32" t="s">
        <v>364</v>
      </c>
      <c r="Q42" t="b">
        <f>+F42=VLOOKUP($B42,[5]Apple!$A$3:$L$176,F$1,FALSE)</f>
        <v>1</v>
      </c>
      <c r="R42" t="b">
        <f>+G42=VLOOKUP($B42,[5]Apple!$A$3:$L$176,G$1,FALSE)</f>
        <v>1</v>
      </c>
      <c r="S42" t="b">
        <f>+H42=VLOOKUP($B42,[5]Apple!$A$3:$L$176,H$1,FALSE)</f>
        <v>1</v>
      </c>
      <c r="T42" t="b">
        <f>+I42=VLOOKUP($B42,[5]Apple!$A$3:$L$176,I$1,FALSE)</f>
        <v>1</v>
      </c>
      <c r="U42" t="b">
        <f>+J42=VLOOKUP($B42,[5]Apple!$A$3:$L$176,J$1,FALSE)</f>
        <v>1</v>
      </c>
      <c r="V42" t="b">
        <f>+K42=VLOOKUP($B42,[5]Apple!$A$3:$L$176,K$1,FALSE)</f>
        <v>1</v>
      </c>
      <c r="W42" t="b">
        <f>+L42=VLOOKUP($B42,[5]Apple!$A$3:$L$176,L$1,FALSE)</f>
        <v>1</v>
      </c>
      <c r="X42" t="b">
        <f>+M42=VLOOKUP($B42,[5]Apple!$A$3:$L$176,M$1,FALSE)</f>
        <v>1</v>
      </c>
      <c r="Y42" s="31" t="str">
        <f>+VLOOKUP(C42,'Country &amp; Code Abbreviation'!$C$3:$D$245,2,FALSE)</f>
        <v>HRV</v>
      </c>
    </row>
    <row r="43" spans="2:30">
      <c r="B43" t="s">
        <v>129</v>
      </c>
      <c r="C43" s="31" t="str">
        <f>+VLOOKUP(B43,'Country &amp; Code Abbreviation'!$B$3:$C$245,2,FALSE)</f>
        <v>CY</v>
      </c>
      <c r="D43" s="31" t="str">
        <f>+VLOOKUP(B43,'INT Web'!$B$5:$Q$247,16,FALSE)</f>
        <v>EUR</v>
      </c>
      <c r="E43" s="32" t="s">
        <v>368</v>
      </c>
      <c r="F43" s="33">
        <f>+IF($D43=$E43,VLOOKUP($B43,'INT Web'!$B$5:$W$247,'INT Web'!R$1,FALSE),MROUND(VLOOKUP($B43,'INT Web'!$B$5:$AQ$247,'INT Web'!AL$1,FALSE),1)-0.01)</f>
        <v>89.99</v>
      </c>
      <c r="G43" s="33">
        <f>+IF($D43=$E43,VLOOKUP($B43,'INT Web'!$B$5:$W$247,'INT Web'!S$1,FALSE),MROUND(VLOOKUP($B43,'INT Web'!$B$5:$AQ$247,'INT Web'!AM$1,FALSE),1)-0.01)</f>
        <v>12.99</v>
      </c>
      <c r="H43" s="33">
        <f>+IF($D43=$E43,VLOOKUP($B43,'INT Web'!$B$5:$W$247,'INT Web'!T$1,FALSE),MROUND(VLOOKUP($B43,'INT Web'!$B$5:$AQ$247,'INT Web'!AN$1,FALSE),1)-0.01)</f>
        <v>69.989999999999995</v>
      </c>
      <c r="I43" s="33">
        <f>+IF($D43=$E43,VLOOKUP($B43,'INT Web'!$B$5:$W$247,'INT Web'!U$1,FALSE),MROUND(VLOOKUP($B43,'INT Web'!$B$5:$AQ$247,'INT Web'!AO$1,FALSE),1)-0.01)</f>
        <v>9.99</v>
      </c>
      <c r="J43" s="34">
        <v>3.99</v>
      </c>
      <c r="K43" s="34">
        <v>3.99</v>
      </c>
      <c r="L43" s="34">
        <v>1.99</v>
      </c>
      <c r="M43" s="34">
        <v>1.99</v>
      </c>
      <c r="N43" s="35"/>
      <c r="O43" s="32" t="s">
        <v>364</v>
      </c>
      <c r="Q43" t="b">
        <f>+F43=VLOOKUP($B43,[5]Apple!$A$3:$L$176,F$1,FALSE)</f>
        <v>1</v>
      </c>
      <c r="R43" t="b">
        <f>+G43=VLOOKUP($B43,[5]Apple!$A$3:$L$176,G$1,FALSE)</f>
        <v>1</v>
      </c>
      <c r="S43" t="b">
        <f>+H43=VLOOKUP($B43,[5]Apple!$A$3:$L$176,H$1,FALSE)</f>
        <v>1</v>
      </c>
      <c r="T43" t="b">
        <f>+I43=VLOOKUP($B43,[5]Apple!$A$3:$L$176,I$1,FALSE)</f>
        <v>1</v>
      </c>
      <c r="U43" t="b">
        <f>+J43=VLOOKUP($B43,[5]Apple!$A$3:$L$176,J$1,FALSE)</f>
        <v>1</v>
      </c>
      <c r="V43" t="b">
        <f>+K43=VLOOKUP($B43,[5]Apple!$A$3:$L$176,K$1,FALSE)</f>
        <v>1</v>
      </c>
      <c r="W43" t="b">
        <f>+L43=VLOOKUP($B43,[5]Apple!$A$3:$L$176,L$1,FALSE)</f>
        <v>1</v>
      </c>
      <c r="X43" t="b">
        <f>+M43=VLOOKUP($B43,[5]Apple!$A$3:$L$176,M$1,FALSE)</f>
        <v>1</v>
      </c>
      <c r="Y43" s="31" t="str">
        <f>+VLOOKUP(C43,'Country &amp; Code Abbreviation'!$C$3:$D$245,2,FALSE)</f>
        <v>CYP</v>
      </c>
    </row>
    <row r="44" spans="2:30" ht="13.4" customHeight="1">
      <c r="B44" t="s">
        <v>130</v>
      </c>
      <c r="C44" s="31" t="str">
        <f>+VLOOKUP(B44,'Country &amp; Code Abbreviation'!$B$3:$C$245,2,FALSE)</f>
        <v>CZ</v>
      </c>
      <c r="D44" s="31" t="str">
        <f>+VLOOKUP(B44,'INT Web'!$B$5:$Q$247,16,FALSE)</f>
        <v>CZK</v>
      </c>
      <c r="E44" s="32" t="s">
        <v>373</v>
      </c>
      <c r="F44" s="72">
        <v>3599</v>
      </c>
      <c r="G44" s="33">
        <f>+IF($D44=$E44,VLOOKUP($B44,'INT Web'!$B$5:$W$247,'INT Web'!S$1,FALSE),MROUND(VLOOKUP($B44,'INT Web'!$B$5:$AQ$247,'INT Web'!AM$1,FALSE),1)-0.01)</f>
        <v>549.99</v>
      </c>
      <c r="H44" s="72">
        <v>2400</v>
      </c>
      <c r="I44" s="33">
        <f>+IF($D44=$E44,VLOOKUP($B44,'INT Web'!$B$5:$W$247,'INT Web'!U$1,FALSE),MROUND(VLOOKUP($B44,'INT Web'!$B$5:$AQ$247,'INT Web'!AO$1,FALSE),1)-0.01)</f>
        <v>399.99</v>
      </c>
      <c r="J44" s="34">
        <v>149</v>
      </c>
      <c r="K44" s="34">
        <v>149</v>
      </c>
      <c r="L44" s="34">
        <v>79</v>
      </c>
      <c r="M44" s="34">
        <v>79</v>
      </c>
      <c r="N44" s="35"/>
      <c r="O44" s="32" t="s">
        <v>364</v>
      </c>
      <c r="Q44" t="b">
        <f>+F44=VLOOKUP($B44,[5]Apple!$A$3:$L$176,F$1,FALSE)</f>
        <v>1</v>
      </c>
      <c r="R44" t="b">
        <f>+G44=VLOOKUP($B44,[5]Apple!$A$3:$L$176,G$1,FALSE)</f>
        <v>1</v>
      </c>
      <c r="S44" t="b">
        <f>+H44=VLOOKUP($B44,[5]Apple!$A$3:$L$176,H$1,FALSE)</f>
        <v>1</v>
      </c>
      <c r="T44" t="b">
        <f>+I44=VLOOKUP($B44,[5]Apple!$A$3:$L$176,I$1,FALSE)</f>
        <v>1</v>
      </c>
      <c r="U44" t="b">
        <f>+J44=VLOOKUP($B44,[5]Apple!$A$3:$L$176,J$1,FALSE)</f>
        <v>1</v>
      </c>
      <c r="V44" t="b">
        <f>+K44=VLOOKUP($B44,[5]Apple!$A$3:$L$176,K$1,FALSE)</f>
        <v>1</v>
      </c>
      <c r="W44" t="b">
        <f>+L44=VLOOKUP($B44,[5]Apple!$A$3:$L$176,L$1,FALSE)</f>
        <v>1</v>
      </c>
      <c r="X44" t="b">
        <f>+M44=VLOOKUP($B44,[5]Apple!$A$3:$L$176,M$1,FALSE)</f>
        <v>1</v>
      </c>
      <c r="Y44" s="31" t="str">
        <f>+VLOOKUP(C44,'Country &amp; Code Abbreviation'!$C$3:$D$245,2,FALSE)</f>
        <v>CZE</v>
      </c>
    </row>
    <row r="45" spans="2:30">
      <c r="B45" t="s">
        <v>131</v>
      </c>
      <c r="C45" s="31" t="str">
        <f>+VLOOKUP(B45,'Country &amp; Code Abbreviation'!$B$3:$C$245,2,FALSE)</f>
        <v>CD</v>
      </c>
      <c r="D45" s="31" t="str">
        <f>+VLOOKUP(B45,'INT Web'!$B$5:$Q$247,16,FALSE)</f>
        <v>USD</v>
      </c>
      <c r="E45" s="32" t="s">
        <v>346</v>
      </c>
      <c r="F45" s="33">
        <f>+IF($D45=$E45,VLOOKUP($B45,'INT Web'!$B$5:$W$247,'INT Web'!R$1,FALSE),MROUND(VLOOKUP($B45,'INT Web'!$B$5:$AQ$247,'INT Web'!AL$1,FALSE),1)-0.01)</f>
        <v>71.989999999999995</v>
      </c>
      <c r="G45" s="33">
        <f>+IF($D45=$E45,VLOOKUP($B45,'INT Web'!$B$5:$W$247,'INT Web'!S$1,FALSE),MROUND(VLOOKUP($B45,'INT Web'!$B$5:$AQ$247,'INT Web'!AM$1,FALSE),1)-0.01)</f>
        <v>11.99</v>
      </c>
      <c r="H45" s="33">
        <f>+IF($D45=$E45,VLOOKUP($B45,'INT Web'!$B$5:$W$247,'INT Web'!T$1,FALSE),MROUND(VLOOKUP($B45,'INT Web'!$B$5:$AQ$247,'INT Web'!AN$1,FALSE),1)-0.01)</f>
        <v>53.99</v>
      </c>
      <c r="I45" s="33">
        <f>+IF($D45=$E45,VLOOKUP($B45,'INT Web'!$B$5:$W$247,'INT Web'!U$1,FALSE),MROUND(VLOOKUP($B45,'INT Web'!$B$5:$AQ$247,'INT Web'!AO$1,FALSE),1)-0.01)</f>
        <v>8.99</v>
      </c>
      <c r="J45" s="34">
        <v>2.99</v>
      </c>
      <c r="K45" s="34">
        <v>2.99</v>
      </c>
      <c r="L45" s="34">
        <v>1.99</v>
      </c>
      <c r="M45" s="34">
        <v>1.99</v>
      </c>
      <c r="N45" s="35"/>
      <c r="O45" s="32" t="s">
        <v>364</v>
      </c>
      <c r="Q45" t="b">
        <f>+F45=VLOOKUP($B45,[5]Apple!$A$3:$L$176,F$1,FALSE)</f>
        <v>1</v>
      </c>
      <c r="R45" t="b">
        <f>+G45=VLOOKUP($B45,[5]Apple!$A$3:$L$176,G$1,FALSE)</f>
        <v>1</v>
      </c>
      <c r="S45" t="b">
        <f>+H45=VLOOKUP($B45,[5]Apple!$A$3:$L$176,H$1,FALSE)</f>
        <v>1</v>
      </c>
      <c r="T45" t="b">
        <f>+I45=VLOOKUP($B45,[5]Apple!$A$3:$L$176,I$1,FALSE)</f>
        <v>1</v>
      </c>
      <c r="U45" t="b">
        <f>+J45=VLOOKUP($B45,[5]Apple!$A$3:$L$176,J$1,FALSE)</f>
        <v>1</v>
      </c>
      <c r="V45" t="b">
        <f>+K45=VLOOKUP($B45,[5]Apple!$A$3:$L$176,K$1,FALSE)</f>
        <v>1</v>
      </c>
      <c r="W45" t="b">
        <f>+L45=VLOOKUP($B45,[5]Apple!$A$3:$L$176,L$1,FALSE)</f>
        <v>1</v>
      </c>
      <c r="X45" t="b">
        <f>+M45=VLOOKUP($B45,[5]Apple!$A$3:$L$176,M$1,FALSE)</f>
        <v>1</v>
      </c>
      <c r="Y45" s="31" t="str">
        <f>+VLOOKUP(C45,'Country &amp; Code Abbreviation'!$C$3:$D$245,2,FALSE)</f>
        <v>COD</v>
      </c>
    </row>
    <row r="46" spans="2:30">
      <c r="B46" t="s">
        <v>132</v>
      </c>
      <c r="C46" s="31" t="str">
        <f>+VLOOKUP(B46,'Country &amp; Code Abbreviation'!$B$3:$C$245,2,FALSE)</f>
        <v>DK</v>
      </c>
      <c r="D46" s="31" t="str">
        <f>+VLOOKUP(B46,'INT Web'!$B$5:$Q$247,16,FALSE)</f>
        <v>DKK</v>
      </c>
      <c r="E46" s="32" t="s">
        <v>374</v>
      </c>
      <c r="F46" s="72">
        <v>1300</v>
      </c>
      <c r="G46" s="72">
        <v>200</v>
      </c>
      <c r="H46" s="72">
        <v>900</v>
      </c>
      <c r="I46" s="72">
        <v>140</v>
      </c>
      <c r="J46" s="34">
        <v>49</v>
      </c>
      <c r="K46" s="34">
        <v>49</v>
      </c>
      <c r="L46" s="34">
        <v>25</v>
      </c>
      <c r="M46" s="34">
        <v>25</v>
      </c>
      <c r="N46" s="35"/>
      <c r="O46" s="32" t="s">
        <v>364</v>
      </c>
      <c r="Q46" t="b">
        <f>+F46=VLOOKUP($B46,[5]Apple!$A$3:$L$176,F$1,FALSE)</f>
        <v>1</v>
      </c>
      <c r="R46" t="b">
        <f>+G46=VLOOKUP($B46,[5]Apple!$A$3:$L$176,G$1,FALSE)</f>
        <v>1</v>
      </c>
      <c r="S46" t="b">
        <f>+H46=VLOOKUP($B46,[5]Apple!$A$3:$L$176,H$1,FALSE)</f>
        <v>1</v>
      </c>
      <c r="T46" t="b">
        <f>+I46=VLOOKUP($B46,[5]Apple!$A$3:$L$176,I$1,FALSE)</f>
        <v>1</v>
      </c>
      <c r="U46" t="b">
        <f>+J46=VLOOKUP($B46,[5]Apple!$A$3:$L$176,J$1,FALSE)</f>
        <v>1</v>
      </c>
      <c r="V46" t="b">
        <f>+K46=VLOOKUP($B46,[5]Apple!$A$3:$L$176,K$1,FALSE)</f>
        <v>1</v>
      </c>
      <c r="W46" t="b">
        <f>+L46=VLOOKUP($B46,[5]Apple!$A$3:$L$176,L$1,FALSE)</f>
        <v>1</v>
      </c>
      <c r="X46" t="b">
        <f>+M46=VLOOKUP($B46,[5]Apple!$A$3:$L$176,M$1,FALSE)</f>
        <v>1</v>
      </c>
      <c r="Y46" s="31" t="str">
        <f>+VLOOKUP(C46,'Country &amp; Code Abbreviation'!$C$3:$D$245,2,FALSE)</f>
        <v>DNK</v>
      </c>
    </row>
    <row r="47" spans="2:30">
      <c r="B47" t="s">
        <v>134</v>
      </c>
      <c r="C47" s="31" t="str">
        <f>+VLOOKUP(B47,'Country &amp; Code Abbreviation'!$B$3:$C$245,2,FALSE)</f>
        <v>DM</v>
      </c>
      <c r="D47" s="31" t="str">
        <f>+VLOOKUP(B47,'INT Web'!$B$5:$Q$247,16,FALSE)</f>
        <v>XCD</v>
      </c>
      <c r="E47" s="32" t="s">
        <v>346</v>
      </c>
      <c r="F47" s="33">
        <f>+IF($D47=$E47,VLOOKUP($B47,'INT Web'!$B$5:$W$247,'INT Web'!R$1,FALSE),MROUND(VLOOKUP($B47,'INT Web'!$B$5:$AQ$247,'INT Web'!AL$1,FALSE),1)-0.01)</f>
        <v>112.99</v>
      </c>
      <c r="G47" s="33">
        <f>+IF($D47=$E47,VLOOKUP($B47,'INT Web'!$B$5:$W$247,'INT Web'!S$1,FALSE),MROUND(VLOOKUP($B47,'INT Web'!$B$5:$AQ$247,'INT Web'!AM$1,FALSE),1)-0.01)</f>
        <v>18.989999999999998</v>
      </c>
      <c r="H47" s="33">
        <f>+IF($D47=$E47,VLOOKUP($B47,'INT Web'!$B$5:$W$247,'INT Web'!T$1,FALSE),MROUND(VLOOKUP($B47,'INT Web'!$B$5:$AQ$247,'INT Web'!AN$1,FALSE),1)-0.01)</f>
        <v>83.99</v>
      </c>
      <c r="I47" s="33">
        <f>+IF($D47=$E47,VLOOKUP($B47,'INT Web'!$B$5:$W$247,'INT Web'!U$1,FALSE),MROUND(VLOOKUP($B47,'INT Web'!$B$5:$AQ$247,'INT Web'!AO$1,FALSE),1)-0.01)</f>
        <v>13.99</v>
      </c>
      <c r="J47" s="34">
        <v>4.99</v>
      </c>
      <c r="K47" s="34">
        <v>3.99</v>
      </c>
      <c r="L47" s="34">
        <v>2.99</v>
      </c>
      <c r="M47" s="34">
        <v>1.99</v>
      </c>
      <c r="N47" s="35"/>
      <c r="O47" s="32" t="s">
        <v>366</v>
      </c>
      <c r="Q47" t="b">
        <f>+F47=VLOOKUP($B47,[5]Apple!$A$3:$L$176,F$1,FALSE)</f>
        <v>1</v>
      </c>
      <c r="R47" t="b">
        <f>+G47=VLOOKUP($B47,[5]Apple!$A$3:$L$176,G$1,FALSE)</f>
        <v>1</v>
      </c>
      <c r="S47" t="b">
        <f>+H47=VLOOKUP($B47,[5]Apple!$A$3:$L$176,H$1,FALSE)</f>
        <v>1</v>
      </c>
      <c r="T47" t="b">
        <f>+I47=VLOOKUP($B47,[5]Apple!$A$3:$L$176,I$1,FALSE)</f>
        <v>1</v>
      </c>
      <c r="U47" t="b">
        <f>+J47=VLOOKUP($B47,[5]Apple!$A$3:$L$176,J$1,FALSE)</f>
        <v>1</v>
      </c>
      <c r="V47" t="b">
        <f>+K47=VLOOKUP($B47,[5]Apple!$A$3:$L$176,K$1,FALSE)</f>
        <v>1</v>
      </c>
      <c r="W47" t="b">
        <f>+L47=VLOOKUP($B47,[5]Apple!$A$3:$L$176,L$1,FALSE)</f>
        <v>1</v>
      </c>
      <c r="X47" t="b">
        <f>+M47=VLOOKUP($B47,[5]Apple!$A$3:$L$176,M$1,FALSE)</f>
        <v>1</v>
      </c>
      <c r="Y47" s="31" t="str">
        <f>+VLOOKUP(C47,'Country &amp; Code Abbreviation'!$C$3:$D$245,2,FALSE)</f>
        <v>DMA</v>
      </c>
    </row>
    <row r="48" spans="2:30">
      <c r="B48" t="s">
        <v>135</v>
      </c>
      <c r="C48" s="31" t="str">
        <f>+VLOOKUP(B48,'Country &amp; Code Abbreviation'!$B$3:$C$245,2,FALSE)</f>
        <v>DO</v>
      </c>
      <c r="D48" s="31" t="str">
        <f>+VLOOKUP(B48,'INT Web'!$B$5:$Q$247,16,FALSE)</f>
        <v>DOP</v>
      </c>
      <c r="E48" s="32" t="s">
        <v>346</v>
      </c>
      <c r="F48" s="33">
        <f>+VLOOKUP($B48,[5]Apple!$A$4:$M$175,[5]Apple!E$1,FALSE)</f>
        <v>126.99</v>
      </c>
      <c r="G48" s="34">
        <v>19.989999999999998</v>
      </c>
      <c r="H48" s="34">
        <v>94.99</v>
      </c>
      <c r="I48" s="34">
        <v>15.99</v>
      </c>
      <c r="J48" s="34">
        <v>5.99</v>
      </c>
      <c r="K48" s="34">
        <v>4.99</v>
      </c>
      <c r="L48" s="34">
        <v>3.99</v>
      </c>
      <c r="M48" s="34">
        <v>2.99</v>
      </c>
      <c r="N48" s="35"/>
      <c r="O48" s="32" t="s">
        <v>366</v>
      </c>
      <c r="Q48" t="b">
        <f>+F48=VLOOKUP($B48,[5]Apple!$A$3:$L$176,F$1,FALSE)</f>
        <v>1</v>
      </c>
      <c r="R48" t="b">
        <f>+G48=VLOOKUP($B48,[5]Apple!$A$3:$L$176,G$1,FALSE)</f>
        <v>1</v>
      </c>
      <c r="S48" t="b">
        <f>+H48=VLOOKUP($B48,[5]Apple!$A$3:$L$176,H$1,FALSE)</f>
        <v>1</v>
      </c>
      <c r="T48" t="b">
        <f>+I48=VLOOKUP($B48,[5]Apple!$A$3:$L$176,I$1,FALSE)</f>
        <v>1</v>
      </c>
      <c r="U48" t="b">
        <f>+J48=VLOOKUP($B48,[5]Apple!$A$3:$L$176,J$1,FALSE)</f>
        <v>1</v>
      </c>
      <c r="V48" t="b">
        <f>+K48=VLOOKUP($B48,[5]Apple!$A$3:$L$176,K$1,FALSE)</f>
        <v>1</v>
      </c>
      <c r="W48" t="b">
        <f>+L48=VLOOKUP($B48,[5]Apple!$A$3:$L$176,L$1,FALSE)</f>
        <v>1</v>
      </c>
      <c r="X48" t="b">
        <f>+M48=VLOOKUP($B48,[5]Apple!$A$3:$L$176,M$1,FALSE)</f>
        <v>1</v>
      </c>
      <c r="Y48" s="31" t="str">
        <f>+VLOOKUP(C48,'Country &amp; Code Abbreviation'!$C$3:$D$245,2,FALSE)</f>
        <v>DOM</v>
      </c>
      <c r="AA48">
        <f>$I48/J48</f>
        <v>2.669449081803005</v>
      </c>
      <c r="AB48">
        <f t="shared" ref="AB48:AD48" si="10">$I48/K48</f>
        <v>3.2044088176352705</v>
      </c>
      <c r="AC48">
        <f t="shared" si="10"/>
        <v>4.007518796992481</v>
      </c>
      <c r="AD48">
        <f t="shared" si="10"/>
        <v>5.3478260869565215</v>
      </c>
    </row>
    <row r="49" spans="2:30">
      <c r="B49" t="s">
        <v>136</v>
      </c>
      <c r="C49" s="31" t="str">
        <f>+VLOOKUP(B49,'Country &amp; Code Abbreviation'!$B$3:$C$245,2,FALSE)</f>
        <v>EC</v>
      </c>
      <c r="D49" s="31" t="str">
        <f>+VLOOKUP(B49,'INT Web'!$B$5:$Q$247,16,FALSE)</f>
        <v>USD</v>
      </c>
      <c r="E49" s="32" t="s">
        <v>346</v>
      </c>
      <c r="F49" s="33">
        <f>+IF($D49=$E49,VLOOKUP($B49,'INT Web'!$B$5:$W$247,'INT Web'!R$1,FALSE),MROUND(VLOOKUP($B49,'INT Web'!$B$5:$AQ$247,'INT Web'!AL$1,FALSE),1)-0.01)</f>
        <v>102.99</v>
      </c>
      <c r="G49" s="33">
        <f>+IF($D49=$E49,VLOOKUP($B49,'INT Web'!$B$5:$W$247,'INT Web'!S$1,FALSE),MROUND(VLOOKUP($B49,'INT Web'!$B$5:$AQ$247,'INT Web'!AM$1,FALSE),1)-0.01)</f>
        <v>16.989999999999998</v>
      </c>
      <c r="H49" s="33">
        <f>+IF($D49=$E49,VLOOKUP($B49,'INT Web'!$B$5:$W$247,'INT Web'!T$1,FALSE),MROUND(VLOOKUP($B49,'INT Web'!$B$5:$AQ$247,'INT Web'!AN$1,FALSE),1)-0.01)</f>
        <v>71.989999999999995</v>
      </c>
      <c r="I49" s="33">
        <f>+IF($D49=$E49,VLOOKUP($B49,'INT Web'!$B$5:$W$247,'INT Web'!U$1,FALSE),MROUND(VLOOKUP($B49,'INT Web'!$B$5:$AQ$247,'INT Web'!AO$1,FALSE),1)-0.01)</f>
        <v>11.99</v>
      </c>
      <c r="J49" s="34">
        <v>4.99</v>
      </c>
      <c r="K49" s="34">
        <v>3.99</v>
      </c>
      <c r="L49" s="34">
        <v>2.99</v>
      </c>
      <c r="M49" s="34">
        <v>1.99</v>
      </c>
      <c r="N49" s="35"/>
      <c r="O49" s="32" t="s">
        <v>366</v>
      </c>
      <c r="Q49" t="b">
        <f>+F49=VLOOKUP($B49,[5]Apple!$A$3:$L$176,F$1,FALSE)</f>
        <v>1</v>
      </c>
      <c r="R49" t="b">
        <f>+G49=VLOOKUP($B49,[5]Apple!$A$3:$L$176,G$1,FALSE)</f>
        <v>1</v>
      </c>
      <c r="S49" t="b">
        <f>+H49=VLOOKUP($B49,[5]Apple!$A$3:$L$176,H$1,FALSE)</f>
        <v>1</v>
      </c>
      <c r="T49" t="b">
        <f>+I49=VLOOKUP($B49,[5]Apple!$A$3:$L$176,I$1,FALSE)</f>
        <v>1</v>
      </c>
      <c r="U49" t="b">
        <f>+J49=VLOOKUP($B49,[5]Apple!$A$3:$L$176,J$1,FALSE)</f>
        <v>1</v>
      </c>
      <c r="V49" t="b">
        <f>+K49=VLOOKUP($B49,[5]Apple!$A$3:$L$176,K$1,FALSE)</f>
        <v>1</v>
      </c>
      <c r="W49" t="b">
        <f>+L49=VLOOKUP($B49,[5]Apple!$A$3:$L$176,L$1,FALSE)</f>
        <v>1</v>
      </c>
      <c r="X49" t="b">
        <f>+M49=VLOOKUP($B49,[5]Apple!$A$3:$L$176,M$1,FALSE)</f>
        <v>1</v>
      </c>
      <c r="Y49" s="31" t="str">
        <f>+VLOOKUP(C49,'Country &amp; Code Abbreviation'!$C$3:$D$245,2,FALSE)</f>
        <v>ECU</v>
      </c>
    </row>
    <row r="50" spans="2:30">
      <c r="B50" t="s">
        <v>137</v>
      </c>
      <c r="C50" s="31" t="str">
        <f>+VLOOKUP(B50,'Country &amp; Code Abbreviation'!$B$3:$C$245,2,FALSE)</f>
        <v>EG</v>
      </c>
      <c r="D50" s="31" t="str">
        <f>+VLOOKUP(B50,'INT Web'!$B$5:$Q$247,16,FALSE)</f>
        <v>EGP</v>
      </c>
      <c r="E50" s="32" t="s">
        <v>375</v>
      </c>
      <c r="F50" s="72">
        <v>2349.9899999999998</v>
      </c>
      <c r="G50" s="33">
        <f>+IF($D50=$E50,VLOOKUP($B50,'INT Web'!$B$5:$W$247,'INT Web'!S$1,FALSE),MROUND(VLOOKUP($B50,'INT Web'!$B$5:$AQ$247,'INT Web'!AM$1,FALSE),1)-0.01)</f>
        <v>399</v>
      </c>
      <c r="H50" s="72">
        <v>1569.99</v>
      </c>
      <c r="I50" s="33">
        <f>+IF($D50=$E50,VLOOKUP($B50,'INT Web'!$B$5:$W$247,'INT Web'!U$1,FALSE),MROUND(VLOOKUP($B50,'INT Web'!$B$5:$AQ$247,'INT Web'!AO$1,FALSE),1)-0.01)</f>
        <v>259</v>
      </c>
      <c r="J50" s="34">
        <v>94.99</v>
      </c>
      <c r="K50" s="34">
        <v>94.99</v>
      </c>
      <c r="L50" s="34">
        <v>54.99</v>
      </c>
      <c r="M50" s="34">
        <v>54.99</v>
      </c>
      <c r="N50" s="35"/>
      <c r="O50" s="32" t="s">
        <v>364</v>
      </c>
      <c r="Q50" t="b">
        <f>+F50=VLOOKUP($B50,[5]Apple!$A$3:$L$176,F$1,FALSE)</f>
        <v>1</v>
      </c>
      <c r="R50" t="b">
        <f>+G50=VLOOKUP($B50,[5]Apple!$A$3:$L$176,G$1,FALSE)</f>
        <v>1</v>
      </c>
      <c r="S50" t="b">
        <f>+H50=VLOOKUP($B50,[5]Apple!$A$3:$L$176,H$1,FALSE)</f>
        <v>1</v>
      </c>
      <c r="T50" t="b">
        <f>+I50=VLOOKUP($B50,[5]Apple!$A$3:$L$176,I$1,FALSE)</f>
        <v>1</v>
      </c>
      <c r="U50" t="b">
        <f>+J50=VLOOKUP($B50,[5]Apple!$A$3:$L$176,J$1,FALSE)</f>
        <v>1</v>
      </c>
      <c r="V50" t="b">
        <f>+K50=VLOOKUP($B50,[5]Apple!$A$3:$L$176,K$1,FALSE)</f>
        <v>1</v>
      </c>
      <c r="W50" t="b">
        <f>+L50=VLOOKUP($B50,[5]Apple!$A$3:$L$176,L$1,FALSE)</f>
        <v>1</v>
      </c>
      <c r="X50" t="b">
        <f>+M50=VLOOKUP($B50,[5]Apple!$A$3:$L$176,M$1,FALSE)</f>
        <v>1</v>
      </c>
      <c r="Y50" s="31" t="str">
        <f>+VLOOKUP(C50,'Country &amp; Code Abbreviation'!$C$3:$D$245,2,FALSE)</f>
        <v>EGY</v>
      </c>
    </row>
    <row r="51" spans="2:30">
      <c r="B51" t="s">
        <v>138</v>
      </c>
      <c r="C51" s="31" t="str">
        <f>+VLOOKUP(B51,'Country &amp; Code Abbreviation'!$B$3:$C$245,2,FALSE)</f>
        <v>SV</v>
      </c>
      <c r="D51" s="31" t="str">
        <f>+VLOOKUP(B51,'INT Web'!$B$5:$Q$247,16,FALSE)</f>
        <v>USD</v>
      </c>
      <c r="E51" s="32" t="s">
        <v>346</v>
      </c>
      <c r="F51" s="33">
        <f>+IF($D51=$E51,VLOOKUP($B51,'INT Web'!$B$5:$W$247,'INT Web'!R$1,FALSE),MROUND(VLOOKUP($B51,'INT Web'!$B$5:$AQ$247,'INT Web'!AL$1,FALSE),1)-0.01)</f>
        <v>96.99</v>
      </c>
      <c r="G51" s="33">
        <f>+IF($D51=$E51,VLOOKUP($B51,'INT Web'!$B$5:$W$247,'INT Web'!S$1,FALSE),MROUND(VLOOKUP($B51,'INT Web'!$B$5:$AQ$247,'INT Web'!AM$1,FALSE),1)-0.01)</f>
        <v>15.99</v>
      </c>
      <c r="H51" s="33">
        <f>+IF($D51=$E51,VLOOKUP($B51,'INT Web'!$B$5:$W$247,'INT Web'!T$1,FALSE),MROUND(VLOOKUP($B51,'INT Web'!$B$5:$AQ$247,'INT Web'!AN$1,FALSE),1)-0.01)</f>
        <v>65.989999999999995</v>
      </c>
      <c r="I51" s="33">
        <f>+IF($D51=$E51,VLOOKUP($B51,'INT Web'!$B$5:$W$247,'INT Web'!U$1,FALSE),MROUND(VLOOKUP($B51,'INT Web'!$B$5:$AQ$247,'INT Web'!AO$1,FALSE),1)-0.01)</f>
        <v>10.99</v>
      </c>
      <c r="J51" s="34">
        <v>4.99</v>
      </c>
      <c r="K51" s="34">
        <v>3.99</v>
      </c>
      <c r="L51" s="34">
        <v>2.99</v>
      </c>
      <c r="M51" s="34">
        <v>1.99</v>
      </c>
      <c r="N51" s="35"/>
      <c r="O51" s="32" t="s">
        <v>366</v>
      </c>
      <c r="Q51" t="b">
        <f>+F51=VLOOKUP($B51,[5]Apple!$A$3:$L$176,F$1,FALSE)</f>
        <v>1</v>
      </c>
      <c r="R51" t="b">
        <f>+G51=VLOOKUP($B51,[5]Apple!$A$3:$L$176,G$1,FALSE)</f>
        <v>1</v>
      </c>
      <c r="S51" t="b">
        <f>+H51=VLOOKUP($B51,[5]Apple!$A$3:$L$176,H$1,FALSE)</f>
        <v>1</v>
      </c>
      <c r="T51" t="b">
        <f>+I51=VLOOKUP($B51,[5]Apple!$A$3:$L$176,I$1,FALSE)</f>
        <v>1</v>
      </c>
      <c r="U51" t="b">
        <f>+J51=VLOOKUP($B51,[5]Apple!$A$3:$L$176,J$1,FALSE)</f>
        <v>1</v>
      </c>
      <c r="V51" t="b">
        <f>+K51=VLOOKUP($B51,[5]Apple!$A$3:$L$176,K$1,FALSE)</f>
        <v>1</v>
      </c>
      <c r="W51" t="b">
        <f>+L51=VLOOKUP($B51,[5]Apple!$A$3:$L$176,L$1,FALSE)</f>
        <v>1</v>
      </c>
      <c r="X51" t="b">
        <f>+M51=VLOOKUP($B51,[5]Apple!$A$3:$L$176,M$1,FALSE)</f>
        <v>1</v>
      </c>
      <c r="Y51" s="31" t="str">
        <f>+VLOOKUP(C51,'Country &amp; Code Abbreviation'!$C$3:$D$245,2,FALSE)</f>
        <v>SLV</v>
      </c>
    </row>
    <row r="52" spans="2:30">
      <c r="B52" t="s">
        <v>141</v>
      </c>
      <c r="C52" s="31" t="str">
        <f>+VLOOKUP(B52,'Country &amp; Code Abbreviation'!$B$3:$C$245,2,FALSE)</f>
        <v>EE</v>
      </c>
      <c r="D52" s="31" t="str">
        <f>+VLOOKUP(B52,'INT Web'!$B$5:$Q$247,16,FALSE)</f>
        <v>EUR</v>
      </c>
      <c r="E52" s="32" t="s">
        <v>368</v>
      </c>
      <c r="F52" s="33">
        <f>+IF($D52=$E52,VLOOKUP($B52,'INT Web'!$B$5:$W$247,'INT Web'!R$1,FALSE),MROUND(VLOOKUP($B52,'INT Web'!$B$5:$AQ$247,'INT Web'!AL$1,FALSE),1)-0.01)</f>
        <v>99.99</v>
      </c>
      <c r="G52" s="33">
        <f>+IF($D52=$E52,VLOOKUP($B52,'INT Web'!$B$5:$W$247,'INT Web'!S$1,FALSE),MROUND(VLOOKUP($B52,'INT Web'!$B$5:$AQ$247,'INT Web'!AM$1,FALSE),1)-0.01)</f>
        <v>15.99</v>
      </c>
      <c r="H52" s="33">
        <f>+IF($D52=$E52,VLOOKUP($B52,'INT Web'!$B$5:$W$247,'INT Web'!T$1,FALSE),MROUND(VLOOKUP($B52,'INT Web'!$B$5:$AQ$247,'INT Web'!AN$1,FALSE),1)-0.01)</f>
        <v>74.989999999999995</v>
      </c>
      <c r="I52" s="33">
        <f>+IF($D52=$E52,VLOOKUP($B52,'INT Web'!$B$5:$W$247,'INT Web'!U$1,FALSE),MROUND(VLOOKUP($B52,'INT Web'!$B$5:$AQ$247,'INT Web'!AO$1,FALSE),1)-0.01)</f>
        <v>11.99</v>
      </c>
      <c r="J52" s="34">
        <v>4.99</v>
      </c>
      <c r="K52" s="34">
        <v>3.99</v>
      </c>
      <c r="L52" s="34">
        <v>2.99</v>
      </c>
      <c r="M52" s="34">
        <v>1.99</v>
      </c>
      <c r="N52" s="35"/>
      <c r="O52" s="32" t="s">
        <v>366</v>
      </c>
      <c r="Q52" t="b">
        <f>+F52=VLOOKUP($B52,[5]Apple!$A$3:$L$176,F$1,FALSE)</f>
        <v>1</v>
      </c>
      <c r="R52" t="b">
        <f>+G52=VLOOKUP($B52,[5]Apple!$A$3:$L$176,G$1,FALSE)</f>
        <v>1</v>
      </c>
      <c r="S52" t="b">
        <f>+H52=VLOOKUP($B52,[5]Apple!$A$3:$L$176,H$1,FALSE)</f>
        <v>1</v>
      </c>
      <c r="T52" t="b">
        <f>+I52=VLOOKUP($B52,[5]Apple!$A$3:$L$176,I$1,FALSE)</f>
        <v>1</v>
      </c>
      <c r="U52" t="b">
        <f>+J52=VLOOKUP($B52,[5]Apple!$A$3:$L$176,J$1,FALSE)</f>
        <v>1</v>
      </c>
      <c r="V52" t="b">
        <f>+K52=VLOOKUP($B52,[5]Apple!$A$3:$L$176,K$1,FALSE)</f>
        <v>1</v>
      </c>
      <c r="W52" t="b">
        <f>+L52=VLOOKUP($B52,[5]Apple!$A$3:$L$176,L$1,FALSE)</f>
        <v>1</v>
      </c>
      <c r="X52" t="b">
        <f>+M52=VLOOKUP($B52,[5]Apple!$A$3:$L$176,M$1,FALSE)</f>
        <v>1</v>
      </c>
      <c r="Y52" s="31" t="str">
        <f>+VLOOKUP(C52,'Country &amp; Code Abbreviation'!$C$3:$D$245,2,FALSE)</f>
        <v>EST</v>
      </c>
    </row>
    <row r="53" spans="2:30">
      <c r="B53" t="s">
        <v>142</v>
      </c>
      <c r="C53" s="31" t="str">
        <f>+VLOOKUP(B53,'Country &amp; Code Abbreviation'!$B$3:$C$245,2,FALSE)</f>
        <v>SZ</v>
      </c>
      <c r="D53" s="31" t="str">
        <f>+VLOOKUP(B53,'INT Web'!$B$5:$Q$247,16,FALSE)</f>
        <v>SZL</v>
      </c>
      <c r="E53" s="32" t="s">
        <v>346</v>
      </c>
      <c r="F53" s="33">
        <f>+VLOOKUP($B53,[5]Apple!$A$4:$M$175,[5]Apple!E$1,FALSE)</f>
        <v>71.989999999999995</v>
      </c>
      <c r="G53" s="72">
        <v>11.99</v>
      </c>
      <c r="H53" s="33">
        <f>+VLOOKUP($B53,[5]Apple!$A$4:$M$175,[5]Apple!G$1,FALSE)</f>
        <v>52.99</v>
      </c>
      <c r="I53" s="72">
        <v>8.99</v>
      </c>
      <c r="J53" s="34">
        <v>2.99</v>
      </c>
      <c r="K53" s="34">
        <v>2.99</v>
      </c>
      <c r="L53" s="34">
        <v>1.99</v>
      </c>
      <c r="M53" s="34">
        <v>1.99</v>
      </c>
      <c r="N53" s="35"/>
      <c r="O53" s="32" t="s">
        <v>364</v>
      </c>
      <c r="Q53" t="b">
        <f>+F53=VLOOKUP($B53,[5]Apple!$A$3:$L$176,F$1,FALSE)</f>
        <v>1</v>
      </c>
      <c r="R53" t="b">
        <f>+G53=VLOOKUP($B53,[5]Apple!$A$3:$L$176,G$1,FALSE)</f>
        <v>1</v>
      </c>
      <c r="S53" t="b">
        <f>+H53=VLOOKUP($B53,[5]Apple!$A$3:$L$176,H$1,FALSE)</f>
        <v>1</v>
      </c>
      <c r="T53" t="b">
        <f>+I53=VLOOKUP($B53,[5]Apple!$A$3:$L$176,I$1,FALSE)</f>
        <v>1</v>
      </c>
      <c r="U53" t="b">
        <f>+J53=VLOOKUP($B53,[5]Apple!$A$3:$L$176,J$1,FALSE)</f>
        <v>1</v>
      </c>
      <c r="V53" t="b">
        <f>+K53=VLOOKUP($B53,[5]Apple!$A$3:$L$176,K$1,FALSE)</f>
        <v>1</v>
      </c>
      <c r="W53" t="b">
        <f>+L53=VLOOKUP($B53,[5]Apple!$A$3:$L$176,L$1,FALSE)</f>
        <v>1</v>
      </c>
      <c r="X53" t="b">
        <f>+M53=VLOOKUP($B53,[5]Apple!$A$3:$L$176,M$1,FALSE)</f>
        <v>1</v>
      </c>
      <c r="Y53" s="31" t="str">
        <f>+VLOOKUP(C53,'Country &amp; Code Abbreviation'!$C$3:$D$245,2,FALSE)</f>
        <v>SWZ</v>
      </c>
    </row>
    <row r="54" spans="2:30">
      <c r="B54" t="s">
        <v>146</v>
      </c>
      <c r="C54" s="31" t="str">
        <f>+VLOOKUP(B54,'Country &amp; Code Abbreviation'!$B$3:$C$245,2,FALSE)</f>
        <v>FJ</v>
      </c>
      <c r="D54" s="31" t="str">
        <f>+VLOOKUP(B54,'INT Web'!$B$5:$Q$247,16,FALSE)</f>
        <v>FJD</v>
      </c>
      <c r="E54" s="32" t="s">
        <v>346</v>
      </c>
      <c r="F54" s="34">
        <v>81.99</v>
      </c>
      <c r="G54" s="34">
        <v>13.99</v>
      </c>
      <c r="H54" s="34">
        <v>59.99</v>
      </c>
      <c r="I54" s="33">
        <f>+IF($D54=$E54,VLOOKUP($B54,'INT Web'!$B$5:$W$247,'INT Web'!U$1,FALSE),MROUND(VLOOKUP($B54,'INT Web'!$B$5:$AQ$247,'INT Web'!AO$1,FALSE),1)-0.01)</f>
        <v>9.99</v>
      </c>
      <c r="J54" s="34">
        <v>3.99</v>
      </c>
      <c r="K54" s="34">
        <v>3.99</v>
      </c>
      <c r="L54" s="34">
        <v>1.99</v>
      </c>
      <c r="M54" s="34">
        <v>1.99</v>
      </c>
      <c r="N54" s="35"/>
      <c r="O54" s="32" t="s">
        <v>364</v>
      </c>
      <c r="Q54" t="b">
        <f>+F54=VLOOKUP($B54,[5]Apple!$A$3:$L$176,F$1,FALSE)</f>
        <v>1</v>
      </c>
      <c r="R54" t="b">
        <f>+G54=VLOOKUP($B54,[5]Apple!$A$3:$L$176,G$1,FALSE)</f>
        <v>1</v>
      </c>
      <c r="S54" t="b">
        <f>+H54=VLOOKUP($B54,[5]Apple!$A$3:$L$176,H$1,FALSE)</f>
        <v>1</v>
      </c>
      <c r="T54" t="b">
        <f>+I54=VLOOKUP($B54,[5]Apple!$A$3:$L$176,I$1,FALSE)</f>
        <v>1</v>
      </c>
      <c r="U54" t="b">
        <f>+J54=VLOOKUP($B54,[5]Apple!$A$3:$L$176,J$1,FALSE)</f>
        <v>1</v>
      </c>
      <c r="V54" t="b">
        <f>+K54=VLOOKUP($B54,[5]Apple!$A$3:$L$176,K$1,FALSE)</f>
        <v>1</v>
      </c>
      <c r="W54" t="b">
        <f>+L54=VLOOKUP($B54,[5]Apple!$A$3:$L$176,L$1,FALSE)</f>
        <v>1</v>
      </c>
      <c r="X54" t="b">
        <f>+M54=VLOOKUP($B54,[5]Apple!$A$3:$L$176,M$1,FALSE)</f>
        <v>1</v>
      </c>
      <c r="Y54" s="31" t="str">
        <f>+VLOOKUP(C54,'Country &amp; Code Abbreviation'!$C$3:$D$245,2,FALSE)</f>
        <v>FJI</v>
      </c>
    </row>
    <row r="55" spans="2:30">
      <c r="B55" t="s">
        <v>147</v>
      </c>
      <c r="C55" s="31" t="str">
        <f>+VLOOKUP(B55,'Country &amp; Code Abbreviation'!$B$3:$C$245,2,FALSE)</f>
        <v>FI</v>
      </c>
      <c r="D55" s="31" t="str">
        <f>+VLOOKUP(B55,'INT Web'!$B$5:$Q$247,16,FALSE)</f>
        <v>EUR</v>
      </c>
      <c r="E55" s="32" t="s">
        <v>368</v>
      </c>
      <c r="F55" s="33">
        <f>+IF($D55=$E55,VLOOKUP($B55,'INT Web'!$B$5:$W$247,'INT Web'!R$1,FALSE),MROUND(VLOOKUP($B55,'INT Web'!$B$5:$AQ$247,'INT Web'!AL$1,FALSE),1)-0.01)</f>
        <v>129.99</v>
      </c>
      <c r="G55" s="33">
        <f>+IF($D55=$E55,VLOOKUP($B55,'INT Web'!$B$5:$W$247,'INT Web'!S$1,FALSE),MROUND(VLOOKUP($B55,'INT Web'!$B$5:$AQ$247,'INT Web'!AM$1,FALSE),1)-0.01)</f>
        <v>19.989999999999998</v>
      </c>
      <c r="H55" s="33">
        <f>+IF($D55=$E55,VLOOKUP($B55,'INT Web'!$B$5:$W$247,'INT Web'!T$1,FALSE),MROUND(VLOOKUP($B55,'INT Web'!$B$5:$AQ$247,'INT Web'!AN$1,FALSE),1)-0.01)</f>
        <v>99.99</v>
      </c>
      <c r="I55" s="33">
        <f>+IF($D55=$E55,VLOOKUP($B55,'INT Web'!$B$5:$W$247,'INT Web'!U$1,FALSE),MROUND(VLOOKUP($B55,'INT Web'!$B$5:$AQ$247,'INT Web'!AO$1,FALSE),1)-0.01)</f>
        <v>14.99</v>
      </c>
      <c r="J55" s="34">
        <v>4.99</v>
      </c>
      <c r="K55" s="34">
        <v>3.99</v>
      </c>
      <c r="L55" s="34">
        <v>2.99</v>
      </c>
      <c r="M55" s="34">
        <v>1.99</v>
      </c>
      <c r="N55" s="35"/>
      <c r="O55" s="32" t="s">
        <v>366</v>
      </c>
      <c r="Q55" t="b">
        <f>+F55=VLOOKUP($B55,[5]Apple!$A$3:$L$176,F$1,FALSE)</f>
        <v>1</v>
      </c>
      <c r="R55" t="b">
        <f>+G55=VLOOKUP($B55,[5]Apple!$A$3:$L$176,G$1,FALSE)</f>
        <v>1</v>
      </c>
      <c r="S55" t="b">
        <f>+H55=VLOOKUP($B55,[5]Apple!$A$3:$L$176,H$1,FALSE)</f>
        <v>1</v>
      </c>
      <c r="T55" t="b">
        <f>+I55=VLOOKUP($B55,[5]Apple!$A$3:$L$176,I$1,FALSE)</f>
        <v>1</v>
      </c>
      <c r="U55" t="b">
        <f>+J55=VLOOKUP($B55,[5]Apple!$A$3:$L$176,J$1,FALSE)</f>
        <v>1</v>
      </c>
      <c r="V55" t="b">
        <f>+K55=VLOOKUP($B55,[5]Apple!$A$3:$L$176,K$1,FALSE)</f>
        <v>1</v>
      </c>
      <c r="W55" t="b">
        <f>+L55=VLOOKUP($B55,[5]Apple!$A$3:$L$176,L$1,FALSE)</f>
        <v>1</v>
      </c>
      <c r="X55" t="b">
        <f>+M55=VLOOKUP($B55,[5]Apple!$A$3:$L$176,M$1,FALSE)</f>
        <v>1</v>
      </c>
      <c r="Y55" s="31" t="str">
        <f>+VLOOKUP(C55,'Country &amp; Code Abbreviation'!$C$3:$D$245,2,FALSE)</f>
        <v>FIN</v>
      </c>
    </row>
    <row r="56" spans="2:30">
      <c r="B56" t="s">
        <v>148</v>
      </c>
      <c r="C56" s="31" t="str">
        <f>+VLOOKUP(B56,'Country &amp; Code Abbreviation'!$B$3:$C$245,2,FALSE)</f>
        <v>FR</v>
      </c>
      <c r="D56" s="31" t="str">
        <f>+VLOOKUP(B56,'INT Web'!$B$5:$Q$247,16,FALSE)</f>
        <v>EUR</v>
      </c>
      <c r="E56" s="32" t="s">
        <v>368</v>
      </c>
      <c r="F56" s="33">
        <f>+IF($D56=$E56,VLOOKUP($B56,'INT Web'!$B$5:$W$247,'INT Web'!R$1,FALSE),MROUND(VLOOKUP($B56,'INT Web'!$B$5:$AQ$247,'INT Web'!AL$1,FALSE),1)-0.01)</f>
        <v>199.99</v>
      </c>
      <c r="G56" s="33">
        <f>+IF($D56=$E56,VLOOKUP($B56,'INT Web'!$B$5:$W$247,'INT Web'!S$1,FALSE),MROUND(VLOOKUP($B56,'INT Web'!$B$5:$AQ$247,'INT Web'!AM$1,FALSE),1)-0.01)</f>
        <v>28.99</v>
      </c>
      <c r="H56" s="33">
        <f>+IF($D56=$E56,VLOOKUP($B56,'INT Web'!$B$5:$W$247,'INT Web'!T$1,FALSE),MROUND(VLOOKUP($B56,'INT Web'!$B$5:$AQ$247,'INT Web'!AN$1,FALSE),1)-0.01)</f>
        <v>146.99</v>
      </c>
      <c r="I56" s="33">
        <f>+IF($D56=$E56,VLOOKUP($B56,'INT Web'!$B$5:$W$247,'INT Web'!U$1,FALSE),MROUND(VLOOKUP($B56,'INT Web'!$B$5:$AQ$247,'INT Web'!AO$1,FALSE),1)-0.01)</f>
        <v>21.99</v>
      </c>
      <c r="J56" s="34">
        <v>7.99</v>
      </c>
      <c r="K56" s="108">
        <f>J56-2</f>
        <v>5.99</v>
      </c>
      <c r="L56" s="108">
        <f t="shared" ref="L56:M56" si="11">K56-2</f>
        <v>3.99</v>
      </c>
      <c r="M56" s="108">
        <f t="shared" si="11"/>
        <v>1.9900000000000002</v>
      </c>
      <c r="N56" s="35"/>
      <c r="O56" s="32" t="s">
        <v>366</v>
      </c>
      <c r="Q56" t="b">
        <f>+F56=VLOOKUP($B56,[5]Apple!$A$3:$L$176,F$1,FALSE)</f>
        <v>1</v>
      </c>
      <c r="R56" t="b">
        <f>+G56=VLOOKUP($B56,[5]Apple!$A$3:$L$176,G$1,FALSE)</f>
        <v>1</v>
      </c>
      <c r="S56" t="b">
        <f>+H56=VLOOKUP($B56,[5]Apple!$A$3:$L$176,H$1,FALSE)</f>
        <v>1</v>
      </c>
      <c r="T56" t="b">
        <f>+I56=VLOOKUP($B56,[5]Apple!$A$3:$L$176,I$1,FALSE)</f>
        <v>1</v>
      </c>
      <c r="U56" t="b">
        <f>+J56=VLOOKUP($B56,[5]Apple!$A$3:$L$176,J$1,FALSE)</f>
        <v>1</v>
      </c>
      <c r="V56" t="b">
        <f>+K56=VLOOKUP($B56,[5]Apple!$A$3:$L$176,K$1,FALSE)</f>
        <v>1</v>
      </c>
      <c r="W56" t="b">
        <f>+L56=VLOOKUP($B56,[5]Apple!$A$3:$L$176,L$1,FALSE)</f>
        <v>1</v>
      </c>
      <c r="X56" t="b">
        <f>+M56=VLOOKUP($B56,[5]Apple!$A$3:$L$176,M$1,FALSE)</f>
        <v>1</v>
      </c>
      <c r="Y56" s="31" t="str">
        <f>+VLOOKUP(C56,'Country &amp; Code Abbreviation'!$C$3:$D$245,2,FALSE)</f>
        <v>FRA</v>
      </c>
    </row>
    <row r="57" spans="2:30">
      <c r="B57" t="s">
        <v>152</v>
      </c>
      <c r="C57" s="31" t="str">
        <f>+VLOOKUP(B57,'Country &amp; Code Abbreviation'!$B$3:$C$245,2,FALSE)</f>
        <v>GA</v>
      </c>
      <c r="D57" s="31" t="str">
        <f>+VLOOKUP(B57,'INT Web'!$B$5:$Q$247,16,FALSE)</f>
        <v>XAF</v>
      </c>
      <c r="E57" s="32" t="s">
        <v>346</v>
      </c>
      <c r="F57" s="34">
        <v>54.99</v>
      </c>
      <c r="G57" s="33">
        <f>+VLOOKUP($B57,[5]Apple!$A$4:$M$175,[5]Apple!F$1,FALSE)</f>
        <v>8.99</v>
      </c>
      <c r="H57" s="33">
        <f>+VLOOKUP($B57,[5]Apple!$A$4:$M$175,[5]Apple!G$1,FALSE)</f>
        <v>41.99</v>
      </c>
      <c r="I57" s="33">
        <f>+VLOOKUP($B57,[5]Apple!$A$4:$M$175,[5]Apple!H$1,FALSE)</f>
        <v>6.99</v>
      </c>
      <c r="J57" s="34">
        <v>2.99</v>
      </c>
      <c r="K57" s="34">
        <v>2.99</v>
      </c>
      <c r="L57" s="34">
        <v>1.99</v>
      </c>
      <c r="M57" s="34">
        <v>1.99</v>
      </c>
      <c r="N57" s="35"/>
      <c r="O57" s="32" t="s">
        <v>364</v>
      </c>
      <c r="Q57" t="b">
        <f>+F57=VLOOKUP($B57,[5]Apple!$A$3:$L$176,F$1,FALSE)</f>
        <v>1</v>
      </c>
      <c r="R57" t="b">
        <f>+G57=VLOOKUP($B57,[5]Apple!$A$3:$L$176,G$1,FALSE)</f>
        <v>1</v>
      </c>
      <c r="S57" t="b">
        <f>+H57=VLOOKUP($B57,[5]Apple!$A$3:$L$176,H$1,FALSE)</f>
        <v>1</v>
      </c>
      <c r="T57" t="b">
        <f>+I57=VLOOKUP($B57,[5]Apple!$A$3:$L$176,I$1,FALSE)</f>
        <v>1</v>
      </c>
      <c r="U57" t="b">
        <f>+J57=VLOOKUP($B57,[5]Apple!$A$3:$L$176,J$1,FALSE)</f>
        <v>1</v>
      </c>
      <c r="V57" t="b">
        <f>+K57=VLOOKUP($B57,[5]Apple!$A$3:$L$176,K$1,FALSE)</f>
        <v>1</v>
      </c>
      <c r="W57" t="b">
        <f>+L57=VLOOKUP($B57,[5]Apple!$A$3:$L$176,L$1,FALSE)</f>
        <v>1</v>
      </c>
      <c r="X57" t="b">
        <f>+M57=VLOOKUP($B57,[5]Apple!$A$3:$L$176,M$1,FALSE)</f>
        <v>1</v>
      </c>
      <c r="Y57" s="31" t="str">
        <f>+VLOOKUP(C57,'Country &amp; Code Abbreviation'!$C$3:$D$245,2,FALSE)</f>
        <v>GAB</v>
      </c>
    </row>
    <row r="58" spans="2:30">
      <c r="B58" t="s">
        <v>153</v>
      </c>
      <c r="C58" s="31" t="str">
        <f>+VLOOKUP(B58,'Country &amp; Code Abbreviation'!$B$3:$C$245,2,FALSE)</f>
        <v>GM</v>
      </c>
      <c r="D58" s="31" t="str">
        <f>+VLOOKUP(B58,'INT Web'!$B$5:$Q$247,16,FALSE)</f>
        <v>GMD</v>
      </c>
      <c r="E58" s="32" t="s">
        <v>346</v>
      </c>
      <c r="F58" s="34">
        <v>74.989999999999995</v>
      </c>
      <c r="G58" s="34">
        <v>13.99</v>
      </c>
      <c r="H58" s="34">
        <v>59.99</v>
      </c>
      <c r="I58" s="34">
        <v>9.99</v>
      </c>
      <c r="J58" s="34">
        <v>3.99</v>
      </c>
      <c r="K58" s="34">
        <v>2.99</v>
      </c>
      <c r="L58" s="34">
        <v>1.99</v>
      </c>
      <c r="M58" s="34">
        <v>0.99</v>
      </c>
      <c r="N58" s="35"/>
      <c r="O58" s="32" t="s">
        <v>366</v>
      </c>
      <c r="Q58" t="b">
        <f>+F58=VLOOKUP($B58,[5]Apple!$A$3:$L$176,F$1,FALSE)</f>
        <v>1</v>
      </c>
      <c r="R58" t="b">
        <f>+G58=VLOOKUP($B58,[5]Apple!$A$3:$L$176,G$1,FALSE)</f>
        <v>1</v>
      </c>
      <c r="S58" t="b">
        <f>+H58=VLOOKUP($B58,[5]Apple!$A$3:$L$176,H$1,FALSE)</f>
        <v>1</v>
      </c>
      <c r="T58" t="b">
        <f>+I58=VLOOKUP($B58,[5]Apple!$A$3:$L$176,I$1,FALSE)</f>
        <v>1</v>
      </c>
      <c r="U58" t="b">
        <f>+J58=VLOOKUP($B58,[5]Apple!$A$3:$L$176,J$1,FALSE)</f>
        <v>1</v>
      </c>
      <c r="V58" t="b">
        <f>+K58=VLOOKUP($B58,[5]Apple!$A$3:$L$176,K$1,FALSE)</f>
        <v>1</v>
      </c>
      <c r="W58" t="b">
        <f>+L58=VLOOKUP($B58,[5]Apple!$A$3:$L$176,L$1,FALSE)</f>
        <v>1</v>
      </c>
      <c r="X58" t="b">
        <f>+M58=VLOOKUP($B58,[5]Apple!$A$3:$L$176,M$1,FALSE)</f>
        <v>1</v>
      </c>
      <c r="Y58" s="31" t="str">
        <f>+VLOOKUP(C58,'Country &amp; Code Abbreviation'!$C$3:$D$245,2,FALSE)</f>
        <v>GMB</v>
      </c>
    </row>
    <row r="59" spans="2:30">
      <c r="B59" t="s">
        <v>154</v>
      </c>
      <c r="C59" s="31" t="str">
        <f>+VLOOKUP(B59,'Country &amp; Code Abbreviation'!$B$3:$C$245,2,FALSE)</f>
        <v>GE</v>
      </c>
      <c r="D59" s="31" t="str">
        <f>+VLOOKUP(B59,'INT Web'!$B$5:$Q$247,16,FALSE)</f>
        <v>GEL</v>
      </c>
      <c r="E59" s="32" t="s">
        <v>346</v>
      </c>
      <c r="F59" s="34">
        <v>113.99</v>
      </c>
      <c r="G59" s="34">
        <v>19.989999999999998</v>
      </c>
      <c r="H59" s="34">
        <v>87.99</v>
      </c>
      <c r="I59" s="33">
        <f>+IF($D59=$E59,VLOOKUP($B59,'INT Web'!$B$5:$W$247,'INT Web'!U$1,FALSE),MROUND(VLOOKUP($B59,'INT Web'!$B$5:$AQ$247,'INT Web'!AO$1,FALSE),1)-0.01)</f>
        <v>13.99</v>
      </c>
      <c r="J59" s="34">
        <v>4.99</v>
      </c>
      <c r="K59" s="34">
        <v>3.49</v>
      </c>
      <c r="L59" s="34">
        <v>2.4900000000000002</v>
      </c>
      <c r="M59" s="34">
        <v>1.19</v>
      </c>
      <c r="N59" s="35"/>
      <c r="O59" s="32" t="s">
        <v>366</v>
      </c>
      <c r="Q59" t="b">
        <f>+F59=VLOOKUP($B59,[5]Apple!$A$3:$L$176,F$1,FALSE)</f>
        <v>1</v>
      </c>
      <c r="R59" t="b">
        <f>+G59=VLOOKUP($B59,[5]Apple!$A$3:$L$176,G$1,FALSE)</f>
        <v>1</v>
      </c>
      <c r="S59" t="b">
        <f>+H59=VLOOKUP($B59,[5]Apple!$A$3:$L$176,H$1,FALSE)</f>
        <v>1</v>
      </c>
      <c r="T59" t="b">
        <f>+I59=VLOOKUP($B59,[5]Apple!$A$3:$L$176,I$1,FALSE)</f>
        <v>1</v>
      </c>
      <c r="U59" t="b">
        <f>+J59=VLOOKUP($B59,[5]Apple!$A$3:$L$176,J$1,FALSE)</f>
        <v>1</v>
      </c>
      <c r="V59" t="b">
        <f>+K59=VLOOKUP($B59,[5]Apple!$A$3:$L$176,K$1,FALSE)</f>
        <v>1</v>
      </c>
      <c r="W59" t="b">
        <f>+L59=VLOOKUP($B59,[5]Apple!$A$3:$L$176,L$1,FALSE)</f>
        <v>1</v>
      </c>
      <c r="X59" t="b">
        <f>+M59=VLOOKUP($B59,[5]Apple!$A$3:$L$176,M$1,FALSE)</f>
        <v>1</v>
      </c>
      <c r="Y59" s="31" t="str">
        <f>+VLOOKUP(C59,'Country &amp; Code Abbreviation'!$C$3:$D$245,2,FALSE)</f>
        <v>GEO</v>
      </c>
    </row>
    <row r="60" spans="2:30">
      <c r="B60" t="s">
        <v>155</v>
      </c>
      <c r="C60" s="31" t="str">
        <f>+VLOOKUP(B60,'Country &amp; Code Abbreviation'!$B$3:$C$245,2,FALSE)</f>
        <v>DE</v>
      </c>
      <c r="D60" s="31" t="str">
        <f>+VLOOKUP(B60,'INT Web'!$B$5:$Q$247,16,FALSE)</f>
        <v>EUR</v>
      </c>
      <c r="E60" s="32" t="s">
        <v>368</v>
      </c>
      <c r="F60" s="33">
        <f>+IF($D60=$E60,VLOOKUP($B60,'INT Web'!$B$5:$W$247,'INT Web'!R$1,FALSE),MROUND(VLOOKUP($B60,'INT Web'!$B$5:$AQ$247,'INT Web'!AL$1,FALSE),1)-0.01)</f>
        <v>189.99</v>
      </c>
      <c r="G60" s="33">
        <f>+IF($D60=$E60,VLOOKUP($B60,'INT Web'!$B$5:$W$247,'INT Web'!S$1,FALSE),MROUND(VLOOKUP($B60,'INT Web'!$B$5:$AQ$247,'INT Web'!AM$1,FALSE),1)-0.01)</f>
        <v>27.99</v>
      </c>
      <c r="H60" s="33">
        <f>+IF($D60=$E60,VLOOKUP($B60,'INT Web'!$B$5:$W$247,'INT Web'!T$1,FALSE),MROUND(VLOOKUP($B60,'INT Web'!$B$5:$AQ$247,'INT Web'!AN$1,FALSE),1)-0.01)</f>
        <v>139.99</v>
      </c>
      <c r="I60" s="33">
        <f>+IF($D60=$E60,VLOOKUP($B60,'INT Web'!$B$5:$W$247,'INT Web'!U$1,FALSE),MROUND(VLOOKUP($B60,'INT Web'!$B$5:$AQ$247,'INT Web'!AO$1,FALSE),1)-0.01)</f>
        <v>19.989999999999998</v>
      </c>
      <c r="J60" s="34">
        <v>6.99</v>
      </c>
      <c r="K60" s="108">
        <f>J60-1</f>
        <v>5.99</v>
      </c>
      <c r="L60" s="108">
        <f t="shared" ref="L60:M60" si="12">K60-1</f>
        <v>4.99</v>
      </c>
      <c r="M60" s="108">
        <f t="shared" si="12"/>
        <v>3.99</v>
      </c>
      <c r="N60" s="35"/>
      <c r="O60" s="32" t="s">
        <v>366</v>
      </c>
      <c r="Q60" t="b">
        <f>+F60=VLOOKUP($B60,[5]Apple!$A$3:$L$176,F$1,FALSE)</f>
        <v>1</v>
      </c>
      <c r="R60" t="b">
        <f>+G60=VLOOKUP($B60,[5]Apple!$A$3:$L$176,G$1,FALSE)</f>
        <v>1</v>
      </c>
      <c r="S60" t="b">
        <f>+H60=VLOOKUP($B60,[5]Apple!$A$3:$L$176,H$1,FALSE)</f>
        <v>1</v>
      </c>
      <c r="T60" t="b">
        <f>+I60=VLOOKUP($B60,[5]Apple!$A$3:$L$176,I$1,FALSE)</f>
        <v>1</v>
      </c>
      <c r="U60" t="b">
        <f>+J60=VLOOKUP($B60,[5]Apple!$A$3:$L$176,J$1,FALSE)</f>
        <v>1</v>
      </c>
      <c r="V60" t="b">
        <f>+K60=VLOOKUP($B60,[5]Apple!$A$3:$L$176,K$1,FALSE)</f>
        <v>1</v>
      </c>
      <c r="W60" t="b">
        <f>+L60=VLOOKUP($B60,[5]Apple!$A$3:$L$176,L$1,FALSE)</f>
        <v>1</v>
      </c>
      <c r="X60" t="b">
        <f>+M60=VLOOKUP($B60,[5]Apple!$A$3:$L$176,M$1,FALSE)</f>
        <v>1</v>
      </c>
      <c r="Y60" s="31" t="str">
        <f>+VLOOKUP(C60,'Country &amp; Code Abbreviation'!$C$3:$D$245,2,FALSE)</f>
        <v>DEU</v>
      </c>
    </row>
    <row r="61" spans="2:30">
      <c r="B61" t="s">
        <v>156</v>
      </c>
      <c r="C61" s="31" t="str">
        <f>+VLOOKUP(B61,'Country &amp; Code Abbreviation'!$B$3:$C$245,2,FALSE)</f>
        <v>GH</v>
      </c>
      <c r="D61" s="31" t="str">
        <f>+VLOOKUP(B61,'INT Web'!$B$5:$Q$247,16,FALSE)</f>
        <v>GHS</v>
      </c>
      <c r="E61" s="32" t="s">
        <v>346</v>
      </c>
      <c r="F61" s="34">
        <v>49.99</v>
      </c>
      <c r="G61" s="34">
        <v>7.99</v>
      </c>
      <c r="H61" s="34">
        <v>34.99</v>
      </c>
      <c r="I61" s="34">
        <v>5.99</v>
      </c>
      <c r="J61" s="34">
        <v>2.99</v>
      </c>
      <c r="K61" s="34">
        <v>2.99</v>
      </c>
      <c r="L61" s="34">
        <v>1.99</v>
      </c>
      <c r="M61" s="34">
        <v>1.99</v>
      </c>
      <c r="N61" s="35"/>
      <c r="O61" s="32" t="s">
        <v>364</v>
      </c>
      <c r="Q61" t="b">
        <f>+F61=VLOOKUP($B61,[5]Apple!$A$3:$L$176,F$1,FALSE)</f>
        <v>1</v>
      </c>
      <c r="R61" t="b">
        <f>+G61=VLOOKUP($B61,[5]Apple!$A$3:$L$176,G$1,FALSE)</f>
        <v>1</v>
      </c>
      <c r="S61" t="b">
        <f>+H61=VLOOKUP($B61,[5]Apple!$A$3:$L$176,H$1,FALSE)</f>
        <v>1</v>
      </c>
      <c r="T61" t="b">
        <f>+I61=VLOOKUP($B61,[5]Apple!$A$3:$L$176,I$1,FALSE)</f>
        <v>1</v>
      </c>
      <c r="U61" t="b">
        <f>+J61=VLOOKUP($B61,[5]Apple!$A$3:$L$176,J$1,FALSE)</f>
        <v>1</v>
      </c>
      <c r="V61" t="b">
        <f>+K61=VLOOKUP($B61,[5]Apple!$A$3:$L$176,K$1,FALSE)</f>
        <v>1</v>
      </c>
      <c r="W61" t="b">
        <f>+L61=VLOOKUP($B61,[5]Apple!$A$3:$L$176,L$1,FALSE)</f>
        <v>1</v>
      </c>
      <c r="X61" t="b">
        <f>+M61=VLOOKUP($B61,[5]Apple!$A$3:$L$176,M$1,FALSE)</f>
        <v>1</v>
      </c>
      <c r="Y61" s="31" t="str">
        <f>+VLOOKUP(C61,'Country &amp; Code Abbreviation'!$C$3:$D$245,2,FALSE)</f>
        <v>GHA</v>
      </c>
    </row>
    <row r="62" spans="2:30">
      <c r="B62" t="s">
        <v>158</v>
      </c>
      <c r="C62" s="31" t="str">
        <f>+VLOOKUP(B62,'Country &amp; Code Abbreviation'!$B$3:$C$245,2,FALSE)</f>
        <v>GR</v>
      </c>
      <c r="D62" s="31" t="str">
        <f>+VLOOKUP(B62,'INT Web'!$B$5:$Q$247,16,FALSE)</f>
        <v>EUR</v>
      </c>
      <c r="E62" s="32" t="s">
        <v>368</v>
      </c>
      <c r="F62" s="33">
        <f>+IF($D62=$E62,VLOOKUP($B62,'INT Web'!$B$5:$W$247,'INT Web'!R$1,FALSE),MROUND(VLOOKUP($B62,'INT Web'!$B$5:$AQ$247,'INT Web'!AL$1,FALSE),1)-0.01)</f>
        <v>117.99</v>
      </c>
      <c r="G62" s="33">
        <f>+IF($D62=$E62,VLOOKUP($B62,'INT Web'!$B$5:$W$247,'INT Web'!S$1,FALSE),MROUND(VLOOKUP($B62,'INT Web'!$B$5:$AQ$247,'INT Web'!AM$1,FALSE),1)-0.01)</f>
        <v>16.989999999999998</v>
      </c>
      <c r="H62" s="33">
        <f>+IF($D62=$E62,VLOOKUP($B62,'INT Web'!$B$5:$W$247,'INT Web'!T$1,FALSE),MROUND(VLOOKUP($B62,'INT Web'!$B$5:$AQ$247,'INT Web'!AN$1,FALSE),1)-0.01)</f>
        <v>89.99</v>
      </c>
      <c r="I62" s="33">
        <f>+IF($D62=$E62,VLOOKUP($B62,'INT Web'!$B$5:$W$247,'INT Web'!U$1,FALSE),MROUND(VLOOKUP($B62,'INT Web'!$B$5:$AQ$247,'INT Web'!AO$1,FALSE),1)-0.01)</f>
        <v>12.99</v>
      </c>
      <c r="J62" s="34">
        <v>3.99</v>
      </c>
      <c r="K62" s="34">
        <v>3.99</v>
      </c>
      <c r="L62" s="34">
        <v>1.99</v>
      </c>
      <c r="M62" s="34">
        <v>1.99</v>
      </c>
      <c r="N62" s="35"/>
      <c r="O62" s="32" t="s">
        <v>364</v>
      </c>
      <c r="Q62" t="b">
        <f>+F62=VLOOKUP($B62,[5]Apple!$A$3:$L$176,F$1,FALSE)</f>
        <v>1</v>
      </c>
      <c r="R62" t="b">
        <f>+G62=VLOOKUP($B62,[5]Apple!$A$3:$L$176,G$1,FALSE)</f>
        <v>1</v>
      </c>
      <c r="S62" t="b">
        <f>+H62=VLOOKUP($B62,[5]Apple!$A$3:$L$176,H$1,FALSE)</f>
        <v>1</v>
      </c>
      <c r="T62" t="b">
        <f>+I62=VLOOKUP($B62,[5]Apple!$A$3:$L$176,I$1,FALSE)</f>
        <v>1</v>
      </c>
      <c r="U62" t="b">
        <f>+J62=VLOOKUP($B62,[5]Apple!$A$3:$L$176,J$1,FALSE)</f>
        <v>1</v>
      </c>
      <c r="V62" t="b">
        <f>+K62=VLOOKUP($B62,[5]Apple!$A$3:$L$176,K$1,FALSE)</f>
        <v>1</v>
      </c>
      <c r="W62" t="b">
        <f>+L62=VLOOKUP($B62,[5]Apple!$A$3:$L$176,L$1,FALSE)</f>
        <v>1</v>
      </c>
      <c r="X62" t="b">
        <f>+M62=VLOOKUP($B62,[5]Apple!$A$3:$L$176,M$1,FALSE)</f>
        <v>1</v>
      </c>
      <c r="Y62" s="31" t="str">
        <f>+VLOOKUP(C62,'Country &amp; Code Abbreviation'!$C$3:$D$245,2,FALSE)</f>
        <v>GRC</v>
      </c>
    </row>
    <row r="63" spans="2:30">
      <c r="B63" t="s">
        <v>160</v>
      </c>
      <c r="C63" s="31" t="str">
        <f>+VLOOKUP(B63,'Country &amp; Code Abbreviation'!$B$3:$C$245,2,FALSE)</f>
        <v>GD</v>
      </c>
      <c r="D63" s="31" t="str">
        <f>+VLOOKUP(B63,'INT Web'!$B$5:$Q$247,16,FALSE)</f>
        <v>XCD</v>
      </c>
      <c r="E63" s="32" t="s">
        <v>346</v>
      </c>
      <c r="F63" s="33">
        <f>+IF($D63=$E63,VLOOKUP($B63,'INT Web'!$B$5:$W$247,'INT Web'!R$1,FALSE),MROUND(VLOOKUP($B63,'INT Web'!$B$5:$AQ$247,'INT Web'!AL$1,FALSE),1)-0.01)</f>
        <v>112.99</v>
      </c>
      <c r="G63" s="33">
        <f>+IF($D63=$E63,VLOOKUP($B63,'INT Web'!$B$5:$W$247,'INT Web'!S$1,FALSE),MROUND(VLOOKUP($B63,'INT Web'!$B$5:$AQ$247,'INT Web'!AM$1,FALSE),1)-0.01)</f>
        <v>18.989999999999998</v>
      </c>
      <c r="H63" s="33">
        <f>+IF($D63=$E63,VLOOKUP($B63,'INT Web'!$B$5:$W$247,'INT Web'!T$1,FALSE),MROUND(VLOOKUP($B63,'INT Web'!$B$5:$AQ$247,'INT Web'!AN$1,FALSE),1)-0.01)</f>
        <v>83.99</v>
      </c>
      <c r="I63" s="33">
        <f>+IF($D63=$E63,VLOOKUP($B63,'INT Web'!$B$5:$W$247,'INT Web'!U$1,FALSE),MROUND(VLOOKUP($B63,'INT Web'!$B$5:$AQ$247,'INT Web'!AO$1,FALSE),1)-0.01)</f>
        <v>13.99</v>
      </c>
      <c r="J63" s="34">
        <v>4.99</v>
      </c>
      <c r="K63" s="34">
        <v>3.99</v>
      </c>
      <c r="L63" s="34">
        <v>2.99</v>
      </c>
      <c r="M63" s="34">
        <v>1.99</v>
      </c>
      <c r="N63" s="35"/>
      <c r="O63" s="32" t="s">
        <v>366</v>
      </c>
      <c r="Q63" t="b">
        <f>+F63=VLOOKUP($B63,[5]Apple!$A$3:$L$176,F$1,FALSE)</f>
        <v>1</v>
      </c>
      <c r="R63" t="b">
        <f>+G63=VLOOKUP($B63,[5]Apple!$A$3:$L$176,G$1,FALSE)</f>
        <v>1</v>
      </c>
      <c r="S63" t="b">
        <f>+H63=VLOOKUP($B63,[5]Apple!$A$3:$L$176,H$1,FALSE)</f>
        <v>1</v>
      </c>
      <c r="T63" t="b">
        <f>+I63=VLOOKUP($B63,[5]Apple!$A$3:$L$176,I$1,FALSE)</f>
        <v>1</v>
      </c>
      <c r="U63" t="b">
        <f>+J63=VLOOKUP($B63,[5]Apple!$A$3:$L$176,J$1,FALSE)</f>
        <v>1</v>
      </c>
      <c r="V63" t="b">
        <f>+K63=VLOOKUP($B63,[5]Apple!$A$3:$L$176,K$1,FALSE)</f>
        <v>1</v>
      </c>
      <c r="W63" t="b">
        <f>+L63=VLOOKUP($B63,[5]Apple!$A$3:$L$176,L$1,FALSE)</f>
        <v>1</v>
      </c>
      <c r="X63" t="b">
        <f>+M63=VLOOKUP($B63,[5]Apple!$A$3:$L$176,M$1,FALSE)</f>
        <v>1</v>
      </c>
      <c r="Y63" s="31" t="str">
        <f>+VLOOKUP(C63,'Country &amp; Code Abbreviation'!$C$3:$D$245,2,FALSE)</f>
        <v>GRD</v>
      </c>
    </row>
    <row r="64" spans="2:30">
      <c r="B64" t="s">
        <v>162</v>
      </c>
      <c r="C64" s="31" t="str">
        <f>+VLOOKUP(B64,'Country &amp; Code Abbreviation'!$B$3:$C$245,2,FALSE)</f>
        <v>GT</v>
      </c>
      <c r="D64" s="31" t="str">
        <f>+VLOOKUP(B64,'INT Web'!$B$5:$Q$247,16,FALSE)</f>
        <v>GTQ</v>
      </c>
      <c r="E64" s="32" t="s">
        <v>346</v>
      </c>
      <c r="F64" s="33">
        <f>+VLOOKUP($B64,[5]Apple!$A$4:$M$175,[5]Apple!E$1,FALSE)</f>
        <v>96.99</v>
      </c>
      <c r="G64" s="33">
        <f>+IF($D64=$E64,VLOOKUP($B64,'INT Web'!$B$5:$W$247,'INT Web'!S$1,FALSE),MROUND(VLOOKUP($B64,'INT Web'!$B$5:$AQ$247,'INT Web'!AM$1,FALSE),1)-0.01)</f>
        <v>15.99</v>
      </c>
      <c r="H64" s="34">
        <v>66.989999999999995</v>
      </c>
      <c r="I64" s="33">
        <f>+IF($D64=$E64,VLOOKUP($B64,'INT Web'!$B$5:$W$247,'INT Web'!U$1,FALSE),MROUND(VLOOKUP($B64,'INT Web'!$B$5:$AQ$247,'INT Web'!AO$1,FALSE),1)-0.01)</f>
        <v>10.99</v>
      </c>
      <c r="J64" s="34">
        <v>3.99</v>
      </c>
      <c r="K64" s="34">
        <v>3.99</v>
      </c>
      <c r="L64" s="34">
        <v>2.99</v>
      </c>
      <c r="M64" s="34">
        <v>2.99</v>
      </c>
      <c r="N64" s="35"/>
      <c r="O64" s="32" t="s">
        <v>364</v>
      </c>
      <c r="Q64" t="b">
        <f>+F64=VLOOKUP($B64,[5]Apple!$A$3:$L$176,F$1,FALSE)</f>
        <v>1</v>
      </c>
      <c r="R64" t="b">
        <f>+G64=VLOOKUP($B64,[5]Apple!$A$3:$L$176,G$1,FALSE)</f>
        <v>1</v>
      </c>
      <c r="S64" t="b">
        <f>+H64=VLOOKUP($B64,[5]Apple!$A$3:$L$176,H$1,FALSE)</f>
        <v>1</v>
      </c>
      <c r="T64" t="b">
        <f>+I64=VLOOKUP($B64,[5]Apple!$A$3:$L$176,I$1,FALSE)</f>
        <v>1</v>
      </c>
      <c r="U64" t="b">
        <f>+J64=VLOOKUP($B64,[5]Apple!$A$3:$L$176,J$1,FALSE)</f>
        <v>1</v>
      </c>
      <c r="V64" t="b">
        <f>+K64=VLOOKUP($B64,[5]Apple!$A$3:$L$176,K$1,FALSE)</f>
        <v>1</v>
      </c>
      <c r="W64" t="b">
        <f>+L64=VLOOKUP($B64,[5]Apple!$A$3:$L$176,L$1,FALSE)</f>
        <v>1</v>
      </c>
      <c r="X64" t="b">
        <f>+M64=VLOOKUP($B64,[5]Apple!$A$3:$L$176,M$1,FALSE)</f>
        <v>1</v>
      </c>
      <c r="Y64" s="31" t="str">
        <f>+VLOOKUP(C64,'Country &amp; Code Abbreviation'!$C$3:$D$245,2,FALSE)</f>
        <v>GTM</v>
      </c>
      <c r="AA64">
        <f>$I64/J64</f>
        <v>2.7543859649122808</v>
      </c>
      <c r="AB64">
        <f t="shared" ref="AB64" si="13">$I64/K64</f>
        <v>2.7543859649122808</v>
      </c>
      <c r="AC64">
        <f t="shared" ref="AC64" si="14">$I64/L64</f>
        <v>3.6755852842809364</v>
      </c>
      <c r="AD64">
        <f t="shared" ref="AD64" si="15">$I64/M64</f>
        <v>3.6755852842809364</v>
      </c>
    </row>
    <row r="65" spans="2:25">
      <c r="B65" t="s">
        <v>165</v>
      </c>
      <c r="C65" s="31" t="str">
        <f>+VLOOKUP(B65,'Country &amp; Code Abbreviation'!$B$3:$C$245,2,FALSE)</f>
        <v>GW</v>
      </c>
      <c r="D65" s="31" t="str">
        <f>+VLOOKUP(B65,'INT Web'!$B$5:$Q$247,16,FALSE)</f>
        <v>XOF</v>
      </c>
      <c r="E65" s="32" t="s">
        <v>346</v>
      </c>
      <c r="F65" s="34">
        <v>72.989999999999995</v>
      </c>
      <c r="G65" s="33">
        <f>+VLOOKUP($B65,[5]Apple!$A$4:$M$175,[5]Apple!F$1,FALSE)</f>
        <v>11.99</v>
      </c>
      <c r="H65" s="34">
        <v>54.99</v>
      </c>
      <c r="I65" s="33">
        <f>+VLOOKUP($B65,[5]Apple!$A$4:$M$175,[5]Apple!H$1,FALSE)</f>
        <v>8.99</v>
      </c>
      <c r="J65" s="34">
        <v>2.99</v>
      </c>
      <c r="K65" s="34">
        <v>2.99</v>
      </c>
      <c r="L65" s="34">
        <v>1.99</v>
      </c>
      <c r="M65" s="34">
        <v>1.99</v>
      </c>
      <c r="N65" s="35"/>
      <c r="O65" s="32" t="s">
        <v>364</v>
      </c>
      <c r="Q65" t="b">
        <f>+F65=VLOOKUP($B65,[5]Apple!$A$3:$L$176,F$1,FALSE)</f>
        <v>1</v>
      </c>
      <c r="R65" t="b">
        <f>+G65=VLOOKUP($B65,[5]Apple!$A$3:$L$176,G$1,FALSE)</f>
        <v>1</v>
      </c>
      <c r="S65" t="b">
        <f>+H65=VLOOKUP($B65,[5]Apple!$A$3:$L$176,H$1,FALSE)</f>
        <v>1</v>
      </c>
      <c r="T65" t="b">
        <f>+I65=VLOOKUP($B65,[5]Apple!$A$3:$L$176,I$1,FALSE)</f>
        <v>1</v>
      </c>
      <c r="U65" t="b">
        <f>+J65=VLOOKUP($B65,[5]Apple!$A$3:$L$176,J$1,FALSE)</f>
        <v>1</v>
      </c>
      <c r="V65" t="b">
        <f>+K65=VLOOKUP($B65,[5]Apple!$A$3:$L$176,K$1,FALSE)</f>
        <v>1</v>
      </c>
      <c r="W65" t="b">
        <f>+L65=VLOOKUP($B65,[5]Apple!$A$3:$L$176,L$1,FALSE)</f>
        <v>1</v>
      </c>
      <c r="X65" t="b">
        <f>+M65=VLOOKUP($B65,[5]Apple!$A$3:$L$176,M$1,FALSE)</f>
        <v>1</v>
      </c>
      <c r="Y65" s="31" t="str">
        <f>+VLOOKUP(C65,'Country &amp; Code Abbreviation'!$C$3:$D$245,2,FALSE)</f>
        <v>GNB</v>
      </c>
    </row>
    <row r="66" spans="2:25">
      <c r="B66" t="s">
        <v>166</v>
      </c>
      <c r="C66" s="31" t="str">
        <f>+VLOOKUP(B66,'Country &amp; Code Abbreviation'!$B$3:$C$245,2,FALSE)</f>
        <v>GY</v>
      </c>
      <c r="D66" s="31" t="str">
        <f>+VLOOKUP(B66,'INT Web'!$B$5:$Q$247,16,FALSE)</f>
        <v>GYD</v>
      </c>
      <c r="E66" s="32" t="s">
        <v>346</v>
      </c>
      <c r="F66" s="34">
        <v>119.99</v>
      </c>
      <c r="G66" s="33">
        <f>+IF($D66=$E66,VLOOKUP($B66,'INT Web'!$B$5:$W$247,'INT Web'!S$1,FALSE),MROUND(VLOOKUP($B66,'INT Web'!$B$5:$AQ$247,'INT Web'!AM$1,FALSE),1)-0.01)</f>
        <v>19.989999999999998</v>
      </c>
      <c r="H66" s="33">
        <f>+IF($D66=$E66,VLOOKUP($B66,'INT Web'!$B$5:$W$247,'INT Web'!T$1,FALSE),MROUND(VLOOKUP($B66,'INT Web'!$B$5:$AQ$247,'INT Web'!AN$1,FALSE),1)-0.01)</f>
        <v>82.99</v>
      </c>
      <c r="I66" s="33">
        <f>+IF($D66=$E66,VLOOKUP($B66,'INT Web'!$B$5:$W$247,'INT Web'!U$1,FALSE),MROUND(VLOOKUP($B66,'INT Web'!$B$5:$AQ$247,'INT Web'!AO$1,FALSE),1)-0.01)</f>
        <v>13.99</v>
      </c>
      <c r="J66" s="34">
        <v>4.99</v>
      </c>
      <c r="K66" s="34">
        <v>3.99</v>
      </c>
      <c r="L66" s="34">
        <v>2.99</v>
      </c>
      <c r="M66" s="34">
        <v>1.99</v>
      </c>
      <c r="N66" s="35"/>
      <c r="O66" s="32" t="s">
        <v>366</v>
      </c>
      <c r="Q66" t="b">
        <f>+F66=VLOOKUP($B66,[5]Apple!$A$3:$L$176,F$1,FALSE)</f>
        <v>1</v>
      </c>
      <c r="R66" t="b">
        <f>+G66=VLOOKUP($B66,[5]Apple!$A$3:$L$176,G$1,FALSE)</f>
        <v>1</v>
      </c>
      <c r="S66" t="b">
        <f>+H66=VLOOKUP($B66,[5]Apple!$A$3:$L$176,H$1,FALSE)</f>
        <v>1</v>
      </c>
      <c r="T66" t="b">
        <f>+I66=VLOOKUP($B66,[5]Apple!$A$3:$L$176,I$1,FALSE)</f>
        <v>1</v>
      </c>
      <c r="U66" t="b">
        <f>+J66=VLOOKUP($B66,[5]Apple!$A$3:$L$176,J$1,FALSE)</f>
        <v>1</v>
      </c>
      <c r="V66" t="b">
        <f>+K66=VLOOKUP($B66,[5]Apple!$A$3:$L$176,K$1,FALSE)</f>
        <v>1</v>
      </c>
      <c r="W66" t="b">
        <f>+L66=VLOOKUP($B66,[5]Apple!$A$3:$L$176,L$1,FALSE)</f>
        <v>1</v>
      </c>
      <c r="X66" t="b">
        <f>+M66=VLOOKUP($B66,[5]Apple!$A$3:$L$176,M$1,FALSE)</f>
        <v>1</v>
      </c>
      <c r="Y66" s="31" t="str">
        <f>+VLOOKUP(C66,'Country &amp; Code Abbreviation'!$C$3:$D$245,2,FALSE)</f>
        <v>GUY</v>
      </c>
    </row>
    <row r="67" spans="2:25">
      <c r="B67" t="s">
        <v>169</v>
      </c>
      <c r="C67" s="31" t="str">
        <f>+VLOOKUP(B67,'Country &amp; Code Abbreviation'!$B$3:$C$245,2,FALSE)</f>
        <v>HN</v>
      </c>
      <c r="D67" s="31" t="str">
        <f>+VLOOKUP(B67,'INT Web'!$B$5:$Q$247,16,FALSE)</f>
        <v>HNL</v>
      </c>
      <c r="E67" s="32" t="s">
        <v>346</v>
      </c>
      <c r="F67" s="33">
        <f>+VLOOKUP($B67,[5]Apple!$A$4:$M$175,[5]Apple!E$1,FALSE)</f>
        <v>76.989999999999995</v>
      </c>
      <c r="G67" s="33">
        <f>+VLOOKUP($B67,[5]Apple!$A$4:$M$175,[5]Apple!F$1,FALSE)</f>
        <v>12.99</v>
      </c>
      <c r="H67" s="34">
        <v>53.99</v>
      </c>
      <c r="I67" s="33">
        <f>+VLOOKUP($B67,[5]Apple!$A$4:$M$175,[5]Apple!H$1,FALSE)</f>
        <v>8.99</v>
      </c>
      <c r="J67" s="34">
        <v>2.99</v>
      </c>
      <c r="K67" s="34">
        <v>2.99</v>
      </c>
      <c r="L67" s="34">
        <v>1.99</v>
      </c>
      <c r="M67" s="34">
        <v>1.99</v>
      </c>
      <c r="N67" s="35"/>
      <c r="O67" s="32" t="s">
        <v>364</v>
      </c>
      <c r="Q67" t="b">
        <f>+F67=VLOOKUP($B67,[5]Apple!$A$3:$L$176,F$1,FALSE)</f>
        <v>1</v>
      </c>
      <c r="R67" t="b">
        <f>+G67=VLOOKUP($B67,[5]Apple!$A$3:$L$176,G$1,FALSE)</f>
        <v>1</v>
      </c>
      <c r="S67" t="b">
        <f>+H67=VLOOKUP($B67,[5]Apple!$A$3:$L$176,H$1,FALSE)</f>
        <v>1</v>
      </c>
      <c r="T67" t="b">
        <f>+I67=VLOOKUP($B67,[5]Apple!$A$3:$L$176,I$1,FALSE)</f>
        <v>1</v>
      </c>
      <c r="U67" t="b">
        <f>+J67=VLOOKUP($B67,[5]Apple!$A$3:$L$176,J$1,FALSE)</f>
        <v>1</v>
      </c>
      <c r="V67" t="b">
        <f>+K67=VLOOKUP($B67,[5]Apple!$A$3:$L$176,K$1,FALSE)</f>
        <v>1</v>
      </c>
      <c r="W67" t="b">
        <f>+L67=VLOOKUP($B67,[5]Apple!$A$3:$L$176,L$1,FALSE)</f>
        <v>1</v>
      </c>
      <c r="X67" t="b">
        <f>+M67=VLOOKUP($B67,[5]Apple!$A$3:$L$176,M$1,FALSE)</f>
        <v>1</v>
      </c>
      <c r="Y67" s="31" t="str">
        <f>+VLOOKUP(C67,'Country &amp; Code Abbreviation'!$C$3:$D$245,2,FALSE)</f>
        <v>HND</v>
      </c>
    </row>
    <row r="68" spans="2:25">
      <c r="B68" t="s">
        <v>170</v>
      </c>
      <c r="C68" s="31" t="str">
        <f>+VLOOKUP(B68,'Country &amp; Code Abbreviation'!$B$3:$C$245,2,FALSE)</f>
        <v>HK</v>
      </c>
      <c r="D68" s="31" t="str">
        <f>+VLOOKUP(B68,'INT Web'!$B$5:$Q$247,16,FALSE)</f>
        <v>HKD</v>
      </c>
      <c r="E68" s="32" t="s">
        <v>376</v>
      </c>
      <c r="F68" s="33">
        <f>+IF($D68=$E68,VLOOKUP($B68,'INT Web'!$B$5:$W$247,'INT Web'!R$1,FALSE),MROUND(VLOOKUP($B68,'INT Web'!$B$5:$AQ$247,'INT Web'!AL$1,FALSE),1)-0.01)</f>
        <v>1149</v>
      </c>
      <c r="G68" s="72">
        <v>163</v>
      </c>
      <c r="H68" s="33">
        <f>+IF($D68=$E68,VLOOKUP($B68,'INT Web'!$B$5:$W$247,'INT Web'!T$1,FALSE),MROUND(VLOOKUP($B68,'INT Web'!$B$5:$AQ$247,'INT Web'!AN$1,FALSE),1)-0.01)</f>
        <v>759</v>
      </c>
      <c r="I68" s="33">
        <f>+IF($D68=$E68,VLOOKUP($B68,'INT Web'!$B$5:$W$247,'INT Web'!U$1,FALSE),MROUND(VLOOKUP($B68,'INT Web'!$B$5:$AQ$247,'INT Web'!AO$1,FALSE),1)-0.01)</f>
        <v>109</v>
      </c>
      <c r="J68" s="34">
        <v>48</v>
      </c>
      <c r="K68" s="34">
        <v>38</v>
      </c>
      <c r="L68" s="34">
        <v>28</v>
      </c>
      <c r="M68" s="34">
        <v>23</v>
      </c>
      <c r="N68" s="35"/>
      <c r="O68" s="32" t="s">
        <v>366</v>
      </c>
      <c r="Q68" t="b">
        <f>+F68=VLOOKUP($B68,[5]Apple!$A$3:$L$176,F$1,FALSE)</f>
        <v>1</v>
      </c>
      <c r="R68" t="b">
        <f>+G68=VLOOKUP($B68,[5]Apple!$A$3:$L$176,G$1,FALSE)</f>
        <v>1</v>
      </c>
      <c r="S68" t="b">
        <f>+H68=VLOOKUP($B68,[5]Apple!$A$3:$L$176,H$1,FALSE)</f>
        <v>1</v>
      </c>
      <c r="T68" t="b">
        <f>+I68=VLOOKUP($B68,[5]Apple!$A$3:$L$176,I$1,FALSE)</f>
        <v>1</v>
      </c>
      <c r="U68" t="b">
        <f>+J68=VLOOKUP($B68,[5]Apple!$A$3:$L$176,J$1,FALSE)</f>
        <v>1</v>
      </c>
      <c r="V68" t="b">
        <f>+K68=VLOOKUP($B68,[5]Apple!$A$3:$L$176,K$1,FALSE)</f>
        <v>1</v>
      </c>
      <c r="W68" t="b">
        <f>+L68=VLOOKUP($B68,[5]Apple!$A$3:$L$176,L$1,FALSE)</f>
        <v>1</v>
      </c>
      <c r="X68" t="b">
        <f>+M68=VLOOKUP($B68,[5]Apple!$A$3:$L$176,M$1,FALSE)</f>
        <v>1</v>
      </c>
      <c r="Y68" s="31" t="str">
        <f>+VLOOKUP(C68,'Country &amp; Code Abbreviation'!$C$3:$D$245,2,FALSE)</f>
        <v>HKG</v>
      </c>
    </row>
    <row r="69" spans="2:25">
      <c r="B69" t="s">
        <v>171</v>
      </c>
      <c r="C69" s="31" t="str">
        <f>+VLOOKUP(B69,'Country &amp; Code Abbreviation'!$B$3:$C$245,2,FALSE)</f>
        <v>HU</v>
      </c>
      <c r="D69" s="31" t="str">
        <f>+VLOOKUP(B69,'INT Web'!$B$5:$Q$247,16,FALSE)</f>
        <v>HUF</v>
      </c>
      <c r="E69" s="32" t="s">
        <v>377</v>
      </c>
      <c r="F69" s="33">
        <f>+IF($D69=$E69,VLOOKUP($B69,'INT Web'!$B$5:$W$247,'INT Web'!R$1,FALSE),MROUND(VLOOKUP($B69,'INT Web'!$B$5:$AQ$247,'INT Web'!AL$1,FALSE),1)-0.01)</f>
        <v>33999</v>
      </c>
      <c r="G69" s="72">
        <v>5500</v>
      </c>
      <c r="H69" s="33">
        <f>+IF($D69=$E69,VLOOKUP($B69,'INT Web'!$B$5:$W$247,'INT Web'!T$1,FALSE),MROUND(VLOOKUP($B69,'INT Web'!$B$5:$AQ$247,'INT Web'!AN$1,FALSE),1)-0.01)</f>
        <v>25999</v>
      </c>
      <c r="I69" s="72">
        <v>4200</v>
      </c>
      <c r="J69" s="34">
        <v>1690</v>
      </c>
      <c r="K69" s="34">
        <v>1690</v>
      </c>
      <c r="L69" s="34">
        <v>799</v>
      </c>
      <c r="M69" s="34">
        <v>799</v>
      </c>
      <c r="N69" s="35"/>
      <c r="O69" s="32" t="s">
        <v>364</v>
      </c>
      <c r="Q69" t="b">
        <f>+F69=VLOOKUP($B69,[5]Apple!$A$3:$L$176,F$1,FALSE)</f>
        <v>1</v>
      </c>
      <c r="R69" t="b">
        <f>+G69=VLOOKUP($B69,[5]Apple!$A$3:$L$176,G$1,FALSE)</f>
        <v>1</v>
      </c>
      <c r="S69" t="b">
        <f>+H69=VLOOKUP($B69,[5]Apple!$A$3:$L$176,H$1,FALSE)</f>
        <v>1</v>
      </c>
      <c r="T69" t="b">
        <f>+I69=VLOOKUP($B69,[5]Apple!$A$3:$L$176,I$1,FALSE)</f>
        <v>1</v>
      </c>
      <c r="U69" t="b">
        <f>+J69=VLOOKUP($B69,[5]Apple!$A$3:$L$176,J$1,FALSE)</f>
        <v>1</v>
      </c>
      <c r="V69" t="b">
        <f>+K69=VLOOKUP($B69,[5]Apple!$A$3:$L$176,K$1,FALSE)</f>
        <v>1</v>
      </c>
      <c r="W69" t="b">
        <f>+L69=VLOOKUP($B69,[5]Apple!$A$3:$L$176,L$1,FALSE)</f>
        <v>1</v>
      </c>
      <c r="X69" t="b">
        <f>+M69=VLOOKUP($B69,[5]Apple!$A$3:$L$176,M$1,FALSE)</f>
        <v>1</v>
      </c>
      <c r="Y69" s="31" t="str">
        <f>+VLOOKUP(C69,'Country &amp; Code Abbreviation'!$C$3:$D$245,2,FALSE)</f>
        <v>HUN</v>
      </c>
    </row>
    <row r="70" spans="2:25">
      <c r="B70" t="s">
        <v>172</v>
      </c>
      <c r="C70" s="31" t="str">
        <f>+VLOOKUP(B70,'Country &amp; Code Abbreviation'!$B$3:$C$245,2,FALSE)</f>
        <v>IS</v>
      </c>
      <c r="D70" s="31" t="str">
        <f>+VLOOKUP(B70,'INT Web'!$B$5:$Q$247,16,FALSE)</f>
        <v>ISK</v>
      </c>
      <c r="E70" s="32" t="s">
        <v>346</v>
      </c>
      <c r="F70" s="33">
        <f>+VLOOKUP($B70,[5]Apple!$A$4:$M$175,[5]Apple!E$1,FALSE)</f>
        <v>239.99</v>
      </c>
      <c r="G70" s="33">
        <f>+VLOOKUP($B70,[5]Apple!$A$4:$M$175,[5]Apple!F$1,FALSE)</f>
        <v>36.99</v>
      </c>
      <c r="H70" s="34">
        <v>174.99</v>
      </c>
      <c r="I70" s="33">
        <f>+VLOOKUP($B70,[5]Apple!$A$4:$M$175,[5]Apple!H$1,FALSE)</f>
        <v>26.99</v>
      </c>
      <c r="J70" s="34">
        <v>9.99</v>
      </c>
      <c r="K70" s="108">
        <f>J70</f>
        <v>9.99</v>
      </c>
      <c r="L70" s="34">
        <v>5.99</v>
      </c>
      <c r="M70" s="34">
        <v>5.99</v>
      </c>
      <c r="N70" s="35"/>
      <c r="O70" s="32" t="s">
        <v>364</v>
      </c>
      <c r="Q70" t="b">
        <f>+F70=VLOOKUP($B70,[5]Apple!$A$3:$L$176,F$1,FALSE)</f>
        <v>1</v>
      </c>
      <c r="R70" t="b">
        <f>+G70=VLOOKUP($B70,[5]Apple!$A$3:$L$176,G$1,FALSE)</f>
        <v>1</v>
      </c>
      <c r="S70" t="b">
        <f>+H70=VLOOKUP($B70,[5]Apple!$A$3:$L$176,H$1,FALSE)</f>
        <v>1</v>
      </c>
      <c r="T70" t="b">
        <f>+I70=VLOOKUP($B70,[5]Apple!$A$3:$L$176,I$1,FALSE)</f>
        <v>1</v>
      </c>
      <c r="U70" t="b">
        <f>+J70=VLOOKUP($B70,[5]Apple!$A$3:$L$176,J$1,FALSE)</f>
        <v>1</v>
      </c>
      <c r="V70" t="b">
        <f>+K70=VLOOKUP($B70,[5]Apple!$A$3:$L$176,K$1,FALSE)</f>
        <v>1</v>
      </c>
      <c r="W70" t="b">
        <f>+L70=VLOOKUP($B70,[5]Apple!$A$3:$L$176,L$1,FALSE)</f>
        <v>1</v>
      </c>
      <c r="X70" t="b">
        <f>+M70=VLOOKUP($B70,[5]Apple!$A$3:$L$176,M$1,FALSE)</f>
        <v>1</v>
      </c>
      <c r="Y70" s="31" t="str">
        <f>+VLOOKUP(C70,'Country &amp; Code Abbreviation'!$C$3:$D$245,2,FALSE)</f>
        <v>ISL</v>
      </c>
    </row>
    <row r="71" spans="2:25">
      <c r="B71" t="s">
        <v>173</v>
      </c>
      <c r="C71" s="31" t="str">
        <f>+VLOOKUP(B71,'Country &amp; Code Abbreviation'!$B$3:$C$245,2,FALSE)</f>
        <v>IN</v>
      </c>
      <c r="D71" s="31" t="str">
        <f>+VLOOKUP(B71,'INT Web'!$B$5:$Q$247,16,FALSE)</f>
        <v>INR</v>
      </c>
      <c r="E71" s="32" t="s">
        <v>378</v>
      </c>
      <c r="F71" s="33">
        <f>+IF($D71=$E71,VLOOKUP($B71,'INT Web'!$B$5:$W$247,'INT Web'!R$1,FALSE),MROUND(VLOOKUP($B71,'INT Web'!$B$5:$AQ$247,'INT Web'!AL$1,FALSE),1)-0.01)</f>
        <v>2099</v>
      </c>
      <c r="G71" s="33">
        <f>+IF($D71=$E71,VLOOKUP($B71,'INT Web'!$B$5:$W$247,'INT Web'!S$1,FALSE),MROUND(VLOOKUP($B71,'INT Web'!$B$5:$AQ$247,'INT Web'!AM$1,FALSE),1)-0.01)</f>
        <v>329</v>
      </c>
      <c r="H71" s="33">
        <f>+IF($D71=$E71,VLOOKUP($B71,'INT Web'!$B$5:$W$247,'INT Web'!T$1,FALSE),MROUND(VLOOKUP($B71,'INT Web'!$B$5:$AQ$247,'INT Web'!AN$1,FALSE),1)-0.01)</f>
        <v>1499</v>
      </c>
      <c r="I71" s="33">
        <f>+IF($D71=$E71,VLOOKUP($B71,'INT Web'!$B$5:$W$247,'INT Web'!U$1,FALSE),MROUND(VLOOKUP($B71,'INT Web'!$B$5:$AQ$247,'INT Web'!AO$1,FALSE),1)-0.01)</f>
        <v>219</v>
      </c>
      <c r="J71" s="34">
        <v>179</v>
      </c>
      <c r="K71" s="34">
        <v>135</v>
      </c>
      <c r="L71" s="34">
        <v>89</v>
      </c>
      <c r="M71" s="34">
        <v>45</v>
      </c>
      <c r="N71" s="35"/>
      <c r="O71" s="32" t="s">
        <v>364</v>
      </c>
      <c r="Q71" t="b">
        <f>+F71=VLOOKUP($B71,[5]Apple!$A$3:$L$176,F$1,FALSE)</f>
        <v>1</v>
      </c>
      <c r="R71" t="b">
        <f>+G71=VLOOKUP($B71,[5]Apple!$A$3:$L$176,G$1,FALSE)</f>
        <v>1</v>
      </c>
      <c r="S71" t="b">
        <f>+H71=VLOOKUP($B71,[5]Apple!$A$3:$L$176,H$1,FALSE)</f>
        <v>1</v>
      </c>
      <c r="T71" t="b">
        <f>+I71=VLOOKUP($B71,[5]Apple!$A$3:$L$176,I$1,FALSE)</f>
        <v>1</v>
      </c>
      <c r="U71" t="b">
        <f>+J71=VLOOKUP($B71,[5]Apple!$A$3:$L$176,J$1,FALSE)</f>
        <v>1</v>
      </c>
      <c r="V71" t="b">
        <f>+K71=VLOOKUP($B71,[5]Apple!$A$3:$L$176,K$1,FALSE)</f>
        <v>1</v>
      </c>
      <c r="W71" t="b">
        <f>+L71=VLOOKUP($B71,[5]Apple!$A$3:$L$176,L$1,FALSE)</f>
        <v>1</v>
      </c>
      <c r="X71" t="b">
        <f>+M71=VLOOKUP($B71,[5]Apple!$A$3:$L$176,M$1,FALSE)</f>
        <v>1</v>
      </c>
      <c r="Y71" s="31" t="str">
        <f>+VLOOKUP(C71,'Country &amp; Code Abbreviation'!$C$3:$D$245,2,FALSE)</f>
        <v>IND</v>
      </c>
    </row>
    <row r="72" spans="2:25">
      <c r="B72" t="s">
        <v>174</v>
      </c>
      <c r="C72" s="31" t="str">
        <f>+VLOOKUP(B72,'Country &amp; Code Abbreviation'!$B$3:$C$245,2,FALSE)</f>
        <v>ID</v>
      </c>
      <c r="D72" s="31" t="str">
        <f>+VLOOKUP(B72,'INT Web'!$B$5:$Q$247,16,FALSE)</f>
        <v>IDR</v>
      </c>
      <c r="E72" s="32" t="s">
        <v>379</v>
      </c>
      <c r="F72" s="72">
        <v>1119000</v>
      </c>
      <c r="G72" s="33">
        <f>+IF($D72=$E72,VLOOKUP($B72,'INT Web'!$B$5:$W$247,'INT Web'!S$1,FALSE),MROUND(VLOOKUP($B72,'INT Web'!$B$5:$AQ$247,'INT Web'!AM$1,FALSE),1)-0.01)</f>
        <v>200000</v>
      </c>
      <c r="H72" s="33">
        <f>+IF($D72=$E72,VLOOKUP($B72,'INT Web'!$B$5:$W$247,'INT Web'!T$1,FALSE),MROUND(VLOOKUP($B72,'INT Web'!$B$5:$AQ$247,'INT Web'!AN$1,FALSE),1)-0.01)</f>
        <v>945000</v>
      </c>
      <c r="I72" s="33">
        <f>+IF($D72=$E72,VLOOKUP($B72,'INT Web'!$B$5:$W$247,'INT Web'!U$1,FALSE),MROUND(VLOOKUP($B72,'INT Web'!$B$5:$AQ$247,'INT Web'!AO$1,FALSE),1)-0.01)</f>
        <v>135000</v>
      </c>
      <c r="J72" s="34">
        <v>65000</v>
      </c>
      <c r="K72" s="34">
        <v>65000</v>
      </c>
      <c r="L72" s="34">
        <v>35000</v>
      </c>
      <c r="M72" s="34">
        <v>35000</v>
      </c>
      <c r="N72" s="35"/>
      <c r="O72" s="32" t="s">
        <v>364</v>
      </c>
      <c r="Q72" t="b">
        <f>+F72=VLOOKUP($B72,[5]Apple!$A$3:$L$176,F$1,FALSE)</f>
        <v>1</v>
      </c>
      <c r="R72" t="b">
        <f>+G72=VLOOKUP($B72,[5]Apple!$A$3:$L$176,G$1,FALSE)</f>
        <v>1</v>
      </c>
      <c r="S72" t="b">
        <f>+H72=VLOOKUP($B72,[5]Apple!$A$3:$L$176,H$1,FALSE)</f>
        <v>1</v>
      </c>
      <c r="T72" t="b">
        <f>+I72=VLOOKUP($B72,[5]Apple!$A$3:$L$176,I$1,FALSE)</f>
        <v>1</v>
      </c>
      <c r="U72" t="b">
        <f>+J72=VLOOKUP($B72,[5]Apple!$A$3:$L$176,J$1,FALSE)</f>
        <v>1</v>
      </c>
      <c r="V72" t="b">
        <f>+K72=VLOOKUP($B72,[5]Apple!$A$3:$L$176,K$1,FALSE)</f>
        <v>1</v>
      </c>
      <c r="W72" t="b">
        <f>+L72=VLOOKUP($B72,[5]Apple!$A$3:$L$176,L$1,FALSE)</f>
        <v>1</v>
      </c>
      <c r="X72" t="b">
        <f>+M72=VLOOKUP($B72,[5]Apple!$A$3:$L$176,M$1,FALSE)</f>
        <v>1</v>
      </c>
      <c r="Y72" s="31" t="str">
        <f>+VLOOKUP(C72,'Country &amp; Code Abbreviation'!$C$3:$D$245,2,FALSE)</f>
        <v>IDN</v>
      </c>
    </row>
    <row r="73" spans="2:25">
      <c r="B73" t="s">
        <v>175</v>
      </c>
      <c r="C73" s="31" t="str">
        <f>+VLOOKUP(B73,'Country &amp; Code Abbreviation'!$B$3:$C$245,2,FALSE)</f>
        <v>IQ</v>
      </c>
      <c r="D73" s="31" t="str">
        <f>+VLOOKUP(B73,'INT Web'!$B$5:$Q$247,16,FALSE)</f>
        <v>USD</v>
      </c>
      <c r="E73" s="32" t="s">
        <v>346</v>
      </c>
      <c r="F73" s="33">
        <f>+IF($D73=$E73,VLOOKUP($B73,'INT Web'!$B$5:$W$247,'INT Web'!R$1,FALSE),MROUND(VLOOKUP($B73,'INT Web'!$B$5:$AQ$247,'INT Web'!AL$1,FALSE),1)-0.01)</f>
        <v>99.99</v>
      </c>
      <c r="G73" s="33">
        <f>+IF($D73=$E73,VLOOKUP($B73,'INT Web'!$B$5:$W$247,'INT Web'!S$1,FALSE),MROUND(VLOOKUP($B73,'INT Web'!$B$5:$AQ$247,'INT Web'!AM$1,FALSE),1)-0.01)</f>
        <v>16.989999999999998</v>
      </c>
      <c r="H73" s="33">
        <f>+IF($D73=$E73,VLOOKUP($B73,'INT Web'!$B$5:$W$247,'INT Web'!T$1,FALSE),MROUND(VLOOKUP($B73,'INT Web'!$B$5:$AQ$247,'INT Web'!AN$1,FALSE),1)-0.01)</f>
        <v>74.989999999999995</v>
      </c>
      <c r="I73" s="33">
        <f>+IF($D73=$E73,VLOOKUP($B73,'INT Web'!$B$5:$W$247,'INT Web'!U$1,FALSE),MROUND(VLOOKUP($B73,'INT Web'!$B$5:$AQ$247,'INT Web'!AO$1,FALSE),1)-0.01)</f>
        <v>12.99</v>
      </c>
      <c r="J73" s="34">
        <v>4.99</v>
      </c>
      <c r="K73" s="34">
        <v>3.99</v>
      </c>
      <c r="L73" s="34">
        <v>2.99</v>
      </c>
      <c r="M73" s="34">
        <v>1.99</v>
      </c>
      <c r="N73" s="35"/>
      <c r="O73" s="32" t="s">
        <v>366</v>
      </c>
      <c r="Q73" t="b">
        <f>+F73=VLOOKUP($B73,[5]Apple!$A$3:$L$176,F$1,FALSE)</f>
        <v>1</v>
      </c>
      <c r="R73" t="b">
        <f>+G73=VLOOKUP($B73,[5]Apple!$A$3:$L$176,G$1,FALSE)</f>
        <v>1</v>
      </c>
      <c r="S73" t="b">
        <f>+H73=VLOOKUP($B73,[5]Apple!$A$3:$L$176,H$1,FALSE)</f>
        <v>1</v>
      </c>
      <c r="T73" t="b">
        <f>+I73=VLOOKUP($B73,[5]Apple!$A$3:$L$176,I$1,FALSE)</f>
        <v>1</v>
      </c>
      <c r="U73" t="b">
        <f>+J73=VLOOKUP($B73,[5]Apple!$A$3:$L$176,J$1,FALSE)</f>
        <v>1</v>
      </c>
      <c r="V73" t="b">
        <f>+K73=VLOOKUP($B73,[5]Apple!$A$3:$L$176,K$1,FALSE)</f>
        <v>1</v>
      </c>
      <c r="W73" t="b">
        <f>+L73=VLOOKUP($B73,[5]Apple!$A$3:$L$176,L$1,FALSE)</f>
        <v>1</v>
      </c>
      <c r="X73" t="b">
        <f>+M73=VLOOKUP($B73,[5]Apple!$A$3:$L$176,M$1,FALSE)</f>
        <v>1</v>
      </c>
      <c r="Y73" s="31" t="str">
        <f>+VLOOKUP(C73,'Country &amp; Code Abbreviation'!$C$3:$D$245,2,FALSE)</f>
        <v>IRQ</v>
      </c>
    </row>
    <row r="74" spans="2:25">
      <c r="B74" t="s">
        <v>176</v>
      </c>
      <c r="C74" s="31" t="str">
        <f>+VLOOKUP(B74,'Country &amp; Code Abbreviation'!$B$3:$C$245,2,FALSE)</f>
        <v>IE</v>
      </c>
      <c r="D74" s="31" t="str">
        <f>+VLOOKUP(B74,'INT Web'!$B$5:$Q$247,16,FALSE)</f>
        <v>EUR</v>
      </c>
      <c r="E74" s="32" t="s">
        <v>368</v>
      </c>
      <c r="F74" s="33">
        <f>+IF($D74=$E74,VLOOKUP($B74,'INT Web'!$B$5:$W$247,'INT Web'!R$1,FALSE),MROUND(VLOOKUP($B74,'INT Web'!$B$5:$AQ$247,'INT Web'!AL$1,FALSE),1)-0.01)</f>
        <v>159.99</v>
      </c>
      <c r="G74" s="33">
        <f>+IF($D74=$E74,VLOOKUP($B74,'INT Web'!$B$5:$W$247,'INT Web'!S$1,FALSE),MROUND(VLOOKUP($B74,'INT Web'!$B$5:$AQ$247,'INT Web'!AM$1,FALSE),1)-0.01)</f>
        <v>24.99</v>
      </c>
      <c r="H74" s="33">
        <f>+IF($D74=$E74,VLOOKUP($B74,'INT Web'!$B$5:$W$247,'INT Web'!T$1,FALSE),MROUND(VLOOKUP($B74,'INT Web'!$B$5:$AQ$247,'INT Web'!AN$1,FALSE),1)-0.01)</f>
        <v>121.99</v>
      </c>
      <c r="I74" s="33">
        <f>+IF($D74=$E74,VLOOKUP($B74,'INT Web'!$B$5:$W$247,'INT Web'!U$1,FALSE),MROUND(VLOOKUP($B74,'INT Web'!$B$5:$AQ$247,'INT Web'!AO$1,FALSE),1)-0.01)</f>
        <v>18.989999999999998</v>
      </c>
      <c r="J74" s="34">
        <v>6.99</v>
      </c>
      <c r="K74" s="108">
        <f>J74-1</f>
        <v>5.99</v>
      </c>
      <c r="L74" s="108">
        <f t="shared" ref="L74:M74" si="16">K74-1</f>
        <v>4.99</v>
      </c>
      <c r="M74" s="108">
        <f t="shared" si="16"/>
        <v>3.99</v>
      </c>
      <c r="N74" s="35"/>
      <c r="O74" s="32" t="s">
        <v>366</v>
      </c>
      <c r="Q74" t="b">
        <f>+F74=VLOOKUP($B74,[5]Apple!$A$3:$L$176,F$1,FALSE)</f>
        <v>1</v>
      </c>
      <c r="R74" t="b">
        <f>+G74=VLOOKUP($B74,[5]Apple!$A$3:$L$176,G$1,FALSE)</f>
        <v>1</v>
      </c>
      <c r="S74" t="b">
        <f>+H74=VLOOKUP($B74,[5]Apple!$A$3:$L$176,H$1,FALSE)</f>
        <v>1</v>
      </c>
      <c r="T74" t="b">
        <f>+I74=VLOOKUP($B74,[5]Apple!$A$3:$L$176,I$1,FALSE)</f>
        <v>1</v>
      </c>
      <c r="U74" t="b">
        <f>+J74=VLOOKUP($B74,[5]Apple!$A$3:$L$176,J$1,FALSE)</f>
        <v>1</v>
      </c>
      <c r="V74" t="b">
        <f>+K74=VLOOKUP($B74,[5]Apple!$A$3:$L$176,K$1,FALSE)</f>
        <v>1</v>
      </c>
      <c r="W74" t="b">
        <f>+L74=VLOOKUP($B74,[5]Apple!$A$3:$L$176,L$1,FALSE)</f>
        <v>1</v>
      </c>
      <c r="X74" t="b">
        <f>+M74=VLOOKUP($B74,[5]Apple!$A$3:$L$176,M$1,FALSE)</f>
        <v>1</v>
      </c>
      <c r="Y74" s="31" t="str">
        <f>+VLOOKUP(C74,'Country &amp; Code Abbreviation'!$C$3:$D$245,2,FALSE)</f>
        <v>IRL</v>
      </c>
    </row>
    <row r="75" spans="2:25">
      <c r="B75" t="s">
        <v>178</v>
      </c>
      <c r="C75" s="31" t="str">
        <f>+VLOOKUP(B75,'Country &amp; Code Abbreviation'!$B$3:$C$245,2,FALSE)</f>
        <v>IL</v>
      </c>
      <c r="D75" s="31" t="str">
        <f>+VLOOKUP(B75,'INT Web'!$B$5:$Q$247,16,FALSE)</f>
        <v>ILS</v>
      </c>
      <c r="E75" s="32" t="s">
        <v>380</v>
      </c>
      <c r="F75" s="72">
        <v>569.9</v>
      </c>
      <c r="G75" s="72">
        <v>88</v>
      </c>
      <c r="H75" s="72">
        <v>419.9</v>
      </c>
      <c r="I75" s="72">
        <v>65</v>
      </c>
      <c r="J75" s="34">
        <v>25.9</v>
      </c>
      <c r="K75" s="34">
        <v>19.899999999999999</v>
      </c>
      <c r="L75" s="34">
        <v>13.9</v>
      </c>
      <c r="M75" s="34">
        <v>10.9</v>
      </c>
      <c r="N75" s="35"/>
      <c r="O75" s="32" t="s">
        <v>366</v>
      </c>
      <c r="Q75" t="b">
        <f>+F75=VLOOKUP($B75,[5]Apple!$A$3:$L$176,F$1,FALSE)</f>
        <v>1</v>
      </c>
      <c r="R75" t="b">
        <f>+G75=VLOOKUP($B75,[5]Apple!$A$3:$L$176,G$1,FALSE)</f>
        <v>1</v>
      </c>
      <c r="S75" t="b">
        <f>+H75=VLOOKUP($B75,[5]Apple!$A$3:$L$176,H$1,FALSE)</f>
        <v>1</v>
      </c>
      <c r="T75" t="b">
        <f>+I75=VLOOKUP($B75,[5]Apple!$A$3:$L$176,I$1,FALSE)</f>
        <v>1</v>
      </c>
      <c r="U75" t="b">
        <f>+J75=VLOOKUP($B75,[5]Apple!$A$3:$L$176,J$1,FALSE)</f>
        <v>1</v>
      </c>
      <c r="V75" t="b">
        <f>+K75=VLOOKUP($B75,[5]Apple!$A$3:$L$176,K$1,FALSE)</f>
        <v>1</v>
      </c>
      <c r="W75" t="b">
        <f>+L75=VLOOKUP($B75,[5]Apple!$A$3:$L$176,L$1,FALSE)</f>
        <v>1</v>
      </c>
      <c r="X75" t="b">
        <f>+M75=VLOOKUP($B75,[5]Apple!$A$3:$L$176,M$1,FALSE)</f>
        <v>1</v>
      </c>
      <c r="Y75" s="31" t="str">
        <f>+VLOOKUP(C75,'Country &amp; Code Abbreviation'!$C$3:$D$245,2,FALSE)</f>
        <v>ISR</v>
      </c>
    </row>
    <row r="76" spans="2:25">
      <c r="B76" t="s">
        <v>179</v>
      </c>
      <c r="C76" s="31" t="str">
        <f>+VLOOKUP(B76,'Country &amp; Code Abbreviation'!$B$3:$C$245,2,FALSE)</f>
        <v>IT</v>
      </c>
      <c r="D76" s="31" t="str">
        <f>+VLOOKUP(B76,'INT Web'!$B$5:$Q$247,16,FALSE)</f>
        <v>EUR</v>
      </c>
      <c r="E76" s="32" t="s">
        <v>368</v>
      </c>
      <c r="F76" s="33">
        <f>+IF($D76=$E76,VLOOKUP($B76,'INT Web'!$B$5:$W$247,'INT Web'!R$1,FALSE),MROUND(VLOOKUP($B76,'INT Web'!$B$5:$AQ$247,'INT Web'!AL$1,FALSE),1)-0.01)</f>
        <v>149.99</v>
      </c>
      <c r="G76" s="33">
        <f>+IF($D76=$E76,VLOOKUP($B76,'INT Web'!$B$5:$W$247,'INT Web'!S$1,FALSE),MROUND(VLOOKUP($B76,'INT Web'!$B$5:$AQ$247,'INT Web'!AM$1,FALSE),1)-0.01)</f>
        <v>21.99</v>
      </c>
      <c r="H76" s="33">
        <f>+IF($D76=$E76,VLOOKUP($B76,'INT Web'!$B$5:$W$247,'INT Web'!T$1,FALSE),MROUND(VLOOKUP($B76,'INT Web'!$B$5:$AQ$247,'INT Web'!AN$1,FALSE),1)-0.01)</f>
        <v>109.99</v>
      </c>
      <c r="I76" s="33">
        <f>+IF($D76=$E76,VLOOKUP($B76,'INT Web'!$B$5:$W$247,'INT Web'!U$1,FALSE),MROUND(VLOOKUP($B76,'INT Web'!$B$5:$AQ$247,'INT Web'!AO$1,FALSE),1)-0.01)</f>
        <v>15.99</v>
      </c>
      <c r="J76" s="34">
        <v>5.99</v>
      </c>
      <c r="K76" s="108">
        <f>J76-1</f>
        <v>4.99</v>
      </c>
      <c r="L76" s="108">
        <f t="shared" ref="L76:M76" si="17">K76-1</f>
        <v>3.99</v>
      </c>
      <c r="M76" s="108">
        <f t="shared" si="17"/>
        <v>2.99</v>
      </c>
      <c r="N76" s="35"/>
      <c r="O76" s="32" t="s">
        <v>366</v>
      </c>
      <c r="Q76" t="b">
        <f>+F76=VLOOKUP($B76,[5]Apple!$A$3:$L$176,F$1,FALSE)</f>
        <v>1</v>
      </c>
      <c r="R76" t="b">
        <f>+G76=VLOOKUP($B76,[5]Apple!$A$3:$L$176,G$1,FALSE)</f>
        <v>1</v>
      </c>
      <c r="S76" t="b">
        <f>+H76=VLOOKUP($B76,[5]Apple!$A$3:$L$176,H$1,FALSE)</f>
        <v>1</v>
      </c>
      <c r="T76" t="b">
        <f>+I76=VLOOKUP($B76,[5]Apple!$A$3:$L$176,I$1,FALSE)</f>
        <v>1</v>
      </c>
      <c r="U76" t="b">
        <f>+J76=VLOOKUP($B76,[5]Apple!$A$3:$L$176,J$1,FALSE)</f>
        <v>1</v>
      </c>
      <c r="V76" t="b">
        <f>+K76=VLOOKUP($B76,[5]Apple!$A$3:$L$176,K$1,FALSE)</f>
        <v>1</v>
      </c>
      <c r="W76" t="b">
        <f>+L76=VLOOKUP($B76,[5]Apple!$A$3:$L$176,L$1,FALSE)</f>
        <v>1</v>
      </c>
      <c r="X76" t="b">
        <f>+M76=VLOOKUP($B76,[5]Apple!$A$3:$L$176,M$1,FALSE)</f>
        <v>1</v>
      </c>
      <c r="Y76" s="31" t="str">
        <f>+VLOOKUP(C76,'Country &amp; Code Abbreviation'!$C$3:$D$245,2,FALSE)</f>
        <v>ITA</v>
      </c>
    </row>
    <row r="77" spans="2:25">
      <c r="B77" t="s">
        <v>180</v>
      </c>
      <c r="C77" s="31" t="str">
        <f>+VLOOKUP(B77,'Country &amp; Code Abbreviation'!$B$3:$C$245,2,FALSE)</f>
        <v>JM</v>
      </c>
      <c r="D77" s="31" t="str">
        <f>+VLOOKUP(B77,'INT Web'!$B$5:$Q$247,16,FALSE)</f>
        <v>JMD</v>
      </c>
      <c r="E77" s="32" t="s">
        <v>346</v>
      </c>
      <c r="F77" s="33">
        <f>+VLOOKUP($B77,[5]Apple!$A$4:$M$175,[5]Apple!E$1,FALSE)</f>
        <v>91.99</v>
      </c>
      <c r="G77" s="33">
        <f>+IF($D77=$E77,VLOOKUP($B77,'INT Web'!$B$5:$W$247,'INT Web'!S$1,FALSE),MROUND(VLOOKUP($B77,'INT Web'!$B$5:$AQ$247,'INT Web'!AM$1,FALSE),1)-0.01)</f>
        <v>14.99</v>
      </c>
      <c r="H77" s="33">
        <f>+VLOOKUP($B77,[5]Apple!$A$4:$M$175,[5]Apple!G$1,FALSE)</f>
        <v>64.989999999999995</v>
      </c>
      <c r="I77" s="33">
        <f>+IF($D77=$E77,VLOOKUP($B77,'INT Web'!$B$5:$W$247,'INT Web'!U$1,FALSE),MROUND(VLOOKUP($B77,'INT Web'!$B$5:$AQ$247,'INT Web'!AO$1,FALSE),1)-0.01)</f>
        <v>10.99</v>
      </c>
      <c r="J77" s="34">
        <v>3.99</v>
      </c>
      <c r="K77" s="34">
        <v>3.99</v>
      </c>
      <c r="L77" s="34">
        <v>1.99</v>
      </c>
      <c r="M77" s="34">
        <v>1.99</v>
      </c>
      <c r="N77" s="35"/>
      <c r="O77" s="32" t="s">
        <v>364</v>
      </c>
      <c r="Q77" t="b">
        <f>+F77=VLOOKUP($B77,[5]Apple!$A$3:$L$176,F$1,FALSE)</f>
        <v>1</v>
      </c>
      <c r="R77" t="b">
        <f>+G77=VLOOKUP($B77,[5]Apple!$A$3:$L$176,G$1,FALSE)</f>
        <v>1</v>
      </c>
      <c r="S77" t="b">
        <f>+H77=VLOOKUP($B77,[5]Apple!$A$3:$L$176,H$1,FALSE)</f>
        <v>1</v>
      </c>
      <c r="T77" t="b">
        <f>+I77=VLOOKUP($B77,[5]Apple!$A$3:$L$176,I$1,FALSE)</f>
        <v>1</v>
      </c>
      <c r="U77" t="b">
        <f>+J77=VLOOKUP($B77,[5]Apple!$A$3:$L$176,J$1,FALSE)</f>
        <v>1</v>
      </c>
      <c r="V77" t="b">
        <f>+K77=VLOOKUP($B77,[5]Apple!$A$3:$L$176,K$1,FALSE)</f>
        <v>1</v>
      </c>
      <c r="W77" t="b">
        <f>+L77=VLOOKUP($B77,[5]Apple!$A$3:$L$176,L$1,FALSE)</f>
        <v>1</v>
      </c>
      <c r="X77" t="b">
        <f>+M77=VLOOKUP($B77,[5]Apple!$A$3:$L$176,M$1,FALSE)</f>
        <v>1</v>
      </c>
      <c r="Y77" s="31" t="str">
        <f>+VLOOKUP(C77,'Country &amp; Code Abbreviation'!$C$3:$D$245,2,FALSE)</f>
        <v>JAM</v>
      </c>
    </row>
    <row r="78" spans="2:25">
      <c r="B78" t="s">
        <v>181</v>
      </c>
      <c r="C78" s="31" t="str">
        <f>+VLOOKUP(B78,'Country &amp; Code Abbreviation'!$B$3:$C$245,2,FALSE)</f>
        <v>JP</v>
      </c>
      <c r="D78" s="31" t="str">
        <f>+VLOOKUP(B78,'INT Web'!$B$5:$Q$247,16,FALSE)</f>
        <v>JPY</v>
      </c>
      <c r="E78" s="32" t="s">
        <v>352</v>
      </c>
      <c r="F78" s="72">
        <v>25000</v>
      </c>
      <c r="G78" s="33">
        <f>+IF($D78=$E78,VLOOKUP($B78,'INT Web'!$B$5:$W$247,'INT Web'!S$1,FALSE),MROUND(VLOOKUP($B78,'INT Web'!$B$5:$AQ$247,'INT Web'!AM$1,FALSE),1)-0.01)</f>
        <v>4190</v>
      </c>
      <c r="H78" s="72">
        <v>19000</v>
      </c>
      <c r="I78" s="33">
        <f>+IF($D78=$E78,VLOOKUP($B78,'INT Web'!$B$5:$W$247,'INT Web'!U$1,FALSE),MROUND(VLOOKUP($B78,'INT Web'!$B$5:$AQ$247,'INT Web'!AO$1,FALSE),1)-0.01)</f>
        <v>3190</v>
      </c>
      <c r="J78" s="34">
        <v>1190</v>
      </c>
      <c r="K78" s="34">
        <v>940</v>
      </c>
      <c r="L78" s="34">
        <v>690</v>
      </c>
      <c r="M78" s="34">
        <v>440</v>
      </c>
      <c r="N78" s="35"/>
      <c r="O78" s="32" t="s">
        <v>364</v>
      </c>
      <c r="Q78" t="b">
        <f>+F78=VLOOKUP($B78,[5]Apple!$A$3:$L$176,F$1,FALSE)</f>
        <v>1</v>
      </c>
      <c r="R78" t="b">
        <f>+G78=VLOOKUP($B78,[5]Apple!$A$3:$L$176,G$1,FALSE)</f>
        <v>1</v>
      </c>
      <c r="S78" t="b">
        <f>+H78=VLOOKUP($B78,[5]Apple!$A$3:$L$176,H$1,FALSE)</f>
        <v>1</v>
      </c>
      <c r="T78" t="b">
        <f>+I78=VLOOKUP($B78,[5]Apple!$A$3:$L$176,I$1,FALSE)</f>
        <v>1</v>
      </c>
      <c r="U78" t="b">
        <f>+J78=VLOOKUP($B78,[5]Apple!$A$3:$L$176,J$1,FALSE)</f>
        <v>1</v>
      </c>
      <c r="V78" t="b">
        <f>+K78=VLOOKUP($B78,[5]Apple!$A$3:$L$176,K$1,FALSE)</f>
        <v>1</v>
      </c>
      <c r="W78" t="b">
        <f>+L78=VLOOKUP($B78,[5]Apple!$A$3:$L$176,L$1,FALSE)</f>
        <v>1</v>
      </c>
      <c r="X78" t="b">
        <f>+M78=VLOOKUP($B78,[5]Apple!$A$3:$L$176,M$1,FALSE)</f>
        <v>1</v>
      </c>
      <c r="Y78" s="31" t="str">
        <f>+VLOOKUP(C78,'Country &amp; Code Abbreviation'!$C$3:$D$245,2,FALSE)</f>
        <v>JPN</v>
      </c>
    </row>
    <row r="79" spans="2:25">
      <c r="B79" t="s">
        <v>184</v>
      </c>
      <c r="C79" s="31" t="str">
        <f>+VLOOKUP(B79,'Country &amp; Code Abbreviation'!$B$3:$C$245,2,FALSE)</f>
        <v>JO</v>
      </c>
      <c r="D79" s="31" t="str">
        <f>+VLOOKUP(B79,'INT Web'!$B$5:$Q$247,16,FALSE)</f>
        <v>JOD</v>
      </c>
      <c r="E79" s="32" t="s">
        <v>346</v>
      </c>
      <c r="F79" s="33">
        <f>+IF($D79=$E79,VLOOKUP($B79,'INT Web'!$B$5:$W$247,'INT Web'!R$1,FALSE),MROUND(VLOOKUP($B79,'INT Web'!$B$5:$AQ$247,'INT Web'!AL$1,FALSE),1)-0.01)</f>
        <v>112.99</v>
      </c>
      <c r="G79" s="33">
        <f>+IF($D79=$E79,VLOOKUP($B79,'INT Web'!$B$5:$W$247,'INT Web'!S$1,FALSE),MROUND(VLOOKUP($B79,'INT Web'!$B$5:$AQ$247,'INT Web'!AM$1,FALSE),1)-0.01)</f>
        <v>16.989999999999998</v>
      </c>
      <c r="H79" s="33">
        <f>+IF($D79=$E79,VLOOKUP($B79,'INT Web'!$B$5:$W$247,'INT Web'!T$1,FALSE),MROUND(VLOOKUP($B79,'INT Web'!$B$5:$AQ$247,'INT Web'!AN$1,FALSE),1)-0.01)</f>
        <v>84.99</v>
      </c>
      <c r="I79" s="33">
        <f>+IF($D79=$E79,VLOOKUP($B79,'INT Web'!$B$5:$W$247,'INT Web'!U$1,FALSE),MROUND(VLOOKUP($B79,'INT Web'!$B$5:$AQ$247,'INT Web'!AO$1,FALSE),1)-0.01)</f>
        <v>12.99</v>
      </c>
      <c r="J79" s="34">
        <v>4.99</v>
      </c>
      <c r="K79" s="34">
        <v>3.99</v>
      </c>
      <c r="L79" s="34">
        <v>2.99</v>
      </c>
      <c r="M79" s="34">
        <v>1.99</v>
      </c>
      <c r="N79" s="35"/>
      <c r="O79" s="32" t="s">
        <v>366</v>
      </c>
      <c r="Q79" t="b">
        <f>+F79=VLOOKUP($B79,[5]Apple!$A$3:$L$176,F$1,FALSE)</f>
        <v>1</v>
      </c>
      <c r="R79" t="b">
        <f>+G79=VLOOKUP($B79,[5]Apple!$A$3:$L$176,G$1,FALSE)</f>
        <v>1</v>
      </c>
      <c r="S79" t="b">
        <f>+H79=VLOOKUP($B79,[5]Apple!$A$3:$L$176,H$1,FALSE)</f>
        <v>1</v>
      </c>
      <c r="T79" t="b">
        <f>+I79=VLOOKUP($B79,[5]Apple!$A$3:$L$176,I$1,FALSE)</f>
        <v>1</v>
      </c>
      <c r="U79" t="b">
        <f>+J79=VLOOKUP($B79,[5]Apple!$A$3:$L$176,J$1,FALSE)</f>
        <v>1</v>
      </c>
      <c r="V79" t="b">
        <f>+K79=VLOOKUP($B79,[5]Apple!$A$3:$L$176,K$1,FALSE)</f>
        <v>1</v>
      </c>
      <c r="W79" t="b">
        <f>+L79=VLOOKUP($B79,[5]Apple!$A$3:$L$176,L$1,FALSE)</f>
        <v>1</v>
      </c>
      <c r="X79" t="b">
        <f>+M79=VLOOKUP($B79,[5]Apple!$A$3:$L$176,M$1,FALSE)</f>
        <v>1</v>
      </c>
      <c r="Y79" s="31" t="str">
        <f>+VLOOKUP(C79,'Country &amp; Code Abbreviation'!$C$3:$D$245,2,FALSE)</f>
        <v>JOR</v>
      </c>
    </row>
    <row r="80" spans="2:25" ht="12.75" customHeight="1">
      <c r="B80" t="s">
        <v>185</v>
      </c>
      <c r="C80" s="31" t="str">
        <f>+VLOOKUP(B80,'Country &amp; Code Abbreviation'!$B$3:$C$245,2,FALSE)</f>
        <v>KZ</v>
      </c>
      <c r="D80" s="31" t="str">
        <f>+VLOOKUP(B80,'INT Web'!$B$5:$Q$247,16,FALSE)</f>
        <v>KZT</v>
      </c>
      <c r="E80" s="32" t="s">
        <v>381</v>
      </c>
      <c r="F80" s="72">
        <v>37490</v>
      </c>
      <c r="G80" s="72">
        <v>6190</v>
      </c>
      <c r="H80" s="33">
        <f>+VLOOKUP($B80,[5]Apple!$A$4:$M$175,[5]Apple!G$1,FALSE)</f>
        <v>27490</v>
      </c>
      <c r="I80" s="33">
        <f>+IF($D80=$E80,VLOOKUP($B80,'INT Web'!$B$5:$W$247,'INT Web'!U$1,FALSE),MROUND(VLOOKUP($B80,'INT Web'!$B$5:$AQ$247,'INT Web'!AO$1,FALSE),1)-0.01)</f>
        <v>4600</v>
      </c>
      <c r="J80" s="34">
        <v>1990</v>
      </c>
      <c r="K80" s="34">
        <v>1990</v>
      </c>
      <c r="L80" s="34">
        <v>999</v>
      </c>
      <c r="M80" s="34">
        <v>999</v>
      </c>
      <c r="N80" s="35"/>
      <c r="O80" s="32" t="s">
        <v>364</v>
      </c>
      <c r="Q80" t="b">
        <f>+F80=VLOOKUP($B80,[5]Apple!$A$3:$L$176,F$1,FALSE)</f>
        <v>1</v>
      </c>
      <c r="R80" t="b">
        <f>+G80=VLOOKUP($B80,[5]Apple!$A$3:$L$176,G$1,FALSE)</f>
        <v>1</v>
      </c>
      <c r="S80" t="b">
        <f>+H80=VLOOKUP($B80,[5]Apple!$A$3:$L$176,H$1,FALSE)</f>
        <v>1</v>
      </c>
      <c r="T80" t="b">
        <f>+I80=VLOOKUP($B80,[5]Apple!$A$3:$L$176,I$1,FALSE)</f>
        <v>1</v>
      </c>
      <c r="U80" t="b">
        <f>+J80=VLOOKUP($B80,[5]Apple!$A$3:$L$176,J$1,FALSE)</f>
        <v>1</v>
      </c>
      <c r="V80" t="b">
        <f>+K80=VLOOKUP($B80,[5]Apple!$A$3:$L$176,K$1,FALSE)</f>
        <v>1</v>
      </c>
      <c r="W80" t="b">
        <f>+L80=VLOOKUP($B80,[5]Apple!$A$3:$L$176,L$1,FALSE)</f>
        <v>1</v>
      </c>
      <c r="X80" t="b">
        <f>+M80=VLOOKUP($B80,[5]Apple!$A$3:$L$176,M$1,FALSE)</f>
        <v>1</v>
      </c>
      <c r="Y80" s="31" t="str">
        <f>+VLOOKUP(C80,'Country &amp; Code Abbreviation'!$C$3:$D$245,2,FALSE)</f>
        <v>KAZ</v>
      </c>
    </row>
    <row r="81" spans="2:25">
      <c r="B81" t="s">
        <v>186</v>
      </c>
      <c r="C81" s="31" t="str">
        <f>+VLOOKUP(B81,'Country &amp; Code Abbreviation'!$B$3:$C$245,2,FALSE)</f>
        <v>KE</v>
      </c>
      <c r="D81" s="31" t="str">
        <f>+VLOOKUP(B81,'INT Web'!$B$5:$Q$247,16,FALSE)</f>
        <v>KES</v>
      </c>
      <c r="E81" s="32" t="s">
        <v>346</v>
      </c>
      <c r="F81" s="34">
        <v>74.989999999999995</v>
      </c>
      <c r="G81" s="34">
        <v>12.99</v>
      </c>
      <c r="H81" s="34">
        <v>54.99</v>
      </c>
      <c r="I81" s="33">
        <f>+IF($D81=$E81,VLOOKUP($B81,'INT Web'!$B$5:$W$247,'INT Web'!U$1,FALSE),MROUND(VLOOKUP($B81,'INT Web'!$B$5:$AQ$247,'INT Web'!AO$1,FALSE),1)-0.01)</f>
        <v>8.99</v>
      </c>
      <c r="J81" s="34">
        <v>3.99</v>
      </c>
      <c r="K81" s="34">
        <f>J81</f>
        <v>3.99</v>
      </c>
      <c r="L81" s="34">
        <v>2.4900000000000002</v>
      </c>
      <c r="M81" s="34">
        <v>2.4900000000000002</v>
      </c>
      <c r="N81" s="35"/>
      <c r="O81" s="32" t="s">
        <v>364</v>
      </c>
      <c r="Q81" t="b">
        <f>+F81=VLOOKUP($B81,[5]Apple!$A$3:$L$176,F$1,FALSE)</f>
        <v>1</v>
      </c>
      <c r="R81" t="b">
        <f>+G81=VLOOKUP($B81,[5]Apple!$A$3:$L$176,G$1,FALSE)</f>
        <v>1</v>
      </c>
      <c r="S81" t="b">
        <f>+H81=VLOOKUP($B81,[5]Apple!$A$3:$L$176,H$1,FALSE)</f>
        <v>1</v>
      </c>
      <c r="T81" t="b">
        <f>+I81=VLOOKUP($B81,[5]Apple!$A$3:$L$176,I$1,FALSE)</f>
        <v>1</v>
      </c>
      <c r="U81" t="b">
        <f>+J81=VLOOKUP($B81,[5]Apple!$A$3:$L$176,J$1,FALSE)</f>
        <v>1</v>
      </c>
      <c r="V81" t="b">
        <f>+K81=VLOOKUP($B81,[5]Apple!$A$3:$L$176,K$1,FALSE)</f>
        <v>1</v>
      </c>
      <c r="W81" t="b">
        <f>+L81=VLOOKUP($B81,[5]Apple!$A$3:$L$176,L$1,FALSE)</f>
        <v>1</v>
      </c>
      <c r="X81" t="b">
        <f>+M81=VLOOKUP($B81,[5]Apple!$A$3:$L$176,M$1,FALSE)</f>
        <v>1</v>
      </c>
      <c r="Y81" s="31" t="str">
        <f>+VLOOKUP(C81,'Country &amp; Code Abbreviation'!$C$3:$D$245,2,FALSE)</f>
        <v>KEN</v>
      </c>
    </row>
    <row r="82" spans="2:25">
      <c r="B82" t="s">
        <v>273</v>
      </c>
      <c r="C82" s="31" t="str">
        <f>+VLOOKUP(B82,'Country &amp; Code Abbreviation'!$B$3:$C$245,2,FALSE)</f>
        <v>KR</v>
      </c>
      <c r="D82" s="31" t="str">
        <f>+VLOOKUP(B82,'INT Web'!$B$5:$Q$247,16,FALSE)</f>
        <v>KRW</v>
      </c>
      <c r="E82" s="32" t="s">
        <v>382</v>
      </c>
      <c r="F82" s="72">
        <v>190000</v>
      </c>
      <c r="G82" s="72">
        <v>30000</v>
      </c>
      <c r="H82" s="72">
        <v>130000</v>
      </c>
      <c r="I82" s="33">
        <f>+IF($D82=$E82,VLOOKUP($B82,'INT Web'!$B$5:$W$247,'INT Web'!U$1,FALSE),MROUND(VLOOKUP($B82,'INT Web'!$B$5:$AQ$247,'INT Web'!AO$1,FALSE),1)-0.01)</f>
        <v>20000</v>
      </c>
      <c r="J82" s="34">
        <v>7500</v>
      </c>
      <c r="K82" s="34">
        <v>7500</v>
      </c>
      <c r="L82" s="34">
        <v>3900</v>
      </c>
      <c r="M82" s="34">
        <v>3900</v>
      </c>
      <c r="N82" s="35"/>
      <c r="O82" s="32" t="s">
        <v>364</v>
      </c>
      <c r="Q82" t="b">
        <f>+F82=VLOOKUP($B82,[5]Apple!$A$3:$L$176,F$1,FALSE)</f>
        <v>1</v>
      </c>
      <c r="R82" t="b">
        <f>+G82=VLOOKUP($B82,[5]Apple!$A$3:$L$176,G$1,FALSE)</f>
        <v>1</v>
      </c>
      <c r="S82" t="b">
        <f>+H82=VLOOKUP($B82,[5]Apple!$A$3:$L$176,H$1,FALSE)</f>
        <v>1</v>
      </c>
      <c r="T82" t="b">
        <f>+I82=VLOOKUP($B82,[5]Apple!$A$3:$L$176,I$1,FALSE)</f>
        <v>1</v>
      </c>
      <c r="U82" t="b">
        <f>+J82=VLOOKUP($B82,[5]Apple!$A$3:$L$176,J$1,FALSE)</f>
        <v>1</v>
      </c>
      <c r="V82" t="b">
        <f>+K82=VLOOKUP($B82,[5]Apple!$A$3:$L$176,K$1,FALSE)</f>
        <v>1</v>
      </c>
      <c r="W82" t="b">
        <f>+L82=VLOOKUP($B82,[5]Apple!$A$3:$L$176,L$1,FALSE)</f>
        <v>1</v>
      </c>
      <c r="X82" t="b">
        <f>+M82=VLOOKUP($B82,[5]Apple!$A$3:$L$176,M$1,FALSE)</f>
        <v>1</v>
      </c>
      <c r="Y82" s="31" t="str">
        <f>+VLOOKUP(C82,'Country &amp; Code Abbreviation'!$C$3:$D$245,2,FALSE)</f>
        <v>KOR</v>
      </c>
    </row>
    <row r="83" spans="2:25">
      <c r="B83" t="s">
        <v>188</v>
      </c>
      <c r="C83" s="31" t="str">
        <f>+VLOOKUP(B83,'Country &amp; Code Abbreviation'!$B$3:$C$245,2,FALSE)</f>
        <v>XK</v>
      </c>
      <c r="D83" s="31" t="str">
        <f>+VLOOKUP(B83,'INT Web'!$B$5:$Q$247,16,FALSE)</f>
        <v>EUR</v>
      </c>
      <c r="E83" s="32" t="s">
        <v>368</v>
      </c>
      <c r="F83" s="33">
        <f>+IF($D83=$E83,VLOOKUP($B83,'INT Web'!$B$5:$W$247,'INT Web'!R$1,FALSE),MROUND(VLOOKUP($B83,'INT Web'!$B$5:$AQ$247,'INT Web'!AL$1,FALSE),1)-0.01)</f>
        <v>47.99</v>
      </c>
      <c r="G83" s="33">
        <f>+IF($D83=$E83,VLOOKUP($B83,'INT Web'!$B$5:$W$247,'INT Web'!S$1,FALSE),MROUND(VLOOKUP($B83,'INT Web'!$B$5:$AQ$247,'INT Web'!AM$1,FALSE),1)-0.01)</f>
        <v>7.99</v>
      </c>
      <c r="H83" s="33">
        <f>+IF($D83=$E83,VLOOKUP($B83,'INT Web'!$B$5:$W$247,'INT Web'!T$1,FALSE),MROUND(VLOOKUP($B83,'INT Web'!$B$5:$AQ$247,'INT Web'!AN$1,FALSE),1)-0.01)</f>
        <v>35.99</v>
      </c>
      <c r="I83" s="33">
        <f>+IF($D83=$E83,VLOOKUP($B83,'INT Web'!$B$5:$W$247,'INT Web'!U$1,FALSE),MROUND(VLOOKUP($B83,'INT Web'!$B$5:$AQ$247,'INT Web'!AO$1,FALSE),1)-0.01)</f>
        <v>5.99</v>
      </c>
      <c r="J83" s="34">
        <v>2.99</v>
      </c>
      <c r="K83" s="34">
        <v>2.99</v>
      </c>
      <c r="L83" s="34">
        <v>1.99</v>
      </c>
      <c r="M83" s="34">
        <v>1.99</v>
      </c>
      <c r="N83" s="35"/>
      <c r="O83" s="32" t="s">
        <v>364</v>
      </c>
      <c r="Q83" t="b">
        <f>+F83=VLOOKUP($B83,[5]Apple!$A$3:$L$176,F$1,FALSE)</f>
        <v>1</v>
      </c>
      <c r="R83" t="b">
        <f>+G83=VLOOKUP($B83,[5]Apple!$A$3:$L$176,G$1,FALSE)</f>
        <v>1</v>
      </c>
      <c r="S83" t="b">
        <f>+H83=VLOOKUP($B83,[5]Apple!$A$3:$L$176,H$1,FALSE)</f>
        <v>1</v>
      </c>
      <c r="T83" t="b">
        <f>+I83=VLOOKUP($B83,[5]Apple!$A$3:$L$176,I$1,FALSE)</f>
        <v>1</v>
      </c>
      <c r="U83" t="b">
        <f>+J83=VLOOKUP($B83,[5]Apple!$A$3:$L$176,J$1,FALSE)</f>
        <v>1</v>
      </c>
      <c r="V83" t="b">
        <f>+K83=VLOOKUP($B83,[5]Apple!$A$3:$L$176,K$1,FALSE)</f>
        <v>1</v>
      </c>
      <c r="W83" t="b">
        <f>+L83=VLOOKUP($B83,[5]Apple!$A$3:$L$176,L$1,FALSE)</f>
        <v>1</v>
      </c>
      <c r="X83" t="b">
        <f>+M83=VLOOKUP($B83,[5]Apple!$A$3:$L$176,M$1,FALSE)</f>
        <v>1</v>
      </c>
      <c r="Y83" s="31" t="e">
        <f>+VLOOKUP(C83,'Country &amp; Code Abbreviation'!$C$3:$D$245,2,FALSE)</f>
        <v>#N/A</v>
      </c>
    </row>
    <row r="84" spans="2:25">
      <c r="B84" t="s">
        <v>189</v>
      </c>
      <c r="C84" s="31" t="str">
        <f>+VLOOKUP(B84,'Country &amp; Code Abbreviation'!$B$3:$C$245,2,FALSE)</f>
        <v>KW</v>
      </c>
      <c r="D84" s="31" t="str">
        <f>+VLOOKUP(B84,'INT Web'!$B$5:$Q$247,16,FALSE)</f>
        <v>KWD</v>
      </c>
      <c r="E84" s="32" t="s">
        <v>346</v>
      </c>
      <c r="F84" s="72">
        <v>214.99</v>
      </c>
      <c r="G84" s="72">
        <v>32.99</v>
      </c>
      <c r="H84" s="33">
        <f>+VLOOKUP($B84,[5]Apple!$A$4:$M$175,[5]Apple!G$1,FALSE)</f>
        <v>162.99</v>
      </c>
      <c r="I84" s="33">
        <f>+IF($D84=$E84,VLOOKUP($B84,'INT Web'!$B$5:$W$247,'INT Web'!U$1,FALSE),MROUND(VLOOKUP($B84,'INT Web'!$B$5:$AQ$247,'INT Web'!AO$1,FALSE),1)-0.01)</f>
        <v>22.99</v>
      </c>
      <c r="J84" s="34">
        <v>6.99</v>
      </c>
      <c r="K84" s="108">
        <f>J84</f>
        <v>6.99</v>
      </c>
      <c r="L84" s="34">
        <v>3.99</v>
      </c>
      <c r="M84" s="34">
        <v>3.99</v>
      </c>
      <c r="N84" s="35"/>
      <c r="O84" s="32" t="s">
        <v>364</v>
      </c>
      <c r="Q84" t="b">
        <f>+F84=VLOOKUP($B84,[5]Apple!$A$3:$L$176,F$1,FALSE)</f>
        <v>1</v>
      </c>
      <c r="R84" t="b">
        <f>+G84=VLOOKUP($B84,[5]Apple!$A$3:$L$176,G$1,FALSE)</f>
        <v>1</v>
      </c>
      <c r="S84" t="b">
        <f>+H84=VLOOKUP($B84,[5]Apple!$A$3:$L$176,H$1,FALSE)</f>
        <v>1</v>
      </c>
      <c r="T84" t="b">
        <f>+I84=VLOOKUP($B84,[5]Apple!$A$3:$L$176,I$1,FALSE)</f>
        <v>1</v>
      </c>
      <c r="U84" t="b">
        <f>+J84=VLOOKUP($B84,[5]Apple!$A$3:$L$176,J$1,FALSE)</f>
        <v>1</v>
      </c>
      <c r="V84" t="b">
        <f>+K84=VLOOKUP($B84,[5]Apple!$A$3:$L$176,K$1,FALSE)</f>
        <v>1</v>
      </c>
      <c r="W84" t="b">
        <f>+L84=VLOOKUP($B84,[5]Apple!$A$3:$L$176,L$1,FALSE)</f>
        <v>1</v>
      </c>
      <c r="X84" t="b">
        <f>+M84=VLOOKUP($B84,[5]Apple!$A$3:$L$176,M$1,FALSE)</f>
        <v>1</v>
      </c>
      <c r="Y84" s="31" t="str">
        <f>+VLOOKUP(C84,'Country &amp; Code Abbreviation'!$C$3:$D$245,2,FALSE)</f>
        <v>KWT</v>
      </c>
    </row>
    <row r="85" spans="2:25">
      <c r="B85" t="s">
        <v>190</v>
      </c>
      <c r="C85" s="31" t="str">
        <f>+VLOOKUP(B85,'Country &amp; Code Abbreviation'!$B$3:$C$245,2,FALSE)</f>
        <v>KG</v>
      </c>
      <c r="D85" s="31" t="str">
        <f>+VLOOKUP(B85,'INT Web'!$B$5:$Q$247,16,FALSE)</f>
        <v>KGS</v>
      </c>
      <c r="E85" s="32" t="s">
        <v>346</v>
      </c>
      <c r="F85" s="34">
        <v>96.99</v>
      </c>
      <c r="G85" s="34">
        <v>15.99</v>
      </c>
      <c r="H85" s="34">
        <v>71.989999999999995</v>
      </c>
      <c r="I85" s="34">
        <v>11.99</v>
      </c>
      <c r="J85" s="34">
        <v>4.49</v>
      </c>
      <c r="K85" s="34">
        <v>3.49</v>
      </c>
      <c r="L85" s="34">
        <v>2.29</v>
      </c>
      <c r="M85" s="34">
        <v>1.0900000000000001</v>
      </c>
      <c r="N85" s="35"/>
      <c r="O85" s="32" t="s">
        <v>366</v>
      </c>
      <c r="Q85" t="b">
        <f>+F85=VLOOKUP($B85,[5]Apple!$A$3:$L$176,F$1,FALSE)</f>
        <v>1</v>
      </c>
      <c r="R85" t="b">
        <f>+G85=VLOOKUP($B85,[5]Apple!$A$3:$L$176,G$1,FALSE)</f>
        <v>1</v>
      </c>
      <c r="S85" t="b">
        <f>+H85=VLOOKUP($B85,[5]Apple!$A$3:$L$176,H$1,FALSE)</f>
        <v>1</v>
      </c>
      <c r="T85" t="b">
        <f>+I85=VLOOKUP($B85,[5]Apple!$A$3:$L$176,I$1,FALSE)</f>
        <v>1</v>
      </c>
      <c r="U85" t="b">
        <f>+J85=VLOOKUP($B85,[5]Apple!$A$3:$L$176,J$1,FALSE)</f>
        <v>1</v>
      </c>
      <c r="V85" t="b">
        <f>+K85=VLOOKUP($B85,[5]Apple!$A$3:$L$176,K$1,FALSE)</f>
        <v>1</v>
      </c>
      <c r="W85" t="b">
        <f>+L85=VLOOKUP($B85,[5]Apple!$A$3:$L$176,L$1,FALSE)</f>
        <v>1</v>
      </c>
      <c r="X85" t="b">
        <f>+M85=VLOOKUP($B85,[5]Apple!$A$3:$L$176,M$1,FALSE)</f>
        <v>1</v>
      </c>
      <c r="Y85" s="31" t="str">
        <f>+VLOOKUP(C85,'Country &amp; Code Abbreviation'!$C$3:$D$245,2,FALSE)</f>
        <v>KGZ</v>
      </c>
    </row>
    <row r="86" spans="2:25">
      <c r="B86" t="s">
        <v>191</v>
      </c>
      <c r="C86" s="31" t="str">
        <f>+VLOOKUP(B86,'Country &amp; Code Abbreviation'!$B$3:$C$245,2,FALSE)</f>
        <v>LA</v>
      </c>
      <c r="D86" s="31" t="str">
        <f>+VLOOKUP(B86,'INT Web'!$B$5:$Q$247,16,FALSE)</f>
        <v>LAK</v>
      </c>
      <c r="E86" s="32" t="s">
        <v>346</v>
      </c>
      <c r="F86" s="34">
        <v>59.99</v>
      </c>
      <c r="G86" s="34">
        <v>9.99</v>
      </c>
      <c r="H86" s="34">
        <v>44.99</v>
      </c>
      <c r="I86" s="34">
        <v>6.99</v>
      </c>
      <c r="J86" s="34">
        <v>2.99</v>
      </c>
      <c r="K86" s="34">
        <v>2.99</v>
      </c>
      <c r="L86" s="34">
        <v>1.99</v>
      </c>
      <c r="M86" s="34">
        <v>1.99</v>
      </c>
      <c r="N86" s="35"/>
      <c r="O86" s="32" t="s">
        <v>364</v>
      </c>
      <c r="Q86" t="b">
        <f>+F86=VLOOKUP($B86,[5]Apple!$A$3:$L$176,F$1,FALSE)</f>
        <v>1</v>
      </c>
      <c r="R86" t="b">
        <f>+G86=VLOOKUP($B86,[5]Apple!$A$3:$L$176,G$1,FALSE)</f>
        <v>1</v>
      </c>
      <c r="S86" t="b">
        <f>+H86=VLOOKUP($B86,[5]Apple!$A$3:$L$176,H$1,FALSE)</f>
        <v>1</v>
      </c>
      <c r="T86" t="b">
        <f>+I86=VLOOKUP($B86,[5]Apple!$A$3:$L$176,I$1,FALSE)</f>
        <v>1</v>
      </c>
      <c r="U86" t="b">
        <f>+J86=VLOOKUP($B86,[5]Apple!$A$3:$L$176,J$1,FALSE)</f>
        <v>1</v>
      </c>
      <c r="V86" t="b">
        <f>+K86=VLOOKUP($B86,[5]Apple!$A$3:$L$176,K$1,FALSE)</f>
        <v>1</v>
      </c>
      <c r="W86" t="b">
        <f>+L86=VLOOKUP($B86,[5]Apple!$A$3:$L$176,L$1,FALSE)</f>
        <v>1</v>
      </c>
      <c r="X86" t="b">
        <f>+M86=VLOOKUP($B86,[5]Apple!$A$3:$L$176,M$1,FALSE)</f>
        <v>1</v>
      </c>
      <c r="Y86" s="31" t="str">
        <f>+VLOOKUP(C86,'Country &amp; Code Abbreviation'!$C$3:$D$245,2,FALSE)</f>
        <v>LAO</v>
      </c>
    </row>
    <row r="87" spans="2:25">
      <c r="B87" t="s">
        <v>192</v>
      </c>
      <c r="C87" s="31" t="str">
        <f>+VLOOKUP(B87,'Country &amp; Code Abbreviation'!$B$3:$C$245,2,FALSE)</f>
        <v>LV</v>
      </c>
      <c r="D87" s="31" t="str">
        <f>+VLOOKUP(B87,'INT Web'!$B$5:$Q$247,16,FALSE)</f>
        <v>EUR</v>
      </c>
      <c r="E87" s="32" t="s">
        <v>368</v>
      </c>
      <c r="F87" s="33">
        <f>+IF($D87=$E87,VLOOKUP($B87,'INT Web'!$B$5:$W$247,'INT Web'!R$1,FALSE),MROUND(VLOOKUP($B87,'INT Web'!$B$5:$AQ$247,'INT Web'!AL$1,FALSE),1)-0.01)</f>
        <v>91.99</v>
      </c>
      <c r="G87" s="33">
        <f>+IF($D87=$E87,VLOOKUP($B87,'INT Web'!$B$5:$W$247,'INT Web'!S$1,FALSE),MROUND(VLOOKUP($B87,'INT Web'!$B$5:$AQ$247,'INT Web'!AM$1,FALSE),1)-0.01)</f>
        <v>14.99</v>
      </c>
      <c r="H87" s="33">
        <f>+IF($D87=$E87,VLOOKUP($B87,'INT Web'!$B$5:$W$247,'INT Web'!T$1,FALSE),MROUND(VLOOKUP($B87,'INT Web'!$B$5:$AQ$247,'INT Web'!AN$1,FALSE),1)-0.01)</f>
        <v>67.989999999999995</v>
      </c>
      <c r="I87" s="33">
        <f>+IF($D87=$E87,VLOOKUP($B87,'INT Web'!$B$5:$W$247,'INT Web'!U$1,FALSE),MROUND(VLOOKUP($B87,'INT Web'!$B$5:$AQ$247,'INT Web'!AO$1,FALSE),1)-0.01)</f>
        <v>10.99</v>
      </c>
      <c r="J87" s="34">
        <v>3.99</v>
      </c>
      <c r="K87" s="34">
        <v>3.99</v>
      </c>
      <c r="L87" s="34">
        <v>1.99</v>
      </c>
      <c r="M87" s="34">
        <v>1.99</v>
      </c>
      <c r="N87" s="35"/>
      <c r="O87" s="32" t="s">
        <v>364</v>
      </c>
      <c r="Q87" t="b">
        <f>+F87=VLOOKUP($B87,[5]Apple!$A$3:$L$176,F$1,FALSE)</f>
        <v>1</v>
      </c>
      <c r="R87" t="b">
        <f>+G87=VLOOKUP($B87,[5]Apple!$A$3:$L$176,G$1,FALSE)</f>
        <v>1</v>
      </c>
      <c r="S87" t="b">
        <f>+H87=VLOOKUP($B87,[5]Apple!$A$3:$L$176,H$1,FALSE)</f>
        <v>1</v>
      </c>
      <c r="T87" t="b">
        <f>+I87=VLOOKUP($B87,[5]Apple!$A$3:$L$176,I$1,FALSE)</f>
        <v>1</v>
      </c>
      <c r="U87" t="b">
        <f>+J87=VLOOKUP($B87,[5]Apple!$A$3:$L$176,J$1,FALSE)</f>
        <v>1</v>
      </c>
      <c r="V87" t="b">
        <f>+K87=VLOOKUP($B87,[5]Apple!$A$3:$L$176,K$1,FALSE)</f>
        <v>1</v>
      </c>
      <c r="W87" t="b">
        <f>+L87=VLOOKUP($B87,[5]Apple!$A$3:$L$176,L$1,FALSE)</f>
        <v>1</v>
      </c>
      <c r="X87" t="b">
        <f>+M87=VLOOKUP($B87,[5]Apple!$A$3:$L$176,M$1,FALSE)</f>
        <v>1</v>
      </c>
      <c r="Y87" s="31" t="str">
        <f>+VLOOKUP(C87,'Country &amp; Code Abbreviation'!$C$3:$D$245,2,FALSE)</f>
        <v>LVA</v>
      </c>
    </row>
    <row r="88" spans="2:25">
      <c r="B88" t="s">
        <v>193</v>
      </c>
      <c r="C88" s="31" t="str">
        <f>+VLOOKUP(B88,'Country &amp; Code Abbreviation'!$B$3:$C$245,2,FALSE)</f>
        <v>LB</v>
      </c>
      <c r="D88" s="31" t="str">
        <f>+VLOOKUP(B88,'INT Web'!$B$5:$Q$247,16,FALSE)</f>
        <v>USD</v>
      </c>
      <c r="E88" s="32" t="s">
        <v>346</v>
      </c>
      <c r="F88" s="34">
        <v>34.99</v>
      </c>
      <c r="G88" s="34">
        <v>4.99</v>
      </c>
      <c r="H88" s="34">
        <v>27.99</v>
      </c>
      <c r="I88" s="34">
        <v>3.99</v>
      </c>
      <c r="J88" s="34">
        <v>2.99</v>
      </c>
      <c r="K88" s="34">
        <v>2.99</v>
      </c>
      <c r="L88" s="34">
        <v>1.99</v>
      </c>
      <c r="M88" s="34">
        <v>1.99</v>
      </c>
      <c r="N88" s="35"/>
      <c r="O88" s="32" t="s">
        <v>364</v>
      </c>
      <c r="Q88" t="b">
        <f>+F88=VLOOKUP($B88,[5]Apple!$A$3:$L$176,F$1,FALSE)</f>
        <v>1</v>
      </c>
      <c r="R88" t="b">
        <f>+G88=VLOOKUP($B88,[5]Apple!$A$3:$L$176,G$1,FALSE)</f>
        <v>1</v>
      </c>
      <c r="S88" t="b">
        <f>+H88=VLOOKUP($B88,[5]Apple!$A$3:$L$176,H$1,FALSE)</f>
        <v>1</v>
      </c>
      <c r="T88" t="b">
        <f>+I88=VLOOKUP($B88,[5]Apple!$A$3:$L$176,I$1,FALSE)</f>
        <v>1</v>
      </c>
      <c r="U88" t="b">
        <f>+J88=VLOOKUP($B88,[5]Apple!$A$3:$L$176,J$1,FALSE)</f>
        <v>1</v>
      </c>
      <c r="V88" t="b">
        <f>+K88=VLOOKUP($B88,[5]Apple!$A$3:$L$176,K$1,FALSE)</f>
        <v>1</v>
      </c>
      <c r="W88" t="b">
        <f>+L88=VLOOKUP($B88,[5]Apple!$A$3:$L$176,L$1,FALSE)</f>
        <v>1</v>
      </c>
      <c r="X88" t="b">
        <f>+M88=VLOOKUP($B88,[5]Apple!$A$3:$L$176,M$1,FALSE)</f>
        <v>1</v>
      </c>
      <c r="Y88" s="31" t="str">
        <f>+VLOOKUP(C88,'Country &amp; Code Abbreviation'!$C$3:$D$245,2,FALSE)</f>
        <v>LBN</v>
      </c>
    </row>
    <row r="89" spans="2:25">
      <c r="B89" t="s">
        <v>195</v>
      </c>
      <c r="C89" s="31" t="str">
        <f>+VLOOKUP(B89,'Country &amp; Code Abbreviation'!$B$3:$C$245,2,FALSE)</f>
        <v>LR</v>
      </c>
      <c r="D89" s="31" t="str">
        <f>+VLOOKUP(B89,'INT Web'!$B$5:$Q$247,16,FALSE)</f>
        <v>USD</v>
      </c>
      <c r="E89" s="32" t="s">
        <v>346</v>
      </c>
      <c r="F89" s="33">
        <f>+IF($D89=$E89,VLOOKUP($B89,'INT Web'!$B$5:$W$247,'INT Web'!R$1,FALSE),MROUND(VLOOKUP($B89,'INT Web'!$B$5:$AQ$247,'INT Web'!AL$1,FALSE),1)-0.01)</f>
        <v>71.989999999999995</v>
      </c>
      <c r="G89" s="33">
        <f>+IF($D89=$E89,VLOOKUP($B89,'INT Web'!$B$5:$W$247,'INT Web'!S$1,FALSE),MROUND(VLOOKUP($B89,'INT Web'!$B$5:$AQ$247,'INT Web'!AM$1,FALSE),1)-0.01)</f>
        <v>11.99</v>
      </c>
      <c r="H89" s="33">
        <f>+IF($D89=$E89,VLOOKUP($B89,'INT Web'!$B$5:$W$247,'INT Web'!T$1,FALSE),MROUND(VLOOKUP($B89,'INT Web'!$B$5:$AQ$247,'INT Web'!AN$1,FALSE),1)-0.01)</f>
        <v>53.99</v>
      </c>
      <c r="I89" s="33">
        <f>+IF($D89=$E89,VLOOKUP($B89,'INT Web'!$B$5:$W$247,'INT Web'!U$1,FALSE),MROUND(VLOOKUP($B89,'INT Web'!$B$5:$AQ$247,'INT Web'!AO$1,FALSE),1)-0.01)</f>
        <v>8.99</v>
      </c>
      <c r="J89" s="34">
        <v>3.99</v>
      </c>
      <c r="K89" s="34">
        <v>3.99</v>
      </c>
      <c r="L89" s="34">
        <v>1.99</v>
      </c>
      <c r="M89" s="34">
        <v>1.99</v>
      </c>
      <c r="N89" s="35"/>
      <c r="O89" s="32" t="s">
        <v>364</v>
      </c>
      <c r="Q89" t="b">
        <f>+F89=VLOOKUP($B89,[5]Apple!$A$3:$L$176,F$1,FALSE)</f>
        <v>1</v>
      </c>
      <c r="R89" t="b">
        <f>+G89=VLOOKUP($B89,[5]Apple!$A$3:$L$176,G$1,FALSE)</f>
        <v>1</v>
      </c>
      <c r="S89" t="b">
        <f>+H89=VLOOKUP($B89,[5]Apple!$A$3:$L$176,H$1,FALSE)</f>
        <v>1</v>
      </c>
      <c r="T89" t="b">
        <f>+I89=VLOOKUP($B89,[5]Apple!$A$3:$L$176,I$1,FALSE)</f>
        <v>1</v>
      </c>
      <c r="U89" t="b">
        <f>+J89=VLOOKUP($B89,[5]Apple!$A$3:$L$176,J$1,FALSE)</f>
        <v>1</v>
      </c>
      <c r="V89" t="b">
        <f>+K89=VLOOKUP($B89,[5]Apple!$A$3:$L$176,K$1,FALSE)</f>
        <v>1</v>
      </c>
      <c r="W89" t="b">
        <f>+L89=VLOOKUP($B89,[5]Apple!$A$3:$L$176,L$1,FALSE)</f>
        <v>1</v>
      </c>
      <c r="X89" t="b">
        <f>+M89=VLOOKUP($B89,[5]Apple!$A$3:$L$176,M$1,FALSE)</f>
        <v>1</v>
      </c>
      <c r="Y89" s="31" t="str">
        <f>+VLOOKUP(C89,'Country &amp; Code Abbreviation'!$C$3:$D$245,2,FALSE)</f>
        <v>LBR</v>
      </c>
    </row>
    <row r="90" spans="2:25">
      <c r="B90" t="s">
        <v>196</v>
      </c>
      <c r="C90" s="31" t="str">
        <f>+VLOOKUP(B90,'Country &amp; Code Abbreviation'!$B$3:$C$245,2,FALSE)</f>
        <v>LY</v>
      </c>
      <c r="D90" s="31" t="str">
        <f>+VLOOKUP(B90,'INT Web'!$B$5:$Q$247,16,FALSE)</f>
        <v>USD</v>
      </c>
      <c r="E90" s="32" t="s">
        <v>346</v>
      </c>
      <c r="F90" s="33">
        <f>+IF($D90=$E90,VLOOKUP($B90,'INT Web'!$B$5:$W$247,'INT Web'!R$1,FALSE),MROUND(VLOOKUP($B90,'INT Web'!$B$5:$AQ$247,'INT Web'!AL$1,FALSE),1)-0.01)</f>
        <v>79.989999999999995</v>
      </c>
      <c r="G90" s="33">
        <f>+IF($D90=$E90,VLOOKUP($B90,'INT Web'!$B$5:$W$247,'INT Web'!S$1,FALSE),MROUND(VLOOKUP($B90,'INT Web'!$B$5:$AQ$247,'INT Web'!AM$1,FALSE),1)-0.01)</f>
        <v>13.99</v>
      </c>
      <c r="H90" s="33">
        <f>+IF($D90=$E90,VLOOKUP($B90,'INT Web'!$B$5:$W$247,'INT Web'!T$1,FALSE),MROUND(VLOOKUP($B90,'INT Web'!$B$5:$AQ$247,'INT Web'!AN$1,FALSE),1)-0.01)</f>
        <v>59.99</v>
      </c>
      <c r="I90" s="33">
        <f>+IF($D90=$E90,VLOOKUP($B90,'INT Web'!$B$5:$W$247,'INT Web'!U$1,FALSE),MROUND(VLOOKUP($B90,'INT Web'!$B$5:$AQ$247,'INT Web'!AO$1,FALSE),1)-0.01)</f>
        <v>9.99</v>
      </c>
      <c r="J90" s="34">
        <v>3.99</v>
      </c>
      <c r="K90" s="34">
        <v>3.99</v>
      </c>
      <c r="L90" s="34">
        <v>1.99</v>
      </c>
      <c r="M90" s="34">
        <v>1.99</v>
      </c>
      <c r="N90" s="35"/>
      <c r="O90" s="32" t="s">
        <v>364</v>
      </c>
      <c r="Q90" t="b">
        <f>+F90=VLOOKUP($B90,[5]Apple!$A$3:$L$176,F$1,FALSE)</f>
        <v>1</v>
      </c>
      <c r="R90" t="b">
        <f>+G90=VLOOKUP($B90,[5]Apple!$A$3:$L$176,G$1,FALSE)</f>
        <v>1</v>
      </c>
      <c r="S90" t="b">
        <f>+H90=VLOOKUP($B90,[5]Apple!$A$3:$L$176,H$1,FALSE)</f>
        <v>1</v>
      </c>
      <c r="T90" t="b">
        <f>+I90=VLOOKUP($B90,[5]Apple!$A$3:$L$176,I$1,FALSE)</f>
        <v>1</v>
      </c>
      <c r="U90" t="b">
        <f>+J90=VLOOKUP($B90,[5]Apple!$A$3:$L$176,J$1,FALSE)</f>
        <v>1</v>
      </c>
      <c r="V90" t="b">
        <f>+K90=VLOOKUP($B90,[5]Apple!$A$3:$L$176,K$1,FALSE)</f>
        <v>1</v>
      </c>
      <c r="W90" t="b">
        <f>+L90=VLOOKUP($B90,[5]Apple!$A$3:$L$176,L$1,FALSE)</f>
        <v>1</v>
      </c>
      <c r="X90" t="b">
        <f>+M90=VLOOKUP($B90,[5]Apple!$A$3:$L$176,M$1,FALSE)</f>
        <v>1</v>
      </c>
      <c r="Y90" s="31" t="str">
        <f>+VLOOKUP(C90,'Country &amp; Code Abbreviation'!$C$3:$D$245,2,FALSE)</f>
        <v>LBY</v>
      </c>
    </row>
    <row r="91" spans="2:25">
      <c r="B91" t="s">
        <v>198</v>
      </c>
      <c r="C91" s="31" t="str">
        <f>+VLOOKUP(B91,'Country &amp; Code Abbreviation'!$B$3:$C$245,2,FALSE)</f>
        <v>LT</v>
      </c>
      <c r="D91" s="31" t="str">
        <f>+VLOOKUP(B91,'INT Web'!$B$5:$Q$247,16,FALSE)</f>
        <v>EUR</v>
      </c>
      <c r="E91" s="32" t="s">
        <v>368</v>
      </c>
      <c r="F91" s="33">
        <f>+IF($D91=$E91,VLOOKUP($B91,'INT Web'!$B$5:$W$247,'INT Web'!R$1,FALSE),MROUND(VLOOKUP($B91,'INT Web'!$B$5:$AQ$247,'INT Web'!AL$1,FALSE),1)-0.01)</f>
        <v>94.99</v>
      </c>
      <c r="G91" s="33">
        <f>+IF($D91=$E91,VLOOKUP($B91,'INT Web'!$B$5:$W$247,'INT Web'!S$1,FALSE),MROUND(VLOOKUP($B91,'INT Web'!$B$5:$AQ$247,'INT Web'!AM$1,FALSE),1)-0.01)</f>
        <v>14.99</v>
      </c>
      <c r="H91" s="33">
        <f>+IF($D91=$E91,VLOOKUP($B91,'INT Web'!$B$5:$W$247,'INT Web'!T$1,FALSE),MROUND(VLOOKUP($B91,'INT Web'!$B$5:$AQ$247,'INT Web'!AN$1,FALSE),1)-0.01)</f>
        <v>69.989999999999995</v>
      </c>
      <c r="I91" s="33">
        <f>+IF($D91=$E91,VLOOKUP($B91,'INT Web'!$B$5:$W$247,'INT Web'!U$1,FALSE),MROUND(VLOOKUP($B91,'INT Web'!$B$5:$AQ$247,'INT Web'!AO$1,FALSE),1)-0.01)</f>
        <v>10.99</v>
      </c>
      <c r="J91" s="34">
        <v>3.99</v>
      </c>
      <c r="K91" s="34">
        <v>3.99</v>
      </c>
      <c r="L91" s="34">
        <v>1.99</v>
      </c>
      <c r="M91" s="34">
        <v>1.99</v>
      </c>
      <c r="N91" s="35"/>
      <c r="O91" s="32" t="s">
        <v>364</v>
      </c>
      <c r="Q91" t="b">
        <f>+F91=VLOOKUP($B91,[5]Apple!$A$3:$L$176,F$1,FALSE)</f>
        <v>1</v>
      </c>
      <c r="R91" t="b">
        <f>+G91=VLOOKUP($B91,[5]Apple!$A$3:$L$176,G$1,FALSE)</f>
        <v>1</v>
      </c>
      <c r="S91" t="b">
        <f>+H91=VLOOKUP($B91,[5]Apple!$A$3:$L$176,H$1,FALSE)</f>
        <v>1</v>
      </c>
      <c r="T91" t="b">
        <f>+I91=VLOOKUP($B91,[5]Apple!$A$3:$L$176,I$1,FALSE)</f>
        <v>1</v>
      </c>
      <c r="U91" t="b">
        <f>+J91=VLOOKUP($B91,[5]Apple!$A$3:$L$176,J$1,FALSE)</f>
        <v>1</v>
      </c>
      <c r="V91" t="b">
        <f>+K91=VLOOKUP($B91,[5]Apple!$A$3:$L$176,K$1,FALSE)</f>
        <v>1</v>
      </c>
      <c r="W91" t="b">
        <f>+L91=VLOOKUP($B91,[5]Apple!$A$3:$L$176,L$1,FALSE)</f>
        <v>1</v>
      </c>
      <c r="X91" t="b">
        <f>+M91=VLOOKUP($B91,[5]Apple!$A$3:$L$176,M$1,FALSE)</f>
        <v>1</v>
      </c>
      <c r="Y91" s="31" t="str">
        <f>+VLOOKUP(C91,'Country &amp; Code Abbreviation'!$C$3:$D$245,2,FALSE)</f>
        <v>LTU</v>
      </c>
    </row>
    <row r="92" spans="2:25">
      <c r="B92" t="s">
        <v>199</v>
      </c>
      <c r="C92" s="31" t="str">
        <f>+VLOOKUP(B92,'Country &amp; Code Abbreviation'!$B$3:$C$245,2,FALSE)</f>
        <v>LU</v>
      </c>
      <c r="D92" s="31" t="str">
        <f>+VLOOKUP(B92,'INT Web'!$B$5:$Q$247,16,FALSE)</f>
        <v>EUR</v>
      </c>
      <c r="E92" s="32" t="s">
        <v>368</v>
      </c>
      <c r="F92" s="33">
        <f>+IF($D92=$E92,VLOOKUP($B92,'INT Web'!$B$5:$W$247,'INT Web'!R$1,FALSE),MROUND(VLOOKUP($B92,'INT Web'!$B$5:$AQ$247,'INT Web'!AL$1,FALSE),1)-0.01)</f>
        <v>194.99</v>
      </c>
      <c r="G92" s="33">
        <f>+IF($D92=$E92,VLOOKUP($B92,'INT Web'!$B$5:$W$247,'INT Web'!S$1,FALSE),MROUND(VLOOKUP($B92,'INT Web'!$B$5:$AQ$247,'INT Web'!AM$1,FALSE),1)-0.01)</f>
        <v>28.99</v>
      </c>
      <c r="H92" s="33">
        <f>+IF($D92=$E92,VLOOKUP($B92,'INT Web'!$B$5:$W$247,'INT Web'!T$1,FALSE),MROUND(VLOOKUP($B92,'INT Web'!$B$5:$AQ$247,'INT Web'!AN$1,FALSE),1)-0.01)</f>
        <v>149.99</v>
      </c>
      <c r="I92" s="33">
        <f>+IF($D92=$E92,VLOOKUP($B92,'INT Web'!$B$5:$W$247,'INT Web'!U$1,FALSE),MROUND(VLOOKUP($B92,'INT Web'!$B$5:$AQ$247,'INT Web'!AO$1,FALSE),1)-0.01)</f>
        <v>21.99</v>
      </c>
      <c r="J92" s="34">
        <v>7.99</v>
      </c>
      <c r="K92" s="34">
        <v>7.99</v>
      </c>
      <c r="L92" s="34">
        <v>3.99</v>
      </c>
      <c r="M92" s="34">
        <v>3.99</v>
      </c>
      <c r="N92" s="35"/>
      <c r="O92" s="32" t="s">
        <v>364</v>
      </c>
      <c r="Q92" t="b">
        <f>+F92=VLOOKUP($B92,[5]Apple!$A$3:$L$176,F$1,FALSE)</f>
        <v>1</v>
      </c>
      <c r="R92" t="b">
        <f>+G92=VLOOKUP($B92,[5]Apple!$A$3:$L$176,G$1,FALSE)</f>
        <v>1</v>
      </c>
      <c r="S92" t="b">
        <f>+H92=VLOOKUP($B92,[5]Apple!$A$3:$L$176,H$1,FALSE)</f>
        <v>1</v>
      </c>
      <c r="T92" t="b">
        <f>+I92=VLOOKUP($B92,[5]Apple!$A$3:$L$176,I$1,FALSE)</f>
        <v>1</v>
      </c>
      <c r="U92" t="b">
        <f>+J92=VLOOKUP($B92,[5]Apple!$A$3:$L$176,J$1,FALSE)</f>
        <v>1</v>
      </c>
      <c r="V92" t="b">
        <f>+K92=VLOOKUP($B92,[5]Apple!$A$3:$L$176,K$1,FALSE)</f>
        <v>1</v>
      </c>
      <c r="W92" t="b">
        <f>+L92=VLOOKUP($B92,[5]Apple!$A$3:$L$176,L$1,FALSE)</f>
        <v>1</v>
      </c>
      <c r="X92" t="b">
        <f>+M92=VLOOKUP($B92,[5]Apple!$A$3:$L$176,M$1,FALSE)</f>
        <v>1</v>
      </c>
      <c r="Y92" s="31" t="str">
        <f>+VLOOKUP(C92,'Country &amp; Code Abbreviation'!$C$3:$D$245,2,FALSE)</f>
        <v>LUX</v>
      </c>
    </row>
    <row r="93" spans="2:25">
      <c r="B93" t="s">
        <v>200</v>
      </c>
      <c r="C93" s="31" t="str">
        <f>+VLOOKUP(B93,'Country &amp; Code Abbreviation'!$B$3:$C$245,2,FALSE)</f>
        <v>MO</v>
      </c>
      <c r="D93" s="31" t="str">
        <f>+VLOOKUP(B93,'INT Web'!$B$5:$Q$247,16,FALSE)</f>
        <v>MOP</v>
      </c>
      <c r="E93" s="32" t="s">
        <v>346</v>
      </c>
      <c r="F93" s="33">
        <f>+IF($D93=$E93,VLOOKUP($B93,'INT Web'!$B$5:$W$247,'INT Web'!R$1,FALSE),MROUND(VLOOKUP($B93,'INT Web'!$B$5:$AQ$247,'INT Web'!AL$1,FALSE),1)-0.01)</f>
        <v>107.99</v>
      </c>
      <c r="G93" s="33">
        <f>+VLOOKUP($B93,[5]Apple!$A$4:$M$175,[5]Apple!F$1,FALSE)</f>
        <v>15.99</v>
      </c>
      <c r="H93" s="33">
        <f>+IF($D93=$E93,VLOOKUP($B93,'INT Web'!$B$5:$W$247,'INT Web'!T$1,FALSE),MROUND(VLOOKUP($B93,'INT Web'!$B$5:$AQ$247,'INT Web'!AN$1,FALSE),1)-0.01)</f>
        <v>77.989999999999995</v>
      </c>
      <c r="I93" s="33">
        <f>+IF($D93=$E93,VLOOKUP($B93,'INT Web'!$B$5:$W$247,'INT Web'!U$1,FALSE),MROUND(VLOOKUP($B93,'INT Web'!$B$5:$AQ$247,'INT Web'!AO$1,FALSE),1)-0.01)</f>
        <v>10.99</v>
      </c>
      <c r="J93" s="34">
        <v>3.99</v>
      </c>
      <c r="K93" s="34">
        <v>2.99</v>
      </c>
      <c r="L93" s="34">
        <v>1.99</v>
      </c>
      <c r="M93" s="34">
        <v>1.99</v>
      </c>
      <c r="N93" s="35"/>
      <c r="O93" s="32" t="s">
        <v>364</v>
      </c>
      <c r="Q93" t="b">
        <f>+F93=VLOOKUP($B93,[5]Apple!$A$3:$L$176,F$1,FALSE)</f>
        <v>1</v>
      </c>
      <c r="R93" t="b">
        <f>+G93=VLOOKUP($B93,[5]Apple!$A$3:$L$176,G$1,FALSE)</f>
        <v>1</v>
      </c>
      <c r="S93" t="b">
        <f>+H93=VLOOKUP($B93,[5]Apple!$A$3:$L$176,H$1,FALSE)</f>
        <v>1</v>
      </c>
      <c r="T93" t="b">
        <f>+I93=VLOOKUP($B93,[5]Apple!$A$3:$L$176,I$1,FALSE)</f>
        <v>1</v>
      </c>
      <c r="U93" t="b">
        <f>+J93=VLOOKUP($B93,[5]Apple!$A$3:$L$176,J$1,FALSE)</f>
        <v>1</v>
      </c>
      <c r="V93" t="b">
        <f>+K93=VLOOKUP($B93,[5]Apple!$A$3:$L$176,K$1,FALSE)</f>
        <v>1</v>
      </c>
      <c r="W93" t="b">
        <f>+L93=VLOOKUP($B93,[5]Apple!$A$3:$L$176,L$1,FALSE)</f>
        <v>1</v>
      </c>
      <c r="X93" t="b">
        <f>+M93=VLOOKUP($B93,[5]Apple!$A$3:$L$176,M$1,FALSE)</f>
        <v>1</v>
      </c>
      <c r="Y93" s="31" t="str">
        <f>+VLOOKUP(C93,'Country &amp; Code Abbreviation'!$C$3:$D$245,2,FALSE)</f>
        <v>MAC</v>
      </c>
    </row>
    <row r="94" spans="2:25">
      <c r="B94" t="s">
        <v>201</v>
      </c>
      <c r="C94" s="31" t="str">
        <f>+VLOOKUP(B94,'Country &amp; Code Abbreviation'!$B$3:$C$245,2,FALSE)</f>
        <v>MK</v>
      </c>
      <c r="D94" s="31" t="str">
        <f>+VLOOKUP(B94,'INT Web'!$B$5:$Q$247,16,FALSE)</f>
        <v>MKD</v>
      </c>
      <c r="E94" s="32" t="s">
        <v>346</v>
      </c>
      <c r="F94" s="33">
        <f>+VLOOKUP($B94,[5]Apple!$A$4:$M$175,[5]Apple!E$1,FALSE)</f>
        <v>96.99</v>
      </c>
      <c r="G94" s="33">
        <f>+VLOOKUP($B94,[5]Apple!$A$4:$M$175,[5]Apple!F$1,FALSE)</f>
        <v>15.99</v>
      </c>
      <c r="H94" s="34">
        <v>69.989999999999995</v>
      </c>
      <c r="I94" s="33">
        <f>+VLOOKUP($B94,[5]Apple!$A$4:$M$175,[5]Apple!H$1,FALSE)</f>
        <v>10.99</v>
      </c>
      <c r="J94" s="34">
        <v>3.99</v>
      </c>
      <c r="K94" s="34">
        <v>2.99</v>
      </c>
      <c r="L94" s="34">
        <v>2.99</v>
      </c>
      <c r="M94" s="34">
        <v>1.99</v>
      </c>
      <c r="N94" s="35"/>
      <c r="O94" s="32" t="s">
        <v>366</v>
      </c>
      <c r="Q94" t="b">
        <f>+F94=VLOOKUP($B94,[5]Apple!$A$3:$L$176,F$1,FALSE)</f>
        <v>1</v>
      </c>
      <c r="R94" t="b">
        <f>+G94=VLOOKUP($B94,[5]Apple!$A$3:$L$176,G$1,FALSE)</f>
        <v>1</v>
      </c>
      <c r="S94" t="b">
        <f>+H94=VLOOKUP($B94,[5]Apple!$A$3:$L$176,H$1,FALSE)</f>
        <v>1</v>
      </c>
      <c r="T94" t="b">
        <f>+I94=VLOOKUP($B94,[5]Apple!$A$3:$L$176,I$1,FALSE)</f>
        <v>1</v>
      </c>
      <c r="U94" t="b">
        <f>+J94=VLOOKUP($B94,[5]Apple!$A$3:$L$176,J$1,FALSE)</f>
        <v>1</v>
      </c>
      <c r="V94" t="b">
        <f>+K94=VLOOKUP($B94,[5]Apple!$A$3:$L$176,K$1,FALSE)</f>
        <v>1</v>
      </c>
      <c r="W94" t="b">
        <f>+L94=VLOOKUP($B94,[5]Apple!$A$3:$L$176,L$1,FALSE)</f>
        <v>1</v>
      </c>
      <c r="X94" t="b">
        <f>+M94=VLOOKUP($B94,[5]Apple!$A$3:$L$176,M$1,FALSE)</f>
        <v>1</v>
      </c>
      <c r="Y94" s="31" t="str">
        <f>+VLOOKUP(C94,'Country &amp; Code Abbreviation'!$C$3:$D$245,2,FALSE)</f>
        <v>MKD</v>
      </c>
    </row>
    <row r="95" spans="2:25">
      <c r="B95" t="s">
        <v>202</v>
      </c>
      <c r="C95" s="31" t="str">
        <f>+VLOOKUP(B95,'Country &amp; Code Abbreviation'!$B$3:$C$245,2,FALSE)</f>
        <v>MG</v>
      </c>
      <c r="D95" s="31" t="str">
        <f>+VLOOKUP(B95,'INT Web'!$B$5:$Q$247,16,FALSE)</f>
        <v>USD</v>
      </c>
      <c r="E95" s="32" t="s">
        <v>346</v>
      </c>
      <c r="F95" s="33">
        <f>+IF($D95=$E95,VLOOKUP($B95,'INT Web'!$B$5:$W$247,'INT Web'!R$1,FALSE),MROUND(VLOOKUP($B95,'INT Web'!$B$5:$AQ$247,'INT Web'!AL$1,FALSE),1)-0.01)</f>
        <v>71.989999999999995</v>
      </c>
      <c r="G95" s="33">
        <f>+IF($D95=$E95,VLOOKUP($B95,'INT Web'!$B$5:$W$247,'INT Web'!S$1,FALSE),MROUND(VLOOKUP($B95,'INT Web'!$B$5:$AQ$247,'INT Web'!AM$1,FALSE),1)-0.01)</f>
        <v>11.99</v>
      </c>
      <c r="H95" s="33">
        <f>+IF($D95=$E95,VLOOKUP($B95,'INT Web'!$B$5:$W$247,'INT Web'!T$1,FALSE),MROUND(VLOOKUP($B95,'INT Web'!$B$5:$AQ$247,'INT Web'!AN$1,FALSE),1)-0.01)</f>
        <v>53.99</v>
      </c>
      <c r="I95" s="33">
        <f>+IF($D95=$E95,VLOOKUP($B95,'INT Web'!$B$5:$W$247,'INT Web'!U$1,FALSE),MROUND(VLOOKUP($B95,'INT Web'!$B$5:$AQ$247,'INT Web'!AO$1,FALSE),1)-0.01)</f>
        <v>8.99</v>
      </c>
      <c r="J95" s="34">
        <v>3.99</v>
      </c>
      <c r="K95" s="34">
        <v>3.99</v>
      </c>
      <c r="L95" s="34">
        <v>1.99</v>
      </c>
      <c r="M95" s="34">
        <v>1.99</v>
      </c>
      <c r="N95" s="35"/>
      <c r="O95" s="32" t="s">
        <v>364</v>
      </c>
      <c r="Q95" t="b">
        <f>+F95=VLOOKUP($B95,[5]Apple!$A$3:$L$176,F$1,FALSE)</f>
        <v>1</v>
      </c>
      <c r="R95" t="b">
        <f>+G95=VLOOKUP($B95,[5]Apple!$A$3:$L$176,G$1,FALSE)</f>
        <v>1</v>
      </c>
      <c r="S95" t="b">
        <f>+H95=VLOOKUP($B95,[5]Apple!$A$3:$L$176,H$1,FALSE)</f>
        <v>1</v>
      </c>
      <c r="T95" t="b">
        <f>+I95=VLOOKUP($B95,[5]Apple!$A$3:$L$176,I$1,FALSE)</f>
        <v>1</v>
      </c>
      <c r="U95" t="b">
        <f>+J95=VLOOKUP($B95,[5]Apple!$A$3:$L$176,J$1,FALSE)</f>
        <v>1</v>
      </c>
      <c r="V95" t="b">
        <f>+K95=VLOOKUP($B95,[5]Apple!$A$3:$L$176,K$1,FALSE)</f>
        <v>1</v>
      </c>
      <c r="W95" t="b">
        <f>+L95=VLOOKUP($B95,[5]Apple!$A$3:$L$176,L$1,FALSE)</f>
        <v>1</v>
      </c>
      <c r="X95" t="b">
        <f>+M95=VLOOKUP($B95,[5]Apple!$A$3:$L$176,M$1,FALSE)</f>
        <v>1</v>
      </c>
      <c r="Y95" s="31" t="str">
        <f>+VLOOKUP(C95,'Country &amp; Code Abbreviation'!$C$3:$D$245,2,FALSE)</f>
        <v>MDG</v>
      </c>
    </row>
    <row r="96" spans="2:25">
      <c r="B96" t="s">
        <v>203</v>
      </c>
      <c r="C96" s="31" t="str">
        <f>+VLOOKUP(B96,'Country &amp; Code Abbreviation'!$B$3:$C$245,2,FALSE)</f>
        <v>MW</v>
      </c>
      <c r="D96" s="31" t="str">
        <f>+VLOOKUP(B96,'INT Web'!$B$5:$Q$247,16,FALSE)</f>
        <v>MWK</v>
      </c>
      <c r="E96" s="32" t="s">
        <v>346</v>
      </c>
      <c r="F96" s="33">
        <f>+IF($D96=$E96,VLOOKUP($B96,'INT Web'!$B$5:$W$247,'INT Web'!R$1,FALSE),MROUND(VLOOKUP($B96,'INT Web'!$B$5:$AQ$247,'INT Web'!AL$1,FALSE),1)-0.01)</f>
        <v>33.99</v>
      </c>
      <c r="G96" s="33">
        <f>+IF($D96=$E96,VLOOKUP($B96,'INT Web'!$B$5:$W$247,'INT Web'!S$1,FALSE),MROUND(VLOOKUP($B96,'INT Web'!$B$5:$AQ$247,'INT Web'!AM$1,FALSE),1)-0.01)</f>
        <v>5.99</v>
      </c>
      <c r="H96" s="33">
        <f>+IF($D96=$E96,VLOOKUP($B96,'INT Web'!$B$5:$W$247,'INT Web'!T$1,FALSE),MROUND(VLOOKUP($B96,'INT Web'!$B$5:$AQ$247,'INT Web'!AN$1,FALSE),1)-0.01)</f>
        <v>24.99</v>
      </c>
      <c r="I96" s="33">
        <f>+IF($D96=$E96,VLOOKUP($B96,'INT Web'!$B$5:$W$247,'INT Web'!U$1,FALSE),MROUND(VLOOKUP($B96,'INT Web'!$B$5:$AQ$247,'INT Web'!AO$1,FALSE),1)-0.01)</f>
        <v>3.99</v>
      </c>
      <c r="J96" s="34">
        <v>1.99</v>
      </c>
      <c r="K96" s="34">
        <v>1.99</v>
      </c>
      <c r="L96" s="34">
        <v>0.99</v>
      </c>
      <c r="M96" s="34">
        <v>0.99</v>
      </c>
      <c r="N96" s="35"/>
      <c r="O96" s="32" t="s">
        <v>364</v>
      </c>
      <c r="Q96" t="b">
        <f>+F96=VLOOKUP($B96,[5]Apple!$A$3:$L$176,F$1,FALSE)</f>
        <v>1</v>
      </c>
      <c r="R96" t="b">
        <f>+G96=VLOOKUP($B96,[5]Apple!$A$3:$L$176,G$1,FALSE)</f>
        <v>1</v>
      </c>
      <c r="S96" t="b">
        <f>+H96=VLOOKUP($B96,[5]Apple!$A$3:$L$176,H$1,FALSE)</f>
        <v>1</v>
      </c>
      <c r="T96" t="b">
        <f>+I96=VLOOKUP($B96,[5]Apple!$A$3:$L$176,I$1,FALSE)</f>
        <v>1</v>
      </c>
      <c r="U96" t="b">
        <f>+J96=VLOOKUP($B96,[5]Apple!$A$3:$L$176,J$1,FALSE)</f>
        <v>1</v>
      </c>
      <c r="V96" t="b">
        <f>+K96=VLOOKUP($B96,[5]Apple!$A$3:$L$176,K$1,FALSE)</f>
        <v>1</v>
      </c>
      <c r="W96" t="b">
        <f>+L96=VLOOKUP($B96,[5]Apple!$A$3:$L$176,L$1,FALSE)</f>
        <v>1</v>
      </c>
      <c r="X96" t="b">
        <f>+M96=VLOOKUP($B96,[5]Apple!$A$3:$L$176,M$1,FALSE)</f>
        <v>1</v>
      </c>
      <c r="Y96" s="31" t="str">
        <f>+VLOOKUP(C96,'Country &amp; Code Abbreviation'!$C$3:$D$245,2,FALSE)</f>
        <v>MWI</v>
      </c>
    </row>
    <row r="97" spans="2:25">
      <c r="B97" t="s">
        <v>204</v>
      </c>
      <c r="C97" s="31" t="str">
        <f>+VLOOKUP(B97,'Country &amp; Code Abbreviation'!$B$3:$C$245,2,FALSE)</f>
        <v>MY</v>
      </c>
      <c r="D97" s="31" t="str">
        <f>+VLOOKUP(B97,'INT Web'!$B$5:$Q$247,16,FALSE)</f>
        <v>MYR</v>
      </c>
      <c r="E97" s="32" t="s">
        <v>383</v>
      </c>
      <c r="F97" s="72">
        <v>389.9</v>
      </c>
      <c r="G97" s="72">
        <v>64.900000000000006</v>
      </c>
      <c r="H97" s="72">
        <v>319.89999999999998</v>
      </c>
      <c r="I97" s="33">
        <f>+IF($D97=$E97,VLOOKUP($B97,'INT Web'!$B$5:$W$247,'INT Web'!U$1,FALSE),MROUND(VLOOKUP($B97,'INT Web'!$B$5:$AQ$247,'INT Web'!AO$1,FALSE),1)-0.01)</f>
        <v>45.99</v>
      </c>
      <c r="J97" s="34">
        <v>16.899999999999999</v>
      </c>
      <c r="K97" s="34">
        <v>16.899999999999999</v>
      </c>
      <c r="L97" s="34">
        <v>7.9</v>
      </c>
      <c r="M97" s="34">
        <v>7.9</v>
      </c>
      <c r="N97" s="35"/>
      <c r="O97" s="32" t="s">
        <v>364</v>
      </c>
      <c r="Q97" t="b">
        <f>+F97=VLOOKUP($B97,[5]Apple!$A$3:$L$176,F$1,FALSE)</f>
        <v>1</v>
      </c>
      <c r="R97" t="b">
        <f>+G97=VLOOKUP($B97,[5]Apple!$A$3:$L$176,G$1,FALSE)</f>
        <v>1</v>
      </c>
      <c r="S97" t="b">
        <f>+H97=VLOOKUP($B97,[5]Apple!$A$3:$L$176,H$1,FALSE)</f>
        <v>1</v>
      </c>
      <c r="T97" t="b">
        <f>+I97=VLOOKUP($B97,[5]Apple!$A$3:$L$176,I$1,FALSE)</f>
        <v>1</v>
      </c>
      <c r="U97" t="b">
        <f>+J97=VLOOKUP($B97,[5]Apple!$A$3:$L$176,J$1,FALSE)</f>
        <v>1</v>
      </c>
      <c r="V97" t="b">
        <f>+K97=VLOOKUP($B97,[5]Apple!$A$3:$L$176,K$1,FALSE)</f>
        <v>1</v>
      </c>
      <c r="W97" t="b">
        <f>+L97=VLOOKUP($B97,[5]Apple!$A$3:$L$176,L$1,FALSE)</f>
        <v>1</v>
      </c>
      <c r="X97" t="b">
        <f>+M97=VLOOKUP($B97,[5]Apple!$A$3:$L$176,M$1,FALSE)</f>
        <v>1</v>
      </c>
      <c r="Y97" s="31" t="str">
        <f>+VLOOKUP(C97,'Country &amp; Code Abbreviation'!$C$3:$D$245,2,FALSE)</f>
        <v>MYS</v>
      </c>
    </row>
    <row r="98" spans="2:25">
      <c r="B98" t="s">
        <v>205</v>
      </c>
      <c r="C98" s="31" t="str">
        <f>+VLOOKUP(B98,'Country &amp; Code Abbreviation'!$B$3:$C$245,2,FALSE)</f>
        <v>MV</v>
      </c>
      <c r="D98" s="31" t="str">
        <f>+VLOOKUP(B98,'INT Web'!$B$5:$Q$247,16,FALSE)</f>
        <v>MVR</v>
      </c>
      <c r="E98" s="32" t="s">
        <v>346</v>
      </c>
      <c r="F98" s="33">
        <f>+IF($D98=$E98,VLOOKUP($B98,'INT Web'!$B$5:$W$247,'INT Web'!R$1,FALSE),MROUND(VLOOKUP($B98,'INT Web'!$B$5:$AQ$247,'INT Web'!AL$1,FALSE),1)-0.01)</f>
        <v>70.989999999999995</v>
      </c>
      <c r="G98" s="33">
        <f>+IF($D98=$E98,VLOOKUP($B98,'INT Web'!$B$5:$W$247,'INT Web'!S$1,FALSE),MROUND(VLOOKUP($B98,'INT Web'!$B$5:$AQ$247,'INT Web'!AM$1,FALSE),1)-0.01)</f>
        <v>11.99</v>
      </c>
      <c r="H98" s="33">
        <f>+IF($D98=$E98,VLOOKUP($B98,'INT Web'!$B$5:$W$247,'INT Web'!T$1,FALSE),MROUND(VLOOKUP($B98,'INT Web'!$B$5:$AQ$247,'INT Web'!AN$1,FALSE),1)-0.01)</f>
        <v>52.99</v>
      </c>
      <c r="I98" s="33">
        <f>+IF($D98=$E98,VLOOKUP($B98,'INT Web'!$B$5:$W$247,'INT Web'!U$1,FALSE),MROUND(VLOOKUP($B98,'INT Web'!$B$5:$AQ$247,'INT Web'!AO$1,FALSE),1)-0.01)</f>
        <v>8.99</v>
      </c>
      <c r="J98" s="34">
        <v>3.99</v>
      </c>
      <c r="K98" s="34">
        <v>2.99</v>
      </c>
      <c r="L98" s="34">
        <v>1.99</v>
      </c>
      <c r="M98" s="34">
        <v>0.99</v>
      </c>
      <c r="N98" s="35"/>
      <c r="O98" s="32" t="s">
        <v>366</v>
      </c>
      <c r="Q98" t="b">
        <f>+F98=VLOOKUP($B98,[5]Apple!$A$3:$L$176,F$1,FALSE)</f>
        <v>1</v>
      </c>
      <c r="R98" t="b">
        <f>+G98=VLOOKUP($B98,[5]Apple!$A$3:$L$176,G$1,FALSE)</f>
        <v>1</v>
      </c>
      <c r="S98" t="b">
        <f>+H98=VLOOKUP($B98,[5]Apple!$A$3:$L$176,H$1,FALSE)</f>
        <v>1</v>
      </c>
      <c r="T98" t="b">
        <f>+I98=VLOOKUP($B98,[5]Apple!$A$3:$L$176,I$1,FALSE)</f>
        <v>1</v>
      </c>
      <c r="U98" t="b">
        <f>+J98=VLOOKUP($B98,[5]Apple!$A$3:$L$176,J$1,FALSE)</f>
        <v>1</v>
      </c>
      <c r="V98" t="b">
        <f>+K98=VLOOKUP($B98,[5]Apple!$A$3:$L$176,K$1,FALSE)</f>
        <v>1</v>
      </c>
      <c r="W98" t="b">
        <f>+L98=VLOOKUP($B98,[5]Apple!$A$3:$L$176,L$1,FALSE)</f>
        <v>1</v>
      </c>
      <c r="X98" t="b">
        <f>+M98=VLOOKUP($B98,[5]Apple!$A$3:$L$176,M$1,FALSE)</f>
        <v>1</v>
      </c>
      <c r="Y98" s="31" t="str">
        <f>+VLOOKUP(C98,'Country &amp; Code Abbreviation'!$C$3:$D$245,2,FALSE)</f>
        <v>MDV</v>
      </c>
    </row>
    <row r="99" spans="2:25">
      <c r="B99" t="s">
        <v>206</v>
      </c>
      <c r="C99" s="31" t="str">
        <f>+VLOOKUP(B99,'Country &amp; Code Abbreviation'!$B$3:$C$245,2,FALSE)</f>
        <v>ML</v>
      </c>
      <c r="D99" s="31" t="str">
        <f>+VLOOKUP(B99,'INT Web'!$B$5:$Q$247,16,FALSE)</f>
        <v>XOF</v>
      </c>
      <c r="E99" s="32" t="s">
        <v>346</v>
      </c>
      <c r="F99" s="34">
        <v>72.989999999999995</v>
      </c>
      <c r="G99" s="33">
        <f>+VLOOKUP($B99,[5]Apple!$A$4:$M$175,[5]Apple!F$1,FALSE)</f>
        <v>11.99</v>
      </c>
      <c r="H99" s="34">
        <v>54.99</v>
      </c>
      <c r="I99" s="33">
        <f>+VLOOKUP($B99,[5]Apple!$A$4:$M$175,[5]Apple!H$1,FALSE)</f>
        <v>8.99</v>
      </c>
      <c r="J99" s="34">
        <v>2.99</v>
      </c>
      <c r="K99" s="34">
        <v>2.99</v>
      </c>
      <c r="L99" s="34">
        <v>1.99</v>
      </c>
      <c r="M99" s="34">
        <v>1.99</v>
      </c>
      <c r="N99" s="35"/>
      <c r="O99" s="32" t="s">
        <v>364</v>
      </c>
      <c r="Q99" t="b">
        <f>+F99=VLOOKUP($B99,[5]Apple!$A$3:$L$176,F$1,FALSE)</f>
        <v>1</v>
      </c>
      <c r="R99" t="b">
        <f>+G99=VLOOKUP($B99,[5]Apple!$A$3:$L$176,G$1,FALSE)</f>
        <v>1</v>
      </c>
      <c r="S99" t="b">
        <f>+H99=VLOOKUP($B99,[5]Apple!$A$3:$L$176,H$1,FALSE)</f>
        <v>1</v>
      </c>
      <c r="T99" t="b">
        <f>+I99=VLOOKUP($B99,[5]Apple!$A$3:$L$176,I$1,FALSE)</f>
        <v>1</v>
      </c>
      <c r="U99" t="b">
        <f>+J99=VLOOKUP($B99,[5]Apple!$A$3:$L$176,J$1,FALSE)</f>
        <v>1</v>
      </c>
      <c r="V99" t="b">
        <f>+K99=VLOOKUP($B99,[5]Apple!$A$3:$L$176,K$1,FALSE)</f>
        <v>1</v>
      </c>
      <c r="W99" t="b">
        <f>+L99=VLOOKUP($B99,[5]Apple!$A$3:$L$176,L$1,FALSE)</f>
        <v>1</v>
      </c>
      <c r="X99" t="b">
        <f>+M99=VLOOKUP($B99,[5]Apple!$A$3:$L$176,M$1,FALSE)</f>
        <v>1</v>
      </c>
      <c r="Y99" s="31" t="str">
        <f>+VLOOKUP(C99,'Country &amp; Code Abbreviation'!$C$3:$D$245,2,FALSE)</f>
        <v>MLI</v>
      </c>
    </row>
    <row r="100" spans="2:25">
      <c r="B100" t="s">
        <v>207</v>
      </c>
      <c r="C100" s="31" t="str">
        <f>+VLOOKUP(B100,'Country &amp; Code Abbreviation'!$B$3:$C$245,2,FALSE)</f>
        <v>MT</v>
      </c>
      <c r="D100" s="31" t="str">
        <f>+VLOOKUP(B100,'INT Web'!$B$5:$Q$247,16,FALSE)</f>
        <v>EUR</v>
      </c>
      <c r="E100" s="32" t="s">
        <v>368</v>
      </c>
      <c r="F100" s="33">
        <f>+IF($D100=$E100,VLOOKUP($B100,'INT Web'!$B$5:$W$247,'INT Web'!R$1,FALSE),MROUND(VLOOKUP($B100,'INT Web'!$B$5:$AQ$247,'INT Web'!AL$1,FALSE),1)-0.01)</f>
        <v>129.99</v>
      </c>
      <c r="G100" s="33">
        <f>+IF($D100=$E100,VLOOKUP($B100,'INT Web'!$B$5:$W$247,'INT Web'!S$1,FALSE),MROUND(VLOOKUP($B100,'INT Web'!$B$5:$AQ$247,'INT Web'!AM$1,FALSE),1)-0.01)</f>
        <v>21.99</v>
      </c>
      <c r="H100" s="33">
        <f>+IF($D100=$E100,VLOOKUP($B100,'INT Web'!$B$5:$W$247,'INT Web'!T$1,FALSE),MROUND(VLOOKUP($B100,'INT Web'!$B$5:$AQ$247,'INT Web'!AN$1,FALSE),1)-0.01)</f>
        <v>99.99</v>
      </c>
      <c r="I100" s="33">
        <f>+IF($D100=$E100,VLOOKUP($B100,'INT Web'!$B$5:$W$247,'INT Web'!U$1,FALSE),MROUND(VLOOKUP($B100,'INT Web'!$B$5:$AQ$247,'INT Web'!AO$1,FALSE),1)-0.01)</f>
        <v>16.989999999999998</v>
      </c>
      <c r="J100" s="34">
        <v>5.99</v>
      </c>
      <c r="K100" s="34">
        <v>4.99</v>
      </c>
      <c r="L100" s="34">
        <v>3.99</v>
      </c>
      <c r="M100" s="34">
        <v>2.99</v>
      </c>
      <c r="N100" s="35"/>
      <c r="O100" s="32" t="s">
        <v>366</v>
      </c>
      <c r="Q100" t="b">
        <f>+F100=VLOOKUP($B100,[5]Apple!$A$3:$L$176,F$1,FALSE)</f>
        <v>1</v>
      </c>
      <c r="R100" t="b">
        <f>+G100=VLOOKUP($B100,[5]Apple!$A$3:$L$176,G$1,FALSE)</f>
        <v>1</v>
      </c>
      <c r="S100" t="b">
        <f>+H100=VLOOKUP($B100,[5]Apple!$A$3:$L$176,H$1,FALSE)</f>
        <v>1</v>
      </c>
      <c r="T100" t="b">
        <f>+I100=VLOOKUP($B100,[5]Apple!$A$3:$L$176,I$1,FALSE)</f>
        <v>1</v>
      </c>
      <c r="U100" t="b">
        <f>+J100=VLOOKUP($B100,[5]Apple!$A$3:$L$176,J$1,FALSE)</f>
        <v>1</v>
      </c>
      <c r="V100" t="b">
        <f>+K100=VLOOKUP($B100,[5]Apple!$A$3:$L$176,K$1,FALSE)</f>
        <v>1</v>
      </c>
      <c r="W100" t="b">
        <f>+L100=VLOOKUP($B100,[5]Apple!$A$3:$L$176,L$1,FALSE)</f>
        <v>1</v>
      </c>
      <c r="X100" t="b">
        <f>+M100=VLOOKUP($B100,[5]Apple!$A$3:$L$176,M$1,FALSE)</f>
        <v>1</v>
      </c>
      <c r="Y100" s="31" t="str">
        <f>+VLOOKUP(C100,'Country &amp; Code Abbreviation'!$C$3:$D$245,2,FALSE)</f>
        <v>MLT</v>
      </c>
    </row>
    <row r="101" spans="2:25">
      <c r="B101" t="s">
        <v>210</v>
      </c>
      <c r="C101" s="31" t="str">
        <f>+VLOOKUP(B101,'Country &amp; Code Abbreviation'!$B$3:$C$245,2,FALSE)</f>
        <v>MR</v>
      </c>
      <c r="D101" s="31" t="str">
        <f>+VLOOKUP(B101,'INT Web'!$B$5:$Q$247,16,FALSE)</f>
        <v>USD</v>
      </c>
      <c r="E101" s="32" t="s">
        <v>346</v>
      </c>
      <c r="F101" s="33">
        <f>+IF($D101=$E101,VLOOKUP($B101,'INT Web'!$B$5:$W$247,'INT Web'!R$1,FALSE),MROUND(VLOOKUP($B101,'INT Web'!$B$5:$AQ$247,'INT Web'!AL$1,FALSE),1)-0.01)</f>
        <v>71.989999999999995</v>
      </c>
      <c r="G101" s="33">
        <f>+IF($D101=$E101,VLOOKUP($B101,'INT Web'!$B$5:$W$247,'INT Web'!S$1,FALSE),MROUND(VLOOKUP($B101,'INT Web'!$B$5:$AQ$247,'INT Web'!AM$1,FALSE),1)-0.01)</f>
        <v>11.99</v>
      </c>
      <c r="H101" s="33">
        <f>+IF($D101=$E101,VLOOKUP($B101,'INT Web'!$B$5:$W$247,'INT Web'!T$1,FALSE),MROUND(VLOOKUP($B101,'INT Web'!$B$5:$AQ$247,'INT Web'!AN$1,FALSE),1)-0.01)</f>
        <v>53.99</v>
      </c>
      <c r="I101" s="33">
        <f>+IF($D101=$E101,VLOOKUP($B101,'INT Web'!$B$5:$W$247,'INT Web'!U$1,FALSE),MROUND(VLOOKUP($B101,'INT Web'!$B$5:$AQ$247,'INT Web'!AO$1,FALSE),1)-0.01)</f>
        <v>8.99</v>
      </c>
      <c r="J101" s="34">
        <v>3.99</v>
      </c>
      <c r="K101" s="34">
        <v>3.99</v>
      </c>
      <c r="L101" s="34">
        <v>1.99</v>
      </c>
      <c r="M101" s="34">
        <v>1.99</v>
      </c>
      <c r="N101" s="35"/>
      <c r="O101" s="32" t="s">
        <v>364</v>
      </c>
      <c r="Q101" t="b">
        <f>+F101=VLOOKUP($B101,[5]Apple!$A$3:$L$176,F$1,FALSE)</f>
        <v>1</v>
      </c>
      <c r="R101" t="b">
        <f>+G101=VLOOKUP($B101,[5]Apple!$A$3:$L$176,G$1,FALSE)</f>
        <v>1</v>
      </c>
      <c r="S101" t="b">
        <f>+H101=VLOOKUP($B101,[5]Apple!$A$3:$L$176,H$1,FALSE)</f>
        <v>1</v>
      </c>
      <c r="T101" t="b">
        <f>+I101=VLOOKUP($B101,[5]Apple!$A$3:$L$176,I$1,FALSE)</f>
        <v>1</v>
      </c>
      <c r="U101" t="b">
        <f>+J101=VLOOKUP($B101,[5]Apple!$A$3:$L$176,J$1,FALSE)</f>
        <v>1</v>
      </c>
      <c r="V101" t="b">
        <f>+K101=VLOOKUP($B101,[5]Apple!$A$3:$L$176,K$1,FALSE)</f>
        <v>1</v>
      </c>
      <c r="W101" t="b">
        <f>+L101=VLOOKUP($B101,[5]Apple!$A$3:$L$176,L$1,FALSE)</f>
        <v>1</v>
      </c>
      <c r="X101" t="b">
        <f>+M101=VLOOKUP($B101,[5]Apple!$A$3:$L$176,M$1,FALSE)</f>
        <v>1</v>
      </c>
      <c r="Y101" s="31" t="str">
        <f>+VLOOKUP(C101,'Country &amp; Code Abbreviation'!$C$3:$D$245,2,FALSE)</f>
        <v>MRT</v>
      </c>
    </row>
    <row r="102" spans="2:25">
      <c r="B102" t="s">
        <v>211</v>
      </c>
      <c r="C102" s="31" t="str">
        <f>+VLOOKUP(B102,'Country &amp; Code Abbreviation'!$B$3:$C$245,2,FALSE)</f>
        <v>MU</v>
      </c>
      <c r="D102" s="31" t="str">
        <f>+VLOOKUP(B102,'INT Web'!$B$5:$Q$247,16,FALSE)</f>
        <v>MUR</v>
      </c>
      <c r="E102" s="32" t="s">
        <v>346</v>
      </c>
      <c r="F102" s="34">
        <v>59.99</v>
      </c>
      <c r="G102" s="34">
        <v>9.99</v>
      </c>
      <c r="H102" s="34">
        <v>43.99</v>
      </c>
      <c r="I102" s="33">
        <f>+IF($D102=$E102,VLOOKUP($B102,'INT Web'!$B$5:$W$247,'INT Web'!U$1,FALSE),MROUND(VLOOKUP($B102,'INT Web'!$B$5:$AQ$247,'INT Web'!AO$1,FALSE),1)-0.01)</f>
        <v>6.99</v>
      </c>
      <c r="J102" s="34">
        <v>2.99</v>
      </c>
      <c r="K102" s="34">
        <v>1.99</v>
      </c>
      <c r="L102" s="34">
        <v>1.99</v>
      </c>
      <c r="M102" s="34">
        <v>0.99</v>
      </c>
      <c r="N102" s="35"/>
      <c r="O102" s="32" t="s">
        <v>366</v>
      </c>
      <c r="Q102" t="b">
        <f>+F102=VLOOKUP($B102,[5]Apple!$A$3:$L$176,F$1,FALSE)</f>
        <v>1</v>
      </c>
      <c r="R102" t="b">
        <f>+G102=VLOOKUP($B102,[5]Apple!$A$3:$L$176,G$1,FALSE)</f>
        <v>1</v>
      </c>
      <c r="S102" t="b">
        <f>+H102=VLOOKUP($B102,[5]Apple!$A$3:$L$176,H$1,FALSE)</f>
        <v>1</v>
      </c>
      <c r="T102" t="b">
        <f>+I102=VLOOKUP($B102,[5]Apple!$A$3:$L$176,I$1,FALSE)</f>
        <v>1</v>
      </c>
      <c r="U102" t="b">
        <f>+J102=VLOOKUP($B102,[5]Apple!$A$3:$L$176,J$1,FALSE)</f>
        <v>1</v>
      </c>
      <c r="V102" t="b">
        <f>+K102=VLOOKUP($B102,[5]Apple!$A$3:$L$176,K$1,FALSE)</f>
        <v>1</v>
      </c>
      <c r="W102" t="b">
        <f>+L102=VLOOKUP($B102,[5]Apple!$A$3:$L$176,L$1,FALSE)</f>
        <v>1</v>
      </c>
      <c r="X102" t="b">
        <f>+M102=VLOOKUP($B102,[5]Apple!$A$3:$L$176,M$1,FALSE)</f>
        <v>1</v>
      </c>
      <c r="Y102" s="31" t="str">
        <f>+VLOOKUP(C102,'Country &amp; Code Abbreviation'!$C$3:$D$245,2,FALSE)</f>
        <v>MUS</v>
      </c>
    </row>
    <row r="103" spans="2:25">
      <c r="B103" t="s">
        <v>213</v>
      </c>
      <c r="C103" s="31" t="str">
        <f>+VLOOKUP(B103,'Country &amp; Code Abbreviation'!$B$3:$C$245,2,FALSE)</f>
        <v>MX</v>
      </c>
      <c r="D103" s="31" t="str">
        <f>+VLOOKUP(B103,'INT Web'!$B$5:$Q$247,16,FALSE)</f>
        <v>MXN</v>
      </c>
      <c r="E103" s="32" t="s">
        <v>384</v>
      </c>
      <c r="F103" s="33">
        <f>+IF($D103=$E103,VLOOKUP($B103,'INT Web'!$B$5:$W$247,'INT Web'!R$1,FALSE),MROUND(VLOOKUP($B103,'INT Web'!$B$5:$AQ$247,'INT Web'!AL$1,FALSE),1)-0.01)</f>
        <v>1990</v>
      </c>
      <c r="G103" s="33">
        <f>+IF($D103=$E103,VLOOKUP($B103,'INT Web'!$B$5:$W$247,'INT Web'!S$1,FALSE),MROUND(VLOOKUP($B103,'INT Web'!$B$5:$AQ$247,'INT Web'!AM$1,FALSE),1)-0.01)</f>
        <v>290</v>
      </c>
      <c r="H103" s="33">
        <f>+IF($D103=$E103,VLOOKUP($B103,'INT Web'!$B$5:$W$247,'INT Web'!T$1,FALSE),MROUND(VLOOKUP($B103,'INT Web'!$B$5:$AQ$247,'INT Web'!AN$1,FALSE),1)-0.01)</f>
        <v>1470</v>
      </c>
      <c r="I103" s="33">
        <f>+IF($D103=$E103,VLOOKUP($B103,'INT Web'!$B$5:$W$247,'INT Web'!U$1,FALSE),MROUND(VLOOKUP($B103,'INT Web'!$B$5:$AQ$247,'INT Web'!AO$1,FALSE),1)-0.01)</f>
        <v>210</v>
      </c>
      <c r="J103" s="34">
        <v>99</v>
      </c>
      <c r="K103" s="34">
        <v>74</v>
      </c>
      <c r="L103" s="34">
        <v>49</v>
      </c>
      <c r="M103" s="34">
        <v>24</v>
      </c>
      <c r="N103" s="35"/>
      <c r="O103" s="32" t="s">
        <v>364</v>
      </c>
      <c r="Q103" t="b">
        <f>+F103=VLOOKUP($B103,[5]Apple!$A$3:$L$176,F$1,FALSE)</f>
        <v>1</v>
      </c>
      <c r="R103" t="b">
        <f>+G103=VLOOKUP($B103,[5]Apple!$A$3:$L$176,G$1,FALSE)</f>
        <v>1</v>
      </c>
      <c r="S103" t="b">
        <f>+H103=VLOOKUP($B103,[5]Apple!$A$3:$L$176,H$1,FALSE)</f>
        <v>1</v>
      </c>
      <c r="T103" t="b">
        <f>+I103=VLOOKUP($B103,[5]Apple!$A$3:$L$176,I$1,FALSE)</f>
        <v>1</v>
      </c>
      <c r="U103" t="b">
        <f>+J103=VLOOKUP($B103,[5]Apple!$A$3:$L$176,J$1,FALSE)</f>
        <v>1</v>
      </c>
      <c r="V103" t="b">
        <f>+K103=VLOOKUP($B103,[5]Apple!$A$3:$L$176,K$1,FALSE)</f>
        <v>1</v>
      </c>
      <c r="W103" t="b">
        <f>+L103=VLOOKUP($B103,[5]Apple!$A$3:$L$176,L$1,FALSE)</f>
        <v>1</v>
      </c>
      <c r="X103" t="b">
        <f>+M103=VLOOKUP($B103,[5]Apple!$A$3:$L$176,M$1,FALSE)</f>
        <v>1</v>
      </c>
      <c r="Y103" s="31" t="str">
        <f>+VLOOKUP(C103,'Country &amp; Code Abbreviation'!$C$3:$D$245,2,FALSE)</f>
        <v>MEX</v>
      </c>
    </row>
    <row r="104" spans="2:25">
      <c r="B104" t="s">
        <v>214</v>
      </c>
      <c r="C104" s="31" t="str">
        <f>+VLOOKUP(B104,'Country &amp; Code Abbreviation'!$B$3:$C$245,2,FALSE)</f>
        <v>FM</v>
      </c>
      <c r="D104" s="31" t="str">
        <f>+VLOOKUP(B104,'INT Web'!$B$5:$Q$247,16,FALSE)</f>
        <v>USD</v>
      </c>
      <c r="E104" s="32" t="s">
        <v>346</v>
      </c>
      <c r="F104" s="33">
        <f>+IF($D104=$E104,VLOOKUP($B104,'INT Web'!$B$5:$W$247,'INT Web'!R$1,FALSE),MROUND(VLOOKUP($B104,'INT Web'!$B$5:$AQ$247,'INT Web'!AL$1,FALSE),1)-0.01)</f>
        <v>129.99</v>
      </c>
      <c r="G104" s="33">
        <f>+IF($D104=$E104,VLOOKUP($B104,'INT Web'!$B$5:$W$247,'INT Web'!S$1,FALSE),MROUND(VLOOKUP($B104,'INT Web'!$B$5:$AQ$247,'INT Web'!AM$1,FALSE),1)-0.01)</f>
        <v>18.989999999999998</v>
      </c>
      <c r="H104" s="33">
        <f>+IF($D104=$E104,VLOOKUP($B104,'INT Web'!$B$5:$W$247,'INT Web'!T$1,FALSE),MROUND(VLOOKUP($B104,'INT Web'!$B$5:$AQ$247,'INT Web'!AN$1,FALSE),1)-0.01)</f>
        <v>83.99</v>
      </c>
      <c r="I104" s="33">
        <f>+IF($D104=$E104,VLOOKUP($B104,'INT Web'!$B$5:$W$247,'INT Web'!U$1,FALSE),MROUND(VLOOKUP($B104,'INT Web'!$B$5:$AQ$247,'INT Web'!AO$1,FALSE),1)-0.01)</f>
        <v>13.99</v>
      </c>
      <c r="J104" s="34">
        <v>4.99</v>
      </c>
      <c r="K104" s="34">
        <v>3.99</v>
      </c>
      <c r="L104" s="34">
        <v>2.99</v>
      </c>
      <c r="M104" s="34">
        <v>1.9900000000000002</v>
      </c>
      <c r="N104" s="35"/>
      <c r="O104" s="32" t="s">
        <v>366</v>
      </c>
      <c r="Q104" t="b">
        <f>+F104=VLOOKUP($B104,[5]Apple!$A$3:$L$176,F$1,FALSE)</f>
        <v>1</v>
      </c>
      <c r="R104" t="b">
        <f>+G104=VLOOKUP($B104,[5]Apple!$A$3:$L$176,G$1,FALSE)</f>
        <v>1</v>
      </c>
      <c r="S104" t="b">
        <f>+H104=VLOOKUP($B104,[5]Apple!$A$3:$L$176,H$1,FALSE)</f>
        <v>1</v>
      </c>
      <c r="T104" t="b">
        <f>+I104=VLOOKUP($B104,[5]Apple!$A$3:$L$176,I$1,FALSE)</f>
        <v>1</v>
      </c>
      <c r="U104" t="b">
        <f>+J104=VLOOKUP($B104,[5]Apple!$A$3:$L$176,J$1,FALSE)</f>
        <v>1</v>
      </c>
      <c r="V104" t="b">
        <f>+K104=VLOOKUP($B104,[5]Apple!$A$3:$L$176,K$1,FALSE)</f>
        <v>1</v>
      </c>
      <c r="W104" t="b">
        <f>+L104=VLOOKUP($B104,[5]Apple!$A$3:$L$176,L$1,FALSE)</f>
        <v>1</v>
      </c>
      <c r="X104" t="b">
        <f>+M104=VLOOKUP($B104,[5]Apple!$A$3:$L$176,M$1,FALSE)</f>
        <v>1</v>
      </c>
      <c r="Y104" s="31" t="str">
        <f>+VLOOKUP(C104,'Country &amp; Code Abbreviation'!$C$3:$D$245,2,FALSE)</f>
        <v>FSM</v>
      </c>
    </row>
    <row r="105" spans="2:25">
      <c r="B105" t="s">
        <v>215</v>
      </c>
      <c r="C105" s="31" t="str">
        <f>+VLOOKUP(B105,'Country &amp; Code Abbreviation'!$B$3:$C$245,2,FALSE)</f>
        <v>MD</v>
      </c>
      <c r="D105" s="31" t="str">
        <f>+VLOOKUP(B105,'INT Web'!$B$5:$Q$247,16,FALSE)</f>
        <v>MDL</v>
      </c>
      <c r="E105" s="32" t="s">
        <v>346</v>
      </c>
      <c r="F105" s="33">
        <f>+VLOOKUP($B105,[5]Apple!$A$4:$M$175,[5]Apple!E$1,FALSE)</f>
        <v>84.99</v>
      </c>
      <c r="G105" s="33">
        <f>+VLOOKUP($B105,[5]Apple!$A$4:$M$175,[5]Apple!F$1,FALSE)</f>
        <v>13.99</v>
      </c>
      <c r="H105" s="33">
        <f>+VLOOKUP($B105,[5]Apple!$A$4:$M$175,[5]Apple!G$1,FALSE)</f>
        <v>62.99</v>
      </c>
      <c r="I105" s="33">
        <f>+VLOOKUP($B105,[5]Apple!$A$4:$M$175,[5]Apple!H$1,FALSE)</f>
        <v>9.99</v>
      </c>
      <c r="J105" s="34">
        <v>3.99</v>
      </c>
      <c r="K105" s="108">
        <f>J105</f>
        <v>3.99</v>
      </c>
      <c r="L105" s="34">
        <f>K105-2</f>
        <v>1.9900000000000002</v>
      </c>
      <c r="M105" s="108">
        <f>L105</f>
        <v>1.9900000000000002</v>
      </c>
      <c r="N105" s="35"/>
      <c r="O105" s="32" t="s">
        <v>364</v>
      </c>
      <c r="Q105" t="b">
        <f>+F105=VLOOKUP($B105,[5]Apple!$A$3:$L$176,F$1,FALSE)</f>
        <v>1</v>
      </c>
      <c r="R105" t="b">
        <f>+G105=VLOOKUP($B105,[5]Apple!$A$3:$L$176,G$1,FALSE)</f>
        <v>1</v>
      </c>
      <c r="S105" t="b">
        <f>+H105=VLOOKUP($B105,[5]Apple!$A$3:$L$176,H$1,FALSE)</f>
        <v>1</v>
      </c>
      <c r="T105" t="b">
        <f>+I105=VLOOKUP($B105,[5]Apple!$A$3:$L$176,I$1,FALSE)</f>
        <v>1</v>
      </c>
      <c r="U105" t="b">
        <f>+J105=VLOOKUP($B105,[5]Apple!$A$3:$L$176,J$1,FALSE)</f>
        <v>1</v>
      </c>
      <c r="V105" t="b">
        <f>+K105=VLOOKUP($B105,[5]Apple!$A$3:$L$176,K$1,FALSE)</f>
        <v>1</v>
      </c>
      <c r="W105" t="b">
        <f>+L105=VLOOKUP($B105,[5]Apple!$A$3:$L$176,L$1,FALSE)</f>
        <v>1</v>
      </c>
      <c r="X105" t="b">
        <f>+M105=VLOOKUP($B105,[5]Apple!$A$3:$L$176,M$1,FALSE)</f>
        <v>1</v>
      </c>
      <c r="Y105" s="31" t="str">
        <f>+VLOOKUP(C105,'Country &amp; Code Abbreviation'!$C$3:$D$245,2,FALSE)</f>
        <v>MDA</v>
      </c>
    </row>
    <row r="106" spans="2:25">
      <c r="B106" t="s">
        <v>217</v>
      </c>
      <c r="C106" s="31" t="str">
        <f>+VLOOKUP(B106,'Country &amp; Code Abbreviation'!$B$3:$C$245,2,FALSE)</f>
        <v>MN</v>
      </c>
      <c r="D106" s="31" t="str">
        <f>+VLOOKUP(B106,'INT Web'!$B$5:$Q$247,16,FALSE)</f>
        <v>MNT</v>
      </c>
      <c r="E106" s="32" t="s">
        <v>346</v>
      </c>
      <c r="F106" s="34">
        <v>74.989999999999995</v>
      </c>
      <c r="G106" s="33">
        <f>+VLOOKUP($B106,[5]Apple!$A$4:$M$175,[5]Apple!F$1,FALSE)</f>
        <v>11.99</v>
      </c>
      <c r="H106" s="34">
        <v>54.99</v>
      </c>
      <c r="I106" s="33">
        <f>+VLOOKUP($B106,[5]Apple!$A$4:$M$175,[5]Apple!H$1,FALSE)</f>
        <v>8.99</v>
      </c>
      <c r="J106" s="34">
        <v>3.99</v>
      </c>
      <c r="K106" s="34">
        <v>2.99</v>
      </c>
      <c r="L106" s="34">
        <v>1.99</v>
      </c>
      <c r="M106" s="34">
        <v>0.99</v>
      </c>
      <c r="N106" s="35"/>
      <c r="O106" s="32" t="s">
        <v>366</v>
      </c>
      <c r="Q106" t="b">
        <f>+F106=VLOOKUP($B106,[5]Apple!$A$3:$L$176,F$1,FALSE)</f>
        <v>1</v>
      </c>
      <c r="R106" t="b">
        <f>+G106=VLOOKUP($B106,[5]Apple!$A$3:$L$176,G$1,FALSE)</f>
        <v>1</v>
      </c>
      <c r="S106" t="b">
        <f>+H106=VLOOKUP($B106,[5]Apple!$A$3:$L$176,H$1,FALSE)</f>
        <v>1</v>
      </c>
      <c r="T106" t="b">
        <f>+I106=VLOOKUP($B106,[5]Apple!$A$3:$L$176,I$1,FALSE)</f>
        <v>1</v>
      </c>
      <c r="U106" t="b">
        <f>+J106=VLOOKUP($B106,[5]Apple!$A$3:$L$176,J$1,FALSE)</f>
        <v>1</v>
      </c>
      <c r="V106" t="b">
        <f>+K106=VLOOKUP($B106,[5]Apple!$A$3:$L$176,K$1,FALSE)</f>
        <v>1</v>
      </c>
      <c r="W106" t="b">
        <f>+L106=VLOOKUP($B106,[5]Apple!$A$3:$L$176,L$1,FALSE)</f>
        <v>1</v>
      </c>
      <c r="X106" t="b">
        <f>+M106=VLOOKUP($B106,[5]Apple!$A$3:$L$176,M$1,FALSE)</f>
        <v>1</v>
      </c>
      <c r="Y106" s="31" t="str">
        <f>+VLOOKUP(C106,'Country &amp; Code Abbreviation'!$C$3:$D$245,2,FALSE)</f>
        <v>MNG</v>
      </c>
    </row>
    <row r="107" spans="2:25">
      <c r="B107" t="s">
        <v>218</v>
      </c>
      <c r="C107" s="31" t="str">
        <f>+VLOOKUP(B107,'Country &amp; Code Abbreviation'!$B$3:$C$245,2,FALSE)</f>
        <v>ME</v>
      </c>
      <c r="D107" s="31" t="str">
        <f>+VLOOKUP(B107,'INT Web'!$B$5:$Q$247,16,FALSE)</f>
        <v>EUR</v>
      </c>
      <c r="E107" s="32" t="s">
        <v>368</v>
      </c>
      <c r="F107" s="33">
        <f>+IF($D107=$E107,VLOOKUP($B107,'INT Web'!$B$5:$W$247,'INT Web'!R$1,FALSE),MROUND(VLOOKUP($B107,'INT Web'!$B$5:$AQ$247,'INT Web'!AL$1,FALSE),1)-0.01)</f>
        <v>79.989999999999995</v>
      </c>
      <c r="G107" s="33">
        <f>+IF($D107=$E107,VLOOKUP($B107,'INT Web'!$B$5:$W$247,'INT Web'!S$1,FALSE),MROUND(VLOOKUP($B107,'INT Web'!$B$5:$AQ$247,'INT Web'!AM$1,FALSE),1)-0.01)</f>
        <v>12.99</v>
      </c>
      <c r="H107" s="33">
        <f>+IF($D107=$E107,VLOOKUP($B107,'INT Web'!$B$5:$W$247,'INT Web'!T$1,FALSE),MROUND(VLOOKUP($B107,'INT Web'!$B$5:$AQ$247,'INT Web'!AN$1,FALSE),1)-0.01)</f>
        <v>59.99</v>
      </c>
      <c r="I107" s="33">
        <f>+IF($D107=$E107,VLOOKUP($B107,'INT Web'!$B$5:$W$247,'INT Web'!U$1,FALSE),MROUND(VLOOKUP($B107,'INT Web'!$B$5:$AQ$247,'INT Web'!AO$1,FALSE),1)-0.01)</f>
        <v>9.99</v>
      </c>
      <c r="J107" s="34">
        <v>3.29</v>
      </c>
      <c r="K107" s="34">
        <v>3.29</v>
      </c>
      <c r="L107" s="34">
        <v>1.69</v>
      </c>
      <c r="M107" s="34">
        <v>1.69</v>
      </c>
      <c r="N107" s="35"/>
      <c r="O107" s="32" t="s">
        <v>364</v>
      </c>
      <c r="Q107" t="b">
        <f>+F107=VLOOKUP($B107,[5]Apple!$A$3:$L$176,F$1,FALSE)</f>
        <v>1</v>
      </c>
      <c r="R107" t="b">
        <f>+G107=VLOOKUP($B107,[5]Apple!$A$3:$L$176,G$1,FALSE)</f>
        <v>1</v>
      </c>
      <c r="S107" t="b">
        <f>+H107=VLOOKUP($B107,[5]Apple!$A$3:$L$176,H$1,FALSE)</f>
        <v>1</v>
      </c>
      <c r="T107" t="b">
        <f>+I107=VLOOKUP($B107,[5]Apple!$A$3:$L$176,I$1,FALSE)</f>
        <v>1</v>
      </c>
      <c r="U107" t="b">
        <f>+J107=VLOOKUP($B107,[5]Apple!$A$3:$L$176,J$1,FALSE)</f>
        <v>1</v>
      </c>
      <c r="V107" t="b">
        <f>+K107=VLOOKUP($B107,[5]Apple!$A$3:$L$176,K$1,FALSE)</f>
        <v>1</v>
      </c>
      <c r="W107" t="b">
        <f>+L107=VLOOKUP($B107,[5]Apple!$A$3:$L$176,L$1,FALSE)</f>
        <v>1</v>
      </c>
      <c r="X107" t="b">
        <f>+M107=VLOOKUP($B107,[5]Apple!$A$3:$L$176,M$1,FALSE)</f>
        <v>1</v>
      </c>
      <c r="Y107" s="31" t="str">
        <f>+VLOOKUP(C107,'Country &amp; Code Abbreviation'!$C$3:$D$245,2,FALSE)</f>
        <v>MNE</v>
      </c>
    </row>
    <row r="108" spans="2:25">
      <c r="B108" t="s">
        <v>219</v>
      </c>
      <c r="C108" s="31" t="str">
        <f>+VLOOKUP(B108,'Country &amp; Code Abbreviation'!$B$3:$C$245,2,FALSE)</f>
        <v>MS</v>
      </c>
      <c r="D108" s="31" t="str">
        <f>+VLOOKUP(B108,'INT Web'!$B$5:$Q$247,16,FALSE)</f>
        <v>XCD</v>
      </c>
      <c r="E108" s="32" t="s">
        <v>346</v>
      </c>
      <c r="F108" s="33">
        <f>+IF($D108=$E108,VLOOKUP($B108,'INT Web'!$B$5:$W$247,'INT Web'!R$1,FALSE),MROUND(VLOOKUP($B108,'INT Web'!$B$5:$AQ$247,'INT Web'!AL$1,FALSE),1)-0.01)</f>
        <v>99.99</v>
      </c>
      <c r="G108" s="33">
        <f>+IF($D108=$E108,VLOOKUP($B108,'INT Web'!$B$5:$W$247,'INT Web'!S$1,FALSE),MROUND(VLOOKUP($B108,'INT Web'!$B$5:$AQ$247,'INT Web'!AM$1,FALSE),1)-0.01)</f>
        <v>16.989999999999998</v>
      </c>
      <c r="H108" s="33">
        <f>+IF($D108=$E108,VLOOKUP($B108,'INT Web'!$B$5:$W$247,'INT Web'!T$1,FALSE),MROUND(VLOOKUP($B108,'INT Web'!$B$5:$AQ$247,'INT Web'!AN$1,FALSE),1)-0.01)</f>
        <v>72.989999999999995</v>
      </c>
      <c r="I108" s="33">
        <f>+IF($D108=$E108,VLOOKUP($B108,'INT Web'!$B$5:$W$247,'INT Web'!U$1,FALSE),MROUND(VLOOKUP($B108,'INT Web'!$B$5:$AQ$247,'INT Web'!AO$1,FALSE),1)-0.01)</f>
        <v>11.99</v>
      </c>
      <c r="J108" s="34">
        <v>4.99</v>
      </c>
      <c r="K108" s="34">
        <v>3.99</v>
      </c>
      <c r="L108" s="34">
        <v>2.99</v>
      </c>
      <c r="M108" s="34">
        <v>1.99</v>
      </c>
      <c r="N108" s="35"/>
      <c r="O108" s="32" t="s">
        <v>366</v>
      </c>
      <c r="Q108" t="b">
        <f>+F108=VLOOKUP($B108,[5]Apple!$A$3:$L$176,F$1,FALSE)</f>
        <v>1</v>
      </c>
      <c r="R108" t="b">
        <f>+G108=VLOOKUP($B108,[5]Apple!$A$3:$L$176,G$1,FALSE)</f>
        <v>1</v>
      </c>
      <c r="S108" t="b">
        <f>+H108=VLOOKUP($B108,[5]Apple!$A$3:$L$176,H$1,FALSE)</f>
        <v>1</v>
      </c>
      <c r="T108" t="b">
        <f>+I108=VLOOKUP($B108,[5]Apple!$A$3:$L$176,I$1,FALSE)</f>
        <v>1</v>
      </c>
      <c r="U108" t="b">
        <f>+J108=VLOOKUP($B108,[5]Apple!$A$3:$L$176,J$1,FALSE)</f>
        <v>1</v>
      </c>
      <c r="V108" t="b">
        <f>+K108=VLOOKUP($B108,[5]Apple!$A$3:$L$176,K$1,FALSE)</f>
        <v>1</v>
      </c>
      <c r="W108" t="b">
        <f>+L108=VLOOKUP($B108,[5]Apple!$A$3:$L$176,L$1,FALSE)</f>
        <v>1</v>
      </c>
      <c r="X108" t="b">
        <f>+M108=VLOOKUP($B108,[5]Apple!$A$3:$L$176,M$1,FALSE)</f>
        <v>1</v>
      </c>
      <c r="Y108" s="31" t="str">
        <f>+VLOOKUP(C108,'Country &amp; Code Abbreviation'!$C$3:$D$245,2,FALSE)</f>
        <v>MSR</v>
      </c>
    </row>
    <row r="109" spans="2:25">
      <c r="B109" t="s">
        <v>220</v>
      </c>
      <c r="C109" s="31" t="str">
        <f>+VLOOKUP(B109,'Country &amp; Code Abbreviation'!$B$3:$C$245,2,FALSE)</f>
        <v>MA</v>
      </c>
      <c r="D109" s="31" t="str">
        <f>+VLOOKUP(B109,'INT Web'!$B$5:$Q$247,16,FALSE)</f>
        <v>MAD</v>
      </c>
      <c r="E109" s="32" t="s">
        <v>346</v>
      </c>
      <c r="F109" s="33">
        <f>+VLOOKUP($B109,[5]Apple!$A$4:$M$175,[5]Apple!E$1,FALSE)</f>
        <v>72.989999999999995</v>
      </c>
      <c r="G109" s="33">
        <f>+VLOOKUP($B109,[5]Apple!$A$4:$M$175,[5]Apple!F$1,FALSE)</f>
        <v>11.99</v>
      </c>
      <c r="H109" s="33">
        <f>+VLOOKUP($B109,[5]Apple!$A$4:$M$175,[5]Apple!G$1,FALSE)</f>
        <v>54.99</v>
      </c>
      <c r="I109" s="33">
        <f>+VLOOKUP($B109,[5]Apple!$A$4:$M$175,[5]Apple!H$1,FALSE)</f>
        <v>8.99</v>
      </c>
      <c r="J109" s="34">
        <v>2.99</v>
      </c>
      <c r="K109" s="34">
        <v>2.99</v>
      </c>
      <c r="L109" s="34">
        <v>1.99</v>
      </c>
      <c r="M109" s="34">
        <v>1.99</v>
      </c>
      <c r="N109" s="35"/>
      <c r="O109" s="32" t="s">
        <v>364</v>
      </c>
      <c r="Q109" t="b">
        <f>+F109=VLOOKUP($B109,[5]Apple!$A$3:$L$176,F$1,FALSE)</f>
        <v>1</v>
      </c>
      <c r="R109" t="b">
        <f>+G109=VLOOKUP($B109,[5]Apple!$A$3:$L$176,G$1,FALSE)</f>
        <v>1</v>
      </c>
      <c r="S109" t="b">
        <f>+H109=VLOOKUP($B109,[5]Apple!$A$3:$L$176,H$1,FALSE)</f>
        <v>1</v>
      </c>
      <c r="T109" t="b">
        <f>+I109=VLOOKUP($B109,[5]Apple!$A$3:$L$176,I$1,FALSE)</f>
        <v>1</v>
      </c>
      <c r="U109" t="b">
        <f>+J109=VLOOKUP($B109,[5]Apple!$A$3:$L$176,J$1,FALSE)</f>
        <v>1</v>
      </c>
      <c r="V109" t="b">
        <f>+K109=VLOOKUP($B109,[5]Apple!$A$3:$L$176,K$1,FALSE)</f>
        <v>1</v>
      </c>
      <c r="W109" t="b">
        <f>+L109=VLOOKUP($B109,[5]Apple!$A$3:$L$176,L$1,FALSE)</f>
        <v>1</v>
      </c>
      <c r="X109" t="b">
        <f>+M109=VLOOKUP($B109,[5]Apple!$A$3:$L$176,M$1,FALSE)</f>
        <v>1</v>
      </c>
      <c r="Y109" s="31" t="str">
        <f>+VLOOKUP(C109,'Country &amp; Code Abbreviation'!$C$3:$D$245,2,FALSE)</f>
        <v>MAR</v>
      </c>
    </row>
    <row r="110" spans="2:25">
      <c r="B110" t="s">
        <v>221</v>
      </c>
      <c r="C110" s="31" t="str">
        <f>+VLOOKUP(B110,'Country &amp; Code Abbreviation'!$B$3:$C$245,2,FALSE)</f>
        <v>MZ</v>
      </c>
      <c r="D110" s="31" t="str">
        <f>+VLOOKUP(B110,'INT Web'!$B$5:$Q$247,16,FALSE)</f>
        <v>USD</v>
      </c>
      <c r="E110" s="32" t="s">
        <v>346</v>
      </c>
      <c r="F110" s="33">
        <f>+IF($D110=$E110,VLOOKUP($B110,'INT Web'!$B$5:$W$247,'INT Web'!R$1,FALSE),MROUND(VLOOKUP($B110,'INT Web'!$B$5:$AQ$247,'INT Web'!AL$1,FALSE),1)-0.01)</f>
        <v>71.989999999999995</v>
      </c>
      <c r="G110" s="33">
        <f>+IF($D110=$E110,VLOOKUP($B110,'INT Web'!$B$5:$W$247,'INT Web'!S$1,FALSE),MROUND(VLOOKUP($B110,'INT Web'!$B$5:$AQ$247,'INT Web'!AM$1,FALSE),1)-0.01)</f>
        <v>11.99</v>
      </c>
      <c r="H110" s="33">
        <f>+IF($D110=$E110,VLOOKUP($B110,'INT Web'!$B$5:$W$247,'INT Web'!T$1,FALSE),MROUND(VLOOKUP($B110,'INT Web'!$B$5:$AQ$247,'INT Web'!AN$1,FALSE),1)-0.01)</f>
        <v>53.99</v>
      </c>
      <c r="I110" s="33">
        <f>+IF($D110=$E110,VLOOKUP($B110,'INT Web'!$B$5:$W$247,'INT Web'!U$1,FALSE),MROUND(VLOOKUP($B110,'INT Web'!$B$5:$AQ$247,'INT Web'!AO$1,FALSE),1)-0.01)</f>
        <v>8.99</v>
      </c>
      <c r="J110" s="34">
        <v>3.99</v>
      </c>
      <c r="K110" s="34">
        <v>3.99</v>
      </c>
      <c r="L110" s="34">
        <v>1.99</v>
      </c>
      <c r="M110" s="34">
        <v>1.99</v>
      </c>
      <c r="N110" s="35"/>
      <c r="O110" s="32" t="s">
        <v>364</v>
      </c>
      <c r="Q110" t="b">
        <f>+F110=VLOOKUP($B110,[5]Apple!$A$3:$L$176,F$1,FALSE)</f>
        <v>1</v>
      </c>
      <c r="R110" t="b">
        <f>+G110=VLOOKUP($B110,[5]Apple!$A$3:$L$176,G$1,FALSE)</f>
        <v>1</v>
      </c>
      <c r="S110" t="b">
        <f>+H110=VLOOKUP($B110,[5]Apple!$A$3:$L$176,H$1,FALSE)</f>
        <v>1</v>
      </c>
      <c r="T110" t="b">
        <f>+I110=VLOOKUP($B110,[5]Apple!$A$3:$L$176,I$1,FALSE)</f>
        <v>1</v>
      </c>
      <c r="U110" t="b">
        <f>+J110=VLOOKUP($B110,[5]Apple!$A$3:$L$176,J$1,FALSE)</f>
        <v>1</v>
      </c>
      <c r="V110" t="b">
        <f>+K110=VLOOKUP($B110,[5]Apple!$A$3:$L$176,K$1,FALSE)</f>
        <v>1</v>
      </c>
      <c r="W110" t="b">
        <f>+L110=VLOOKUP($B110,[5]Apple!$A$3:$L$176,L$1,FALSE)</f>
        <v>1</v>
      </c>
      <c r="X110" t="b">
        <f>+M110=VLOOKUP($B110,[5]Apple!$A$3:$L$176,M$1,FALSE)</f>
        <v>1</v>
      </c>
      <c r="Y110" s="31" t="str">
        <f>+VLOOKUP(C110,'Country &amp; Code Abbreviation'!$C$3:$D$245,2,FALSE)</f>
        <v>MOZ</v>
      </c>
    </row>
    <row r="111" spans="2:25">
      <c r="B111" t="s">
        <v>222</v>
      </c>
      <c r="C111" s="31" t="str">
        <f>+VLOOKUP(B111,'Country &amp; Code Abbreviation'!$B$3:$C$245,2,FALSE)</f>
        <v>MM</v>
      </c>
      <c r="D111" s="31" t="str">
        <f>+VLOOKUP(B111,'INT Web'!$B$5:$Q$247,16,FALSE)</f>
        <v>MMK</v>
      </c>
      <c r="E111" s="32" t="s">
        <v>346</v>
      </c>
      <c r="F111" s="34">
        <v>64.989999999999995</v>
      </c>
      <c r="G111" s="34">
        <v>10.99</v>
      </c>
      <c r="H111" s="34">
        <v>49.99</v>
      </c>
      <c r="I111" s="33">
        <f>+IF($D111=$E111,VLOOKUP($B111,'INT Web'!$B$5:$W$247,'INT Web'!U$1,FALSE),MROUND(VLOOKUP($B111,'INT Web'!$B$5:$AQ$247,'INT Web'!AO$1,FALSE),1)-0.01)</f>
        <v>7.99</v>
      </c>
      <c r="J111" s="34">
        <v>2.99</v>
      </c>
      <c r="K111" s="34">
        <v>1.99</v>
      </c>
      <c r="L111" s="34">
        <v>1.99</v>
      </c>
      <c r="M111" s="34">
        <v>0.99</v>
      </c>
      <c r="N111" s="35"/>
      <c r="O111" s="32" t="s">
        <v>366</v>
      </c>
      <c r="Q111" t="b">
        <f>+F111=VLOOKUP($B111,[5]Apple!$A$3:$L$176,F$1,FALSE)</f>
        <v>1</v>
      </c>
      <c r="R111" t="b">
        <f>+G111=VLOOKUP($B111,[5]Apple!$A$3:$L$176,G$1,FALSE)</f>
        <v>1</v>
      </c>
      <c r="S111" t="b">
        <f>+H111=VLOOKUP($B111,[5]Apple!$A$3:$L$176,H$1,FALSE)</f>
        <v>1</v>
      </c>
      <c r="T111" t="b">
        <f>+I111=VLOOKUP($B111,[5]Apple!$A$3:$L$176,I$1,FALSE)</f>
        <v>1</v>
      </c>
      <c r="U111" t="b">
        <f>+J111=VLOOKUP($B111,[5]Apple!$A$3:$L$176,J$1,FALSE)</f>
        <v>1</v>
      </c>
      <c r="V111" t="b">
        <f>+K111=VLOOKUP($B111,[5]Apple!$A$3:$L$176,K$1,FALSE)</f>
        <v>1</v>
      </c>
      <c r="W111" t="b">
        <f>+L111=VLOOKUP($B111,[5]Apple!$A$3:$L$176,L$1,FALSE)</f>
        <v>1</v>
      </c>
      <c r="X111" t="b">
        <f>+M111=VLOOKUP($B111,[5]Apple!$A$3:$L$176,M$1,FALSE)</f>
        <v>1</v>
      </c>
      <c r="Y111" s="31" t="str">
        <f>+VLOOKUP(C111,'Country &amp; Code Abbreviation'!$C$3:$D$245,2,FALSE)</f>
        <v>MMR</v>
      </c>
    </row>
    <row r="112" spans="2:25">
      <c r="B112" t="s">
        <v>223</v>
      </c>
      <c r="C112" s="31" t="str">
        <f>+VLOOKUP(B112,'Country &amp; Code Abbreviation'!$B$3:$C$245,2,FALSE)</f>
        <v>NA</v>
      </c>
      <c r="D112" s="31" t="str">
        <f>+VLOOKUP(B112,'INT Web'!$B$5:$Q$247,16,FALSE)</f>
        <v>NAD</v>
      </c>
      <c r="E112" s="32" t="s">
        <v>346</v>
      </c>
      <c r="F112" s="34">
        <v>52.99</v>
      </c>
      <c r="G112" s="34">
        <v>8.99</v>
      </c>
      <c r="H112" s="34">
        <v>38.99</v>
      </c>
      <c r="I112" s="33">
        <f>+IF($D112=$E112,VLOOKUP($B112,'INT Web'!$B$5:$W$247,'INT Web'!U$1,FALSE),MROUND(VLOOKUP($B112,'INT Web'!$B$5:$AQ$247,'INT Web'!AO$1,FALSE),1)-0.01)</f>
        <v>5.99</v>
      </c>
      <c r="J112" s="34">
        <v>1.99</v>
      </c>
      <c r="K112" s="34">
        <v>1.99</v>
      </c>
      <c r="L112" s="34">
        <v>0.99</v>
      </c>
      <c r="M112" s="34">
        <v>0.99</v>
      </c>
      <c r="N112" s="35"/>
      <c r="O112" s="32" t="s">
        <v>364</v>
      </c>
      <c r="Q112" t="b">
        <f>+F112=VLOOKUP($B112,[5]Apple!$A$3:$L$176,F$1,FALSE)</f>
        <v>1</v>
      </c>
      <c r="R112" t="b">
        <f>+G112=VLOOKUP($B112,[5]Apple!$A$3:$L$176,G$1,FALSE)</f>
        <v>1</v>
      </c>
      <c r="S112" t="b">
        <f>+H112=VLOOKUP($B112,[5]Apple!$A$3:$L$176,H$1,FALSE)</f>
        <v>1</v>
      </c>
      <c r="T112" t="b">
        <f>+I112=VLOOKUP($B112,[5]Apple!$A$3:$L$176,I$1,FALSE)</f>
        <v>1</v>
      </c>
      <c r="U112" t="b">
        <f>+J112=VLOOKUP($B112,[5]Apple!$A$3:$L$176,J$1,FALSE)</f>
        <v>1</v>
      </c>
      <c r="V112" t="b">
        <f>+K112=VLOOKUP($B112,[5]Apple!$A$3:$L$176,K$1,FALSE)</f>
        <v>1</v>
      </c>
      <c r="W112" t="b">
        <f>+L112=VLOOKUP($B112,[5]Apple!$A$3:$L$176,L$1,FALSE)</f>
        <v>1</v>
      </c>
      <c r="X112" t="b">
        <f>+M112=VLOOKUP($B112,[5]Apple!$A$3:$L$176,M$1,FALSE)</f>
        <v>1</v>
      </c>
      <c r="Y112" s="31" t="str">
        <f>+VLOOKUP(C112,'Country &amp; Code Abbreviation'!$C$3:$D$245,2,FALSE)</f>
        <v>NAM</v>
      </c>
    </row>
    <row r="113" spans="2:25">
      <c r="B113" t="s">
        <v>224</v>
      </c>
      <c r="C113" s="31" t="str">
        <f>+VLOOKUP(B113,'Country &amp; Code Abbreviation'!$B$3:$C$245,2,FALSE)</f>
        <v>NR</v>
      </c>
      <c r="D113" s="31" t="str">
        <f>+VLOOKUP(B113,'INT Web'!$B$5:$Q$247,16,FALSE)</f>
        <v>AUD</v>
      </c>
      <c r="E113" s="32" t="s">
        <v>346</v>
      </c>
      <c r="F113" s="34">
        <v>74.989999999999995</v>
      </c>
      <c r="G113" s="33">
        <f>+IF($D113=$E113,VLOOKUP($B113,'INT Web'!$B$5:$W$247,'INT Web'!S$1,FALSE),MROUND(VLOOKUP($B113,'INT Web'!$B$5:$AQ$247,'INT Web'!AM$1,FALSE),1)-0.01)</f>
        <v>11.99</v>
      </c>
      <c r="H113" s="33">
        <f>+VLOOKUP($B113,[5]Apple!$A$4:$M$175,[5]Apple!G$1,FALSE)</f>
        <v>52.99</v>
      </c>
      <c r="I113" s="33">
        <f>+IF($D113=$E113,VLOOKUP($B113,'INT Web'!$B$5:$W$247,'INT Web'!U$1,FALSE),MROUND(VLOOKUP($B113,'INT Web'!$B$5:$AQ$247,'INT Web'!AO$1,FALSE),1)-0.01)</f>
        <v>8.99</v>
      </c>
      <c r="J113" s="34">
        <v>2.99</v>
      </c>
      <c r="K113" s="34">
        <v>2.99</v>
      </c>
      <c r="L113" s="34">
        <v>1.99</v>
      </c>
      <c r="M113" s="34">
        <v>0.99</v>
      </c>
      <c r="N113" s="35"/>
      <c r="O113" s="32" t="s">
        <v>366</v>
      </c>
      <c r="Q113" t="b">
        <f>+F113=VLOOKUP($B113,[5]Apple!$A$3:$L$176,F$1,FALSE)</f>
        <v>1</v>
      </c>
      <c r="R113" t="b">
        <f>+G113=VLOOKUP($B113,[5]Apple!$A$3:$L$176,G$1,FALSE)</f>
        <v>1</v>
      </c>
      <c r="S113" t="b">
        <f>+H113=VLOOKUP($B113,[5]Apple!$A$3:$L$176,H$1,FALSE)</f>
        <v>1</v>
      </c>
      <c r="T113" t="b">
        <f>+I113=VLOOKUP($B113,[5]Apple!$A$3:$L$176,I$1,FALSE)</f>
        <v>1</v>
      </c>
      <c r="U113" t="b">
        <f>+J113=VLOOKUP($B113,[5]Apple!$A$3:$L$176,J$1,FALSE)</f>
        <v>1</v>
      </c>
      <c r="V113" t="b">
        <f>+K113=VLOOKUP($B113,[5]Apple!$A$3:$L$176,K$1,FALSE)</f>
        <v>1</v>
      </c>
      <c r="W113" t="b">
        <f>+L113=VLOOKUP($B113,[5]Apple!$A$3:$L$176,L$1,FALSE)</f>
        <v>1</v>
      </c>
      <c r="X113" t="b">
        <f>+M113=VLOOKUP($B113,[5]Apple!$A$3:$L$176,M$1,FALSE)</f>
        <v>1</v>
      </c>
      <c r="Y113" s="31" t="str">
        <f>+VLOOKUP(C113,'Country &amp; Code Abbreviation'!$C$3:$D$245,2,FALSE)</f>
        <v>NRU</v>
      </c>
    </row>
    <row r="114" spans="2:25">
      <c r="B114" t="s">
        <v>225</v>
      </c>
      <c r="C114" s="31" t="str">
        <f>+VLOOKUP(B114,'Country &amp; Code Abbreviation'!$B$3:$C$245,2,FALSE)</f>
        <v>NP</v>
      </c>
      <c r="D114" s="31" t="str">
        <f>+VLOOKUP(B114,'INT Web'!$B$5:$Q$247,16,FALSE)</f>
        <v>NPR</v>
      </c>
      <c r="E114" s="32" t="s">
        <v>346</v>
      </c>
      <c r="F114" s="34">
        <v>78.989999999999995</v>
      </c>
      <c r="G114" s="34">
        <v>12.99</v>
      </c>
      <c r="H114" s="34">
        <v>57.99</v>
      </c>
      <c r="I114" s="72">
        <v>8.99</v>
      </c>
      <c r="J114" s="34">
        <v>2.99</v>
      </c>
      <c r="K114" s="34">
        <v>2.99</v>
      </c>
      <c r="L114" s="34">
        <v>1.99</v>
      </c>
      <c r="M114" s="34">
        <v>1.99</v>
      </c>
      <c r="N114" s="35"/>
      <c r="O114" s="32" t="s">
        <v>364</v>
      </c>
      <c r="Q114" t="b">
        <f>+F114=VLOOKUP($B114,[5]Apple!$A$3:$L$176,F$1,FALSE)</f>
        <v>1</v>
      </c>
      <c r="R114" t="b">
        <f>+G114=VLOOKUP($B114,[5]Apple!$A$3:$L$176,G$1,FALSE)</f>
        <v>1</v>
      </c>
      <c r="S114" t="b">
        <f>+H114=VLOOKUP($B114,[5]Apple!$A$3:$L$176,H$1,FALSE)</f>
        <v>1</v>
      </c>
      <c r="T114" t="b">
        <f>+I114=VLOOKUP($B114,[5]Apple!$A$3:$L$176,I$1,FALSE)</f>
        <v>1</v>
      </c>
      <c r="U114" t="b">
        <f>+J114=VLOOKUP($B114,[5]Apple!$A$3:$L$176,J$1,FALSE)</f>
        <v>1</v>
      </c>
      <c r="V114" t="b">
        <f>+K114=VLOOKUP($B114,[5]Apple!$A$3:$L$176,K$1,FALSE)</f>
        <v>1</v>
      </c>
      <c r="W114" t="b">
        <f>+L114=VLOOKUP($B114,[5]Apple!$A$3:$L$176,L$1,FALSE)</f>
        <v>1</v>
      </c>
      <c r="X114" t="b">
        <f>+M114=VLOOKUP($B114,[5]Apple!$A$3:$L$176,M$1,FALSE)</f>
        <v>1</v>
      </c>
      <c r="Y114" s="31" t="str">
        <f>+VLOOKUP(C114,'Country &amp; Code Abbreviation'!$C$3:$D$245,2,FALSE)</f>
        <v>NPL</v>
      </c>
    </row>
    <row r="115" spans="2:25">
      <c r="B115" t="s">
        <v>226</v>
      </c>
      <c r="C115" s="31" t="str">
        <f>+VLOOKUP(B115,'Country &amp; Code Abbreviation'!$B$3:$C$245,2,FALSE)</f>
        <v>NL</v>
      </c>
      <c r="D115" s="31" t="str">
        <f>+VLOOKUP(B115,'INT Web'!$B$5:$Q$247,16,FALSE)</f>
        <v>EUR</v>
      </c>
      <c r="E115" s="32" t="s">
        <v>368</v>
      </c>
      <c r="F115" s="33">
        <f>+IF($D115=$E115,VLOOKUP($B115,'INT Web'!$B$5:$W$247,'INT Web'!R$1,FALSE),MROUND(VLOOKUP($B115,'INT Web'!$B$5:$AQ$247,'INT Web'!AL$1,FALSE),1)-0.01)</f>
        <v>149.99</v>
      </c>
      <c r="G115" s="33">
        <f>+IF($D115=$E115,VLOOKUP($B115,'INT Web'!$B$5:$W$247,'INT Web'!S$1,FALSE),MROUND(VLOOKUP($B115,'INT Web'!$B$5:$AQ$247,'INT Web'!AM$1,FALSE),1)-0.01)</f>
        <v>22.99</v>
      </c>
      <c r="H115" s="33">
        <f>+IF($D115=$E115,VLOOKUP($B115,'INT Web'!$B$5:$W$247,'INT Web'!T$1,FALSE),MROUND(VLOOKUP($B115,'INT Web'!$B$5:$AQ$247,'INT Web'!AN$1,FALSE),1)-0.01)</f>
        <v>109.99</v>
      </c>
      <c r="I115" s="33">
        <f>+IF($D115=$E115,VLOOKUP($B115,'INT Web'!$B$5:$W$247,'INT Web'!U$1,FALSE),MROUND(VLOOKUP($B115,'INT Web'!$B$5:$AQ$247,'INT Web'!AO$1,FALSE),1)-0.01)</f>
        <v>16.989999999999998</v>
      </c>
      <c r="J115" s="34">
        <v>5.99</v>
      </c>
      <c r="K115" s="34">
        <v>4.99</v>
      </c>
      <c r="L115" s="34">
        <v>3.99</v>
      </c>
      <c r="M115" s="34">
        <v>2.99</v>
      </c>
      <c r="N115" s="35"/>
      <c r="O115" s="32" t="s">
        <v>366</v>
      </c>
      <c r="Q115" t="b">
        <f>+F115=VLOOKUP($B115,[5]Apple!$A$3:$L$176,F$1,FALSE)</f>
        <v>1</v>
      </c>
      <c r="R115" t="b">
        <f>+G115=VLOOKUP($B115,[5]Apple!$A$3:$L$176,G$1,FALSE)</f>
        <v>1</v>
      </c>
      <c r="S115" t="b">
        <f>+H115=VLOOKUP($B115,[5]Apple!$A$3:$L$176,H$1,FALSE)</f>
        <v>1</v>
      </c>
      <c r="T115" t="b">
        <f>+I115=VLOOKUP($B115,[5]Apple!$A$3:$L$176,I$1,FALSE)</f>
        <v>1</v>
      </c>
      <c r="U115" t="b">
        <f>+J115=VLOOKUP($B115,[5]Apple!$A$3:$L$176,J$1,FALSE)</f>
        <v>1</v>
      </c>
      <c r="V115" t="b">
        <f>+K115=VLOOKUP($B115,[5]Apple!$A$3:$L$176,K$1,FALSE)</f>
        <v>1</v>
      </c>
      <c r="W115" t="b">
        <f>+L115=VLOOKUP($B115,[5]Apple!$A$3:$L$176,L$1,FALSE)</f>
        <v>1</v>
      </c>
      <c r="X115" t="b">
        <f>+M115=VLOOKUP($B115,[5]Apple!$A$3:$L$176,M$1,FALSE)</f>
        <v>1</v>
      </c>
      <c r="Y115" s="31" t="str">
        <f>+VLOOKUP(C115,'Country &amp; Code Abbreviation'!$C$3:$D$245,2,FALSE)</f>
        <v>NLD</v>
      </c>
    </row>
    <row r="116" spans="2:25">
      <c r="B116" t="s">
        <v>229</v>
      </c>
      <c r="C116" s="31" t="str">
        <f>+VLOOKUP(B116,'Country &amp; Code Abbreviation'!$B$3:$C$245,2,FALSE)</f>
        <v>NZ</v>
      </c>
      <c r="D116" s="31" t="str">
        <f>+VLOOKUP(B116,'INT Web'!$B$5:$Q$247,16,FALSE)</f>
        <v>NZD</v>
      </c>
      <c r="E116" s="32" t="s">
        <v>385</v>
      </c>
      <c r="F116" s="33">
        <f>+IF($D116=$E116,VLOOKUP($B116,'INT Web'!$B$5:$W$247,'INT Web'!R$1,FALSE),MROUND(VLOOKUP($B116,'INT Web'!$B$5:$AQ$247,'INT Web'!AL$1,FALSE),1)-0.01)</f>
        <v>219.99</v>
      </c>
      <c r="G116" s="33">
        <f>+IF($D116=$E116,VLOOKUP($B116,'INT Web'!$B$5:$W$247,'INT Web'!S$1,FALSE),MROUND(VLOOKUP($B116,'INT Web'!$B$5:$AQ$247,'INT Web'!AM$1,FALSE),1)-0.01)</f>
        <v>33.99</v>
      </c>
      <c r="H116" s="33">
        <f>+IF($D116=$E116,VLOOKUP($B116,'INT Web'!$B$5:$W$247,'INT Web'!T$1,FALSE),MROUND(VLOOKUP($B116,'INT Web'!$B$5:$AQ$247,'INT Web'!AN$1,FALSE),1)-0.01)</f>
        <v>159.99</v>
      </c>
      <c r="I116" s="33">
        <f>+IF($D116=$E116,VLOOKUP($B116,'INT Web'!$B$5:$W$247,'INT Web'!U$1,FALSE),MROUND(VLOOKUP($B116,'INT Web'!$B$5:$AQ$247,'INT Web'!AO$1,FALSE),1)-0.01)</f>
        <v>24.99</v>
      </c>
      <c r="J116" s="34">
        <v>8.99</v>
      </c>
      <c r="K116" s="34">
        <v>8.99</v>
      </c>
      <c r="L116" s="34">
        <v>4.99</v>
      </c>
      <c r="M116" s="34">
        <v>4.99</v>
      </c>
      <c r="N116" s="35"/>
      <c r="O116" s="32" t="s">
        <v>364</v>
      </c>
      <c r="Q116" t="b">
        <f>+F116=VLOOKUP($B116,[5]Apple!$A$3:$L$176,F$1,FALSE)</f>
        <v>1</v>
      </c>
      <c r="R116" t="b">
        <f>+G116=VLOOKUP($B116,[5]Apple!$A$3:$L$176,G$1,FALSE)</f>
        <v>1</v>
      </c>
      <c r="S116" t="b">
        <f>+H116=VLOOKUP($B116,[5]Apple!$A$3:$L$176,H$1,FALSE)</f>
        <v>1</v>
      </c>
      <c r="T116" t="b">
        <f>+I116=VLOOKUP($B116,[5]Apple!$A$3:$L$176,I$1,FALSE)</f>
        <v>1</v>
      </c>
      <c r="U116" t="b">
        <f>+J116=VLOOKUP($B116,[5]Apple!$A$3:$L$176,J$1,FALSE)</f>
        <v>1</v>
      </c>
      <c r="V116" t="b">
        <f>+K116=VLOOKUP($B116,[5]Apple!$A$3:$L$176,K$1,FALSE)</f>
        <v>1</v>
      </c>
      <c r="W116" t="b">
        <f>+L116=VLOOKUP($B116,[5]Apple!$A$3:$L$176,L$1,FALSE)</f>
        <v>1</v>
      </c>
      <c r="X116" t="b">
        <f>+M116=VLOOKUP($B116,[5]Apple!$A$3:$L$176,M$1,FALSE)</f>
        <v>1</v>
      </c>
      <c r="Y116" s="31" t="str">
        <f>+VLOOKUP(C116,'Country &amp; Code Abbreviation'!$C$3:$D$245,2,FALSE)</f>
        <v>NZL</v>
      </c>
    </row>
    <row r="117" spans="2:25">
      <c r="B117" t="s">
        <v>230</v>
      </c>
      <c r="C117" s="31" t="str">
        <f>+VLOOKUP(B117,'Country &amp; Code Abbreviation'!$B$3:$C$245,2,FALSE)</f>
        <v>NI</v>
      </c>
      <c r="D117" s="31" t="str">
        <f>+VLOOKUP(B117,'INT Web'!$B$5:$Q$247,16,FALSE)</f>
        <v>NIO</v>
      </c>
      <c r="E117" s="32" t="s">
        <v>346</v>
      </c>
      <c r="F117" s="33">
        <f>+IF($D117=$E117,VLOOKUP($B117,'INT Web'!$B$5:$W$247,'INT Web'!R$1,FALSE),MROUND(VLOOKUP($B117,'INT Web'!$B$5:$AQ$247,'INT Web'!AL$1,FALSE),1)-0.01)</f>
        <v>81.99</v>
      </c>
      <c r="G117" s="33">
        <f>+IF($D117=$E117,VLOOKUP($B117,'INT Web'!$B$5:$W$247,'INT Web'!S$1,FALSE),MROUND(VLOOKUP($B117,'INT Web'!$B$5:$AQ$247,'INT Web'!AM$1,FALSE),1)-0.01)</f>
        <v>13.99</v>
      </c>
      <c r="H117" s="34">
        <v>59.99</v>
      </c>
      <c r="I117" s="33">
        <f>+IF($D117=$E117,VLOOKUP($B117,'INT Web'!$B$5:$W$247,'INT Web'!U$1,FALSE),MROUND(VLOOKUP($B117,'INT Web'!$B$5:$AQ$247,'INT Web'!AO$1,FALSE),1)-0.01)</f>
        <v>9.99</v>
      </c>
      <c r="J117" s="34">
        <v>3.99</v>
      </c>
      <c r="K117" s="34">
        <v>3.99</v>
      </c>
      <c r="L117" s="34">
        <v>1.99</v>
      </c>
      <c r="M117" s="34">
        <v>1.99</v>
      </c>
      <c r="N117" s="35"/>
      <c r="O117" s="32" t="s">
        <v>364</v>
      </c>
      <c r="Q117" t="b">
        <f>+F117=VLOOKUP($B117,[5]Apple!$A$3:$L$176,F$1,FALSE)</f>
        <v>1</v>
      </c>
      <c r="R117" t="b">
        <f>+G117=VLOOKUP($B117,[5]Apple!$A$3:$L$176,G$1,FALSE)</f>
        <v>1</v>
      </c>
      <c r="S117" t="b">
        <f>+H117=VLOOKUP($B117,[5]Apple!$A$3:$L$176,H$1,FALSE)</f>
        <v>1</v>
      </c>
      <c r="T117" t="b">
        <f>+I117=VLOOKUP($B117,[5]Apple!$A$3:$L$176,I$1,FALSE)</f>
        <v>1</v>
      </c>
      <c r="U117" t="b">
        <f>+J117=VLOOKUP($B117,[5]Apple!$A$3:$L$176,J$1,FALSE)</f>
        <v>1</v>
      </c>
      <c r="V117" t="b">
        <f>+K117=VLOOKUP($B117,[5]Apple!$A$3:$L$176,K$1,FALSE)</f>
        <v>1</v>
      </c>
      <c r="W117" t="b">
        <f>+L117=VLOOKUP($B117,[5]Apple!$A$3:$L$176,L$1,FALSE)</f>
        <v>1</v>
      </c>
      <c r="X117" t="b">
        <f>+M117=VLOOKUP($B117,[5]Apple!$A$3:$L$176,M$1,FALSE)</f>
        <v>1</v>
      </c>
      <c r="Y117" s="31" t="str">
        <f>+VLOOKUP(C117,'Country &amp; Code Abbreviation'!$C$3:$D$245,2,FALSE)</f>
        <v>NIC</v>
      </c>
    </row>
    <row r="118" spans="2:25">
      <c r="B118" t="s">
        <v>231</v>
      </c>
      <c r="C118" s="31" t="str">
        <f>+VLOOKUP(B118,'Country &amp; Code Abbreviation'!$B$3:$C$245,2,FALSE)</f>
        <v>NE</v>
      </c>
      <c r="D118" s="31" t="str">
        <f>+VLOOKUP(B118,'INT Web'!$B$5:$Q$247,16,FALSE)</f>
        <v>XOF</v>
      </c>
      <c r="E118" s="32" t="s">
        <v>346</v>
      </c>
      <c r="F118" s="34">
        <v>72.989999999999995</v>
      </c>
      <c r="G118" s="33">
        <f>+VLOOKUP($B118,[5]Apple!$A$4:$M$175,[5]Apple!F$1,FALSE)</f>
        <v>11.99</v>
      </c>
      <c r="H118" s="34">
        <v>54.99</v>
      </c>
      <c r="I118" s="33">
        <f>+VLOOKUP($B118,[5]Apple!$A$4:$M$175,[5]Apple!H$1,FALSE)</f>
        <v>8.99</v>
      </c>
      <c r="J118" s="34">
        <v>2.99</v>
      </c>
      <c r="K118" s="34">
        <v>2.99</v>
      </c>
      <c r="L118" s="34">
        <v>1.99</v>
      </c>
      <c r="M118" s="34">
        <v>1.99</v>
      </c>
      <c r="N118" s="35"/>
      <c r="O118" s="32" t="s">
        <v>364</v>
      </c>
      <c r="Q118" t="b">
        <f>+F118=VLOOKUP($B118,[5]Apple!$A$3:$L$176,F$1,FALSE)</f>
        <v>1</v>
      </c>
      <c r="R118" t="b">
        <f>+G118=VLOOKUP($B118,[5]Apple!$A$3:$L$176,G$1,FALSE)</f>
        <v>1</v>
      </c>
      <c r="S118" t="b">
        <f>+H118=VLOOKUP($B118,[5]Apple!$A$3:$L$176,H$1,FALSE)</f>
        <v>1</v>
      </c>
      <c r="T118" t="b">
        <f>+I118=VLOOKUP($B118,[5]Apple!$A$3:$L$176,I$1,FALSE)</f>
        <v>1</v>
      </c>
      <c r="U118" t="b">
        <f>+J118=VLOOKUP($B118,[5]Apple!$A$3:$L$176,J$1,FALSE)</f>
        <v>1</v>
      </c>
      <c r="V118" t="b">
        <f>+K118=VLOOKUP($B118,[5]Apple!$A$3:$L$176,K$1,FALSE)</f>
        <v>1</v>
      </c>
      <c r="W118" t="b">
        <f>+L118=VLOOKUP($B118,[5]Apple!$A$3:$L$176,L$1,FALSE)</f>
        <v>1</v>
      </c>
      <c r="X118" t="b">
        <f>+M118=VLOOKUP($B118,[5]Apple!$A$3:$L$176,M$1,FALSE)</f>
        <v>1</v>
      </c>
      <c r="Y118" s="31" t="str">
        <f>+VLOOKUP(C118,'Country &amp; Code Abbreviation'!$C$3:$D$245,2,FALSE)</f>
        <v>NER</v>
      </c>
    </row>
    <row r="119" spans="2:25">
      <c r="B119" s="73" t="s">
        <v>232</v>
      </c>
      <c r="C119" s="110" t="str">
        <f>+VLOOKUP(B119,'Country &amp; Code Abbreviation'!$B$3:$C$245,2,FALSE)</f>
        <v>NG</v>
      </c>
      <c r="D119" s="31" t="str">
        <f>+VLOOKUP(B119,'INT Web'!$B$5:$Q$247,16,FALSE)</f>
        <v>NGN</v>
      </c>
      <c r="E119" s="32" t="s">
        <v>386</v>
      </c>
      <c r="F119" s="123">
        <v>48900</v>
      </c>
      <c r="G119" s="109">
        <f>+IF($D119=$E119,VLOOKUP($B119,'INT Web'!$B$5:$W$247,'INT Web'!S$1,FALSE),MROUND(VLOOKUP($B119,'INT Web'!$B$5:$AQ$247,'INT Web'!AM$1,FALSE),1)-0.01)</f>
        <v>8200</v>
      </c>
      <c r="H119" s="123">
        <v>36500</v>
      </c>
      <c r="I119" s="109">
        <f>+IF($D119=$E119,VLOOKUP($B119,'INT Web'!$B$5:$W$247,'INT Web'!U$1,FALSE),MROUND(VLOOKUP($B119,'INT Web'!$B$5:$AQ$247,'INT Web'!AO$1,FALSE),1)-0.01)</f>
        <v>6100</v>
      </c>
      <c r="J119" s="267">
        <v>2290</v>
      </c>
      <c r="K119" s="267">
        <v>2290</v>
      </c>
      <c r="L119" s="267">
        <v>1390</v>
      </c>
      <c r="M119" s="267">
        <v>1390</v>
      </c>
      <c r="N119" s="35"/>
      <c r="O119" s="32" t="s">
        <v>364</v>
      </c>
      <c r="Q119" t="b">
        <f>+F119=VLOOKUP($B119,[5]Apple!$A$3:$L$176,F$1,FALSE)</f>
        <v>0</v>
      </c>
      <c r="R119" t="b">
        <f>+G119=VLOOKUP($B119,[5]Apple!$A$3:$L$176,G$1,FALSE)</f>
        <v>0</v>
      </c>
      <c r="S119" t="b">
        <f>+H119=VLOOKUP($B119,[5]Apple!$A$3:$L$176,H$1,FALSE)</f>
        <v>0</v>
      </c>
      <c r="T119" t="b">
        <f>+I119=VLOOKUP($B119,[5]Apple!$A$3:$L$176,I$1,FALSE)</f>
        <v>0</v>
      </c>
      <c r="U119" t="b">
        <f>+J119=VLOOKUP($B119,[5]Apple!$A$3:$L$176,J$1,FALSE)</f>
        <v>0</v>
      </c>
      <c r="V119" t="b">
        <f>+K119=VLOOKUP($B119,[5]Apple!$A$3:$L$176,K$1,FALSE)</f>
        <v>0</v>
      </c>
      <c r="W119" t="b">
        <f>+L119=VLOOKUP($B119,[5]Apple!$A$3:$L$176,L$1,FALSE)</f>
        <v>0</v>
      </c>
      <c r="X119" t="b">
        <f>+M119=VLOOKUP($B119,[5]Apple!$A$3:$L$176,M$1,FALSE)</f>
        <v>0</v>
      </c>
      <c r="Y119" s="31" t="str">
        <f>+VLOOKUP(C119,'Country &amp; Code Abbreviation'!$C$3:$D$245,2,FALSE)</f>
        <v>NGA</v>
      </c>
    </row>
    <row r="120" spans="2:25">
      <c r="B120" t="s">
        <v>237</v>
      </c>
      <c r="C120" s="31" t="str">
        <f>+VLOOKUP(B120,'Country &amp; Code Abbreviation'!$B$3:$C$245,2,FALSE)</f>
        <v>NO</v>
      </c>
      <c r="D120" s="31" t="str">
        <f>+VLOOKUP(B120,'INT Web'!$B$5:$Q$247,16,FALSE)</f>
        <v>NOK</v>
      </c>
      <c r="E120" s="32" t="s">
        <v>387</v>
      </c>
      <c r="F120" s="72">
        <v>1399</v>
      </c>
      <c r="G120" s="72">
        <v>210</v>
      </c>
      <c r="H120" s="72">
        <v>1000</v>
      </c>
      <c r="I120" s="72">
        <v>150</v>
      </c>
      <c r="J120" s="34">
        <v>55</v>
      </c>
      <c r="K120" s="34">
        <v>44</v>
      </c>
      <c r="L120" s="34">
        <v>33</v>
      </c>
      <c r="M120" s="34">
        <v>22</v>
      </c>
      <c r="N120" s="35"/>
      <c r="O120" s="32" t="s">
        <v>366</v>
      </c>
      <c r="Q120" t="b">
        <f>+F120=VLOOKUP($B120,[5]Apple!$A$3:$L$176,F$1,FALSE)</f>
        <v>1</v>
      </c>
      <c r="R120" t="b">
        <f>+G120=VLOOKUP($B120,[5]Apple!$A$3:$L$176,G$1,FALSE)</f>
        <v>1</v>
      </c>
      <c r="S120" t="b">
        <f>+H120=VLOOKUP($B120,[5]Apple!$A$3:$L$176,H$1,FALSE)</f>
        <v>1</v>
      </c>
      <c r="T120" t="b">
        <f>+I120=VLOOKUP($B120,[5]Apple!$A$3:$L$176,I$1,FALSE)</f>
        <v>1</v>
      </c>
      <c r="U120" t="b">
        <f>+J120=VLOOKUP($B120,[5]Apple!$A$3:$L$176,J$1,FALSE)</f>
        <v>1</v>
      </c>
      <c r="V120" t="b">
        <f>+K120=VLOOKUP($B120,[5]Apple!$A$3:$L$176,K$1,FALSE)</f>
        <v>1</v>
      </c>
      <c r="W120" t="b">
        <f>+L120=VLOOKUP($B120,[5]Apple!$A$3:$L$176,L$1,FALSE)</f>
        <v>1</v>
      </c>
      <c r="X120" t="b">
        <f>+M120=VLOOKUP($B120,[5]Apple!$A$3:$L$176,M$1,FALSE)</f>
        <v>1</v>
      </c>
      <c r="Y120" s="31" t="str">
        <f>+VLOOKUP(C120,'Country &amp; Code Abbreviation'!$C$3:$D$245,2,FALSE)</f>
        <v>NOR</v>
      </c>
    </row>
    <row r="121" spans="2:25">
      <c r="B121" t="s">
        <v>238</v>
      </c>
      <c r="C121" s="31" t="str">
        <f>+VLOOKUP(B121,'Country &amp; Code Abbreviation'!$B$3:$C$245,2,FALSE)</f>
        <v>OM</v>
      </c>
      <c r="D121" s="31" t="str">
        <f>+VLOOKUP(B121,'INT Web'!$B$5:$Q$247,16,FALSE)</f>
        <v>OMR</v>
      </c>
      <c r="E121" s="32" t="s">
        <v>346</v>
      </c>
      <c r="F121" s="33">
        <f>+IF($D121=$E121,VLOOKUP($B121,'INT Web'!$B$5:$W$247,'INT Web'!R$1,FALSE),MROUND(VLOOKUP($B121,'INT Web'!$B$5:$AQ$247,'INT Web'!AL$1,FALSE),1)-0.01)</f>
        <v>77.989999999999995</v>
      </c>
      <c r="G121" s="33">
        <f>+IF($D121=$E121,VLOOKUP($B121,'INT Web'!$B$5:$W$247,'INT Web'!S$1,FALSE),MROUND(VLOOKUP($B121,'INT Web'!$B$5:$AQ$247,'INT Web'!AM$1,FALSE),1)-0.01)</f>
        <v>12.99</v>
      </c>
      <c r="H121" s="33">
        <f>+IF($D121=$E121,VLOOKUP($B121,'INT Web'!$B$5:$W$247,'INT Web'!T$1,FALSE),MROUND(VLOOKUP($B121,'INT Web'!$B$5:$AQ$247,'INT Web'!AN$1,FALSE),1)-0.01)</f>
        <v>61.99</v>
      </c>
      <c r="I121" s="33">
        <f>+IF($D121=$E121,VLOOKUP($B121,'INT Web'!$B$5:$W$247,'INT Web'!U$1,FALSE),MROUND(VLOOKUP($B121,'INT Web'!$B$5:$AQ$247,'INT Web'!AO$1,FALSE),1)-0.01)</f>
        <v>9.99</v>
      </c>
      <c r="J121" s="34">
        <v>4.99</v>
      </c>
      <c r="K121" s="34">
        <v>4.99</v>
      </c>
      <c r="L121" s="34">
        <v>2.99</v>
      </c>
      <c r="M121" s="34">
        <v>2.99</v>
      </c>
      <c r="N121" s="35"/>
      <c r="O121" s="32" t="s">
        <v>364</v>
      </c>
      <c r="Q121" t="b">
        <f>+F121=VLOOKUP($B121,[5]Apple!$A$3:$L$176,F$1,FALSE)</f>
        <v>1</v>
      </c>
      <c r="R121" t="b">
        <f>+G121=VLOOKUP($B121,[5]Apple!$A$3:$L$176,G$1,FALSE)</f>
        <v>1</v>
      </c>
      <c r="S121" t="b">
        <f>+H121=VLOOKUP($B121,[5]Apple!$A$3:$L$176,H$1,FALSE)</f>
        <v>1</v>
      </c>
      <c r="T121" t="b">
        <f>+I121=VLOOKUP($B121,[5]Apple!$A$3:$L$176,I$1,FALSE)</f>
        <v>1</v>
      </c>
      <c r="U121" t="b">
        <f>+J121=VLOOKUP($B121,[5]Apple!$A$3:$L$176,J$1,FALSE)</f>
        <v>1</v>
      </c>
      <c r="V121" t="b">
        <f>+K121=VLOOKUP($B121,[5]Apple!$A$3:$L$176,K$1,FALSE)</f>
        <v>1</v>
      </c>
      <c r="W121" t="b">
        <f>+L121=VLOOKUP($B121,[5]Apple!$A$3:$L$176,L$1,FALSE)</f>
        <v>1</v>
      </c>
      <c r="X121" t="b">
        <f>+M121=VLOOKUP($B121,[5]Apple!$A$3:$L$176,M$1,FALSE)</f>
        <v>1</v>
      </c>
      <c r="Y121" s="31" t="str">
        <f>+VLOOKUP(C121,'Country &amp; Code Abbreviation'!$C$3:$D$245,2,FALSE)</f>
        <v>OMN</v>
      </c>
    </row>
    <row r="122" spans="2:25">
      <c r="B122" t="s">
        <v>239</v>
      </c>
      <c r="C122" s="31" t="str">
        <f>+VLOOKUP(B122,'Country &amp; Code Abbreviation'!$B$3:$C$245,2,FALSE)</f>
        <v>PK</v>
      </c>
      <c r="D122" s="31" t="str">
        <f>+VLOOKUP(B122,'INT Web'!$B$5:$Q$247,16,FALSE)</f>
        <v>PKR</v>
      </c>
      <c r="E122" s="32" t="s">
        <v>388</v>
      </c>
      <c r="F122" s="72">
        <v>12200</v>
      </c>
      <c r="G122" s="72">
        <v>2049</v>
      </c>
      <c r="H122" s="33">
        <f>+IF($D122=$E122,VLOOKUP($B122,'INT Web'!$B$5:$W$247,'INT Web'!T$1,FALSE),MROUND(VLOOKUP($B122,'INT Web'!$B$5:$AQ$247,'INT Web'!AN$1,FALSE),1)-0.01)</f>
        <v>9000</v>
      </c>
      <c r="I122" s="33">
        <f>+IF($D122=$E122,VLOOKUP($B122,'INT Web'!$B$5:$W$247,'INT Web'!U$1,FALSE),MROUND(VLOOKUP($B122,'INT Web'!$B$5:$AQ$247,'INT Web'!AO$1,FALSE),1)-0.01)</f>
        <v>1500</v>
      </c>
      <c r="J122" s="34">
        <v>720</v>
      </c>
      <c r="K122" s="34">
        <v>720</v>
      </c>
      <c r="L122" s="34">
        <v>370</v>
      </c>
      <c r="M122" s="34">
        <v>370</v>
      </c>
      <c r="N122" s="35"/>
      <c r="O122" s="32" t="s">
        <v>364</v>
      </c>
      <c r="Q122" t="b">
        <f>+F122=VLOOKUP($B122,[5]Apple!$A$3:$L$176,F$1,FALSE)</f>
        <v>1</v>
      </c>
      <c r="R122" t="b">
        <f>+G122=VLOOKUP($B122,[5]Apple!$A$3:$L$176,G$1,FALSE)</f>
        <v>1</v>
      </c>
      <c r="S122" t="b">
        <f>+H122=VLOOKUP($B122,[5]Apple!$A$3:$L$176,H$1,FALSE)</f>
        <v>1</v>
      </c>
      <c r="T122" t="b">
        <f>+I122=VLOOKUP($B122,[5]Apple!$A$3:$L$176,I$1,FALSE)</f>
        <v>1</v>
      </c>
      <c r="U122" t="b">
        <f>+J122=VLOOKUP($B122,[5]Apple!$A$3:$L$176,J$1,FALSE)</f>
        <v>1</v>
      </c>
      <c r="V122" t="b">
        <f>+K122=VLOOKUP($B122,[5]Apple!$A$3:$L$176,K$1,FALSE)</f>
        <v>1</v>
      </c>
      <c r="W122" t="b">
        <f>+L122=VLOOKUP($B122,[5]Apple!$A$3:$L$176,L$1,FALSE)</f>
        <v>1</v>
      </c>
      <c r="X122" t="b">
        <f>+M122=VLOOKUP($B122,[5]Apple!$A$3:$L$176,M$1,FALSE)</f>
        <v>1</v>
      </c>
      <c r="Y122" s="31" t="str">
        <f>+VLOOKUP(C122,'Country &amp; Code Abbreviation'!$C$3:$D$245,2,FALSE)</f>
        <v>PAK</v>
      </c>
    </row>
    <row r="123" spans="2:25">
      <c r="B123" t="s">
        <v>240</v>
      </c>
      <c r="C123" s="31" t="str">
        <f>+VLOOKUP(B123,'Country &amp; Code Abbreviation'!$B$3:$C$245,2,FALSE)</f>
        <v>PW</v>
      </c>
      <c r="D123" s="31" t="str">
        <f>+VLOOKUP(B123,'INT Web'!$B$5:$Q$247,16,FALSE)</f>
        <v>USD</v>
      </c>
      <c r="E123" s="32" t="s">
        <v>346</v>
      </c>
      <c r="F123" s="33">
        <f>+IF($D123=$E123,VLOOKUP($B123,'INT Web'!$B$5:$W$247,'INT Web'!R$1,FALSE),MROUND(VLOOKUP($B123,'INT Web'!$B$5:$AQ$247,'INT Web'!AL$1,FALSE),1)-0.01)</f>
        <v>129.99</v>
      </c>
      <c r="G123" s="33">
        <f>+IF($D123=$E123,VLOOKUP($B123,'INT Web'!$B$5:$W$247,'INT Web'!S$1,FALSE),MROUND(VLOOKUP($B123,'INT Web'!$B$5:$AQ$247,'INT Web'!AM$1,FALSE),1)-0.01)</f>
        <v>18.989999999999998</v>
      </c>
      <c r="H123" s="33">
        <f>+IF($D123=$E123,VLOOKUP($B123,'INT Web'!$B$5:$W$247,'INT Web'!T$1,FALSE),MROUND(VLOOKUP($B123,'INT Web'!$B$5:$AQ$247,'INT Web'!AN$1,FALSE),1)-0.01)</f>
        <v>83.99</v>
      </c>
      <c r="I123" s="33">
        <f>+IF($D123=$E123,VLOOKUP($B123,'INT Web'!$B$5:$W$247,'INT Web'!U$1,FALSE),MROUND(VLOOKUP($B123,'INT Web'!$B$5:$AQ$247,'INT Web'!AO$1,FALSE),1)-0.01)</f>
        <v>13.99</v>
      </c>
      <c r="J123" s="34">
        <v>4.99</v>
      </c>
      <c r="K123" s="34">
        <v>3.99</v>
      </c>
      <c r="L123" s="34">
        <v>2.99</v>
      </c>
      <c r="M123" s="34">
        <v>1.9900000000000002</v>
      </c>
      <c r="N123" s="35"/>
      <c r="O123" s="32" t="s">
        <v>366</v>
      </c>
      <c r="Q123" t="b">
        <f>+F123=VLOOKUP($B123,[5]Apple!$A$3:$L$176,F$1,FALSE)</f>
        <v>1</v>
      </c>
      <c r="R123" t="b">
        <f>+G123=VLOOKUP($B123,[5]Apple!$A$3:$L$176,G$1,FALSE)</f>
        <v>1</v>
      </c>
      <c r="S123" t="b">
        <f>+H123=VLOOKUP($B123,[5]Apple!$A$3:$L$176,H$1,FALSE)</f>
        <v>1</v>
      </c>
      <c r="T123" t="b">
        <f>+I123=VLOOKUP($B123,[5]Apple!$A$3:$L$176,I$1,FALSE)</f>
        <v>1</v>
      </c>
      <c r="U123" t="b">
        <f>+J123=VLOOKUP($B123,[5]Apple!$A$3:$L$176,J$1,FALSE)</f>
        <v>1</v>
      </c>
      <c r="V123" t="b">
        <f>+K123=VLOOKUP($B123,[5]Apple!$A$3:$L$176,K$1,FALSE)</f>
        <v>1</v>
      </c>
      <c r="W123" t="b">
        <f>+L123=VLOOKUP($B123,[5]Apple!$A$3:$L$176,L$1,FALSE)</f>
        <v>1</v>
      </c>
      <c r="X123" t="b">
        <f>+M123=VLOOKUP($B123,[5]Apple!$A$3:$L$176,M$1,FALSE)</f>
        <v>1</v>
      </c>
      <c r="Y123" s="31" t="str">
        <f>+VLOOKUP(C123,'Country &amp; Code Abbreviation'!$C$3:$D$245,2,FALSE)</f>
        <v>PLW</v>
      </c>
    </row>
    <row r="124" spans="2:25">
      <c r="B124" t="s">
        <v>242</v>
      </c>
      <c r="C124" s="31" t="str">
        <f>+VLOOKUP(B124,'Country &amp; Code Abbreviation'!$B$3:$C$245,2,FALSE)</f>
        <v>PA</v>
      </c>
      <c r="D124" s="31" t="str">
        <f>+VLOOKUP(B124,'INT Web'!$B$5:$Q$247,16,FALSE)</f>
        <v>USD</v>
      </c>
      <c r="E124" s="32" t="s">
        <v>346</v>
      </c>
      <c r="F124" s="33">
        <f>+IF($D124=$E124,VLOOKUP($B124,'INT Web'!$B$5:$W$247,'INT Web'!R$1,FALSE),MROUND(VLOOKUP($B124,'INT Web'!$B$5:$AQ$247,'INT Web'!AL$1,FALSE),1)-0.01)</f>
        <v>113.99</v>
      </c>
      <c r="G124" s="33">
        <f>+IF($D124=$E124,VLOOKUP($B124,'INT Web'!$B$5:$W$247,'INT Web'!S$1,FALSE),MROUND(VLOOKUP($B124,'INT Web'!$B$5:$AQ$247,'INT Web'!AM$1,FALSE),1)-0.01)</f>
        <v>18.989999999999998</v>
      </c>
      <c r="H124" s="33">
        <f>+IF($D124=$E124,VLOOKUP($B124,'INT Web'!$B$5:$W$247,'INT Web'!T$1,FALSE),MROUND(VLOOKUP($B124,'INT Web'!$B$5:$AQ$247,'INT Web'!AN$1,FALSE),1)-0.01)</f>
        <v>83.99</v>
      </c>
      <c r="I124" s="33">
        <f>+IF($D124=$E124,VLOOKUP($B124,'INT Web'!$B$5:$W$247,'INT Web'!U$1,FALSE),MROUND(VLOOKUP($B124,'INT Web'!$B$5:$AQ$247,'INT Web'!AO$1,FALSE),1)-0.01)</f>
        <v>13.99</v>
      </c>
      <c r="J124" s="34">
        <v>4.99</v>
      </c>
      <c r="K124" s="34">
        <v>3.99</v>
      </c>
      <c r="L124" s="34">
        <v>2.99</v>
      </c>
      <c r="M124" s="34">
        <v>1.9900000000000002</v>
      </c>
      <c r="N124" s="35"/>
      <c r="O124" s="32" t="s">
        <v>366</v>
      </c>
      <c r="Q124" t="b">
        <f>+F124=VLOOKUP($B124,[5]Apple!$A$3:$L$176,F$1,FALSE)</f>
        <v>1</v>
      </c>
      <c r="R124" t="b">
        <f>+G124=VLOOKUP($B124,[5]Apple!$A$3:$L$176,G$1,FALSE)</f>
        <v>1</v>
      </c>
      <c r="S124" t="b">
        <f>+H124=VLOOKUP($B124,[5]Apple!$A$3:$L$176,H$1,FALSE)</f>
        <v>1</v>
      </c>
      <c r="T124" t="b">
        <f>+I124=VLOOKUP($B124,[5]Apple!$A$3:$L$176,I$1,FALSE)</f>
        <v>1</v>
      </c>
      <c r="U124" t="b">
        <f>+J124=VLOOKUP($B124,[5]Apple!$A$3:$L$176,J$1,FALSE)</f>
        <v>1</v>
      </c>
      <c r="V124" t="b">
        <f>+K124=VLOOKUP($B124,[5]Apple!$A$3:$L$176,K$1,FALSE)</f>
        <v>1</v>
      </c>
      <c r="W124" t="b">
        <f>+L124=VLOOKUP($B124,[5]Apple!$A$3:$L$176,L$1,FALSE)</f>
        <v>1</v>
      </c>
      <c r="X124" t="b">
        <f>+M124=VLOOKUP($B124,[5]Apple!$A$3:$L$176,M$1,FALSE)</f>
        <v>1</v>
      </c>
      <c r="Y124" s="31" t="str">
        <f>+VLOOKUP(C124,'Country &amp; Code Abbreviation'!$C$3:$D$245,2,FALSE)</f>
        <v>PAN</v>
      </c>
    </row>
    <row r="125" spans="2:25">
      <c r="B125" t="s">
        <v>243</v>
      </c>
      <c r="C125" s="31" t="str">
        <f>+VLOOKUP(B125,'Country &amp; Code Abbreviation'!$B$3:$C$245,2,FALSE)</f>
        <v>PG</v>
      </c>
      <c r="D125" s="31" t="str">
        <f>+VLOOKUP(B125,'INT Web'!$B$5:$Q$247,16,FALSE)</f>
        <v>PGK</v>
      </c>
      <c r="E125" s="32" t="s">
        <v>346</v>
      </c>
      <c r="F125" s="34">
        <v>67.989999999999995</v>
      </c>
      <c r="G125" s="34">
        <v>10.99</v>
      </c>
      <c r="H125" s="34">
        <v>50.99</v>
      </c>
      <c r="I125" s="33">
        <f>+VLOOKUP($B125,[5]Apple!$A$4:$M$175,[5]Apple!H$1,FALSE)</f>
        <v>7.99</v>
      </c>
      <c r="J125" s="34">
        <v>2.99</v>
      </c>
      <c r="K125" s="34">
        <v>1.99</v>
      </c>
      <c r="L125" s="34">
        <v>1.99</v>
      </c>
      <c r="M125" s="34">
        <v>0.99</v>
      </c>
      <c r="N125" s="35"/>
      <c r="O125" s="32" t="s">
        <v>366</v>
      </c>
      <c r="Q125" t="b">
        <f>+F125=VLOOKUP($B125,[5]Apple!$A$3:$L$176,F$1,FALSE)</f>
        <v>1</v>
      </c>
      <c r="R125" t="b">
        <f>+G125=VLOOKUP($B125,[5]Apple!$A$3:$L$176,G$1,FALSE)</f>
        <v>1</v>
      </c>
      <c r="S125" t="b">
        <f>+H125=VLOOKUP($B125,[5]Apple!$A$3:$L$176,H$1,FALSE)</f>
        <v>1</v>
      </c>
      <c r="T125" t="b">
        <f>+I125=VLOOKUP($B125,[5]Apple!$A$3:$L$176,I$1,FALSE)</f>
        <v>1</v>
      </c>
      <c r="U125" t="b">
        <f>+J125=VLOOKUP($B125,[5]Apple!$A$3:$L$176,J$1,FALSE)</f>
        <v>1</v>
      </c>
      <c r="V125" t="b">
        <f>+K125=VLOOKUP($B125,[5]Apple!$A$3:$L$176,K$1,FALSE)</f>
        <v>1</v>
      </c>
      <c r="W125" t="b">
        <f>+L125=VLOOKUP($B125,[5]Apple!$A$3:$L$176,L$1,FALSE)</f>
        <v>1</v>
      </c>
      <c r="X125" t="b">
        <f>+M125=VLOOKUP($B125,[5]Apple!$A$3:$L$176,M$1,FALSE)</f>
        <v>1</v>
      </c>
      <c r="Y125" s="31" t="str">
        <f>+VLOOKUP(C125,'Country &amp; Code Abbreviation'!$C$3:$D$245,2,FALSE)</f>
        <v>PNG</v>
      </c>
    </row>
    <row r="126" spans="2:25">
      <c r="B126" t="s">
        <v>244</v>
      </c>
      <c r="C126" s="31" t="str">
        <f>+VLOOKUP(B126,'Country &amp; Code Abbreviation'!$B$3:$C$245,2,FALSE)</f>
        <v>PY</v>
      </c>
      <c r="D126" s="31" t="str">
        <f>+VLOOKUP(B126,'INT Web'!$B$5:$Q$247,16,FALSE)</f>
        <v>PYG</v>
      </c>
      <c r="E126" s="32" t="s">
        <v>346</v>
      </c>
      <c r="F126" s="34">
        <v>79.989999999999995</v>
      </c>
      <c r="G126" s="34">
        <v>12.99</v>
      </c>
      <c r="H126" s="34">
        <v>59.99</v>
      </c>
      <c r="I126" s="34">
        <v>9.99</v>
      </c>
      <c r="J126" s="34">
        <v>3.99</v>
      </c>
      <c r="K126" s="34">
        <v>3.99</v>
      </c>
      <c r="L126" s="34">
        <v>1.99</v>
      </c>
      <c r="M126" s="34">
        <v>1.99</v>
      </c>
      <c r="N126" s="35"/>
      <c r="O126" s="32" t="s">
        <v>364</v>
      </c>
      <c r="Q126" t="b">
        <f>+F126=VLOOKUP($B126,[5]Apple!$A$3:$L$176,F$1,FALSE)</f>
        <v>1</v>
      </c>
      <c r="R126" t="b">
        <f>+G126=VLOOKUP($B126,[5]Apple!$A$3:$L$176,G$1,FALSE)</f>
        <v>1</v>
      </c>
      <c r="S126" t="b">
        <f>+H126=VLOOKUP($B126,[5]Apple!$A$3:$L$176,H$1,FALSE)</f>
        <v>1</v>
      </c>
      <c r="T126" t="b">
        <f>+I126=VLOOKUP($B126,[5]Apple!$A$3:$L$176,I$1,FALSE)</f>
        <v>1</v>
      </c>
      <c r="U126" t="b">
        <f>+J126=VLOOKUP($B126,[5]Apple!$A$3:$L$176,J$1,FALSE)</f>
        <v>1</v>
      </c>
      <c r="V126" t="b">
        <f>+K126=VLOOKUP($B126,[5]Apple!$A$3:$L$176,K$1,FALSE)</f>
        <v>1</v>
      </c>
      <c r="W126" t="b">
        <f>+L126=VLOOKUP($B126,[5]Apple!$A$3:$L$176,L$1,FALSE)</f>
        <v>1</v>
      </c>
      <c r="X126" t="b">
        <f>+M126=VLOOKUP($B126,[5]Apple!$A$3:$L$176,M$1,FALSE)</f>
        <v>1</v>
      </c>
      <c r="Y126" s="31" t="str">
        <f>+VLOOKUP(C126,'Country &amp; Code Abbreviation'!$C$3:$D$245,2,FALSE)</f>
        <v>PRY</v>
      </c>
    </row>
    <row r="127" spans="2:25">
      <c r="B127" t="s">
        <v>245</v>
      </c>
      <c r="C127" s="31" t="str">
        <f>+VLOOKUP(B127,'Country &amp; Code Abbreviation'!$B$3:$C$245,2,FALSE)</f>
        <v>PE</v>
      </c>
      <c r="D127" s="31" t="str">
        <f>+VLOOKUP(B127,'INT Web'!$B$5:$Q$247,16,FALSE)</f>
        <v>PEN</v>
      </c>
      <c r="E127" s="32" t="s">
        <v>389</v>
      </c>
      <c r="F127" s="72">
        <v>379</v>
      </c>
      <c r="G127" s="72">
        <v>63</v>
      </c>
      <c r="H127" s="72">
        <v>279.89999999999998</v>
      </c>
      <c r="I127" s="33">
        <f>+IF($D127=$E127,VLOOKUP($B127,'INT Web'!$B$5:$W$247,'INT Web'!U$1,FALSE),MROUND(VLOOKUP($B127,'INT Web'!$B$5:$AQ$247,'INT Web'!AO$1,FALSE),1)-0.01)</f>
        <v>46.99</v>
      </c>
      <c r="J127" s="34">
        <v>17.899999999999999</v>
      </c>
      <c r="K127" s="34">
        <v>17.899999999999999</v>
      </c>
      <c r="L127" s="34">
        <v>10.9</v>
      </c>
      <c r="M127" s="34">
        <v>10.9</v>
      </c>
      <c r="N127" s="35"/>
      <c r="O127" s="32" t="s">
        <v>364</v>
      </c>
      <c r="Q127" t="b">
        <f>+F127=VLOOKUP($B127,[5]Apple!$A$3:$L$176,F$1,FALSE)</f>
        <v>1</v>
      </c>
      <c r="R127" t="b">
        <f>+G127=VLOOKUP($B127,[5]Apple!$A$3:$L$176,G$1,FALSE)</f>
        <v>1</v>
      </c>
      <c r="S127" t="b">
        <f>+H127=VLOOKUP($B127,[5]Apple!$A$3:$L$176,H$1,FALSE)</f>
        <v>1</v>
      </c>
      <c r="T127" t="b">
        <f>+I127=VLOOKUP($B127,[5]Apple!$A$3:$L$176,I$1,FALSE)</f>
        <v>1</v>
      </c>
      <c r="U127" t="b">
        <f>+J127=VLOOKUP($B127,[5]Apple!$A$3:$L$176,J$1,FALSE)</f>
        <v>1</v>
      </c>
      <c r="V127" t="b">
        <f>+K127=VLOOKUP($B127,[5]Apple!$A$3:$L$176,K$1,FALSE)</f>
        <v>1</v>
      </c>
      <c r="W127" t="b">
        <f>+L127=VLOOKUP($B127,[5]Apple!$A$3:$L$176,L$1,FALSE)</f>
        <v>1</v>
      </c>
      <c r="X127" t="b">
        <f>+M127=VLOOKUP($B127,[5]Apple!$A$3:$L$176,M$1,FALSE)</f>
        <v>1</v>
      </c>
      <c r="Y127" s="31" t="str">
        <f>+VLOOKUP(C127,'Country &amp; Code Abbreviation'!$C$3:$D$245,2,FALSE)</f>
        <v>PER</v>
      </c>
    </row>
    <row r="128" spans="2:25">
      <c r="B128" t="s">
        <v>246</v>
      </c>
      <c r="C128" s="31" t="str">
        <f>+VLOOKUP(B128,'Country &amp; Code Abbreviation'!$B$3:$C$245,2,FALSE)</f>
        <v>PH</v>
      </c>
      <c r="D128" s="31" t="str">
        <f>+VLOOKUP(B128,'INT Web'!$B$5:$Q$247,16,FALSE)</f>
        <v>PHP</v>
      </c>
      <c r="E128" s="32" t="s">
        <v>390</v>
      </c>
      <c r="F128" s="72">
        <v>5050</v>
      </c>
      <c r="G128" s="33">
        <f>+IF($D128=$E128,VLOOKUP($B128,'INT Web'!$B$5:$W$247,'INT Web'!S$1,FALSE),MROUND(VLOOKUP($B128,'INT Web'!$B$5:$AQ$247,'INT Web'!AM$1,FALSE),1)-0.01)</f>
        <v>839</v>
      </c>
      <c r="H128" s="72">
        <v>3900</v>
      </c>
      <c r="I128" s="33">
        <f>+IF($D128=$E128,VLOOKUP($B128,'INT Web'!$B$5:$W$247,'INT Web'!U$1,FALSE),MROUND(VLOOKUP($B128,'INT Web'!$B$5:$AQ$247,'INT Web'!AO$1,FALSE),1)-0.01)</f>
        <v>559</v>
      </c>
      <c r="J128" s="34">
        <v>209</v>
      </c>
      <c r="K128" s="34">
        <v>209</v>
      </c>
      <c r="L128" s="34">
        <v>119</v>
      </c>
      <c r="M128" s="34">
        <v>119</v>
      </c>
      <c r="N128" s="35"/>
      <c r="O128" s="32" t="s">
        <v>364</v>
      </c>
      <c r="Q128" t="b">
        <f>+F128=VLOOKUP($B128,[5]Apple!$A$3:$L$176,F$1,FALSE)</f>
        <v>1</v>
      </c>
      <c r="R128" t="b">
        <f>+G128=VLOOKUP($B128,[5]Apple!$A$3:$L$176,G$1,FALSE)</f>
        <v>1</v>
      </c>
      <c r="S128" t="b">
        <f>+H128=VLOOKUP($B128,[5]Apple!$A$3:$L$176,H$1,FALSE)</f>
        <v>1</v>
      </c>
      <c r="T128" t="b">
        <f>+I128=VLOOKUP($B128,[5]Apple!$A$3:$L$176,I$1,FALSE)</f>
        <v>1</v>
      </c>
      <c r="U128" t="b">
        <f>+J128=VLOOKUP($B128,[5]Apple!$A$3:$L$176,J$1,FALSE)</f>
        <v>1</v>
      </c>
      <c r="V128" t="b">
        <f>+K128=VLOOKUP($B128,[5]Apple!$A$3:$L$176,K$1,FALSE)</f>
        <v>1</v>
      </c>
      <c r="W128" t="b">
        <f>+L128=VLOOKUP($B128,[5]Apple!$A$3:$L$176,L$1,FALSE)</f>
        <v>1</v>
      </c>
      <c r="X128" t="b">
        <f>+M128=VLOOKUP($B128,[5]Apple!$A$3:$L$176,M$1,FALSE)</f>
        <v>1</v>
      </c>
      <c r="Y128" s="31" t="str">
        <f>+VLOOKUP(C128,'Country &amp; Code Abbreviation'!$C$3:$D$245,2,FALSE)</f>
        <v>PHL</v>
      </c>
    </row>
    <row r="129" spans="2:25">
      <c r="B129" t="s">
        <v>248</v>
      </c>
      <c r="C129" s="31" t="str">
        <f>+VLOOKUP(B129,'Country &amp; Code Abbreviation'!$B$3:$C$245,2,FALSE)</f>
        <v>PL</v>
      </c>
      <c r="D129" s="31" t="str">
        <f>+VLOOKUP(B129,'INT Web'!$B$5:$Q$247,16,FALSE)</f>
        <v>PLN</v>
      </c>
      <c r="E129" s="32" t="s">
        <v>391</v>
      </c>
      <c r="F129" s="33">
        <f>+IF($D129=$E129,VLOOKUP($B129,'INT Web'!$B$5:$W$247,'INT Web'!R$1,FALSE),MROUND(VLOOKUP($B129,'INT Web'!$B$5:$AQ$247,'INT Web'!AL$1,FALSE),1)-0.01)</f>
        <v>539.99</v>
      </c>
      <c r="G129" s="33">
        <f>+IF($D129=$E129,VLOOKUP($B129,'INT Web'!$B$5:$W$247,'INT Web'!S$1,FALSE),MROUND(VLOOKUP($B129,'INT Web'!$B$5:$AQ$247,'INT Web'!AM$1,FALSE),1)-0.01)</f>
        <v>82.99</v>
      </c>
      <c r="H129" s="33">
        <f>+IF($D129=$E129,VLOOKUP($B129,'INT Web'!$B$5:$W$247,'INT Web'!T$1,FALSE),MROUND(VLOOKUP($B129,'INT Web'!$B$5:$AQ$247,'INT Web'!AN$1,FALSE),1)-0.01)</f>
        <v>399.99</v>
      </c>
      <c r="I129" s="33">
        <f>+IF($D129=$E129,VLOOKUP($B129,'INT Web'!$B$5:$W$247,'INT Web'!U$1,FALSE),MROUND(VLOOKUP($B129,'INT Web'!$B$5:$AQ$247,'INT Web'!AO$1,FALSE),1)-0.01)</f>
        <v>61.99</v>
      </c>
      <c r="J129" s="34">
        <v>24.99</v>
      </c>
      <c r="K129" s="34">
        <v>19.989999999999998</v>
      </c>
      <c r="L129" s="34">
        <v>14.99</v>
      </c>
      <c r="M129" s="34">
        <v>9.99</v>
      </c>
      <c r="N129" s="35"/>
      <c r="O129" s="32" t="s">
        <v>364</v>
      </c>
      <c r="Q129" t="b">
        <f>+F129=VLOOKUP($B129,[5]Apple!$A$3:$L$176,F$1,FALSE)</f>
        <v>1</v>
      </c>
      <c r="R129" t="b">
        <f>+G129=VLOOKUP($B129,[5]Apple!$A$3:$L$176,G$1,FALSE)</f>
        <v>1</v>
      </c>
      <c r="S129" t="b">
        <f>+H129=VLOOKUP($B129,[5]Apple!$A$3:$L$176,H$1,FALSE)</f>
        <v>1</v>
      </c>
      <c r="T129" t="b">
        <f>+I129=VLOOKUP($B129,[5]Apple!$A$3:$L$176,I$1,FALSE)</f>
        <v>1</v>
      </c>
      <c r="U129" t="b">
        <f>+J129=VLOOKUP($B129,[5]Apple!$A$3:$L$176,J$1,FALSE)</f>
        <v>1</v>
      </c>
      <c r="V129" t="b">
        <f>+K129=VLOOKUP($B129,[5]Apple!$A$3:$L$176,K$1,FALSE)</f>
        <v>1</v>
      </c>
      <c r="W129" t="b">
        <f>+L129=VLOOKUP($B129,[5]Apple!$A$3:$L$176,L$1,FALSE)</f>
        <v>1</v>
      </c>
      <c r="X129" t="b">
        <f>+M129=VLOOKUP($B129,[5]Apple!$A$3:$L$176,M$1,FALSE)</f>
        <v>1</v>
      </c>
      <c r="Y129" s="31" t="str">
        <f>+VLOOKUP(C129,'Country &amp; Code Abbreviation'!$C$3:$D$245,2,FALSE)</f>
        <v>POL</v>
      </c>
    </row>
    <row r="130" spans="2:25">
      <c r="B130" t="s">
        <v>249</v>
      </c>
      <c r="C130" s="31" t="str">
        <f>+VLOOKUP(B130,'Country &amp; Code Abbreviation'!$B$3:$C$245,2,FALSE)</f>
        <v>PT</v>
      </c>
      <c r="D130" s="31" t="str">
        <f>+VLOOKUP(B130,'INT Web'!$B$5:$Q$247,16,FALSE)</f>
        <v>EUR</v>
      </c>
      <c r="E130" s="32" t="s">
        <v>368</v>
      </c>
      <c r="F130" s="33">
        <f>+IF($D130=$E130,VLOOKUP($B130,'INT Web'!$B$5:$W$247,'INT Web'!R$1,FALSE),MROUND(VLOOKUP($B130,'INT Web'!$B$5:$AQ$247,'INT Web'!AL$1,FALSE),1)-0.01)</f>
        <v>129.99</v>
      </c>
      <c r="G130" s="33">
        <f>+IF($D130=$E130,VLOOKUP($B130,'INT Web'!$B$5:$W$247,'INT Web'!S$1,FALSE),MROUND(VLOOKUP($B130,'INT Web'!$B$5:$AQ$247,'INT Web'!AM$1,FALSE),1)-0.01)</f>
        <v>19.989999999999998</v>
      </c>
      <c r="H130" s="33">
        <f>+IF($D130=$E130,VLOOKUP($B130,'INT Web'!$B$5:$W$247,'INT Web'!T$1,FALSE),MROUND(VLOOKUP($B130,'INT Web'!$B$5:$AQ$247,'INT Web'!AN$1,FALSE),1)-0.01)</f>
        <v>97.99</v>
      </c>
      <c r="I130" s="33">
        <f>+IF($D130=$E130,VLOOKUP($B130,'INT Web'!$B$5:$W$247,'INT Web'!U$1,FALSE),MROUND(VLOOKUP($B130,'INT Web'!$B$5:$AQ$247,'INT Web'!AO$1,FALSE),1)-0.01)</f>
        <v>14.99</v>
      </c>
      <c r="J130" s="34">
        <v>4.99</v>
      </c>
      <c r="K130" s="34">
        <v>4.99</v>
      </c>
      <c r="L130" s="34">
        <v>2.99</v>
      </c>
      <c r="M130" s="34">
        <v>1.99</v>
      </c>
      <c r="N130" s="35"/>
      <c r="O130" s="32" t="s">
        <v>366</v>
      </c>
      <c r="Q130" t="b">
        <f>+F130=VLOOKUP($B130,[5]Apple!$A$3:$L$176,F$1,FALSE)</f>
        <v>1</v>
      </c>
      <c r="R130" t="b">
        <f>+G130=VLOOKUP($B130,[5]Apple!$A$3:$L$176,G$1,FALSE)</f>
        <v>1</v>
      </c>
      <c r="S130" t="b">
        <f>+H130=VLOOKUP($B130,[5]Apple!$A$3:$L$176,H$1,FALSE)</f>
        <v>1</v>
      </c>
      <c r="T130" t="b">
        <f>+I130=VLOOKUP($B130,[5]Apple!$A$3:$L$176,I$1,FALSE)</f>
        <v>1</v>
      </c>
      <c r="U130" t="b">
        <f>+J130=VLOOKUP($B130,[5]Apple!$A$3:$L$176,J$1,FALSE)</f>
        <v>1</v>
      </c>
      <c r="V130" t="b">
        <f>+K130=VLOOKUP($B130,[5]Apple!$A$3:$L$176,K$1,FALSE)</f>
        <v>1</v>
      </c>
      <c r="W130" t="b">
        <f>+L130=VLOOKUP($B130,[5]Apple!$A$3:$L$176,L$1,FALSE)</f>
        <v>1</v>
      </c>
      <c r="X130" t="b">
        <f>+M130=VLOOKUP($B130,[5]Apple!$A$3:$L$176,M$1,FALSE)</f>
        <v>1</v>
      </c>
      <c r="Y130" s="31" t="str">
        <f>+VLOOKUP(C130,'Country &amp; Code Abbreviation'!$C$3:$D$245,2,FALSE)</f>
        <v>PRT</v>
      </c>
    </row>
    <row r="131" spans="2:25">
      <c r="B131" t="s">
        <v>250</v>
      </c>
      <c r="C131" s="31" t="str">
        <f>+VLOOKUP(B131,'Country &amp; Code Abbreviation'!$B$3:$C$245,2,FALSE)</f>
        <v>QA</v>
      </c>
      <c r="D131" s="31" t="str">
        <f>+VLOOKUP(B131,'INT Web'!$B$5:$Q$247,16,FALSE)</f>
        <v>QAR</v>
      </c>
      <c r="E131" s="32" t="s">
        <v>392</v>
      </c>
      <c r="F131" s="33">
        <f>+IF($D131=$E131,VLOOKUP($B131,'INT Web'!$B$5:$W$247,'INT Web'!R$1,FALSE),MROUND(VLOOKUP($B131,'INT Web'!$B$5:$AQ$247,'INT Web'!AL$1,FALSE),1)-0.01)</f>
        <v>679.99</v>
      </c>
      <c r="G131" s="33">
        <f>+IF($D131=$E131,VLOOKUP($B131,'INT Web'!$B$5:$W$247,'INT Web'!S$1,FALSE),MROUND(VLOOKUP($B131,'INT Web'!$B$5:$AQ$247,'INT Web'!AM$1,FALSE),1)-0.01)</f>
        <v>96.99</v>
      </c>
      <c r="H131" s="72">
        <v>529.99</v>
      </c>
      <c r="I131" s="33">
        <f>+IF($D131=$E131,VLOOKUP($B131,'INT Web'!$B$5:$W$247,'INT Web'!U$1,FALSE),MROUND(VLOOKUP($B131,'INT Web'!$B$5:$AQ$247,'INT Web'!AO$1,FALSE),1)-0.01)</f>
        <v>74.989999999999995</v>
      </c>
      <c r="J131" s="34">
        <v>24.99</v>
      </c>
      <c r="K131" s="34">
        <v>20.99</v>
      </c>
      <c r="L131" s="34">
        <v>14.99</v>
      </c>
      <c r="M131" s="34">
        <v>10.99</v>
      </c>
      <c r="N131" s="35"/>
      <c r="O131" s="32" t="s">
        <v>366</v>
      </c>
      <c r="Q131" t="b">
        <f>+F131=VLOOKUP($B131,[5]Apple!$A$3:$L$176,F$1,FALSE)</f>
        <v>1</v>
      </c>
      <c r="R131" t="b">
        <f>+G131=VLOOKUP($B131,[5]Apple!$A$3:$L$176,G$1,FALSE)</f>
        <v>1</v>
      </c>
      <c r="S131" t="b">
        <f>+H131=VLOOKUP($B131,[5]Apple!$A$3:$L$176,H$1,FALSE)</f>
        <v>1</v>
      </c>
      <c r="T131" t="b">
        <f>+I131=VLOOKUP($B131,[5]Apple!$A$3:$L$176,I$1,FALSE)</f>
        <v>1</v>
      </c>
      <c r="U131" t="b">
        <f>+J131=VLOOKUP($B131,[5]Apple!$A$3:$L$176,J$1,FALSE)</f>
        <v>1</v>
      </c>
      <c r="V131" t="b">
        <f>+K131=VLOOKUP($B131,[5]Apple!$A$3:$L$176,K$1,FALSE)</f>
        <v>1</v>
      </c>
      <c r="W131" t="b">
        <f>+L131=VLOOKUP($B131,[5]Apple!$A$3:$L$176,L$1,FALSE)</f>
        <v>1</v>
      </c>
      <c r="X131" t="b">
        <f>+M131=VLOOKUP($B131,[5]Apple!$A$3:$L$176,M$1,FALSE)</f>
        <v>1</v>
      </c>
      <c r="Y131" s="31" t="str">
        <f>+VLOOKUP(C131,'Country &amp; Code Abbreviation'!$C$3:$D$245,2,FALSE)</f>
        <v>QAT</v>
      </c>
    </row>
    <row r="132" spans="2:25">
      <c r="B132" s="73" t="s">
        <v>252</v>
      </c>
      <c r="C132" s="110" t="str">
        <f>+VLOOKUP(B132,'Country &amp; Code Abbreviation'!$B$3:$C$245,2,FALSE)</f>
        <v>RO</v>
      </c>
      <c r="D132" s="31" t="str">
        <f>+VLOOKUP(B132,'INT Web'!$B$5:$Q$247,16,FALSE)</f>
        <v>RON</v>
      </c>
      <c r="E132" s="32" t="s">
        <v>393</v>
      </c>
      <c r="F132" s="109">
        <f>+IF($D132=$E132,VLOOKUP($B132,'INT Web'!$B$5:$W$247,'INT Web'!R$1,FALSE),MROUND(VLOOKUP($B132,'INT Web'!$B$5:$AQ$247,'INT Web'!AL$1,FALSE),1)-0.01)</f>
        <v>619.99</v>
      </c>
      <c r="G132" s="109">
        <f>+IF($D132=$E132,VLOOKUP($B132,'INT Web'!$B$5:$W$247,'INT Web'!S$1,FALSE),MROUND(VLOOKUP($B132,'INT Web'!$B$5:$AQ$247,'INT Web'!AM$1,FALSE),1)-0.01)</f>
        <v>92.99</v>
      </c>
      <c r="H132" s="109">
        <f>+IF($D132=$E132,VLOOKUP($B132,'INT Web'!$B$5:$W$247,'INT Web'!T$1,FALSE),MROUND(VLOOKUP($B132,'INT Web'!$B$5:$AQ$247,'INT Web'!AN$1,FALSE),1)-0.01)</f>
        <v>444.99</v>
      </c>
      <c r="I132" s="109">
        <f>+IF($D132=$E132,VLOOKUP($B132,'INT Web'!$B$5:$W$247,'INT Web'!U$1,FALSE),MROUND(VLOOKUP($B132,'INT Web'!$B$5:$AQ$247,'INT Web'!AO$1,FALSE),1)-0.01)</f>
        <v>66.989999999999995</v>
      </c>
      <c r="J132" s="267">
        <v>22.99</v>
      </c>
      <c r="K132" s="267">
        <v>22.99</v>
      </c>
      <c r="L132" s="267">
        <v>11.99</v>
      </c>
      <c r="M132" s="267">
        <v>11.99</v>
      </c>
      <c r="N132" s="35"/>
      <c r="O132" s="32" t="s">
        <v>364</v>
      </c>
      <c r="Q132" t="b">
        <f>+F132=VLOOKUP($B132,[5]Apple!$A$3:$L$176,F$1,FALSE)</f>
        <v>0</v>
      </c>
      <c r="R132" t="b">
        <f>+G132=VLOOKUP($B132,[5]Apple!$A$3:$L$176,G$1,FALSE)</f>
        <v>0</v>
      </c>
      <c r="S132" t="b">
        <f>+H132=VLOOKUP($B132,[5]Apple!$A$3:$L$176,H$1,FALSE)</f>
        <v>0</v>
      </c>
      <c r="T132" t="b">
        <f>+I132=VLOOKUP($B132,[5]Apple!$A$3:$L$176,I$1,FALSE)</f>
        <v>0</v>
      </c>
      <c r="U132" t="b">
        <f>+J132=VLOOKUP($B132,[5]Apple!$A$3:$L$176,J$1,FALSE)</f>
        <v>0</v>
      </c>
      <c r="V132" t="b">
        <f>+K132=VLOOKUP($B132,[5]Apple!$A$3:$L$176,K$1,FALSE)</f>
        <v>0</v>
      </c>
      <c r="W132" t="b">
        <f>+L132=VLOOKUP($B132,[5]Apple!$A$3:$L$176,L$1,FALSE)</f>
        <v>0</v>
      </c>
      <c r="X132" t="b">
        <f>+M132=VLOOKUP($B132,[5]Apple!$A$3:$L$176,M$1,FALSE)</f>
        <v>0</v>
      </c>
      <c r="Y132" s="31" t="str">
        <f>+VLOOKUP(C132,'Country &amp; Code Abbreviation'!$C$3:$D$245,2,FALSE)</f>
        <v>ROU</v>
      </c>
    </row>
    <row r="133" spans="2:25" hidden="1" outlineLevel="1">
      <c r="B133" t="s">
        <v>253</v>
      </c>
      <c r="C133" s="31" t="str">
        <f>+VLOOKUP(B133,'Country &amp; Code Abbreviation'!$B$3:$C$245,2,FALSE)</f>
        <v>RU</v>
      </c>
      <c r="D133" s="31" t="str">
        <f>+VLOOKUP(B133,'INT Web'!$B$5:$Q$247,16,FALSE)</f>
        <v>RUB</v>
      </c>
      <c r="E133" s="32" t="s">
        <v>394</v>
      </c>
      <c r="F133" s="33">
        <f>+IF($D133=$E133,VLOOKUP($B133,'INT Web'!$B$5:$W$247,'INT Web'!R$1,FALSE),MROUND(VLOOKUP($B133,'INT Web'!$B$5:$AQ$247,'INT Web'!AL$1,FALSE),1)-0.01)</f>
        <v>0</v>
      </c>
      <c r="G133" s="33">
        <f>+IF($D133=$E133,VLOOKUP($B133,'INT Web'!$B$5:$W$247,'INT Web'!S$1,FALSE),MROUND(VLOOKUP($B133,'INT Web'!$B$5:$AQ$247,'INT Web'!AM$1,FALSE),1)-0.01)</f>
        <v>0</v>
      </c>
      <c r="H133" s="33">
        <f>+IF($D133=$E133,VLOOKUP($B133,'INT Web'!$B$5:$W$247,'INT Web'!T$1,FALSE),MROUND(VLOOKUP($B133,'INT Web'!$B$5:$AQ$247,'INT Web'!AN$1,FALSE),1)-0.01)</f>
        <v>0</v>
      </c>
      <c r="I133" s="33">
        <f>+IF($D133=$E133,VLOOKUP($B133,'INT Web'!$B$5:$W$247,'INT Web'!U$1,FALSE),MROUND(VLOOKUP($B133,'INT Web'!$B$5:$AQ$247,'INT Web'!AO$1,FALSE),1)-0.01)</f>
        <v>0</v>
      </c>
      <c r="J133" s="34"/>
      <c r="K133" s="34"/>
      <c r="L133" s="34"/>
      <c r="M133" s="34"/>
      <c r="N133" s="35"/>
      <c r="O133" s="32"/>
      <c r="Q133" t="b">
        <f>+F133=VLOOKUP($B133,[5]Apple!$A$3:$L$176,F$1,FALSE)</f>
        <v>1</v>
      </c>
      <c r="R133" t="b">
        <f>+G133=VLOOKUP($B133,[5]Apple!$A$3:$L$176,G$1,FALSE)</f>
        <v>1</v>
      </c>
      <c r="S133" t="b">
        <f>+H133=VLOOKUP($B133,[5]Apple!$A$3:$L$176,H$1,FALSE)</f>
        <v>1</v>
      </c>
      <c r="T133" t="b">
        <f>+I133=VLOOKUP($B133,[5]Apple!$A$3:$L$176,I$1,FALSE)</f>
        <v>1</v>
      </c>
      <c r="U133" t="b">
        <f>+J133=VLOOKUP($B133,[5]Apple!$A$3:$L$176,J$1,FALSE)</f>
        <v>1</v>
      </c>
      <c r="V133" t="b">
        <f>+K133=VLOOKUP($B133,[5]Apple!$A$3:$L$176,K$1,FALSE)</f>
        <v>1</v>
      </c>
      <c r="W133" t="b">
        <f>+L133=VLOOKUP($B133,[5]Apple!$A$3:$L$176,L$1,FALSE)</f>
        <v>1</v>
      </c>
      <c r="X133" t="b">
        <f>+M133=VLOOKUP($B133,[5]Apple!$A$3:$L$176,M$1,FALSE)</f>
        <v>1</v>
      </c>
      <c r="Y133" s="31" t="str">
        <f>+VLOOKUP(C133,'Country &amp; Code Abbreviation'!$C$3:$D$245,2,FALSE)</f>
        <v>RUS</v>
      </c>
    </row>
    <row r="134" spans="2:25" ht="13.4" customHeight="1" collapsed="1">
      <c r="B134" t="s">
        <v>254</v>
      </c>
      <c r="C134" s="31" t="str">
        <f>+VLOOKUP(B134,'Country &amp; Code Abbreviation'!$B$3:$C$245,2,FALSE)</f>
        <v>RW</v>
      </c>
      <c r="D134" s="31" t="str">
        <f>+VLOOKUP(B134,'INT Web'!$B$5:$Q$247,16,FALSE)</f>
        <v>RWF</v>
      </c>
      <c r="E134" s="32" t="s">
        <v>346</v>
      </c>
      <c r="F134" s="34">
        <v>78.989999999999995</v>
      </c>
      <c r="G134" s="34">
        <v>12.99</v>
      </c>
      <c r="H134" s="34">
        <v>58.99</v>
      </c>
      <c r="I134" s="34">
        <v>9.99</v>
      </c>
      <c r="J134" s="34">
        <v>3.99</v>
      </c>
      <c r="K134" s="34">
        <v>2.99</v>
      </c>
      <c r="L134" s="34">
        <v>1.99</v>
      </c>
      <c r="M134" s="34">
        <v>0.99</v>
      </c>
      <c r="N134" s="35"/>
      <c r="O134" s="32" t="s">
        <v>366</v>
      </c>
      <c r="Q134" t="b">
        <f>+F134=VLOOKUP($B134,[5]Apple!$A$3:$L$176,F$1,FALSE)</f>
        <v>1</v>
      </c>
      <c r="R134" t="b">
        <f>+G134=VLOOKUP($B134,[5]Apple!$A$3:$L$176,G$1,FALSE)</f>
        <v>1</v>
      </c>
      <c r="S134" t="b">
        <f>+H134=VLOOKUP($B134,[5]Apple!$A$3:$L$176,H$1,FALSE)</f>
        <v>1</v>
      </c>
      <c r="T134" t="b">
        <f>+I134=VLOOKUP($B134,[5]Apple!$A$3:$L$176,I$1,FALSE)</f>
        <v>1</v>
      </c>
      <c r="U134" t="b">
        <f>+J134=VLOOKUP($B134,[5]Apple!$A$3:$L$176,J$1,FALSE)</f>
        <v>1</v>
      </c>
      <c r="V134" t="b">
        <f>+K134=VLOOKUP($B134,[5]Apple!$A$3:$L$176,K$1,FALSE)</f>
        <v>1</v>
      </c>
      <c r="W134" t="b">
        <f>+L134=VLOOKUP($B134,[5]Apple!$A$3:$L$176,L$1,FALSE)</f>
        <v>1</v>
      </c>
      <c r="X134" t="b">
        <f>+M134=VLOOKUP($B134,[5]Apple!$A$3:$L$176,M$1,FALSE)</f>
        <v>1</v>
      </c>
      <c r="Y134" s="31" t="str">
        <f>+VLOOKUP(C134,'Country &amp; Code Abbreviation'!$C$3:$D$245,2,FALSE)</f>
        <v>RWA</v>
      </c>
    </row>
    <row r="135" spans="2:25">
      <c r="B135" t="s">
        <v>258</v>
      </c>
      <c r="C135" s="31" t="str">
        <f>+VLOOKUP(B135,'Country &amp; Code Abbreviation'!$B$3:$C$245,2,FALSE)</f>
        <v>ST</v>
      </c>
      <c r="D135" s="31" t="str">
        <f>+VLOOKUP(B135,'INT Web'!$B$5:$Q$247,16,FALSE)</f>
        <v>USD</v>
      </c>
      <c r="E135" s="32" t="s">
        <v>346</v>
      </c>
      <c r="F135" s="33">
        <f>+IF($D135=$E135,VLOOKUP($B135,'INT Web'!$B$5:$W$247,'INT Web'!R$1,FALSE),MROUND(VLOOKUP($B135,'INT Web'!$B$5:$AQ$247,'INT Web'!AL$1,FALSE),1)-0.01)</f>
        <v>77.989999999999995</v>
      </c>
      <c r="G135" s="33">
        <f>+IF($D135=$E135,VLOOKUP($B135,'INT Web'!$B$5:$W$247,'INT Web'!S$1,FALSE),MROUND(VLOOKUP($B135,'INT Web'!$B$5:$AQ$247,'INT Web'!AM$1,FALSE),1)-0.01)</f>
        <v>12.99</v>
      </c>
      <c r="H135" s="33">
        <f>+IF($D135=$E135,VLOOKUP($B135,'INT Web'!$B$5:$W$247,'INT Web'!T$1,FALSE),MROUND(VLOOKUP($B135,'INT Web'!$B$5:$AQ$247,'INT Web'!AN$1,FALSE),1)-0.01)</f>
        <v>59.99</v>
      </c>
      <c r="I135" s="33">
        <f>+IF($D135=$E135,VLOOKUP($B135,'INT Web'!$B$5:$W$247,'INT Web'!U$1,FALSE),MROUND(VLOOKUP($B135,'INT Web'!$B$5:$AQ$247,'INT Web'!AO$1,FALSE),1)-0.01)</f>
        <v>9.99</v>
      </c>
      <c r="J135" s="34">
        <v>3.99</v>
      </c>
      <c r="K135" s="34">
        <v>3.99</v>
      </c>
      <c r="L135" s="34">
        <v>1.99</v>
      </c>
      <c r="M135" s="34">
        <v>1.99</v>
      </c>
      <c r="N135" s="35"/>
      <c r="O135" s="32" t="s">
        <v>364</v>
      </c>
      <c r="Q135" t="b">
        <f>+F135=VLOOKUP($B135,[5]Apple!$A$3:$L$176,F$1,FALSE)</f>
        <v>1</v>
      </c>
      <c r="R135" t="b">
        <f>+G135=VLOOKUP($B135,[5]Apple!$A$3:$L$176,G$1,FALSE)</f>
        <v>1</v>
      </c>
      <c r="S135" t="b">
        <f>+H135=VLOOKUP($B135,[5]Apple!$A$3:$L$176,H$1,FALSE)</f>
        <v>1</v>
      </c>
      <c r="T135" t="b">
        <f>+I135=VLOOKUP($B135,[5]Apple!$A$3:$L$176,I$1,FALSE)</f>
        <v>1</v>
      </c>
      <c r="U135" t="b">
        <f>+J135=VLOOKUP($B135,[5]Apple!$A$3:$L$176,J$1,FALSE)</f>
        <v>1</v>
      </c>
      <c r="V135" t="b">
        <f>+K135=VLOOKUP($B135,[5]Apple!$A$3:$L$176,K$1,FALSE)</f>
        <v>1</v>
      </c>
      <c r="W135" t="b">
        <f>+L135=VLOOKUP($B135,[5]Apple!$A$3:$L$176,L$1,FALSE)</f>
        <v>1</v>
      </c>
      <c r="X135" t="b">
        <f>+M135=VLOOKUP($B135,[5]Apple!$A$3:$L$176,M$1,FALSE)</f>
        <v>1</v>
      </c>
      <c r="Y135" s="31" t="str">
        <f>+VLOOKUP(C135,'Country &amp; Code Abbreviation'!$C$3:$D$245,2,FALSE)</f>
        <v>STP</v>
      </c>
    </row>
    <row r="136" spans="2:25">
      <c r="B136" t="s">
        <v>259</v>
      </c>
      <c r="C136" s="31" t="str">
        <f>+VLOOKUP(B136,'Country &amp; Code Abbreviation'!$B$3:$C$245,2,FALSE)</f>
        <v>SA</v>
      </c>
      <c r="D136" s="31" t="str">
        <f>+VLOOKUP(B136,'INT Web'!$B$5:$Q$247,16,FALSE)</f>
        <v>SAR</v>
      </c>
      <c r="E136" s="32" t="s">
        <v>395</v>
      </c>
      <c r="F136" s="72">
        <v>529.99</v>
      </c>
      <c r="G136" s="33">
        <f>+IF($D136=$E136,VLOOKUP($B136,'INT Web'!$B$5:$W$247,'INT Web'!S$1,FALSE),MROUND(VLOOKUP($B136,'INT Web'!$B$5:$AQ$247,'INT Web'!AM$1,FALSE),1)-0.01)</f>
        <v>84.99</v>
      </c>
      <c r="H136" s="33">
        <f>+IF($D136=$E136,VLOOKUP($B136,'INT Web'!$B$5:$W$247,'INT Web'!T$1,FALSE),MROUND(VLOOKUP($B136,'INT Web'!$B$5:$AQ$247,'INT Web'!AN$1,FALSE),1)-0.01)</f>
        <v>384.99</v>
      </c>
      <c r="I136" s="33">
        <f>+IF($D136=$E136,VLOOKUP($B136,'INT Web'!$B$5:$W$247,'INT Web'!U$1,FALSE),MROUND(VLOOKUP($B136,'INT Web'!$B$5:$AQ$247,'INT Web'!AO$1,FALSE),1)-0.01)</f>
        <v>61.99</v>
      </c>
      <c r="J136" s="34">
        <v>22.99</v>
      </c>
      <c r="K136" s="108">
        <f>J136-5</f>
        <v>17.989999999999998</v>
      </c>
      <c r="L136" s="108">
        <f>K136-5</f>
        <v>12.989999999999998</v>
      </c>
      <c r="M136" s="108">
        <f>L136-5</f>
        <v>7.9899999999999984</v>
      </c>
      <c r="N136" s="35"/>
      <c r="O136" s="32" t="s">
        <v>366</v>
      </c>
      <c r="Q136" t="b">
        <f>+F136=VLOOKUP($B136,[5]Apple!$A$3:$L$176,F$1,FALSE)</f>
        <v>1</v>
      </c>
      <c r="R136" t="b">
        <f>+G136=VLOOKUP($B136,[5]Apple!$A$3:$L$176,G$1,FALSE)</f>
        <v>1</v>
      </c>
      <c r="S136" t="b">
        <f>+H136=VLOOKUP($B136,[5]Apple!$A$3:$L$176,H$1,FALSE)</f>
        <v>1</v>
      </c>
      <c r="T136" t="b">
        <f>+I136=VLOOKUP($B136,[5]Apple!$A$3:$L$176,I$1,FALSE)</f>
        <v>1</v>
      </c>
      <c r="U136" t="b">
        <f>+J136=VLOOKUP($B136,[5]Apple!$A$3:$L$176,J$1,FALSE)</f>
        <v>1</v>
      </c>
      <c r="V136" t="b">
        <f>+K136=VLOOKUP($B136,[5]Apple!$A$3:$L$176,K$1,FALSE)</f>
        <v>1</v>
      </c>
      <c r="W136" t="b">
        <f>+L136=VLOOKUP($B136,[5]Apple!$A$3:$L$176,L$1,FALSE)</f>
        <v>1</v>
      </c>
      <c r="X136" t="b">
        <f>+M136=VLOOKUP($B136,[5]Apple!$A$3:$L$176,M$1,FALSE)</f>
        <v>1</v>
      </c>
      <c r="Y136" s="31" t="str">
        <f>+VLOOKUP(C136,'Country &amp; Code Abbreviation'!$C$3:$D$245,2,FALSE)</f>
        <v>SAU</v>
      </c>
    </row>
    <row r="137" spans="2:25">
      <c r="B137" t="s">
        <v>260</v>
      </c>
      <c r="C137" s="31" t="str">
        <f>+VLOOKUP(B137,'Country &amp; Code Abbreviation'!$B$3:$C$245,2,FALSE)</f>
        <v>SN</v>
      </c>
      <c r="D137" s="31" t="str">
        <f>+VLOOKUP(B137,'INT Web'!$B$5:$Q$247,16,FALSE)</f>
        <v>XOF</v>
      </c>
      <c r="E137" s="32" t="s">
        <v>346</v>
      </c>
      <c r="F137" s="34">
        <v>72.989999999999995</v>
      </c>
      <c r="G137" s="33">
        <f>+VLOOKUP($B137,[5]Apple!$A$4:$M$175,[5]Apple!F$1,FALSE)</f>
        <v>11.99</v>
      </c>
      <c r="H137" s="34">
        <v>53.99</v>
      </c>
      <c r="I137" s="33">
        <f>+VLOOKUP($B137,[5]Apple!$A$4:$M$175,[5]Apple!H$1,FALSE)</f>
        <v>8.99</v>
      </c>
      <c r="J137" s="34">
        <v>3.99</v>
      </c>
      <c r="K137" s="34">
        <v>3.99</v>
      </c>
      <c r="L137" s="34">
        <v>1.99</v>
      </c>
      <c r="M137" s="34">
        <v>1.99</v>
      </c>
      <c r="N137" s="35"/>
      <c r="O137" s="32" t="s">
        <v>364</v>
      </c>
      <c r="Q137" t="b">
        <f>+F137=VLOOKUP($B137,[5]Apple!$A$3:$L$176,F$1,FALSE)</f>
        <v>1</v>
      </c>
      <c r="R137" t="b">
        <f>+G137=VLOOKUP($B137,[5]Apple!$A$3:$L$176,G$1,FALSE)</f>
        <v>1</v>
      </c>
      <c r="S137" t="b">
        <f>+H137=VLOOKUP($B137,[5]Apple!$A$3:$L$176,H$1,FALSE)</f>
        <v>1</v>
      </c>
      <c r="T137" t="b">
        <f>+I137=VLOOKUP($B137,[5]Apple!$A$3:$L$176,I$1,FALSE)</f>
        <v>1</v>
      </c>
      <c r="U137" t="b">
        <f>+J137=VLOOKUP($B137,[5]Apple!$A$3:$L$176,J$1,FALSE)</f>
        <v>1</v>
      </c>
      <c r="V137" t="b">
        <f>+K137=VLOOKUP($B137,[5]Apple!$A$3:$L$176,K$1,FALSE)</f>
        <v>1</v>
      </c>
      <c r="W137" t="b">
        <f>+L137=VLOOKUP($B137,[5]Apple!$A$3:$L$176,L$1,FALSE)</f>
        <v>1</v>
      </c>
      <c r="X137" t="b">
        <f>+M137=VLOOKUP($B137,[5]Apple!$A$3:$L$176,M$1,FALSE)</f>
        <v>1</v>
      </c>
      <c r="Y137" s="31" t="str">
        <f>+VLOOKUP(C137,'Country &amp; Code Abbreviation'!$C$3:$D$245,2,FALSE)</f>
        <v>SEN</v>
      </c>
    </row>
    <row r="138" spans="2:25">
      <c r="B138" s="36" t="s">
        <v>261</v>
      </c>
      <c r="C138" s="37" t="str">
        <f>+VLOOKUP(B138,'Country &amp; Code Abbreviation'!$B$3:$C$245,2,FALSE)</f>
        <v>RS</v>
      </c>
      <c r="D138" s="37" t="str">
        <f>+VLOOKUP(B138,'INT Web'!$B$5:$Q$247,16,FALSE)</f>
        <v>RSD</v>
      </c>
      <c r="E138" s="38" t="s">
        <v>368</v>
      </c>
      <c r="F138" s="39">
        <f>+MROUND(VLOOKUP($B138,'INT Web'!$B$5:$AQ$247,'INT Web'!R$1,FALSE)*'FX Rates'!$F$4,1)-0.01</f>
        <v>87.99</v>
      </c>
      <c r="G138" s="39">
        <f>+MROUND(VLOOKUP($B138,'INT Web'!$B$5:$AQ$247,'INT Web'!S$1,FALSE)*'FX Rates'!$F$4,1)-0.01</f>
        <v>13.99</v>
      </c>
      <c r="H138" s="39">
        <f>+MROUND(VLOOKUP($B138,'INT Web'!$B$5:$AQ$247,'INT Web'!T$1,FALSE)*'FX Rates'!$F$4,1)-0.01</f>
        <v>63.99</v>
      </c>
      <c r="I138" s="39">
        <f>+MROUND(VLOOKUP($B138,'INT Web'!$B$5:$AQ$247,'INT Web'!U$1,FALSE)*'FX Rates'!$F$4,1)-0.01</f>
        <v>9.99</v>
      </c>
      <c r="J138" s="39">
        <v>3.99</v>
      </c>
      <c r="K138" s="39">
        <v>3.99</v>
      </c>
      <c r="L138" s="39">
        <v>1.99</v>
      </c>
      <c r="M138" s="39">
        <v>1.99</v>
      </c>
      <c r="N138" s="40"/>
      <c r="O138" s="38" t="s">
        <v>364</v>
      </c>
      <c r="Q138" t="b">
        <f>+F138=VLOOKUP($B138,[5]Apple!$A$3:$L$176,F$1,FALSE)</f>
        <v>1</v>
      </c>
      <c r="R138" t="b">
        <f>+G138=VLOOKUP($B138,[5]Apple!$A$3:$L$176,G$1,FALSE)</f>
        <v>1</v>
      </c>
      <c r="S138" t="b">
        <f>+H138=VLOOKUP($B138,[5]Apple!$A$3:$L$176,H$1,FALSE)</f>
        <v>1</v>
      </c>
      <c r="T138" t="b">
        <f>+I138=VLOOKUP($B138,[5]Apple!$A$3:$L$176,I$1,FALSE)</f>
        <v>1</v>
      </c>
      <c r="U138" t="b">
        <f>+J138=VLOOKUP($B138,[5]Apple!$A$3:$L$176,J$1,FALSE)</f>
        <v>1</v>
      </c>
      <c r="V138" t="b">
        <f>+K138=VLOOKUP($B138,[5]Apple!$A$3:$L$176,K$1,FALSE)</f>
        <v>1</v>
      </c>
      <c r="W138" t="b">
        <f>+L138=VLOOKUP($B138,[5]Apple!$A$3:$L$176,L$1,FALSE)</f>
        <v>1</v>
      </c>
      <c r="X138" t="b">
        <f>+M138=VLOOKUP($B138,[5]Apple!$A$3:$L$176,M$1,FALSE)</f>
        <v>1</v>
      </c>
      <c r="Y138" s="31" t="str">
        <f>+VLOOKUP(C138,'Country &amp; Code Abbreviation'!$C$3:$D$245,2,FALSE)</f>
        <v>SRB</v>
      </c>
    </row>
    <row r="139" spans="2:25">
      <c r="B139" t="s">
        <v>262</v>
      </c>
      <c r="C139" s="31" t="str">
        <f>+VLOOKUP(B139,'Country &amp; Code Abbreviation'!$B$3:$C$245,2,FALSE)</f>
        <v>SC</v>
      </c>
      <c r="D139" s="31" t="str">
        <f>+VLOOKUP(B139,'INT Web'!$B$5:$Q$247,16,FALSE)</f>
        <v>SCR</v>
      </c>
      <c r="E139" s="32" t="s">
        <v>346</v>
      </c>
      <c r="F139" s="34">
        <v>57.99</v>
      </c>
      <c r="G139" s="34">
        <v>9.99</v>
      </c>
      <c r="H139" s="34">
        <v>42.99</v>
      </c>
      <c r="I139" s="33">
        <f>+IF($D139=$E139,VLOOKUP($B139,'INT Web'!$B$5:$W$247,'INT Web'!U$1,FALSE),MROUND(VLOOKUP($B139,'INT Web'!$B$5:$AQ$247,'INT Web'!AO$1,FALSE),1)-0.01)</f>
        <v>6.99</v>
      </c>
      <c r="J139" s="34">
        <v>2.99</v>
      </c>
      <c r="K139" s="34">
        <v>2.99</v>
      </c>
      <c r="L139" s="34">
        <v>1.99</v>
      </c>
      <c r="M139" s="34">
        <v>1.99</v>
      </c>
      <c r="N139" s="35"/>
      <c r="O139" s="32" t="s">
        <v>364</v>
      </c>
      <c r="Q139" t="b">
        <f>+F139=VLOOKUP($B139,[5]Apple!$A$3:$L$176,F$1,FALSE)</f>
        <v>1</v>
      </c>
      <c r="R139" t="b">
        <f>+G139=VLOOKUP($B139,[5]Apple!$A$3:$L$176,G$1,FALSE)</f>
        <v>1</v>
      </c>
      <c r="S139" t="b">
        <f>+H139=VLOOKUP($B139,[5]Apple!$A$3:$L$176,H$1,FALSE)</f>
        <v>1</v>
      </c>
      <c r="T139" t="b">
        <f>+I139=VLOOKUP($B139,[5]Apple!$A$3:$L$176,I$1,FALSE)</f>
        <v>1</v>
      </c>
      <c r="U139" t="b">
        <f>+J139=VLOOKUP($B139,[5]Apple!$A$3:$L$176,J$1,FALSE)</f>
        <v>1</v>
      </c>
      <c r="V139" t="b">
        <f>+K139=VLOOKUP($B139,[5]Apple!$A$3:$L$176,K$1,FALSE)</f>
        <v>1</v>
      </c>
      <c r="W139" t="b">
        <f>+L139=VLOOKUP($B139,[5]Apple!$A$3:$L$176,L$1,FALSE)</f>
        <v>1</v>
      </c>
      <c r="X139" t="b">
        <f>+M139=VLOOKUP($B139,[5]Apple!$A$3:$L$176,M$1,FALSE)</f>
        <v>1</v>
      </c>
      <c r="Y139" s="31" t="str">
        <f>+VLOOKUP(C139,'Country &amp; Code Abbreviation'!$C$3:$D$245,2,FALSE)</f>
        <v>SYC</v>
      </c>
    </row>
    <row r="140" spans="2:25" ht="13.4" customHeight="1">
      <c r="B140" t="s">
        <v>263</v>
      </c>
      <c r="C140" s="31" t="str">
        <f>+VLOOKUP(B140,'Country &amp; Code Abbreviation'!$B$3:$C$245,2,FALSE)</f>
        <v>SL</v>
      </c>
      <c r="D140" s="31" t="str">
        <f>+VLOOKUP(B140,'INT Web'!$B$5:$Q$247,16,FALSE)</f>
        <v>SLL</v>
      </c>
      <c r="E140" s="32" t="s">
        <v>346</v>
      </c>
      <c r="F140" s="34">
        <v>59.99</v>
      </c>
      <c r="G140" s="34">
        <v>9.99</v>
      </c>
      <c r="H140" s="34">
        <v>44.99</v>
      </c>
      <c r="I140" s="34">
        <v>6.99</v>
      </c>
      <c r="J140" s="34">
        <v>2.99</v>
      </c>
      <c r="K140" s="34">
        <v>1.99</v>
      </c>
      <c r="L140" s="34">
        <v>1.99</v>
      </c>
      <c r="M140" s="34">
        <v>0.99</v>
      </c>
      <c r="N140" s="35"/>
      <c r="O140" s="32" t="s">
        <v>366</v>
      </c>
      <c r="Q140" t="b">
        <f>+F140=VLOOKUP($B140,[5]Apple!$A$3:$L$176,F$1,FALSE)</f>
        <v>1</v>
      </c>
      <c r="R140" t="b">
        <f>+G140=VLOOKUP($B140,[5]Apple!$A$3:$L$176,G$1,FALSE)</f>
        <v>1</v>
      </c>
      <c r="S140" t="b">
        <f>+H140=VLOOKUP($B140,[5]Apple!$A$3:$L$176,H$1,FALSE)</f>
        <v>1</v>
      </c>
      <c r="T140" t="b">
        <f>+I140=VLOOKUP($B140,[5]Apple!$A$3:$L$176,I$1,FALSE)</f>
        <v>1</v>
      </c>
      <c r="U140" t="b">
        <f>+J140=VLOOKUP($B140,[5]Apple!$A$3:$L$176,J$1,FALSE)</f>
        <v>1</v>
      </c>
      <c r="V140" t="b">
        <f>+K140=VLOOKUP($B140,[5]Apple!$A$3:$L$176,K$1,FALSE)</f>
        <v>1</v>
      </c>
      <c r="W140" t="b">
        <f>+L140=VLOOKUP($B140,[5]Apple!$A$3:$L$176,L$1,FALSE)</f>
        <v>1</v>
      </c>
      <c r="X140" t="b">
        <f>+M140=VLOOKUP($B140,[5]Apple!$A$3:$L$176,M$1,FALSE)</f>
        <v>1</v>
      </c>
      <c r="Y140" s="31" t="str">
        <f>+VLOOKUP(C140,'Country &amp; Code Abbreviation'!$C$3:$D$245,2,FALSE)</f>
        <v>SLE</v>
      </c>
    </row>
    <row r="141" spans="2:25">
      <c r="B141" t="s">
        <v>264</v>
      </c>
      <c r="C141" s="31" t="str">
        <f>+VLOOKUP(B141,'Country &amp; Code Abbreviation'!$B$3:$C$245,2,FALSE)</f>
        <v>SG</v>
      </c>
      <c r="D141" s="31" t="str">
        <f>+VLOOKUP(B141,'INT Web'!$B$5:$Q$247,16,FALSE)</f>
        <v>SGD</v>
      </c>
      <c r="E141" s="32" t="s">
        <v>396</v>
      </c>
      <c r="F141" s="72">
        <v>184.98</v>
      </c>
      <c r="G141" s="33">
        <f>+IF($D141=$E141,VLOOKUP($B141,'INT Web'!$B$5:$W$247,'INT Web'!S$1,FALSE),MROUND(VLOOKUP($B141,'INT Web'!$B$5:$AQ$247,'INT Web'!AM$1,FALSE),1)-0.01)</f>
        <v>26.984999999999999</v>
      </c>
      <c r="H141" s="72">
        <v>124.98</v>
      </c>
      <c r="I141" s="72">
        <v>17.98</v>
      </c>
      <c r="J141" s="34">
        <v>5.98</v>
      </c>
      <c r="K141" s="34">
        <v>5.98</v>
      </c>
      <c r="L141" s="34">
        <v>2.98</v>
      </c>
      <c r="M141" s="34">
        <v>2.98</v>
      </c>
      <c r="N141" s="35"/>
      <c r="O141" s="32" t="s">
        <v>364</v>
      </c>
      <c r="Q141" t="b">
        <f>+F141=VLOOKUP($B141,[5]Apple!$A$3:$L$176,F$1,FALSE)</f>
        <v>1</v>
      </c>
      <c r="R141" t="b">
        <f>+G141=VLOOKUP($B141,[5]Apple!$A$3:$L$176,G$1,FALSE)</f>
        <v>1</v>
      </c>
      <c r="S141" t="b">
        <f>+H141=VLOOKUP($B141,[5]Apple!$A$3:$L$176,H$1,FALSE)</f>
        <v>1</v>
      </c>
      <c r="T141" t="b">
        <f>+I141=VLOOKUP($B141,[5]Apple!$A$3:$L$176,I$1,FALSE)</f>
        <v>1</v>
      </c>
      <c r="U141" t="b">
        <f>+J141=VLOOKUP($B141,[5]Apple!$A$3:$L$176,J$1,FALSE)</f>
        <v>1</v>
      </c>
      <c r="V141" t="b">
        <f>+K141=VLOOKUP($B141,[5]Apple!$A$3:$L$176,K$1,FALSE)</f>
        <v>1</v>
      </c>
      <c r="W141" t="b">
        <f>+L141=VLOOKUP($B141,[5]Apple!$A$3:$L$176,L$1,FALSE)</f>
        <v>1</v>
      </c>
      <c r="X141" t="b">
        <f>+M141=VLOOKUP($B141,[5]Apple!$A$3:$L$176,M$1,FALSE)</f>
        <v>1</v>
      </c>
      <c r="Y141" s="31" t="str">
        <f>+VLOOKUP(C141,'Country &amp; Code Abbreviation'!$C$3:$D$245,2,FALSE)</f>
        <v>SGP</v>
      </c>
    </row>
    <row r="142" spans="2:25">
      <c r="B142" t="s">
        <v>266</v>
      </c>
      <c r="C142" s="31" t="str">
        <f>+VLOOKUP(B142,'Country &amp; Code Abbreviation'!$B$3:$C$245,2,FALSE)</f>
        <v>SK</v>
      </c>
      <c r="D142" s="31" t="str">
        <f>+VLOOKUP(B142,'INT Web'!$B$5:$Q$247,16,FALSE)</f>
        <v>EUR</v>
      </c>
      <c r="E142" s="32" t="s">
        <v>368</v>
      </c>
      <c r="F142" s="33">
        <f>+IF($D142=$E142,VLOOKUP($B142,'INT Web'!$B$5:$W$247,'INT Web'!R$1,FALSE),MROUND(VLOOKUP($B142,'INT Web'!$B$5:$AQ$247,'INT Web'!AL$1,FALSE),1)-0.01)</f>
        <v>94.99</v>
      </c>
      <c r="G142" s="33">
        <f>+IF($D142=$E142,VLOOKUP($B142,'INT Web'!$B$5:$W$247,'INT Web'!S$1,FALSE),MROUND(VLOOKUP($B142,'INT Web'!$B$5:$AQ$247,'INT Web'!AM$1,FALSE),1)-0.01)</f>
        <v>14.99</v>
      </c>
      <c r="H142" s="33">
        <f>+IF($D142=$E142,VLOOKUP($B142,'INT Web'!$B$5:$W$247,'INT Web'!T$1,FALSE),MROUND(VLOOKUP($B142,'INT Web'!$B$5:$AQ$247,'INT Web'!AN$1,FALSE),1)-0.01)</f>
        <v>69.989999999999995</v>
      </c>
      <c r="I142" s="33">
        <f>+IF($D142=$E142,VLOOKUP($B142,'INT Web'!$B$5:$W$247,'INT Web'!U$1,FALSE),MROUND(VLOOKUP($B142,'INT Web'!$B$5:$AQ$247,'INT Web'!AO$1,FALSE),1)-0.01)</f>
        <v>10.99</v>
      </c>
      <c r="J142" s="34">
        <v>4.99</v>
      </c>
      <c r="K142" s="34">
        <v>3.99</v>
      </c>
      <c r="L142" s="34">
        <v>2.99</v>
      </c>
      <c r="M142" s="34">
        <v>1.99</v>
      </c>
      <c r="N142" s="35"/>
      <c r="O142" s="32" t="s">
        <v>366</v>
      </c>
      <c r="Q142" t="b">
        <f>+F142=VLOOKUP($B142,[5]Apple!$A$3:$L$176,F$1,FALSE)</f>
        <v>1</v>
      </c>
      <c r="R142" t="b">
        <f>+G142=VLOOKUP($B142,[5]Apple!$A$3:$L$176,G$1,FALSE)</f>
        <v>1</v>
      </c>
      <c r="S142" t="b">
        <f>+H142=VLOOKUP($B142,[5]Apple!$A$3:$L$176,H$1,FALSE)</f>
        <v>1</v>
      </c>
      <c r="T142" t="b">
        <f>+I142=VLOOKUP($B142,[5]Apple!$A$3:$L$176,I$1,FALSE)</f>
        <v>1</v>
      </c>
      <c r="U142" t="b">
        <f>+J142=VLOOKUP($B142,[5]Apple!$A$3:$L$176,J$1,FALSE)</f>
        <v>1</v>
      </c>
      <c r="V142" t="b">
        <f>+K142=VLOOKUP($B142,[5]Apple!$A$3:$L$176,K$1,FALSE)</f>
        <v>1</v>
      </c>
      <c r="W142" t="b">
        <f>+L142=VLOOKUP($B142,[5]Apple!$A$3:$L$176,L$1,FALSE)</f>
        <v>1</v>
      </c>
      <c r="X142" t="b">
        <f>+M142=VLOOKUP($B142,[5]Apple!$A$3:$L$176,M$1,FALSE)</f>
        <v>1</v>
      </c>
      <c r="Y142" s="31" t="str">
        <f>+VLOOKUP(C142,'Country &amp; Code Abbreviation'!$C$3:$D$245,2,FALSE)</f>
        <v>SVK</v>
      </c>
    </row>
    <row r="143" spans="2:25">
      <c r="B143" t="s">
        <v>267</v>
      </c>
      <c r="C143" s="31" t="str">
        <f>+VLOOKUP(B143,'Country &amp; Code Abbreviation'!$B$3:$C$245,2,FALSE)</f>
        <v>SI</v>
      </c>
      <c r="D143" s="31" t="str">
        <f>+VLOOKUP(B143,'INT Web'!$B$5:$Q$247,16,FALSE)</f>
        <v>EUR</v>
      </c>
      <c r="E143" s="32" t="s">
        <v>368</v>
      </c>
      <c r="F143" s="33">
        <f>+IF($D143=$E143,VLOOKUP($B143,'INT Web'!$B$5:$W$247,'INT Web'!R$1,FALSE),MROUND(VLOOKUP($B143,'INT Web'!$B$5:$AQ$247,'INT Web'!AL$1,FALSE),1)-0.01)</f>
        <v>121.99</v>
      </c>
      <c r="G143" s="33">
        <f>+IF($D143=$E143,VLOOKUP($B143,'INT Web'!$B$5:$W$247,'INT Web'!S$1,FALSE),MROUND(VLOOKUP($B143,'INT Web'!$B$5:$AQ$247,'INT Web'!AM$1,FALSE),1)-0.01)</f>
        <v>18.989999999999998</v>
      </c>
      <c r="H143" s="33">
        <f>+IF($D143=$E143,VLOOKUP($B143,'INT Web'!$B$5:$W$247,'INT Web'!T$1,FALSE),MROUND(VLOOKUP($B143,'INT Web'!$B$5:$AQ$247,'INT Web'!AN$1,FALSE),1)-0.01)</f>
        <v>89.99</v>
      </c>
      <c r="I143" s="33">
        <f>+IF($D143=$E143,VLOOKUP($B143,'INT Web'!$B$5:$W$247,'INT Web'!U$1,FALSE),MROUND(VLOOKUP($B143,'INT Web'!$B$5:$AQ$247,'INT Web'!AO$1,FALSE),1)-0.01)</f>
        <v>13.99</v>
      </c>
      <c r="J143" s="34">
        <v>4.99</v>
      </c>
      <c r="K143" s="34">
        <v>3.99</v>
      </c>
      <c r="L143" s="34">
        <v>2.99</v>
      </c>
      <c r="M143" s="34">
        <v>1.99</v>
      </c>
      <c r="N143" s="35"/>
      <c r="O143" s="32" t="s">
        <v>366</v>
      </c>
      <c r="Q143" t="b">
        <f>+F143=VLOOKUP($B143,[5]Apple!$A$3:$L$176,F$1,FALSE)</f>
        <v>1</v>
      </c>
      <c r="R143" t="b">
        <f>+G143=VLOOKUP($B143,[5]Apple!$A$3:$L$176,G$1,FALSE)</f>
        <v>1</v>
      </c>
      <c r="S143" t="b">
        <f>+H143=VLOOKUP($B143,[5]Apple!$A$3:$L$176,H$1,FALSE)</f>
        <v>1</v>
      </c>
      <c r="T143" t="b">
        <f>+I143=VLOOKUP($B143,[5]Apple!$A$3:$L$176,I$1,FALSE)</f>
        <v>1</v>
      </c>
      <c r="U143" t="b">
        <f>+J143=VLOOKUP($B143,[5]Apple!$A$3:$L$176,J$1,FALSE)</f>
        <v>1</v>
      </c>
      <c r="V143" t="b">
        <f>+K143=VLOOKUP($B143,[5]Apple!$A$3:$L$176,K$1,FALSE)</f>
        <v>1</v>
      </c>
      <c r="W143" t="b">
        <f>+L143=VLOOKUP($B143,[5]Apple!$A$3:$L$176,L$1,FALSE)</f>
        <v>1</v>
      </c>
      <c r="X143" t="b">
        <f>+M143=VLOOKUP($B143,[5]Apple!$A$3:$L$176,M$1,FALSE)</f>
        <v>1</v>
      </c>
      <c r="Y143" s="31" t="str">
        <f>+VLOOKUP(C143,'Country &amp; Code Abbreviation'!$C$3:$D$245,2,FALSE)</f>
        <v>SVN</v>
      </c>
    </row>
    <row r="144" spans="2:25">
      <c r="B144" t="s">
        <v>268</v>
      </c>
      <c r="C144" s="31" t="str">
        <f>+VLOOKUP(B144,'Country &amp; Code Abbreviation'!$B$3:$C$245,2,FALSE)</f>
        <v>SB</v>
      </c>
      <c r="D144" s="31" t="str">
        <f>+VLOOKUP(B144,'INT Web'!$B$5:$Q$247,16,FALSE)</f>
        <v>SBD</v>
      </c>
      <c r="E144" s="32" t="s">
        <v>346</v>
      </c>
      <c r="F144" s="34">
        <v>69.989999999999995</v>
      </c>
      <c r="G144" s="72">
        <v>10.99</v>
      </c>
      <c r="H144" s="34">
        <v>51.99</v>
      </c>
      <c r="I144" s="72">
        <v>7.99</v>
      </c>
      <c r="J144" s="34">
        <v>2.99</v>
      </c>
      <c r="K144" s="34">
        <v>1.99</v>
      </c>
      <c r="L144" s="34">
        <v>1.99</v>
      </c>
      <c r="M144" s="34">
        <v>0.99</v>
      </c>
      <c r="N144" s="35"/>
      <c r="O144" s="32" t="s">
        <v>366</v>
      </c>
      <c r="Q144" t="b">
        <f>+F144=VLOOKUP($B144,[5]Apple!$A$3:$L$176,F$1,FALSE)</f>
        <v>1</v>
      </c>
      <c r="R144" t="b">
        <f>+G144=VLOOKUP($B144,[5]Apple!$A$3:$L$176,G$1,FALSE)</f>
        <v>1</v>
      </c>
      <c r="S144" t="b">
        <f>+H144=VLOOKUP($B144,[5]Apple!$A$3:$L$176,H$1,FALSE)</f>
        <v>1</v>
      </c>
      <c r="T144" t="b">
        <f>+I144=VLOOKUP($B144,[5]Apple!$A$3:$L$176,I$1,FALSE)</f>
        <v>1</v>
      </c>
      <c r="U144" t="b">
        <f>+J144=VLOOKUP($B144,[5]Apple!$A$3:$L$176,J$1,FALSE)</f>
        <v>1</v>
      </c>
      <c r="V144" t="b">
        <f>+K144=VLOOKUP($B144,[5]Apple!$A$3:$L$176,K$1,FALSE)</f>
        <v>1</v>
      </c>
      <c r="W144" t="b">
        <f>+L144=VLOOKUP($B144,[5]Apple!$A$3:$L$176,L$1,FALSE)</f>
        <v>1</v>
      </c>
      <c r="X144" t="b">
        <f>+M144=VLOOKUP($B144,[5]Apple!$A$3:$L$176,M$1,FALSE)</f>
        <v>1</v>
      </c>
      <c r="Y144" s="31" t="str">
        <f>+VLOOKUP(C144,'Country &amp; Code Abbreviation'!$C$3:$D$245,2,FALSE)</f>
        <v>SLB</v>
      </c>
    </row>
    <row r="145" spans="2:25">
      <c r="B145" t="s">
        <v>271</v>
      </c>
      <c r="C145" s="31" t="str">
        <f>+VLOOKUP(B145,'Country &amp; Code Abbreviation'!$B$3:$C$245,2,FALSE)</f>
        <v>ZA</v>
      </c>
      <c r="D145" s="31" t="str">
        <f>+VLOOKUP(B145,'INT Web'!$B$5:$Q$247,16,FALSE)</f>
        <v>ZAR</v>
      </c>
      <c r="E145" s="32" t="s">
        <v>397</v>
      </c>
      <c r="F145" s="72">
        <v>1129.99</v>
      </c>
      <c r="G145" s="72">
        <v>189</v>
      </c>
      <c r="H145" s="72">
        <v>839.99</v>
      </c>
      <c r="I145" s="72">
        <v>139.99</v>
      </c>
      <c r="J145" s="34">
        <v>64.989999999999995</v>
      </c>
      <c r="K145" s="34">
        <v>64.989999999999995</v>
      </c>
      <c r="L145" s="34">
        <v>32.99</v>
      </c>
      <c r="M145" s="34">
        <v>32.99</v>
      </c>
      <c r="N145" s="35"/>
      <c r="O145" s="32" t="s">
        <v>364</v>
      </c>
      <c r="Q145" t="b">
        <f>+F145=VLOOKUP($B145,[5]Apple!$A$3:$L$176,F$1,FALSE)</f>
        <v>1</v>
      </c>
      <c r="R145" t="b">
        <f>+G145=VLOOKUP($B145,[5]Apple!$A$3:$L$176,G$1,FALSE)</f>
        <v>1</v>
      </c>
      <c r="S145" t="b">
        <f>+H145=VLOOKUP($B145,[5]Apple!$A$3:$L$176,H$1,FALSE)</f>
        <v>1</v>
      </c>
      <c r="T145" t="b">
        <f>+I145=VLOOKUP($B145,[5]Apple!$A$3:$L$176,I$1,FALSE)</f>
        <v>1</v>
      </c>
      <c r="U145" t="b">
        <f>+J145=VLOOKUP($B145,[5]Apple!$A$3:$L$176,J$1,FALSE)</f>
        <v>1</v>
      </c>
      <c r="V145" t="b">
        <f>+K145=VLOOKUP($B145,[5]Apple!$A$3:$L$176,K$1,FALSE)</f>
        <v>1</v>
      </c>
      <c r="W145" t="b">
        <f>+L145=VLOOKUP($B145,[5]Apple!$A$3:$L$176,L$1,FALSE)</f>
        <v>1</v>
      </c>
      <c r="X145" t="b">
        <f>+M145=VLOOKUP($B145,[5]Apple!$A$3:$L$176,M$1,FALSE)</f>
        <v>1</v>
      </c>
      <c r="Y145" s="31" t="str">
        <f>+VLOOKUP(C145,'Country &amp; Code Abbreviation'!$C$3:$D$245,2,FALSE)</f>
        <v>ZAF</v>
      </c>
    </row>
    <row r="146" spans="2:25">
      <c r="B146" t="s">
        <v>276</v>
      </c>
      <c r="C146" s="31" t="str">
        <f>+VLOOKUP(B146,'Country &amp; Code Abbreviation'!$B$3:$C$245,2,FALSE)</f>
        <v>ES</v>
      </c>
      <c r="D146" s="31" t="str">
        <f>+VLOOKUP(B146,'INT Web'!$B$5:$Q$247,16,FALSE)</f>
        <v>EUR</v>
      </c>
      <c r="E146" s="32" t="s">
        <v>368</v>
      </c>
      <c r="F146" s="33">
        <f>+IF($D146=$E146,VLOOKUP($B146,'INT Web'!$B$5:$W$247,'INT Web'!R$1,FALSE),MROUND(VLOOKUP($B146,'INT Web'!$B$5:$AQ$247,'INT Web'!AL$1,FALSE),1)-0.01)</f>
        <v>139.99</v>
      </c>
      <c r="G146" s="33">
        <f>+IF($D146=$E146,VLOOKUP($B146,'INT Web'!$B$5:$W$247,'INT Web'!S$1,FALSE),MROUND(VLOOKUP($B146,'INT Web'!$B$5:$AQ$247,'INT Web'!AM$1,FALSE),1)-0.01)</f>
        <v>19.989999999999998</v>
      </c>
      <c r="H146" s="33">
        <f>+IF($D146=$E146,VLOOKUP($B146,'INT Web'!$B$5:$W$247,'INT Web'!T$1,FALSE),MROUND(VLOOKUP($B146,'INT Web'!$B$5:$AQ$247,'INT Web'!AN$1,FALSE),1)-0.01)</f>
        <v>109.99</v>
      </c>
      <c r="I146" s="33">
        <f>+IF($D146=$E146,VLOOKUP($B146,'INT Web'!$B$5:$W$247,'INT Web'!U$1,FALSE),MROUND(VLOOKUP($B146,'INT Web'!$B$5:$AQ$247,'INT Web'!AO$1,FALSE),1)-0.01)</f>
        <v>15.99</v>
      </c>
      <c r="J146" s="34">
        <v>5.99</v>
      </c>
      <c r="K146" s="108">
        <f>J146-1</f>
        <v>4.99</v>
      </c>
      <c r="L146" s="108">
        <f t="shared" ref="L146:M146" si="18">K146-1</f>
        <v>3.99</v>
      </c>
      <c r="M146" s="108">
        <f t="shared" si="18"/>
        <v>2.99</v>
      </c>
      <c r="N146" s="35"/>
      <c r="O146" s="32" t="s">
        <v>366</v>
      </c>
      <c r="Q146" t="b">
        <f>+F146=VLOOKUP($B146,[5]Apple!$A$3:$L$176,F$1,FALSE)</f>
        <v>1</v>
      </c>
      <c r="R146" t="b">
        <f>+G146=VLOOKUP($B146,[5]Apple!$A$3:$L$176,G$1,FALSE)</f>
        <v>1</v>
      </c>
      <c r="S146" t="b">
        <f>+H146=VLOOKUP($B146,[5]Apple!$A$3:$L$176,H$1,FALSE)</f>
        <v>1</v>
      </c>
      <c r="T146" t="b">
        <f>+I146=VLOOKUP($B146,[5]Apple!$A$3:$L$176,I$1,FALSE)</f>
        <v>1</v>
      </c>
      <c r="U146" t="b">
        <f>+J146=VLOOKUP($B146,[5]Apple!$A$3:$L$176,J$1,FALSE)</f>
        <v>1</v>
      </c>
      <c r="V146" t="b">
        <f>+K146=VLOOKUP($B146,[5]Apple!$A$3:$L$176,K$1,FALSE)</f>
        <v>1</v>
      </c>
      <c r="W146" t="b">
        <f>+L146=VLOOKUP($B146,[5]Apple!$A$3:$L$176,L$1,FALSE)</f>
        <v>1</v>
      </c>
      <c r="X146" t="b">
        <f>+M146=VLOOKUP($B146,[5]Apple!$A$3:$L$176,M$1,FALSE)</f>
        <v>1</v>
      </c>
      <c r="Y146" s="31" t="str">
        <f>+VLOOKUP(C146,'Country &amp; Code Abbreviation'!$C$3:$D$245,2,FALSE)</f>
        <v>ESP</v>
      </c>
    </row>
    <row r="147" spans="2:25">
      <c r="B147" t="s">
        <v>277</v>
      </c>
      <c r="C147" s="31" t="str">
        <f>+VLOOKUP(B147,'Country &amp; Code Abbreviation'!$B$3:$C$245,2,FALSE)</f>
        <v>LK</v>
      </c>
      <c r="D147" s="31" t="str">
        <f>+VLOOKUP(B147,'INT Web'!$B$5:$Q$247,16,FALSE)</f>
        <v>LKR</v>
      </c>
      <c r="E147" s="32" t="s">
        <v>346</v>
      </c>
      <c r="F147" s="34">
        <v>49.99</v>
      </c>
      <c r="G147" s="33">
        <f>+VLOOKUP($B147,[5]Apple!$A$4:$M$175,[5]Apple!F$1,FALSE)</f>
        <v>7.99</v>
      </c>
      <c r="H147" s="72">
        <v>37.99</v>
      </c>
      <c r="I147" s="33">
        <f>+IF($D147=$E147,VLOOKUP($B147,'INT Web'!$B$5:$W$247,'INT Web'!U$1,FALSE),MROUND(VLOOKUP($B147,'INT Web'!$B$5:$AQ$247,'INT Web'!AO$1,FALSE),1)-0.01)</f>
        <v>5.99</v>
      </c>
      <c r="J147" s="34">
        <v>1.99</v>
      </c>
      <c r="K147" s="34">
        <v>1.99</v>
      </c>
      <c r="L147" s="34">
        <v>0.99</v>
      </c>
      <c r="M147" s="34">
        <v>0.99</v>
      </c>
      <c r="N147" s="35"/>
      <c r="O147" s="32" t="s">
        <v>364</v>
      </c>
      <c r="Q147" t="b">
        <f>+F147=VLOOKUP($B147,[5]Apple!$A$3:$L$176,F$1,FALSE)</f>
        <v>1</v>
      </c>
      <c r="R147" t="b">
        <f>+G147=VLOOKUP($B147,[5]Apple!$A$3:$L$176,G$1,FALSE)</f>
        <v>1</v>
      </c>
      <c r="S147" t="b">
        <f>+H147=VLOOKUP($B147,[5]Apple!$A$3:$L$176,H$1,FALSE)</f>
        <v>1</v>
      </c>
      <c r="T147" t="b">
        <f>+I147=VLOOKUP($B147,[5]Apple!$A$3:$L$176,I$1,FALSE)</f>
        <v>1</v>
      </c>
      <c r="U147" t="b">
        <f>+J147=VLOOKUP($B147,[5]Apple!$A$3:$L$176,J$1,FALSE)</f>
        <v>1</v>
      </c>
      <c r="V147" t="b">
        <f>+K147=VLOOKUP($B147,[5]Apple!$A$3:$L$176,K$1,FALSE)</f>
        <v>1</v>
      </c>
      <c r="W147" t="b">
        <f>+L147=VLOOKUP($B147,[5]Apple!$A$3:$L$176,L$1,FALSE)</f>
        <v>1</v>
      </c>
      <c r="X147" t="b">
        <f>+M147=VLOOKUP($B147,[5]Apple!$A$3:$L$176,M$1,FALSE)</f>
        <v>1</v>
      </c>
      <c r="Y147" s="31" t="str">
        <f>+VLOOKUP(C147,'Country &amp; Code Abbreviation'!$C$3:$D$245,2,FALSE)</f>
        <v>LKA</v>
      </c>
    </row>
    <row r="148" spans="2:25">
      <c r="B148" t="s">
        <v>398</v>
      </c>
      <c r="C148" s="31" t="str">
        <f>+VLOOKUP(B148,'Country &amp; Code Abbreviation'!$B$3:$C$245,2,FALSE)</f>
        <v>KN</v>
      </c>
      <c r="D148" s="31" t="str">
        <f>+VLOOKUP(B148,'INT Web'!$B$5:$Q$247,16,FALSE)</f>
        <v>XCD</v>
      </c>
      <c r="E148" s="32" t="s">
        <v>346</v>
      </c>
      <c r="F148" s="33">
        <f>+IF($D148=$E148,VLOOKUP($B148,'INT Web'!$B$5:$W$247,'INT Web'!R$1,FALSE),MROUND(VLOOKUP($B148,'INT Web'!$B$5:$AQ$247,'INT Web'!AL$1,FALSE),1)-0.01)</f>
        <v>99.99</v>
      </c>
      <c r="G148" s="33">
        <f>+IF($D148=$E148,VLOOKUP($B148,'INT Web'!$B$5:$W$247,'INT Web'!S$1,FALSE),MROUND(VLOOKUP($B148,'INT Web'!$B$5:$AQ$247,'INT Web'!AM$1,FALSE),1)-0.01)</f>
        <v>16.989999999999998</v>
      </c>
      <c r="H148" s="33">
        <f>+IF($D148=$E148,VLOOKUP($B148,'INT Web'!$B$5:$W$247,'INT Web'!T$1,FALSE),MROUND(VLOOKUP($B148,'INT Web'!$B$5:$AQ$247,'INT Web'!AN$1,FALSE),1)-0.01)</f>
        <v>72.989999999999995</v>
      </c>
      <c r="I148" s="33">
        <f>+IF($D148=$E148,VLOOKUP($B148,'INT Web'!$B$5:$W$247,'INT Web'!U$1,FALSE),MROUND(VLOOKUP($B148,'INT Web'!$B$5:$AQ$247,'INT Web'!AO$1,FALSE),1)-0.01)</f>
        <v>11.99</v>
      </c>
      <c r="J148" s="34">
        <v>4.99</v>
      </c>
      <c r="K148" s="34">
        <v>3.99</v>
      </c>
      <c r="L148" s="34">
        <v>2.99</v>
      </c>
      <c r="M148" s="34">
        <v>1.99</v>
      </c>
      <c r="N148" s="35"/>
      <c r="O148" s="32" t="s">
        <v>366</v>
      </c>
      <c r="Q148" t="b">
        <f>+F148=VLOOKUP($B148,[5]Apple!$A$3:$L$176,F$1,FALSE)</f>
        <v>1</v>
      </c>
      <c r="R148" t="b">
        <f>+G148=VLOOKUP($B148,[5]Apple!$A$3:$L$176,G$1,FALSE)</f>
        <v>1</v>
      </c>
      <c r="S148" t="b">
        <f>+H148=VLOOKUP($B148,[5]Apple!$A$3:$L$176,H$1,FALSE)</f>
        <v>1</v>
      </c>
      <c r="T148" t="b">
        <f>+I148=VLOOKUP($B148,[5]Apple!$A$3:$L$176,I$1,FALSE)</f>
        <v>1</v>
      </c>
      <c r="U148" t="b">
        <f>+J148=VLOOKUP($B148,[5]Apple!$A$3:$L$176,J$1,FALSE)</f>
        <v>1</v>
      </c>
      <c r="V148" t="b">
        <f>+K148=VLOOKUP($B148,[5]Apple!$A$3:$L$176,K$1,FALSE)</f>
        <v>1</v>
      </c>
      <c r="W148" t="b">
        <f>+L148=VLOOKUP($B148,[5]Apple!$A$3:$L$176,L$1,FALSE)</f>
        <v>1</v>
      </c>
      <c r="X148" t="b">
        <f>+M148=VLOOKUP($B148,[5]Apple!$A$3:$L$176,M$1,FALSE)</f>
        <v>1</v>
      </c>
      <c r="Y148" s="31" t="str">
        <f>+VLOOKUP(C148,'Country &amp; Code Abbreviation'!$C$3:$D$245,2,FALSE)</f>
        <v>KNA</v>
      </c>
    </row>
    <row r="149" spans="2:25">
      <c r="B149" t="s">
        <v>281</v>
      </c>
      <c r="C149" s="31" t="str">
        <f>+VLOOKUP(B149,'Country &amp; Code Abbreviation'!$B$3:$C$245,2,FALSE)</f>
        <v>LC</v>
      </c>
      <c r="D149" s="31" t="str">
        <f>+VLOOKUP(B149,'INT Web'!$B$5:$Q$247,16,FALSE)</f>
        <v>XCD</v>
      </c>
      <c r="E149" s="32" t="s">
        <v>346</v>
      </c>
      <c r="F149" s="33">
        <f>+IF($D149=$E149,VLOOKUP($B149,'INT Web'!$B$5:$W$247,'INT Web'!R$1,FALSE),MROUND(VLOOKUP($B149,'INT Web'!$B$5:$AQ$247,'INT Web'!AL$1,FALSE),1)-0.01)</f>
        <v>88.99</v>
      </c>
      <c r="G149" s="33">
        <f>+IF($D149=$E149,VLOOKUP($B149,'INT Web'!$B$5:$W$247,'INT Web'!S$1,FALSE),MROUND(VLOOKUP($B149,'INT Web'!$B$5:$AQ$247,'INT Web'!AM$1,FALSE),1)-0.01)</f>
        <v>14.99</v>
      </c>
      <c r="H149" s="33">
        <f>+IF($D149=$E149,VLOOKUP($B149,'INT Web'!$B$5:$W$247,'INT Web'!T$1,FALSE),MROUND(VLOOKUP($B149,'INT Web'!$B$5:$AQ$247,'INT Web'!AN$1,FALSE),1)-0.01)</f>
        <v>66.989999999999995</v>
      </c>
      <c r="I149" s="33">
        <f>+IF($D149=$E149,VLOOKUP($B149,'INT Web'!$B$5:$W$247,'INT Web'!U$1,FALSE),MROUND(VLOOKUP($B149,'INT Web'!$B$5:$AQ$247,'INT Web'!AO$1,FALSE),1)-0.01)</f>
        <v>10.99</v>
      </c>
      <c r="J149" s="34">
        <v>3.99</v>
      </c>
      <c r="K149" s="34">
        <v>2.99</v>
      </c>
      <c r="L149" s="34">
        <v>1.99</v>
      </c>
      <c r="M149" s="34">
        <v>0.99</v>
      </c>
      <c r="N149" s="35"/>
      <c r="O149" s="32" t="s">
        <v>366</v>
      </c>
      <c r="Q149" t="b">
        <f>+F149=VLOOKUP($B149,[5]Apple!$A$3:$L$176,F$1,FALSE)</f>
        <v>1</v>
      </c>
      <c r="R149" t="b">
        <f>+G149=VLOOKUP($B149,[5]Apple!$A$3:$L$176,G$1,FALSE)</f>
        <v>1</v>
      </c>
      <c r="S149" t="b">
        <f>+H149=VLOOKUP($B149,[5]Apple!$A$3:$L$176,H$1,FALSE)</f>
        <v>1</v>
      </c>
      <c r="T149" t="b">
        <f>+I149=VLOOKUP($B149,[5]Apple!$A$3:$L$176,I$1,FALSE)</f>
        <v>1</v>
      </c>
      <c r="U149" t="b">
        <f>+J149=VLOOKUP($B149,[5]Apple!$A$3:$L$176,J$1,FALSE)</f>
        <v>1</v>
      </c>
      <c r="V149" t="b">
        <f>+K149=VLOOKUP($B149,[5]Apple!$A$3:$L$176,K$1,FALSE)</f>
        <v>1</v>
      </c>
      <c r="W149" t="b">
        <f>+L149=VLOOKUP($B149,[5]Apple!$A$3:$L$176,L$1,FALSE)</f>
        <v>1</v>
      </c>
      <c r="X149" t="b">
        <f>+M149=VLOOKUP($B149,[5]Apple!$A$3:$L$176,M$1,FALSE)</f>
        <v>1</v>
      </c>
      <c r="Y149" s="31" t="str">
        <f>+VLOOKUP(C149,'Country &amp; Code Abbreviation'!$C$3:$D$245,2,FALSE)</f>
        <v>LCA</v>
      </c>
    </row>
    <row r="150" spans="2:25">
      <c r="B150" t="s">
        <v>399</v>
      </c>
      <c r="C150" s="31" t="str">
        <f>+VLOOKUP(B150,'Country &amp; Code Abbreviation'!$B$3:$C$245,2,FALSE)</f>
        <v>VC</v>
      </c>
      <c r="D150" s="31" t="str">
        <f>+VLOOKUP(B150,'INT Web'!$B$5:$Q$247,16,FALSE)</f>
        <v>XCD</v>
      </c>
      <c r="E150" s="32" t="s">
        <v>346</v>
      </c>
      <c r="F150" s="34">
        <v>89.99</v>
      </c>
      <c r="G150" s="33">
        <f>+IF($D150=$E150,VLOOKUP($B150,'INT Web'!$B$5:$W$247,'INT Web'!S$1,FALSE),MROUND(VLOOKUP($B150,'INT Web'!$B$5:$AQ$247,'INT Web'!AM$1,FALSE),1)-0.01)</f>
        <v>14.99</v>
      </c>
      <c r="H150" s="33">
        <f>+IF($D150=$E150,VLOOKUP($B150,'INT Web'!$B$5:$W$247,'INT Web'!T$1,FALSE),MROUND(VLOOKUP($B150,'INT Web'!$B$5:$AQ$247,'INT Web'!AN$1,FALSE),1)-0.01)</f>
        <v>66.989999999999995</v>
      </c>
      <c r="I150" s="33">
        <f>+IF($D150=$E150,VLOOKUP($B150,'INT Web'!$B$5:$W$247,'INT Web'!U$1,FALSE),MROUND(VLOOKUP($B150,'INT Web'!$B$5:$AQ$247,'INT Web'!AO$1,FALSE),1)-0.01)</f>
        <v>10.99</v>
      </c>
      <c r="J150" s="34">
        <v>3.99</v>
      </c>
      <c r="K150" s="34">
        <v>2.99</v>
      </c>
      <c r="L150" s="34">
        <v>1.99</v>
      </c>
      <c r="M150" s="34">
        <v>0.99</v>
      </c>
      <c r="N150" s="35"/>
      <c r="O150" s="32" t="s">
        <v>366</v>
      </c>
      <c r="Q150" t="b">
        <f>+F150=VLOOKUP($B150,[5]Apple!$A$3:$L$176,F$1,FALSE)</f>
        <v>1</v>
      </c>
      <c r="R150" t="b">
        <f>+G150=VLOOKUP($B150,[5]Apple!$A$3:$L$176,G$1,FALSE)</f>
        <v>1</v>
      </c>
      <c r="S150" t="b">
        <f>+H150=VLOOKUP($B150,[5]Apple!$A$3:$L$176,H$1,FALSE)</f>
        <v>1</v>
      </c>
      <c r="T150" t="b">
        <f>+I150=VLOOKUP($B150,[5]Apple!$A$3:$L$176,I$1,FALSE)</f>
        <v>1</v>
      </c>
      <c r="U150" t="b">
        <f>+J150=VLOOKUP($B150,[5]Apple!$A$3:$L$176,J$1,FALSE)</f>
        <v>1</v>
      </c>
      <c r="V150" t="b">
        <f>+K150=VLOOKUP($B150,[5]Apple!$A$3:$L$176,K$1,FALSE)</f>
        <v>1</v>
      </c>
      <c r="W150" t="b">
        <f>+L150=VLOOKUP($B150,[5]Apple!$A$3:$L$176,L$1,FALSE)</f>
        <v>1</v>
      </c>
      <c r="X150" t="b">
        <f>+M150=VLOOKUP($B150,[5]Apple!$A$3:$L$176,M$1,FALSE)</f>
        <v>1</v>
      </c>
      <c r="Y150" s="31" t="str">
        <f>+VLOOKUP(C150,'Country &amp; Code Abbreviation'!$C$3:$D$245,2,FALSE)</f>
        <v>VCT</v>
      </c>
    </row>
    <row r="151" spans="2:25">
      <c r="B151" t="s">
        <v>285</v>
      </c>
      <c r="C151" s="31" t="str">
        <f>+VLOOKUP(B151,'Country &amp; Code Abbreviation'!$B$3:$C$245,2,FALSE)</f>
        <v>SR</v>
      </c>
      <c r="D151" s="31" t="str">
        <f>+VLOOKUP(B151,'INT Web'!$B$5:$Q$247,16,FALSE)</f>
        <v>SRD</v>
      </c>
      <c r="E151" s="32" t="s">
        <v>346</v>
      </c>
      <c r="F151" s="34">
        <v>69.989999999999995</v>
      </c>
      <c r="G151" s="33">
        <f>+VLOOKUP($B151,[5]Apple!$A$4:$M$175,[5]Apple!F$1,FALSE)</f>
        <v>9.99</v>
      </c>
      <c r="H151" s="34">
        <v>62.99</v>
      </c>
      <c r="I151" s="34">
        <v>8.99</v>
      </c>
      <c r="J151" s="34">
        <v>3.99</v>
      </c>
      <c r="K151" s="34">
        <v>3.99</v>
      </c>
      <c r="L151" s="34">
        <v>1.99</v>
      </c>
      <c r="M151" s="34">
        <v>1.99</v>
      </c>
      <c r="N151" s="35"/>
      <c r="O151" s="32" t="s">
        <v>364</v>
      </c>
      <c r="Q151" t="b">
        <f>+F151=VLOOKUP($B151,[5]Apple!$A$3:$L$176,F$1,FALSE)</f>
        <v>1</v>
      </c>
      <c r="R151" t="b">
        <f>+G151=VLOOKUP($B151,[5]Apple!$A$3:$L$176,G$1,FALSE)</f>
        <v>1</v>
      </c>
      <c r="S151" t="b">
        <f>+H151=VLOOKUP($B151,[5]Apple!$A$3:$L$176,H$1,FALSE)</f>
        <v>1</v>
      </c>
      <c r="T151" t="b">
        <f>+I151=VLOOKUP($B151,[5]Apple!$A$3:$L$176,I$1,FALSE)</f>
        <v>1</v>
      </c>
      <c r="U151" t="b">
        <f>+J151=VLOOKUP($B151,[5]Apple!$A$3:$L$176,J$1,FALSE)</f>
        <v>1</v>
      </c>
      <c r="V151" t="b">
        <f>+K151=VLOOKUP($B151,[5]Apple!$A$3:$L$176,K$1,FALSE)</f>
        <v>1</v>
      </c>
      <c r="W151" t="b">
        <f>+L151=VLOOKUP($B151,[5]Apple!$A$3:$L$176,L$1,FALSE)</f>
        <v>1</v>
      </c>
      <c r="X151" t="b">
        <f>+M151=VLOOKUP($B151,[5]Apple!$A$3:$L$176,M$1,FALSE)</f>
        <v>1</v>
      </c>
      <c r="Y151" s="31" t="str">
        <f>+VLOOKUP(C151,'Country &amp; Code Abbreviation'!$C$3:$D$245,2,FALSE)</f>
        <v>SUR</v>
      </c>
    </row>
    <row r="152" spans="2:25">
      <c r="B152" t="s">
        <v>287</v>
      </c>
      <c r="C152" s="31" t="str">
        <f>+VLOOKUP(B152,'Country &amp; Code Abbreviation'!$B$3:$C$245,2,FALSE)</f>
        <v>SE</v>
      </c>
      <c r="D152" s="31" t="str">
        <f>+VLOOKUP(B152,'INT Web'!$B$5:$Q$247,16,FALSE)</f>
        <v>SEK</v>
      </c>
      <c r="E152" s="32" t="s">
        <v>400</v>
      </c>
      <c r="F152" s="72">
        <v>1470</v>
      </c>
      <c r="G152" s="72">
        <v>220</v>
      </c>
      <c r="H152" s="72">
        <v>1070</v>
      </c>
      <c r="I152" s="72">
        <v>160</v>
      </c>
      <c r="J152" s="34">
        <v>55</v>
      </c>
      <c r="K152" s="34">
        <v>45</v>
      </c>
      <c r="L152" s="34">
        <v>30</v>
      </c>
      <c r="M152" s="34">
        <v>20</v>
      </c>
      <c r="N152" s="35"/>
      <c r="O152" s="32" t="s">
        <v>364</v>
      </c>
      <c r="Q152" t="b">
        <f>+F152=VLOOKUP($B152,[5]Apple!$A$3:$L$176,F$1,FALSE)</f>
        <v>1</v>
      </c>
      <c r="R152" t="b">
        <f>+G152=VLOOKUP($B152,[5]Apple!$A$3:$L$176,G$1,FALSE)</f>
        <v>1</v>
      </c>
      <c r="S152" t="b">
        <f>+H152=VLOOKUP($B152,[5]Apple!$A$3:$L$176,H$1,FALSE)</f>
        <v>1</v>
      </c>
      <c r="T152" t="b">
        <f>+I152=VLOOKUP($B152,[5]Apple!$A$3:$L$176,I$1,FALSE)</f>
        <v>1</v>
      </c>
      <c r="U152" t="b">
        <f>+J152=VLOOKUP($B152,[5]Apple!$A$3:$L$176,J$1,FALSE)</f>
        <v>1</v>
      </c>
      <c r="V152" t="b">
        <f>+K152=VLOOKUP($B152,[5]Apple!$A$3:$L$176,K$1,FALSE)</f>
        <v>1</v>
      </c>
      <c r="W152" t="b">
        <f>+L152=VLOOKUP($B152,[5]Apple!$A$3:$L$176,L$1,FALSE)</f>
        <v>1</v>
      </c>
      <c r="X152" t="b">
        <f>+M152=VLOOKUP($B152,[5]Apple!$A$3:$L$176,M$1,FALSE)</f>
        <v>1</v>
      </c>
      <c r="Y152" s="31" t="str">
        <f>+VLOOKUP(C152,'Country &amp; Code Abbreviation'!$C$3:$D$245,2,FALSE)</f>
        <v>SWE</v>
      </c>
    </row>
    <row r="153" spans="2:25">
      <c r="B153" t="s">
        <v>288</v>
      </c>
      <c r="C153" s="31" t="str">
        <f>+VLOOKUP(B153,'Country &amp; Code Abbreviation'!$B$3:$C$245,2,FALSE)</f>
        <v>CH</v>
      </c>
      <c r="D153" s="31" t="str">
        <f>+VLOOKUP(B153,'INT Web'!$B$5:$Q$247,16,FALSE)</f>
        <v>CHF</v>
      </c>
      <c r="E153" s="32" t="s">
        <v>401</v>
      </c>
      <c r="F153" s="72">
        <v>220</v>
      </c>
      <c r="G153" s="72">
        <v>34</v>
      </c>
      <c r="H153" s="72">
        <v>160</v>
      </c>
      <c r="I153" s="72">
        <v>25</v>
      </c>
      <c r="J153" s="34">
        <v>9</v>
      </c>
      <c r="K153" s="34">
        <v>7</v>
      </c>
      <c r="L153" s="34">
        <v>6</v>
      </c>
      <c r="M153" s="34">
        <v>4</v>
      </c>
      <c r="N153" s="35"/>
      <c r="O153" s="32" t="s">
        <v>366</v>
      </c>
      <c r="Q153" t="b">
        <f>+F153=VLOOKUP($B153,[5]Apple!$A$3:$L$176,F$1,FALSE)</f>
        <v>1</v>
      </c>
      <c r="R153" t="b">
        <f>+G153=VLOOKUP($B153,[5]Apple!$A$3:$L$176,G$1,FALSE)</f>
        <v>1</v>
      </c>
      <c r="S153" t="b">
        <f>+H153=VLOOKUP($B153,[5]Apple!$A$3:$L$176,H$1,FALSE)</f>
        <v>1</v>
      </c>
      <c r="T153" t="b">
        <f>+I153=VLOOKUP($B153,[5]Apple!$A$3:$L$176,I$1,FALSE)</f>
        <v>1</v>
      </c>
      <c r="U153" t="b">
        <f>+J153=VLOOKUP($B153,[5]Apple!$A$3:$L$176,J$1,FALSE)</f>
        <v>1</v>
      </c>
      <c r="V153" t="b">
        <f>+K153=VLOOKUP($B153,[5]Apple!$A$3:$L$176,K$1,FALSE)</f>
        <v>1</v>
      </c>
      <c r="W153" t="b">
        <f>+L153=VLOOKUP($B153,[5]Apple!$A$3:$L$176,L$1,FALSE)</f>
        <v>1</v>
      </c>
      <c r="X153" t="b">
        <f>+M153=VLOOKUP($B153,[5]Apple!$A$3:$L$176,M$1,FALSE)</f>
        <v>1</v>
      </c>
      <c r="Y153" s="31" t="str">
        <f>+VLOOKUP(C153,'Country &amp; Code Abbreviation'!$C$3:$D$245,2,FALSE)</f>
        <v>CHE</v>
      </c>
    </row>
    <row r="154" spans="2:25" ht="12.75" customHeight="1">
      <c r="B154" t="s">
        <v>290</v>
      </c>
      <c r="C154" s="31" t="str">
        <f>+VLOOKUP(B154,'Country &amp; Code Abbreviation'!$B$3:$C$245,2,FALSE)</f>
        <v>TW</v>
      </c>
      <c r="D154" s="31" t="str">
        <f>+VLOOKUP(B154,'INT Web'!$B$5:$Q$247,16,FALSE)</f>
        <v>TWD</v>
      </c>
      <c r="E154" s="32" t="s">
        <v>402</v>
      </c>
      <c r="F154" s="33">
        <f>+IF($D154=$E154,VLOOKUP($B154,'INT Web'!$B$5:$W$247,'INT Web'!R$1,FALSE),MROUND(VLOOKUP($B154,'INT Web'!$B$5:$AQ$247,'INT Web'!AL$1,FALSE),1)-0.01)</f>
        <v>3590</v>
      </c>
      <c r="G154" s="33">
        <f>+IF($D154=$E154,VLOOKUP($B154,'INT Web'!$B$5:$W$247,'INT Web'!S$1,FALSE),MROUND(VLOOKUP($B154,'INT Web'!$B$5:$AQ$247,'INT Web'!AM$1,FALSE),1)-0.01)</f>
        <v>540</v>
      </c>
      <c r="H154" s="72">
        <v>2700</v>
      </c>
      <c r="I154" s="33">
        <f>+IF($D154=$E154,VLOOKUP($B154,'INT Web'!$B$5:$W$247,'INT Web'!U$1,FALSE),MROUND(VLOOKUP($B154,'INT Web'!$B$5:$AQ$247,'INT Web'!AO$1,FALSE),1)-0.01)</f>
        <v>390</v>
      </c>
      <c r="J154" s="34">
        <v>130</v>
      </c>
      <c r="K154" s="34">
        <v>130</v>
      </c>
      <c r="L154" s="34">
        <v>70</v>
      </c>
      <c r="M154" s="34">
        <v>70</v>
      </c>
      <c r="N154" s="35"/>
      <c r="O154" s="32" t="s">
        <v>364</v>
      </c>
      <c r="Q154" t="b">
        <f>+F154=VLOOKUP($B154,[5]Apple!$A$3:$L$176,F$1,FALSE)</f>
        <v>1</v>
      </c>
      <c r="R154" t="b">
        <f>+G154=VLOOKUP($B154,[5]Apple!$A$3:$L$176,G$1,FALSE)</f>
        <v>1</v>
      </c>
      <c r="S154" t="b">
        <f>+H154=VLOOKUP($B154,[5]Apple!$A$3:$L$176,H$1,FALSE)</f>
        <v>1</v>
      </c>
      <c r="T154" t="b">
        <f>+I154=VLOOKUP($B154,[5]Apple!$A$3:$L$176,I$1,FALSE)</f>
        <v>1</v>
      </c>
      <c r="U154" t="b">
        <f>+J154=VLOOKUP($B154,[5]Apple!$A$3:$L$176,J$1,FALSE)</f>
        <v>1</v>
      </c>
      <c r="V154" t="b">
        <f>+K154=VLOOKUP($B154,[5]Apple!$A$3:$L$176,K$1,FALSE)</f>
        <v>1</v>
      </c>
      <c r="W154" t="b">
        <f>+L154=VLOOKUP($B154,[5]Apple!$A$3:$L$176,L$1,FALSE)</f>
        <v>1</v>
      </c>
      <c r="X154" t="b">
        <f>+M154=VLOOKUP($B154,[5]Apple!$A$3:$L$176,M$1,FALSE)</f>
        <v>1</v>
      </c>
      <c r="Y154" s="31" t="str">
        <f>+VLOOKUP(C154,'Country &amp; Code Abbreviation'!$C$3:$D$245,2,FALSE)</f>
        <v>TWN</v>
      </c>
    </row>
    <row r="155" spans="2:25">
      <c r="B155" t="s">
        <v>291</v>
      </c>
      <c r="C155" s="31" t="str">
        <f>+VLOOKUP(B155,'Country &amp; Code Abbreviation'!$B$3:$C$245,2,FALSE)</f>
        <v>TJ</v>
      </c>
      <c r="D155" s="31" t="str">
        <f>+VLOOKUP(B155,'INT Web'!$B$5:$Q$247,16,FALSE)</f>
        <v>USD</v>
      </c>
      <c r="E155" s="32" t="s">
        <v>346</v>
      </c>
      <c r="F155" s="33">
        <f>+IF($D155=$E155,VLOOKUP($B155,'INT Web'!$B$5:$W$247,'INT Web'!R$1,FALSE),MROUND(VLOOKUP($B155,'INT Web'!$B$5:$AQ$247,'INT Web'!AL$1,FALSE),1)-0.01)</f>
        <v>71.989999999999995</v>
      </c>
      <c r="G155" s="33">
        <f>+IF($D155=$E155,VLOOKUP($B155,'INT Web'!$B$5:$W$247,'INT Web'!S$1,FALSE),MROUND(VLOOKUP($B155,'INT Web'!$B$5:$AQ$247,'INT Web'!AM$1,FALSE),1)-0.01)</f>
        <v>11.99</v>
      </c>
      <c r="H155" s="33">
        <f>+IF($D155=$E155,VLOOKUP($B155,'INT Web'!$B$5:$W$247,'INT Web'!T$1,FALSE),MROUND(VLOOKUP($B155,'INT Web'!$B$5:$AQ$247,'INT Web'!AN$1,FALSE),1)-0.01)</f>
        <v>53.99</v>
      </c>
      <c r="I155" s="33">
        <f>+IF($D155=$E155,VLOOKUP($B155,'INT Web'!$B$5:$W$247,'INT Web'!U$1,FALSE),MROUND(VLOOKUP($B155,'INT Web'!$B$5:$AQ$247,'INT Web'!AO$1,FALSE),1)-0.01)</f>
        <v>8.99</v>
      </c>
      <c r="J155" s="34">
        <v>3.49</v>
      </c>
      <c r="K155" s="34">
        <v>3.49</v>
      </c>
      <c r="L155" s="34">
        <v>1.19</v>
      </c>
      <c r="M155" s="34">
        <v>1.19</v>
      </c>
      <c r="N155" s="35"/>
      <c r="O155" s="32" t="s">
        <v>364</v>
      </c>
      <c r="Q155" t="b">
        <f>+F155=VLOOKUP($B155,[5]Apple!$A$3:$L$176,F$1,FALSE)</f>
        <v>1</v>
      </c>
      <c r="R155" t="b">
        <f>+G155=VLOOKUP($B155,[5]Apple!$A$3:$L$176,G$1,FALSE)</f>
        <v>1</v>
      </c>
      <c r="S155" t="b">
        <f>+H155=VLOOKUP($B155,[5]Apple!$A$3:$L$176,H$1,FALSE)</f>
        <v>1</v>
      </c>
      <c r="T155" t="b">
        <f>+I155=VLOOKUP($B155,[5]Apple!$A$3:$L$176,I$1,FALSE)</f>
        <v>1</v>
      </c>
      <c r="U155" t="b">
        <f>+J155=VLOOKUP($B155,[5]Apple!$A$3:$L$176,J$1,FALSE)</f>
        <v>1</v>
      </c>
      <c r="V155" t="b">
        <f>+K155=VLOOKUP($B155,[5]Apple!$A$3:$L$176,K$1,FALSE)</f>
        <v>1</v>
      </c>
      <c r="W155" t="b">
        <f>+L155=VLOOKUP($B155,[5]Apple!$A$3:$L$176,L$1,FALSE)</f>
        <v>1</v>
      </c>
      <c r="X155" t="b">
        <f>+M155=VLOOKUP($B155,[5]Apple!$A$3:$L$176,M$1,FALSE)</f>
        <v>1</v>
      </c>
      <c r="Y155" s="31" t="str">
        <f>+VLOOKUP(C155,'Country &amp; Code Abbreviation'!$C$3:$D$245,2,FALSE)</f>
        <v>TJK</v>
      </c>
    </row>
    <row r="156" spans="2:25">
      <c r="B156" t="s">
        <v>292</v>
      </c>
      <c r="C156" s="31" t="str">
        <f>+VLOOKUP(B156,'Country &amp; Code Abbreviation'!$B$3:$C$245,2,FALSE)</f>
        <v>TZ</v>
      </c>
      <c r="D156" s="31" t="str">
        <f>+VLOOKUP(B156,'INT Web'!$B$5:$Q$247,16,FALSE)</f>
        <v>TZS</v>
      </c>
      <c r="E156" s="32" t="s">
        <v>403</v>
      </c>
      <c r="F156" s="72">
        <v>169000</v>
      </c>
      <c r="G156" s="72">
        <v>28000</v>
      </c>
      <c r="H156" s="72">
        <v>125900</v>
      </c>
      <c r="I156" s="33">
        <f>+IF($D156=$E156,VLOOKUP($B156,'INT Web'!$B$5:$W$247,'INT Web'!U$1,FALSE),MROUND(VLOOKUP($B156,'INT Web'!$B$5:$AQ$247,'INT Web'!AO$1,FALSE),1)-0.01)</f>
        <v>20900</v>
      </c>
      <c r="J156" s="34">
        <v>8900</v>
      </c>
      <c r="K156" s="34">
        <v>8900</v>
      </c>
      <c r="L156" s="34">
        <v>4500</v>
      </c>
      <c r="M156" s="34">
        <v>4500</v>
      </c>
      <c r="N156" s="35"/>
      <c r="O156" s="32" t="s">
        <v>364</v>
      </c>
      <c r="Q156" t="b">
        <f>+F156=VLOOKUP($B156,[5]Apple!$A$3:$L$176,F$1,FALSE)</f>
        <v>1</v>
      </c>
      <c r="R156" t="b">
        <f>+G156=VLOOKUP($B156,[5]Apple!$A$3:$L$176,G$1,FALSE)</f>
        <v>1</v>
      </c>
      <c r="S156" t="b">
        <f>+H156=VLOOKUP($B156,[5]Apple!$A$3:$L$176,H$1,FALSE)</f>
        <v>1</v>
      </c>
      <c r="T156" t="b">
        <f>+I156=VLOOKUP($B156,[5]Apple!$A$3:$L$176,I$1,FALSE)</f>
        <v>1</v>
      </c>
      <c r="U156" t="b">
        <f>+J156=VLOOKUP($B156,[5]Apple!$A$3:$L$176,J$1,FALSE)</f>
        <v>1</v>
      </c>
      <c r="V156" t="b">
        <f>+K156=VLOOKUP($B156,[5]Apple!$A$3:$L$176,K$1,FALSE)</f>
        <v>1</v>
      </c>
      <c r="W156" t="b">
        <f>+L156=VLOOKUP($B156,[5]Apple!$A$3:$L$176,L$1,FALSE)</f>
        <v>1</v>
      </c>
      <c r="X156" t="b">
        <f>+M156=VLOOKUP($B156,[5]Apple!$A$3:$L$176,M$1,FALSE)</f>
        <v>1</v>
      </c>
      <c r="Y156" s="31" t="str">
        <f>+VLOOKUP(C156,'Country &amp; Code Abbreviation'!$C$3:$D$245,2,FALSE)</f>
        <v>TZA</v>
      </c>
    </row>
    <row r="157" spans="2:25">
      <c r="B157" t="s">
        <v>293</v>
      </c>
      <c r="C157" s="31" t="str">
        <f>+VLOOKUP(B157,'Country &amp; Code Abbreviation'!$B$3:$C$245,2,FALSE)</f>
        <v>TH</v>
      </c>
      <c r="D157" s="31" t="str">
        <f>+VLOOKUP(B157,'INT Web'!$B$5:$Q$247,16,FALSE)</f>
        <v>THB</v>
      </c>
      <c r="E157" s="32" t="s">
        <v>404</v>
      </c>
      <c r="F157" s="72">
        <v>2900</v>
      </c>
      <c r="G157" s="33">
        <f>+IF($D157=$E157,VLOOKUP($B157,'INT Web'!$B$5:$W$247,'INT Web'!S$1,FALSE),MROUND(VLOOKUP($B157,'INT Web'!$B$5:$AQ$247,'INT Web'!AM$1,FALSE),1)-0.01)</f>
        <v>449</v>
      </c>
      <c r="H157" s="33">
        <f>+IF($D157=$E157,VLOOKUP($B157,'INT Web'!$B$5:$W$247,'INT Web'!T$1,FALSE),MROUND(VLOOKUP($B157,'INT Web'!$B$5:$AQ$247,'INT Web'!AN$1,FALSE),1)-0.01)</f>
        <v>2100</v>
      </c>
      <c r="I157" s="33">
        <f>+IF($D157=$E157,VLOOKUP($B157,'INT Web'!$B$5:$W$247,'INT Web'!U$1,FALSE),MROUND(VLOOKUP($B157,'INT Web'!$B$5:$AQ$247,'INT Web'!AO$1,FALSE),1)-0.01)</f>
        <v>300</v>
      </c>
      <c r="J157" s="34">
        <v>149</v>
      </c>
      <c r="K157" s="34">
        <v>149</v>
      </c>
      <c r="L157" s="34">
        <v>69</v>
      </c>
      <c r="M157" s="34">
        <v>69</v>
      </c>
      <c r="N157" s="35"/>
      <c r="O157" s="32" t="s">
        <v>364</v>
      </c>
      <c r="Q157" t="b">
        <f>+F157=VLOOKUP($B157,[5]Apple!$A$3:$L$176,F$1,FALSE)</f>
        <v>1</v>
      </c>
      <c r="R157" t="b">
        <f>+G157=VLOOKUP($B157,[5]Apple!$A$3:$L$176,G$1,FALSE)</f>
        <v>1</v>
      </c>
      <c r="S157" t="b">
        <f>+H157=VLOOKUP($B157,[5]Apple!$A$3:$L$176,H$1,FALSE)</f>
        <v>1</v>
      </c>
      <c r="T157" t="b">
        <f>+I157=VLOOKUP($B157,[5]Apple!$A$3:$L$176,I$1,FALSE)</f>
        <v>1</v>
      </c>
      <c r="U157" t="b">
        <f>+J157=VLOOKUP($B157,[5]Apple!$A$3:$L$176,J$1,FALSE)</f>
        <v>1</v>
      </c>
      <c r="V157" t="b">
        <f>+K157=VLOOKUP($B157,[5]Apple!$A$3:$L$176,K$1,FALSE)</f>
        <v>1</v>
      </c>
      <c r="W157" t="b">
        <f>+L157=VLOOKUP($B157,[5]Apple!$A$3:$L$176,L$1,FALSE)</f>
        <v>1</v>
      </c>
      <c r="X157" t="b">
        <f>+M157=VLOOKUP($B157,[5]Apple!$A$3:$L$176,M$1,FALSE)</f>
        <v>1</v>
      </c>
      <c r="Y157" s="31" t="str">
        <f>+VLOOKUP(C157,'Country &amp; Code Abbreviation'!$C$3:$D$245,2,FALSE)</f>
        <v>THA</v>
      </c>
    </row>
    <row r="158" spans="2:25">
      <c r="B158" t="s">
        <v>297</v>
      </c>
      <c r="C158" s="31" t="str">
        <f>+VLOOKUP(B158,'Country &amp; Code Abbreviation'!$B$3:$C$245,2,FALSE)</f>
        <v>TO</v>
      </c>
      <c r="D158" s="31" t="str">
        <f>+VLOOKUP(B158,'INT Web'!$B$5:$Q$247,16,FALSE)</f>
        <v>TOP</v>
      </c>
      <c r="E158" s="32" t="s">
        <v>346</v>
      </c>
      <c r="F158" s="34">
        <v>79.989999999999995</v>
      </c>
      <c r="G158" s="33">
        <f>+IF($D158=$E158,VLOOKUP($B158,'INT Web'!$B$5:$W$247,'INT Web'!S$1,FALSE),MROUND(VLOOKUP($B158,'INT Web'!$B$5:$AQ$247,'INT Web'!AM$1,FALSE),1)-0.01)</f>
        <v>12.99</v>
      </c>
      <c r="H158" s="34">
        <v>58.99</v>
      </c>
      <c r="I158" s="33">
        <f>+IF($D158=$E158,VLOOKUP($B158,'INT Web'!$B$5:$W$247,'INT Web'!U$1,FALSE),MROUND(VLOOKUP($B158,'INT Web'!$B$5:$AQ$247,'INT Web'!AO$1,FALSE),1)-0.01)</f>
        <v>9.99</v>
      </c>
      <c r="J158" s="34">
        <v>3.99</v>
      </c>
      <c r="K158" s="34">
        <v>2.99</v>
      </c>
      <c r="L158" s="34">
        <v>1.99</v>
      </c>
      <c r="M158" s="34">
        <v>0.99</v>
      </c>
      <c r="N158" s="35"/>
      <c r="O158" s="32" t="s">
        <v>366</v>
      </c>
      <c r="Q158" t="b">
        <f>+F158=VLOOKUP($B158,[5]Apple!$A$3:$L$176,F$1,FALSE)</f>
        <v>1</v>
      </c>
      <c r="R158" t="b">
        <f>+G158=VLOOKUP($B158,[5]Apple!$A$3:$L$176,G$1,FALSE)</f>
        <v>1</v>
      </c>
      <c r="S158" t="b">
        <f>+H158=VLOOKUP($B158,[5]Apple!$A$3:$L$176,H$1,FALSE)</f>
        <v>1</v>
      </c>
      <c r="T158" t="b">
        <f>+I158=VLOOKUP($B158,[5]Apple!$A$3:$L$176,I$1,FALSE)</f>
        <v>1</v>
      </c>
      <c r="U158" t="b">
        <f>+J158=VLOOKUP($B158,[5]Apple!$A$3:$L$176,J$1,FALSE)</f>
        <v>1</v>
      </c>
      <c r="V158" t="b">
        <f>+K158=VLOOKUP($B158,[5]Apple!$A$3:$L$176,K$1,FALSE)</f>
        <v>1</v>
      </c>
      <c r="W158" t="b">
        <f>+L158=VLOOKUP($B158,[5]Apple!$A$3:$L$176,L$1,FALSE)</f>
        <v>1</v>
      </c>
      <c r="X158" t="b">
        <f>+M158=VLOOKUP($B158,[5]Apple!$A$3:$L$176,M$1,FALSE)</f>
        <v>1</v>
      </c>
      <c r="Y158" s="31" t="str">
        <f>+VLOOKUP(C158,'Country &amp; Code Abbreviation'!$C$3:$D$245,2,FALSE)</f>
        <v>TON</v>
      </c>
    </row>
    <row r="159" spans="2:25">
      <c r="B159" t="s">
        <v>405</v>
      </c>
      <c r="C159" s="31" t="str">
        <f>+VLOOKUP(B159,'Country &amp; Code Abbreviation'!$B$3:$C$245,2,FALSE)</f>
        <v>TT</v>
      </c>
      <c r="D159" s="31" t="str">
        <f>+VLOOKUP(B159,'INT Web'!$B$5:$Q$247,16,FALSE)</f>
        <v>TTD</v>
      </c>
      <c r="E159" s="32" t="s">
        <v>346</v>
      </c>
      <c r="F159" s="34">
        <v>101.99</v>
      </c>
      <c r="G159" s="33">
        <f>+IF($D159=$E159,VLOOKUP($B159,'INT Web'!$B$5:$W$247,'INT Web'!S$1,FALSE),MROUND(VLOOKUP($B159,'INT Web'!$B$5:$AQ$247,'INT Web'!AM$1,FALSE),1)-0.01)</f>
        <v>16.989999999999998</v>
      </c>
      <c r="H159" s="33">
        <f>+IF($D159=$E159,VLOOKUP($B159,'INT Web'!$B$5:$W$247,'INT Web'!T$1,FALSE),MROUND(VLOOKUP($B159,'INT Web'!$B$5:$AQ$247,'INT Web'!AN$1,FALSE),1)-0.01)</f>
        <v>71.989999999999995</v>
      </c>
      <c r="I159" s="33">
        <f>+IF($D159=$E159,VLOOKUP($B159,'INT Web'!$B$5:$W$247,'INT Web'!U$1,FALSE),MROUND(VLOOKUP($B159,'INT Web'!$B$5:$AQ$247,'INT Web'!AO$1,FALSE),1)-0.01)</f>
        <v>11.99</v>
      </c>
      <c r="J159" s="34">
        <v>3.99</v>
      </c>
      <c r="K159" s="34">
        <v>3.99</v>
      </c>
      <c r="L159" s="34">
        <v>2.99</v>
      </c>
      <c r="M159" s="34">
        <v>1.99</v>
      </c>
      <c r="N159" s="35"/>
      <c r="O159" s="32" t="s">
        <v>366</v>
      </c>
      <c r="Q159" t="b">
        <f>+F159=VLOOKUP($B159,[5]Apple!$A$3:$L$176,F$1,FALSE)</f>
        <v>1</v>
      </c>
      <c r="R159" t="b">
        <f>+G159=VLOOKUP($B159,[5]Apple!$A$3:$L$176,G$1,FALSE)</f>
        <v>1</v>
      </c>
      <c r="S159" t="b">
        <f>+H159=VLOOKUP($B159,[5]Apple!$A$3:$L$176,H$1,FALSE)</f>
        <v>1</v>
      </c>
      <c r="T159" t="b">
        <f>+I159=VLOOKUP($B159,[5]Apple!$A$3:$L$176,I$1,FALSE)</f>
        <v>1</v>
      </c>
      <c r="U159" t="b">
        <f>+J159=VLOOKUP($B159,[5]Apple!$A$3:$L$176,J$1,FALSE)</f>
        <v>1</v>
      </c>
      <c r="V159" t="b">
        <f>+K159=VLOOKUP($B159,[5]Apple!$A$3:$L$176,K$1,FALSE)</f>
        <v>1</v>
      </c>
      <c r="W159" t="b">
        <f>+L159=VLOOKUP($B159,[5]Apple!$A$3:$L$176,L$1,FALSE)</f>
        <v>1</v>
      </c>
      <c r="X159" t="b">
        <f>+M159=VLOOKUP($B159,[5]Apple!$A$3:$L$176,M$1,FALSE)</f>
        <v>1</v>
      </c>
      <c r="Y159" s="31" t="str">
        <f>+VLOOKUP(C159,'Country &amp; Code Abbreviation'!$C$3:$D$245,2,FALSE)</f>
        <v>TTO</v>
      </c>
    </row>
    <row r="160" spans="2:25">
      <c r="B160" t="s">
        <v>299</v>
      </c>
      <c r="C160" s="31" t="str">
        <f>+VLOOKUP(B160,'Country &amp; Code Abbreviation'!$B$3:$C$245,2,FALSE)</f>
        <v>TN</v>
      </c>
      <c r="D160" s="31" t="str">
        <f>+VLOOKUP(B160,'INT Web'!$B$5:$Q$247,16,FALSE)</f>
        <v>TND</v>
      </c>
      <c r="E160" s="32" t="s">
        <v>346</v>
      </c>
      <c r="F160" s="34">
        <v>69.989999999999995</v>
      </c>
      <c r="G160" s="33">
        <f>+VLOOKUP($B160,[5]Apple!$A$4:$M$175,[5]Apple!F$1,FALSE)</f>
        <v>11.99</v>
      </c>
      <c r="H160" s="33">
        <f>+VLOOKUP($B160,[5]Apple!$A$4:$M$175,[5]Apple!G$1,FALSE)</f>
        <v>51.99</v>
      </c>
      <c r="I160" s="33">
        <f>+IF($D160=$E160,VLOOKUP($B160,'INT Web'!$B$5:$W$247,'INT Web'!U$1,FALSE),MROUND(VLOOKUP($B160,'INT Web'!$B$5:$AQ$247,'INT Web'!AO$1,FALSE),1)-0.01)</f>
        <v>8.99</v>
      </c>
      <c r="J160" s="34">
        <v>2.99</v>
      </c>
      <c r="K160" s="34">
        <v>2.99</v>
      </c>
      <c r="L160" s="34">
        <v>1.99</v>
      </c>
      <c r="M160" s="34">
        <v>1.99</v>
      </c>
      <c r="N160" s="35"/>
      <c r="O160" s="32" t="s">
        <v>364</v>
      </c>
      <c r="Q160" t="b">
        <f>+F160=VLOOKUP($B160,[5]Apple!$A$3:$L$176,F$1,FALSE)</f>
        <v>1</v>
      </c>
      <c r="R160" t="b">
        <f>+G160=VLOOKUP($B160,[5]Apple!$A$3:$L$176,G$1,FALSE)</f>
        <v>1</v>
      </c>
      <c r="S160" t="b">
        <f>+H160=VLOOKUP($B160,[5]Apple!$A$3:$L$176,H$1,FALSE)</f>
        <v>1</v>
      </c>
      <c r="T160" t="b">
        <f>+I160=VLOOKUP($B160,[5]Apple!$A$3:$L$176,I$1,FALSE)</f>
        <v>1</v>
      </c>
      <c r="U160" t="b">
        <f>+J160=VLOOKUP($B160,[5]Apple!$A$3:$L$176,J$1,FALSE)</f>
        <v>1</v>
      </c>
      <c r="V160" t="b">
        <f>+K160=VLOOKUP($B160,[5]Apple!$A$3:$L$176,K$1,FALSE)</f>
        <v>1</v>
      </c>
      <c r="W160" t="b">
        <f>+L160=VLOOKUP($B160,[5]Apple!$A$3:$L$176,L$1,FALSE)</f>
        <v>1</v>
      </c>
      <c r="X160" t="b">
        <f>+M160=VLOOKUP($B160,[5]Apple!$A$3:$L$176,M$1,FALSE)</f>
        <v>1</v>
      </c>
      <c r="Y160" s="31" t="str">
        <f>+VLOOKUP(C160,'Country &amp; Code Abbreviation'!$C$3:$D$245,2,FALSE)</f>
        <v>TUN</v>
      </c>
    </row>
    <row r="161" spans="2:25">
      <c r="B161" s="73" t="s">
        <v>300</v>
      </c>
      <c r="C161" s="110" t="str">
        <f>+VLOOKUP(B161,'Country &amp; Code Abbreviation'!$B$3:$C$245,2,FALSE)</f>
        <v>TR</v>
      </c>
      <c r="D161" s="31" t="str">
        <f>+VLOOKUP(B161,'INT Web'!$B$5:$Q$247,16,FALSE)</f>
        <v>TRY</v>
      </c>
      <c r="E161" s="32" t="s">
        <v>406</v>
      </c>
      <c r="F161" s="123">
        <v>2349.9899999999998</v>
      </c>
      <c r="G161" s="123">
        <v>359</v>
      </c>
      <c r="H161" s="123">
        <v>1719.99</v>
      </c>
      <c r="I161" s="109">
        <f>+IF($D161=$E161,VLOOKUP($B161,'INT Web'!$B$5:$W$247,'INT Web'!U$1,FALSE),MROUND(VLOOKUP($B161,'INT Web'!$B$5:$AQ$247,'INT Web'!AO$1,FALSE),1)-0.01)</f>
        <v>204.99</v>
      </c>
      <c r="J161" s="267">
        <v>99.99</v>
      </c>
      <c r="K161" s="267">
        <v>99.99</v>
      </c>
      <c r="L161" s="267">
        <v>56.99</v>
      </c>
      <c r="M161" s="267">
        <v>56.99</v>
      </c>
      <c r="N161" s="35"/>
      <c r="O161" s="32" t="s">
        <v>364</v>
      </c>
      <c r="Q161" t="b">
        <f>+F161=VLOOKUP($B161,[5]Apple!$A$3:$L$176,F$1,FALSE)</f>
        <v>0</v>
      </c>
      <c r="R161" t="b">
        <f>+G161=VLOOKUP($B161,[5]Apple!$A$3:$L$176,G$1,FALSE)</f>
        <v>0</v>
      </c>
      <c r="S161" t="b">
        <f>+H161=VLOOKUP($B161,[5]Apple!$A$3:$L$176,H$1,FALSE)</f>
        <v>0</v>
      </c>
      <c r="T161" t="b">
        <f>+I161=VLOOKUP($B161,[5]Apple!$A$3:$L$176,I$1,FALSE)</f>
        <v>0</v>
      </c>
      <c r="U161" t="b">
        <f>+J161=VLOOKUP($B161,[5]Apple!$A$3:$L$176,J$1,FALSE)</f>
        <v>0</v>
      </c>
      <c r="V161" t="b">
        <f>+K161=VLOOKUP($B161,[5]Apple!$A$3:$L$176,K$1,FALSE)</f>
        <v>0</v>
      </c>
      <c r="W161" t="b">
        <f>+L161=VLOOKUP($B161,[5]Apple!$A$3:$L$176,L$1,FALSE)</f>
        <v>0</v>
      </c>
      <c r="X161" t="b">
        <f>+M161=VLOOKUP($B161,[5]Apple!$A$3:$L$176,M$1,FALSE)</f>
        <v>0</v>
      </c>
      <c r="Y161" s="31" t="str">
        <f>+VLOOKUP(C161,'Country &amp; Code Abbreviation'!$C$3:$D$245,2,FALSE)</f>
        <v>TUR</v>
      </c>
    </row>
    <row r="162" spans="2:25">
      <c r="B162" t="s">
        <v>301</v>
      </c>
      <c r="C162" s="31" t="str">
        <f>+VLOOKUP(B162,'Country &amp; Code Abbreviation'!$B$3:$C$245,2,FALSE)</f>
        <v>TM</v>
      </c>
      <c r="D162" s="31" t="str">
        <f>+VLOOKUP(B162,'INT Web'!$B$5:$Q$247,16,FALSE)</f>
        <v>USD</v>
      </c>
      <c r="E162" s="32" t="s">
        <v>346</v>
      </c>
      <c r="F162" s="33">
        <f>+IF($D162=$E162,VLOOKUP($B162,'INT Web'!$B$5:$W$247,'INT Web'!R$1,FALSE),MROUND(VLOOKUP($B162,'INT Web'!$B$5:$AQ$247,'INT Web'!AL$1,FALSE),1)-0.01)</f>
        <v>89.99</v>
      </c>
      <c r="G162" s="33">
        <f>+IF($D162=$E162,VLOOKUP($B162,'INT Web'!$B$5:$W$247,'INT Web'!S$1,FALSE),MROUND(VLOOKUP($B162,'INT Web'!$B$5:$AQ$247,'INT Web'!AM$1,FALSE),1)-0.01)</f>
        <v>14.99</v>
      </c>
      <c r="H162" s="33">
        <f>+IF($D162=$E162,VLOOKUP($B162,'INT Web'!$B$5:$W$247,'INT Web'!T$1,FALSE),MROUND(VLOOKUP($B162,'INT Web'!$B$5:$AQ$247,'INT Web'!AN$1,FALSE),1)-0.01)</f>
        <v>65.989999999999995</v>
      </c>
      <c r="I162" s="33">
        <f>+IF($D162=$E162,VLOOKUP($B162,'INT Web'!$B$5:$W$247,'INT Web'!U$1,FALSE),MROUND(VLOOKUP($B162,'INT Web'!$B$5:$AQ$247,'INT Web'!AO$1,FALSE),1)-0.01)</f>
        <v>10.99</v>
      </c>
      <c r="J162" s="34">
        <v>4.99</v>
      </c>
      <c r="K162" s="34">
        <v>3.99</v>
      </c>
      <c r="L162" s="34">
        <v>2.99</v>
      </c>
      <c r="M162" s="34">
        <v>1.9900000000000002</v>
      </c>
      <c r="N162" s="35"/>
      <c r="O162" s="32" t="s">
        <v>366</v>
      </c>
      <c r="Q162" t="b">
        <f>+F162=VLOOKUP($B162,[5]Apple!$A$3:$L$176,F$1,FALSE)</f>
        <v>1</v>
      </c>
      <c r="R162" t="b">
        <f>+G162=VLOOKUP($B162,[5]Apple!$A$3:$L$176,G$1,FALSE)</f>
        <v>1</v>
      </c>
      <c r="S162" t="b">
        <f>+H162=VLOOKUP($B162,[5]Apple!$A$3:$L$176,H$1,FALSE)</f>
        <v>1</v>
      </c>
      <c r="T162" t="b">
        <f>+I162=VLOOKUP($B162,[5]Apple!$A$3:$L$176,I$1,FALSE)</f>
        <v>1</v>
      </c>
      <c r="U162" t="b">
        <f>+J162=VLOOKUP($B162,[5]Apple!$A$3:$L$176,J$1,FALSE)</f>
        <v>1</v>
      </c>
      <c r="V162" t="b">
        <f>+K162=VLOOKUP($B162,[5]Apple!$A$3:$L$176,K$1,FALSE)</f>
        <v>1</v>
      </c>
      <c r="W162" t="b">
        <f>+L162=VLOOKUP($B162,[5]Apple!$A$3:$L$176,L$1,FALSE)</f>
        <v>1</v>
      </c>
      <c r="X162" t="b">
        <f>+M162=VLOOKUP($B162,[5]Apple!$A$3:$L$176,M$1,FALSE)</f>
        <v>1</v>
      </c>
      <c r="Y162" s="31" t="str">
        <f>+VLOOKUP(C162,'Country &amp; Code Abbreviation'!$C$3:$D$245,2,FALSE)</f>
        <v>TKM</v>
      </c>
    </row>
    <row r="163" spans="2:25">
      <c r="B163" t="s">
        <v>407</v>
      </c>
      <c r="C163" s="31" t="str">
        <f>+VLOOKUP(B163,'Country &amp; Code Abbreviation'!$B$3:$C$245,2,FALSE)</f>
        <v>TC</v>
      </c>
      <c r="D163" s="31" t="str">
        <f>+VLOOKUP(B163,'INT Web'!$B$5:$Q$247,16,FALSE)</f>
        <v>USD</v>
      </c>
      <c r="E163" s="32" t="s">
        <v>346</v>
      </c>
      <c r="F163" s="33">
        <f>+IF($D163=$E163,VLOOKUP($B163,'INT Web'!$B$5:$W$247,'INT Web'!R$1,FALSE),MROUND(VLOOKUP($B163,'INT Web'!$B$5:$AQ$247,'INT Web'!AL$1,FALSE),1)-0.01)</f>
        <v>102.99</v>
      </c>
      <c r="G163" s="33">
        <f>+IF($D163=$E163,VLOOKUP($B163,'INT Web'!$B$5:$W$247,'INT Web'!S$1,FALSE),MROUND(VLOOKUP($B163,'INT Web'!$B$5:$AQ$247,'INT Web'!AM$1,FALSE),1)-0.01)</f>
        <v>16.989999999999998</v>
      </c>
      <c r="H163" s="33">
        <f>+IF($D163=$E163,VLOOKUP($B163,'INT Web'!$B$5:$W$247,'INT Web'!T$1,FALSE),MROUND(VLOOKUP($B163,'INT Web'!$B$5:$AQ$247,'INT Web'!AN$1,FALSE),1)-0.01)</f>
        <v>71.989999999999995</v>
      </c>
      <c r="I163" s="33">
        <f>+IF($D163=$E163,VLOOKUP($B163,'INT Web'!$B$5:$W$247,'INT Web'!U$1,FALSE),MROUND(VLOOKUP($B163,'INT Web'!$B$5:$AQ$247,'INT Web'!AO$1,FALSE),1)-0.01)</f>
        <v>11.99</v>
      </c>
      <c r="J163" s="34">
        <v>4.99</v>
      </c>
      <c r="K163" s="34">
        <v>3.99</v>
      </c>
      <c r="L163" s="34">
        <v>2.99</v>
      </c>
      <c r="M163" s="34">
        <v>1.9900000000000002</v>
      </c>
      <c r="N163" s="35"/>
      <c r="O163" s="32" t="s">
        <v>366</v>
      </c>
      <c r="Q163" t="b">
        <f>+F163=VLOOKUP($B163,[5]Apple!$A$3:$L$176,F$1,FALSE)</f>
        <v>1</v>
      </c>
      <c r="R163" t="b">
        <f>+G163=VLOOKUP($B163,[5]Apple!$A$3:$L$176,G$1,FALSE)</f>
        <v>1</v>
      </c>
      <c r="S163" t="b">
        <f>+H163=VLOOKUP($B163,[5]Apple!$A$3:$L$176,H$1,FALSE)</f>
        <v>1</v>
      </c>
      <c r="T163" t="b">
        <f>+I163=VLOOKUP($B163,[5]Apple!$A$3:$L$176,I$1,FALSE)</f>
        <v>1</v>
      </c>
      <c r="U163" t="b">
        <f>+J163=VLOOKUP($B163,[5]Apple!$A$3:$L$176,J$1,FALSE)</f>
        <v>1</v>
      </c>
      <c r="V163" t="b">
        <f>+K163=VLOOKUP($B163,[5]Apple!$A$3:$L$176,K$1,FALSE)</f>
        <v>1</v>
      </c>
      <c r="W163" t="b">
        <f>+L163=VLOOKUP($B163,[5]Apple!$A$3:$L$176,L$1,FALSE)</f>
        <v>1</v>
      </c>
      <c r="X163" t="b">
        <f>+M163=VLOOKUP($B163,[5]Apple!$A$3:$L$176,M$1,FALSE)</f>
        <v>1</v>
      </c>
      <c r="Y163" s="31" t="str">
        <f>+VLOOKUP(C163,'Country &amp; Code Abbreviation'!$C$3:$D$245,2,FALSE)</f>
        <v>TCA</v>
      </c>
    </row>
    <row r="164" spans="2:25">
      <c r="B164" t="s">
        <v>304</v>
      </c>
      <c r="C164" s="31" t="str">
        <f>+VLOOKUP(B164,'Country &amp; Code Abbreviation'!$B$3:$C$245,2,FALSE)</f>
        <v>UG</v>
      </c>
      <c r="D164" s="31" t="str">
        <f>+VLOOKUP(B164,'INT Web'!$B$5:$Q$247,16,FALSE)</f>
        <v>UGX</v>
      </c>
      <c r="E164" s="32" t="s">
        <v>346</v>
      </c>
      <c r="F164" s="34">
        <v>72.989999999999995</v>
      </c>
      <c r="G164" s="33">
        <f>+IF($D164=$E164,VLOOKUP($B164,'INT Web'!$B$5:$W$247,'INT Web'!S$1,FALSE),MROUND(VLOOKUP($B164,'INT Web'!$B$5:$AQ$247,'INT Web'!AM$1,FALSE),1)-0.01)</f>
        <v>11.99</v>
      </c>
      <c r="H164" s="34">
        <v>53.99</v>
      </c>
      <c r="I164" s="33">
        <f>+IF($D164=$E164,VLOOKUP($B164,'INT Web'!$B$5:$W$247,'INT Web'!U$1,FALSE),MROUND(VLOOKUP($B164,'INT Web'!$B$5:$AQ$247,'INT Web'!AO$1,FALSE),1)-0.01)</f>
        <v>8.99</v>
      </c>
      <c r="J164" s="34">
        <v>2.99</v>
      </c>
      <c r="K164" s="34">
        <v>2.99</v>
      </c>
      <c r="L164" s="34">
        <v>1.99</v>
      </c>
      <c r="M164" s="34">
        <v>1.99</v>
      </c>
      <c r="N164" s="35"/>
      <c r="O164" s="32" t="s">
        <v>364</v>
      </c>
      <c r="Q164" t="b">
        <f>+F164=VLOOKUP($B164,[5]Apple!$A$3:$L$176,F$1,FALSE)</f>
        <v>1</v>
      </c>
      <c r="R164" t="b">
        <f>+G164=VLOOKUP($B164,[5]Apple!$A$3:$L$176,G$1,FALSE)</f>
        <v>1</v>
      </c>
      <c r="S164" t="b">
        <f>+H164=VLOOKUP($B164,[5]Apple!$A$3:$L$176,H$1,FALSE)</f>
        <v>1</v>
      </c>
      <c r="T164" t="b">
        <f>+I164=VLOOKUP($B164,[5]Apple!$A$3:$L$176,I$1,FALSE)</f>
        <v>1</v>
      </c>
      <c r="U164" t="b">
        <f>+J164=VLOOKUP($B164,[5]Apple!$A$3:$L$176,J$1,FALSE)</f>
        <v>1</v>
      </c>
      <c r="V164" t="b">
        <f>+K164=VLOOKUP($B164,[5]Apple!$A$3:$L$176,K$1,FALSE)</f>
        <v>1</v>
      </c>
      <c r="W164" t="b">
        <f>+L164=VLOOKUP($B164,[5]Apple!$A$3:$L$176,L$1,FALSE)</f>
        <v>1</v>
      </c>
      <c r="X164" t="b">
        <f>+M164=VLOOKUP($B164,[5]Apple!$A$3:$L$176,M$1,FALSE)</f>
        <v>1</v>
      </c>
      <c r="Y164" s="31" t="str">
        <f>+VLOOKUP(C164,'Country &amp; Code Abbreviation'!$C$3:$D$245,2,FALSE)</f>
        <v>UGA</v>
      </c>
    </row>
    <row r="165" spans="2:25" hidden="1" outlineLevel="1">
      <c r="B165" t="s">
        <v>305</v>
      </c>
      <c r="C165" s="31" t="str">
        <f>+VLOOKUP(B165,'Country &amp; Code Abbreviation'!$B$3:$C$245,2,FALSE)</f>
        <v>UA</v>
      </c>
      <c r="D165" s="70" t="str">
        <f>+VLOOKUP(B165,'INT Web'!$B$5:$Q$247,16,FALSE)</f>
        <v>UAH</v>
      </c>
      <c r="E165" s="71" t="s">
        <v>346</v>
      </c>
      <c r="F165" s="33"/>
      <c r="G165" s="33"/>
      <c r="H165" s="33"/>
      <c r="I165" s="33"/>
      <c r="J165" s="34"/>
      <c r="K165" s="34"/>
      <c r="L165" s="34"/>
      <c r="M165" s="34"/>
      <c r="N165" s="35"/>
      <c r="O165" s="32"/>
      <c r="Q165" t="b">
        <f>+F165=VLOOKUP($B165,[5]Apple!$A$3:$L$176,F$1,FALSE)</f>
        <v>1</v>
      </c>
      <c r="R165" t="b">
        <f>+G165=VLOOKUP($B165,[5]Apple!$A$3:$L$176,G$1,FALSE)</f>
        <v>1</v>
      </c>
      <c r="S165" t="b">
        <f>+H165=VLOOKUP($B165,[5]Apple!$A$3:$L$176,H$1,FALSE)</f>
        <v>1</v>
      </c>
      <c r="T165" t="b">
        <f>+I165=VLOOKUP($B165,[5]Apple!$A$3:$L$176,I$1,FALSE)</f>
        <v>1</v>
      </c>
      <c r="U165" t="b">
        <f>+J165=VLOOKUP($B165,[5]Apple!$A$3:$L$176,J$1,FALSE)</f>
        <v>1</v>
      </c>
      <c r="V165" t="b">
        <f>+K165=VLOOKUP($B165,[5]Apple!$A$3:$L$176,K$1,FALSE)</f>
        <v>1</v>
      </c>
      <c r="W165" t="b">
        <f>+L165=VLOOKUP($B165,[5]Apple!$A$3:$L$176,L$1,FALSE)</f>
        <v>1</v>
      </c>
      <c r="X165" t="b">
        <f>+M165=VLOOKUP($B165,[5]Apple!$A$3:$L$176,M$1,FALSE)</f>
        <v>1</v>
      </c>
      <c r="Y165" s="31" t="str">
        <f>+VLOOKUP(C165,'Country &amp; Code Abbreviation'!$C$3:$D$245,2,FALSE)</f>
        <v>UKR</v>
      </c>
    </row>
    <row r="166" spans="2:25" collapsed="1">
      <c r="B166" t="s">
        <v>306</v>
      </c>
      <c r="C166" s="31" t="str">
        <f>+VLOOKUP(B166,'Country &amp; Code Abbreviation'!$B$3:$C$245,2,FALSE)</f>
        <v>AE</v>
      </c>
      <c r="D166" s="31" t="str">
        <f>+VLOOKUP(B166,'INT Web'!$B$5:$Q$247,16,FALSE)</f>
        <v>AED</v>
      </c>
      <c r="E166" s="32" t="s">
        <v>408</v>
      </c>
      <c r="F166" s="33">
        <f>+IF($D166=$E166,VLOOKUP($B166,'INT Web'!$B$5:$W$247,'INT Web'!R$1,FALSE),MROUND(VLOOKUP($B166,'INT Web'!$B$5:$AQ$247,'INT Web'!AL$1,FALSE),1)-0.01)</f>
        <v>559.99</v>
      </c>
      <c r="G166" s="33">
        <f>+IF($D166=$E166,VLOOKUP($B166,'INT Web'!$B$5:$W$247,'INT Web'!S$1,FALSE),MROUND(VLOOKUP($B166,'INT Web'!$B$5:$AQ$247,'INT Web'!AM$1,FALSE),1)-0.01)</f>
        <v>86.99</v>
      </c>
      <c r="H166" s="33">
        <f>+IF($D166=$E166,VLOOKUP($B166,'INT Web'!$B$5:$W$247,'INT Web'!T$1,FALSE),MROUND(VLOOKUP($B166,'INT Web'!$B$5:$AQ$247,'INT Web'!AN$1,FALSE),1)-0.01)</f>
        <v>399.99</v>
      </c>
      <c r="I166" s="33">
        <f>+IF($D166=$E166,VLOOKUP($B166,'INT Web'!$B$5:$W$247,'INT Web'!U$1,FALSE),MROUND(VLOOKUP($B166,'INT Web'!$B$5:$AQ$247,'INT Web'!AO$1,FALSE),1)-0.01)</f>
        <v>61.99</v>
      </c>
      <c r="J166" s="34">
        <v>18.989999999999998</v>
      </c>
      <c r="K166" s="34">
        <v>15.989999999999998</v>
      </c>
      <c r="L166" s="34">
        <v>11.99</v>
      </c>
      <c r="M166" s="34">
        <v>8.99</v>
      </c>
      <c r="N166" s="35"/>
      <c r="O166" s="32" t="s">
        <v>366</v>
      </c>
      <c r="Q166" t="b">
        <f>+F166=VLOOKUP($B166,[5]Apple!$A$3:$L$176,F$1,FALSE)</f>
        <v>1</v>
      </c>
      <c r="R166" t="b">
        <f>+G166=VLOOKUP($B166,[5]Apple!$A$3:$L$176,G$1,FALSE)</f>
        <v>1</v>
      </c>
      <c r="S166" t="b">
        <f>+H166=VLOOKUP($B166,[5]Apple!$A$3:$L$176,H$1,FALSE)</f>
        <v>1</v>
      </c>
      <c r="T166" t="b">
        <f>+I166=VLOOKUP($B166,[5]Apple!$A$3:$L$176,I$1,FALSE)</f>
        <v>1</v>
      </c>
      <c r="U166" t="b">
        <f>+J166=VLOOKUP($B166,[5]Apple!$A$3:$L$176,J$1,FALSE)</f>
        <v>1</v>
      </c>
      <c r="V166" t="b">
        <f>+K166=VLOOKUP($B166,[5]Apple!$A$3:$L$176,K$1,FALSE)</f>
        <v>1</v>
      </c>
      <c r="W166" t="b">
        <f>+L166=VLOOKUP($B166,[5]Apple!$A$3:$L$176,L$1,FALSE)</f>
        <v>1</v>
      </c>
      <c r="X166" t="b">
        <f>+M166=VLOOKUP($B166,[5]Apple!$A$3:$L$176,M$1,FALSE)</f>
        <v>1</v>
      </c>
      <c r="Y166" s="31" t="str">
        <f>+VLOOKUP(C166,'Country &amp; Code Abbreviation'!$C$3:$D$245,2,FALSE)</f>
        <v>ARE</v>
      </c>
    </row>
    <row r="167" spans="2:25">
      <c r="B167" t="s">
        <v>307</v>
      </c>
      <c r="C167" s="31" t="str">
        <f>+VLOOKUP(B167,'Country &amp; Code Abbreviation'!$B$3:$C$245,2,FALSE)</f>
        <v>GB</v>
      </c>
      <c r="D167" s="31" t="str">
        <f>+VLOOKUP(B167,'INT Web'!$B$5:$Q$247,16,FALSE)</f>
        <v>GBP</v>
      </c>
      <c r="E167" s="32" t="s">
        <v>409</v>
      </c>
      <c r="F167" s="33">
        <f>+IF($D167=$E167,VLOOKUP($B167,'INT Web'!$B$5:$W$247,'INT Web'!R$1,FALSE),MROUND(VLOOKUP($B167,'INT Web'!$B$5:$AQ$247,'INT Web'!AL$1,FALSE),1)-0.01)</f>
        <v>149.99</v>
      </c>
      <c r="G167" s="33">
        <f>+IF($D167=$E167,VLOOKUP($B167,'INT Web'!$B$5:$W$247,'INT Web'!S$1,FALSE),MROUND(VLOOKUP($B167,'INT Web'!$B$5:$AQ$247,'INT Web'!AM$1,FALSE),1)-0.01)</f>
        <v>22.99</v>
      </c>
      <c r="H167" s="33">
        <f>+IF($D167=$E167,VLOOKUP($B167,'INT Web'!$B$5:$W$247,'INT Web'!T$1,FALSE),MROUND(VLOOKUP($B167,'INT Web'!$B$5:$AQ$247,'INT Web'!AN$1,FALSE),1)-0.01)</f>
        <v>114.99</v>
      </c>
      <c r="I167" s="33">
        <f>+IF($D167=$E167,VLOOKUP($B167,'INT Web'!$B$5:$W$247,'INT Web'!U$1,FALSE),MROUND(VLOOKUP($B167,'INT Web'!$B$5:$AQ$247,'INT Web'!AO$1,FALSE),1)-0.01)</f>
        <v>16.989999999999998</v>
      </c>
      <c r="J167" s="34">
        <v>6.99</v>
      </c>
      <c r="K167" s="108">
        <f>J167-1</f>
        <v>5.99</v>
      </c>
      <c r="L167" s="108">
        <f t="shared" ref="L167:M167" si="19">K167-1</f>
        <v>4.99</v>
      </c>
      <c r="M167" s="108">
        <f t="shared" si="19"/>
        <v>3.99</v>
      </c>
      <c r="N167" s="35"/>
      <c r="O167" s="32" t="s">
        <v>366</v>
      </c>
      <c r="Q167" t="b">
        <f>+F167=VLOOKUP($B167,[5]Apple!$A$3:$L$176,F$1,FALSE)</f>
        <v>1</v>
      </c>
      <c r="R167" t="b">
        <f>+G167=VLOOKUP($B167,[5]Apple!$A$3:$L$176,G$1,FALSE)</f>
        <v>1</v>
      </c>
      <c r="S167" t="b">
        <f>+H167=VLOOKUP($B167,[5]Apple!$A$3:$L$176,H$1,FALSE)</f>
        <v>1</v>
      </c>
      <c r="T167" t="b">
        <f>+I167=VLOOKUP($B167,[5]Apple!$A$3:$L$176,I$1,FALSE)</f>
        <v>1</v>
      </c>
      <c r="U167" t="b">
        <f>+J167=VLOOKUP($B167,[5]Apple!$A$3:$L$176,J$1,FALSE)</f>
        <v>1</v>
      </c>
      <c r="V167" t="b">
        <f>+K167=VLOOKUP($B167,[5]Apple!$A$3:$L$176,K$1,FALSE)</f>
        <v>1</v>
      </c>
      <c r="W167" t="b">
        <f>+L167=VLOOKUP($B167,[5]Apple!$A$3:$L$176,L$1,FALSE)</f>
        <v>1</v>
      </c>
      <c r="X167" t="b">
        <f>+M167=VLOOKUP($B167,[5]Apple!$A$3:$L$176,M$1,FALSE)</f>
        <v>1</v>
      </c>
      <c r="Y167" s="31" t="str">
        <f>+VLOOKUP(C167,'Country &amp; Code Abbreviation'!$C$3:$D$245,2,FALSE)</f>
        <v>GBR</v>
      </c>
    </row>
    <row r="168" spans="2:25">
      <c r="B168" t="s">
        <v>46</v>
      </c>
      <c r="C168" s="31" t="str">
        <f>+VLOOKUP(B168,'Country &amp; Code Abbreviation'!$B$3:$C$245,2,FALSE)</f>
        <v>US</v>
      </c>
      <c r="D168" s="32" t="s">
        <v>346</v>
      </c>
      <c r="E168" s="32" t="s">
        <v>346</v>
      </c>
      <c r="F168" s="33">
        <f>+'DOM Web'!D3</f>
        <v>159.99</v>
      </c>
      <c r="G168" s="33">
        <f>+'DOM Web'!E3</f>
        <v>24.99</v>
      </c>
      <c r="H168" s="33">
        <f>+'DOM Web'!F3</f>
        <v>109.99</v>
      </c>
      <c r="I168" s="33">
        <f>+'DOM Web'!G3</f>
        <v>16.989999999999998</v>
      </c>
      <c r="J168" s="34">
        <v>6.99</v>
      </c>
      <c r="K168" s="34">
        <v>4.99</v>
      </c>
      <c r="L168" s="34">
        <v>2.99</v>
      </c>
      <c r="M168" s="34">
        <v>0.99</v>
      </c>
      <c r="N168" s="35"/>
      <c r="O168" s="32" t="s">
        <v>366</v>
      </c>
      <c r="Q168" t="b">
        <f>+F168=VLOOKUP($B168,[5]Apple!$A$3:$L$176,F$1,FALSE)</f>
        <v>1</v>
      </c>
      <c r="R168" t="b">
        <f>+G168=VLOOKUP($B168,[5]Apple!$A$3:$L$176,G$1,FALSE)</f>
        <v>1</v>
      </c>
      <c r="S168" t="b">
        <f>+H168=VLOOKUP($B168,[5]Apple!$A$3:$L$176,H$1,FALSE)</f>
        <v>1</v>
      </c>
      <c r="T168" t="b">
        <f>+I168=VLOOKUP($B168,[5]Apple!$A$3:$L$176,I$1,FALSE)</f>
        <v>1</v>
      </c>
      <c r="U168" t="b">
        <f>+J168=VLOOKUP($B168,[5]Apple!$A$3:$L$176,J$1,FALSE)</f>
        <v>1</v>
      </c>
      <c r="V168" t="b">
        <f>+K168=VLOOKUP($B168,[5]Apple!$A$3:$L$176,K$1,FALSE)</f>
        <v>1</v>
      </c>
      <c r="W168" t="b">
        <f>+L168=VLOOKUP($B168,[5]Apple!$A$3:$L$176,L$1,FALSE)</f>
        <v>1</v>
      </c>
      <c r="X168" t="b">
        <f>+M168=VLOOKUP($B168,[5]Apple!$A$3:$L$176,M$1,FALSE)</f>
        <v>1</v>
      </c>
      <c r="Y168" s="31" t="str">
        <f>+VLOOKUP(C168,'Country &amp; Code Abbreviation'!$C$3:$D$245,2,FALSE)</f>
        <v>USA</v>
      </c>
    </row>
    <row r="169" spans="2:25">
      <c r="B169" t="s">
        <v>308</v>
      </c>
      <c r="C169" s="31" t="str">
        <f>+VLOOKUP(B169,'Country &amp; Code Abbreviation'!$B$3:$C$245,2,FALSE)</f>
        <v>UY</v>
      </c>
      <c r="D169" s="31" t="str">
        <f>+VLOOKUP(B169,'INT Web'!$B$5:$Q$247,16,FALSE)</f>
        <v>UYU</v>
      </c>
      <c r="E169" s="32" t="s">
        <v>346</v>
      </c>
      <c r="F169" s="34">
        <v>104.99</v>
      </c>
      <c r="G169" s="34">
        <v>17.989999999999998</v>
      </c>
      <c r="H169" s="34">
        <v>77.989999999999995</v>
      </c>
      <c r="I169" s="34">
        <v>12.99</v>
      </c>
      <c r="J169" s="34">
        <v>3.99</v>
      </c>
      <c r="K169" s="34">
        <v>2.99</v>
      </c>
      <c r="L169" s="34">
        <v>1.99</v>
      </c>
      <c r="M169" s="34">
        <v>0.99</v>
      </c>
      <c r="N169" s="35"/>
      <c r="O169" s="32" t="s">
        <v>366</v>
      </c>
      <c r="Q169" t="b">
        <f>+F169=VLOOKUP($B169,[5]Apple!$A$3:$L$176,F$1,FALSE)</f>
        <v>1</v>
      </c>
      <c r="R169" t="b">
        <f>+G169=VLOOKUP($B169,[5]Apple!$A$3:$L$176,G$1,FALSE)</f>
        <v>1</v>
      </c>
      <c r="S169" t="b">
        <f>+H169=VLOOKUP($B169,[5]Apple!$A$3:$L$176,H$1,FALSE)</f>
        <v>1</v>
      </c>
      <c r="T169" t="b">
        <f>+I169=VLOOKUP($B169,[5]Apple!$A$3:$L$176,I$1,FALSE)</f>
        <v>1</v>
      </c>
      <c r="U169" t="b">
        <f>+J169=VLOOKUP($B169,[5]Apple!$A$3:$L$176,J$1,FALSE)</f>
        <v>1</v>
      </c>
      <c r="V169" t="b">
        <f>+K169=VLOOKUP($B169,[5]Apple!$A$3:$L$176,K$1,FALSE)</f>
        <v>1</v>
      </c>
      <c r="W169" t="b">
        <f>+L169=VLOOKUP($B169,[5]Apple!$A$3:$L$176,L$1,FALSE)</f>
        <v>1</v>
      </c>
      <c r="X169" t="b">
        <f>+M169=VLOOKUP($B169,[5]Apple!$A$3:$L$176,M$1,FALSE)</f>
        <v>1</v>
      </c>
      <c r="Y169" s="31" t="str">
        <f>+VLOOKUP(C169,'Country &amp; Code Abbreviation'!$C$3:$D$245,2,FALSE)</f>
        <v>URY</v>
      </c>
    </row>
    <row r="170" spans="2:25">
      <c r="B170" t="s">
        <v>309</v>
      </c>
      <c r="C170" s="31" t="str">
        <f>+VLOOKUP(B170,'Country &amp; Code Abbreviation'!$B$3:$C$245,2,FALSE)</f>
        <v>UZ</v>
      </c>
      <c r="D170" s="31" t="str">
        <f>+VLOOKUP(B170,'INT Web'!$B$5:$Q$247,16,FALSE)</f>
        <v>UZS</v>
      </c>
      <c r="E170" s="32" t="s">
        <v>346</v>
      </c>
      <c r="F170" s="72">
        <v>72.989999999999995</v>
      </c>
      <c r="G170" s="72">
        <v>11.99</v>
      </c>
      <c r="H170" s="34">
        <v>54.99</v>
      </c>
      <c r="I170" s="33">
        <f>+IF($D170=$E170,VLOOKUP($B170,'INT Web'!$B$5:$W$247,'INT Web'!U$1,FALSE),MROUND(VLOOKUP($B170,'INT Web'!$B$5:$AQ$247,'INT Web'!AO$1,FALSE),1)-0.01)</f>
        <v>8.99</v>
      </c>
      <c r="J170" s="34">
        <v>2.4900000000000002</v>
      </c>
      <c r="K170" s="34">
        <v>2.4900000000000002</v>
      </c>
      <c r="L170" s="34">
        <v>1.19</v>
      </c>
      <c r="M170" s="34">
        <v>1.19</v>
      </c>
      <c r="N170" s="35"/>
      <c r="O170" s="32" t="s">
        <v>364</v>
      </c>
      <c r="Q170" t="b">
        <f>+F170=VLOOKUP($B170,[5]Apple!$A$3:$L$176,F$1,FALSE)</f>
        <v>1</v>
      </c>
      <c r="R170" t="b">
        <f>+G170=VLOOKUP($B170,[5]Apple!$A$3:$L$176,G$1,FALSE)</f>
        <v>1</v>
      </c>
      <c r="S170" t="b">
        <f>+H170=VLOOKUP($B170,[5]Apple!$A$3:$L$176,H$1,FALSE)</f>
        <v>1</v>
      </c>
      <c r="T170" t="b">
        <f>+I170=VLOOKUP($B170,[5]Apple!$A$3:$L$176,I$1,FALSE)</f>
        <v>1</v>
      </c>
      <c r="U170" t="b">
        <f>+J170=VLOOKUP($B170,[5]Apple!$A$3:$L$176,J$1,FALSE)</f>
        <v>1</v>
      </c>
      <c r="V170" t="b">
        <f>+K170=VLOOKUP($B170,[5]Apple!$A$3:$L$176,K$1,FALSE)</f>
        <v>1</v>
      </c>
      <c r="W170" t="b">
        <f>+L170=VLOOKUP($B170,[5]Apple!$A$3:$L$176,L$1,FALSE)</f>
        <v>1</v>
      </c>
      <c r="X170" t="b">
        <f>+M170=VLOOKUP($B170,[5]Apple!$A$3:$L$176,M$1,FALSE)</f>
        <v>1</v>
      </c>
      <c r="Y170" s="31" t="str">
        <f>+VLOOKUP(C170,'Country &amp; Code Abbreviation'!$C$3:$D$245,2,FALSE)</f>
        <v>UZB</v>
      </c>
    </row>
    <row r="171" spans="2:25">
      <c r="B171" t="s">
        <v>310</v>
      </c>
      <c r="C171" s="31" t="str">
        <f>+VLOOKUP(B171,'Country &amp; Code Abbreviation'!$B$3:$C$245,2,FALSE)</f>
        <v>VU</v>
      </c>
      <c r="D171" s="31" t="str">
        <f>+VLOOKUP(B171,'INT Web'!$B$5:$Q$247,16,FALSE)</f>
        <v>VUV</v>
      </c>
      <c r="E171" s="32" t="s">
        <v>346</v>
      </c>
      <c r="F171" s="72">
        <v>61.99</v>
      </c>
      <c r="G171" s="34">
        <v>10.99</v>
      </c>
      <c r="H171" s="33">
        <f>+IF($D171=$E171,VLOOKUP($B171,'INT Web'!$B$5:$W$247,'INT Web'!T$1,FALSE),MROUND(VLOOKUP($B171,'INT Web'!$B$5:$AQ$247,'INT Web'!AN$1,FALSE),1)-0.01)</f>
        <v>44.99</v>
      </c>
      <c r="I171" s="33">
        <f>+IF($D171=$E171,VLOOKUP($B171,'INT Web'!$B$5:$W$247,'INT Web'!U$1,FALSE),MROUND(VLOOKUP($B171,'INT Web'!$B$5:$AQ$247,'INT Web'!AO$1,FALSE),1)-0.01)</f>
        <v>7.99</v>
      </c>
      <c r="J171" s="34">
        <v>2.99</v>
      </c>
      <c r="K171" s="34">
        <v>2.99</v>
      </c>
      <c r="L171" s="34">
        <v>1.99</v>
      </c>
      <c r="M171" s="34">
        <v>1.99</v>
      </c>
      <c r="N171" s="35"/>
      <c r="O171" s="32" t="s">
        <v>364</v>
      </c>
      <c r="Q171" t="b">
        <f>+F171=VLOOKUP($B171,[5]Apple!$A$3:$L$176,F$1,FALSE)</f>
        <v>1</v>
      </c>
      <c r="R171" t="b">
        <f>+G171=VLOOKUP($B171,[5]Apple!$A$3:$L$176,G$1,FALSE)</f>
        <v>1</v>
      </c>
      <c r="S171" t="b">
        <f>+H171=VLOOKUP($B171,[5]Apple!$A$3:$L$176,H$1,FALSE)</f>
        <v>1</v>
      </c>
      <c r="T171" t="b">
        <f>+I171=VLOOKUP($B171,[5]Apple!$A$3:$L$176,I$1,FALSE)</f>
        <v>1</v>
      </c>
      <c r="U171" t="b">
        <f>+J171=VLOOKUP($B171,[5]Apple!$A$3:$L$176,J$1,FALSE)</f>
        <v>1</v>
      </c>
      <c r="V171" t="b">
        <f>+K171=VLOOKUP($B171,[5]Apple!$A$3:$L$176,K$1,FALSE)</f>
        <v>1</v>
      </c>
      <c r="W171" t="b">
        <f>+L171=VLOOKUP($B171,[5]Apple!$A$3:$L$176,L$1,FALSE)</f>
        <v>1</v>
      </c>
      <c r="X171" t="b">
        <f>+M171=VLOOKUP($B171,[5]Apple!$A$3:$L$176,M$1,FALSE)</f>
        <v>1</v>
      </c>
      <c r="Y171" s="31" t="str">
        <f>+VLOOKUP(C171,'Country &amp; Code Abbreviation'!$C$3:$D$245,2,FALSE)</f>
        <v>VUT</v>
      </c>
    </row>
    <row r="172" spans="2:25">
      <c r="B172" t="s">
        <v>312</v>
      </c>
      <c r="C172" s="31" t="str">
        <f>+VLOOKUP(B172,'Country &amp; Code Abbreviation'!$B$3:$C$245,2,FALSE)</f>
        <v>VE</v>
      </c>
      <c r="D172" s="31" t="str">
        <f>+VLOOKUP(B172,'INT Web'!$B$5:$Q$247,16,FALSE)</f>
        <v>USD</v>
      </c>
      <c r="E172" s="32" t="s">
        <v>346</v>
      </c>
      <c r="F172" s="33">
        <f>+IF($D172=$E172,VLOOKUP($B172,'INT Web'!$B$5:$W$247,'INT Web'!R$1,FALSE),MROUND(VLOOKUP($B172,'INT Web'!$B$5:$AQ$247,'INT Web'!AL$1,FALSE),1)-0.01)</f>
        <v>95.99</v>
      </c>
      <c r="G172" s="33">
        <f>+IF($D172=$E172,VLOOKUP($B172,'INT Web'!$B$5:$W$247,'INT Web'!S$1,FALSE),MROUND(VLOOKUP($B172,'INT Web'!$B$5:$AQ$247,'INT Web'!AM$1,FALSE),1)-0.01)</f>
        <v>15.99</v>
      </c>
      <c r="H172" s="33">
        <f>+IF($D172=$E172,VLOOKUP($B172,'INT Web'!$B$5:$W$247,'INT Web'!T$1,FALSE),MROUND(VLOOKUP($B172,'INT Web'!$B$5:$AQ$247,'INT Web'!AN$1,FALSE),1)-0.01)</f>
        <v>71.989999999999995</v>
      </c>
      <c r="I172" s="33">
        <f>+IF($D172=$E172,VLOOKUP($B172,'INT Web'!$B$5:$W$247,'INT Web'!U$1,FALSE),MROUND(VLOOKUP($B172,'INT Web'!$B$5:$AQ$247,'INT Web'!AO$1,FALSE),1)-0.01)</f>
        <v>11.99</v>
      </c>
      <c r="J172" s="34">
        <v>4.99</v>
      </c>
      <c r="K172" s="34">
        <v>3.99</v>
      </c>
      <c r="L172" s="34">
        <v>2.99</v>
      </c>
      <c r="M172" s="34">
        <v>1.9900000000000002</v>
      </c>
      <c r="N172" s="35"/>
      <c r="O172" s="32" t="s">
        <v>366</v>
      </c>
      <c r="Q172" t="b">
        <f>+F172=VLOOKUP($B172,[5]Apple!$A$3:$L$176,F$1,FALSE)</f>
        <v>1</v>
      </c>
      <c r="R172" t="b">
        <f>+G172=VLOOKUP($B172,[5]Apple!$A$3:$L$176,G$1,FALSE)</f>
        <v>1</v>
      </c>
      <c r="S172" t="b">
        <f>+H172=VLOOKUP($B172,[5]Apple!$A$3:$L$176,H$1,FALSE)</f>
        <v>1</v>
      </c>
      <c r="T172" t="b">
        <f>+I172=VLOOKUP($B172,[5]Apple!$A$3:$L$176,I$1,FALSE)</f>
        <v>1</v>
      </c>
      <c r="U172" t="b">
        <f>+J172=VLOOKUP($B172,[5]Apple!$A$3:$L$176,J$1,FALSE)</f>
        <v>1</v>
      </c>
      <c r="V172" t="b">
        <f>+K172=VLOOKUP($B172,[5]Apple!$A$3:$L$176,K$1,FALSE)</f>
        <v>1</v>
      </c>
      <c r="W172" t="b">
        <f>+L172=VLOOKUP($B172,[5]Apple!$A$3:$L$176,L$1,FALSE)</f>
        <v>1</v>
      </c>
      <c r="X172" t="b">
        <f>+M172=VLOOKUP($B172,[5]Apple!$A$3:$L$176,M$1,FALSE)</f>
        <v>1</v>
      </c>
      <c r="Y172" s="31" t="str">
        <f>+VLOOKUP(C172,'Country &amp; Code Abbreviation'!$C$3:$D$245,2,FALSE)</f>
        <v>VEN</v>
      </c>
    </row>
    <row r="173" spans="2:25">
      <c r="B173" t="s">
        <v>313</v>
      </c>
      <c r="C173" s="31" t="str">
        <f>+VLOOKUP(B173,'Country &amp; Code Abbreviation'!$B$3:$C$245,2,FALSE)</f>
        <v>VN</v>
      </c>
      <c r="D173" s="31" t="str">
        <f>+VLOOKUP(B173,'INT Web'!$B$5:$Q$247,16,FALSE)</f>
        <v>VND</v>
      </c>
      <c r="E173" s="32" t="s">
        <v>410</v>
      </c>
      <c r="F173" s="72">
        <v>1999000</v>
      </c>
      <c r="G173" s="33">
        <f>+IF($D173=$E173,VLOOKUP($B173,'INT Web'!$B$5:$W$247,'INT Web'!S$1,FALSE),MROUND(VLOOKUP($B173,'INT Web'!$B$5:$AQ$247,'INT Web'!AM$1,FALSE),1)-0.01)</f>
        <v>309000</v>
      </c>
      <c r="H173" s="72">
        <v>1549000</v>
      </c>
      <c r="I173" s="33">
        <f>+IF($D173=$E173,VLOOKUP($B173,'INT Web'!$B$5:$W$247,'INT Web'!U$1,FALSE),MROUND(VLOOKUP($B173,'INT Web'!$B$5:$AQ$247,'INT Web'!AO$1,FALSE),1)-0.01)</f>
        <v>220000</v>
      </c>
      <c r="J173" s="34">
        <v>89000</v>
      </c>
      <c r="K173" s="34">
        <v>89000</v>
      </c>
      <c r="L173" s="34">
        <v>45000</v>
      </c>
      <c r="M173" s="34">
        <v>45000</v>
      </c>
      <c r="N173" s="35"/>
      <c r="O173" s="32" t="s">
        <v>364</v>
      </c>
      <c r="Q173" t="b">
        <f>+F173=VLOOKUP($B173,[5]Apple!$A$3:$L$176,F$1,FALSE)</f>
        <v>1</v>
      </c>
      <c r="R173" t="b">
        <f>+G173=VLOOKUP($B173,[5]Apple!$A$3:$L$176,G$1,FALSE)</f>
        <v>1</v>
      </c>
      <c r="S173" t="b">
        <f>+H173=VLOOKUP($B173,[5]Apple!$A$3:$L$176,H$1,FALSE)</f>
        <v>1</v>
      </c>
      <c r="T173" t="b">
        <f>+I173=VLOOKUP($B173,[5]Apple!$A$3:$L$176,I$1,FALSE)</f>
        <v>1</v>
      </c>
      <c r="U173" t="b">
        <f>+J173=VLOOKUP($B173,[5]Apple!$A$3:$L$176,J$1,FALSE)</f>
        <v>1</v>
      </c>
      <c r="V173" t="b">
        <f>+K173=VLOOKUP($B173,[5]Apple!$A$3:$L$176,K$1,FALSE)</f>
        <v>1</v>
      </c>
      <c r="W173" t="b">
        <f>+L173=VLOOKUP($B173,[5]Apple!$A$3:$L$176,L$1,FALSE)</f>
        <v>1</v>
      </c>
      <c r="X173" t="b">
        <f>+M173=VLOOKUP($B173,[5]Apple!$A$3:$L$176,M$1,FALSE)</f>
        <v>1</v>
      </c>
      <c r="Y173" s="31" t="str">
        <f>+VLOOKUP(C173,'Country &amp; Code Abbreviation'!$C$3:$D$245,2,FALSE)</f>
        <v>VNM</v>
      </c>
    </row>
    <row r="174" spans="2:25">
      <c r="B174" t="s">
        <v>316</v>
      </c>
      <c r="C174" s="31" t="str">
        <f>+VLOOKUP(B174,'Country &amp; Code Abbreviation'!$B$3:$C$245,2,FALSE)</f>
        <v>YE</v>
      </c>
      <c r="D174" s="31" t="str">
        <f>+VLOOKUP(B174,'INT Web'!$B$5:$Q$247,16,FALSE)</f>
        <v>USD</v>
      </c>
      <c r="E174" s="32" t="s">
        <v>346</v>
      </c>
      <c r="F174" s="33">
        <f>+VLOOKUP($B174,[5]Apple!$A$4:$M$175,[5]Apple!E$1,FALSE)</f>
        <v>77.989999999999995</v>
      </c>
      <c r="G174" s="72">
        <v>12.99</v>
      </c>
      <c r="H174" s="33">
        <f>+VLOOKUP($B174,[5]Apple!$A$4:$M$175,[5]Apple!G$1,FALSE)</f>
        <v>57.99</v>
      </c>
      <c r="I174" s="33">
        <f>+IF($D174=$E174,VLOOKUP($B174,'INT Web'!$B$5:$W$247,'INT Web'!U$1,FALSE),MROUND(VLOOKUP($B174,'INT Web'!$B$5:$AQ$247,'INT Web'!AO$1,FALSE),1)-0.01)</f>
        <v>9.99</v>
      </c>
      <c r="J174" s="34">
        <v>3.99</v>
      </c>
      <c r="K174" s="34">
        <v>2.99</v>
      </c>
      <c r="L174" s="34">
        <v>1.99</v>
      </c>
      <c r="M174" s="34">
        <v>0.99</v>
      </c>
      <c r="N174" s="35"/>
      <c r="O174" s="32" t="s">
        <v>366</v>
      </c>
      <c r="Q174" t="b">
        <f>+F174=VLOOKUP($B174,[5]Apple!$A$3:$L$176,F$1,FALSE)</f>
        <v>1</v>
      </c>
      <c r="R174" t="b">
        <f>+G174=VLOOKUP($B174,[5]Apple!$A$3:$L$176,G$1,FALSE)</f>
        <v>1</v>
      </c>
      <c r="S174" t="b">
        <f>+H174=VLOOKUP($B174,[5]Apple!$A$3:$L$176,H$1,FALSE)</f>
        <v>1</v>
      </c>
      <c r="T174" t="b">
        <f>+I174=VLOOKUP($B174,[5]Apple!$A$3:$L$176,I$1,FALSE)</f>
        <v>1</v>
      </c>
      <c r="U174" t="b">
        <f>+J174=VLOOKUP($B174,[5]Apple!$A$3:$L$176,J$1,FALSE)</f>
        <v>1</v>
      </c>
      <c r="V174" t="b">
        <f>+K174=VLOOKUP($B174,[5]Apple!$A$3:$L$176,K$1,FALSE)</f>
        <v>1</v>
      </c>
      <c r="W174" t="b">
        <f>+L174=VLOOKUP($B174,[5]Apple!$A$3:$L$176,L$1,FALSE)</f>
        <v>1</v>
      </c>
      <c r="X174" t="b">
        <f>+M174=VLOOKUP($B174,[5]Apple!$A$3:$L$176,M$1,FALSE)</f>
        <v>1</v>
      </c>
      <c r="Y174" s="31" t="str">
        <f>+VLOOKUP(C174,'Country &amp; Code Abbreviation'!$C$3:$D$245,2,FALSE)</f>
        <v>YEM</v>
      </c>
    </row>
    <row r="175" spans="2:25">
      <c r="B175" t="s">
        <v>317</v>
      </c>
      <c r="C175" s="31" t="str">
        <f>+VLOOKUP(B175,'Country &amp; Code Abbreviation'!$B$3:$C$245,2,FALSE)</f>
        <v>ZM</v>
      </c>
      <c r="D175" s="31" t="str">
        <f>+VLOOKUP(B175,'INT Web'!$B$5:$Q$247,16,FALSE)</f>
        <v>ZMW</v>
      </c>
      <c r="E175" s="32" t="s">
        <v>346</v>
      </c>
      <c r="F175" s="34">
        <v>79.989999999999995</v>
      </c>
      <c r="G175" s="33">
        <f>+VLOOKUP($B175,[5]Apple!$A$4:$M$175,[5]Apple!F$1,FALSE)</f>
        <v>12.99</v>
      </c>
      <c r="H175" s="34">
        <v>57.99</v>
      </c>
      <c r="I175" s="34">
        <v>9.99</v>
      </c>
      <c r="J175" s="34">
        <v>3.99</v>
      </c>
      <c r="K175" s="34">
        <v>2.99</v>
      </c>
      <c r="L175" s="34">
        <v>2.99</v>
      </c>
      <c r="M175" s="34">
        <v>1.99</v>
      </c>
      <c r="N175" s="35"/>
      <c r="O175" s="32" t="s">
        <v>366</v>
      </c>
      <c r="Q175" t="b">
        <f>+F175=VLOOKUP($B175,[5]Apple!$A$3:$L$176,F$1,FALSE)</f>
        <v>1</v>
      </c>
      <c r="R175" t="b">
        <f>+G175=VLOOKUP($B175,[5]Apple!$A$3:$L$176,G$1,FALSE)</f>
        <v>1</v>
      </c>
      <c r="S175" t="b">
        <f>+H175=VLOOKUP($B175,[5]Apple!$A$3:$L$176,H$1,FALSE)</f>
        <v>1</v>
      </c>
      <c r="T175" t="b">
        <f>+I175=VLOOKUP($B175,[5]Apple!$A$3:$L$176,I$1,FALSE)</f>
        <v>1</v>
      </c>
      <c r="U175" t="b">
        <f>+J175=VLOOKUP($B175,[5]Apple!$A$3:$L$176,J$1,FALSE)</f>
        <v>1</v>
      </c>
      <c r="V175" t="b">
        <f>+K175=VLOOKUP($B175,[5]Apple!$A$3:$L$176,K$1,FALSE)</f>
        <v>1</v>
      </c>
      <c r="W175" t="b">
        <f>+L175=VLOOKUP($B175,[5]Apple!$A$3:$L$176,L$1,FALSE)</f>
        <v>1</v>
      </c>
      <c r="X175" t="b">
        <f>+M175=VLOOKUP($B175,[5]Apple!$A$3:$L$176,M$1,FALSE)</f>
        <v>1</v>
      </c>
      <c r="Y175" s="31" t="str">
        <f>+VLOOKUP(C175,'Country &amp; Code Abbreviation'!$C$3:$D$245,2,FALSE)</f>
        <v>ZMB</v>
      </c>
    </row>
    <row r="176" spans="2:25">
      <c r="B176" t="s">
        <v>318</v>
      </c>
      <c r="C176" s="31" t="str">
        <f>+VLOOKUP(B176,'Country &amp; Code Abbreviation'!$B$3:$C$245,2,FALSE)</f>
        <v>ZW</v>
      </c>
      <c r="D176" s="31" t="str">
        <f>+VLOOKUP(B176,'INT Web'!$B$5:$Q$247,16,FALSE)</f>
        <v>USD</v>
      </c>
      <c r="E176" s="32" t="s">
        <v>346</v>
      </c>
      <c r="F176" s="33">
        <f>+IF($D176=$E176,VLOOKUP($B176,'INT Web'!$B$5:$W$247,'INT Web'!R$1,FALSE),MROUND(VLOOKUP($B176,'INT Web'!$B$5:$AQ$247,'INT Web'!AL$1,FALSE),1)-0.01)</f>
        <v>71.989999999999995</v>
      </c>
      <c r="G176" s="33">
        <f>+IF($D176=$E176,VLOOKUP($B176,'INT Web'!$B$5:$W$247,'INT Web'!S$1,FALSE),MROUND(VLOOKUP($B176,'INT Web'!$B$5:$AQ$247,'INT Web'!AM$1,FALSE),1)-0.01)</f>
        <v>11.99</v>
      </c>
      <c r="H176" s="33">
        <f>+IF($D176=$E176,VLOOKUP($B176,'INT Web'!$B$5:$W$247,'INT Web'!T$1,FALSE),MROUND(VLOOKUP($B176,'INT Web'!$B$5:$AQ$247,'INT Web'!AN$1,FALSE),1)-0.01)</f>
        <v>53.99</v>
      </c>
      <c r="I176" s="33">
        <f>+IF($D176=$E176,VLOOKUP($B176,'INT Web'!$B$5:$W$247,'INT Web'!U$1,FALSE),MROUND(VLOOKUP($B176,'INT Web'!$B$5:$AQ$247,'INT Web'!AO$1,FALSE),1)-0.01)</f>
        <v>8.99</v>
      </c>
      <c r="J176" s="34">
        <v>3.99</v>
      </c>
      <c r="K176" s="34">
        <v>3.99</v>
      </c>
      <c r="L176" s="34">
        <v>2.99</v>
      </c>
      <c r="M176" s="34">
        <v>2.99</v>
      </c>
      <c r="N176" s="35"/>
      <c r="O176" s="32" t="s">
        <v>364</v>
      </c>
      <c r="Q176" t="b">
        <f>+F176=VLOOKUP($B176,[5]Apple!$A$3:$L$176,F$1,FALSE)</f>
        <v>1</v>
      </c>
      <c r="R176" t="b">
        <f>+G176=VLOOKUP($B176,[5]Apple!$A$3:$L$176,G$1,FALSE)</f>
        <v>1</v>
      </c>
      <c r="S176" t="b">
        <f>+H176=VLOOKUP($B176,[5]Apple!$A$3:$L$176,H$1,FALSE)</f>
        <v>1</v>
      </c>
      <c r="T176" t="b">
        <f>+I176=VLOOKUP($B176,[5]Apple!$A$3:$L$176,I$1,FALSE)</f>
        <v>1</v>
      </c>
      <c r="U176" t="b">
        <f>+J176=VLOOKUP($B176,[5]Apple!$A$3:$L$176,J$1,FALSE)</f>
        <v>1</v>
      </c>
      <c r="V176" t="b">
        <f>+K176=VLOOKUP($B176,[5]Apple!$A$3:$L$176,K$1,FALSE)</f>
        <v>1</v>
      </c>
      <c r="W176" t="b">
        <f>+L176=VLOOKUP($B176,[5]Apple!$A$3:$L$176,L$1,FALSE)</f>
        <v>1</v>
      </c>
      <c r="X176" t="b">
        <f>+M176=VLOOKUP($B176,[5]Apple!$A$3:$L$176,M$1,FALSE)</f>
        <v>1</v>
      </c>
      <c r="Y176" s="31" t="str">
        <f>+VLOOKUP(C176,'Country &amp; Code Abbreviation'!$C$3:$D$245,2,FALSE)</f>
        <v>ZWE</v>
      </c>
    </row>
    <row r="184" spans="4:4">
      <c r="D184">
        <f>16.99*0.7</f>
        <v>11.892999999999999</v>
      </c>
    </row>
  </sheetData>
  <autoFilter ref="B2:Y2" xr:uid="{94A86244-EBE3-4F16-BCCC-0347D8A5DA1D}"/>
  <conditionalFormatting sqref="Q3:X176">
    <cfRule type="expression" dxfId="47" priority="60">
      <formula>"FALSE"</formula>
    </cfRule>
    <cfRule type="cellIs" dxfId="46" priority="61" operator="equal">
      <formula>"""FALSE"""</formula>
    </cfRule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AC47 Z48:AD48 Z49:AC63 Z64:AD64 Z65:AC176">
    <cfRule type="containsText" dxfId="45" priority="1" operator="containsText" text="PRICECHANGE">
      <formula>NOT(ISERROR(SEARCH("PRICECHANGE",Z2)))</formula>
    </cfRule>
    <cfRule type="containsText" dxfId="44" priority="2" operator="containsText" text="same">
      <formula>NOT(ISERROR(SEARCH("same",Z2)))</formula>
    </cfRule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DC1F-A713-4D50-BED9-A78894F41542}">
  <sheetPr>
    <tabColor rgb="FFFFFF00"/>
  </sheetPr>
  <dimension ref="B1:W174"/>
  <sheetViews>
    <sheetView workbookViewId="0">
      <pane xSplit="5" ySplit="2" topLeftCell="F3" activePane="bottomRight" state="frozen"/>
      <selection pane="topRight" activeCell="C18" sqref="C18"/>
      <selection pane="bottomLeft" activeCell="C18" sqref="C18"/>
      <selection pane="bottomRight" activeCell="F3" sqref="F3"/>
    </sheetView>
  </sheetViews>
  <sheetFormatPr defaultColWidth="8.6328125" defaultRowHeight="12.5" outlineLevelRow="1" outlineLevelCol="1"/>
  <cols>
    <col min="1" max="1" width="1.6328125" customWidth="1"/>
    <col min="2" max="2" width="26.453125" bestFit="1" customWidth="1"/>
    <col min="3" max="3" width="17.6328125" bestFit="1" customWidth="1"/>
    <col min="4" max="4" width="18.36328125" bestFit="1" customWidth="1"/>
    <col min="5" max="5" width="20.453125" bestFit="1" customWidth="1"/>
    <col min="6" max="6" width="11.453125" customWidth="1"/>
    <col min="7" max="7" width="19.453125" customWidth="1"/>
    <col min="8" max="8" width="11.453125" customWidth="1"/>
    <col min="9" max="9" width="19.453125" customWidth="1"/>
    <col min="10" max="10" width="19.36328125" customWidth="1"/>
    <col min="11" max="13" width="20.453125" customWidth="1"/>
    <col min="14" max="14" width="1.6328125" customWidth="1"/>
    <col min="15" max="22" width="8.6328125" hidden="1" customWidth="1" outlineLevel="1"/>
    <col min="23" max="23" width="8.6328125" collapsed="1"/>
  </cols>
  <sheetData>
    <row r="1" spans="2:22">
      <c r="B1">
        <v>1</v>
      </c>
      <c r="C1">
        <f>+B1+1</f>
        <v>2</v>
      </c>
      <c r="D1">
        <f t="shared" ref="D1:M1" si="0">+C1+1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</row>
    <row r="2" spans="2:22" ht="13">
      <c r="B2" s="24" t="s">
        <v>31</v>
      </c>
      <c r="C2" s="24" t="s">
        <v>359</v>
      </c>
      <c r="D2" s="24" t="s">
        <v>360</v>
      </c>
      <c r="E2" s="24" t="s">
        <v>411</v>
      </c>
      <c r="F2" s="24" t="s">
        <v>55</v>
      </c>
      <c r="G2" s="24" t="s">
        <v>56</v>
      </c>
      <c r="H2" s="24" t="s">
        <v>57</v>
      </c>
      <c r="I2" s="24" t="s">
        <v>58</v>
      </c>
      <c r="J2" s="24" t="s">
        <v>61</v>
      </c>
      <c r="K2" s="24" t="s">
        <v>62</v>
      </c>
      <c r="L2" s="24" t="s">
        <v>63</v>
      </c>
      <c r="M2" s="24" t="s">
        <v>64</v>
      </c>
      <c r="O2" s="24" t="s">
        <v>55</v>
      </c>
      <c r="P2" s="24" t="s">
        <v>56</v>
      </c>
      <c r="Q2" s="24" t="s">
        <v>57</v>
      </c>
      <c r="R2" s="24" t="s">
        <v>58</v>
      </c>
    </row>
    <row r="3" spans="2:22" ht="12.65" customHeight="1">
      <c r="B3" t="s">
        <v>73</v>
      </c>
      <c r="C3" s="31" t="str">
        <f>+VLOOKUP(B3,'Country &amp; Code Abbreviation'!$B$3:$C$245,2,FALSE)</f>
        <v>AL</v>
      </c>
      <c r="D3" s="31" t="str">
        <f>+VLOOKUP(B3,'INT Web'!$B$5:$Q$248,16,FALSE)</f>
        <v>ALL</v>
      </c>
      <c r="E3" s="32" t="s">
        <v>346</v>
      </c>
      <c r="F3" s="33">
        <f>+IFERROR(IF($E3=VLOOKUP($B3,Apple!$B$3:$I$176,Apple!$E$1,FALSE),VLOOKUP(Google!$B3,Apple!$B$3:$I$176,Apple!F$1,FALSE),VLOOKUP($B3,'INT Web'!$B$5:$U$247,'INT Web'!R$1,FALSE)),MROUND(VLOOKUP($B3,'INT Web'!$B$5:$AQ$247,'INT Web'!AL$1,FALSE),1)-0.01)</f>
        <v>104.99</v>
      </c>
      <c r="G3" s="33">
        <f>+IFERROR(IF($E3=VLOOKUP($B3,Apple!$B$3:$I$176,Apple!$E$1,FALSE),VLOOKUP(Google!$B3,Apple!$B$3:$I$176,Apple!G$1,FALSE),VLOOKUP($B3,'INT Web'!$B$5:$U$247,'INT Web'!S$1,FALSE)),MROUND(VLOOKUP($B3,'INT Web'!$B$5:$AQ$247,'INT Web'!AM$1,FALSE),1)-0.01)</f>
        <v>16.989999999999998</v>
      </c>
      <c r="H3" s="33">
        <f>+IFERROR(IF($E3=VLOOKUP($B3,Apple!$B$3:$I$176,Apple!$E$1,FALSE),VLOOKUP(Google!$B3,Apple!$B$3:$I$176,Apple!H$1,FALSE),VLOOKUP($B3,'INT Web'!$B$5:$U$247,'INT Web'!T$1,FALSE)),MROUND(VLOOKUP($B3,'INT Web'!$B$5:$AQ$247,'INT Web'!AN$1,FALSE),1)-0.01)</f>
        <v>77.989999999999995</v>
      </c>
      <c r="I3" s="33">
        <f>+IFERROR(IF($E3=VLOOKUP($B3,Apple!$B$3:$I$176,Apple!$E$1,FALSE),VLOOKUP(Google!$B3,Apple!$B$3:$I$176,Apple!I$1,FALSE),VLOOKUP($B3,'INT Web'!$B$5:$U$247,'INT Web'!U$1,FALSE)),MROUND(VLOOKUP($B3,'INT Web'!$B$5:$AQ$247,'INT Web'!AO$1,FALSE),1)-0.01)</f>
        <v>12.99</v>
      </c>
      <c r="J3" s="33">
        <f>+IF($E3=VLOOKUP($B3,Apple!$B$3:$E$176,4,FALSE),VLOOKUP(Google!$B3,Apple!$B$3:$M$176,Apple!J$1,FALSE),VLOOKUP($B3,'[6]Single Game'!$B$4:$P$238,'[6]Single Game'!M$1,FALSE))</f>
        <v>4.99</v>
      </c>
      <c r="K3" s="33">
        <f>+IF($E3=VLOOKUP($B3,Apple!$B$3:$E$176,4,FALSE),VLOOKUP(Google!$B3,Apple!$B$3:$M$176,Apple!K$1,FALSE),VLOOKUP($B3,'[6]Single Game'!$B$4:$P$238,'[6]Single Game'!N$1,FALSE))</f>
        <v>4.99</v>
      </c>
      <c r="L3" s="33">
        <f>+IF($E3=VLOOKUP($B3,Apple!$B$3:$E$176,4,FALSE),VLOOKUP(Google!$B3,Apple!$B$3:$M$176,Apple!L$1,FALSE),VLOOKUP($B3,'[6]Single Game'!$B$4:$P$238,'[6]Single Game'!O$1,FALSE))</f>
        <v>3.99</v>
      </c>
      <c r="M3" s="33">
        <f>+IF($E3=VLOOKUP($B3,Apple!$B$3:$E$176,4,FALSE),VLOOKUP(Google!$B3,Apple!$B$3:$M$176,Apple!M$1,FALSE),VLOOKUP($B3,'[6]Single Game'!$B$4:$P$238,'[6]Single Game'!P$1,FALSE))</f>
        <v>3.99</v>
      </c>
      <c r="O3" t="str">
        <f>IF(VLOOKUP($B3,[5]Google!$B$3:$I$174,[5]Google!F$1,FALSE)=F3,"Same","MISMATCH")</f>
        <v>Same</v>
      </c>
      <c r="P3" t="str">
        <f>IF(VLOOKUP($B3,[5]Google!$B$3:$I$174,[5]Google!G$1,FALSE)=G3,"Same","MISMATCH")</f>
        <v>Same</v>
      </c>
      <c r="Q3" t="str">
        <f>IF(VLOOKUP($B3,[5]Google!$B$3:$I$174,[5]Google!H$1,FALSE)=H3,"Same","MISMATCH")</f>
        <v>Same</v>
      </c>
      <c r="R3" t="str">
        <f>IF(VLOOKUP($B3,[5]Google!$B$3:$I$174,[5]Google!I$1,FALSE)=I3,"Same","MISMATCH")</f>
        <v>Same</v>
      </c>
      <c r="S3" t="str">
        <f>IF(VLOOKUP($B3,[5]Google!$B$3:$M$174,[5]Google!J$1,FALSE)=J3,"Same","MISMATCH")</f>
        <v>Same</v>
      </c>
      <c r="T3" t="str">
        <f>IF(VLOOKUP($B3,[5]Google!$B$3:$M$174,[5]Google!K$1,FALSE)=K3,"Same","MISMATCH")</f>
        <v>Same</v>
      </c>
      <c r="U3" t="str">
        <f>IF(VLOOKUP($B3,[5]Google!$B$3:$M$174,[5]Google!L$1,FALSE)=L3,"Same","MISMATCH")</f>
        <v>Same</v>
      </c>
      <c r="V3" t="str">
        <f>IF(VLOOKUP($B3,[5]Google!$B$3:$M$174,[5]Google!M$1,FALSE)=M3,"Same","MISMATCH")</f>
        <v>Same</v>
      </c>
    </row>
    <row r="4" spans="2:22">
      <c r="B4" t="s">
        <v>74</v>
      </c>
      <c r="C4" s="31" t="str">
        <f>+VLOOKUP(B4,'Country &amp; Code Abbreviation'!$B$3:$C$245,2,FALSE)</f>
        <v>DZ</v>
      </c>
      <c r="D4" s="31" t="str">
        <f>+VLOOKUP(B4,'INT Web'!$B$5:$Q$248,16,FALSE)</f>
        <v>DZD</v>
      </c>
      <c r="E4" s="32" t="s">
        <v>412</v>
      </c>
      <c r="F4" s="33">
        <f>+IFERROR(IF($E4=VLOOKUP($B4,Apple!$B$3:$I$176,Apple!$E$1,FALSE),VLOOKUP(Google!$B4,Apple!$B$3:$I$176,Apple!F$1,FALSE),VLOOKUP($B4,'INT Web'!$B$5:$U$247,'INT Web'!R$1,FALSE)),MROUND(VLOOKUP($B4,'INT Web'!$B$5:$AQ$247,'INT Web'!AL$1,FALSE),1)-0.01)</f>
        <v>8099.99</v>
      </c>
      <c r="G4" s="33">
        <f>+IFERROR(IF($E4=VLOOKUP($B4,Apple!$B$3:$I$176,Apple!$E$1,FALSE),VLOOKUP(Google!$B4,Apple!$B$3:$I$176,Apple!G$1,FALSE),VLOOKUP($B4,'INT Web'!$B$5:$U$247,'INT Web'!S$1,FALSE)),MROUND(VLOOKUP($B4,'INT Web'!$B$5:$AQ$247,'INT Web'!AM$1,FALSE),1)-0.01)</f>
        <v>1349.99</v>
      </c>
      <c r="H4" s="33">
        <f>+IFERROR(IF($E4=VLOOKUP($B4,Apple!$B$3:$I$176,Apple!$E$1,FALSE),VLOOKUP(Google!$B4,Apple!$B$3:$I$176,Apple!H$1,FALSE),VLOOKUP($B4,'INT Web'!$B$5:$U$247,'INT Web'!T$1,FALSE)),MROUND(VLOOKUP($B4,'INT Web'!$B$5:$AQ$247,'INT Web'!AN$1,FALSE),1)-0.01)</f>
        <v>5999.99</v>
      </c>
      <c r="I4" s="33">
        <f>+IFERROR(IF($E4=VLOOKUP($B4,Apple!$B$3:$I$176,Apple!$E$1,FALSE),VLOOKUP(Google!$B4,Apple!$B$3:$I$176,Apple!I$1,FALSE),VLOOKUP($B4,'INT Web'!$B$5:$U$247,'INT Web'!U$1,FALSE)),MROUND(VLOOKUP($B4,'INT Web'!$B$5:$AQ$247,'INT Web'!AO$1,FALSE),1)-0.01)</f>
        <v>999.99</v>
      </c>
      <c r="J4" s="33">
        <f>+IF($E4=VLOOKUP($B4,Apple!$B$3:$E$176,4,FALSE),VLOOKUP(Google!$B4,Apple!$B$3:$M$176,Apple!J$1,FALSE),VLOOKUP($B4,'[6]Single Game'!$B$4:$P$238,'[6]Single Game'!M$1,FALSE))</f>
        <v>349.99</v>
      </c>
      <c r="K4" s="33">
        <f>+IF($E4=VLOOKUP($B4,Apple!$B$3:$E$176,4,FALSE),VLOOKUP(Google!$B4,Apple!$B$3:$M$176,Apple!K$1,FALSE),VLOOKUP($B4,'[6]Single Game'!$B$4:$P$238,'[6]Single Game'!N$1,FALSE))</f>
        <v>279.99</v>
      </c>
      <c r="L4" s="33">
        <f>+IF($E4=VLOOKUP($B4,Apple!$B$3:$E$176,4,FALSE),VLOOKUP(Google!$B4,Apple!$B$3:$M$176,Apple!L$1,FALSE),VLOOKUP($B4,'[6]Single Game'!$B$4:$P$238,'[6]Single Game'!O$1,FALSE))</f>
        <v>209.99</v>
      </c>
      <c r="M4" s="33">
        <f>+IF($E4=VLOOKUP($B4,Apple!$B$3:$E$176,4,FALSE),VLOOKUP(Google!$B4,Apple!$B$3:$M$176,Apple!M$1,FALSE),VLOOKUP($B4,'[6]Single Game'!$B$4:$P$238,'[6]Single Game'!P$1,FALSE))</f>
        <v>139.99</v>
      </c>
      <c r="O4" t="str">
        <f>IF(VLOOKUP($B4,[5]Google!$B$3:$I$174,[5]Google!F$1,FALSE)=F4,"Same","MISMATCH")</f>
        <v>Same</v>
      </c>
      <c r="P4" t="str">
        <f>IF(VLOOKUP($B4,[5]Google!$B$3:$I$174,[5]Google!G$1,FALSE)=G4,"Same","MISMATCH")</f>
        <v>Same</v>
      </c>
      <c r="Q4" t="str">
        <f>IF(VLOOKUP($B4,[5]Google!$B$3:$I$174,[5]Google!H$1,FALSE)=H4,"Same","MISMATCH")</f>
        <v>Same</v>
      </c>
      <c r="R4" t="str">
        <f>IF(VLOOKUP($B4,[5]Google!$B$3:$I$174,[5]Google!I$1,FALSE)=I4,"Same","MISMATCH")</f>
        <v>Same</v>
      </c>
      <c r="S4" t="str">
        <f>IF(VLOOKUP($B4,[5]Google!$B$3:$M$174,[5]Google!J$1,FALSE)=J4,"Same","MISMATCH")</f>
        <v>Same</v>
      </c>
      <c r="T4" t="str">
        <f>IF(VLOOKUP($B4,[5]Google!$B$3:$M$174,[5]Google!K$1,FALSE)=K4,"Same","MISMATCH")</f>
        <v>Same</v>
      </c>
      <c r="U4" t="str">
        <f>IF(VLOOKUP($B4,[5]Google!$B$3:$M$174,[5]Google!L$1,FALSE)=L4,"Same","MISMATCH")</f>
        <v>Same</v>
      </c>
      <c r="V4" t="str">
        <f>IF(VLOOKUP($B4,[5]Google!$B$3:$M$174,[5]Google!M$1,FALSE)=M4,"Same","MISMATCH")</f>
        <v>Same</v>
      </c>
    </row>
    <row r="5" spans="2:22">
      <c r="B5" t="s">
        <v>77</v>
      </c>
      <c r="C5" s="31" t="str">
        <f>+VLOOKUP(B5,'Country &amp; Code Abbreviation'!$B$3:$C$245,2,FALSE)</f>
        <v>AO</v>
      </c>
      <c r="D5" s="31" t="str">
        <f>+VLOOKUP(B5,'INT Web'!$B$5:$Q$248,16,FALSE)</f>
        <v>USD</v>
      </c>
      <c r="E5" s="32" t="s">
        <v>346</v>
      </c>
      <c r="F5" s="33">
        <f>+IFERROR(IF($E5=VLOOKUP($B5,Apple!$B$3:$I$176,Apple!$E$1,FALSE),VLOOKUP(Google!$B5,Apple!$B$3:$I$176,Apple!F$1,FALSE),VLOOKUP($B5,'INT Web'!$B$5:$U$247,'INT Web'!R$1,FALSE)),MROUND(VLOOKUP($B5,'INT Web'!$B$5:$AQ$247,'INT Web'!AL$1,FALSE),1)-0.01)</f>
        <v>71.989999999999995</v>
      </c>
      <c r="G5" s="33">
        <f>+IFERROR(IF($E5=VLOOKUP($B5,Apple!$B$3:$I$176,Apple!$E$1,FALSE),VLOOKUP(Google!$B5,Apple!$B$3:$I$176,Apple!G$1,FALSE),VLOOKUP($B5,'INT Web'!$B$5:$U$247,'INT Web'!S$1,FALSE)),MROUND(VLOOKUP($B5,'INT Web'!$B$5:$AQ$247,'INT Web'!AM$1,FALSE),1)-0.01)</f>
        <v>11.99</v>
      </c>
      <c r="H5" s="33">
        <f>+IFERROR(IF($E5=VLOOKUP($B5,Apple!$B$3:$I$176,Apple!$E$1,FALSE),VLOOKUP(Google!$B5,Apple!$B$3:$I$176,Apple!H$1,FALSE),VLOOKUP($B5,'INT Web'!$B$5:$U$247,'INT Web'!T$1,FALSE)),MROUND(VLOOKUP($B5,'INT Web'!$B$5:$AQ$247,'INT Web'!AN$1,FALSE),1)-0.01)</f>
        <v>53.99</v>
      </c>
      <c r="I5" s="33">
        <f>+IFERROR(IF($E5=VLOOKUP($B5,Apple!$B$3:$I$176,Apple!$E$1,FALSE),VLOOKUP(Google!$B5,Apple!$B$3:$I$176,Apple!I$1,FALSE),VLOOKUP($B5,'INT Web'!$B$5:$U$247,'INT Web'!U$1,FALSE)),MROUND(VLOOKUP($B5,'INT Web'!$B$5:$AQ$247,'INT Web'!AO$1,FALSE),1)-0.01)</f>
        <v>8.99</v>
      </c>
      <c r="J5" s="33">
        <f>+IF($E5=VLOOKUP($B5,Apple!$B$3:$E$176,4,FALSE),VLOOKUP(Google!$B5,Apple!$B$3:$M$176,Apple!J$1,FALSE),VLOOKUP($B5,'[6]Single Game'!$B$4:$P$238,'[6]Single Game'!M$1,FALSE))</f>
        <v>3.99</v>
      </c>
      <c r="K5" s="33">
        <f>+IF($E5=VLOOKUP($B5,Apple!$B$3:$E$176,4,FALSE),VLOOKUP(Google!$B5,Apple!$B$3:$M$176,Apple!K$1,FALSE),VLOOKUP($B5,'[6]Single Game'!$B$4:$P$238,'[6]Single Game'!N$1,FALSE))</f>
        <v>3.99</v>
      </c>
      <c r="L5" s="33">
        <f>+IF($E5=VLOOKUP($B5,Apple!$B$3:$E$176,4,FALSE),VLOOKUP(Google!$B5,Apple!$B$3:$M$176,Apple!L$1,FALSE),VLOOKUP($B5,'[6]Single Game'!$B$4:$P$238,'[6]Single Game'!O$1,FALSE))</f>
        <v>1.99</v>
      </c>
      <c r="M5" s="33">
        <f>+IF($E5=VLOOKUP($B5,Apple!$B$3:$E$176,4,FALSE),VLOOKUP(Google!$B5,Apple!$B$3:$M$176,Apple!M$1,FALSE),VLOOKUP($B5,'[6]Single Game'!$B$4:$P$238,'[6]Single Game'!P$1,FALSE))</f>
        <v>1.99</v>
      </c>
      <c r="O5" t="str">
        <f>IF(VLOOKUP($B5,[5]Google!$B$3:$I$174,[5]Google!F$1,FALSE)=F5,"Same","MISMATCH")</f>
        <v>Same</v>
      </c>
      <c r="P5" t="str">
        <f>IF(VLOOKUP($B5,[5]Google!$B$3:$I$174,[5]Google!G$1,FALSE)=G5,"Same","MISMATCH")</f>
        <v>Same</v>
      </c>
      <c r="Q5" t="str">
        <f>IF(VLOOKUP($B5,[5]Google!$B$3:$I$174,[5]Google!H$1,FALSE)=H5,"Same","MISMATCH")</f>
        <v>Same</v>
      </c>
      <c r="R5" t="str">
        <f>IF(VLOOKUP($B5,[5]Google!$B$3:$I$174,[5]Google!I$1,FALSE)=I5,"Same","MISMATCH")</f>
        <v>Same</v>
      </c>
      <c r="S5" t="str">
        <f>IF(VLOOKUP($B5,[5]Google!$B$3:$M$174,[5]Google!J$1,FALSE)=J5,"Same","MISMATCH")</f>
        <v>Same</v>
      </c>
      <c r="T5" t="str">
        <f>IF(VLOOKUP($B5,[5]Google!$B$3:$M$174,[5]Google!K$1,FALSE)=K5,"Same","MISMATCH")</f>
        <v>Same</v>
      </c>
      <c r="U5" t="str">
        <f>IF(VLOOKUP($B5,[5]Google!$B$3:$M$174,[5]Google!L$1,FALSE)=L5,"Same","MISMATCH")</f>
        <v>Same</v>
      </c>
      <c r="V5" t="str">
        <f>IF(VLOOKUP($B5,[5]Google!$B$3:$M$174,[5]Google!M$1,FALSE)=M5,"Same","MISMATCH")</f>
        <v>Same</v>
      </c>
    </row>
    <row r="6" spans="2:22">
      <c r="B6" t="s">
        <v>80</v>
      </c>
      <c r="C6" s="31" t="str">
        <f>+VLOOKUP(B6,'Country &amp; Code Abbreviation'!$B$3:$C$245,2,FALSE)</f>
        <v>AG</v>
      </c>
      <c r="D6" s="31" t="str">
        <f>+VLOOKUP(B6,'INT Web'!$B$5:$Q$248,16,FALSE)</f>
        <v>XCD</v>
      </c>
      <c r="E6" s="32" t="s">
        <v>346</v>
      </c>
      <c r="F6" s="33">
        <f>+IFERROR(IF($E6=VLOOKUP($B6,Apple!$B$3:$I$176,Apple!$E$1,FALSE),VLOOKUP(Google!$B6,Apple!$B$3:$I$176,Apple!F$1,FALSE),VLOOKUP($B6,'INT Web'!$B$5:$U$247,'INT Web'!R$1,FALSE)),MROUND(VLOOKUP($B6,'INT Web'!$B$5:$AQ$247,'INT Web'!AL$1,FALSE),1)-0.01)</f>
        <v>112.99</v>
      </c>
      <c r="G6" s="33">
        <f>+IFERROR(IF($E6=VLOOKUP($B6,Apple!$B$3:$I$176,Apple!$E$1,FALSE),VLOOKUP(Google!$B6,Apple!$B$3:$I$176,Apple!G$1,FALSE),VLOOKUP($B6,'INT Web'!$B$5:$U$247,'INT Web'!S$1,FALSE)),MROUND(VLOOKUP($B6,'INT Web'!$B$5:$AQ$247,'INT Web'!AM$1,FALSE),1)-0.01)</f>
        <v>18.989999999999998</v>
      </c>
      <c r="H6" s="33">
        <f>+IFERROR(IF($E6=VLOOKUP($B6,Apple!$B$3:$I$176,Apple!$E$1,FALSE),VLOOKUP(Google!$B6,Apple!$B$3:$I$176,Apple!H$1,FALSE),VLOOKUP($B6,'INT Web'!$B$5:$U$247,'INT Web'!T$1,FALSE)),MROUND(VLOOKUP($B6,'INT Web'!$B$5:$AQ$247,'INT Web'!AN$1,FALSE),1)-0.01)</f>
        <v>83.99</v>
      </c>
      <c r="I6" s="33">
        <f>+IFERROR(IF($E6=VLOOKUP($B6,Apple!$B$3:$I$176,Apple!$E$1,FALSE),VLOOKUP(Google!$B6,Apple!$B$3:$I$176,Apple!I$1,FALSE),VLOOKUP($B6,'INT Web'!$B$5:$U$247,'INT Web'!U$1,FALSE)),MROUND(VLOOKUP($B6,'INT Web'!$B$5:$AQ$247,'INT Web'!AO$1,FALSE),1)-0.01)</f>
        <v>13.99</v>
      </c>
      <c r="J6" s="33">
        <f>+IF($E6=VLOOKUP($B6,Apple!$B$3:$E$176,4,FALSE),VLOOKUP(Google!$B6,Apple!$B$3:$M$176,Apple!J$1,FALSE),VLOOKUP($B6,'[6]Single Game'!$B$4:$P$238,'[6]Single Game'!M$1,FALSE))</f>
        <v>4.99</v>
      </c>
      <c r="K6" s="33">
        <f>+IF($E6=VLOOKUP($B6,Apple!$B$3:$E$176,4,FALSE),VLOOKUP(Google!$B6,Apple!$B$3:$M$176,Apple!K$1,FALSE),VLOOKUP($B6,'[6]Single Game'!$B$4:$P$238,'[6]Single Game'!N$1,FALSE))</f>
        <v>3.99</v>
      </c>
      <c r="L6" s="33">
        <f>+IF($E6=VLOOKUP($B6,Apple!$B$3:$E$176,4,FALSE),VLOOKUP(Google!$B6,Apple!$B$3:$M$176,Apple!L$1,FALSE),VLOOKUP($B6,'[6]Single Game'!$B$4:$P$238,'[6]Single Game'!O$1,FALSE))</f>
        <v>2.99</v>
      </c>
      <c r="M6" s="33">
        <f>+IF($E6=VLOOKUP($B6,Apple!$B$3:$E$176,4,FALSE),VLOOKUP(Google!$B6,Apple!$B$3:$M$176,Apple!M$1,FALSE),VLOOKUP($B6,'[6]Single Game'!$B$4:$P$238,'[6]Single Game'!P$1,FALSE))</f>
        <v>1.99</v>
      </c>
      <c r="O6" t="str">
        <f>IF(VLOOKUP($B6,[5]Google!$B$3:$I$174,[5]Google!F$1,FALSE)=F6,"Same","MISMATCH")</f>
        <v>Same</v>
      </c>
      <c r="P6" t="str">
        <f>IF(VLOOKUP($B6,[5]Google!$B$3:$I$174,[5]Google!G$1,FALSE)=G6,"Same","MISMATCH")</f>
        <v>Same</v>
      </c>
      <c r="Q6" t="str">
        <f>IF(VLOOKUP($B6,[5]Google!$B$3:$I$174,[5]Google!H$1,FALSE)=H6,"Same","MISMATCH")</f>
        <v>Same</v>
      </c>
      <c r="R6" t="str">
        <f>IF(VLOOKUP($B6,[5]Google!$B$3:$I$174,[5]Google!I$1,FALSE)=I6,"Same","MISMATCH")</f>
        <v>Same</v>
      </c>
      <c r="S6" t="str">
        <f>IF(VLOOKUP($B6,[5]Google!$B$3:$M$174,[5]Google!J$1,FALSE)=J6,"Same","MISMATCH")</f>
        <v>Same</v>
      </c>
      <c r="T6" t="str">
        <f>IF(VLOOKUP($B6,[5]Google!$B$3:$M$174,[5]Google!K$1,FALSE)=K6,"Same","MISMATCH")</f>
        <v>Same</v>
      </c>
      <c r="U6" t="str">
        <f>IF(VLOOKUP($B6,[5]Google!$B$3:$M$174,[5]Google!L$1,FALSE)=L6,"Same","MISMATCH")</f>
        <v>Same</v>
      </c>
      <c r="V6" t="str">
        <f>IF(VLOOKUP($B6,[5]Google!$B$3:$M$174,[5]Google!M$1,FALSE)=M6,"Same","MISMATCH")</f>
        <v>Same</v>
      </c>
    </row>
    <row r="7" spans="2:22">
      <c r="B7" t="s">
        <v>81</v>
      </c>
      <c r="C7" s="31" t="str">
        <f>+VLOOKUP(B7,'Country &amp; Code Abbreviation'!$B$3:$C$245,2,FALSE)</f>
        <v>AR</v>
      </c>
      <c r="D7" s="31" t="str">
        <f>+VLOOKUP(B7,'INT Web'!$B$5:$Q$248,16,FALSE)</f>
        <v>USD</v>
      </c>
      <c r="E7" s="32" t="s">
        <v>346</v>
      </c>
      <c r="F7" s="33">
        <f>+IFERROR(IF($E7=VLOOKUP($B7,Apple!$B$3:$I$176,Apple!$E$1,FALSE),VLOOKUP(Google!$B7,Apple!$B$3:$I$176,Apple!F$1,FALSE),VLOOKUP($B7,'INT Web'!$B$5:$U$247,'INT Web'!R$1,FALSE)),MROUND(VLOOKUP($B7,'INT Web'!$B$5:$AQ$247,'INT Web'!AL$1,FALSE),1)-0.01)</f>
        <v>79.989999999999995</v>
      </c>
      <c r="G7" s="33">
        <f>+IFERROR(IF($E7=VLOOKUP($B7,Apple!$B$3:$I$176,Apple!$E$1,FALSE),VLOOKUP(Google!$B7,Apple!$B$3:$I$176,Apple!G$1,FALSE),VLOOKUP($B7,'INT Web'!$B$5:$U$247,'INT Web'!S$1,FALSE)),MROUND(VLOOKUP($B7,'INT Web'!$B$5:$AQ$247,'INT Web'!AM$1,FALSE),1)-0.01)</f>
        <v>12.99</v>
      </c>
      <c r="H7" s="33">
        <f>+IFERROR(IF($E7=VLOOKUP($B7,Apple!$B$3:$I$176,Apple!$E$1,FALSE),VLOOKUP(Google!$B7,Apple!$B$3:$I$176,Apple!H$1,FALSE),VLOOKUP($B7,'INT Web'!$B$5:$U$247,'INT Web'!T$1,FALSE)),MROUND(VLOOKUP($B7,'INT Web'!$B$5:$AQ$247,'INT Web'!AN$1,FALSE),1)-0.01)</f>
        <v>59.99</v>
      </c>
      <c r="I7" s="33">
        <f>+IFERROR(IF($E7=VLOOKUP($B7,Apple!$B$3:$I$176,Apple!$E$1,FALSE),VLOOKUP(Google!$B7,Apple!$B$3:$I$176,Apple!I$1,FALSE),VLOOKUP($B7,'INT Web'!$B$5:$U$247,'INT Web'!U$1,FALSE)),MROUND(VLOOKUP($B7,'INT Web'!$B$5:$AQ$247,'INT Web'!AO$1,FALSE),1)-0.01)</f>
        <v>9.99</v>
      </c>
      <c r="J7" s="33">
        <f>+IF($E7=VLOOKUP($B7,Apple!$B$3:$E$176,4,FALSE),VLOOKUP(Google!$B7,Apple!$B$3:$M$176,Apple!J$1,FALSE),VLOOKUP($B7,'[6]Single Game'!$B$4:$P$238,'[6]Single Game'!M$1,FALSE))</f>
        <v>3.99</v>
      </c>
      <c r="K7" s="33">
        <f>+IF($E7=VLOOKUP($B7,Apple!$B$3:$E$176,4,FALSE),VLOOKUP(Google!$B7,Apple!$B$3:$M$176,Apple!K$1,FALSE),VLOOKUP($B7,'[6]Single Game'!$B$4:$P$238,'[6]Single Game'!N$1,FALSE))</f>
        <v>3.99</v>
      </c>
      <c r="L7" s="33">
        <f>+IF($E7=VLOOKUP($B7,Apple!$B$3:$E$176,4,FALSE),VLOOKUP(Google!$B7,Apple!$B$3:$M$176,Apple!L$1,FALSE),VLOOKUP($B7,'[6]Single Game'!$B$4:$P$238,'[6]Single Game'!O$1,FALSE))</f>
        <v>2.99</v>
      </c>
      <c r="M7" s="33">
        <f>+IF($E7=VLOOKUP($B7,Apple!$B$3:$E$176,4,FALSE),VLOOKUP(Google!$B7,Apple!$B$3:$M$176,Apple!M$1,FALSE),VLOOKUP($B7,'[6]Single Game'!$B$4:$P$238,'[6]Single Game'!P$1,FALSE))</f>
        <v>2.99</v>
      </c>
      <c r="O7" t="str">
        <f>IF(VLOOKUP($B7,[5]Google!$B$3:$I$174,[5]Google!F$1,FALSE)=F7,"Same","MISMATCH")</f>
        <v>Same</v>
      </c>
      <c r="P7" t="str">
        <f>IF(VLOOKUP($B7,[5]Google!$B$3:$I$174,[5]Google!G$1,FALSE)=G7,"Same","MISMATCH")</f>
        <v>Same</v>
      </c>
      <c r="Q7" t="str">
        <f>IF(VLOOKUP($B7,[5]Google!$B$3:$I$174,[5]Google!H$1,FALSE)=H7,"Same","MISMATCH")</f>
        <v>Same</v>
      </c>
      <c r="R7" t="str">
        <f>IF(VLOOKUP($B7,[5]Google!$B$3:$I$174,[5]Google!I$1,FALSE)=I7,"Same","MISMATCH")</f>
        <v>Same</v>
      </c>
      <c r="S7" t="str">
        <f>IF(VLOOKUP($B7,[5]Google!$B$3:$M$174,[5]Google!J$1,FALSE)=J7,"Same","MISMATCH")</f>
        <v>Same</v>
      </c>
      <c r="T7" t="str">
        <f>IF(VLOOKUP($B7,[5]Google!$B$3:$M$174,[5]Google!K$1,FALSE)=K7,"Same","MISMATCH")</f>
        <v>Same</v>
      </c>
      <c r="U7" t="str">
        <f>IF(VLOOKUP($B7,[5]Google!$B$3:$M$174,[5]Google!L$1,FALSE)=L7,"Same","MISMATCH")</f>
        <v>Same</v>
      </c>
      <c r="V7" t="str">
        <f>IF(VLOOKUP($B7,[5]Google!$B$3:$M$174,[5]Google!M$1,FALSE)=M7,"Same","MISMATCH")</f>
        <v>Same</v>
      </c>
    </row>
    <row r="8" spans="2:22" ht="13.4" customHeight="1">
      <c r="B8" t="s">
        <v>82</v>
      </c>
      <c r="C8" s="31" t="str">
        <f>+VLOOKUP(B8,'Country &amp; Code Abbreviation'!$B$3:$C$245,2,FALSE)</f>
        <v>AM</v>
      </c>
      <c r="D8" s="31" t="str">
        <f>+VLOOKUP(B8,'INT Web'!$B$5:$Q$248,16,FALSE)</f>
        <v>AMD</v>
      </c>
      <c r="E8" s="32" t="s">
        <v>346</v>
      </c>
      <c r="F8" s="33">
        <f>+IFERROR(IF($E8=VLOOKUP($B8,Apple!$B$3:$I$176,Apple!$E$1,FALSE),VLOOKUP(Google!$B8,Apple!$B$3:$I$176,Apple!F$1,FALSE),VLOOKUP($B8,'INT Web'!$B$5:$U$247,'INT Web'!R$1,FALSE)),MROUND(VLOOKUP($B8,'INT Web'!$B$5:$AQ$247,'INT Web'!AL$1,FALSE),1)-0.01)</f>
        <v>139.99</v>
      </c>
      <c r="G8" s="33">
        <f>+IFERROR(IF($E8=VLOOKUP($B8,Apple!$B$3:$I$176,Apple!$E$1,FALSE),VLOOKUP(Google!$B8,Apple!$B$3:$I$176,Apple!G$1,FALSE),VLOOKUP($B8,'INT Web'!$B$5:$U$247,'INT Web'!S$1,FALSE)),MROUND(VLOOKUP($B8,'INT Web'!$B$5:$AQ$247,'INT Web'!AM$1,FALSE),1)-0.01)</f>
        <v>22.99</v>
      </c>
      <c r="H8" s="33">
        <f>+IFERROR(IF($E8=VLOOKUP($B8,Apple!$B$3:$I$176,Apple!$E$1,FALSE),VLOOKUP(Google!$B8,Apple!$B$3:$I$176,Apple!H$1,FALSE),VLOOKUP($B8,'INT Web'!$B$5:$U$247,'INT Web'!T$1,FALSE)),MROUND(VLOOKUP($B8,'INT Web'!$B$5:$AQ$247,'INT Web'!AN$1,FALSE),1)-0.01)</f>
        <v>103.99</v>
      </c>
      <c r="I8" s="33">
        <f>+IFERROR(IF($E8=VLOOKUP($B8,Apple!$B$3:$I$176,Apple!$E$1,FALSE),VLOOKUP(Google!$B8,Apple!$B$3:$I$176,Apple!I$1,FALSE),VLOOKUP($B8,'INT Web'!$B$5:$U$247,'INT Web'!U$1,FALSE)),MROUND(VLOOKUP($B8,'INT Web'!$B$5:$AQ$247,'INT Web'!AO$1,FALSE),1)-0.01)</f>
        <v>16.989999999999998</v>
      </c>
      <c r="J8" s="33">
        <f>+IF($E8=VLOOKUP($B8,Apple!$B$3:$E$176,4,FALSE),VLOOKUP(Google!$B8,Apple!$B$3:$M$176,Apple!J$1,FALSE),VLOOKUP($B8,'[6]Single Game'!$B$4:$P$238,'[6]Single Game'!M$1,FALSE))</f>
        <v>4.99</v>
      </c>
      <c r="K8" s="33">
        <f>+IF($E8=VLOOKUP($B8,Apple!$B$3:$E$176,4,FALSE),VLOOKUP(Google!$B8,Apple!$B$3:$M$176,Apple!K$1,FALSE),VLOOKUP($B8,'[6]Single Game'!$B$4:$P$238,'[6]Single Game'!N$1,FALSE))</f>
        <v>4.99</v>
      </c>
      <c r="L8" s="33">
        <f>+IF($E8=VLOOKUP($B8,Apple!$B$3:$E$176,4,FALSE),VLOOKUP(Google!$B8,Apple!$B$3:$M$176,Apple!L$1,FALSE),VLOOKUP($B8,'[6]Single Game'!$B$4:$P$238,'[6]Single Game'!O$1,FALSE))</f>
        <v>3.49</v>
      </c>
      <c r="M8" s="33">
        <f>+IF($E8=VLOOKUP($B8,Apple!$B$3:$E$176,4,FALSE),VLOOKUP(Google!$B8,Apple!$B$3:$M$176,Apple!M$1,FALSE),VLOOKUP($B8,'[6]Single Game'!$B$4:$P$238,'[6]Single Game'!P$1,FALSE))</f>
        <v>3.49</v>
      </c>
      <c r="O8" t="str">
        <f>IF(VLOOKUP($B8,[5]Google!$B$3:$I$174,[5]Google!F$1,FALSE)=F8,"Same","MISMATCH")</f>
        <v>Same</v>
      </c>
      <c r="P8" t="str">
        <f>IF(VLOOKUP($B8,[5]Google!$B$3:$I$174,[5]Google!G$1,FALSE)=G8,"Same","MISMATCH")</f>
        <v>Same</v>
      </c>
      <c r="Q8" t="str">
        <f>IF(VLOOKUP($B8,[5]Google!$B$3:$I$174,[5]Google!H$1,FALSE)=H8,"Same","MISMATCH")</f>
        <v>Same</v>
      </c>
      <c r="R8" t="str">
        <f>IF(VLOOKUP($B8,[5]Google!$B$3:$I$174,[5]Google!I$1,FALSE)=I8,"Same","MISMATCH")</f>
        <v>Same</v>
      </c>
      <c r="S8" t="str">
        <f>IF(VLOOKUP($B8,[5]Google!$B$3:$M$174,[5]Google!J$1,FALSE)=J8,"Same","MISMATCH")</f>
        <v>Same</v>
      </c>
      <c r="T8" t="str">
        <f>IF(VLOOKUP($B8,[5]Google!$B$3:$M$174,[5]Google!K$1,FALSE)=K8,"Same","MISMATCH")</f>
        <v>Same</v>
      </c>
      <c r="U8" t="str">
        <f>IF(VLOOKUP($B8,[5]Google!$B$3:$M$174,[5]Google!L$1,FALSE)=L8,"Same","MISMATCH")</f>
        <v>Same</v>
      </c>
      <c r="V8" t="str">
        <f>IF(VLOOKUP($B8,[5]Google!$B$3:$M$174,[5]Google!M$1,FALSE)=M8,"Same","MISMATCH")</f>
        <v>Same</v>
      </c>
    </row>
    <row r="9" spans="2:22">
      <c r="B9" t="s">
        <v>83</v>
      </c>
      <c r="C9" s="31" t="str">
        <f>+VLOOKUP(B9,'Country &amp; Code Abbreviation'!$B$3:$C$245,2,FALSE)</f>
        <v>AW</v>
      </c>
      <c r="D9" s="31" t="str">
        <f>+VLOOKUP(B9,'INT Web'!$B$5:$Q$248,16,FALSE)</f>
        <v>AWG</v>
      </c>
      <c r="E9" s="32" t="s">
        <v>346</v>
      </c>
      <c r="F9" s="34">
        <v>99.99</v>
      </c>
      <c r="G9" s="33">
        <f>+IFERROR(IF($E9=VLOOKUP($B9,Apple!$B$3:$I$176,Apple!$E$1,FALSE),VLOOKUP(Google!$B9,Apple!$B$3:$I$176,Apple!G$1,FALSE),VLOOKUP($B9,'INT Web'!$B$5:$U$247,'INT Web'!S$1,FALSE)),MROUND(VLOOKUP($B9,'INT Web'!$B$5:$AQ$247,'INT Web'!AM$1,FALSE),1)-0.01)</f>
        <v>16.989999999999998</v>
      </c>
      <c r="H9" s="34">
        <v>74.989999999999995</v>
      </c>
      <c r="I9" s="33">
        <f>+IFERROR(IF($E9=VLOOKUP($B9,Apple!$B$3:$I$176,Apple!$E$1,FALSE),VLOOKUP(Google!$B9,Apple!$B$3:$I$176,Apple!I$1,FALSE),VLOOKUP($B9,'INT Web'!$B$5:$U$247,'INT Web'!U$1,FALSE)),MROUND(VLOOKUP($B9,'INT Web'!$B$5:$AQ$247,'INT Web'!AO$1,FALSE),1)-0.01)</f>
        <v>11.99</v>
      </c>
      <c r="J9" s="34">
        <v>3.99</v>
      </c>
      <c r="K9" s="34">
        <v>2.99</v>
      </c>
      <c r="L9" s="34">
        <v>1.99</v>
      </c>
      <c r="M9" s="34">
        <v>0.99</v>
      </c>
      <c r="O9" t="str">
        <f>IF(VLOOKUP($B9,[5]Google!$B$3:$I$174,[5]Google!F$1,FALSE)=F9,"Same","MISMATCH")</f>
        <v>Same</v>
      </c>
      <c r="P9" t="str">
        <f>IF(VLOOKUP($B9,[5]Google!$B$3:$I$174,[5]Google!G$1,FALSE)=G9,"Same","MISMATCH")</f>
        <v>Same</v>
      </c>
      <c r="Q9" t="str">
        <f>IF(VLOOKUP($B9,[5]Google!$B$3:$I$174,[5]Google!H$1,FALSE)=H9,"Same","MISMATCH")</f>
        <v>Same</v>
      </c>
      <c r="R9" t="str">
        <f>IF(VLOOKUP($B9,[5]Google!$B$3:$I$174,[5]Google!I$1,FALSE)=I9,"Same","MISMATCH")</f>
        <v>Same</v>
      </c>
      <c r="S9" t="str">
        <f>IF(VLOOKUP($B9,[5]Google!$B$3:$M$174,[5]Google!J$1,FALSE)=J9,"Same","MISMATCH")</f>
        <v>Same</v>
      </c>
      <c r="T9" t="str">
        <f>IF(VLOOKUP($B9,[5]Google!$B$3:$M$174,[5]Google!K$1,FALSE)=K9,"Same","MISMATCH")</f>
        <v>Same</v>
      </c>
      <c r="U9" t="str">
        <f>IF(VLOOKUP($B9,[5]Google!$B$3:$M$174,[5]Google!L$1,FALSE)=L9,"Same","MISMATCH")</f>
        <v>Same</v>
      </c>
      <c r="V9" t="str">
        <f>IF(VLOOKUP($B9,[5]Google!$B$3:$M$174,[5]Google!M$1,FALSE)=M9,"Same","MISMATCH")</f>
        <v>Same</v>
      </c>
    </row>
    <row r="10" spans="2:22">
      <c r="B10" s="73" t="s">
        <v>84</v>
      </c>
      <c r="C10" s="110" t="str">
        <f>+VLOOKUP(B10,'Country &amp; Code Abbreviation'!$B$3:$C$245,2,FALSE)</f>
        <v>AU</v>
      </c>
      <c r="D10" s="31" t="str">
        <f>+VLOOKUP(B10,'INT Web'!$B$5:$Q$248,16,FALSE)</f>
        <v>AUD</v>
      </c>
      <c r="E10" s="32" t="s">
        <v>367</v>
      </c>
      <c r="F10" s="109">
        <f>+IFERROR(IF($E10=VLOOKUP($B10,Apple!$B$3:$I$176,Apple!$E$1,FALSE),VLOOKUP(Google!$B10,Apple!$B$3:$I$176,Apple!F$1,FALSE),VLOOKUP($B10,'INT Web'!$B$5:$U$247,'INT Web'!R$1,FALSE)),MROUND(VLOOKUP($B10,'INT Web'!$B$5:$AQ$247,'INT Web'!AL$1,FALSE),1)-0.01)</f>
        <v>244.99</v>
      </c>
      <c r="G10" s="109">
        <f>+IFERROR(IF($E10=VLOOKUP($B10,Apple!$B$3:$I$176,Apple!$E$1,FALSE),VLOOKUP(Google!$B10,Apple!$B$3:$I$176,Apple!G$1,FALSE),VLOOKUP($B10,'INT Web'!$B$5:$U$247,'INT Web'!S$1,FALSE)),MROUND(VLOOKUP($B10,'INT Web'!$B$5:$AQ$247,'INT Web'!AM$1,FALSE),1)-0.01)</f>
        <v>34.99</v>
      </c>
      <c r="H10" s="33">
        <f>+IFERROR(IF($E10=VLOOKUP($B10,Apple!$B$3:$I$176,Apple!$E$1,FALSE),VLOOKUP(Google!$B10,Apple!$B$3:$I$176,Apple!H$1,FALSE),VLOOKUP($B10,'INT Web'!$B$5:$U$247,'INT Web'!T$1,FALSE)),MROUND(VLOOKUP($B10,'INT Web'!$B$5:$AQ$247,'INT Web'!AN$1,FALSE),1)-0.01)</f>
        <v>174.99</v>
      </c>
      <c r="I10" s="33">
        <f>+IFERROR(IF($E10=VLOOKUP($B10,Apple!$B$3:$I$176,Apple!$E$1,FALSE),VLOOKUP(Google!$B10,Apple!$B$3:$I$176,Apple!I$1,FALSE),VLOOKUP($B10,'INT Web'!$B$5:$U$247,'INT Web'!U$1,FALSE)),MROUND(VLOOKUP($B10,'INT Web'!$B$5:$AQ$247,'INT Web'!AO$1,FALSE),1)-0.01)</f>
        <v>24.99</v>
      </c>
      <c r="J10" s="33">
        <f>+IF($E10=VLOOKUP($B10,Apple!$B$3:$E$176,4,FALSE),VLOOKUP(Google!$B10,Apple!$B$3:$M$176,Apple!J$1,FALSE),VLOOKUP($B10,'[6]Single Game'!$B$4:$P$238,'[6]Single Game'!M$1,FALSE))</f>
        <v>9.99</v>
      </c>
      <c r="K10" s="33">
        <f>+IF($E10=VLOOKUP($B10,Apple!$B$3:$E$176,4,FALSE),VLOOKUP(Google!$B10,Apple!$B$3:$M$176,Apple!K$1,FALSE),VLOOKUP($B10,'[6]Single Game'!$B$4:$P$238,'[6]Single Game'!N$1,FALSE))</f>
        <v>7.99</v>
      </c>
      <c r="L10" s="33">
        <f>+IF($E10=VLOOKUP($B10,Apple!$B$3:$E$176,4,FALSE),VLOOKUP(Google!$B10,Apple!$B$3:$M$176,Apple!L$1,FALSE),VLOOKUP($B10,'[6]Single Game'!$B$4:$P$238,'[6]Single Game'!O$1,FALSE))</f>
        <v>5.99</v>
      </c>
      <c r="M10" s="33">
        <f>+IF($E10=VLOOKUP($B10,Apple!$B$3:$E$176,4,FALSE),VLOOKUP(Google!$B10,Apple!$B$3:$M$176,Apple!M$1,FALSE),VLOOKUP($B10,'[6]Single Game'!$B$4:$P$238,'[6]Single Game'!P$1,FALSE))</f>
        <v>3.99</v>
      </c>
      <c r="O10" t="str">
        <f>IF(VLOOKUP($B10,[5]Google!$B$3:$I$174,[5]Google!F$1,FALSE)=F10,"Same","MISMATCH")</f>
        <v>MISMATCH</v>
      </c>
      <c r="P10" t="str">
        <f>IF(VLOOKUP($B10,[5]Google!$B$3:$I$174,[5]Google!G$1,FALSE)=G10,"Same","MISMATCH")</f>
        <v>MISMATCH</v>
      </c>
      <c r="Q10" t="str">
        <f>IF(VLOOKUP($B10,[5]Google!$B$3:$I$174,[5]Google!H$1,FALSE)=H10,"Same","MISMATCH")</f>
        <v>Same</v>
      </c>
      <c r="R10" t="str">
        <f>IF(VLOOKUP($B10,[5]Google!$B$3:$I$174,[5]Google!I$1,FALSE)=I10,"Same","MISMATCH")</f>
        <v>Same</v>
      </c>
      <c r="S10" t="str">
        <f>IF(VLOOKUP($B10,[5]Google!$B$3:$M$174,[5]Google!J$1,FALSE)=J10,"Same","MISMATCH")</f>
        <v>Same</v>
      </c>
      <c r="T10" t="str">
        <f>IF(VLOOKUP($B10,[5]Google!$B$3:$M$174,[5]Google!K$1,FALSE)=K10,"Same","MISMATCH")</f>
        <v>Same</v>
      </c>
      <c r="U10" t="str">
        <f>IF(VLOOKUP($B10,[5]Google!$B$3:$M$174,[5]Google!L$1,FALSE)=L10,"Same","MISMATCH")</f>
        <v>Same</v>
      </c>
      <c r="V10" t="str">
        <f>IF(VLOOKUP($B10,[5]Google!$B$3:$M$174,[5]Google!M$1,FALSE)=M10,"Same","MISMATCH")</f>
        <v>Same</v>
      </c>
    </row>
    <row r="11" spans="2:22">
      <c r="B11" t="s">
        <v>85</v>
      </c>
      <c r="C11" s="31" t="str">
        <f>+VLOOKUP(B11,'Country &amp; Code Abbreviation'!$B$3:$C$245,2,FALSE)</f>
        <v>AT</v>
      </c>
      <c r="D11" s="31" t="str">
        <f>+VLOOKUP(B11,'INT Web'!$B$5:$Q$248,16,FALSE)</f>
        <v>EUR</v>
      </c>
      <c r="E11" s="32" t="s">
        <v>368</v>
      </c>
      <c r="F11" s="33">
        <f>+IFERROR(IF($E11=VLOOKUP($B11,Apple!$B$3:$I$176,Apple!$E$1,FALSE),VLOOKUP(Google!$B11,Apple!$B$3:$I$176,Apple!F$1,FALSE),VLOOKUP($B11,'INT Web'!$B$5:$U$247,'INT Web'!R$1,FALSE)),MROUND(VLOOKUP($B11,'INT Web'!$B$5:$AQ$247,'INT Web'!AL$1,FALSE),1)-0.01)</f>
        <v>159.99</v>
      </c>
      <c r="G11" s="33">
        <f>+IFERROR(IF($E11=VLOOKUP($B11,Apple!$B$3:$I$176,Apple!$E$1,FALSE),VLOOKUP(Google!$B11,Apple!$B$3:$I$176,Apple!G$1,FALSE),VLOOKUP($B11,'INT Web'!$B$5:$U$247,'INT Web'!S$1,FALSE)),MROUND(VLOOKUP($B11,'INT Web'!$B$5:$AQ$247,'INT Web'!AM$1,FALSE),1)-0.01)</f>
        <v>23.99</v>
      </c>
      <c r="H11" s="33">
        <f>+IFERROR(IF($E11=VLOOKUP($B11,Apple!$B$3:$I$176,Apple!$E$1,FALSE),VLOOKUP(Google!$B11,Apple!$B$3:$I$176,Apple!H$1,FALSE),VLOOKUP($B11,'INT Web'!$B$5:$U$247,'INT Web'!T$1,FALSE)),MROUND(VLOOKUP($B11,'INT Web'!$B$5:$AQ$247,'INT Web'!AN$1,FALSE),1)-0.01)</f>
        <v>116.99</v>
      </c>
      <c r="I11" s="33">
        <f>+IFERROR(IF($E11=VLOOKUP($B11,Apple!$B$3:$I$176,Apple!$E$1,FALSE),VLOOKUP(Google!$B11,Apple!$B$3:$I$176,Apple!I$1,FALSE),VLOOKUP($B11,'INT Web'!$B$5:$U$247,'INT Web'!U$1,FALSE)),MROUND(VLOOKUP($B11,'INT Web'!$B$5:$AQ$247,'INT Web'!AO$1,FALSE),1)-0.01)</f>
        <v>17.989999999999998</v>
      </c>
      <c r="J11" s="33">
        <f>+IF($E11=VLOOKUP($B11,Apple!$B$3:$E$176,4,FALSE),VLOOKUP(Google!$B11,Apple!$B$3:$M$176,Apple!J$1,FALSE),VLOOKUP($B11,'[6]Single Game'!$B$4:$P$238,'[6]Single Game'!M$1,FALSE))</f>
        <v>5.99</v>
      </c>
      <c r="K11" s="33">
        <f>+IF($E11=VLOOKUP($B11,Apple!$B$3:$E$176,4,FALSE),VLOOKUP(Google!$B11,Apple!$B$3:$M$176,Apple!K$1,FALSE),VLOOKUP($B11,'[6]Single Game'!$B$4:$P$238,'[6]Single Game'!N$1,FALSE))</f>
        <v>4.99</v>
      </c>
      <c r="L11" s="33">
        <f>+IF($E11=VLOOKUP($B11,Apple!$B$3:$E$176,4,FALSE),VLOOKUP(Google!$B11,Apple!$B$3:$M$176,Apple!L$1,FALSE),VLOOKUP($B11,'[6]Single Game'!$B$4:$P$238,'[6]Single Game'!O$1,FALSE))</f>
        <v>3.99</v>
      </c>
      <c r="M11" s="33">
        <f>+IF($E11=VLOOKUP($B11,Apple!$B$3:$E$176,4,FALSE),VLOOKUP(Google!$B11,Apple!$B$3:$M$176,Apple!M$1,FALSE),VLOOKUP($B11,'[6]Single Game'!$B$4:$P$238,'[6]Single Game'!P$1,FALSE))</f>
        <v>2.99</v>
      </c>
      <c r="O11" t="str">
        <f>IF(VLOOKUP($B11,[5]Google!$B$3:$I$174,[5]Google!F$1,FALSE)=F11,"Same","MISMATCH")</f>
        <v>Same</v>
      </c>
      <c r="P11" t="str">
        <f>IF(VLOOKUP($B11,[5]Google!$B$3:$I$174,[5]Google!G$1,FALSE)=G11,"Same","MISMATCH")</f>
        <v>Same</v>
      </c>
      <c r="Q11" t="str">
        <f>IF(VLOOKUP($B11,[5]Google!$B$3:$I$174,[5]Google!H$1,FALSE)=H11,"Same","MISMATCH")</f>
        <v>Same</v>
      </c>
      <c r="R11" t="str">
        <f>IF(VLOOKUP($B11,[5]Google!$B$3:$I$174,[5]Google!I$1,FALSE)=I11,"Same","MISMATCH")</f>
        <v>Same</v>
      </c>
      <c r="S11" t="str">
        <f>IF(VLOOKUP($B11,[5]Google!$B$3:$M$174,[5]Google!J$1,FALSE)=J11,"Same","MISMATCH")</f>
        <v>Same</v>
      </c>
      <c r="T11" t="str">
        <f>IF(VLOOKUP($B11,[5]Google!$B$3:$M$174,[5]Google!K$1,FALSE)=K11,"Same","MISMATCH")</f>
        <v>Same</v>
      </c>
      <c r="U11" t="str">
        <f>IF(VLOOKUP($B11,[5]Google!$B$3:$M$174,[5]Google!L$1,FALSE)=L11,"Same","MISMATCH")</f>
        <v>Same</v>
      </c>
      <c r="V11" t="str">
        <f>IF(VLOOKUP($B11,[5]Google!$B$3:$M$174,[5]Google!M$1,FALSE)=M11,"Same","MISMATCH")</f>
        <v>Same</v>
      </c>
    </row>
    <row r="12" spans="2:22">
      <c r="B12" t="s">
        <v>86</v>
      </c>
      <c r="C12" s="31" t="str">
        <f>+VLOOKUP(B12,'Country &amp; Code Abbreviation'!$B$3:$C$245,2,FALSE)</f>
        <v>AZ</v>
      </c>
      <c r="D12" s="31" t="str">
        <f>+VLOOKUP(B12,'INT Web'!$B$5:$Q$248,16,FALSE)</f>
        <v>AZN</v>
      </c>
      <c r="E12" s="32" t="s">
        <v>346</v>
      </c>
      <c r="F12" s="33">
        <f>+IFERROR(IF($E12=VLOOKUP($B12,Apple!$B$3:$I$176,Apple!$E$1,FALSE),VLOOKUP(Google!$B12,Apple!$B$3:$I$176,Apple!F$1,FALSE),VLOOKUP($B12,'INT Web'!$B$5:$U$247,'INT Web'!R$1,FALSE)),MROUND(VLOOKUP($B12,'INT Web'!$B$5:$AQ$247,'INT Web'!AL$1,FALSE),1)-0.01)</f>
        <v>105.99</v>
      </c>
      <c r="G12" s="33">
        <f>+IFERROR(IF($E12=VLOOKUP($B12,Apple!$B$3:$I$176,Apple!$E$1,FALSE),VLOOKUP(Google!$B12,Apple!$B$3:$I$176,Apple!G$1,FALSE),VLOOKUP($B12,'INT Web'!$B$5:$U$247,'INT Web'!S$1,FALSE)),MROUND(VLOOKUP($B12,'INT Web'!$B$5:$AQ$247,'INT Web'!AM$1,FALSE),1)-0.01)</f>
        <v>17.989999999999998</v>
      </c>
      <c r="H12" s="33">
        <f>+IFERROR(IF($E12=VLOOKUP($B12,Apple!$B$3:$I$176,Apple!$E$1,FALSE),VLOOKUP(Google!$B12,Apple!$B$3:$I$176,Apple!H$1,FALSE),VLOOKUP($B12,'INT Web'!$B$5:$U$247,'INT Web'!T$1,FALSE)),MROUND(VLOOKUP($B12,'INT Web'!$B$5:$AQ$247,'INT Web'!AN$1,FALSE),1)-0.01)</f>
        <v>76.989999999999995</v>
      </c>
      <c r="I12" s="33">
        <f>+IFERROR(IF($E12=VLOOKUP($B12,Apple!$B$3:$I$176,Apple!$E$1,FALSE),VLOOKUP(Google!$B12,Apple!$B$3:$I$176,Apple!I$1,FALSE),VLOOKUP($B12,'INT Web'!$B$5:$U$247,'INT Web'!U$1,FALSE)),MROUND(VLOOKUP($B12,'INT Web'!$B$5:$AQ$247,'INT Web'!AO$1,FALSE),1)-0.01)</f>
        <v>12.99</v>
      </c>
      <c r="J12" s="33">
        <f>+IF($E12=VLOOKUP($B12,Apple!$B$3:$E$176,4,FALSE),VLOOKUP(Google!$B12,Apple!$B$3:$M$176,Apple!J$1,FALSE),VLOOKUP($B12,'[6]Single Game'!$B$4:$P$238,'[6]Single Game'!M$1,FALSE))</f>
        <v>4.99</v>
      </c>
      <c r="K12" s="33">
        <f>+IF($E12=VLOOKUP($B12,Apple!$B$3:$E$176,4,FALSE),VLOOKUP(Google!$B12,Apple!$B$3:$M$176,Apple!K$1,FALSE),VLOOKUP($B12,'[6]Single Game'!$B$4:$P$238,'[6]Single Game'!N$1,FALSE))</f>
        <v>3.99</v>
      </c>
      <c r="L12" s="33">
        <f>+IF($E12=VLOOKUP($B12,Apple!$B$3:$E$176,4,FALSE),VLOOKUP(Google!$B12,Apple!$B$3:$M$176,Apple!L$1,FALSE),VLOOKUP($B12,'[6]Single Game'!$B$4:$P$238,'[6]Single Game'!O$1,FALSE))</f>
        <v>2.99</v>
      </c>
      <c r="M12" s="33">
        <f>+IF($E12=VLOOKUP($B12,Apple!$B$3:$E$176,4,FALSE),VLOOKUP(Google!$B12,Apple!$B$3:$M$176,Apple!M$1,FALSE),VLOOKUP($B12,'[6]Single Game'!$B$4:$P$238,'[6]Single Game'!P$1,FALSE))</f>
        <v>1.99</v>
      </c>
      <c r="O12" t="str">
        <f>IF(VLOOKUP($B12,[5]Google!$B$3:$I$174,[5]Google!F$1,FALSE)=F12,"Same","MISMATCH")</f>
        <v>Same</v>
      </c>
      <c r="P12" t="str">
        <f>IF(VLOOKUP($B12,[5]Google!$B$3:$I$174,[5]Google!G$1,FALSE)=G12,"Same","MISMATCH")</f>
        <v>Same</v>
      </c>
      <c r="Q12" t="str">
        <f>IF(VLOOKUP($B12,[5]Google!$B$3:$I$174,[5]Google!H$1,FALSE)=H12,"Same","MISMATCH")</f>
        <v>Same</v>
      </c>
      <c r="R12" t="str">
        <f>IF(VLOOKUP($B12,[5]Google!$B$3:$I$174,[5]Google!I$1,FALSE)=I12,"Same","MISMATCH")</f>
        <v>Same</v>
      </c>
      <c r="S12" t="str">
        <f>IF(VLOOKUP($B12,[5]Google!$B$3:$M$174,[5]Google!J$1,FALSE)=J12,"Same","MISMATCH")</f>
        <v>Same</v>
      </c>
      <c r="T12" t="str">
        <f>IF(VLOOKUP($B12,[5]Google!$B$3:$M$174,[5]Google!K$1,FALSE)=K12,"Same","MISMATCH")</f>
        <v>Same</v>
      </c>
      <c r="U12" t="str">
        <f>IF(VLOOKUP($B12,[5]Google!$B$3:$M$174,[5]Google!L$1,FALSE)=L12,"Same","MISMATCH")</f>
        <v>Same</v>
      </c>
      <c r="V12" t="str">
        <f>IF(VLOOKUP($B12,[5]Google!$B$3:$M$174,[5]Google!M$1,FALSE)=M12,"Same","MISMATCH")</f>
        <v>Same</v>
      </c>
    </row>
    <row r="13" spans="2:22">
      <c r="B13" t="s">
        <v>87</v>
      </c>
      <c r="C13" s="31" t="str">
        <f>+VLOOKUP(B13,'Country &amp; Code Abbreviation'!$B$3:$C$245,2,FALSE)</f>
        <v>BS</v>
      </c>
      <c r="D13" s="31" t="str">
        <f>+VLOOKUP(B13,'INT Web'!$B$5:$Q$248,16,FALSE)</f>
        <v>BSD</v>
      </c>
      <c r="E13" s="32" t="s">
        <v>346</v>
      </c>
      <c r="F13" s="33">
        <f>+IFERROR(IF($E13=VLOOKUP($B13,Apple!$B$3:$I$176,Apple!$E$1,FALSE),VLOOKUP(Google!$B13,Apple!$B$3:$I$176,Apple!F$1,FALSE),VLOOKUP($B13,'INT Web'!$B$5:$U$247,'INT Web'!R$1,FALSE)),MROUND(VLOOKUP($B13,'INT Web'!$B$5:$AQ$247,'INT Web'!AL$1,FALSE),1)-0.01)</f>
        <v>95.99</v>
      </c>
      <c r="G13" s="33">
        <f>+IFERROR(IF($E13=VLOOKUP($B13,Apple!$B$3:$I$176,Apple!$E$1,FALSE),VLOOKUP(Google!$B13,Apple!$B$3:$I$176,Apple!G$1,FALSE),VLOOKUP($B13,'INT Web'!$B$5:$U$247,'INT Web'!S$1,FALSE)),MROUND(VLOOKUP($B13,'INT Web'!$B$5:$AQ$247,'INT Web'!AM$1,FALSE),1)-0.01)</f>
        <v>15.99</v>
      </c>
      <c r="H13" s="33">
        <f>+IFERROR(IF($E13=VLOOKUP($B13,Apple!$B$3:$I$176,Apple!$E$1,FALSE),VLOOKUP(Google!$B13,Apple!$B$3:$I$176,Apple!H$1,FALSE),VLOOKUP($B13,'INT Web'!$B$5:$U$247,'INT Web'!T$1,FALSE)),MROUND(VLOOKUP($B13,'INT Web'!$B$5:$AQ$247,'INT Web'!AN$1,FALSE),1)-0.01)</f>
        <v>71.989999999999995</v>
      </c>
      <c r="I13" s="33">
        <f>+IFERROR(IF($E13=VLOOKUP($B13,Apple!$B$3:$I$176,Apple!$E$1,FALSE),VLOOKUP(Google!$B13,Apple!$B$3:$I$176,Apple!I$1,FALSE),VLOOKUP($B13,'INT Web'!$B$5:$U$247,'INT Web'!U$1,FALSE)),MROUND(VLOOKUP($B13,'INT Web'!$B$5:$AQ$247,'INT Web'!AO$1,FALSE),1)-0.01)</f>
        <v>11.99</v>
      </c>
      <c r="J13" s="33">
        <f>+IF($E13=VLOOKUP($B13,Apple!$B$3:$E$176,4,FALSE),VLOOKUP(Google!$B13,Apple!$B$3:$M$176,Apple!J$1,FALSE),VLOOKUP($B13,'[6]Single Game'!$B$4:$P$238,'[6]Single Game'!M$1,FALSE))</f>
        <v>4.49</v>
      </c>
      <c r="K13" s="33">
        <f>+IF($E13=VLOOKUP($B13,Apple!$B$3:$E$176,4,FALSE),VLOOKUP(Google!$B13,Apple!$B$3:$M$176,Apple!K$1,FALSE),VLOOKUP($B13,'[6]Single Game'!$B$4:$P$238,'[6]Single Game'!N$1,FALSE))</f>
        <v>3.49</v>
      </c>
      <c r="L13" s="33">
        <f>+IF($E13=VLOOKUP($B13,Apple!$B$3:$E$176,4,FALSE),VLOOKUP(Google!$B13,Apple!$B$3:$M$176,Apple!L$1,FALSE),VLOOKUP($B13,'[6]Single Game'!$B$4:$P$238,'[6]Single Game'!O$1,FALSE))</f>
        <v>2.29</v>
      </c>
      <c r="M13" s="33">
        <f>+IF($E13=VLOOKUP($B13,Apple!$B$3:$E$176,4,FALSE),VLOOKUP(Google!$B13,Apple!$B$3:$M$176,Apple!M$1,FALSE),VLOOKUP($B13,'[6]Single Game'!$B$4:$P$238,'[6]Single Game'!P$1,FALSE))</f>
        <v>1.0900000000000001</v>
      </c>
      <c r="O13" t="str">
        <f>IF(VLOOKUP($B13,[5]Google!$B$3:$I$174,[5]Google!F$1,FALSE)=F13,"Same","MISMATCH")</f>
        <v>Same</v>
      </c>
      <c r="P13" t="str">
        <f>IF(VLOOKUP($B13,[5]Google!$B$3:$I$174,[5]Google!G$1,FALSE)=G13,"Same","MISMATCH")</f>
        <v>Same</v>
      </c>
      <c r="Q13" t="str">
        <f>IF(VLOOKUP($B13,[5]Google!$B$3:$I$174,[5]Google!H$1,FALSE)=H13,"Same","MISMATCH")</f>
        <v>Same</v>
      </c>
      <c r="R13" t="str">
        <f>IF(VLOOKUP($B13,[5]Google!$B$3:$I$174,[5]Google!I$1,FALSE)=I13,"Same","MISMATCH")</f>
        <v>Same</v>
      </c>
      <c r="S13" t="str">
        <f>IF(VLOOKUP($B13,[5]Google!$B$3:$M$174,[5]Google!J$1,FALSE)=J13,"Same","MISMATCH")</f>
        <v>Same</v>
      </c>
      <c r="T13" t="str">
        <f>IF(VLOOKUP($B13,[5]Google!$B$3:$M$174,[5]Google!K$1,FALSE)=K13,"Same","MISMATCH")</f>
        <v>Same</v>
      </c>
      <c r="U13" t="str">
        <f>IF(VLOOKUP($B13,[5]Google!$B$3:$M$174,[5]Google!L$1,FALSE)=L13,"Same","MISMATCH")</f>
        <v>Same</v>
      </c>
      <c r="V13" t="str">
        <f>IF(VLOOKUP($B13,[5]Google!$B$3:$M$174,[5]Google!M$1,FALSE)=M13,"Same","MISMATCH")</f>
        <v>Same</v>
      </c>
    </row>
    <row r="14" spans="2:22">
      <c r="B14" t="s">
        <v>88</v>
      </c>
      <c r="C14" s="31" t="str">
        <f>+VLOOKUP(B14,'Country &amp; Code Abbreviation'!$B$3:$C$245,2,FALSE)</f>
        <v>BH</v>
      </c>
      <c r="D14" s="31" t="str">
        <f>+VLOOKUP(B14,'INT Web'!$B$5:$Q$248,16,FALSE)</f>
        <v>BHD</v>
      </c>
      <c r="E14" s="32" t="s">
        <v>346</v>
      </c>
      <c r="F14" s="33">
        <f>+IFERROR(IF($E14=VLOOKUP($B14,Apple!$B$3:$I$176,Apple!$E$1,FALSE),VLOOKUP(Google!$B14,Apple!$B$3:$I$176,Apple!F$1,FALSE),VLOOKUP($B14,'INT Web'!$B$5:$U$247,'INT Web'!R$1,FALSE)),MROUND(VLOOKUP($B14,'INT Web'!$B$5:$AQ$247,'INT Web'!AL$1,FALSE),1)-0.01)</f>
        <v>159.99</v>
      </c>
      <c r="G14" s="33">
        <f>+IFERROR(IF($E14=VLOOKUP($B14,Apple!$B$3:$I$176,Apple!$E$1,FALSE),VLOOKUP(Google!$B14,Apple!$B$3:$I$176,Apple!G$1,FALSE),VLOOKUP($B14,'INT Web'!$B$5:$U$247,'INT Web'!S$1,FALSE)),MROUND(VLOOKUP($B14,'INT Web'!$B$5:$AQ$247,'INT Web'!AM$1,FALSE),1)-0.01)</f>
        <v>23.99</v>
      </c>
      <c r="H14" s="33">
        <f>+IFERROR(IF($E14=VLOOKUP($B14,Apple!$B$3:$I$176,Apple!$E$1,FALSE),VLOOKUP(Google!$B14,Apple!$B$3:$I$176,Apple!H$1,FALSE),VLOOKUP($B14,'INT Web'!$B$5:$U$247,'INT Web'!T$1,FALSE)),MROUND(VLOOKUP($B14,'INT Web'!$B$5:$AQ$247,'INT Web'!AN$1,FALSE),1)-0.01)</f>
        <v>132.99</v>
      </c>
      <c r="I14" s="33">
        <f>+IFERROR(IF($E14=VLOOKUP($B14,Apple!$B$3:$I$176,Apple!$E$1,FALSE),VLOOKUP(Google!$B14,Apple!$B$3:$I$176,Apple!I$1,FALSE),VLOOKUP($B14,'INT Web'!$B$5:$U$247,'INT Web'!U$1,FALSE)),MROUND(VLOOKUP($B14,'INT Web'!$B$5:$AQ$247,'INT Web'!AO$1,FALSE),1)-0.01)</f>
        <v>18.989999999999998</v>
      </c>
      <c r="J14" s="33">
        <f>+IF($E14=VLOOKUP($B14,Apple!$B$3:$E$176,4,FALSE),VLOOKUP(Google!$B14,Apple!$B$3:$M$176,Apple!J$1,FALSE),VLOOKUP($B14,'[6]Single Game'!$B$4:$P$238,'[6]Single Game'!M$1,FALSE))</f>
        <v>6.99</v>
      </c>
      <c r="K14" s="33">
        <f>+IF($E14=VLOOKUP($B14,Apple!$B$3:$E$176,4,FALSE),VLOOKUP(Google!$B14,Apple!$B$3:$M$176,Apple!K$1,FALSE),VLOOKUP($B14,'[6]Single Game'!$B$4:$P$238,'[6]Single Game'!N$1,FALSE))</f>
        <v>6.99</v>
      </c>
      <c r="L14" s="33">
        <f>+IF($E14=VLOOKUP($B14,Apple!$B$3:$E$176,4,FALSE),VLOOKUP(Google!$B14,Apple!$B$3:$M$176,Apple!L$1,FALSE),VLOOKUP($B14,'[6]Single Game'!$B$4:$P$238,'[6]Single Game'!O$1,FALSE))</f>
        <v>3.99</v>
      </c>
      <c r="M14" s="33">
        <f>+IF($E14=VLOOKUP($B14,Apple!$B$3:$E$176,4,FALSE),VLOOKUP(Google!$B14,Apple!$B$3:$M$176,Apple!M$1,FALSE),VLOOKUP($B14,'[6]Single Game'!$B$4:$P$238,'[6]Single Game'!P$1,FALSE))</f>
        <v>3.99</v>
      </c>
      <c r="O14" t="str">
        <f>IF(VLOOKUP($B14,[5]Google!$B$3:$I$174,[5]Google!F$1,FALSE)=F14,"Same","MISMATCH")</f>
        <v>Same</v>
      </c>
      <c r="P14" t="str">
        <f>IF(VLOOKUP($B14,[5]Google!$B$3:$I$174,[5]Google!G$1,FALSE)=G14,"Same","MISMATCH")</f>
        <v>Same</v>
      </c>
      <c r="Q14" t="str">
        <f>IF(VLOOKUP($B14,[5]Google!$B$3:$I$174,[5]Google!H$1,FALSE)=H14,"Same","MISMATCH")</f>
        <v>Same</v>
      </c>
      <c r="R14" t="str">
        <f>IF(VLOOKUP($B14,[5]Google!$B$3:$I$174,[5]Google!I$1,FALSE)=I14,"Same","MISMATCH")</f>
        <v>Same</v>
      </c>
      <c r="S14" t="str">
        <f>IF(VLOOKUP($B14,[5]Google!$B$3:$M$174,[5]Google!J$1,FALSE)=J14,"Same","MISMATCH")</f>
        <v>Same</v>
      </c>
      <c r="T14" t="str">
        <f>IF(VLOOKUP($B14,[5]Google!$B$3:$M$174,[5]Google!K$1,FALSE)=K14,"Same","MISMATCH")</f>
        <v>Same</v>
      </c>
      <c r="U14" t="str">
        <f>IF(VLOOKUP($B14,[5]Google!$B$3:$M$174,[5]Google!L$1,FALSE)=L14,"Same","MISMATCH")</f>
        <v>Same</v>
      </c>
      <c r="V14" t="str">
        <f>IF(VLOOKUP($B14,[5]Google!$B$3:$M$174,[5]Google!M$1,FALSE)=M14,"Same","MISMATCH")</f>
        <v>Same</v>
      </c>
    </row>
    <row r="15" spans="2:22">
      <c r="B15" t="s">
        <v>89</v>
      </c>
      <c r="C15" s="31" t="str">
        <f>+VLOOKUP(B15,'Country &amp; Code Abbreviation'!$B$3:$C$245,2,FALSE)</f>
        <v>BD</v>
      </c>
      <c r="D15" s="31" t="str">
        <f>+VLOOKUP(B15,'INT Web'!$B$5:$Q$248,16,FALSE)</f>
        <v>BDT</v>
      </c>
      <c r="E15" s="32" t="s">
        <v>413</v>
      </c>
      <c r="F15" s="150">
        <f>+VLOOKUP($B15,'INT Web'!$B$5:$U$247,'INT Web'!R$1,FALSE)</f>
        <v>6071.99</v>
      </c>
      <c r="G15" s="150">
        <f>+VLOOKUP($B15,'INT Web'!$B$5:$U$247,'INT Web'!S$1,FALSE)</f>
        <v>1011.99</v>
      </c>
      <c r="H15" s="150">
        <f>+VLOOKUP($B15,'INT Web'!$B$5:$U$247,'INT Web'!T$1,FALSE)</f>
        <v>4499.99</v>
      </c>
      <c r="I15" s="150">
        <f>+VLOOKUP($B15,'INT Web'!$B$5:$U$247,'INT Web'!U$1,FALSE)</f>
        <v>749.99</v>
      </c>
      <c r="J15" s="72">
        <f>+VLOOKUP($B15,'[6]Single Game'!$B$4:$P$238,'[6]Single Game'!M$1,FALSE)</f>
        <v>249.99</v>
      </c>
      <c r="K15" s="72">
        <f>+VLOOKUP($B15,'[6]Single Game'!$B$4:$P$238,'[6]Single Game'!N$1,FALSE)</f>
        <v>199.99</v>
      </c>
      <c r="L15" s="72">
        <f>+VLOOKUP($B15,'[6]Single Game'!$B$4:$P$238,'[6]Single Game'!O$1,FALSE)</f>
        <v>149.99</v>
      </c>
      <c r="M15" s="72">
        <f>+VLOOKUP($B15,'[6]Single Game'!$B$4:$P$238,'[6]Single Game'!P$1,FALSE)</f>
        <v>99.990000000000009</v>
      </c>
      <c r="O15" t="str">
        <f>IF(VLOOKUP($B15,[5]Google!$B$3:$I$174,[5]Google!F$1,FALSE)=F15,"Same","MISMATCH")</f>
        <v>Same</v>
      </c>
      <c r="P15" t="str">
        <f>IF(VLOOKUP($B15,[5]Google!$B$3:$I$174,[5]Google!G$1,FALSE)=G15,"Same","MISMATCH")</f>
        <v>Same</v>
      </c>
      <c r="Q15" t="str">
        <f>IF(VLOOKUP($B15,[5]Google!$B$3:$I$174,[5]Google!H$1,FALSE)=H15,"Same","MISMATCH")</f>
        <v>Same</v>
      </c>
      <c r="R15" t="str">
        <f>IF(VLOOKUP($B15,[5]Google!$B$3:$I$174,[5]Google!I$1,FALSE)=I15,"Same","MISMATCH")</f>
        <v>Same</v>
      </c>
      <c r="S15" t="str">
        <f>IF(VLOOKUP($B15,[5]Google!$B$3:$M$174,[5]Google!J$1,FALSE)=J15,"Same","MISMATCH")</f>
        <v>Same</v>
      </c>
      <c r="T15" t="str">
        <f>IF(VLOOKUP($B15,[5]Google!$B$3:$M$174,[5]Google!K$1,FALSE)=K15,"Same","MISMATCH")</f>
        <v>Same</v>
      </c>
      <c r="U15" t="str">
        <f>IF(VLOOKUP($B15,[5]Google!$B$3:$M$174,[5]Google!L$1,FALSE)=L15,"Same","MISMATCH")</f>
        <v>Same</v>
      </c>
      <c r="V15" t="str">
        <f>IF(VLOOKUP($B15,[5]Google!$B$3:$M$174,[5]Google!M$1,FALSE)=M15,"Same","MISMATCH")</f>
        <v>Same</v>
      </c>
    </row>
    <row r="16" spans="2:22" hidden="1" outlineLevel="1">
      <c r="B16" t="s">
        <v>91</v>
      </c>
      <c r="C16" s="31" t="str">
        <f>+VLOOKUP(B16,'Country &amp; Code Abbreviation'!$B$3:$C$245,2,FALSE)</f>
        <v>BY</v>
      </c>
      <c r="D16" s="31" t="str">
        <f>+VLOOKUP(B16,'INT Web'!$B$5:$Q$248,16,FALSE)</f>
        <v>BYN</v>
      </c>
      <c r="E16" s="32" t="s">
        <v>346</v>
      </c>
      <c r="F16" s="34"/>
      <c r="G16" s="34"/>
      <c r="H16" s="34"/>
      <c r="I16" s="34"/>
      <c r="J16" s="33"/>
      <c r="K16" s="33"/>
      <c r="L16" s="33"/>
      <c r="M16" s="33"/>
      <c r="O16" t="str">
        <f>IF(VLOOKUP($B16,[5]Google!$B$3:$I$174,[5]Google!F$1,FALSE)=F16,"Same","MISMATCH")</f>
        <v>Same</v>
      </c>
      <c r="P16" t="str">
        <f>IF(VLOOKUP($B16,[5]Google!$B$3:$I$174,[5]Google!G$1,FALSE)=G16,"Same","MISMATCH")</f>
        <v>Same</v>
      </c>
      <c r="Q16" t="str">
        <f>IF(VLOOKUP($B16,[5]Google!$B$3:$I$174,[5]Google!H$1,FALSE)=H16,"Same","MISMATCH")</f>
        <v>Same</v>
      </c>
      <c r="R16" t="str">
        <f>IF(VLOOKUP($B16,[5]Google!$B$3:$I$174,[5]Google!I$1,FALSE)=I16,"Same","MISMATCH")</f>
        <v>Same</v>
      </c>
      <c r="S16" t="str">
        <f>IF(VLOOKUP($B16,[5]Google!$B$3:$M$174,[5]Google!J$1,FALSE)=J16,"Same","MISMATCH")</f>
        <v>Same</v>
      </c>
      <c r="T16" t="str">
        <f>IF(VLOOKUP($B16,[5]Google!$B$3:$M$174,[5]Google!K$1,FALSE)=K16,"Same","MISMATCH")</f>
        <v>Same</v>
      </c>
      <c r="U16" t="str">
        <f>IF(VLOOKUP($B16,[5]Google!$B$3:$M$174,[5]Google!L$1,FALSE)=L16,"Same","MISMATCH")</f>
        <v>Same</v>
      </c>
      <c r="V16" t="str">
        <f>IF(VLOOKUP($B16,[5]Google!$B$3:$M$174,[5]Google!M$1,FALSE)=M16,"Same","MISMATCH")</f>
        <v>Same</v>
      </c>
    </row>
    <row r="17" spans="2:22" collapsed="1">
      <c r="B17" t="s">
        <v>92</v>
      </c>
      <c r="C17" s="31" t="str">
        <f>+VLOOKUP(B17,'Country &amp; Code Abbreviation'!$B$3:$C$245,2,FALSE)</f>
        <v>BE</v>
      </c>
      <c r="D17" s="31" t="str">
        <f>+VLOOKUP(B17,'INT Web'!$B$5:$Q$248,16,FALSE)</f>
        <v>EUR</v>
      </c>
      <c r="E17" s="32" t="s">
        <v>368</v>
      </c>
      <c r="F17" s="33">
        <f>+IFERROR(IF($E17=VLOOKUP($B17,Apple!$B$3:$I$176,Apple!$E$1,FALSE),VLOOKUP(Google!$B17,Apple!$B$3:$I$176,Apple!F$1,FALSE),VLOOKUP($B17,'INT Web'!$B$5:$U$247,'INT Web'!R$1,FALSE)),MROUND(VLOOKUP($B17,'INT Web'!$B$5:$AQ$247,'INT Web'!AL$1,FALSE),1)-0.01)</f>
        <v>169.99</v>
      </c>
      <c r="G17" s="33">
        <f>+IFERROR(IF($E17=VLOOKUP($B17,Apple!$B$3:$I$176,Apple!$E$1,FALSE),VLOOKUP(Google!$B17,Apple!$B$3:$I$176,Apple!G$1,FALSE),VLOOKUP($B17,'INT Web'!$B$5:$U$247,'INT Web'!S$1,FALSE)),MROUND(VLOOKUP($B17,'INT Web'!$B$5:$AQ$247,'INT Web'!AM$1,FALSE),1)-0.01)</f>
        <v>25.99</v>
      </c>
      <c r="H17" s="33">
        <f>+IFERROR(IF($E17=VLOOKUP($B17,Apple!$B$3:$I$176,Apple!$E$1,FALSE),VLOOKUP(Google!$B17,Apple!$B$3:$I$176,Apple!H$1,FALSE),VLOOKUP($B17,'INT Web'!$B$5:$U$247,'INT Web'!T$1,FALSE)),MROUND(VLOOKUP($B17,'INT Web'!$B$5:$AQ$247,'INT Web'!AN$1,FALSE),1)-0.01)</f>
        <v>124.99</v>
      </c>
      <c r="I17" s="33">
        <f>+IFERROR(IF($E17=VLOOKUP($B17,Apple!$B$3:$I$176,Apple!$E$1,FALSE),VLOOKUP(Google!$B17,Apple!$B$3:$I$176,Apple!I$1,FALSE),VLOOKUP($B17,'INT Web'!$B$5:$U$247,'INT Web'!U$1,FALSE)),MROUND(VLOOKUP($B17,'INT Web'!$B$5:$AQ$247,'INT Web'!AO$1,FALSE),1)-0.01)</f>
        <v>18.989999999999998</v>
      </c>
      <c r="J17" s="33">
        <f>+IF($E17=VLOOKUP($B17,Apple!$B$3:$E$176,4,FALSE),VLOOKUP(Google!$B17,Apple!$B$3:$M$176,Apple!J$1,FALSE),VLOOKUP($B17,'[6]Single Game'!$B$4:$P$238,'[6]Single Game'!M$1,FALSE))</f>
        <v>6.99</v>
      </c>
      <c r="K17" s="33">
        <f>+IF($E17=VLOOKUP($B17,Apple!$B$3:$E$176,4,FALSE),VLOOKUP(Google!$B17,Apple!$B$3:$M$176,Apple!K$1,FALSE),VLOOKUP($B17,'[6]Single Game'!$B$4:$P$238,'[6]Single Game'!N$1,FALSE))</f>
        <v>4.99</v>
      </c>
      <c r="L17" s="33">
        <f>+IF($E17=VLOOKUP($B17,Apple!$B$3:$E$176,4,FALSE),VLOOKUP(Google!$B17,Apple!$B$3:$M$176,Apple!L$1,FALSE),VLOOKUP($B17,'[6]Single Game'!$B$4:$P$238,'[6]Single Game'!O$1,FALSE))</f>
        <v>3.99</v>
      </c>
      <c r="M17" s="33">
        <f>+IF($E17=VLOOKUP($B17,Apple!$B$3:$E$176,4,FALSE),VLOOKUP(Google!$B17,Apple!$B$3:$M$176,Apple!M$1,FALSE),VLOOKUP($B17,'[6]Single Game'!$B$4:$P$238,'[6]Single Game'!P$1,FALSE))</f>
        <v>2.99</v>
      </c>
      <c r="O17" t="str">
        <f>IF(VLOOKUP($B17,[5]Google!$B$3:$I$174,[5]Google!F$1,FALSE)=F17,"Same","MISMATCH")</f>
        <v>Same</v>
      </c>
      <c r="P17" t="str">
        <f>IF(VLOOKUP($B17,[5]Google!$B$3:$I$174,[5]Google!G$1,FALSE)=G17,"Same","MISMATCH")</f>
        <v>Same</v>
      </c>
      <c r="Q17" t="str">
        <f>IF(VLOOKUP($B17,[5]Google!$B$3:$I$174,[5]Google!H$1,FALSE)=H17,"Same","MISMATCH")</f>
        <v>Same</v>
      </c>
      <c r="R17" t="str">
        <f>IF(VLOOKUP($B17,[5]Google!$B$3:$I$174,[5]Google!I$1,FALSE)=I17,"Same","MISMATCH")</f>
        <v>Same</v>
      </c>
      <c r="S17" t="str">
        <f>IF(VLOOKUP($B17,[5]Google!$B$3:$M$174,[5]Google!J$1,FALSE)=J17,"Same","MISMATCH")</f>
        <v>Same</v>
      </c>
      <c r="T17" t="str">
        <f>IF(VLOOKUP($B17,[5]Google!$B$3:$M$174,[5]Google!K$1,FALSE)=K17,"Same","MISMATCH")</f>
        <v>Same</v>
      </c>
      <c r="U17" t="str">
        <f>IF(VLOOKUP($B17,[5]Google!$B$3:$M$174,[5]Google!L$1,FALSE)=L17,"Same","MISMATCH")</f>
        <v>Same</v>
      </c>
      <c r="V17" t="str">
        <f>IF(VLOOKUP($B17,[5]Google!$B$3:$M$174,[5]Google!M$1,FALSE)=M17,"Same","MISMATCH")</f>
        <v>Same</v>
      </c>
    </row>
    <row r="18" spans="2:22">
      <c r="B18" t="s">
        <v>93</v>
      </c>
      <c r="C18" s="31" t="str">
        <f>+VLOOKUP(B18,'Country &amp; Code Abbreviation'!$B$3:$C$245,2,FALSE)</f>
        <v>BZ</v>
      </c>
      <c r="D18" s="31" t="str">
        <f>+VLOOKUP(B18,'INT Web'!$B$5:$Q$248,16,FALSE)</f>
        <v>BZD</v>
      </c>
      <c r="E18" s="32" t="s">
        <v>346</v>
      </c>
      <c r="F18" s="33">
        <f>+IFERROR(IF($E18=VLOOKUP($B18,Apple!$B$3:$I$176,Apple!$E$1,FALSE),VLOOKUP(Google!$B18,Apple!$B$3:$I$176,Apple!F$1,FALSE),VLOOKUP($B18,'INT Web'!$B$5:$U$247,'INT Web'!R$1,FALSE)),MROUND(VLOOKUP($B18,'INT Web'!$B$5:$AQ$247,'INT Web'!AL$1,FALSE),1)-0.01)</f>
        <v>74.989999999999995</v>
      </c>
      <c r="G18" s="33">
        <f>+IFERROR(IF($E18=VLOOKUP($B18,Apple!$B$3:$I$176,Apple!$E$1,FALSE),VLOOKUP(Google!$B18,Apple!$B$3:$I$176,Apple!G$1,FALSE),VLOOKUP($B18,'INT Web'!$B$5:$U$247,'INT Web'!S$1,FALSE)),MROUND(VLOOKUP($B18,'INT Web'!$B$5:$AQ$247,'INT Web'!AM$1,FALSE),1)-0.01)</f>
        <v>11.99</v>
      </c>
      <c r="H18" s="33">
        <f>+IFERROR(IF($E18=VLOOKUP($B18,Apple!$B$3:$I$176,Apple!$E$1,FALSE),VLOOKUP(Google!$B18,Apple!$B$3:$I$176,Apple!H$1,FALSE),VLOOKUP($B18,'INT Web'!$B$5:$U$247,'INT Web'!T$1,FALSE)),MROUND(VLOOKUP($B18,'INT Web'!$B$5:$AQ$247,'INT Web'!AN$1,FALSE),1)-0.01)</f>
        <v>53.99</v>
      </c>
      <c r="I18" s="33">
        <f>+IFERROR(IF($E18=VLOOKUP($B18,Apple!$B$3:$I$176,Apple!$E$1,FALSE),VLOOKUP(Google!$B18,Apple!$B$3:$I$176,Apple!I$1,FALSE),VLOOKUP($B18,'INT Web'!$B$5:$U$247,'INT Web'!U$1,FALSE)),MROUND(VLOOKUP($B18,'INT Web'!$B$5:$AQ$247,'INT Web'!AO$1,FALSE),1)-0.01)</f>
        <v>8.99</v>
      </c>
      <c r="J18" s="33">
        <f>+IF($E18=VLOOKUP($B18,Apple!$B$3:$E$176,4,FALSE),VLOOKUP(Google!$B18,Apple!$B$3:$M$176,Apple!J$1,FALSE),VLOOKUP($B18,'[6]Single Game'!$B$4:$P$238,'[6]Single Game'!M$1,FALSE))</f>
        <v>2.99</v>
      </c>
      <c r="K18" s="33">
        <f>+IF($E18=VLOOKUP($B18,Apple!$B$3:$E$176,4,FALSE),VLOOKUP(Google!$B18,Apple!$B$3:$M$176,Apple!K$1,FALSE),VLOOKUP($B18,'[6]Single Game'!$B$4:$P$238,'[6]Single Game'!N$1,FALSE))</f>
        <v>2.99</v>
      </c>
      <c r="L18" s="33">
        <f>+IF($E18=VLOOKUP($B18,Apple!$B$3:$E$176,4,FALSE),VLOOKUP(Google!$B18,Apple!$B$3:$M$176,Apple!L$1,FALSE),VLOOKUP($B18,'[6]Single Game'!$B$4:$P$238,'[6]Single Game'!O$1,FALSE))</f>
        <v>1.99</v>
      </c>
      <c r="M18" s="33">
        <f>+IF($E18=VLOOKUP($B18,Apple!$B$3:$E$176,4,FALSE),VLOOKUP(Google!$B18,Apple!$B$3:$M$176,Apple!M$1,FALSE),VLOOKUP($B18,'[6]Single Game'!$B$4:$P$238,'[6]Single Game'!P$1,FALSE))</f>
        <v>1.99</v>
      </c>
      <c r="O18" t="str">
        <f>IF(VLOOKUP($B18,[5]Google!$B$3:$I$174,[5]Google!F$1,FALSE)=F18,"Same","MISMATCH")</f>
        <v>Same</v>
      </c>
      <c r="P18" t="str">
        <f>IF(VLOOKUP($B18,[5]Google!$B$3:$I$174,[5]Google!G$1,FALSE)=G18,"Same","MISMATCH")</f>
        <v>Same</v>
      </c>
      <c r="Q18" t="str">
        <f>IF(VLOOKUP($B18,[5]Google!$B$3:$I$174,[5]Google!H$1,FALSE)=H18,"Same","MISMATCH")</f>
        <v>Same</v>
      </c>
      <c r="R18" t="str">
        <f>IF(VLOOKUP($B18,[5]Google!$B$3:$I$174,[5]Google!I$1,FALSE)=I18,"Same","MISMATCH")</f>
        <v>Same</v>
      </c>
      <c r="S18" t="str">
        <f>IF(VLOOKUP($B18,[5]Google!$B$3:$M$174,[5]Google!J$1,FALSE)=J18,"Same","MISMATCH")</f>
        <v>Same</v>
      </c>
      <c r="T18" t="str">
        <f>IF(VLOOKUP($B18,[5]Google!$B$3:$M$174,[5]Google!K$1,FALSE)=K18,"Same","MISMATCH")</f>
        <v>Same</v>
      </c>
      <c r="U18" t="str">
        <f>IF(VLOOKUP($B18,[5]Google!$B$3:$M$174,[5]Google!L$1,FALSE)=L18,"Same","MISMATCH")</f>
        <v>Same</v>
      </c>
      <c r="V18" t="str">
        <f>IF(VLOOKUP($B18,[5]Google!$B$3:$M$174,[5]Google!M$1,FALSE)=M18,"Same","MISMATCH")</f>
        <v>Same</v>
      </c>
    </row>
    <row r="19" spans="2:22" ht="13.4" customHeight="1">
      <c r="B19" s="36" t="s">
        <v>94</v>
      </c>
      <c r="C19" s="37" t="str">
        <f>+VLOOKUP(B19,'Country &amp; Code Abbreviation'!$B$3:$C$245,2,FALSE)</f>
        <v>BJ</v>
      </c>
      <c r="D19" s="37" t="str">
        <f>+VLOOKUP(B19,'INT Web'!$B$5:$Q$248,16,FALSE)</f>
        <v>XOF</v>
      </c>
      <c r="E19" s="38" t="s">
        <v>368</v>
      </c>
      <c r="F19" s="39">
        <f>+MROUND(VLOOKUP($B19,'INT Web'!$B$5:$AO$247,'INT Web'!R$1,FALSE)*'FX Rates'!$F$5,1)-0.01</f>
        <v>66.989999999999995</v>
      </c>
      <c r="G19" s="39">
        <f>+MROUND(VLOOKUP($B19,'INT Web'!$B$5:$AO$247,'INT Web'!S$1,FALSE)*'FX Rates'!$F$5,1)-0.01</f>
        <v>10.99</v>
      </c>
      <c r="H19" s="39">
        <f>+MROUND(VLOOKUP($B19,'INT Web'!$B$5:$AO$247,'INT Web'!T$1,FALSE)*'FX Rates'!$F$5,1)-0.01</f>
        <v>48.99</v>
      </c>
      <c r="I19" s="39">
        <f>+MROUND(VLOOKUP($B19,'INT Web'!$B$5:$AO$247,'INT Web'!U$1,FALSE)*'FX Rates'!$F$5,1)-0.01</f>
        <v>7.99</v>
      </c>
      <c r="J19" s="39">
        <v>2.99</v>
      </c>
      <c r="K19" s="39">
        <v>2.99</v>
      </c>
      <c r="L19" s="39">
        <v>1.99</v>
      </c>
      <c r="M19" s="39">
        <v>1.99</v>
      </c>
      <c r="O19" t="str">
        <f>IF(VLOOKUP($B19,[5]Google!$B$3:$I$174,[5]Google!F$1,FALSE)=F19,"Same","MISMATCH")</f>
        <v>Same</v>
      </c>
      <c r="P19" t="str">
        <f>IF(VLOOKUP($B19,[5]Google!$B$3:$I$174,[5]Google!G$1,FALSE)=G19,"Same","MISMATCH")</f>
        <v>Same</v>
      </c>
      <c r="Q19" t="str">
        <f>IF(VLOOKUP($B19,[5]Google!$B$3:$I$174,[5]Google!H$1,FALSE)=H19,"Same","MISMATCH")</f>
        <v>Same</v>
      </c>
      <c r="R19" t="str">
        <f>IF(VLOOKUP($B19,[5]Google!$B$3:$I$174,[5]Google!I$1,FALSE)=I19,"Same","MISMATCH")</f>
        <v>Same</v>
      </c>
      <c r="S19" t="str">
        <f>IF(VLOOKUP($B19,[5]Google!$B$3:$M$174,[5]Google!J$1,FALSE)=J19,"Same","MISMATCH")</f>
        <v>Same</v>
      </c>
      <c r="T19" t="str">
        <f>IF(VLOOKUP($B19,[5]Google!$B$3:$M$174,[5]Google!K$1,FALSE)=K19,"Same","MISMATCH")</f>
        <v>Same</v>
      </c>
      <c r="U19" t="str">
        <f>IF(VLOOKUP($B19,[5]Google!$B$3:$M$174,[5]Google!L$1,FALSE)=L19,"Same","MISMATCH")</f>
        <v>Same</v>
      </c>
      <c r="V19" t="str">
        <f>IF(VLOOKUP($B19,[5]Google!$B$3:$M$174,[5]Google!M$1,FALSE)=M19,"Same","MISMATCH")</f>
        <v>Same</v>
      </c>
    </row>
    <row r="20" spans="2:22">
      <c r="B20" t="s">
        <v>95</v>
      </c>
      <c r="C20" s="31" t="str">
        <f>+VLOOKUP(B20,'Country &amp; Code Abbreviation'!$B$3:$C$245,2,FALSE)</f>
        <v>BM</v>
      </c>
      <c r="D20" s="31" t="str">
        <f>+VLOOKUP(B20,'INT Web'!$B$5:$Q$248,16,FALSE)</f>
        <v>BMD</v>
      </c>
      <c r="E20" s="32" t="s">
        <v>346</v>
      </c>
      <c r="F20" s="33">
        <f>+IFERROR(IF($E20=VLOOKUP($B20,Apple!$B$3:$I$176,Apple!$E$1,FALSE),VLOOKUP(Google!$B20,Apple!$B$3:$I$176,Apple!F$1,FALSE),VLOOKUP($B20,'INT Web'!$B$5:$U$247,'INT Web'!R$1,FALSE)),MROUND(VLOOKUP($B20,'INT Web'!$B$5:$AQ$247,'INT Web'!AL$1,FALSE),1)-0.01)</f>
        <v>95.99</v>
      </c>
      <c r="G20" s="33">
        <f>+IFERROR(IF($E20=VLOOKUP($B20,Apple!$B$3:$I$176,Apple!$E$1,FALSE),VLOOKUP(Google!$B20,Apple!$B$3:$I$176,Apple!G$1,FALSE),VLOOKUP($B20,'INT Web'!$B$5:$U$247,'INT Web'!S$1,FALSE)),MROUND(VLOOKUP($B20,'INT Web'!$B$5:$AQ$247,'INT Web'!AM$1,FALSE),1)-0.01)</f>
        <v>15.99</v>
      </c>
      <c r="H20" s="33">
        <f>+IFERROR(IF($E20=VLOOKUP($B20,Apple!$B$3:$I$176,Apple!$E$1,FALSE),VLOOKUP(Google!$B20,Apple!$B$3:$I$176,Apple!H$1,FALSE),VLOOKUP($B20,'INT Web'!$B$5:$U$247,'INT Web'!T$1,FALSE)),MROUND(VLOOKUP($B20,'INT Web'!$B$5:$AQ$247,'INT Web'!AN$1,FALSE),1)-0.01)</f>
        <v>71.989999999999995</v>
      </c>
      <c r="I20" s="33">
        <f>+IFERROR(IF($E20=VLOOKUP($B20,Apple!$B$3:$I$176,Apple!$E$1,FALSE),VLOOKUP(Google!$B20,Apple!$B$3:$I$176,Apple!I$1,FALSE),VLOOKUP($B20,'INT Web'!$B$5:$U$247,'INT Web'!U$1,FALSE)),MROUND(VLOOKUP($B20,'INT Web'!$B$5:$AQ$247,'INT Web'!AO$1,FALSE),1)-0.01)</f>
        <v>11.99</v>
      </c>
      <c r="J20" s="33">
        <f>+IF($E20=VLOOKUP($B20,Apple!$B$3:$E$176,4,FALSE),VLOOKUP(Google!$B20,Apple!$B$3:$M$176,Apple!J$1,FALSE),VLOOKUP($B20,'[6]Single Game'!$B$4:$P$238,'[6]Single Game'!M$1,FALSE))</f>
        <v>4.99</v>
      </c>
      <c r="K20" s="33">
        <f>+IF($E20=VLOOKUP($B20,Apple!$B$3:$E$176,4,FALSE),VLOOKUP(Google!$B20,Apple!$B$3:$M$176,Apple!K$1,FALSE),VLOOKUP($B20,'[6]Single Game'!$B$4:$P$238,'[6]Single Game'!N$1,FALSE))</f>
        <v>3.99</v>
      </c>
      <c r="L20" s="33">
        <f>+IF($E20=VLOOKUP($B20,Apple!$B$3:$E$176,4,FALSE),VLOOKUP(Google!$B20,Apple!$B$3:$M$176,Apple!L$1,FALSE),VLOOKUP($B20,'[6]Single Game'!$B$4:$P$238,'[6]Single Game'!O$1,FALSE))</f>
        <v>2.99</v>
      </c>
      <c r="M20" s="33">
        <f>+IF($E20=VLOOKUP($B20,Apple!$B$3:$E$176,4,FALSE),VLOOKUP(Google!$B20,Apple!$B$3:$M$176,Apple!M$1,FALSE),VLOOKUP($B20,'[6]Single Game'!$B$4:$P$238,'[6]Single Game'!P$1,FALSE))</f>
        <v>1.99</v>
      </c>
      <c r="O20" t="str">
        <f>IF(VLOOKUP($B20,[5]Google!$B$3:$I$174,[5]Google!F$1,FALSE)=F20,"Same","MISMATCH")</f>
        <v>Same</v>
      </c>
      <c r="P20" t="str">
        <f>IF(VLOOKUP($B20,[5]Google!$B$3:$I$174,[5]Google!G$1,FALSE)=G20,"Same","MISMATCH")</f>
        <v>Same</v>
      </c>
      <c r="Q20" t="str">
        <f>IF(VLOOKUP($B20,[5]Google!$B$3:$I$174,[5]Google!H$1,FALSE)=H20,"Same","MISMATCH")</f>
        <v>Same</v>
      </c>
      <c r="R20" t="str">
        <f>IF(VLOOKUP($B20,[5]Google!$B$3:$I$174,[5]Google!I$1,FALSE)=I20,"Same","MISMATCH")</f>
        <v>Same</v>
      </c>
      <c r="S20" t="str">
        <f>IF(VLOOKUP($B20,[5]Google!$B$3:$M$174,[5]Google!J$1,FALSE)=J20,"Same","MISMATCH")</f>
        <v>Same</v>
      </c>
      <c r="T20" t="str">
        <f>IF(VLOOKUP($B20,[5]Google!$B$3:$M$174,[5]Google!K$1,FALSE)=K20,"Same","MISMATCH")</f>
        <v>Same</v>
      </c>
      <c r="U20" t="str">
        <f>IF(VLOOKUP($B20,[5]Google!$B$3:$M$174,[5]Google!L$1,FALSE)=L20,"Same","MISMATCH")</f>
        <v>Same</v>
      </c>
      <c r="V20" t="str">
        <f>IF(VLOOKUP($B20,[5]Google!$B$3:$M$174,[5]Google!M$1,FALSE)=M20,"Same","MISMATCH")</f>
        <v>Same</v>
      </c>
    </row>
    <row r="21" spans="2:22">
      <c r="B21" t="s">
        <v>98</v>
      </c>
      <c r="C21" s="31" t="str">
        <f>+VLOOKUP(B21,'Country &amp; Code Abbreviation'!$B$3:$C$245,2,FALSE)</f>
        <v>BO</v>
      </c>
      <c r="D21" s="31" t="str">
        <f>+VLOOKUP(B21,'INT Web'!$B$5:$Q$248,16,FALSE)</f>
        <v>BOB</v>
      </c>
      <c r="E21" s="32" t="s">
        <v>414</v>
      </c>
      <c r="F21" s="33">
        <f>+IFERROR(IF($E21=VLOOKUP($B21,Apple!$B$3:$I$176,Apple!$E$1,FALSE),VLOOKUP(Google!$B21,Apple!$B$3:$I$176,Apple!F$1,FALSE),VLOOKUP($B21,'INT Web'!$B$5:$U$247,'INT Web'!R$1,FALSE)),MROUND(VLOOKUP($B21,'INT Web'!$B$5:$AQ$247,'INT Web'!AL$1,FALSE),1)-0.01)</f>
        <v>559.99</v>
      </c>
      <c r="G21" s="33">
        <f>+IFERROR(IF($E21=VLOOKUP($B21,Apple!$B$3:$I$176,Apple!$E$1,FALSE),VLOOKUP(Google!$B21,Apple!$B$3:$I$176,Apple!G$1,FALSE),VLOOKUP($B21,'INT Web'!$B$5:$U$247,'INT Web'!S$1,FALSE)),MROUND(VLOOKUP($B21,'INT Web'!$B$5:$AQ$247,'INT Web'!AM$1,FALSE),1)-0.01)</f>
        <v>92.99</v>
      </c>
      <c r="H21" s="33">
        <f>+IFERROR(IF($E21=VLOOKUP($B21,Apple!$B$3:$I$176,Apple!$E$1,FALSE),VLOOKUP(Google!$B21,Apple!$B$3:$I$176,Apple!H$1,FALSE),VLOOKUP($B21,'INT Web'!$B$5:$U$247,'INT Web'!T$1,FALSE)),MROUND(VLOOKUP($B21,'INT Web'!$B$5:$AQ$247,'INT Web'!AN$1,FALSE),1)-0.01)</f>
        <v>409.99</v>
      </c>
      <c r="I21" s="33">
        <f>+IFERROR(IF($E21=VLOOKUP($B21,Apple!$B$3:$I$176,Apple!$E$1,FALSE),VLOOKUP(Google!$B21,Apple!$B$3:$I$176,Apple!I$1,FALSE),VLOOKUP($B21,'INT Web'!$B$5:$U$247,'INT Web'!U$1,FALSE)),MROUND(VLOOKUP($B21,'INT Web'!$B$5:$AQ$247,'INT Web'!AO$1,FALSE),1)-0.01)</f>
        <v>68.989999999999995</v>
      </c>
      <c r="J21" s="33">
        <f>+IF($E21=VLOOKUP($B21,Apple!$B$3:$E$176,4,FALSE),VLOOKUP(Google!$B21,Apple!$B$3:$M$176,Apple!J$1,FALSE),VLOOKUP($B21,'[6]Single Game'!$B$4:$P$238,'[6]Single Game'!M$1,FALSE))</f>
        <v>24.99</v>
      </c>
      <c r="K21" s="33">
        <f>+IF($E21=VLOOKUP($B21,Apple!$B$3:$E$176,4,FALSE),VLOOKUP(Google!$B21,Apple!$B$3:$M$176,Apple!K$1,FALSE),VLOOKUP($B21,'[6]Single Game'!$B$4:$P$238,'[6]Single Game'!N$1,FALSE))</f>
        <v>19.989999999999998</v>
      </c>
      <c r="L21" s="33">
        <f>+IF($E21=VLOOKUP($B21,Apple!$B$3:$E$176,4,FALSE),VLOOKUP(Google!$B21,Apple!$B$3:$M$176,Apple!L$1,FALSE),VLOOKUP($B21,'[6]Single Game'!$B$4:$P$238,'[6]Single Game'!O$1,FALSE))</f>
        <v>14.989999999999998</v>
      </c>
      <c r="M21" s="33">
        <f>+IF($E21=VLOOKUP($B21,Apple!$B$3:$E$176,4,FALSE),VLOOKUP(Google!$B21,Apple!$B$3:$M$176,Apple!M$1,FALSE),VLOOKUP($B21,'[6]Single Game'!$B$4:$P$238,'[6]Single Game'!P$1,FALSE))</f>
        <v>9.9899999999999984</v>
      </c>
      <c r="O21" t="str">
        <f>IF(VLOOKUP($B21,[5]Google!$B$3:$I$174,[5]Google!F$1,FALSE)=F21,"Same","MISMATCH")</f>
        <v>Same</v>
      </c>
      <c r="P21" t="str">
        <f>IF(VLOOKUP($B21,[5]Google!$B$3:$I$174,[5]Google!G$1,FALSE)=G21,"Same","MISMATCH")</f>
        <v>Same</v>
      </c>
      <c r="Q21" t="str">
        <f>IF(VLOOKUP($B21,[5]Google!$B$3:$I$174,[5]Google!H$1,FALSE)=H21,"Same","MISMATCH")</f>
        <v>Same</v>
      </c>
      <c r="R21" t="str">
        <f>IF(VLOOKUP($B21,[5]Google!$B$3:$I$174,[5]Google!I$1,FALSE)=I21,"Same","MISMATCH")</f>
        <v>Same</v>
      </c>
      <c r="S21" t="str">
        <f>IF(VLOOKUP($B21,[5]Google!$B$3:$M$174,[5]Google!J$1,FALSE)=J21,"Same","MISMATCH")</f>
        <v>Same</v>
      </c>
      <c r="T21" t="str">
        <f>IF(VLOOKUP($B21,[5]Google!$B$3:$M$174,[5]Google!K$1,FALSE)=K21,"Same","MISMATCH")</f>
        <v>Same</v>
      </c>
      <c r="U21" t="str">
        <f>IF(VLOOKUP($B21,[5]Google!$B$3:$M$174,[5]Google!L$1,FALSE)=L21,"Same","MISMATCH")</f>
        <v>Same</v>
      </c>
      <c r="V21" t="str">
        <f>IF(VLOOKUP($B21,[5]Google!$B$3:$M$174,[5]Google!M$1,FALSE)=M21,"Same","MISMATCH")</f>
        <v>Same</v>
      </c>
    </row>
    <row r="22" spans="2:22">
      <c r="B22" t="s">
        <v>101</v>
      </c>
      <c r="C22" s="31" t="str">
        <f>+VLOOKUP(B22,'Country &amp; Code Abbreviation'!$B$3:$C$245,2,FALSE)</f>
        <v>BA</v>
      </c>
      <c r="D22" s="31" t="str">
        <f>+VLOOKUP(B22,'INT Web'!$B$5:$Q$248,16,FALSE)</f>
        <v>BAM</v>
      </c>
      <c r="E22" s="32" t="s">
        <v>346</v>
      </c>
      <c r="F22" s="212">
        <f>+VLOOKUP($B22,[5]Google!$B$22:$M$174,[5]Google!F$1,FALSE)</f>
        <v>82.99</v>
      </c>
      <c r="G22" s="212">
        <f>+VLOOKUP($B22,[5]Google!$B$22:$M$174,[5]Google!G$1,FALSE)</f>
        <v>13.99</v>
      </c>
      <c r="H22" s="34">
        <v>59.99</v>
      </c>
      <c r="I22" s="212">
        <f>+VLOOKUP($B22,[5]Google!$B$22:$M$174,[5]Google!I$1,FALSE)</f>
        <v>9.99</v>
      </c>
      <c r="J22" s="108">
        <f>+K22</f>
        <v>4.99</v>
      </c>
      <c r="K22" s="33">
        <f>+IF($E22=VLOOKUP($B22,Apple!$B$3:$E$176,4,FALSE),VLOOKUP(Google!$B22,Apple!$B$3:$M$176,Apple!K$1,FALSE),VLOOKUP($B22,'[6]Single Game'!$B$4:$P$238,'[6]Single Game'!N$1,FALSE))</f>
        <v>4.99</v>
      </c>
      <c r="L22" s="108">
        <f>+M22</f>
        <v>2.99</v>
      </c>
      <c r="M22" s="33">
        <f>+IF($E22=VLOOKUP($B22,Apple!$B$3:$E$176,4,FALSE),VLOOKUP(Google!$B22,Apple!$B$3:$M$176,Apple!M$1,FALSE),VLOOKUP($B22,'[6]Single Game'!$B$4:$P$238,'[6]Single Game'!P$1,FALSE))</f>
        <v>2.99</v>
      </c>
      <c r="O22" t="str">
        <f>IF(VLOOKUP($B22,[5]Google!$B$3:$I$174,[5]Google!F$1,FALSE)=F22,"Same","MISMATCH")</f>
        <v>Same</v>
      </c>
      <c r="P22" t="str">
        <f>IF(VLOOKUP($B22,[5]Google!$B$3:$I$174,[5]Google!G$1,FALSE)=G22,"Same","MISMATCH")</f>
        <v>Same</v>
      </c>
      <c r="Q22" t="str">
        <f>IF(VLOOKUP($B22,[5]Google!$B$3:$I$174,[5]Google!H$1,FALSE)=H22,"Same","MISMATCH")</f>
        <v>Same</v>
      </c>
      <c r="R22" t="str">
        <f>IF(VLOOKUP($B22,[5]Google!$B$3:$I$174,[5]Google!I$1,FALSE)=I22,"Same","MISMATCH")</f>
        <v>Same</v>
      </c>
      <c r="S22" t="str">
        <f>IF(VLOOKUP($B22,[5]Google!$B$3:$M$174,[5]Google!J$1,FALSE)=J22,"Same","MISMATCH")</f>
        <v>Same</v>
      </c>
      <c r="T22" t="str">
        <f>IF(VLOOKUP($B22,[5]Google!$B$3:$M$174,[5]Google!K$1,FALSE)=K22,"Same","MISMATCH")</f>
        <v>Same</v>
      </c>
      <c r="U22" t="str">
        <f>IF(VLOOKUP($B22,[5]Google!$B$3:$M$174,[5]Google!L$1,FALSE)=L22,"Same","MISMATCH")</f>
        <v>Same</v>
      </c>
      <c r="V22" t="str">
        <f>IF(VLOOKUP($B22,[5]Google!$B$3:$M$174,[5]Google!M$1,FALSE)=M22,"Same","MISMATCH")</f>
        <v>Same</v>
      </c>
    </row>
    <row r="23" spans="2:22" ht="12.65" customHeight="1">
      <c r="B23" t="s">
        <v>102</v>
      </c>
      <c r="C23" s="31" t="str">
        <f>+VLOOKUP(B23,'Country &amp; Code Abbreviation'!$B$3:$C$245,2,FALSE)</f>
        <v>BW</v>
      </c>
      <c r="D23" s="31" t="str">
        <f>+VLOOKUP(B23,'INT Web'!$B$5:$Q$248,16,FALSE)</f>
        <v>BWP</v>
      </c>
      <c r="E23" s="32" t="s">
        <v>346</v>
      </c>
      <c r="F23" s="33">
        <f>+IFERROR(IF($E23=VLOOKUP($B23,Apple!$B$3:$I$176,Apple!$E$1,FALSE),VLOOKUP(Google!$B23,Apple!$B$3:$I$176,Apple!F$1,FALSE),VLOOKUP($B23,'INT Web'!$B$5:$U$247,'INT Web'!R$1,FALSE)),MROUND(VLOOKUP($B23,'INT Web'!$B$5:$AQ$247,'INT Web'!AL$1,FALSE),1)-0.01)</f>
        <v>53.99</v>
      </c>
      <c r="G23" s="33">
        <f>+IFERROR(IF($E23=VLOOKUP($B23,Apple!$B$3:$I$176,Apple!$E$1,FALSE),VLOOKUP(Google!$B23,Apple!$B$3:$I$176,Apple!G$1,FALSE),VLOOKUP($B23,'INT Web'!$B$5:$U$247,'INT Web'!S$1,FALSE)),MROUND(VLOOKUP($B23,'INT Web'!$B$5:$AQ$247,'INT Web'!AM$1,FALSE),1)-0.01)</f>
        <v>8.99</v>
      </c>
      <c r="H23" s="33">
        <f>+IFERROR(IF($E23=VLOOKUP($B23,Apple!$B$3:$I$176,Apple!$E$1,FALSE),VLOOKUP(Google!$B23,Apple!$B$3:$I$176,Apple!H$1,FALSE),VLOOKUP($B23,'INT Web'!$B$5:$U$247,'INT Web'!T$1,FALSE)),MROUND(VLOOKUP($B23,'INT Web'!$B$5:$AQ$247,'INT Web'!AN$1,FALSE),1)-0.01)</f>
        <v>39.99</v>
      </c>
      <c r="I23" s="33">
        <f>+IFERROR(IF($E23=VLOOKUP($B23,Apple!$B$3:$I$176,Apple!$E$1,FALSE),VLOOKUP(Google!$B23,Apple!$B$3:$I$176,Apple!I$1,FALSE),VLOOKUP($B23,'INT Web'!$B$5:$U$247,'INT Web'!U$1,FALSE)),MROUND(VLOOKUP($B23,'INT Web'!$B$5:$AQ$247,'INT Web'!AO$1,FALSE),1)-0.01)</f>
        <v>5.99</v>
      </c>
      <c r="J23" s="33">
        <f>+IF($E23=VLOOKUP($B23,Apple!$B$3:$E$176,4,FALSE),VLOOKUP(Google!$B23,Apple!$B$3:$M$176,Apple!J$1,FALSE),VLOOKUP($B23,'[6]Single Game'!$B$4:$P$238,'[6]Single Game'!M$1,FALSE))</f>
        <v>1.99</v>
      </c>
      <c r="K23" s="33">
        <f>+IF($E23=VLOOKUP($B23,Apple!$B$3:$E$176,4,FALSE),VLOOKUP(Google!$B23,Apple!$B$3:$M$176,Apple!K$1,FALSE),VLOOKUP($B23,'[6]Single Game'!$B$4:$P$238,'[6]Single Game'!N$1,FALSE))</f>
        <v>1.99</v>
      </c>
      <c r="L23" s="33">
        <f>+IF($E23=VLOOKUP($B23,Apple!$B$3:$E$176,4,FALSE),VLOOKUP(Google!$B23,Apple!$B$3:$M$176,Apple!L$1,FALSE),VLOOKUP($B23,'[6]Single Game'!$B$4:$P$238,'[6]Single Game'!O$1,FALSE))</f>
        <v>0.99</v>
      </c>
      <c r="M23" s="33">
        <f>+IF($E23=VLOOKUP($B23,Apple!$B$3:$E$176,4,FALSE),VLOOKUP(Google!$B23,Apple!$B$3:$M$176,Apple!M$1,FALSE),VLOOKUP($B23,'[6]Single Game'!$B$4:$P$238,'[6]Single Game'!P$1,FALSE))</f>
        <v>0.99</v>
      </c>
      <c r="O23" t="str">
        <f>IF(VLOOKUP($B23,[5]Google!$B$3:$I$174,[5]Google!F$1,FALSE)=F23,"Same","MISMATCH")</f>
        <v>Same</v>
      </c>
      <c r="P23" t="str">
        <f>IF(VLOOKUP($B23,[5]Google!$B$3:$I$174,[5]Google!G$1,FALSE)=G23,"Same","MISMATCH")</f>
        <v>Same</v>
      </c>
      <c r="Q23" t="str">
        <f>IF(VLOOKUP($B23,[5]Google!$B$3:$I$174,[5]Google!H$1,FALSE)=H23,"Same","MISMATCH")</f>
        <v>Same</v>
      </c>
      <c r="R23" t="str">
        <f>IF(VLOOKUP($B23,[5]Google!$B$3:$I$174,[5]Google!I$1,FALSE)=I23,"Same","MISMATCH")</f>
        <v>Same</v>
      </c>
      <c r="S23" t="str">
        <f>IF(VLOOKUP($B23,[5]Google!$B$3:$M$174,[5]Google!J$1,FALSE)=J23,"Same","MISMATCH")</f>
        <v>Same</v>
      </c>
      <c r="T23" t="str">
        <f>IF(VLOOKUP($B23,[5]Google!$B$3:$M$174,[5]Google!K$1,FALSE)=K23,"Same","MISMATCH")</f>
        <v>Same</v>
      </c>
      <c r="U23" t="str">
        <f>IF(VLOOKUP($B23,[5]Google!$B$3:$M$174,[5]Google!L$1,FALSE)=L23,"Same","MISMATCH")</f>
        <v>Same</v>
      </c>
      <c r="V23" t="str">
        <f>IF(VLOOKUP($B23,[5]Google!$B$3:$M$174,[5]Google!M$1,FALSE)=M23,"Same","MISMATCH")</f>
        <v>Same</v>
      </c>
    </row>
    <row r="24" spans="2:22">
      <c r="B24" t="s">
        <v>104</v>
      </c>
      <c r="C24" s="31" t="str">
        <f>+VLOOKUP(B24,'Country &amp; Code Abbreviation'!$B$3:$C$245,2,FALSE)</f>
        <v>BR</v>
      </c>
      <c r="D24" s="31" t="str">
        <f>+VLOOKUP(B24,'INT Web'!$B$5:$Q$248,16,FALSE)</f>
        <v>BRL</v>
      </c>
      <c r="E24" s="32" t="s">
        <v>369</v>
      </c>
      <c r="F24" s="33">
        <f>+IFERROR(IF($E24=VLOOKUP($B24,Apple!$B$3:$I$176,Apple!$E$1,FALSE),VLOOKUP(Google!$B24,Apple!$B$3:$I$176,Apple!F$1,FALSE),VLOOKUP($B24,'INT Web'!$B$5:$U$247,'INT Web'!R$1,FALSE)),MROUND(VLOOKUP($B24,'INT Web'!$B$5:$AQ$247,'INT Web'!AL$1,FALSE),1)-0.01)</f>
        <v>489.9</v>
      </c>
      <c r="G24" s="33">
        <f>+IFERROR(IF($E24=VLOOKUP($B24,Apple!$B$3:$I$176,Apple!$E$1,FALSE),VLOOKUP(Google!$B24,Apple!$B$3:$I$176,Apple!G$1,FALSE),VLOOKUP($B24,'INT Web'!$B$5:$U$247,'INT Web'!S$1,FALSE)),MROUND(VLOOKUP($B24,'INT Web'!$B$5:$AQ$247,'INT Web'!AM$1,FALSE),1)-0.01)</f>
        <v>69.900000000000006</v>
      </c>
      <c r="H24" s="33">
        <f>+IFERROR(IF($E24=VLOOKUP($B24,Apple!$B$3:$I$176,Apple!$E$1,FALSE),VLOOKUP(Google!$B24,Apple!$B$3:$I$176,Apple!H$1,FALSE),VLOOKUP($B24,'INT Web'!$B$5:$U$247,'INT Web'!T$1,FALSE)),MROUND(VLOOKUP($B24,'INT Web'!$B$5:$AQ$247,'INT Web'!AN$1,FALSE),1)-0.01)</f>
        <v>384.9</v>
      </c>
      <c r="I24" s="33">
        <f>+IFERROR(IF($E24=VLOOKUP($B24,Apple!$B$3:$I$176,Apple!$E$1,FALSE),VLOOKUP(Google!$B24,Apple!$B$3:$I$176,Apple!I$1,FALSE),VLOOKUP($B24,'INT Web'!$B$5:$U$247,'INT Web'!U$1,FALSE)),MROUND(VLOOKUP($B24,'INT Web'!$B$5:$AQ$247,'INT Web'!AO$1,FALSE),1)-0.01)</f>
        <v>54.99</v>
      </c>
      <c r="J24" s="33">
        <f>+IF($E24=VLOOKUP($B24,Apple!$B$3:$E$176,4,FALSE),VLOOKUP(Google!$B24,Apple!$B$3:$M$176,Apple!J$1,FALSE),VLOOKUP($B24,'[6]Single Game'!$B$4:$P$238,'[6]Single Game'!M$1,FALSE))</f>
        <v>22.9</v>
      </c>
      <c r="K24" s="33">
        <f>+IF($E24=VLOOKUP($B24,Apple!$B$3:$E$176,4,FALSE),VLOOKUP(Google!$B24,Apple!$B$3:$M$176,Apple!K$1,FALSE),VLOOKUP($B24,'[6]Single Game'!$B$4:$P$238,'[6]Single Game'!N$1,FALSE))</f>
        <v>16.899999999999999</v>
      </c>
      <c r="L24" s="33">
        <f>+IF($E24=VLOOKUP($B24,Apple!$B$3:$E$176,4,FALSE),VLOOKUP(Google!$B24,Apple!$B$3:$M$176,Apple!L$1,FALSE),VLOOKUP($B24,'[6]Single Game'!$B$4:$P$238,'[6]Single Game'!O$1,FALSE))</f>
        <v>10.9</v>
      </c>
      <c r="M24" s="33">
        <f>+IF($E24=VLOOKUP($B24,Apple!$B$3:$E$176,4,FALSE),VLOOKUP(Google!$B24,Apple!$B$3:$M$176,Apple!M$1,FALSE),VLOOKUP($B24,'[6]Single Game'!$B$4:$P$238,'[6]Single Game'!P$1,FALSE))</f>
        <v>4.9000000000000004</v>
      </c>
      <c r="O24" t="str">
        <f>IF(VLOOKUP($B24,[5]Google!$B$3:$I$174,[5]Google!F$1,FALSE)=F24,"Same","MISMATCH")</f>
        <v>Same</v>
      </c>
      <c r="P24" t="str">
        <f>IF(VLOOKUP($B24,[5]Google!$B$3:$I$174,[5]Google!G$1,FALSE)=G24,"Same","MISMATCH")</f>
        <v>Same</v>
      </c>
      <c r="Q24" t="str">
        <f>IF(VLOOKUP($B24,[5]Google!$B$3:$I$174,[5]Google!H$1,FALSE)=H24,"Same","MISMATCH")</f>
        <v>Same</v>
      </c>
      <c r="R24" t="str">
        <f>IF(VLOOKUP($B24,[5]Google!$B$3:$I$174,[5]Google!I$1,FALSE)=I24,"Same","MISMATCH")</f>
        <v>Same</v>
      </c>
      <c r="S24" t="str">
        <f>IF(VLOOKUP($B24,[5]Google!$B$3:$M$174,[5]Google!J$1,FALSE)=J24,"Same","MISMATCH")</f>
        <v>Same</v>
      </c>
      <c r="T24" t="str">
        <f>IF(VLOOKUP($B24,[5]Google!$B$3:$M$174,[5]Google!K$1,FALSE)=K24,"Same","MISMATCH")</f>
        <v>Same</v>
      </c>
      <c r="U24" t="str">
        <f>IF(VLOOKUP($B24,[5]Google!$B$3:$M$174,[5]Google!L$1,FALSE)=L24,"Same","MISMATCH")</f>
        <v>Same</v>
      </c>
      <c r="V24" t="str">
        <f>IF(VLOOKUP($B24,[5]Google!$B$3:$M$174,[5]Google!M$1,FALSE)=M24,"Same","MISMATCH")</f>
        <v>Same</v>
      </c>
    </row>
    <row r="25" spans="2:22">
      <c r="B25" t="s">
        <v>106</v>
      </c>
      <c r="C25" s="31" t="str">
        <f>+VLOOKUP(B25,'Country &amp; Code Abbreviation'!$B$3:$C$245,2,FALSE)</f>
        <v>VG</v>
      </c>
      <c r="D25" s="31" t="str">
        <f>+VLOOKUP(B25,'INT Web'!$B$5:$Q$248,16,FALSE)</f>
        <v>USD</v>
      </c>
      <c r="E25" s="32" t="s">
        <v>346</v>
      </c>
      <c r="F25" s="33">
        <f>+IFERROR(IF($E25=VLOOKUP($B25,Apple!$B$3:$I$176,Apple!$E$1,FALSE),VLOOKUP(Google!$B25,Apple!$B$3:$I$176,Apple!F$1,FALSE),VLOOKUP($B25,'INT Web'!$B$5:$U$247,'INT Web'!R$1,FALSE)),MROUND(VLOOKUP($B25,'INT Web'!$B$5:$AQ$247,'INT Web'!AL$1,FALSE),1)-0.01)</f>
        <v>102.99</v>
      </c>
      <c r="G25" s="33">
        <f>+IFERROR(IF($E25=VLOOKUP($B25,Apple!$B$3:$I$176,Apple!$E$1,FALSE),VLOOKUP(Google!$B25,Apple!$B$3:$I$176,Apple!G$1,FALSE),VLOOKUP($B25,'INT Web'!$B$5:$U$247,'INT Web'!S$1,FALSE)),MROUND(VLOOKUP($B25,'INT Web'!$B$5:$AQ$247,'INT Web'!AM$1,FALSE),1)-0.01)</f>
        <v>16.989999999999998</v>
      </c>
      <c r="H25" s="33">
        <f>+IFERROR(IF($E25=VLOOKUP($B25,Apple!$B$3:$I$176,Apple!$E$1,FALSE),VLOOKUP(Google!$B25,Apple!$B$3:$I$176,Apple!H$1,FALSE),VLOOKUP($B25,'INT Web'!$B$5:$U$247,'INT Web'!T$1,FALSE)),MROUND(VLOOKUP($B25,'INT Web'!$B$5:$AQ$247,'INT Web'!AN$1,FALSE),1)-0.01)</f>
        <v>71.989999999999995</v>
      </c>
      <c r="I25" s="33">
        <f>+IFERROR(IF($E25=VLOOKUP($B25,Apple!$B$3:$I$176,Apple!$E$1,FALSE),VLOOKUP(Google!$B25,Apple!$B$3:$I$176,Apple!I$1,FALSE),VLOOKUP($B25,'INT Web'!$B$5:$U$247,'INT Web'!U$1,FALSE)),MROUND(VLOOKUP($B25,'INT Web'!$B$5:$AQ$247,'INT Web'!AO$1,FALSE),1)-0.01)</f>
        <v>11.99</v>
      </c>
      <c r="J25" s="33">
        <f>+IF($E25=VLOOKUP($B25,Apple!$B$3:$E$176,4,FALSE),VLOOKUP(Google!$B25,Apple!$B$3:$M$176,Apple!J$1,FALSE),VLOOKUP($B25,'[6]Single Game'!$B$4:$P$238,'[6]Single Game'!M$1,FALSE))</f>
        <v>4.99</v>
      </c>
      <c r="K25" s="33">
        <f>+IF($E25=VLOOKUP($B25,Apple!$B$3:$E$176,4,FALSE),VLOOKUP(Google!$B25,Apple!$B$3:$M$176,Apple!K$1,FALSE),VLOOKUP($B25,'[6]Single Game'!$B$4:$P$238,'[6]Single Game'!N$1,FALSE))</f>
        <v>3.99</v>
      </c>
      <c r="L25" s="33">
        <f>+IF($E25=VLOOKUP($B25,Apple!$B$3:$E$176,4,FALSE),VLOOKUP(Google!$B25,Apple!$B$3:$M$176,Apple!L$1,FALSE),VLOOKUP($B25,'[6]Single Game'!$B$4:$P$238,'[6]Single Game'!O$1,FALSE))</f>
        <v>2.99</v>
      </c>
      <c r="M25" s="33">
        <f>+IF($E25=VLOOKUP($B25,Apple!$B$3:$E$176,4,FALSE),VLOOKUP(Google!$B25,Apple!$B$3:$M$176,Apple!M$1,FALSE),VLOOKUP($B25,'[6]Single Game'!$B$4:$P$238,'[6]Single Game'!P$1,FALSE))</f>
        <v>1.99</v>
      </c>
      <c r="O25" t="str">
        <f>IF(VLOOKUP($B25,[5]Google!$B$3:$I$174,[5]Google!F$1,FALSE)=F25,"Same","MISMATCH")</f>
        <v>Same</v>
      </c>
      <c r="P25" t="str">
        <f>IF(VLOOKUP($B25,[5]Google!$B$3:$I$174,[5]Google!G$1,FALSE)=G25,"Same","MISMATCH")</f>
        <v>Same</v>
      </c>
      <c r="Q25" t="str">
        <f>IF(VLOOKUP($B25,[5]Google!$B$3:$I$174,[5]Google!H$1,FALSE)=H25,"Same","MISMATCH")</f>
        <v>Same</v>
      </c>
      <c r="R25" t="str">
        <f>IF(VLOOKUP($B25,[5]Google!$B$3:$I$174,[5]Google!I$1,FALSE)=I25,"Same","MISMATCH")</f>
        <v>Same</v>
      </c>
      <c r="S25" t="str">
        <f>IF(VLOOKUP($B25,[5]Google!$B$3:$M$174,[5]Google!J$1,FALSE)=J25,"Same","MISMATCH")</f>
        <v>Same</v>
      </c>
      <c r="T25" t="str">
        <f>IF(VLOOKUP($B25,[5]Google!$B$3:$M$174,[5]Google!K$1,FALSE)=K25,"Same","MISMATCH")</f>
        <v>Same</v>
      </c>
      <c r="U25" t="str">
        <f>IF(VLOOKUP($B25,[5]Google!$B$3:$M$174,[5]Google!L$1,FALSE)=L25,"Same","MISMATCH")</f>
        <v>Same</v>
      </c>
      <c r="V25" t="str">
        <f>IF(VLOOKUP($B25,[5]Google!$B$3:$M$174,[5]Google!M$1,FALSE)=M25,"Same","MISMATCH")</f>
        <v>Same</v>
      </c>
    </row>
    <row r="26" spans="2:22">
      <c r="B26" t="s">
        <v>108</v>
      </c>
      <c r="C26" s="31" t="str">
        <f>+VLOOKUP(B26,'Country &amp; Code Abbreviation'!$B$3:$C$245,2,FALSE)</f>
        <v>BG</v>
      </c>
      <c r="D26" s="31" t="str">
        <f>+VLOOKUP(B26,'INT Web'!$B$5:$Q$248,16,FALSE)</f>
        <v>EUR</v>
      </c>
      <c r="E26" s="32" t="s">
        <v>415</v>
      </c>
      <c r="F26" s="72">
        <v>92.99</v>
      </c>
      <c r="G26" s="33">
        <f>+IFERROR(IF($E26=VLOOKUP($B26,Apple!$B$3:$I$176,Apple!$E$1,FALSE),VLOOKUP(Google!$B26,Apple!$B$3:$I$176,Apple!G$1,FALSE),VLOOKUP($B26,'INT Web'!$B$5:$U$247,'INT Web'!S$1,FALSE)),MROUND(VLOOKUP($B26,'INT Web'!$B$5:$AQ$247,'INT Web'!AM$1,FALSE),1)-0.01)</f>
        <v>14.99</v>
      </c>
      <c r="H26" s="72">
        <v>68.989999999999995</v>
      </c>
      <c r="I26" s="33">
        <f>+IFERROR(IF($E26=VLOOKUP($B26,Apple!$B$3:$I$176,Apple!$E$1,FALSE),VLOOKUP(Google!$B26,Apple!$B$3:$I$176,Apple!I$1,FALSE),VLOOKUP($B26,'INT Web'!$B$5:$U$247,'INT Web'!U$1,FALSE)),MROUND(VLOOKUP($B26,'INT Web'!$B$5:$AQ$247,'INT Web'!AO$1,FALSE),1)-0.01)</f>
        <v>10.99</v>
      </c>
      <c r="J26" s="72">
        <v>4.99</v>
      </c>
      <c r="K26" s="72">
        <v>4.99</v>
      </c>
      <c r="L26" s="72">
        <v>2.99</v>
      </c>
      <c r="M26" s="72">
        <v>2.99</v>
      </c>
      <c r="O26" t="str">
        <f>IF(VLOOKUP($B26,[5]Google!$B$3:$I$174,[5]Google!F$1,FALSE)=F26,"Same","MISMATCH")</f>
        <v>Same</v>
      </c>
      <c r="P26" t="str">
        <f>IF(VLOOKUP($B26,[5]Google!$B$3:$I$174,[5]Google!G$1,FALSE)=G26,"Same","MISMATCH")</f>
        <v>Same</v>
      </c>
      <c r="Q26" t="str">
        <f>IF(VLOOKUP($B26,[5]Google!$B$3:$I$174,[5]Google!H$1,FALSE)=H26,"Same","MISMATCH")</f>
        <v>Same</v>
      </c>
      <c r="R26" t="str">
        <f>IF(VLOOKUP($B26,[5]Google!$B$3:$I$174,[5]Google!I$1,FALSE)=I26,"Same","MISMATCH")</f>
        <v>Same</v>
      </c>
      <c r="S26" t="str">
        <f>IF(VLOOKUP($B26,[5]Google!$B$3:$M$174,[5]Google!J$1,FALSE)=J26,"Same","MISMATCH")</f>
        <v>Same</v>
      </c>
      <c r="T26" t="str">
        <f>IF(VLOOKUP($B26,[5]Google!$B$3:$M$174,[5]Google!K$1,FALSE)=K26,"Same","MISMATCH")</f>
        <v>Same</v>
      </c>
      <c r="U26" t="str">
        <f>IF(VLOOKUP($B26,[5]Google!$B$3:$M$174,[5]Google!L$1,FALSE)=L26,"Same","MISMATCH")</f>
        <v>Same</v>
      </c>
      <c r="V26" t="str">
        <f>IF(VLOOKUP($B26,[5]Google!$B$3:$M$174,[5]Google!M$1,FALSE)=M26,"Same","MISMATCH")</f>
        <v>Same</v>
      </c>
    </row>
    <row r="27" spans="2:22">
      <c r="B27" s="36" t="s">
        <v>109</v>
      </c>
      <c r="C27" s="37" t="str">
        <f>+VLOOKUP(B27,'Country &amp; Code Abbreviation'!$B$3:$C$245,2,FALSE)</f>
        <v>BF</v>
      </c>
      <c r="D27" s="37" t="str">
        <f>+VLOOKUP(B27,'INT Web'!$B$5:$Q$248,16,FALSE)</f>
        <v>XOF</v>
      </c>
      <c r="E27" s="38" t="s">
        <v>368</v>
      </c>
      <c r="F27" s="39">
        <f>+MROUND(VLOOKUP($B27,'INT Web'!$B$5:$AO$247,'INT Web'!R$1,FALSE)*'FX Rates'!$F$5,1)-0.01</f>
        <v>66.989999999999995</v>
      </c>
      <c r="G27" s="39">
        <f>+MROUND(VLOOKUP($B27,'INT Web'!$B$5:$AO$247,'INT Web'!S$1,FALSE)*'FX Rates'!$F$5,1)-0.01</f>
        <v>10.99</v>
      </c>
      <c r="H27" s="39">
        <f>+MROUND(VLOOKUP($B27,'INT Web'!$B$5:$AO$247,'INT Web'!T$1,FALSE)*'FX Rates'!$F$5,1)-0.01</f>
        <v>48.99</v>
      </c>
      <c r="I27" s="39">
        <f>+MROUND(VLOOKUP($B27,'INT Web'!$B$5:$AO$247,'INT Web'!U$1,FALSE)*'FX Rates'!$F$5,1)-0.01</f>
        <v>7.99</v>
      </c>
      <c r="J27" s="39">
        <v>2.99</v>
      </c>
      <c r="K27" s="39">
        <v>2.99</v>
      </c>
      <c r="L27" s="39">
        <v>1.99</v>
      </c>
      <c r="M27" s="39">
        <v>1.99</v>
      </c>
      <c r="O27" t="str">
        <f>IF(VLOOKUP($B27,[5]Google!$B$3:$I$174,[5]Google!F$1,FALSE)=F27,"Same","MISMATCH")</f>
        <v>Same</v>
      </c>
      <c r="P27" t="str">
        <f>IF(VLOOKUP($B27,[5]Google!$B$3:$I$174,[5]Google!G$1,FALSE)=G27,"Same","MISMATCH")</f>
        <v>Same</v>
      </c>
      <c r="Q27" t="str">
        <f>IF(VLOOKUP($B27,[5]Google!$B$3:$I$174,[5]Google!H$1,FALSE)=H27,"Same","MISMATCH")</f>
        <v>Same</v>
      </c>
      <c r="R27" t="str">
        <f>IF(VLOOKUP($B27,[5]Google!$B$3:$I$174,[5]Google!I$1,FALSE)=I27,"Same","MISMATCH")</f>
        <v>Same</v>
      </c>
      <c r="S27" t="str">
        <f>IF(VLOOKUP($B27,[5]Google!$B$3:$M$174,[5]Google!J$1,FALSE)=J27,"Same","MISMATCH")</f>
        <v>Same</v>
      </c>
      <c r="T27" t="str">
        <f>IF(VLOOKUP($B27,[5]Google!$B$3:$M$174,[5]Google!K$1,FALSE)=K27,"Same","MISMATCH")</f>
        <v>Same</v>
      </c>
      <c r="U27" t="str">
        <f>IF(VLOOKUP($B27,[5]Google!$B$3:$M$174,[5]Google!L$1,FALSE)=L27,"Same","MISMATCH")</f>
        <v>Same</v>
      </c>
      <c r="V27" t="str">
        <f>IF(VLOOKUP($B27,[5]Google!$B$3:$M$174,[5]Google!M$1,FALSE)=M27,"Same","MISMATCH")</f>
        <v>Same</v>
      </c>
    </row>
    <row r="28" spans="2:22">
      <c r="B28" t="s">
        <v>111</v>
      </c>
      <c r="C28" s="31" t="str">
        <f>+VLOOKUP(B28,'Country &amp; Code Abbreviation'!$B$3:$C$245,2,FALSE)</f>
        <v>KH</v>
      </c>
      <c r="D28" s="31" t="str">
        <f>+VLOOKUP(B28,'INT Web'!$B$5:$Q$248,16,FALSE)</f>
        <v>KHR</v>
      </c>
      <c r="E28" s="32" t="s">
        <v>346</v>
      </c>
      <c r="F28" s="33">
        <f>+IFERROR(IF($E28=VLOOKUP($B28,Apple!$B$3:$I$176,Apple!$E$1,FALSE),VLOOKUP(Google!$B28,Apple!$B$3:$I$176,Apple!F$1,FALSE),VLOOKUP($B28,'INT Web'!$B$5:$U$247,'INT Web'!R$1,FALSE)),MROUND(VLOOKUP($B28,'INT Web'!$B$5:$AQ$247,'INT Web'!AL$1,FALSE),1)-0.01)</f>
        <v>71.989999999999995</v>
      </c>
      <c r="G28" s="33">
        <f>+IFERROR(IF($E28=VLOOKUP($B28,Apple!$B$3:$I$176,Apple!$E$1,FALSE),VLOOKUP(Google!$B28,Apple!$B$3:$I$176,Apple!G$1,FALSE),VLOOKUP($B28,'INT Web'!$B$5:$U$247,'INT Web'!S$1,FALSE)),MROUND(VLOOKUP($B28,'INT Web'!$B$5:$AQ$247,'INT Web'!AM$1,FALSE),1)-0.01)</f>
        <v>11.99</v>
      </c>
      <c r="H28" s="33">
        <f>+IFERROR(IF($E28=VLOOKUP($B28,Apple!$B$3:$I$176,Apple!$E$1,FALSE),VLOOKUP(Google!$B28,Apple!$B$3:$I$176,Apple!H$1,FALSE),VLOOKUP($B28,'INT Web'!$B$5:$U$247,'INT Web'!T$1,FALSE)),MROUND(VLOOKUP($B28,'INT Web'!$B$5:$AQ$247,'INT Web'!AN$1,FALSE),1)-0.01)</f>
        <v>53.99</v>
      </c>
      <c r="I28" s="33">
        <f>+IFERROR(IF($E28=VLOOKUP($B28,Apple!$B$3:$I$176,Apple!$E$1,FALSE),VLOOKUP(Google!$B28,Apple!$B$3:$I$176,Apple!I$1,FALSE),VLOOKUP($B28,'INT Web'!$B$5:$U$247,'INT Web'!U$1,FALSE)),MROUND(VLOOKUP($B28,'INT Web'!$B$5:$AQ$247,'INT Web'!AO$1,FALSE),1)-0.01)</f>
        <v>8.99</v>
      </c>
      <c r="J28" s="33">
        <f>+IF($E28=VLOOKUP($B28,Apple!$B$3:$E$176,4,FALSE),VLOOKUP(Google!$B28,Apple!$B$3:$M$176,Apple!J$1,FALSE),VLOOKUP($B28,'[6]Single Game'!$B$4:$P$238,'[6]Single Game'!M$1,FALSE))</f>
        <v>3.49</v>
      </c>
      <c r="K28" s="33">
        <f>+IF($E28=VLOOKUP($B28,Apple!$B$3:$E$176,4,FALSE),VLOOKUP(Google!$B28,Apple!$B$3:$M$176,Apple!K$1,FALSE),VLOOKUP($B28,'[6]Single Game'!$B$4:$P$238,'[6]Single Game'!N$1,FALSE))</f>
        <v>3.49</v>
      </c>
      <c r="L28" s="33">
        <f>+IF($E28=VLOOKUP($B28,Apple!$B$3:$E$176,4,FALSE),VLOOKUP(Google!$B28,Apple!$B$3:$M$176,Apple!L$1,FALSE),VLOOKUP($B28,'[6]Single Game'!$B$4:$P$238,'[6]Single Game'!O$1,FALSE))</f>
        <v>1.0900000000000001</v>
      </c>
      <c r="M28" s="33">
        <f>+IF($E28=VLOOKUP($B28,Apple!$B$3:$E$176,4,FALSE),VLOOKUP(Google!$B28,Apple!$B$3:$M$176,Apple!M$1,FALSE),VLOOKUP($B28,'[6]Single Game'!$B$4:$P$238,'[6]Single Game'!P$1,FALSE))</f>
        <v>1.0900000000000001</v>
      </c>
      <c r="O28" t="str">
        <f>IF(VLOOKUP($B28,[5]Google!$B$3:$I$174,[5]Google!F$1,FALSE)=F28,"Same","MISMATCH")</f>
        <v>Same</v>
      </c>
      <c r="P28" t="str">
        <f>IF(VLOOKUP($B28,[5]Google!$B$3:$I$174,[5]Google!G$1,FALSE)=G28,"Same","MISMATCH")</f>
        <v>Same</v>
      </c>
      <c r="Q28" t="str">
        <f>IF(VLOOKUP($B28,[5]Google!$B$3:$I$174,[5]Google!H$1,FALSE)=H28,"Same","MISMATCH")</f>
        <v>Same</v>
      </c>
      <c r="R28" t="str">
        <f>IF(VLOOKUP($B28,[5]Google!$B$3:$I$174,[5]Google!I$1,FALSE)=I28,"Same","MISMATCH")</f>
        <v>Same</v>
      </c>
      <c r="S28" t="str">
        <f>IF(VLOOKUP($B28,[5]Google!$B$3:$M$174,[5]Google!J$1,FALSE)=J28,"Same","MISMATCH")</f>
        <v>Same</v>
      </c>
      <c r="T28" t="str">
        <f>IF(VLOOKUP($B28,[5]Google!$B$3:$M$174,[5]Google!K$1,FALSE)=K28,"Same","MISMATCH")</f>
        <v>Same</v>
      </c>
      <c r="U28" t="str">
        <f>IF(VLOOKUP($B28,[5]Google!$B$3:$M$174,[5]Google!L$1,FALSE)=L28,"Same","MISMATCH")</f>
        <v>Same</v>
      </c>
      <c r="V28" t="str">
        <f>IF(VLOOKUP($B28,[5]Google!$B$3:$M$174,[5]Google!M$1,FALSE)=M28,"Same","MISMATCH")</f>
        <v>Same</v>
      </c>
    </row>
    <row r="29" spans="2:22">
      <c r="B29" s="73" t="s">
        <v>112</v>
      </c>
      <c r="C29" s="110" t="str">
        <f>+VLOOKUP(B29,'Country &amp; Code Abbreviation'!$B$3:$C$245,2,FALSE)</f>
        <v>CM</v>
      </c>
      <c r="D29" s="31" t="str">
        <f>+VLOOKUP(B29,'INT Web'!$B$5:$Q$248,16,FALSE)</f>
        <v>XAF</v>
      </c>
      <c r="E29" s="32" t="s">
        <v>416</v>
      </c>
      <c r="F29" s="123">
        <f>+MROUND([5]Google!$F$29*1.4,10)</f>
        <v>20410</v>
      </c>
      <c r="G29" s="33">
        <f>+IFERROR(IF($E29=VLOOKUP($B29,Apple!$B$3:$I$176,Apple!$E$1,FALSE),VLOOKUP(Google!$B29,Apple!$B$3:$I$176,Apple!G$1,FALSE),VLOOKUP($B29,'INT Web'!$B$5:$U$247,'INT Web'!S$1,FALSE)),MROUND(VLOOKUP($B29,'INT Web'!$B$5:$AQ$247,'INT Web'!AM$1,FALSE),1)-0.01)</f>
        <v>7290</v>
      </c>
      <c r="H29" s="123">
        <f>+MROUND([5]Google!$H$29*1.4,10)</f>
        <v>15120</v>
      </c>
      <c r="I29" s="33">
        <f>+IFERROR(IF($E29=VLOOKUP($B29,Apple!$B$3:$I$176,Apple!$E$1,FALSE),VLOOKUP(Google!$B29,Apple!$B$3:$I$176,Apple!I$1,FALSE),VLOOKUP($B29,'INT Web'!$B$5:$U$247,'INT Web'!U$1,FALSE)),MROUND(VLOOKUP($B29,'INT Web'!$B$5:$AQ$247,'INT Web'!AO$1,FALSE),1)-0.01)</f>
        <v>5400</v>
      </c>
      <c r="J29" s="33">
        <f>+IF($E29=VLOOKUP($B29,Apple!$B$3:$E$176,4,FALSE),VLOOKUP(Google!$B29,Apple!$B$3:$M$176,Apple!J$1,FALSE),VLOOKUP($B29,'[6]Single Game'!$B$4:$P$238,'[6]Single Game'!M$1,FALSE))</f>
        <v>2000</v>
      </c>
      <c r="K29" s="109">
        <f>+IF($E29=VLOOKUP($B29,Apple!$B$3:$E$176,4,FALSE),VLOOKUP(Google!$B29,Apple!$B$3:$M$176,Apple!K$1,FALSE),VLOOKUP($B29,'[6]Single Game'!$B$4:$P$238,'[6]Single Game'!N$1,FALSE))</f>
        <v>1600</v>
      </c>
      <c r="L29" s="109">
        <f>+IF($E29=VLOOKUP($B29,Apple!$B$3:$E$176,4,FALSE),VLOOKUP(Google!$B29,Apple!$B$3:$M$176,Apple!L$1,FALSE),VLOOKUP($B29,'[6]Single Game'!$B$4:$P$238,'[6]Single Game'!O$1,FALSE))</f>
        <v>1200</v>
      </c>
      <c r="M29" s="109">
        <f>+IF($E29=VLOOKUP($B29,Apple!$B$3:$E$176,4,FALSE),VLOOKUP(Google!$B29,Apple!$B$3:$M$176,Apple!M$1,FALSE),VLOOKUP($B29,'[6]Single Game'!$B$4:$P$238,'[6]Single Game'!P$1,FALSE))</f>
        <v>800</v>
      </c>
      <c r="O29" t="str">
        <f>IF(VLOOKUP($B29,[5]Google!$B$3:$I$174,[5]Google!F$1,FALSE)=F29,"Same","MISMATCH")</f>
        <v>MISMATCH</v>
      </c>
      <c r="P29" t="str">
        <f>IF(VLOOKUP($B29,[5]Google!$B$3:$I$174,[5]Google!G$1,FALSE)=G29,"Same","MISMATCH")</f>
        <v>Same</v>
      </c>
      <c r="Q29" t="str">
        <f>IF(VLOOKUP($B29,[5]Google!$B$3:$I$174,[5]Google!H$1,FALSE)=H29,"Same","MISMATCH")</f>
        <v>MISMATCH</v>
      </c>
      <c r="R29" t="str">
        <f>IF(VLOOKUP($B29,[5]Google!$B$3:$I$174,[5]Google!I$1,FALSE)=I29,"Same","MISMATCH")</f>
        <v>Same</v>
      </c>
      <c r="S29" t="str">
        <f>IF(VLOOKUP($B29,[5]Google!$B$3:$M$174,[5]Google!J$1,FALSE)=J29,"Same","MISMATCH")</f>
        <v>Same</v>
      </c>
      <c r="T29" t="str">
        <f>IF(VLOOKUP($B29,[5]Google!$B$3:$M$174,[5]Google!K$1,FALSE)=K29,"Same","MISMATCH")</f>
        <v>MISMATCH</v>
      </c>
      <c r="U29" t="str">
        <f>IF(VLOOKUP($B29,[5]Google!$B$3:$M$174,[5]Google!L$1,FALSE)=L29,"Same","MISMATCH")</f>
        <v>MISMATCH</v>
      </c>
      <c r="V29" t="str">
        <f>IF(VLOOKUP($B29,[5]Google!$B$3:$M$174,[5]Google!M$1,FALSE)=M29,"Same","MISMATCH")</f>
        <v>MISMATCH</v>
      </c>
    </row>
    <row r="30" spans="2:22">
      <c r="B30" t="s">
        <v>113</v>
      </c>
      <c r="C30" s="31" t="str">
        <f>+VLOOKUP(B30,'Country &amp; Code Abbreviation'!$B$3:$C$245,2,FALSE)</f>
        <v>CA</v>
      </c>
      <c r="D30" s="31" t="str">
        <f>+VLOOKUP(B30,'INT Web'!$B$5:$Q$248,16,FALSE)</f>
        <v>CAD</v>
      </c>
      <c r="E30" s="32" t="s">
        <v>370</v>
      </c>
      <c r="F30" s="33">
        <f>+IFERROR(IF($E30=VLOOKUP($B30,Apple!$B$3:$I$176,Apple!$E$1,FALSE),VLOOKUP(Google!$B30,Apple!$B$3:$I$176,Apple!F$1,FALSE),VLOOKUP($B30,'INT Web'!$B$5:$U$247,'INT Web'!R$1,FALSE)),MROUND(VLOOKUP($B30,'INT Web'!$B$5:$AQ$247,'INT Web'!AL$1,FALSE),1)-0.01)</f>
        <v>184.99</v>
      </c>
      <c r="G30" s="33">
        <f>+IFERROR(IF($E30=VLOOKUP($B30,Apple!$B$3:$I$176,Apple!$E$1,FALSE),VLOOKUP(Google!$B30,Apple!$B$3:$I$176,Apple!G$1,FALSE),VLOOKUP($B30,'INT Web'!$B$5:$U$247,'INT Web'!S$1,FALSE)),MROUND(VLOOKUP($B30,'INT Web'!$B$5:$AQ$247,'INT Web'!AM$1,FALSE),1)-0.01)</f>
        <v>27.99</v>
      </c>
      <c r="H30" s="33">
        <f>+IFERROR(IF($E30=VLOOKUP($B30,Apple!$B$3:$I$176,Apple!$E$1,FALSE),VLOOKUP(Google!$B30,Apple!$B$3:$I$176,Apple!H$1,FALSE),VLOOKUP($B30,'INT Web'!$B$5:$U$247,'INT Web'!T$1,FALSE)),MROUND(VLOOKUP($B30,'INT Web'!$B$5:$AQ$247,'INT Web'!AN$1,FALSE),1)-0.01)</f>
        <v>129.99</v>
      </c>
      <c r="I30" s="33">
        <f>+IFERROR(IF($E30=VLOOKUP($B30,Apple!$B$3:$I$176,Apple!$E$1,FALSE),VLOOKUP(Google!$B30,Apple!$B$3:$I$176,Apple!I$1,FALSE),VLOOKUP($B30,'INT Web'!$B$5:$U$247,'INT Web'!U$1,FALSE)),MROUND(VLOOKUP($B30,'INT Web'!$B$5:$AQ$247,'INT Web'!AO$1,FALSE),1)-0.01)</f>
        <v>19.989999999999998</v>
      </c>
      <c r="J30" s="33">
        <f>+IF($E30=VLOOKUP($B30,Apple!$B$3:$E$176,4,FALSE),VLOOKUP(Google!$B30,Apple!$B$3:$M$176,Apple!J$1,FALSE),VLOOKUP($B30,'[6]Single Game'!$B$4:$P$238,'[6]Single Game'!M$1,FALSE))</f>
        <v>6.99</v>
      </c>
      <c r="K30" s="33">
        <f>+IF($E30=VLOOKUP($B30,Apple!$B$3:$E$176,4,FALSE),VLOOKUP(Google!$B30,Apple!$B$3:$M$176,Apple!K$1,FALSE),VLOOKUP($B30,'[6]Single Game'!$B$4:$P$238,'[6]Single Game'!N$1,FALSE))</f>
        <v>5.49</v>
      </c>
      <c r="L30" s="33">
        <f>+IF($E30=VLOOKUP($B30,Apple!$B$3:$E$176,4,FALSE),VLOOKUP(Google!$B30,Apple!$B$3:$M$176,Apple!L$1,FALSE),VLOOKUP($B30,'[6]Single Game'!$B$4:$P$238,'[6]Single Game'!O$1,FALSE))</f>
        <v>3.99</v>
      </c>
      <c r="M30" s="33">
        <f>+IF($E30=VLOOKUP($B30,Apple!$B$3:$E$176,4,FALSE),VLOOKUP(Google!$B30,Apple!$B$3:$M$176,Apple!M$1,FALSE),VLOOKUP($B30,'[6]Single Game'!$B$4:$P$238,'[6]Single Game'!P$1,FALSE))</f>
        <v>2.79</v>
      </c>
      <c r="O30" t="str">
        <f>IF(VLOOKUP($B30,[5]Google!$B$3:$I$174,[5]Google!F$1,FALSE)=F30,"Same","MISMATCH")</f>
        <v>Same</v>
      </c>
      <c r="P30" t="str">
        <f>IF(VLOOKUP($B30,[5]Google!$B$3:$I$174,[5]Google!G$1,FALSE)=G30,"Same","MISMATCH")</f>
        <v>Same</v>
      </c>
      <c r="Q30" t="str">
        <f>IF(VLOOKUP($B30,[5]Google!$B$3:$I$174,[5]Google!H$1,FALSE)=H30,"Same","MISMATCH")</f>
        <v>Same</v>
      </c>
      <c r="R30" t="str">
        <f>IF(VLOOKUP($B30,[5]Google!$B$3:$I$174,[5]Google!I$1,FALSE)=I30,"Same","MISMATCH")</f>
        <v>Same</v>
      </c>
      <c r="S30" t="str">
        <f>IF(VLOOKUP($B30,[5]Google!$B$3:$M$174,[5]Google!J$1,FALSE)=J30,"Same","MISMATCH")</f>
        <v>Same</v>
      </c>
      <c r="T30" t="str">
        <f>IF(VLOOKUP($B30,[5]Google!$B$3:$M$174,[5]Google!K$1,FALSE)=K30,"Same","MISMATCH")</f>
        <v>Same</v>
      </c>
      <c r="U30" t="str">
        <f>IF(VLOOKUP($B30,[5]Google!$B$3:$M$174,[5]Google!L$1,FALSE)=L30,"Same","MISMATCH")</f>
        <v>Same</v>
      </c>
      <c r="V30" t="str">
        <f>IF(VLOOKUP($B30,[5]Google!$B$3:$M$174,[5]Google!M$1,FALSE)=M30,"Same","MISMATCH")</f>
        <v>Same</v>
      </c>
    </row>
    <row r="31" spans="2:22">
      <c r="B31" t="s">
        <v>114</v>
      </c>
      <c r="C31" s="31" t="str">
        <f>+VLOOKUP(B31,'Country &amp; Code Abbreviation'!$B$3:$C$245,2,FALSE)</f>
        <v>CV</v>
      </c>
      <c r="D31" s="31" t="str">
        <f>+VLOOKUP(B31,'INT Web'!$B$5:$Q$248,16,FALSE)</f>
        <v>CVE</v>
      </c>
      <c r="E31" s="32" t="s">
        <v>346</v>
      </c>
      <c r="F31" s="33">
        <f>+IFERROR(IF($E31=VLOOKUP($B31,Apple!$B$3:$I$176,Apple!$E$1,FALSE),VLOOKUP(Google!$B31,Apple!$B$3:$I$176,Apple!F$1,FALSE),VLOOKUP($B31,'INT Web'!$B$5:$U$247,'INT Web'!R$1,FALSE)),MROUND(VLOOKUP($B31,'INT Web'!$B$5:$AQ$247,'INT Web'!AL$1,FALSE),1)-0.01)</f>
        <v>72.989999999999995</v>
      </c>
      <c r="G31" s="33">
        <f>+IFERROR(IF($E31=VLOOKUP($B31,Apple!$B$3:$I$176,Apple!$E$1,FALSE),VLOOKUP(Google!$B31,Apple!$B$3:$I$176,Apple!G$1,FALSE),VLOOKUP($B31,'INT Web'!$B$5:$U$247,'INT Web'!S$1,FALSE)),MROUND(VLOOKUP($B31,'INT Web'!$B$5:$AQ$247,'INT Web'!AM$1,FALSE),1)-0.01)</f>
        <v>11.99</v>
      </c>
      <c r="H31" s="33">
        <f>+IFERROR(IF($E31=VLOOKUP($B31,Apple!$B$3:$I$176,Apple!$E$1,FALSE),VLOOKUP(Google!$B31,Apple!$B$3:$I$176,Apple!H$1,FALSE),VLOOKUP($B31,'INT Web'!$B$5:$U$247,'INT Web'!T$1,FALSE)),MROUND(VLOOKUP($B31,'INT Web'!$B$5:$AQ$247,'INT Web'!AN$1,FALSE),1)-0.01)</f>
        <v>53.99</v>
      </c>
      <c r="I31" s="33">
        <f>+IFERROR(IF($E31=VLOOKUP($B31,Apple!$B$3:$I$176,Apple!$E$1,FALSE),VLOOKUP(Google!$B31,Apple!$B$3:$I$176,Apple!I$1,FALSE),VLOOKUP($B31,'INT Web'!$B$5:$U$247,'INT Web'!U$1,FALSE)),MROUND(VLOOKUP($B31,'INT Web'!$B$5:$AQ$247,'INT Web'!AO$1,FALSE),1)-0.01)</f>
        <v>8.99</v>
      </c>
      <c r="J31" s="33">
        <f>+IF($E31=VLOOKUP($B31,Apple!$B$3:$E$176,4,FALSE),VLOOKUP(Google!$B31,Apple!$B$3:$M$176,Apple!J$1,FALSE),VLOOKUP($B31,'[6]Single Game'!$B$4:$P$238,'[6]Single Game'!M$1,FALSE))</f>
        <v>2.99</v>
      </c>
      <c r="K31" s="33">
        <f>+IF($E31=VLOOKUP($B31,Apple!$B$3:$E$176,4,FALSE),VLOOKUP(Google!$B31,Apple!$B$3:$M$176,Apple!K$1,FALSE),VLOOKUP($B31,'[6]Single Game'!$B$4:$P$238,'[6]Single Game'!N$1,FALSE))</f>
        <v>2.99</v>
      </c>
      <c r="L31" s="33">
        <f>+IF($E31=VLOOKUP($B31,Apple!$B$3:$E$176,4,FALSE),VLOOKUP(Google!$B31,Apple!$B$3:$M$176,Apple!L$1,FALSE),VLOOKUP($B31,'[6]Single Game'!$B$4:$P$238,'[6]Single Game'!O$1,FALSE))</f>
        <v>1.99</v>
      </c>
      <c r="M31" s="33">
        <f>+IF($E31=VLOOKUP($B31,Apple!$B$3:$E$176,4,FALSE),VLOOKUP(Google!$B31,Apple!$B$3:$M$176,Apple!M$1,FALSE),VLOOKUP($B31,'[6]Single Game'!$B$4:$P$238,'[6]Single Game'!P$1,FALSE))</f>
        <v>1.99</v>
      </c>
      <c r="O31" t="str">
        <f>IF(VLOOKUP($B31,[5]Google!$B$3:$I$174,[5]Google!F$1,FALSE)=F31,"Same","MISMATCH")</f>
        <v>Same</v>
      </c>
      <c r="P31" t="str">
        <f>IF(VLOOKUP($B31,[5]Google!$B$3:$I$174,[5]Google!G$1,FALSE)=G31,"Same","MISMATCH")</f>
        <v>Same</v>
      </c>
      <c r="Q31" t="str">
        <f>IF(VLOOKUP($B31,[5]Google!$B$3:$I$174,[5]Google!H$1,FALSE)=H31,"Same","MISMATCH")</f>
        <v>Same</v>
      </c>
      <c r="R31" t="str">
        <f>IF(VLOOKUP($B31,[5]Google!$B$3:$I$174,[5]Google!I$1,FALSE)=I31,"Same","MISMATCH")</f>
        <v>Same</v>
      </c>
      <c r="S31" t="str">
        <f>IF(VLOOKUP($B31,[5]Google!$B$3:$M$174,[5]Google!J$1,FALSE)=J31,"Same","MISMATCH")</f>
        <v>Same</v>
      </c>
      <c r="T31" t="str">
        <f>IF(VLOOKUP($B31,[5]Google!$B$3:$M$174,[5]Google!K$1,FALSE)=K31,"Same","MISMATCH")</f>
        <v>Same</v>
      </c>
      <c r="U31" t="str">
        <f>IF(VLOOKUP($B31,[5]Google!$B$3:$M$174,[5]Google!L$1,FALSE)=L31,"Same","MISMATCH")</f>
        <v>Same</v>
      </c>
      <c r="V31" t="str">
        <f>IF(VLOOKUP($B31,[5]Google!$B$3:$M$174,[5]Google!M$1,FALSE)=M31,"Same","MISMATCH")</f>
        <v>Same</v>
      </c>
    </row>
    <row r="32" spans="2:22">
      <c r="B32" t="s">
        <v>115</v>
      </c>
      <c r="C32" s="31" t="str">
        <f>+VLOOKUP(B32,'Country &amp; Code Abbreviation'!$B$3:$C$245,2,FALSE)</f>
        <v>KY</v>
      </c>
      <c r="D32" s="31" t="str">
        <f>+VLOOKUP(B32,'INT Web'!$B$5:$Q$248,16,FALSE)</f>
        <v>USD</v>
      </c>
      <c r="E32" s="32" t="s">
        <v>346</v>
      </c>
      <c r="F32" s="33">
        <f>+IFERROR(IF($E32=VLOOKUP($B32,Apple!$B$3:$I$176,Apple!$E$1,FALSE),VLOOKUP(Google!$B32,Apple!$B$3:$I$176,Apple!F$1,FALSE),VLOOKUP($B32,'INT Web'!$B$5:$U$247,'INT Web'!R$1,FALSE)),MROUND(VLOOKUP($B32,'INT Web'!$B$5:$AQ$247,'INT Web'!AL$1,FALSE),1)-0.01)</f>
        <v>102.99</v>
      </c>
      <c r="G32" s="33">
        <f>+IFERROR(IF($E32=VLOOKUP($B32,Apple!$B$3:$I$176,Apple!$E$1,FALSE),VLOOKUP(Google!$B32,Apple!$B$3:$I$176,Apple!G$1,FALSE),VLOOKUP($B32,'INT Web'!$B$5:$U$247,'INT Web'!S$1,FALSE)),MROUND(VLOOKUP($B32,'INT Web'!$B$5:$AQ$247,'INT Web'!AM$1,FALSE),1)-0.01)</f>
        <v>16.989999999999998</v>
      </c>
      <c r="H32" s="33">
        <f>+IFERROR(IF($E32=VLOOKUP($B32,Apple!$B$3:$I$176,Apple!$E$1,FALSE),VLOOKUP(Google!$B32,Apple!$B$3:$I$176,Apple!H$1,FALSE),VLOOKUP($B32,'INT Web'!$B$5:$U$247,'INT Web'!T$1,FALSE)),MROUND(VLOOKUP($B32,'INT Web'!$B$5:$AQ$247,'INT Web'!AN$1,FALSE),1)-0.01)</f>
        <v>71.989999999999995</v>
      </c>
      <c r="I32" s="33">
        <f>+IFERROR(IF($E32=VLOOKUP($B32,Apple!$B$3:$I$176,Apple!$E$1,FALSE),VLOOKUP(Google!$B32,Apple!$B$3:$I$176,Apple!I$1,FALSE),VLOOKUP($B32,'INT Web'!$B$5:$U$247,'INT Web'!U$1,FALSE)),MROUND(VLOOKUP($B32,'INT Web'!$B$5:$AQ$247,'INT Web'!AO$1,FALSE),1)-0.01)</f>
        <v>11.99</v>
      </c>
      <c r="J32" s="33">
        <f>+IF($E32=VLOOKUP($B32,Apple!$B$3:$E$176,4,FALSE),VLOOKUP(Google!$B32,Apple!$B$3:$M$176,Apple!J$1,FALSE),VLOOKUP($B32,'[6]Single Game'!$B$4:$P$238,'[6]Single Game'!M$1,FALSE))</f>
        <v>4.99</v>
      </c>
      <c r="K32" s="33">
        <f>+IF($E32=VLOOKUP($B32,Apple!$B$3:$E$176,4,FALSE),VLOOKUP(Google!$B32,Apple!$B$3:$M$176,Apple!K$1,FALSE),VLOOKUP($B32,'[6]Single Game'!$B$4:$P$238,'[6]Single Game'!N$1,FALSE))</f>
        <v>3.99</v>
      </c>
      <c r="L32" s="33">
        <f>+IF($E32=VLOOKUP($B32,Apple!$B$3:$E$176,4,FALSE),VLOOKUP(Google!$B32,Apple!$B$3:$M$176,Apple!L$1,FALSE),VLOOKUP($B32,'[6]Single Game'!$B$4:$P$238,'[6]Single Game'!O$1,FALSE))</f>
        <v>2.99</v>
      </c>
      <c r="M32" s="33">
        <f>+IF($E32=VLOOKUP($B32,Apple!$B$3:$E$176,4,FALSE),VLOOKUP(Google!$B32,Apple!$B$3:$M$176,Apple!M$1,FALSE),VLOOKUP($B32,'[6]Single Game'!$B$4:$P$238,'[6]Single Game'!P$1,FALSE))</f>
        <v>1.99</v>
      </c>
      <c r="O32" t="str">
        <f>IF(VLOOKUP($B32,[5]Google!$B$3:$I$174,[5]Google!F$1,FALSE)=F32,"Same","MISMATCH")</f>
        <v>Same</v>
      </c>
      <c r="P32" t="str">
        <f>IF(VLOOKUP($B32,[5]Google!$B$3:$I$174,[5]Google!G$1,FALSE)=G32,"Same","MISMATCH")</f>
        <v>Same</v>
      </c>
      <c r="Q32" t="str">
        <f>IF(VLOOKUP($B32,[5]Google!$B$3:$I$174,[5]Google!H$1,FALSE)=H32,"Same","MISMATCH")</f>
        <v>Same</v>
      </c>
      <c r="R32" t="str">
        <f>IF(VLOOKUP($B32,[5]Google!$B$3:$I$174,[5]Google!I$1,FALSE)=I32,"Same","MISMATCH")</f>
        <v>Same</v>
      </c>
      <c r="S32" t="str">
        <f>IF(VLOOKUP($B32,[5]Google!$B$3:$M$174,[5]Google!J$1,FALSE)=J32,"Same","MISMATCH")</f>
        <v>Same</v>
      </c>
      <c r="T32" t="str">
        <f>IF(VLOOKUP($B32,[5]Google!$B$3:$M$174,[5]Google!K$1,FALSE)=K32,"Same","MISMATCH")</f>
        <v>Same</v>
      </c>
      <c r="U32" t="str">
        <f>IF(VLOOKUP($B32,[5]Google!$B$3:$M$174,[5]Google!L$1,FALSE)=L32,"Same","MISMATCH")</f>
        <v>Same</v>
      </c>
      <c r="V32" t="str">
        <f>IF(VLOOKUP($B32,[5]Google!$B$3:$M$174,[5]Google!M$1,FALSE)=M32,"Same","MISMATCH")</f>
        <v>Same</v>
      </c>
    </row>
    <row r="33" spans="2:22">
      <c r="B33" s="36" t="s">
        <v>116</v>
      </c>
      <c r="C33" s="37" t="str">
        <f>+VLOOKUP(B33,'Country &amp; Code Abbreviation'!$B$3:$C$245,2,FALSE)</f>
        <v>CF</v>
      </c>
      <c r="D33" s="37" t="str">
        <f>+VLOOKUP(B33,'INT Web'!$B$5:$Q$248,16,FALSE)</f>
        <v>XAF</v>
      </c>
      <c r="E33" s="38" t="s">
        <v>368</v>
      </c>
      <c r="F33" s="39">
        <f>+MROUND(VLOOKUP($B33,'INT Web'!$B$5:$AO$247,'INT Web'!R$1,FALSE)*'FX Rates'!$F$6,1)-0.01</f>
        <v>67.989999999999995</v>
      </c>
      <c r="G33" s="39">
        <f>+MROUND(VLOOKUP($B33,'INT Web'!$B$5:$AO$247,'INT Web'!S$1,FALSE)*'FX Rates'!$F$6,1)-0.01</f>
        <v>10.99</v>
      </c>
      <c r="H33" s="39">
        <f>+MROUND(VLOOKUP($B33,'INT Web'!$B$5:$AO$247,'INT Web'!T$1,FALSE)*'FX Rates'!$F$6,1)-0.01</f>
        <v>49.99</v>
      </c>
      <c r="I33" s="39">
        <f>+MROUND(VLOOKUP($B33,'INT Web'!$B$5:$AO$247,'INT Web'!U$1,FALSE)*'FX Rates'!$F$6,1)-0.01</f>
        <v>7.99</v>
      </c>
      <c r="J33" s="39">
        <v>2.99</v>
      </c>
      <c r="K33" s="39">
        <v>2.99</v>
      </c>
      <c r="L33" s="39">
        <v>1.99</v>
      </c>
      <c r="M33" s="39">
        <v>1.99</v>
      </c>
      <c r="O33" t="str">
        <f>IF(VLOOKUP($B33,[5]Google!$B$3:$I$174,[5]Google!F$1,FALSE)=F33,"Same","MISMATCH")</f>
        <v>Same</v>
      </c>
      <c r="P33" t="str">
        <f>IF(VLOOKUP($B33,[5]Google!$B$3:$I$174,[5]Google!G$1,FALSE)=G33,"Same","MISMATCH")</f>
        <v>Same</v>
      </c>
      <c r="Q33" t="str">
        <f>IF(VLOOKUP($B33,[5]Google!$B$3:$I$174,[5]Google!H$1,FALSE)=H33,"Same","MISMATCH")</f>
        <v>Same</v>
      </c>
      <c r="R33" t="str">
        <f>IF(VLOOKUP($B33,[5]Google!$B$3:$I$174,[5]Google!I$1,FALSE)=I33,"Same","MISMATCH")</f>
        <v>Same</v>
      </c>
      <c r="S33" t="str">
        <f>IF(VLOOKUP($B33,[5]Google!$B$3:$M$174,[5]Google!J$1,FALSE)=J33,"Same","MISMATCH")</f>
        <v>Same</v>
      </c>
      <c r="T33" t="str">
        <f>IF(VLOOKUP($B33,[5]Google!$B$3:$M$174,[5]Google!K$1,FALSE)=K33,"Same","MISMATCH")</f>
        <v>Same</v>
      </c>
      <c r="U33" t="str">
        <f>IF(VLOOKUP($B33,[5]Google!$B$3:$M$174,[5]Google!L$1,FALSE)=L33,"Same","MISMATCH")</f>
        <v>Same</v>
      </c>
      <c r="V33" t="str">
        <f>IF(VLOOKUP($B33,[5]Google!$B$3:$M$174,[5]Google!M$1,FALSE)=M33,"Same","MISMATCH")</f>
        <v>Same</v>
      </c>
    </row>
    <row r="34" spans="2:22">
      <c r="B34" t="s">
        <v>117</v>
      </c>
      <c r="C34" s="31" t="str">
        <f>+VLOOKUP(B34,'Country &amp; Code Abbreviation'!$B$3:$C$245,2,FALSE)</f>
        <v>TD</v>
      </c>
      <c r="D34" s="31" t="str">
        <f>+VLOOKUP(B34,'INT Web'!$B$5:$Q$248,16,FALSE)</f>
        <v>XAF</v>
      </c>
      <c r="E34" s="32" t="s">
        <v>346</v>
      </c>
      <c r="F34" s="33">
        <f>+IFERROR(IF($E34=VLOOKUP($B34,Apple!$B$3:$I$176,Apple!$E$1,FALSE),VLOOKUP(Google!$B34,Apple!$B$3:$I$176,Apple!F$1,FALSE),VLOOKUP($B34,'INT Web'!$B$5:$U$247,'INT Web'!R$1,FALSE)),MROUND(VLOOKUP($B34,'INT Web'!$B$5:$AQ$247,'INT Web'!AL$1,FALSE),1)-0.01)</f>
        <v>72.989999999999995</v>
      </c>
      <c r="G34" s="33">
        <f>+IFERROR(IF($E34=VLOOKUP($B34,Apple!$B$3:$I$176,Apple!$E$1,FALSE),VLOOKUP(Google!$B34,Apple!$B$3:$I$176,Apple!G$1,FALSE),VLOOKUP($B34,'INT Web'!$B$5:$U$247,'INT Web'!S$1,FALSE)),MROUND(VLOOKUP($B34,'INT Web'!$B$5:$AQ$247,'INT Web'!AM$1,FALSE),1)-0.01)</f>
        <v>11.99</v>
      </c>
      <c r="H34" s="33">
        <f>+IFERROR(IF($E34=VLOOKUP($B34,Apple!$B$3:$I$176,Apple!$E$1,FALSE),VLOOKUP(Google!$B34,Apple!$B$3:$I$176,Apple!H$1,FALSE),VLOOKUP($B34,'INT Web'!$B$5:$U$247,'INT Web'!T$1,FALSE)),MROUND(VLOOKUP($B34,'INT Web'!$B$5:$AQ$247,'INT Web'!AN$1,FALSE),1)-0.01)</f>
        <v>53.99</v>
      </c>
      <c r="I34" s="33">
        <f>+IFERROR(IF($E34=VLOOKUP($B34,Apple!$B$3:$I$176,Apple!$E$1,FALSE),VLOOKUP(Google!$B34,Apple!$B$3:$I$176,Apple!I$1,FALSE),VLOOKUP($B34,'INT Web'!$B$5:$U$247,'INT Web'!U$1,FALSE)),MROUND(VLOOKUP($B34,'INT Web'!$B$5:$AQ$247,'INT Web'!AO$1,FALSE),1)-0.01)</f>
        <v>8.99</v>
      </c>
      <c r="J34" s="33">
        <f>+IF($E34=VLOOKUP($B34,Apple!$B$3:$E$176,4,FALSE),VLOOKUP(Google!$B34,Apple!$B$3:$M$176,Apple!J$1,FALSE),VLOOKUP($B34,'[6]Single Game'!$B$4:$P$238,'[6]Single Game'!M$1,FALSE))</f>
        <v>2.99</v>
      </c>
      <c r="K34" s="33">
        <f>+IF($E34=VLOOKUP($B34,Apple!$B$3:$E$176,4,FALSE),VLOOKUP(Google!$B34,Apple!$B$3:$M$176,Apple!K$1,FALSE),VLOOKUP($B34,'[6]Single Game'!$B$4:$P$238,'[6]Single Game'!N$1,FALSE))</f>
        <v>2.99</v>
      </c>
      <c r="L34" s="33">
        <f>+IF($E34=VLOOKUP($B34,Apple!$B$3:$E$176,4,FALSE),VLOOKUP(Google!$B34,Apple!$B$3:$M$176,Apple!L$1,FALSE),VLOOKUP($B34,'[6]Single Game'!$B$4:$P$238,'[6]Single Game'!O$1,FALSE))</f>
        <v>1.99</v>
      </c>
      <c r="M34" s="33">
        <f>+IF($E34=VLOOKUP($B34,Apple!$B$3:$E$176,4,FALSE),VLOOKUP(Google!$B34,Apple!$B$3:$M$176,Apple!M$1,FALSE),VLOOKUP($B34,'[6]Single Game'!$B$4:$P$238,'[6]Single Game'!P$1,FALSE))</f>
        <v>1.99</v>
      </c>
      <c r="O34" t="str">
        <f>IF(VLOOKUP($B34,[5]Google!$B$3:$I$174,[5]Google!F$1,FALSE)=F34,"Same","MISMATCH")</f>
        <v>Same</v>
      </c>
      <c r="P34" t="str">
        <f>IF(VLOOKUP($B34,[5]Google!$B$3:$I$174,[5]Google!G$1,FALSE)=G34,"Same","MISMATCH")</f>
        <v>Same</v>
      </c>
      <c r="Q34" t="str">
        <f>IF(VLOOKUP($B34,[5]Google!$B$3:$I$174,[5]Google!H$1,FALSE)=H34,"Same","MISMATCH")</f>
        <v>Same</v>
      </c>
      <c r="R34" t="str">
        <f>IF(VLOOKUP($B34,[5]Google!$B$3:$I$174,[5]Google!I$1,FALSE)=I34,"Same","MISMATCH")</f>
        <v>Same</v>
      </c>
      <c r="S34" t="str">
        <f>IF(VLOOKUP($B34,[5]Google!$B$3:$M$174,[5]Google!J$1,FALSE)=J34,"Same","MISMATCH")</f>
        <v>Same</v>
      </c>
      <c r="T34" t="str">
        <f>IF(VLOOKUP($B34,[5]Google!$B$3:$M$174,[5]Google!K$1,FALSE)=K34,"Same","MISMATCH")</f>
        <v>Same</v>
      </c>
      <c r="U34" t="str">
        <f>IF(VLOOKUP($B34,[5]Google!$B$3:$M$174,[5]Google!L$1,FALSE)=L34,"Same","MISMATCH")</f>
        <v>Same</v>
      </c>
      <c r="V34" t="str">
        <f>IF(VLOOKUP($B34,[5]Google!$B$3:$M$174,[5]Google!M$1,FALSE)=M34,"Same","MISMATCH")</f>
        <v>Same</v>
      </c>
    </row>
    <row r="35" spans="2:22" ht="13.4" customHeight="1">
      <c r="B35" t="s">
        <v>118</v>
      </c>
      <c r="C35" s="31" t="str">
        <f>+VLOOKUP(B35,'Country &amp; Code Abbreviation'!$B$3:$C$245,2,FALSE)</f>
        <v>CL</v>
      </c>
      <c r="D35" s="31" t="str">
        <f>+VLOOKUP(B35,'INT Web'!$B$5:$Q$248,16,FALSE)</f>
        <v>CLP</v>
      </c>
      <c r="E35" s="32" t="s">
        <v>371</v>
      </c>
      <c r="F35" s="33">
        <f>+IFERROR(IF($E35=VLOOKUP($B35,Apple!$B$3:$I$176,Apple!$E$1,FALSE),VLOOKUP(Google!$B35,Apple!$B$3:$I$176,Apple!F$1,FALSE),VLOOKUP($B35,'INT Web'!$B$5:$U$247,'INT Web'!R$1,FALSE)),MROUND(VLOOKUP($B35,'INT Web'!$B$5:$AQ$247,'INT Web'!AL$1,FALSE),1)-0.01)</f>
        <v>137990</v>
      </c>
      <c r="G35" s="33">
        <f>+IFERROR(IF($E35=VLOOKUP($B35,Apple!$B$3:$I$176,Apple!$E$1,FALSE),VLOOKUP(Google!$B35,Apple!$B$3:$I$176,Apple!G$1,FALSE),VLOOKUP($B35,'INT Web'!$B$5:$U$247,'INT Web'!S$1,FALSE)),MROUND(VLOOKUP($B35,'INT Web'!$B$5:$AQ$247,'INT Web'!AM$1,FALSE),1)-0.01)</f>
        <v>22900</v>
      </c>
      <c r="H35" s="33">
        <f>+IFERROR(IF($E35=VLOOKUP($B35,Apple!$B$3:$I$176,Apple!$E$1,FALSE),VLOOKUP(Google!$B35,Apple!$B$3:$I$176,Apple!H$1,FALSE),VLOOKUP($B35,'INT Web'!$B$5:$U$247,'INT Web'!T$1,FALSE)),MROUND(VLOOKUP($B35,'INT Web'!$B$5:$AQ$247,'INT Web'!AN$1,FALSE),1)-0.01)</f>
        <v>96990</v>
      </c>
      <c r="I35" s="33">
        <f>+IFERROR(IF($E35=VLOOKUP($B35,Apple!$B$3:$I$176,Apple!$E$1,FALSE),VLOOKUP(Google!$B35,Apple!$B$3:$I$176,Apple!I$1,FALSE),VLOOKUP($B35,'INT Web'!$B$5:$U$247,'INT Web'!U$1,FALSE)),MROUND(VLOOKUP($B35,'INT Web'!$B$5:$AQ$247,'INT Web'!AO$1,FALSE),1)-0.01)</f>
        <v>15900</v>
      </c>
      <c r="J35" s="33">
        <f>+IF($E35=VLOOKUP($B35,Apple!$B$3:$E$176,4,FALSE),VLOOKUP(Google!$B35,Apple!$B$3:$M$176,Apple!J$1,FALSE),VLOOKUP($B35,'[6]Single Game'!$B$4:$P$238,'[6]Single Game'!M$1,FALSE))</f>
        <v>5900</v>
      </c>
      <c r="K35" s="33">
        <f>+IF($E35=VLOOKUP($B35,Apple!$B$3:$E$176,4,FALSE),VLOOKUP(Google!$B35,Apple!$B$3:$M$176,Apple!K$1,FALSE),VLOOKUP($B35,'[6]Single Game'!$B$4:$P$238,'[6]Single Game'!N$1,FALSE))</f>
        <v>5400</v>
      </c>
      <c r="L35" s="33">
        <f>+IF($E35=VLOOKUP($B35,Apple!$B$3:$E$176,4,FALSE),VLOOKUP(Google!$B35,Apple!$B$3:$M$176,Apple!L$1,FALSE),VLOOKUP($B35,'[6]Single Game'!$B$4:$P$238,'[6]Single Game'!O$1,FALSE))</f>
        <v>4900</v>
      </c>
      <c r="M35" s="33">
        <f>+IF($E35=VLOOKUP($B35,Apple!$B$3:$E$176,4,FALSE),VLOOKUP(Google!$B35,Apple!$B$3:$M$176,Apple!M$1,FALSE),VLOOKUP($B35,'[6]Single Game'!$B$4:$P$238,'[6]Single Game'!P$1,FALSE))</f>
        <v>4400</v>
      </c>
      <c r="O35" t="str">
        <f>IF(VLOOKUP($B35,[5]Google!$B$3:$I$174,[5]Google!F$1,FALSE)=F35,"Same","MISMATCH")</f>
        <v>Same</v>
      </c>
      <c r="P35" t="str">
        <f>IF(VLOOKUP($B35,[5]Google!$B$3:$I$174,[5]Google!G$1,FALSE)=G35,"Same","MISMATCH")</f>
        <v>Same</v>
      </c>
      <c r="Q35" t="str">
        <f>IF(VLOOKUP($B35,[5]Google!$B$3:$I$174,[5]Google!H$1,FALSE)=H35,"Same","MISMATCH")</f>
        <v>Same</v>
      </c>
      <c r="R35" t="str">
        <f>IF(VLOOKUP($B35,[5]Google!$B$3:$I$174,[5]Google!I$1,FALSE)=I35,"Same","MISMATCH")</f>
        <v>Same</v>
      </c>
      <c r="S35" t="str">
        <f>IF(VLOOKUP($B35,[5]Google!$B$3:$M$174,[5]Google!J$1,FALSE)=J35,"Same","MISMATCH")</f>
        <v>Same</v>
      </c>
      <c r="T35" t="str">
        <f>IF(VLOOKUP($B35,[5]Google!$B$3:$M$174,[5]Google!K$1,FALSE)=K35,"Same","MISMATCH")</f>
        <v>Same</v>
      </c>
      <c r="U35" t="str">
        <f>IF(VLOOKUP($B35,[5]Google!$B$3:$M$174,[5]Google!L$1,FALSE)=L35,"Same","MISMATCH")</f>
        <v>Same</v>
      </c>
      <c r="V35" t="str">
        <f>IF(VLOOKUP($B35,[5]Google!$B$3:$M$174,[5]Google!M$1,FALSE)=M35,"Same","MISMATCH")</f>
        <v>Same</v>
      </c>
    </row>
    <row r="36" spans="2:22">
      <c r="B36" t="s">
        <v>121</v>
      </c>
      <c r="C36" s="31" t="str">
        <f>+VLOOKUP(B36,'Country &amp; Code Abbreviation'!$B$3:$C$245,2,FALSE)</f>
        <v>CO</v>
      </c>
      <c r="D36" s="31" t="str">
        <f>+VLOOKUP(B36,'INT Web'!$B$5:$Q$248,16,FALSE)</f>
        <v>COP</v>
      </c>
      <c r="E36" s="32" t="s">
        <v>372</v>
      </c>
      <c r="F36" s="33">
        <f>+IFERROR(IF($E36=VLOOKUP($B36,Apple!$B$3:$I$176,Apple!$E$1,FALSE),VLOOKUP(Google!$B36,Apple!$B$3:$I$176,Apple!F$1,FALSE),VLOOKUP($B36,'INT Web'!$B$5:$U$247,'INT Web'!R$1,FALSE)),MROUND(VLOOKUP($B36,'INT Web'!$B$5:$AQ$247,'INT Web'!AL$1,FALSE),1)-0.01)</f>
        <v>334900</v>
      </c>
      <c r="G36" s="33">
        <f>+IFERROR(IF($E36=VLOOKUP($B36,Apple!$B$3:$I$176,Apple!$E$1,FALSE),VLOOKUP(Google!$B36,Apple!$B$3:$I$176,Apple!G$1,FALSE),VLOOKUP($B36,'INT Web'!$B$5:$U$247,'INT Web'!S$1,FALSE)),MROUND(VLOOKUP($B36,'INT Web'!$B$5:$AQ$247,'INT Web'!AM$1,FALSE),1)-0.01)</f>
        <v>55900</v>
      </c>
      <c r="H36" s="72">
        <v>248900</v>
      </c>
      <c r="I36" s="33">
        <f>+IFERROR(IF($E36=VLOOKUP($B36,Apple!$B$3:$I$176,Apple!$E$1,FALSE),VLOOKUP(Google!$B36,Apple!$B$3:$I$176,Apple!I$1,FALSE),VLOOKUP($B36,'INT Web'!$B$5:$U$247,'INT Web'!U$1,FALSE)),MROUND(VLOOKUP($B36,'INT Web'!$B$5:$AQ$247,'INT Web'!AO$1,FALSE),1)-0.01)</f>
        <v>41500</v>
      </c>
      <c r="J36" s="33">
        <f>+IF($E36=VLOOKUP($B36,Apple!$B$3:$E$176,4,FALSE),VLOOKUP(Google!$B36,Apple!$B$3:$M$176,Apple!J$1,FALSE),VLOOKUP($B36,'[6]Single Game'!$B$4:$P$238,'[6]Single Game'!M$1,FALSE))</f>
        <v>17900</v>
      </c>
      <c r="K36" s="33">
        <f>+IF($E36=VLOOKUP($B36,Apple!$B$3:$E$176,4,FALSE),VLOOKUP(Google!$B36,Apple!$B$3:$M$176,Apple!K$1,FALSE),VLOOKUP($B36,'[6]Single Game'!$B$4:$P$238,'[6]Single Game'!N$1,FALSE))</f>
        <v>13500</v>
      </c>
      <c r="L36" s="33">
        <f>+IF($E36=VLOOKUP($B36,Apple!$B$3:$E$176,4,FALSE),VLOOKUP(Google!$B36,Apple!$B$3:$M$176,Apple!L$1,FALSE),VLOOKUP($B36,'[6]Single Game'!$B$4:$P$238,'[6]Single Game'!O$1,FALSE))</f>
        <v>8900</v>
      </c>
      <c r="M36" s="33">
        <f>+IF($E36=VLOOKUP($B36,Apple!$B$3:$E$176,4,FALSE),VLOOKUP(Google!$B36,Apple!$B$3:$M$176,Apple!M$1,FALSE),VLOOKUP($B36,'[6]Single Game'!$B$4:$P$238,'[6]Single Game'!P$1,FALSE))</f>
        <v>4500</v>
      </c>
      <c r="O36" t="str">
        <f>IF(VLOOKUP($B36,[5]Google!$B$3:$I$174,[5]Google!F$1,FALSE)=F36,"Same","MISMATCH")</f>
        <v>Same</v>
      </c>
      <c r="P36" t="str">
        <f>IF(VLOOKUP($B36,[5]Google!$B$3:$I$174,[5]Google!G$1,FALSE)=G36,"Same","MISMATCH")</f>
        <v>Same</v>
      </c>
      <c r="Q36" t="str">
        <f>IF(VLOOKUP($B36,[5]Google!$B$3:$I$174,[5]Google!H$1,FALSE)=H36,"Same","MISMATCH")</f>
        <v>Same</v>
      </c>
      <c r="R36" t="str">
        <f>IF(VLOOKUP($B36,[5]Google!$B$3:$I$174,[5]Google!I$1,FALSE)=I36,"Same","MISMATCH")</f>
        <v>Same</v>
      </c>
      <c r="S36" t="str">
        <f>IF(VLOOKUP($B36,[5]Google!$B$3:$M$174,[5]Google!J$1,FALSE)=J36,"Same","MISMATCH")</f>
        <v>Same</v>
      </c>
      <c r="T36" t="str">
        <f>IF(VLOOKUP($B36,[5]Google!$B$3:$M$174,[5]Google!K$1,FALSE)=K36,"Same","MISMATCH")</f>
        <v>Same</v>
      </c>
      <c r="U36" t="str">
        <f>IF(VLOOKUP($B36,[5]Google!$B$3:$M$174,[5]Google!L$1,FALSE)=L36,"Same","MISMATCH")</f>
        <v>Same</v>
      </c>
      <c r="V36" t="str">
        <f>IF(VLOOKUP($B36,[5]Google!$B$3:$M$174,[5]Google!M$1,FALSE)=M36,"Same","MISMATCH")</f>
        <v>Same</v>
      </c>
    </row>
    <row r="37" spans="2:22">
      <c r="B37" t="s">
        <v>122</v>
      </c>
      <c r="C37" s="31" t="str">
        <f>+VLOOKUP(B37,'Country &amp; Code Abbreviation'!$B$3:$C$245,2,FALSE)</f>
        <v>KM</v>
      </c>
      <c r="D37" s="31" t="str">
        <f>+VLOOKUP(B37,'INT Web'!$B$5:$Q$248,16,FALSE)</f>
        <v>KMF</v>
      </c>
      <c r="E37" s="32" t="s">
        <v>346</v>
      </c>
      <c r="F37" s="34">
        <v>73.989999999999995</v>
      </c>
      <c r="G37" s="33">
        <f>+VLOOKUP($B37,[5]Google!$B$22:$M$174,[5]Google!G$1,FALSE)</f>
        <v>11.99</v>
      </c>
      <c r="H37" s="34">
        <v>54.99</v>
      </c>
      <c r="I37" s="33">
        <f>+VLOOKUP($B37,[5]Google!$B$22:$M$174,[5]Google!I$1,FALSE)</f>
        <v>8.99</v>
      </c>
      <c r="J37" s="34">
        <v>3.99</v>
      </c>
      <c r="K37" s="34">
        <v>2.99</v>
      </c>
      <c r="L37" s="34">
        <v>1.99</v>
      </c>
      <c r="M37" s="34">
        <v>0.99</v>
      </c>
      <c r="O37" t="str">
        <f>IF(VLOOKUP($B37,[5]Google!$B$3:$I$174,[5]Google!F$1,FALSE)=F37,"Same","MISMATCH")</f>
        <v>Same</v>
      </c>
      <c r="P37" t="str">
        <f>IF(VLOOKUP($B37,[5]Google!$B$3:$I$174,[5]Google!G$1,FALSE)=G37,"Same","MISMATCH")</f>
        <v>Same</v>
      </c>
      <c r="Q37" t="str">
        <f>IF(VLOOKUP($B37,[5]Google!$B$3:$I$174,[5]Google!H$1,FALSE)=H37,"Same","MISMATCH")</f>
        <v>Same</v>
      </c>
      <c r="R37" t="str">
        <f>IF(VLOOKUP($B37,[5]Google!$B$3:$I$174,[5]Google!I$1,FALSE)=I37,"Same","MISMATCH")</f>
        <v>Same</v>
      </c>
      <c r="S37" t="str">
        <f>IF(VLOOKUP($B37,[5]Google!$B$3:$M$174,[5]Google!J$1,FALSE)=J37,"Same","MISMATCH")</f>
        <v>Same</v>
      </c>
      <c r="T37" t="str">
        <f>IF(VLOOKUP($B37,[5]Google!$B$3:$M$174,[5]Google!K$1,FALSE)=K37,"Same","MISMATCH")</f>
        <v>Same</v>
      </c>
      <c r="U37" t="str">
        <f>IF(VLOOKUP($B37,[5]Google!$B$3:$M$174,[5]Google!L$1,FALSE)=L37,"Same","MISMATCH")</f>
        <v>Same</v>
      </c>
      <c r="V37" t="str">
        <f>IF(VLOOKUP($B37,[5]Google!$B$3:$M$174,[5]Google!M$1,FALSE)=M37,"Same","MISMATCH")</f>
        <v>Same</v>
      </c>
    </row>
    <row r="38" spans="2:22">
      <c r="B38" t="s">
        <v>123</v>
      </c>
      <c r="C38" s="31" t="str">
        <f>+VLOOKUP(B38,'Country &amp; Code Abbreviation'!$B$3:$C$245,2,FALSE)</f>
        <v>CG</v>
      </c>
      <c r="D38" s="31" t="str">
        <f>+VLOOKUP(B38,'INT Web'!$B$5:$Q$248,16,FALSE)</f>
        <v>XAF</v>
      </c>
      <c r="E38" s="32" t="s">
        <v>346</v>
      </c>
      <c r="F38" s="33">
        <f>+IFERROR(IF($E38=VLOOKUP($B38,Apple!$B$3:$I$176,Apple!$E$1,FALSE),VLOOKUP(Google!$B38,Apple!$B$3:$I$176,Apple!F$1,FALSE),VLOOKUP($B38,'INT Web'!$B$5:$U$247,'INT Web'!R$1,FALSE)),MROUND(VLOOKUP($B38,'INT Web'!$B$5:$AQ$247,'INT Web'!AL$1,FALSE),1)-0.01)</f>
        <v>72.989999999999995</v>
      </c>
      <c r="G38" s="33">
        <f>+IFERROR(IF($E38=VLOOKUP($B38,Apple!$B$3:$I$176,Apple!$E$1,FALSE),VLOOKUP(Google!$B38,Apple!$B$3:$I$176,Apple!G$1,FALSE),VLOOKUP($B38,'INT Web'!$B$5:$U$247,'INT Web'!S$1,FALSE)),MROUND(VLOOKUP($B38,'INT Web'!$B$5:$AQ$247,'INT Web'!AM$1,FALSE),1)-0.01)</f>
        <v>11.99</v>
      </c>
      <c r="H38" s="33">
        <f>+IFERROR(IF($E38=VLOOKUP($B38,Apple!$B$3:$I$176,Apple!$E$1,FALSE),VLOOKUP(Google!$B38,Apple!$B$3:$I$176,Apple!H$1,FALSE),VLOOKUP($B38,'INT Web'!$B$5:$U$247,'INT Web'!T$1,FALSE)),MROUND(VLOOKUP($B38,'INT Web'!$B$5:$AQ$247,'INT Web'!AN$1,FALSE),1)-0.01)</f>
        <v>53.99</v>
      </c>
      <c r="I38" s="33">
        <f>+IFERROR(IF($E38=VLOOKUP($B38,Apple!$B$3:$I$176,Apple!$E$1,FALSE),VLOOKUP(Google!$B38,Apple!$B$3:$I$176,Apple!I$1,FALSE),VLOOKUP($B38,'INT Web'!$B$5:$U$247,'INT Web'!U$1,FALSE)),MROUND(VLOOKUP($B38,'INT Web'!$B$5:$AQ$247,'INT Web'!AO$1,FALSE),1)-0.01)</f>
        <v>8.99</v>
      </c>
      <c r="J38" s="33">
        <f>+IF($E38=VLOOKUP($B38,Apple!$B$3:$E$176,4,FALSE),VLOOKUP(Google!$B38,Apple!$B$3:$M$176,Apple!J$1,FALSE),VLOOKUP($B38,'[6]Single Game'!$B$4:$P$238,'[6]Single Game'!M$1,FALSE))</f>
        <v>2.99</v>
      </c>
      <c r="K38" s="33">
        <f>+IF($E38=VLOOKUP($B38,Apple!$B$3:$E$176,4,FALSE),VLOOKUP(Google!$B38,Apple!$B$3:$M$176,Apple!K$1,FALSE),VLOOKUP($B38,'[6]Single Game'!$B$4:$P$238,'[6]Single Game'!N$1,FALSE))</f>
        <v>2.99</v>
      </c>
      <c r="L38" s="33">
        <f>+IF($E38=VLOOKUP($B38,Apple!$B$3:$E$176,4,FALSE),VLOOKUP(Google!$B38,Apple!$B$3:$M$176,Apple!L$1,FALSE),VLOOKUP($B38,'[6]Single Game'!$B$4:$P$238,'[6]Single Game'!O$1,FALSE))</f>
        <v>1.99</v>
      </c>
      <c r="M38" s="33">
        <f>+IF($E38=VLOOKUP($B38,Apple!$B$3:$E$176,4,FALSE),VLOOKUP(Google!$B38,Apple!$B$3:$M$176,Apple!M$1,FALSE),VLOOKUP($B38,'[6]Single Game'!$B$4:$P$238,'[6]Single Game'!P$1,FALSE))</f>
        <v>1.99</v>
      </c>
      <c r="O38" t="str">
        <f>IF(VLOOKUP($B38,[5]Google!$B$3:$I$174,[5]Google!F$1,FALSE)=F38,"Same","MISMATCH")</f>
        <v>Same</v>
      </c>
      <c r="P38" t="str">
        <f>IF(VLOOKUP($B38,[5]Google!$B$3:$I$174,[5]Google!G$1,FALSE)=G38,"Same","MISMATCH")</f>
        <v>Same</v>
      </c>
      <c r="Q38" t="str">
        <f>IF(VLOOKUP($B38,[5]Google!$B$3:$I$174,[5]Google!H$1,FALSE)=H38,"Same","MISMATCH")</f>
        <v>Same</v>
      </c>
      <c r="R38" t="str">
        <f>IF(VLOOKUP($B38,[5]Google!$B$3:$I$174,[5]Google!I$1,FALSE)=I38,"Same","MISMATCH")</f>
        <v>Same</v>
      </c>
      <c r="S38" t="str">
        <f>IF(VLOOKUP($B38,[5]Google!$B$3:$M$174,[5]Google!J$1,FALSE)=J38,"Same","MISMATCH")</f>
        <v>Same</v>
      </c>
      <c r="T38" t="str">
        <f>IF(VLOOKUP($B38,[5]Google!$B$3:$M$174,[5]Google!K$1,FALSE)=K38,"Same","MISMATCH")</f>
        <v>Same</v>
      </c>
      <c r="U38" t="str">
        <f>IF(VLOOKUP($B38,[5]Google!$B$3:$M$174,[5]Google!L$1,FALSE)=L38,"Same","MISMATCH")</f>
        <v>Same</v>
      </c>
      <c r="V38" t="str">
        <f>IF(VLOOKUP($B38,[5]Google!$B$3:$M$174,[5]Google!M$1,FALSE)=M38,"Same","MISMATCH")</f>
        <v>Same</v>
      </c>
    </row>
    <row r="39" spans="2:22">
      <c r="B39" t="s">
        <v>125</v>
      </c>
      <c r="C39" s="31" t="str">
        <f>+VLOOKUP(B39,'Country &amp; Code Abbreviation'!$B$3:$C$245,2,FALSE)</f>
        <v>CR</v>
      </c>
      <c r="D39" s="31" t="str">
        <f>+VLOOKUP(B39,'INT Web'!$B$5:$Q$248,16,FALSE)</f>
        <v>CRC</v>
      </c>
      <c r="E39" s="32" t="s">
        <v>417</v>
      </c>
      <c r="F39" s="33">
        <f>+IFERROR(IF($E39=VLOOKUP($B39,Apple!$B$3:$I$176,Apple!$E$1,FALSE),VLOOKUP(Google!$B39,Apple!$B$3:$I$176,Apple!F$1,FALSE),VLOOKUP($B39,'INT Web'!$B$5:$U$247,'INT Web'!R$1,FALSE)),MROUND(VLOOKUP($B39,'INT Web'!$B$5:$AQ$247,'INT Web'!AL$1,FALSE),1)-0.01)</f>
        <v>78000</v>
      </c>
      <c r="G39" s="33">
        <f>+IFERROR(IF($E39=VLOOKUP($B39,Apple!$B$3:$I$176,Apple!$E$1,FALSE),VLOOKUP(Google!$B39,Apple!$B$3:$I$176,Apple!G$1,FALSE),VLOOKUP($B39,'INT Web'!$B$5:$U$247,'INT Web'!S$1,FALSE)),MROUND(VLOOKUP($B39,'INT Web'!$B$5:$AQ$247,'INT Web'!AM$1,FALSE),1)-0.01)</f>
        <v>13000</v>
      </c>
      <c r="H39" s="33">
        <f>+IFERROR(IF($E39=VLOOKUP($B39,Apple!$B$3:$I$176,Apple!$E$1,FALSE),VLOOKUP(Google!$B39,Apple!$B$3:$I$176,Apple!H$1,FALSE),VLOOKUP($B39,'INT Web'!$B$5:$U$247,'INT Web'!T$1,FALSE)),MROUND(VLOOKUP($B39,'INT Web'!$B$5:$AQ$247,'INT Web'!AN$1,FALSE),1)-0.01)</f>
        <v>60000</v>
      </c>
      <c r="I39" s="33">
        <f>+IFERROR(IF($E39=VLOOKUP($B39,Apple!$B$3:$I$176,Apple!$E$1,FALSE),VLOOKUP(Google!$B39,Apple!$B$3:$I$176,Apple!I$1,FALSE),VLOOKUP($B39,'INT Web'!$B$5:$U$247,'INT Web'!U$1,FALSE)),MROUND(VLOOKUP($B39,'INT Web'!$B$5:$AQ$247,'INT Web'!AO$1,FALSE),1)-0.01)</f>
        <v>10000</v>
      </c>
      <c r="J39" s="33">
        <f>+IF($E39=VLOOKUP($B39,Apple!$B$3:$E$176,4,FALSE),VLOOKUP(Google!$B39,Apple!$B$3:$M$176,Apple!J$1,FALSE),VLOOKUP($B39,'[6]Single Game'!$B$4:$P$238,'[6]Single Game'!M$1,FALSE))</f>
        <v>3500</v>
      </c>
      <c r="K39" s="33">
        <f>+IF($E39=VLOOKUP($B39,Apple!$B$3:$E$176,4,FALSE),VLOOKUP(Google!$B39,Apple!$B$3:$M$176,Apple!K$1,FALSE),VLOOKUP($B39,'[6]Single Game'!$B$4:$P$238,'[6]Single Game'!N$1,FALSE))</f>
        <v>2800</v>
      </c>
      <c r="L39" s="33">
        <f>+IF($E39=VLOOKUP($B39,Apple!$B$3:$E$176,4,FALSE),VLOOKUP(Google!$B39,Apple!$B$3:$M$176,Apple!L$1,FALSE),VLOOKUP($B39,'[6]Single Game'!$B$4:$P$238,'[6]Single Game'!O$1,FALSE))</f>
        <v>2100</v>
      </c>
      <c r="M39" s="33">
        <f>+IF($E39=VLOOKUP($B39,Apple!$B$3:$E$176,4,FALSE),VLOOKUP(Google!$B39,Apple!$B$3:$M$176,Apple!M$1,FALSE),VLOOKUP($B39,'[6]Single Game'!$B$4:$P$238,'[6]Single Game'!P$1,FALSE))</f>
        <v>1400</v>
      </c>
      <c r="O39" t="str">
        <f>IF(VLOOKUP($B39,[5]Google!$B$3:$I$174,[5]Google!F$1,FALSE)=F39,"Same","MISMATCH")</f>
        <v>Same</v>
      </c>
      <c r="P39" t="str">
        <f>IF(VLOOKUP($B39,[5]Google!$B$3:$I$174,[5]Google!G$1,FALSE)=G39,"Same","MISMATCH")</f>
        <v>Same</v>
      </c>
      <c r="Q39" t="str">
        <f>IF(VLOOKUP($B39,[5]Google!$B$3:$I$174,[5]Google!H$1,FALSE)=H39,"Same","MISMATCH")</f>
        <v>Same</v>
      </c>
      <c r="R39" t="str">
        <f>IF(VLOOKUP($B39,[5]Google!$B$3:$I$174,[5]Google!I$1,FALSE)=I39,"Same","MISMATCH")</f>
        <v>Same</v>
      </c>
      <c r="S39" t="str">
        <f>IF(VLOOKUP($B39,[5]Google!$B$3:$M$174,[5]Google!J$1,FALSE)=J39,"Same","MISMATCH")</f>
        <v>Same</v>
      </c>
      <c r="T39" t="str">
        <f>IF(VLOOKUP($B39,[5]Google!$B$3:$M$174,[5]Google!K$1,FALSE)=K39,"Same","MISMATCH")</f>
        <v>Same</v>
      </c>
      <c r="U39" t="str">
        <f>IF(VLOOKUP($B39,[5]Google!$B$3:$M$174,[5]Google!L$1,FALSE)=L39,"Same","MISMATCH")</f>
        <v>Same</v>
      </c>
      <c r="V39" t="str">
        <f>IF(VLOOKUP($B39,[5]Google!$B$3:$M$174,[5]Google!M$1,FALSE)=M39,"Same","MISMATCH")</f>
        <v>Same</v>
      </c>
    </row>
    <row r="40" spans="2:22">
      <c r="B40" s="73" t="s">
        <v>126</v>
      </c>
      <c r="C40" s="110" t="str">
        <f>+VLOOKUP(B40,'Country &amp; Code Abbreviation'!$B$3:$C$245,2,FALSE)</f>
        <v>CI</v>
      </c>
      <c r="D40" s="31" t="str">
        <f>+VLOOKUP(B40,'INT Web'!$B$5:$Q$248,16,FALSE)</f>
        <v>XOF</v>
      </c>
      <c r="E40" s="32" t="s">
        <v>418</v>
      </c>
      <c r="F40" s="123">
        <f>+MROUND([5]Google!F40*1.4,10)</f>
        <v>20800</v>
      </c>
      <c r="G40" s="33">
        <f>+IFERROR(IF($E40=VLOOKUP($B40,Apple!$B$3:$I$176,Apple!$E$1,FALSE),VLOOKUP(Google!$B40,Apple!$B$3:$I$176,Apple!G$1,FALSE),VLOOKUP($B40,'INT Web'!$B$5:$U$247,'INT Web'!S$1,FALSE)),MROUND(VLOOKUP($B40,'INT Web'!$B$5:$AQ$247,'INT Web'!AM$1,FALSE),1)-0.01)</f>
        <v>7430</v>
      </c>
      <c r="H40" s="123">
        <f>+MROUND([5]Google!H40*1.4,10)</f>
        <v>15400</v>
      </c>
      <c r="I40" s="33">
        <f>+IFERROR(IF($E40=VLOOKUP($B40,Apple!$B$3:$I$176,Apple!$E$1,FALSE),VLOOKUP(Google!$B40,Apple!$B$3:$I$176,Apple!I$1,FALSE),VLOOKUP($B40,'INT Web'!$B$5:$U$247,'INT Web'!U$1,FALSE)),MROUND(VLOOKUP($B40,'INT Web'!$B$5:$AQ$247,'INT Web'!AO$1,FALSE),1)-0.01)</f>
        <v>5500</v>
      </c>
      <c r="J40" s="33">
        <f>+IF($E40=VLOOKUP($B40,Apple!$B$3:$E$176,4,FALSE),VLOOKUP(Google!$B40,Apple!$B$3:$M$176,Apple!J$1,FALSE),VLOOKUP($B40,'[6]Single Game'!$B$4:$P$238,'[6]Single Game'!M$1,FALSE))</f>
        <v>2000</v>
      </c>
      <c r="K40" s="109">
        <f>+IF($E40=VLOOKUP($B40,Apple!$B$3:$E$176,4,FALSE),VLOOKUP(Google!$B40,Apple!$B$3:$M$176,Apple!K$1,FALSE),VLOOKUP($B40,'[6]Single Game'!$B$4:$P$238,'[6]Single Game'!N$1,FALSE))</f>
        <v>1600</v>
      </c>
      <c r="L40" s="109">
        <f>+IF($E40=VLOOKUP($B40,Apple!$B$3:$E$176,4,FALSE),VLOOKUP(Google!$B40,Apple!$B$3:$M$176,Apple!L$1,FALSE),VLOOKUP($B40,'[6]Single Game'!$B$4:$P$238,'[6]Single Game'!O$1,FALSE))</f>
        <v>1200</v>
      </c>
      <c r="M40" s="109">
        <f>+IF($E40=VLOOKUP($B40,Apple!$B$3:$E$176,4,FALSE),VLOOKUP(Google!$B40,Apple!$B$3:$M$176,Apple!M$1,FALSE),VLOOKUP($B40,'[6]Single Game'!$B$4:$P$238,'[6]Single Game'!P$1,FALSE))</f>
        <v>800</v>
      </c>
      <c r="O40" t="str">
        <f>IF(VLOOKUP($B40,[5]Google!$B$3:$I$174,[5]Google!F$1,FALSE)=F40,"Same","MISMATCH")</f>
        <v>MISMATCH</v>
      </c>
      <c r="P40" t="str">
        <f>IF(VLOOKUP($B40,[5]Google!$B$3:$I$174,[5]Google!G$1,FALSE)=G40,"Same","MISMATCH")</f>
        <v>Same</v>
      </c>
      <c r="Q40" t="str">
        <f>IF(VLOOKUP($B40,[5]Google!$B$3:$I$174,[5]Google!H$1,FALSE)=H40,"Same","MISMATCH")</f>
        <v>MISMATCH</v>
      </c>
      <c r="R40" t="str">
        <f>IF(VLOOKUP($B40,[5]Google!$B$3:$I$174,[5]Google!I$1,FALSE)=I40,"Same","MISMATCH")</f>
        <v>Same</v>
      </c>
      <c r="S40" t="str">
        <f>IF(VLOOKUP($B40,[5]Google!$B$3:$M$174,[5]Google!J$1,FALSE)=J40,"Same","MISMATCH")</f>
        <v>Same</v>
      </c>
      <c r="T40" t="str">
        <f>IF(VLOOKUP($B40,[5]Google!$B$3:$M$174,[5]Google!K$1,FALSE)=K40,"Same","MISMATCH")</f>
        <v>MISMATCH</v>
      </c>
      <c r="U40" t="str">
        <f>IF(VLOOKUP($B40,[5]Google!$B$3:$M$174,[5]Google!L$1,FALSE)=L40,"Same","MISMATCH")</f>
        <v>MISMATCH</v>
      </c>
      <c r="V40" t="str">
        <f>IF(VLOOKUP($B40,[5]Google!$B$3:$M$174,[5]Google!M$1,FALSE)=M40,"Same","MISMATCH")</f>
        <v>MISMATCH</v>
      </c>
    </row>
    <row r="41" spans="2:22">
      <c r="B41" t="s">
        <v>127</v>
      </c>
      <c r="C41" s="31" t="str">
        <f>+VLOOKUP(B41,'Country &amp; Code Abbreviation'!$B$3:$C$245,2,FALSE)</f>
        <v>HR</v>
      </c>
      <c r="D41" s="31" t="str">
        <f>+VLOOKUP(B41,'INT Web'!$B$5:$Q$248,16,FALSE)</f>
        <v>EUR</v>
      </c>
      <c r="E41" s="32" t="s">
        <v>368</v>
      </c>
      <c r="F41" s="33">
        <f>+IFERROR(IF($E41=VLOOKUP($B41,Apple!$B$3:$I$176,Apple!$E$1,FALSE),VLOOKUP(Google!$B41,Apple!$B$3:$I$176,Apple!F$1,FALSE),VLOOKUP($B41,'INT Web'!$B$5:$U$247,'INT Web'!R$1,FALSE)),MROUND(VLOOKUP($B41,'INT Web'!$B$5:$AQ$247,'INT Web'!AL$1,FALSE),1)-0.01)</f>
        <v>107.99</v>
      </c>
      <c r="G41" s="33">
        <f>+IFERROR(IF($E41=VLOOKUP($B41,Apple!$B$3:$I$176,Apple!$E$1,FALSE),VLOOKUP(Google!$B41,Apple!$B$3:$I$176,Apple!G$1,FALSE),VLOOKUP($B41,'INT Web'!$B$5:$U$247,'INT Web'!S$1,FALSE)),MROUND(VLOOKUP($B41,'INT Web'!$B$5:$AQ$247,'INT Web'!AM$1,FALSE),1)-0.01)</f>
        <v>17.989999999999998</v>
      </c>
      <c r="H41" s="33">
        <f>+IFERROR(IF($E41=VLOOKUP($B41,Apple!$B$3:$I$176,Apple!$E$1,FALSE),VLOOKUP(Google!$B41,Apple!$B$3:$I$176,Apple!H$1,FALSE),VLOOKUP($B41,'INT Web'!$B$5:$U$247,'INT Web'!T$1,FALSE)),MROUND(VLOOKUP($B41,'INT Web'!$B$5:$AQ$247,'INT Web'!AN$1,FALSE),1)-0.01)</f>
        <v>71.989999999999995</v>
      </c>
      <c r="I41" s="33">
        <f>+IFERROR(IF($E41=VLOOKUP($B41,Apple!$B$3:$I$176,Apple!$E$1,FALSE),VLOOKUP(Google!$B41,Apple!$B$3:$I$176,Apple!I$1,FALSE),VLOOKUP($B41,'INT Web'!$B$5:$U$247,'INT Web'!U$1,FALSE)),MROUND(VLOOKUP($B41,'INT Web'!$B$5:$AQ$247,'INT Web'!AO$1,FALSE),1)-0.01)</f>
        <v>11.99</v>
      </c>
      <c r="J41" s="33">
        <f>+IF($E41=VLOOKUP($B41,Apple!$B$3:$E$176,4,FALSE),VLOOKUP(Google!$B41,Apple!$B$3:$M$176,Apple!J$1,FALSE),VLOOKUP($B41,'[6]Single Game'!$B$4:$P$238,'[6]Single Game'!M$1,FALSE))</f>
        <v>3.99</v>
      </c>
      <c r="K41" s="33">
        <f>+IF($E41=VLOOKUP($B41,Apple!$B$3:$E$176,4,FALSE),VLOOKUP(Google!$B41,Apple!$B$3:$M$176,Apple!K$1,FALSE),VLOOKUP($B41,'[6]Single Game'!$B$4:$P$238,'[6]Single Game'!N$1,FALSE))</f>
        <v>3.99</v>
      </c>
      <c r="L41" s="33">
        <f>+IF($E41=VLOOKUP($B41,Apple!$B$3:$E$176,4,FALSE),VLOOKUP(Google!$B41,Apple!$B$3:$M$176,Apple!L$1,FALSE),VLOOKUP($B41,'[6]Single Game'!$B$4:$P$238,'[6]Single Game'!O$1,FALSE))</f>
        <v>1.99</v>
      </c>
      <c r="M41" s="33">
        <f>+IF($E41=VLOOKUP($B41,Apple!$B$3:$E$176,4,FALSE),VLOOKUP(Google!$B41,Apple!$B$3:$M$176,Apple!M$1,FALSE),VLOOKUP($B41,'[6]Single Game'!$B$4:$P$238,'[6]Single Game'!P$1,FALSE))</f>
        <v>1.99</v>
      </c>
      <c r="O41" t="str">
        <f>IF(VLOOKUP($B41,[5]Google!$B$3:$I$174,[5]Google!F$1,FALSE)=F41,"Same","MISMATCH")</f>
        <v>Same</v>
      </c>
      <c r="P41" t="str">
        <f>IF(VLOOKUP($B41,[5]Google!$B$3:$I$174,[5]Google!G$1,FALSE)=G41,"Same","MISMATCH")</f>
        <v>Same</v>
      </c>
      <c r="Q41" t="str">
        <f>IF(VLOOKUP($B41,[5]Google!$B$3:$I$174,[5]Google!H$1,FALSE)=H41,"Same","MISMATCH")</f>
        <v>Same</v>
      </c>
      <c r="R41" t="str">
        <f>IF(VLOOKUP($B41,[5]Google!$B$3:$I$174,[5]Google!I$1,FALSE)=I41,"Same","MISMATCH")</f>
        <v>Same</v>
      </c>
      <c r="S41" t="str">
        <f>IF(VLOOKUP($B41,[5]Google!$B$3:$M$174,[5]Google!J$1,FALSE)=J41,"Same","MISMATCH")</f>
        <v>Same</v>
      </c>
      <c r="T41" t="str">
        <f>IF(VLOOKUP($B41,[5]Google!$B$3:$M$174,[5]Google!K$1,FALSE)=K41,"Same","MISMATCH")</f>
        <v>Same</v>
      </c>
      <c r="U41" t="str">
        <f>IF(VLOOKUP($B41,[5]Google!$B$3:$M$174,[5]Google!L$1,FALSE)=L41,"Same","MISMATCH")</f>
        <v>Same</v>
      </c>
      <c r="V41" t="str">
        <f>IF(VLOOKUP($B41,[5]Google!$B$3:$M$174,[5]Google!M$1,FALSE)=M41,"Same","MISMATCH")</f>
        <v>Same</v>
      </c>
    </row>
    <row r="42" spans="2:22">
      <c r="B42" t="s">
        <v>129</v>
      </c>
      <c r="C42" s="31" t="str">
        <f>+VLOOKUP(B42,'Country &amp; Code Abbreviation'!$B$3:$C$245,2,FALSE)</f>
        <v>CY</v>
      </c>
      <c r="D42" s="31" t="str">
        <f>+VLOOKUP(B42,'INT Web'!$B$5:$Q$248,16,FALSE)</f>
        <v>EUR</v>
      </c>
      <c r="E42" s="32" t="s">
        <v>368</v>
      </c>
      <c r="F42" s="33">
        <f>+IFERROR(IF($E42=VLOOKUP($B42,Apple!$B$3:$I$176,Apple!$E$1,FALSE),VLOOKUP(Google!$B42,Apple!$B$3:$I$176,Apple!F$1,FALSE),VLOOKUP($B42,'INT Web'!$B$5:$U$247,'INT Web'!R$1,FALSE)),MROUND(VLOOKUP($B42,'INT Web'!$B$5:$AQ$247,'INT Web'!AL$1,FALSE),1)-0.01)</f>
        <v>89.99</v>
      </c>
      <c r="G42" s="33">
        <f>+IFERROR(IF($E42=VLOOKUP($B42,Apple!$B$3:$I$176,Apple!$E$1,FALSE),VLOOKUP(Google!$B42,Apple!$B$3:$I$176,Apple!G$1,FALSE),VLOOKUP($B42,'INT Web'!$B$5:$U$247,'INT Web'!S$1,FALSE)),MROUND(VLOOKUP($B42,'INT Web'!$B$5:$AQ$247,'INT Web'!AM$1,FALSE),1)-0.01)</f>
        <v>12.99</v>
      </c>
      <c r="H42" s="33">
        <f>+IFERROR(IF($E42=VLOOKUP($B42,Apple!$B$3:$I$176,Apple!$E$1,FALSE),VLOOKUP(Google!$B42,Apple!$B$3:$I$176,Apple!H$1,FALSE),VLOOKUP($B42,'INT Web'!$B$5:$U$247,'INT Web'!T$1,FALSE)),MROUND(VLOOKUP($B42,'INT Web'!$B$5:$AQ$247,'INT Web'!AN$1,FALSE),1)-0.01)</f>
        <v>69.989999999999995</v>
      </c>
      <c r="I42" s="33">
        <f>+IFERROR(IF($E42=VLOOKUP($B42,Apple!$B$3:$I$176,Apple!$E$1,FALSE),VLOOKUP(Google!$B42,Apple!$B$3:$I$176,Apple!I$1,FALSE),VLOOKUP($B42,'INT Web'!$B$5:$U$247,'INT Web'!U$1,FALSE)),MROUND(VLOOKUP($B42,'INT Web'!$B$5:$AQ$247,'INT Web'!AO$1,FALSE),1)-0.01)</f>
        <v>9.99</v>
      </c>
      <c r="J42" s="33">
        <f>+IF($E42=VLOOKUP($B42,Apple!$B$3:$E$176,4,FALSE),VLOOKUP(Google!$B42,Apple!$B$3:$M$176,Apple!J$1,FALSE),VLOOKUP($B42,'[6]Single Game'!$B$4:$P$238,'[6]Single Game'!M$1,FALSE))</f>
        <v>3.99</v>
      </c>
      <c r="K42" s="33">
        <f>+IF($E42=VLOOKUP($B42,Apple!$B$3:$E$176,4,FALSE),VLOOKUP(Google!$B42,Apple!$B$3:$M$176,Apple!K$1,FALSE),VLOOKUP($B42,'[6]Single Game'!$B$4:$P$238,'[6]Single Game'!N$1,FALSE))</f>
        <v>3.99</v>
      </c>
      <c r="L42" s="33">
        <f>+IF($E42=VLOOKUP($B42,Apple!$B$3:$E$176,4,FALSE),VLOOKUP(Google!$B42,Apple!$B$3:$M$176,Apple!L$1,FALSE),VLOOKUP($B42,'[6]Single Game'!$B$4:$P$238,'[6]Single Game'!O$1,FALSE))</f>
        <v>1.99</v>
      </c>
      <c r="M42" s="33">
        <f>+IF($E42=VLOOKUP($B42,Apple!$B$3:$E$176,4,FALSE),VLOOKUP(Google!$B42,Apple!$B$3:$M$176,Apple!M$1,FALSE),VLOOKUP($B42,'[6]Single Game'!$B$4:$P$238,'[6]Single Game'!P$1,FALSE))</f>
        <v>1.99</v>
      </c>
      <c r="O42" t="str">
        <f>IF(VLOOKUP($B42,[5]Google!$B$3:$I$174,[5]Google!F$1,FALSE)=F42,"Same","MISMATCH")</f>
        <v>Same</v>
      </c>
      <c r="P42" t="str">
        <f>IF(VLOOKUP($B42,[5]Google!$B$3:$I$174,[5]Google!G$1,FALSE)=G42,"Same","MISMATCH")</f>
        <v>Same</v>
      </c>
      <c r="Q42" t="str">
        <f>IF(VLOOKUP($B42,[5]Google!$B$3:$I$174,[5]Google!H$1,FALSE)=H42,"Same","MISMATCH")</f>
        <v>Same</v>
      </c>
      <c r="R42" t="str">
        <f>IF(VLOOKUP($B42,[5]Google!$B$3:$I$174,[5]Google!I$1,FALSE)=I42,"Same","MISMATCH")</f>
        <v>Same</v>
      </c>
      <c r="S42" t="str">
        <f>IF(VLOOKUP($B42,[5]Google!$B$3:$M$174,[5]Google!J$1,FALSE)=J42,"Same","MISMATCH")</f>
        <v>Same</v>
      </c>
      <c r="T42" t="str">
        <f>IF(VLOOKUP($B42,[5]Google!$B$3:$M$174,[5]Google!K$1,FALSE)=K42,"Same","MISMATCH")</f>
        <v>Same</v>
      </c>
      <c r="U42" t="str">
        <f>IF(VLOOKUP($B42,[5]Google!$B$3:$M$174,[5]Google!L$1,FALSE)=L42,"Same","MISMATCH")</f>
        <v>Same</v>
      </c>
      <c r="V42" t="str">
        <f>IF(VLOOKUP($B42,[5]Google!$B$3:$M$174,[5]Google!M$1,FALSE)=M42,"Same","MISMATCH")</f>
        <v>Same</v>
      </c>
    </row>
    <row r="43" spans="2:22">
      <c r="B43" t="s">
        <v>130</v>
      </c>
      <c r="C43" s="31" t="str">
        <f>+VLOOKUP(B43,'Country &amp; Code Abbreviation'!$B$3:$C$245,2,FALSE)</f>
        <v>CZ</v>
      </c>
      <c r="D43" s="31" t="str">
        <f>+VLOOKUP(B43,'INT Web'!$B$5:$Q$248,16,FALSE)</f>
        <v>CZK</v>
      </c>
      <c r="E43" s="32" t="s">
        <v>373</v>
      </c>
      <c r="F43" s="33">
        <f>+IFERROR(IF($E43=VLOOKUP($B43,Apple!$B$3:$I$176,Apple!$E$1,FALSE),VLOOKUP(Google!$B43,Apple!$B$3:$I$176,Apple!F$1,FALSE),VLOOKUP($B43,'INT Web'!$B$5:$U$247,'INT Web'!R$1,FALSE)),MROUND(VLOOKUP($B43,'INT Web'!$B$5:$AQ$247,'INT Web'!AL$1,FALSE),1)-0.01)</f>
        <v>3599</v>
      </c>
      <c r="G43" s="33">
        <f>+IFERROR(IF($E43=VLOOKUP($B43,Apple!$B$3:$I$176,Apple!$E$1,FALSE),VLOOKUP(Google!$B43,Apple!$B$3:$I$176,Apple!G$1,FALSE),VLOOKUP($B43,'INT Web'!$B$5:$U$247,'INT Web'!S$1,FALSE)),MROUND(VLOOKUP($B43,'INT Web'!$B$5:$AQ$247,'INT Web'!AM$1,FALSE),1)-0.01)</f>
        <v>549.99</v>
      </c>
      <c r="H43" s="33">
        <f>+IFERROR(IF($E43=VLOOKUP($B43,Apple!$B$3:$I$176,Apple!$E$1,FALSE),VLOOKUP(Google!$B43,Apple!$B$3:$I$176,Apple!H$1,FALSE),VLOOKUP($B43,'INT Web'!$B$5:$U$247,'INT Web'!T$1,FALSE)),MROUND(VLOOKUP($B43,'INT Web'!$B$5:$AQ$247,'INT Web'!AN$1,FALSE),1)-0.01)</f>
        <v>2400</v>
      </c>
      <c r="I43" s="33">
        <f>+IFERROR(IF($E43=VLOOKUP($B43,Apple!$B$3:$I$176,Apple!$E$1,FALSE),VLOOKUP(Google!$B43,Apple!$B$3:$I$176,Apple!I$1,FALSE),VLOOKUP($B43,'INT Web'!$B$5:$U$247,'INT Web'!U$1,FALSE)),MROUND(VLOOKUP($B43,'INT Web'!$B$5:$AQ$247,'INT Web'!AO$1,FALSE),1)-0.01)</f>
        <v>399.99</v>
      </c>
      <c r="J43" s="33">
        <f>+IF($E43=VLOOKUP($B43,Apple!$B$3:$E$176,4,FALSE),VLOOKUP(Google!$B43,Apple!$B$3:$M$176,Apple!J$1,FALSE),VLOOKUP($B43,'[6]Single Game'!$B$4:$P$238,'[6]Single Game'!M$1,FALSE))</f>
        <v>149</v>
      </c>
      <c r="K43" s="33">
        <f>+IF($E43=VLOOKUP($B43,Apple!$B$3:$E$176,4,FALSE),VLOOKUP(Google!$B43,Apple!$B$3:$M$176,Apple!K$1,FALSE),VLOOKUP($B43,'[6]Single Game'!$B$4:$P$238,'[6]Single Game'!N$1,FALSE))</f>
        <v>149</v>
      </c>
      <c r="L43" s="33">
        <f>+IF($E43=VLOOKUP($B43,Apple!$B$3:$E$176,4,FALSE),VLOOKUP(Google!$B43,Apple!$B$3:$M$176,Apple!L$1,FALSE),VLOOKUP($B43,'[6]Single Game'!$B$4:$P$238,'[6]Single Game'!O$1,FALSE))</f>
        <v>79</v>
      </c>
      <c r="M43" s="33">
        <f>+IF($E43=VLOOKUP($B43,Apple!$B$3:$E$176,4,FALSE),VLOOKUP(Google!$B43,Apple!$B$3:$M$176,Apple!M$1,FALSE),VLOOKUP($B43,'[6]Single Game'!$B$4:$P$238,'[6]Single Game'!P$1,FALSE))</f>
        <v>79</v>
      </c>
      <c r="O43" t="str">
        <f>IF(VLOOKUP($B43,[5]Google!$B$3:$I$174,[5]Google!F$1,FALSE)=F43,"Same","MISMATCH")</f>
        <v>Same</v>
      </c>
      <c r="P43" t="str">
        <f>IF(VLOOKUP($B43,[5]Google!$B$3:$I$174,[5]Google!G$1,FALSE)=G43,"Same","MISMATCH")</f>
        <v>Same</v>
      </c>
      <c r="Q43" t="str">
        <f>IF(VLOOKUP($B43,[5]Google!$B$3:$I$174,[5]Google!H$1,FALSE)=H43,"Same","MISMATCH")</f>
        <v>Same</v>
      </c>
      <c r="R43" t="str">
        <f>IF(VLOOKUP($B43,[5]Google!$B$3:$I$174,[5]Google!I$1,FALSE)=I43,"Same","MISMATCH")</f>
        <v>Same</v>
      </c>
      <c r="S43" t="str">
        <f>IF(VLOOKUP($B43,[5]Google!$B$3:$M$174,[5]Google!J$1,FALSE)=J43,"Same","MISMATCH")</f>
        <v>Same</v>
      </c>
      <c r="T43" t="str">
        <f>IF(VLOOKUP($B43,[5]Google!$B$3:$M$174,[5]Google!K$1,FALSE)=K43,"Same","MISMATCH")</f>
        <v>Same</v>
      </c>
      <c r="U43" t="str">
        <f>IF(VLOOKUP($B43,[5]Google!$B$3:$M$174,[5]Google!L$1,FALSE)=L43,"Same","MISMATCH")</f>
        <v>Same</v>
      </c>
      <c r="V43" t="str">
        <f>IF(VLOOKUP($B43,[5]Google!$B$3:$M$174,[5]Google!M$1,FALSE)=M43,"Same","MISMATCH")</f>
        <v>Same</v>
      </c>
    </row>
    <row r="44" spans="2:22">
      <c r="B44" t="s">
        <v>131</v>
      </c>
      <c r="C44" s="31" t="str">
        <f>+VLOOKUP(B44,'Country &amp; Code Abbreviation'!$B$3:$C$245,2,FALSE)</f>
        <v>CD</v>
      </c>
      <c r="D44" s="31" t="str">
        <f>+VLOOKUP(B44,'INT Web'!$B$5:$Q$248,16,FALSE)</f>
        <v>USD</v>
      </c>
      <c r="E44" s="32" t="s">
        <v>346</v>
      </c>
      <c r="F44" s="33">
        <f>+IFERROR(IF($E44=VLOOKUP($B44,Apple!$B$3:$I$176,Apple!$E$1,FALSE),VLOOKUP(Google!$B44,Apple!$B$3:$I$176,Apple!F$1,FALSE),VLOOKUP($B44,'INT Web'!$B$5:$U$247,'INT Web'!R$1,FALSE)),MROUND(VLOOKUP($B44,'INT Web'!$B$5:$AQ$247,'INT Web'!AL$1,FALSE),1)-0.01)</f>
        <v>71.989999999999995</v>
      </c>
      <c r="G44" s="33">
        <f>+IFERROR(IF($E44=VLOOKUP($B44,Apple!$B$3:$I$176,Apple!$E$1,FALSE),VLOOKUP(Google!$B44,Apple!$B$3:$I$176,Apple!G$1,FALSE),VLOOKUP($B44,'INT Web'!$B$5:$U$247,'INT Web'!S$1,FALSE)),MROUND(VLOOKUP($B44,'INT Web'!$B$5:$AQ$247,'INT Web'!AM$1,FALSE),1)-0.01)</f>
        <v>11.99</v>
      </c>
      <c r="H44" s="33">
        <f>+IFERROR(IF($E44=VLOOKUP($B44,Apple!$B$3:$I$176,Apple!$E$1,FALSE),VLOOKUP(Google!$B44,Apple!$B$3:$I$176,Apple!H$1,FALSE),VLOOKUP($B44,'INT Web'!$B$5:$U$247,'INT Web'!T$1,FALSE)),MROUND(VLOOKUP($B44,'INT Web'!$B$5:$AQ$247,'INT Web'!AN$1,FALSE),1)-0.01)</f>
        <v>53.99</v>
      </c>
      <c r="I44" s="33">
        <f>+IFERROR(IF($E44=VLOOKUP($B44,Apple!$B$3:$I$176,Apple!$E$1,FALSE),VLOOKUP(Google!$B44,Apple!$B$3:$I$176,Apple!I$1,FALSE),VLOOKUP($B44,'INT Web'!$B$5:$U$247,'INT Web'!U$1,FALSE)),MROUND(VLOOKUP($B44,'INT Web'!$B$5:$AQ$247,'INT Web'!AO$1,FALSE),1)-0.01)</f>
        <v>8.99</v>
      </c>
      <c r="J44" s="34">
        <v>2.99</v>
      </c>
      <c r="K44" s="34">
        <v>2.99</v>
      </c>
      <c r="L44" s="34">
        <v>1.99</v>
      </c>
      <c r="M44" s="34">
        <v>1.99</v>
      </c>
      <c r="O44" t="str">
        <f>IF(VLOOKUP($B44,[5]Google!$B$3:$I$174,[5]Google!F$1,FALSE)=F44,"Same","MISMATCH")</f>
        <v>Same</v>
      </c>
      <c r="P44" t="str">
        <f>IF(VLOOKUP($B44,[5]Google!$B$3:$I$174,[5]Google!G$1,FALSE)=G44,"Same","MISMATCH")</f>
        <v>Same</v>
      </c>
      <c r="Q44" t="str">
        <f>IF(VLOOKUP($B44,[5]Google!$B$3:$I$174,[5]Google!H$1,FALSE)=H44,"Same","MISMATCH")</f>
        <v>Same</v>
      </c>
      <c r="R44" t="str">
        <f>IF(VLOOKUP($B44,[5]Google!$B$3:$I$174,[5]Google!I$1,FALSE)=I44,"Same","MISMATCH")</f>
        <v>Same</v>
      </c>
      <c r="S44" t="str">
        <f>IF(VLOOKUP($B44,[5]Google!$B$3:$M$174,[5]Google!J$1,FALSE)=J44,"Same","MISMATCH")</f>
        <v>Same</v>
      </c>
      <c r="T44" t="str">
        <f>IF(VLOOKUP($B44,[5]Google!$B$3:$M$174,[5]Google!K$1,FALSE)=K44,"Same","MISMATCH")</f>
        <v>Same</v>
      </c>
      <c r="U44" t="str">
        <f>IF(VLOOKUP($B44,[5]Google!$B$3:$M$174,[5]Google!L$1,FALSE)=L44,"Same","MISMATCH")</f>
        <v>Same</v>
      </c>
      <c r="V44" t="str">
        <f>IF(VLOOKUP($B44,[5]Google!$B$3:$M$174,[5]Google!M$1,FALSE)=M44,"Same","MISMATCH")</f>
        <v>Same</v>
      </c>
    </row>
    <row r="45" spans="2:22">
      <c r="B45" t="s">
        <v>132</v>
      </c>
      <c r="C45" s="31" t="str">
        <f>+VLOOKUP(B45,'Country &amp; Code Abbreviation'!$B$3:$C$245,2,FALSE)</f>
        <v>DK</v>
      </c>
      <c r="D45" s="31" t="str">
        <f>+VLOOKUP(B45,'INT Web'!$B$5:$Q$248,16,FALSE)</f>
        <v>DKK</v>
      </c>
      <c r="E45" s="32" t="s">
        <v>374</v>
      </c>
      <c r="F45" s="33">
        <f>+IFERROR(IF($E45=VLOOKUP($B45,Apple!$B$3:$I$176,Apple!$E$1,FALSE),VLOOKUP(Google!$B45,Apple!$B$3:$I$176,Apple!F$1,FALSE),VLOOKUP($B45,'INT Web'!$B$5:$U$247,'INT Web'!R$1,FALSE)),MROUND(VLOOKUP($B45,'INT Web'!$B$5:$AQ$247,'INT Web'!AL$1,FALSE),1)-0.01)</f>
        <v>1300</v>
      </c>
      <c r="G45" s="33">
        <f>+IFERROR(IF($E45=VLOOKUP($B45,Apple!$B$3:$I$176,Apple!$E$1,FALSE),VLOOKUP(Google!$B45,Apple!$B$3:$I$176,Apple!G$1,FALSE),VLOOKUP($B45,'INT Web'!$B$5:$U$247,'INT Web'!S$1,FALSE)),MROUND(VLOOKUP($B45,'INT Web'!$B$5:$AQ$247,'INT Web'!AM$1,FALSE),1)-0.01)</f>
        <v>200</v>
      </c>
      <c r="H45" s="33">
        <f>+IFERROR(IF($E45=VLOOKUP($B45,Apple!$B$3:$I$176,Apple!$E$1,FALSE),VLOOKUP(Google!$B45,Apple!$B$3:$I$176,Apple!H$1,FALSE),VLOOKUP($B45,'INT Web'!$B$5:$U$247,'INT Web'!T$1,FALSE)),MROUND(VLOOKUP($B45,'INT Web'!$B$5:$AQ$247,'INT Web'!AN$1,FALSE),1)-0.01)</f>
        <v>900</v>
      </c>
      <c r="I45" s="33">
        <f>+IFERROR(IF($E45=VLOOKUP($B45,Apple!$B$3:$I$176,Apple!$E$1,FALSE),VLOOKUP(Google!$B45,Apple!$B$3:$I$176,Apple!I$1,FALSE),VLOOKUP($B45,'INT Web'!$B$5:$U$247,'INT Web'!U$1,FALSE)),MROUND(VLOOKUP($B45,'INT Web'!$B$5:$AQ$247,'INT Web'!AO$1,FALSE),1)-0.01)</f>
        <v>140</v>
      </c>
      <c r="J45" s="33">
        <f>+IF($E45=VLOOKUP($B45,Apple!$B$3:$E$176,4,FALSE),VLOOKUP(Google!$B45,Apple!$B$3:$M$176,Apple!J$1,FALSE),VLOOKUP($B45,'[6]Single Game'!$B$4:$P$238,'[6]Single Game'!M$1,FALSE))</f>
        <v>49</v>
      </c>
      <c r="K45" s="33">
        <f>+IF($E45=VLOOKUP($B45,Apple!$B$3:$E$176,4,FALSE),VLOOKUP(Google!$B45,Apple!$B$3:$M$176,Apple!K$1,FALSE),VLOOKUP($B45,'[6]Single Game'!$B$4:$P$238,'[6]Single Game'!N$1,FALSE))</f>
        <v>49</v>
      </c>
      <c r="L45" s="33">
        <f>+IF($E45=VLOOKUP($B45,Apple!$B$3:$E$176,4,FALSE),VLOOKUP(Google!$B45,Apple!$B$3:$M$176,Apple!L$1,FALSE),VLOOKUP($B45,'[6]Single Game'!$B$4:$P$238,'[6]Single Game'!O$1,FALSE))</f>
        <v>25</v>
      </c>
      <c r="M45" s="33">
        <f>+IF($E45=VLOOKUP($B45,Apple!$B$3:$E$176,4,FALSE),VLOOKUP(Google!$B45,Apple!$B$3:$M$176,Apple!M$1,FALSE),VLOOKUP($B45,'[6]Single Game'!$B$4:$P$238,'[6]Single Game'!P$1,FALSE))</f>
        <v>25</v>
      </c>
      <c r="O45" t="str">
        <f>IF(VLOOKUP($B45,[5]Google!$B$3:$I$174,[5]Google!F$1,FALSE)=F45,"Same","MISMATCH")</f>
        <v>Same</v>
      </c>
      <c r="P45" t="str">
        <f>IF(VLOOKUP($B45,[5]Google!$B$3:$I$174,[5]Google!G$1,FALSE)=G45,"Same","MISMATCH")</f>
        <v>Same</v>
      </c>
      <c r="Q45" t="str">
        <f>IF(VLOOKUP($B45,[5]Google!$B$3:$I$174,[5]Google!H$1,FALSE)=H45,"Same","MISMATCH")</f>
        <v>Same</v>
      </c>
      <c r="R45" t="str">
        <f>IF(VLOOKUP($B45,[5]Google!$B$3:$I$174,[5]Google!I$1,FALSE)=I45,"Same","MISMATCH")</f>
        <v>Same</v>
      </c>
      <c r="S45" t="str">
        <f>IF(VLOOKUP($B45,[5]Google!$B$3:$M$174,[5]Google!J$1,FALSE)=J45,"Same","MISMATCH")</f>
        <v>Same</v>
      </c>
      <c r="T45" t="str">
        <f>IF(VLOOKUP($B45,[5]Google!$B$3:$M$174,[5]Google!K$1,FALSE)=K45,"Same","MISMATCH")</f>
        <v>Same</v>
      </c>
      <c r="U45" t="str">
        <f>IF(VLOOKUP($B45,[5]Google!$B$3:$M$174,[5]Google!L$1,FALSE)=L45,"Same","MISMATCH")</f>
        <v>Same</v>
      </c>
      <c r="V45" t="str">
        <f>IF(VLOOKUP($B45,[5]Google!$B$3:$M$174,[5]Google!M$1,FALSE)=M45,"Same","MISMATCH")</f>
        <v>Same</v>
      </c>
    </row>
    <row r="46" spans="2:22">
      <c r="B46" t="s">
        <v>133</v>
      </c>
      <c r="C46" s="31" t="str">
        <f>+VLOOKUP(B46,'Country &amp; Code Abbreviation'!$B$3:$C$245,2,FALSE)</f>
        <v>DJ</v>
      </c>
      <c r="D46" s="31" t="str">
        <f>+VLOOKUP(B46,'INT Web'!$B$5:$Q$248,16,FALSE)</f>
        <v>DJF</v>
      </c>
      <c r="E46" s="32" t="s">
        <v>346</v>
      </c>
      <c r="F46" s="34">
        <v>59.99</v>
      </c>
      <c r="G46" s="33">
        <f>+IFERROR(IF($E46=VLOOKUP($B46,Apple!$B$3:$I$176,Apple!$E$1,FALSE),VLOOKUP(Google!$B46,Apple!$B$3:$I$176,Apple!G$1,FALSE),VLOOKUP($B46,'INT Web'!$B$5:$U$247,'INT Web'!S$1,FALSE)),MROUND(VLOOKUP($B46,'INT Web'!$B$5:$AQ$247,'INT Web'!AM$1,FALSE),1)-0.01)</f>
        <v>9.99</v>
      </c>
      <c r="H46" s="33">
        <f>+IFERROR(IF($E46=VLOOKUP($B46,Apple!$B$3:$I$176,Apple!$E$1,FALSE),VLOOKUP(Google!$B46,Apple!$B$3:$I$176,Apple!H$1,FALSE),VLOOKUP($B46,'INT Web'!$B$5:$U$247,'INT Web'!T$1,FALSE)),MROUND(VLOOKUP($B46,'INT Web'!$B$5:$AQ$247,'INT Web'!AN$1,FALSE),1)-0.01)</f>
        <v>43.99</v>
      </c>
      <c r="I46" s="34">
        <v>7.99</v>
      </c>
      <c r="J46" s="34">
        <v>3.99</v>
      </c>
      <c r="K46" s="34">
        <v>2.99</v>
      </c>
      <c r="L46" s="34">
        <v>1.99</v>
      </c>
      <c r="M46" s="34">
        <v>0.99</v>
      </c>
      <c r="O46" t="str">
        <f>IF(VLOOKUP($B46,[5]Google!$B$3:$I$174,[5]Google!F$1,FALSE)=F46,"Same","MISMATCH")</f>
        <v>Same</v>
      </c>
      <c r="P46" t="str">
        <f>IF(VLOOKUP($B46,[5]Google!$B$3:$I$174,[5]Google!G$1,FALSE)=G46,"Same","MISMATCH")</f>
        <v>Same</v>
      </c>
      <c r="Q46" t="str">
        <f>IF(VLOOKUP($B46,[5]Google!$B$3:$I$174,[5]Google!H$1,FALSE)=H46,"Same","MISMATCH")</f>
        <v>Same</v>
      </c>
      <c r="R46" t="str">
        <f>IF(VLOOKUP($B46,[5]Google!$B$3:$I$174,[5]Google!I$1,FALSE)=I46,"Same","MISMATCH")</f>
        <v>Same</v>
      </c>
      <c r="S46" t="str">
        <f>IF(VLOOKUP($B46,[5]Google!$B$3:$M$174,[5]Google!J$1,FALSE)=J46,"Same","MISMATCH")</f>
        <v>Same</v>
      </c>
      <c r="T46" t="str">
        <f>IF(VLOOKUP($B46,[5]Google!$B$3:$M$174,[5]Google!K$1,FALSE)=K46,"Same","MISMATCH")</f>
        <v>Same</v>
      </c>
      <c r="U46" t="str">
        <f>IF(VLOOKUP($B46,[5]Google!$B$3:$M$174,[5]Google!L$1,FALSE)=L46,"Same","MISMATCH")</f>
        <v>Same</v>
      </c>
      <c r="V46" t="str">
        <f>IF(VLOOKUP($B46,[5]Google!$B$3:$M$174,[5]Google!M$1,FALSE)=M46,"Same","MISMATCH")</f>
        <v>Same</v>
      </c>
    </row>
    <row r="47" spans="2:22" ht="12.65" customHeight="1">
      <c r="B47" t="s">
        <v>134</v>
      </c>
      <c r="C47" s="31" t="str">
        <f>+VLOOKUP(B47,'Country &amp; Code Abbreviation'!$B$3:$C$245,2,FALSE)</f>
        <v>DM</v>
      </c>
      <c r="D47" s="31" t="str">
        <f>+VLOOKUP(B47,'INT Web'!$B$5:$Q$248,16,FALSE)</f>
        <v>XCD</v>
      </c>
      <c r="E47" s="32" t="s">
        <v>346</v>
      </c>
      <c r="F47" s="33">
        <f>+IFERROR(IF($E47=VLOOKUP($B47,Apple!$B$3:$I$176,Apple!$E$1,FALSE),VLOOKUP(Google!$B47,Apple!$B$3:$I$176,Apple!F$1,FALSE),VLOOKUP($B47,'INT Web'!$B$5:$U$247,'INT Web'!R$1,FALSE)),MROUND(VLOOKUP($B47,'INT Web'!$B$5:$AQ$247,'INT Web'!AL$1,FALSE),1)-0.01)</f>
        <v>112.99</v>
      </c>
      <c r="G47" s="33">
        <f>+IFERROR(IF($E47=VLOOKUP($B47,Apple!$B$3:$I$176,Apple!$E$1,FALSE),VLOOKUP(Google!$B47,Apple!$B$3:$I$176,Apple!G$1,FALSE),VLOOKUP($B47,'INT Web'!$B$5:$U$247,'INT Web'!S$1,FALSE)),MROUND(VLOOKUP($B47,'INT Web'!$B$5:$AQ$247,'INT Web'!AM$1,FALSE),1)-0.01)</f>
        <v>18.989999999999998</v>
      </c>
      <c r="H47" s="33">
        <f>+IFERROR(IF($E47=VLOOKUP($B47,Apple!$B$3:$I$176,Apple!$E$1,FALSE),VLOOKUP(Google!$B47,Apple!$B$3:$I$176,Apple!H$1,FALSE),VLOOKUP($B47,'INT Web'!$B$5:$U$247,'INT Web'!T$1,FALSE)),MROUND(VLOOKUP($B47,'INT Web'!$B$5:$AQ$247,'INT Web'!AN$1,FALSE),1)-0.01)</f>
        <v>83.99</v>
      </c>
      <c r="I47" s="33">
        <f>+IFERROR(IF($E47=VLOOKUP($B47,Apple!$B$3:$I$176,Apple!$E$1,FALSE),VLOOKUP(Google!$B47,Apple!$B$3:$I$176,Apple!I$1,FALSE),VLOOKUP($B47,'INT Web'!$B$5:$U$247,'INT Web'!U$1,FALSE)),MROUND(VLOOKUP($B47,'INT Web'!$B$5:$AQ$247,'INT Web'!AO$1,FALSE),1)-0.01)</f>
        <v>13.99</v>
      </c>
      <c r="J47" s="33">
        <f>+IF($E47=VLOOKUP($B47,Apple!$B$3:$E$176,4,FALSE),VLOOKUP(Google!$B47,Apple!$B$3:$M$176,Apple!J$1,FALSE),VLOOKUP($B47,'[6]Single Game'!$B$4:$P$238,'[6]Single Game'!M$1,FALSE))</f>
        <v>4.99</v>
      </c>
      <c r="K47" s="33">
        <f>+IF($E47=VLOOKUP($B47,Apple!$B$3:$E$176,4,FALSE),VLOOKUP(Google!$B47,Apple!$B$3:$M$176,Apple!K$1,FALSE),VLOOKUP($B47,'[6]Single Game'!$B$4:$P$238,'[6]Single Game'!N$1,FALSE))</f>
        <v>3.99</v>
      </c>
      <c r="L47" s="33">
        <f>+IF($E47=VLOOKUP($B47,Apple!$B$3:$E$176,4,FALSE),VLOOKUP(Google!$B47,Apple!$B$3:$M$176,Apple!L$1,FALSE),VLOOKUP($B47,'[6]Single Game'!$B$4:$P$238,'[6]Single Game'!O$1,FALSE))</f>
        <v>2.99</v>
      </c>
      <c r="M47" s="33">
        <f>+IF($E47=VLOOKUP($B47,Apple!$B$3:$E$176,4,FALSE),VLOOKUP(Google!$B47,Apple!$B$3:$M$176,Apple!M$1,FALSE),VLOOKUP($B47,'[6]Single Game'!$B$4:$P$238,'[6]Single Game'!P$1,FALSE))</f>
        <v>1.99</v>
      </c>
      <c r="O47" t="str">
        <f>IF(VLOOKUP($B47,[5]Google!$B$3:$I$174,[5]Google!F$1,FALSE)=F47,"Same","MISMATCH")</f>
        <v>Same</v>
      </c>
      <c r="P47" t="str">
        <f>IF(VLOOKUP($B47,[5]Google!$B$3:$I$174,[5]Google!G$1,FALSE)=G47,"Same","MISMATCH")</f>
        <v>Same</v>
      </c>
      <c r="Q47" t="str">
        <f>IF(VLOOKUP($B47,[5]Google!$B$3:$I$174,[5]Google!H$1,FALSE)=H47,"Same","MISMATCH")</f>
        <v>Same</v>
      </c>
      <c r="R47" t="str">
        <f>IF(VLOOKUP($B47,[5]Google!$B$3:$I$174,[5]Google!I$1,FALSE)=I47,"Same","MISMATCH")</f>
        <v>Same</v>
      </c>
      <c r="S47" t="str">
        <f>IF(VLOOKUP($B47,[5]Google!$B$3:$M$174,[5]Google!J$1,FALSE)=J47,"Same","MISMATCH")</f>
        <v>Same</v>
      </c>
      <c r="T47" t="str">
        <f>IF(VLOOKUP($B47,[5]Google!$B$3:$M$174,[5]Google!K$1,FALSE)=K47,"Same","MISMATCH")</f>
        <v>Same</v>
      </c>
      <c r="U47" t="str">
        <f>IF(VLOOKUP($B47,[5]Google!$B$3:$M$174,[5]Google!L$1,FALSE)=L47,"Same","MISMATCH")</f>
        <v>Same</v>
      </c>
      <c r="V47" t="str">
        <f>IF(VLOOKUP($B47,[5]Google!$B$3:$M$174,[5]Google!M$1,FALSE)=M47,"Same","MISMATCH")</f>
        <v>Same</v>
      </c>
    </row>
    <row r="48" spans="2:22" ht="12.65" customHeight="1">
      <c r="B48" t="s">
        <v>135</v>
      </c>
      <c r="C48" s="31" t="str">
        <f>+VLOOKUP(B48,'Country &amp; Code Abbreviation'!$B$3:$C$245,2,FALSE)</f>
        <v>DO</v>
      </c>
      <c r="D48" s="31" t="str">
        <f>+VLOOKUP(B48,'INT Web'!$B$5:$Q$248,16,FALSE)</f>
        <v>DOP</v>
      </c>
      <c r="E48" s="32" t="s">
        <v>346</v>
      </c>
      <c r="F48" s="33">
        <f>+IFERROR(IF($E48=VLOOKUP($B48,Apple!$B$3:$I$176,Apple!$E$1,FALSE),VLOOKUP(Google!$B48,Apple!$B$3:$I$176,Apple!F$1,FALSE),VLOOKUP($B48,'INT Web'!$B$5:$U$247,'INT Web'!R$1,FALSE)),MROUND(VLOOKUP($B48,'INT Web'!$B$5:$AQ$247,'INT Web'!AL$1,FALSE),1)-0.01)</f>
        <v>126.99</v>
      </c>
      <c r="G48" s="33">
        <f>+IFERROR(IF($E48=VLOOKUP($B48,Apple!$B$3:$I$176,Apple!$E$1,FALSE),VLOOKUP(Google!$B48,Apple!$B$3:$I$176,Apple!G$1,FALSE),VLOOKUP($B48,'INT Web'!$B$5:$U$247,'INT Web'!S$1,FALSE)),MROUND(VLOOKUP($B48,'INT Web'!$B$5:$AQ$247,'INT Web'!AM$1,FALSE),1)-0.01)</f>
        <v>19.989999999999998</v>
      </c>
      <c r="H48" s="33">
        <f>+IFERROR(IF($E48=VLOOKUP($B48,Apple!$B$3:$I$176,Apple!$E$1,FALSE),VLOOKUP(Google!$B48,Apple!$B$3:$I$176,Apple!H$1,FALSE),VLOOKUP($B48,'INT Web'!$B$5:$U$247,'INT Web'!T$1,FALSE)),MROUND(VLOOKUP($B48,'INT Web'!$B$5:$AQ$247,'INT Web'!AN$1,FALSE),1)-0.01)</f>
        <v>94.99</v>
      </c>
      <c r="I48" s="33">
        <f>+IFERROR(IF($E48=VLOOKUP($B48,Apple!$B$3:$I$176,Apple!$E$1,FALSE),VLOOKUP(Google!$B48,Apple!$B$3:$I$176,Apple!I$1,FALSE),VLOOKUP($B48,'INT Web'!$B$5:$U$247,'INT Web'!U$1,FALSE)),MROUND(VLOOKUP($B48,'INT Web'!$B$5:$AQ$247,'INT Web'!AO$1,FALSE),1)-0.01)</f>
        <v>15.99</v>
      </c>
      <c r="J48" s="33">
        <f>+IF($E48=VLOOKUP($B48,Apple!$B$3:$E$176,4,FALSE),VLOOKUP(Google!$B48,Apple!$B$3:$M$176,Apple!J$1,FALSE),VLOOKUP($B48,'[6]Single Game'!$B$4:$P$238,'[6]Single Game'!M$1,FALSE))</f>
        <v>5.99</v>
      </c>
      <c r="K48" s="33">
        <f>+IF($E48=VLOOKUP($B48,Apple!$B$3:$E$176,4,FALSE),VLOOKUP(Google!$B48,Apple!$B$3:$M$176,Apple!K$1,FALSE),VLOOKUP($B48,'[6]Single Game'!$B$4:$P$238,'[6]Single Game'!N$1,FALSE))</f>
        <v>4.99</v>
      </c>
      <c r="L48" s="33">
        <f>+IF($E48=VLOOKUP($B48,Apple!$B$3:$E$176,4,FALSE),VLOOKUP(Google!$B48,Apple!$B$3:$M$176,Apple!L$1,FALSE),VLOOKUP($B48,'[6]Single Game'!$B$4:$P$238,'[6]Single Game'!O$1,FALSE))</f>
        <v>3.99</v>
      </c>
      <c r="M48" s="33">
        <f>+IF($E48=VLOOKUP($B48,Apple!$B$3:$E$176,4,FALSE),VLOOKUP(Google!$B48,Apple!$B$3:$M$176,Apple!M$1,FALSE),VLOOKUP($B48,'[6]Single Game'!$B$4:$P$238,'[6]Single Game'!P$1,FALSE))</f>
        <v>2.99</v>
      </c>
      <c r="O48" t="str">
        <f>IF(VLOOKUP($B48,[5]Google!$B$3:$I$174,[5]Google!F$1,FALSE)=F48,"Same","MISMATCH")</f>
        <v>Same</v>
      </c>
      <c r="P48" t="str">
        <f>IF(VLOOKUP($B48,[5]Google!$B$3:$I$174,[5]Google!G$1,FALSE)=G48,"Same","MISMATCH")</f>
        <v>Same</v>
      </c>
      <c r="Q48" t="str">
        <f>IF(VLOOKUP($B48,[5]Google!$B$3:$I$174,[5]Google!H$1,FALSE)=H48,"Same","MISMATCH")</f>
        <v>Same</v>
      </c>
      <c r="R48" t="str">
        <f>IF(VLOOKUP($B48,[5]Google!$B$3:$I$174,[5]Google!I$1,FALSE)=I48,"Same","MISMATCH")</f>
        <v>Same</v>
      </c>
      <c r="S48" t="str">
        <f>IF(VLOOKUP($B48,[5]Google!$B$3:$M$174,[5]Google!J$1,FALSE)=J48,"Same","MISMATCH")</f>
        <v>Same</v>
      </c>
      <c r="T48" t="str">
        <f>IF(VLOOKUP($B48,[5]Google!$B$3:$M$174,[5]Google!K$1,FALSE)=K48,"Same","MISMATCH")</f>
        <v>Same</v>
      </c>
      <c r="U48" t="str">
        <f>IF(VLOOKUP($B48,[5]Google!$B$3:$M$174,[5]Google!L$1,FALSE)=L48,"Same","MISMATCH")</f>
        <v>Same</v>
      </c>
      <c r="V48" t="str">
        <f>IF(VLOOKUP($B48,[5]Google!$B$3:$M$174,[5]Google!M$1,FALSE)=M48,"Same","MISMATCH")</f>
        <v>Same</v>
      </c>
    </row>
    <row r="49" spans="2:22" ht="12.65" customHeight="1">
      <c r="B49" t="s">
        <v>136</v>
      </c>
      <c r="C49" s="31" t="str">
        <f>+VLOOKUP(B49,'Country &amp; Code Abbreviation'!$B$3:$C$245,2,FALSE)</f>
        <v>EC</v>
      </c>
      <c r="D49" s="31" t="str">
        <f>+VLOOKUP(B49,'INT Web'!$B$5:$Q$248,16,FALSE)</f>
        <v>USD</v>
      </c>
      <c r="E49" s="32" t="s">
        <v>346</v>
      </c>
      <c r="F49" s="33">
        <f>+IFERROR(IF($E49=VLOOKUP($B49,Apple!$B$3:$I$176,Apple!$E$1,FALSE),VLOOKUP(Google!$B49,Apple!$B$3:$I$176,Apple!F$1,FALSE),VLOOKUP($B49,'INT Web'!$B$5:$U$247,'INT Web'!R$1,FALSE)),MROUND(VLOOKUP($B49,'INT Web'!$B$5:$AQ$247,'INT Web'!AL$1,FALSE),1)-0.01)</f>
        <v>102.99</v>
      </c>
      <c r="G49" s="33">
        <f>+IFERROR(IF($E49=VLOOKUP($B49,Apple!$B$3:$I$176,Apple!$E$1,FALSE),VLOOKUP(Google!$B49,Apple!$B$3:$I$176,Apple!G$1,FALSE),VLOOKUP($B49,'INT Web'!$B$5:$U$247,'INT Web'!S$1,FALSE)),MROUND(VLOOKUP($B49,'INT Web'!$B$5:$AQ$247,'INT Web'!AM$1,FALSE),1)-0.01)</f>
        <v>16.989999999999998</v>
      </c>
      <c r="H49" s="33">
        <f>+IFERROR(IF($E49=VLOOKUP($B49,Apple!$B$3:$I$176,Apple!$E$1,FALSE),VLOOKUP(Google!$B49,Apple!$B$3:$I$176,Apple!H$1,FALSE),VLOOKUP($B49,'INT Web'!$B$5:$U$247,'INT Web'!T$1,FALSE)),MROUND(VLOOKUP($B49,'INT Web'!$B$5:$AQ$247,'INT Web'!AN$1,FALSE),1)-0.01)</f>
        <v>71.989999999999995</v>
      </c>
      <c r="I49" s="33">
        <f>+IFERROR(IF($E49=VLOOKUP($B49,Apple!$B$3:$I$176,Apple!$E$1,FALSE),VLOOKUP(Google!$B49,Apple!$B$3:$I$176,Apple!I$1,FALSE),VLOOKUP($B49,'INT Web'!$B$5:$U$247,'INT Web'!U$1,FALSE)),MROUND(VLOOKUP($B49,'INT Web'!$B$5:$AQ$247,'INT Web'!AO$1,FALSE),1)-0.01)</f>
        <v>11.99</v>
      </c>
      <c r="J49" s="33">
        <f>+IF($E49=VLOOKUP($B49,Apple!$B$3:$E$176,4,FALSE),VLOOKUP(Google!$B49,Apple!$B$3:$M$176,Apple!J$1,FALSE),VLOOKUP($B49,'[6]Single Game'!$B$4:$P$238,'[6]Single Game'!M$1,FALSE))</f>
        <v>4.99</v>
      </c>
      <c r="K49" s="33">
        <f>+IF($E49=VLOOKUP($B49,Apple!$B$3:$E$176,4,FALSE),VLOOKUP(Google!$B49,Apple!$B$3:$M$176,Apple!K$1,FALSE),VLOOKUP($B49,'[6]Single Game'!$B$4:$P$238,'[6]Single Game'!N$1,FALSE))</f>
        <v>3.99</v>
      </c>
      <c r="L49" s="33">
        <f>+IF($E49=VLOOKUP($B49,Apple!$B$3:$E$176,4,FALSE),VLOOKUP(Google!$B49,Apple!$B$3:$M$176,Apple!L$1,FALSE),VLOOKUP($B49,'[6]Single Game'!$B$4:$P$238,'[6]Single Game'!O$1,FALSE))</f>
        <v>2.99</v>
      </c>
      <c r="M49" s="33">
        <f>+IF($E49=VLOOKUP($B49,Apple!$B$3:$E$176,4,FALSE),VLOOKUP(Google!$B49,Apple!$B$3:$M$176,Apple!M$1,FALSE),VLOOKUP($B49,'[6]Single Game'!$B$4:$P$238,'[6]Single Game'!P$1,FALSE))</f>
        <v>1.99</v>
      </c>
      <c r="O49" t="str">
        <f>IF(VLOOKUP($B49,[5]Google!$B$3:$I$174,[5]Google!F$1,FALSE)=F49,"Same","MISMATCH")</f>
        <v>Same</v>
      </c>
      <c r="P49" t="str">
        <f>IF(VLOOKUP($B49,[5]Google!$B$3:$I$174,[5]Google!G$1,FALSE)=G49,"Same","MISMATCH")</f>
        <v>Same</v>
      </c>
      <c r="Q49" t="str">
        <f>IF(VLOOKUP($B49,[5]Google!$B$3:$I$174,[5]Google!H$1,FALSE)=H49,"Same","MISMATCH")</f>
        <v>Same</v>
      </c>
      <c r="R49" t="str">
        <f>IF(VLOOKUP($B49,[5]Google!$B$3:$I$174,[5]Google!I$1,FALSE)=I49,"Same","MISMATCH")</f>
        <v>Same</v>
      </c>
      <c r="S49" t="str">
        <f>IF(VLOOKUP($B49,[5]Google!$B$3:$M$174,[5]Google!J$1,FALSE)=J49,"Same","MISMATCH")</f>
        <v>Same</v>
      </c>
      <c r="T49" t="str">
        <f>IF(VLOOKUP($B49,[5]Google!$B$3:$M$174,[5]Google!K$1,FALSE)=K49,"Same","MISMATCH")</f>
        <v>Same</v>
      </c>
      <c r="U49" t="str">
        <f>IF(VLOOKUP($B49,[5]Google!$B$3:$M$174,[5]Google!L$1,FALSE)=L49,"Same","MISMATCH")</f>
        <v>Same</v>
      </c>
      <c r="V49" t="str">
        <f>IF(VLOOKUP($B49,[5]Google!$B$3:$M$174,[5]Google!M$1,FALSE)=M49,"Same","MISMATCH")</f>
        <v>Same</v>
      </c>
    </row>
    <row r="50" spans="2:22">
      <c r="B50" t="s">
        <v>137</v>
      </c>
      <c r="C50" s="31" t="str">
        <f>+VLOOKUP(B50,'Country &amp; Code Abbreviation'!$B$3:$C$245,2,FALSE)</f>
        <v>EG</v>
      </c>
      <c r="D50" s="31" t="str">
        <f>+VLOOKUP(B50,'INT Web'!$B$5:$Q$248,16,FALSE)</f>
        <v>EGP</v>
      </c>
      <c r="E50" s="32" t="s">
        <v>375</v>
      </c>
      <c r="F50" s="72">
        <v>2349</v>
      </c>
      <c r="G50" s="33">
        <f>+IFERROR(IF($E50=VLOOKUP($B50,Apple!$B$3:$I$176,Apple!$E$1,FALSE),VLOOKUP(Google!$B50,Apple!$B$3:$I$176,Apple!G$1,FALSE),VLOOKUP($B50,'INT Web'!$B$5:$U$247,'INT Web'!S$1,FALSE)),MROUND(VLOOKUP($B50,'INT Web'!$B$5:$AQ$247,'INT Web'!AM$1,FALSE),1)-0.01)</f>
        <v>399</v>
      </c>
      <c r="H50" s="34">
        <v>1569</v>
      </c>
      <c r="I50" s="33">
        <f>+IFERROR(IF($E50=VLOOKUP($B50,Apple!$B$3:$I$176,Apple!$E$1,FALSE),VLOOKUP(Google!$B50,Apple!$B$3:$I$176,Apple!I$1,FALSE),VLOOKUP($B50,'INT Web'!$B$5:$U$247,'INT Web'!U$1,FALSE)),MROUND(VLOOKUP($B50,'INT Web'!$B$5:$AQ$247,'INT Web'!AO$1,FALSE),1)-0.01)</f>
        <v>259</v>
      </c>
      <c r="J50" s="33">
        <f>+IF($E50=VLOOKUP($B50,Apple!$B$3:$E$176,4,FALSE),VLOOKUP(Google!$B50,Apple!$B$3:$M$176,Apple!J$1,FALSE),VLOOKUP($B50,'[6]Single Game'!$B$4:$P$238,'[6]Single Game'!M$1,FALSE))</f>
        <v>94.99</v>
      </c>
      <c r="K50" s="33">
        <f>+IF($E50=VLOOKUP($B50,Apple!$B$3:$E$176,4,FALSE),VLOOKUP(Google!$B50,Apple!$B$3:$M$176,Apple!K$1,FALSE),VLOOKUP($B50,'[6]Single Game'!$B$4:$P$238,'[6]Single Game'!N$1,FALSE))</f>
        <v>94.99</v>
      </c>
      <c r="L50" s="33">
        <f>+IF($E50=VLOOKUP($B50,Apple!$B$3:$E$176,4,FALSE),VLOOKUP(Google!$B50,Apple!$B$3:$M$176,Apple!L$1,FALSE),VLOOKUP($B50,'[6]Single Game'!$B$4:$P$238,'[6]Single Game'!O$1,FALSE))</f>
        <v>54.99</v>
      </c>
      <c r="M50" s="33">
        <f>+IF($E50=VLOOKUP($B50,Apple!$B$3:$E$176,4,FALSE),VLOOKUP(Google!$B50,Apple!$B$3:$M$176,Apple!M$1,FALSE),VLOOKUP($B50,'[6]Single Game'!$B$4:$P$238,'[6]Single Game'!P$1,FALSE))</f>
        <v>54.99</v>
      </c>
      <c r="O50" t="str">
        <f>IF(VLOOKUP($B50,[5]Google!$B$3:$I$174,[5]Google!F$1,FALSE)=F50,"Same","MISMATCH")</f>
        <v>Same</v>
      </c>
      <c r="P50" t="str">
        <f>IF(VLOOKUP($B50,[5]Google!$B$3:$I$174,[5]Google!G$1,FALSE)=G50,"Same","MISMATCH")</f>
        <v>Same</v>
      </c>
      <c r="Q50" t="str">
        <f>IF(VLOOKUP($B50,[5]Google!$B$3:$I$174,[5]Google!H$1,FALSE)=H50,"Same","MISMATCH")</f>
        <v>Same</v>
      </c>
      <c r="R50" t="str">
        <f>IF(VLOOKUP($B50,[5]Google!$B$3:$I$174,[5]Google!I$1,FALSE)=I50,"Same","MISMATCH")</f>
        <v>Same</v>
      </c>
      <c r="S50" t="str">
        <f>IF(VLOOKUP($B50,[5]Google!$B$3:$M$174,[5]Google!J$1,FALSE)=J50,"Same","MISMATCH")</f>
        <v>Same</v>
      </c>
      <c r="T50" t="str">
        <f>IF(VLOOKUP($B50,[5]Google!$B$3:$M$174,[5]Google!K$1,FALSE)=K50,"Same","MISMATCH")</f>
        <v>Same</v>
      </c>
      <c r="U50" t="str">
        <f>IF(VLOOKUP($B50,[5]Google!$B$3:$M$174,[5]Google!L$1,FALSE)=L50,"Same","MISMATCH")</f>
        <v>Same</v>
      </c>
      <c r="V50" t="str">
        <f>IF(VLOOKUP($B50,[5]Google!$B$3:$M$174,[5]Google!M$1,FALSE)=M50,"Same","MISMATCH")</f>
        <v>Same</v>
      </c>
    </row>
    <row r="51" spans="2:22" ht="12.65" customHeight="1">
      <c r="B51" t="s">
        <v>138</v>
      </c>
      <c r="C51" s="31" t="str">
        <f>+VLOOKUP(B51,'Country &amp; Code Abbreviation'!$B$3:$C$245,2,FALSE)</f>
        <v>SV</v>
      </c>
      <c r="D51" s="31" t="str">
        <f>+VLOOKUP(B51,'INT Web'!$B$5:$Q$248,16,FALSE)</f>
        <v>USD</v>
      </c>
      <c r="E51" s="32" t="s">
        <v>346</v>
      </c>
      <c r="F51" s="33">
        <f>+IFERROR(IF($E51=VLOOKUP($B51,Apple!$B$3:$I$176,Apple!$E$1,FALSE),VLOOKUP(Google!$B51,Apple!$B$3:$I$176,Apple!F$1,FALSE),VLOOKUP($B51,'INT Web'!$B$5:$U$247,'INT Web'!R$1,FALSE)),MROUND(VLOOKUP($B51,'INT Web'!$B$5:$AQ$247,'INT Web'!AL$1,FALSE),1)-0.01)</f>
        <v>96.99</v>
      </c>
      <c r="G51" s="33">
        <f>+IFERROR(IF($E51=VLOOKUP($B51,Apple!$B$3:$I$176,Apple!$E$1,FALSE),VLOOKUP(Google!$B51,Apple!$B$3:$I$176,Apple!G$1,FALSE),VLOOKUP($B51,'INT Web'!$B$5:$U$247,'INT Web'!S$1,FALSE)),MROUND(VLOOKUP($B51,'INT Web'!$B$5:$AQ$247,'INT Web'!AM$1,FALSE),1)-0.01)</f>
        <v>15.99</v>
      </c>
      <c r="H51" s="33">
        <f>+IFERROR(IF($E51=VLOOKUP($B51,Apple!$B$3:$I$176,Apple!$E$1,FALSE),VLOOKUP(Google!$B51,Apple!$B$3:$I$176,Apple!H$1,FALSE),VLOOKUP($B51,'INT Web'!$B$5:$U$247,'INT Web'!T$1,FALSE)),MROUND(VLOOKUP($B51,'INT Web'!$B$5:$AQ$247,'INT Web'!AN$1,FALSE),1)-0.01)</f>
        <v>65.989999999999995</v>
      </c>
      <c r="I51" s="33">
        <f>+IFERROR(IF($E51=VLOOKUP($B51,Apple!$B$3:$I$176,Apple!$E$1,FALSE),VLOOKUP(Google!$B51,Apple!$B$3:$I$176,Apple!I$1,FALSE),VLOOKUP($B51,'INT Web'!$B$5:$U$247,'INT Web'!U$1,FALSE)),MROUND(VLOOKUP($B51,'INT Web'!$B$5:$AQ$247,'INT Web'!AO$1,FALSE),1)-0.01)</f>
        <v>10.99</v>
      </c>
      <c r="J51" s="33">
        <f>+IF($E51=VLOOKUP($B51,Apple!$B$3:$E$176,4,FALSE),VLOOKUP(Google!$B51,Apple!$B$3:$M$176,Apple!J$1,FALSE),VLOOKUP($B51,'[6]Single Game'!$B$4:$P$238,'[6]Single Game'!M$1,FALSE))</f>
        <v>4.99</v>
      </c>
      <c r="K51" s="33">
        <f>+IF($E51=VLOOKUP($B51,Apple!$B$3:$E$176,4,FALSE),VLOOKUP(Google!$B51,Apple!$B$3:$M$176,Apple!K$1,FALSE),VLOOKUP($B51,'[6]Single Game'!$B$4:$P$238,'[6]Single Game'!N$1,FALSE))</f>
        <v>3.99</v>
      </c>
      <c r="L51" s="33">
        <f>+IF($E51=VLOOKUP($B51,Apple!$B$3:$E$176,4,FALSE),VLOOKUP(Google!$B51,Apple!$B$3:$M$176,Apple!L$1,FALSE),VLOOKUP($B51,'[6]Single Game'!$B$4:$P$238,'[6]Single Game'!O$1,FALSE))</f>
        <v>2.99</v>
      </c>
      <c r="M51" s="33">
        <f>+IF($E51=VLOOKUP($B51,Apple!$B$3:$E$176,4,FALSE),VLOOKUP(Google!$B51,Apple!$B$3:$M$176,Apple!M$1,FALSE),VLOOKUP($B51,'[6]Single Game'!$B$4:$P$238,'[6]Single Game'!P$1,FALSE))</f>
        <v>1.99</v>
      </c>
      <c r="O51" t="str">
        <f>IF(VLOOKUP($B51,[5]Google!$B$3:$I$174,[5]Google!F$1,FALSE)=F51,"Same","MISMATCH")</f>
        <v>Same</v>
      </c>
      <c r="P51" t="str">
        <f>IF(VLOOKUP($B51,[5]Google!$B$3:$I$174,[5]Google!G$1,FALSE)=G51,"Same","MISMATCH")</f>
        <v>Same</v>
      </c>
      <c r="Q51" t="str">
        <f>IF(VLOOKUP($B51,[5]Google!$B$3:$I$174,[5]Google!H$1,FALSE)=H51,"Same","MISMATCH")</f>
        <v>Same</v>
      </c>
      <c r="R51" t="str">
        <f>IF(VLOOKUP($B51,[5]Google!$B$3:$I$174,[5]Google!I$1,FALSE)=I51,"Same","MISMATCH")</f>
        <v>Same</v>
      </c>
      <c r="S51" t="str">
        <f>IF(VLOOKUP($B51,[5]Google!$B$3:$M$174,[5]Google!J$1,FALSE)=J51,"Same","MISMATCH")</f>
        <v>Same</v>
      </c>
      <c r="T51" t="str">
        <f>IF(VLOOKUP($B51,[5]Google!$B$3:$M$174,[5]Google!K$1,FALSE)=K51,"Same","MISMATCH")</f>
        <v>Same</v>
      </c>
      <c r="U51" t="str">
        <f>IF(VLOOKUP($B51,[5]Google!$B$3:$M$174,[5]Google!L$1,FALSE)=L51,"Same","MISMATCH")</f>
        <v>Same</v>
      </c>
      <c r="V51" t="str">
        <f>IF(VLOOKUP($B51,[5]Google!$B$3:$M$174,[5]Google!M$1,FALSE)=M51,"Same","MISMATCH")</f>
        <v>Same</v>
      </c>
    </row>
    <row r="52" spans="2:22" ht="12.65" customHeight="1">
      <c r="B52" t="s">
        <v>140</v>
      </c>
      <c r="C52" s="31" t="str">
        <f>+VLOOKUP(B52,'Country &amp; Code Abbreviation'!$B$3:$C$245,2,FALSE)</f>
        <v>ER</v>
      </c>
      <c r="D52" s="31" t="str">
        <f>+VLOOKUP(B52,'INT Web'!$B$5:$Q$248,16,FALSE)</f>
        <v>USD</v>
      </c>
      <c r="E52" s="32" t="s">
        <v>346</v>
      </c>
      <c r="F52" s="33">
        <f>+IFERROR(IF($E52=VLOOKUP($B52,Apple!$B$3:$I$176,Apple!$E$1,FALSE),VLOOKUP(Google!$B52,Apple!$B$3:$I$176,Apple!F$1,FALSE),VLOOKUP($B52,'INT Web'!$B$5:$U$247,'INT Web'!R$1,FALSE)),MROUND(VLOOKUP($B52,'INT Web'!$B$5:$AQ$247,'INT Web'!AL$1,FALSE),1)-0.01)</f>
        <v>71.989999999999995</v>
      </c>
      <c r="G52" s="33">
        <f>+IFERROR(IF($E52=VLOOKUP($B52,Apple!$B$3:$I$176,Apple!$E$1,FALSE),VLOOKUP(Google!$B52,Apple!$B$3:$I$176,Apple!G$1,FALSE),VLOOKUP($B52,'INT Web'!$B$5:$U$247,'INT Web'!S$1,FALSE)),MROUND(VLOOKUP($B52,'INT Web'!$B$5:$AQ$247,'INT Web'!AM$1,FALSE),1)-0.01)</f>
        <v>11.99</v>
      </c>
      <c r="H52" s="33">
        <f>+IFERROR(IF($E52=VLOOKUP($B52,Apple!$B$3:$I$176,Apple!$E$1,FALSE),VLOOKUP(Google!$B52,Apple!$B$3:$I$176,Apple!H$1,FALSE),VLOOKUP($B52,'INT Web'!$B$5:$U$247,'INT Web'!T$1,FALSE)),MROUND(VLOOKUP($B52,'INT Web'!$B$5:$AQ$247,'INT Web'!AN$1,FALSE),1)-0.01)</f>
        <v>53.99</v>
      </c>
      <c r="I52" s="33">
        <f>+IFERROR(IF($E52=VLOOKUP($B52,Apple!$B$3:$I$176,Apple!$E$1,FALSE),VLOOKUP(Google!$B52,Apple!$B$3:$I$176,Apple!I$1,FALSE),VLOOKUP($B52,'INT Web'!$B$5:$U$247,'INT Web'!U$1,FALSE)),MROUND(VLOOKUP($B52,'INT Web'!$B$5:$AQ$247,'INT Web'!AO$1,FALSE),1)-0.01)</f>
        <v>8.99</v>
      </c>
      <c r="J52" s="72">
        <f>+VLOOKUP($B52,'[6]Single Game'!$B$4:$P$238,'[6]Single Game'!M$1,FALSE)</f>
        <v>2.99</v>
      </c>
      <c r="K52" s="72">
        <f>+VLOOKUP($B52,'[6]Single Game'!$B$4:$P$238,'[6]Single Game'!N$1,FALSE)</f>
        <v>2.4900000000000002</v>
      </c>
      <c r="L52" s="72">
        <f>+VLOOKUP($B52,'[6]Single Game'!$B$4:$P$238,'[6]Single Game'!O$1,FALSE)</f>
        <v>1.9900000000000002</v>
      </c>
      <c r="M52" s="72">
        <f>+VLOOKUP($B52,'[6]Single Game'!$B$4:$P$238,'[6]Single Game'!P$1,FALSE)</f>
        <v>1.4900000000000002</v>
      </c>
      <c r="O52" t="str">
        <f>IF(VLOOKUP($B52,[5]Google!$B$3:$I$174,[5]Google!F$1,FALSE)=F52,"Same","MISMATCH")</f>
        <v>Same</v>
      </c>
      <c r="P52" t="str">
        <f>IF(VLOOKUP($B52,[5]Google!$B$3:$I$174,[5]Google!G$1,FALSE)=G52,"Same","MISMATCH")</f>
        <v>Same</v>
      </c>
      <c r="Q52" t="str">
        <f>IF(VLOOKUP($B52,[5]Google!$B$3:$I$174,[5]Google!H$1,FALSE)=H52,"Same","MISMATCH")</f>
        <v>Same</v>
      </c>
      <c r="R52" t="str">
        <f>IF(VLOOKUP($B52,[5]Google!$B$3:$I$174,[5]Google!I$1,FALSE)=I52,"Same","MISMATCH")</f>
        <v>Same</v>
      </c>
      <c r="S52" t="str">
        <f>IF(VLOOKUP($B52,[5]Google!$B$3:$M$174,[5]Google!J$1,FALSE)=J52,"Same","MISMATCH")</f>
        <v>Same</v>
      </c>
      <c r="T52" t="str">
        <f>IF(VLOOKUP($B52,[5]Google!$B$3:$M$174,[5]Google!K$1,FALSE)=K52,"Same","MISMATCH")</f>
        <v>Same</v>
      </c>
      <c r="U52" t="str">
        <f>IF(VLOOKUP($B52,[5]Google!$B$3:$M$174,[5]Google!L$1,FALSE)=L52,"Same","MISMATCH")</f>
        <v>Same</v>
      </c>
      <c r="V52" t="str">
        <f>IF(VLOOKUP($B52,[5]Google!$B$3:$M$174,[5]Google!M$1,FALSE)=M52,"Same","MISMATCH")</f>
        <v>Same</v>
      </c>
    </row>
    <row r="53" spans="2:22" ht="12.65" customHeight="1">
      <c r="B53" t="s">
        <v>141</v>
      </c>
      <c r="C53" s="31" t="str">
        <f>+VLOOKUP(B53,'Country &amp; Code Abbreviation'!$B$3:$C$245,2,FALSE)</f>
        <v>EE</v>
      </c>
      <c r="D53" s="31" t="str">
        <f>+VLOOKUP(B53,'INT Web'!$B$5:$Q$248,16,FALSE)</f>
        <v>EUR</v>
      </c>
      <c r="E53" s="32" t="s">
        <v>368</v>
      </c>
      <c r="F53" s="33">
        <f>+IFERROR(IF($E53=VLOOKUP($B53,Apple!$B$3:$I$176,Apple!$E$1,FALSE),VLOOKUP(Google!$B53,Apple!$B$3:$I$176,Apple!F$1,FALSE),VLOOKUP($B53,'INT Web'!$B$5:$U$247,'INT Web'!R$1,FALSE)),MROUND(VLOOKUP($B53,'INT Web'!$B$5:$AQ$247,'INT Web'!AL$1,FALSE),1)-0.01)</f>
        <v>99.99</v>
      </c>
      <c r="G53" s="33">
        <f>+IFERROR(IF($E53=VLOOKUP($B53,Apple!$B$3:$I$176,Apple!$E$1,FALSE),VLOOKUP(Google!$B53,Apple!$B$3:$I$176,Apple!G$1,FALSE),VLOOKUP($B53,'INT Web'!$B$5:$U$247,'INT Web'!S$1,FALSE)),MROUND(VLOOKUP($B53,'INT Web'!$B$5:$AQ$247,'INT Web'!AM$1,FALSE),1)-0.01)</f>
        <v>15.99</v>
      </c>
      <c r="H53" s="33">
        <f>+IFERROR(IF($E53=VLOOKUP($B53,Apple!$B$3:$I$176,Apple!$E$1,FALSE),VLOOKUP(Google!$B53,Apple!$B$3:$I$176,Apple!H$1,FALSE),VLOOKUP($B53,'INT Web'!$B$5:$U$247,'INT Web'!T$1,FALSE)),MROUND(VLOOKUP($B53,'INT Web'!$B$5:$AQ$247,'INT Web'!AN$1,FALSE),1)-0.01)</f>
        <v>74.989999999999995</v>
      </c>
      <c r="I53" s="33">
        <f>+IFERROR(IF($E53=VLOOKUP($B53,Apple!$B$3:$I$176,Apple!$E$1,FALSE),VLOOKUP(Google!$B53,Apple!$B$3:$I$176,Apple!I$1,FALSE),VLOOKUP($B53,'INT Web'!$B$5:$U$247,'INT Web'!U$1,FALSE)),MROUND(VLOOKUP($B53,'INT Web'!$B$5:$AQ$247,'INT Web'!AO$1,FALSE),1)-0.01)</f>
        <v>11.99</v>
      </c>
      <c r="J53" s="33">
        <f>+IF($E53=VLOOKUP($B53,Apple!$B$3:$E$176,4,FALSE),VLOOKUP(Google!$B53,Apple!$B$3:$M$176,Apple!J$1,FALSE),VLOOKUP($B53,'[6]Single Game'!$B$4:$P$238,'[6]Single Game'!M$1,FALSE))</f>
        <v>4.99</v>
      </c>
      <c r="K53" s="33">
        <f>+IF($E53=VLOOKUP($B53,Apple!$B$3:$E$176,4,FALSE),VLOOKUP(Google!$B53,Apple!$B$3:$M$176,Apple!K$1,FALSE),VLOOKUP($B53,'[6]Single Game'!$B$4:$P$238,'[6]Single Game'!N$1,FALSE))</f>
        <v>3.99</v>
      </c>
      <c r="L53" s="33">
        <f>+IF($E53=VLOOKUP($B53,Apple!$B$3:$E$176,4,FALSE),VLOOKUP(Google!$B53,Apple!$B$3:$M$176,Apple!L$1,FALSE),VLOOKUP($B53,'[6]Single Game'!$B$4:$P$238,'[6]Single Game'!O$1,FALSE))</f>
        <v>2.99</v>
      </c>
      <c r="M53" s="33">
        <f>+IF($E53=VLOOKUP($B53,Apple!$B$3:$E$176,4,FALSE),VLOOKUP(Google!$B53,Apple!$B$3:$M$176,Apple!M$1,FALSE),VLOOKUP($B53,'[6]Single Game'!$B$4:$P$238,'[6]Single Game'!P$1,FALSE))</f>
        <v>1.99</v>
      </c>
      <c r="O53" t="str">
        <f>IF(VLOOKUP($B53,[5]Google!$B$3:$I$174,[5]Google!F$1,FALSE)=F53,"Same","MISMATCH")</f>
        <v>Same</v>
      </c>
      <c r="P53" t="str">
        <f>IF(VLOOKUP($B53,[5]Google!$B$3:$I$174,[5]Google!G$1,FALSE)=G53,"Same","MISMATCH")</f>
        <v>Same</v>
      </c>
      <c r="Q53" t="str">
        <f>IF(VLOOKUP($B53,[5]Google!$B$3:$I$174,[5]Google!H$1,FALSE)=H53,"Same","MISMATCH")</f>
        <v>Same</v>
      </c>
      <c r="R53" t="str">
        <f>IF(VLOOKUP($B53,[5]Google!$B$3:$I$174,[5]Google!I$1,FALSE)=I53,"Same","MISMATCH")</f>
        <v>Same</v>
      </c>
      <c r="S53" t="str">
        <f>IF(VLOOKUP($B53,[5]Google!$B$3:$M$174,[5]Google!J$1,FALSE)=J53,"Same","MISMATCH")</f>
        <v>Same</v>
      </c>
      <c r="T53" t="str">
        <f>IF(VLOOKUP($B53,[5]Google!$B$3:$M$174,[5]Google!K$1,FALSE)=K53,"Same","MISMATCH")</f>
        <v>Same</v>
      </c>
      <c r="U53" t="str">
        <f>IF(VLOOKUP($B53,[5]Google!$B$3:$M$174,[5]Google!L$1,FALSE)=L53,"Same","MISMATCH")</f>
        <v>Same</v>
      </c>
      <c r="V53" t="str">
        <f>IF(VLOOKUP($B53,[5]Google!$B$3:$M$174,[5]Google!M$1,FALSE)=M53,"Same","MISMATCH")</f>
        <v>Same</v>
      </c>
    </row>
    <row r="54" spans="2:22" ht="12.65" customHeight="1">
      <c r="B54" t="s">
        <v>146</v>
      </c>
      <c r="C54" s="31" t="str">
        <f>+VLOOKUP(B54,'Country &amp; Code Abbreviation'!$B$3:$C$245,2,FALSE)</f>
        <v>FJ</v>
      </c>
      <c r="D54" s="31" t="str">
        <f>+VLOOKUP(B54,'INT Web'!$B$5:$Q$248,16,FALSE)</f>
        <v>FJD</v>
      </c>
      <c r="E54" s="32" t="s">
        <v>346</v>
      </c>
      <c r="F54" s="33">
        <f>+IFERROR(IF($E54=VLOOKUP($B54,Apple!$B$3:$I$176,Apple!$E$1,FALSE),VLOOKUP(Google!$B54,Apple!$B$3:$I$176,Apple!F$1,FALSE),VLOOKUP($B54,'INT Web'!$B$5:$U$247,'INT Web'!R$1,FALSE)),MROUND(VLOOKUP($B54,'INT Web'!$B$5:$AQ$247,'INT Web'!AL$1,FALSE),1)-0.01)</f>
        <v>81.99</v>
      </c>
      <c r="G54" s="33">
        <f>+IFERROR(IF($E54=VLOOKUP($B54,Apple!$B$3:$I$176,Apple!$E$1,FALSE),VLOOKUP(Google!$B54,Apple!$B$3:$I$176,Apple!G$1,FALSE),VLOOKUP($B54,'INT Web'!$B$5:$U$247,'INT Web'!S$1,FALSE)),MROUND(VLOOKUP($B54,'INT Web'!$B$5:$AQ$247,'INT Web'!AM$1,FALSE),1)-0.01)</f>
        <v>13.99</v>
      </c>
      <c r="H54" s="33">
        <f>+IFERROR(IF($E54=VLOOKUP($B54,Apple!$B$3:$I$176,Apple!$E$1,FALSE),VLOOKUP(Google!$B54,Apple!$B$3:$I$176,Apple!H$1,FALSE),VLOOKUP($B54,'INT Web'!$B$5:$U$247,'INT Web'!T$1,FALSE)),MROUND(VLOOKUP($B54,'INT Web'!$B$5:$AQ$247,'INT Web'!AN$1,FALSE),1)-0.01)</f>
        <v>59.99</v>
      </c>
      <c r="I54" s="33">
        <f>+IFERROR(IF($E54=VLOOKUP($B54,Apple!$B$3:$I$176,Apple!$E$1,FALSE),VLOOKUP(Google!$B54,Apple!$B$3:$I$176,Apple!I$1,FALSE),VLOOKUP($B54,'INT Web'!$B$5:$U$247,'INT Web'!U$1,FALSE)),MROUND(VLOOKUP($B54,'INT Web'!$B$5:$AQ$247,'INT Web'!AO$1,FALSE),1)-0.01)</f>
        <v>9.99</v>
      </c>
      <c r="J54" s="33">
        <f>+IF($E54=VLOOKUP($B54,Apple!$B$3:$E$176,4,FALSE),VLOOKUP(Google!$B54,Apple!$B$3:$M$176,Apple!J$1,FALSE),VLOOKUP($B54,'[6]Single Game'!$B$4:$P$238,'[6]Single Game'!M$1,FALSE))</f>
        <v>3.99</v>
      </c>
      <c r="K54" s="33">
        <f>+IF($E54=VLOOKUP($B54,Apple!$B$3:$E$176,4,FALSE),VLOOKUP(Google!$B54,Apple!$B$3:$M$176,Apple!K$1,FALSE),VLOOKUP($B54,'[6]Single Game'!$B$4:$P$238,'[6]Single Game'!N$1,FALSE))</f>
        <v>3.99</v>
      </c>
      <c r="L54" s="33">
        <f>+IF($E54=VLOOKUP($B54,Apple!$B$3:$E$176,4,FALSE),VLOOKUP(Google!$B54,Apple!$B$3:$M$176,Apple!L$1,FALSE),VLOOKUP($B54,'[6]Single Game'!$B$4:$P$238,'[6]Single Game'!O$1,FALSE))</f>
        <v>1.99</v>
      </c>
      <c r="M54" s="33">
        <f>+IF($E54=VLOOKUP($B54,Apple!$B$3:$E$176,4,FALSE),VLOOKUP(Google!$B54,Apple!$B$3:$M$176,Apple!M$1,FALSE),VLOOKUP($B54,'[6]Single Game'!$B$4:$P$238,'[6]Single Game'!P$1,FALSE))</f>
        <v>1.99</v>
      </c>
      <c r="O54" t="str">
        <f>IF(VLOOKUP($B54,[5]Google!$B$3:$I$174,[5]Google!F$1,FALSE)=F54,"Same","MISMATCH")</f>
        <v>Same</v>
      </c>
      <c r="P54" t="str">
        <f>IF(VLOOKUP($B54,[5]Google!$B$3:$I$174,[5]Google!G$1,FALSE)=G54,"Same","MISMATCH")</f>
        <v>Same</v>
      </c>
      <c r="Q54" t="str">
        <f>IF(VLOOKUP($B54,[5]Google!$B$3:$I$174,[5]Google!H$1,FALSE)=H54,"Same","MISMATCH")</f>
        <v>Same</v>
      </c>
      <c r="R54" t="str">
        <f>IF(VLOOKUP($B54,[5]Google!$B$3:$I$174,[5]Google!I$1,FALSE)=I54,"Same","MISMATCH")</f>
        <v>Same</v>
      </c>
      <c r="S54" t="str">
        <f>IF(VLOOKUP($B54,[5]Google!$B$3:$M$174,[5]Google!J$1,FALSE)=J54,"Same","MISMATCH")</f>
        <v>Same</v>
      </c>
      <c r="T54" t="str">
        <f>IF(VLOOKUP($B54,[5]Google!$B$3:$M$174,[5]Google!K$1,FALSE)=K54,"Same","MISMATCH")</f>
        <v>Same</v>
      </c>
      <c r="U54" t="str">
        <f>IF(VLOOKUP($B54,[5]Google!$B$3:$M$174,[5]Google!L$1,FALSE)=L54,"Same","MISMATCH")</f>
        <v>Same</v>
      </c>
      <c r="V54" t="str">
        <f>IF(VLOOKUP($B54,[5]Google!$B$3:$M$174,[5]Google!M$1,FALSE)=M54,"Same","MISMATCH")</f>
        <v>Same</v>
      </c>
    </row>
    <row r="55" spans="2:22" ht="12.65" customHeight="1">
      <c r="B55" t="s">
        <v>147</v>
      </c>
      <c r="C55" s="31" t="str">
        <f>+VLOOKUP(B55,'Country &amp; Code Abbreviation'!$B$3:$C$245,2,FALSE)</f>
        <v>FI</v>
      </c>
      <c r="D55" s="31" t="str">
        <f>+VLOOKUP(B55,'INT Web'!$B$5:$Q$248,16,FALSE)</f>
        <v>EUR</v>
      </c>
      <c r="E55" s="32" t="s">
        <v>368</v>
      </c>
      <c r="F55" s="33">
        <f>+IFERROR(IF($E55=VLOOKUP($B55,Apple!$B$3:$I$176,Apple!$E$1,FALSE),VLOOKUP(Google!$B55,Apple!$B$3:$I$176,Apple!F$1,FALSE),VLOOKUP($B55,'INT Web'!$B$5:$U$247,'INT Web'!R$1,FALSE)),MROUND(VLOOKUP($B55,'INT Web'!$B$5:$AQ$247,'INT Web'!AL$1,FALSE),1)-0.01)</f>
        <v>129.99</v>
      </c>
      <c r="G55" s="33">
        <f>+IFERROR(IF($E55=VLOOKUP($B55,Apple!$B$3:$I$176,Apple!$E$1,FALSE),VLOOKUP(Google!$B55,Apple!$B$3:$I$176,Apple!G$1,FALSE),VLOOKUP($B55,'INT Web'!$B$5:$U$247,'INT Web'!S$1,FALSE)),MROUND(VLOOKUP($B55,'INT Web'!$B$5:$AQ$247,'INT Web'!AM$1,FALSE),1)-0.01)</f>
        <v>19.989999999999998</v>
      </c>
      <c r="H55" s="33">
        <f>+IFERROR(IF($E55=VLOOKUP($B55,Apple!$B$3:$I$176,Apple!$E$1,FALSE),VLOOKUP(Google!$B55,Apple!$B$3:$I$176,Apple!H$1,FALSE),VLOOKUP($B55,'INT Web'!$B$5:$U$247,'INT Web'!T$1,FALSE)),MROUND(VLOOKUP($B55,'INT Web'!$B$5:$AQ$247,'INT Web'!AN$1,FALSE),1)-0.01)</f>
        <v>99.99</v>
      </c>
      <c r="I55" s="33">
        <f>+IFERROR(IF($E55=VLOOKUP($B55,Apple!$B$3:$I$176,Apple!$E$1,FALSE),VLOOKUP(Google!$B55,Apple!$B$3:$I$176,Apple!I$1,FALSE),VLOOKUP($B55,'INT Web'!$B$5:$U$247,'INT Web'!U$1,FALSE)),MROUND(VLOOKUP($B55,'INT Web'!$B$5:$AQ$247,'INT Web'!AO$1,FALSE),1)-0.01)</f>
        <v>14.99</v>
      </c>
      <c r="J55" s="33">
        <f>+IF($E55=VLOOKUP($B55,Apple!$B$3:$E$176,4,FALSE),VLOOKUP(Google!$B55,Apple!$B$3:$M$176,Apple!J$1,FALSE),VLOOKUP($B55,'[6]Single Game'!$B$4:$P$238,'[6]Single Game'!M$1,FALSE))</f>
        <v>4.99</v>
      </c>
      <c r="K55" s="33">
        <f>+IF($E55=VLOOKUP($B55,Apple!$B$3:$E$176,4,FALSE),VLOOKUP(Google!$B55,Apple!$B$3:$M$176,Apple!K$1,FALSE),VLOOKUP($B55,'[6]Single Game'!$B$4:$P$238,'[6]Single Game'!N$1,FALSE))</f>
        <v>3.99</v>
      </c>
      <c r="L55" s="33">
        <f>+IF($E55=VLOOKUP($B55,Apple!$B$3:$E$176,4,FALSE),VLOOKUP(Google!$B55,Apple!$B$3:$M$176,Apple!L$1,FALSE),VLOOKUP($B55,'[6]Single Game'!$B$4:$P$238,'[6]Single Game'!O$1,FALSE))</f>
        <v>2.99</v>
      </c>
      <c r="M55" s="33">
        <f>+IF($E55=VLOOKUP($B55,Apple!$B$3:$E$176,4,FALSE),VLOOKUP(Google!$B55,Apple!$B$3:$M$176,Apple!M$1,FALSE),VLOOKUP($B55,'[6]Single Game'!$B$4:$P$238,'[6]Single Game'!P$1,FALSE))</f>
        <v>1.99</v>
      </c>
      <c r="O55" t="str">
        <f>IF(VLOOKUP($B55,[5]Google!$B$3:$I$174,[5]Google!F$1,FALSE)=F55,"Same","MISMATCH")</f>
        <v>Same</v>
      </c>
      <c r="P55" t="str">
        <f>IF(VLOOKUP($B55,[5]Google!$B$3:$I$174,[5]Google!G$1,FALSE)=G55,"Same","MISMATCH")</f>
        <v>Same</v>
      </c>
      <c r="Q55" t="str">
        <f>IF(VLOOKUP($B55,[5]Google!$B$3:$I$174,[5]Google!H$1,FALSE)=H55,"Same","MISMATCH")</f>
        <v>Same</v>
      </c>
      <c r="R55" t="str">
        <f>IF(VLOOKUP($B55,[5]Google!$B$3:$I$174,[5]Google!I$1,FALSE)=I55,"Same","MISMATCH")</f>
        <v>Same</v>
      </c>
      <c r="S55" t="str">
        <f>IF(VLOOKUP($B55,[5]Google!$B$3:$M$174,[5]Google!J$1,FALSE)=J55,"Same","MISMATCH")</f>
        <v>Same</v>
      </c>
      <c r="T55" t="str">
        <f>IF(VLOOKUP($B55,[5]Google!$B$3:$M$174,[5]Google!K$1,FALSE)=K55,"Same","MISMATCH")</f>
        <v>Same</v>
      </c>
      <c r="U55" t="str">
        <f>IF(VLOOKUP($B55,[5]Google!$B$3:$M$174,[5]Google!L$1,FALSE)=L55,"Same","MISMATCH")</f>
        <v>Same</v>
      </c>
      <c r="V55" t="str">
        <f>IF(VLOOKUP($B55,[5]Google!$B$3:$M$174,[5]Google!M$1,FALSE)=M55,"Same","MISMATCH")</f>
        <v>Same</v>
      </c>
    </row>
    <row r="56" spans="2:22" ht="12.65" customHeight="1">
      <c r="B56" t="s">
        <v>148</v>
      </c>
      <c r="C56" s="31" t="str">
        <f>+VLOOKUP(B56,'Country &amp; Code Abbreviation'!$B$3:$C$245,2,FALSE)</f>
        <v>FR</v>
      </c>
      <c r="D56" s="31" t="str">
        <f>+VLOOKUP(B56,'INT Web'!$B$5:$Q$248,16,FALSE)</f>
        <v>EUR</v>
      </c>
      <c r="E56" s="32" t="s">
        <v>368</v>
      </c>
      <c r="F56" s="33">
        <f>+IFERROR(IF($E56=VLOOKUP($B56,Apple!$B$3:$I$176,Apple!$E$1,FALSE),VLOOKUP(Google!$B56,Apple!$B$3:$I$176,Apple!F$1,FALSE),VLOOKUP($B56,'INT Web'!$B$5:$U$247,'INT Web'!R$1,FALSE)),MROUND(VLOOKUP($B56,'INT Web'!$B$5:$AQ$247,'INT Web'!AL$1,FALSE),1)-0.01)</f>
        <v>199.99</v>
      </c>
      <c r="G56" s="33">
        <f>+IFERROR(IF($E56=VLOOKUP($B56,Apple!$B$3:$I$176,Apple!$E$1,FALSE),VLOOKUP(Google!$B56,Apple!$B$3:$I$176,Apple!G$1,FALSE),VLOOKUP($B56,'INT Web'!$B$5:$U$247,'INT Web'!S$1,FALSE)),MROUND(VLOOKUP($B56,'INT Web'!$B$5:$AQ$247,'INT Web'!AM$1,FALSE),1)-0.01)</f>
        <v>28.99</v>
      </c>
      <c r="H56" s="33">
        <f>+IFERROR(IF($E56=VLOOKUP($B56,Apple!$B$3:$I$176,Apple!$E$1,FALSE),VLOOKUP(Google!$B56,Apple!$B$3:$I$176,Apple!H$1,FALSE),VLOOKUP($B56,'INT Web'!$B$5:$U$247,'INT Web'!T$1,FALSE)),MROUND(VLOOKUP($B56,'INT Web'!$B$5:$AQ$247,'INT Web'!AN$1,FALSE),1)-0.01)</f>
        <v>146.99</v>
      </c>
      <c r="I56" s="33">
        <f>+IFERROR(IF($E56=VLOOKUP($B56,Apple!$B$3:$I$176,Apple!$E$1,FALSE),VLOOKUP(Google!$B56,Apple!$B$3:$I$176,Apple!I$1,FALSE),VLOOKUP($B56,'INT Web'!$B$5:$U$247,'INT Web'!U$1,FALSE)),MROUND(VLOOKUP($B56,'INT Web'!$B$5:$AQ$247,'INT Web'!AO$1,FALSE),1)-0.01)</f>
        <v>21.99</v>
      </c>
      <c r="J56" s="33">
        <f>+IF($E56=VLOOKUP($B56,Apple!$B$3:$E$176,4,FALSE),VLOOKUP(Google!$B56,Apple!$B$3:$M$176,Apple!J$1,FALSE),VLOOKUP($B56,'[6]Single Game'!$B$4:$P$238,'[6]Single Game'!M$1,FALSE))</f>
        <v>7.99</v>
      </c>
      <c r="K56" s="33">
        <f>+IF($E56=VLOOKUP($B56,Apple!$B$3:$E$176,4,FALSE),VLOOKUP(Google!$B56,Apple!$B$3:$M$176,Apple!K$1,FALSE),VLOOKUP($B56,'[6]Single Game'!$B$4:$P$238,'[6]Single Game'!N$1,FALSE))</f>
        <v>5.99</v>
      </c>
      <c r="L56" s="33">
        <f>+IF($E56=VLOOKUP($B56,Apple!$B$3:$E$176,4,FALSE),VLOOKUP(Google!$B56,Apple!$B$3:$M$176,Apple!L$1,FALSE),VLOOKUP($B56,'[6]Single Game'!$B$4:$P$238,'[6]Single Game'!O$1,FALSE))</f>
        <v>3.99</v>
      </c>
      <c r="M56" s="33">
        <f>+IF($E56=VLOOKUP($B56,Apple!$B$3:$E$176,4,FALSE),VLOOKUP(Google!$B56,Apple!$B$3:$M$176,Apple!M$1,FALSE),VLOOKUP($B56,'[6]Single Game'!$B$4:$P$238,'[6]Single Game'!P$1,FALSE))</f>
        <v>1.9900000000000002</v>
      </c>
      <c r="O56" t="str">
        <f>IF(VLOOKUP($B56,[5]Google!$B$3:$I$174,[5]Google!F$1,FALSE)=F56,"Same","MISMATCH")</f>
        <v>Same</v>
      </c>
      <c r="P56" t="str">
        <f>IF(VLOOKUP($B56,[5]Google!$B$3:$I$174,[5]Google!G$1,FALSE)=G56,"Same","MISMATCH")</f>
        <v>Same</v>
      </c>
      <c r="Q56" t="str">
        <f>IF(VLOOKUP($B56,[5]Google!$B$3:$I$174,[5]Google!H$1,FALSE)=H56,"Same","MISMATCH")</f>
        <v>Same</v>
      </c>
      <c r="R56" t="str">
        <f>IF(VLOOKUP($B56,[5]Google!$B$3:$I$174,[5]Google!I$1,FALSE)=I56,"Same","MISMATCH")</f>
        <v>Same</v>
      </c>
      <c r="S56" t="str">
        <f>IF(VLOOKUP($B56,[5]Google!$B$3:$M$174,[5]Google!J$1,FALSE)=J56,"Same","MISMATCH")</f>
        <v>Same</v>
      </c>
      <c r="T56" t="str">
        <f>IF(VLOOKUP($B56,[5]Google!$B$3:$M$174,[5]Google!K$1,FALSE)=K56,"Same","MISMATCH")</f>
        <v>Same</v>
      </c>
      <c r="U56" t="str">
        <f>IF(VLOOKUP($B56,[5]Google!$B$3:$M$174,[5]Google!L$1,FALSE)=L56,"Same","MISMATCH")</f>
        <v>Same</v>
      </c>
      <c r="V56" t="str">
        <f>IF(VLOOKUP($B56,[5]Google!$B$3:$M$174,[5]Google!M$1,FALSE)=M56,"Same","MISMATCH")</f>
        <v>Same</v>
      </c>
    </row>
    <row r="57" spans="2:22">
      <c r="B57" s="36" t="s">
        <v>152</v>
      </c>
      <c r="C57" s="37" t="str">
        <f>+VLOOKUP(B57,'Country &amp; Code Abbreviation'!$B$3:$C$245,2,FALSE)</f>
        <v>GA</v>
      </c>
      <c r="D57" s="37" t="str">
        <f>+VLOOKUP(B57,'INT Web'!$B$5:$Q$248,16,FALSE)</f>
        <v>XAF</v>
      </c>
      <c r="E57" s="38" t="s">
        <v>368</v>
      </c>
      <c r="F57" s="39">
        <f>+MROUND(VLOOKUP($B57,'INT Web'!$B$5:$AO$247,'INT Web'!R$1,FALSE)*'FX Rates'!$F$6,1)-0.01</f>
        <v>51.99</v>
      </c>
      <c r="G57" s="39">
        <f>+MROUND(VLOOKUP($B57,'INT Web'!$B$5:$AO$247,'INT Web'!S$1,FALSE)*'FX Rates'!$F$6,1)-0.01</f>
        <v>8.99</v>
      </c>
      <c r="H57" s="39">
        <f>+MROUND(VLOOKUP($B57,'INT Web'!$B$5:$AO$247,'INT Web'!T$1,FALSE)*'FX Rates'!$F$6,1)-0.01</f>
        <v>37.99</v>
      </c>
      <c r="I57" s="39">
        <f>+MROUND(VLOOKUP($B57,'INT Web'!$B$5:$AO$247,'INT Web'!U$1,FALSE)*'FX Rates'!$F$6,1)-0.01</f>
        <v>5.99</v>
      </c>
      <c r="J57" s="39">
        <v>2.99</v>
      </c>
      <c r="K57" s="39">
        <v>2.99</v>
      </c>
      <c r="L57" s="39">
        <v>1.99</v>
      </c>
      <c r="M57" s="39">
        <v>1.99</v>
      </c>
      <c r="O57" t="str">
        <f>IF(VLOOKUP($B57,[5]Google!$B$3:$I$174,[5]Google!F$1,FALSE)=F57,"Same","MISMATCH")</f>
        <v>Same</v>
      </c>
      <c r="P57" t="str">
        <f>IF(VLOOKUP($B57,[5]Google!$B$3:$I$174,[5]Google!G$1,FALSE)=G57,"Same","MISMATCH")</f>
        <v>Same</v>
      </c>
      <c r="Q57" t="str">
        <f>IF(VLOOKUP($B57,[5]Google!$B$3:$I$174,[5]Google!H$1,FALSE)=H57,"Same","MISMATCH")</f>
        <v>Same</v>
      </c>
      <c r="R57" t="str">
        <f>IF(VLOOKUP($B57,[5]Google!$B$3:$I$174,[5]Google!I$1,FALSE)=I57,"Same","MISMATCH")</f>
        <v>Same</v>
      </c>
      <c r="S57" t="str">
        <f>IF(VLOOKUP($B57,[5]Google!$B$3:$M$174,[5]Google!J$1,FALSE)=J57,"Same","MISMATCH")</f>
        <v>Same</v>
      </c>
      <c r="T57" t="str">
        <f>IF(VLOOKUP($B57,[5]Google!$B$3:$M$174,[5]Google!K$1,FALSE)=K57,"Same","MISMATCH")</f>
        <v>Same</v>
      </c>
      <c r="U57" t="str">
        <f>IF(VLOOKUP($B57,[5]Google!$B$3:$M$174,[5]Google!L$1,FALSE)=L57,"Same","MISMATCH")</f>
        <v>Same</v>
      </c>
      <c r="V57" t="str">
        <f>IF(VLOOKUP($B57,[5]Google!$B$3:$M$174,[5]Google!M$1,FALSE)=M57,"Same","MISMATCH")</f>
        <v>Same</v>
      </c>
    </row>
    <row r="58" spans="2:22">
      <c r="B58" t="s">
        <v>153</v>
      </c>
      <c r="C58" s="31" t="str">
        <f>+VLOOKUP(B58,'Country &amp; Code Abbreviation'!$B$3:$C$245,2,FALSE)</f>
        <v>GM</v>
      </c>
      <c r="D58" s="31" t="str">
        <f>+VLOOKUP(B58,'INT Web'!$B$5:$Q$248,16,FALSE)</f>
        <v>GMD</v>
      </c>
      <c r="E58" s="32" t="s">
        <v>346</v>
      </c>
      <c r="F58" s="33">
        <f>+IFERROR(IF($E58=VLOOKUP($B58,Apple!$B$3:$I$176,Apple!$E$1,FALSE),VLOOKUP(Google!$B58,Apple!$B$3:$I$176,Apple!F$1,FALSE),VLOOKUP($B58,'INT Web'!$B$5:$U$247,'INT Web'!R$1,FALSE)),MROUND(VLOOKUP($B58,'INT Web'!$B$5:$AQ$247,'INT Web'!AL$1,FALSE),1)-0.01)</f>
        <v>74.989999999999995</v>
      </c>
      <c r="G58" s="33">
        <f>+IFERROR(IF($E58=VLOOKUP($B58,Apple!$B$3:$I$176,Apple!$E$1,FALSE),VLOOKUP(Google!$B58,Apple!$B$3:$I$176,Apple!G$1,FALSE),VLOOKUP($B58,'INT Web'!$B$5:$U$247,'INT Web'!S$1,FALSE)),MROUND(VLOOKUP($B58,'INT Web'!$B$5:$AQ$247,'INT Web'!AM$1,FALSE),1)-0.01)</f>
        <v>13.99</v>
      </c>
      <c r="H58" s="33">
        <f>+IFERROR(IF($E58=VLOOKUP($B58,Apple!$B$3:$I$176,Apple!$E$1,FALSE),VLOOKUP(Google!$B58,Apple!$B$3:$I$176,Apple!H$1,FALSE),VLOOKUP($B58,'INT Web'!$B$5:$U$247,'INT Web'!T$1,FALSE)),MROUND(VLOOKUP($B58,'INT Web'!$B$5:$AQ$247,'INT Web'!AN$1,FALSE),1)-0.01)</f>
        <v>59.99</v>
      </c>
      <c r="I58" s="33">
        <f>+IFERROR(IF($E58=VLOOKUP($B58,Apple!$B$3:$I$176,Apple!$E$1,FALSE),VLOOKUP(Google!$B58,Apple!$B$3:$I$176,Apple!I$1,FALSE),VLOOKUP($B58,'INT Web'!$B$5:$U$247,'INT Web'!U$1,FALSE)),MROUND(VLOOKUP($B58,'INT Web'!$B$5:$AQ$247,'INT Web'!AO$1,FALSE),1)-0.01)</f>
        <v>9.99</v>
      </c>
      <c r="J58" s="33">
        <f>+IF($E58=VLOOKUP($B58,Apple!$B$3:$E$176,4,FALSE),VLOOKUP(Google!$B58,Apple!$B$3:$M$176,Apple!J$1,FALSE),VLOOKUP($B58,'[6]Single Game'!$B$4:$P$238,'[6]Single Game'!M$1,FALSE))</f>
        <v>3.99</v>
      </c>
      <c r="K58" s="33">
        <f>+IF($E58=VLOOKUP($B58,Apple!$B$3:$E$176,4,FALSE),VLOOKUP(Google!$B58,Apple!$B$3:$M$176,Apple!K$1,FALSE),VLOOKUP($B58,'[6]Single Game'!$B$4:$P$238,'[6]Single Game'!N$1,FALSE))</f>
        <v>2.99</v>
      </c>
      <c r="L58" s="33">
        <f>+IF($E58=VLOOKUP($B58,Apple!$B$3:$E$176,4,FALSE),VLOOKUP(Google!$B58,Apple!$B$3:$M$176,Apple!L$1,FALSE),VLOOKUP($B58,'[6]Single Game'!$B$4:$P$238,'[6]Single Game'!O$1,FALSE))</f>
        <v>1.99</v>
      </c>
      <c r="M58" s="33">
        <f>+IF($E58=VLOOKUP($B58,Apple!$B$3:$E$176,4,FALSE),VLOOKUP(Google!$B58,Apple!$B$3:$M$176,Apple!M$1,FALSE),VLOOKUP($B58,'[6]Single Game'!$B$4:$P$238,'[6]Single Game'!P$1,FALSE))</f>
        <v>0.99</v>
      </c>
      <c r="O58" t="str">
        <f>IF(VLOOKUP($B58,[5]Google!$B$3:$I$174,[5]Google!F$1,FALSE)=F58,"Same","MISMATCH")</f>
        <v>Same</v>
      </c>
      <c r="P58" t="str">
        <f>IF(VLOOKUP($B58,[5]Google!$B$3:$I$174,[5]Google!G$1,FALSE)=G58,"Same","MISMATCH")</f>
        <v>Same</v>
      </c>
      <c r="Q58" t="str">
        <f>IF(VLOOKUP($B58,[5]Google!$B$3:$I$174,[5]Google!H$1,FALSE)=H58,"Same","MISMATCH")</f>
        <v>Same</v>
      </c>
      <c r="R58" t="str">
        <f>IF(VLOOKUP($B58,[5]Google!$B$3:$I$174,[5]Google!I$1,FALSE)=I58,"Same","MISMATCH")</f>
        <v>Same</v>
      </c>
      <c r="S58" t="str">
        <f>IF(VLOOKUP($B58,[5]Google!$B$3:$M$174,[5]Google!J$1,FALSE)=J58,"Same","MISMATCH")</f>
        <v>Same</v>
      </c>
      <c r="T58" t="str">
        <f>IF(VLOOKUP($B58,[5]Google!$B$3:$M$174,[5]Google!K$1,FALSE)=K58,"Same","MISMATCH")</f>
        <v>Same</v>
      </c>
      <c r="U58" t="str">
        <f>IF(VLOOKUP($B58,[5]Google!$B$3:$M$174,[5]Google!L$1,FALSE)=L58,"Same","MISMATCH")</f>
        <v>Same</v>
      </c>
      <c r="V58" t="str">
        <f>IF(VLOOKUP($B58,[5]Google!$B$3:$M$174,[5]Google!M$1,FALSE)=M58,"Same","MISMATCH")</f>
        <v>Same</v>
      </c>
    </row>
    <row r="59" spans="2:22">
      <c r="B59" t="s">
        <v>154</v>
      </c>
      <c r="C59" s="31" t="str">
        <f>+VLOOKUP(B59,'Country &amp; Code Abbreviation'!$B$3:$C$245,2,FALSE)</f>
        <v>GE</v>
      </c>
      <c r="D59" s="31" t="str">
        <f>+VLOOKUP(B59,'INT Web'!$B$5:$Q$248,16,FALSE)</f>
        <v>GEL</v>
      </c>
      <c r="E59" s="32" t="s">
        <v>419</v>
      </c>
      <c r="F59" s="33">
        <f>+IFERROR(IF($E59=VLOOKUP($B59,Apple!$B$3:$I$176,Apple!$E$1,FALSE),VLOOKUP(Google!$B59,Apple!$B$3:$I$176,Apple!F$1,FALSE),VLOOKUP($B59,'INT Web'!$B$5:$U$247,'INT Web'!R$1,FALSE)),MROUND(VLOOKUP($B59,'INT Web'!$B$5:$AQ$247,'INT Web'!AL$1,FALSE),1)-0.01)</f>
        <v>299.99</v>
      </c>
      <c r="G59" s="33">
        <f>+IFERROR(IF($E59=VLOOKUP($B59,Apple!$B$3:$I$176,Apple!$E$1,FALSE),VLOOKUP(Google!$B59,Apple!$B$3:$I$176,Apple!G$1,FALSE),VLOOKUP($B59,'INT Web'!$B$5:$U$247,'INT Web'!S$1,FALSE)),MROUND(VLOOKUP($B59,'INT Web'!$B$5:$AQ$247,'INT Web'!AM$1,FALSE),1)-0.01)</f>
        <v>50.99</v>
      </c>
      <c r="H59" s="33">
        <f>+IFERROR(IF($E59=VLOOKUP($B59,Apple!$B$3:$I$176,Apple!$E$1,FALSE),VLOOKUP(Google!$B59,Apple!$B$3:$I$176,Apple!H$1,FALSE),VLOOKUP($B59,'INT Web'!$B$5:$U$247,'INT Web'!T$1,FALSE)),MROUND(VLOOKUP($B59,'INT Web'!$B$5:$AQ$247,'INT Web'!AN$1,FALSE),1)-0.01)</f>
        <v>229.99</v>
      </c>
      <c r="I59" s="33">
        <f>+IFERROR(IF($E59=VLOOKUP($B59,Apple!$B$3:$I$176,Apple!$E$1,FALSE),VLOOKUP(Google!$B59,Apple!$B$3:$I$176,Apple!I$1,FALSE),VLOOKUP($B59,'INT Web'!$B$5:$U$247,'INT Web'!U$1,FALSE)),MROUND(VLOOKUP($B59,'INT Web'!$B$5:$AQ$247,'INT Web'!AO$1,FALSE),1)-0.01)</f>
        <v>37.99</v>
      </c>
      <c r="J59" s="33">
        <f>+IF($E59=VLOOKUP($B59,Apple!$B$3:$E$176,4,FALSE),VLOOKUP(Google!$B59,Apple!$B$3:$M$176,Apple!J$1,FALSE),VLOOKUP($B59,'[6]Single Game'!$B$4:$P$238,'[6]Single Game'!M$1,FALSE))</f>
        <v>12.99</v>
      </c>
      <c r="K59" s="33">
        <f>+IF($E59=VLOOKUP($B59,Apple!$B$3:$E$176,4,FALSE),VLOOKUP(Google!$B59,Apple!$B$3:$M$176,Apple!K$1,FALSE),VLOOKUP($B59,'[6]Single Game'!$B$4:$P$238,'[6]Single Game'!N$1,FALSE))</f>
        <v>10.49</v>
      </c>
      <c r="L59" s="33">
        <f>+IF($E59=VLOOKUP($B59,Apple!$B$3:$E$176,4,FALSE),VLOOKUP(Google!$B59,Apple!$B$3:$M$176,Apple!L$1,FALSE),VLOOKUP($B59,'[6]Single Game'!$B$4:$P$238,'[6]Single Game'!O$1,FALSE))</f>
        <v>7.99</v>
      </c>
      <c r="M59" s="33">
        <f>+IF($E59=VLOOKUP($B59,Apple!$B$3:$E$176,4,FALSE),VLOOKUP(Google!$B59,Apple!$B$3:$M$176,Apple!M$1,FALSE),VLOOKUP($B59,'[6]Single Game'!$B$4:$P$238,'[6]Single Game'!P$1,FALSE))</f>
        <v>5.49</v>
      </c>
      <c r="O59" t="str">
        <f>IF(VLOOKUP($B59,[5]Google!$B$3:$I$174,[5]Google!F$1,FALSE)=F59,"Same","MISMATCH")</f>
        <v>Same</v>
      </c>
      <c r="P59" t="str">
        <f>IF(VLOOKUP($B59,[5]Google!$B$3:$I$174,[5]Google!G$1,FALSE)=G59,"Same","MISMATCH")</f>
        <v>Same</v>
      </c>
      <c r="Q59" t="str">
        <f>IF(VLOOKUP($B59,[5]Google!$B$3:$I$174,[5]Google!H$1,FALSE)=H59,"Same","MISMATCH")</f>
        <v>Same</v>
      </c>
      <c r="R59" t="str">
        <f>IF(VLOOKUP($B59,[5]Google!$B$3:$I$174,[5]Google!I$1,FALSE)=I59,"Same","MISMATCH")</f>
        <v>Same</v>
      </c>
      <c r="S59" t="str">
        <f>IF(VLOOKUP($B59,[5]Google!$B$3:$M$174,[5]Google!J$1,FALSE)=J59,"Same","MISMATCH")</f>
        <v>Same</v>
      </c>
      <c r="T59" t="str">
        <f>IF(VLOOKUP($B59,[5]Google!$B$3:$M$174,[5]Google!K$1,FALSE)=K59,"Same","MISMATCH")</f>
        <v>Same</v>
      </c>
      <c r="U59" t="str">
        <f>IF(VLOOKUP($B59,[5]Google!$B$3:$M$174,[5]Google!L$1,FALSE)=L59,"Same","MISMATCH")</f>
        <v>Same</v>
      </c>
      <c r="V59" t="str">
        <f>IF(VLOOKUP($B59,[5]Google!$B$3:$M$174,[5]Google!M$1,FALSE)=M59,"Same","MISMATCH")</f>
        <v>Same</v>
      </c>
    </row>
    <row r="60" spans="2:22">
      <c r="B60" t="s">
        <v>155</v>
      </c>
      <c r="C60" s="31" t="str">
        <f>+VLOOKUP(B60,'Country &amp; Code Abbreviation'!$B$3:$C$245,2,FALSE)</f>
        <v>DE</v>
      </c>
      <c r="D60" s="31" t="str">
        <f>+VLOOKUP(B60,'INT Web'!$B$5:$Q$248,16,FALSE)</f>
        <v>EUR</v>
      </c>
      <c r="E60" s="32" t="s">
        <v>368</v>
      </c>
      <c r="F60" s="33">
        <f>+IFERROR(IF($E60=VLOOKUP($B60,Apple!$B$3:$I$176,Apple!$E$1,FALSE),VLOOKUP(Google!$B60,Apple!$B$3:$I$176,Apple!F$1,FALSE),VLOOKUP($B60,'INT Web'!$B$5:$U$247,'INT Web'!R$1,FALSE)),MROUND(VLOOKUP($B60,'INT Web'!$B$5:$AQ$247,'INT Web'!AL$1,FALSE),1)-0.01)</f>
        <v>189.99</v>
      </c>
      <c r="G60" s="33">
        <f>+IFERROR(IF($E60=VLOOKUP($B60,Apple!$B$3:$I$176,Apple!$E$1,FALSE),VLOOKUP(Google!$B60,Apple!$B$3:$I$176,Apple!G$1,FALSE),VLOOKUP($B60,'INT Web'!$B$5:$U$247,'INT Web'!S$1,FALSE)),MROUND(VLOOKUP($B60,'INT Web'!$B$5:$AQ$247,'INT Web'!AM$1,FALSE),1)-0.01)</f>
        <v>27.99</v>
      </c>
      <c r="H60" s="33">
        <f>+IFERROR(IF($E60=VLOOKUP($B60,Apple!$B$3:$I$176,Apple!$E$1,FALSE),VLOOKUP(Google!$B60,Apple!$B$3:$I$176,Apple!H$1,FALSE),VLOOKUP($B60,'INT Web'!$B$5:$U$247,'INT Web'!T$1,FALSE)),MROUND(VLOOKUP($B60,'INT Web'!$B$5:$AQ$247,'INT Web'!AN$1,FALSE),1)-0.01)</f>
        <v>139.99</v>
      </c>
      <c r="I60" s="33">
        <f>+IFERROR(IF($E60=VLOOKUP($B60,Apple!$B$3:$I$176,Apple!$E$1,FALSE),VLOOKUP(Google!$B60,Apple!$B$3:$I$176,Apple!I$1,FALSE),VLOOKUP($B60,'INT Web'!$B$5:$U$247,'INT Web'!U$1,FALSE)),MROUND(VLOOKUP($B60,'INT Web'!$B$5:$AQ$247,'INT Web'!AO$1,FALSE),1)-0.01)</f>
        <v>19.989999999999998</v>
      </c>
      <c r="J60" s="33">
        <f>+IF($E60=VLOOKUP($B60,Apple!$B$3:$E$176,4,FALSE),VLOOKUP(Google!$B60,Apple!$B$3:$M$176,Apple!J$1,FALSE),VLOOKUP($B60,'[6]Single Game'!$B$4:$P$238,'[6]Single Game'!M$1,FALSE))</f>
        <v>6.99</v>
      </c>
      <c r="K60" s="33">
        <f>+IF($E60=VLOOKUP($B60,Apple!$B$3:$E$176,4,FALSE),VLOOKUP(Google!$B60,Apple!$B$3:$M$176,Apple!K$1,FALSE),VLOOKUP($B60,'[6]Single Game'!$B$4:$P$238,'[6]Single Game'!N$1,FALSE))</f>
        <v>5.99</v>
      </c>
      <c r="L60" s="33">
        <f>+IF($E60=VLOOKUP($B60,Apple!$B$3:$E$176,4,FALSE),VLOOKUP(Google!$B60,Apple!$B$3:$M$176,Apple!L$1,FALSE),VLOOKUP($B60,'[6]Single Game'!$B$4:$P$238,'[6]Single Game'!O$1,FALSE))</f>
        <v>4.99</v>
      </c>
      <c r="M60" s="33">
        <f>+IF($E60=VLOOKUP($B60,Apple!$B$3:$E$176,4,FALSE),VLOOKUP(Google!$B60,Apple!$B$3:$M$176,Apple!M$1,FALSE),VLOOKUP($B60,'[6]Single Game'!$B$4:$P$238,'[6]Single Game'!P$1,FALSE))</f>
        <v>3.99</v>
      </c>
      <c r="O60" t="str">
        <f>IF(VLOOKUP($B60,[5]Google!$B$3:$I$174,[5]Google!F$1,FALSE)=F60,"Same","MISMATCH")</f>
        <v>Same</v>
      </c>
      <c r="P60" t="str">
        <f>IF(VLOOKUP($B60,[5]Google!$B$3:$I$174,[5]Google!G$1,FALSE)=G60,"Same","MISMATCH")</f>
        <v>Same</v>
      </c>
      <c r="Q60" t="str">
        <f>IF(VLOOKUP($B60,[5]Google!$B$3:$I$174,[5]Google!H$1,FALSE)=H60,"Same","MISMATCH")</f>
        <v>Same</v>
      </c>
      <c r="R60" t="str">
        <f>IF(VLOOKUP($B60,[5]Google!$B$3:$I$174,[5]Google!I$1,FALSE)=I60,"Same","MISMATCH")</f>
        <v>Same</v>
      </c>
      <c r="S60" t="str">
        <f>IF(VLOOKUP($B60,[5]Google!$B$3:$M$174,[5]Google!J$1,FALSE)=J60,"Same","MISMATCH")</f>
        <v>Same</v>
      </c>
      <c r="T60" t="str">
        <f>IF(VLOOKUP($B60,[5]Google!$B$3:$M$174,[5]Google!K$1,FALSE)=K60,"Same","MISMATCH")</f>
        <v>Same</v>
      </c>
      <c r="U60" t="str">
        <f>IF(VLOOKUP($B60,[5]Google!$B$3:$M$174,[5]Google!L$1,FALSE)=L60,"Same","MISMATCH")</f>
        <v>Same</v>
      </c>
      <c r="V60" t="str">
        <f>IF(VLOOKUP($B60,[5]Google!$B$3:$M$174,[5]Google!M$1,FALSE)=M60,"Same","MISMATCH")</f>
        <v>Same</v>
      </c>
    </row>
    <row r="61" spans="2:22">
      <c r="B61" t="s">
        <v>156</v>
      </c>
      <c r="C61" s="31" t="str">
        <f>+VLOOKUP(B61,'Country &amp; Code Abbreviation'!$B$3:$C$245,2,FALSE)</f>
        <v>GH</v>
      </c>
      <c r="D61" s="31" t="str">
        <f>+VLOOKUP(B61,'INT Web'!$B$5:$Q$248,16,FALSE)</f>
        <v>GHS</v>
      </c>
      <c r="E61" s="32" t="s">
        <v>420</v>
      </c>
      <c r="F61" s="33">
        <f>+IFERROR(IF($E61=VLOOKUP($B61,Apple!$B$3:$I$176,Apple!$E$1,FALSE),VLOOKUP(Google!$B61,Apple!$B$3:$I$176,Apple!F$1,FALSE),VLOOKUP($B61,'INT Web'!$B$5:$U$247,'INT Web'!R$1,FALSE)),MROUND(VLOOKUP($B61,'INT Web'!$B$5:$AQ$247,'INT Web'!AL$1,FALSE),1)-0.01)</f>
        <v>679</v>
      </c>
      <c r="G61" s="33">
        <f>+IFERROR(IF($E61=VLOOKUP($B61,Apple!$B$3:$I$176,Apple!$E$1,FALSE),VLOOKUP(Google!$B61,Apple!$B$3:$I$176,Apple!G$1,FALSE),VLOOKUP($B61,'INT Web'!$B$5:$U$247,'INT Web'!S$1,FALSE)),MROUND(VLOOKUP($B61,'INT Web'!$B$5:$AQ$247,'INT Web'!AM$1,FALSE),1)-0.01)</f>
        <v>114</v>
      </c>
      <c r="H61" s="33">
        <f>+IFERROR(IF($E61=VLOOKUP($B61,Apple!$B$3:$I$176,Apple!$E$1,FALSE),VLOOKUP(Google!$B61,Apple!$B$3:$I$176,Apple!H$1,FALSE),VLOOKUP($B61,'INT Web'!$B$5:$U$247,'INT Web'!T$1,FALSE)),MROUND(VLOOKUP($B61,'INT Web'!$B$5:$AQ$247,'INT Web'!AN$1,FALSE),1)-0.01)</f>
        <v>479</v>
      </c>
      <c r="I61" s="33">
        <f>+IFERROR(IF($E61=VLOOKUP($B61,Apple!$B$3:$I$176,Apple!$E$1,FALSE),VLOOKUP(Google!$B61,Apple!$B$3:$I$176,Apple!I$1,FALSE),VLOOKUP($B61,'INT Web'!$B$5:$U$247,'INT Web'!U$1,FALSE)),MROUND(VLOOKUP($B61,'INT Web'!$B$5:$AQ$247,'INT Web'!AO$1,FALSE),1)-0.01)</f>
        <v>79</v>
      </c>
      <c r="J61" s="33">
        <v>29</v>
      </c>
      <c r="K61" s="33">
        <f>+IF($E61=VLOOKUP($B61,Apple!$B$3:$E$176,4,FALSE),VLOOKUP(Google!$B61,Apple!$B$3:$M$176,Apple!J$1,FALSE),VLOOKUP($B61,'[6]Single Game'!$B$4:$P$238,'[6]Single Game'!M$1,FALSE))</f>
        <v>20</v>
      </c>
      <c r="L61" s="33">
        <f>+IF($E61=VLOOKUP($B61,Apple!$B$3:$E$176,4,FALSE),VLOOKUP(Google!$B61,Apple!$B$3:$M$176,Apple!K$1,FALSE),VLOOKUP($B61,'[6]Single Game'!$B$4:$P$238,'[6]Single Game'!N$1,FALSE))</f>
        <v>16</v>
      </c>
      <c r="M61" s="33">
        <f>+IF($E61=VLOOKUP($B61,Apple!$B$3:$E$176,4,FALSE),VLOOKUP(Google!$B61,Apple!$B$3:$M$176,Apple!L$1,FALSE),VLOOKUP($B61,'[6]Single Game'!$B$4:$P$238,'[6]Single Game'!O$1,FALSE))</f>
        <v>12</v>
      </c>
      <c r="O61" t="str">
        <f>IF(VLOOKUP($B61,[5]Google!$B$3:$I$174,[5]Google!F$1,FALSE)=F61,"Same","MISMATCH")</f>
        <v>Same</v>
      </c>
      <c r="P61" t="str">
        <f>IF(VLOOKUP($B61,[5]Google!$B$3:$I$174,[5]Google!G$1,FALSE)=G61,"Same","MISMATCH")</f>
        <v>Same</v>
      </c>
      <c r="Q61" t="str">
        <f>IF(VLOOKUP($B61,[5]Google!$B$3:$I$174,[5]Google!H$1,FALSE)=H61,"Same","MISMATCH")</f>
        <v>Same</v>
      </c>
      <c r="R61" t="str">
        <f>IF(VLOOKUP($B61,[5]Google!$B$3:$I$174,[5]Google!I$1,FALSE)=I61,"Same","MISMATCH")</f>
        <v>Same</v>
      </c>
      <c r="S61" t="str">
        <f>IF(VLOOKUP($B61,[5]Google!$B$3:$M$174,[5]Google!J$1,FALSE)=J61,"Same","MISMATCH")</f>
        <v>Same</v>
      </c>
      <c r="T61" t="str">
        <f>IF(VLOOKUP($B61,[5]Google!$B$3:$M$174,[5]Google!K$1,FALSE)=K61,"Same","MISMATCH")</f>
        <v>Same</v>
      </c>
      <c r="U61" t="str">
        <f>IF(VLOOKUP($B61,[5]Google!$B$3:$M$174,[5]Google!L$1,FALSE)=L61,"Same","MISMATCH")</f>
        <v>Same</v>
      </c>
      <c r="V61" t="str">
        <f>IF(VLOOKUP($B61,[5]Google!$B$3:$M$174,[5]Google!M$1,FALSE)=M61,"Same","MISMATCH")</f>
        <v>Same</v>
      </c>
    </row>
    <row r="62" spans="2:22">
      <c r="B62" s="36" t="s">
        <v>157</v>
      </c>
      <c r="C62" s="37" t="str">
        <f>+VLOOKUP(B62,'Country &amp; Code Abbreviation'!$B$3:$C$245,2,FALSE)</f>
        <v>GI</v>
      </c>
      <c r="D62" s="37" t="str">
        <f>+VLOOKUP(B62,'INT Web'!$B$5:$Q$248,16,FALSE)</f>
        <v>GIP</v>
      </c>
      <c r="E62" s="38" t="s">
        <v>409</v>
      </c>
      <c r="F62" s="39">
        <f>+MROUND(VLOOKUP($B62,'INT Web'!$B$5:$AO$247,'INT Web'!R$1,FALSE)*'FX Rates'!$F$7,1)-0.01</f>
        <v>124.99</v>
      </c>
      <c r="G62" s="39">
        <f>+MROUND(VLOOKUP($B62,'INT Web'!$B$5:$AO$247,'INT Web'!S$1,FALSE)*'FX Rates'!$F$7,1)-0.01</f>
        <v>17.989999999999998</v>
      </c>
      <c r="H62" s="39">
        <f>+MROUND(VLOOKUP($B62,'INT Web'!$B$5:$AO$247,'INT Web'!T$1,FALSE)*'FX Rates'!$F$7,1)-0.01</f>
        <v>79.989999999999995</v>
      </c>
      <c r="I62" s="39">
        <f>+MROUND(VLOOKUP($B62,'INT Web'!$B$5:$AO$247,'INT Web'!U$1,FALSE)*'FX Rates'!$F$7,1)-0.01</f>
        <v>12.99</v>
      </c>
      <c r="J62" s="39">
        <v>4.99</v>
      </c>
      <c r="K62" s="39">
        <v>3.99</v>
      </c>
      <c r="L62" s="39">
        <v>2.99</v>
      </c>
      <c r="M62" s="39">
        <v>1.99</v>
      </c>
      <c r="O62" t="str">
        <f>IF(VLOOKUP($B62,[5]Google!$B$3:$I$174,[5]Google!F$1,FALSE)=F62,"Same","MISMATCH")</f>
        <v>Same</v>
      </c>
      <c r="P62" t="str">
        <f>IF(VLOOKUP($B62,[5]Google!$B$3:$I$174,[5]Google!G$1,FALSE)=G62,"Same","MISMATCH")</f>
        <v>Same</v>
      </c>
      <c r="Q62" t="str">
        <f>IF(VLOOKUP($B62,[5]Google!$B$3:$I$174,[5]Google!H$1,FALSE)=H62,"Same","MISMATCH")</f>
        <v>Same</v>
      </c>
      <c r="R62" t="str">
        <f>IF(VLOOKUP($B62,[5]Google!$B$3:$I$174,[5]Google!I$1,FALSE)=I62,"Same","MISMATCH")</f>
        <v>Same</v>
      </c>
      <c r="S62" t="str">
        <f>IF(VLOOKUP($B62,[5]Google!$B$3:$M$174,[5]Google!J$1,FALSE)=J62,"Same","MISMATCH")</f>
        <v>Same</v>
      </c>
      <c r="T62" t="str">
        <f>IF(VLOOKUP($B62,[5]Google!$B$3:$M$174,[5]Google!K$1,FALSE)=K62,"Same","MISMATCH")</f>
        <v>Same</v>
      </c>
      <c r="U62" t="str">
        <f>IF(VLOOKUP($B62,[5]Google!$B$3:$M$174,[5]Google!L$1,FALSE)=L62,"Same","MISMATCH")</f>
        <v>Same</v>
      </c>
      <c r="V62" t="str">
        <f>IF(VLOOKUP($B62,[5]Google!$B$3:$M$174,[5]Google!M$1,FALSE)=M62,"Same","MISMATCH")</f>
        <v>Same</v>
      </c>
    </row>
    <row r="63" spans="2:22">
      <c r="B63" t="s">
        <v>158</v>
      </c>
      <c r="C63" s="31" t="str">
        <f>+VLOOKUP(B63,'Country &amp; Code Abbreviation'!$B$3:$C$245,2,FALSE)</f>
        <v>GR</v>
      </c>
      <c r="D63" s="31" t="str">
        <f>+VLOOKUP(B63,'INT Web'!$B$5:$Q$248,16,FALSE)</f>
        <v>EUR</v>
      </c>
      <c r="E63" s="32" t="s">
        <v>368</v>
      </c>
      <c r="F63" s="33">
        <f>+IFERROR(IF($E63=VLOOKUP($B63,Apple!$B$3:$I$176,Apple!$E$1,FALSE),VLOOKUP(Google!$B63,Apple!$B$3:$I$176,Apple!F$1,FALSE),VLOOKUP($B63,'INT Web'!$B$5:$U$247,'INT Web'!R$1,FALSE)),MROUND(VLOOKUP($B63,'INT Web'!$B$5:$AQ$247,'INT Web'!AL$1,FALSE),1)-0.01)</f>
        <v>117.99</v>
      </c>
      <c r="G63" s="33">
        <f>+IFERROR(IF($E63=VLOOKUP($B63,Apple!$B$3:$I$176,Apple!$E$1,FALSE),VLOOKUP(Google!$B63,Apple!$B$3:$I$176,Apple!G$1,FALSE),VLOOKUP($B63,'INT Web'!$B$5:$U$247,'INT Web'!S$1,FALSE)),MROUND(VLOOKUP($B63,'INT Web'!$B$5:$AQ$247,'INT Web'!AM$1,FALSE),1)-0.01)</f>
        <v>16.989999999999998</v>
      </c>
      <c r="H63" s="33">
        <f>+IFERROR(IF($E63=VLOOKUP($B63,Apple!$B$3:$I$176,Apple!$E$1,FALSE),VLOOKUP(Google!$B63,Apple!$B$3:$I$176,Apple!H$1,FALSE),VLOOKUP($B63,'INT Web'!$B$5:$U$247,'INT Web'!T$1,FALSE)),MROUND(VLOOKUP($B63,'INT Web'!$B$5:$AQ$247,'INT Web'!AN$1,FALSE),1)-0.01)</f>
        <v>89.99</v>
      </c>
      <c r="I63" s="33">
        <f>+IFERROR(IF($E63=VLOOKUP($B63,Apple!$B$3:$I$176,Apple!$E$1,FALSE),VLOOKUP(Google!$B63,Apple!$B$3:$I$176,Apple!I$1,FALSE),VLOOKUP($B63,'INT Web'!$B$5:$U$247,'INT Web'!U$1,FALSE)),MROUND(VLOOKUP($B63,'INT Web'!$B$5:$AQ$247,'INT Web'!AO$1,FALSE),1)-0.01)</f>
        <v>12.99</v>
      </c>
      <c r="J63" s="33">
        <f>+IF($E63=VLOOKUP($B63,Apple!$B$3:$E$176,4,FALSE),VLOOKUP(Google!$B63,Apple!$B$3:$M$176,Apple!J$1,FALSE),VLOOKUP($B63,'[6]Single Game'!$B$4:$P$238,'[6]Single Game'!M$1,FALSE))</f>
        <v>3.99</v>
      </c>
      <c r="K63" s="33">
        <f>+IF($E63=VLOOKUP($B63,Apple!$B$3:$E$176,4,FALSE),VLOOKUP(Google!$B63,Apple!$B$3:$M$176,Apple!K$1,FALSE),VLOOKUP($B63,'[6]Single Game'!$B$4:$P$238,'[6]Single Game'!N$1,FALSE))</f>
        <v>3.99</v>
      </c>
      <c r="L63" s="33">
        <f>+IF($E63=VLOOKUP($B63,Apple!$B$3:$E$176,4,FALSE),VLOOKUP(Google!$B63,Apple!$B$3:$M$176,Apple!L$1,FALSE),VLOOKUP($B63,'[6]Single Game'!$B$4:$P$238,'[6]Single Game'!O$1,FALSE))</f>
        <v>1.99</v>
      </c>
      <c r="M63" s="33">
        <f>+IF($E63=VLOOKUP($B63,Apple!$B$3:$E$176,4,FALSE),VLOOKUP(Google!$B63,Apple!$B$3:$M$176,Apple!M$1,FALSE),VLOOKUP($B63,'[6]Single Game'!$B$4:$P$238,'[6]Single Game'!P$1,FALSE))</f>
        <v>1.99</v>
      </c>
      <c r="O63" t="str">
        <f>IF(VLOOKUP($B63,[5]Google!$B$3:$I$174,[5]Google!F$1,FALSE)=F63,"Same","MISMATCH")</f>
        <v>Same</v>
      </c>
      <c r="P63" t="str">
        <f>IF(VLOOKUP($B63,[5]Google!$B$3:$I$174,[5]Google!G$1,FALSE)=G63,"Same","MISMATCH")</f>
        <v>Same</v>
      </c>
      <c r="Q63" t="str">
        <f>IF(VLOOKUP($B63,[5]Google!$B$3:$I$174,[5]Google!H$1,FALSE)=H63,"Same","MISMATCH")</f>
        <v>Same</v>
      </c>
      <c r="R63" t="str">
        <f>IF(VLOOKUP($B63,[5]Google!$B$3:$I$174,[5]Google!I$1,FALSE)=I63,"Same","MISMATCH")</f>
        <v>Same</v>
      </c>
      <c r="S63" t="str">
        <f>IF(VLOOKUP($B63,[5]Google!$B$3:$M$174,[5]Google!J$1,FALSE)=J63,"Same","MISMATCH")</f>
        <v>Same</v>
      </c>
      <c r="T63" t="str">
        <f>IF(VLOOKUP($B63,[5]Google!$B$3:$M$174,[5]Google!K$1,FALSE)=K63,"Same","MISMATCH")</f>
        <v>Same</v>
      </c>
      <c r="U63" t="str">
        <f>IF(VLOOKUP($B63,[5]Google!$B$3:$M$174,[5]Google!L$1,FALSE)=L63,"Same","MISMATCH")</f>
        <v>Same</v>
      </c>
      <c r="V63" t="str">
        <f>IF(VLOOKUP($B63,[5]Google!$B$3:$M$174,[5]Google!M$1,FALSE)=M63,"Same","MISMATCH")</f>
        <v>Same</v>
      </c>
    </row>
    <row r="64" spans="2:22">
      <c r="B64" t="s">
        <v>160</v>
      </c>
      <c r="C64" s="31" t="str">
        <f>+VLOOKUP(B64,'Country &amp; Code Abbreviation'!$B$3:$C$245,2,FALSE)</f>
        <v>GD</v>
      </c>
      <c r="D64" s="31" t="str">
        <f>+VLOOKUP(B64,'INT Web'!$B$5:$Q$248,16,FALSE)</f>
        <v>XCD</v>
      </c>
      <c r="E64" s="32" t="s">
        <v>346</v>
      </c>
      <c r="F64" s="33">
        <f>+IFERROR(IF($E64=VLOOKUP($B64,Apple!$B$3:$I$176,Apple!$E$1,FALSE),VLOOKUP(Google!$B64,Apple!$B$3:$I$176,Apple!F$1,FALSE),VLOOKUP($B64,'INT Web'!$B$5:$U$247,'INT Web'!R$1,FALSE)),MROUND(VLOOKUP($B64,'INT Web'!$B$5:$AQ$247,'INT Web'!AL$1,FALSE),1)-0.01)</f>
        <v>112.99</v>
      </c>
      <c r="G64" s="33">
        <f>+IFERROR(IF($E64=VLOOKUP($B64,Apple!$B$3:$I$176,Apple!$E$1,FALSE),VLOOKUP(Google!$B64,Apple!$B$3:$I$176,Apple!G$1,FALSE),VLOOKUP($B64,'INT Web'!$B$5:$U$247,'INT Web'!S$1,FALSE)),MROUND(VLOOKUP($B64,'INT Web'!$B$5:$AQ$247,'INT Web'!AM$1,FALSE),1)-0.01)</f>
        <v>18.989999999999998</v>
      </c>
      <c r="H64" s="33">
        <f>+IFERROR(IF($E64=VLOOKUP($B64,Apple!$B$3:$I$176,Apple!$E$1,FALSE),VLOOKUP(Google!$B64,Apple!$B$3:$I$176,Apple!H$1,FALSE),VLOOKUP($B64,'INT Web'!$B$5:$U$247,'INT Web'!T$1,FALSE)),MROUND(VLOOKUP($B64,'INT Web'!$B$5:$AQ$247,'INT Web'!AN$1,FALSE),1)-0.01)</f>
        <v>83.99</v>
      </c>
      <c r="I64" s="33">
        <f>+IFERROR(IF($E64=VLOOKUP($B64,Apple!$B$3:$I$176,Apple!$E$1,FALSE),VLOOKUP(Google!$B64,Apple!$B$3:$I$176,Apple!I$1,FALSE),VLOOKUP($B64,'INT Web'!$B$5:$U$247,'INT Web'!U$1,FALSE)),MROUND(VLOOKUP($B64,'INT Web'!$B$5:$AQ$247,'INT Web'!AO$1,FALSE),1)-0.01)</f>
        <v>13.99</v>
      </c>
      <c r="J64" s="33">
        <f>+IF($E64=VLOOKUP($B64,Apple!$B$3:$E$176,4,FALSE),VLOOKUP(Google!$B64,Apple!$B$3:$M$176,Apple!J$1,FALSE),VLOOKUP($B64,'[6]Single Game'!$B$4:$P$238,'[6]Single Game'!M$1,FALSE))</f>
        <v>4.99</v>
      </c>
      <c r="K64" s="33">
        <f>+IF($E64=VLOOKUP($B64,Apple!$B$3:$E$176,4,FALSE),VLOOKUP(Google!$B64,Apple!$B$3:$M$176,Apple!K$1,FALSE),VLOOKUP($B64,'[6]Single Game'!$B$4:$P$238,'[6]Single Game'!N$1,FALSE))</f>
        <v>3.99</v>
      </c>
      <c r="L64" s="33">
        <f>+IF($E64=VLOOKUP($B64,Apple!$B$3:$E$176,4,FALSE),VLOOKUP(Google!$B64,Apple!$B$3:$M$176,Apple!L$1,FALSE),VLOOKUP($B64,'[6]Single Game'!$B$4:$P$238,'[6]Single Game'!O$1,FALSE))</f>
        <v>2.99</v>
      </c>
      <c r="M64" s="33">
        <f>+IF($E64=VLOOKUP($B64,Apple!$B$3:$E$176,4,FALSE),VLOOKUP(Google!$B64,Apple!$B$3:$M$176,Apple!M$1,FALSE),VLOOKUP($B64,'[6]Single Game'!$B$4:$P$238,'[6]Single Game'!P$1,FALSE))</f>
        <v>1.99</v>
      </c>
      <c r="O64" t="str">
        <f>IF(VLOOKUP($B64,[5]Google!$B$3:$I$174,[5]Google!F$1,FALSE)=F64,"Same","MISMATCH")</f>
        <v>Same</v>
      </c>
      <c r="P64" t="str">
        <f>IF(VLOOKUP($B64,[5]Google!$B$3:$I$174,[5]Google!G$1,FALSE)=G64,"Same","MISMATCH")</f>
        <v>Same</v>
      </c>
      <c r="Q64" t="str">
        <f>IF(VLOOKUP($B64,[5]Google!$B$3:$I$174,[5]Google!H$1,FALSE)=H64,"Same","MISMATCH")</f>
        <v>Same</v>
      </c>
      <c r="R64" t="str">
        <f>IF(VLOOKUP($B64,[5]Google!$B$3:$I$174,[5]Google!I$1,FALSE)=I64,"Same","MISMATCH")</f>
        <v>Same</v>
      </c>
      <c r="S64" t="str">
        <f>IF(VLOOKUP($B64,[5]Google!$B$3:$M$174,[5]Google!J$1,FALSE)=J64,"Same","MISMATCH")</f>
        <v>Same</v>
      </c>
      <c r="T64" t="str">
        <f>IF(VLOOKUP($B64,[5]Google!$B$3:$M$174,[5]Google!K$1,FALSE)=K64,"Same","MISMATCH")</f>
        <v>Same</v>
      </c>
      <c r="U64" t="str">
        <f>IF(VLOOKUP($B64,[5]Google!$B$3:$M$174,[5]Google!L$1,FALSE)=L64,"Same","MISMATCH")</f>
        <v>Same</v>
      </c>
      <c r="V64" t="str">
        <f>IF(VLOOKUP($B64,[5]Google!$B$3:$M$174,[5]Google!M$1,FALSE)=M64,"Same","MISMATCH")</f>
        <v>Same</v>
      </c>
    </row>
    <row r="65" spans="2:22">
      <c r="B65" t="s">
        <v>162</v>
      </c>
      <c r="C65" s="31" t="str">
        <f>+VLOOKUP(B65,'Country &amp; Code Abbreviation'!$B$3:$C$245,2,FALSE)</f>
        <v>GT</v>
      </c>
      <c r="D65" s="31" t="str">
        <f>+VLOOKUP(B65,'INT Web'!$B$5:$Q$248,16,FALSE)</f>
        <v>GTQ</v>
      </c>
      <c r="E65" s="32" t="s">
        <v>346</v>
      </c>
      <c r="F65" s="33">
        <f>+IFERROR(IF($E65=VLOOKUP($B65,Apple!$B$3:$I$176,Apple!$E$1,FALSE),VLOOKUP(Google!$B65,Apple!$B$3:$I$176,Apple!F$1,FALSE),VLOOKUP($B65,'INT Web'!$B$5:$U$247,'INT Web'!R$1,FALSE)),MROUND(VLOOKUP($B65,'INT Web'!$B$5:$AQ$247,'INT Web'!AL$1,FALSE),1)-0.01)</f>
        <v>96.99</v>
      </c>
      <c r="G65" s="33">
        <f>+IFERROR(IF($E65=VLOOKUP($B65,Apple!$B$3:$I$176,Apple!$E$1,FALSE),VLOOKUP(Google!$B65,Apple!$B$3:$I$176,Apple!G$1,FALSE),VLOOKUP($B65,'INT Web'!$B$5:$U$247,'INT Web'!S$1,FALSE)),MROUND(VLOOKUP($B65,'INT Web'!$B$5:$AQ$247,'INT Web'!AM$1,FALSE),1)-0.01)</f>
        <v>15.99</v>
      </c>
      <c r="H65" s="33">
        <f>+IFERROR(IF($E65=VLOOKUP($B65,Apple!$B$3:$I$176,Apple!$E$1,FALSE),VLOOKUP(Google!$B65,Apple!$B$3:$I$176,Apple!H$1,FALSE),VLOOKUP($B65,'INT Web'!$B$5:$U$247,'INT Web'!T$1,FALSE)),MROUND(VLOOKUP($B65,'INT Web'!$B$5:$AQ$247,'INT Web'!AN$1,FALSE),1)-0.01)</f>
        <v>66.989999999999995</v>
      </c>
      <c r="I65" s="33">
        <f>+IFERROR(IF($E65=VLOOKUP($B65,Apple!$B$3:$I$176,Apple!$E$1,FALSE),VLOOKUP(Google!$B65,Apple!$B$3:$I$176,Apple!I$1,FALSE),VLOOKUP($B65,'INT Web'!$B$5:$U$247,'INT Web'!U$1,FALSE)),MROUND(VLOOKUP($B65,'INT Web'!$B$5:$AQ$247,'INT Web'!AO$1,FALSE),1)-0.01)</f>
        <v>10.99</v>
      </c>
      <c r="J65" s="33">
        <f>+IF($E65=VLOOKUP($B65,Apple!$B$3:$E$176,4,FALSE),VLOOKUP(Google!$B65,Apple!$B$3:$M$176,Apple!J$1,FALSE),VLOOKUP($B65,'[6]Single Game'!$B$4:$P$238,'[6]Single Game'!M$1,FALSE))</f>
        <v>3.99</v>
      </c>
      <c r="K65" s="33">
        <f>+IF($E65=VLOOKUP($B65,Apple!$B$3:$E$176,4,FALSE),VLOOKUP(Google!$B65,Apple!$B$3:$M$176,Apple!K$1,FALSE),VLOOKUP($B65,'[6]Single Game'!$B$4:$P$238,'[6]Single Game'!N$1,FALSE))</f>
        <v>3.99</v>
      </c>
      <c r="L65" s="33">
        <f>+IF($E65=VLOOKUP($B65,Apple!$B$3:$E$176,4,FALSE),VLOOKUP(Google!$B65,Apple!$B$3:$M$176,Apple!L$1,FALSE),VLOOKUP($B65,'[6]Single Game'!$B$4:$P$238,'[6]Single Game'!O$1,FALSE))</f>
        <v>2.99</v>
      </c>
      <c r="M65" s="33">
        <f>+IF($E65=VLOOKUP($B65,Apple!$B$3:$E$176,4,FALSE),VLOOKUP(Google!$B65,Apple!$B$3:$M$176,Apple!M$1,FALSE),VLOOKUP($B65,'[6]Single Game'!$B$4:$P$238,'[6]Single Game'!P$1,FALSE))</f>
        <v>2.99</v>
      </c>
      <c r="O65" t="str">
        <f>IF(VLOOKUP($B65,[5]Google!$B$3:$I$174,[5]Google!F$1,FALSE)=F65,"Same","MISMATCH")</f>
        <v>Same</v>
      </c>
      <c r="P65" t="str">
        <f>IF(VLOOKUP($B65,[5]Google!$B$3:$I$174,[5]Google!G$1,FALSE)=G65,"Same","MISMATCH")</f>
        <v>Same</v>
      </c>
      <c r="Q65" t="str">
        <f>IF(VLOOKUP($B65,[5]Google!$B$3:$I$174,[5]Google!H$1,FALSE)=H65,"Same","MISMATCH")</f>
        <v>Same</v>
      </c>
      <c r="R65" t="str">
        <f>IF(VLOOKUP($B65,[5]Google!$B$3:$I$174,[5]Google!I$1,FALSE)=I65,"Same","MISMATCH")</f>
        <v>Same</v>
      </c>
      <c r="S65" t="str">
        <f>IF(VLOOKUP($B65,[5]Google!$B$3:$M$174,[5]Google!J$1,FALSE)=J65,"Same","MISMATCH")</f>
        <v>Same</v>
      </c>
      <c r="T65" t="str">
        <f>IF(VLOOKUP($B65,[5]Google!$B$3:$M$174,[5]Google!K$1,FALSE)=K65,"Same","MISMATCH")</f>
        <v>Same</v>
      </c>
      <c r="U65" t="str">
        <f>IF(VLOOKUP($B65,[5]Google!$B$3:$M$174,[5]Google!L$1,FALSE)=L65,"Same","MISMATCH")</f>
        <v>Same</v>
      </c>
      <c r="V65" t="str">
        <f>IF(VLOOKUP($B65,[5]Google!$B$3:$M$174,[5]Google!M$1,FALSE)=M65,"Same","MISMATCH")</f>
        <v>Same</v>
      </c>
    </row>
    <row r="66" spans="2:22">
      <c r="B66" t="s">
        <v>164</v>
      </c>
      <c r="C66" s="31" t="str">
        <f>+VLOOKUP(B66,'Country &amp; Code Abbreviation'!$B$3:$C$245,2,FALSE)</f>
        <v>GN</v>
      </c>
      <c r="D66" s="31" t="str">
        <f>+VLOOKUP(B66,'INT Web'!$B$5:$Q$248,16,FALSE)</f>
        <v>GNF</v>
      </c>
      <c r="E66" s="32" t="s">
        <v>346</v>
      </c>
      <c r="F66" s="34">
        <v>74.989999999999995</v>
      </c>
      <c r="G66" s="72">
        <v>12.99</v>
      </c>
      <c r="H66" s="72">
        <v>55.99</v>
      </c>
      <c r="I66" s="33">
        <f>+IFERROR(IF($E66=VLOOKUP($B66,Apple!$B$3:$I$176,Apple!$E$1,FALSE),VLOOKUP(Google!$B66,Apple!$B$3:$I$176,Apple!I$1,FALSE),VLOOKUP($B66,'INT Web'!$B$5:$U$247,'INT Web'!U$1,FALSE)),MROUND(VLOOKUP($B66,'INT Web'!$B$5:$AQ$247,'INT Web'!AO$1,FALSE),1)-0.01)</f>
        <v>8.99</v>
      </c>
      <c r="J66" s="72">
        <f>+MROUND(VLOOKUP($B66,'[6]Single Game'!$B$4:$U$238,'[6]Single Game'!R$1,FALSE),1)-0.01</f>
        <v>2.99</v>
      </c>
      <c r="K66" s="72">
        <f>+MROUND(VLOOKUP($B66,'[6]Single Game'!$B$4:$U$238,'[6]Single Game'!S$1,FALSE),1)-0.01</f>
        <v>2.99</v>
      </c>
      <c r="L66" s="72">
        <f>+MROUND(VLOOKUP($B66,'[6]Single Game'!$B$4:$U$238,'[6]Single Game'!T$1,FALSE),1)-0.01</f>
        <v>1.99</v>
      </c>
      <c r="M66" s="72">
        <f>+MROUND(VLOOKUP($B66,'[6]Single Game'!$B$4:$U$238,'[6]Single Game'!U$1,FALSE),1)-0.01</f>
        <v>1.99</v>
      </c>
      <c r="O66" t="str">
        <f>IF(VLOOKUP($B66,[5]Google!$B$3:$I$174,[5]Google!F$1,FALSE)=F66,"Same","MISMATCH")</f>
        <v>Same</v>
      </c>
      <c r="P66" t="str">
        <f>IF(VLOOKUP($B66,[5]Google!$B$3:$I$174,[5]Google!G$1,FALSE)=G66,"Same","MISMATCH")</f>
        <v>Same</v>
      </c>
      <c r="Q66" t="str">
        <f>IF(VLOOKUP($B66,[5]Google!$B$3:$I$174,[5]Google!H$1,FALSE)=H66,"Same","MISMATCH")</f>
        <v>Same</v>
      </c>
      <c r="R66" t="str">
        <f>IF(VLOOKUP($B66,[5]Google!$B$3:$I$174,[5]Google!I$1,FALSE)=I66,"Same","MISMATCH")</f>
        <v>Same</v>
      </c>
      <c r="S66" t="str">
        <f>IF(VLOOKUP($B66,[5]Google!$B$3:$M$174,[5]Google!J$1,FALSE)=J66,"Same","MISMATCH")</f>
        <v>Same</v>
      </c>
      <c r="T66" t="str">
        <f>IF(VLOOKUP($B66,[5]Google!$B$3:$M$174,[5]Google!K$1,FALSE)=K66,"Same","MISMATCH")</f>
        <v>Same</v>
      </c>
      <c r="U66" t="str">
        <f>IF(VLOOKUP($B66,[5]Google!$B$3:$M$174,[5]Google!L$1,FALSE)=L66,"Same","MISMATCH")</f>
        <v>Same</v>
      </c>
      <c r="V66" t="str">
        <f>IF(VLOOKUP($B66,[5]Google!$B$3:$M$174,[5]Google!M$1,FALSE)=M66,"Same","MISMATCH")</f>
        <v>Same</v>
      </c>
    </row>
    <row r="67" spans="2:22">
      <c r="B67" s="36" t="s">
        <v>165</v>
      </c>
      <c r="C67" s="37" t="str">
        <f>+VLOOKUP(B67,'Country &amp; Code Abbreviation'!$B$3:$C$245,2,FALSE)</f>
        <v>GW</v>
      </c>
      <c r="D67" s="37" t="str">
        <f>+VLOOKUP(B67,'INT Web'!$B$5:$Q$248,16,FALSE)</f>
        <v>XOF</v>
      </c>
      <c r="E67" s="38" t="s">
        <v>368</v>
      </c>
      <c r="F67" s="39">
        <f>+MROUND(VLOOKUP($B67,'INT Web'!$B$5:$AO$247,'INT Web'!R$1,FALSE)*'FX Rates'!$F$5,1)-0.01</f>
        <v>66.989999999999995</v>
      </c>
      <c r="G67" s="39">
        <f>+MROUND(VLOOKUP($B67,'INT Web'!$B$5:$AO$247,'INT Web'!S$1,FALSE)*'FX Rates'!$F$5,1)-0.01</f>
        <v>10.99</v>
      </c>
      <c r="H67" s="39">
        <f>+MROUND(VLOOKUP($B67,'INT Web'!$B$5:$AO$247,'INT Web'!T$1,FALSE)*'FX Rates'!$F$5,1)-0.01</f>
        <v>48.99</v>
      </c>
      <c r="I67" s="39">
        <f>+MROUND(VLOOKUP($B67,'INT Web'!$B$5:$AO$247,'INT Web'!U$1,FALSE)*'FX Rates'!$F$5,1)-0.01</f>
        <v>7.99</v>
      </c>
      <c r="J67" s="39">
        <v>2.99</v>
      </c>
      <c r="K67" s="39">
        <v>2.99</v>
      </c>
      <c r="L67" s="39">
        <v>1.99</v>
      </c>
      <c r="M67" s="39">
        <v>1.99</v>
      </c>
      <c r="O67" t="str">
        <f>IF(VLOOKUP($B67,[5]Google!$B$3:$I$174,[5]Google!F$1,FALSE)=F67,"Same","MISMATCH")</f>
        <v>Same</v>
      </c>
      <c r="P67" t="str">
        <f>IF(VLOOKUP($B67,[5]Google!$B$3:$I$174,[5]Google!G$1,FALSE)=G67,"Same","MISMATCH")</f>
        <v>Same</v>
      </c>
      <c r="Q67" t="str">
        <f>IF(VLOOKUP($B67,[5]Google!$B$3:$I$174,[5]Google!H$1,FALSE)=H67,"Same","MISMATCH")</f>
        <v>Same</v>
      </c>
      <c r="R67" t="str">
        <f>IF(VLOOKUP($B67,[5]Google!$B$3:$I$174,[5]Google!I$1,FALSE)=I67,"Same","MISMATCH")</f>
        <v>Same</v>
      </c>
      <c r="S67" t="str">
        <f>IF(VLOOKUP($B67,[5]Google!$B$3:$M$174,[5]Google!J$1,FALSE)=J67,"Same","MISMATCH")</f>
        <v>Same</v>
      </c>
      <c r="T67" t="str">
        <f>IF(VLOOKUP($B67,[5]Google!$B$3:$M$174,[5]Google!K$1,FALSE)=K67,"Same","MISMATCH")</f>
        <v>Same</v>
      </c>
      <c r="U67" t="str">
        <f>IF(VLOOKUP($B67,[5]Google!$B$3:$M$174,[5]Google!L$1,FALSE)=L67,"Same","MISMATCH")</f>
        <v>Same</v>
      </c>
      <c r="V67" t="str">
        <f>IF(VLOOKUP($B67,[5]Google!$B$3:$M$174,[5]Google!M$1,FALSE)=M67,"Same","MISMATCH")</f>
        <v>Same</v>
      </c>
    </row>
    <row r="68" spans="2:22">
      <c r="B68" t="s">
        <v>167</v>
      </c>
      <c r="C68" s="31" t="str">
        <f>+VLOOKUP(B68,'Country &amp; Code Abbreviation'!$B$3:$C$245,2,FALSE)</f>
        <v>HT</v>
      </c>
      <c r="D68" s="31" t="str">
        <f>+VLOOKUP(B68,'INT Web'!$B$5:$Q$248,16,FALSE)</f>
        <v>HTG</v>
      </c>
      <c r="E68" s="32" t="s">
        <v>346</v>
      </c>
      <c r="F68" s="34">
        <v>96.99</v>
      </c>
      <c r="G68" s="33">
        <f>+VLOOKUP($B68,[5]Google!$B$22:$M$174,[5]Google!G$1,FALSE)</f>
        <v>15.99</v>
      </c>
      <c r="H68" s="34">
        <v>71.989999999999995</v>
      </c>
      <c r="I68" s="33">
        <f>+IFERROR(IF($E68=VLOOKUP($B68,Apple!$B$3:$I$176,Apple!$E$1,FALSE),VLOOKUP(Google!$B68,Apple!$B$3:$I$176,Apple!I$1,FALSE),VLOOKUP($B68,'INT Web'!$B$5:$U$247,'INT Web'!U$1,FALSE)),MROUND(VLOOKUP($B68,'INT Web'!$B$5:$AQ$247,'INT Web'!AO$1,FALSE),1)-0.01)</f>
        <v>11.99</v>
      </c>
      <c r="J68" s="34">
        <v>3.99</v>
      </c>
      <c r="K68" s="34">
        <v>2.99</v>
      </c>
      <c r="L68" s="34">
        <v>1.99</v>
      </c>
      <c r="M68" s="34">
        <v>0.99</v>
      </c>
      <c r="O68" t="str">
        <f>IF(VLOOKUP($B68,[5]Google!$B$3:$I$174,[5]Google!F$1,FALSE)=F68,"Same","MISMATCH")</f>
        <v>Same</v>
      </c>
      <c r="P68" t="str">
        <f>IF(VLOOKUP($B68,[5]Google!$B$3:$I$174,[5]Google!G$1,FALSE)=G68,"Same","MISMATCH")</f>
        <v>Same</v>
      </c>
      <c r="Q68" t="str">
        <f>IF(VLOOKUP($B68,[5]Google!$B$3:$I$174,[5]Google!H$1,FALSE)=H68,"Same","MISMATCH")</f>
        <v>Same</v>
      </c>
      <c r="R68" t="str">
        <f>IF(VLOOKUP($B68,[5]Google!$B$3:$I$174,[5]Google!I$1,FALSE)=I68,"Same","MISMATCH")</f>
        <v>Same</v>
      </c>
      <c r="S68" t="str">
        <f>IF(VLOOKUP($B68,[5]Google!$B$3:$M$174,[5]Google!J$1,FALSE)=J68,"Same","MISMATCH")</f>
        <v>Same</v>
      </c>
      <c r="T68" t="str">
        <f>IF(VLOOKUP($B68,[5]Google!$B$3:$M$174,[5]Google!K$1,FALSE)=K68,"Same","MISMATCH")</f>
        <v>Same</v>
      </c>
      <c r="U68" t="str">
        <f>IF(VLOOKUP($B68,[5]Google!$B$3:$M$174,[5]Google!L$1,FALSE)=L68,"Same","MISMATCH")</f>
        <v>Same</v>
      </c>
      <c r="V68" t="str">
        <f>IF(VLOOKUP($B68,[5]Google!$B$3:$M$174,[5]Google!M$1,FALSE)=M68,"Same","MISMATCH")</f>
        <v>Same</v>
      </c>
    </row>
    <row r="69" spans="2:22">
      <c r="B69" t="s">
        <v>169</v>
      </c>
      <c r="C69" s="31" t="str">
        <f>+VLOOKUP(B69,'Country &amp; Code Abbreviation'!$B$3:$C$245,2,FALSE)</f>
        <v>HN</v>
      </c>
      <c r="D69" s="31" t="str">
        <f>+VLOOKUP(B69,'INT Web'!$B$5:$Q$248,16,FALSE)</f>
        <v>HNL</v>
      </c>
      <c r="E69" s="32" t="s">
        <v>346</v>
      </c>
      <c r="F69" s="33">
        <f>+IFERROR(IF($E69=VLOOKUP($B69,Apple!$B$3:$I$176,Apple!$E$1,FALSE),VLOOKUP(Google!$B69,Apple!$B$3:$I$176,Apple!F$1,FALSE),VLOOKUP($B69,'INT Web'!$B$5:$U$247,'INT Web'!R$1,FALSE)),MROUND(VLOOKUP($B69,'INT Web'!$B$5:$AQ$247,'INT Web'!AL$1,FALSE),1)-0.01)</f>
        <v>76.989999999999995</v>
      </c>
      <c r="G69" s="33">
        <f>+IFERROR(IF($E69=VLOOKUP($B69,Apple!$B$3:$I$176,Apple!$E$1,FALSE),VLOOKUP(Google!$B69,Apple!$B$3:$I$176,Apple!G$1,FALSE),VLOOKUP($B69,'INT Web'!$B$5:$U$247,'INT Web'!S$1,FALSE)),MROUND(VLOOKUP($B69,'INT Web'!$B$5:$AQ$247,'INT Web'!AM$1,FALSE),1)-0.01)</f>
        <v>12.99</v>
      </c>
      <c r="H69" s="33">
        <f>+IFERROR(IF($E69=VLOOKUP($B69,Apple!$B$3:$I$176,Apple!$E$1,FALSE),VLOOKUP(Google!$B69,Apple!$B$3:$I$176,Apple!H$1,FALSE),VLOOKUP($B69,'INT Web'!$B$5:$U$247,'INT Web'!T$1,FALSE)),MROUND(VLOOKUP($B69,'INT Web'!$B$5:$AQ$247,'INT Web'!AN$1,FALSE),1)-0.01)</f>
        <v>53.99</v>
      </c>
      <c r="I69" s="33">
        <f>+IFERROR(IF($E69=VLOOKUP($B69,Apple!$B$3:$I$176,Apple!$E$1,FALSE),VLOOKUP(Google!$B69,Apple!$B$3:$I$176,Apple!I$1,FALSE),VLOOKUP($B69,'INT Web'!$B$5:$U$247,'INT Web'!U$1,FALSE)),MROUND(VLOOKUP($B69,'INT Web'!$B$5:$AQ$247,'INT Web'!AO$1,FALSE),1)-0.01)</f>
        <v>8.99</v>
      </c>
      <c r="J69" s="33">
        <f>+IF($E69=VLOOKUP($B69,Apple!$B$3:$E$176,4,FALSE),VLOOKUP(Google!$B69,Apple!$B$3:$M$176,Apple!J$1,FALSE),VLOOKUP($B69,'[6]Single Game'!$B$4:$P$238,'[6]Single Game'!M$1,FALSE))</f>
        <v>2.99</v>
      </c>
      <c r="K69" s="33">
        <f>+IF($E69=VLOOKUP($B69,Apple!$B$3:$E$176,4,FALSE),VLOOKUP(Google!$B69,Apple!$B$3:$M$176,Apple!K$1,FALSE),VLOOKUP($B69,'[6]Single Game'!$B$4:$P$238,'[6]Single Game'!N$1,FALSE))</f>
        <v>2.99</v>
      </c>
      <c r="L69" s="33">
        <f>+IF($E69=VLOOKUP($B69,Apple!$B$3:$E$176,4,FALSE),VLOOKUP(Google!$B69,Apple!$B$3:$M$176,Apple!L$1,FALSE),VLOOKUP($B69,'[6]Single Game'!$B$4:$P$238,'[6]Single Game'!O$1,FALSE))</f>
        <v>1.99</v>
      </c>
      <c r="M69" s="33">
        <f>+IF($E69=VLOOKUP($B69,Apple!$B$3:$E$176,4,FALSE),VLOOKUP(Google!$B69,Apple!$B$3:$M$176,Apple!M$1,FALSE),VLOOKUP($B69,'[6]Single Game'!$B$4:$P$238,'[6]Single Game'!P$1,FALSE))</f>
        <v>1.99</v>
      </c>
      <c r="O69" t="str">
        <f>IF(VLOOKUP($B69,[5]Google!$B$3:$I$174,[5]Google!F$1,FALSE)=F69,"Same","MISMATCH")</f>
        <v>Same</v>
      </c>
      <c r="P69" t="str">
        <f>IF(VLOOKUP($B69,[5]Google!$B$3:$I$174,[5]Google!G$1,FALSE)=G69,"Same","MISMATCH")</f>
        <v>Same</v>
      </c>
      <c r="Q69" t="str">
        <f>IF(VLOOKUP($B69,[5]Google!$B$3:$I$174,[5]Google!H$1,FALSE)=H69,"Same","MISMATCH")</f>
        <v>Same</v>
      </c>
      <c r="R69" t="str">
        <f>IF(VLOOKUP($B69,[5]Google!$B$3:$I$174,[5]Google!I$1,FALSE)=I69,"Same","MISMATCH")</f>
        <v>Same</v>
      </c>
      <c r="S69" t="str">
        <f>IF(VLOOKUP($B69,[5]Google!$B$3:$M$174,[5]Google!J$1,FALSE)=J69,"Same","MISMATCH")</f>
        <v>Same</v>
      </c>
      <c r="T69" t="str">
        <f>IF(VLOOKUP($B69,[5]Google!$B$3:$M$174,[5]Google!K$1,FALSE)=K69,"Same","MISMATCH")</f>
        <v>Same</v>
      </c>
      <c r="U69" t="str">
        <f>IF(VLOOKUP($B69,[5]Google!$B$3:$M$174,[5]Google!L$1,FALSE)=L69,"Same","MISMATCH")</f>
        <v>Same</v>
      </c>
      <c r="V69" t="str">
        <f>IF(VLOOKUP($B69,[5]Google!$B$3:$M$174,[5]Google!M$1,FALSE)=M69,"Same","MISMATCH")</f>
        <v>Same</v>
      </c>
    </row>
    <row r="70" spans="2:22">
      <c r="B70" t="s">
        <v>170</v>
      </c>
      <c r="C70" s="31" t="str">
        <f>+VLOOKUP(B70,'Country &amp; Code Abbreviation'!$B$3:$C$245,2,FALSE)</f>
        <v>HK</v>
      </c>
      <c r="D70" s="31" t="str">
        <f>+VLOOKUP(B70,'INT Web'!$B$5:$Q$248,16,FALSE)</f>
        <v>HKD</v>
      </c>
      <c r="E70" s="32" t="s">
        <v>376</v>
      </c>
      <c r="F70" s="33">
        <f>+IFERROR(IF($E70=VLOOKUP($B70,Apple!$B$3:$I$176,Apple!$E$1,FALSE),VLOOKUP(Google!$B70,Apple!$B$3:$I$176,Apple!F$1,FALSE),VLOOKUP($B70,'INT Web'!$B$5:$U$247,'INT Web'!R$1,FALSE)),MROUND(VLOOKUP($B70,'INT Web'!$B$5:$AQ$247,'INT Web'!AL$1,FALSE),1)-0.01)</f>
        <v>1149</v>
      </c>
      <c r="G70" s="33">
        <f>+IFERROR(IF($E70=VLOOKUP($B70,Apple!$B$3:$I$176,Apple!$E$1,FALSE),VLOOKUP(Google!$B70,Apple!$B$3:$I$176,Apple!G$1,FALSE),VLOOKUP($B70,'INT Web'!$B$5:$U$247,'INT Web'!S$1,FALSE)),MROUND(VLOOKUP($B70,'INT Web'!$B$5:$AQ$247,'INT Web'!AM$1,FALSE),1)-0.01)</f>
        <v>163</v>
      </c>
      <c r="H70" s="33">
        <f>+IFERROR(IF($E70=VLOOKUP($B70,Apple!$B$3:$I$176,Apple!$E$1,FALSE),VLOOKUP(Google!$B70,Apple!$B$3:$I$176,Apple!H$1,FALSE),VLOOKUP($B70,'INT Web'!$B$5:$U$247,'INT Web'!T$1,FALSE)),MROUND(VLOOKUP($B70,'INT Web'!$B$5:$AQ$247,'INT Web'!AN$1,FALSE),1)-0.01)</f>
        <v>759</v>
      </c>
      <c r="I70" s="33">
        <f>+IFERROR(IF($E70=VLOOKUP($B70,Apple!$B$3:$I$176,Apple!$E$1,FALSE),VLOOKUP(Google!$B70,Apple!$B$3:$I$176,Apple!I$1,FALSE),VLOOKUP($B70,'INT Web'!$B$5:$U$247,'INT Web'!U$1,FALSE)),MROUND(VLOOKUP($B70,'INT Web'!$B$5:$AQ$247,'INT Web'!AO$1,FALSE),1)-0.01)</f>
        <v>109</v>
      </c>
      <c r="J70" s="33">
        <f>+IF($E70=VLOOKUP($B70,Apple!$B$3:$E$176,4,FALSE),VLOOKUP(Google!$B70,Apple!$B$3:$M$176,Apple!J$1,FALSE),VLOOKUP($B70,'[6]Single Game'!$B$4:$P$238,'[6]Single Game'!M$1,FALSE))</f>
        <v>48</v>
      </c>
      <c r="K70" s="33">
        <f>+IF($E70=VLOOKUP($B70,Apple!$B$3:$E$176,4,FALSE),VLOOKUP(Google!$B70,Apple!$B$3:$M$176,Apple!K$1,FALSE),VLOOKUP($B70,'[6]Single Game'!$B$4:$P$238,'[6]Single Game'!N$1,FALSE))</f>
        <v>38</v>
      </c>
      <c r="L70" s="33">
        <f>+IF($E70=VLOOKUP($B70,Apple!$B$3:$E$176,4,FALSE),VLOOKUP(Google!$B70,Apple!$B$3:$M$176,Apple!L$1,FALSE),VLOOKUP($B70,'[6]Single Game'!$B$4:$P$238,'[6]Single Game'!O$1,FALSE))</f>
        <v>28</v>
      </c>
      <c r="M70" s="33">
        <f>+IF($E70=VLOOKUP($B70,Apple!$B$3:$E$176,4,FALSE),VLOOKUP(Google!$B70,Apple!$B$3:$M$176,Apple!M$1,FALSE),VLOOKUP($B70,'[6]Single Game'!$B$4:$P$238,'[6]Single Game'!P$1,FALSE))</f>
        <v>23</v>
      </c>
      <c r="O70" t="str">
        <f>IF(VLOOKUP($B70,[5]Google!$B$3:$I$174,[5]Google!F$1,FALSE)=F70,"Same","MISMATCH")</f>
        <v>Same</v>
      </c>
      <c r="P70" t="str">
        <f>IF(VLOOKUP($B70,[5]Google!$B$3:$I$174,[5]Google!G$1,FALSE)=G70,"Same","MISMATCH")</f>
        <v>Same</v>
      </c>
      <c r="Q70" t="str">
        <f>IF(VLOOKUP($B70,[5]Google!$B$3:$I$174,[5]Google!H$1,FALSE)=H70,"Same","MISMATCH")</f>
        <v>Same</v>
      </c>
      <c r="R70" t="str">
        <f>IF(VLOOKUP($B70,[5]Google!$B$3:$I$174,[5]Google!I$1,FALSE)=I70,"Same","MISMATCH")</f>
        <v>Same</v>
      </c>
      <c r="S70" t="str">
        <f>IF(VLOOKUP($B70,[5]Google!$B$3:$M$174,[5]Google!J$1,FALSE)=J70,"Same","MISMATCH")</f>
        <v>Same</v>
      </c>
      <c r="T70" t="str">
        <f>IF(VLOOKUP($B70,[5]Google!$B$3:$M$174,[5]Google!K$1,FALSE)=K70,"Same","MISMATCH")</f>
        <v>Same</v>
      </c>
      <c r="U70" t="str">
        <f>IF(VLOOKUP($B70,[5]Google!$B$3:$M$174,[5]Google!L$1,FALSE)=L70,"Same","MISMATCH")</f>
        <v>Same</v>
      </c>
      <c r="V70" t="str">
        <f>IF(VLOOKUP($B70,[5]Google!$B$3:$M$174,[5]Google!M$1,FALSE)=M70,"Same","MISMATCH")</f>
        <v>Same</v>
      </c>
    </row>
    <row r="71" spans="2:22">
      <c r="B71" t="s">
        <v>171</v>
      </c>
      <c r="C71" s="31" t="str">
        <f>+VLOOKUP(B71,'Country &amp; Code Abbreviation'!$B$3:$C$245,2,FALSE)</f>
        <v>HU</v>
      </c>
      <c r="D71" s="31" t="str">
        <f>+VLOOKUP(B71,'INT Web'!$B$5:$Q$248,16,FALSE)</f>
        <v>HUF</v>
      </c>
      <c r="E71" s="32" t="s">
        <v>377</v>
      </c>
      <c r="F71" s="33">
        <f>+IFERROR(IF($E71=VLOOKUP($B71,Apple!$B$3:$I$176,Apple!$E$1,FALSE),VLOOKUP(Google!$B71,Apple!$B$3:$I$176,Apple!F$1,FALSE),VLOOKUP($B71,'INT Web'!$B$5:$U$247,'INT Web'!R$1,FALSE)),MROUND(VLOOKUP($B71,'INT Web'!$B$5:$AQ$247,'INT Web'!AL$1,FALSE),1)-0.01)</f>
        <v>33999</v>
      </c>
      <c r="G71" s="33">
        <f>+IFERROR(IF($E71=VLOOKUP($B71,Apple!$B$3:$I$176,Apple!$E$1,FALSE),VLOOKUP(Google!$B71,Apple!$B$3:$I$176,Apple!G$1,FALSE),VLOOKUP($B71,'INT Web'!$B$5:$U$247,'INT Web'!S$1,FALSE)),MROUND(VLOOKUP($B71,'INT Web'!$B$5:$AQ$247,'INT Web'!AM$1,FALSE),1)-0.01)</f>
        <v>5500</v>
      </c>
      <c r="H71" s="33">
        <f>+IFERROR(IF($E71=VLOOKUP($B71,Apple!$B$3:$I$176,Apple!$E$1,FALSE),VLOOKUP(Google!$B71,Apple!$B$3:$I$176,Apple!H$1,FALSE),VLOOKUP($B71,'INT Web'!$B$5:$U$247,'INT Web'!T$1,FALSE)),MROUND(VLOOKUP($B71,'INT Web'!$B$5:$AQ$247,'INT Web'!AN$1,FALSE),1)-0.01)</f>
        <v>25999</v>
      </c>
      <c r="I71" s="33">
        <f>+IFERROR(IF($E71=VLOOKUP($B71,Apple!$B$3:$I$176,Apple!$E$1,FALSE),VLOOKUP(Google!$B71,Apple!$B$3:$I$176,Apple!I$1,FALSE),VLOOKUP($B71,'INT Web'!$B$5:$U$247,'INT Web'!U$1,FALSE)),MROUND(VLOOKUP($B71,'INT Web'!$B$5:$AQ$247,'INT Web'!AO$1,FALSE),1)-0.01)</f>
        <v>4200</v>
      </c>
      <c r="J71" s="33">
        <f>+IF($E71=VLOOKUP($B71,Apple!$B$3:$E$176,4,FALSE),VLOOKUP(Google!$B71,Apple!$B$3:$M$176,Apple!J$1,FALSE),VLOOKUP($B71,'[6]Single Game'!$B$4:$P$238,'[6]Single Game'!M$1,FALSE))</f>
        <v>1690</v>
      </c>
      <c r="K71" s="33">
        <f>+IF($E71=VLOOKUP($B71,Apple!$B$3:$E$176,4,FALSE),VLOOKUP(Google!$B71,Apple!$B$3:$M$176,Apple!K$1,FALSE),VLOOKUP($B71,'[6]Single Game'!$B$4:$P$238,'[6]Single Game'!N$1,FALSE))</f>
        <v>1690</v>
      </c>
      <c r="L71" s="33">
        <f>+IF($E71=VLOOKUP($B71,Apple!$B$3:$E$176,4,FALSE),VLOOKUP(Google!$B71,Apple!$B$3:$M$176,Apple!L$1,FALSE),VLOOKUP($B71,'[6]Single Game'!$B$4:$P$238,'[6]Single Game'!O$1,FALSE))</f>
        <v>799</v>
      </c>
      <c r="M71" s="33">
        <f>+IF($E71=VLOOKUP($B71,Apple!$B$3:$E$176,4,FALSE),VLOOKUP(Google!$B71,Apple!$B$3:$M$176,Apple!M$1,FALSE),VLOOKUP($B71,'[6]Single Game'!$B$4:$P$238,'[6]Single Game'!P$1,FALSE))</f>
        <v>799</v>
      </c>
      <c r="O71" t="str">
        <f>IF(VLOOKUP($B71,[5]Google!$B$3:$I$174,[5]Google!F$1,FALSE)=F71,"Same","MISMATCH")</f>
        <v>Same</v>
      </c>
      <c r="P71" t="str">
        <f>IF(VLOOKUP($B71,[5]Google!$B$3:$I$174,[5]Google!G$1,FALSE)=G71,"Same","MISMATCH")</f>
        <v>Same</v>
      </c>
      <c r="Q71" t="str">
        <f>IF(VLOOKUP($B71,[5]Google!$B$3:$I$174,[5]Google!H$1,FALSE)=H71,"Same","MISMATCH")</f>
        <v>Same</v>
      </c>
      <c r="R71" t="str">
        <f>IF(VLOOKUP($B71,[5]Google!$B$3:$I$174,[5]Google!I$1,FALSE)=I71,"Same","MISMATCH")</f>
        <v>Same</v>
      </c>
      <c r="S71" t="str">
        <f>IF(VLOOKUP($B71,[5]Google!$B$3:$M$174,[5]Google!J$1,FALSE)=J71,"Same","MISMATCH")</f>
        <v>Same</v>
      </c>
      <c r="T71" t="str">
        <f>IF(VLOOKUP($B71,[5]Google!$B$3:$M$174,[5]Google!K$1,FALSE)=K71,"Same","MISMATCH")</f>
        <v>Same</v>
      </c>
      <c r="U71" t="str">
        <f>IF(VLOOKUP($B71,[5]Google!$B$3:$M$174,[5]Google!L$1,FALSE)=L71,"Same","MISMATCH")</f>
        <v>Same</v>
      </c>
      <c r="V71" t="str">
        <f>IF(VLOOKUP($B71,[5]Google!$B$3:$M$174,[5]Google!M$1,FALSE)=M71,"Same","MISMATCH")</f>
        <v>Same</v>
      </c>
    </row>
    <row r="72" spans="2:22">
      <c r="B72" s="36" t="s">
        <v>172</v>
      </c>
      <c r="C72" s="37" t="str">
        <f>+VLOOKUP(B72,'Country &amp; Code Abbreviation'!$B$3:$C$245,2,FALSE)</f>
        <v>IS</v>
      </c>
      <c r="D72" s="37" t="str">
        <f>+VLOOKUP(B72,'INT Web'!$B$5:$Q$248,16,FALSE)</f>
        <v>ISK</v>
      </c>
      <c r="E72" s="38" t="s">
        <v>368</v>
      </c>
      <c r="F72" s="39">
        <v>231.99</v>
      </c>
      <c r="G72" s="39">
        <v>35.99</v>
      </c>
      <c r="H72" s="39">
        <v>168.99</v>
      </c>
      <c r="I72" s="220">
        <f>+MROUND(VLOOKUP($B72,'INT Web'!$B$5:$AO$247,'INT Web'!U$1,FALSE)*'FX Rates'!$F$8,1)-0.01</f>
        <v>25.99</v>
      </c>
      <c r="J72" s="39">
        <v>8.99</v>
      </c>
      <c r="K72" s="39">
        <v>8.99</v>
      </c>
      <c r="L72" s="39">
        <v>4.99</v>
      </c>
      <c r="M72" s="39">
        <v>4.99</v>
      </c>
      <c r="O72" t="str">
        <f>IF(VLOOKUP($B72,[5]Google!$B$3:$I$174,[5]Google!F$1,FALSE)=F72,"Same","MISMATCH")</f>
        <v>Same</v>
      </c>
      <c r="P72" t="str">
        <f>IF(VLOOKUP($B72,[5]Google!$B$3:$I$174,[5]Google!G$1,FALSE)=G72,"Same","MISMATCH")</f>
        <v>Same</v>
      </c>
      <c r="Q72" t="str">
        <f>IF(VLOOKUP($B72,[5]Google!$B$3:$I$174,[5]Google!H$1,FALSE)=H72,"Same","MISMATCH")</f>
        <v>Same</v>
      </c>
      <c r="R72" t="str">
        <f>IF(VLOOKUP($B72,[5]Google!$B$3:$I$174,[5]Google!I$1,FALSE)=I72,"Same","MISMATCH")</f>
        <v>Same</v>
      </c>
      <c r="S72" t="str">
        <f>IF(VLOOKUP($B72,[5]Google!$B$3:$M$174,[5]Google!J$1,FALSE)=J72,"Same","MISMATCH")</f>
        <v>Same</v>
      </c>
      <c r="T72" t="str">
        <f>IF(VLOOKUP($B72,[5]Google!$B$3:$M$174,[5]Google!K$1,FALSE)=K72,"Same","MISMATCH")</f>
        <v>Same</v>
      </c>
      <c r="U72" t="str">
        <f>IF(VLOOKUP($B72,[5]Google!$B$3:$M$174,[5]Google!L$1,FALSE)=L72,"Same","MISMATCH")</f>
        <v>Same</v>
      </c>
      <c r="V72" t="str">
        <f>IF(VLOOKUP($B72,[5]Google!$B$3:$M$174,[5]Google!M$1,FALSE)=M72,"Same","MISMATCH")</f>
        <v>Same</v>
      </c>
    </row>
    <row r="73" spans="2:22">
      <c r="B73" t="s">
        <v>173</v>
      </c>
      <c r="C73" s="31" t="str">
        <f>+VLOOKUP(B73,'Country &amp; Code Abbreviation'!$B$3:$C$245,2,FALSE)</f>
        <v>IN</v>
      </c>
      <c r="D73" s="31" t="str">
        <f>+VLOOKUP(B73,'INT Web'!$B$5:$Q$248,16,FALSE)</f>
        <v>INR</v>
      </c>
      <c r="E73" s="32" t="s">
        <v>378</v>
      </c>
      <c r="F73" s="33">
        <f>+IFERROR(IF($E73=VLOOKUP($B73,Apple!$B$3:$I$176,Apple!$E$1,FALSE),VLOOKUP(Google!$B73,Apple!$B$3:$I$176,Apple!F$1,FALSE),VLOOKUP($B73,'INT Web'!$B$5:$U$247,'INT Web'!R$1,FALSE)),MROUND(VLOOKUP($B73,'INT Web'!$B$5:$AQ$247,'INT Web'!AL$1,FALSE),1)-0.01)</f>
        <v>2099</v>
      </c>
      <c r="G73" s="33">
        <f>+IFERROR(IF($E73=VLOOKUP($B73,Apple!$B$3:$I$176,Apple!$E$1,FALSE),VLOOKUP(Google!$B73,Apple!$B$3:$I$176,Apple!G$1,FALSE),VLOOKUP($B73,'INT Web'!$B$5:$U$247,'INT Web'!S$1,FALSE)),MROUND(VLOOKUP($B73,'INT Web'!$B$5:$AQ$247,'INT Web'!AM$1,FALSE),1)-0.01)</f>
        <v>329</v>
      </c>
      <c r="H73" s="33">
        <f>+IFERROR(IF($E73=VLOOKUP($B73,Apple!$B$3:$I$176,Apple!$E$1,FALSE),VLOOKUP(Google!$B73,Apple!$B$3:$I$176,Apple!H$1,FALSE),VLOOKUP($B73,'INT Web'!$B$5:$U$247,'INT Web'!T$1,FALSE)),MROUND(VLOOKUP($B73,'INT Web'!$B$5:$AQ$247,'INT Web'!AN$1,FALSE),1)-0.01)</f>
        <v>1499</v>
      </c>
      <c r="I73" s="33">
        <f>+IFERROR(IF($E73=VLOOKUP($B73,Apple!$B$3:$I$176,Apple!$E$1,FALSE),VLOOKUP(Google!$B73,Apple!$B$3:$I$176,Apple!I$1,FALSE),VLOOKUP($B73,'INT Web'!$B$5:$U$247,'INT Web'!U$1,FALSE)),MROUND(VLOOKUP($B73,'INT Web'!$B$5:$AQ$247,'INT Web'!AO$1,FALSE),1)-0.01)</f>
        <v>219</v>
      </c>
      <c r="J73" s="33">
        <f>+IF($E73=VLOOKUP($B73,Apple!$B$3:$E$176,4,FALSE),VLOOKUP(Google!$B73,Apple!$B$3:$M$176,Apple!J$1,FALSE),VLOOKUP($B73,'[6]Single Game'!$B$4:$P$238,'[6]Single Game'!M$1,FALSE))</f>
        <v>179</v>
      </c>
      <c r="K73" s="33">
        <f>+IF($E73=VLOOKUP($B73,Apple!$B$3:$E$176,4,FALSE),VLOOKUP(Google!$B73,Apple!$B$3:$M$176,Apple!K$1,FALSE),VLOOKUP($B73,'[6]Single Game'!$B$4:$P$238,'[6]Single Game'!N$1,FALSE))</f>
        <v>135</v>
      </c>
      <c r="L73" s="33">
        <f>+IF($E73=VLOOKUP($B73,Apple!$B$3:$E$176,4,FALSE),VLOOKUP(Google!$B73,Apple!$B$3:$M$176,Apple!L$1,FALSE),VLOOKUP($B73,'[6]Single Game'!$B$4:$P$238,'[6]Single Game'!O$1,FALSE))</f>
        <v>89</v>
      </c>
      <c r="M73" s="33">
        <f>+IF($E73=VLOOKUP($B73,Apple!$B$3:$E$176,4,FALSE),VLOOKUP(Google!$B73,Apple!$B$3:$M$176,Apple!M$1,FALSE),VLOOKUP($B73,'[6]Single Game'!$B$4:$P$238,'[6]Single Game'!P$1,FALSE))</f>
        <v>45</v>
      </c>
      <c r="O73" t="str">
        <f>IF(VLOOKUP($B73,[5]Google!$B$3:$I$174,[5]Google!F$1,FALSE)=F73,"Same","MISMATCH")</f>
        <v>Same</v>
      </c>
      <c r="P73" t="str">
        <f>IF(VLOOKUP($B73,[5]Google!$B$3:$I$174,[5]Google!G$1,FALSE)=G73,"Same","MISMATCH")</f>
        <v>Same</v>
      </c>
      <c r="Q73" t="str">
        <f>IF(VLOOKUP($B73,[5]Google!$B$3:$I$174,[5]Google!H$1,FALSE)=H73,"Same","MISMATCH")</f>
        <v>Same</v>
      </c>
      <c r="R73" t="str">
        <f>IF(VLOOKUP($B73,[5]Google!$B$3:$I$174,[5]Google!I$1,FALSE)=I73,"Same","MISMATCH")</f>
        <v>Same</v>
      </c>
      <c r="S73" t="str">
        <f>IF(VLOOKUP($B73,[5]Google!$B$3:$M$174,[5]Google!J$1,FALSE)=J73,"Same","MISMATCH")</f>
        <v>Same</v>
      </c>
      <c r="T73" t="str">
        <f>IF(VLOOKUP($B73,[5]Google!$B$3:$M$174,[5]Google!K$1,FALSE)=K73,"Same","MISMATCH")</f>
        <v>Same</v>
      </c>
      <c r="U73" t="str">
        <f>IF(VLOOKUP($B73,[5]Google!$B$3:$M$174,[5]Google!L$1,FALSE)=L73,"Same","MISMATCH")</f>
        <v>Same</v>
      </c>
      <c r="V73" t="str">
        <f>IF(VLOOKUP($B73,[5]Google!$B$3:$M$174,[5]Google!M$1,FALSE)=M73,"Same","MISMATCH")</f>
        <v>Same</v>
      </c>
    </row>
    <row r="74" spans="2:22">
      <c r="B74" t="s">
        <v>174</v>
      </c>
      <c r="C74" s="31" t="str">
        <f>+VLOOKUP(B74,'Country &amp; Code Abbreviation'!$B$3:$C$245,2,FALSE)</f>
        <v>ID</v>
      </c>
      <c r="D74" s="31" t="str">
        <f>+VLOOKUP(B74,'INT Web'!$B$5:$Q$248,16,FALSE)</f>
        <v>IDR</v>
      </c>
      <c r="E74" s="32" t="s">
        <v>379</v>
      </c>
      <c r="F74" s="211">
        <v>1200000</v>
      </c>
      <c r="G74" s="33">
        <f>+IFERROR(IF($E74=VLOOKUP($B74,Apple!$B$3:$I$176,Apple!$E$1,FALSE),VLOOKUP(Google!$B74,Apple!$B$3:$I$176,Apple!G$1,FALSE),VLOOKUP($B74,'INT Web'!$B$5:$U$247,'INT Web'!S$1,FALSE)),MROUND(VLOOKUP($B74,'INT Web'!$B$5:$AQ$247,'INT Web'!AM$1,FALSE),1)-0.01)</f>
        <v>200000</v>
      </c>
      <c r="H74" s="33">
        <f>+IFERROR(IF($E74=VLOOKUP($B74,Apple!$B$3:$I$176,Apple!$E$1,FALSE),VLOOKUP(Google!$B74,Apple!$B$3:$I$176,Apple!H$1,FALSE),VLOOKUP($B74,'INT Web'!$B$5:$U$247,'INT Web'!T$1,FALSE)),MROUND(VLOOKUP($B74,'INT Web'!$B$5:$AQ$247,'INT Web'!AN$1,FALSE),1)-0.01)</f>
        <v>945000</v>
      </c>
      <c r="I74" s="33">
        <f>+IFERROR(IF($E74=VLOOKUP($B74,Apple!$B$3:$I$176,Apple!$E$1,FALSE),VLOOKUP(Google!$B74,Apple!$B$3:$I$176,Apple!I$1,FALSE),VLOOKUP($B74,'INT Web'!$B$5:$U$247,'INT Web'!U$1,FALSE)),MROUND(VLOOKUP($B74,'INT Web'!$B$5:$AQ$247,'INT Web'!AO$1,FALSE),1)-0.01)</f>
        <v>135000</v>
      </c>
      <c r="J74" s="33">
        <f>+IF($E74=VLOOKUP($B74,Apple!$B$3:$E$176,4,FALSE),VLOOKUP(Google!$B74,Apple!$B$3:$M$176,Apple!J$1,FALSE),VLOOKUP($B74,'[6]Single Game'!$B$4:$P$238,'[6]Single Game'!M$1,FALSE))</f>
        <v>65000</v>
      </c>
      <c r="K74" s="33">
        <f>+IF($E74=VLOOKUP($B74,Apple!$B$3:$E$176,4,FALSE),VLOOKUP(Google!$B74,Apple!$B$3:$M$176,Apple!K$1,FALSE),VLOOKUP($B74,'[6]Single Game'!$B$4:$P$238,'[6]Single Game'!N$1,FALSE))</f>
        <v>65000</v>
      </c>
      <c r="L74" s="33">
        <f>+IF($E74=VLOOKUP($B74,Apple!$B$3:$E$176,4,FALSE),VLOOKUP(Google!$B74,Apple!$B$3:$M$176,Apple!L$1,FALSE),VLOOKUP($B74,'[6]Single Game'!$B$4:$P$238,'[6]Single Game'!O$1,FALSE))</f>
        <v>35000</v>
      </c>
      <c r="M74" s="33">
        <f>+IF($E74=VLOOKUP($B74,Apple!$B$3:$E$176,4,FALSE),VLOOKUP(Google!$B74,Apple!$B$3:$M$176,Apple!M$1,FALSE),VLOOKUP($B74,'[6]Single Game'!$B$4:$P$238,'[6]Single Game'!P$1,FALSE))</f>
        <v>35000</v>
      </c>
      <c r="O74" t="str">
        <f>IF(VLOOKUP($B74,[5]Google!$B$3:$I$174,[5]Google!F$1,FALSE)=F74,"Same","MISMATCH")</f>
        <v>Same</v>
      </c>
      <c r="P74" t="str">
        <f>IF(VLOOKUP($B74,[5]Google!$B$3:$I$174,[5]Google!G$1,FALSE)=G74,"Same","MISMATCH")</f>
        <v>Same</v>
      </c>
      <c r="Q74" t="str">
        <f>IF(VLOOKUP($B74,[5]Google!$B$3:$I$174,[5]Google!H$1,FALSE)=H74,"Same","MISMATCH")</f>
        <v>Same</v>
      </c>
      <c r="R74" t="str">
        <f>IF(VLOOKUP($B74,[5]Google!$B$3:$I$174,[5]Google!I$1,FALSE)=I74,"Same","MISMATCH")</f>
        <v>Same</v>
      </c>
      <c r="S74" t="str">
        <f>IF(VLOOKUP($B74,[5]Google!$B$3:$M$174,[5]Google!J$1,FALSE)=J74,"Same","MISMATCH")</f>
        <v>Same</v>
      </c>
      <c r="T74" t="str">
        <f>IF(VLOOKUP($B74,[5]Google!$B$3:$M$174,[5]Google!K$1,FALSE)=K74,"Same","MISMATCH")</f>
        <v>Same</v>
      </c>
      <c r="U74" t="str">
        <f>IF(VLOOKUP($B74,[5]Google!$B$3:$M$174,[5]Google!L$1,FALSE)=L74,"Same","MISMATCH")</f>
        <v>Same</v>
      </c>
      <c r="V74" t="str">
        <f>IF(VLOOKUP($B74,[5]Google!$B$3:$M$174,[5]Google!M$1,FALSE)=M74,"Same","MISMATCH")</f>
        <v>Same</v>
      </c>
    </row>
    <row r="75" spans="2:22">
      <c r="B75" t="s">
        <v>175</v>
      </c>
      <c r="C75" s="31" t="str">
        <f>+VLOOKUP(B75,'Country &amp; Code Abbreviation'!$B$3:$C$245,2,FALSE)</f>
        <v>IQ</v>
      </c>
      <c r="D75" s="31" t="str">
        <f>+VLOOKUP(B75,'INT Web'!$B$5:$Q$248,16,FALSE)</f>
        <v>USD</v>
      </c>
      <c r="E75" s="32" t="s">
        <v>421</v>
      </c>
      <c r="F75" s="34">
        <v>145660</v>
      </c>
      <c r="G75" s="34">
        <v>24750</v>
      </c>
      <c r="H75" s="34">
        <v>109240</v>
      </c>
      <c r="I75" s="34">
        <v>18920</v>
      </c>
      <c r="J75" s="9">
        <v>7270</v>
      </c>
      <c r="K75" s="9">
        <v>5810</v>
      </c>
      <c r="L75" s="9">
        <v>4360</v>
      </c>
      <c r="M75" s="9">
        <v>2900</v>
      </c>
      <c r="O75" t="str">
        <f>IF(VLOOKUP($B75,[5]Google!$B$3:$I$174,[5]Google!F$1,FALSE)=F75,"Same","MISMATCH")</f>
        <v>Same</v>
      </c>
      <c r="P75" t="str">
        <f>IF(VLOOKUP($B75,[5]Google!$B$3:$I$174,[5]Google!G$1,FALSE)=G75,"Same","MISMATCH")</f>
        <v>Same</v>
      </c>
      <c r="Q75" t="str">
        <f>IF(VLOOKUP($B75,[5]Google!$B$3:$I$174,[5]Google!H$1,FALSE)=H75,"Same","MISMATCH")</f>
        <v>Same</v>
      </c>
      <c r="R75" t="str">
        <f>IF(VLOOKUP($B75,[5]Google!$B$3:$I$174,[5]Google!I$1,FALSE)=I75,"Same","MISMATCH")</f>
        <v>Same</v>
      </c>
      <c r="S75" t="str">
        <f>IF(VLOOKUP($B75,[5]Google!$B$3:$M$174,[5]Google!J$1,FALSE)=J75,"Same","MISMATCH")</f>
        <v>Same</v>
      </c>
      <c r="T75" t="str">
        <f>IF(VLOOKUP($B75,[5]Google!$B$3:$M$174,[5]Google!K$1,FALSE)=K75,"Same","MISMATCH")</f>
        <v>Same</v>
      </c>
      <c r="U75" t="str">
        <f>IF(VLOOKUP($B75,[5]Google!$B$3:$M$174,[5]Google!L$1,FALSE)=L75,"Same","MISMATCH")</f>
        <v>Same</v>
      </c>
      <c r="V75" t="str">
        <f>IF(VLOOKUP($B75,[5]Google!$B$3:$M$174,[5]Google!M$1,FALSE)=M75,"Same","MISMATCH")</f>
        <v>Same</v>
      </c>
    </row>
    <row r="76" spans="2:22">
      <c r="B76" t="s">
        <v>176</v>
      </c>
      <c r="C76" s="31" t="str">
        <f>+VLOOKUP(B76,'Country &amp; Code Abbreviation'!$B$3:$C$245,2,FALSE)</f>
        <v>IE</v>
      </c>
      <c r="D76" s="31" t="str">
        <f>+VLOOKUP(B76,'INT Web'!$B$5:$Q$248,16,FALSE)</f>
        <v>EUR</v>
      </c>
      <c r="E76" s="32" t="s">
        <v>368</v>
      </c>
      <c r="F76" s="33">
        <f>+IFERROR(IF($E76=VLOOKUP($B76,Apple!$B$3:$I$176,Apple!$E$1,FALSE),VLOOKUP(Google!$B76,Apple!$B$3:$I$176,Apple!F$1,FALSE),VLOOKUP($B76,'INT Web'!$B$5:$U$247,'INT Web'!R$1,FALSE)),MROUND(VLOOKUP($B76,'INT Web'!$B$5:$AQ$247,'INT Web'!AL$1,FALSE),1)-0.01)</f>
        <v>159.99</v>
      </c>
      <c r="G76" s="33">
        <f>+IFERROR(IF($E76=VLOOKUP($B76,Apple!$B$3:$I$176,Apple!$E$1,FALSE),VLOOKUP(Google!$B76,Apple!$B$3:$I$176,Apple!G$1,FALSE),VLOOKUP($B76,'INT Web'!$B$5:$U$247,'INT Web'!S$1,FALSE)),MROUND(VLOOKUP($B76,'INT Web'!$B$5:$AQ$247,'INT Web'!AM$1,FALSE),1)-0.01)</f>
        <v>24.99</v>
      </c>
      <c r="H76" s="33">
        <f>+IFERROR(IF($E76=VLOOKUP($B76,Apple!$B$3:$I$176,Apple!$E$1,FALSE),VLOOKUP(Google!$B76,Apple!$B$3:$I$176,Apple!H$1,FALSE),VLOOKUP($B76,'INT Web'!$B$5:$U$247,'INT Web'!T$1,FALSE)),MROUND(VLOOKUP($B76,'INT Web'!$B$5:$AQ$247,'INT Web'!AN$1,FALSE),1)-0.01)</f>
        <v>121.99</v>
      </c>
      <c r="I76" s="33">
        <f>+IFERROR(IF($E76=VLOOKUP($B76,Apple!$B$3:$I$176,Apple!$E$1,FALSE),VLOOKUP(Google!$B76,Apple!$B$3:$I$176,Apple!I$1,FALSE),VLOOKUP($B76,'INT Web'!$B$5:$U$247,'INT Web'!U$1,FALSE)),MROUND(VLOOKUP($B76,'INT Web'!$B$5:$AQ$247,'INT Web'!AO$1,FALSE),1)-0.01)</f>
        <v>18.989999999999998</v>
      </c>
      <c r="J76" s="33">
        <f>+IF($E76=VLOOKUP($B76,Apple!$B$3:$E$176,4,FALSE),VLOOKUP(Google!$B76,Apple!$B$3:$M$176,Apple!J$1,FALSE),VLOOKUP($B76,'[6]Single Game'!$B$4:$P$238,'[6]Single Game'!M$1,FALSE))</f>
        <v>6.99</v>
      </c>
      <c r="K76" s="33">
        <f>+IF($E76=VLOOKUP($B76,Apple!$B$3:$E$176,4,FALSE),VLOOKUP(Google!$B76,Apple!$B$3:$M$176,Apple!K$1,FALSE),VLOOKUP($B76,'[6]Single Game'!$B$4:$P$238,'[6]Single Game'!N$1,FALSE))</f>
        <v>5.99</v>
      </c>
      <c r="L76" s="33">
        <f>+IF($E76=VLOOKUP($B76,Apple!$B$3:$E$176,4,FALSE),VLOOKUP(Google!$B76,Apple!$B$3:$M$176,Apple!L$1,FALSE),VLOOKUP($B76,'[6]Single Game'!$B$4:$P$238,'[6]Single Game'!O$1,FALSE))</f>
        <v>4.99</v>
      </c>
      <c r="M76" s="33">
        <f>+IF($E76=VLOOKUP($B76,Apple!$B$3:$E$176,4,FALSE),VLOOKUP(Google!$B76,Apple!$B$3:$M$176,Apple!M$1,FALSE),VLOOKUP($B76,'[6]Single Game'!$B$4:$P$238,'[6]Single Game'!P$1,FALSE))</f>
        <v>3.99</v>
      </c>
      <c r="O76" t="str">
        <f>IF(VLOOKUP($B76,[5]Google!$B$3:$I$174,[5]Google!F$1,FALSE)=F76,"Same","MISMATCH")</f>
        <v>Same</v>
      </c>
      <c r="P76" t="str">
        <f>IF(VLOOKUP($B76,[5]Google!$B$3:$I$174,[5]Google!G$1,FALSE)=G76,"Same","MISMATCH")</f>
        <v>Same</v>
      </c>
      <c r="Q76" t="str">
        <f>IF(VLOOKUP($B76,[5]Google!$B$3:$I$174,[5]Google!H$1,FALSE)=H76,"Same","MISMATCH")</f>
        <v>Same</v>
      </c>
      <c r="R76" t="str">
        <f>IF(VLOOKUP($B76,[5]Google!$B$3:$I$174,[5]Google!I$1,FALSE)=I76,"Same","MISMATCH")</f>
        <v>Same</v>
      </c>
      <c r="S76" t="str">
        <f>IF(VLOOKUP($B76,[5]Google!$B$3:$M$174,[5]Google!J$1,FALSE)=J76,"Same","MISMATCH")</f>
        <v>Same</v>
      </c>
      <c r="T76" t="str">
        <f>IF(VLOOKUP($B76,[5]Google!$B$3:$M$174,[5]Google!K$1,FALSE)=K76,"Same","MISMATCH")</f>
        <v>Same</v>
      </c>
      <c r="U76" t="str">
        <f>IF(VLOOKUP($B76,[5]Google!$B$3:$M$174,[5]Google!L$1,FALSE)=L76,"Same","MISMATCH")</f>
        <v>Same</v>
      </c>
      <c r="V76" t="str">
        <f>IF(VLOOKUP($B76,[5]Google!$B$3:$M$174,[5]Google!M$1,FALSE)=M76,"Same","MISMATCH")</f>
        <v>Same</v>
      </c>
    </row>
    <row r="77" spans="2:22">
      <c r="B77" t="s">
        <v>178</v>
      </c>
      <c r="C77" s="31" t="str">
        <f>+VLOOKUP(B77,'Country &amp; Code Abbreviation'!$B$3:$C$245,2,FALSE)</f>
        <v>IL</v>
      </c>
      <c r="D77" s="31" t="str">
        <f>+VLOOKUP(B77,'INT Web'!$B$5:$Q$248,16,FALSE)</f>
        <v>ILS</v>
      </c>
      <c r="E77" s="32" t="s">
        <v>380</v>
      </c>
      <c r="F77" s="33">
        <f>+IFERROR(IF($E77=VLOOKUP($B77,Apple!$B$3:$I$176,Apple!$E$1,FALSE),VLOOKUP(Google!$B77,Apple!$B$3:$I$176,Apple!F$1,FALSE),VLOOKUP($B77,'INT Web'!$B$5:$U$247,'INT Web'!R$1,FALSE)),MROUND(VLOOKUP($B77,'INT Web'!$B$5:$AQ$247,'INT Web'!AL$1,FALSE),1)-0.01)</f>
        <v>569.9</v>
      </c>
      <c r="G77" s="33">
        <f>+IFERROR(IF($E77=VLOOKUP($B77,Apple!$B$3:$I$176,Apple!$E$1,FALSE),VLOOKUP(Google!$B77,Apple!$B$3:$I$176,Apple!G$1,FALSE),VLOOKUP($B77,'INT Web'!$B$5:$U$247,'INT Web'!S$1,FALSE)),MROUND(VLOOKUP($B77,'INT Web'!$B$5:$AQ$247,'INT Web'!AM$1,FALSE),1)-0.01)</f>
        <v>88</v>
      </c>
      <c r="H77" s="33">
        <f>+IFERROR(IF($E77=VLOOKUP($B77,Apple!$B$3:$I$176,Apple!$E$1,FALSE),VLOOKUP(Google!$B77,Apple!$B$3:$I$176,Apple!H$1,FALSE),VLOOKUP($B77,'INT Web'!$B$5:$U$247,'INT Web'!T$1,FALSE)),MROUND(VLOOKUP($B77,'INT Web'!$B$5:$AQ$247,'INT Web'!AN$1,FALSE),1)-0.01)</f>
        <v>419.9</v>
      </c>
      <c r="I77" s="33">
        <f>+IFERROR(IF($E77=VLOOKUP($B77,Apple!$B$3:$I$176,Apple!$E$1,FALSE),VLOOKUP(Google!$B77,Apple!$B$3:$I$176,Apple!I$1,FALSE),VLOOKUP($B77,'INT Web'!$B$5:$U$247,'INT Web'!U$1,FALSE)),MROUND(VLOOKUP($B77,'INT Web'!$B$5:$AQ$247,'INT Web'!AO$1,FALSE),1)-0.01)</f>
        <v>65</v>
      </c>
      <c r="J77" s="33">
        <f>+IF($E77=VLOOKUP($B77,Apple!$B$3:$E$176,4,FALSE),VLOOKUP(Google!$B77,Apple!$B$3:$M$176,Apple!J$1,FALSE),VLOOKUP($B77,'[6]Single Game'!$B$4:$P$238,'[6]Single Game'!M$1,FALSE))</f>
        <v>25.9</v>
      </c>
      <c r="K77" s="33">
        <f>+IF($E77=VLOOKUP($B77,Apple!$B$3:$E$176,4,FALSE),VLOOKUP(Google!$B77,Apple!$B$3:$M$176,Apple!K$1,FALSE),VLOOKUP($B77,'[6]Single Game'!$B$4:$P$238,'[6]Single Game'!N$1,FALSE))</f>
        <v>19.899999999999999</v>
      </c>
      <c r="L77" s="33">
        <f>+IF($E77=VLOOKUP($B77,Apple!$B$3:$E$176,4,FALSE),VLOOKUP(Google!$B77,Apple!$B$3:$M$176,Apple!L$1,FALSE),VLOOKUP($B77,'[6]Single Game'!$B$4:$P$238,'[6]Single Game'!O$1,FALSE))</f>
        <v>13.9</v>
      </c>
      <c r="M77" s="33">
        <f>+IF($E77=VLOOKUP($B77,Apple!$B$3:$E$176,4,FALSE),VLOOKUP(Google!$B77,Apple!$B$3:$M$176,Apple!M$1,FALSE),VLOOKUP($B77,'[6]Single Game'!$B$4:$P$238,'[6]Single Game'!P$1,FALSE))</f>
        <v>10.9</v>
      </c>
      <c r="O77" t="str">
        <f>IF(VLOOKUP($B77,[5]Google!$B$3:$I$174,[5]Google!F$1,FALSE)=F77,"Same","MISMATCH")</f>
        <v>Same</v>
      </c>
      <c r="P77" t="str">
        <f>IF(VLOOKUP($B77,[5]Google!$B$3:$I$174,[5]Google!G$1,FALSE)=G77,"Same","MISMATCH")</f>
        <v>Same</v>
      </c>
      <c r="Q77" t="str">
        <f>IF(VLOOKUP($B77,[5]Google!$B$3:$I$174,[5]Google!H$1,FALSE)=H77,"Same","MISMATCH")</f>
        <v>Same</v>
      </c>
      <c r="R77" t="str">
        <f>IF(VLOOKUP($B77,[5]Google!$B$3:$I$174,[5]Google!I$1,FALSE)=I77,"Same","MISMATCH")</f>
        <v>Same</v>
      </c>
      <c r="S77" t="str">
        <f>IF(VLOOKUP($B77,[5]Google!$B$3:$M$174,[5]Google!J$1,FALSE)=J77,"Same","MISMATCH")</f>
        <v>Same</v>
      </c>
      <c r="T77" t="str">
        <f>IF(VLOOKUP($B77,[5]Google!$B$3:$M$174,[5]Google!K$1,FALSE)=K77,"Same","MISMATCH")</f>
        <v>Same</v>
      </c>
      <c r="U77" t="str">
        <f>IF(VLOOKUP($B77,[5]Google!$B$3:$M$174,[5]Google!L$1,FALSE)=L77,"Same","MISMATCH")</f>
        <v>Same</v>
      </c>
      <c r="V77" t="str">
        <f>IF(VLOOKUP($B77,[5]Google!$B$3:$M$174,[5]Google!M$1,FALSE)=M77,"Same","MISMATCH")</f>
        <v>Same</v>
      </c>
    </row>
    <row r="78" spans="2:22">
      <c r="B78" t="s">
        <v>179</v>
      </c>
      <c r="C78" s="31" t="str">
        <f>+VLOOKUP(B78,'Country &amp; Code Abbreviation'!$B$3:$C$245,2,FALSE)</f>
        <v>IT</v>
      </c>
      <c r="D78" s="31" t="str">
        <f>+VLOOKUP(B78,'INT Web'!$B$5:$Q$248,16,FALSE)</f>
        <v>EUR</v>
      </c>
      <c r="E78" s="32" t="s">
        <v>368</v>
      </c>
      <c r="F78" s="33">
        <f>+IFERROR(IF($E78=VLOOKUP($B78,Apple!$B$3:$I$176,Apple!$E$1,FALSE),VLOOKUP(Google!$B78,Apple!$B$3:$I$176,Apple!F$1,FALSE),VLOOKUP($B78,'INT Web'!$B$5:$U$247,'INT Web'!R$1,FALSE)),MROUND(VLOOKUP($B78,'INT Web'!$B$5:$AQ$247,'INT Web'!AL$1,FALSE),1)-0.01)</f>
        <v>149.99</v>
      </c>
      <c r="G78" s="33">
        <f>+IFERROR(IF($E78=VLOOKUP($B78,Apple!$B$3:$I$176,Apple!$E$1,FALSE),VLOOKUP(Google!$B78,Apple!$B$3:$I$176,Apple!G$1,FALSE),VLOOKUP($B78,'INT Web'!$B$5:$U$247,'INT Web'!S$1,FALSE)),MROUND(VLOOKUP($B78,'INT Web'!$B$5:$AQ$247,'INT Web'!AM$1,FALSE),1)-0.01)</f>
        <v>21.99</v>
      </c>
      <c r="H78" s="33">
        <f>+IFERROR(IF($E78=VLOOKUP($B78,Apple!$B$3:$I$176,Apple!$E$1,FALSE),VLOOKUP(Google!$B78,Apple!$B$3:$I$176,Apple!H$1,FALSE),VLOOKUP($B78,'INT Web'!$B$5:$U$247,'INT Web'!T$1,FALSE)),MROUND(VLOOKUP($B78,'INT Web'!$B$5:$AQ$247,'INT Web'!AN$1,FALSE),1)-0.01)</f>
        <v>109.99</v>
      </c>
      <c r="I78" s="33">
        <f>+IFERROR(IF($E78=VLOOKUP($B78,Apple!$B$3:$I$176,Apple!$E$1,FALSE),VLOOKUP(Google!$B78,Apple!$B$3:$I$176,Apple!I$1,FALSE),VLOOKUP($B78,'INT Web'!$B$5:$U$247,'INT Web'!U$1,FALSE)),MROUND(VLOOKUP($B78,'INT Web'!$B$5:$AQ$247,'INT Web'!AO$1,FALSE),1)-0.01)</f>
        <v>15.99</v>
      </c>
      <c r="J78" s="33">
        <f>+IF($E78=VLOOKUP($B78,Apple!$B$3:$E$176,4,FALSE),VLOOKUP(Google!$B78,Apple!$B$3:$M$176,Apple!J$1,FALSE),VLOOKUP($B78,'[6]Single Game'!$B$4:$P$238,'[6]Single Game'!M$1,FALSE))</f>
        <v>5.99</v>
      </c>
      <c r="K78" s="33">
        <f>+IF($E78=VLOOKUP($B78,Apple!$B$3:$E$176,4,FALSE),VLOOKUP(Google!$B78,Apple!$B$3:$M$176,Apple!K$1,FALSE),VLOOKUP($B78,'[6]Single Game'!$B$4:$P$238,'[6]Single Game'!N$1,FALSE))</f>
        <v>4.99</v>
      </c>
      <c r="L78" s="33">
        <f>+IF($E78=VLOOKUP($B78,Apple!$B$3:$E$176,4,FALSE),VLOOKUP(Google!$B78,Apple!$B$3:$M$176,Apple!L$1,FALSE),VLOOKUP($B78,'[6]Single Game'!$B$4:$P$238,'[6]Single Game'!O$1,FALSE))</f>
        <v>3.99</v>
      </c>
      <c r="M78" s="33">
        <f>+IF($E78=VLOOKUP($B78,Apple!$B$3:$E$176,4,FALSE),VLOOKUP(Google!$B78,Apple!$B$3:$M$176,Apple!M$1,FALSE),VLOOKUP($B78,'[6]Single Game'!$B$4:$P$238,'[6]Single Game'!P$1,FALSE))</f>
        <v>2.99</v>
      </c>
      <c r="O78" t="str">
        <f>IF(VLOOKUP($B78,[5]Google!$B$3:$I$174,[5]Google!F$1,FALSE)=F78,"Same","MISMATCH")</f>
        <v>Same</v>
      </c>
      <c r="P78" t="str">
        <f>IF(VLOOKUP($B78,[5]Google!$B$3:$I$174,[5]Google!G$1,FALSE)=G78,"Same","MISMATCH")</f>
        <v>Same</v>
      </c>
      <c r="Q78" t="str">
        <f>IF(VLOOKUP($B78,[5]Google!$B$3:$I$174,[5]Google!H$1,FALSE)=H78,"Same","MISMATCH")</f>
        <v>Same</v>
      </c>
      <c r="R78" t="str">
        <f>IF(VLOOKUP($B78,[5]Google!$B$3:$I$174,[5]Google!I$1,FALSE)=I78,"Same","MISMATCH")</f>
        <v>Same</v>
      </c>
      <c r="S78" t="str">
        <f>IF(VLOOKUP($B78,[5]Google!$B$3:$M$174,[5]Google!J$1,FALSE)=J78,"Same","MISMATCH")</f>
        <v>Same</v>
      </c>
      <c r="T78" t="str">
        <f>IF(VLOOKUP($B78,[5]Google!$B$3:$M$174,[5]Google!K$1,FALSE)=K78,"Same","MISMATCH")</f>
        <v>Same</v>
      </c>
      <c r="U78" t="str">
        <f>IF(VLOOKUP($B78,[5]Google!$B$3:$M$174,[5]Google!L$1,FALSE)=L78,"Same","MISMATCH")</f>
        <v>Same</v>
      </c>
      <c r="V78" t="str">
        <f>IF(VLOOKUP($B78,[5]Google!$B$3:$M$174,[5]Google!M$1,FALSE)=M78,"Same","MISMATCH")</f>
        <v>Same</v>
      </c>
    </row>
    <row r="79" spans="2:22">
      <c r="B79" t="s">
        <v>180</v>
      </c>
      <c r="C79" s="31" t="str">
        <f>+VLOOKUP(B79,'Country &amp; Code Abbreviation'!$B$3:$C$245,2,FALSE)</f>
        <v>JM</v>
      </c>
      <c r="D79" s="31" t="str">
        <f>+VLOOKUP(B79,'INT Web'!$B$5:$Q$248,16,FALSE)</f>
        <v>JMD</v>
      </c>
      <c r="E79" s="32" t="s">
        <v>346</v>
      </c>
      <c r="F79" s="33">
        <f>+IFERROR(IF($E79=VLOOKUP($B79,Apple!$B$3:$I$176,Apple!$E$1,FALSE),VLOOKUP(Google!$B79,Apple!$B$3:$I$176,Apple!F$1,FALSE),VLOOKUP($B79,'INT Web'!$B$5:$U$247,'INT Web'!R$1,FALSE)),MROUND(VLOOKUP($B79,'INT Web'!$B$5:$AQ$247,'INT Web'!AL$1,FALSE),1)-0.01)</f>
        <v>91.99</v>
      </c>
      <c r="G79" s="33">
        <f>+IFERROR(IF($E79=VLOOKUP($B79,Apple!$B$3:$I$176,Apple!$E$1,FALSE),VLOOKUP(Google!$B79,Apple!$B$3:$I$176,Apple!G$1,FALSE),VLOOKUP($B79,'INT Web'!$B$5:$U$247,'INT Web'!S$1,FALSE)),MROUND(VLOOKUP($B79,'INT Web'!$B$5:$AQ$247,'INT Web'!AM$1,FALSE),1)-0.01)</f>
        <v>14.99</v>
      </c>
      <c r="H79" s="33">
        <f>+IFERROR(IF($E79=VLOOKUP($B79,Apple!$B$3:$I$176,Apple!$E$1,FALSE),VLOOKUP(Google!$B79,Apple!$B$3:$I$176,Apple!H$1,FALSE),VLOOKUP($B79,'INT Web'!$B$5:$U$247,'INT Web'!T$1,FALSE)),MROUND(VLOOKUP($B79,'INT Web'!$B$5:$AQ$247,'INT Web'!AN$1,FALSE),1)-0.01)</f>
        <v>64.989999999999995</v>
      </c>
      <c r="I79" s="33">
        <f>+IFERROR(IF($E79=VLOOKUP($B79,Apple!$B$3:$I$176,Apple!$E$1,FALSE),VLOOKUP(Google!$B79,Apple!$B$3:$I$176,Apple!I$1,FALSE),VLOOKUP($B79,'INT Web'!$B$5:$U$247,'INT Web'!U$1,FALSE)),MROUND(VLOOKUP($B79,'INT Web'!$B$5:$AQ$247,'INT Web'!AO$1,FALSE),1)-0.01)</f>
        <v>10.99</v>
      </c>
      <c r="J79" s="33">
        <f>+IF($E79=VLOOKUP($B79,Apple!$B$3:$E$176,4,FALSE),VLOOKUP(Google!$B79,Apple!$B$3:$M$176,Apple!J$1,FALSE),VLOOKUP($B79,'[6]Single Game'!$B$4:$P$238,'[6]Single Game'!M$1,FALSE))</f>
        <v>3.99</v>
      </c>
      <c r="K79" s="33">
        <f>+IF($E79=VLOOKUP($B79,Apple!$B$3:$E$176,4,FALSE),VLOOKUP(Google!$B79,Apple!$B$3:$M$176,Apple!K$1,FALSE),VLOOKUP($B79,'[6]Single Game'!$B$4:$P$238,'[6]Single Game'!N$1,FALSE))</f>
        <v>3.99</v>
      </c>
      <c r="L79" s="33">
        <f>+IF($E79=VLOOKUP($B79,Apple!$B$3:$E$176,4,FALSE),VLOOKUP(Google!$B79,Apple!$B$3:$M$176,Apple!L$1,FALSE),VLOOKUP($B79,'[6]Single Game'!$B$4:$P$238,'[6]Single Game'!O$1,FALSE))</f>
        <v>1.99</v>
      </c>
      <c r="M79" s="33">
        <f>+IF($E79=VLOOKUP($B79,Apple!$B$3:$E$176,4,FALSE),VLOOKUP(Google!$B79,Apple!$B$3:$M$176,Apple!M$1,FALSE),VLOOKUP($B79,'[6]Single Game'!$B$4:$P$238,'[6]Single Game'!P$1,FALSE))</f>
        <v>1.99</v>
      </c>
      <c r="O79" t="str">
        <f>IF(VLOOKUP($B79,[5]Google!$B$3:$I$174,[5]Google!F$1,FALSE)=F79,"Same","MISMATCH")</f>
        <v>Same</v>
      </c>
      <c r="P79" t="str">
        <f>IF(VLOOKUP($B79,[5]Google!$B$3:$I$174,[5]Google!G$1,FALSE)=G79,"Same","MISMATCH")</f>
        <v>Same</v>
      </c>
      <c r="Q79" t="str">
        <f>IF(VLOOKUP($B79,[5]Google!$B$3:$I$174,[5]Google!H$1,FALSE)=H79,"Same","MISMATCH")</f>
        <v>Same</v>
      </c>
      <c r="R79" t="str">
        <f>IF(VLOOKUP($B79,[5]Google!$B$3:$I$174,[5]Google!I$1,FALSE)=I79,"Same","MISMATCH")</f>
        <v>Same</v>
      </c>
      <c r="S79" t="str">
        <f>IF(VLOOKUP($B79,[5]Google!$B$3:$M$174,[5]Google!J$1,FALSE)=J79,"Same","MISMATCH")</f>
        <v>Same</v>
      </c>
      <c r="T79" t="str">
        <f>IF(VLOOKUP($B79,[5]Google!$B$3:$M$174,[5]Google!K$1,FALSE)=K79,"Same","MISMATCH")</f>
        <v>Same</v>
      </c>
      <c r="U79" t="str">
        <f>IF(VLOOKUP($B79,[5]Google!$B$3:$M$174,[5]Google!L$1,FALSE)=L79,"Same","MISMATCH")</f>
        <v>Same</v>
      </c>
      <c r="V79" t="str">
        <f>IF(VLOOKUP($B79,[5]Google!$B$3:$M$174,[5]Google!M$1,FALSE)=M79,"Same","MISMATCH")</f>
        <v>Same</v>
      </c>
    </row>
    <row r="80" spans="2:22">
      <c r="B80" t="s">
        <v>181</v>
      </c>
      <c r="C80" s="32" t="s">
        <v>353</v>
      </c>
      <c r="D80" s="31" t="str">
        <f>+VLOOKUP(B80,'INT Web'!$B$5:$Q$248,16,FALSE)</f>
        <v>JPY</v>
      </c>
      <c r="E80" s="32" t="s">
        <v>352</v>
      </c>
      <c r="F80" s="33">
        <f>+Apple!F78</f>
        <v>25000</v>
      </c>
      <c r="G80" s="33">
        <f>+Apple!G78</f>
        <v>4190</v>
      </c>
      <c r="H80" s="33">
        <f>+Apple!H78</f>
        <v>19000</v>
      </c>
      <c r="I80" s="33">
        <f>+Apple!I78</f>
        <v>3190</v>
      </c>
      <c r="J80" s="33">
        <f>+Apple!J78</f>
        <v>1190</v>
      </c>
      <c r="K80" s="33">
        <f>+Apple!K78</f>
        <v>940</v>
      </c>
      <c r="L80" s="33">
        <f>+Apple!L78</f>
        <v>690</v>
      </c>
      <c r="M80" s="33">
        <f>+Apple!M78</f>
        <v>440</v>
      </c>
      <c r="O80" t="str">
        <f>IF(VLOOKUP($B80,[5]Google!$B$3:$I$174,[5]Google!F$1,FALSE)=F80,"Same","MISMATCH")</f>
        <v>Same</v>
      </c>
      <c r="P80" t="str">
        <f>IF(VLOOKUP($B80,[5]Google!$B$3:$I$174,[5]Google!G$1,FALSE)=G80,"Same","MISMATCH")</f>
        <v>Same</v>
      </c>
      <c r="Q80" t="str">
        <f>IF(VLOOKUP($B80,[5]Google!$B$3:$I$174,[5]Google!H$1,FALSE)=H80,"Same","MISMATCH")</f>
        <v>Same</v>
      </c>
      <c r="R80" t="str">
        <f>IF(VLOOKUP($B80,[5]Google!$B$3:$I$174,[5]Google!I$1,FALSE)=I80,"Same","MISMATCH")</f>
        <v>Same</v>
      </c>
      <c r="S80" t="str">
        <f>IF(VLOOKUP($B80,[5]Google!$B$3:$M$174,[5]Google!J$1,FALSE)=J80,"Same","MISMATCH")</f>
        <v>Same</v>
      </c>
      <c r="T80" t="str">
        <f>IF(VLOOKUP($B80,[5]Google!$B$3:$M$174,[5]Google!K$1,FALSE)=K80,"Same","MISMATCH")</f>
        <v>Same</v>
      </c>
      <c r="U80" t="str">
        <f>IF(VLOOKUP($B80,[5]Google!$B$3:$M$174,[5]Google!L$1,FALSE)=L80,"Same","MISMATCH")</f>
        <v>Same</v>
      </c>
      <c r="V80" t="str">
        <f>IF(VLOOKUP($B80,[5]Google!$B$3:$M$174,[5]Google!M$1,FALSE)=M80,"Same","MISMATCH")</f>
        <v>Same</v>
      </c>
    </row>
    <row r="81" spans="2:22">
      <c r="B81" t="s">
        <v>184</v>
      </c>
      <c r="C81" s="31" t="str">
        <f>+VLOOKUP(B81,'Country &amp; Code Abbreviation'!$B$3:$C$245,2,FALSE)</f>
        <v>JO</v>
      </c>
      <c r="D81" s="31" t="str">
        <f>+VLOOKUP(B81,'INT Web'!$B$5:$Q$248,16,FALSE)</f>
        <v>JOD</v>
      </c>
      <c r="E81" s="32" t="s">
        <v>422</v>
      </c>
      <c r="F81" s="33">
        <f>+IFERROR(IF($E81=VLOOKUP($B81,Apple!$B$3:$I$176,Apple!$E$1,FALSE),VLOOKUP(Google!$B81,Apple!$B$3:$I$176,Apple!F$1,FALSE),VLOOKUP($B81,'INT Web'!$B$5:$U$247,'INT Web'!R$1,FALSE)),MROUND(VLOOKUP($B81,'INT Web'!$B$5:$AQ$247,'INT Web'!AL$1,FALSE),1)-0.01)</f>
        <v>79.998999999999995</v>
      </c>
      <c r="G81" s="33">
        <f>+IFERROR(IF($E81=VLOOKUP($B81,Apple!$B$3:$I$176,Apple!$E$1,FALSE),VLOOKUP(Google!$B81,Apple!$B$3:$I$176,Apple!G$1,FALSE),VLOOKUP($B81,'INT Web'!$B$5:$U$247,'INT Web'!S$1,FALSE)),MROUND(VLOOKUP($B81,'INT Web'!$B$5:$AQ$247,'INT Web'!AM$1,FALSE),1)-0.01)</f>
        <v>11.999000000000001</v>
      </c>
      <c r="H81" s="33">
        <f>+IFERROR(IF($E81=VLOOKUP($B81,Apple!$B$3:$I$176,Apple!$E$1,FALSE),VLOOKUP(Google!$B81,Apple!$B$3:$I$176,Apple!H$1,FALSE),VLOOKUP($B81,'INT Web'!$B$5:$U$247,'INT Web'!T$1,FALSE)),MROUND(VLOOKUP($B81,'INT Web'!$B$5:$AQ$247,'INT Web'!AN$1,FALSE),1)-0.01)</f>
        <v>59.999000000000002</v>
      </c>
      <c r="I81" s="33">
        <f>+IFERROR(IF($E81=VLOOKUP($B81,Apple!$B$3:$I$176,Apple!$E$1,FALSE),VLOOKUP(Google!$B81,Apple!$B$3:$I$176,Apple!I$1,FALSE),VLOOKUP($B81,'INT Web'!$B$5:$U$247,'INT Web'!U$1,FALSE)),MROUND(VLOOKUP($B81,'INT Web'!$B$5:$AQ$247,'INT Web'!AO$1,FALSE),1)-0.01)</f>
        <v>8.9990000000000006</v>
      </c>
      <c r="J81" s="33">
        <f>+IF($E81=VLOOKUP($B81,Apple!$B$3:$E$176,4,FALSE),VLOOKUP(Google!$B81,Apple!$B$3:$M$176,Apple!J$1,FALSE),VLOOKUP($B81,'[6]Single Game'!$B$4:$P$238,'[6]Single Game'!M$1,FALSE))</f>
        <v>2.9990000000000001</v>
      </c>
      <c r="K81" s="33">
        <f>+IF($E81=VLOOKUP($B81,Apple!$B$3:$E$176,4,FALSE),VLOOKUP(Google!$B81,Apple!$B$3:$M$176,Apple!K$1,FALSE),VLOOKUP($B81,'[6]Single Game'!$B$4:$P$238,'[6]Single Game'!N$1,FALSE))</f>
        <v>2.4990000000000001</v>
      </c>
      <c r="L81" s="33">
        <f>+IF($E81=VLOOKUP($B81,Apple!$B$3:$E$176,4,FALSE),VLOOKUP(Google!$B81,Apple!$B$3:$M$176,Apple!L$1,FALSE),VLOOKUP($B81,'[6]Single Game'!$B$4:$P$238,'[6]Single Game'!O$1,FALSE))</f>
        <v>1.9990000000000001</v>
      </c>
      <c r="M81" s="33">
        <f>+IF($E81=VLOOKUP($B81,Apple!$B$3:$E$176,4,FALSE),VLOOKUP(Google!$B81,Apple!$B$3:$M$176,Apple!M$1,FALSE),VLOOKUP($B81,'[6]Single Game'!$B$4:$P$238,'[6]Single Game'!P$1,FALSE))</f>
        <v>1.4990000000000001</v>
      </c>
      <c r="O81" t="str">
        <f>IF(VLOOKUP($B81,[5]Google!$B$3:$I$174,[5]Google!F$1,FALSE)=F81,"Same","MISMATCH")</f>
        <v>Same</v>
      </c>
      <c r="P81" t="str">
        <f>IF(VLOOKUP($B81,[5]Google!$B$3:$I$174,[5]Google!G$1,FALSE)=G81,"Same","MISMATCH")</f>
        <v>Same</v>
      </c>
      <c r="Q81" t="str">
        <f>IF(VLOOKUP($B81,[5]Google!$B$3:$I$174,[5]Google!H$1,FALSE)=H81,"Same","MISMATCH")</f>
        <v>Same</v>
      </c>
      <c r="R81" t="str">
        <f>IF(VLOOKUP($B81,[5]Google!$B$3:$I$174,[5]Google!I$1,FALSE)=I81,"Same","MISMATCH")</f>
        <v>Same</v>
      </c>
      <c r="S81" t="str">
        <f>IF(VLOOKUP($B81,[5]Google!$B$3:$M$174,[5]Google!J$1,FALSE)=J81,"Same","MISMATCH")</f>
        <v>Same</v>
      </c>
      <c r="T81" t="str">
        <f>IF(VLOOKUP($B81,[5]Google!$B$3:$M$174,[5]Google!K$1,FALSE)=K81,"Same","MISMATCH")</f>
        <v>Same</v>
      </c>
      <c r="U81" t="str">
        <f>IF(VLOOKUP($B81,[5]Google!$B$3:$M$174,[5]Google!L$1,FALSE)=L81,"Same","MISMATCH")</f>
        <v>Same</v>
      </c>
      <c r="V81" t="str">
        <f>IF(VLOOKUP($B81,[5]Google!$B$3:$M$174,[5]Google!M$1,FALSE)=M81,"Same","MISMATCH")</f>
        <v>Same</v>
      </c>
    </row>
    <row r="82" spans="2:22">
      <c r="B82" t="s">
        <v>185</v>
      </c>
      <c r="C82" s="31" t="str">
        <f>+VLOOKUP(B82,'Country &amp; Code Abbreviation'!$B$3:$C$245,2,FALSE)</f>
        <v>KZ</v>
      </c>
      <c r="D82" s="31" t="str">
        <f>+VLOOKUP(B82,'INT Web'!$B$5:$Q$248,16,FALSE)</f>
        <v>KZT</v>
      </c>
      <c r="E82" s="32" t="s">
        <v>381</v>
      </c>
      <c r="F82" s="33">
        <f>+IFERROR(IF($E82=VLOOKUP($B82,Apple!$B$3:$I$176,Apple!$E$1,FALSE),VLOOKUP(Google!$B82,Apple!$B$3:$I$176,Apple!F$1,FALSE),VLOOKUP($B82,'INT Web'!$B$5:$U$247,'INT Web'!R$1,FALSE)),MROUND(VLOOKUP($B82,'INT Web'!$B$5:$AQ$247,'INT Web'!AL$1,FALSE),1)-0.01)</f>
        <v>37490</v>
      </c>
      <c r="G82" s="33">
        <f>+IFERROR(IF($E82=VLOOKUP($B82,Apple!$B$3:$I$176,Apple!$E$1,FALSE),VLOOKUP(Google!$B82,Apple!$B$3:$I$176,Apple!G$1,FALSE),VLOOKUP($B82,'INT Web'!$B$5:$U$247,'INT Web'!S$1,FALSE)),MROUND(VLOOKUP($B82,'INT Web'!$B$5:$AQ$247,'INT Web'!AM$1,FALSE),1)-0.01)</f>
        <v>6190</v>
      </c>
      <c r="H82" s="33">
        <f>+IFERROR(IF($E82=VLOOKUP($B82,Apple!$B$3:$I$176,Apple!$E$1,FALSE),VLOOKUP(Google!$B82,Apple!$B$3:$I$176,Apple!H$1,FALSE),VLOOKUP($B82,'INT Web'!$B$5:$U$247,'INT Web'!T$1,FALSE)),MROUND(VLOOKUP($B82,'INT Web'!$B$5:$AQ$247,'INT Web'!AN$1,FALSE),1)-0.01)</f>
        <v>27490</v>
      </c>
      <c r="I82" s="33">
        <f>+IFERROR(IF($E82=VLOOKUP($B82,Apple!$B$3:$I$176,Apple!$E$1,FALSE),VLOOKUP(Google!$B82,Apple!$B$3:$I$176,Apple!I$1,FALSE),VLOOKUP($B82,'INT Web'!$B$5:$U$247,'INT Web'!U$1,FALSE)),MROUND(VLOOKUP($B82,'INT Web'!$B$5:$AQ$247,'INT Web'!AO$1,FALSE),1)-0.01)</f>
        <v>4600</v>
      </c>
      <c r="J82" s="33">
        <f>+IF($E82=VLOOKUP($B82,Apple!$B$3:$E$176,4,FALSE),VLOOKUP(Google!$B82,Apple!$B$3:$M$176,Apple!J$1,FALSE),VLOOKUP($B82,'[6]Single Game'!$B$4:$P$238,'[6]Single Game'!M$1,FALSE))</f>
        <v>1990</v>
      </c>
      <c r="K82" s="33">
        <f>+IF($E82=VLOOKUP($B82,Apple!$B$3:$E$176,4,FALSE),VLOOKUP(Google!$B82,Apple!$B$3:$M$176,Apple!K$1,FALSE),VLOOKUP($B82,'[6]Single Game'!$B$4:$P$238,'[6]Single Game'!N$1,FALSE))</f>
        <v>1990</v>
      </c>
      <c r="L82" s="33">
        <f>+IF($E82=VLOOKUP($B82,Apple!$B$3:$E$176,4,FALSE),VLOOKUP(Google!$B82,Apple!$B$3:$M$176,Apple!L$1,FALSE),VLOOKUP($B82,'[6]Single Game'!$B$4:$P$238,'[6]Single Game'!O$1,FALSE))</f>
        <v>999</v>
      </c>
      <c r="M82" s="33">
        <f>+IF($E82=VLOOKUP($B82,Apple!$B$3:$E$176,4,FALSE),VLOOKUP(Google!$B82,Apple!$B$3:$M$176,Apple!M$1,FALSE),VLOOKUP($B82,'[6]Single Game'!$B$4:$P$238,'[6]Single Game'!P$1,FALSE))</f>
        <v>999</v>
      </c>
      <c r="O82" t="str">
        <f>IF(VLOOKUP($B82,[5]Google!$B$3:$I$174,[5]Google!F$1,FALSE)=F82,"Same","MISMATCH")</f>
        <v>Same</v>
      </c>
      <c r="P82" t="str">
        <f>IF(VLOOKUP($B82,[5]Google!$B$3:$I$174,[5]Google!G$1,FALSE)=G82,"Same","MISMATCH")</f>
        <v>Same</v>
      </c>
      <c r="Q82" t="str">
        <f>IF(VLOOKUP($B82,[5]Google!$B$3:$I$174,[5]Google!H$1,FALSE)=H82,"Same","MISMATCH")</f>
        <v>Same</v>
      </c>
      <c r="R82" t="str">
        <f>IF(VLOOKUP($B82,[5]Google!$B$3:$I$174,[5]Google!I$1,FALSE)=I82,"Same","MISMATCH")</f>
        <v>Same</v>
      </c>
      <c r="S82" t="str">
        <f>IF(VLOOKUP($B82,[5]Google!$B$3:$M$174,[5]Google!J$1,FALSE)=J82,"Same","MISMATCH")</f>
        <v>Same</v>
      </c>
      <c r="T82" t="str">
        <f>IF(VLOOKUP($B82,[5]Google!$B$3:$M$174,[5]Google!K$1,FALSE)=K82,"Same","MISMATCH")</f>
        <v>Same</v>
      </c>
      <c r="U82" t="str">
        <f>IF(VLOOKUP($B82,[5]Google!$B$3:$M$174,[5]Google!L$1,FALSE)=L82,"Same","MISMATCH")</f>
        <v>Same</v>
      </c>
      <c r="V82" t="str">
        <f>IF(VLOOKUP($B82,[5]Google!$B$3:$M$174,[5]Google!M$1,FALSE)=M82,"Same","MISMATCH")</f>
        <v>Same</v>
      </c>
    </row>
    <row r="83" spans="2:22">
      <c r="B83" t="s">
        <v>186</v>
      </c>
      <c r="C83" s="31" t="str">
        <f>+VLOOKUP(B83,'Country &amp; Code Abbreviation'!$B$3:$C$245,2,FALSE)</f>
        <v>KE</v>
      </c>
      <c r="D83" s="31" t="str">
        <f>+VLOOKUP(B83,'INT Web'!$B$5:$Q$248,16,FALSE)</f>
        <v>KES</v>
      </c>
      <c r="E83" s="32" t="s">
        <v>423</v>
      </c>
      <c r="F83" s="33">
        <f>+IFERROR(IF($E83=VLOOKUP($B83,Apple!$B$3:$I$176,Apple!$E$1,FALSE),VLOOKUP(Google!$B83,Apple!$B$3:$I$176,Apple!F$1,FALSE),VLOOKUP($B83,'INT Web'!$B$5:$U$247,'INT Web'!R$1,FALSE)),MROUND(VLOOKUP($B83,'INT Web'!$B$5:$AQ$247,'INT Web'!AL$1,FALSE),1)-0.01)</f>
        <v>8940</v>
      </c>
      <c r="G83" s="33">
        <f>+IFERROR(IF($E83=VLOOKUP($B83,Apple!$B$3:$I$176,Apple!$E$1,FALSE),VLOOKUP(Google!$B83,Apple!$B$3:$I$176,Apple!G$1,FALSE),VLOOKUP($B83,'INT Web'!$B$5:$U$247,'INT Web'!S$1,FALSE)),MROUND(VLOOKUP($B83,'INT Web'!$B$5:$AQ$247,'INT Web'!AM$1,FALSE),1)-0.01)</f>
        <v>1490</v>
      </c>
      <c r="H83" s="33">
        <f>+IFERROR(IF($E83=VLOOKUP($B83,Apple!$B$3:$I$176,Apple!$E$1,FALSE),VLOOKUP(Google!$B83,Apple!$B$3:$I$176,Apple!H$1,FALSE),VLOOKUP($B83,'INT Web'!$B$5:$U$247,'INT Web'!T$1,FALSE)),MROUND(VLOOKUP($B83,'INT Web'!$B$5:$AQ$247,'INT Web'!AN$1,FALSE),1)-0.01)</f>
        <v>6600</v>
      </c>
      <c r="I83" s="33">
        <f>+IFERROR(IF($E83=VLOOKUP($B83,Apple!$B$3:$I$176,Apple!$E$1,FALSE),VLOOKUP(Google!$B83,Apple!$B$3:$I$176,Apple!I$1,FALSE),VLOOKUP($B83,'INT Web'!$B$5:$U$247,'INT Web'!U$1,FALSE)),MROUND(VLOOKUP($B83,'INT Web'!$B$5:$AQ$247,'INT Web'!AO$1,FALSE),1)-0.01)</f>
        <v>1100</v>
      </c>
      <c r="J83" s="34">
        <v>490</v>
      </c>
      <c r="K83" s="34">
        <v>420</v>
      </c>
      <c r="L83" s="34">
        <v>350</v>
      </c>
      <c r="M83" s="34">
        <v>280</v>
      </c>
      <c r="O83" t="str">
        <f>IF(VLOOKUP($B83,[5]Google!$B$3:$I$174,[5]Google!F$1,FALSE)=F83,"Same","MISMATCH")</f>
        <v>Same</v>
      </c>
      <c r="P83" t="str">
        <f>IF(VLOOKUP($B83,[5]Google!$B$3:$I$174,[5]Google!G$1,FALSE)=G83,"Same","MISMATCH")</f>
        <v>Same</v>
      </c>
      <c r="Q83" t="str">
        <f>IF(VLOOKUP($B83,[5]Google!$B$3:$I$174,[5]Google!H$1,FALSE)=H83,"Same","MISMATCH")</f>
        <v>Same</v>
      </c>
      <c r="R83" t="str">
        <f>IF(VLOOKUP($B83,[5]Google!$B$3:$I$174,[5]Google!I$1,FALSE)=I83,"Same","MISMATCH")</f>
        <v>Same</v>
      </c>
      <c r="S83" t="str">
        <f>IF(VLOOKUP($B83,[5]Google!$B$3:$M$174,[5]Google!J$1,FALSE)=J83,"Same","MISMATCH")</f>
        <v>Same</v>
      </c>
      <c r="T83" t="str">
        <f>IF(VLOOKUP($B83,[5]Google!$B$3:$M$174,[5]Google!K$1,FALSE)=K83,"Same","MISMATCH")</f>
        <v>Same</v>
      </c>
      <c r="U83" t="str">
        <f>IF(VLOOKUP($B83,[5]Google!$B$3:$M$174,[5]Google!L$1,FALSE)=L83,"Same","MISMATCH")</f>
        <v>Same</v>
      </c>
      <c r="V83" t="str">
        <f>IF(VLOOKUP($B83,[5]Google!$B$3:$M$174,[5]Google!M$1,FALSE)=M83,"Same","MISMATCH")</f>
        <v>Same</v>
      </c>
    </row>
    <row r="84" spans="2:22">
      <c r="B84" t="s">
        <v>189</v>
      </c>
      <c r="C84" s="31" t="str">
        <f>+VLOOKUP(B84,'Country &amp; Code Abbreviation'!$B$3:$C$245,2,FALSE)</f>
        <v>KW</v>
      </c>
      <c r="D84" s="31" t="str">
        <f>+VLOOKUP(B84,'INT Web'!$B$5:$Q$248,16,FALSE)</f>
        <v>KWD</v>
      </c>
      <c r="E84" s="32" t="s">
        <v>346</v>
      </c>
      <c r="F84" s="33">
        <f>+IFERROR(IF($E84=VLOOKUP($B84,Apple!$B$3:$I$176,Apple!$E$1,FALSE),VLOOKUP(Google!$B84,Apple!$B$3:$I$176,Apple!F$1,FALSE),VLOOKUP($B84,'INT Web'!$B$5:$U$247,'INT Web'!R$1,FALSE)),MROUND(VLOOKUP($B84,'INT Web'!$B$5:$AQ$247,'INT Web'!AL$1,FALSE),1)-0.01)</f>
        <v>214.99</v>
      </c>
      <c r="G84" s="33">
        <f>+IFERROR(IF($E84=VLOOKUP($B84,Apple!$B$3:$I$176,Apple!$E$1,FALSE),VLOOKUP(Google!$B84,Apple!$B$3:$I$176,Apple!G$1,FALSE),VLOOKUP($B84,'INT Web'!$B$5:$U$247,'INT Web'!S$1,FALSE)),MROUND(VLOOKUP($B84,'INT Web'!$B$5:$AQ$247,'INT Web'!AM$1,FALSE),1)-0.01)</f>
        <v>32.99</v>
      </c>
      <c r="H84" s="33">
        <f>+IFERROR(IF($E84=VLOOKUP($B84,Apple!$B$3:$I$176,Apple!$E$1,FALSE),VLOOKUP(Google!$B84,Apple!$B$3:$I$176,Apple!H$1,FALSE),VLOOKUP($B84,'INT Web'!$B$5:$U$247,'INT Web'!T$1,FALSE)),MROUND(VLOOKUP($B84,'INT Web'!$B$5:$AQ$247,'INT Web'!AN$1,FALSE),1)-0.01)</f>
        <v>162.99</v>
      </c>
      <c r="I84" s="33">
        <f>+IFERROR(IF($E84=VLOOKUP($B84,Apple!$B$3:$I$176,Apple!$E$1,FALSE),VLOOKUP(Google!$B84,Apple!$B$3:$I$176,Apple!I$1,FALSE),VLOOKUP($B84,'INT Web'!$B$5:$U$247,'INT Web'!U$1,FALSE)),MROUND(VLOOKUP($B84,'INT Web'!$B$5:$AQ$247,'INT Web'!AO$1,FALSE),1)-0.01)</f>
        <v>22.99</v>
      </c>
      <c r="J84" s="33">
        <f>+IF($E84=VLOOKUP($B84,Apple!$B$3:$E$176,4,FALSE),VLOOKUP(Google!$B84,Apple!$B$3:$M$176,Apple!J$1,FALSE),VLOOKUP($B84,'[6]Single Game'!$B$4:$P$238,'[6]Single Game'!M$1,FALSE))</f>
        <v>6.99</v>
      </c>
      <c r="K84" s="33">
        <f>+IF($E84=VLOOKUP($B84,Apple!$B$3:$E$176,4,FALSE),VLOOKUP(Google!$B84,Apple!$B$3:$M$176,Apple!K$1,FALSE),VLOOKUP($B84,'[6]Single Game'!$B$4:$P$238,'[6]Single Game'!N$1,FALSE))</f>
        <v>6.99</v>
      </c>
      <c r="L84" s="33">
        <f>+IF($E84=VLOOKUP($B84,Apple!$B$3:$E$176,4,FALSE),VLOOKUP(Google!$B84,Apple!$B$3:$M$176,Apple!L$1,FALSE),VLOOKUP($B84,'[6]Single Game'!$B$4:$P$238,'[6]Single Game'!O$1,FALSE))</f>
        <v>3.99</v>
      </c>
      <c r="M84" s="33">
        <f>+IF($E84=VLOOKUP($B84,Apple!$B$3:$E$176,4,FALSE),VLOOKUP(Google!$B84,Apple!$B$3:$M$176,Apple!M$1,FALSE),VLOOKUP($B84,'[6]Single Game'!$B$4:$P$238,'[6]Single Game'!P$1,FALSE))</f>
        <v>3.99</v>
      </c>
      <c r="O84" t="str">
        <f>IF(VLOOKUP($B84,[5]Google!$B$3:$I$174,[5]Google!F$1,FALSE)=F84,"Same","MISMATCH")</f>
        <v>Same</v>
      </c>
      <c r="P84" t="str">
        <f>IF(VLOOKUP($B84,[5]Google!$B$3:$I$174,[5]Google!G$1,FALSE)=G84,"Same","MISMATCH")</f>
        <v>Same</v>
      </c>
      <c r="Q84" t="str">
        <f>IF(VLOOKUP($B84,[5]Google!$B$3:$I$174,[5]Google!H$1,FALSE)=H84,"Same","MISMATCH")</f>
        <v>Same</v>
      </c>
      <c r="R84" t="str">
        <f>IF(VLOOKUP($B84,[5]Google!$B$3:$I$174,[5]Google!I$1,FALSE)=I84,"Same","MISMATCH")</f>
        <v>Same</v>
      </c>
      <c r="S84" t="str">
        <f>IF(VLOOKUP($B84,[5]Google!$B$3:$M$174,[5]Google!J$1,FALSE)=J84,"Same","MISMATCH")</f>
        <v>Same</v>
      </c>
      <c r="T84" t="str">
        <f>IF(VLOOKUP($B84,[5]Google!$B$3:$M$174,[5]Google!K$1,FALSE)=K84,"Same","MISMATCH")</f>
        <v>Same</v>
      </c>
      <c r="U84" t="str">
        <f>IF(VLOOKUP($B84,[5]Google!$B$3:$M$174,[5]Google!L$1,FALSE)=L84,"Same","MISMATCH")</f>
        <v>Same</v>
      </c>
      <c r="V84" t="str">
        <f>IF(VLOOKUP($B84,[5]Google!$B$3:$M$174,[5]Google!M$1,FALSE)=M84,"Same","MISMATCH")</f>
        <v>Same</v>
      </c>
    </row>
    <row r="85" spans="2:22">
      <c r="B85" t="s">
        <v>190</v>
      </c>
      <c r="C85" s="31" t="str">
        <f>+VLOOKUP(B85,'Country &amp; Code Abbreviation'!$B$3:$C$245,2,FALSE)</f>
        <v>KG</v>
      </c>
      <c r="D85" s="31" t="str">
        <f>+VLOOKUP(B85,'INT Web'!$B$5:$Q$248,16,FALSE)</f>
        <v>KGS</v>
      </c>
      <c r="E85" s="32" t="s">
        <v>346</v>
      </c>
      <c r="F85" s="33">
        <f>+IFERROR(IF($E85=VLOOKUP($B85,Apple!$B$3:$I$176,Apple!$E$1,FALSE),VLOOKUP(Google!$B85,Apple!$B$3:$I$176,Apple!F$1,FALSE),VLOOKUP($B85,'INT Web'!$B$5:$U$247,'INT Web'!R$1,FALSE)),MROUND(VLOOKUP($B85,'INT Web'!$B$5:$AQ$247,'INT Web'!AL$1,FALSE),1)-0.01)</f>
        <v>96.99</v>
      </c>
      <c r="G85" s="33">
        <f>+IFERROR(IF($E85=VLOOKUP($B85,Apple!$B$3:$I$176,Apple!$E$1,FALSE),VLOOKUP(Google!$B85,Apple!$B$3:$I$176,Apple!G$1,FALSE),VLOOKUP($B85,'INT Web'!$B$5:$U$247,'INT Web'!S$1,FALSE)),MROUND(VLOOKUP($B85,'INT Web'!$B$5:$AQ$247,'INT Web'!AM$1,FALSE),1)-0.01)</f>
        <v>15.99</v>
      </c>
      <c r="H85" s="33">
        <f>+IFERROR(IF($E85=VLOOKUP($B85,Apple!$B$3:$I$176,Apple!$E$1,FALSE),VLOOKUP(Google!$B85,Apple!$B$3:$I$176,Apple!H$1,FALSE),VLOOKUP($B85,'INT Web'!$B$5:$U$247,'INT Web'!T$1,FALSE)),MROUND(VLOOKUP($B85,'INT Web'!$B$5:$AQ$247,'INT Web'!AN$1,FALSE),1)-0.01)</f>
        <v>71.989999999999995</v>
      </c>
      <c r="I85" s="33">
        <f>+IFERROR(IF($E85=VLOOKUP($B85,Apple!$B$3:$I$176,Apple!$E$1,FALSE),VLOOKUP(Google!$B85,Apple!$B$3:$I$176,Apple!I$1,FALSE),VLOOKUP($B85,'INT Web'!$B$5:$U$247,'INT Web'!U$1,FALSE)),MROUND(VLOOKUP($B85,'INT Web'!$B$5:$AQ$247,'INT Web'!AO$1,FALSE),1)-0.01)</f>
        <v>11.99</v>
      </c>
      <c r="J85" s="33">
        <f>+IF($E85=VLOOKUP($B85,Apple!$B$3:$E$176,4,FALSE),VLOOKUP(Google!$B85,Apple!$B$3:$M$176,Apple!J$1,FALSE),VLOOKUP($B85,'[6]Single Game'!$B$4:$P$238,'[6]Single Game'!M$1,FALSE))</f>
        <v>4.49</v>
      </c>
      <c r="K85" s="33">
        <f>+IF($E85=VLOOKUP($B85,Apple!$B$3:$E$176,4,FALSE),VLOOKUP(Google!$B85,Apple!$B$3:$M$176,Apple!K$1,FALSE),VLOOKUP($B85,'[6]Single Game'!$B$4:$P$238,'[6]Single Game'!N$1,FALSE))</f>
        <v>3.49</v>
      </c>
      <c r="L85" s="33">
        <f>+IF($E85=VLOOKUP($B85,Apple!$B$3:$E$176,4,FALSE),VLOOKUP(Google!$B85,Apple!$B$3:$M$176,Apple!L$1,FALSE),VLOOKUP($B85,'[6]Single Game'!$B$4:$P$238,'[6]Single Game'!O$1,FALSE))</f>
        <v>2.29</v>
      </c>
      <c r="M85" s="33">
        <f>+IF($E85=VLOOKUP($B85,Apple!$B$3:$E$176,4,FALSE),VLOOKUP(Google!$B85,Apple!$B$3:$M$176,Apple!M$1,FALSE),VLOOKUP($B85,'[6]Single Game'!$B$4:$P$238,'[6]Single Game'!P$1,FALSE))</f>
        <v>1.0900000000000001</v>
      </c>
      <c r="O85" t="str">
        <f>IF(VLOOKUP($B85,[5]Google!$B$3:$I$174,[5]Google!F$1,FALSE)=F85,"Same","MISMATCH")</f>
        <v>Same</v>
      </c>
      <c r="P85" t="str">
        <f>IF(VLOOKUP($B85,[5]Google!$B$3:$I$174,[5]Google!G$1,FALSE)=G85,"Same","MISMATCH")</f>
        <v>Same</v>
      </c>
      <c r="Q85" t="str">
        <f>IF(VLOOKUP($B85,[5]Google!$B$3:$I$174,[5]Google!H$1,FALSE)=H85,"Same","MISMATCH")</f>
        <v>Same</v>
      </c>
      <c r="R85" t="str">
        <f>IF(VLOOKUP($B85,[5]Google!$B$3:$I$174,[5]Google!I$1,FALSE)=I85,"Same","MISMATCH")</f>
        <v>Same</v>
      </c>
      <c r="S85" t="str">
        <f>IF(VLOOKUP($B85,[5]Google!$B$3:$M$174,[5]Google!J$1,FALSE)=J85,"Same","MISMATCH")</f>
        <v>Same</v>
      </c>
      <c r="T85" t="str">
        <f>IF(VLOOKUP($B85,[5]Google!$B$3:$M$174,[5]Google!K$1,FALSE)=K85,"Same","MISMATCH")</f>
        <v>Same</v>
      </c>
      <c r="U85" t="str">
        <f>IF(VLOOKUP($B85,[5]Google!$B$3:$M$174,[5]Google!L$1,FALSE)=L85,"Same","MISMATCH")</f>
        <v>Same</v>
      </c>
      <c r="V85" t="str">
        <f>IF(VLOOKUP($B85,[5]Google!$B$3:$M$174,[5]Google!M$1,FALSE)=M85,"Same","MISMATCH")</f>
        <v>Same</v>
      </c>
    </row>
    <row r="86" spans="2:22">
      <c r="B86" t="s">
        <v>191</v>
      </c>
      <c r="C86" s="31" t="str">
        <f>+VLOOKUP(B86,'Country &amp; Code Abbreviation'!$B$3:$C$245,2,FALSE)</f>
        <v>LA</v>
      </c>
      <c r="D86" s="31" t="str">
        <f>+VLOOKUP(B86,'INT Web'!$B$5:$Q$248,16,FALSE)</f>
        <v>LAK</v>
      </c>
      <c r="E86" s="32" t="s">
        <v>346</v>
      </c>
      <c r="F86" s="33">
        <f>+IFERROR(IF($E86=VLOOKUP($B86,Apple!$B$3:$I$176,Apple!$E$1,FALSE),VLOOKUP(Google!$B86,Apple!$B$3:$I$176,Apple!F$1,FALSE),VLOOKUP($B86,'INT Web'!$B$5:$U$247,'INT Web'!R$1,FALSE)),MROUND(VLOOKUP($B86,'INT Web'!$B$5:$AQ$247,'INT Web'!AL$1,FALSE),1)-0.01)</f>
        <v>59.99</v>
      </c>
      <c r="G86" s="33">
        <f>+IFERROR(IF($E86=VLOOKUP($B86,Apple!$B$3:$I$176,Apple!$E$1,FALSE),VLOOKUP(Google!$B86,Apple!$B$3:$I$176,Apple!G$1,FALSE),VLOOKUP($B86,'INT Web'!$B$5:$U$247,'INT Web'!S$1,FALSE)),MROUND(VLOOKUP($B86,'INT Web'!$B$5:$AQ$247,'INT Web'!AM$1,FALSE),1)-0.01)</f>
        <v>9.99</v>
      </c>
      <c r="H86" s="33">
        <f>+IFERROR(IF($E86=VLOOKUP($B86,Apple!$B$3:$I$176,Apple!$E$1,FALSE),VLOOKUP(Google!$B86,Apple!$B$3:$I$176,Apple!H$1,FALSE),VLOOKUP($B86,'INT Web'!$B$5:$U$247,'INT Web'!T$1,FALSE)),MROUND(VLOOKUP($B86,'INT Web'!$B$5:$AQ$247,'INT Web'!AN$1,FALSE),1)-0.01)</f>
        <v>44.99</v>
      </c>
      <c r="I86" s="33">
        <f>+IFERROR(IF($E86=VLOOKUP($B86,Apple!$B$3:$I$176,Apple!$E$1,FALSE),VLOOKUP(Google!$B86,Apple!$B$3:$I$176,Apple!I$1,FALSE),VLOOKUP($B86,'INT Web'!$B$5:$U$247,'INT Web'!U$1,FALSE)),MROUND(VLOOKUP($B86,'INT Web'!$B$5:$AQ$247,'INT Web'!AO$1,FALSE),1)-0.01)</f>
        <v>6.99</v>
      </c>
      <c r="J86" s="33">
        <f>+IF($E86=VLOOKUP($B86,Apple!$B$3:$E$176,4,FALSE),VLOOKUP(Google!$B86,Apple!$B$3:$M$176,Apple!J$1,FALSE),VLOOKUP($B86,'[6]Single Game'!$B$4:$P$238,'[6]Single Game'!M$1,FALSE))</f>
        <v>2.99</v>
      </c>
      <c r="K86" s="33">
        <f>+IF($E86=VLOOKUP($B86,Apple!$B$3:$E$176,4,FALSE),VLOOKUP(Google!$B86,Apple!$B$3:$M$176,Apple!K$1,FALSE),VLOOKUP($B86,'[6]Single Game'!$B$4:$P$238,'[6]Single Game'!N$1,FALSE))</f>
        <v>2.99</v>
      </c>
      <c r="L86" s="33">
        <f>+IF($E86=VLOOKUP($B86,Apple!$B$3:$E$176,4,FALSE),VLOOKUP(Google!$B86,Apple!$B$3:$M$176,Apple!L$1,FALSE),VLOOKUP($B86,'[6]Single Game'!$B$4:$P$238,'[6]Single Game'!O$1,FALSE))</f>
        <v>1.99</v>
      </c>
      <c r="M86" s="33">
        <f>+IF($E86=VLOOKUP($B86,Apple!$B$3:$E$176,4,FALSE),VLOOKUP(Google!$B86,Apple!$B$3:$M$176,Apple!M$1,FALSE),VLOOKUP($B86,'[6]Single Game'!$B$4:$P$238,'[6]Single Game'!P$1,FALSE))</f>
        <v>1.99</v>
      </c>
      <c r="O86" t="str">
        <f>IF(VLOOKUP($B86,[5]Google!$B$3:$I$174,[5]Google!F$1,FALSE)=F86,"Same","MISMATCH")</f>
        <v>Same</v>
      </c>
      <c r="P86" t="str">
        <f>IF(VLOOKUP($B86,[5]Google!$B$3:$I$174,[5]Google!G$1,FALSE)=G86,"Same","MISMATCH")</f>
        <v>Same</v>
      </c>
      <c r="Q86" t="str">
        <f>IF(VLOOKUP($B86,[5]Google!$B$3:$I$174,[5]Google!H$1,FALSE)=H86,"Same","MISMATCH")</f>
        <v>Same</v>
      </c>
      <c r="R86" t="str">
        <f>IF(VLOOKUP($B86,[5]Google!$B$3:$I$174,[5]Google!I$1,FALSE)=I86,"Same","MISMATCH")</f>
        <v>Same</v>
      </c>
      <c r="S86" t="str">
        <f>IF(VLOOKUP($B86,[5]Google!$B$3:$M$174,[5]Google!J$1,FALSE)=J86,"Same","MISMATCH")</f>
        <v>Same</v>
      </c>
      <c r="T86" t="str">
        <f>IF(VLOOKUP($B86,[5]Google!$B$3:$M$174,[5]Google!K$1,FALSE)=K86,"Same","MISMATCH")</f>
        <v>Same</v>
      </c>
      <c r="U86" t="str">
        <f>IF(VLOOKUP($B86,[5]Google!$B$3:$M$174,[5]Google!L$1,FALSE)=L86,"Same","MISMATCH")</f>
        <v>Same</v>
      </c>
      <c r="V86" t="str">
        <f>IF(VLOOKUP($B86,[5]Google!$B$3:$M$174,[5]Google!M$1,FALSE)=M86,"Same","MISMATCH")</f>
        <v>Same</v>
      </c>
    </row>
    <row r="87" spans="2:22">
      <c r="B87" t="s">
        <v>192</v>
      </c>
      <c r="C87" s="31" t="str">
        <f>+VLOOKUP(B87,'Country &amp; Code Abbreviation'!$B$3:$C$245,2,FALSE)</f>
        <v>LV</v>
      </c>
      <c r="D87" s="31" t="str">
        <f>+VLOOKUP(B87,'INT Web'!$B$5:$Q$248,16,FALSE)</f>
        <v>EUR</v>
      </c>
      <c r="E87" s="32" t="s">
        <v>368</v>
      </c>
      <c r="F87" s="33">
        <f>+IFERROR(IF($E87=VLOOKUP($B87,Apple!$B$3:$I$176,Apple!$E$1,FALSE),VLOOKUP(Google!$B87,Apple!$B$3:$I$176,Apple!F$1,FALSE),VLOOKUP($B87,'INT Web'!$B$5:$U$247,'INT Web'!R$1,FALSE)),MROUND(VLOOKUP($B87,'INT Web'!$B$5:$AQ$247,'INT Web'!AL$1,FALSE),1)-0.01)</f>
        <v>91.99</v>
      </c>
      <c r="G87" s="33">
        <f>+IFERROR(IF($E87=VLOOKUP($B87,Apple!$B$3:$I$176,Apple!$E$1,FALSE),VLOOKUP(Google!$B87,Apple!$B$3:$I$176,Apple!G$1,FALSE),VLOOKUP($B87,'INT Web'!$B$5:$U$247,'INT Web'!S$1,FALSE)),MROUND(VLOOKUP($B87,'INT Web'!$B$5:$AQ$247,'INT Web'!AM$1,FALSE),1)-0.01)</f>
        <v>14.99</v>
      </c>
      <c r="H87" s="33">
        <f>+IFERROR(IF($E87=VLOOKUP($B87,Apple!$B$3:$I$176,Apple!$E$1,FALSE),VLOOKUP(Google!$B87,Apple!$B$3:$I$176,Apple!H$1,FALSE),VLOOKUP($B87,'INT Web'!$B$5:$U$247,'INT Web'!T$1,FALSE)),MROUND(VLOOKUP($B87,'INT Web'!$B$5:$AQ$247,'INT Web'!AN$1,FALSE),1)-0.01)</f>
        <v>67.989999999999995</v>
      </c>
      <c r="I87" s="33">
        <f>+IFERROR(IF($E87=VLOOKUP($B87,Apple!$B$3:$I$176,Apple!$E$1,FALSE),VLOOKUP(Google!$B87,Apple!$B$3:$I$176,Apple!I$1,FALSE),VLOOKUP($B87,'INT Web'!$B$5:$U$247,'INT Web'!U$1,FALSE)),MROUND(VLOOKUP($B87,'INT Web'!$B$5:$AQ$247,'INT Web'!AO$1,FALSE),1)-0.01)</f>
        <v>10.99</v>
      </c>
      <c r="J87" s="33">
        <f>+IF($E87=VLOOKUP($B87,Apple!$B$3:$E$176,4,FALSE),VLOOKUP(Google!$B87,Apple!$B$3:$M$176,Apple!J$1,FALSE),VLOOKUP($B87,'[6]Single Game'!$B$4:$P$238,'[6]Single Game'!M$1,FALSE))</f>
        <v>3.99</v>
      </c>
      <c r="K87" s="33">
        <f>+IF($E87=VLOOKUP($B87,Apple!$B$3:$E$176,4,FALSE),VLOOKUP(Google!$B87,Apple!$B$3:$M$176,Apple!K$1,FALSE),VLOOKUP($B87,'[6]Single Game'!$B$4:$P$238,'[6]Single Game'!N$1,FALSE))</f>
        <v>3.99</v>
      </c>
      <c r="L87" s="33">
        <f>+IF($E87=VLOOKUP($B87,Apple!$B$3:$E$176,4,FALSE),VLOOKUP(Google!$B87,Apple!$B$3:$M$176,Apple!L$1,FALSE),VLOOKUP($B87,'[6]Single Game'!$B$4:$P$238,'[6]Single Game'!O$1,FALSE))</f>
        <v>1.99</v>
      </c>
      <c r="M87" s="33">
        <f>+IF($E87=VLOOKUP($B87,Apple!$B$3:$E$176,4,FALSE),VLOOKUP(Google!$B87,Apple!$B$3:$M$176,Apple!M$1,FALSE),VLOOKUP($B87,'[6]Single Game'!$B$4:$P$238,'[6]Single Game'!P$1,FALSE))</f>
        <v>1.99</v>
      </c>
      <c r="O87" t="str">
        <f>IF(VLOOKUP($B87,[5]Google!$B$3:$I$174,[5]Google!F$1,FALSE)=F87,"Same","MISMATCH")</f>
        <v>Same</v>
      </c>
      <c r="P87" t="str">
        <f>IF(VLOOKUP($B87,[5]Google!$B$3:$I$174,[5]Google!G$1,FALSE)=G87,"Same","MISMATCH")</f>
        <v>Same</v>
      </c>
      <c r="Q87" t="str">
        <f>IF(VLOOKUP($B87,[5]Google!$B$3:$I$174,[5]Google!H$1,FALSE)=H87,"Same","MISMATCH")</f>
        <v>Same</v>
      </c>
      <c r="R87" t="str">
        <f>IF(VLOOKUP($B87,[5]Google!$B$3:$I$174,[5]Google!I$1,FALSE)=I87,"Same","MISMATCH")</f>
        <v>Same</v>
      </c>
      <c r="S87" t="str">
        <f>IF(VLOOKUP($B87,[5]Google!$B$3:$M$174,[5]Google!J$1,FALSE)=J87,"Same","MISMATCH")</f>
        <v>Same</v>
      </c>
      <c r="T87" t="str">
        <f>IF(VLOOKUP($B87,[5]Google!$B$3:$M$174,[5]Google!K$1,FALSE)=K87,"Same","MISMATCH")</f>
        <v>Same</v>
      </c>
      <c r="U87" t="str">
        <f>IF(VLOOKUP($B87,[5]Google!$B$3:$M$174,[5]Google!L$1,FALSE)=L87,"Same","MISMATCH")</f>
        <v>Same</v>
      </c>
      <c r="V87" t="str">
        <f>IF(VLOOKUP($B87,[5]Google!$B$3:$M$174,[5]Google!M$1,FALSE)=M87,"Same","MISMATCH")</f>
        <v>Same</v>
      </c>
    </row>
    <row r="88" spans="2:22">
      <c r="B88" t="s">
        <v>193</v>
      </c>
      <c r="C88" s="31" t="str">
        <f>+VLOOKUP(B88,'Country &amp; Code Abbreviation'!$B$3:$C$245,2,FALSE)</f>
        <v>LB</v>
      </c>
      <c r="D88" s="31" t="str">
        <f>+VLOOKUP(B88,'INT Web'!$B$5:$Q$248,16,FALSE)</f>
        <v>USD</v>
      </c>
      <c r="E88" s="32" t="s">
        <v>346</v>
      </c>
      <c r="F88" s="33">
        <f>+IFERROR(IF($E88=VLOOKUP($B88,Apple!$B$3:$I$176,Apple!$E$1,FALSE),VLOOKUP(Google!$B88,Apple!$B$3:$I$176,Apple!F$1,FALSE),VLOOKUP($B88,'INT Web'!$B$5:$U$247,'INT Web'!R$1,FALSE)),MROUND(VLOOKUP($B88,'INT Web'!$B$5:$AQ$247,'INT Web'!AL$1,FALSE),1)-0.01)</f>
        <v>34.99</v>
      </c>
      <c r="G88" s="33">
        <f>+IFERROR(IF($E88=VLOOKUP($B88,Apple!$B$3:$I$176,Apple!$E$1,FALSE),VLOOKUP(Google!$B88,Apple!$B$3:$I$176,Apple!G$1,FALSE),VLOOKUP($B88,'INT Web'!$B$5:$U$247,'INT Web'!S$1,FALSE)),MROUND(VLOOKUP($B88,'INT Web'!$B$5:$AQ$247,'INT Web'!AM$1,FALSE),1)-0.01)</f>
        <v>4.99</v>
      </c>
      <c r="H88" s="33">
        <f>+IFERROR(IF($E88=VLOOKUP($B88,Apple!$B$3:$I$176,Apple!$E$1,FALSE),VLOOKUP(Google!$B88,Apple!$B$3:$I$176,Apple!H$1,FALSE),VLOOKUP($B88,'INT Web'!$B$5:$U$247,'INT Web'!T$1,FALSE)),MROUND(VLOOKUP($B88,'INT Web'!$B$5:$AQ$247,'INT Web'!AN$1,FALSE),1)-0.01)</f>
        <v>27.99</v>
      </c>
      <c r="I88" s="33">
        <f>+IFERROR(IF($E88=VLOOKUP($B88,Apple!$B$3:$I$176,Apple!$E$1,FALSE),VLOOKUP(Google!$B88,Apple!$B$3:$I$176,Apple!I$1,FALSE),VLOOKUP($B88,'INT Web'!$B$5:$U$247,'INT Web'!U$1,FALSE)),MROUND(VLOOKUP($B88,'INT Web'!$B$5:$AQ$247,'INT Web'!AO$1,FALSE),1)-0.01)</f>
        <v>3.99</v>
      </c>
      <c r="J88" s="33">
        <f>+IF($E88=VLOOKUP($B88,Apple!$B$3:$E$176,4,FALSE),VLOOKUP(Google!$B88,Apple!$B$3:$M$176,Apple!J$1,FALSE),VLOOKUP($B88,'[6]Single Game'!$B$4:$P$238,'[6]Single Game'!M$1,FALSE))</f>
        <v>2.99</v>
      </c>
      <c r="K88" s="33">
        <f>+IF($E88=VLOOKUP($B88,Apple!$B$3:$E$176,4,FALSE),VLOOKUP(Google!$B88,Apple!$B$3:$M$176,Apple!K$1,FALSE),VLOOKUP($B88,'[6]Single Game'!$B$4:$P$238,'[6]Single Game'!N$1,FALSE))</f>
        <v>2.99</v>
      </c>
      <c r="L88" s="33">
        <f>+IF($E88=VLOOKUP($B88,Apple!$B$3:$E$176,4,FALSE),VLOOKUP(Google!$B88,Apple!$B$3:$M$176,Apple!L$1,FALSE),VLOOKUP($B88,'[6]Single Game'!$B$4:$P$238,'[6]Single Game'!O$1,FALSE))</f>
        <v>1.99</v>
      </c>
      <c r="M88" s="33">
        <f>+IF($E88=VLOOKUP($B88,Apple!$B$3:$E$176,4,FALSE),VLOOKUP(Google!$B88,Apple!$B$3:$M$176,Apple!M$1,FALSE),VLOOKUP($B88,'[6]Single Game'!$B$4:$P$238,'[6]Single Game'!P$1,FALSE))</f>
        <v>1.99</v>
      </c>
      <c r="O88" t="str">
        <f>IF(VLOOKUP($B88,[5]Google!$B$3:$I$174,[5]Google!F$1,FALSE)=F88,"Same","MISMATCH")</f>
        <v>Same</v>
      </c>
      <c r="P88" t="str">
        <f>IF(VLOOKUP($B88,[5]Google!$B$3:$I$174,[5]Google!G$1,FALSE)=G88,"Same","MISMATCH")</f>
        <v>Same</v>
      </c>
      <c r="Q88" t="str">
        <f>IF(VLOOKUP($B88,[5]Google!$B$3:$I$174,[5]Google!H$1,FALSE)=H88,"Same","MISMATCH")</f>
        <v>Same</v>
      </c>
      <c r="R88" t="str">
        <f>IF(VLOOKUP($B88,[5]Google!$B$3:$I$174,[5]Google!I$1,FALSE)=I88,"Same","MISMATCH")</f>
        <v>Same</v>
      </c>
      <c r="S88" t="str">
        <f>IF(VLOOKUP($B88,[5]Google!$B$3:$M$174,[5]Google!J$1,FALSE)=J88,"Same","MISMATCH")</f>
        <v>Same</v>
      </c>
      <c r="T88" t="str">
        <f>IF(VLOOKUP($B88,[5]Google!$B$3:$M$174,[5]Google!K$1,FALSE)=K88,"Same","MISMATCH")</f>
        <v>Same</v>
      </c>
      <c r="U88" t="str">
        <f>IF(VLOOKUP($B88,[5]Google!$B$3:$M$174,[5]Google!L$1,FALSE)=L88,"Same","MISMATCH")</f>
        <v>Same</v>
      </c>
      <c r="V88" t="str">
        <f>IF(VLOOKUP($B88,[5]Google!$B$3:$M$174,[5]Google!M$1,FALSE)=M88,"Same","MISMATCH")</f>
        <v>Same</v>
      </c>
    </row>
    <row r="89" spans="2:22">
      <c r="B89" t="s">
        <v>195</v>
      </c>
      <c r="C89" s="31" t="str">
        <f>+VLOOKUP(B89,'Country &amp; Code Abbreviation'!$B$3:$C$245,2,FALSE)</f>
        <v>LR</v>
      </c>
      <c r="D89" s="31" t="str">
        <f>+VLOOKUP(B89,'INT Web'!$B$5:$Q$248,16,FALSE)</f>
        <v>USD</v>
      </c>
      <c r="E89" s="32" t="s">
        <v>346</v>
      </c>
      <c r="F89" s="33">
        <f>+IFERROR(IF($E89=VLOOKUP($B89,Apple!$B$3:$I$176,Apple!$E$1,FALSE),VLOOKUP(Google!$B89,Apple!$B$3:$I$176,Apple!F$1,FALSE),VLOOKUP($B89,'INT Web'!$B$5:$U$247,'INT Web'!R$1,FALSE)),MROUND(VLOOKUP($B89,'INT Web'!$B$5:$AQ$247,'INT Web'!AL$1,FALSE),1)-0.01)</f>
        <v>71.989999999999995</v>
      </c>
      <c r="G89" s="33">
        <f>+IFERROR(IF($E89=VLOOKUP($B89,Apple!$B$3:$I$176,Apple!$E$1,FALSE),VLOOKUP(Google!$B89,Apple!$B$3:$I$176,Apple!G$1,FALSE),VLOOKUP($B89,'INT Web'!$B$5:$U$247,'INT Web'!S$1,FALSE)),MROUND(VLOOKUP($B89,'INT Web'!$B$5:$AQ$247,'INT Web'!AM$1,FALSE),1)-0.01)</f>
        <v>11.99</v>
      </c>
      <c r="H89" s="33">
        <f>+IFERROR(IF($E89=VLOOKUP($B89,Apple!$B$3:$I$176,Apple!$E$1,FALSE),VLOOKUP(Google!$B89,Apple!$B$3:$I$176,Apple!H$1,FALSE),VLOOKUP($B89,'INT Web'!$B$5:$U$247,'INT Web'!T$1,FALSE)),MROUND(VLOOKUP($B89,'INT Web'!$B$5:$AQ$247,'INT Web'!AN$1,FALSE),1)-0.01)</f>
        <v>53.99</v>
      </c>
      <c r="I89" s="33">
        <f>+IFERROR(IF($E89=VLOOKUP($B89,Apple!$B$3:$I$176,Apple!$E$1,FALSE),VLOOKUP(Google!$B89,Apple!$B$3:$I$176,Apple!I$1,FALSE),VLOOKUP($B89,'INT Web'!$B$5:$U$247,'INT Web'!U$1,FALSE)),MROUND(VLOOKUP($B89,'INT Web'!$B$5:$AQ$247,'INT Web'!AO$1,FALSE),1)-0.01)</f>
        <v>8.99</v>
      </c>
      <c r="J89" s="33">
        <f>+IF($E89=VLOOKUP($B89,Apple!$B$3:$E$176,4,FALSE),VLOOKUP(Google!$B89,Apple!$B$3:$M$176,Apple!J$1,FALSE),VLOOKUP($B89,'[6]Single Game'!$B$4:$P$238,'[6]Single Game'!M$1,FALSE))</f>
        <v>3.99</v>
      </c>
      <c r="K89" s="33">
        <f>+IF($E89=VLOOKUP($B89,Apple!$B$3:$E$176,4,FALSE),VLOOKUP(Google!$B89,Apple!$B$3:$M$176,Apple!K$1,FALSE),VLOOKUP($B89,'[6]Single Game'!$B$4:$P$238,'[6]Single Game'!N$1,FALSE))</f>
        <v>3.99</v>
      </c>
      <c r="L89" s="33">
        <f>+IF($E89=VLOOKUP($B89,Apple!$B$3:$E$176,4,FALSE),VLOOKUP(Google!$B89,Apple!$B$3:$M$176,Apple!L$1,FALSE),VLOOKUP($B89,'[6]Single Game'!$B$4:$P$238,'[6]Single Game'!O$1,FALSE))</f>
        <v>1.99</v>
      </c>
      <c r="M89" s="33">
        <f>+IF($E89=VLOOKUP($B89,Apple!$B$3:$E$176,4,FALSE),VLOOKUP(Google!$B89,Apple!$B$3:$M$176,Apple!M$1,FALSE),VLOOKUP($B89,'[6]Single Game'!$B$4:$P$238,'[6]Single Game'!P$1,FALSE))</f>
        <v>1.99</v>
      </c>
      <c r="O89" t="str">
        <f>IF(VLOOKUP($B89,[5]Google!$B$3:$I$174,[5]Google!F$1,FALSE)=F89,"Same","MISMATCH")</f>
        <v>Same</v>
      </c>
      <c r="P89" t="str">
        <f>IF(VLOOKUP($B89,[5]Google!$B$3:$I$174,[5]Google!G$1,FALSE)=G89,"Same","MISMATCH")</f>
        <v>Same</v>
      </c>
      <c r="Q89" t="str">
        <f>IF(VLOOKUP($B89,[5]Google!$B$3:$I$174,[5]Google!H$1,FALSE)=H89,"Same","MISMATCH")</f>
        <v>Same</v>
      </c>
      <c r="R89" t="str">
        <f>IF(VLOOKUP($B89,[5]Google!$B$3:$I$174,[5]Google!I$1,FALSE)=I89,"Same","MISMATCH")</f>
        <v>Same</v>
      </c>
      <c r="S89" t="str">
        <f>IF(VLOOKUP($B89,[5]Google!$B$3:$M$174,[5]Google!J$1,FALSE)=J89,"Same","MISMATCH")</f>
        <v>Same</v>
      </c>
      <c r="T89" t="str">
        <f>IF(VLOOKUP($B89,[5]Google!$B$3:$M$174,[5]Google!K$1,FALSE)=K89,"Same","MISMATCH")</f>
        <v>Same</v>
      </c>
      <c r="U89" t="str">
        <f>IF(VLOOKUP($B89,[5]Google!$B$3:$M$174,[5]Google!L$1,FALSE)=L89,"Same","MISMATCH")</f>
        <v>Same</v>
      </c>
      <c r="V89" t="str">
        <f>IF(VLOOKUP($B89,[5]Google!$B$3:$M$174,[5]Google!M$1,FALSE)=M89,"Same","MISMATCH")</f>
        <v>Same</v>
      </c>
    </row>
    <row r="90" spans="2:22">
      <c r="B90" t="s">
        <v>196</v>
      </c>
      <c r="C90" s="31" t="str">
        <f>+VLOOKUP(B90,'Country &amp; Code Abbreviation'!$B$3:$C$245,2,FALSE)</f>
        <v>LY</v>
      </c>
      <c r="D90" s="31" t="str">
        <f>+VLOOKUP(B90,'INT Web'!$B$5:$Q$248,16,FALSE)</f>
        <v>USD</v>
      </c>
      <c r="E90" s="32" t="s">
        <v>346</v>
      </c>
      <c r="F90" s="33">
        <f>+IFERROR(IF($E90=VLOOKUP($B90,Apple!$B$3:$I$176,Apple!$E$1,FALSE),VLOOKUP(Google!$B90,Apple!$B$3:$I$176,Apple!F$1,FALSE),VLOOKUP($B90,'INT Web'!$B$5:$U$247,'INT Web'!R$1,FALSE)),MROUND(VLOOKUP($B90,'INT Web'!$B$5:$AQ$247,'INT Web'!AL$1,FALSE),1)-0.01)</f>
        <v>79.989999999999995</v>
      </c>
      <c r="G90" s="33">
        <f>+IFERROR(IF($E90=VLOOKUP($B90,Apple!$B$3:$I$176,Apple!$E$1,FALSE),VLOOKUP(Google!$B90,Apple!$B$3:$I$176,Apple!G$1,FALSE),VLOOKUP($B90,'INT Web'!$B$5:$U$247,'INT Web'!S$1,FALSE)),MROUND(VLOOKUP($B90,'INT Web'!$B$5:$AQ$247,'INT Web'!AM$1,FALSE),1)-0.01)</f>
        <v>13.99</v>
      </c>
      <c r="H90" s="33">
        <f>+IFERROR(IF($E90=VLOOKUP($B90,Apple!$B$3:$I$176,Apple!$E$1,FALSE),VLOOKUP(Google!$B90,Apple!$B$3:$I$176,Apple!H$1,FALSE),VLOOKUP($B90,'INT Web'!$B$5:$U$247,'INT Web'!T$1,FALSE)),MROUND(VLOOKUP($B90,'INT Web'!$B$5:$AQ$247,'INT Web'!AN$1,FALSE),1)-0.01)</f>
        <v>59.99</v>
      </c>
      <c r="I90" s="33">
        <f>+IFERROR(IF($E90=VLOOKUP($B90,Apple!$B$3:$I$176,Apple!$E$1,FALSE),VLOOKUP(Google!$B90,Apple!$B$3:$I$176,Apple!I$1,FALSE),VLOOKUP($B90,'INT Web'!$B$5:$U$247,'INT Web'!U$1,FALSE)),MROUND(VLOOKUP($B90,'INT Web'!$B$5:$AQ$247,'INT Web'!AO$1,FALSE),1)-0.01)</f>
        <v>9.99</v>
      </c>
      <c r="J90" s="34">
        <v>3.99</v>
      </c>
      <c r="K90" s="34">
        <v>3.99</v>
      </c>
      <c r="L90" s="34">
        <v>1.99</v>
      </c>
      <c r="M90" s="34">
        <v>1.99</v>
      </c>
      <c r="O90" t="str">
        <f>IF(VLOOKUP($B90,[5]Google!$B$3:$I$174,[5]Google!F$1,FALSE)=F90,"Same","MISMATCH")</f>
        <v>Same</v>
      </c>
      <c r="P90" t="str">
        <f>IF(VLOOKUP($B90,[5]Google!$B$3:$I$174,[5]Google!G$1,FALSE)=G90,"Same","MISMATCH")</f>
        <v>Same</v>
      </c>
      <c r="Q90" t="str">
        <f>IF(VLOOKUP($B90,[5]Google!$B$3:$I$174,[5]Google!H$1,FALSE)=H90,"Same","MISMATCH")</f>
        <v>Same</v>
      </c>
      <c r="R90" t="str">
        <f>IF(VLOOKUP($B90,[5]Google!$B$3:$I$174,[5]Google!I$1,FALSE)=I90,"Same","MISMATCH")</f>
        <v>Same</v>
      </c>
      <c r="S90" t="str">
        <f>IF(VLOOKUP($B90,[5]Google!$B$3:$M$174,[5]Google!J$1,FALSE)=J90,"Same","MISMATCH")</f>
        <v>Same</v>
      </c>
      <c r="T90" t="str">
        <f>IF(VLOOKUP($B90,[5]Google!$B$3:$M$174,[5]Google!K$1,FALSE)=K90,"Same","MISMATCH")</f>
        <v>Same</v>
      </c>
      <c r="U90" t="str">
        <f>IF(VLOOKUP($B90,[5]Google!$B$3:$M$174,[5]Google!L$1,FALSE)=L90,"Same","MISMATCH")</f>
        <v>Same</v>
      </c>
      <c r="V90" t="str">
        <f>IF(VLOOKUP($B90,[5]Google!$B$3:$M$174,[5]Google!M$1,FALSE)=M90,"Same","MISMATCH")</f>
        <v>Same</v>
      </c>
    </row>
    <row r="91" spans="2:22">
      <c r="B91" t="s">
        <v>197</v>
      </c>
      <c r="C91" s="31" t="str">
        <f>+VLOOKUP(B91,'Country &amp; Code Abbreviation'!$B$3:$C$245,2,FALSE)</f>
        <v>LI</v>
      </c>
      <c r="D91" s="31" t="str">
        <f>+VLOOKUP(B91,'INT Web'!$B$5:$Q$248,16,FALSE)</f>
        <v>CHF</v>
      </c>
      <c r="E91" s="32" t="s">
        <v>401</v>
      </c>
      <c r="F91" s="150">
        <f>+VLOOKUP($B91,'INT Web'!$B$5:$U$247,'INT Web'!R$1,FALSE)</f>
        <v>189.99</v>
      </c>
      <c r="G91" s="150">
        <f>+VLOOKUP($B91,'INT Web'!$B$5:$U$247,'INT Web'!S$1,FALSE)</f>
        <v>31.99</v>
      </c>
      <c r="H91" s="150">
        <f>+VLOOKUP($B91,'INT Web'!$B$5:$U$247,'INT Web'!T$1,FALSE)</f>
        <v>149.99</v>
      </c>
      <c r="I91" s="150">
        <f>+VLOOKUP($B91,'INT Web'!$B$5:$U$247,'INT Web'!U$1,FALSE)</f>
        <v>24.99</v>
      </c>
      <c r="J91" s="72">
        <f>+VLOOKUP($B91,'[6]Single Game'!$B$4:$P$238,'[6]Single Game'!M$1,FALSE)</f>
        <v>8.99</v>
      </c>
      <c r="K91" s="72">
        <f>+VLOOKUP($B91,'[6]Single Game'!$B$4:$P$238,'[6]Single Game'!N$1,FALSE)</f>
        <v>7.49</v>
      </c>
      <c r="L91" s="72">
        <f>+VLOOKUP($B91,'[6]Single Game'!$B$4:$P$238,'[6]Single Game'!O$1,FALSE)</f>
        <v>5.99</v>
      </c>
      <c r="M91" s="72">
        <f>+VLOOKUP($B91,'[6]Single Game'!$B$4:$P$238,'[6]Single Game'!P$1,FALSE)</f>
        <v>4.49</v>
      </c>
      <c r="O91" t="str">
        <f>IF(VLOOKUP($B91,[5]Google!$B$3:$I$174,[5]Google!F$1,FALSE)=F91,"Same","MISMATCH")</f>
        <v>Same</v>
      </c>
      <c r="P91" t="str">
        <f>IF(VLOOKUP($B91,[5]Google!$B$3:$I$174,[5]Google!G$1,FALSE)=G91,"Same","MISMATCH")</f>
        <v>Same</v>
      </c>
      <c r="Q91" t="str">
        <f>IF(VLOOKUP($B91,[5]Google!$B$3:$I$174,[5]Google!H$1,FALSE)=H91,"Same","MISMATCH")</f>
        <v>Same</v>
      </c>
      <c r="R91" t="str">
        <f>IF(VLOOKUP($B91,[5]Google!$B$3:$I$174,[5]Google!I$1,FALSE)=I91,"Same","MISMATCH")</f>
        <v>Same</v>
      </c>
      <c r="S91" t="str">
        <f>IF(VLOOKUP($B91,[5]Google!$B$3:$M$174,[5]Google!J$1,FALSE)=J91,"Same","MISMATCH")</f>
        <v>Same</v>
      </c>
      <c r="T91" t="str">
        <f>IF(VLOOKUP($B91,[5]Google!$B$3:$M$174,[5]Google!K$1,FALSE)=K91,"Same","MISMATCH")</f>
        <v>Same</v>
      </c>
      <c r="U91" t="str">
        <f>IF(VLOOKUP($B91,[5]Google!$B$3:$M$174,[5]Google!L$1,FALSE)=L91,"Same","MISMATCH")</f>
        <v>Same</v>
      </c>
      <c r="V91" t="str">
        <f>IF(VLOOKUP($B91,[5]Google!$B$3:$M$174,[5]Google!M$1,FALSE)=M91,"Same","MISMATCH")</f>
        <v>Same</v>
      </c>
    </row>
    <row r="92" spans="2:22">
      <c r="B92" t="s">
        <v>198</v>
      </c>
      <c r="C92" s="31" t="str">
        <f>+VLOOKUP(B92,'Country &amp; Code Abbreviation'!$B$3:$C$245,2,FALSE)</f>
        <v>LT</v>
      </c>
      <c r="D92" s="31" t="str">
        <f>+VLOOKUP(B92,'INT Web'!$B$5:$Q$248,16,FALSE)</f>
        <v>EUR</v>
      </c>
      <c r="E92" s="32" t="s">
        <v>368</v>
      </c>
      <c r="F92" s="33">
        <f>+IFERROR(IF($E92=VLOOKUP($B92,Apple!$B$3:$I$176,Apple!$E$1,FALSE),VLOOKUP(Google!$B92,Apple!$B$3:$I$176,Apple!F$1,FALSE),VLOOKUP($B92,'INT Web'!$B$5:$U$247,'INT Web'!R$1,FALSE)),MROUND(VLOOKUP($B92,'INT Web'!$B$5:$AQ$247,'INT Web'!AL$1,FALSE),1)-0.01)</f>
        <v>94.99</v>
      </c>
      <c r="G92" s="33">
        <f>+IFERROR(IF($E92=VLOOKUP($B92,Apple!$B$3:$I$176,Apple!$E$1,FALSE),VLOOKUP(Google!$B92,Apple!$B$3:$I$176,Apple!G$1,FALSE),VLOOKUP($B92,'INT Web'!$B$5:$U$247,'INT Web'!S$1,FALSE)),MROUND(VLOOKUP($B92,'INT Web'!$B$5:$AQ$247,'INT Web'!AM$1,FALSE),1)-0.01)</f>
        <v>14.99</v>
      </c>
      <c r="H92" s="33">
        <f>+IFERROR(IF($E92=VLOOKUP($B92,Apple!$B$3:$I$176,Apple!$E$1,FALSE),VLOOKUP(Google!$B92,Apple!$B$3:$I$176,Apple!H$1,FALSE),VLOOKUP($B92,'INT Web'!$B$5:$U$247,'INT Web'!T$1,FALSE)),MROUND(VLOOKUP($B92,'INT Web'!$B$5:$AQ$247,'INT Web'!AN$1,FALSE),1)-0.01)</f>
        <v>69.989999999999995</v>
      </c>
      <c r="I92" s="33">
        <f>+IFERROR(IF($E92=VLOOKUP($B92,Apple!$B$3:$I$176,Apple!$E$1,FALSE),VLOOKUP(Google!$B92,Apple!$B$3:$I$176,Apple!I$1,FALSE),VLOOKUP($B92,'INT Web'!$B$5:$U$247,'INT Web'!U$1,FALSE)),MROUND(VLOOKUP($B92,'INT Web'!$B$5:$AQ$247,'INT Web'!AO$1,FALSE),1)-0.01)</f>
        <v>10.99</v>
      </c>
      <c r="J92" s="33">
        <f>+IF($E92=VLOOKUP($B92,Apple!$B$3:$E$176,4,FALSE),VLOOKUP(Google!$B92,Apple!$B$3:$M$176,Apple!J$1,FALSE),VLOOKUP($B92,'[6]Single Game'!$B$4:$P$238,'[6]Single Game'!M$1,FALSE))</f>
        <v>3.99</v>
      </c>
      <c r="K92" s="33">
        <f>+IF($E92=VLOOKUP($B92,Apple!$B$3:$E$176,4,FALSE),VLOOKUP(Google!$B92,Apple!$B$3:$M$176,Apple!K$1,FALSE),VLOOKUP($B92,'[6]Single Game'!$B$4:$P$238,'[6]Single Game'!N$1,FALSE))</f>
        <v>3.99</v>
      </c>
      <c r="L92" s="33">
        <f>+IF($E92=VLOOKUP($B92,Apple!$B$3:$E$176,4,FALSE),VLOOKUP(Google!$B92,Apple!$B$3:$M$176,Apple!L$1,FALSE),VLOOKUP($B92,'[6]Single Game'!$B$4:$P$238,'[6]Single Game'!O$1,FALSE))</f>
        <v>1.99</v>
      </c>
      <c r="M92" s="33">
        <f>+IF($E92=VLOOKUP($B92,Apple!$B$3:$E$176,4,FALSE),VLOOKUP(Google!$B92,Apple!$B$3:$M$176,Apple!M$1,FALSE),VLOOKUP($B92,'[6]Single Game'!$B$4:$P$238,'[6]Single Game'!P$1,FALSE))</f>
        <v>1.99</v>
      </c>
      <c r="O92" t="str">
        <f>IF(VLOOKUP($B92,[5]Google!$B$3:$I$174,[5]Google!F$1,FALSE)=F92,"Same","MISMATCH")</f>
        <v>Same</v>
      </c>
      <c r="P92" t="str">
        <f>IF(VLOOKUP($B92,[5]Google!$B$3:$I$174,[5]Google!G$1,FALSE)=G92,"Same","MISMATCH")</f>
        <v>Same</v>
      </c>
      <c r="Q92" t="str">
        <f>IF(VLOOKUP($B92,[5]Google!$B$3:$I$174,[5]Google!H$1,FALSE)=H92,"Same","MISMATCH")</f>
        <v>Same</v>
      </c>
      <c r="R92" t="str">
        <f>IF(VLOOKUP($B92,[5]Google!$B$3:$I$174,[5]Google!I$1,FALSE)=I92,"Same","MISMATCH")</f>
        <v>Same</v>
      </c>
      <c r="S92" t="str">
        <f>IF(VLOOKUP($B92,[5]Google!$B$3:$M$174,[5]Google!J$1,FALSE)=J92,"Same","MISMATCH")</f>
        <v>Same</v>
      </c>
      <c r="T92" t="str">
        <f>IF(VLOOKUP($B92,[5]Google!$B$3:$M$174,[5]Google!K$1,FALSE)=K92,"Same","MISMATCH")</f>
        <v>Same</v>
      </c>
      <c r="U92" t="str">
        <f>IF(VLOOKUP($B92,[5]Google!$B$3:$M$174,[5]Google!L$1,FALSE)=L92,"Same","MISMATCH")</f>
        <v>Same</v>
      </c>
      <c r="V92" t="str">
        <f>IF(VLOOKUP($B92,[5]Google!$B$3:$M$174,[5]Google!M$1,FALSE)=M92,"Same","MISMATCH")</f>
        <v>Same</v>
      </c>
    </row>
    <row r="93" spans="2:22">
      <c r="B93" t="s">
        <v>199</v>
      </c>
      <c r="C93" s="31" t="str">
        <f>+VLOOKUP(B93,'Country &amp; Code Abbreviation'!$B$3:$C$245,2,FALSE)</f>
        <v>LU</v>
      </c>
      <c r="D93" s="31" t="str">
        <f>+VLOOKUP(B93,'INT Web'!$B$5:$Q$248,16,FALSE)</f>
        <v>EUR</v>
      </c>
      <c r="E93" s="32" t="s">
        <v>368</v>
      </c>
      <c r="F93" s="33">
        <f>+IFERROR(IF($E93=VLOOKUP($B93,Apple!$B$3:$I$176,Apple!$E$1,FALSE),VLOOKUP(Google!$B93,Apple!$B$3:$I$176,Apple!F$1,FALSE),VLOOKUP($B93,'INT Web'!$B$5:$U$247,'INT Web'!R$1,FALSE)),MROUND(VLOOKUP($B93,'INT Web'!$B$5:$AQ$247,'INT Web'!AL$1,FALSE),1)-0.01)</f>
        <v>194.99</v>
      </c>
      <c r="G93" s="33">
        <f>+IFERROR(IF($E93=VLOOKUP($B93,Apple!$B$3:$I$176,Apple!$E$1,FALSE),VLOOKUP(Google!$B93,Apple!$B$3:$I$176,Apple!G$1,FALSE),VLOOKUP($B93,'INT Web'!$B$5:$U$247,'INT Web'!S$1,FALSE)),MROUND(VLOOKUP($B93,'INT Web'!$B$5:$AQ$247,'INT Web'!AM$1,FALSE),1)-0.01)</f>
        <v>28.99</v>
      </c>
      <c r="H93" s="33">
        <f>+IFERROR(IF($E93=VLOOKUP($B93,Apple!$B$3:$I$176,Apple!$E$1,FALSE),VLOOKUP(Google!$B93,Apple!$B$3:$I$176,Apple!H$1,FALSE),VLOOKUP($B93,'INT Web'!$B$5:$U$247,'INT Web'!T$1,FALSE)),MROUND(VLOOKUP($B93,'INT Web'!$B$5:$AQ$247,'INT Web'!AN$1,FALSE),1)-0.01)</f>
        <v>149.99</v>
      </c>
      <c r="I93" s="33">
        <f>+IFERROR(IF($E93=VLOOKUP($B93,Apple!$B$3:$I$176,Apple!$E$1,FALSE),VLOOKUP(Google!$B93,Apple!$B$3:$I$176,Apple!I$1,FALSE),VLOOKUP($B93,'INT Web'!$B$5:$U$247,'INT Web'!U$1,FALSE)),MROUND(VLOOKUP($B93,'INT Web'!$B$5:$AQ$247,'INT Web'!AO$1,FALSE),1)-0.01)</f>
        <v>21.99</v>
      </c>
      <c r="J93" s="33">
        <f>+IF($E93=VLOOKUP($B93,Apple!$B$3:$E$176,4,FALSE),VLOOKUP(Google!$B93,Apple!$B$3:$M$176,Apple!J$1,FALSE),VLOOKUP($B93,'[6]Single Game'!$B$4:$P$238,'[6]Single Game'!M$1,FALSE))</f>
        <v>7.99</v>
      </c>
      <c r="K93" s="33">
        <f>+IF($E93=VLOOKUP($B93,Apple!$B$3:$E$176,4,FALSE),VLOOKUP(Google!$B93,Apple!$B$3:$M$176,Apple!K$1,FALSE),VLOOKUP($B93,'[6]Single Game'!$B$4:$P$238,'[6]Single Game'!N$1,FALSE))</f>
        <v>7.99</v>
      </c>
      <c r="L93" s="33">
        <f>+IF($E93=VLOOKUP($B93,Apple!$B$3:$E$176,4,FALSE),VLOOKUP(Google!$B93,Apple!$B$3:$M$176,Apple!L$1,FALSE),VLOOKUP($B93,'[6]Single Game'!$B$4:$P$238,'[6]Single Game'!O$1,FALSE))</f>
        <v>3.99</v>
      </c>
      <c r="M93" s="33">
        <f>+IF($E93=VLOOKUP($B93,Apple!$B$3:$E$176,4,FALSE),VLOOKUP(Google!$B93,Apple!$B$3:$M$176,Apple!M$1,FALSE),VLOOKUP($B93,'[6]Single Game'!$B$4:$P$238,'[6]Single Game'!P$1,FALSE))</f>
        <v>3.99</v>
      </c>
      <c r="O93" t="str">
        <f>IF(VLOOKUP($B93,[5]Google!$B$3:$I$174,[5]Google!F$1,FALSE)=F93,"Same","MISMATCH")</f>
        <v>Same</v>
      </c>
      <c r="P93" t="str">
        <f>IF(VLOOKUP($B93,[5]Google!$B$3:$I$174,[5]Google!G$1,FALSE)=G93,"Same","MISMATCH")</f>
        <v>Same</v>
      </c>
      <c r="Q93" t="str">
        <f>IF(VLOOKUP($B93,[5]Google!$B$3:$I$174,[5]Google!H$1,FALSE)=H93,"Same","MISMATCH")</f>
        <v>Same</v>
      </c>
      <c r="R93" t="str">
        <f>IF(VLOOKUP($B93,[5]Google!$B$3:$I$174,[5]Google!I$1,FALSE)=I93,"Same","MISMATCH")</f>
        <v>Same</v>
      </c>
      <c r="S93" t="str">
        <f>IF(VLOOKUP($B93,[5]Google!$B$3:$M$174,[5]Google!J$1,FALSE)=J93,"Same","MISMATCH")</f>
        <v>Same</v>
      </c>
      <c r="T93" t="str">
        <f>IF(VLOOKUP($B93,[5]Google!$B$3:$M$174,[5]Google!K$1,FALSE)=K93,"Same","MISMATCH")</f>
        <v>Same</v>
      </c>
      <c r="U93" t="str">
        <f>IF(VLOOKUP($B93,[5]Google!$B$3:$M$174,[5]Google!L$1,FALSE)=L93,"Same","MISMATCH")</f>
        <v>Same</v>
      </c>
      <c r="V93" t="str">
        <f>IF(VLOOKUP($B93,[5]Google!$B$3:$M$174,[5]Google!M$1,FALSE)=M93,"Same","MISMATCH")</f>
        <v>Same</v>
      </c>
    </row>
    <row r="94" spans="2:22">
      <c r="B94" t="s">
        <v>200</v>
      </c>
      <c r="C94" s="31" t="str">
        <f>+VLOOKUP(B94,'Country &amp; Code Abbreviation'!$B$3:$C$245,2,FALSE)</f>
        <v>MO</v>
      </c>
      <c r="D94" s="31" t="str">
        <f>+VLOOKUP(B94,'INT Web'!$B$5:$Q$248,16,FALSE)</f>
        <v>MOP</v>
      </c>
      <c r="E94" s="32" t="s">
        <v>424</v>
      </c>
      <c r="F94" s="33">
        <f>+IFERROR(IF($E94=VLOOKUP($B94,Apple!$B$3:$I$176,Apple!$E$1,FALSE),VLOOKUP(Google!$B94,Apple!$B$3:$I$176,Apple!F$1,FALSE),VLOOKUP($B94,'INT Web'!$B$5:$U$247,'INT Web'!R$1,FALSE)),MROUND(VLOOKUP($B94,'INT Web'!$B$5:$AQ$247,'INT Web'!AL$1,FALSE),1)-0.01)</f>
        <v>869.99</v>
      </c>
      <c r="G94" s="33">
        <f>+IFERROR(IF($E94=VLOOKUP($B94,Apple!$B$3:$I$176,Apple!$E$1,FALSE),VLOOKUP(Google!$B94,Apple!$B$3:$I$176,Apple!G$1,FALSE),VLOOKUP($B94,'INT Web'!$B$5:$U$247,'INT Web'!S$1,FALSE)),MROUND(VLOOKUP($B94,'INT Web'!$B$5:$AQ$247,'INT Web'!AM$1,FALSE),1)-0.01)</f>
        <v>124.99</v>
      </c>
      <c r="H94" s="33">
        <f>+IFERROR(IF($E94=VLOOKUP($B94,Apple!$B$3:$I$176,Apple!$E$1,FALSE),VLOOKUP(Google!$B94,Apple!$B$3:$I$176,Apple!H$1,FALSE),VLOOKUP($B94,'INT Web'!$B$5:$U$247,'INT Web'!T$1,FALSE)),MROUND(VLOOKUP($B94,'INT Web'!$B$5:$AQ$247,'INT Web'!AN$1,FALSE),1)-0.01)</f>
        <v>629.99</v>
      </c>
      <c r="I94" s="33">
        <f>+IFERROR(IF($E94=VLOOKUP($B94,Apple!$B$3:$I$176,Apple!$E$1,FALSE),VLOOKUP(Google!$B94,Apple!$B$3:$I$176,Apple!I$1,FALSE),VLOOKUP($B94,'INT Web'!$B$5:$U$247,'INT Web'!U$1,FALSE)),MROUND(VLOOKUP($B94,'INT Web'!$B$5:$AQ$247,'INT Web'!AO$1,FALSE),1)-0.01)</f>
        <v>89.99</v>
      </c>
      <c r="J94" s="33">
        <f>+IF($E94=VLOOKUP($B94,Apple!$B$3:$E$176,4,FALSE),VLOOKUP(Google!$B94,Apple!$B$3:$M$176,Apple!J$1,FALSE),VLOOKUP($B94,'[6]Single Game'!$B$4:$P$238,'[6]Single Game'!M$1,FALSE))</f>
        <v>30.99</v>
      </c>
      <c r="K94" s="33">
        <f>+IF($E94=VLOOKUP($B94,Apple!$B$3:$E$176,4,FALSE),VLOOKUP(Google!$B94,Apple!$B$3:$M$176,Apple!K$1,FALSE),VLOOKUP($B94,'[6]Single Game'!$B$4:$P$238,'[6]Single Game'!N$1,FALSE))</f>
        <v>24.99</v>
      </c>
      <c r="L94" s="33">
        <f>+IF($E94=VLOOKUP($B94,Apple!$B$3:$E$176,4,FALSE),VLOOKUP(Google!$B94,Apple!$B$3:$M$176,Apple!L$1,FALSE),VLOOKUP($B94,'[6]Single Game'!$B$4:$P$238,'[6]Single Game'!O$1,FALSE))</f>
        <v>18.989999999999998</v>
      </c>
      <c r="M94" s="33">
        <f>+IF($E94=VLOOKUP($B94,Apple!$B$3:$E$176,4,FALSE),VLOOKUP(Google!$B94,Apple!$B$3:$M$176,Apple!M$1,FALSE),VLOOKUP($B94,'[6]Single Game'!$B$4:$P$238,'[6]Single Game'!P$1,FALSE))</f>
        <v>12.989999999999998</v>
      </c>
      <c r="O94" t="str">
        <f>IF(VLOOKUP($B94,[5]Google!$B$3:$I$174,[5]Google!F$1,FALSE)=F94,"Same","MISMATCH")</f>
        <v>Same</v>
      </c>
      <c r="P94" t="str">
        <f>IF(VLOOKUP($B94,[5]Google!$B$3:$I$174,[5]Google!G$1,FALSE)=G94,"Same","MISMATCH")</f>
        <v>Same</v>
      </c>
      <c r="Q94" t="str">
        <f>IF(VLOOKUP($B94,[5]Google!$B$3:$I$174,[5]Google!H$1,FALSE)=H94,"Same","MISMATCH")</f>
        <v>Same</v>
      </c>
      <c r="R94" t="str">
        <f>IF(VLOOKUP($B94,[5]Google!$B$3:$I$174,[5]Google!I$1,FALSE)=I94,"Same","MISMATCH")</f>
        <v>Same</v>
      </c>
      <c r="S94" t="str">
        <f>IF(VLOOKUP($B94,[5]Google!$B$3:$M$174,[5]Google!J$1,FALSE)=J94,"Same","MISMATCH")</f>
        <v>Same</v>
      </c>
      <c r="T94" t="str">
        <f>IF(VLOOKUP($B94,[5]Google!$B$3:$M$174,[5]Google!K$1,FALSE)=K94,"Same","MISMATCH")</f>
        <v>Same</v>
      </c>
      <c r="U94" t="str">
        <f>IF(VLOOKUP($B94,[5]Google!$B$3:$M$174,[5]Google!L$1,FALSE)=L94,"Same","MISMATCH")</f>
        <v>Same</v>
      </c>
      <c r="V94" t="str">
        <f>IF(VLOOKUP($B94,[5]Google!$B$3:$M$174,[5]Google!M$1,FALSE)=M94,"Same","MISMATCH")</f>
        <v>Same</v>
      </c>
    </row>
    <row r="95" spans="2:22">
      <c r="B95" t="s">
        <v>204</v>
      </c>
      <c r="C95" s="31" t="str">
        <f>+VLOOKUP(B95,'Country &amp; Code Abbreviation'!$B$3:$C$245,2,FALSE)</f>
        <v>MY</v>
      </c>
      <c r="D95" s="31" t="str">
        <f>+VLOOKUP(B95,'INT Web'!$B$5:$Q$248,16,FALSE)</f>
        <v>MYR</v>
      </c>
      <c r="E95" s="32" t="s">
        <v>383</v>
      </c>
      <c r="F95" s="33">
        <f>+IFERROR(IF($E95=VLOOKUP($B95,Apple!$B$3:$I$176,Apple!$E$1,FALSE),VLOOKUP(Google!$B95,Apple!$B$3:$I$176,Apple!F$1,FALSE),VLOOKUP($B95,'INT Web'!$B$5:$U$247,'INT Web'!R$1,FALSE)),MROUND(VLOOKUP($B95,'INT Web'!$B$5:$AQ$247,'INT Web'!AL$1,FALSE),1)-0.01)</f>
        <v>389.9</v>
      </c>
      <c r="G95" s="33">
        <f>+IFERROR(IF($E95=VLOOKUP($B95,Apple!$B$3:$I$176,Apple!$E$1,FALSE),VLOOKUP(Google!$B95,Apple!$B$3:$I$176,Apple!G$1,FALSE),VLOOKUP($B95,'INT Web'!$B$5:$U$247,'INT Web'!S$1,FALSE)),MROUND(VLOOKUP($B95,'INT Web'!$B$5:$AQ$247,'INT Web'!AM$1,FALSE),1)-0.01)</f>
        <v>64.900000000000006</v>
      </c>
      <c r="H95" s="33">
        <f>+IFERROR(IF($E95=VLOOKUP($B95,Apple!$B$3:$I$176,Apple!$E$1,FALSE),VLOOKUP(Google!$B95,Apple!$B$3:$I$176,Apple!H$1,FALSE),VLOOKUP($B95,'INT Web'!$B$5:$U$247,'INT Web'!T$1,FALSE)),MROUND(VLOOKUP($B95,'INT Web'!$B$5:$AQ$247,'INT Web'!AN$1,FALSE),1)-0.01)</f>
        <v>319.89999999999998</v>
      </c>
      <c r="I95" s="33">
        <f>+IFERROR(IF($E95=VLOOKUP($B95,Apple!$B$3:$I$176,Apple!$E$1,FALSE),VLOOKUP(Google!$B95,Apple!$B$3:$I$176,Apple!I$1,FALSE),VLOOKUP($B95,'INT Web'!$B$5:$U$247,'INT Web'!U$1,FALSE)),MROUND(VLOOKUP($B95,'INT Web'!$B$5:$AQ$247,'INT Web'!AO$1,FALSE),1)-0.01)</f>
        <v>45.99</v>
      </c>
      <c r="J95" s="33">
        <f>+IF($E95=VLOOKUP($B95,Apple!$B$3:$E$176,4,FALSE),VLOOKUP(Google!$B95,Apple!$B$3:$M$176,Apple!J$1,FALSE),VLOOKUP($B95,'[6]Single Game'!$B$4:$P$238,'[6]Single Game'!M$1,FALSE))</f>
        <v>16.899999999999999</v>
      </c>
      <c r="K95" s="33">
        <f>+IF($E95=VLOOKUP($B95,Apple!$B$3:$E$176,4,FALSE),VLOOKUP(Google!$B95,Apple!$B$3:$M$176,Apple!K$1,FALSE),VLOOKUP($B95,'[6]Single Game'!$B$4:$P$238,'[6]Single Game'!N$1,FALSE))</f>
        <v>16.899999999999999</v>
      </c>
      <c r="L95" s="33">
        <f>+IF($E95=VLOOKUP($B95,Apple!$B$3:$E$176,4,FALSE),VLOOKUP(Google!$B95,Apple!$B$3:$M$176,Apple!L$1,FALSE),VLOOKUP($B95,'[6]Single Game'!$B$4:$P$238,'[6]Single Game'!O$1,FALSE))</f>
        <v>7.9</v>
      </c>
      <c r="M95" s="33">
        <f>+IF($E95=VLOOKUP($B95,Apple!$B$3:$E$176,4,FALSE),VLOOKUP(Google!$B95,Apple!$B$3:$M$176,Apple!M$1,FALSE),VLOOKUP($B95,'[6]Single Game'!$B$4:$P$238,'[6]Single Game'!P$1,FALSE))</f>
        <v>7.9</v>
      </c>
      <c r="O95" t="str">
        <f>IF(VLOOKUP($B95,[5]Google!$B$3:$I$174,[5]Google!F$1,FALSE)=F95,"Same","MISMATCH")</f>
        <v>Same</v>
      </c>
      <c r="P95" t="str">
        <f>IF(VLOOKUP($B95,[5]Google!$B$3:$I$174,[5]Google!G$1,FALSE)=G95,"Same","MISMATCH")</f>
        <v>Same</v>
      </c>
      <c r="Q95" t="str">
        <f>IF(VLOOKUP($B95,[5]Google!$B$3:$I$174,[5]Google!H$1,FALSE)=H95,"Same","MISMATCH")</f>
        <v>Same</v>
      </c>
      <c r="R95" t="str">
        <f>IF(VLOOKUP($B95,[5]Google!$B$3:$I$174,[5]Google!I$1,FALSE)=I95,"Same","MISMATCH")</f>
        <v>Same</v>
      </c>
      <c r="S95" t="str">
        <f>IF(VLOOKUP($B95,[5]Google!$B$3:$M$174,[5]Google!J$1,FALSE)=J95,"Same","MISMATCH")</f>
        <v>Same</v>
      </c>
      <c r="T95" t="str">
        <f>IF(VLOOKUP($B95,[5]Google!$B$3:$M$174,[5]Google!K$1,FALSE)=K95,"Same","MISMATCH")</f>
        <v>Same</v>
      </c>
      <c r="U95" t="str">
        <f>IF(VLOOKUP($B95,[5]Google!$B$3:$M$174,[5]Google!L$1,FALSE)=L95,"Same","MISMATCH")</f>
        <v>Same</v>
      </c>
      <c r="V95" t="str">
        <f>IF(VLOOKUP($B95,[5]Google!$B$3:$M$174,[5]Google!M$1,FALSE)=M95,"Same","MISMATCH")</f>
        <v>Same</v>
      </c>
    </row>
    <row r="96" spans="2:22">
      <c r="B96" t="s">
        <v>205</v>
      </c>
      <c r="C96" s="31" t="str">
        <f>+VLOOKUP(B96,'Country &amp; Code Abbreviation'!$B$3:$C$245,2,FALSE)</f>
        <v>MV</v>
      </c>
      <c r="D96" s="31" t="str">
        <f>+VLOOKUP(B96,'INT Web'!$B$5:$Q$248,16,FALSE)</f>
        <v>MVR</v>
      </c>
      <c r="E96" s="32" t="s">
        <v>346</v>
      </c>
      <c r="F96" s="33">
        <f>+IFERROR(IF($E96=VLOOKUP($B96,Apple!$B$3:$I$176,Apple!$E$1,FALSE),VLOOKUP(Google!$B96,Apple!$B$3:$I$176,Apple!F$1,FALSE),VLOOKUP($B96,'INT Web'!$B$5:$U$247,'INT Web'!R$1,FALSE)),MROUND(VLOOKUP($B96,'INT Web'!$B$5:$AQ$247,'INT Web'!AL$1,FALSE),1)-0.01)</f>
        <v>70.989999999999995</v>
      </c>
      <c r="G96" s="33">
        <f>+IFERROR(IF($E96=VLOOKUP($B96,Apple!$B$3:$I$176,Apple!$E$1,FALSE),VLOOKUP(Google!$B96,Apple!$B$3:$I$176,Apple!G$1,FALSE),VLOOKUP($B96,'INT Web'!$B$5:$U$247,'INT Web'!S$1,FALSE)),MROUND(VLOOKUP($B96,'INT Web'!$B$5:$AQ$247,'INT Web'!AM$1,FALSE),1)-0.01)</f>
        <v>11.99</v>
      </c>
      <c r="H96" s="33">
        <f>+IFERROR(IF($E96=VLOOKUP($B96,Apple!$B$3:$I$176,Apple!$E$1,FALSE),VLOOKUP(Google!$B96,Apple!$B$3:$I$176,Apple!H$1,FALSE),VLOOKUP($B96,'INT Web'!$B$5:$U$247,'INT Web'!T$1,FALSE)),MROUND(VLOOKUP($B96,'INT Web'!$B$5:$AQ$247,'INT Web'!AN$1,FALSE),1)-0.01)</f>
        <v>52.99</v>
      </c>
      <c r="I96" s="33">
        <f>+IFERROR(IF($E96=VLOOKUP($B96,Apple!$B$3:$I$176,Apple!$E$1,FALSE),VLOOKUP(Google!$B96,Apple!$B$3:$I$176,Apple!I$1,FALSE),VLOOKUP($B96,'INT Web'!$B$5:$U$247,'INT Web'!U$1,FALSE)),MROUND(VLOOKUP($B96,'INT Web'!$B$5:$AQ$247,'INT Web'!AO$1,FALSE),1)-0.01)</f>
        <v>8.99</v>
      </c>
      <c r="J96" s="33">
        <f>+IF($E96=VLOOKUP($B96,Apple!$B$3:$E$176,4,FALSE),VLOOKUP(Google!$B96,Apple!$B$3:$M$176,Apple!J$1,FALSE),VLOOKUP($B96,'[6]Single Game'!$B$4:$P$238,'[6]Single Game'!M$1,FALSE))</f>
        <v>3.99</v>
      </c>
      <c r="K96" s="33">
        <f>+IF($E96=VLOOKUP($B96,Apple!$B$3:$E$176,4,FALSE),VLOOKUP(Google!$B96,Apple!$B$3:$M$176,Apple!K$1,FALSE),VLOOKUP($B96,'[6]Single Game'!$B$4:$P$238,'[6]Single Game'!N$1,FALSE))</f>
        <v>2.99</v>
      </c>
      <c r="L96" s="33">
        <f>+IF($E96=VLOOKUP($B96,Apple!$B$3:$E$176,4,FALSE),VLOOKUP(Google!$B96,Apple!$B$3:$M$176,Apple!L$1,FALSE),VLOOKUP($B96,'[6]Single Game'!$B$4:$P$238,'[6]Single Game'!O$1,FALSE))</f>
        <v>1.99</v>
      </c>
      <c r="M96" s="33">
        <f>+IF($E96=VLOOKUP($B96,Apple!$B$3:$E$176,4,FALSE),VLOOKUP(Google!$B96,Apple!$B$3:$M$176,Apple!M$1,FALSE),VLOOKUP($B96,'[6]Single Game'!$B$4:$P$238,'[6]Single Game'!P$1,FALSE))</f>
        <v>0.99</v>
      </c>
      <c r="O96" t="str">
        <f>IF(VLOOKUP($B96,[5]Google!$B$3:$I$174,[5]Google!F$1,FALSE)=F96,"Same","MISMATCH")</f>
        <v>Same</v>
      </c>
      <c r="P96" t="str">
        <f>IF(VLOOKUP($B96,[5]Google!$B$3:$I$174,[5]Google!G$1,FALSE)=G96,"Same","MISMATCH")</f>
        <v>Same</v>
      </c>
      <c r="Q96" t="str">
        <f>IF(VLOOKUP($B96,[5]Google!$B$3:$I$174,[5]Google!H$1,FALSE)=H96,"Same","MISMATCH")</f>
        <v>Same</v>
      </c>
      <c r="R96" t="str">
        <f>IF(VLOOKUP($B96,[5]Google!$B$3:$I$174,[5]Google!I$1,FALSE)=I96,"Same","MISMATCH")</f>
        <v>Same</v>
      </c>
      <c r="S96" t="str">
        <f>IF(VLOOKUP($B96,[5]Google!$B$3:$M$174,[5]Google!J$1,FALSE)=J96,"Same","MISMATCH")</f>
        <v>Same</v>
      </c>
      <c r="T96" t="str">
        <f>IF(VLOOKUP($B96,[5]Google!$B$3:$M$174,[5]Google!K$1,FALSE)=K96,"Same","MISMATCH")</f>
        <v>Same</v>
      </c>
      <c r="U96" t="str">
        <f>IF(VLOOKUP($B96,[5]Google!$B$3:$M$174,[5]Google!L$1,FALSE)=L96,"Same","MISMATCH")</f>
        <v>Same</v>
      </c>
      <c r="V96" t="str">
        <f>IF(VLOOKUP($B96,[5]Google!$B$3:$M$174,[5]Google!M$1,FALSE)=M96,"Same","MISMATCH")</f>
        <v>Same</v>
      </c>
    </row>
    <row r="97" spans="2:22">
      <c r="B97" s="36" t="s">
        <v>206</v>
      </c>
      <c r="C97" s="37" t="str">
        <f>+VLOOKUP(B97,'Country &amp; Code Abbreviation'!$B$3:$C$245,2,FALSE)</f>
        <v>ML</v>
      </c>
      <c r="D97" s="37" t="str">
        <f>+VLOOKUP(B97,'INT Web'!$B$5:$Q$248,16,FALSE)</f>
        <v>XOF</v>
      </c>
      <c r="E97" s="38" t="s">
        <v>368</v>
      </c>
      <c r="F97" s="39">
        <f>+MROUND(VLOOKUP($B97,'INT Web'!$B$5:$AO$247,'INT Web'!R$1,FALSE)*'FX Rates'!$F$5,1)-0.01</f>
        <v>66.989999999999995</v>
      </c>
      <c r="G97" s="39">
        <f>+MROUND(VLOOKUP($B97,'INT Web'!$B$5:$AO$247,'INT Web'!S$1,FALSE)*'FX Rates'!$F$5,1)-0.01</f>
        <v>10.99</v>
      </c>
      <c r="H97" s="39">
        <f>+MROUND(VLOOKUP($B97,'INT Web'!$B$5:$AO$247,'INT Web'!T$1,FALSE)*'FX Rates'!$F$5,1)-0.01</f>
        <v>48.99</v>
      </c>
      <c r="I97" s="39">
        <f>+MROUND(VLOOKUP($B97,'INT Web'!$B$5:$AO$247,'INT Web'!U$1,FALSE)*'FX Rates'!$F$5,1)-0.01</f>
        <v>7.99</v>
      </c>
      <c r="J97" s="39">
        <v>2.99</v>
      </c>
      <c r="K97" s="39">
        <v>2.99</v>
      </c>
      <c r="L97" s="39">
        <v>1.99</v>
      </c>
      <c r="M97" s="39">
        <v>1.99</v>
      </c>
      <c r="O97" t="str">
        <f>IF(VLOOKUP($B97,[5]Google!$B$3:$I$174,[5]Google!F$1,FALSE)=F97,"Same","MISMATCH")</f>
        <v>Same</v>
      </c>
      <c r="P97" t="str">
        <f>IF(VLOOKUP($B97,[5]Google!$B$3:$I$174,[5]Google!G$1,FALSE)=G97,"Same","MISMATCH")</f>
        <v>Same</v>
      </c>
      <c r="Q97" t="str">
        <f>IF(VLOOKUP($B97,[5]Google!$B$3:$I$174,[5]Google!H$1,FALSE)=H97,"Same","MISMATCH")</f>
        <v>Same</v>
      </c>
      <c r="R97" t="str">
        <f>IF(VLOOKUP($B97,[5]Google!$B$3:$I$174,[5]Google!I$1,FALSE)=I97,"Same","MISMATCH")</f>
        <v>Same</v>
      </c>
      <c r="S97" t="str">
        <f>IF(VLOOKUP($B97,[5]Google!$B$3:$M$174,[5]Google!J$1,FALSE)=J97,"Same","MISMATCH")</f>
        <v>Same</v>
      </c>
      <c r="T97" t="str">
        <f>IF(VLOOKUP($B97,[5]Google!$B$3:$M$174,[5]Google!K$1,FALSE)=K97,"Same","MISMATCH")</f>
        <v>Same</v>
      </c>
      <c r="U97" t="str">
        <f>IF(VLOOKUP($B97,[5]Google!$B$3:$M$174,[5]Google!L$1,FALSE)=L97,"Same","MISMATCH")</f>
        <v>Same</v>
      </c>
      <c r="V97" t="str">
        <f>IF(VLOOKUP($B97,[5]Google!$B$3:$M$174,[5]Google!M$1,FALSE)=M97,"Same","MISMATCH")</f>
        <v>Same</v>
      </c>
    </row>
    <row r="98" spans="2:22">
      <c r="B98" t="s">
        <v>207</v>
      </c>
      <c r="C98" s="31" t="str">
        <f>+VLOOKUP(B98,'Country &amp; Code Abbreviation'!$B$3:$C$245,2,FALSE)</f>
        <v>MT</v>
      </c>
      <c r="D98" s="31" t="str">
        <f>+VLOOKUP(B98,'INT Web'!$B$5:$Q$248,16,FALSE)</f>
        <v>EUR</v>
      </c>
      <c r="E98" s="32" t="s">
        <v>368</v>
      </c>
      <c r="F98" s="33">
        <f>+IFERROR(IF($E98=VLOOKUP($B98,Apple!$B$3:$I$176,Apple!$E$1,FALSE),VLOOKUP(Google!$B98,Apple!$B$3:$I$176,Apple!F$1,FALSE),VLOOKUP($B98,'INT Web'!$B$5:$U$247,'INT Web'!R$1,FALSE)),MROUND(VLOOKUP($B98,'INT Web'!$B$5:$AQ$247,'INT Web'!AL$1,FALSE),1)-0.01)</f>
        <v>129.99</v>
      </c>
      <c r="G98" s="33">
        <f>+IFERROR(IF($E98=VLOOKUP($B98,Apple!$B$3:$I$176,Apple!$E$1,FALSE),VLOOKUP(Google!$B98,Apple!$B$3:$I$176,Apple!G$1,FALSE),VLOOKUP($B98,'INT Web'!$B$5:$U$247,'INT Web'!S$1,FALSE)),MROUND(VLOOKUP($B98,'INT Web'!$B$5:$AQ$247,'INT Web'!AM$1,FALSE),1)-0.01)</f>
        <v>21.99</v>
      </c>
      <c r="H98" s="33">
        <f>+IFERROR(IF($E98=VLOOKUP($B98,Apple!$B$3:$I$176,Apple!$E$1,FALSE),VLOOKUP(Google!$B98,Apple!$B$3:$I$176,Apple!H$1,FALSE),VLOOKUP($B98,'INT Web'!$B$5:$U$247,'INT Web'!T$1,FALSE)),MROUND(VLOOKUP($B98,'INT Web'!$B$5:$AQ$247,'INT Web'!AN$1,FALSE),1)-0.01)</f>
        <v>99.99</v>
      </c>
      <c r="I98" s="33">
        <f>+IFERROR(IF($E98=VLOOKUP($B98,Apple!$B$3:$I$176,Apple!$E$1,FALSE),VLOOKUP(Google!$B98,Apple!$B$3:$I$176,Apple!I$1,FALSE),VLOOKUP($B98,'INT Web'!$B$5:$U$247,'INT Web'!U$1,FALSE)),MROUND(VLOOKUP($B98,'INT Web'!$B$5:$AQ$247,'INT Web'!AO$1,FALSE),1)-0.01)</f>
        <v>16.989999999999998</v>
      </c>
      <c r="J98" s="33">
        <f>+IF($E98=VLOOKUP($B98,Apple!$B$3:$E$176,4,FALSE),VLOOKUP(Google!$B98,Apple!$B$3:$M$176,Apple!J$1,FALSE),VLOOKUP($B98,'[6]Single Game'!$B$4:$P$238,'[6]Single Game'!M$1,FALSE))</f>
        <v>5.99</v>
      </c>
      <c r="K98" s="33">
        <f>+IF($E98=VLOOKUP($B98,Apple!$B$3:$E$176,4,FALSE),VLOOKUP(Google!$B98,Apple!$B$3:$M$176,Apple!K$1,FALSE),VLOOKUP($B98,'[6]Single Game'!$B$4:$P$238,'[6]Single Game'!N$1,FALSE))</f>
        <v>4.99</v>
      </c>
      <c r="L98" s="33">
        <f>+IF($E98=VLOOKUP($B98,Apple!$B$3:$E$176,4,FALSE),VLOOKUP(Google!$B98,Apple!$B$3:$M$176,Apple!L$1,FALSE),VLOOKUP($B98,'[6]Single Game'!$B$4:$P$238,'[6]Single Game'!O$1,FALSE))</f>
        <v>3.99</v>
      </c>
      <c r="M98" s="33">
        <f>+IF($E98=VLOOKUP($B98,Apple!$B$3:$E$176,4,FALSE),VLOOKUP(Google!$B98,Apple!$B$3:$M$176,Apple!M$1,FALSE),VLOOKUP($B98,'[6]Single Game'!$B$4:$P$238,'[6]Single Game'!P$1,FALSE))</f>
        <v>2.99</v>
      </c>
      <c r="O98" t="str">
        <f>IF(VLOOKUP($B98,[5]Google!$B$3:$I$174,[5]Google!F$1,FALSE)=F98,"Same","MISMATCH")</f>
        <v>Same</v>
      </c>
      <c r="P98" t="str">
        <f>IF(VLOOKUP($B98,[5]Google!$B$3:$I$174,[5]Google!G$1,FALSE)=G98,"Same","MISMATCH")</f>
        <v>Same</v>
      </c>
      <c r="Q98" t="str">
        <f>IF(VLOOKUP($B98,[5]Google!$B$3:$I$174,[5]Google!H$1,FALSE)=H98,"Same","MISMATCH")</f>
        <v>Same</v>
      </c>
      <c r="R98" t="str">
        <f>IF(VLOOKUP($B98,[5]Google!$B$3:$I$174,[5]Google!I$1,FALSE)=I98,"Same","MISMATCH")</f>
        <v>Same</v>
      </c>
      <c r="S98" t="str">
        <f>IF(VLOOKUP($B98,[5]Google!$B$3:$M$174,[5]Google!J$1,FALSE)=J98,"Same","MISMATCH")</f>
        <v>Same</v>
      </c>
      <c r="T98" t="str">
        <f>IF(VLOOKUP($B98,[5]Google!$B$3:$M$174,[5]Google!K$1,FALSE)=K98,"Same","MISMATCH")</f>
        <v>Same</v>
      </c>
      <c r="U98" t="str">
        <f>IF(VLOOKUP($B98,[5]Google!$B$3:$M$174,[5]Google!L$1,FALSE)=L98,"Same","MISMATCH")</f>
        <v>Same</v>
      </c>
      <c r="V98" t="str">
        <f>IF(VLOOKUP($B98,[5]Google!$B$3:$M$174,[5]Google!M$1,FALSE)=M98,"Same","MISMATCH")</f>
        <v>Same</v>
      </c>
    </row>
    <row r="99" spans="2:22">
      <c r="B99" t="s">
        <v>211</v>
      </c>
      <c r="C99" s="31" t="str">
        <f>+VLOOKUP(B99,'Country &amp; Code Abbreviation'!$B$3:$C$245,2,FALSE)</f>
        <v>MU</v>
      </c>
      <c r="D99" s="31" t="str">
        <f>+VLOOKUP(B99,'INT Web'!$B$5:$Q$248,16,FALSE)</f>
        <v>MUR</v>
      </c>
      <c r="E99" s="32" t="s">
        <v>346</v>
      </c>
      <c r="F99" s="33">
        <f>+IFERROR(IF($E99=VLOOKUP($B99,Apple!$B$3:$I$176,Apple!$E$1,FALSE),VLOOKUP(Google!$B99,Apple!$B$3:$I$176,Apple!F$1,FALSE),VLOOKUP($B99,'INT Web'!$B$5:$U$247,'INT Web'!R$1,FALSE)),MROUND(VLOOKUP($B99,'INT Web'!$B$5:$AQ$247,'INT Web'!AL$1,FALSE),1)-0.01)</f>
        <v>59.99</v>
      </c>
      <c r="G99" s="33">
        <f>+IFERROR(IF($E99=VLOOKUP($B99,Apple!$B$3:$I$176,Apple!$E$1,FALSE),VLOOKUP(Google!$B99,Apple!$B$3:$I$176,Apple!G$1,FALSE),VLOOKUP($B99,'INT Web'!$B$5:$U$247,'INT Web'!S$1,FALSE)),MROUND(VLOOKUP($B99,'INT Web'!$B$5:$AQ$247,'INT Web'!AM$1,FALSE),1)-0.01)</f>
        <v>9.99</v>
      </c>
      <c r="H99" s="33">
        <f>+IFERROR(IF($E99=VLOOKUP($B99,Apple!$B$3:$I$176,Apple!$E$1,FALSE),VLOOKUP(Google!$B99,Apple!$B$3:$I$176,Apple!H$1,FALSE),VLOOKUP($B99,'INT Web'!$B$5:$U$247,'INT Web'!T$1,FALSE)),MROUND(VLOOKUP($B99,'INT Web'!$B$5:$AQ$247,'INT Web'!AN$1,FALSE),1)-0.01)</f>
        <v>43.99</v>
      </c>
      <c r="I99" s="33">
        <f>+IFERROR(IF($E99=VLOOKUP($B99,Apple!$B$3:$I$176,Apple!$E$1,FALSE),VLOOKUP(Google!$B99,Apple!$B$3:$I$176,Apple!I$1,FALSE),VLOOKUP($B99,'INT Web'!$B$5:$U$247,'INT Web'!U$1,FALSE)),MROUND(VLOOKUP($B99,'INT Web'!$B$5:$AQ$247,'INT Web'!AO$1,FALSE),1)-0.01)</f>
        <v>6.99</v>
      </c>
      <c r="J99" s="33">
        <f>+IF($E99=VLOOKUP($B99,Apple!$B$3:$E$176,4,FALSE),VLOOKUP(Google!$B99,Apple!$B$3:$M$176,Apple!J$1,FALSE),VLOOKUP($B99,'[6]Single Game'!$B$4:$P$238,'[6]Single Game'!M$1,FALSE))</f>
        <v>2.99</v>
      </c>
      <c r="K99" s="33">
        <f>+IF($E99=VLOOKUP($B99,Apple!$B$3:$E$176,4,FALSE),VLOOKUP(Google!$B99,Apple!$B$3:$M$176,Apple!K$1,FALSE),VLOOKUP($B99,'[6]Single Game'!$B$4:$P$238,'[6]Single Game'!N$1,FALSE))</f>
        <v>1.99</v>
      </c>
      <c r="L99" s="33">
        <f>+IF($E99=VLOOKUP($B99,Apple!$B$3:$E$176,4,FALSE),VLOOKUP(Google!$B99,Apple!$B$3:$M$176,Apple!L$1,FALSE),VLOOKUP($B99,'[6]Single Game'!$B$4:$P$238,'[6]Single Game'!O$1,FALSE))</f>
        <v>1.99</v>
      </c>
      <c r="M99" s="33">
        <f>+IF($E99=VLOOKUP($B99,Apple!$B$3:$E$176,4,FALSE),VLOOKUP(Google!$B99,Apple!$B$3:$M$176,Apple!M$1,FALSE),VLOOKUP($B99,'[6]Single Game'!$B$4:$P$238,'[6]Single Game'!P$1,FALSE))</f>
        <v>0.99</v>
      </c>
      <c r="O99" t="str">
        <f>IF(VLOOKUP($B99,[5]Google!$B$3:$I$174,[5]Google!F$1,FALSE)=F99,"Same","MISMATCH")</f>
        <v>Same</v>
      </c>
      <c r="P99" t="str">
        <f>IF(VLOOKUP($B99,[5]Google!$B$3:$I$174,[5]Google!G$1,FALSE)=G99,"Same","MISMATCH")</f>
        <v>Same</v>
      </c>
      <c r="Q99" t="str">
        <f>IF(VLOOKUP($B99,[5]Google!$B$3:$I$174,[5]Google!H$1,FALSE)=H99,"Same","MISMATCH")</f>
        <v>Same</v>
      </c>
      <c r="R99" t="str">
        <f>IF(VLOOKUP($B99,[5]Google!$B$3:$I$174,[5]Google!I$1,FALSE)=I99,"Same","MISMATCH")</f>
        <v>Same</v>
      </c>
      <c r="S99" t="str">
        <f>IF(VLOOKUP($B99,[5]Google!$B$3:$M$174,[5]Google!J$1,FALSE)=J99,"Same","MISMATCH")</f>
        <v>Same</v>
      </c>
      <c r="T99" t="str">
        <f>IF(VLOOKUP($B99,[5]Google!$B$3:$M$174,[5]Google!K$1,FALSE)=K99,"Same","MISMATCH")</f>
        <v>Same</v>
      </c>
      <c r="U99" t="str">
        <f>IF(VLOOKUP($B99,[5]Google!$B$3:$M$174,[5]Google!L$1,FALSE)=L99,"Same","MISMATCH")</f>
        <v>Same</v>
      </c>
      <c r="V99" t="str">
        <f>IF(VLOOKUP($B99,[5]Google!$B$3:$M$174,[5]Google!M$1,FALSE)=M99,"Same","MISMATCH")</f>
        <v>Same</v>
      </c>
    </row>
    <row r="100" spans="2:22">
      <c r="B100" t="s">
        <v>213</v>
      </c>
      <c r="C100" s="31" t="str">
        <f>+VLOOKUP(B100,'Country &amp; Code Abbreviation'!$B$3:$C$245,2,FALSE)</f>
        <v>MX</v>
      </c>
      <c r="D100" s="31" t="str">
        <f>+VLOOKUP(B100,'INT Web'!$B$5:$Q$248,16,FALSE)</f>
        <v>MXN</v>
      </c>
      <c r="E100" s="32" t="s">
        <v>384</v>
      </c>
      <c r="F100" s="33">
        <f>+IFERROR(IF($E100=VLOOKUP($B100,Apple!$B$3:$I$176,Apple!$E$1,FALSE),VLOOKUP(Google!$B100,Apple!$B$3:$I$176,Apple!F$1,FALSE),VLOOKUP($B100,'INT Web'!$B$5:$U$247,'INT Web'!R$1,FALSE)),MROUND(VLOOKUP($B100,'INT Web'!$B$5:$AQ$247,'INT Web'!AL$1,FALSE),1)-0.01)</f>
        <v>1990</v>
      </c>
      <c r="G100" s="33">
        <f>+IFERROR(IF($E100=VLOOKUP($B100,Apple!$B$3:$I$176,Apple!$E$1,FALSE),VLOOKUP(Google!$B100,Apple!$B$3:$I$176,Apple!G$1,FALSE),VLOOKUP($B100,'INT Web'!$B$5:$U$247,'INT Web'!S$1,FALSE)),MROUND(VLOOKUP($B100,'INT Web'!$B$5:$AQ$247,'INT Web'!AM$1,FALSE),1)-0.01)</f>
        <v>290</v>
      </c>
      <c r="H100" s="33">
        <f>+IFERROR(IF($E100=VLOOKUP($B100,Apple!$B$3:$I$176,Apple!$E$1,FALSE),VLOOKUP(Google!$B100,Apple!$B$3:$I$176,Apple!H$1,FALSE),VLOOKUP($B100,'INT Web'!$B$5:$U$247,'INT Web'!T$1,FALSE)),MROUND(VLOOKUP($B100,'INT Web'!$B$5:$AQ$247,'INT Web'!AN$1,FALSE),1)-0.01)</f>
        <v>1470</v>
      </c>
      <c r="I100" s="33">
        <f>+IFERROR(IF($E100=VLOOKUP($B100,Apple!$B$3:$I$176,Apple!$E$1,FALSE),VLOOKUP(Google!$B100,Apple!$B$3:$I$176,Apple!I$1,FALSE),VLOOKUP($B100,'INT Web'!$B$5:$U$247,'INT Web'!U$1,FALSE)),MROUND(VLOOKUP($B100,'INT Web'!$B$5:$AQ$247,'INT Web'!AO$1,FALSE),1)-0.01)</f>
        <v>210</v>
      </c>
      <c r="J100" s="33">
        <f>+IF($E100=VLOOKUP($B100,Apple!$B$3:$E$176,4,FALSE),VLOOKUP(Google!$B100,Apple!$B$3:$M$176,Apple!J$1,FALSE),VLOOKUP($B100,'[6]Single Game'!$B$4:$P$238,'[6]Single Game'!M$1,FALSE))</f>
        <v>99</v>
      </c>
      <c r="K100" s="33">
        <f>+IF($E100=VLOOKUP($B100,Apple!$B$3:$E$176,4,FALSE),VLOOKUP(Google!$B100,Apple!$B$3:$M$176,Apple!K$1,FALSE),VLOOKUP($B100,'[6]Single Game'!$B$4:$P$238,'[6]Single Game'!N$1,FALSE))</f>
        <v>74</v>
      </c>
      <c r="L100" s="33">
        <f>+IF($E100=VLOOKUP($B100,Apple!$B$3:$E$176,4,FALSE),VLOOKUP(Google!$B100,Apple!$B$3:$M$176,Apple!L$1,FALSE),VLOOKUP($B100,'[6]Single Game'!$B$4:$P$238,'[6]Single Game'!O$1,FALSE))</f>
        <v>49</v>
      </c>
      <c r="M100" s="33">
        <f>+IF($E100=VLOOKUP($B100,Apple!$B$3:$E$176,4,FALSE),VLOOKUP(Google!$B100,Apple!$B$3:$M$176,Apple!M$1,FALSE),VLOOKUP($B100,'[6]Single Game'!$B$4:$P$238,'[6]Single Game'!P$1,FALSE))</f>
        <v>24</v>
      </c>
      <c r="O100" t="str">
        <f>IF(VLOOKUP($B100,[5]Google!$B$3:$I$174,[5]Google!F$1,FALSE)=F100,"Same","MISMATCH")</f>
        <v>Same</v>
      </c>
      <c r="P100" t="str">
        <f>IF(VLOOKUP($B100,[5]Google!$B$3:$I$174,[5]Google!G$1,FALSE)=G100,"Same","MISMATCH")</f>
        <v>Same</v>
      </c>
      <c r="Q100" t="str">
        <f>IF(VLOOKUP($B100,[5]Google!$B$3:$I$174,[5]Google!H$1,FALSE)=H100,"Same","MISMATCH")</f>
        <v>Same</v>
      </c>
      <c r="R100" t="str">
        <f>IF(VLOOKUP($B100,[5]Google!$B$3:$I$174,[5]Google!I$1,FALSE)=I100,"Same","MISMATCH")</f>
        <v>Same</v>
      </c>
      <c r="S100" t="str">
        <f>IF(VLOOKUP($B100,[5]Google!$B$3:$M$174,[5]Google!J$1,FALSE)=J100,"Same","MISMATCH")</f>
        <v>Same</v>
      </c>
      <c r="T100" t="str">
        <f>IF(VLOOKUP($B100,[5]Google!$B$3:$M$174,[5]Google!K$1,FALSE)=K100,"Same","MISMATCH")</f>
        <v>Same</v>
      </c>
      <c r="U100" t="str">
        <f>IF(VLOOKUP($B100,[5]Google!$B$3:$M$174,[5]Google!L$1,FALSE)=L100,"Same","MISMATCH")</f>
        <v>Same</v>
      </c>
      <c r="V100" t="str">
        <f>IF(VLOOKUP($B100,[5]Google!$B$3:$M$174,[5]Google!M$1,FALSE)=M100,"Same","MISMATCH")</f>
        <v>Same</v>
      </c>
    </row>
    <row r="101" spans="2:22">
      <c r="B101" t="s">
        <v>214</v>
      </c>
      <c r="C101" s="31" t="str">
        <f>+VLOOKUP(B101,'Country &amp; Code Abbreviation'!$B$3:$C$245,2,FALSE)</f>
        <v>FM</v>
      </c>
      <c r="D101" s="31" t="str">
        <f>+VLOOKUP(B101,'INT Web'!$B$5:$Q$248,16,FALSE)</f>
        <v>USD</v>
      </c>
      <c r="E101" s="32" t="s">
        <v>346</v>
      </c>
      <c r="F101" s="33">
        <f>+IFERROR(IF($E101=VLOOKUP($B101,Apple!$B$3:$I$176,Apple!$E$1,FALSE),VLOOKUP(Google!$B101,Apple!$B$3:$I$176,Apple!F$1,FALSE),VLOOKUP($B101,'INT Web'!$B$5:$U$247,'INT Web'!R$1,FALSE)),MROUND(VLOOKUP($B101,'INT Web'!$B$5:$AQ$247,'INT Web'!AL$1,FALSE),1)-0.01)</f>
        <v>129.99</v>
      </c>
      <c r="G101" s="33">
        <f>+IFERROR(IF($E101=VLOOKUP($B101,Apple!$B$3:$I$176,Apple!$E$1,FALSE),VLOOKUP(Google!$B101,Apple!$B$3:$I$176,Apple!G$1,FALSE),VLOOKUP($B101,'INT Web'!$B$5:$U$247,'INT Web'!S$1,FALSE)),MROUND(VLOOKUP($B101,'INT Web'!$B$5:$AQ$247,'INT Web'!AM$1,FALSE),1)-0.01)</f>
        <v>18.989999999999998</v>
      </c>
      <c r="H101" s="33">
        <f>+IFERROR(IF($E101=VLOOKUP($B101,Apple!$B$3:$I$176,Apple!$E$1,FALSE),VLOOKUP(Google!$B101,Apple!$B$3:$I$176,Apple!H$1,FALSE),VLOOKUP($B101,'INT Web'!$B$5:$U$247,'INT Web'!T$1,FALSE)),MROUND(VLOOKUP($B101,'INT Web'!$B$5:$AQ$247,'INT Web'!AN$1,FALSE),1)-0.01)</f>
        <v>83.99</v>
      </c>
      <c r="I101" s="33">
        <f>+IFERROR(IF($E101=VLOOKUP($B101,Apple!$B$3:$I$176,Apple!$E$1,FALSE),VLOOKUP(Google!$B101,Apple!$B$3:$I$176,Apple!I$1,FALSE),VLOOKUP($B101,'INT Web'!$B$5:$U$247,'INT Web'!U$1,FALSE)),MROUND(VLOOKUP($B101,'INT Web'!$B$5:$AQ$247,'INT Web'!AO$1,FALSE),1)-0.01)</f>
        <v>13.99</v>
      </c>
      <c r="J101" s="33">
        <f>+IF($E101=VLOOKUP($B101,Apple!$B$3:$E$176,4,FALSE),VLOOKUP(Google!$B101,Apple!$B$3:$M$176,Apple!J$1,FALSE),VLOOKUP($B101,'[6]Single Game'!$B$4:$P$238,'[6]Single Game'!M$1,FALSE))</f>
        <v>4.99</v>
      </c>
      <c r="K101" s="33">
        <f>+IF($E101=VLOOKUP($B101,Apple!$B$3:$E$176,4,FALSE),VLOOKUP(Google!$B101,Apple!$B$3:$M$176,Apple!K$1,FALSE),VLOOKUP($B101,'[6]Single Game'!$B$4:$P$238,'[6]Single Game'!N$1,FALSE))</f>
        <v>3.99</v>
      </c>
      <c r="L101" s="33">
        <f>+IF($E101=VLOOKUP($B101,Apple!$B$3:$E$176,4,FALSE),VLOOKUP(Google!$B101,Apple!$B$3:$M$176,Apple!L$1,FALSE),VLOOKUP($B101,'[6]Single Game'!$B$4:$P$238,'[6]Single Game'!O$1,FALSE))</f>
        <v>2.99</v>
      </c>
      <c r="M101" s="33">
        <f>+IF($E101=VLOOKUP($B101,Apple!$B$3:$E$176,4,FALSE),VLOOKUP(Google!$B101,Apple!$B$3:$M$176,Apple!M$1,FALSE),VLOOKUP($B101,'[6]Single Game'!$B$4:$P$238,'[6]Single Game'!P$1,FALSE))</f>
        <v>1.9900000000000002</v>
      </c>
      <c r="O101" t="str">
        <f>IF(VLOOKUP($B101,[5]Google!$B$3:$I$174,[5]Google!F$1,FALSE)=F101,"Same","MISMATCH")</f>
        <v>Same</v>
      </c>
      <c r="P101" t="str">
        <f>IF(VLOOKUP($B101,[5]Google!$B$3:$I$174,[5]Google!G$1,FALSE)=G101,"Same","MISMATCH")</f>
        <v>Same</v>
      </c>
      <c r="Q101" t="str">
        <f>IF(VLOOKUP($B101,[5]Google!$B$3:$I$174,[5]Google!H$1,FALSE)=H101,"Same","MISMATCH")</f>
        <v>Same</v>
      </c>
      <c r="R101" t="str">
        <f>IF(VLOOKUP($B101,[5]Google!$B$3:$I$174,[5]Google!I$1,FALSE)=I101,"Same","MISMATCH")</f>
        <v>Same</v>
      </c>
      <c r="S101" t="str">
        <f>IF(VLOOKUP($B101,[5]Google!$B$3:$M$174,[5]Google!J$1,FALSE)=J101,"Same","MISMATCH")</f>
        <v>Same</v>
      </c>
      <c r="T101" t="str">
        <f>IF(VLOOKUP($B101,[5]Google!$B$3:$M$174,[5]Google!K$1,FALSE)=K101,"Same","MISMATCH")</f>
        <v>Same</v>
      </c>
      <c r="U101" t="str">
        <f>IF(VLOOKUP($B101,[5]Google!$B$3:$M$174,[5]Google!L$1,FALSE)=L101,"Same","MISMATCH")</f>
        <v>Same</v>
      </c>
      <c r="V101" t="str">
        <f>IF(VLOOKUP($B101,[5]Google!$B$3:$M$174,[5]Google!M$1,FALSE)=M101,"Same","MISMATCH")</f>
        <v>Same</v>
      </c>
    </row>
    <row r="102" spans="2:22">
      <c r="B102" t="s">
        <v>215</v>
      </c>
      <c r="C102" s="31" t="str">
        <f>+VLOOKUP(B102,'Country &amp; Code Abbreviation'!$B$3:$C$245,2,FALSE)</f>
        <v>MD</v>
      </c>
      <c r="D102" s="31" t="str">
        <f>+VLOOKUP(B102,'INT Web'!$B$5:$Q$248,16,FALSE)</f>
        <v>MDL</v>
      </c>
      <c r="E102" s="32" t="s">
        <v>346</v>
      </c>
      <c r="F102" s="33">
        <f>+IFERROR(IF($E102=VLOOKUP($B102,Apple!$B$3:$I$176,Apple!$E$1,FALSE),VLOOKUP(Google!$B102,Apple!$B$3:$I$176,Apple!F$1,FALSE),VLOOKUP($B102,'INT Web'!$B$5:$U$247,'INT Web'!R$1,FALSE)),MROUND(VLOOKUP($B102,'INT Web'!$B$5:$AQ$247,'INT Web'!AL$1,FALSE),1)-0.01)</f>
        <v>84.99</v>
      </c>
      <c r="G102" s="33">
        <f>+IFERROR(IF($E102=VLOOKUP($B102,Apple!$B$3:$I$176,Apple!$E$1,FALSE),VLOOKUP(Google!$B102,Apple!$B$3:$I$176,Apple!G$1,FALSE),VLOOKUP($B102,'INT Web'!$B$5:$U$247,'INT Web'!S$1,FALSE)),MROUND(VLOOKUP($B102,'INT Web'!$B$5:$AQ$247,'INT Web'!AM$1,FALSE),1)-0.01)</f>
        <v>13.99</v>
      </c>
      <c r="H102" s="33">
        <f>+IFERROR(IF($E102=VLOOKUP($B102,Apple!$B$3:$I$176,Apple!$E$1,FALSE),VLOOKUP(Google!$B102,Apple!$B$3:$I$176,Apple!H$1,FALSE),VLOOKUP($B102,'INT Web'!$B$5:$U$247,'INT Web'!T$1,FALSE)),MROUND(VLOOKUP($B102,'INT Web'!$B$5:$AQ$247,'INT Web'!AN$1,FALSE),1)-0.01)</f>
        <v>62.99</v>
      </c>
      <c r="I102" s="33">
        <f>+IFERROR(IF($E102=VLOOKUP($B102,Apple!$B$3:$I$176,Apple!$E$1,FALSE),VLOOKUP(Google!$B102,Apple!$B$3:$I$176,Apple!I$1,FALSE),VLOOKUP($B102,'INT Web'!$B$5:$U$247,'INT Web'!U$1,FALSE)),MROUND(VLOOKUP($B102,'INT Web'!$B$5:$AQ$247,'INT Web'!AO$1,FALSE),1)-0.01)</f>
        <v>9.99</v>
      </c>
      <c r="J102" s="33">
        <f>+IF($E102=VLOOKUP($B102,Apple!$B$3:$E$176,4,FALSE),VLOOKUP(Google!$B102,Apple!$B$3:$M$176,Apple!J$1,FALSE),VLOOKUP($B102,'[6]Single Game'!$B$4:$P$238,'[6]Single Game'!M$1,FALSE))</f>
        <v>3.99</v>
      </c>
      <c r="K102" s="33">
        <f>+IF($E102=VLOOKUP($B102,Apple!$B$3:$E$176,4,FALSE),VLOOKUP(Google!$B102,Apple!$B$3:$M$176,Apple!K$1,FALSE),VLOOKUP($B102,'[6]Single Game'!$B$4:$P$238,'[6]Single Game'!N$1,FALSE))</f>
        <v>3.99</v>
      </c>
      <c r="L102" s="33">
        <f>+IF($E102=VLOOKUP($B102,Apple!$B$3:$E$176,4,FALSE),VLOOKUP(Google!$B102,Apple!$B$3:$M$176,Apple!L$1,FALSE),VLOOKUP($B102,'[6]Single Game'!$B$4:$P$238,'[6]Single Game'!O$1,FALSE))</f>
        <v>1.9900000000000002</v>
      </c>
      <c r="M102" s="33">
        <f>+IF($E102=VLOOKUP($B102,Apple!$B$3:$E$176,4,FALSE),VLOOKUP(Google!$B102,Apple!$B$3:$M$176,Apple!M$1,FALSE),VLOOKUP($B102,'[6]Single Game'!$B$4:$P$238,'[6]Single Game'!P$1,FALSE))</f>
        <v>1.9900000000000002</v>
      </c>
      <c r="O102" t="str">
        <f>IF(VLOOKUP($B102,[5]Google!$B$3:$I$174,[5]Google!F$1,FALSE)=F102,"Same","MISMATCH")</f>
        <v>Same</v>
      </c>
      <c r="P102" t="str">
        <f>IF(VLOOKUP($B102,[5]Google!$B$3:$I$174,[5]Google!G$1,FALSE)=G102,"Same","MISMATCH")</f>
        <v>Same</v>
      </c>
      <c r="Q102" t="str">
        <f>IF(VLOOKUP($B102,[5]Google!$B$3:$I$174,[5]Google!H$1,FALSE)=H102,"Same","MISMATCH")</f>
        <v>Same</v>
      </c>
      <c r="R102" t="str">
        <f>IF(VLOOKUP($B102,[5]Google!$B$3:$I$174,[5]Google!I$1,FALSE)=I102,"Same","MISMATCH")</f>
        <v>Same</v>
      </c>
      <c r="S102" t="str">
        <f>IF(VLOOKUP($B102,[5]Google!$B$3:$M$174,[5]Google!J$1,FALSE)=J102,"Same","MISMATCH")</f>
        <v>Same</v>
      </c>
      <c r="T102" t="str">
        <f>IF(VLOOKUP($B102,[5]Google!$B$3:$M$174,[5]Google!K$1,FALSE)=K102,"Same","MISMATCH")</f>
        <v>Same</v>
      </c>
      <c r="U102" t="str">
        <f>IF(VLOOKUP($B102,[5]Google!$B$3:$M$174,[5]Google!L$1,FALSE)=L102,"Same","MISMATCH")</f>
        <v>Same</v>
      </c>
      <c r="V102" t="str">
        <f>IF(VLOOKUP($B102,[5]Google!$B$3:$M$174,[5]Google!M$1,FALSE)=M102,"Same","MISMATCH")</f>
        <v>Same</v>
      </c>
    </row>
    <row r="103" spans="2:22">
      <c r="B103" t="s">
        <v>216</v>
      </c>
      <c r="C103" s="31" t="str">
        <f>+VLOOKUP(B103,'Country &amp; Code Abbreviation'!$B$3:$C$245,2,FALSE)</f>
        <v>MC</v>
      </c>
      <c r="D103" s="31" t="str">
        <f>+VLOOKUP(B103,'INT Web'!$B$5:$Q$248,16,FALSE)</f>
        <v>EUR</v>
      </c>
      <c r="E103" s="32" t="s">
        <v>368</v>
      </c>
      <c r="F103" s="150">
        <f>+VLOOKUP($B103,'INT Web'!$B$5:$U$247,'INT Web'!R$1,FALSE)</f>
        <v>119.99</v>
      </c>
      <c r="G103" s="150">
        <f>+VLOOKUP($B103,'INT Web'!$B$5:$U$247,'INT Web'!S$1,FALSE)</f>
        <v>19.989999999999998</v>
      </c>
      <c r="H103" s="150">
        <f>+VLOOKUP($B103,'INT Web'!$B$5:$U$247,'INT Web'!T$1,FALSE)</f>
        <v>89.99</v>
      </c>
      <c r="I103" s="150">
        <f>+VLOOKUP($B103,'INT Web'!$B$5:$U$247,'INT Web'!U$1,FALSE)</f>
        <v>14.99</v>
      </c>
      <c r="J103" s="72">
        <f>+VLOOKUP($B103,'[6]Single Game'!$B$4:$P$238,'[6]Single Game'!M$1,FALSE)</f>
        <v>4.99</v>
      </c>
      <c r="K103" s="72">
        <f>+VLOOKUP($B103,'[6]Single Game'!$B$4:$P$238,'[6]Single Game'!N$1,FALSE)</f>
        <v>3.99</v>
      </c>
      <c r="L103" s="72">
        <f>+VLOOKUP($B103,'[6]Single Game'!$B$4:$P$238,'[6]Single Game'!O$1,FALSE)</f>
        <v>2.99</v>
      </c>
      <c r="M103" s="72">
        <f>+VLOOKUP($B103,'[6]Single Game'!$B$4:$P$238,'[6]Single Game'!P$1,FALSE)</f>
        <v>1.9900000000000002</v>
      </c>
      <c r="O103" t="str">
        <f>IF(VLOOKUP($B103,[5]Google!$B$3:$I$174,[5]Google!F$1,FALSE)=F103,"Same","MISMATCH")</f>
        <v>Same</v>
      </c>
      <c r="P103" t="str">
        <f>IF(VLOOKUP($B103,[5]Google!$B$3:$I$174,[5]Google!G$1,FALSE)=G103,"Same","MISMATCH")</f>
        <v>Same</v>
      </c>
      <c r="Q103" t="str">
        <f>IF(VLOOKUP($B103,[5]Google!$B$3:$I$174,[5]Google!H$1,FALSE)=H103,"Same","MISMATCH")</f>
        <v>Same</v>
      </c>
      <c r="R103" t="str">
        <f>IF(VLOOKUP($B103,[5]Google!$B$3:$I$174,[5]Google!I$1,FALSE)=I103,"Same","MISMATCH")</f>
        <v>Same</v>
      </c>
      <c r="S103" t="str">
        <f>IF(VLOOKUP($B103,[5]Google!$B$3:$M$174,[5]Google!J$1,FALSE)=J103,"Same","MISMATCH")</f>
        <v>Same</v>
      </c>
      <c r="T103" t="str">
        <f>IF(VLOOKUP($B103,[5]Google!$B$3:$M$174,[5]Google!K$1,FALSE)=K103,"Same","MISMATCH")</f>
        <v>Same</v>
      </c>
      <c r="U103" t="str">
        <f>IF(VLOOKUP($B103,[5]Google!$B$3:$M$174,[5]Google!L$1,FALSE)=L103,"Same","MISMATCH")</f>
        <v>Same</v>
      </c>
      <c r="V103" t="str">
        <f>IF(VLOOKUP($B103,[5]Google!$B$3:$M$174,[5]Google!M$1,FALSE)=M103,"Same","MISMATCH")</f>
        <v>Same</v>
      </c>
    </row>
    <row r="104" spans="2:22">
      <c r="B104" t="s">
        <v>220</v>
      </c>
      <c r="C104" s="31" t="str">
        <f>+VLOOKUP(B104,'Country &amp; Code Abbreviation'!$B$3:$C$245,2,FALSE)</f>
        <v>MA</v>
      </c>
      <c r="D104" s="31" t="str">
        <f>+VLOOKUP(B104,'INT Web'!$B$5:$Q$248,16,FALSE)</f>
        <v>MAD</v>
      </c>
      <c r="E104" s="32" t="s">
        <v>425</v>
      </c>
      <c r="F104" s="33">
        <f>+IFERROR(IF($E104=VLOOKUP($B104,Apple!$B$3:$I$176,Apple!$E$1,FALSE),VLOOKUP(Google!$B104,Apple!$B$3:$I$176,Apple!F$1,FALSE),VLOOKUP($B104,'INT Web'!$B$5:$U$247,'INT Web'!R$1,FALSE)),MROUND(VLOOKUP($B104,'INT Web'!$B$5:$AQ$247,'INT Web'!AL$1,FALSE),1)-0.01)</f>
        <v>720</v>
      </c>
      <c r="G104" s="33">
        <f>+IFERROR(IF($E104=VLOOKUP($B104,Apple!$B$3:$I$176,Apple!$E$1,FALSE),VLOOKUP(Google!$B104,Apple!$B$3:$I$176,Apple!G$1,FALSE),VLOOKUP($B104,'INT Web'!$B$5:$U$247,'INT Web'!S$1,FALSE)),MROUND(VLOOKUP($B104,'INT Web'!$B$5:$AQ$247,'INT Web'!AM$1,FALSE),1)-0.01)</f>
        <v>120</v>
      </c>
      <c r="H104" s="33">
        <f>+IFERROR(IF($E104=VLOOKUP($B104,Apple!$B$3:$I$176,Apple!$E$1,FALSE),VLOOKUP(Google!$B104,Apple!$B$3:$I$176,Apple!H$1,FALSE),VLOOKUP($B104,'INT Web'!$B$5:$U$247,'INT Web'!T$1,FALSE)),MROUND(VLOOKUP($B104,'INT Web'!$B$5:$AQ$247,'INT Web'!AN$1,FALSE),1)-0.01)</f>
        <v>540</v>
      </c>
      <c r="I104" s="33">
        <f>+IFERROR(IF($E104=VLOOKUP($B104,Apple!$B$3:$I$176,Apple!$E$1,FALSE),VLOOKUP(Google!$B104,Apple!$B$3:$I$176,Apple!I$1,FALSE),VLOOKUP($B104,'INT Web'!$B$5:$U$247,'INT Web'!U$1,FALSE)),MROUND(VLOOKUP($B104,'INT Web'!$B$5:$AQ$247,'INT Web'!AO$1,FALSE),1)-0.01)</f>
        <v>90</v>
      </c>
      <c r="J104" s="33">
        <f>+IF($E104=VLOOKUP($B104,Apple!$B$3:$E$176,4,FALSE),VLOOKUP(Google!$B104,Apple!$B$3:$M$176,Apple!J$1,FALSE),VLOOKUP($B104,'[6]Single Game'!$B$4:$P$238,'[6]Single Game'!M$1,FALSE))</f>
        <v>30</v>
      </c>
      <c r="K104" s="33">
        <f>+IF($E104=VLOOKUP($B104,Apple!$B$3:$E$176,4,FALSE),VLOOKUP(Google!$B104,Apple!$B$3:$M$176,Apple!K$1,FALSE),VLOOKUP($B104,'[6]Single Game'!$B$4:$P$238,'[6]Single Game'!N$1,FALSE))</f>
        <v>25</v>
      </c>
      <c r="L104" s="33">
        <f>+IF($E104=VLOOKUP($B104,Apple!$B$3:$E$176,4,FALSE),VLOOKUP(Google!$B104,Apple!$B$3:$M$176,Apple!L$1,FALSE),VLOOKUP($B104,'[6]Single Game'!$B$4:$P$238,'[6]Single Game'!O$1,FALSE))</f>
        <v>20</v>
      </c>
      <c r="M104" s="33">
        <f>+IF($E104=VLOOKUP($B104,Apple!$B$3:$E$176,4,FALSE),VLOOKUP(Google!$B104,Apple!$B$3:$M$176,Apple!M$1,FALSE),VLOOKUP($B104,'[6]Single Game'!$B$4:$P$238,'[6]Single Game'!P$1,FALSE))</f>
        <v>15</v>
      </c>
      <c r="O104" t="str">
        <f>IF(VLOOKUP($B104,[5]Google!$B$3:$I$174,[5]Google!F$1,FALSE)=F104,"Same","MISMATCH")</f>
        <v>Same</v>
      </c>
      <c r="P104" t="str">
        <f>IF(VLOOKUP($B104,[5]Google!$B$3:$I$174,[5]Google!G$1,FALSE)=G104,"Same","MISMATCH")</f>
        <v>Same</v>
      </c>
      <c r="Q104" t="str">
        <f>IF(VLOOKUP($B104,[5]Google!$B$3:$I$174,[5]Google!H$1,FALSE)=H104,"Same","MISMATCH")</f>
        <v>Same</v>
      </c>
      <c r="R104" t="str">
        <f>IF(VLOOKUP($B104,[5]Google!$B$3:$I$174,[5]Google!I$1,FALSE)=I104,"Same","MISMATCH")</f>
        <v>Same</v>
      </c>
      <c r="S104" t="str">
        <f>IF(VLOOKUP($B104,[5]Google!$B$3:$M$174,[5]Google!J$1,FALSE)=J104,"Same","MISMATCH")</f>
        <v>Same</v>
      </c>
      <c r="T104" t="str">
        <f>IF(VLOOKUP($B104,[5]Google!$B$3:$M$174,[5]Google!K$1,FALSE)=K104,"Same","MISMATCH")</f>
        <v>Same</v>
      </c>
      <c r="U104" t="str">
        <f>IF(VLOOKUP($B104,[5]Google!$B$3:$M$174,[5]Google!L$1,FALSE)=L104,"Same","MISMATCH")</f>
        <v>Same</v>
      </c>
      <c r="V104" t="str">
        <f>IF(VLOOKUP($B104,[5]Google!$B$3:$M$174,[5]Google!M$1,FALSE)=M104,"Same","MISMATCH")</f>
        <v>Same</v>
      </c>
    </row>
    <row r="105" spans="2:22">
      <c r="B105" t="s">
        <v>221</v>
      </c>
      <c r="C105" s="31" t="str">
        <f>+VLOOKUP(B105,'Country &amp; Code Abbreviation'!$B$3:$C$245,2,FALSE)</f>
        <v>MZ</v>
      </c>
      <c r="D105" s="31" t="str">
        <f>+VLOOKUP(B105,'INT Web'!$B$5:$Q$248,16,FALSE)</f>
        <v>USD</v>
      </c>
      <c r="E105" s="32" t="s">
        <v>346</v>
      </c>
      <c r="F105" s="33">
        <f>+IFERROR(IF($E105=VLOOKUP($B105,Apple!$B$3:$I$176,Apple!$E$1,FALSE),VLOOKUP(Google!$B105,Apple!$B$3:$I$176,Apple!F$1,FALSE),VLOOKUP($B105,'INT Web'!$B$5:$U$247,'INT Web'!R$1,FALSE)),MROUND(VLOOKUP($B105,'INT Web'!$B$5:$AQ$247,'INT Web'!AL$1,FALSE),1)-0.01)</f>
        <v>71.989999999999995</v>
      </c>
      <c r="G105" s="33">
        <f>+IFERROR(IF($E105=VLOOKUP($B105,Apple!$B$3:$I$176,Apple!$E$1,FALSE),VLOOKUP(Google!$B105,Apple!$B$3:$I$176,Apple!G$1,FALSE),VLOOKUP($B105,'INT Web'!$B$5:$U$247,'INT Web'!S$1,FALSE)),MROUND(VLOOKUP($B105,'INT Web'!$B$5:$AQ$247,'INT Web'!AM$1,FALSE),1)-0.01)</f>
        <v>11.99</v>
      </c>
      <c r="H105" s="33">
        <f>+IFERROR(IF($E105=VLOOKUP($B105,Apple!$B$3:$I$176,Apple!$E$1,FALSE),VLOOKUP(Google!$B105,Apple!$B$3:$I$176,Apple!H$1,FALSE),VLOOKUP($B105,'INT Web'!$B$5:$U$247,'INT Web'!T$1,FALSE)),MROUND(VLOOKUP($B105,'INT Web'!$B$5:$AQ$247,'INT Web'!AN$1,FALSE),1)-0.01)</f>
        <v>53.99</v>
      </c>
      <c r="I105" s="33">
        <f>+IFERROR(IF($E105=VLOOKUP($B105,Apple!$B$3:$I$176,Apple!$E$1,FALSE),VLOOKUP(Google!$B105,Apple!$B$3:$I$176,Apple!I$1,FALSE),VLOOKUP($B105,'INT Web'!$B$5:$U$247,'INT Web'!U$1,FALSE)),MROUND(VLOOKUP($B105,'INT Web'!$B$5:$AQ$247,'INT Web'!AO$1,FALSE),1)-0.01)</f>
        <v>8.99</v>
      </c>
      <c r="J105" s="33">
        <f>+IF($E105=VLOOKUP($B105,Apple!$B$3:$E$176,4,FALSE),VLOOKUP(Google!$B105,Apple!$B$3:$M$176,Apple!J$1,FALSE),VLOOKUP($B105,'[6]Single Game'!$B$4:$P$238,'[6]Single Game'!M$1,FALSE))</f>
        <v>3.99</v>
      </c>
      <c r="K105" s="33">
        <f>+IF($E105=VLOOKUP($B105,Apple!$B$3:$E$176,4,FALSE),VLOOKUP(Google!$B105,Apple!$B$3:$M$176,Apple!K$1,FALSE),VLOOKUP($B105,'[6]Single Game'!$B$4:$P$238,'[6]Single Game'!N$1,FALSE))</f>
        <v>3.99</v>
      </c>
      <c r="L105" s="33">
        <f>+IF($E105=VLOOKUP($B105,Apple!$B$3:$E$176,4,FALSE),VLOOKUP(Google!$B105,Apple!$B$3:$M$176,Apple!L$1,FALSE),VLOOKUP($B105,'[6]Single Game'!$B$4:$P$238,'[6]Single Game'!O$1,FALSE))</f>
        <v>1.99</v>
      </c>
      <c r="M105" s="33">
        <f>+IF($E105=VLOOKUP($B105,Apple!$B$3:$E$176,4,FALSE),VLOOKUP(Google!$B105,Apple!$B$3:$M$176,Apple!M$1,FALSE),VLOOKUP($B105,'[6]Single Game'!$B$4:$P$238,'[6]Single Game'!P$1,FALSE))</f>
        <v>1.99</v>
      </c>
      <c r="O105" t="str">
        <f>IF(VLOOKUP($B105,[5]Google!$B$3:$I$174,[5]Google!F$1,FALSE)=F105,"Same","MISMATCH")</f>
        <v>Same</v>
      </c>
      <c r="P105" t="str">
        <f>IF(VLOOKUP($B105,[5]Google!$B$3:$I$174,[5]Google!G$1,FALSE)=G105,"Same","MISMATCH")</f>
        <v>Same</v>
      </c>
      <c r="Q105" t="str">
        <f>IF(VLOOKUP($B105,[5]Google!$B$3:$I$174,[5]Google!H$1,FALSE)=H105,"Same","MISMATCH")</f>
        <v>Same</v>
      </c>
      <c r="R105" t="str">
        <f>IF(VLOOKUP($B105,[5]Google!$B$3:$I$174,[5]Google!I$1,FALSE)=I105,"Same","MISMATCH")</f>
        <v>Same</v>
      </c>
      <c r="S105" t="str">
        <f>IF(VLOOKUP($B105,[5]Google!$B$3:$M$174,[5]Google!J$1,FALSE)=J105,"Same","MISMATCH")</f>
        <v>Same</v>
      </c>
      <c r="T105" t="str">
        <f>IF(VLOOKUP($B105,[5]Google!$B$3:$M$174,[5]Google!K$1,FALSE)=K105,"Same","MISMATCH")</f>
        <v>Same</v>
      </c>
      <c r="U105" t="str">
        <f>IF(VLOOKUP($B105,[5]Google!$B$3:$M$174,[5]Google!L$1,FALSE)=L105,"Same","MISMATCH")</f>
        <v>Same</v>
      </c>
      <c r="V105" t="str">
        <f>IF(VLOOKUP($B105,[5]Google!$B$3:$M$174,[5]Google!M$1,FALSE)=M105,"Same","MISMATCH")</f>
        <v>Same</v>
      </c>
    </row>
    <row r="106" spans="2:22">
      <c r="B106" t="s">
        <v>222</v>
      </c>
      <c r="C106" s="31" t="str">
        <f>+VLOOKUP(B106,'Country &amp; Code Abbreviation'!$B$3:$C$245,2,FALSE)</f>
        <v>MM</v>
      </c>
      <c r="D106" s="31" t="str">
        <f>+VLOOKUP(B106,'INT Web'!$B$5:$Q$248,16,FALSE)</f>
        <v>MMK</v>
      </c>
      <c r="E106" s="32" t="s">
        <v>426</v>
      </c>
      <c r="F106" s="33">
        <f>+IFERROR(IF($E106=VLOOKUP($B106,Apple!$B$3:$I$176,Apple!$E$1,FALSE),VLOOKUP(Google!$B106,Apple!$B$3:$I$176,Apple!F$1,FALSE),VLOOKUP($B106,'INT Web'!$B$5:$U$247,'INT Web'!R$1,FALSE)),MROUND(VLOOKUP($B106,'INT Web'!$B$5:$AQ$247,'INT Web'!AL$1,FALSE),1)-0.01)</f>
        <v>129600</v>
      </c>
      <c r="G106" s="33">
        <f>+IFERROR(IF($E106=VLOOKUP($B106,Apple!$B$3:$I$176,Apple!$E$1,FALSE),VLOOKUP(Google!$B106,Apple!$B$3:$I$176,Apple!G$1,FALSE),VLOOKUP($B106,'INT Web'!$B$5:$U$247,'INT Web'!S$1,FALSE)),MROUND(VLOOKUP($B106,'INT Web'!$B$5:$AQ$247,'INT Web'!AM$1,FALSE),1)-0.01)</f>
        <v>21600</v>
      </c>
      <c r="H106" s="33">
        <f>+IFERROR(IF($E106=VLOOKUP($B106,Apple!$B$3:$I$176,Apple!$E$1,FALSE),VLOOKUP(Google!$B106,Apple!$B$3:$I$176,Apple!H$1,FALSE),VLOOKUP($B106,'INT Web'!$B$5:$U$247,'INT Web'!T$1,FALSE)),MROUND(VLOOKUP($B106,'INT Web'!$B$5:$AQ$247,'INT Web'!AN$1,FALSE),1)-0.01)</f>
        <v>96000</v>
      </c>
      <c r="I106" s="33">
        <f>+IFERROR(IF($E106=VLOOKUP($B106,Apple!$B$3:$I$176,Apple!$E$1,FALSE),VLOOKUP(Google!$B106,Apple!$B$3:$I$176,Apple!I$1,FALSE),VLOOKUP($B106,'INT Web'!$B$5:$U$247,'INT Web'!U$1,FALSE)),MROUND(VLOOKUP($B106,'INT Web'!$B$5:$AQ$247,'INT Web'!AO$1,FALSE),1)-0.01)</f>
        <v>16000</v>
      </c>
      <c r="J106" s="33">
        <f>+IF($E106=VLOOKUP($B106,Apple!$B$3:$E$176,4,FALSE),VLOOKUP(Google!$B106,Apple!$B$3:$M$176,Apple!J$1,FALSE),VLOOKUP($B106,'[6]Single Game'!$B$4:$P$238,'[6]Single Game'!M$1,FALSE))</f>
        <v>5600</v>
      </c>
      <c r="K106" s="33">
        <f>+IF($E106=VLOOKUP($B106,Apple!$B$3:$E$176,4,FALSE),VLOOKUP(Google!$B106,Apple!$B$3:$M$176,Apple!K$1,FALSE),VLOOKUP($B106,'[6]Single Game'!$B$4:$P$238,'[6]Single Game'!N$1,FALSE))</f>
        <v>4600</v>
      </c>
      <c r="L106" s="33">
        <f>+IF($E106=VLOOKUP($B106,Apple!$B$3:$E$176,4,FALSE),VLOOKUP(Google!$B106,Apple!$B$3:$M$176,Apple!L$1,FALSE),VLOOKUP($B106,'[6]Single Game'!$B$4:$P$238,'[6]Single Game'!O$1,FALSE))</f>
        <v>3600</v>
      </c>
      <c r="M106" s="33">
        <f>+IF($E106=VLOOKUP($B106,Apple!$B$3:$E$176,4,FALSE),VLOOKUP(Google!$B106,Apple!$B$3:$M$176,Apple!M$1,FALSE),VLOOKUP($B106,'[6]Single Game'!$B$4:$P$238,'[6]Single Game'!P$1,FALSE))</f>
        <v>2600</v>
      </c>
      <c r="O106" t="str">
        <f>IF(VLOOKUP($B106,[5]Google!$B$3:$I$174,[5]Google!F$1,FALSE)=F106,"Same","MISMATCH")</f>
        <v>Same</v>
      </c>
      <c r="P106" t="str">
        <f>IF(VLOOKUP($B106,[5]Google!$B$3:$I$174,[5]Google!G$1,FALSE)=G106,"Same","MISMATCH")</f>
        <v>Same</v>
      </c>
      <c r="Q106" t="str">
        <f>IF(VLOOKUP($B106,[5]Google!$B$3:$I$174,[5]Google!H$1,FALSE)=H106,"Same","MISMATCH")</f>
        <v>Same</v>
      </c>
      <c r="R106" t="str">
        <f>IF(VLOOKUP($B106,[5]Google!$B$3:$I$174,[5]Google!I$1,FALSE)=I106,"Same","MISMATCH")</f>
        <v>Same</v>
      </c>
      <c r="S106" t="str">
        <f>IF(VLOOKUP($B106,[5]Google!$B$3:$M$174,[5]Google!J$1,FALSE)=J106,"Same","MISMATCH")</f>
        <v>Same</v>
      </c>
      <c r="T106" t="str">
        <f>IF(VLOOKUP($B106,[5]Google!$B$3:$M$174,[5]Google!K$1,FALSE)=K106,"Same","MISMATCH")</f>
        <v>Same</v>
      </c>
      <c r="U106" t="str">
        <f>IF(VLOOKUP($B106,[5]Google!$B$3:$M$174,[5]Google!L$1,FALSE)=L106,"Same","MISMATCH")</f>
        <v>Same</v>
      </c>
      <c r="V106" t="str">
        <f>IF(VLOOKUP($B106,[5]Google!$B$3:$M$174,[5]Google!M$1,FALSE)=M106,"Same","MISMATCH")</f>
        <v>Same</v>
      </c>
    </row>
    <row r="107" spans="2:22">
      <c r="B107" t="s">
        <v>223</v>
      </c>
      <c r="C107" s="31" t="str">
        <f>+VLOOKUP(B107,'Country &amp; Code Abbreviation'!$B$3:$C$245,2,FALSE)</f>
        <v>NA</v>
      </c>
      <c r="D107" s="31" t="str">
        <f>+VLOOKUP(B107,'INT Web'!$B$5:$Q$248,16,FALSE)</f>
        <v>NAD</v>
      </c>
      <c r="E107" s="32" t="s">
        <v>346</v>
      </c>
      <c r="F107" s="33">
        <f>+IFERROR(IF($E107=VLOOKUP($B107,Apple!$B$3:$I$176,Apple!$E$1,FALSE),VLOOKUP(Google!$B107,Apple!$B$3:$I$176,Apple!F$1,FALSE),VLOOKUP($B107,'INT Web'!$B$5:$U$247,'INT Web'!R$1,FALSE)),MROUND(VLOOKUP($B107,'INT Web'!$B$5:$AQ$247,'INT Web'!AL$1,FALSE),1)-0.01)</f>
        <v>52.99</v>
      </c>
      <c r="G107" s="33">
        <f>+IFERROR(IF($E107=VLOOKUP($B107,Apple!$B$3:$I$176,Apple!$E$1,FALSE),VLOOKUP(Google!$B107,Apple!$B$3:$I$176,Apple!G$1,FALSE),VLOOKUP($B107,'INT Web'!$B$5:$U$247,'INT Web'!S$1,FALSE)),MROUND(VLOOKUP($B107,'INT Web'!$B$5:$AQ$247,'INT Web'!AM$1,FALSE),1)-0.01)</f>
        <v>8.99</v>
      </c>
      <c r="H107" s="33">
        <f>+IFERROR(IF($E107=VLOOKUP($B107,Apple!$B$3:$I$176,Apple!$E$1,FALSE),VLOOKUP(Google!$B107,Apple!$B$3:$I$176,Apple!H$1,FALSE),VLOOKUP($B107,'INT Web'!$B$5:$U$247,'INT Web'!T$1,FALSE)),MROUND(VLOOKUP($B107,'INT Web'!$B$5:$AQ$247,'INT Web'!AN$1,FALSE),1)-0.01)</f>
        <v>38.99</v>
      </c>
      <c r="I107" s="33">
        <f>+IFERROR(IF($E107=VLOOKUP($B107,Apple!$B$3:$I$176,Apple!$E$1,FALSE),VLOOKUP(Google!$B107,Apple!$B$3:$I$176,Apple!I$1,FALSE),VLOOKUP($B107,'INT Web'!$B$5:$U$247,'INT Web'!U$1,FALSE)),MROUND(VLOOKUP($B107,'INT Web'!$B$5:$AQ$247,'INT Web'!AO$1,FALSE),1)-0.01)</f>
        <v>5.99</v>
      </c>
      <c r="J107" s="33">
        <f>+IF($E107=VLOOKUP($B107,Apple!$B$3:$E$176,4,FALSE),VLOOKUP(Google!$B107,Apple!$B$3:$M$176,Apple!J$1,FALSE),VLOOKUP($B107,'[6]Single Game'!$B$4:$P$238,'[6]Single Game'!M$1,FALSE))</f>
        <v>1.99</v>
      </c>
      <c r="K107" s="33">
        <f>+IF($E107=VLOOKUP($B107,Apple!$B$3:$E$176,4,FALSE),VLOOKUP(Google!$B107,Apple!$B$3:$M$176,Apple!K$1,FALSE),VLOOKUP($B107,'[6]Single Game'!$B$4:$P$238,'[6]Single Game'!N$1,FALSE))</f>
        <v>1.99</v>
      </c>
      <c r="L107" s="33">
        <f>+IF($E107=VLOOKUP($B107,Apple!$B$3:$E$176,4,FALSE),VLOOKUP(Google!$B107,Apple!$B$3:$M$176,Apple!L$1,FALSE),VLOOKUP($B107,'[6]Single Game'!$B$4:$P$238,'[6]Single Game'!O$1,FALSE))</f>
        <v>0.99</v>
      </c>
      <c r="M107" s="33">
        <f>+IF($E107=VLOOKUP($B107,Apple!$B$3:$E$176,4,FALSE),VLOOKUP(Google!$B107,Apple!$B$3:$M$176,Apple!M$1,FALSE),VLOOKUP($B107,'[6]Single Game'!$B$4:$P$238,'[6]Single Game'!P$1,FALSE))</f>
        <v>0.99</v>
      </c>
      <c r="O107" t="str">
        <f>IF(VLOOKUP($B107,[5]Google!$B$3:$I$174,[5]Google!F$1,FALSE)=F107,"Same","MISMATCH")</f>
        <v>Same</v>
      </c>
      <c r="P107" t="str">
        <f>IF(VLOOKUP($B107,[5]Google!$B$3:$I$174,[5]Google!G$1,FALSE)=G107,"Same","MISMATCH")</f>
        <v>Same</v>
      </c>
      <c r="Q107" t="str">
        <f>IF(VLOOKUP($B107,[5]Google!$B$3:$I$174,[5]Google!H$1,FALSE)=H107,"Same","MISMATCH")</f>
        <v>Same</v>
      </c>
      <c r="R107" t="str">
        <f>IF(VLOOKUP($B107,[5]Google!$B$3:$I$174,[5]Google!I$1,FALSE)=I107,"Same","MISMATCH")</f>
        <v>Same</v>
      </c>
      <c r="S107" t="str">
        <f>IF(VLOOKUP($B107,[5]Google!$B$3:$M$174,[5]Google!J$1,FALSE)=J107,"Same","MISMATCH")</f>
        <v>Same</v>
      </c>
      <c r="T107" t="str">
        <f>IF(VLOOKUP($B107,[5]Google!$B$3:$M$174,[5]Google!K$1,FALSE)=K107,"Same","MISMATCH")</f>
        <v>Same</v>
      </c>
      <c r="U107" t="str">
        <f>IF(VLOOKUP($B107,[5]Google!$B$3:$M$174,[5]Google!L$1,FALSE)=L107,"Same","MISMATCH")</f>
        <v>Same</v>
      </c>
      <c r="V107" t="str">
        <f>IF(VLOOKUP($B107,[5]Google!$B$3:$M$174,[5]Google!M$1,FALSE)=M107,"Same","MISMATCH")</f>
        <v>Same</v>
      </c>
    </row>
    <row r="108" spans="2:22">
      <c r="B108" t="s">
        <v>225</v>
      </c>
      <c r="C108" s="31" t="str">
        <f>+VLOOKUP(B108,'Country &amp; Code Abbreviation'!$B$3:$C$245,2,FALSE)</f>
        <v>NP</v>
      </c>
      <c r="D108" s="31" t="str">
        <f>+VLOOKUP(B108,'INT Web'!$B$5:$Q$248,16,FALSE)</f>
        <v>NPR</v>
      </c>
      <c r="E108" s="32" t="s">
        <v>346</v>
      </c>
      <c r="F108" s="33">
        <f>+IFERROR(IF($E108=VLOOKUP($B108,Apple!$B$3:$I$176,Apple!$E$1,FALSE),VLOOKUP(Google!$B108,Apple!$B$3:$I$176,Apple!F$1,FALSE),VLOOKUP($B108,'INT Web'!$B$5:$U$247,'INT Web'!R$1,FALSE)),MROUND(VLOOKUP($B108,'INT Web'!$B$5:$AQ$247,'INT Web'!AL$1,FALSE),1)-0.01)</f>
        <v>78.989999999999995</v>
      </c>
      <c r="G108" s="33">
        <f>+IFERROR(IF($E108=VLOOKUP($B108,Apple!$B$3:$I$176,Apple!$E$1,FALSE),VLOOKUP(Google!$B108,Apple!$B$3:$I$176,Apple!G$1,FALSE),VLOOKUP($B108,'INT Web'!$B$5:$U$247,'INT Web'!S$1,FALSE)),MROUND(VLOOKUP($B108,'INT Web'!$B$5:$AQ$247,'INT Web'!AM$1,FALSE),1)-0.01)</f>
        <v>12.99</v>
      </c>
      <c r="H108" s="33">
        <f>+IFERROR(IF($E108=VLOOKUP($B108,Apple!$B$3:$I$176,Apple!$E$1,FALSE),VLOOKUP(Google!$B108,Apple!$B$3:$I$176,Apple!H$1,FALSE),VLOOKUP($B108,'INT Web'!$B$5:$U$247,'INT Web'!T$1,FALSE)),MROUND(VLOOKUP($B108,'INT Web'!$B$5:$AQ$247,'INT Web'!AN$1,FALSE),1)-0.01)</f>
        <v>57.99</v>
      </c>
      <c r="I108" s="33">
        <f>+IFERROR(IF($E108=VLOOKUP($B108,Apple!$B$3:$I$176,Apple!$E$1,FALSE),VLOOKUP(Google!$B108,Apple!$B$3:$I$176,Apple!I$1,FALSE),VLOOKUP($B108,'INT Web'!$B$5:$U$247,'INT Web'!U$1,FALSE)),MROUND(VLOOKUP($B108,'INT Web'!$B$5:$AQ$247,'INT Web'!AO$1,FALSE),1)-0.01)</f>
        <v>8.99</v>
      </c>
      <c r="J108" s="33">
        <f>+IF($E108=VLOOKUP($B108,Apple!$B$3:$E$176,4,FALSE),VLOOKUP(Google!$B108,Apple!$B$3:$M$176,Apple!J$1,FALSE),VLOOKUP($B108,'[6]Single Game'!$B$4:$P$238,'[6]Single Game'!M$1,FALSE))</f>
        <v>2.99</v>
      </c>
      <c r="K108" s="33">
        <f>+IF($E108=VLOOKUP($B108,Apple!$B$3:$E$176,4,FALSE),VLOOKUP(Google!$B108,Apple!$B$3:$M$176,Apple!K$1,FALSE),VLOOKUP($B108,'[6]Single Game'!$B$4:$P$238,'[6]Single Game'!N$1,FALSE))</f>
        <v>2.99</v>
      </c>
      <c r="L108" s="33">
        <f>+IF($E108=VLOOKUP($B108,Apple!$B$3:$E$176,4,FALSE),VLOOKUP(Google!$B108,Apple!$B$3:$M$176,Apple!L$1,FALSE),VLOOKUP($B108,'[6]Single Game'!$B$4:$P$238,'[6]Single Game'!O$1,FALSE))</f>
        <v>1.99</v>
      </c>
      <c r="M108" s="33">
        <f>+IF($E108=VLOOKUP($B108,Apple!$B$3:$E$176,4,FALSE),VLOOKUP(Google!$B108,Apple!$B$3:$M$176,Apple!M$1,FALSE),VLOOKUP($B108,'[6]Single Game'!$B$4:$P$238,'[6]Single Game'!P$1,FALSE))</f>
        <v>1.99</v>
      </c>
      <c r="O108" t="str">
        <f>IF(VLOOKUP($B108,[5]Google!$B$3:$I$174,[5]Google!F$1,FALSE)=F108,"Same","MISMATCH")</f>
        <v>Same</v>
      </c>
      <c r="P108" t="str">
        <f>IF(VLOOKUP($B108,[5]Google!$B$3:$I$174,[5]Google!G$1,FALSE)=G108,"Same","MISMATCH")</f>
        <v>Same</v>
      </c>
      <c r="Q108" t="str">
        <f>IF(VLOOKUP($B108,[5]Google!$B$3:$I$174,[5]Google!H$1,FALSE)=H108,"Same","MISMATCH")</f>
        <v>Same</v>
      </c>
      <c r="R108" t="str">
        <f>IF(VLOOKUP($B108,[5]Google!$B$3:$I$174,[5]Google!I$1,FALSE)=I108,"Same","MISMATCH")</f>
        <v>Same</v>
      </c>
      <c r="S108" t="str">
        <f>IF(VLOOKUP($B108,[5]Google!$B$3:$M$174,[5]Google!J$1,FALSE)=J108,"Same","MISMATCH")</f>
        <v>Same</v>
      </c>
      <c r="T108" t="str">
        <f>IF(VLOOKUP($B108,[5]Google!$B$3:$M$174,[5]Google!K$1,FALSE)=K108,"Same","MISMATCH")</f>
        <v>Same</v>
      </c>
      <c r="U108" t="str">
        <f>IF(VLOOKUP($B108,[5]Google!$B$3:$M$174,[5]Google!L$1,FALSE)=L108,"Same","MISMATCH")</f>
        <v>Same</v>
      </c>
      <c r="V108" t="str">
        <f>IF(VLOOKUP($B108,[5]Google!$B$3:$M$174,[5]Google!M$1,FALSE)=M108,"Same","MISMATCH")</f>
        <v>Same</v>
      </c>
    </row>
    <row r="109" spans="2:22">
      <c r="B109" t="s">
        <v>226</v>
      </c>
      <c r="C109" s="31" t="str">
        <f>+VLOOKUP(B109,'Country &amp; Code Abbreviation'!$B$3:$C$245,2,FALSE)</f>
        <v>NL</v>
      </c>
      <c r="D109" s="31" t="str">
        <f>+VLOOKUP(B109,'INT Web'!$B$5:$Q$248,16,FALSE)</f>
        <v>EUR</v>
      </c>
      <c r="E109" s="32" t="s">
        <v>368</v>
      </c>
      <c r="F109" s="33">
        <f>+IFERROR(IF($E109=VLOOKUP($B109,Apple!$B$3:$I$176,Apple!$E$1,FALSE),VLOOKUP(Google!$B109,Apple!$B$3:$I$176,Apple!F$1,FALSE),VLOOKUP($B109,'INT Web'!$B$5:$U$247,'INT Web'!R$1,FALSE)),MROUND(VLOOKUP($B109,'INT Web'!$B$5:$AQ$247,'INT Web'!AL$1,FALSE),1)-0.01)</f>
        <v>149.99</v>
      </c>
      <c r="G109" s="33">
        <f>+IFERROR(IF($E109=VLOOKUP($B109,Apple!$B$3:$I$176,Apple!$E$1,FALSE),VLOOKUP(Google!$B109,Apple!$B$3:$I$176,Apple!G$1,FALSE),VLOOKUP($B109,'INT Web'!$B$5:$U$247,'INT Web'!S$1,FALSE)),MROUND(VLOOKUP($B109,'INT Web'!$B$5:$AQ$247,'INT Web'!AM$1,FALSE),1)-0.01)</f>
        <v>22.99</v>
      </c>
      <c r="H109" s="33">
        <f>+IFERROR(IF($E109=VLOOKUP($B109,Apple!$B$3:$I$176,Apple!$E$1,FALSE),VLOOKUP(Google!$B109,Apple!$B$3:$I$176,Apple!H$1,FALSE),VLOOKUP($B109,'INT Web'!$B$5:$U$247,'INT Web'!T$1,FALSE)),MROUND(VLOOKUP($B109,'INT Web'!$B$5:$AQ$247,'INT Web'!AN$1,FALSE),1)-0.01)</f>
        <v>109.99</v>
      </c>
      <c r="I109" s="33">
        <f>+IFERROR(IF($E109=VLOOKUP($B109,Apple!$B$3:$I$176,Apple!$E$1,FALSE),VLOOKUP(Google!$B109,Apple!$B$3:$I$176,Apple!I$1,FALSE),VLOOKUP($B109,'INT Web'!$B$5:$U$247,'INT Web'!U$1,FALSE)),MROUND(VLOOKUP($B109,'INT Web'!$B$5:$AQ$247,'INT Web'!AO$1,FALSE),1)-0.01)</f>
        <v>16.989999999999998</v>
      </c>
      <c r="J109" s="33">
        <f>+IF($E109=VLOOKUP($B109,Apple!$B$3:$E$176,4,FALSE),VLOOKUP(Google!$B109,Apple!$B$3:$M$176,Apple!J$1,FALSE),VLOOKUP($B109,'[6]Single Game'!$B$4:$P$238,'[6]Single Game'!M$1,FALSE))</f>
        <v>5.99</v>
      </c>
      <c r="K109" s="33">
        <f>+IF($E109=VLOOKUP($B109,Apple!$B$3:$E$176,4,FALSE),VLOOKUP(Google!$B109,Apple!$B$3:$M$176,Apple!K$1,FALSE),VLOOKUP($B109,'[6]Single Game'!$B$4:$P$238,'[6]Single Game'!N$1,FALSE))</f>
        <v>4.99</v>
      </c>
      <c r="L109" s="33">
        <f>+IF($E109=VLOOKUP($B109,Apple!$B$3:$E$176,4,FALSE),VLOOKUP(Google!$B109,Apple!$B$3:$M$176,Apple!L$1,FALSE),VLOOKUP($B109,'[6]Single Game'!$B$4:$P$238,'[6]Single Game'!O$1,FALSE))</f>
        <v>3.99</v>
      </c>
      <c r="M109" s="33">
        <f>+IF($E109=VLOOKUP($B109,Apple!$B$3:$E$176,4,FALSE),VLOOKUP(Google!$B109,Apple!$B$3:$M$176,Apple!M$1,FALSE),VLOOKUP($B109,'[6]Single Game'!$B$4:$P$238,'[6]Single Game'!P$1,FALSE))</f>
        <v>2.99</v>
      </c>
      <c r="O109" t="str">
        <f>IF(VLOOKUP($B109,[5]Google!$B$3:$I$174,[5]Google!F$1,FALSE)=F109,"Same","MISMATCH")</f>
        <v>Same</v>
      </c>
      <c r="P109" t="str">
        <f>IF(VLOOKUP($B109,[5]Google!$B$3:$I$174,[5]Google!G$1,FALSE)=G109,"Same","MISMATCH")</f>
        <v>Same</v>
      </c>
      <c r="Q109" t="str">
        <f>IF(VLOOKUP($B109,[5]Google!$B$3:$I$174,[5]Google!H$1,FALSE)=H109,"Same","MISMATCH")</f>
        <v>Same</v>
      </c>
      <c r="R109" t="str">
        <f>IF(VLOOKUP($B109,[5]Google!$B$3:$I$174,[5]Google!I$1,FALSE)=I109,"Same","MISMATCH")</f>
        <v>Same</v>
      </c>
      <c r="S109" t="str">
        <f>IF(VLOOKUP($B109,[5]Google!$B$3:$M$174,[5]Google!J$1,FALSE)=J109,"Same","MISMATCH")</f>
        <v>Same</v>
      </c>
      <c r="T109" t="str">
        <f>IF(VLOOKUP($B109,[5]Google!$B$3:$M$174,[5]Google!K$1,FALSE)=K109,"Same","MISMATCH")</f>
        <v>Same</v>
      </c>
      <c r="U109" t="str">
        <f>IF(VLOOKUP($B109,[5]Google!$B$3:$M$174,[5]Google!L$1,FALSE)=L109,"Same","MISMATCH")</f>
        <v>Same</v>
      </c>
      <c r="V109" t="str">
        <f>IF(VLOOKUP($B109,[5]Google!$B$3:$M$174,[5]Google!M$1,FALSE)=M109,"Same","MISMATCH")</f>
        <v>Same</v>
      </c>
    </row>
    <row r="110" spans="2:22">
      <c r="B110" t="s">
        <v>229</v>
      </c>
      <c r="C110" s="31" t="str">
        <f>+VLOOKUP(B110,'Country &amp; Code Abbreviation'!$B$3:$C$245,2,FALSE)</f>
        <v>NZ</v>
      </c>
      <c r="D110" s="31" t="str">
        <f>+VLOOKUP(B110,'INT Web'!$B$5:$Q$248,16,FALSE)</f>
        <v>NZD</v>
      </c>
      <c r="E110" s="32" t="s">
        <v>385</v>
      </c>
      <c r="F110" s="33">
        <f>+IFERROR(IF($E110=VLOOKUP($B110,Apple!$B$3:$I$176,Apple!$E$1,FALSE),VLOOKUP(Google!$B110,Apple!$B$3:$I$176,Apple!F$1,FALSE),VLOOKUP($B110,'INT Web'!$B$5:$U$247,'INT Web'!R$1,FALSE)),MROUND(VLOOKUP($B110,'INT Web'!$B$5:$AQ$247,'INT Web'!AL$1,FALSE),1)-0.01)</f>
        <v>219.99</v>
      </c>
      <c r="G110" s="33">
        <f>+IFERROR(IF($E110=VLOOKUP($B110,Apple!$B$3:$I$176,Apple!$E$1,FALSE),VLOOKUP(Google!$B110,Apple!$B$3:$I$176,Apple!G$1,FALSE),VLOOKUP($B110,'INT Web'!$B$5:$U$247,'INT Web'!S$1,FALSE)),MROUND(VLOOKUP($B110,'INT Web'!$B$5:$AQ$247,'INT Web'!AM$1,FALSE),1)-0.01)</f>
        <v>33.99</v>
      </c>
      <c r="H110" s="33">
        <f>+IFERROR(IF($E110=VLOOKUP($B110,Apple!$B$3:$I$176,Apple!$E$1,FALSE),VLOOKUP(Google!$B110,Apple!$B$3:$I$176,Apple!H$1,FALSE),VLOOKUP($B110,'INT Web'!$B$5:$U$247,'INT Web'!T$1,FALSE)),MROUND(VLOOKUP($B110,'INT Web'!$B$5:$AQ$247,'INT Web'!AN$1,FALSE),1)-0.01)</f>
        <v>159.99</v>
      </c>
      <c r="I110" s="33">
        <f>+IFERROR(IF($E110=VLOOKUP($B110,Apple!$B$3:$I$176,Apple!$E$1,FALSE),VLOOKUP(Google!$B110,Apple!$B$3:$I$176,Apple!I$1,FALSE),VLOOKUP($B110,'INT Web'!$B$5:$U$247,'INT Web'!U$1,FALSE)),MROUND(VLOOKUP($B110,'INT Web'!$B$5:$AQ$247,'INT Web'!AO$1,FALSE),1)-0.01)</f>
        <v>24.99</v>
      </c>
      <c r="J110" s="33">
        <f>+IF($E110=VLOOKUP($B110,Apple!$B$3:$E$176,4,FALSE),VLOOKUP(Google!$B110,Apple!$B$3:$M$176,Apple!J$1,FALSE),VLOOKUP($B110,'[6]Single Game'!$B$4:$P$238,'[6]Single Game'!M$1,FALSE))</f>
        <v>8.99</v>
      </c>
      <c r="K110" s="33">
        <f>+IF($E110=VLOOKUP($B110,Apple!$B$3:$E$176,4,FALSE),VLOOKUP(Google!$B110,Apple!$B$3:$M$176,Apple!K$1,FALSE),VLOOKUP($B110,'[6]Single Game'!$B$4:$P$238,'[6]Single Game'!N$1,FALSE))</f>
        <v>8.99</v>
      </c>
      <c r="L110" s="33">
        <f>+IF($E110=VLOOKUP($B110,Apple!$B$3:$E$176,4,FALSE),VLOOKUP(Google!$B110,Apple!$B$3:$M$176,Apple!L$1,FALSE),VLOOKUP($B110,'[6]Single Game'!$B$4:$P$238,'[6]Single Game'!O$1,FALSE))</f>
        <v>4.99</v>
      </c>
      <c r="M110" s="33">
        <f>+IF($E110=VLOOKUP($B110,Apple!$B$3:$E$176,4,FALSE),VLOOKUP(Google!$B110,Apple!$B$3:$M$176,Apple!M$1,FALSE),VLOOKUP($B110,'[6]Single Game'!$B$4:$P$238,'[6]Single Game'!P$1,FALSE))</f>
        <v>4.99</v>
      </c>
      <c r="O110" t="str">
        <f>IF(VLOOKUP($B110,[5]Google!$B$3:$I$174,[5]Google!F$1,FALSE)=F110,"Same","MISMATCH")</f>
        <v>Same</v>
      </c>
      <c r="P110" t="str">
        <f>IF(VLOOKUP($B110,[5]Google!$B$3:$I$174,[5]Google!G$1,FALSE)=G110,"Same","MISMATCH")</f>
        <v>Same</v>
      </c>
      <c r="Q110" t="str">
        <f>IF(VLOOKUP($B110,[5]Google!$B$3:$I$174,[5]Google!H$1,FALSE)=H110,"Same","MISMATCH")</f>
        <v>Same</v>
      </c>
      <c r="R110" t="str">
        <f>IF(VLOOKUP($B110,[5]Google!$B$3:$I$174,[5]Google!I$1,FALSE)=I110,"Same","MISMATCH")</f>
        <v>Same</v>
      </c>
      <c r="S110" t="str">
        <f>IF(VLOOKUP($B110,[5]Google!$B$3:$M$174,[5]Google!J$1,FALSE)=J110,"Same","MISMATCH")</f>
        <v>Same</v>
      </c>
      <c r="T110" t="str">
        <f>IF(VLOOKUP($B110,[5]Google!$B$3:$M$174,[5]Google!K$1,FALSE)=K110,"Same","MISMATCH")</f>
        <v>Same</v>
      </c>
      <c r="U110" t="str">
        <f>IF(VLOOKUP($B110,[5]Google!$B$3:$M$174,[5]Google!L$1,FALSE)=L110,"Same","MISMATCH")</f>
        <v>Same</v>
      </c>
      <c r="V110" t="str">
        <f>IF(VLOOKUP($B110,[5]Google!$B$3:$M$174,[5]Google!M$1,FALSE)=M110,"Same","MISMATCH")</f>
        <v>Same</v>
      </c>
    </row>
    <row r="111" spans="2:22">
      <c r="B111" t="s">
        <v>230</v>
      </c>
      <c r="C111" s="31" t="str">
        <f>+VLOOKUP(B111,'Country &amp; Code Abbreviation'!$B$3:$C$245,2,FALSE)</f>
        <v>NI</v>
      </c>
      <c r="D111" s="31" t="str">
        <f>+VLOOKUP(B111,'INT Web'!$B$5:$Q$248,16,FALSE)</f>
        <v>NIO</v>
      </c>
      <c r="E111" s="32" t="s">
        <v>346</v>
      </c>
      <c r="F111" s="33">
        <f>+IFERROR(IF($E111=VLOOKUP($B111,Apple!$B$3:$I$176,Apple!$E$1,FALSE),VLOOKUP(Google!$B111,Apple!$B$3:$I$176,Apple!F$1,FALSE),VLOOKUP($B111,'INT Web'!$B$5:$U$247,'INT Web'!R$1,FALSE)),MROUND(VLOOKUP($B111,'INT Web'!$B$5:$AQ$247,'INT Web'!AL$1,FALSE),1)-0.01)</f>
        <v>81.99</v>
      </c>
      <c r="G111" s="33">
        <f>+IFERROR(IF($E111=VLOOKUP($B111,Apple!$B$3:$I$176,Apple!$E$1,FALSE),VLOOKUP(Google!$B111,Apple!$B$3:$I$176,Apple!G$1,FALSE),VLOOKUP($B111,'INT Web'!$B$5:$U$247,'INT Web'!S$1,FALSE)),MROUND(VLOOKUP($B111,'INT Web'!$B$5:$AQ$247,'INT Web'!AM$1,FALSE),1)-0.01)</f>
        <v>13.99</v>
      </c>
      <c r="H111" s="33">
        <f>+IFERROR(IF($E111=VLOOKUP($B111,Apple!$B$3:$I$176,Apple!$E$1,FALSE),VLOOKUP(Google!$B111,Apple!$B$3:$I$176,Apple!H$1,FALSE),VLOOKUP($B111,'INT Web'!$B$5:$U$247,'INT Web'!T$1,FALSE)),MROUND(VLOOKUP($B111,'INT Web'!$B$5:$AQ$247,'INT Web'!AN$1,FALSE),1)-0.01)</f>
        <v>59.99</v>
      </c>
      <c r="I111" s="33">
        <f>+IFERROR(IF($E111=VLOOKUP($B111,Apple!$B$3:$I$176,Apple!$E$1,FALSE),VLOOKUP(Google!$B111,Apple!$B$3:$I$176,Apple!I$1,FALSE),VLOOKUP($B111,'INT Web'!$B$5:$U$247,'INT Web'!U$1,FALSE)),MROUND(VLOOKUP($B111,'INT Web'!$B$5:$AQ$247,'INT Web'!AO$1,FALSE),1)-0.01)</f>
        <v>9.99</v>
      </c>
      <c r="J111" s="34">
        <v>3.99</v>
      </c>
      <c r="K111" s="34">
        <v>3.99</v>
      </c>
      <c r="L111" s="34">
        <v>1.99</v>
      </c>
      <c r="M111" s="34">
        <v>1.99</v>
      </c>
      <c r="O111" t="str">
        <f>IF(VLOOKUP($B111,[5]Google!$B$3:$I$174,[5]Google!F$1,FALSE)=F111,"Same","MISMATCH")</f>
        <v>Same</v>
      </c>
      <c r="P111" t="str">
        <f>IF(VLOOKUP($B111,[5]Google!$B$3:$I$174,[5]Google!G$1,FALSE)=G111,"Same","MISMATCH")</f>
        <v>Same</v>
      </c>
      <c r="Q111" t="str">
        <f>IF(VLOOKUP($B111,[5]Google!$B$3:$I$174,[5]Google!H$1,FALSE)=H111,"Same","MISMATCH")</f>
        <v>Same</v>
      </c>
      <c r="R111" t="str">
        <f>IF(VLOOKUP($B111,[5]Google!$B$3:$I$174,[5]Google!I$1,FALSE)=I111,"Same","MISMATCH")</f>
        <v>Same</v>
      </c>
      <c r="S111" t="str">
        <f>IF(VLOOKUP($B111,[5]Google!$B$3:$M$174,[5]Google!J$1,FALSE)=J111,"Same","MISMATCH")</f>
        <v>Same</v>
      </c>
      <c r="T111" t="str">
        <f>IF(VLOOKUP($B111,[5]Google!$B$3:$M$174,[5]Google!K$1,FALSE)=K111,"Same","MISMATCH")</f>
        <v>Same</v>
      </c>
      <c r="U111" t="str">
        <f>IF(VLOOKUP($B111,[5]Google!$B$3:$M$174,[5]Google!L$1,FALSE)=L111,"Same","MISMATCH")</f>
        <v>Same</v>
      </c>
      <c r="V111" t="str">
        <f>IF(VLOOKUP($B111,[5]Google!$B$3:$M$174,[5]Google!M$1,FALSE)=M111,"Same","MISMATCH")</f>
        <v>Same</v>
      </c>
    </row>
    <row r="112" spans="2:22">
      <c r="B112" s="36" t="s">
        <v>231</v>
      </c>
      <c r="C112" s="37" t="str">
        <f>+VLOOKUP(B112,'Country &amp; Code Abbreviation'!$B$3:$C$245,2,FALSE)</f>
        <v>NE</v>
      </c>
      <c r="D112" s="37" t="str">
        <f>+VLOOKUP(B112,'INT Web'!$B$5:$Q$248,16,FALSE)</f>
        <v>XOF</v>
      </c>
      <c r="E112" s="38" t="s">
        <v>368</v>
      </c>
      <c r="F112" s="39">
        <f>+MROUND(VLOOKUP($B112,'INT Web'!$B$5:$AO$247,'INT Web'!R$1,FALSE)*'FX Rates'!$F$5,1)-0.01</f>
        <v>66.989999999999995</v>
      </c>
      <c r="G112" s="39">
        <f>+MROUND(VLOOKUP($B112,'INT Web'!$B$5:$AO$247,'INT Web'!S$1,FALSE)*'FX Rates'!$F$5,1)-0.01</f>
        <v>10.99</v>
      </c>
      <c r="H112" s="39">
        <f>+MROUND(VLOOKUP($B112,'INT Web'!$B$5:$AO$247,'INT Web'!T$1,FALSE)*'FX Rates'!$F$5,1)-0.01</f>
        <v>48.99</v>
      </c>
      <c r="I112" s="39">
        <f>+MROUND(VLOOKUP($B112,'INT Web'!$B$5:$AO$247,'INT Web'!U$1,FALSE)*'FX Rates'!$F$5,1)-0.01</f>
        <v>7.99</v>
      </c>
      <c r="J112" s="39">
        <v>2.99</v>
      </c>
      <c r="K112" s="39">
        <v>2.99</v>
      </c>
      <c r="L112" s="39">
        <v>1.99</v>
      </c>
      <c r="M112" s="39">
        <v>1.99</v>
      </c>
      <c r="O112" t="str">
        <f>IF(VLOOKUP($B112,[5]Google!$B$3:$I$174,[5]Google!F$1,FALSE)=F112,"Same","MISMATCH")</f>
        <v>Same</v>
      </c>
      <c r="P112" t="str">
        <f>IF(VLOOKUP($B112,[5]Google!$B$3:$I$174,[5]Google!G$1,FALSE)=G112,"Same","MISMATCH")</f>
        <v>Same</v>
      </c>
      <c r="Q112" t="str">
        <f>IF(VLOOKUP($B112,[5]Google!$B$3:$I$174,[5]Google!H$1,FALSE)=H112,"Same","MISMATCH")</f>
        <v>Same</v>
      </c>
      <c r="R112" t="str">
        <f>IF(VLOOKUP($B112,[5]Google!$B$3:$I$174,[5]Google!I$1,FALSE)=I112,"Same","MISMATCH")</f>
        <v>Same</v>
      </c>
      <c r="S112" t="str">
        <f>IF(VLOOKUP($B112,[5]Google!$B$3:$M$174,[5]Google!J$1,FALSE)=J112,"Same","MISMATCH")</f>
        <v>Same</v>
      </c>
      <c r="T112" t="str">
        <f>IF(VLOOKUP($B112,[5]Google!$B$3:$M$174,[5]Google!K$1,FALSE)=K112,"Same","MISMATCH")</f>
        <v>Same</v>
      </c>
      <c r="U112" t="str">
        <f>IF(VLOOKUP($B112,[5]Google!$B$3:$M$174,[5]Google!L$1,FALSE)=L112,"Same","MISMATCH")</f>
        <v>Same</v>
      </c>
      <c r="V112" t="str">
        <f>IF(VLOOKUP($B112,[5]Google!$B$3:$M$174,[5]Google!M$1,FALSE)=M112,"Same","MISMATCH")</f>
        <v>Same</v>
      </c>
    </row>
    <row r="113" spans="2:22">
      <c r="B113" s="73" t="s">
        <v>232</v>
      </c>
      <c r="C113" s="110" t="str">
        <f>+VLOOKUP(B113,'Country &amp; Code Abbreviation'!$B$3:$C$245,2,FALSE)</f>
        <v>NG</v>
      </c>
      <c r="D113" s="31" t="str">
        <f>+VLOOKUP(B113,'INT Web'!$B$5:$Q$248,16,FALSE)</f>
        <v>NGN</v>
      </c>
      <c r="E113" s="32" t="s">
        <v>386</v>
      </c>
      <c r="F113" s="109">
        <f>+IFERROR(IF($E113=VLOOKUP($B113,Apple!$B$3:$I$176,Apple!$E$1,FALSE),VLOOKUP(Google!$B113,Apple!$B$3:$I$176,Apple!F$1,FALSE),VLOOKUP($B113,'INT Web'!$B$5:$U$247,'INT Web'!R$1,FALSE)),MROUND(VLOOKUP($B113,'INT Web'!$B$5:$AQ$247,'INT Web'!AL$1,FALSE),1)-0.01)</f>
        <v>48900</v>
      </c>
      <c r="G113" s="109">
        <f>+IFERROR(IF($E113=VLOOKUP($B113,Apple!$B$3:$I$176,Apple!$E$1,FALSE),VLOOKUP(Google!$B113,Apple!$B$3:$I$176,Apple!G$1,FALSE),VLOOKUP($B113,'INT Web'!$B$5:$U$247,'INT Web'!S$1,FALSE)),MROUND(VLOOKUP($B113,'INT Web'!$B$5:$AQ$247,'INT Web'!AM$1,FALSE),1)-0.01)</f>
        <v>8200</v>
      </c>
      <c r="H113" s="109">
        <f>+IFERROR(IF($E113=VLOOKUP($B113,Apple!$B$3:$I$176,Apple!$E$1,FALSE),VLOOKUP(Google!$B113,Apple!$B$3:$I$176,Apple!H$1,FALSE),VLOOKUP($B113,'INT Web'!$B$5:$U$247,'INT Web'!T$1,FALSE)),MROUND(VLOOKUP($B113,'INT Web'!$B$5:$AQ$247,'INT Web'!AN$1,FALSE),1)-0.01)</f>
        <v>36500</v>
      </c>
      <c r="I113" s="109">
        <f>+IFERROR(IF($E113=VLOOKUP($B113,Apple!$B$3:$I$176,Apple!$E$1,FALSE),VLOOKUP(Google!$B113,Apple!$B$3:$I$176,Apple!I$1,FALSE),VLOOKUP($B113,'INT Web'!$B$5:$U$247,'INT Web'!U$1,FALSE)),MROUND(VLOOKUP($B113,'INT Web'!$B$5:$AQ$247,'INT Web'!AO$1,FALSE),1)-0.01)</f>
        <v>6100</v>
      </c>
      <c r="J113" s="109">
        <f>+IF($E113=VLOOKUP($B113,Apple!$B$3:$E$176,4,FALSE),VLOOKUP(Google!$B113,Apple!$B$3:$M$176,Apple!J$1,FALSE),VLOOKUP($B113,'[6]Single Game'!$B$4:$P$238,'[6]Single Game'!M$1,FALSE))</f>
        <v>2290</v>
      </c>
      <c r="K113" s="109">
        <f>+IF($E113=VLOOKUP($B113,Apple!$B$3:$E$176,4,FALSE),VLOOKUP(Google!$B113,Apple!$B$3:$M$176,Apple!K$1,FALSE),VLOOKUP($B113,'[6]Single Game'!$B$4:$P$238,'[6]Single Game'!N$1,FALSE))</f>
        <v>2290</v>
      </c>
      <c r="L113" s="109">
        <f>+IF($E113=VLOOKUP($B113,Apple!$B$3:$E$176,4,FALSE),VLOOKUP(Google!$B113,Apple!$B$3:$M$176,Apple!L$1,FALSE),VLOOKUP($B113,'[6]Single Game'!$B$4:$P$238,'[6]Single Game'!O$1,FALSE))</f>
        <v>1390</v>
      </c>
      <c r="M113" s="109">
        <f>+IF($E113=VLOOKUP($B113,Apple!$B$3:$E$176,4,FALSE),VLOOKUP(Google!$B113,Apple!$B$3:$M$176,Apple!M$1,FALSE),VLOOKUP($B113,'[6]Single Game'!$B$4:$P$238,'[6]Single Game'!P$1,FALSE))</f>
        <v>1390</v>
      </c>
      <c r="O113" t="str">
        <f>IF(VLOOKUP($B113,[5]Google!$B$3:$I$174,[5]Google!F$1,FALSE)=F113,"Same","MISMATCH")</f>
        <v>MISMATCH</v>
      </c>
      <c r="P113" t="str">
        <f>IF(VLOOKUP($B113,[5]Google!$B$3:$I$174,[5]Google!G$1,FALSE)=G113,"Same","MISMATCH")</f>
        <v>MISMATCH</v>
      </c>
      <c r="Q113" t="str">
        <f>IF(VLOOKUP($B113,[5]Google!$B$3:$I$174,[5]Google!H$1,FALSE)=H113,"Same","MISMATCH")</f>
        <v>MISMATCH</v>
      </c>
      <c r="R113" t="str">
        <f>IF(VLOOKUP($B113,[5]Google!$B$3:$I$174,[5]Google!I$1,FALSE)=I113,"Same","MISMATCH")</f>
        <v>MISMATCH</v>
      </c>
      <c r="S113" t="str">
        <f>IF(VLOOKUP($B113,[5]Google!$B$3:$M$174,[5]Google!J$1,FALSE)=J113,"Same","MISMATCH")</f>
        <v>MISMATCH</v>
      </c>
      <c r="T113" t="str">
        <f>IF(VLOOKUP($B113,[5]Google!$B$3:$M$174,[5]Google!K$1,FALSE)=K113,"Same","MISMATCH")</f>
        <v>MISMATCH</v>
      </c>
      <c r="U113" t="str">
        <f>IF(VLOOKUP($B113,[5]Google!$B$3:$M$174,[5]Google!L$1,FALSE)=L113,"Same","MISMATCH")</f>
        <v>MISMATCH</v>
      </c>
      <c r="V113" t="str">
        <f>IF(VLOOKUP($B113,[5]Google!$B$3:$M$174,[5]Google!M$1,FALSE)=M113,"Same","MISMATCH")</f>
        <v>MISMATCH</v>
      </c>
    </row>
    <row r="114" spans="2:22">
      <c r="B114" t="s">
        <v>201</v>
      </c>
      <c r="C114" s="31" t="str">
        <f>+VLOOKUP(B114,'Country &amp; Code Abbreviation'!$B$3:$C$245,2,FALSE)</f>
        <v>MK</v>
      </c>
      <c r="D114" s="31" t="str">
        <f>+VLOOKUP(B114,'INT Web'!$B$5:$Q$248,16,FALSE)</f>
        <v>MKD</v>
      </c>
      <c r="E114" s="32" t="s">
        <v>346</v>
      </c>
      <c r="F114" s="33">
        <f>+IFERROR(IF($E114=VLOOKUP($B114,Apple!$B$3:$I$176,Apple!$E$1,FALSE),VLOOKUP(Google!$B114,Apple!$B$3:$I$176,Apple!F$1,FALSE),VLOOKUP($B114,'INT Web'!$B$5:$U$247,'INT Web'!R$1,FALSE)),MROUND(VLOOKUP($B114,'INT Web'!$B$5:$AQ$247,'INT Web'!AL$1,FALSE),1)-0.01)</f>
        <v>96.99</v>
      </c>
      <c r="G114" s="33">
        <f>+IFERROR(IF($E114=VLOOKUP($B114,Apple!$B$3:$I$176,Apple!$E$1,FALSE),VLOOKUP(Google!$B114,Apple!$B$3:$I$176,Apple!G$1,FALSE),VLOOKUP($B114,'INT Web'!$B$5:$U$247,'INT Web'!S$1,FALSE)),MROUND(VLOOKUP($B114,'INT Web'!$B$5:$AQ$247,'INT Web'!AM$1,FALSE),1)-0.01)</f>
        <v>15.99</v>
      </c>
      <c r="H114" s="33">
        <f>+IFERROR(IF($E114=VLOOKUP($B114,Apple!$B$3:$I$176,Apple!$E$1,FALSE),VLOOKUP(Google!$B114,Apple!$B$3:$I$176,Apple!H$1,FALSE),VLOOKUP($B114,'INT Web'!$B$5:$U$247,'INT Web'!T$1,FALSE)),MROUND(VLOOKUP($B114,'INT Web'!$B$5:$AQ$247,'INT Web'!AN$1,FALSE),1)-0.01)</f>
        <v>69.989999999999995</v>
      </c>
      <c r="I114" s="33">
        <f>+IFERROR(IF($E114=VLOOKUP($B114,Apple!$B$3:$I$176,Apple!$E$1,FALSE),VLOOKUP(Google!$B114,Apple!$B$3:$I$176,Apple!I$1,FALSE),VLOOKUP($B114,'INT Web'!$B$5:$U$247,'INT Web'!U$1,FALSE)),MROUND(VLOOKUP($B114,'INT Web'!$B$5:$AQ$247,'INT Web'!AO$1,FALSE),1)-0.01)</f>
        <v>10.99</v>
      </c>
      <c r="J114" s="33">
        <f>+IF($E114=VLOOKUP($B114,Apple!$B$3:$E$176,4,FALSE),VLOOKUP(Google!$B114,Apple!$B$3:$M$176,Apple!J$1,FALSE),VLOOKUP($B114,'[6]Single Game'!$B$4:$P$238,'[6]Single Game'!M$1,FALSE))</f>
        <v>3.99</v>
      </c>
      <c r="K114" s="33">
        <f>+IF($E114=VLOOKUP($B114,Apple!$B$3:$E$176,4,FALSE),VLOOKUP(Google!$B114,Apple!$B$3:$M$176,Apple!K$1,FALSE),VLOOKUP($B114,'[6]Single Game'!$B$4:$P$238,'[6]Single Game'!N$1,FALSE))</f>
        <v>2.99</v>
      </c>
      <c r="L114" s="33">
        <f>+IF($E114=VLOOKUP($B114,Apple!$B$3:$E$176,4,FALSE),VLOOKUP(Google!$B114,Apple!$B$3:$M$176,Apple!L$1,FALSE),VLOOKUP($B114,'[6]Single Game'!$B$4:$P$238,'[6]Single Game'!O$1,FALSE))</f>
        <v>2.99</v>
      </c>
      <c r="M114" s="33">
        <f>+IF($E114=VLOOKUP($B114,Apple!$B$3:$E$176,4,FALSE),VLOOKUP(Google!$B114,Apple!$B$3:$M$176,Apple!M$1,FALSE),VLOOKUP($B114,'[6]Single Game'!$B$4:$P$238,'[6]Single Game'!P$1,FALSE))</f>
        <v>1.99</v>
      </c>
      <c r="O114" t="str">
        <f>IF(VLOOKUP($B114,[5]Google!$B$3:$I$174,[5]Google!F$1,FALSE)=F114,"Same","MISMATCH")</f>
        <v>Same</v>
      </c>
      <c r="P114" t="str">
        <f>IF(VLOOKUP($B114,[5]Google!$B$3:$I$174,[5]Google!G$1,FALSE)=G114,"Same","MISMATCH")</f>
        <v>Same</v>
      </c>
      <c r="Q114" t="str">
        <f>IF(VLOOKUP($B114,[5]Google!$B$3:$I$174,[5]Google!H$1,FALSE)=H114,"Same","MISMATCH")</f>
        <v>Same</v>
      </c>
      <c r="R114" t="str">
        <f>IF(VLOOKUP($B114,[5]Google!$B$3:$I$174,[5]Google!I$1,FALSE)=I114,"Same","MISMATCH")</f>
        <v>Same</v>
      </c>
      <c r="S114" t="str">
        <f>IF(VLOOKUP($B114,[5]Google!$B$3:$M$174,[5]Google!J$1,FALSE)=J114,"Same","MISMATCH")</f>
        <v>Same</v>
      </c>
      <c r="T114" t="str">
        <f>IF(VLOOKUP($B114,[5]Google!$B$3:$M$174,[5]Google!K$1,FALSE)=K114,"Same","MISMATCH")</f>
        <v>Same</v>
      </c>
      <c r="U114" t="str">
        <f>IF(VLOOKUP($B114,[5]Google!$B$3:$M$174,[5]Google!L$1,FALSE)=L114,"Same","MISMATCH")</f>
        <v>Same</v>
      </c>
      <c r="V114" t="str">
        <f>IF(VLOOKUP($B114,[5]Google!$B$3:$M$174,[5]Google!M$1,FALSE)=M114,"Same","MISMATCH")</f>
        <v>Same</v>
      </c>
    </row>
    <row r="115" spans="2:22">
      <c r="B115" t="s">
        <v>237</v>
      </c>
      <c r="C115" s="31" t="str">
        <f>+VLOOKUP(B115,'Country &amp; Code Abbreviation'!$B$3:$C$245,2,FALSE)</f>
        <v>NO</v>
      </c>
      <c r="D115" s="31" t="str">
        <f>+VLOOKUP(B115,'INT Web'!$B$5:$Q$248,16,FALSE)</f>
        <v>NOK</v>
      </c>
      <c r="E115" s="32" t="s">
        <v>387</v>
      </c>
      <c r="F115" s="33">
        <f>+IFERROR(IF($E115=VLOOKUP($B115,Apple!$B$3:$I$176,Apple!$E$1,FALSE),VLOOKUP(Google!$B115,Apple!$B$3:$I$176,Apple!F$1,FALSE),VLOOKUP($B115,'INT Web'!$B$5:$U$247,'INT Web'!R$1,FALSE)),MROUND(VLOOKUP($B115,'INT Web'!$B$5:$AQ$247,'INT Web'!AL$1,FALSE),1)-0.01)</f>
        <v>1399</v>
      </c>
      <c r="G115" s="33">
        <f>+IFERROR(IF($E115=VLOOKUP($B115,Apple!$B$3:$I$176,Apple!$E$1,FALSE),VLOOKUP(Google!$B115,Apple!$B$3:$I$176,Apple!G$1,FALSE),VLOOKUP($B115,'INT Web'!$B$5:$U$247,'INT Web'!S$1,FALSE)),MROUND(VLOOKUP($B115,'INT Web'!$B$5:$AQ$247,'INT Web'!AM$1,FALSE),1)-0.01)</f>
        <v>210</v>
      </c>
      <c r="H115" s="33">
        <f>+IFERROR(IF($E115=VLOOKUP($B115,Apple!$B$3:$I$176,Apple!$E$1,FALSE),VLOOKUP(Google!$B115,Apple!$B$3:$I$176,Apple!H$1,FALSE),VLOOKUP($B115,'INT Web'!$B$5:$U$247,'INT Web'!T$1,FALSE)),MROUND(VLOOKUP($B115,'INT Web'!$B$5:$AQ$247,'INT Web'!AN$1,FALSE),1)-0.01)</f>
        <v>1000</v>
      </c>
      <c r="I115" s="33">
        <f>+IFERROR(IF($E115=VLOOKUP($B115,Apple!$B$3:$I$176,Apple!$E$1,FALSE),VLOOKUP(Google!$B115,Apple!$B$3:$I$176,Apple!I$1,FALSE),VLOOKUP($B115,'INT Web'!$B$5:$U$247,'INT Web'!U$1,FALSE)),MROUND(VLOOKUP($B115,'INT Web'!$B$5:$AQ$247,'INT Web'!AO$1,FALSE),1)-0.01)</f>
        <v>150</v>
      </c>
      <c r="J115" s="33">
        <f>+IF($E115=VLOOKUP($B115,Apple!$B$3:$E$176,4,FALSE),VLOOKUP(Google!$B115,Apple!$B$3:$M$176,Apple!J$1,FALSE),VLOOKUP($B115,'[6]Single Game'!$B$4:$P$238,'[6]Single Game'!M$1,FALSE))</f>
        <v>55</v>
      </c>
      <c r="K115" s="33">
        <f>+IF($E115=VLOOKUP($B115,Apple!$B$3:$E$176,4,FALSE),VLOOKUP(Google!$B115,Apple!$B$3:$M$176,Apple!K$1,FALSE),VLOOKUP($B115,'[6]Single Game'!$B$4:$P$238,'[6]Single Game'!N$1,FALSE))</f>
        <v>44</v>
      </c>
      <c r="L115" s="33">
        <f>+IF($E115=VLOOKUP($B115,Apple!$B$3:$E$176,4,FALSE),VLOOKUP(Google!$B115,Apple!$B$3:$M$176,Apple!L$1,FALSE),VLOOKUP($B115,'[6]Single Game'!$B$4:$P$238,'[6]Single Game'!O$1,FALSE))</f>
        <v>33</v>
      </c>
      <c r="M115" s="33">
        <f>+IF($E115=VLOOKUP($B115,Apple!$B$3:$E$176,4,FALSE),VLOOKUP(Google!$B115,Apple!$B$3:$M$176,Apple!M$1,FALSE),VLOOKUP($B115,'[6]Single Game'!$B$4:$P$238,'[6]Single Game'!P$1,FALSE))</f>
        <v>22</v>
      </c>
      <c r="O115" t="str">
        <f>IF(VLOOKUP($B115,[5]Google!$B$3:$I$174,[5]Google!F$1,FALSE)=F115,"Same","MISMATCH")</f>
        <v>Same</v>
      </c>
      <c r="P115" t="str">
        <f>IF(VLOOKUP($B115,[5]Google!$B$3:$I$174,[5]Google!G$1,FALSE)=G115,"Same","MISMATCH")</f>
        <v>Same</v>
      </c>
      <c r="Q115" t="str">
        <f>IF(VLOOKUP($B115,[5]Google!$B$3:$I$174,[5]Google!H$1,FALSE)=H115,"Same","MISMATCH")</f>
        <v>Same</v>
      </c>
      <c r="R115" t="str">
        <f>IF(VLOOKUP($B115,[5]Google!$B$3:$I$174,[5]Google!I$1,FALSE)=I115,"Same","MISMATCH")</f>
        <v>Same</v>
      </c>
      <c r="S115" t="str">
        <f>IF(VLOOKUP($B115,[5]Google!$B$3:$M$174,[5]Google!J$1,FALSE)=J115,"Same","MISMATCH")</f>
        <v>Same</v>
      </c>
      <c r="T115" t="str">
        <f>IF(VLOOKUP($B115,[5]Google!$B$3:$M$174,[5]Google!K$1,FALSE)=K115,"Same","MISMATCH")</f>
        <v>Same</v>
      </c>
      <c r="U115" t="str">
        <f>IF(VLOOKUP($B115,[5]Google!$B$3:$M$174,[5]Google!L$1,FALSE)=L115,"Same","MISMATCH")</f>
        <v>Same</v>
      </c>
      <c r="V115" t="str">
        <f>IF(VLOOKUP($B115,[5]Google!$B$3:$M$174,[5]Google!M$1,FALSE)=M115,"Same","MISMATCH")</f>
        <v>Same</v>
      </c>
    </row>
    <row r="116" spans="2:22">
      <c r="B116" t="s">
        <v>238</v>
      </c>
      <c r="C116" s="31" t="str">
        <f>+VLOOKUP(B116,'Country &amp; Code Abbreviation'!$B$3:$C$245,2,FALSE)</f>
        <v>OM</v>
      </c>
      <c r="D116" s="31" t="str">
        <f>+VLOOKUP(B116,'INT Web'!$B$5:$Q$248,16,FALSE)</f>
        <v>OMR</v>
      </c>
      <c r="E116" s="32" t="s">
        <v>346</v>
      </c>
      <c r="F116" s="33">
        <f>+IFERROR(IF($E116=VLOOKUP($B116,Apple!$B$3:$I$176,Apple!$E$1,FALSE),VLOOKUP(Google!$B116,Apple!$B$3:$I$176,Apple!F$1,FALSE),VLOOKUP($B116,'INT Web'!$B$5:$U$247,'INT Web'!R$1,FALSE)),MROUND(VLOOKUP($B116,'INT Web'!$B$5:$AQ$247,'INT Web'!AL$1,FALSE),1)-0.01)</f>
        <v>77.989999999999995</v>
      </c>
      <c r="G116" s="33">
        <f>+IFERROR(IF($E116=VLOOKUP($B116,Apple!$B$3:$I$176,Apple!$E$1,FALSE),VLOOKUP(Google!$B116,Apple!$B$3:$I$176,Apple!G$1,FALSE),VLOOKUP($B116,'INT Web'!$B$5:$U$247,'INT Web'!S$1,FALSE)),MROUND(VLOOKUP($B116,'INT Web'!$B$5:$AQ$247,'INT Web'!AM$1,FALSE),1)-0.01)</f>
        <v>12.99</v>
      </c>
      <c r="H116" s="33">
        <f>+IFERROR(IF($E116=VLOOKUP($B116,Apple!$B$3:$I$176,Apple!$E$1,FALSE),VLOOKUP(Google!$B116,Apple!$B$3:$I$176,Apple!H$1,FALSE),VLOOKUP($B116,'INT Web'!$B$5:$U$247,'INT Web'!T$1,FALSE)),MROUND(VLOOKUP($B116,'INT Web'!$B$5:$AQ$247,'INT Web'!AN$1,FALSE),1)-0.01)</f>
        <v>61.99</v>
      </c>
      <c r="I116" s="33">
        <f>+IFERROR(IF($E116=VLOOKUP($B116,Apple!$B$3:$I$176,Apple!$E$1,FALSE),VLOOKUP(Google!$B116,Apple!$B$3:$I$176,Apple!I$1,FALSE),VLOOKUP($B116,'INT Web'!$B$5:$U$247,'INT Web'!U$1,FALSE)),MROUND(VLOOKUP($B116,'INT Web'!$B$5:$AQ$247,'INT Web'!AO$1,FALSE),1)-0.01)</f>
        <v>9.99</v>
      </c>
      <c r="J116" s="33">
        <f>+IF($E116=VLOOKUP($B116,Apple!$B$3:$E$176,4,FALSE),VLOOKUP(Google!$B116,Apple!$B$3:$M$176,Apple!J$1,FALSE),VLOOKUP($B116,'[6]Single Game'!$B$4:$P$238,'[6]Single Game'!M$1,FALSE))</f>
        <v>4.99</v>
      </c>
      <c r="K116" s="33">
        <f>+IF($E116=VLOOKUP($B116,Apple!$B$3:$E$176,4,FALSE),VLOOKUP(Google!$B116,Apple!$B$3:$M$176,Apple!K$1,FALSE),VLOOKUP($B116,'[6]Single Game'!$B$4:$P$238,'[6]Single Game'!N$1,FALSE))</f>
        <v>4.99</v>
      </c>
      <c r="L116" s="33">
        <f>+IF($E116=VLOOKUP($B116,Apple!$B$3:$E$176,4,FALSE),VLOOKUP(Google!$B116,Apple!$B$3:$M$176,Apple!L$1,FALSE),VLOOKUP($B116,'[6]Single Game'!$B$4:$P$238,'[6]Single Game'!O$1,FALSE))</f>
        <v>2.99</v>
      </c>
      <c r="M116" s="33">
        <f>+IF($E116=VLOOKUP($B116,Apple!$B$3:$E$176,4,FALSE),VLOOKUP(Google!$B116,Apple!$B$3:$M$176,Apple!M$1,FALSE),VLOOKUP($B116,'[6]Single Game'!$B$4:$P$238,'[6]Single Game'!P$1,FALSE))</f>
        <v>2.99</v>
      </c>
      <c r="O116" t="str">
        <f>IF(VLOOKUP($B116,[5]Google!$B$3:$I$174,[5]Google!F$1,FALSE)=F116,"Same","MISMATCH")</f>
        <v>Same</v>
      </c>
      <c r="P116" t="str">
        <f>IF(VLOOKUP($B116,[5]Google!$B$3:$I$174,[5]Google!G$1,FALSE)=G116,"Same","MISMATCH")</f>
        <v>Same</v>
      </c>
      <c r="Q116" t="str">
        <f>IF(VLOOKUP($B116,[5]Google!$B$3:$I$174,[5]Google!H$1,FALSE)=H116,"Same","MISMATCH")</f>
        <v>Same</v>
      </c>
      <c r="R116" t="str">
        <f>IF(VLOOKUP($B116,[5]Google!$B$3:$I$174,[5]Google!I$1,FALSE)=I116,"Same","MISMATCH")</f>
        <v>Same</v>
      </c>
      <c r="S116" t="str">
        <f>IF(VLOOKUP($B116,[5]Google!$B$3:$M$174,[5]Google!J$1,FALSE)=J116,"Same","MISMATCH")</f>
        <v>Same</v>
      </c>
      <c r="T116" t="str">
        <f>IF(VLOOKUP($B116,[5]Google!$B$3:$M$174,[5]Google!K$1,FALSE)=K116,"Same","MISMATCH")</f>
        <v>Same</v>
      </c>
      <c r="U116" t="str">
        <f>IF(VLOOKUP($B116,[5]Google!$B$3:$M$174,[5]Google!L$1,FALSE)=L116,"Same","MISMATCH")</f>
        <v>Same</v>
      </c>
      <c r="V116" t="str">
        <f>IF(VLOOKUP($B116,[5]Google!$B$3:$M$174,[5]Google!M$1,FALSE)=M116,"Same","MISMATCH")</f>
        <v>Same</v>
      </c>
    </row>
    <row r="117" spans="2:22">
      <c r="B117" t="s">
        <v>239</v>
      </c>
      <c r="C117" s="31" t="str">
        <f>+VLOOKUP(B117,'Country &amp; Code Abbreviation'!$B$3:$C$245,2,FALSE)</f>
        <v>PK</v>
      </c>
      <c r="D117" s="31" t="str">
        <f>+VLOOKUP(B117,'INT Web'!$B$5:$Q$248,16,FALSE)</f>
        <v>PKR</v>
      </c>
      <c r="E117" s="32" t="s">
        <v>388</v>
      </c>
      <c r="F117" s="33">
        <f>+IFERROR(IF($E117=VLOOKUP($B117,Apple!$B$3:$I$176,Apple!$E$1,FALSE),VLOOKUP(Google!$B117,Apple!$B$3:$I$176,Apple!F$1,FALSE),VLOOKUP($B117,'INT Web'!$B$5:$U$247,'INT Web'!R$1,FALSE)),MROUND(VLOOKUP($B117,'INT Web'!$B$5:$AQ$247,'INT Web'!AL$1,FALSE),1)-0.01)</f>
        <v>12200</v>
      </c>
      <c r="G117" s="33">
        <f>+IFERROR(IF($E117=VLOOKUP($B117,Apple!$B$3:$I$176,Apple!$E$1,FALSE),VLOOKUP(Google!$B117,Apple!$B$3:$I$176,Apple!G$1,FALSE),VLOOKUP($B117,'INT Web'!$B$5:$U$247,'INT Web'!S$1,FALSE)),MROUND(VLOOKUP($B117,'INT Web'!$B$5:$AQ$247,'INT Web'!AM$1,FALSE),1)-0.01)</f>
        <v>2049</v>
      </c>
      <c r="H117" s="33">
        <f>+IFERROR(IF($E117=VLOOKUP($B117,Apple!$B$3:$I$176,Apple!$E$1,FALSE),VLOOKUP(Google!$B117,Apple!$B$3:$I$176,Apple!H$1,FALSE),VLOOKUP($B117,'INT Web'!$B$5:$U$247,'INT Web'!T$1,FALSE)),MROUND(VLOOKUP($B117,'INT Web'!$B$5:$AQ$247,'INT Web'!AN$1,FALSE),1)-0.01)</f>
        <v>9000</v>
      </c>
      <c r="I117" s="33">
        <f>+IFERROR(IF($E117=VLOOKUP($B117,Apple!$B$3:$I$176,Apple!$E$1,FALSE),VLOOKUP(Google!$B117,Apple!$B$3:$I$176,Apple!I$1,FALSE),VLOOKUP($B117,'INT Web'!$B$5:$U$247,'INT Web'!U$1,FALSE)),MROUND(VLOOKUP($B117,'INT Web'!$B$5:$AQ$247,'INT Web'!AO$1,FALSE),1)-0.01)</f>
        <v>1500</v>
      </c>
      <c r="J117" s="33">
        <f>+IF($E117=VLOOKUP($B117,Apple!$B$3:$E$176,4,FALSE),VLOOKUP(Google!$B117,Apple!$B$3:$M$176,Apple!J$1,FALSE),VLOOKUP($B117,'[6]Single Game'!$B$4:$P$238,'[6]Single Game'!M$1,FALSE))</f>
        <v>720</v>
      </c>
      <c r="K117" s="33">
        <f>+IF($E117=VLOOKUP($B117,Apple!$B$3:$E$176,4,FALSE),VLOOKUP(Google!$B117,Apple!$B$3:$M$176,Apple!K$1,FALSE),VLOOKUP($B117,'[6]Single Game'!$B$4:$P$238,'[6]Single Game'!N$1,FALSE))</f>
        <v>720</v>
      </c>
      <c r="L117" s="33">
        <f>+IF($E117=VLOOKUP($B117,Apple!$B$3:$E$176,4,FALSE),VLOOKUP(Google!$B117,Apple!$B$3:$M$176,Apple!L$1,FALSE),VLOOKUP($B117,'[6]Single Game'!$B$4:$P$238,'[6]Single Game'!O$1,FALSE))</f>
        <v>370</v>
      </c>
      <c r="M117" s="33">
        <f>+IF($E117=VLOOKUP($B117,Apple!$B$3:$E$176,4,FALSE),VLOOKUP(Google!$B117,Apple!$B$3:$M$176,Apple!M$1,FALSE),VLOOKUP($B117,'[6]Single Game'!$B$4:$P$238,'[6]Single Game'!P$1,FALSE))</f>
        <v>370</v>
      </c>
      <c r="O117" t="str">
        <f>IF(VLOOKUP($B117,[5]Google!$B$3:$I$174,[5]Google!F$1,FALSE)=F117,"Same","MISMATCH")</f>
        <v>Same</v>
      </c>
      <c r="P117" t="str">
        <f>IF(VLOOKUP($B117,[5]Google!$B$3:$I$174,[5]Google!G$1,FALSE)=G117,"Same","MISMATCH")</f>
        <v>Same</v>
      </c>
      <c r="Q117" t="str">
        <f>IF(VLOOKUP($B117,[5]Google!$B$3:$I$174,[5]Google!H$1,FALSE)=H117,"Same","MISMATCH")</f>
        <v>Same</v>
      </c>
      <c r="R117" t="str">
        <f>IF(VLOOKUP($B117,[5]Google!$B$3:$I$174,[5]Google!I$1,FALSE)=I117,"Same","MISMATCH")</f>
        <v>Same</v>
      </c>
      <c r="S117" t="str">
        <f>IF(VLOOKUP($B117,[5]Google!$B$3:$M$174,[5]Google!J$1,FALSE)=J117,"Same","MISMATCH")</f>
        <v>Same</v>
      </c>
      <c r="T117" t="str">
        <f>IF(VLOOKUP($B117,[5]Google!$B$3:$M$174,[5]Google!K$1,FALSE)=K117,"Same","MISMATCH")</f>
        <v>Same</v>
      </c>
      <c r="U117" t="str">
        <f>IF(VLOOKUP($B117,[5]Google!$B$3:$M$174,[5]Google!L$1,FALSE)=L117,"Same","MISMATCH")</f>
        <v>Same</v>
      </c>
      <c r="V117" t="str">
        <f>IF(VLOOKUP($B117,[5]Google!$B$3:$M$174,[5]Google!M$1,FALSE)=M117,"Same","MISMATCH")</f>
        <v>Same</v>
      </c>
    </row>
    <row r="118" spans="2:22">
      <c r="B118" t="s">
        <v>242</v>
      </c>
      <c r="C118" s="31" t="str">
        <f>+VLOOKUP(B118,'Country &amp; Code Abbreviation'!$B$3:$C$245,2,FALSE)</f>
        <v>PA</v>
      </c>
      <c r="D118" s="31" t="str">
        <f>+VLOOKUP(B118,'INT Web'!$B$5:$Q$248,16,FALSE)</f>
        <v>USD</v>
      </c>
      <c r="E118" s="32" t="s">
        <v>346</v>
      </c>
      <c r="F118" s="33">
        <f>+IFERROR(IF($E118=VLOOKUP($B118,Apple!$B$3:$I$176,Apple!$E$1,FALSE),VLOOKUP(Google!$B118,Apple!$B$3:$I$176,Apple!F$1,FALSE),VLOOKUP($B118,'INT Web'!$B$5:$U$247,'INT Web'!R$1,FALSE)),MROUND(VLOOKUP($B118,'INT Web'!$B$5:$AQ$247,'INT Web'!AL$1,FALSE),1)-0.01)</f>
        <v>113.99</v>
      </c>
      <c r="G118" s="33">
        <f>+IFERROR(IF($E118=VLOOKUP($B118,Apple!$B$3:$I$176,Apple!$E$1,FALSE),VLOOKUP(Google!$B118,Apple!$B$3:$I$176,Apple!G$1,FALSE),VLOOKUP($B118,'INT Web'!$B$5:$U$247,'INT Web'!S$1,FALSE)),MROUND(VLOOKUP($B118,'INT Web'!$B$5:$AQ$247,'INT Web'!AM$1,FALSE),1)-0.01)</f>
        <v>18.989999999999998</v>
      </c>
      <c r="H118" s="33">
        <f>+IFERROR(IF($E118=VLOOKUP($B118,Apple!$B$3:$I$176,Apple!$E$1,FALSE),VLOOKUP(Google!$B118,Apple!$B$3:$I$176,Apple!H$1,FALSE),VLOOKUP($B118,'INT Web'!$B$5:$U$247,'INT Web'!T$1,FALSE)),MROUND(VLOOKUP($B118,'INT Web'!$B$5:$AQ$247,'INT Web'!AN$1,FALSE),1)-0.01)</f>
        <v>83.99</v>
      </c>
      <c r="I118" s="33">
        <f>+IFERROR(IF($E118=VLOOKUP($B118,Apple!$B$3:$I$176,Apple!$E$1,FALSE),VLOOKUP(Google!$B118,Apple!$B$3:$I$176,Apple!I$1,FALSE),VLOOKUP($B118,'INT Web'!$B$5:$U$247,'INT Web'!U$1,FALSE)),MROUND(VLOOKUP($B118,'INT Web'!$B$5:$AQ$247,'INT Web'!AO$1,FALSE),1)-0.01)</f>
        <v>13.99</v>
      </c>
      <c r="J118" s="33">
        <f>+IF($E118=VLOOKUP($B118,Apple!$B$3:$E$176,4,FALSE),VLOOKUP(Google!$B118,Apple!$B$3:$M$176,Apple!J$1,FALSE),VLOOKUP($B118,'[6]Single Game'!$B$4:$P$238,'[6]Single Game'!M$1,FALSE))</f>
        <v>4.99</v>
      </c>
      <c r="K118" s="33">
        <f>+IF($E118=VLOOKUP($B118,Apple!$B$3:$E$176,4,FALSE),VLOOKUP(Google!$B118,Apple!$B$3:$M$176,Apple!K$1,FALSE),VLOOKUP($B118,'[6]Single Game'!$B$4:$P$238,'[6]Single Game'!N$1,FALSE))</f>
        <v>3.99</v>
      </c>
      <c r="L118" s="33">
        <f>+IF($E118=VLOOKUP($B118,Apple!$B$3:$E$176,4,FALSE),VLOOKUP(Google!$B118,Apple!$B$3:$M$176,Apple!L$1,FALSE),VLOOKUP($B118,'[6]Single Game'!$B$4:$P$238,'[6]Single Game'!O$1,FALSE))</f>
        <v>2.99</v>
      </c>
      <c r="M118" s="33">
        <f>+IF($E118=VLOOKUP($B118,Apple!$B$3:$E$176,4,FALSE),VLOOKUP(Google!$B118,Apple!$B$3:$M$176,Apple!M$1,FALSE),VLOOKUP($B118,'[6]Single Game'!$B$4:$P$238,'[6]Single Game'!P$1,FALSE))</f>
        <v>1.9900000000000002</v>
      </c>
      <c r="O118" t="str">
        <f>IF(VLOOKUP($B118,[5]Google!$B$3:$I$174,[5]Google!F$1,FALSE)=F118,"Same","MISMATCH")</f>
        <v>Same</v>
      </c>
      <c r="P118" t="str">
        <f>IF(VLOOKUP($B118,[5]Google!$B$3:$I$174,[5]Google!G$1,FALSE)=G118,"Same","MISMATCH")</f>
        <v>Same</v>
      </c>
      <c r="Q118" t="str">
        <f>IF(VLOOKUP($B118,[5]Google!$B$3:$I$174,[5]Google!H$1,FALSE)=H118,"Same","MISMATCH")</f>
        <v>Same</v>
      </c>
      <c r="R118" t="str">
        <f>IF(VLOOKUP($B118,[5]Google!$B$3:$I$174,[5]Google!I$1,FALSE)=I118,"Same","MISMATCH")</f>
        <v>Same</v>
      </c>
      <c r="S118" t="str">
        <f>IF(VLOOKUP($B118,[5]Google!$B$3:$M$174,[5]Google!J$1,FALSE)=J118,"Same","MISMATCH")</f>
        <v>Same</v>
      </c>
      <c r="T118" t="str">
        <f>IF(VLOOKUP($B118,[5]Google!$B$3:$M$174,[5]Google!K$1,FALSE)=K118,"Same","MISMATCH")</f>
        <v>Same</v>
      </c>
      <c r="U118" t="str">
        <f>IF(VLOOKUP($B118,[5]Google!$B$3:$M$174,[5]Google!L$1,FALSE)=L118,"Same","MISMATCH")</f>
        <v>Same</v>
      </c>
      <c r="V118" t="str">
        <f>IF(VLOOKUP($B118,[5]Google!$B$3:$M$174,[5]Google!M$1,FALSE)=M118,"Same","MISMATCH")</f>
        <v>Same</v>
      </c>
    </row>
    <row r="119" spans="2:22">
      <c r="B119" t="s">
        <v>243</v>
      </c>
      <c r="C119" s="31" t="str">
        <f>+VLOOKUP(B119,'Country &amp; Code Abbreviation'!$B$3:$C$245,2,FALSE)</f>
        <v>PG</v>
      </c>
      <c r="D119" s="31" t="str">
        <f>+VLOOKUP(B119,'INT Web'!$B$5:$Q$248,16,FALSE)</f>
        <v>PGK</v>
      </c>
      <c r="E119" s="32" t="s">
        <v>346</v>
      </c>
      <c r="F119" s="33">
        <f>+IFERROR(IF($E119=VLOOKUP($B119,Apple!$B$3:$I$176,Apple!$E$1,FALSE),VLOOKUP(Google!$B119,Apple!$B$3:$I$176,Apple!F$1,FALSE),VLOOKUP($B119,'INT Web'!$B$5:$U$247,'INT Web'!R$1,FALSE)),MROUND(VLOOKUP($B119,'INT Web'!$B$5:$AQ$247,'INT Web'!AL$1,FALSE),1)-0.01)</f>
        <v>67.989999999999995</v>
      </c>
      <c r="G119" s="33">
        <f>+IFERROR(IF($E119=VLOOKUP($B119,Apple!$B$3:$I$176,Apple!$E$1,FALSE),VLOOKUP(Google!$B119,Apple!$B$3:$I$176,Apple!G$1,FALSE),VLOOKUP($B119,'INT Web'!$B$5:$U$247,'INT Web'!S$1,FALSE)),MROUND(VLOOKUP($B119,'INT Web'!$B$5:$AQ$247,'INT Web'!AM$1,FALSE),1)-0.01)</f>
        <v>10.99</v>
      </c>
      <c r="H119" s="33">
        <f>+IFERROR(IF($E119=VLOOKUP($B119,Apple!$B$3:$I$176,Apple!$E$1,FALSE),VLOOKUP(Google!$B119,Apple!$B$3:$I$176,Apple!H$1,FALSE),VLOOKUP($B119,'INT Web'!$B$5:$U$247,'INT Web'!T$1,FALSE)),MROUND(VLOOKUP($B119,'INT Web'!$B$5:$AQ$247,'INT Web'!AN$1,FALSE),1)-0.01)</f>
        <v>50.99</v>
      </c>
      <c r="I119" s="33">
        <f>+IFERROR(IF($E119=VLOOKUP($B119,Apple!$B$3:$I$176,Apple!$E$1,FALSE),VLOOKUP(Google!$B119,Apple!$B$3:$I$176,Apple!I$1,FALSE),VLOOKUP($B119,'INT Web'!$B$5:$U$247,'INT Web'!U$1,FALSE)),MROUND(VLOOKUP($B119,'INT Web'!$B$5:$AQ$247,'INT Web'!AO$1,FALSE),1)-0.01)</f>
        <v>7.99</v>
      </c>
      <c r="J119" s="33">
        <f>+IF($E119=VLOOKUP($B119,Apple!$B$3:$E$176,4,FALSE),VLOOKUP(Google!$B119,Apple!$B$3:$M$176,Apple!J$1,FALSE),VLOOKUP($B119,'[6]Single Game'!$B$4:$P$238,'[6]Single Game'!M$1,FALSE))</f>
        <v>2.99</v>
      </c>
      <c r="K119" s="33">
        <f>+IF($E119=VLOOKUP($B119,Apple!$B$3:$E$176,4,FALSE),VLOOKUP(Google!$B119,Apple!$B$3:$M$176,Apple!K$1,FALSE),VLOOKUP($B119,'[6]Single Game'!$B$4:$P$238,'[6]Single Game'!N$1,FALSE))</f>
        <v>1.99</v>
      </c>
      <c r="L119" s="33">
        <f>+IF($E119=VLOOKUP($B119,Apple!$B$3:$E$176,4,FALSE),VLOOKUP(Google!$B119,Apple!$B$3:$M$176,Apple!L$1,FALSE),VLOOKUP($B119,'[6]Single Game'!$B$4:$P$238,'[6]Single Game'!O$1,FALSE))</f>
        <v>1.99</v>
      </c>
      <c r="M119" s="33">
        <f>+IF($E119=VLOOKUP($B119,Apple!$B$3:$E$176,4,FALSE),VLOOKUP(Google!$B119,Apple!$B$3:$M$176,Apple!M$1,FALSE),VLOOKUP($B119,'[6]Single Game'!$B$4:$P$238,'[6]Single Game'!P$1,FALSE))</f>
        <v>0.99</v>
      </c>
      <c r="O119" t="str">
        <f>IF(VLOOKUP($B119,[5]Google!$B$3:$I$174,[5]Google!F$1,FALSE)=F119,"Same","MISMATCH")</f>
        <v>Same</v>
      </c>
      <c r="P119" t="str">
        <f>IF(VLOOKUP($B119,[5]Google!$B$3:$I$174,[5]Google!G$1,FALSE)=G119,"Same","MISMATCH")</f>
        <v>Same</v>
      </c>
      <c r="Q119" t="str">
        <f>IF(VLOOKUP($B119,[5]Google!$B$3:$I$174,[5]Google!H$1,FALSE)=H119,"Same","MISMATCH")</f>
        <v>Same</v>
      </c>
      <c r="R119" t="str">
        <f>IF(VLOOKUP($B119,[5]Google!$B$3:$I$174,[5]Google!I$1,FALSE)=I119,"Same","MISMATCH")</f>
        <v>Same</v>
      </c>
      <c r="S119" t="str">
        <f>IF(VLOOKUP($B119,[5]Google!$B$3:$M$174,[5]Google!J$1,FALSE)=J119,"Same","MISMATCH")</f>
        <v>Same</v>
      </c>
      <c r="T119" t="str">
        <f>IF(VLOOKUP($B119,[5]Google!$B$3:$M$174,[5]Google!K$1,FALSE)=K119,"Same","MISMATCH")</f>
        <v>Same</v>
      </c>
      <c r="U119" t="str">
        <f>IF(VLOOKUP($B119,[5]Google!$B$3:$M$174,[5]Google!L$1,FALSE)=L119,"Same","MISMATCH")</f>
        <v>Same</v>
      </c>
      <c r="V119" t="str">
        <f>IF(VLOOKUP($B119,[5]Google!$B$3:$M$174,[5]Google!M$1,FALSE)=M119,"Same","MISMATCH")</f>
        <v>Same</v>
      </c>
    </row>
    <row r="120" spans="2:22">
      <c r="B120" t="s">
        <v>244</v>
      </c>
      <c r="C120" s="31" t="str">
        <f>+VLOOKUP(B120,'Country &amp; Code Abbreviation'!$B$3:$C$245,2,FALSE)</f>
        <v>PY</v>
      </c>
      <c r="D120" s="31" t="str">
        <f>+VLOOKUP(B120,'INT Web'!$B$5:$Q$248,16,FALSE)</f>
        <v>PYG</v>
      </c>
      <c r="E120" s="32" t="s">
        <v>427</v>
      </c>
      <c r="F120" s="33">
        <f>+IFERROR(IF($E120=VLOOKUP($B120,Apple!$B$3:$I$176,Apple!$E$1,FALSE),VLOOKUP(Google!$B120,Apple!$B$3:$I$176,Apple!F$1,FALSE),VLOOKUP($B120,'INT Web'!$B$5:$U$247,'INT Web'!R$1,FALSE)),MROUND(VLOOKUP($B120,'INT Web'!$B$5:$AQ$247,'INT Web'!AL$1,FALSE),1)-0.01)</f>
        <v>557280</v>
      </c>
      <c r="G120" s="33">
        <f>+IFERROR(IF($E120=VLOOKUP($B120,Apple!$B$3:$I$176,Apple!$E$1,FALSE),VLOOKUP(Google!$B120,Apple!$B$3:$I$176,Apple!G$1,FALSE),VLOOKUP($B120,'INT Web'!$B$5:$U$247,'INT Web'!S$1,FALSE)),MROUND(VLOOKUP($B120,'INT Web'!$B$5:$AQ$247,'INT Web'!AM$1,FALSE),1)-0.01)</f>
        <v>92880</v>
      </c>
      <c r="H120" s="33">
        <f>+IFERROR(IF($E120=VLOOKUP($B120,Apple!$B$3:$I$176,Apple!$E$1,FALSE),VLOOKUP(Google!$B120,Apple!$B$3:$I$176,Apple!H$1,FALSE),VLOOKUP($B120,'INT Web'!$B$5:$U$247,'INT Web'!T$1,FALSE)),MROUND(VLOOKUP($B120,'INT Web'!$B$5:$AQ$247,'INT Web'!AN$1,FALSE),1)-0.01)</f>
        <v>412800</v>
      </c>
      <c r="I120" s="33">
        <f>+IFERROR(IF($E120=VLOOKUP($B120,Apple!$B$3:$I$176,Apple!$E$1,FALSE),VLOOKUP(Google!$B120,Apple!$B$3:$I$176,Apple!I$1,FALSE),VLOOKUP($B120,'INT Web'!$B$5:$U$247,'INT Web'!U$1,FALSE)),MROUND(VLOOKUP($B120,'INT Web'!$B$5:$AQ$247,'INT Web'!AO$1,FALSE),1)-0.01)</f>
        <v>68800</v>
      </c>
      <c r="J120" s="33">
        <f>+IF($E120=VLOOKUP($B120,Apple!$B$3:$E$176,4,FALSE),VLOOKUP(Google!$B120,Apple!$B$3:$M$176,Apple!J$1,FALSE),VLOOKUP($B120,'[6]Single Game'!$B$4:$P$238,'[6]Single Game'!M$1,FALSE))</f>
        <v>24100</v>
      </c>
      <c r="K120" s="33">
        <f>+IF($E120=VLOOKUP($B120,Apple!$B$3:$E$176,4,FALSE),VLOOKUP(Google!$B120,Apple!$B$3:$M$176,Apple!K$1,FALSE),VLOOKUP($B120,'[6]Single Game'!$B$4:$P$238,'[6]Single Game'!N$1,FALSE))</f>
        <v>24100</v>
      </c>
      <c r="L120" s="33">
        <f>+IF($E120=VLOOKUP($B120,Apple!$B$3:$E$176,4,FALSE),VLOOKUP(Google!$B120,Apple!$B$3:$M$176,Apple!L$1,FALSE),VLOOKUP($B120,'[6]Single Game'!$B$4:$P$238,'[6]Single Game'!O$1,FALSE))</f>
        <v>14100</v>
      </c>
      <c r="M120" s="33">
        <f>+IF($E120=VLOOKUP($B120,Apple!$B$3:$E$176,4,FALSE),VLOOKUP(Google!$B120,Apple!$B$3:$M$176,Apple!M$1,FALSE),VLOOKUP($B120,'[6]Single Game'!$B$4:$P$238,'[6]Single Game'!P$1,FALSE))</f>
        <v>14100</v>
      </c>
      <c r="O120" t="str">
        <f>IF(VLOOKUP($B120,[5]Google!$B$3:$I$174,[5]Google!F$1,FALSE)=F120,"Same","MISMATCH")</f>
        <v>Same</v>
      </c>
      <c r="P120" t="str">
        <f>IF(VLOOKUP($B120,[5]Google!$B$3:$I$174,[5]Google!G$1,FALSE)=G120,"Same","MISMATCH")</f>
        <v>Same</v>
      </c>
      <c r="Q120" t="str">
        <f>IF(VLOOKUP($B120,[5]Google!$B$3:$I$174,[5]Google!H$1,FALSE)=H120,"Same","MISMATCH")</f>
        <v>Same</v>
      </c>
      <c r="R120" t="str">
        <f>IF(VLOOKUP($B120,[5]Google!$B$3:$I$174,[5]Google!I$1,FALSE)=I120,"Same","MISMATCH")</f>
        <v>Same</v>
      </c>
      <c r="S120" t="str">
        <f>IF(VLOOKUP($B120,[5]Google!$B$3:$M$174,[5]Google!J$1,FALSE)=J120,"Same","MISMATCH")</f>
        <v>Same</v>
      </c>
      <c r="T120" t="str">
        <f>IF(VLOOKUP($B120,[5]Google!$B$3:$M$174,[5]Google!K$1,FALSE)=K120,"Same","MISMATCH")</f>
        <v>Same</v>
      </c>
      <c r="U120" t="str">
        <f>IF(VLOOKUP($B120,[5]Google!$B$3:$M$174,[5]Google!L$1,FALSE)=L120,"Same","MISMATCH")</f>
        <v>Same</v>
      </c>
      <c r="V120" t="str">
        <f>IF(VLOOKUP($B120,[5]Google!$B$3:$M$174,[5]Google!M$1,FALSE)=M120,"Same","MISMATCH")</f>
        <v>Same</v>
      </c>
    </row>
    <row r="121" spans="2:22">
      <c r="B121" t="s">
        <v>245</v>
      </c>
      <c r="C121" s="31" t="str">
        <f>+VLOOKUP(B121,'Country &amp; Code Abbreviation'!$B$3:$C$245,2,FALSE)</f>
        <v>PE</v>
      </c>
      <c r="D121" s="31" t="str">
        <f>+VLOOKUP(B121,'INT Web'!$B$5:$Q$248,16,FALSE)</f>
        <v>PEN</v>
      </c>
      <c r="E121" s="32" t="s">
        <v>389</v>
      </c>
      <c r="F121" s="33">
        <f>+IFERROR(IF($E121=VLOOKUP($B121,Apple!$B$3:$I$176,Apple!$E$1,FALSE),VLOOKUP(Google!$B121,Apple!$B$3:$I$176,Apple!F$1,FALSE),VLOOKUP($B121,'INT Web'!$B$5:$U$247,'INT Web'!R$1,FALSE)),MROUND(VLOOKUP($B121,'INT Web'!$B$5:$AQ$247,'INT Web'!AL$1,FALSE),1)-0.01)</f>
        <v>379</v>
      </c>
      <c r="G121" s="33">
        <f>+IFERROR(IF($E121=VLOOKUP($B121,Apple!$B$3:$I$176,Apple!$E$1,FALSE),VLOOKUP(Google!$B121,Apple!$B$3:$I$176,Apple!G$1,FALSE),VLOOKUP($B121,'INT Web'!$B$5:$U$247,'INT Web'!S$1,FALSE)),MROUND(VLOOKUP($B121,'INT Web'!$B$5:$AQ$247,'INT Web'!AM$1,FALSE),1)-0.01)</f>
        <v>63</v>
      </c>
      <c r="H121" s="72">
        <v>279.99</v>
      </c>
      <c r="I121" s="33">
        <f>+IFERROR(IF($E121=VLOOKUP($B121,Apple!$B$3:$I$176,Apple!$E$1,FALSE),VLOOKUP(Google!$B121,Apple!$B$3:$I$176,Apple!I$1,FALSE),VLOOKUP($B121,'INT Web'!$B$5:$U$247,'INT Web'!U$1,FALSE)),MROUND(VLOOKUP($B121,'INT Web'!$B$5:$AQ$247,'INT Web'!AO$1,FALSE),1)-0.01)</f>
        <v>46.99</v>
      </c>
      <c r="J121" s="33">
        <f>+IF($E121=VLOOKUP($B121,Apple!$B$3:$E$176,4,FALSE),VLOOKUP(Google!$B121,Apple!$B$3:$M$176,Apple!J$1,FALSE),VLOOKUP($B121,'[6]Single Game'!$B$4:$P$238,'[6]Single Game'!M$1,FALSE))</f>
        <v>17.899999999999999</v>
      </c>
      <c r="K121" s="33">
        <f>+IF($E121=VLOOKUP($B121,Apple!$B$3:$E$176,4,FALSE),VLOOKUP(Google!$B121,Apple!$B$3:$M$176,Apple!K$1,FALSE),VLOOKUP($B121,'[6]Single Game'!$B$4:$P$238,'[6]Single Game'!N$1,FALSE))</f>
        <v>17.899999999999999</v>
      </c>
      <c r="L121" s="33">
        <f>+IF($E121=VLOOKUP($B121,Apple!$B$3:$E$176,4,FALSE),VLOOKUP(Google!$B121,Apple!$B$3:$M$176,Apple!L$1,FALSE),VLOOKUP($B121,'[6]Single Game'!$B$4:$P$238,'[6]Single Game'!O$1,FALSE))</f>
        <v>10.9</v>
      </c>
      <c r="M121" s="33">
        <f>+IF($E121=VLOOKUP($B121,Apple!$B$3:$E$176,4,FALSE),VLOOKUP(Google!$B121,Apple!$B$3:$M$176,Apple!M$1,FALSE),VLOOKUP($B121,'[6]Single Game'!$B$4:$P$238,'[6]Single Game'!P$1,FALSE))</f>
        <v>10.9</v>
      </c>
      <c r="O121" t="str">
        <f>IF(VLOOKUP($B121,[5]Google!$B$3:$I$174,[5]Google!F$1,FALSE)=F121,"Same","MISMATCH")</f>
        <v>Same</v>
      </c>
      <c r="P121" t="str">
        <f>IF(VLOOKUP($B121,[5]Google!$B$3:$I$174,[5]Google!G$1,FALSE)=G121,"Same","MISMATCH")</f>
        <v>Same</v>
      </c>
      <c r="Q121" t="str">
        <f>IF(VLOOKUP($B121,[5]Google!$B$3:$I$174,[5]Google!H$1,FALSE)=H121,"Same","MISMATCH")</f>
        <v>Same</v>
      </c>
      <c r="R121" t="str">
        <f>IF(VLOOKUP($B121,[5]Google!$B$3:$I$174,[5]Google!I$1,FALSE)=I121,"Same","MISMATCH")</f>
        <v>Same</v>
      </c>
      <c r="S121" t="str">
        <f>IF(VLOOKUP($B121,[5]Google!$B$3:$M$174,[5]Google!J$1,FALSE)=J121,"Same","MISMATCH")</f>
        <v>Same</v>
      </c>
      <c r="T121" t="str">
        <f>IF(VLOOKUP($B121,[5]Google!$B$3:$M$174,[5]Google!K$1,FALSE)=K121,"Same","MISMATCH")</f>
        <v>Same</v>
      </c>
      <c r="U121" t="str">
        <f>IF(VLOOKUP($B121,[5]Google!$B$3:$M$174,[5]Google!L$1,FALSE)=L121,"Same","MISMATCH")</f>
        <v>Same</v>
      </c>
      <c r="V121" t="str">
        <f>IF(VLOOKUP($B121,[5]Google!$B$3:$M$174,[5]Google!M$1,FALSE)=M121,"Same","MISMATCH")</f>
        <v>Same</v>
      </c>
    </row>
    <row r="122" spans="2:22">
      <c r="B122" t="s">
        <v>246</v>
      </c>
      <c r="C122" s="31" t="str">
        <f>+VLOOKUP(B122,'Country &amp; Code Abbreviation'!$B$3:$C$245,2,FALSE)</f>
        <v>PH</v>
      </c>
      <c r="D122" s="31" t="str">
        <f>+VLOOKUP(B122,'INT Web'!$B$5:$Q$248,16,FALSE)</f>
        <v>PHP</v>
      </c>
      <c r="E122" s="32" t="s">
        <v>390</v>
      </c>
      <c r="F122" s="33">
        <f>+IFERROR(IF($E122=VLOOKUP($B122,Apple!$B$3:$I$176,Apple!$E$1,FALSE),VLOOKUP(Google!$B122,Apple!$B$3:$I$176,Apple!F$1,FALSE),VLOOKUP($B122,'INT Web'!$B$5:$U$247,'INT Web'!R$1,FALSE)),MROUND(VLOOKUP($B122,'INT Web'!$B$5:$AQ$247,'INT Web'!AL$1,FALSE),1)-0.01)</f>
        <v>5050</v>
      </c>
      <c r="G122" s="33">
        <f>+IFERROR(IF($E122=VLOOKUP($B122,Apple!$B$3:$I$176,Apple!$E$1,FALSE),VLOOKUP(Google!$B122,Apple!$B$3:$I$176,Apple!G$1,FALSE),VLOOKUP($B122,'INT Web'!$B$5:$U$247,'INT Web'!S$1,FALSE)),MROUND(VLOOKUP($B122,'INT Web'!$B$5:$AQ$247,'INT Web'!AM$1,FALSE),1)-0.01)</f>
        <v>839</v>
      </c>
      <c r="H122" s="33">
        <f>+IFERROR(IF($E122=VLOOKUP($B122,Apple!$B$3:$I$176,Apple!$E$1,FALSE),VLOOKUP(Google!$B122,Apple!$B$3:$I$176,Apple!H$1,FALSE),VLOOKUP($B122,'INT Web'!$B$5:$U$247,'INT Web'!T$1,FALSE)),MROUND(VLOOKUP($B122,'INT Web'!$B$5:$AQ$247,'INT Web'!AN$1,FALSE),1)-0.01)</f>
        <v>3900</v>
      </c>
      <c r="I122" s="33">
        <f>+IFERROR(IF($E122=VLOOKUP($B122,Apple!$B$3:$I$176,Apple!$E$1,FALSE),VLOOKUP(Google!$B122,Apple!$B$3:$I$176,Apple!I$1,FALSE),VLOOKUP($B122,'INT Web'!$B$5:$U$247,'INT Web'!U$1,FALSE)),MROUND(VLOOKUP($B122,'INT Web'!$B$5:$AQ$247,'INT Web'!AO$1,FALSE),1)-0.01)</f>
        <v>559</v>
      </c>
      <c r="J122" s="33">
        <f>+IF($E122=VLOOKUP($B122,Apple!$B$3:$E$176,4,FALSE),VLOOKUP(Google!$B122,Apple!$B$3:$M$176,Apple!J$1,FALSE),VLOOKUP($B122,'[6]Single Game'!$B$4:$P$238,'[6]Single Game'!M$1,FALSE))</f>
        <v>209</v>
      </c>
      <c r="K122" s="33">
        <f>+IF($E122=VLOOKUP($B122,Apple!$B$3:$E$176,4,FALSE),VLOOKUP(Google!$B122,Apple!$B$3:$M$176,Apple!K$1,FALSE),VLOOKUP($B122,'[6]Single Game'!$B$4:$P$238,'[6]Single Game'!N$1,FALSE))</f>
        <v>209</v>
      </c>
      <c r="L122" s="33">
        <f>+IF($E122=VLOOKUP($B122,Apple!$B$3:$E$176,4,FALSE),VLOOKUP(Google!$B122,Apple!$B$3:$M$176,Apple!L$1,FALSE),VLOOKUP($B122,'[6]Single Game'!$B$4:$P$238,'[6]Single Game'!O$1,FALSE))</f>
        <v>119</v>
      </c>
      <c r="M122" s="33">
        <f>+IF($E122=VLOOKUP($B122,Apple!$B$3:$E$176,4,FALSE),VLOOKUP(Google!$B122,Apple!$B$3:$M$176,Apple!M$1,FALSE),VLOOKUP($B122,'[6]Single Game'!$B$4:$P$238,'[6]Single Game'!P$1,FALSE))</f>
        <v>119</v>
      </c>
      <c r="O122" t="str">
        <f>IF(VLOOKUP($B122,[5]Google!$B$3:$I$174,[5]Google!F$1,FALSE)=F122,"Same","MISMATCH")</f>
        <v>Same</v>
      </c>
      <c r="P122" t="str">
        <f>IF(VLOOKUP($B122,[5]Google!$B$3:$I$174,[5]Google!G$1,FALSE)=G122,"Same","MISMATCH")</f>
        <v>Same</v>
      </c>
      <c r="Q122" t="str">
        <f>IF(VLOOKUP($B122,[5]Google!$B$3:$I$174,[5]Google!H$1,FALSE)=H122,"Same","MISMATCH")</f>
        <v>Same</v>
      </c>
      <c r="R122" t="str">
        <f>IF(VLOOKUP($B122,[5]Google!$B$3:$I$174,[5]Google!I$1,FALSE)=I122,"Same","MISMATCH")</f>
        <v>Same</v>
      </c>
      <c r="S122" t="str">
        <f>IF(VLOOKUP($B122,[5]Google!$B$3:$M$174,[5]Google!J$1,FALSE)=J122,"Same","MISMATCH")</f>
        <v>Same</v>
      </c>
      <c r="T122" t="str">
        <f>IF(VLOOKUP($B122,[5]Google!$B$3:$M$174,[5]Google!K$1,FALSE)=K122,"Same","MISMATCH")</f>
        <v>Same</v>
      </c>
      <c r="U122" t="str">
        <f>IF(VLOOKUP($B122,[5]Google!$B$3:$M$174,[5]Google!L$1,FALSE)=L122,"Same","MISMATCH")</f>
        <v>Same</v>
      </c>
      <c r="V122" t="str">
        <f>IF(VLOOKUP($B122,[5]Google!$B$3:$M$174,[5]Google!M$1,FALSE)=M122,"Same","MISMATCH")</f>
        <v>Same</v>
      </c>
    </row>
    <row r="123" spans="2:22">
      <c r="B123" t="s">
        <v>248</v>
      </c>
      <c r="C123" s="31" t="str">
        <f>+VLOOKUP(B123,'Country &amp; Code Abbreviation'!$B$3:$C$245,2,FALSE)</f>
        <v>PL</v>
      </c>
      <c r="D123" s="31" t="str">
        <f>+VLOOKUP(B123,'INT Web'!$B$5:$Q$248,16,FALSE)</f>
        <v>PLN</v>
      </c>
      <c r="E123" s="32" t="s">
        <v>391</v>
      </c>
      <c r="F123" s="33">
        <f>+IFERROR(IF($E123=VLOOKUP($B123,Apple!$B$3:$I$176,Apple!$E$1,FALSE),VLOOKUP(Google!$B123,Apple!$B$3:$I$176,Apple!F$1,FALSE),VLOOKUP($B123,'INT Web'!$B$5:$U$247,'INT Web'!R$1,FALSE)),MROUND(VLOOKUP($B123,'INT Web'!$B$5:$AQ$247,'INT Web'!AL$1,FALSE),1)-0.01)</f>
        <v>539.99</v>
      </c>
      <c r="G123" s="72">
        <f>+IFERROR(IF($E123=VLOOKUP($B123,Apple!$B$3:$I$176,Apple!$E$1,FALSE),VLOOKUP(Google!$B123,Apple!$B$3:$I$176,Apple!G$1,FALSE),VLOOKUP($B123,'INT Web'!$B$5:$U$247,'INT Web'!S$1,FALSE)),MROUND(VLOOKUP($B123,'INT Web'!$B$5:$AQ$247,'INT Web'!AM$1,FALSE),1)-0.01)</f>
        <v>82.99</v>
      </c>
      <c r="H123" s="33">
        <f>+IFERROR(IF($E123=VLOOKUP($B123,Apple!$B$3:$I$176,Apple!$E$1,FALSE),VLOOKUP(Google!$B123,Apple!$B$3:$I$176,Apple!H$1,FALSE),VLOOKUP($B123,'INT Web'!$B$5:$U$247,'INT Web'!T$1,FALSE)),MROUND(VLOOKUP($B123,'INT Web'!$B$5:$AQ$247,'INT Web'!AN$1,FALSE),1)-0.01)</f>
        <v>399.99</v>
      </c>
      <c r="I123" s="72">
        <f>+IFERROR(IF($E123=VLOOKUP($B123,Apple!$B$3:$I$176,Apple!$E$1,FALSE),VLOOKUP(Google!$B123,Apple!$B$3:$I$176,Apple!I$1,FALSE),VLOOKUP($B123,'INT Web'!$B$5:$U$247,'INT Web'!U$1,FALSE)),MROUND(VLOOKUP($B123,'INT Web'!$B$5:$AQ$247,'INT Web'!AO$1,FALSE),1)-0.01)</f>
        <v>61.99</v>
      </c>
      <c r="J123" s="33">
        <f>+IF($E123=VLOOKUP($B123,Apple!$B$3:$E$176,4,FALSE),VLOOKUP(Google!$B123,Apple!$B$3:$M$176,Apple!J$1,FALSE),VLOOKUP($B123,'[6]Single Game'!$B$4:$P$238,'[6]Single Game'!M$1,FALSE))</f>
        <v>24.99</v>
      </c>
      <c r="K123" s="33">
        <f>+IF($E123=VLOOKUP($B123,Apple!$B$3:$E$176,4,FALSE),VLOOKUP(Google!$B123,Apple!$B$3:$M$176,Apple!K$1,FALSE),VLOOKUP($B123,'[6]Single Game'!$B$4:$P$238,'[6]Single Game'!N$1,FALSE))</f>
        <v>19.989999999999998</v>
      </c>
      <c r="L123" s="33">
        <f>+IF($E123=VLOOKUP($B123,Apple!$B$3:$E$176,4,FALSE),VLOOKUP(Google!$B123,Apple!$B$3:$M$176,Apple!L$1,FALSE),VLOOKUP($B123,'[6]Single Game'!$B$4:$P$238,'[6]Single Game'!O$1,FALSE))</f>
        <v>14.99</v>
      </c>
      <c r="M123" s="33">
        <f>+IF($E123=VLOOKUP($B123,Apple!$B$3:$E$176,4,FALSE),VLOOKUP(Google!$B123,Apple!$B$3:$M$176,Apple!M$1,FALSE),VLOOKUP($B123,'[6]Single Game'!$B$4:$P$238,'[6]Single Game'!P$1,FALSE))</f>
        <v>9.99</v>
      </c>
      <c r="O123" t="str">
        <f>IF(VLOOKUP($B123,[5]Google!$B$3:$I$174,[5]Google!F$1,FALSE)=F123,"Same","MISMATCH")</f>
        <v>Same</v>
      </c>
      <c r="P123" t="str">
        <f>IF(VLOOKUP($B123,[5]Google!$B$3:$I$174,[5]Google!G$1,FALSE)=G123,"Same","MISMATCH")</f>
        <v>Same</v>
      </c>
      <c r="Q123" t="str">
        <f>IF(VLOOKUP($B123,[5]Google!$B$3:$I$174,[5]Google!H$1,FALSE)=H123,"Same","MISMATCH")</f>
        <v>Same</v>
      </c>
      <c r="R123" t="str">
        <f>IF(VLOOKUP($B123,[5]Google!$B$3:$I$174,[5]Google!I$1,FALSE)=I123,"Same","MISMATCH")</f>
        <v>Same</v>
      </c>
      <c r="S123" t="str">
        <f>IF(VLOOKUP($B123,[5]Google!$B$3:$M$174,[5]Google!J$1,FALSE)=J123,"Same","MISMATCH")</f>
        <v>Same</v>
      </c>
      <c r="T123" t="str">
        <f>IF(VLOOKUP($B123,[5]Google!$B$3:$M$174,[5]Google!K$1,FALSE)=K123,"Same","MISMATCH")</f>
        <v>Same</v>
      </c>
      <c r="U123" t="str">
        <f>IF(VLOOKUP($B123,[5]Google!$B$3:$M$174,[5]Google!L$1,FALSE)=L123,"Same","MISMATCH")</f>
        <v>Same</v>
      </c>
      <c r="V123" t="str">
        <f>IF(VLOOKUP($B123,[5]Google!$B$3:$M$174,[5]Google!M$1,FALSE)=M123,"Same","MISMATCH")</f>
        <v>Same</v>
      </c>
    </row>
    <row r="124" spans="2:22">
      <c r="B124" t="s">
        <v>249</v>
      </c>
      <c r="C124" s="31" t="str">
        <f>+VLOOKUP(B124,'Country &amp; Code Abbreviation'!$B$3:$C$245,2,FALSE)</f>
        <v>PT</v>
      </c>
      <c r="D124" s="31" t="str">
        <f>+VLOOKUP(B124,'INT Web'!$B$5:$Q$248,16,FALSE)</f>
        <v>EUR</v>
      </c>
      <c r="E124" s="32" t="s">
        <v>368</v>
      </c>
      <c r="F124" s="33">
        <f>+IFERROR(IF($E124=VLOOKUP($B124,Apple!$B$3:$I$176,Apple!$E$1,FALSE),VLOOKUP(Google!$B124,Apple!$B$3:$I$176,Apple!F$1,FALSE),VLOOKUP($B124,'INT Web'!$B$5:$U$247,'INT Web'!R$1,FALSE)),MROUND(VLOOKUP($B124,'INT Web'!$B$5:$AQ$247,'INT Web'!AL$1,FALSE),1)-0.01)</f>
        <v>129.99</v>
      </c>
      <c r="G124" s="72">
        <f>+IFERROR(IF($E124=VLOOKUP($B124,Apple!$B$3:$I$176,Apple!$E$1,FALSE),VLOOKUP(Google!$B124,Apple!$B$3:$I$176,Apple!G$1,FALSE),VLOOKUP($B124,'INT Web'!$B$5:$U$247,'INT Web'!S$1,FALSE)),MROUND(VLOOKUP($B124,'INT Web'!$B$5:$AQ$247,'INT Web'!AM$1,FALSE),1)-0.01)</f>
        <v>19.989999999999998</v>
      </c>
      <c r="H124" s="33">
        <f>+IFERROR(IF($E124=VLOOKUP($B124,Apple!$B$3:$I$176,Apple!$E$1,FALSE),VLOOKUP(Google!$B124,Apple!$B$3:$I$176,Apple!H$1,FALSE),VLOOKUP($B124,'INT Web'!$B$5:$U$247,'INT Web'!T$1,FALSE)),MROUND(VLOOKUP($B124,'INT Web'!$B$5:$AQ$247,'INT Web'!AN$1,FALSE),1)-0.01)</f>
        <v>97.99</v>
      </c>
      <c r="I124" s="72">
        <f>+IFERROR(IF($E124=VLOOKUP($B124,Apple!$B$3:$I$176,Apple!$E$1,FALSE),VLOOKUP(Google!$B124,Apple!$B$3:$I$176,Apple!I$1,FALSE),VLOOKUP($B124,'INT Web'!$B$5:$U$247,'INT Web'!U$1,FALSE)),MROUND(VLOOKUP($B124,'INT Web'!$B$5:$AQ$247,'INT Web'!AO$1,FALSE),1)-0.01)</f>
        <v>14.99</v>
      </c>
      <c r="J124" s="33">
        <f>+IF($E124=VLOOKUP($B124,Apple!$B$3:$E$176,4,FALSE),VLOOKUP(Google!$B124,Apple!$B$3:$M$176,Apple!J$1,FALSE),VLOOKUP($B124,'[6]Single Game'!$B$4:$P$238,'[6]Single Game'!M$1,FALSE))</f>
        <v>4.99</v>
      </c>
      <c r="K124" s="33">
        <f>+IF($E124=VLOOKUP($B124,Apple!$B$3:$E$176,4,FALSE),VLOOKUP(Google!$B124,Apple!$B$3:$M$176,Apple!K$1,FALSE),VLOOKUP($B124,'[6]Single Game'!$B$4:$P$238,'[6]Single Game'!N$1,FALSE))</f>
        <v>4.99</v>
      </c>
      <c r="L124" s="33">
        <f>+IF($E124=VLOOKUP($B124,Apple!$B$3:$E$176,4,FALSE),VLOOKUP(Google!$B124,Apple!$B$3:$M$176,Apple!L$1,FALSE),VLOOKUP($B124,'[6]Single Game'!$B$4:$P$238,'[6]Single Game'!O$1,FALSE))</f>
        <v>2.99</v>
      </c>
      <c r="M124" s="33">
        <f>+IF($E124=VLOOKUP($B124,Apple!$B$3:$E$176,4,FALSE),VLOOKUP(Google!$B124,Apple!$B$3:$M$176,Apple!M$1,FALSE),VLOOKUP($B124,'[6]Single Game'!$B$4:$P$238,'[6]Single Game'!P$1,FALSE))</f>
        <v>1.99</v>
      </c>
      <c r="O124" t="str">
        <f>IF(VLOOKUP($B124,[5]Google!$B$3:$I$174,[5]Google!F$1,FALSE)=F124,"Same","MISMATCH")</f>
        <v>Same</v>
      </c>
      <c r="P124" t="str">
        <f>IF(VLOOKUP($B124,[5]Google!$B$3:$I$174,[5]Google!G$1,FALSE)=G124,"Same","MISMATCH")</f>
        <v>Same</v>
      </c>
      <c r="Q124" t="str">
        <f>IF(VLOOKUP($B124,[5]Google!$B$3:$I$174,[5]Google!H$1,FALSE)=H124,"Same","MISMATCH")</f>
        <v>Same</v>
      </c>
      <c r="R124" t="str">
        <f>IF(VLOOKUP($B124,[5]Google!$B$3:$I$174,[5]Google!I$1,FALSE)=I124,"Same","MISMATCH")</f>
        <v>Same</v>
      </c>
      <c r="S124" t="str">
        <f>IF(VLOOKUP($B124,[5]Google!$B$3:$M$174,[5]Google!J$1,FALSE)=J124,"Same","MISMATCH")</f>
        <v>Same</v>
      </c>
      <c r="T124" t="str">
        <f>IF(VLOOKUP($B124,[5]Google!$B$3:$M$174,[5]Google!K$1,FALSE)=K124,"Same","MISMATCH")</f>
        <v>Same</v>
      </c>
      <c r="U124" t="str">
        <f>IF(VLOOKUP($B124,[5]Google!$B$3:$M$174,[5]Google!L$1,FALSE)=L124,"Same","MISMATCH")</f>
        <v>Same</v>
      </c>
      <c r="V124" t="str">
        <f>IF(VLOOKUP($B124,[5]Google!$B$3:$M$174,[5]Google!M$1,FALSE)=M124,"Same","MISMATCH")</f>
        <v>Same</v>
      </c>
    </row>
    <row r="125" spans="2:22">
      <c r="B125" t="s">
        <v>250</v>
      </c>
      <c r="C125" s="31" t="str">
        <f>+VLOOKUP(B125,'Country &amp; Code Abbreviation'!$B$3:$C$245,2,FALSE)</f>
        <v>QA</v>
      </c>
      <c r="D125" s="31" t="str">
        <f>+VLOOKUP(B125,'INT Web'!$B$5:$Q$248,16,FALSE)</f>
        <v>QAR</v>
      </c>
      <c r="E125" s="32" t="s">
        <v>392</v>
      </c>
      <c r="F125" s="33">
        <f>+IFERROR(IF($E125=VLOOKUP($B125,Apple!$B$3:$I$176,Apple!$E$1,FALSE),VLOOKUP(Google!$B125,Apple!$B$3:$I$176,Apple!F$1,FALSE),VLOOKUP($B125,'INT Web'!$B$5:$U$247,'INT Web'!R$1,FALSE)),MROUND(VLOOKUP($B125,'INT Web'!$B$5:$AQ$247,'INT Web'!AL$1,FALSE),1)-0.01)</f>
        <v>679.99</v>
      </c>
      <c r="G125" s="33">
        <f>+IFERROR(IF($E125=VLOOKUP($B125,Apple!$B$3:$I$176,Apple!$E$1,FALSE),VLOOKUP(Google!$B125,Apple!$B$3:$I$176,Apple!G$1,FALSE),VLOOKUP($B125,'INT Web'!$B$5:$U$247,'INT Web'!S$1,FALSE)),MROUND(VLOOKUP($B125,'INT Web'!$B$5:$AQ$247,'INT Web'!AM$1,FALSE),1)-0.01)</f>
        <v>96.99</v>
      </c>
      <c r="H125" s="33">
        <f>+IFERROR(IF($E125=VLOOKUP($B125,Apple!$B$3:$I$176,Apple!$E$1,FALSE),VLOOKUP(Google!$B125,Apple!$B$3:$I$176,Apple!H$1,FALSE),VLOOKUP($B125,'INT Web'!$B$5:$U$247,'INT Web'!T$1,FALSE)),MROUND(VLOOKUP($B125,'INT Web'!$B$5:$AQ$247,'INT Web'!AN$1,FALSE),1)-0.01)</f>
        <v>529.99</v>
      </c>
      <c r="I125" s="33">
        <f>+IFERROR(IF($E125=VLOOKUP($B125,Apple!$B$3:$I$176,Apple!$E$1,FALSE),VLOOKUP(Google!$B125,Apple!$B$3:$I$176,Apple!I$1,FALSE),VLOOKUP($B125,'INT Web'!$B$5:$U$247,'INT Web'!U$1,FALSE)),MROUND(VLOOKUP($B125,'INT Web'!$B$5:$AQ$247,'INT Web'!AO$1,FALSE),1)-0.01)</f>
        <v>74.989999999999995</v>
      </c>
      <c r="J125" s="33">
        <f>+IF($E125=VLOOKUP($B125,Apple!$B$3:$E$176,4,FALSE),VLOOKUP(Google!$B125,Apple!$B$3:$M$176,Apple!J$1,FALSE),VLOOKUP($B125,'[6]Single Game'!$B$4:$P$238,'[6]Single Game'!M$1,FALSE))</f>
        <v>24.99</v>
      </c>
      <c r="K125" s="33">
        <f>+IF($E125=VLOOKUP($B125,Apple!$B$3:$E$176,4,FALSE),VLOOKUP(Google!$B125,Apple!$B$3:$M$176,Apple!K$1,FALSE),VLOOKUP($B125,'[6]Single Game'!$B$4:$P$238,'[6]Single Game'!N$1,FALSE))</f>
        <v>20.99</v>
      </c>
      <c r="L125" s="33">
        <f>+IF($E125=VLOOKUP($B125,Apple!$B$3:$E$176,4,FALSE),VLOOKUP(Google!$B125,Apple!$B$3:$M$176,Apple!L$1,FALSE),VLOOKUP($B125,'[6]Single Game'!$B$4:$P$238,'[6]Single Game'!O$1,FALSE))</f>
        <v>14.99</v>
      </c>
      <c r="M125" s="33">
        <f>+IF($E125=VLOOKUP($B125,Apple!$B$3:$E$176,4,FALSE),VLOOKUP(Google!$B125,Apple!$B$3:$M$176,Apple!M$1,FALSE),VLOOKUP($B125,'[6]Single Game'!$B$4:$P$238,'[6]Single Game'!P$1,FALSE))</f>
        <v>10.99</v>
      </c>
      <c r="O125" t="str">
        <f>IF(VLOOKUP($B125,[5]Google!$B$3:$I$174,[5]Google!F$1,FALSE)=F125,"Same","MISMATCH")</f>
        <v>Same</v>
      </c>
      <c r="P125" t="str">
        <f>IF(VLOOKUP($B125,[5]Google!$B$3:$I$174,[5]Google!G$1,FALSE)=G125,"Same","MISMATCH")</f>
        <v>Same</v>
      </c>
      <c r="Q125" t="str">
        <f>IF(VLOOKUP($B125,[5]Google!$B$3:$I$174,[5]Google!H$1,FALSE)=H125,"Same","MISMATCH")</f>
        <v>Same</v>
      </c>
      <c r="R125" t="str">
        <f>IF(VLOOKUP($B125,[5]Google!$B$3:$I$174,[5]Google!I$1,FALSE)=I125,"Same","MISMATCH")</f>
        <v>Same</v>
      </c>
      <c r="S125" t="str">
        <f>IF(VLOOKUP($B125,[5]Google!$B$3:$M$174,[5]Google!J$1,FALSE)=J125,"Same","MISMATCH")</f>
        <v>Same</v>
      </c>
      <c r="T125" t="str">
        <f>IF(VLOOKUP($B125,[5]Google!$B$3:$M$174,[5]Google!K$1,FALSE)=K125,"Same","MISMATCH")</f>
        <v>Same</v>
      </c>
      <c r="U125" t="str">
        <f>IF(VLOOKUP($B125,[5]Google!$B$3:$M$174,[5]Google!L$1,FALSE)=L125,"Same","MISMATCH")</f>
        <v>Same</v>
      </c>
      <c r="V125" t="str">
        <f>IF(VLOOKUP($B125,[5]Google!$B$3:$M$174,[5]Google!M$1,FALSE)=M125,"Same","MISMATCH")</f>
        <v>Same</v>
      </c>
    </row>
    <row r="126" spans="2:22">
      <c r="B126" s="73" t="s">
        <v>252</v>
      </c>
      <c r="C126" s="110" t="str">
        <f>+VLOOKUP(B126,'Country &amp; Code Abbreviation'!$B$3:$C$245,2,FALSE)</f>
        <v>RO</v>
      </c>
      <c r="D126" s="31" t="str">
        <f>+VLOOKUP(B126,'INT Web'!$B$5:$Q$248,16,FALSE)</f>
        <v>RON</v>
      </c>
      <c r="E126" s="32" t="s">
        <v>393</v>
      </c>
      <c r="F126" s="109">
        <f>+IFERROR(IF($E126=VLOOKUP($B126,Apple!$B$3:$I$176,Apple!$E$1,FALSE),VLOOKUP(Google!$B126,Apple!$B$3:$I$176,Apple!F$1,FALSE),VLOOKUP($B126,'INT Web'!$B$5:$U$247,'INT Web'!R$1,FALSE)),MROUND(VLOOKUP($B126,'INT Web'!$B$5:$AQ$247,'INT Web'!AL$1,FALSE),1)-0.01)</f>
        <v>619.99</v>
      </c>
      <c r="G126" s="109">
        <f>+IFERROR(IF($E126=VLOOKUP($B126,Apple!$B$3:$I$176,Apple!$E$1,FALSE),VLOOKUP(Google!$B126,Apple!$B$3:$I$176,Apple!G$1,FALSE),VLOOKUP($B126,'INT Web'!$B$5:$U$247,'INT Web'!S$1,FALSE)),MROUND(VLOOKUP($B126,'INT Web'!$B$5:$AQ$247,'INT Web'!AM$1,FALSE),1)-0.01)</f>
        <v>92.99</v>
      </c>
      <c r="H126" s="109">
        <f>+IFERROR(IF($E126=VLOOKUP($B126,Apple!$B$3:$I$176,Apple!$E$1,FALSE),VLOOKUP(Google!$B126,Apple!$B$3:$I$176,Apple!H$1,FALSE),VLOOKUP($B126,'INT Web'!$B$5:$U$247,'INT Web'!T$1,FALSE)),MROUND(VLOOKUP($B126,'INT Web'!$B$5:$AQ$247,'INT Web'!AN$1,FALSE),1)-0.01)</f>
        <v>444.99</v>
      </c>
      <c r="I126" s="109">
        <f>+IFERROR(IF($E126=VLOOKUP($B126,Apple!$B$3:$I$176,Apple!$E$1,FALSE),VLOOKUP(Google!$B126,Apple!$B$3:$I$176,Apple!I$1,FALSE),VLOOKUP($B126,'INT Web'!$B$5:$U$247,'INT Web'!U$1,FALSE)),MROUND(VLOOKUP($B126,'INT Web'!$B$5:$AQ$247,'INT Web'!AO$1,FALSE),1)-0.01)</f>
        <v>66.989999999999995</v>
      </c>
      <c r="J126" s="109">
        <f>+IF($E126=VLOOKUP($B126,Apple!$B$3:$E$176,4,FALSE),VLOOKUP(Google!$B126,Apple!$B$3:$M$176,Apple!J$1,FALSE),VLOOKUP($B126,'[6]Single Game'!$B$4:$P$238,'[6]Single Game'!M$1,FALSE))</f>
        <v>22.99</v>
      </c>
      <c r="K126" s="109">
        <f>+IF($E126=VLOOKUP($B126,Apple!$B$3:$E$176,4,FALSE),VLOOKUP(Google!$B126,Apple!$B$3:$M$176,Apple!K$1,FALSE),VLOOKUP($B126,'[6]Single Game'!$B$4:$P$238,'[6]Single Game'!N$1,FALSE))</f>
        <v>22.99</v>
      </c>
      <c r="L126" s="109">
        <f>+IF($E126=VLOOKUP($B126,Apple!$B$3:$E$176,4,FALSE),VLOOKUP(Google!$B126,Apple!$B$3:$M$176,Apple!L$1,FALSE),VLOOKUP($B126,'[6]Single Game'!$B$4:$P$238,'[6]Single Game'!O$1,FALSE))</f>
        <v>11.99</v>
      </c>
      <c r="M126" s="109">
        <f>+IF($E126=VLOOKUP($B126,Apple!$B$3:$E$176,4,FALSE),VLOOKUP(Google!$B126,Apple!$B$3:$M$176,Apple!M$1,FALSE),VLOOKUP($B126,'[6]Single Game'!$B$4:$P$238,'[6]Single Game'!P$1,FALSE))</f>
        <v>11.99</v>
      </c>
      <c r="O126" t="str">
        <f>IF(VLOOKUP($B126,[5]Google!$B$3:$I$174,[5]Google!F$1,FALSE)=F126,"Same","MISMATCH")</f>
        <v>MISMATCH</v>
      </c>
      <c r="P126" t="str">
        <f>IF(VLOOKUP($B126,[5]Google!$B$3:$I$174,[5]Google!G$1,FALSE)=G126,"Same","MISMATCH")</f>
        <v>MISMATCH</v>
      </c>
      <c r="Q126" t="str">
        <f>IF(VLOOKUP($B126,[5]Google!$B$3:$I$174,[5]Google!H$1,FALSE)=H126,"Same","MISMATCH")</f>
        <v>MISMATCH</v>
      </c>
      <c r="R126" t="str">
        <f>IF(VLOOKUP($B126,[5]Google!$B$3:$I$174,[5]Google!I$1,FALSE)=I126,"Same","MISMATCH")</f>
        <v>MISMATCH</v>
      </c>
      <c r="S126" t="str">
        <f>IF(VLOOKUP($B126,[5]Google!$B$3:$M$174,[5]Google!J$1,FALSE)=J126,"Same","MISMATCH")</f>
        <v>MISMATCH</v>
      </c>
      <c r="T126" t="str">
        <f>IF(VLOOKUP($B126,[5]Google!$B$3:$M$174,[5]Google!K$1,FALSE)=K126,"Same","MISMATCH")</f>
        <v>MISMATCH</v>
      </c>
      <c r="U126" t="str">
        <f>IF(VLOOKUP($B126,[5]Google!$B$3:$M$174,[5]Google!L$1,FALSE)=L126,"Same","MISMATCH")</f>
        <v>MISMATCH</v>
      </c>
      <c r="V126" t="str">
        <f>IF(VLOOKUP($B126,[5]Google!$B$3:$M$174,[5]Google!M$1,FALSE)=M126,"Same","MISMATCH")</f>
        <v>MISMATCH</v>
      </c>
    </row>
    <row r="127" spans="2:22" hidden="1" outlineLevel="1">
      <c r="B127" s="73" t="s">
        <v>253</v>
      </c>
      <c r="C127" s="110" t="str">
        <f>+VLOOKUP(B127,'Country &amp; Code Abbreviation'!$B$3:$C$245,2,FALSE)</f>
        <v>RU</v>
      </c>
      <c r="D127" s="70" t="str">
        <f>+VLOOKUP(B127,'INT Web'!$B$5:$Q$248,16,FALSE)</f>
        <v>RUB</v>
      </c>
      <c r="E127" s="71" t="s">
        <v>394</v>
      </c>
      <c r="F127" s="33"/>
      <c r="G127" s="33"/>
      <c r="H127" s="33"/>
      <c r="I127" s="33"/>
      <c r="J127" s="33"/>
      <c r="K127" s="33"/>
      <c r="L127" s="33"/>
      <c r="M127" s="33"/>
      <c r="O127" t="str">
        <f>IF(VLOOKUP($B127,[5]Google!$B$3:$I$174,[5]Google!F$1,FALSE)=F127,"Same","MISMATCH")</f>
        <v>Same</v>
      </c>
      <c r="P127" t="str">
        <f>IF(VLOOKUP($B127,[5]Google!$B$3:$I$174,[5]Google!G$1,FALSE)=G127,"Same","MISMATCH")</f>
        <v>Same</v>
      </c>
      <c r="Q127" t="str">
        <f>IF(VLOOKUP($B127,[5]Google!$B$3:$I$174,[5]Google!H$1,FALSE)=H127,"Same","MISMATCH")</f>
        <v>Same</v>
      </c>
      <c r="R127" t="str">
        <f>IF(VLOOKUP($B127,[5]Google!$B$3:$I$174,[5]Google!I$1,FALSE)=I127,"Same","MISMATCH")</f>
        <v>Same</v>
      </c>
      <c r="S127" t="str">
        <f>IF(VLOOKUP($B127,[5]Google!$B$3:$M$174,[5]Google!J$1,FALSE)=J127,"Same","MISMATCH")</f>
        <v>Same</v>
      </c>
      <c r="T127" t="str">
        <f>IF(VLOOKUP($B127,[5]Google!$B$3:$M$174,[5]Google!K$1,FALSE)=K127,"Same","MISMATCH")</f>
        <v>Same</v>
      </c>
      <c r="U127" t="str">
        <f>IF(VLOOKUP($B127,[5]Google!$B$3:$M$174,[5]Google!L$1,FALSE)=L127,"Same","MISMATCH")</f>
        <v>Same</v>
      </c>
      <c r="V127" t="str">
        <f>IF(VLOOKUP($B127,[5]Google!$B$3:$M$174,[5]Google!M$1,FALSE)=M127,"Same","MISMATCH")</f>
        <v>Same</v>
      </c>
    </row>
    <row r="128" spans="2:22" collapsed="1">
      <c r="B128" t="s">
        <v>254</v>
      </c>
      <c r="C128" s="31" t="str">
        <f>+VLOOKUP(B128,'Country &amp; Code Abbreviation'!$B$3:$C$245,2,FALSE)</f>
        <v>RW</v>
      </c>
      <c r="D128" s="31" t="str">
        <f>+VLOOKUP(B128,'INT Web'!$B$5:$Q$248,16,FALSE)</f>
        <v>RWF</v>
      </c>
      <c r="E128" s="32" t="s">
        <v>346</v>
      </c>
      <c r="F128" s="33">
        <f>+IFERROR(IF($E128=VLOOKUP($B128,Apple!$B$3:$I$176,Apple!$E$1,FALSE),VLOOKUP(Google!$B128,Apple!$B$3:$I$176,Apple!F$1,FALSE),VLOOKUP($B128,'INT Web'!$B$5:$U$247,'INT Web'!R$1,FALSE)),MROUND(VLOOKUP($B128,'INT Web'!$B$5:$AQ$247,'INT Web'!AL$1,FALSE),1)-0.01)</f>
        <v>78.989999999999995</v>
      </c>
      <c r="G128" s="33">
        <f>+IFERROR(IF($E128=VLOOKUP($B128,Apple!$B$3:$I$176,Apple!$E$1,FALSE),VLOOKUP(Google!$B128,Apple!$B$3:$I$176,Apple!G$1,FALSE),VLOOKUP($B128,'INT Web'!$B$5:$U$247,'INT Web'!S$1,FALSE)),MROUND(VLOOKUP($B128,'INT Web'!$B$5:$AQ$247,'INT Web'!AM$1,FALSE),1)-0.01)</f>
        <v>12.99</v>
      </c>
      <c r="H128" s="33">
        <f>+IFERROR(IF($E128=VLOOKUP($B128,Apple!$B$3:$I$176,Apple!$E$1,FALSE),VLOOKUP(Google!$B128,Apple!$B$3:$I$176,Apple!H$1,FALSE),VLOOKUP($B128,'INT Web'!$B$5:$U$247,'INT Web'!T$1,FALSE)),MROUND(VLOOKUP($B128,'INT Web'!$B$5:$AQ$247,'INT Web'!AN$1,FALSE),1)-0.01)</f>
        <v>58.99</v>
      </c>
      <c r="I128" s="33">
        <f>+IFERROR(IF($E128=VLOOKUP($B128,Apple!$B$3:$I$176,Apple!$E$1,FALSE),VLOOKUP(Google!$B128,Apple!$B$3:$I$176,Apple!I$1,FALSE),VLOOKUP($B128,'INT Web'!$B$5:$U$247,'INT Web'!U$1,FALSE)),MROUND(VLOOKUP($B128,'INT Web'!$B$5:$AQ$247,'INT Web'!AO$1,FALSE),1)-0.01)</f>
        <v>9.99</v>
      </c>
      <c r="J128" s="33">
        <f>+IF($E128=VLOOKUP($B128,Apple!$B$3:$E$176,4,FALSE),VLOOKUP(Google!$B128,Apple!$B$3:$M$176,Apple!J$1,FALSE),VLOOKUP($B128,'[6]Single Game'!$B$4:$P$238,'[6]Single Game'!M$1,FALSE))</f>
        <v>3.99</v>
      </c>
      <c r="K128" s="33">
        <f>+IF($E128=VLOOKUP($B128,Apple!$B$3:$E$176,4,FALSE),VLOOKUP(Google!$B128,Apple!$B$3:$M$176,Apple!K$1,FALSE),VLOOKUP($B128,'[6]Single Game'!$B$4:$P$238,'[6]Single Game'!N$1,FALSE))</f>
        <v>2.99</v>
      </c>
      <c r="L128" s="33">
        <f>+IF($E128=VLOOKUP($B128,Apple!$B$3:$E$176,4,FALSE),VLOOKUP(Google!$B128,Apple!$B$3:$M$176,Apple!L$1,FALSE),VLOOKUP($B128,'[6]Single Game'!$B$4:$P$238,'[6]Single Game'!O$1,FALSE))</f>
        <v>1.99</v>
      </c>
      <c r="M128" s="33">
        <f>+IF($E128=VLOOKUP($B128,Apple!$B$3:$E$176,4,FALSE),VLOOKUP(Google!$B128,Apple!$B$3:$M$176,Apple!M$1,FALSE),VLOOKUP($B128,'[6]Single Game'!$B$4:$P$238,'[6]Single Game'!P$1,FALSE))</f>
        <v>0.99</v>
      </c>
      <c r="O128" t="str">
        <f>IF(VLOOKUP($B128,[5]Google!$B$3:$I$174,[5]Google!F$1,FALSE)=F128,"Same","MISMATCH")</f>
        <v>Same</v>
      </c>
      <c r="P128" t="str">
        <f>IF(VLOOKUP($B128,[5]Google!$B$3:$I$174,[5]Google!G$1,FALSE)=G128,"Same","MISMATCH")</f>
        <v>Same</v>
      </c>
      <c r="Q128" t="str">
        <f>IF(VLOOKUP($B128,[5]Google!$B$3:$I$174,[5]Google!H$1,FALSE)=H128,"Same","MISMATCH")</f>
        <v>Same</v>
      </c>
      <c r="R128" t="str">
        <f>IF(VLOOKUP($B128,[5]Google!$B$3:$I$174,[5]Google!I$1,FALSE)=I128,"Same","MISMATCH")</f>
        <v>Same</v>
      </c>
      <c r="S128" t="str">
        <f>IF(VLOOKUP($B128,[5]Google!$B$3:$M$174,[5]Google!J$1,FALSE)=J128,"Same","MISMATCH")</f>
        <v>Same</v>
      </c>
      <c r="T128" t="str">
        <f>IF(VLOOKUP($B128,[5]Google!$B$3:$M$174,[5]Google!K$1,FALSE)=K128,"Same","MISMATCH")</f>
        <v>Same</v>
      </c>
      <c r="U128" t="str">
        <f>IF(VLOOKUP($B128,[5]Google!$B$3:$M$174,[5]Google!L$1,FALSE)=L128,"Same","MISMATCH")</f>
        <v>Same</v>
      </c>
      <c r="V128" t="str">
        <f>IF(VLOOKUP($B128,[5]Google!$B$3:$M$174,[5]Google!M$1,FALSE)=M128,"Same","MISMATCH")</f>
        <v>Same</v>
      </c>
    </row>
    <row r="129" spans="2:22">
      <c r="B129" t="s">
        <v>256</v>
      </c>
      <c r="C129" s="31" t="str">
        <f>+VLOOKUP(B129,'Country &amp; Code Abbreviation'!$B$3:$C$245,2,FALSE)</f>
        <v>WS</v>
      </c>
      <c r="D129" s="31" t="str">
        <f>+VLOOKUP(B129,'INT Web'!$B$5:$Q$248,16,FALSE)</f>
        <v>WST</v>
      </c>
      <c r="E129" s="32" t="s">
        <v>346</v>
      </c>
      <c r="F129" s="34">
        <v>59.99</v>
      </c>
      <c r="G129" s="33">
        <f>+IFERROR(IF($E129=VLOOKUP($B129,Apple!$B$3:$I$176,Apple!$E$1,FALSE),VLOOKUP(Google!$B129,Apple!$B$3:$I$176,Apple!G$1,FALSE),VLOOKUP($B129,'INT Web'!$B$5:$U$247,'INT Web'!S$1,FALSE)),MROUND(VLOOKUP($B129,'INT Web'!$B$5:$AQ$247,'INT Web'!AM$1,FALSE),1)-0.01)</f>
        <v>9.99</v>
      </c>
      <c r="H129" s="33">
        <f>+IFERROR(IF($E129=VLOOKUP($B129,Apple!$B$3:$I$176,Apple!$E$1,FALSE),VLOOKUP(Google!$B129,Apple!$B$3:$I$176,Apple!H$1,FALSE),VLOOKUP($B129,'INT Web'!$B$5:$U$247,'INT Web'!T$1,FALSE)),MROUND(VLOOKUP($B129,'INT Web'!$B$5:$AQ$247,'INT Web'!AN$1,FALSE),1)-0.01)</f>
        <v>43.99</v>
      </c>
      <c r="I129" s="33">
        <f>+IFERROR(IF($E129=VLOOKUP($B129,Apple!$B$3:$I$176,Apple!$E$1,FALSE),VLOOKUP(Google!$B129,Apple!$B$3:$I$176,Apple!I$1,FALSE),VLOOKUP($B129,'INT Web'!$B$5:$U$247,'INT Web'!U$1,FALSE)),MROUND(VLOOKUP($B129,'INT Web'!$B$5:$AQ$247,'INT Web'!AO$1,FALSE),1)-0.01)</f>
        <v>6.99</v>
      </c>
      <c r="J129" s="72">
        <f>+MROUND(VLOOKUP($B129,'[6]Single Game'!$B$4:$U$238,'[6]Single Game'!R$1,FALSE),1)-0.01</f>
        <v>2.99</v>
      </c>
      <c r="K129" s="72">
        <f>+MROUND(VLOOKUP($B129,'[6]Single Game'!$B$4:$U$238,'[6]Single Game'!S$1,FALSE),1)-0.01</f>
        <v>2.99</v>
      </c>
      <c r="L129" s="72">
        <f>+MROUND(VLOOKUP($B129,'[6]Single Game'!$B$4:$U$238,'[6]Single Game'!T$1,FALSE),1)-0.01</f>
        <v>0.99</v>
      </c>
      <c r="M129" s="72">
        <f>+MROUND(VLOOKUP($B129,'[6]Single Game'!$B$4:$U$238,'[6]Single Game'!U$1,FALSE),1)-0.01</f>
        <v>0.99</v>
      </c>
      <c r="O129" t="str">
        <f>IF(VLOOKUP($B129,[5]Google!$B$3:$I$174,[5]Google!F$1,FALSE)=F129,"Same","MISMATCH")</f>
        <v>Same</v>
      </c>
      <c r="P129" t="str">
        <f>IF(VLOOKUP($B129,[5]Google!$B$3:$I$174,[5]Google!G$1,FALSE)=G129,"Same","MISMATCH")</f>
        <v>Same</v>
      </c>
      <c r="Q129" t="str">
        <f>IF(VLOOKUP($B129,[5]Google!$B$3:$I$174,[5]Google!H$1,FALSE)=H129,"Same","MISMATCH")</f>
        <v>Same</v>
      </c>
      <c r="R129" t="str">
        <f>IF(VLOOKUP($B129,[5]Google!$B$3:$I$174,[5]Google!I$1,FALSE)=I129,"Same","MISMATCH")</f>
        <v>Same</v>
      </c>
      <c r="S129" t="str">
        <f>IF(VLOOKUP($B129,[5]Google!$B$3:$M$174,[5]Google!J$1,FALSE)=J129,"Same","MISMATCH")</f>
        <v>Same</v>
      </c>
      <c r="T129" t="str">
        <f>IF(VLOOKUP($B129,[5]Google!$B$3:$M$174,[5]Google!K$1,FALSE)=K129,"Same","MISMATCH")</f>
        <v>Same</v>
      </c>
      <c r="U129" t="str">
        <f>IF(VLOOKUP($B129,[5]Google!$B$3:$M$174,[5]Google!L$1,FALSE)=L129,"Same","MISMATCH")</f>
        <v>Same</v>
      </c>
      <c r="V129" t="str">
        <f>IF(VLOOKUP($B129,[5]Google!$B$3:$M$174,[5]Google!M$1,FALSE)=M129,"Same","MISMATCH")</f>
        <v>Same</v>
      </c>
    </row>
    <row r="130" spans="2:22">
      <c r="B130" t="s">
        <v>257</v>
      </c>
      <c r="C130" s="31" t="str">
        <f>+VLOOKUP(B130,'Country &amp; Code Abbreviation'!$B$3:$C$245,2,FALSE)</f>
        <v>SM</v>
      </c>
      <c r="D130" s="31" t="str">
        <f>+VLOOKUP(B130,'INT Web'!$B$5:$Q$248,16,FALSE)</f>
        <v>EUR</v>
      </c>
      <c r="E130" s="32" t="s">
        <v>368</v>
      </c>
      <c r="F130" s="150">
        <f>+VLOOKUP($B130,'INT Web'!$B$5:$U$247,'INT Web'!R$1,FALSE)</f>
        <v>159.99</v>
      </c>
      <c r="G130" s="150">
        <f>+VLOOKUP($B130,'INT Web'!$B$5:$U$247,'INT Web'!S$1,FALSE)</f>
        <v>22.99</v>
      </c>
      <c r="H130" s="150">
        <f>+VLOOKUP($B130,'INT Web'!$B$5:$U$247,'INT Web'!T$1,FALSE)</f>
        <v>109.99</v>
      </c>
      <c r="I130" s="150">
        <f>+VLOOKUP($B130,'INT Web'!$B$5:$U$247,'INT Web'!U$1,FALSE)</f>
        <v>17.989999999999998</v>
      </c>
      <c r="J130" s="72">
        <f>+VLOOKUP($B130,'[6]Single Game'!$B$4:$P$238,'[6]Single Game'!M$1,FALSE)</f>
        <v>5.99</v>
      </c>
      <c r="K130" s="72">
        <f>+VLOOKUP($B130,'[6]Single Game'!$B$4:$P$238,'[6]Single Game'!N$1,FALSE)</f>
        <v>4.99</v>
      </c>
      <c r="L130" s="72">
        <f>+VLOOKUP($B130,'[6]Single Game'!$B$4:$P$238,'[6]Single Game'!O$1,FALSE)</f>
        <v>3.99</v>
      </c>
      <c r="M130" s="72">
        <f>+VLOOKUP($B130,'[6]Single Game'!$B$4:$P$238,'[6]Single Game'!P$1,FALSE)</f>
        <v>2.99</v>
      </c>
      <c r="O130" t="str">
        <f>IF(VLOOKUP($B130,[5]Google!$B$3:$I$174,[5]Google!F$1,FALSE)=F130,"Same","MISMATCH")</f>
        <v>Same</v>
      </c>
      <c r="P130" t="str">
        <f>IF(VLOOKUP($B130,[5]Google!$B$3:$I$174,[5]Google!G$1,FALSE)=G130,"Same","MISMATCH")</f>
        <v>Same</v>
      </c>
      <c r="Q130" t="str">
        <f>IF(VLOOKUP($B130,[5]Google!$B$3:$I$174,[5]Google!H$1,FALSE)=H130,"Same","MISMATCH")</f>
        <v>Same</v>
      </c>
      <c r="R130" t="str">
        <f>IF(VLOOKUP($B130,[5]Google!$B$3:$I$174,[5]Google!I$1,FALSE)=I130,"Same","MISMATCH")</f>
        <v>Same</v>
      </c>
      <c r="S130" t="str">
        <f>IF(VLOOKUP($B130,[5]Google!$B$3:$M$174,[5]Google!J$1,FALSE)=J130,"Same","MISMATCH")</f>
        <v>Same</v>
      </c>
      <c r="T130" t="str">
        <f>IF(VLOOKUP($B130,[5]Google!$B$3:$M$174,[5]Google!K$1,FALSE)=K130,"Same","MISMATCH")</f>
        <v>Same</v>
      </c>
      <c r="U130" t="str">
        <f>IF(VLOOKUP($B130,[5]Google!$B$3:$M$174,[5]Google!L$1,FALSE)=L130,"Same","MISMATCH")</f>
        <v>Same</v>
      </c>
      <c r="V130" t="str">
        <f>IF(VLOOKUP($B130,[5]Google!$B$3:$M$174,[5]Google!M$1,FALSE)=M130,"Same","MISMATCH")</f>
        <v>Same</v>
      </c>
    </row>
    <row r="131" spans="2:22">
      <c r="B131" t="s">
        <v>259</v>
      </c>
      <c r="C131" s="31" t="str">
        <f>+VLOOKUP(B131,'Country &amp; Code Abbreviation'!$B$3:$C$245,2,FALSE)</f>
        <v>SA</v>
      </c>
      <c r="D131" s="31" t="str">
        <f>+VLOOKUP(B131,'INT Web'!$B$5:$Q$248,16,FALSE)</f>
        <v>SAR</v>
      </c>
      <c r="E131" s="32" t="s">
        <v>395</v>
      </c>
      <c r="F131" s="33">
        <f>+IFERROR(IF($E131=VLOOKUP($B131,Apple!$B$3:$I$176,Apple!$E$1,FALSE),VLOOKUP(Google!$B131,Apple!$B$3:$I$176,Apple!F$1,FALSE),VLOOKUP($B131,'INT Web'!$B$5:$U$247,'INT Web'!R$1,FALSE)),MROUND(VLOOKUP($B131,'INT Web'!$B$5:$AQ$247,'INT Web'!AL$1,FALSE),1)-0.01)</f>
        <v>529.99</v>
      </c>
      <c r="G131" s="33">
        <f>+IFERROR(IF($E131=VLOOKUP($B131,Apple!$B$3:$I$176,Apple!$E$1,FALSE),VLOOKUP(Google!$B131,Apple!$B$3:$I$176,Apple!G$1,FALSE),VLOOKUP($B131,'INT Web'!$B$5:$U$247,'INT Web'!S$1,FALSE)),MROUND(VLOOKUP($B131,'INT Web'!$B$5:$AQ$247,'INT Web'!AM$1,FALSE),1)-0.01)</f>
        <v>84.99</v>
      </c>
      <c r="H131" s="33">
        <f>+IFERROR(IF($E131=VLOOKUP($B131,Apple!$B$3:$I$176,Apple!$E$1,FALSE),VLOOKUP(Google!$B131,Apple!$B$3:$I$176,Apple!H$1,FALSE),VLOOKUP($B131,'INT Web'!$B$5:$U$247,'INT Web'!T$1,FALSE)),MROUND(VLOOKUP($B131,'INT Web'!$B$5:$AQ$247,'INT Web'!AN$1,FALSE),1)-0.01)</f>
        <v>384.99</v>
      </c>
      <c r="I131" s="33">
        <f>+IFERROR(IF($E131=VLOOKUP($B131,Apple!$B$3:$I$176,Apple!$E$1,FALSE),VLOOKUP(Google!$B131,Apple!$B$3:$I$176,Apple!I$1,FALSE),VLOOKUP($B131,'INT Web'!$B$5:$U$247,'INT Web'!U$1,FALSE)),MROUND(VLOOKUP($B131,'INT Web'!$B$5:$AQ$247,'INT Web'!AO$1,FALSE),1)-0.01)</f>
        <v>61.99</v>
      </c>
      <c r="J131" s="33">
        <f>+IF($E131=VLOOKUP($B131,Apple!$B$3:$E$176,4,FALSE),VLOOKUP(Google!$B131,Apple!$B$3:$M$176,Apple!J$1,FALSE),VLOOKUP($B131,'[6]Single Game'!$B$4:$P$238,'[6]Single Game'!M$1,FALSE))</f>
        <v>22.99</v>
      </c>
      <c r="K131" s="33">
        <f>+IF($E131=VLOOKUP($B131,Apple!$B$3:$E$176,4,FALSE),VLOOKUP(Google!$B131,Apple!$B$3:$M$176,Apple!K$1,FALSE),VLOOKUP($B131,'[6]Single Game'!$B$4:$P$238,'[6]Single Game'!N$1,FALSE))</f>
        <v>17.989999999999998</v>
      </c>
      <c r="L131" s="33">
        <f>+IF($E131=VLOOKUP($B131,Apple!$B$3:$E$176,4,FALSE),VLOOKUP(Google!$B131,Apple!$B$3:$M$176,Apple!L$1,FALSE),VLOOKUP($B131,'[6]Single Game'!$B$4:$P$238,'[6]Single Game'!O$1,FALSE))</f>
        <v>12.989999999999998</v>
      </c>
      <c r="M131" s="33">
        <f>+IF($E131=VLOOKUP($B131,Apple!$B$3:$E$176,4,FALSE),VLOOKUP(Google!$B131,Apple!$B$3:$M$176,Apple!M$1,FALSE),VLOOKUP($B131,'[6]Single Game'!$B$4:$P$238,'[6]Single Game'!P$1,FALSE))</f>
        <v>7.9899999999999984</v>
      </c>
      <c r="O131" t="str">
        <f>IF(VLOOKUP($B131,[5]Google!$B$3:$I$174,[5]Google!F$1,FALSE)=F131,"Same","MISMATCH")</f>
        <v>Same</v>
      </c>
      <c r="P131" t="str">
        <f>IF(VLOOKUP($B131,[5]Google!$B$3:$I$174,[5]Google!G$1,FALSE)=G131,"Same","MISMATCH")</f>
        <v>Same</v>
      </c>
      <c r="Q131" t="str">
        <f>IF(VLOOKUP($B131,[5]Google!$B$3:$I$174,[5]Google!H$1,FALSE)=H131,"Same","MISMATCH")</f>
        <v>Same</v>
      </c>
      <c r="R131" t="str">
        <f>IF(VLOOKUP($B131,[5]Google!$B$3:$I$174,[5]Google!I$1,FALSE)=I131,"Same","MISMATCH")</f>
        <v>Same</v>
      </c>
      <c r="S131" t="str">
        <f>IF(VLOOKUP($B131,[5]Google!$B$3:$M$174,[5]Google!J$1,FALSE)=J131,"Same","MISMATCH")</f>
        <v>Same</v>
      </c>
      <c r="T131" t="str">
        <f>IF(VLOOKUP($B131,[5]Google!$B$3:$M$174,[5]Google!K$1,FALSE)=K131,"Same","MISMATCH")</f>
        <v>Same</v>
      </c>
      <c r="U131" t="str">
        <f>IF(VLOOKUP($B131,[5]Google!$B$3:$M$174,[5]Google!L$1,FALSE)=L131,"Same","MISMATCH")</f>
        <v>Same</v>
      </c>
      <c r="V131" t="str">
        <f>IF(VLOOKUP($B131,[5]Google!$B$3:$M$174,[5]Google!M$1,FALSE)=M131,"Same","MISMATCH")</f>
        <v>Same</v>
      </c>
    </row>
    <row r="132" spans="2:22">
      <c r="B132" s="73" t="s">
        <v>260</v>
      </c>
      <c r="C132" s="110" t="str">
        <f>+VLOOKUP(B132,'Country &amp; Code Abbreviation'!$B$3:$C$245,2,FALSE)</f>
        <v>SN</v>
      </c>
      <c r="D132" s="31" t="str">
        <f>+VLOOKUP(B132,'INT Web'!$B$5:$Q$248,16,FALSE)</f>
        <v>XOF</v>
      </c>
      <c r="E132" s="32" t="s">
        <v>418</v>
      </c>
      <c r="F132" s="123">
        <f>+MROUND([5]Google!F132*1.4,10)</f>
        <v>20410</v>
      </c>
      <c r="G132" s="33">
        <f>+IFERROR(IF($E132=VLOOKUP($B132,Apple!$B$3:$I$176,Apple!$E$1,FALSE),VLOOKUP(Google!$B132,Apple!$B$3:$I$176,Apple!G$1,FALSE),VLOOKUP($B132,'INT Web'!$B$5:$U$247,'INT Web'!S$1,FALSE)),MROUND(VLOOKUP($B132,'INT Web'!$B$5:$AQ$247,'INT Web'!AM$1,FALSE),1)-0.01)</f>
        <v>7290</v>
      </c>
      <c r="H132" s="123">
        <f>+MROUND([5]Google!H132*1.4,10)</f>
        <v>15120</v>
      </c>
      <c r="I132" s="33">
        <f>+IFERROR(IF($E132=VLOOKUP($B132,Apple!$B$3:$I$176,Apple!$E$1,FALSE),VLOOKUP(Google!$B132,Apple!$B$3:$I$176,Apple!I$1,FALSE),VLOOKUP($B132,'INT Web'!$B$5:$U$247,'INT Web'!U$1,FALSE)),MROUND(VLOOKUP($B132,'INT Web'!$B$5:$AQ$247,'INT Web'!AO$1,FALSE),1)-0.01)</f>
        <v>5400</v>
      </c>
      <c r="J132" s="33">
        <f>+IF($E132=VLOOKUP($B132,Apple!$B$3:$E$176,4,FALSE),VLOOKUP(Google!$B132,Apple!$B$3:$M$176,Apple!J$1,FALSE),VLOOKUP($B132,'[6]Single Game'!$B$4:$P$238,'[6]Single Game'!M$1,FALSE))</f>
        <v>2000</v>
      </c>
      <c r="K132" s="109">
        <f>+IF($E132=VLOOKUP($B132,Apple!$B$3:$E$176,4,FALSE),VLOOKUP(Google!$B132,Apple!$B$3:$M$176,Apple!K$1,FALSE),VLOOKUP($B132,'[6]Single Game'!$B$4:$P$238,'[6]Single Game'!N$1,FALSE))</f>
        <v>1600</v>
      </c>
      <c r="L132" s="109">
        <f>+IF($E132=VLOOKUP($B132,Apple!$B$3:$E$176,4,FALSE),VLOOKUP(Google!$B132,Apple!$B$3:$M$176,Apple!L$1,FALSE),VLOOKUP($B132,'[6]Single Game'!$B$4:$P$238,'[6]Single Game'!O$1,FALSE))</f>
        <v>1200</v>
      </c>
      <c r="M132" s="109">
        <f>+IF($E132=VLOOKUP($B132,Apple!$B$3:$E$176,4,FALSE),VLOOKUP(Google!$B132,Apple!$B$3:$M$176,Apple!M$1,FALSE),VLOOKUP($B132,'[6]Single Game'!$B$4:$P$238,'[6]Single Game'!P$1,FALSE))</f>
        <v>800</v>
      </c>
      <c r="O132" t="str">
        <f>IF(VLOOKUP($B132,[5]Google!$B$3:$I$174,[5]Google!F$1,FALSE)=F132,"Same","MISMATCH")</f>
        <v>MISMATCH</v>
      </c>
      <c r="P132" t="str">
        <f>IF(VLOOKUP($B132,[5]Google!$B$3:$I$174,[5]Google!G$1,FALSE)=G132,"Same","MISMATCH")</f>
        <v>Same</v>
      </c>
      <c r="Q132" t="str">
        <f>IF(VLOOKUP($B132,[5]Google!$B$3:$I$174,[5]Google!H$1,FALSE)=H132,"Same","MISMATCH")</f>
        <v>MISMATCH</v>
      </c>
      <c r="R132" t="str">
        <f>IF(VLOOKUP($B132,[5]Google!$B$3:$I$174,[5]Google!I$1,FALSE)=I132,"Same","MISMATCH")</f>
        <v>Same</v>
      </c>
      <c r="S132" t="str">
        <f>IF(VLOOKUP($B132,[5]Google!$B$3:$M$174,[5]Google!J$1,FALSE)=J132,"Same","MISMATCH")</f>
        <v>Same</v>
      </c>
      <c r="T132" t="str">
        <f>IF(VLOOKUP($B132,[5]Google!$B$3:$M$174,[5]Google!K$1,FALSE)=K132,"Same","MISMATCH")</f>
        <v>MISMATCH</v>
      </c>
      <c r="U132" t="str">
        <f>IF(VLOOKUP($B132,[5]Google!$B$3:$M$174,[5]Google!L$1,FALSE)=L132,"Same","MISMATCH")</f>
        <v>MISMATCH</v>
      </c>
      <c r="V132" t="str">
        <f>IF(VLOOKUP($B132,[5]Google!$B$3:$M$174,[5]Google!M$1,FALSE)=M132,"Same","MISMATCH")</f>
        <v>MISMATCH</v>
      </c>
    </row>
    <row r="133" spans="2:22">
      <c r="B133" t="s">
        <v>261</v>
      </c>
      <c r="C133" s="31" t="str">
        <f>+VLOOKUP(B133,'Country &amp; Code Abbreviation'!$B$3:$C$245,2,FALSE)</f>
        <v>RS</v>
      </c>
      <c r="D133" s="31" t="str">
        <f>+VLOOKUP(B133,'INT Web'!$B$5:$Q$248,16,FALSE)</f>
        <v>RSD</v>
      </c>
      <c r="E133" s="32" t="s">
        <v>428</v>
      </c>
      <c r="F133" s="150">
        <f>+VLOOKUP($B133,'INT Web'!$B$5:$U$247,'INT Web'!R$1,FALSE)</f>
        <v>10309.99</v>
      </c>
      <c r="G133" s="150">
        <f>+VLOOKUP($B133,'INT Web'!$B$5:$U$247,'INT Web'!S$1,FALSE)</f>
        <v>1649.99</v>
      </c>
      <c r="H133" s="150">
        <f>+VLOOKUP($B133,'INT Web'!$B$5:$U$247,'INT Web'!T$1,FALSE)</f>
        <v>7499.99</v>
      </c>
      <c r="I133" s="150">
        <f>+VLOOKUP($B133,'INT Web'!$B$5:$U$247,'INT Web'!U$1,FALSE)</f>
        <v>1199.99</v>
      </c>
      <c r="J133" s="33">
        <f>+IF($E133=VLOOKUP($B133,Apple!$B$3:$E$176,4,FALSE),VLOOKUP(Google!$B133,Apple!$B$3:$M$176,Apple!J$1,FALSE),VLOOKUP($B133,'[6]Single Game'!$B$4:$P$238,'[6]Single Game'!M$1,FALSE))</f>
        <v>419.99</v>
      </c>
      <c r="K133" s="33">
        <f>+IF($E133=VLOOKUP($B133,Apple!$B$3:$E$176,4,FALSE),VLOOKUP(Google!$B133,Apple!$B$3:$M$176,Apple!K$1,FALSE),VLOOKUP($B133,'[6]Single Game'!$B$4:$P$238,'[6]Single Game'!N$1,FALSE))</f>
        <v>349.99</v>
      </c>
      <c r="L133" s="33">
        <f>+IF($E133=VLOOKUP($B133,Apple!$B$3:$E$176,4,FALSE),VLOOKUP(Google!$B133,Apple!$B$3:$M$176,Apple!L$1,FALSE),VLOOKUP($B133,'[6]Single Game'!$B$4:$P$238,'[6]Single Game'!O$1,FALSE))</f>
        <v>279.99</v>
      </c>
      <c r="M133" s="33">
        <f>+IF($E133=VLOOKUP($B133,Apple!$B$3:$E$176,4,FALSE),VLOOKUP(Google!$B133,Apple!$B$3:$M$176,Apple!M$1,FALSE),VLOOKUP($B133,'[6]Single Game'!$B$4:$P$238,'[6]Single Game'!P$1,FALSE))</f>
        <v>209.99</v>
      </c>
      <c r="O133" t="str">
        <f>IF(VLOOKUP($B133,[5]Google!$B$3:$I$174,[5]Google!F$1,FALSE)=F133,"Same","MISMATCH")</f>
        <v>Same</v>
      </c>
      <c r="P133" t="str">
        <f>IF(VLOOKUP($B133,[5]Google!$B$3:$I$174,[5]Google!G$1,FALSE)=G133,"Same","MISMATCH")</f>
        <v>Same</v>
      </c>
      <c r="Q133" t="str">
        <f>IF(VLOOKUP($B133,[5]Google!$B$3:$I$174,[5]Google!H$1,FALSE)=H133,"Same","MISMATCH")</f>
        <v>Same</v>
      </c>
      <c r="R133" t="str">
        <f>IF(VLOOKUP($B133,[5]Google!$B$3:$I$174,[5]Google!I$1,FALSE)=I133,"Same","MISMATCH")</f>
        <v>Same</v>
      </c>
      <c r="S133" t="str">
        <f>IF(VLOOKUP($B133,[5]Google!$B$3:$M$174,[5]Google!J$1,FALSE)=J133,"Same","MISMATCH")</f>
        <v>Same</v>
      </c>
      <c r="T133" t="str">
        <f>IF(VLOOKUP($B133,[5]Google!$B$3:$M$174,[5]Google!K$1,FALSE)=K133,"Same","MISMATCH")</f>
        <v>Same</v>
      </c>
      <c r="U133" t="str">
        <f>IF(VLOOKUP($B133,[5]Google!$B$3:$M$174,[5]Google!L$1,FALSE)=L133,"Same","MISMATCH")</f>
        <v>Same</v>
      </c>
      <c r="V133" t="str">
        <f>IF(VLOOKUP($B133,[5]Google!$B$3:$M$174,[5]Google!M$1,FALSE)=M133,"Same","MISMATCH")</f>
        <v>Same</v>
      </c>
    </row>
    <row r="134" spans="2:22">
      <c r="B134" t="s">
        <v>262</v>
      </c>
      <c r="C134" s="31" t="str">
        <f>+VLOOKUP(B134,'Country &amp; Code Abbreviation'!$B$3:$C$245,2,FALSE)</f>
        <v>SC</v>
      </c>
      <c r="D134" s="31" t="str">
        <f>+VLOOKUP(B134,'INT Web'!$B$5:$Q$248,16,FALSE)</f>
        <v>SCR</v>
      </c>
      <c r="E134" s="32" t="s">
        <v>346</v>
      </c>
      <c r="F134" s="33">
        <f>+IFERROR(IF($E134=VLOOKUP($B134,Apple!$B$3:$I$176,Apple!$E$1,FALSE),VLOOKUP(Google!$B134,Apple!$B$3:$I$176,Apple!F$1,FALSE),VLOOKUP($B134,'INT Web'!$B$5:$U$247,'INT Web'!R$1,FALSE)),MROUND(VLOOKUP($B134,'INT Web'!$B$5:$AQ$247,'INT Web'!AL$1,FALSE),1)-0.01)</f>
        <v>57.99</v>
      </c>
      <c r="G134" s="33">
        <f>+IFERROR(IF($E134=VLOOKUP($B134,Apple!$B$3:$I$176,Apple!$E$1,FALSE),VLOOKUP(Google!$B134,Apple!$B$3:$I$176,Apple!G$1,FALSE),VLOOKUP($B134,'INT Web'!$B$5:$U$247,'INT Web'!S$1,FALSE)),MROUND(VLOOKUP($B134,'INT Web'!$B$5:$AQ$247,'INT Web'!AM$1,FALSE),1)-0.01)</f>
        <v>9.99</v>
      </c>
      <c r="H134" s="33">
        <f>+IFERROR(IF($E134=VLOOKUP($B134,Apple!$B$3:$I$176,Apple!$E$1,FALSE),VLOOKUP(Google!$B134,Apple!$B$3:$I$176,Apple!H$1,FALSE),VLOOKUP($B134,'INT Web'!$B$5:$U$247,'INT Web'!T$1,FALSE)),MROUND(VLOOKUP($B134,'INT Web'!$B$5:$AQ$247,'INT Web'!AN$1,FALSE),1)-0.01)</f>
        <v>42.99</v>
      </c>
      <c r="I134" s="33">
        <f>+IFERROR(IF($E134=VLOOKUP($B134,Apple!$B$3:$I$176,Apple!$E$1,FALSE),VLOOKUP(Google!$B134,Apple!$B$3:$I$176,Apple!I$1,FALSE),VLOOKUP($B134,'INT Web'!$B$5:$U$247,'INT Web'!U$1,FALSE)),MROUND(VLOOKUP($B134,'INT Web'!$B$5:$AQ$247,'INT Web'!AO$1,FALSE),1)-0.01)</f>
        <v>6.99</v>
      </c>
      <c r="J134" s="33">
        <f>+IF($E134=VLOOKUP($B134,Apple!$B$3:$E$176,4,FALSE),VLOOKUP(Google!$B134,Apple!$B$3:$M$176,Apple!J$1,FALSE),VLOOKUP($B134,'[6]Single Game'!$B$4:$P$238,'[6]Single Game'!M$1,FALSE))</f>
        <v>2.99</v>
      </c>
      <c r="K134" s="33">
        <f>+IF($E134=VLOOKUP($B134,Apple!$B$3:$E$176,4,FALSE),VLOOKUP(Google!$B134,Apple!$B$3:$M$176,Apple!K$1,FALSE),VLOOKUP($B134,'[6]Single Game'!$B$4:$P$238,'[6]Single Game'!N$1,FALSE))</f>
        <v>2.99</v>
      </c>
      <c r="L134" s="33">
        <f>+IF($E134=VLOOKUP($B134,Apple!$B$3:$E$176,4,FALSE),VLOOKUP(Google!$B134,Apple!$B$3:$M$176,Apple!L$1,FALSE),VLOOKUP($B134,'[6]Single Game'!$B$4:$P$238,'[6]Single Game'!O$1,FALSE))</f>
        <v>1.99</v>
      </c>
      <c r="M134" s="33">
        <f>+IF($E134=VLOOKUP($B134,Apple!$B$3:$E$176,4,FALSE),VLOOKUP(Google!$B134,Apple!$B$3:$M$176,Apple!M$1,FALSE),VLOOKUP($B134,'[6]Single Game'!$B$4:$P$238,'[6]Single Game'!P$1,FALSE))</f>
        <v>1.99</v>
      </c>
      <c r="O134" t="str">
        <f>IF(VLOOKUP($B134,[5]Google!$B$3:$I$174,[5]Google!F$1,FALSE)=F134,"Same","MISMATCH")</f>
        <v>Same</v>
      </c>
      <c r="P134" t="str">
        <f>IF(VLOOKUP($B134,[5]Google!$B$3:$I$174,[5]Google!G$1,FALSE)=G134,"Same","MISMATCH")</f>
        <v>Same</v>
      </c>
      <c r="Q134" t="str">
        <f>IF(VLOOKUP($B134,[5]Google!$B$3:$I$174,[5]Google!H$1,FALSE)=H134,"Same","MISMATCH")</f>
        <v>Same</v>
      </c>
      <c r="R134" t="str">
        <f>IF(VLOOKUP($B134,[5]Google!$B$3:$I$174,[5]Google!I$1,FALSE)=I134,"Same","MISMATCH")</f>
        <v>Same</v>
      </c>
      <c r="S134" t="str">
        <f>IF(VLOOKUP($B134,[5]Google!$B$3:$M$174,[5]Google!J$1,FALSE)=J134,"Same","MISMATCH")</f>
        <v>Same</v>
      </c>
      <c r="T134" t="str">
        <f>IF(VLOOKUP($B134,[5]Google!$B$3:$M$174,[5]Google!K$1,FALSE)=K134,"Same","MISMATCH")</f>
        <v>Same</v>
      </c>
      <c r="U134" t="str">
        <f>IF(VLOOKUP($B134,[5]Google!$B$3:$M$174,[5]Google!L$1,FALSE)=L134,"Same","MISMATCH")</f>
        <v>Same</v>
      </c>
      <c r="V134" t="str">
        <f>IF(VLOOKUP($B134,[5]Google!$B$3:$M$174,[5]Google!M$1,FALSE)=M134,"Same","MISMATCH")</f>
        <v>Same</v>
      </c>
    </row>
    <row r="135" spans="2:22">
      <c r="B135" t="s">
        <v>263</v>
      </c>
      <c r="C135" s="31" t="str">
        <f>+VLOOKUP(B135,'Country &amp; Code Abbreviation'!$B$3:$C$245,2,FALSE)</f>
        <v>SL</v>
      </c>
      <c r="D135" s="31" t="str">
        <f>+VLOOKUP(B135,'INT Web'!$B$5:$Q$248,16,FALSE)</f>
        <v>SLL</v>
      </c>
      <c r="E135" s="32" t="s">
        <v>346</v>
      </c>
      <c r="F135" s="33">
        <f>+IFERROR(IF($E135=VLOOKUP($B135,Apple!$B$3:$I$176,Apple!$E$1,FALSE),VLOOKUP(Google!$B135,Apple!$B$3:$I$176,Apple!F$1,FALSE),VLOOKUP($B135,'INT Web'!$B$5:$U$247,'INT Web'!R$1,FALSE)),MROUND(VLOOKUP($B135,'INT Web'!$B$5:$AQ$247,'INT Web'!AL$1,FALSE),1)-0.01)</f>
        <v>59.99</v>
      </c>
      <c r="G135" s="33">
        <f>+IFERROR(IF($E135=VLOOKUP($B135,Apple!$B$3:$I$176,Apple!$E$1,FALSE),VLOOKUP(Google!$B135,Apple!$B$3:$I$176,Apple!G$1,FALSE),VLOOKUP($B135,'INT Web'!$B$5:$U$247,'INT Web'!S$1,FALSE)),MROUND(VLOOKUP($B135,'INT Web'!$B$5:$AQ$247,'INT Web'!AM$1,FALSE),1)-0.01)</f>
        <v>9.99</v>
      </c>
      <c r="H135" s="33">
        <f>+IFERROR(IF($E135=VLOOKUP($B135,Apple!$B$3:$I$176,Apple!$E$1,FALSE),VLOOKUP(Google!$B135,Apple!$B$3:$I$176,Apple!H$1,FALSE),VLOOKUP($B135,'INT Web'!$B$5:$U$247,'INT Web'!T$1,FALSE)),MROUND(VLOOKUP($B135,'INT Web'!$B$5:$AQ$247,'INT Web'!AN$1,FALSE),1)-0.01)</f>
        <v>44.99</v>
      </c>
      <c r="I135" s="33">
        <f>+IFERROR(IF($E135=VLOOKUP($B135,Apple!$B$3:$I$176,Apple!$E$1,FALSE),VLOOKUP(Google!$B135,Apple!$B$3:$I$176,Apple!I$1,FALSE),VLOOKUP($B135,'INT Web'!$B$5:$U$247,'INT Web'!U$1,FALSE)),MROUND(VLOOKUP($B135,'INT Web'!$B$5:$AQ$247,'INT Web'!AO$1,FALSE),1)-0.01)</f>
        <v>6.99</v>
      </c>
      <c r="J135" s="33">
        <f>+IF($E135=VLOOKUP($B135,Apple!$B$3:$E$176,4,FALSE),VLOOKUP(Google!$B135,Apple!$B$3:$M$176,Apple!J$1,FALSE),VLOOKUP($B135,'[6]Single Game'!$B$4:$P$238,'[6]Single Game'!M$1,FALSE))</f>
        <v>2.99</v>
      </c>
      <c r="K135" s="33">
        <f>+IF($E135=VLOOKUP($B135,Apple!$B$3:$E$176,4,FALSE),VLOOKUP(Google!$B135,Apple!$B$3:$M$176,Apple!K$1,FALSE),VLOOKUP($B135,'[6]Single Game'!$B$4:$P$238,'[6]Single Game'!N$1,FALSE))</f>
        <v>1.99</v>
      </c>
      <c r="L135" s="33">
        <f>+IF($E135=VLOOKUP($B135,Apple!$B$3:$E$176,4,FALSE),VLOOKUP(Google!$B135,Apple!$B$3:$M$176,Apple!L$1,FALSE),VLOOKUP($B135,'[6]Single Game'!$B$4:$P$238,'[6]Single Game'!O$1,FALSE))</f>
        <v>1.99</v>
      </c>
      <c r="M135" s="33">
        <f>+IF($E135=VLOOKUP($B135,Apple!$B$3:$E$176,4,FALSE),VLOOKUP(Google!$B135,Apple!$B$3:$M$176,Apple!M$1,FALSE),VLOOKUP($B135,'[6]Single Game'!$B$4:$P$238,'[6]Single Game'!P$1,FALSE))</f>
        <v>0.99</v>
      </c>
      <c r="O135" t="str">
        <f>IF(VLOOKUP($B135,[5]Google!$B$3:$I$174,[5]Google!F$1,FALSE)=F135,"Same","MISMATCH")</f>
        <v>Same</v>
      </c>
      <c r="P135" t="str">
        <f>IF(VLOOKUP($B135,[5]Google!$B$3:$I$174,[5]Google!G$1,FALSE)=G135,"Same","MISMATCH")</f>
        <v>Same</v>
      </c>
      <c r="Q135" t="str">
        <f>IF(VLOOKUP($B135,[5]Google!$B$3:$I$174,[5]Google!H$1,FALSE)=H135,"Same","MISMATCH")</f>
        <v>Same</v>
      </c>
      <c r="R135" t="str">
        <f>IF(VLOOKUP($B135,[5]Google!$B$3:$I$174,[5]Google!I$1,FALSE)=I135,"Same","MISMATCH")</f>
        <v>Same</v>
      </c>
      <c r="S135" t="str">
        <f>IF(VLOOKUP($B135,[5]Google!$B$3:$M$174,[5]Google!J$1,FALSE)=J135,"Same","MISMATCH")</f>
        <v>Same</v>
      </c>
      <c r="T135" t="str">
        <f>IF(VLOOKUP($B135,[5]Google!$B$3:$M$174,[5]Google!K$1,FALSE)=K135,"Same","MISMATCH")</f>
        <v>Same</v>
      </c>
      <c r="U135" t="str">
        <f>IF(VLOOKUP($B135,[5]Google!$B$3:$M$174,[5]Google!L$1,FALSE)=L135,"Same","MISMATCH")</f>
        <v>Same</v>
      </c>
      <c r="V135" t="str">
        <f>IF(VLOOKUP($B135,[5]Google!$B$3:$M$174,[5]Google!M$1,FALSE)=M135,"Same","MISMATCH")</f>
        <v>Same</v>
      </c>
    </row>
    <row r="136" spans="2:22">
      <c r="B136" t="s">
        <v>264</v>
      </c>
      <c r="C136" s="31" t="str">
        <f>+VLOOKUP(B136,'Country &amp; Code Abbreviation'!$B$3:$C$245,2,FALSE)</f>
        <v>SG</v>
      </c>
      <c r="D136" s="31" t="str">
        <f>+VLOOKUP(B136,'INT Web'!$B$5:$Q$248,16,FALSE)</f>
        <v>SGD</v>
      </c>
      <c r="E136" s="32" t="s">
        <v>396</v>
      </c>
      <c r="F136" s="33">
        <f>+IFERROR(IF($E136=VLOOKUP($B136,Apple!$B$3:$I$176,Apple!$E$1,FALSE),VLOOKUP(Google!$B136,Apple!$B$3:$I$176,Apple!F$1,FALSE),VLOOKUP($B136,'INT Web'!$B$5:$U$247,'INT Web'!R$1,FALSE)),MROUND(VLOOKUP($B136,'INT Web'!$B$5:$AQ$247,'INT Web'!AL$1,FALSE),1)-0.01)</f>
        <v>184.98</v>
      </c>
      <c r="G136" s="33">
        <f>+IFERROR(IF($E136=VLOOKUP($B136,Apple!$B$3:$I$176,Apple!$E$1,FALSE),VLOOKUP(Google!$B136,Apple!$B$3:$I$176,Apple!G$1,FALSE),VLOOKUP($B136,'INT Web'!$B$5:$U$247,'INT Web'!S$1,FALSE)),MROUND(VLOOKUP($B136,'INT Web'!$B$5:$AQ$247,'INT Web'!AM$1,FALSE),1)-0.01)</f>
        <v>26.984999999999999</v>
      </c>
      <c r="H136" s="33">
        <f>+IFERROR(IF($E136=VLOOKUP($B136,Apple!$B$3:$I$176,Apple!$E$1,FALSE),VLOOKUP(Google!$B136,Apple!$B$3:$I$176,Apple!H$1,FALSE),VLOOKUP($B136,'INT Web'!$B$5:$U$247,'INT Web'!T$1,FALSE)),MROUND(VLOOKUP($B136,'INT Web'!$B$5:$AQ$247,'INT Web'!AN$1,FALSE),1)-0.01)</f>
        <v>124.98</v>
      </c>
      <c r="I136" s="33">
        <f>+IFERROR(IF($E136=VLOOKUP($B136,Apple!$B$3:$I$176,Apple!$E$1,FALSE),VLOOKUP(Google!$B136,Apple!$B$3:$I$176,Apple!I$1,FALSE),VLOOKUP($B136,'INT Web'!$B$5:$U$247,'INT Web'!U$1,FALSE)),MROUND(VLOOKUP($B136,'INT Web'!$B$5:$AQ$247,'INT Web'!AO$1,FALSE),1)-0.01)</f>
        <v>17.98</v>
      </c>
      <c r="J136" s="33">
        <f>+IF($E136=VLOOKUP($B136,Apple!$B$3:$E$176,4,FALSE),VLOOKUP(Google!$B136,Apple!$B$3:$M$176,Apple!J$1,FALSE),VLOOKUP($B136,'[6]Single Game'!$B$4:$P$238,'[6]Single Game'!M$1,FALSE))</f>
        <v>5.98</v>
      </c>
      <c r="K136" s="33">
        <f>+IF($E136=VLOOKUP($B136,Apple!$B$3:$E$176,4,FALSE),VLOOKUP(Google!$B136,Apple!$B$3:$M$176,Apple!K$1,FALSE),VLOOKUP($B136,'[6]Single Game'!$B$4:$P$238,'[6]Single Game'!N$1,FALSE))</f>
        <v>5.98</v>
      </c>
      <c r="L136" s="33">
        <f>+IF($E136=VLOOKUP($B136,Apple!$B$3:$E$176,4,FALSE),VLOOKUP(Google!$B136,Apple!$B$3:$M$176,Apple!L$1,FALSE),VLOOKUP($B136,'[6]Single Game'!$B$4:$P$238,'[6]Single Game'!O$1,FALSE))</f>
        <v>2.98</v>
      </c>
      <c r="M136" s="33">
        <f>+IF($E136=VLOOKUP($B136,Apple!$B$3:$E$176,4,FALSE),VLOOKUP(Google!$B136,Apple!$B$3:$M$176,Apple!M$1,FALSE),VLOOKUP($B136,'[6]Single Game'!$B$4:$P$238,'[6]Single Game'!P$1,FALSE))</f>
        <v>2.98</v>
      </c>
      <c r="O136" t="str">
        <f>IF(VLOOKUP($B136,[5]Google!$B$3:$I$174,[5]Google!F$1,FALSE)=F136,"Same","MISMATCH")</f>
        <v>Same</v>
      </c>
      <c r="P136" t="str">
        <f>IF(VLOOKUP($B136,[5]Google!$B$3:$I$174,[5]Google!G$1,FALSE)=G136,"Same","MISMATCH")</f>
        <v>Same</v>
      </c>
      <c r="Q136" t="str">
        <f>IF(VLOOKUP($B136,[5]Google!$B$3:$I$174,[5]Google!H$1,FALSE)=H136,"Same","MISMATCH")</f>
        <v>Same</v>
      </c>
      <c r="R136" t="str">
        <f>IF(VLOOKUP($B136,[5]Google!$B$3:$I$174,[5]Google!I$1,FALSE)=I136,"Same","MISMATCH")</f>
        <v>Same</v>
      </c>
      <c r="S136" t="str">
        <f>IF(VLOOKUP($B136,[5]Google!$B$3:$M$174,[5]Google!J$1,FALSE)=J136,"Same","MISMATCH")</f>
        <v>Same</v>
      </c>
      <c r="T136" t="str">
        <f>IF(VLOOKUP($B136,[5]Google!$B$3:$M$174,[5]Google!K$1,FALSE)=K136,"Same","MISMATCH")</f>
        <v>Same</v>
      </c>
      <c r="U136" t="str">
        <f>IF(VLOOKUP($B136,[5]Google!$B$3:$M$174,[5]Google!L$1,FALSE)=L136,"Same","MISMATCH")</f>
        <v>Same</v>
      </c>
      <c r="V136" t="str">
        <f>IF(VLOOKUP($B136,[5]Google!$B$3:$M$174,[5]Google!M$1,FALSE)=M136,"Same","MISMATCH")</f>
        <v>Same</v>
      </c>
    </row>
    <row r="137" spans="2:22">
      <c r="B137" t="s">
        <v>266</v>
      </c>
      <c r="C137" s="31" t="str">
        <f>+VLOOKUP(B137,'Country &amp; Code Abbreviation'!$B$3:$C$245,2,FALSE)</f>
        <v>SK</v>
      </c>
      <c r="D137" s="31" t="str">
        <f>+VLOOKUP(B137,'INT Web'!$B$5:$Q$248,16,FALSE)</f>
        <v>EUR</v>
      </c>
      <c r="E137" s="32" t="s">
        <v>368</v>
      </c>
      <c r="F137" s="33">
        <f>+IFERROR(IF($E137=VLOOKUP($B137,Apple!$B$3:$I$176,Apple!$E$1,FALSE),VLOOKUP(Google!$B137,Apple!$B$3:$I$176,Apple!F$1,FALSE),VLOOKUP($B137,'INT Web'!$B$5:$U$247,'INT Web'!R$1,FALSE)),MROUND(VLOOKUP($B137,'INT Web'!$B$5:$AQ$247,'INT Web'!AL$1,FALSE),1)-0.01)</f>
        <v>94.99</v>
      </c>
      <c r="G137" s="33">
        <f>+IFERROR(IF($E137=VLOOKUP($B137,Apple!$B$3:$I$176,Apple!$E$1,FALSE),VLOOKUP(Google!$B137,Apple!$B$3:$I$176,Apple!G$1,FALSE),VLOOKUP($B137,'INT Web'!$B$5:$U$247,'INT Web'!S$1,FALSE)),MROUND(VLOOKUP($B137,'INT Web'!$B$5:$AQ$247,'INT Web'!AM$1,FALSE),1)-0.01)</f>
        <v>14.99</v>
      </c>
      <c r="H137" s="33">
        <f>+IFERROR(IF($E137=VLOOKUP($B137,Apple!$B$3:$I$176,Apple!$E$1,FALSE),VLOOKUP(Google!$B137,Apple!$B$3:$I$176,Apple!H$1,FALSE),VLOOKUP($B137,'INT Web'!$B$5:$U$247,'INT Web'!T$1,FALSE)),MROUND(VLOOKUP($B137,'INT Web'!$B$5:$AQ$247,'INT Web'!AN$1,FALSE),1)-0.01)</f>
        <v>69.989999999999995</v>
      </c>
      <c r="I137" s="33">
        <f>+IFERROR(IF($E137=VLOOKUP($B137,Apple!$B$3:$I$176,Apple!$E$1,FALSE),VLOOKUP(Google!$B137,Apple!$B$3:$I$176,Apple!I$1,FALSE),VLOOKUP($B137,'INT Web'!$B$5:$U$247,'INT Web'!U$1,FALSE)),MROUND(VLOOKUP($B137,'INT Web'!$B$5:$AQ$247,'INT Web'!AO$1,FALSE),1)-0.01)</f>
        <v>10.99</v>
      </c>
      <c r="J137" s="33">
        <f>+IF($E137=VLOOKUP($B137,Apple!$B$3:$E$176,4,FALSE),VLOOKUP(Google!$B137,Apple!$B$3:$M$176,Apple!J$1,FALSE),VLOOKUP($B137,'[6]Single Game'!$B$4:$P$238,'[6]Single Game'!M$1,FALSE))</f>
        <v>4.99</v>
      </c>
      <c r="K137" s="33">
        <f>+IF($E137=VLOOKUP($B137,Apple!$B$3:$E$176,4,FALSE),VLOOKUP(Google!$B137,Apple!$B$3:$M$176,Apple!K$1,FALSE),VLOOKUP($B137,'[6]Single Game'!$B$4:$P$238,'[6]Single Game'!N$1,FALSE))</f>
        <v>3.99</v>
      </c>
      <c r="L137" s="33">
        <f>+IF($E137=VLOOKUP($B137,Apple!$B$3:$E$176,4,FALSE),VLOOKUP(Google!$B137,Apple!$B$3:$M$176,Apple!L$1,FALSE),VLOOKUP($B137,'[6]Single Game'!$B$4:$P$238,'[6]Single Game'!O$1,FALSE))</f>
        <v>2.99</v>
      </c>
      <c r="M137" s="33">
        <f>+IF($E137=VLOOKUP($B137,Apple!$B$3:$E$176,4,FALSE),VLOOKUP(Google!$B137,Apple!$B$3:$M$176,Apple!M$1,FALSE),VLOOKUP($B137,'[6]Single Game'!$B$4:$P$238,'[6]Single Game'!P$1,FALSE))</f>
        <v>1.99</v>
      </c>
      <c r="O137" t="str">
        <f>IF(VLOOKUP($B137,[5]Google!$B$3:$I$174,[5]Google!F$1,FALSE)=F137,"Same","MISMATCH")</f>
        <v>Same</v>
      </c>
      <c r="P137" t="str">
        <f>IF(VLOOKUP($B137,[5]Google!$B$3:$I$174,[5]Google!G$1,FALSE)=G137,"Same","MISMATCH")</f>
        <v>Same</v>
      </c>
      <c r="Q137" t="str">
        <f>IF(VLOOKUP($B137,[5]Google!$B$3:$I$174,[5]Google!H$1,FALSE)=H137,"Same","MISMATCH")</f>
        <v>Same</v>
      </c>
      <c r="R137" t="str">
        <f>IF(VLOOKUP($B137,[5]Google!$B$3:$I$174,[5]Google!I$1,FALSE)=I137,"Same","MISMATCH")</f>
        <v>Same</v>
      </c>
      <c r="S137" t="str">
        <f>IF(VLOOKUP($B137,[5]Google!$B$3:$M$174,[5]Google!J$1,FALSE)=J137,"Same","MISMATCH")</f>
        <v>Same</v>
      </c>
      <c r="T137" t="str">
        <f>IF(VLOOKUP($B137,[5]Google!$B$3:$M$174,[5]Google!K$1,FALSE)=K137,"Same","MISMATCH")</f>
        <v>Same</v>
      </c>
      <c r="U137" t="str">
        <f>IF(VLOOKUP($B137,[5]Google!$B$3:$M$174,[5]Google!L$1,FALSE)=L137,"Same","MISMATCH")</f>
        <v>Same</v>
      </c>
      <c r="V137" t="str">
        <f>IF(VLOOKUP($B137,[5]Google!$B$3:$M$174,[5]Google!M$1,FALSE)=M137,"Same","MISMATCH")</f>
        <v>Same</v>
      </c>
    </row>
    <row r="138" spans="2:22">
      <c r="B138" t="s">
        <v>267</v>
      </c>
      <c r="C138" s="31" t="str">
        <f>+VLOOKUP(B138,'Country &amp; Code Abbreviation'!$B$3:$C$245,2,FALSE)</f>
        <v>SI</v>
      </c>
      <c r="D138" s="31" t="str">
        <f>+VLOOKUP(B138,'INT Web'!$B$5:$Q$248,16,FALSE)</f>
        <v>EUR</v>
      </c>
      <c r="E138" s="32" t="s">
        <v>368</v>
      </c>
      <c r="F138" s="33">
        <f>+IFERROR(IF($E138=VLOOKUP($B138,Apple!$B$3:$I$176,Apple!$E$1,FALSE),VLOOKUP(Google!$B138,Apple!$B$3:$I$176,Apple!F$1,FALSE),VLOOKUP($B138,'INT Web'!$B$5:$U$247,'INT Web'!R$1,FALSE)),MROUND(VLOOKUP($B138,'INT Web'!$B$5:$AQ$247,'INT Web'!AL$1,FALSE),1)-0.01)</f>
        <v>121.99</v>
      </c>
      <c r="G138" s="72">
        <f>+IFERROR(IF($E138=VLOOKUP($B138,Apple!$B$3:$I$176,Apple!$E$1,FALSE),VLOOKUP(Google!$B138,Apple!$B$3:$I$176,Apple!G$1,FALSE),VLOOKUP($B138,'INT Web'!$B$5:$U$247,'INT Web'!S$1,FALSE)),MROUND(VLOOKUP($B138,'INT Web'!$B$5:$AQ$247,'INT Web'!AM$1,FALSE),1)-0.01)</f>
        <v>18.989999999999998</v>
      </c>
      <c r="H138" s="33">
        <f>+IFERROR(IF($E138=VLOOKUP($B138,Apple!$B$3:$I$176,Apple!$E$1,FALSE),VLOOKUP(Google!$B138,Apple!$B$3:$I$176,Apple!H$1,FALSE),VLOOKUP($B138,'INT Web'!$B$5:$U$247,'INT Web'!T$1,FALSE)),MROUND(VLOOKUP($B138,'INT Web'!$B$5:$AQ$247,'INT Web'!AN$1,FALSE),1)-0.01)</f>
        <v>89.99</v>
      </c>
      <c r="I138" s="72">
        <f>+IFERROR(IF($E138=VLOOKUP($B138,Apple!$B$3:$I$176,Apple!$E$1,FALSE),VLOOKUP(Google!$B138,Apple!$B$3:$I$176,Apple!I$1,FALSE),VLOOKUP($B138,'INT Web'!$B$5:$U$247,'INT Web'!U$1,FALSE)),MROUND(VLOOKUP($B138,'INT Web'!$B$5:$AQ$247,'INT Web'!AO$1,FALSE),1)-0.01)</f>
        <v>13.99</v>
      </c>
      <c r="J138" s="33">
        <f>+IF($E138=VLOOKUP($B138,Apple!$B$3:$E$176,4,FALSE),VLOOKUP(Google!$B138,Apple!$B$3:$M$176,Apple!J$1,FALSE),VLOOKUP($B138,'[6]Single Game'!$B$4:$P$238,'[6]Single Game'!M$1,FALSE))</f>
        <v>4.99</v>
      </c>
      <c r="K138" s="33">
        <f>+IF($E138=VLOOKUP($B138,Apple!$B$3:$E$176,4,FALSE),VLOOKUP(Google!$B138,Apple!$B$3:$M$176,Apple!K$1,FALSE),VLOOKUP($B138,'[6]Single Game'!$B$4:$P$238,'[6]Single Game'!N$1,FALSE))</f>
        <v>3.99</v>
      </c>
      <c r="L138" s="33">
        <f>+IF($E138=VLOOKUP($B138,Apple!$B$3:$E$176,4,FALSE),VLOOKUP(Google!$B138,Apple!$B$3:$M$176,Apple!L$1,FALSE),VLOOKUP($B138,'[6]Single Game'!$B$4:$P$238,'[6]Single Game'!O$1,FALSE))</f>
        <v>2.99</v>
      </c>
      <c r="M138" s="33">
        <f>+IF($E138=VLOOKUP($B138,Apple!$B$3:$E$176,4,FALSE),VLOOKUP(Google!$B138,Apple!$B$3:$M$176,Apple!M$1,FALSE),VLOOKUP($B138,'[6]Single Game'!$B$4:$P$238,'[6]Single Game'!P$1,FALSE))</f>
        <v>1.99</v>
      </c>
      <c r="O138" t="str">
        <f>IF(VLOOKUP($B138,[5]Google!$B$3:$I$174,[5]Google!F$1,FALSE)=F138,"Same","MISMATCH")</f>
        <v>Same</v>
      </c>
      <c r="P138" t="str">
        <f>IF(VLOOKUP($B138,[5]Google!$B$3:$I$174,[5]Google!G$1,FALSE)=G138,"Same","MISMATCH")</f>
        <v>Same</v>
      </c>
      <c r="Q138" t="str">
        <f>IF(VLOOKUP($B138,[5]Google!$B$3:$I$174,[5]Google!H$1,FALSE)=H138,"Same","MISMATCH")</f>
        <v>Same</v>
      </c>
      <c r="R138" t="str">
        <f>IF(VLOOKUP($B138,[5]Google!$B$3:$I$174,[5]Google!I$1,FALSE)=I138,"Same","MISMATCH")</f>
        <v>Same</v>
      </c>
      <c r="S138" t="str">
        <f>IF(VLOOKUP($B138,[5]Google!$B$3:$M$174,[5]Google!J$1,FALSE)=J138,"Same","MISMATCH")</f>
        <v>Same</v>
      </c>
      <c r="T138" t="str">
        <f>IF(VLOOKUP($B138,[5]Google!$B$3:$M$174,[5]Google!K$1,FALSE)=K138,"Same","MISMATCH")</f>
        <v>Same</v>
      </c>
      <c r="U138" t="str">
        <f>IF(VLOOKUP($B138,[5]Google!$B$3:$M$174,[5]Google!L$1,FALSE)=L138,"Same","MISMATCH")</f>
        <v>Same</v>
      </c>
      <c r="V138" t="str">
        <f>IF(VLOOKUP($B138,[5]Google!$B$3:$M$174,[5]Google!M$1,FALSE)=M138,"Same","MISMATCH")</f>
        <v>Same</v>
      </c>
    </row>
    <row r="139" spans="2:22">
      <c r="B139" t="s">
        <v>268</v>
      </c>
      <c r="C139" s="31" t="str">
        <f>+VLOOKUP(B139,'Country &amp; Code Abbreviation'!$B$3:$C$245,2,FALSE)</f>
        <v>SB</v>
      </c>
      <c r="D139" s="31" t="str">
        <f>+VLOOKUP(B139,'INT Web'!$B$5:$Q$248,16,FALSE)</f>
        <v>SBD</v>
      </c>
      <c r="E139" s="32" t="s">
        <v>346</v>
      </c>
      <c r="F139" s="33">
        <f>+IFERROR(IF($E139=VLOOKUP($B139,Apple!$B$3:$I$176,Apple!$E$1,FALSE),VLOOKUP(Google!$B139,Apple!$B$3:$I$176,Apple!F$1,FALSE),VLOOKUP($B139,'INT Web'!$B$5:$U$247,'INT Web'!R$1,FALSE)),MROUND(VLOOKUP($B139,'INT Web'!$B$5:$AQ$247,'INT Web'!AL$1,FALSE),1)-0.01)</f>
        <v>69.989999999999995</v>
      </c>
      <c r="G139" s="33">
        <f>+IFERROR(IF($E139=VLOOKUP($B139,Apple!$B$3:$I$176,Apple!$E$1,FALSE),VLOOKUP(Google!$B139,Apple!$B$3:$I$176,Apple!G$1,FALSE),VLOOKUP($B139,'INT Web'!$B$5:$U$247,'INT Web'!S$1,FALSE)),MROUND(VLOOKUP($B139,'INT Web'!$B$5:$AQ$247,'INT Web'!AM$1,FALSE),1)-0.01)</f>
        <v>10.99</v>
      </c>
      <c r="H139" s="33">
        <f>+IFERROR(IF($E139=VLOOKUP($B139,Apple!$B$3:$I$176,Apple!$E$1,FALSE),VLOOKUP(Google!$B139,Apple!$B$3:$I$176,Apple!H$1,FALSE),VLOOKUP($B139,'INT Web'!$B$5:$U$247,'INT Web'!T$1,FALSE)),MROUND(VLOOKUP($B139,'INT Web'!$B$5:$AQ$247,'INT Web'!AN$1,FALSE),1)-0.01)</f>
        <v>51.99</v>
      </c>
      <c r="I139" s="33">
        <f>+IFERROR(IF($E139=VLOOKUP($B139,Apple!$B$3:$I$176,Apple!$E$1,FALSE),VLOOKUP(Google!$B139,Apple!$B$3:$I$176,Apple!I$1,FALSE),VLOOKUP($B139,'INT Web'!$B$5:$U$247,'INT Web'!U$1,FALSE)),MROUND(VLOOKUP($B139,'INT Web'!$B$5:$AQ$247,'INT Web'!AO$1,FALSE),1)-0.01)</f>
        <v>7.99</v>
      </c>
      <c r="J139" s="33">
        <f>+IF($E139=VLOOKUP($B139,Apple!$B$3:$E$176,4,FALSE),VLOOKUP(Google!$B139,Apple!$B$3:$M$176,Apple!J$1,FALSE),VLOOKUP($B139,'[6]Single Game'!$B$4:$P$238,'[6]Single Game'!M$1,FALSE))</f>
        <v>2.99</v>
      </c>
      <c r="K139" s="33">
        <f>+IF($E139=VLOOKUP($B139,Apple!$B$3:$E$176,4,FALSE),VLOOKUP(Google!$B139,Apple!$B$3:$M$176,Apple!K$1,FALSE),VLOOKUP($B139,'[6]Single Game'!$B$4:$P$238,'[6]Single Game'!N$1,FALSE))</f>
        <v>1.99</v>
      </c>
      <c r="L139" s="33">
        <f>+IF($E139=VLOOKUP($B139,Apple!$B$3:$E$176,4,FALSE),VLOOKUP(Google!$B139,Apple!$B$3:$M$176,Apple!L$1,FALSE),VLOOKUP($B139,'[6]Single Game'!$B$4:$P$238,'[6]Single Game'!O$1,FALSE))</f>
        <v>1.99</v>
      </c>
      <c r="M139" s="33">
        <f>+IF($E139=VLOOKUP($B139,Apple!$B$3:$E$176,4,FALSE),VLOOKUP(Google!$B139,Apple!$B$3:$M$176,Apple!M$1,FALSE),VLOOKUP($B139,'[6]Single Game'!$B$4:$P$238,'[6]Single Game'!P$1,FALSE))</f>
        <v>0.99</v>
      </c>
      <c r="O139" t="str">
        <f>IF(VLOOKUP($B139,[5]Google!$B$3:$I$174,[5]Google!F$1,FALSE)=F139,"Same","MISMATCH")</f>
        <v>Same</v>
      </c>
      <c r="P139" t="str">
        <f>IF(VLOOKUP($B139,[5]Google!$B$3:$I$174,[5]Google!G$1,FALSE)=G139,"Same","MISMATCH")</f>
        <v>Same</v>
      </c>
      <c r="Q139" t="str">
        <f>IF(VLOOKUP($B139,[5]Google!$B$3:$I$174,[5]Google!H$1,FALSE)=H139,"Same","MISMATCH")</f>
        <v>Same</v>
      </c>
      <c r="R139" t="str">
        <f>IF(VLOOKUP($B139,[5]Google!$B$3:$I$174,[5]Google!I$1,FALSE)=I139,"Same","MISMATCH")</f>
        <v>Same</v>
      </c>
      <c r="S139" t="str">
        <f>IF(VLOOKUP($B139,[5]Google!$B$3:$M$174,[5]Google!J$1,FALSE)=J139,"Same","MISMATCH")</f>
        <v>Same</v>
      </c>
      <c r="T139" t="str">
        <f>IF(VLOOKUP($B139,[5]Google!$B$3:$M$174,[5]Google!K$1,FALSE)=K139,"Same","MISMATCH")</f>
        <v>Same</v>
      </c>
      <c r="U139" t="str">
        <f>IF(VLOOKUP($B139,[5]Google!$B$3:$M$174,[5]Google!L$1,FALSE)=L139,"Same","MISMATCH")</f>
        <v>Same</v>
      </c>
      <c r="V139" t="str">
        <f>IF(VLOOKUP($B139,[5]Google!$B$3:$M$174,[5]Google!M$1,FALSE)=M139,"Same","MISMATCH")</f>
        <v>Same</v>
      </c>
    </row>
    <row r="140" spans="2:22" ht="13.4" customHeight="1">
      <c r="B140" t="s">
        <v>269</v>
      </c>
      <c r="C140" s="31" t="str">
        <f>+VLOOKUP(B140,'Country &amp; Code Abbreviation'!$B$3:$C$245,2,FALSE)</f>
        <v>SO</v>
      </c>
      <c r="D140" s="31" t="str">
        <f>+VLOOKUP(B140,'INT Web'!$B$5:$Q$248,16,FALSE)</f>
        <v>SOS</v>
      </c>
      <c r="E140" s="32" t="s">
        <v>346</v>
      </c>
      <c r="F140" s="34">
        <v>59.99</v>
      </c>
      <c r="G140" s="33">
        <f>+IFERROR(IF($E140=VLOOKUP($B140,Apple!$B$3:$I$176,Apple!$E$1,FALSE),VLOOKUP(Google!$B140,Apple!$B$3:$I$176,Apple!G$1,FALSE),VLOOKUP($B140,'INT Web'!$B$5:$U$247,'INT Web'!S$1,FALSE)),MROUND(VLOOKUP($B140,'INT Web'!$B$5:$AQ$247,'INT Web'!AM$1,FALSE),1)-0.01)</f>
        <v>9.99</v>
      </c>
      <c r="H140" s="34">
        <v>44.99</v>
      </c>
      <c r="I140" s="34">
        <v>7.99</v>
      </c>
      <c r="J140" s="34">
        <v>2.99</v>
      </c>
      <c r="K140" s="34">
        <v>2.99</v>
      </c>
      <c r="L140" s="34">
        <v>1.99</v>
      </c>
      <c r="M140" s="34">
        <v>1.99</v>
      </c>
      <c r="O140" t="str">
        <f>IF(VLOOKUP($B140,[5]Google!$B$3:$I$174,[5]Google!F$1,FALSE)=F140,"Same","MISMATCH")</f>
        <v>Same</v>
      </c>
      <c r="P140" t="str">
        <f>IF(VLOOKUP($B140,[5]Google!$B$3:$I$174,[5]Google!G$1,FALSE)=G140,"Same","MISMATCH")</f>
        <v>Same</v>
      </c>
      <c r="Q140" t="str">
        <f>IF(VLOOKUP($B140,[5]Google!$B$3:$I$174,[5]Google!H$1,FALSE)=H140,"Same","MISMATCH")</f>
        <v>Same</v>
      </c>
      <c r="R140" t="str">
        <f>IF(VLOOKUP($B140,[5]Google!$B$3:$I$174,[5]Google!I$1,FALSE)=I140,"Same","MISMATCH")</f>
        <v>Same</v>
      </c>
      <c r="S140" t="str">
        <f>IF(VLOOKUP($B140,[5]Google!$B$3:$M$174,[5]Google!J$1,FALSE)=J140,"Same","MISMATCH")</f>
        <v>Same</v>
      </c>
      <c r="T140" t="str">
        <f>IF(VLOOKUP($B140,[5]Google!$B$3:$M$174,[5]Google!K$1,FALSE)=K140,"Same","MISMATCH")</f>
        <v>Same</v>
      </c>
      <c r="U140" t="str">
        <f>IF(VLOOKUP($B140,[5]Google!$B$3:$M$174,[5]Google!L$1,FALSE)=L140,"Same","MISMATCH")</f>
        <v>Same</v>
      </c>
      <c r="V140" t="str">
        <f>IF(VLOOKUP($B140,[5]Google!$B$3:$M$174,[5]Google!M$1,FALSE)=M140,"Same","MISMATCH")</f>
        <v>Same</v>
      </c>
    </row>
    <row r="141" spans="2:22">
      <c r="B141" t="s">
        <v>271</v>
      </c>
      <c r="C141" s="31" t="str">
        <f>+VLOOKUP(B141,'Country &amp; Code Abbreviation'!$B$3:$C$245,2,FALSE)</f>
        <v>ZA</v>
      </c>
      <c r="D141" s="31" t="str">
        <f>+VLOOKUP(B141,'INT Web'!$B$5:$Q$248,16,FALSE)</f>
        <v>ZAR</v>
      </c>
      <c r="E141" s="32" t="s">
        <v>397</v>
      </c>
      <c r="F141" s="33">
        <f>+IFERROR(IF($E141=VLOOKUP($B141,Apple!$B$3:$I$176,Apple!$E$1,FALSE),VLOOKUP(Google!$B141,Apple!$B$3:$I$176,Apple!F$1,FALSE),VLOOKUP($B141,'INT Web'!$B$5:$U$247,'INT Web'!R$1,FALSE)),MROUND(VLOOKUP($B141,'INT Web'!$B$5:$AQ$247,'INT Web'!AL$1,FALSE),1)-0.01)</f>
        <v>1129.99</v>
      </c>
      <c r="G141" s="34">
        <v>188.99</v>
      </c>
      <c r="H141" s="33">
        <f>+IFERROR(IF($E141=VLOOKUP($B141,Apple!$B$3:$I$176,Apple!$E$1,FALSE),VLOOKUP(Google!$B141,Apple!$B$3:$I$176,Apple!H$1,FALSE),VLOOKUP($B141,'INT Web'!$B$5:$U$247,'INT Web'!T$1,FALSE)),MROUND(VLOOKUP($B141,'INT Web'!$B$5:$AQ$247,'INT Web'!AN$1,FALSE),1)-0.01)</f>
        <v>839.99</v>
      </c>
      <c r="I141" s="33">
        <f>+IFERROR(IF($E141=VLOOKUP($B141,Apple!$B$3:$I$176,Apple!$E$1,FALSE),VLOOKUP(Google!$B141,Apple!$B$3:$I$176,Apple!I$1,FALSE),VLOOKUP($B141,'INT Web'!$B$5:$U$247,'INT Web'!U$1,FALSE)),MROUND(VLOOKUP($B141,'INT Web'!$B$5:$AQ$247,'INT Web'!AO$1,FALSE),1)-0.01)</f>
        <v>139.99</v>
      </c>
      <c r="J141" s="33">
        <f>+IF($E141=VLOOKUP($B141,Apple!$B$3:$E$176,4,FALSE),VLOOKUP(Google!$B141,Apple!$B$3:$M$176,Apple!J$1,FALSE),VLOOKUP($B141,'[6]Single Game'!$B$4:$P$238,'[6]Single Game'!M$1,FALSE))</f>
        <v>64.989999999999995</v>
      </c>
      <c r="K141" s="33">
        <f>+IF($E141=VLOOKUP($B141,Apple!$B$3:$E$176,4,FALSE),VLOOKUP(Google!$B141,Apple!$B$3:$M$176,Apple!K$1,FALSE),VLOOKUP($B141,'[6]Single Game'!$B$4:$P$238,'[6]Single Game'!N$1,FALSE))</f>
        <v>64.989999999999995</v>
      </c>
      <c r="L141" s="33">
        <f>+IF($E141=VLOOKUP($B141,Apple!$B$3:$E$176,4,FALSE),VLOOKUP(Google!$B141,Apple!$B$3:$M$176,Apple!L$1,FALSE),VLOOKUP($B141,'[6]Single Game'!$B$4:$P$238,'[6]Single Game'!O$1,FALSE))</f>
        <v>32.99</v>
      </c>
      <c r="M141" s="33">
        <f>+IF($E141=VLOOKUP($B141,Apple!$B$3:$E$176,4,FALSE),VLOOKUP(Google!$B141,Apple!$B$3:$M$176,Apple!M$1,FALSE),VLOOKUP($B141,'[6]Single Game'!$B$4:$P$238,'[6]Single Game'!P$1,FALSE))</f>
        <v>32.99</v>
      </c>
      <c r="O141" t="str">
        <f>IF(VLOOKUP($B141,[5]Google!$B$3:$I$174,[5]Google!F$1,FALSE)=F141,"Same","MISMATCH")</f>
        <v>Same</v>
      </c>
      <c r="P141" t="str">
        <f>IF(VLOOKUP($B141,[5]Google!$B$3:$I$174,[5]Google!G$1,FALSE)=G141,"Same","MISMATCH")</f>
        <v>Same</v>
      </c>
      <c r="Q141" t="str">
        <f>IF(VLOOKUP($B141,[5]Google!$B$3:$I$174,[5]Google!H$1,FALSE)=H141,"Same","MISMATCH")</f>
        <v>Same</v>
      </c>
      <c r="R141" t="str">
        <f>IF(VLOOKUP($B141,[5]Google!$B$3:$I$174,[5]Google!I$1,FALSE)=I141,"Same","MISMATCH")</f>
        <v>Same</v>
      </c>
      <c r="S141" t="str">
        <f>IF(VLOOKUP($B141,[5]Google!$B$3:$M$174,[5]Google!J$1,FALSE)=J141,"Same","MISMATCH")</f>
        <v>Same</v>
      </c>
      <c r="T141" t="str">
        <f>IF(VLOOKUP($B141,[5]Google!$B$3:$M$174,[5]Google!K$1,FALSE)=K141,"Same","MISMATCH")</f>
        <v>Same</v>
      </c>
      <c r="U141" t="str">
        <f>IF(VLOOKUP($B141,[5]Google!$B$3:$M$174,[5]Google!L$1,FALSE)=L141,"Same","MISMATCH")</f>
        <v>Same</v>
      </c>
      <c r="V141" t="str">
        <f>IF(VLOOKUP($B141,[5]Google!$B$3:$M$174,[5]Google!M$1,FALSE)=M141,"Same","MISMATCH")</f>
        <v>Same</v>
      </c>
    </row>
    <row r="142" spans="2:22">
      <c r="B142" t="s">
        <v>273</v>
      </c>
      <c r="C142" s="31" t="str">
        <f>+VLOOKUP(B142,'Country &amp; Code Abbreviation'!$B$3:$C$245,2,FALSE)</f>
        <v>KR</v>
      </c>
      <c r="D142" s="31" t="str">
        <f>+VLOOKUP(B142,'INT Web'!$B$5:$Q$248,16,FALSE)</f>
        <v>KRW</v>
      </c>
      <c r="E142" s="32" t="s">
        <v>382</v>
      </c>
      <c r="F142" s="33">
        <f>+IFERROR(IF($E142=VLOOKUP($B142,Apple!$B$3:$I$176,Apple!$E$1,FALSE),VLOOKUP(Google!$B142,Apple!$B$3:$I$176,Apple!F$1,FALSE),VLOOKUP($B142,'INT Web'!$B$5:$U$247,'INT Web'!R$1,FALSE)),MROUND(VLOOKUP($B142,'INT Web'!$B$5:$AQ$247,'INT Web'!AL$1,FALSE),1)-0.01)</f>
        <v>190000</v>
      </c>
      <c r="G142" s="33">
        <f>+IFERROR(IF($E142=VLOOKUP($B142,Apple!$B$3:$I$176,Apple!$E$1,FALSE),VLOOKUP(Google!$B142,Apple!$B$3:$I$176,Apple!G$1,FALSE),VLOOKUP($B142,'INT Web'!$B$5:$U$247,'INT Web'!S$1,FALSE)),MROUND(VLOOKUP($B142,'INT Web'!$B$5:$AQ$247,'INT Web'!AM$1,FALSE),1)-0.01)</f>
        <v>30000</v>
      </c>
      <c r="H142" s="33">
        <f>+IFERROR(IF($E142=VLOOKUP($B142,Apple!$B$3:$I$176,Apple!$E$1,FALSE),VLOOKUP(Google!$B142,Apple!$B$3:$I$176,Apple!H$1,FALSE),VLOOKUP($B142,'INT Web'!$B$5:$U$247,'INT Web'!T$1,FALSE)),MROUND(VLOOKUP($B142,'INT Web'!$B$5:$AQ$247,'INT Web'!AN$1,FALSE),1)-0.01)</f>
        <v>130000</v>
      </c>
      <c r="I142" s="33">
        <f>+IFERROR(IF($E142=VLOOKUP($B142,Apple!$B$3:$I$176,Apple!$E$1,FALSE),VLOOKUP(Google!$B142,Apple!$B$3:$I$176,Apple!I$1,FALSE),VLOOKUP($B142,'INT Web'!$B$5:$U$247,'INT Web'!U$1,FALSE)),MROUND(VLOOKUP($B142,'INT Web'!$B$5:$AQ$247,'INT Web'!AO$1,FALSE),1)-0.01)</f>
        <v>20000</v>
      </c>
      <c r="J142" s="33">
        <f>+IF($E142=VLOOKUP($B142,Apple!$B$3:$E$176,4,FALSE),VLOOKUP(Google!$B142,Apple!$B$3:$M$176,Apple!J$1,FALSE),VLOOKUP($B142,'[6]Single Game'!$B$4:$P$238,'[6]Single Game'!M$1,FALSE))</f>
        <v>7500</v>
      </c>
      <c r="K142" s="33">
        <f>+IF($E142=VLOOKUP($B142,Apple!$B$3:$E$176,4,FALSE),VLOOKUP(Google!$B142,Apple!$B$3:$M$176,Apple!K$1,FALSE),VLOOKUP($B142,'[6]Single Game'!$B$4:$P$238,'[6]Single Game'!N$1,FALSE))</f>
        <v>7500</v>
      </c>
      <c r="L142" s="33">
        <f>+IF($E142=VLOOKUP($B142,Apple!$B$3:$E$176,4,FALSE),VLOOKUP(Google!$B142,Apple!$B$3:$M$176,Apple!L$1,FALSE),VLOOKUP($B142,'[6]Single Game'!$B$4:$P$238,'[6]Single Game'!O$1,FALSE))</f>
        <v>3900</v>
      </c>
      <c r="M142" s="33">
        <f>+IF($E142=VLOOKUP($B142,Apple!$B$3:$E$176,4,FALSE),VLOOKUP(Google!$B142,Apple!$B$3:$M$176,Apple!M$1,FALSE),VLOOKUP($B142,'[6]Single Game'!$B$4:$P$238,'[6]Single Game'!P$1,FALSE))</f>
        <v>3900</v>
      </c>
      <c r="O142" t="str">
        <f>IF(VLOOKUP($B142,[5]Google!$B$3:$I$174,[5]Google!F$1,FALSE)=F142,"Same","MISMATCH")</f>
        <v>Same</v>
      </c>
      <c r="P142" t="str">
        <f>IF(VLOOKUP($B142,[5]Google!$B$3:$I$174,[5]Google!G$1,FALSE)=G142,"Same","MISMATCH")</f>
        <v>Same</v>
      </c>
      <c r="Q142" t="str">
        <f>IF(VLOOKUP($B142,[5]Google!$B$3:$I$174,[5]Google!H$1,FALSE)=H142,"Same","MISMATCH")</f>
        <v>Same</v>
      </c>
      <c r="R142" t="str">
        <f>IF(VLOOKUP($B142,[5]Google!$B$3:$I$174,[5]Google!I$1,FALSE)=I142,"Same","MISMATCH")</f>
        <v>Same</v>
      </c>
      <c r="S142" t="str">
        <f>IF(VLOOKUP($B142,[5]Google!$B$3:$M$174,[5]Google!J$1,FALSE)=J142,"Same","MISMATCH")</f>
        <v>Same</v>
      </c>
      <c r="T142" t="str">
        <f>IF(VLOOKUP($B142,[5]Google!$B$3:$M$174,[5]Google!K$1,FALSE)=K142,"Same","MISMATCH")</f>
        <v>Same</v>
      </c>
      <c r="U142" t="str">
        <f>IF(VLOOKUP($B142,[5]Google!$B$3:$M$174,[5]Google!L$1,FALSE)=L142,"Same","MISMATCH")</f>
        <v>Same</v>
      </c>
      <c r="V142" t="str">
        <f>IF(VLOOKUP($B142,[5]Google!$B$3:$M$174,[5]Google!M$1,FALSE)=M142,"Same","MISMATCH")</f>
        <v>Same</v>
      </c>
    </row>
    <row r="143" spans="2:22">
      <c r="B143" t="s">
        <v>276</v>
      </c>
      <c r="C143" s="31" t="str">
        <f>+VLOOKUP(B143,'Country &amp; Code Abbreviation'!$B$3:$C$245,2,FALSE)</f>
        <v>ES</v>
      </c>
      <c r="D143" s="31" t="str">
        <f>+VLOOKUP(B143,'INT Web'!$B$5:$Q$248,16,FALSE)</f>
        <v>EUR</v>
      </c>
      <c r="E143" s="32" t="s">
        <v>368</v>
      </c>
      <c r="F143" s="33">
        <f>+IFERROR(IF($E143=VLOOKUP($B143,Apple!$B$3:$I$176,Apple!$E$1,FALSE),VLOOKUP(Google!$B143,Apple!$B$3:$I$176,Apple!F$1,FALSE),VLOOKUP($B143,'INT Web'!$B$5:$U$247,'INT Web'!R$1,FALSE)),MROUND(VLOOKUP($B143,'INT Web'!$B$5:$AQ$247,'INT Web'!AL$1,FALSE),1)-0.01)</f>
        <v>139.99</v>
      </c>
      <c r="G143" s="72">
        <f>+IFERROR(IF($E143=VLOOKUP($B143,Apple!$B$3:$I$176,Apple!$E$1,FALSE),VLOOKUP(Google!$B143,Apple!$B$3:$I$176,Apple!G$1,FALSE),VLOOKUP($B143,'INT Web'!$B$5:$U$247,'INT Web'!S$1,FALSE)),MROUND(VLOOKUP($B143,'INT Web'!$B$5:$AQ$247,'INT Web'!AM$1,FALSE),1)-0.01)</f>
        <v>19.989999999999998</v>
      </c>
      <c r="H143" s="33">
        <f>+IFERROR(IF($E143=VLOOKUP($B143,Apple!$B$3:$I$176,Apple!$E$1,FALSE),VLOOKUP(Google!$B143,Apple!$B$3:$I$176,Apple!H$1,FALSE),VLOOKUP($B143,'INT Web'!$B$5:$U$247,'INT Web'!T$1,FALSE)),MROUND(VLOOKUP($B143,'INT Web'!$B$5:$AQ$247,'INT Web'!AN$1,FALSE),1)-0.01)</f>
        <v>109.99</v>
      </c>
      <c r="I143" s="72">
        <f>+IFERROR(IF($E143=VLOOKUP($B143,Apple!$B$3:$I$176,Apple!$E$1,FALSE),VLOOKUP(Google!$B143,Apple!$B$3:$I$176,Apple!I$1,FALSE),VLOOKUP($B143,'INT Web'!$B$5:$U$247,'INT Web'!U$1,FALSE)),MROUND(VLOOKUP($B143,'INT Web'!$B$5:$AQ$247,'INT Web'!AO$1,FALSE),1)-0.01)</f>
        <v>15.99</v>
      </c>
      <c r="J143" s="33">
        <f>+IF($E143=VLOOKUP($B143,Apple!$B$3:$E$176,4,FALSE),VLOOKUP(Google!$B143,Apple!$B$3:$M$176,Apple!J$1,FALSE),VLOOKUP($B143,'[6]Single Game'!$B$4:$P$238,'[6]Single Game'!M$1,FALSE))</f>
        <v>5.99</v>
      </c>
      <c r="K143" s="33">
        <f>+IF($E143=VLOOKUP($B143,Apple!$B$3:$E$176,4,FALSE),VLOOKUP(Google!$B143,Apple!$B$3:$M$176,Apple!K$1,FALSE),VLOOKUP($B143,'[6]Single Game'!$B$4:$P$238,'[6]Single Game'!N$1,FALSE))</f>
        <v>4.99</v>
      </c>
      <c r="L143" s="33">
        <f>+IF($E143=VLOOKUP($B143,Apple!$B$3:$E$176,4,FALSE),VLOOKUP(Google!$B143,Apple!$B$3:$M$176,Apple!L$1,FALSE),VLOOKUP($B143,'[6]Single Game'!$B$4:$P$238,'[6]Single Game'!O$1,FALSE))</f>
        <v>3.99</v>
      </c>
      <c r="M143" s="33">
        <f>+IF($E143=VLOOKUP($B143,Apple!$B$3:$E$176,4,FALSE),VLOOKUP(Google!$B143,Apple!$B$3:$M$176,Apple!M$1,FALSE),VLOOKUP($B143,'[6]Single Game'!$B$4:$P$238,'[6]Single Game'!P$1,FALSE))</f>
        <v>2.99</v>
      </c>
      <c r="O143" t="str">
        <f>IF(VLOOKUP($B143,[5]Google!$B$3:$I$174,[5]Google!F$1,FALSE)=F143,"Same","MISMATCH")</f>
        <v>Same</v>
      </c>
      <c r="P143" t="str">
        <f>IF(VLOOKUP($B143,[5]Google!$B$3:$I$174,[5]Google!G$1,FALSE)=G143,"Same","MISMATCH")</f>
        <v>Same</v>
      </c>
      <c r="Q143" t="str">
        <f>IF(VLOOKUP($B143,[5]Google!$B$3:$I$174,[5]Google!H$1,FALSE)=H143,"Same","MISMATCH")</f>
        <v>Same</v>
      </c>
      <c r="R143" t="str">
        <f>IF(VLOOKUP($B143,[5]Google!$B$3:$I$174,[5]Google!I$1,FALSE)=I143,"Same","MISMATCH")</f>
        <v>Same</v>
      </c>
      <c r="S143" t="str">
        <f>IF(VLOOKUP($B143,[5]Google!$B$3:$M$174,[5]Google!J$1,FALSE)=J143,"Same","MISMATCH")</f>
        <v>Same</v>
      </c>
      <c r="T143" t="str">
        <f>IF(VLOOKUP($B143,[5]Google!$B$3:$M$174,[5]Google!K$1,FALSE)=K143,"Same","MISMATCH")</f>
        <v>Same</v>
      </c>
      <c r="U143" t="str">
        <f>IF(VLOOKUP($B143,[5]Google!$B$3:$M$174,[5]Google!L$1,FALSE)=L143,"Same","MISMATCH")</f>
        <v>Same</v>
      </c>
      <c r="V143" t="str">
        <f>IF(VLOOKUP($B143,[5]Google!$B$3:$M$174,[5]Google!M$1,FALSE)=M143,"Same","MISMATCH")</f>
        <v>Same</v>
      </c>
    </row>
    <row r="144" spans="2:22">
      <c r="B144" t="s">
        <v>277</v>
      </c>
      <c r="C144" s="31" t="str">
        <f>+VLOOKUP(B144,'Country &amp; Code Abbreviation'!$B$3:$C$245,2,FALSE)</f>
        <v>LK</v>
      </c>
      <c r="D144" s="31" t="str">
        <f>+VLOOKUP(B144,'INT Web'!$B$5:$Q$248,16,FALSE)</f>
        <v>LKR</v>
      </c>
      <c r="E144" s="32" t="s">
        <v>429</v>
      </c>
      <c r="F144" s="33">
        <f>+IFERROR(IF($E144=VLOOKUP($B144,Apple!$B$3:$I$176,Apple!$E$1,FALSE),VLOOKUP(Google!$B144,Apple!$B$3:$I$176,Apple!F$1,FALSE),VLOOKUP($B144,'INT Web'!$B$5:$U$247,'INT Web'!R$1,FALSE)),MROUND(VLOOKUP($B144,'INT Web'!$B$5:$AQ$247,'INT Web'!AL$1,FALSE),1)-0.01)</f>
        <v>15420</v>
      </c>
      <c r="G144" s="33">
        <f>+IFERROR(IF($E144=VLOOKUP($B144,Apple!$B$3:$I$176,Apple!$E$1,FALSE),VLOOKUP(Google!$B144,Apple!$B$3:$I$176,Apple!G$1,FALSE),VLOOKUP($B144,'INT Web'!$B$5:$U$247,'INT Web'!S$1,FALSE)),MROUND(VLOOKUP($B144,'INT Web'!$B$5:$AQ$247,'INT Web'!AM$1,FALSE),1)-0.01)</f>
        <v>2570</v>
      </c>
      <c r="H144" s="33">
        <f>+IFERROR(IF($E144=VLOOKUP($B144,Apple!$B$3:$I$176,Apple!$E$1,FALSE),VLOOKUP(Google!$B144,Apple!$B$3:$I$176,Apple!H$1,FALSE),VLOOKUP($B144,'INT Web'!$B$5:$U$247,'INT Web'!T$1,FALSE)),MROUND(VLOOKUP($B144,'INT Web'!$B$5:$AQ$247,'INT Web'!AN$1,FALSE),1)-0.01)</f>
        <v>11400</v>
      </c>
      <c r="I144" s="33">
        <f>+IFERROR(IF($E144=VLOOKUP($B144,Apple!$B$3:$I$176,Apple!$E$1,FALSE),VLOOKUP(Google!$B144,Apple!$B$3:$I$176,Apple!I$1,FALSE),VLOOKUP($B144,'INT Web'!$B$5:$U$247,'INT Web'!U$1,FALSE)),MROUND(VLOOKUP($B144,'INT Web'!$B$5:$AQ$247,'INT Web'!AO$1,FALSE),1)-0.01)</f>
        <v>1900</v>
      </c>
      <c r="J144" s="33">
        <f>+IF($E144=VLOOKUP($B144,Apple!$B$3:$E$176,4,FALSE),VLOOKUP(Google!$B144,Apple!$B$3:$M$176,Apple!J$1,FALSE),VLOOKUP($B144,'[6]Single Game'!$B$4:$P$238,'[6]Single Game'!M$1,FALSE))</f>
        <v>700</v>
      </c>
      <c r="K144" s="33">
        <f>+IF($E144=VLOOKUP($B144,Apple!$B$3:$E$176,4,FALSE),VLOOKUP(Google!$B144,Apple!$B$3:$M$176,Apple!K$1,FALSE),VLOOKUP($B144,'[6]Single Game'!$B$4:$P$238,'[6]Single Game'!N$1,FALSE))</f>
        <v>700</v>
      </c>
      <c r="L144" s="33">
        <f>+IF($E144=VLOOKUP($B144,Apple!$B$3:$E$176,4,FALSE),VLOOKUP(Google!$B144,Apple!$B$3:$M$176,Apple!L$1,FALSE),VLOOKUP($B144,'[6]Single Game'!$B$4:$P$238,'[6]Single Game'!O$1,FALSE))</f>
        <v>400</v>
      </c>
      <c r="M144" s="33">
        <f>+IF($E144=VLOOKUP($B144,Apple!$B$3:$E$176,4,FALSE),VLOOKUP(Google!$B144,Apple!$B$3:$M$176,Apple!M$1,FALSE),VLOOKUP($B144,'[6]Single Game'!$B$4:$P$238,'[6]Single Game'!P$1,FALSE))</f>
        <v>400</v>
      </c>
      <c r="O144" t="str">
        <f>IF(VLOOKUP($B144,[5]Google!$B$3:$I$174,[5]Google!F$1,FALSE)=F144,"Same","MISMATCH")</f>
        <v>Same</v>
      </c>
      <c r="P144" t="str">
        <f>IF(VLOOKUP($B144,[5]Google!$B$3:$I$174,[5]Google!G$1,FALSE)=G144,"Same","MISMATCH")</f>
        <v>Same</v>
      </c>
      <c r="Q144" t="str">
        <f>IF(VLOOKUP($B144,[5]Google!$B$3:$I$174,[5]Google!H$1,FALSE)=H144,"Same","MISMATCH")</f>
        <v>Same</v>
      </c>
      <c r="R144" t="str">
        <f>IF(VLOOKUP($B144,[5]Google!$B$3:$I$174,[5]Google!I$1,FALSE)=I144,"Same","MISMATCH")</f>
        <v>Same</v>
      </c>
      <c r="S144" t="str">
        <f>IF(VLOOKUP($B144,[5]Google!$B$3:$M$174,[5]Google!J$1,FALSE)=J144,"Same","MISMATCH")</f>
        <v>Same</v>
      </c>
      <c r="T144" t="str">
        <f>IF(VLOOKUP($B144,[5]Google!$B$3:$M$174,[5]Google!K$1,FALSE)=K144,"Same","MISMATCH")</f>
        <v>Same</v>
      </c>
      <c r="U144" t="str">
        <f>IF(VLOOKUP($B144,[5]Google!$B$3:$M$174,[5]Google!L$1,FALSE)=L144,"Same","MISMATCH")</f>
        <v>Same</v>
      </c>
      <c r="V144" t="str">
        <f>IF(VLOOKUP($B144,[5]Google!$B$3:$M$174,[5]Google!M$1,FALSE)=M144,"Same","MISMATCH")</f>
        <v>Same</v>
      </c>
    </row>
    <row r="145" spans="2:22">
      <c r="B145" t="s">
        <v>280</v>
      </c>
      <c r="C145" s="31" t="str">
        <f>+VLOOKUP(B145,'Country &amp; Code Abbreviation'!$B$3:$C$245,2,FALSE)</f>
        <v>KN</v>
      </c>
      <c r="D145" s="31" t="str">
        <f>+VLOOKUP(B145,'INT Web'!$B$5:$Q$248,16,FALSE)</f>
        <v>XCD</v>
      </c>
      <c r="E145" s="32" t="s">
        <v>346</v>
      </c>
      <c r="F145" s="33">
        <f>+IFERROR(IF($E145=VLOOKUP($B145,Apple!$B$3:$I$176,Apple!$E$1,FALSE),VLOOKUP(Google!$B145,Apple!$B$3:$I$176,Apple!F$1,FALSE),VLOOKUP($B145,'INT Web'!$B$5:$U$247,'INT Web'!R$1,FALSE)),MROUND(VLOOKUP($B145,'INT Web'!$B$5:$AQ$247,'INT Web'!AL$1,FALSE),1)-0.01)</f>
        <v>99.99</v>
      </c>
      <c r="G145" s="33">
        <f>+IFERROR(IF($E145=VLOOKUP($B145,Apple!$B$3:$I$176,Apple!$E$1,FALSE),VLOOKUP(Google!$B145,Apple!$B$3:$I$176,Apple!G$1,FALSE),VLOOKUP($B145,'INT Web'!$B$5:$U$247,'INT Web'!S$1,FALSE)),MROUND(VLOOKUP($B145,'INT Web'!$B$5:$AQ$247,'INT Web'!AM$1,FALSE),1)-0.01)</f>
        <v>16.989999999999998</v>
      </c>
      <c r="H145" s="33">
        <f>+IFERROR(IF($E145=VLOOKUP($B145,Apple!$B$3:$I$176,Apple!$E$1,FALSE),VLOOKUP(Google!$B145,Apple!$B$3:$I$176,Apple!H$1,FALSE),VLOOKUP($B145,'INT Web'!$B$5:$U$247,'INT Web'!T$1,FALSE)),MROUND(VLOOKUP($B145,'INT Web'!$B$5:$AQ$247,'INT Web'!AN$1,FALSE),1)-0.01)</f>
        <v>72.989999999999995</v>
      </c>
      <c r="I145" s="33">
        <f>+IFERROR(IF($E145=VLOOKUP($B145,Apple!$B$3:$I$176,Apple!$E$1,FALSE),VLOOKUP(Google!$B145,Apple!$B$3:$I$176,Apple!I$1,FALSE),VLOOKUP($B145,'INT Web'!$B$5:$U$247,'INT Web'!U$1,FALSE)),MROUND(VLOOKUP($B145,'INT Web'!$B$5:$AQ$247,'INT Web'!AO$1,FALSE),1)-0.01)</f>
        <v>11.99</v>
      </c>
      <c r="J145" s="33">
        <f>+IF($E145=VLOOKUP($B145,Apple!$B$3:$E$176,4,FALSE),VLOOKUP(Google!$B145,Apple!$B$3:$M$176,Apple!J$1,FALSE),VLOOKUP($B145,'[6]Single Game'!$B$4:$P$238,'[6]Single Game'!M$1,FALSE))</f>
        <v>4.99</v>
      </c>
      <c r="K145" s="33">
        <f>+IF($E145=VLOOKUP($B145,Apple!$B$3:$E$176,4,FALSE),VLOOKUP(Google!$B145,Apple!$B$3:$M$176,Apple!K$1,FALSE),VLOOKUP($B145,'[6]Single Game'!$B$4:$P$238,'[6]Single Game'!N$1,FALSE))</f>
        <v>3.99</v>
      </c>
      <c r="L145" s="33">
        <f>+IF($E145=VLOOKUP($B145,Apple!$B$3:$E$176,4,FALSE),VLOOKUP(Google!$B145,Apple!$B$3:$M$176,Apple!L$1,FALSE),VLOOKUP($B145,'[6]Single Game'!$B$4:$P$238,'[6]Single Game'!O$1,FALSE))</f>
        <v>2.99</v>
      </c>
      <c r="M145" s="33">
        <f>+IF($E145=VLOOKUP($B145,Apple!$B$3:$E$176,4,FALSE),VLOOKUP(Google!$B145,Apple!$B$3:$M$176,Apple!M$1,FALSE),VLOOKUP($B145,'[6]Single Game'!$B$4:$P$238,'[6]Single Game'!P$1,FALSE))</f>
        <v>1.99</v>
      </c>
      <c r="O145" t="str">
        <f>IF(VLOOKUP($B145,[5]Google!$B$3:$I$174,[5]Google!F$1,FALSE)=F145,"Same","MISMATCH")</f>
        <v>Same</v>
      </c>
      <c r="P145" t="str">
        <f>IF(VLOOKUP($B145,[5]Google!$B$3:$I$174,[5]Google!G$1,FALSE)=G145,"Same","MISMATCH")</f>
        <v>Same</v>
      </c>
      <c r="Q145" t="str">
        <f>IF(VLOOKUP($B145,[5]Google!$B$3:$I$174,[5]Google!H$1,FALSE)=H145,"Same","MISMATCH")</f>
        <v>Same</v>
      </c>
      <c r="R145" t="str">
        <f>IF(VLOOKUP($B145,[5]Google!$B$3:$I$174,[5]Google!I$1,FALSE)=I145,"Same","MISMATCH")</f>
        <v>Same</v>
      </c>
      <c r="S145" t="str">
        <f>IF(VLOOKUP($B145,[5]Google!$B$3:$M$174,[5]Google!J$1,FALSE)=J145,"Same","MISMATCH")</f>
        <v>Same</v>
      </c>
      <c r="T145" t="str">
        <f>IF(VLOOKUP($B145,[5]Google!$B$3:$M$174,[5]Google!K$1,FALSE)=K145,"Same","MISMATCH")</f>
        <v>Same</v>
      </c>
      <c r="U145" t="str">
        <f>IF(VLOOKUP($B145,[5]Google!$B$3:$M$174,[5]Google!L$1,FALSE)=L145,"Same","MISMATCH")</f>
        <v>Same</v>
      </c>
      <c r="V145" t="str">
        <f>IF(VLOOKUP($B145,[5]Google!$B$3:$M$174,[5]Google!M$1,FALSE)=M145,"Same","MISMATCH")</f>
        <v>Same</v>
      </c>
    </row>
    <row r="146" spans="2:22">
      <c r="B146" t="s">
        <v>281</v>
      </c>
      <c r="C146" s="31" t="str">
        <f>+VLOOKUP(B146,'Country &amp; Code Abbreviation'!$B$3:$C$245,2,FALSE)</f>
        <v>LC</v>
      </c>
      <c r="D146" s="31" t="str">
        <f>+VLOOKUP(B146,'INT Web'!$B$5:$Q$248,16,FALSE)</f>
        <v>XCD</v>
      </c>
      <c r="E146" s="32" t="s">
        <v>346</v>
      </c>
      <c r="F146" s="33">
        <f>+IFERROR(IF($E146=VLOOKUP($B146,Apple!$B$3:$I$176,Apple!$E$1,FALSE),VLOOKUP(Google!$B146,Apple!$B$3:$I$176,Apple!F$1,FALSE),VLOOKUP($B146,'INT Web'!$B$5:$U$247,'INT Web'!R$1,FALSE)),MROUND(VLOOKUP($B146,'INT Web'!$B$5:$AQ$247,'INT Web'!AL$1,FALSE),1)-0.01)</f>
        <v>88.99</v>
      </c>
      <c r="G146" s="33">
        <f>+IFERROR(IF($E146=VLOOKUP($B146,Apple!$B$3:$I$176,Apple!$E$1,FALSE),VLOOKUP(Google!$B146,Apple!$B$3:$I$176,Apple!G$1,FALSE),VLOOKUP($B146,'INT Web'!$B$5:$U$247,'INT Web'!S$1,FALSE)),MROUND(VLOOKUP($B146,'INT Web'!$B$5:$AQ$247,'INT Web'!AM$1,FALSE),1)-0.01)</f>
        <v>14.99</v>
      </c>
      <c r="H146" s="33">
        <f>+IFERROR(IF($E146=VLOOKUP($B146,Apple!$B$3:$I$176,Apple!$E$1,FALSE),VLOOKUP(Google!$B146,Apple!$B$3:$I$176,Apple!H$1,FALSE),VLOOKUP($B146,'INT Web'!$B$5:$U$247,'INT Web'!T$1,FALSE)),MROUND(VLOOKUP($B146,'INT Web'!$B$5:$AQ$247,'INT Web'!AN$1,FALSE),1)-0.01)</f>
        <v>66.989999999999995</v>
      </c>
      <c r="I146" s="33">
        <f>+IFERROR(IF($E146=VLOOKUP($B146,Apple!$B$3:$I$176,Apple!$E$1,FALSE),VLOOKUP(Google!$B146,Apple!$B$3:$I$176,Apple!I$1,FALSE),VLOOKUP($B146,'INT Web'!$B$5:$U$247,'INT Web'!U$1,FALSE)),MROUND(VLOOKUP($B146,'INT Web'!$B$5:$AQ$247,'INT Web'!AO$1,FALSE),1)-0.01)</f>
        <v>10.99</v>
      </c>
      <c r="J146" s="33">
        <f>+IF($E146=VLOOKUP($B146,Apple!$B$3:$E$176,4,FALSE),VLOOKUP(Google!$B146,Apple!$B$3:$M$176,Apple!J$1,FALSE),VLOOKUP($B146,'[6]Single Game'!$B$4:$P$238,'[6]Single Game'!M$1,FALSE))</f>
        <v>3.99</v>
      </c>
      <c r="K146" s="33">
        <f>+IF($E146=VLOOKUP($B146,Apple!$B$3:$E$176,4,FALSE),VLOOKUP(Google!$B146,Apple!$B$3:$M$176,Apple!K$1,FALSE),VLOOKUP($B146,'[6]Single Game'!$B$4:$P$238,'[6]Single Game'!N$1,FALSE))</f>
        <v>2.99</v>
      </c>
      <c r="L146" s="33">
        <f>+IF($E146=VLOOKUP($B146,Apple!$B$3:$E$176,4,FALSE),VLOOKUP(Google!$B146,Apple!$B$3:$M$176,Apple!L$1,FALSE),VLOOKUP($B146,'[6]Single Game'!$B$4:$P$238,'[6]Single Game'!O$1,FALSE))</f>
        <v>1.99</v>
      </c>
      <c r="M146" s="33">
        <f>+IF($E146=VLOOKUP($B146,Apple!$B$3:$E$176,4,FALSE),VLOOKUP(Google!$B146,Apple!$B$3:$M$176,Apple!M$1,FALSE),VLOOKUP($B146,'[6]Single Game'!$B$4:$P$238,'[6]Single Game'!P$1,FALSE))</f>
        <v>0.99</v>
      </c>
      <c r="O146" t="str">
        <f>IF(VLOOKUP($B146,[5]Google!$B$3:$I$174,[5]Google!F$1,FALSE)=F146,"Same","MISMATCH")</f>
        <v>Same</v>
      </c>
      <c r="P146" t="str">
        <f>IF(VLOOKUP($B146,[5]Google!$B$3:$I$174,[5]Google!G$1,FALSE)=G146,"Same","MISMATCH")</f>
        <v>Same</v>
      </c>
      <c r="Q146" t="str">
        <f>IF(VLOOKUP($B146,[5]Google!$B$3:$I$174,[5]Google!H$1,FALSE)=H146,"Same","MISMATCH")</f>
        <v>Same</v>
      </c>
      <c r="R146" t="str">
        <f>IF(VLOOKUP($B146,[5]Google!$B$3:$I$174,[5]Google!I$1,FALSE)=I146,"Same","MISMATCH")</f>
        <v>Same</v>
      </c>
      <c r="S146" t="str">
        <f>IF(VLOOKUP($B146,[5]Google!$B$3:$M$174,[5]Google!J$1,FALSE)=J146,"Same","MISMATCH")</f>
        <v>Same</v>
      </c>
      <c r="T146" t="str">
        <f>IF(VLOOKUP($B146,[5]Google!$B$3:$M$174,[5]Google!K$1,FALSE)=K146,"Same","MISMATCH")</f>
        <v>Same</v>
      </c>
      <c r="U146" t="str">
        <f>IF(VLOOKUP($B146,[5]Google!$B$3:$M$174,[5]Google!L$1,FALSE)=L146,"Same","MISMATCH")</f>
        <v>Same</v>
      </c>
      <c r="V146" t="str">
        <f>IF(VLOOKUP($B146,[5]Google!$B$3:$M$174,[5]Google!M$1,FALSE)=M146,"Same","MISMATCH")</f>
        <v>Same</v>
      </c>
    </row>
    <row r="147" spans="2:22">
      <c r="B147" t="s">
        <v>285</v>
      </c>
      <c r="C147" s="31" t="str">
        <f>+VLOOKUP(B147,'Country &amp; Code Abbreviation'!$B$3:$C$245,2,FALSE)</f>
        <v>SR</v>
      </c>
      <c r="D147" s="31" t="str">
        <f>+VLOOKUP(B147,'INT Web'!$B$5:$Q$248,16,FALSE)</f>
        <v>SRD</v>
      </c>
      <c r="E147" s="32" t="s">
        <v>346</v>
      </c>
      <c r="F147" s="33">
        <f>+IFERROR(IF($E147=VLOOKUP($B147,Apple!$B$3:$I$176,Apple!$E$1,FALSE),VLOOKUP(Google!$B147,Apple!$B$3:$I$176,Apple!F$1,FALSE),VLOOKUP($B147,'INT Web'!$B$5:$U$247,'INT Web'!R$1,FALSE)),MROUND(VLOOKUP($B147,'INT Web'!$B$5:$AQ$247,'INT Web'!AL$1,FALSE),1)-0.01)</f>
        <v>69.989999999999995</v>
      </c>
      <c r="G147" s="33">
        <f>+IFERROR(IF($E147=VLOOKUP($B147,Apple!$B$3:$I$176,Apple!$E$1,FALSE),VLOOKUP(Google!$B147,Apple!$B$3:$I$176,Apple!G$1,FALSE),VLOOKUP($B147,'INT Web'!$B$5:$U$247,'INT Web'!S$1,FALSE)),MROUND(VLOOKUP($B147,'INT Web'!$B$5:$AQ$247,'INT Web'!AM$1,FALSE),1)-0.01)</f>
        <v>9.99</v>
      </c>
      <c r="H147" s="33">
        <f>+IFERROR(IF($E147=VLOOKUP($B147,Apple!$B$3:$I$176,Apple!$E$1,FALSE),VLOOKUP(Google!$B147,Apple!$B$3:$I$176,Apple!H$1,FALSE),VLOOKUP($B147,'INT Web'!$B$5:$U$247,'INT Web'!T$1,FALSE)),MROUND(VLOOKUP($B147,'INT Web'!$B$5:$AQ$247,'INT Web'!AN$1,FALSE),1)-0.01)</f>
        <v>62.99</v>
      </c>
      <c r="I147" s="33">
        <f>+IFERROR(IF($E147=VLOOKUP($B147,Apple!$B$3:$I$176,Apple!$E$1,FALSE),VLOOKUP(Google!$B147,Apple!$B$3:$I$176,Apple!I$1,FALSE),VLOOKUP($B147,'INT Web'!$B$5:$U$247,'INT Web'!U$1,FALSE)),MROUND(VLOOKUP($B147,'INT Web'!$B$5:$AQ$247,'INT Web'!AO$1,FALSE),1)-0.01)</f>
        <v>8.99</v>
      </c>
      <c r="J147" s="33">
        <f>+IF($E147=VLOOKUP($B147,Apple!$B$3:$E$176,4,FALSE),VLOOKUP(Google!$B147,Apple!$B$3:$M$176,Apple!J$1,FALSE),VLOOKUP($B147,'[6]Single Game'!$B$4:$P$238,'[6]Single Game'!M$1,FALSE))</f>
        <v>3.99</v>
      </c>
      <c r="K147" s="33">
        <f>+IF($E147=VLOOKUP($B147,Apple!$B$3:$E$176,4,FALSE),VLOOKUP(Google!$B147,Apple!$B$3:$M$176,Apple!K$1,FALSE),VLOOKUP($B147,'[6]Single Game'!$B$4:$P$238,'[6]Single Game'!N$1,FALSE))</f>
        <v>3.99</v>
      </c>
      <c r="L147" s="33">
        <f>+IF($E147=VLOOKUP($B147,Apple!$B$3:$E$176,4,FALSE),VLOOKUP(Google!$B147,Apple!$B$3:$M$176,Apple!L$1,FALSE),VLOOKUP($B147,'[6]Single Game'!$B$4:$P$238,'[6]Single Game'!O$1,FALSE))</f>
        <v>1.99</v>
      </c>
      <c r="M147" s="33">
        <f>+IF($E147=VLOOKUP($B147,Apple!$B$3:$E$176,4,FALSE),VLOOKUP(Google!$B147,Apple!$B$3:$M$176,Apple!M$1,FALSE),VLOOKUP($B147,'[6]Single Game'!$B$4:$P$238,'[6]Single Game'!P$1,FALSE))</f>
        <v>1.99</v>
      </c>
      <c r="O147" t="str">
        <f>IF(VLOOKUP($B147,[5]Google!$B$3:$I$174,[5]Google!F$1,FALSE)=F147,"Same","MISMATCH")</f>
        <v>Same</v>
      </c>
      <c r="P147" t="str">
        <f>IF(VLOOKUP($B147,[5]Google!$B$3:$I$174,[5]Google!G$1,FALSE)=G147,"Same","MISMATCH")</f>
        <v>Same</v>
      </c>
      <c r="Q147" t="str">
        <f>IF(VLOOKUP($B147,[5]Google!$B$3:$I$174,[5]Google!H$1,FALSE)=H147,"Same","MISMATCH")</f>
        <v>Same</v>
      </c>
      <c r="R147" t="str">
        <f>IF(VLOOKUP($B147,[5]Google!$B$3:$I$174,[5]Google!I$1,FALSE)=I147,"Same","MISMATCH")</f>
        <v>Same</v>
      </c>
      <c r="S147" t="str">
        <f>IF(VLOOKUP($B147,[5]Google!$B$3:$M$174,[5]Google!J$1,FALSE)=J147,"Same","MISMATCH")</f>
        <v>Same</v>
      </c>
      <c r="T147" t="str">
        <f>IF(VLOOKUP($B147,[5]Google!$B$3:$M$174,[5]Google!K$1,FALSE)=K147,"Same","MISMATCH")</f>
        <v>Same</v>
      </c>
      <c r="U147" t="str">
        <f>IF(VLOOKUP($B147,[5]Google!$B$3:$M$174,[5]Google!L$1,FALSE)=L147,"Same","MISMATCH")</f>
        <v>Same</v>
      </c>
      <c r="V147" t="str">
        <f>IF(VLOOKUP($B147,[5]Google!$B$3:$M$174,[5]Google!M$1,FALSE)=M147,"Same","MISMATCH")</f>
        <v>Same</v>
      </c>
    </row>
    <row r="148" spans="2:22">
      <c r="B148" t="s">
        <v>287</v>
      </c>
      <c r="C148" s="31" t="str">
        <f>+VLOOKUP(B148,'Country &amp; Code Abbreviation'!$B$3:$C$245,2,FALSE)</f>
        <v>SE</v>
      </c>
      <c r="D148" s="31" t="str">
        <f>+VLOOKUP(B148,'INT Web'!$B$5:$Q$248,16,FALSE)</f>
        <v>SEK</v>
      </c>
      <c r="E148" s="32" t="s">
        <v>400</v>
      </c>
      <c r="F148" s="33">
        <f>+IFERROR(IF($E148=VLOOKUP($B148,Apple!$B$3:$I$176,Apple!$E$1,FALSE),VLOOKUP(Google!$B148,Apple!$B$3:$I$176,Apple!F$1,FALSE),VLOOKUP($B148,'INT Web'!$B$5:$U$247,'INT Web'!R$1,FALSE)),MROUND(VLOOKUP($B148,'INT Web'!$B$5:$AQ$247,'INT Web'!AL$1,FALSE),1)-0.01)</f>
        <v>1470</v>
      </c>
      <c r="G148" s="33">
        <f>+IFERROR(IF($E148=VLOOKUP($B148,Apple!$B$3:$I$176,Apple!$E$1,FALSE),VLOOKUP(Google!$B148,Apple!$B$3:$I$176,Apple!G$1,FALSE),VLOOKUP($B148,'INT Web'!$B$5:$U$247,'INT Web'!S$1,FALSE)),MROUND(VLOOKUP($B148,'INT Web'!$B$5:$AQ$247,'INT Web'!AM$1,FALSE),1)-0.01)</f>
        <v>220</v>
      </c>
      <c r="H148" s="33">
        <f>+IFERROR(IF($E148=VLOOKUP($B148,Apple!$B$3:$I$176,Apple!$E$1,FALSE),VLOOKUP(Google!$B148,Apple!$B$3:$I$176,Apple!H$1,FALSE),VLOOKUP($B148,'INT Web'!$B$5:$U$247,'INT Web'!T$1,FALSE)),MROUND(VLOOKUP($B148,'INT Web'!$B$5:$AQ$247,'INT Web'!AN$1,FALSE),1)-0.01)</f>
        <v>1070</v>
      </c>
      <c r="I148" s="33">
        <f>+IFERROR(IF($E148=VLOOKUP($B148,Apple!$B$3:$I$176,Apple!$E$1,FALSE),VLOOKUP(Google!$B148,Apple!$B$3:$I$176,Apple!I$1,FALSE),VLOOKUP($B148,'INT Web'!$B$5:$U$247,'INT Web'!U$1,FALSE)),MROUND(VLOOKUP($B148,'INT Web'!$B$5:$AQ$247,'INT Web'!AO$1,FALSE),1)-0.01)</f>
        <v>160</v>
      </c>
      <c r="J148" s="33">
        <f>+IF($E148=VLOOKUP($B148,Apple!$B$3:$E$176,4,FALSE),VLOOKUP(Google!$B148,Apple!$B$3:$M$176,Apple!J$1,FALSE),VLOOKUP($B148,'[6]Single Game'!$B$4:$P$238,'[6]Single Game'!M$1,FALSE))</f>
        <v>55</v>
      </c>
      <c r="K148" s="33">
        <f>+IF($E148=VLOOKUP($B148,Apple!$B$3:$E$176,4,FALSE),VLOOKUP(Google!$B148,Apple!$B$3:$M$176,Apple!K$1,FALSE),VLOOKUP($B148,'[6]Single Game'!$B$4:$P$238,'[6]Single Game'!N$1,FALSE))</f>
        <v>45</v>
      </c>
      <c r="L148" s="33">
        <f>+IF($E148=VLOOKUP($B148,Apple!$B$3:$E$176,4,FALSE),VLOOKUP(Google!$B148,Apple!$B$3:$M$176,Apple!L$1,FALSE),VLOOKUP($B148,'[6]Single Game'!$B$4:$P$238,'[6]Single Game'!O$1,FALSE))</f>
        <v>30</v>
      </c>
      <c r="M148" s="33">
        <f>+IF($E148=VLOOKUP($B148,Apple!$B$3:$E$176,4,FALSE),VLOOKUP(Google!$B148,Apple!$B$3:$M$176,Apple!M$1,FALSE),VLOOKUP($B148,'[6]Single Game'!$B$4:$P$238,'[6]Single Game'!P$1,FALSE))</f>
        <v>20</v>
      </c>
      <c r="O148" t="str">
        <f>IF(VLOOKUP($B148,[5]Google!$B$3:$I$174,[5]Google!F$1,FALSE)=F148,"Same","MISMATCH")</f>
        <v>Same</v>
      </c>
      <c r="P148" t="str">
        <f>IF(VLOOKUP($B148,[5]Google!$B$3:$I$174,[5]Google!G$1,FALSE)=G148,"Same","MISMATCH")</f>
        <v>Same</v>
      </c>
      <c r="Q148" t="str">
        <f>IF(VLOOKUP($B148,[5]Google!$B$3:$I$174,[5]Google!H$1,FALSE)=H148,"Same","MISMATCH")</f>
        <v>Same</v>
      </c>
      <c r="R148" t="str">
        <f>IF(VLOOKUP($B148,[5]Google!$B$3:$I$174,[5]Google!I$1,FALSE)=I148,"Same","MISMATCH")</f>
        <v>Same</v>
      </c>
      <c r="S148" t="str">
        <f>IF(VLOOKUP($B148,[5]Google!$B$3:$M$174,[5]Google!J$1,FALSE)=J148,"Same","MISMATCH")</f>
        <v>Same</v>
      </c>
      <c r="T148" t="str">
        <f>IF(VLOOKUP($B148,[5]Google!$B$3:$M$174,[5]Google!K$1,FALSE)=K148,"Same","MISMATCH")</f>
        <v>Same</v>
      </c>
      <c r="U148" t="str">
        <f>IF(VLOOKUP($B148,[5]Google!$B$3:$M$174,[5]Google!L$1,FALSE)=L148,"Same","MISMATCH")</f>
        <v>Same</v>
      </c>
      <c r="V148" t="str">
        <f>IF(VLOOKUP($B148,[5]Google!$B$3:$M$174,[5]Google!M$1,FALSE)=M148,"Same","MISMATCH")</f>
        <v>Same</v>
      </c>
    </row>
    <row r="149" spans="2:22">
      <c r="B149" t="s">
        <v>288</v>
      </c>
      <c r="C149" s="31" t="str">
        <f>+VLOOKUP(B149,'Country &amp; Code Abbreviation'!$B$3:$C$245,2,FALSE)</f>
        <v>CH</v>
      </c>
      <c r="D149" s="31" t="str">
        <f>+VLOOKUP(B149,'INT Web'!$B$5:$Q$248,16,FALSE)</f>
        <v>CHF</v>
      </c>
      <c r="E149" s="32" t="s">
        <v>401</v>
      </c>
      <c r="F149" s="33">
        <f>+IFERROR(IF($E149=VLOOKUP($B149,Apple!$B$3:$I$176,Apple!$E$1,FALSE),VLOOKUP(Google!$B149,Apple!$B$3:$I$176,Apple!F$1,FALSE),VLOOKUP($B149,'INT Web'!$B$5:$U$247,'INT Web'!R$1,FALSE)),MROUND(VLOOKUP($B149,'INT Web'!$B$5:$AQ$247,'INT Web'!AL$1,FALSE),1)-0.01)</f>
        <v>220</v>
      </c>
      <c r="G149" s="72">
        <f>+IFERROR(IF($E149=VLOOKUP($B149,Apple!$B$3:$I$176,Apple!$E$1,FALSE),VLOOKUP(Google!$B149,Apple!$B$3:$I$176,Apple!G$1,FALSE),VLOOKUP($B149,'INT Web'!$B$5:$U$247,'INT Web'!S$1,FALSE)),MROUND(VLOOKUP($B149,'INT Web'!$B$5:$AQ$247,'INT Web'!AM$1,FALSE),1)-0.01)</f>
        <v>34</v>
      </c>
      <c r="H149" s="33">
        <f>+IFERROR(IF($E149=VLOOKUP($B149,Apple!$B$3:$I$176,Apple!$E$1,FALSE),VLOOKUP(Google!$B149,Apple!$B$3:$I$176,Apple!H$1,FALSE),VLOOKUP($B149,'INT Web'!$B$5:$U$247,'INT Web'!T$1,FALSE)),MROUND(VLOOKUP($B149,'INT Web'!$B$5:$AQ$247,'INT Web'!AN$1,FALSE),1)-0.01)</f>
        <v>160</v>
      </c>
      <c r="I149" s="72">
        <f>+IFERROR(IF($E149=VLOOKUP($B149,Apple!$B$3:$I$176,Apple!$E$1,FALSE),VLOOKUP(Google!$B149,Apple!$B$3:$I$176,Apple!I$1,FALSE),VLOOKUP($B149,'INT Web'!$B$5:$U$247,'INT Web'!U$1,FALSE)),MROUND(VLOOKUP($B149,'INT Web'!$B$5:$AQ$247,'INT Web'!AO$1,FALSE),1)-0.01)</f>
        <v>25</v>
      </c>
      <c r="J149" s="33">
        <f>+IF($E149=VLOOKUP($B149,Apple!$B$3:$E$176,4,FALSE),VLOOKUP(Google!$B149,Apple!$B$3:$M$176,Apple!J$1,FALSE),VLOOKUP($B149,'[6]Single Game'!$B$4:$P$238,'[6]Single Game'!M$1,FALSE))</f>
        <v>9</v>
      </c>
      <c r="K149" s="33">
        <f>+IF($E149=VLOOKUP($B149,Apple!$B$3:$E$176,4,FALSE),VLOOKUP(Google!$B149,Apple!$B$3:$M$176,Apple!K$1,FALSE),VLOOKUP($B149,'[6]Single Game'!$B$4:$P$238,'[6]Single Game'!N$1,FALSE))</f>
        <v>7</v>
      </c>
      <c r="L149" s="33">
        <f>+IF($E149=VLOOKUP($B149,Apple!$B$3:$E$176,4,FALSE),VLOOKUP(Google!$B149,Apple!$B$3:$M$176,Apple!L$1,FALSE),VLOOKUP($B149,'[6]Single Game'!$B$4:$P$238,'[6]Single Game'!O$1,FALSE))</f>
        <v>6</v>
      </c>
      <c r="M149" s="33">
        <f>+IF($E149=VLOOKUP($B149,Apple!$B$3:$E$176,4,FALSE),VLOOKUP(Google!$B149,Apple!$B$3:$M$176,Apple!M$1,FALSE),VLOOKUP($B149,'[6]Single Game'!$B$4:$P$238,'[6]Single Game'!P$1,FALSE))</f>
        <v>4</v>
      </c>
      <c r="O149" t="str">
        <f>IF(VLOOKUP($B149,[5]Google!$B$3:$I$174,[5]Google!F$1,FALSE)=F149,"Same","MISMATCH")</f>
        <v>Same</v>
      </c>
      <c r="P149" t="str">
        <f>IF(VLOOKUP($B149,[5]Google!$B$3:$I$174,[5]Google!G$1,FALSE)=G149,"Same","MISMATCH")</f>
        <v>Same</v>
      </c>
      <c r="Q149" t="str">
        <f>IF(VLOOKUP($B149,[5]Google!$B$3:$I$174,[5]Google!H$1,FALSE)=H149,"Same","MISMATCH")</f>
        <v>Same</v>
      </c>
      <c r="R149" t="str">
        <f>IF(VLOOKUP($B149,[5]Google!$B$3:$I$174,[5]Google!I$1,FALSE)=I149,"Same","MISMATCH")</f>
        <v>Same</v>
      </c>
      <c r="S149" t="str">
        <f>IF(VLOOKUP($B149,[5]Google!$B$3:$M$174,[5]Google!J$1,FALSE)=J149,"Same","MISMATCH")</f>
        <v>Same</v>
      </c>
      <c r="T149" t="str">
        <f>IF(VLOOKUP($B149,[5]Google!$B$3:$M$174,[5]Google!K$1,FALSE)=K149,"Same","MISMATCH")</f>
        <v>Same</v>
      </c>
      <c r="U149" t="str">
        <f>IF(VLOOKUP($B149,[5]Google!$B$3:$M$174,[5]Google!L$1,FALSE)=L149,"Same","MISMATCH")</f>
        <v>Same</v>
      </c>
      <c r="V149" t="str">
        <f>IF(VLOOKUP($B149,[5]Google!$B$3:$M$174,[5]Google!M$1,FALSE)=M149,"Same","MISMATCH")</f>
        <v>Same</v>
      </c>
    </row>
    <row r="150" spans="2:22">
      <c r="B150" t="s">
        <v>290</v>
      </c>
      <c r="C150" s="31" t="str">
        <f>+VLOOKUP(B150,'Country &amp; Code Abbreviation'!$B$3:$C$245,2,FALSE)</f>
        <v>TW</v>
      </c>
      <c r="D150" s="31" t="str">
        <f>+VLOOKUP(B150,'INT Web'!$B$5:$Q$248,16,FALSE)</f>
        <v>TWD</v>
      </c>
      <c r="E150" s="32" t="s">
        <v>402</v>
      </c>
      <c r="F150" s="33">
        <f>+IFERROR(IF($E150=VLOOKUP($B150,Apple!$B$3:$I$176,Apple!$E$1,FALSE),VLOOKUP(Google!$B150,Apple!$B$3:$I$176,Apple!F$1,FALSE),VLOOKUP($B150,'INT Web'!$B$5:$U$247,'INT Web'!R$1,FALSE)),MROUND(VLOOKUP($B150,'INT Web'!$B$5:$AQ$247,'INT Web'!AL$1,FALSE),1)-0.01)</f>
        <v>3590</v>
      </c>
      <c r="G150" s="33">
        <f>+IFERROR(IF($E150=VLOOKUP($B150,Apple!$B$3:$I$176,Apple!$E$1,FALSE),VLOOKUP(Google!$B150,Apple!$B$3:$I$176,Apple!G$1,FALSE),VLOOKUP($B150,'INT Web'!$B$5:$U$247,'INT Web'!S$1,FALSE)),MROUND(VLOOKUP($B150,'INT Web'!$B$5:$AQ$247,'INT Web'!AM$1,FALSE),1)-0.01)</f>
        <v>540</v>
      </c>
      <c r="H150" s="33">
        <f>+IFERROR(IF($E150=VLOOKUP($B150,Apple!$B$3:$I$176,Apple!$E$1,FALSE),VLOOKUP(Google!$B150,Apple!$B$3:$I$176,Apple!H$1,FALSE),VLOOKUP($B150,'INT Web'!$B$5:$U$247,'INT Web'!T$1,FALSE)),MROUND(VLOOKUP($B150,'INT Web'!$B$5:$AQ$247,'INT Web'!AN$1,FALSE),1)-0.01)</f>
        <v>2700</v>
      </c>
      <c r="I150" s="33">
        <f>+IFERROR(IF($E150=VLOOKUP($B150,Apple!$B$3:$I$176,Apple!$E$1,FALSE),VLOOKUP(Google!$B150,Apple!$B$3:$I$176,Apple!I$1,FALSE),VLOOKUP($B150,'INT Web'!$B$5:$U$247,'INT Web'!U$1,FALSE)),MROUND(VLOOKUP($B150,'INT Web'!$B$5:$AQ$247,'INT Web'!AO$1,FALSE),1)-0.01)</f>
        <v>390</v>
      </c>
      <c r="J150" s="33">
        <f>+IF($E150=VLOOKUP($B150,Apple!$B$3:$E$176,4,FALSE),VLOOKUP(Google!$B150,Apple!$B$3:$M$176,Apple!J$1,FALSE),VLOOKUP($B150,'[6]Single Game'!$B$4:$P$238,'[6]Single Game'!M$1,FALSE))</f>
        <v>130</v>
      </c>
      <c r="K150" s="33">
        <f>+IF($E150=VLOOKUP($B150,Apple!$B$3:$E$176,4,FALSE),VLOOKUP(Google!$B150,Apple!$B$3:$M$176,Apple!K$1,FALSE),VLOOKUP($B150,'[6]Single Game'!$B$4:$P$238,'[6]Single Game'!N$1,FALSE))</f>
        <v>130</v>
      </c>
      <c r="L150" s="33">
        <f>+IF($E150=VLOOKUP($B150,Apple!$B$3:$E$176,4,FALSE),VLOOKUP(Google!$B150,Apple!$B$3:$M$176,Apple!L$1,FALSE),VLOOKUP($B150,'[6]Single Game'!$B$4:$P$238,'[6]Single Game'!O$1,FALSE))</f>
        <v>70</v>
      </c>
      <c r="M150" s="33">
        <f>+IF($E150=VLOOKUP($B150,Apple!$B$3:$E$176,4,FALSE),VLOOKUP(Google!$B150,Apple!$B$3:$M$176,Apple!M$1,FALSE),VLOOKUP($B150,'[6]Single Game'!$B$4:$P$238,'[6]Single Game'!P$1,FALSE))</f>
        <v>70</v>
      </c>
      <c r="O150" t="str">
        <f>IF(VLOOKUP($B150,[5]Google!$B$3:$I$174,[5]Google!F$1,FALSE)=F150,"Same","MISMATCH")</f>
        <v>Same</v>
      </c>
      <c r="P150" t="str">
        <f>IF(VLOOKUP($B150,[5]Google!$B$3:$I$174,[5]Google!G$1,FALSE)=G150,"Same","MISMATCH")</f>
        <v>Same</v>
      </c>
      <c r="Q150" t="str">
        <f>IF(VLOOKUP($B150,[5]Google!$B$3:$I$174,[5]Google!H$1,FALSE)=H150,"Same","MISMATCH")</f>
        <v>Same</v>
      </c>
      <c r="R150" t="str">
        <f>IF(VLOOKUP($B150,[5]Google!$B$3:$I$174,[5]Google!I$1,FALSE)=I150,"Same","MISMATCH")</f>
        <v>Same</v>
      </c>
      <c r="S150" t="str">
        <f>IF(VLOOKUP($B150,[5]Google!$B$3:$M$174,[5]Google!J$1,FALSE)=J150,"Same","MISMATCH")</f>
        <v>Same</v>
      </c>
      <c r="T150" t="str">
        <f>IF(VLOOKUP($B150,[5]Google!$B$3:$M$174,[5]Google!K$1,FALSE)=K150,"Same","MISMATCH")</f>
        <v>Same</v>
      </c>
      <c r="U150" t="str">
        <f>IF(VLOOKUP($B150,[5]Google!$B$3:$M$174,[5]Google!L$1,FALSE)=L150,"Same","MISMATCH")</f>
        <v>Same</v>
      </c>
      <c r="V150" t="str">
        <f>IF(VLOOKUP($B150,[5]Google!$B$3:$M$174,[5]Google!M$1,FALSE)=M150,"Same","MISMATCH")</f>
        <v>Same</v>
      </c>
    </row>
    <row r="151" spans="2:22">
      <c r="B151" t="s">
        <v>291</v>
      </c>
      <c r="C151" s="31" t="str">
        <f>+VLOOKUP(B151,'Country &amp; Code Abbreviation'!$B$3:$C$245,2,FALSE)</f>
        <v>TJ</v>
      </c>
      <c r="D151" s="31" t="str">
        <f>+VLOOKUP(B151,'INT Web'!$B$5:$Q$248,16,FALSE)</f>
        <v>USD</v>
      </c>
      <c r="E151" s="32" t="s">
        <v>346</v>
      </c>
      <c r="F151" s="33">
        <f>+IFERROR(IF($E151=VLOOKUP($B151,Apple!$B$3:$I$176,Apple!$E$1,FALSE),VLOOKUP(Google!$B151,Apple!$B$3:$I$176,Apple!F$1,FALSE),VLOOKUP($B151,'INT Web'!$B$5:$U$247,'INT Web'!R$1,FALSE)),MROUND(VLOOKUP($B151,'INT Web'!$B$5:$AQ$247,'INT Web'!AL$1,FALSE),1)-0.01)</f>
        <v>71.989999999999995</v>
      </c>
      <c r="G151" s="33">
        <f>+IFERROR(IF($E151=VLOOKUP($B151,Apple!$B$3:$I$176,Apple!$E$1,FALSE),VLOOKUP(Google!$B151,Apple!$B$3:$I$176,Apple!G$1,FALSE),VLOOKUP($B151,'INT Web'!$B$5:$U$247,'INT Web'!S$1,FALSE)),MROUND(VLOOKUP($B151,'INT Web'!$B$5:$AQ$247,'INT Web'!AM$1,FALSE),1)-0.01)</f>
        <v>11.99</v>
      </c>
      <c r="H151" s="33">
        <f>+IFERROR(IF($E151=VLOOKUP($B151,Apple!$B$3:$I$176,Apple!$E$1,FALSE),VLOOKUP(Google!$B151,Apple!$B$3:$I$176,Apple!H$1,FALSE),VLOOKUP($B151,'INT Web'!$B$5:$U$247,'INT Web'!T$1,FALSE)),MROUND(VLOOKUP($B151,'INT Web'!$B$5:$AQ$247,'INT Web'!AN$1,FALSE),1)-0.01)</f>
        <v>53.99</v>
      </c>
      <c r="I151" s="33">
        <f>+IFERROR(IF($E151=VLOOKUP($B151,Apple!$B$3:$I$176,Apple!$E$1,FALSE),VLOOKUP(Google!$B151,Apple!$B$3:$I$176,Apple!I$1,FALSE),VLOOKUP($B151,'INT Web'!$B$5:$U$247,'INT Web'!U$1,FALSE)),MROUND(VLOOKUP($B151,'INT Web'!$B$5:$AQ$247,'INT Web'!AO$1,FALSE),1)-0.01)</f>
        <v>8.99</v>
      </c>
      <c r="J151" s="33">
        <f>+IF($E151=VLOOKUP($B151,Apple!$B$3:$E$176,4,FALSE),VLOOKUP(Google!$B151,Apple!$B$3:$M$176,Apple!J$1,FALSE),VLOOKUP($B151,'[6]Single Game'!$B$4:$P$238,'[6]Single Game'!M$1,FALSE))</f>
        <v>3.49</v>
      </c>
      <c r="K151" s="33">
        <f>+IF($E151=VLOOKUP($B151,Apple!$B$3:$E$176,4,FALSE),VLOOKUP(Google!$B151,Apple!$B$3:$M$176,Apple!K$1,FALSE),VLOOKUP($B151,'[6]Single Game'!$B$4:$P$238,'[6]Single Game'!N$1,FALSE))</f>
        <v>3.49</v>
      </c>
      <c r="L151" s="33">
        <f>+IF($E151=VLOOKUP($B151,Apple!$B$3:$E$176,4,FALSE),VLOOKUP(Google!$B151,Apple!$B$3:$M$176,Apple!L$1,FALSE),VLOOKUP($B151,'[6]Single Game'!$B$4:$P$238,'[6]Single Game'!O$1,FALSE))</f>
        <v>1.19</v>
      </c>
      <c r="M151" s="33">
        <f>+IF($E151=VLOOKUP($B151,Apple!$B$3:$E$176,4,FALSE),VLOOKUP(Google!$B151,Apple!$B$3:$M$176,Apple!M$1,FALSE),VLOOKUP($B151,'[6]Single Game'!$B$4:$P$238,'[6]Single Game'!P$1,FALSE))</f>
        <v>1.19</v>
      </c>
      <c r="O151" t="str">
        <f>IF(VLOOKUP($B151,[5]Google!$B$3:$I$174,[5]Google!F$1,FALSE)=F151,"Same","MISMATCH")</f>
        <v>Same</v>
      </c>
      <c r="P151" t="str">
        <f>IF(VLOOKUP($B151,[5]Google!$B$3:$I$174,[5]Google!G$1,FALSE)=G151,"Same","MISMATCH")</f>
        <v>Same</v>
      </c>
      <c r="Q151" t="str">
        <f>IF(VLOOKUP($B151,[5]Google!$B$3:$I$174,[5]Google!H$1,FALSE)=H151,"Same","MISMATCH")</f>
        <v>Same</v>
      </c>
      <c r="R151" t="str">
        <f>IF(VLOOKUP($B151,[5]Google!$B$3:$I$174,[5]Google!I$1,FALSE)=I151,"Same","MISMATCH")</f>
        <v>Same</v>
      </c>
      <c r="S151" t="str">
        <f>IF(VLOOKUP($B151,[5]Google!$B$3:$M$174,[5]Google!J$1,FALSE)=J151,"Same","MISMATCH")</f>
        <v>Same</v>
      </c>
      <c r="T151" t="str">
        <f>IF(VLOOKUP($B151,[5]Google!$B$3:$M$174,[5]Google!K$1,FALSE)=K151,"Same","MISMATCH")</f>
        <v>Same</v>
      </c>
      <c r="U151" t="str">
        <f>IF(VLOOKUP($B151,[5]Google!$B$3:$M$174,[5]Google!L$1,FALSE)=L151,"Same","MISMATCH")</f>
        <v>Same</v>
      </c>
      <c r="V151" t="str">
        <f>IF(VLOOKUP($B151,[5]Google!$B$3:$M$174,[5]Google!M$1,FALSE)=M151,"Same","MISMATCH")</f>
        <v>Same</v>
      </c>
    </row>
    <row r="152" spans="2:22">
      <c r="B152" t="s">
        <v>292</v>
      </c>
      <c r="C152" s="31" t="str">
        <f>+VLOOKUP(B152,'Country &amp; Code Abbreviation'!$B$3:$C$245,2,FALSE)</f>
        <v>TZ</v>
      </c>
      <c r="D152" s="31" t="str">
        <f>+VLOOKUP(B152,'INT Web'!$B$5:$Q$248,16,FALSE)</f>
        <v>TZS</v>
      </c>
      <c r="E152" s="32" t="s">
        <v>403</v>
      </c>
      <c r="F152" s="33">
        <f>+IFERROR(IF($E152=VLOOKUP($B152,Apple!$B$3:$I$176,Apple!$E$1,FALSE),VLOOKUP(Google!$B152,Apple!$B$3:$I$176,Apple!F$1,FALSE),VLOOKUP($B152,'INT Web'!$B$5:$U$247,'INT Web'!R$1,FALSE)),MROUND(VLOOKUP($B152,'INT Web'!$B$5:$AQ$247,'INT Web'!AL$1,FALSE),1)-0.01)</f>
        <v>169000</v>
      </c>
      <c r="G152" s="33">
        <f>+IFERROR(IF($E152=VLOOKUP($B152,Apple!$B$3:$I$176,Apple!$E$1,FALSE),VLOOKUP(Google!$B152,Apple!$B$3:$I$176,Apple!G$1,FALSE),VLOOKUP($B152,'INT Web'!$B$5:$U$247,'INT Web'!S$1,FALSE)),MROUND(VLOOKUP($B152,'INT Web'!$B$5:$AQ$247,'INT Web'!AM$1,FALSE),1)-0.01)</f>
        <v>28000</v>
      </c>
      <c r="H152" s="33">
        <f>+IFERROR(IF($E152=VLOOKUP($B152,Apple!$B$3:$I$176,Apple!$E$1,FALSE),VLOOKUP(Google!$B152,Apple!$B$3:$I$176,Apple!H$1,FALSE),VLOOKUP($B152,'INT Web'!$B$5:$U$247,'INT Web'!T$1,FALSE)),MROUND(VLOOKUP($B152,'INT Web'!$B$5:$AQ$247,'INT Web'!AN$1,FALSE),1)-0.01)</f>
        <v>125900</v>
      </c>
      <c r="I152" s="33">
        <f>+IFERROR(IF($E152=VLOOKUP($B152,Apple!$B$3:$I$176,Apple!$E$1,FALSE),VLOOKUP(Google!$B152,Apple!$B$3:$I$176,Apple!I$1,FALSE),VLOOKUP($B152,'INT Web'!$B$5:$U$247,'INT Web'!U$1,FALSE)),MROUND(VLOOKUP($B152,'INT Web'!$B$5:$AQ$247,'INT Web'!AO$1,FALSE),1)-0.01)</f>
        <v>20900</v>
      </c>
      <c r="J152" s="33">
        <f>+IF($E152=VLOOKUP($B152,Apple!$B$3:$E$176,4,FALSE),VLOOKUP(Google!$B152,Apple!$B$3:$M$176,Apple!J$1,FALSE),VLOOKUP($B152,'[6]Single Game'!$B$4:$P$238,'[6]Single Game'!M$1,FALSE))</f>
        <v>8900</v>
      </c>
      <c r="K152" s="33">
        <f>+IF($E152=VLOOKUP($B152,Apple!$B$3:$E$176,4,FALSE),VLOOKUP(Google!$B152,Apple!$B$3:$M$176,Apple!K$1,FALSE),VLOOKUP($B152,'[6]Single Game'!$B$4:$P$238,'[6]Single Game'!N$1,FALSE))</f>
        <v>8900</v>
      </c>
      <c r="L152" s="33">
        <f>+IF($E152=VLOOKUP($B152,Apple!$B$3:$E$176,4,FALSE),VLOOKUP(Google!$B152,Apple!$B$3:$M$176,Apple!L$1,FALSE),VLOOKUP($B152,'[6]Single Game'!$B$4:$P$238,'[6]Single Game'!O$1,FALSE))</f>
        <v>4500</v>
      </c>
      <c r="M152" s="33">
        <f>+IF($E152=VLOOKUP($B152,Apple!$B$3:$E$176,4,FALSE),VLOOKUP(Google!$B152,Apple!$B$3:$M$176,Apple!M$1,FALSE),VLOOKUP($B152,'[6]Single Game'!$B$4:$P$238,'[6]Single Game'!P$1,FALSE))</f>
        <v>4500</v>
      </c>
      <c r="O152" t="str">
        <f>IF(VLOOKUP($B152,[5]Google!$B$3:$I$174,[5]Google!F$1,FALSE)=F152,"Same","MISMATCH")</f>
        <v>Same</v>
      </c>
      <c r="P152" t="str">
        <f>IF(VLOOKUP($B152,[5]Google!$B$3:$I$174,[5]Google!G$1,FALSE)=G152,"Same","MISMATCH")</f>
        <v>Same</v>
      </c>
      <c r="Q152" t="str">
        <f>IF(VLOOKUP($B152,[5]Google!$B$3:$I$174,[5]Google!H$1,FALSE)=H152,"Same","MISMATCH")</f>
        <v>Same</v>
      </c>
      <c r="R152" t="str">
        <f>IF(VLOOKUP($B152,[5]Google!$B$3:$I$174,[5]Google!I$1,FALSE)=I152,"Same","MISMATCH")</f>
        <v>Same</v>
      </c>
      <c r="S152" t="str">
        <f>IF(VLOOKUP($B152,[5]Google!$B$3:$M$174,[5]Google!J$1,FALSE)=J152,"Same","MISMATCH")</f>
        <v>Same</v>
      </c>
      <c r="T152" t="str">
        <f>IF(VLOOKUP($B152,[5]Google!$B$3:$M$174,[5]Google!K$1,FALSE)=K152,"Same","MISMATCH")</f>
        <v>Same</v>
      </c>
      <c r="U152" t="str">
        <f>IF(VLOOKUP($B152,[5]Google!$B$3:$M$174,[5]Google!L$1,FALSE)=L152,"Same","MISMATCH")</f>
        <v>Same</v>
      </c>
      <c r="V152" t="str">
        <f>IF(VLOOKUP($B152,[5]Google!$B$3:$M$174,[5]Google!M$1,FALSE)=M152,"Same","MISMATCH")</f>
        <v>Same</v>
      </c>
    </row>
    <row r="153" spans="2:22">
      <c r="B153" t="s">
        <v>293</v>
      </c>
      <c r="C153" s="31" t="str">
        <f>+VLOOKUP(B153,'Country &amp; Code Abbreviation'!$B$3:$C$245,2,FALSE)</f>
        <v>TH</v>
      </c>
      <c r="D153" s="31" t="str">
        <f>+VLOOKUP(B153,'INT Web'!$B$5:$Q$248,16,FALSE)</f>
        <v>THB</v>
      </c>
      <c r="E153" s="32" t="s">
        <v>404</v>
      </c>
      <c r="F153" s="33">
        <f>+IFERROR(IF($E153=VLOOKUP($B153,Apple!$B$3:$I$176,Apple!$E$1,FALSE),VLOOKUP(Google!$B153,Apple!$B$3:$I$176,Apple!F$1,FALSE),VLOOKUP($B153,'INT Web'!$B$5:$U$247,'INT Web'!R$1,FALSE)),MROUND(VLOOKUP($B153,'INT Web'!$B$5:$AQ$247,'INT Web'!AL$1,FALSE),1)-0.01)</f>
        <v>2900</v>
      </c>
      <c r="G153" s="33">
        <f>+IFERROR(IF($E153=VLOOKUP($B153,Apple!$B$3:$I$176,Apple!$E$1,FALSE),VLOOKUP(Google!$B153,Apple!$B$3:$I$176,Apple!G$1,FALSE),VLOOKUP($B153,'INT Web'!$B$5:$U$247,'INT Web'!S$1,FALSE)),MROUND(VLOOKUP($B153,'INT Web'!$B$5:$AQ$247,'INT Web'!AM$1,FALSE),1)-0.01)</f>
        <v>449</v>
      </c>
      <c r="H153" s="33">
        <f>+IFERROR(IF($E153=VLOOKUP($B153,Apple!$B$3:$I$176,Apple!$E$1,FALSE),VLOOKUP(Google!$B153,Apple!$B$3:$I$176,Apple!H$1,FALSE),VLOOKUP($B153,'INT Web'!$B$5:$U$247,'INT Web'!T$1,FALSE)),MROUND(VLOOKUP($B153,'INT Web'!$B$5:$AQ$247,'INT Web'!AN$1,FALSE),1)-0.01)</f>
        <v>2100</v>
      </c>
      <c r="I153" s="33">
        <f>+IFERROR(IF($E153=VLOOKUP($B153,Apple!$B$3:$I$176,Apple!$E$1,FALSE),VLOOKUP(Google!$B153,Apple!$B$3:$I$176,Apple!I$1,FALSE),VLOOKUP($B153,'INT Web'!$B$5:$U$247,'INT Web'!U$1,FALSE)),MROUND(VLOOKUP($B153,'INT Web'!$B$5:$AQ$247,'INT Web'!AO$1,FALSE),1)-0.01)</f>
        <v>300</v>
      </c>
      <c r="J153" s="33">
        <f>+IF($E153=VLOOKUP($B153,Apple!$B$3:$E$176,4,FALSE),VLOOKUP(Google!$B153,Apple!$B$3:$M$176,Apple!J$1,FALSE),VLOOKUP($B153,'[6]Single Game'!$B$4:$P$238,'[6]Single Game'!M$1,FALSE))</f>
        <v>149</v>
      </c>
      <c r="K153" s="33">
        <f>+IF($E153=VLOOKUP($B153,Apple!$B$3:$E$176,4,FALSE),VLOOKUP(Google!$B153,Apple!$B$3:$M$176,Apple!K$1,FALSE),VLOOKUP($B153,'[6]Single Game'!$B$4:$P$238,'[6]Single Game'!N$1,FALSE))</f>
        <v>149</v>
      </c>
      <c r="L153" s="33">
        <f>+IF($E153=VLOOKUP($B153,Apple!$B$3:$E$176,4,FALSE),VLOOKUP(Google!$B153,Apple!$B$3:$M$176,Apple!L$1,FALSE),VLOOKUP($B153,'[6]Single Game'!$B$4:$P$238,'[6]Single Game'!O$1,FALSE))</f>
        <v>69</v>
      </c>
      <c r="M153" s="33">
        <f>+IF($E153=VLOOKUP($B153,Apple!$B$3:$E$176,4,FALSE),VLOOKUP(Google!$B153,Apple!$B$3:$M$176,Apple!M$1,FALSE),VLOOKUP($B153,'[6]Single Game'!$B$4:$P$238,'[6]Single Game'!P$1,FALSE))</f>
        <v>69</v>
      </c>
      <c r="O153" t="str">
        <f>IF(VLOOKUP($B153,[5]Google!$B$3:$I$174,[5]Google!F$1,FALSE)=F153,"Same","MISMATCH")</f>
        <v>Same</v>
      </c>
      <c r="P153" t="str">
        <f>IF(VLOOKUP($B153,[5]Google!$B$3:$I$174,[5]Google!G$1,FALSE)=G153,"Same","MISMATCH")</f>
        <v>Same</v>
      </c>
      <c r="Q153" t="str">
        <f>IF(VLOOKUP($B153,[5]Google!$B$3:$I$174,[5]Google!H$1,FALSE)=H153,"Same","MISMATCH")</f>
        <v>Same</v>
      </c>
      <c r="R153" t="str">
        <f>IF(VLOOKUP($B153,[5]Google!$B$3:$I$174,[5]Google!I$1,FALSE)=I153,"Same","MISMATCH")</f>
        <v>Same</v>
      </c>
      <c r="S153" t="str">
        <f>IF(VLOOKUP($B153,[5]Google!$B$3:$M$174,[5]Google!J$1,FALSE)=J153,"Same","MISMATCH")</f>
        <v>Same</v>
      </c>
      <c r="T153" t="str">
        <f>IF(VLOOKUP($B153,[5]Google!$B$3:$M$174,[5]Google!K$1,FALSE)=K153,"Same","MISMATCH")</f>
        <v>Same</v>
      </c>
      <c r="U153" t="str">
        <f>IF(VLOOKUP($B153,[5]Google!$B$3:$M$174,[5]Google!L$1,FALSE)=L153,"Same","MISMATCH")</f>
        <v>Same</v>
      </c>
      <c r="V153" t="str">
        <f>IF(VLOOKUP($B153,[5]Google!$B$3:$M$174,[5]Google!M$1,FALSE)=M153,"Same","MISMATCH")</f>
        <v>Same</v>
      </c>
    </row>
    <row r="154" spans="2:22">
      <c r="B154" s="36" t="s">
        <v>295</v>
      </c>
      <c r="C154" s="37" t="str">
        <f>+VLOOKUP(B154,'Country &amp; Code Abbreviation'!$B$3:$C$245,2,FALSE)</f>
        <v>TG</v>
      </c>
      <c r="D154" s="37" t="str">
        <f>+VLOOKUP(B154,'INT Web'!$B$5:$Q$248,16,FALSE)</f>
        <v>XOF</v>
      </c>
      <c r="E154" s="38" t="s">
        <v>368</v>
      </c>
      <c r="F154" s="39">
        <f>+MROUND(VLOOKUP($B154,'INT Web'!$B$5:$AO$247,'INT Web'!R$1,FALSE)*'FX Rates'!$F$5,1)-0.01</f>
        <v>66.989999999999995</v>
      </c>
      <c r="G154" s="39">
        <f>+MROUND(VLOOKUP($B154,'INT Web'!$B$5:$AO$247,'INT Web'!S$1,FALSE)*'FX Rates'!$F$5,1)-0.01</f>
        <v>10.99</v>
      </c>
      <c r="H154" s="39">
        <f>+MROUND(VLOOKUP($B154,'INT Web'!$B$5:$AO$247,'INT Web'!T$1,FALSE)*'FX Rates'!$F$5,1)-0.01</f>
        <v>48.99</v>
      </c>
      <c r="I154" s="39">
        <f>+MROUND(VLOOKUP($B154,'INT Web'!$B$5:$AO$247,'INT Web'!U$1,FALSE)*'FX Rates'!$F$5,1)-0.01</f>
        <v>7.99</v>
      </c>
      <c r="J154" s="39">
        <v>2.99</v>
      </c>
      <c r="K154" s="39">
        <v>2.99</v>
      </c>
      <c r="L154" s="39">
        <v>1.99</v>
      </c>
      <c r="M154" s="39">
        <v>1.99</v>
      </c>
      <c r="O154" t="str">
        <f>IF(VLOOKUP($B154,[5]Google!$B$3:$I$174,[5]Google!F$1,FALSE)=F154,"Same","MISMATCH")</f>
        <v>Same</v>
      </c>
      <c r="P154" t="str">
        <f>IF(VLOOKUP($B154,[5]Google!$B$3:$I$174,[5]Google!G$1,FALSE)=G154,"Same","MISMATCH")</f>
        <v>Same</v>
      </c>
      <c r="Q154" t="str">
        <f>IF(VLOOKUP($B154,[5]Google!$B$3:$I$174,[5]Google!H$1,FALSE)=H154,"Same","MISMATCH")</f>
        <v>Same</v>
      </c>
      <c r="R154" t="str">
        <f>IF(VLOOKUP($B154,[5]Google!$B$3:$I$174,[5]Google!I$1,FALSE)=I154,"Same","MISMATCH")</f>
        <v>Same</v>
      </c>
      <c r="S154" t="str">
        <f>IF(VLOOKUP($B154,[5]Google!$B$3:$M$174,[5]Google!J$1,FALSE)=J154,"Same","MISMATCH")</f>
        <v>Same</v>
      </c>
      <c r="T154" t="str">
        <f>IF(VLOOKUP($B154,[5]Google!$B$3:$M$174,[5]Google!K$1,FALSE)=K154,"Same","MISMATCH")</f>
        <v>Same</v>
      </c>
      <c r="U154" t="str">
        <f>IF(VLOOKUP($B154,[5]Google!$B$3:$M$174,[5]Google!L$1,FALSE)=L154,"Same","MISMATCH")</f>
        <v>Same</v>
      </c>
      <c r="V154" t="str">
        <f>IF(VLOOKUP($B154,[5]Google!$B$3:$M$174,[5]Google!M$1,FALSE)=M154,"Same","MISMATCH")</f>
        <v>Same</v>
      </c>
    </row>
    <row r="155" spans="2:22">
      <c r="B155" t="s">
        <v>297</v>
      </c>
      <c r="C155" s="31" t="str">
        <f>+VLOOKUP(B155,'Country &amp; Code Abbreviation'!$B$3:$C$245,2,FALSE)</f>
        <v>TO</v>
      </c>
      <c r="D155" s="31" t="str">
        <f>+VLOOKUP(B155,'INT Web'!$B$5:$Q$248,16,FALSE)</f>
        <v>TOP</v>
      </c>
      <c r="E155" s="32" t="s">
        <v>346</v>
      </c>
      <c r="F155" s="33">
        <f>+IFERROR(IF($E155=VLOOKUP($B155,Apple!$B$3:$I$176,Apple!$E$1,FALSE),VLOOKUP(Google!$B155,Apple!$B$3:$I$176,Apple!F$1,FALSE),VLOOKUP($B155,'INT Web'!$B$5:$U$247,'INT Web'!R$1,FALSE)),MROUND(VLOOKUP($B155,'INT Web'!$B$5:$AQ$247,'INT Web'!AL$1,FALSE),1)-0.01)</f>
        <v>79.989999999999995</v>
      </c>
      <c r="G155" s="33">
        <f>+IFERROR(IF($E155=VLOOKUP($B155,Apple!$B$3:$I$176,Apple!$E$1,FALSE),VLOOKUP(Google!$B155,Apple!$B$3:$I$176,Apple!G$1,FALSE),VLOOKUP($B155,'INT Web'!$B$5:$U$247,'INT Web'!S$1,FALSE)),MROUND(VLOOKUP($B155,'INT Web'!$B$5:$AQ$247,'INT Web'!AM$1,FALSE),1)-0.01)</f>
        <v>12.99</v>
      </c>
      <c r="H155" s="33">
        <f>+IFERROR(IF($E155=VLOOKUP($B155,Apple!$B$3:$I$176,Apple!$E$1,FALSE),VLOOKUP(Google!$B155,Apple!$B$3:$I$176,Apple!H$1,FALSE),VLOOKUP($B155,'INT Web'!$B$5:$U$247,'INT Web'!T$1,FALSE)),MROUND(VLOOKUP($B155,'INT Web'!$B$5:$AQ$247,'INT Web'!AN$1,FALSE),1)-0.01)</f>
        <v>58.99</v>
      </c>
      <c r="I155" s="33">
        <f>+IFERROR(IF($E155=VLOOKUP($B155,Apple!$B$3:$I$176,Apple!$E$1,FALSE),VLOOKUP(Google!$B155,Apple!$B$3:$I$176,Apple!I$1,FALSE),VLOOKUP($B155,'INT Web'!$B$5:$U$247,'INT Web'!U$1,FALSE)),MROUND(VLOOKUP($B155,'INT Web'!$B$5:$AQ$247,'INT Web'!AO$1,FALSE),1)-0.01)</f>
        <v>9.99</v>
      </c>
      <c r="J155" s="33">
        <f>+IF($E155=VLOOKUP($B155,Apple!$B$3:$E$176,4,FALSE),VLOOKUP(Google!$B155,Apple!$B$3:$M$176,Apple!J$1,FALSE),VLOOKUP($B155,'[6]Single Game'!$B$4:$P$238,'[6]Single Game'!M$1,FALSE))</f>
        <v>3.99</v>
      </c>
      <c r="K155" s="33">
        <f>+IF($E155=VLOOKUP($B155,Apple!$B$3:$E$176,4,FALSE),VLOOKUP(Google!$B155,Apple!$B$3:$M$176,Apple!K$1,FALSE),VLOOKUP($B155,'[6]Single Game'!$B$4:$P$238,'[6]Single Game'!N$1,FALSE))</f>
        <v>2.99</v>
      </c>
      <c r="L155" s="33">
        <f>+IF($E155=VLOOKUP($B155,Apple!$B$3:$E$176,4,FALSE),VLOOKUP(Google!$B155,Apple!$B$3:$M$176,Apple!L$1,FALSE),VLOOKUP($B155,'[6]Single Game'!$B$4:$P$238,'[6]Single Game'!O$1,FALSE))</f>
        <v>1.99</v>
      </c>
      <c r="M155" s="33">
        <f>+IF($E155=VLOOKUP($B155,Apple!$B$3:$E$176,4,FALSE),VLOOKUP(Google!$B155,Apple!$B$3:$M$176,Apple!M$1,FALSE),VLOOKUP($B155,'[6]Single Game'!$B$4:$P$238,'[6]Single Game'!P$1,FALSE))</f>
        <v>0.99</v>
      </c>
      <c r="O155" t="str">
        <f>IF(VLOOKUP($B155,[5]Google!$B$3:$I$174,[5]Google!F$1,FALSE)=F155,"Same","MISMATCH")</f>
        <v>Same</v>
      </c>
      <c r="P155" t="str">
        <f>IF(VLOOKUP($B155,[5]Google!$B$3:$I$174,[5]Google!G$1,FALSE)=G155,"Same","MISMATCH")</f>
        <v>Same</v>
      </c>
      <c r="Q155" t="str">
        <f>IF(VLOOKUP($B155,[5]Google!$B$3:$I$174,[5]Google!H$1,FALSE)=H155,"Same","MISMATCH")</f>
        <v>Same</v>
      </c>
      <c r="R155" t="str">
        <f>IF(VLOOKUP($B155,[5]Google!$B$3:$I$174,[5]Google!I$1,FALSE)=I155,"Same","MISMATCH")</f>
        <v>Same</v>
      </c>
      <c r="S155" t="str">
        <f>IF(VLOOKUP($B155,[5]Google!$B$3:$M$174,[5]Google!J$1,FALSE)=J155,"Same","MISMATCH")</f>
        <v>Same</v>
      </c>
      <c r="T155" t="str">
        <f>IF(VLOOKUP($B155,[5]Google!$B$3:$M$174,[5]Google!K$1,FALSE)=K155,"Same","MISMATCH")</f>
        <v>Same</v>
      </c>
      <c r="U155" t="str">
        <f>IF(VLOOKUP($B155,[5]Google!$B$3:$M$174,[5]Google!L$1,FALSE)=L155,"Same","MISMATCH")</f>
        <v>Same</v>
      </c>
      <c r="V155" t="str">
        <f>IF(VLOOKUP($B155,[5]Google!$B$3:$M$174,[5]Google!M$1,FALSE)=M155,"Same","MISMATCH")</f>
        <v>Same</v>
      </c>
    </row>
    <row r="156" spans="2:22">
      <c r="B156" t="s">
        <v>298</v>
      </c>
      <c r="C156" s="31" t="str">
        <f>+VLOOKUP(B156,'Country &amp; Code Abbreviation'!$B$3:$C$245,2,FALSE)</f>
        <v>TT</v>
      </c>
      <c r="D156" s="31" t="str">
        <f>+VLOOKUP(B156,'INT Web'!$B$5:$Q$248,16,FALSE)</f>
        <v>TTD</v>
      </c>
      <c r="E156" s="32" t="s">
        <v>346</v>
      </c>
      <c r="F156" s="33">
        <f>+IFERROR(IF($E156=VLOOKUP($B156,Apple!$B$3:$I$176,Apple!$E$1,FALSE),VLOOKUP(Google!$B156,Apple!$B$3:$I$176,Apple!F$1,FALSE),VLOOKUP($B156,'INT Web'!$B$5:$U$247,'INT Web'!R$1,FALSE)),MROUND(VLOOKUP($B156,'INT Web'!$B$5:$AQ$247,'INT Web'!AL$1,FALSE),1)-0.01)</f>
        <v>101.99</v>
      </c>
      <c r="G156" s="33">
        <f>+IFERROR(IF($E156=VLOOKUP($B156,Apple!$B$3:$I$176,Apple!$E$1,FALSE),VLOOKUP(Google!$B156,Apple!$B$3:$I$176,Apple!G$1,FALSE),VLOOKUP($B156,'INT Web'!$B$5:$U$247,'INT Web'!S$1,FALSE)),MROUND(VLOOKUP($B156,'INT Web'!$B$5:$AQ$247,'INT Web'!AM$1,FALSE),1)-0.01)</f>
        <v>16.989999999999998</v>
      </c>
      <c r="H156" s="33">
        <f>+IFERROR(IF($E156=VLOOKUP($B156,Apple!$B$3:$I$176,Apple!$E$1,FALSE),VLOOKUP(Google!$B156,Apple!$B$3:$I$176,Apple!H$1,FALSE),VLOOKUP($B156,'INT Web'!$B$5:$U$247,'INT Web'!T$1,FALSE)),MROUND(VLOOKUP($B156,'INT Web'!$B$5:$AQ$247,'INT Web'!AN$1,FALSE),1)-0.01)</f>
        <v>71.989999999999995</v>
      </c>
      <c r="I156" s="33">
        <f>+IFERROR(IF($E156=VLOOKUP($B156,Apple!$B$3:$I$176,Apple!$E$1,FALSE),VLOOKUP(Google!$B156,Apple!$B$3:$I$176,Apple!I$1,FALSE),VLOOKUP($B156,'INT Web'!$B$5:$U$247,'INT Web'!U$1,FALSE)),MROUND(VLOOKUP($B156,'INT Web'!$B$5:$AQ$247,'INT Web'!AO$1,FALSE),1)-0.01)</f>
        <v>11.99</v>
      </c>
      <c r="J156" s="33">
        <f>+IF($E156=VLOOKUP($B156,Apple!$B$3:$E$176,4,FALSE),VLOOKUP(Google!$B156,Apple!$B$3:$M$176,Apple!J$1,FALSE),VLOOKUP($B156,'[6]Single Game'!$B$4:$P$238,'[6]Single Game'!M$1,FALSE))</f>
        <v>3.99</v>
      </c>
      <c r="K156" s="33">
        <f>+IF($E156=VLOOKUP($B156,Apple!$B$3:$E$176,4,FALSE),VLOOKUP(Google!$B156,Apple!$B$3:$M$176,Apple!K$1,FALSE),VLOOKUP($B156,'[6]Single Game'!$B$4:$P$238,'[6]Single Game'!N$1,FALSE))</f>
        <v>3.99</v>
      </c>
      <c r="L156" s="33">
        <f>+IF($E156=VLOOKUP($B156,Apple!$B$3:$E$176,4,FALSE),VLOOKUP(Google!$B156,Apple!$B$3:$M$176,Apple!L$1,FALSE),VLOOKUP($B156,'[6]Single Game'!$B$4:$P$238,'[6]Single Game'!O$1,FALSE))</f>
        <v>2.99</v>
      </c>
      <c r="M156" s="33">
        <f>+IF($E156=VLOOKUP($B156,Apple!$B$3:$E$176,4,FALSE),VLOOKUP(Google!$B156,Apple!$B$3:$M$176,Apple!M$1,FALSE),VLOOKUP($B156,'[6]Single Game'!$B$4:$P$238,'[6]Single Game'!P$1,FALSE))</f>
        <v>1.99</v>
      </c>
      <c r="O156" t="str">
        <f>IF(VLOOKUP($B156,[5]Google!$B$3:$I$174,[5]Google!F$1,FALSE)=F156,"Same","MISMATCH")</f>
        <v>Same</v>
      </c>
      <c r="P156" t="str">
        <f>IF(VLOOKUP($B156,[5]Google!$B$3:$I$174,[5]Google!G$1,FALSE)=G156,"Same","MISMATCH")</f>
        <v>Same</v>
      </c>
      <c r="Q156" t="str">
        <f>IF(VLOOKUP($B156,[5]Google!$B$3:$I$174,[5]Google!H$1,FALSE)=H156,"Same","MISMATCH")</f>
        <v>Same</v>
      </c>
      <c r="R156" t="str">
        <f>IF(VLOOKUP($B156,[5]Google!$B$3:$I$174,[5]Google!I$1,FALSE)=I156,"Same","MISMATCH")</f>
        <v>Same</v>
      </c>
      <c r="S156" t="str">
        <f>IF(VLOOKUP($B156,[5]Google!$B$3:$M$174,[5]Google!J$1,FALSE)=J156,"Same","MISMATCH")</f>
        <v>Same</v>
      </c>
      <c r="T156" t="str">
        <f>IF(VLOOKUP($B156,[5]Google!$B$3:$M$174,[5]Google!K$1,FALSE)=K156,"Same","MISMATCH")</f>
        <v>Same</v>
      </c>
      <c r="U156" t="str">
        <f>IF(VLOOKUP($B156,[5]Google!$B$3:$M$174,[5]Google!L$1,FALSE)=L156,"Same","MISMATCH")</f>
        <v>Same</v>
      </c>
      <c r="V156" t="str">
        <f>IF(VLOOKUP($B156,[5]Google!$B$3:$M$174,[5]Google!M$1,FALSE)=M156,"Same","MISMATCH")</f>
        <v>Same</v>
      </c>
    </row>
    <row r="157" spans="2:22">
      <c r="B157" t="s">
        <v>299</v>
      </c>
      <c r="C157" s="31" t="str">
        <f>+VLOOKUP(B157,'Country &amp; Code Abbreviation'!$B$3:$C$245,2,FALSE)</f>
        <v>TN</v>
      </c>
      <c r="D157" s="31" t="str">
        <f>+VLOOKUP(B157,'INT Web'!$B$5:$Q$248,16,FALSE)</f>
        <v>TND</v>
      </c>
      <c r="E157" s="32" t="s">
        <v>346</v>
      </c>
      <c r="F157" s="33">
        <f>+IFERROR(IF($E157=VLOOKUP($B157,Apple!$B$3:$I$176,Apple!$E$1,FALSE),VLOOKUP(Google!$B157,Apple!$B$3:$I$176,Apple!F$1,FALSE),VLOOKUP($B157,'INT Web'!$B$5:$U$247,'INT Web'!R$1,FALSE)),MROUND(VLOOKUP($B157,'INT Web'!$B$5:$AQ$247,'INT Web'!AL$1,FALSE),1)-0.01)</f>
        <v>69.989999999999995</v>
      </c>
      <c r="G157" s="33">
        <f>+IFERROR(IF($E157=VLOOKUP($B157,Apple!$B$3:$I$176,Apple!$E$1,FALSE),VLOOKUP(Google!$B157,Apple!$B$3:$I$176,Apple!G$1,FALSE),VLOOKUP($B157,'INT Web'!$B$5:$U$247,'INT Web'!S$1,FALSE)),MROUND(VLOOKUP($B157,'INT Web'!$B$5:$AQ$247,'INT Web'!AM$1,FALSE),1)-0.01)</f>
        <v>11.99</v>
      </c>
      <c r="H157" s="33">
        <f>+IFERROR(IF($E157=VLOOKUP($B157,Apple!$B$3:$I$176,Apple!$E$1,FALSE),VLOOKUP(Google!$B157,Apple!$B$3:$I$176,Apple!H$1,FALSE),VLOOKUP($B157,'INT Web'!$B$5:$U$247,'INT Web'!T$1,FALSE)),MROUND(VLOOKUP($B157,'INT Web'!$B$5:$AQ$247,'INT Web'!AN$1,FALSE),1)-0.01)</f>
        <v>51.99</v>
      </c>
      <c r="I157" s="33">
        <f>+IFERROR(IF($E157=VLOOKUP($B157,Apple!$B$3:$I$176,Apple!$E$1,FALSE),VLOOKUP(Google!$B157,Apple!$B$3:$I$176,Apple!I$1,FALSE),VLOOKUP($B157,'INT Web'!$B$5:$U$247,'INT Web'!U$1,FALSE)),MROUND(VLOOKUP($B157,'INT Web'!$B$5:$AQ$247,'INT Web'!AO$1,FALSE),1)-0.01)</f>
        <v>8.99</v>
      </c>
      <c r="J157" s="33">
        <f>+IF($E157=VLOOKUP($B157,Apple!$B$3:$E$176,4,FALSE),VLOOKUP(Google!$B157,Apple!$B$3:$M$176,Apple!J$1,FALSE),VLOOKUP($B157,'[6]Single Game'!$B$4:$P$238,'[6]Single Game'!M$1,FALSE))</f>
        <v>2.99</v>
      </c>
      <c r="K157" s="33">
        <f>+IF($E157=VLOOKUP($B157,Apple!$B$3:$E$176,4,FALSE),VLOOKUP(Google!$B157,Apple!$B$3:$M$176,Apple!K$1,FALSE),VLOOKUP($B157,'[6]Single Game'!$B$4:$P$238,'[6]Single Game'!N$1,FALSE))</f>
        <v>2.99</v>
      </c>
      <c r="L157" s="33">
        <f>+IF($E157=VLOOKUP($B157,Apple!$B$3:$E$176,4,FALSE),VLOOKUP(Google!$B157,Apple!$B$3:$M$176,Apple!L$1,FALSE),VLOOKUP($B157,'[6]Single Game'!$B$4:$P$238,'[6]Single Game'!O$1,FALSE))</f>
        <v>1.99</v>
      </c>
      <c r="M157" s="33">
        <f>+IF($E157=VLOOKUP($B157,Apple!$B$3:$E$176,4,FALSE),VLOOKUP(Google!$B157,Apple!$B$3:$M$176,Apple!M$1,FALSE),VLOOKUP($B157,'[6]Single Game'!$B$4:$P$238,'[6]Single Game'!P$1,FALSE))</f>
        <v>1.99</v>
      </c>
      <c r="O157" t="str">
        <f>IF(VLOOKUP($B157,[5]Google!$B$3:$I$174,[5]Google!F$1,FALSE)=F157,"Same","MISMATCH")</f>
        <v>Same</v>
      </c>
      <c r="P157" t="str">
        <f>IF(VLOOKUP($B157,[5]Google!$B$3:$I$174,[5]Google!G$1,FALSE)=G157,"Same","MISMATCH")</f>
        <v>Same</v>
      </c>
      <c r="Q157" t="str">
        <f>IF(VLOOKUP($B157,[5]Google!$B$3:$I$174,[5]Google!H$1,FALSE)=H157,"Same","MISMATCH")</f>
        <v>Same</v>
      </c>
      <c r="R157" t="str">
        <f>IF(VLOOKUP($B157,[5]Google!$B$3:$I$174,[5]Google!I$1,FALSE)=I157,"Same","MISMATCH")</f>
        <v>Same</v>
      </c>
      <c r="S157" t="str">
        <f>IF(VLOOKUP($B157,[5]Google!$B$3:$M$174,[5]Google!J$1,FALSE)=J157,"Same","MISMATCH")</f>
        <v>Same</v>
      </c>
      <c r="T157" t="str">
        <f>IF(VLOOKUP($B157,[5]Google!$B$3:$M$174,[5]Google!K$1,FALSE)=K157,"Same","MISMATCH")</f>
        <v>Same</v>
      </c>
      <c r="U157" t="str">
        <f>IF(VLOOKUP($B157,[5]Google!$B$3:$M$174,[5]Google!L$1,FALSE)=L157,"Same","MISMATCH")</f>
        <v>Same</v>
      </c>
      <c r="V157" t="str">
        <f>IF(VLOOKUP($B157,[5]Google!$B$3:$M$174,[5]Google!M$1,FALSE)=M157,"Same","MISMATCH")</f>
        <v>Same</v>
      </c>
    </row>
    <row r="158" spans="2:22">
      <c r="B158" s="73" t="s">
        <v>300</v>
      </c>
      <c r="C158" s="110" t="str">
        <f>+VLOOKUP(B158,'Country &amp; Code Abbreviation'!$B$3:$C$245,2,FALSE)</f>
        <v>TR</v>
      </c>
      <c r="D158" s="31" t="str">
        <f>+VLOOKUP(B158,'INT Web'!$B$5:$Q$248,16,FALSE)</f>
        <v>TRY</v>
      </c>
      <c r="E158" s="32" t="s">
        <v>406</v>
      </c>
      <c r="F158" s="109">
        <f>+IFERROR(IF($E158=VLOOKUP($B158,Apple!$B$3:$I$176,Apple!$E$1,FALSE),VLOOKUP(Google!$B158,Apple!$B$3:$I$176,Apple!F$1,FALSE),VLOOKUP($B158,'INT Web'!$B$5:$U$247,'INT Web'!R$1,FALSE)),MROUND(VLOOKUP($B158,'INT Web'!$B$5:$AQ$247,'INT Web'!AL$1,FALSE),1)-0.01)</f>
        <v>2349.9899999999998</v>
      </c>
      <c r="G158" s="109">
        <f>+IFERROR(IF($E158=VLOOKUP($B158,Apple!$B$3:$I$176,Apple!$E$1,FALSE),VLOOKUP(Google!$B158,Apple!$B$3:$I$176,Apple!G$1,FALSE),VLOOKUP($B158,'INT Web'!$B$5:$U$247,'INT Web'!S$1,FALSE)),MROUND(VLOOKUP($B158,'INT Web'!$B$5:$AQ$247,'INT Web'!AM$1,FALSE),1)-0.01)</f>
        <v>359</v>
      </c>
      <c r="H158" s="109">
        <f>+IFERROR(IF($E158=VLOOKUP($B158,Apple!$B$3:$I$176,Apple!$E$1,FALSE),VLOOKUP(Google!$B158,Apple!$B$3:$I$176,Apple!H$1,FALSE),VLOOKUP($B158,'INT Web'!$B$5:$U$247,'INT Web'!T$1,FALSE)),MROUND(VLOOKUP($B158,'INT Web'!$B$5:$AQ$247,'INT Web'!AN$1,FALSE),1)-0.01)</f>
        <v>1719.99</v>
      </c>
      <c r="I158" s="109">
        <f>+IFERROR(IF($E158=VLOOKUP($B158,Apple!$B$3:$I$176,Apple!$E$1,FALSE),VLOOKUP(Google!$B158,Apple!$B$3:$I$176,Apple!I$1,FALSE),VLOOKUP($B158,'INT Web'!$B$5:$U$247,'INT Web'!U$1,FALSE)),MROUND(VLOOKUP($B158,'INT Web'!$B$5:$AQ$247,'INT Web'!AO$1,FALSE),1)-0.01)</f>
        <v>204.99</v>
      </c>
      <c r="J158" s="109">
        <f>+IF($E158=VLOOKUP($B158,Apple!$B$3:$E$176,4,FALSE),VLOOKUP(Google!$B158,Apple!$B$3:$M$176,Apple!J$1,FALSE),VLOOKUP($B158,'[6]Single Game'!$B$4:$P$238,'[6]Single Game'!M$1,FALSE))</f>
        <v>99.99</v>
      </c>
      <c r="K158" s="109">
        <f>+IF($E158=VLOOKUP($B158,Apple!$B$3:$E$176,4,FALSE),VLOOKUP(Google!$B158,Apple!$B$3:$M$176,Apple!K$1,FALSE),VLOOKUP($B158,'[6]Single Game'!$B$4:$P$238,'[6]Single Game'!N$1,FALSE))</f>
        <v>99.99</v>
      </c>
      <c r="L158" s="109">
        <f>+IF($E158=VLOOKUP($B158,Apple!$B$3:$E$176,4,FALSE),VLOOKUP(Google!$B158,Apple!$B$3:$M$176,Apple!L$1,FALSE),VLOOKUP($B158,'[6]Single Game'!$B$4:$P$238,'[6]Single Game'!O$1,FALSE))</f>
        <v>56.99</v>
      </c>
      <c r="M158" s="109">
        <f>+IF($E158=VLOOKUP($B158,Apple!$B$3:$E$176,4,FALSE),VLOOKUP(Google!$B158,Apple!$B$3:$M$176,Apple!M$1,FALSE),VLOOKUP($B158,'[6]Single Game'!$B$4:$P$238,'[6]Single Game'!P$1,FALSE))</f>
        <v>56.99</v>
      </c>
      <c r="O158" t="str">
        <f>IF(VLOOKUP($B158,[5]Google!$B$3:$I$174,[5]Google!F$1,FALSE)=F158,"Same","MISMATCH")</f>
        <v>MISMATCH</v>
      </c>
      <c r="P158" t="str">
        <f>IF(VLOOKUP($B158,[5]Google!$B$3:$I$174,[5]Google!G$1,FALSE)=G158,"Same","MISMATCH")</f>
        <v>MISMATCH</v>
      </c>
      <c r="Q158" t="str">
        <f>IF(VLOOKUP($B158,[5]Google!$B$3:$I$174,[5]Google!H$1,FALSE)=H158,"Same","MISMATCH")</f>
        <v>MISMATCH</v>
      </c>
      <c r="R158" t="str">
        <f>IF(VLOOKUP($B158,[5]Google!$B$3:$I$174,[5]Google!I$1,FALSE)=I158,"Same","MISMATCH")</f>
        <v>MISMATCH</v>
      </c>
      <c r="S158" t="str">
        <f>IF(VLOOKUP($B158,[5]Google!$B$3:$M$174,[5]Google!J$1,FALSE)=J158,"Same","MISMATCH")</f>
        <v>MISMATCH</v>
      </c>
      <c r="T158" t="str">
        <f>IF(VLOOKUP($B158,[5]Google!$B$3:$M$174,[5]Google!K$1,FALSE)=K158,"Same","MISMATCH")</f>
        <v>MISMATCH</v>
      </c>
      <c r="U158" t="str">
        <f>IF(VLOOKUP($B158,[5]Google!$B$3:$M$174,[5]Google!L$1,FALSE)=L158,"Same","MISMATCH")</f>
        <v>MISMATCH</v>
      </c>
      <c r="V158" t="str">
        <f>IF(VLOOKUP($B158,[5]Google!$B$3:$M$174,[5]Google!M$1,FALSE)=M158,"Same","MISMATCH")</f>
        <v>MISMATCH</v>
      </c>
    </row>
    <row r="159" spans="2:22">
      <c r="B159" t="s">
        <v>301</v>
      </c>
      <c r="C159" s="31" t="str">
        <f>+VLOOKUP(B159,'Country &amp; Code Abbreviation'!$B$3:$C$245,2,FALSE)</f>
        <v>TM</v>
      </c>
      <c r="D159" s="31" t="str">
        <f>+VLOOKUP(B159,'INT Web'!$B$5:$Q$248,16,FALSE)</f>
        <v>USD</v>
      </c>
      <c r="E159" s="32" t="s">
        <v>346</v>
      </c>
      <c r="F159" s="33">
        <f>+IFERROR(IF($E159=VLOOKUP($B159,Apple!$B$3:$I$176,Apple!$E$1,FALSE),VLOOKUP(Google!$B159,Apple!$B$3:$I$176,Apple!F$1,FALSE),VLOOKUP($B159,'INT Web'!$B$5:$U$247,'INT Web'!R$1,FALSE)),MROUND(VLOOKUP($B159,'INT Web'!$B$5:$AQ$247,'INT Web'!AL$1,FALSE),1)-0.01)</f>
        <v>89.99</v>
      </c>
      <c r="G159" s="33">
        <f>+IFERROR(IF($E159=VLOOKUP($B159,Apple!$B$3:$I$176,Apple!$E$1,FALSE),VLOOKUP(Google!$B159,Apple!$B$3:$I$176,Apple!G$1,FALSE),VLOOKUP($B159,'INT Web'!$B$5:$U$247,'INT Web'!S$1,FALSE)),MROUND(VLOOKUP($B159,'INT Web'!$B$5:$AQ$247,'INT Web'!AM$1,FALSE),1)-0.01)</f>
        <v>14.99</v>
      </c>
      <c r="H159" s="33">
        <f>+IFERROR(IF($E159=VLOOKUP($B159,Apple!$B$3:$I$176,Apple!$E$1,FALSE),VLOOKUP(Google!$B159,Apple!$B$3:$I$176,Apple!H$1,FALSE),VLOOKUP($B159,'INT Web'!$B$5:$U$247,'INT Web'!T$1,FALSE)),MROUND(VLOOKUP($B159,'INT Web'!$B$5:$AQ$247,'INT Web'!AN$1,FALSE),1)-0.01)</f>
        <v>65.989999999999995</v>
      </c>
      <c r="I159" s="33">
        <f>+IFERROR(IF($E159=VLOOKUP($B159,Apple!$B$3:$I$176,Apple!$E$1,FALSE),VLOOKUP(Google!$B159,Apple!$B$3:$I$176,Apple!I$1,FALSE),VLOOKUP($B159,'INT Web'!$B$5:$U$247,'INT Web'!U$1,FALSE)),MROUND(VLOOKUP($B159,'INT Web'!$B$5:$AQ$247,'INT Web'!AO$1,FALSE),1)-0.01)</f>
        <v>10.99</v>
      </c>
      <c r="J159" s="33">
        <f>+IF($E159=VLOOKUP($B159,Apple!$B$3:$E$176,4,FALSE),VLOOKUP(Google!$B159,Apple!$B$3:$M$176,Apple!J$1,FALSE),VLOOKUP($B159,'[6]Single Game'!$B$4:$P$238,'[6]Single Game'!M$1,FALSE))</f>
        <v>4.99</v>
      </c>
      <c r="K159" s="33">
        <f>+IF($E159=VLOOKUP($B159,Apple!$B$3:$E$176,4,FALSE),VLOOKUP(Google!$B159,Apple!$B$3:$M$176,Apple!K$1,FALSE),VLOOKUP($B159,'[6]Single Game'!$B$4:$P$238,'[6]Single Game'!N$1,FALSE))</f>
        <v>3.99</v>
      </c>
      <c r="L159" s="33">
        <f>+IF($E159=VLOOKUP($B159,Apple!$B$3:$E$176,4,FALSE),VLOOKUP(Google!$B159,Apple!$B$3:$M$176,Apple!L$1,FALSE),VLOOKUP($B159,'[6]Single Game'!$B$4:$P$238,'[6]Single Game'!O$1,FALSE))</f>
        <v>2.99</v>
      </c>
      <c r="M159" s="33">
        <f>+IF($E159=VLOOKUP($B159,Apple!$B$3:$E$176,4,FALSE),VLOOKUP(Google!$B159,Apple!$B$3:$M$176,Apple!M$1,FALSE),VLOOKUP($B159,'[6]Single Game'!$B$4:$P$238,'[6]Single Game'!P$1,FALSE))</f>
        <v>1.9900000000000002</v>
      </c>
      <c r="O159" t="str">
        <f>IF(VLOOKUP($B159,[5]Google!$B$3:$I$174,[5]Google!F$1,FALSE)=F159,"Same","MISMATCH")</f>
        <v>Same</v>
      </c>
      <c r="P159" t="str">
        <f>IF(VLOOKUP($B159,[5]Google!$B$3:$I$174,[5]Google!G$1,FALSE)=G159,"Same","MISMATCH")</f>
        <v>Same</v>
      </c>
      <c r="Q159" t="str">
        <f>IF(VLOOKUP($B159,[5]Google!$B$3:$I$174,[5]Google!H$1,FALSE)=H159,"Same","MISMATCH")</f>
        <v>Same</v>
      </c>
      <c r="R159" t="str">
        <f>IF(VLOOKUP($B159,[5]Google!$B$3:$I$174,[5]Google!I$1,FALSE)=I159,"Same","MISMATCH")</f>
        <v>Same</v>
      </c>
      <c r="S159" t="str">
        <f>IF(VLOOKUP($B159,[5]Google!$B$3:$M$174,[5]Google!J$1,FALSE)=J159,"Same","MISMATCH")</f>
        <v>Same</v>
      </c>
      <c r="T159" t="str">
        <f>IF(VLOOKUP($B159,[5]Google!$B$3:$M$174,[5]Google!K$1,FALSE)=K159,"Same","MISMATCH")</f>
        <v>Same</v>
      </c>
      <c r="U159" t="str">
        <f>IF(VLOOKUP($B159,[5]Google!$B$3:$M$174,[5]Google!L$1,FALSE)=L159,"Same","MISMATCH")</f>
        <v>Same</v>
      </c>
      <c r="V159" t="str">
        <f>IF(VLOOKUP($B159,[5]Google!$B$3:$M$174,[5]Google!M$1,FALSE)=M159,"Same","MISMATCH")</f>
        <v>Same</v>
      </c>
    </row>
    <row r="160" spans="2:22">
      <c r="B160" t="s">
        <v>407</v>
      </c>
      <c r="C160" s="31" t="str">
        <f>+VLOOKUP(B160,'Country &amp; Code Abbreviation'!$B$3:$C$245,2,FALSE)</f>
        <v>TC</v>
      </c>
      <c r="D160" s="31" t="str">
        <f>+VLOOKUP(B160,'INT Web'!$B$5:$Q$248,16,FALSE)</f>
        <v>USD</v>
      </c>
      <c r="E160" s="32" t="s">
        <v>346</v>
      </c>
      <c r="F160" s="33">
        <f>+IFERROR(IF($E160=VLOOKUP($B160,Apple!$B$3:$I$176,Apple!$E$1,FALSE),VLOOKUP(Google!$B160,Apple!$B$3:$I$176,Apple!F$1,FALSE),VLOOKUP($B160,'INT Web'!$B$5:$U$247,'INT Web'!R$1,FALSE)),MROUND(VLOOKUP($B160,'INT Web'!$B$5:$AQ$247,'INT Web'!AL$1,FALSE),1)-0.01)</f>
        <v>102.99</v>
      </c>
      <c r="G160" s="33">
        <f>+IFERROR(IF($E160=VLOOKUP($B160,Apple!$B$3:$I$176,Apple!$E$1,FALSE),VLOOKUP(Google!$B160,Apple!$B$3:$I$176,Apple!G$1,FALSE),VLOOKUP($B160,'INT Web'!$B$5:$U$247,'INT Web'!S$1,FALSE)),MROUND(VLOOKUP($B160,'INT Web'!$B$5:$AQ$247,'INT Web'!AM$1,FALSE),1)-0.01)</f>
        <v>16.989999999999998</v>
      </c>
      <c r="H160" s="33">
        <f>+IFERROR(IF($E160=VLOOKUP($B160,Apple!$B$3:$I$176,Apple!$E$1,FALSE),VLOOKUP(Google!$B160,Apple!$B$3:$I$176,Apple!H$1,FALSE),VLOOKUP($B160,'INT Web'!$B$5:$U$247,'INT Web'!T$1,FALSE)),MROUND(VLOOKUP($B160,'INT Web'!$B$5:$AQ$247,'INT Web'!AN$1,FALSE),1)-0.01)</f>
        <v>71.989999999999995</v>
      </c>
      <c r="I160" s="33">
        <f>+IFERROR(IF($E160=VLOOKUP($B160,Apple!$B$3:$I$176,Apple!$E$1,FALSE),VLOOKUP(Google!$B160,Apple!$B$3:$I$176,Apple!I$1,FALSE),VLOOKUP($B160,'INT Web'!$B$5:$U$247,'INT Web'!U$1,FALSE)),MROUND(VLOOKUP($B160,'INT Web'!$B$5:$AQ$247,'INT Web'!AO$1,FALSE),1)-0.01)</f>
        <v>11.99</v>
      </c>
      <c r="J160" s="33">
        <f>+IF($E160=VLOOKUP($B160,Apple!$B$3:$E$176,4,FALSE),VLOOKUP(Google!$B160,Apple!$B$3:$M$176,Apple!J$1,FALSE),VLOOKUP($B160,'[6]Single Game'!$B$4:$P$238,'[6]Single Game'!M$1,FALSE))</f>
        <v>4.99</v>
      </c>
      <c r="K160" s="33">
        <f>+IF($E160=VLOOKUP($B160,Apple!$B$3:$E$176,4,FALSE),VLOOKUP(Google!$B160,Apple!$B$3:$M$176,Apple!K$1,FALSE),VLOOKUP($B160,'[6]Single Game'!$B$4:$P$238,'[6]Single Game'!N$1,FALSE))</f>
        <v>3.99</v>
      </c>
      <c r="L160" s="33">
        <f>+IF($E160=VLOOKUP($B160,Apple!$B$3:$E$176,4,FALSE),VLOOKUP(Google!$B160,Apple!$B$3:$M$176,Apple!L$1,FALSE),VLOOKUP($B160,'[6]Single Game'!$B$4:$P$238,'[6]Single Game'!O$1,FALSE))</f>
        <v>2.99</v>
      </c>
      <c r="M160" s="33">
        <f>+IF($E160=VLOOKUP($B160,Apple!$B$3:$E$176,4,FALSE),VLOOKUP(Google!$B160,Apple!$B$3:$M$176,Apple!M$1,FALSE),VLOOKUP($B160,'[6]Single Game'!$B$4:$P$238,'[6]Single Game'!P$1,FALSE))</f>
        <v>1.9900000000000002</v>
      </c>
      <c r="O160" t="str">
        <f>IF(VLOOKUP($B160,[5]Google!$B$3:$I$174,[5]Google!F$1,FALSE)=F160,"Same","MISMATCH")</f>
        <v>Same</v>
      </c>
      <c r="P160" t="str">
        <f>IF(VLOOKUP($B160,[5]Google!$B$3:$I$174,[5]Google!G$1,FALSE)=G160,"Same","MISMATCH")</f>
        <v>Same</v>
      </c>
      <c r="Q160" t="str">
        <f>IF(VLOOKUP($B160,[5]Google!$B$3:$I$174,[5]Google!H$1,FALSE)=H160,"Same","MISMATCH")</f>
        <v>Same</v>
      </c>
      <c r="R160" t="str">
        <f>IF(VLOOKUP($B160,[5]Google!$B$3:$I$174,[5]Google!I$1,FALSE)=I160,"Same","MISMATCH")</f>
        <v>Same</v>
      </c>
      <c r="S160" t="str">
        <f>IF(VLOOKUP($B160,[5]Google!$B$3:$M$174,[5]Google!J$1,FALSE)=J160,"Same","MISMATCH")</f>
        <v>Same</v>
      </c>
      <c r="T160" t="str">
        <f>IF(VLOOKUP($B160,[5]Google!$B$3:$M$174,[5]Google!K$1,FALSE)=K160,"Same","MISMATCH")</f>
        <v>Same</v>
      </c>
      <c r="U160" t="str">
        <f>IF(VLOOKUP($B160,[5]Google!$B$3:$M$174,[5]Google!L$1,FALSE)=L160,"Same","MISMATCH")</f>
        <v>Same</v>
      </c>
      <c r="V160" t="str">
        <f>IF(VLOOKUP($B160,[5]Google!$B$3:$M$174,[5]Google!M$1,FALSE)=M160,"Same","MISMATCH")</f>
        <v>Same</v>
      </c>
    </row>
    <row r="161" spans="2:22">
      <c r="B161" t="s">
        <v>304</v>
      </c>
      <c r="C161" s="31" t="str">
        <f>+VLOOKUP(B161,'Country &amp; Code Abbreviation'!$B$3:$C$245,2,FALSE)</f>
        <v>UG</v>
      </c>
      <c r="D161" s="31" t="str">
        <f>+VLOOKUP(B161,'INT Web'!$B$5:$Q$248,16,FALSE)</f>
        <v>UGX</v>
      </c>
      <c r="E161" s="32" t="s">
        <v>346</v>
      </c>
      <c r="F161" s="33">
        <f>+IFERROR(IF($E161=VLOOKUP($B161,Apple!$B$3:$I$176,Apple!$E$1,FALSE),VLOOKUP(Google!$B161,Apple!$B$3:$I$176,Apple!F$1,FALSE),VLOOKUP($B161,'INT Web'!$B$5:$U$247,'INT Web'!R$1,FALSE)),MROUND(VLOOKUP($B161,'INT Web'!$B$5:$AQ$247,'INT Web'!AL$1,FALSE),1)-0.01)</f>
        <v>72.989999999999995</v>
      </c>
      <c r="G161" s="33">
        <f>+IFERROR(IF($E161=VLOOKUP($B161,Apple!$B$3:$I$176,Apple!$E$1,FALSE),VLOOKUP(Google!$B161,Apple!$B$3:$I$176,Apple!G$1,FALSE),VLOOKUP($B161,'INT Web'!$B$5:$U$247,'INT Web'!S$1,FALSE)),MROUND(VLOOKUP($B161,'INT Web'!$B$5:$AQ$247,'INT Web'!AM$1,FALSE),1)-0.01)</f>
        <v>11.99</v>
      </c>
      <c r="H161" s="33">
        <f>+IFERROR(IF($E161=VLOOKUP($B161,Apple!$B$3:$I$176,Apple!$E$1,FALSE),VLOOKUP(Google!$B161,Apple!$B$3:$I$176,Apple!H$1,FALSE),VLOOKUP($B161,'INT Web'!$B$5:$U$247,'INT Web'!T$1,FALSE)),MROUND(VLOOKUP($B161,'INT Web'!$B$5:$AQ$247,'INT Web'!AN$1,FALSE),1)-0.01)</f>
        <v>53.99</v>
      </c>
      <c r="I161" s="33">
        <f>+IFERROR(IF($E161=VLOOKUP($B161,Apple!$B$3:$I$176,Apple!$E$1,FALSE),VLOOKUP(Google!$B161,Apple!$B$3:$I$176,Apple!I$1,FALSE),VLOOKUP($B161,'INT Web'!$B$5:$U$247,'INT Web'!U$1,FALSE)),MROUND(VLOOKUP($B161,'INT Web'!$B$5:$AQ$247,'INT Web'!AO$1,FALSE),1)-0.01)</f>
        <v>8.99</v>
      </c>
      <c r="J161" s="33">
        <f>+IF($E161=VLOOKUP($B161,Apple!$B$3:$E$176,4,FALSE),VLOOKUP(Google!$B161,Apple!$B$3:$M$176,Apple!J$1,FALSE),VLOOKUP($B161,'[6]Single Game'!$B$4:$P$238,'[6]Single Game'!M$1,FALSE))</f>
        <v>2.99</v>
      </c>
      <c r="K161" s="33">
        <f>+IF($E161=VLOOKUP($B161,Apple!$B$3:$E$176,4,FALSE),VLOOKUP(Google!$B161,Apple!$B$3:$M$176,Apple!K$1,FALSE),VLOOKUP($B161,'[6]Single Game'!$B$4:$P$238,'[6]Single Game'!N$1,FALSE))</f>
        <v>2.99</v>
      </c>
      <c r="L161" s="33">
        <f>+IF($E161=VLOOKUP($B161,Apple!$B$3:$E$176,4,FALSE),VLOOKUP(Google!$B161,Apple!$B$3:$M$176,Apple!L$1,FALSE),VLOOKUP($B161,'[6]Single Game'!$B$4:$P$238,'[6]Single Game'!O$1,FALSE))</f>
        <v>1.99</v>
      </c>
      <c r="M161" s="33">
        <f>+IF($E161=VLOOKUP($B161,Apple!$B$3:$E$176,4,FALSE),VLOOKUP(Google!$B161,Apple!$B$3:$M$176,Apple!M$1,FALSE),VLOOKUP($B161,'[6]Single Game'!$B$4:$P$238,'[6]Single Game'!P$1,FALSE))</f>
        <v>1.99</v>
      </c>
      <c r="O161" t="str">
        <f>IF(VLOOKUP($B161,[5]Google!$B$3:$I$174,[5]Google!F$1,FALSE)=F161,"Same","MISMATCH")</f>
        <v>Same</v>
      </c>
      <c r="P161" t="str">
        <f>IF(VLOOKUP($B161,[5]Google!$B$3:$I$174,[5]Google!G$1,FALSE)=G161,"Same","MISMATCH")</f>
        <v>Same</v>
      </c>
      <c r="Q161" t="str">
        <f>IF(VLOOKUP($B161,[5]Google!$B$3:$I$174,[5]Google!H$1,FALSE)=H161,"Same","MISMATCH")</f>
        <v>Same</v>
      </c>
      <c r="R161" t="str">
        <f>IF(VLOOKUP($B161,[5]Google!$B$3:$I$174,[5]Google!I$1,FALSE)=I161,"Same","MISMATCH")</f>
        <v>Same</v>
      </c>
      <c r="S161" t="str">
        <f>IF(VLOOKUP($B161,[5]Google!$B$3:$M$174,[5]Google!J$1,FALSE)=J161,"Same","MISMATCH")</f>
        <v>Same</v>
      </c>
      <c r="T161" t="str">
        <f>IF(VLOOKUP($B161,[5]Google!$B$3:$M$174,[5]Google!K$1,FALSE)=K161,"Same","MISMATCH")</f>
        <v>Same</v>
      </c>
      <c r="U161" t="str">
        <f>IF(VLOOKUP($B161,[5]Google!$B$3:$M$174,[5]Google!L$1,FALSE)=L161,"Same","MISMATCH")</f>
        <v>Same</v>
      </c>
      <c r="V161" t="str">
        <f>IF(VLOOKUP($B161,[5]Google!$B$3:$M$174,[5]Google!M$1,FALSE)=M161,"Same","MISMATCH")</f>
        <v>Same</v>
      </c>
    </row>
    <row r="162" spans="2:22" hidden="1" outlineLevel="1">
      <c r="B162" t="s">
        <v>305</v>
      </c>
      <c r="C162" s="31" t="str">
        <f>+VLOOKUP(B162,'Country &amp; Code Abbreviation'!$B$3:$C$245,2,FALSE)</f>
        <v>UA</v>
      </c>
      <c r="D162" s="31" t="str">
        <f>+VLOOKUP(B162,'INT Web'!$B$5:$Q$248,16,FALSE)</f>
        <v>UAH</v>
      </c>
      <c r="E162" s="32" t="s">
        <v>430</v>
      </c>
      <c r="F162" s="33"/>
      <c r="G162" s="33"/>
      <c r="H162" s="33"/>
      <c r="I162" s="33"/>
      <c r="J162" s="33"/>
      <c r="K162" s="33"/>
      <c r="L162" s="33"/>
      <c r="M162" s="33"/>
      <c r="O162" t="str">
        <f>IF(VLOOKUP($B162,[5]Google!$B$3:$I$174,[5]Google!F$1,FALSE)=F162,"Same","MISMATCH")</f>
        <v>Same</v>
      </c>
      <c r="P162" t="str">
        <f>IF(VLOOKUP($B162,[5]Google!$B$3:$I$174,[5]Google!G$1,FALSE)=G162,"Same","MISMATCH")</f>
        <v>Same</v>
      </c>
      <c r="Q162" t="str">
        <f>IF(VLOOKUP($B162,[5]Google!$B$3:$I$174,[5]Google!H$1,FALSE)=H162,"Same","MISMATCH")</f>
        <v>Same</v>
      </c>
      <c r="R162" t="str">
        <f>IF(VLOOKUP($B162,[5]Google!$B$3:$I$174,[5]Google!I$1,FALSE)=I162,"Same","MISMATCH")</f>
        <v>Same</v>
      </c>
      <c r="S162" t="str">
        <f>IF(VLOOKUP($B162,[5]Google!$B$3:$M$174,[5]Google!J$1,FALSE)=J162,"Same","MISMATCH")</f>
        <v>Same</v>
      </c>
      <c r="T162" t="str">
        <f>IF(VLOOKUP($B162,[5]Google!$B$3:$M$174,[5]Google!K$1,FALSE)=K162,"Same","MISMATCH")</f>
        <v>Same</v>
      </c>
      <c r="U162" t="str">
        <f>IF(VLOOKUP($B162,[5]Google!$B$3:$M$174,[5]Google!L$1,FALSE)=L162,"Same","MISMATCH")</f>
        <v>Same</v>
      </c>
      <c r="V162" t="str">
        <f>IF(VLOOKUP($B162,[5]Google!$B$3:$M$174,[5]Google!M$1,FALSE)=M162,"Same","MISMATCH")</f>
        <v>Same</v>
      </c>
    </row>
    <row r="163" spans="2:22" collapsed="1">
      <c r="B163" t="s">
        <v>306</v>
      </c>
      <c r="C163" s="31" t="str">
        <f>+VLOOKUP(B163,'Country &amp; Code Abbreviation'!$B$3:$C$245,2,FALSE)</f>
        <v>AE</v>
      </c>
      <c r="D163" s="31" t="str">
        <f>+VLOOKUP(B163,'INT Web'!$B$5:$Q$248,16,FALSE)</f>
        <v>AED</v>
      </c>
      <c r="E163" s="32" t="s">
        <v>408</v>
      </c>
      <c r="F163" s="33">
        <f>+IFERROR(IF($E163=VLOOKUP($B163,Apple!$B$3:$I$176,Apple!$E$1,FALSE),VLOOKUP(Google!$B163,Apple!$B$3:$I$176,Apple!F$1,FALSE),VLOOKUP($B163,'INT Web'!$B$5:$U$247,'INT Web'!R$1,FALSE)),MROUND(VLOOKUP($B163,'INT Web'!$B$5:$AQ$247,'INT Web'!AL$1,FALSE),1)-0.01)</f>
        <v>559.99</v>
      </c>
      <c r="G163" s="33">
        <f>+IFERROR(IF($E163=VLOOKUP($B163,Apple!$B$3:$I$176,Apple!$E$1,FALSE),VLOOKUP(Google!$B163,Apple!$B$3:$I$176,Apple!G$1,FALSE),VLOOKUP($B163,'INT Web'!$B$5:$U$247,'INT Web'!S$1,FALSE)),MROUND(VLOOKUP($B163,'INT Web'!$B$5:$AQ$247,'INT Web'!AM$1,FALSE),1)-0.01)</f>
        <v>86.99</v>
      </c>
      <c r="H163" s="33">
        <f>+IFERROR(IF($E163=VLOOKUP($B163,Apple!$B$3:$I$176,Apple!$E$1,FALSE),VLOOKUP(Google!$B163,Apple!$B$3:$I$176,Apple!H$1,FALSE),VLOOKUP($B163,'INT Web'!$B$5:$U$247,'INT Web'!T$1,FALSE)),MROUND(VLOOKUP($B163,'INT Web'!$B$5:$AQ$247,'INT Web'!AN$1,FALSE),1)-0.01)</f>
        <v>399.99</v>
      </c>
      <c r="I163" s="33">
        <f>+IFERROR(IF($E163=VLOOKUP($B163,Apple!$B$3:$I$176,Apple!$E$1,FALSE),VLOOKUP(Google!$B163,Apple!$B$3:$I$176,Apple!I$1,FALSE),VLOOKUP($B163,'INT Web'!$B$5:$U$247,'INT Web'!U$1,FALSE)),MROUND(VLOOKUP($B163,'INT Web'!$B$5:$AQ$247,'INT Web'!AO$1,FALSE),1)-0.01)</f>
        <v>61.99</v>
      </c>
      <c r="J163" s="33">
        <f>+IF($E163=VLOOKUP($B163,Apple!$B$3:$E$176,4,FALSE),VLOOKUP(Google!$B163,Apple!$B$3:$M$176,Apple!J$1,FALSE),VLOOKUP($B163,'[6]Single Game'!$B$4:$P$238,'[6]Single Game'!M$1,FALSE))</f>
        <v>18.989999999999998</v>
      </c>
      <c r="K163" s="33">
        <f>+IF($E163=VLOOKUP($B163,Apple!$B$3:$E$176,4,FALSE),VLOOKUP(Google!$B163,Apple!$B$3:$M$176,Apple!K$1,FALSE),VLOOKUP($B163,'[6]Single Game'!$B$4:$P$238,'[6]Single Game'!N$1,FALSE))</f>
        <v>15.989999999999998</v>
      </c>
      <c r="L163" s="33">
        <f>+IF($E163=VLOOKUP($B163,Apple!$B$3:$E$176,4,FALSE),VLOOKUP(Google!$B163,Apple!$B$3:$M$176,Apple!L$1,FALSE),VLOOKUP($B163,'[6]Single Game'!$B$4:$P$238,'[6]Single Game'!O$1,FALSE))</f>
        <v>11.99</v>
      </c>
      <c r="M163" s="33">
        <f>+IF($E163=VLOOKUP($B163,Apple!$B$3:$E$176,4,FALSE),VLOOKUP(Google!$B163,Apple!$B$3:$M$176,Apple!M$1,FALSE),VLOOKUP($B163,'[6]Single Game'!$B$4:$P$238,'[6]Single Game'!P$1,FALSE))</f>
        <v>8.99</v>
      </c>
      <c r="O163" t="str">
        <f>IF(VLOOKUP($B163,[5]Google!$B$3:$I$174,[5]Google!F$1,FALSE)=F163,"Same","MISMATCH")</f>
        <v>Same</v>
      </c>
      <c r="P163" t="str">
        <f>IF(VLOOKUP($B163,[5]Google!$B$3:$I$174,[5]Google!G$1,FALSE)=G163,"Same","MISMATCH")</f>
        <v>Same</v>
      </c>
      <c r="Q163" t="str">
        <f>IF(VLOOKUP($B163,[5]Google!$B$3:$I$174,[5]Google!H$1,FALSE)=H163,"Same","MISMATCH")</f>
        <v>Same</v>
      </c>
      <c r="R163" t="str">
        <f>IF(VLOOKUP($B163,[5]Google!$B$3:$I$174,[5]Google!I$1,FALSE)=I163,"Same","MISMATCH")</f>
        <v>Same</v>
      </c>
      <c r="S163" t="str">
        <f>IF(VLOOKUP($B163,[5]Google!$B$3:$M$174,[5]Google!J$1,FALSE)=J163,"Same","MISMATCH")</f>
        <v>Same</v>
      </c>
      <c r="T163" t="str">
        <f>IF(VLOOKUP($B163,[5]Google!$B$3:$M$174,[5]Google!K$1,FALSE)=K163,"Same","MISMATCH")</f>
        <v>Same</v>
      </c>
      <c r="U163" t="str">
        <f>IF(VLOOKUP($B163,[5]Google!$B$3:$M$174,[5]Google!L$1,FALSE)=L163,"Same","MISMATCH")</f>
        <v>Same</v>
      </c>
      <c r="V163" t="str">
        <f>IF(VLOOKUP($B163,[5]Google!$B$3:$M$174,[5]Google!M$1,FALSE)=M163,"Same","MISMATCH")</f>
        <v>Same</v>
      </c>
    </row>
    <row r="164" spans="2:22">
      <c r="B164" t="s">
        <v>307</v>
      </c>
      <c r="C164" s="31" t="str">
        <f>+VLOOKUP(B164,'Country &amp; Code Abbreviation'!$B$3:$C$245,2,FALSE)</f>
        <v>GB</v>
      </c>
      <c r="D164" s="31" t="str">
        <f>+VLOOKUP(B164,'INT Web'!$B$5:$Q$248,16,FALSE)</f>
        <v>GBP</v>
      </c>
      <c r="E164" s="32" t="s">
        <v>409</v>
      </c>
      <c r="F164" s="33">
        <f>+IFERROR(IF($E164=VLOOKUP($B164,Apple!$B$3:$I$176,Apple!$E$1,FALSE),VLOOKUP(Google!$B164,Apple!$B$3:$I$176,Apple!F$1,FALSE),VLOOKUP($B164,'INT Web'!$B$5:$U$247,'INT Web'!R$1,FALSE)),MROUND(VLOOKUP($B164,'INT Web'!$B$5:$AQ$247,'INT Web'!AL$1,FALSE),1)-0.01)</f>
        <v>149.99</v>
      </c>
      <c r="G164" s="72">
        <f>+IFERROR(IF($E164=VLOOKUP($B164,Apple!$B$3:$I$176,Apple!$E$1,FALSE),VLOOKUP(Google!$B164,Apple!$B$3:$I$176,Apple!G$1,FALSE),VLOOKUP($B164,'INT Web'!$B$5:$U$247,'INT Web'!S$1,FALSE)),MROUND(VLOOKUP($B164,'INT Web'!$B$5:$AQ$247,'INT Web'!AM$1,FALSE),1)-0.01)</f>
        <v>22.99</v>
      </c>
      <c r="H164" s="33">
        <f>+IFERROR(IF($E164=VLOOKUP($B164,Apple!$B$3:$I$176,Apple!$E$1,FALSE),VLOOKUP(Google!$B164,Apple!$B$3:$I$176,Apple!H$1,FALSE),VLOOKUP($B164,'INT Web'!$B$5:$U$247,'INT Web'!T$1,FALSE)),MROUND(VLOOKUP($B164,'INT Web'!$B$5:$AQ$247,'INT Web'!AN$1,FALSE),1)-0.01)</f>
        <v>114.99</v>
      </c>
      <c r="I164" s="72">
        <f>+IFERROR(IF($E164=VLOOKUP($B164,Apple!$B$3:$I$176,Apple!$E$1,FALSE),VLOOKUP(Google!$B164,Apple!$B$3:$I$176,Apple!I$1,FALSE),VLOOKUP($B164,'INT Web'!$B$5:$U$247,'INT Web'!U$1,FALSE)),MROUND(VLOOKUP($B164,'INT Web'!$B$5:$AQ$247,'INT Web'!AO$1,FALSE),1)-0.01)</f>
        <v>16.989999999999998</v>
      </c>
      <c r="J164" s="33">
        <f>+IF($E164=VLOOKUP($B164,Apple!$B$3:$E$176,4,FALSE),VLOOKUP(Google!$B164,Apple!$B$3:$M$176,Apple!J$1,FALSE),VLOOKUP($B164,'[6]Single Game'!$B$4:$P$238,'[6]Single Game'!M$1,FALSE))</f>
        <v>6.99</v>
      </c>
      <c r="K164" s="33">
        <f>+IF($E164=VLOOKUP($B164,Apple!$B$3:$E$176,4,FALSE),VLOOKUP(Google!$B164,Apple!$B$3:$M$176,Apple!K$1,FALSE),VLOOKUP($B164,'[6]Single Game'!$B$4:$P$238,'[6]Single Game'!N$1,FALSE))</f>
        <v>5.99</v>
      </c>
      <c r="L164" s="33">
        <f>+IF($E164=VLOOKUP($B164,Apple!$B$3:$E$176,4,FALSE),VLOOKUP(Google!$B164,Apple!$B$3:$M$176,Apple!L$1,FALSE),VLOOKUP($B164,'[6]Single Game'!$B$4:$P$238,'[6]Single Game'!O$1,FALSE))</f>
        <v>4.99</v>
      </c>
      <c r="M164" s="33">
        <f>+IF($E164=VLOOKUP($B164,Apple!$B$3:$E$176,4,FALSE),VLOOKUP(Google!$B164,Apple!$B$3:$M$176,Apple!M$1,FALSE),VLOOKUP($B164,'[6]Single Game'!$B$4:$P$238,'[6]Single Game'!P$1,FALSE))</f>
        <v>3.99</v>
      </c>
      <c r="O164" t="str">
        <f>IF(VLOOKUP($B164,[5]Google!$B$3:$I$174,[5]Google!F$1,FALSE)=F164,"Same","MISMATCH")</f>
        <v>Same</v>
      </c>
      <c r="P164" t="str">
        <f>IF(VLOOKUP($B164,[5]Google!$B$3:$I$174,[5]Google!G$1,FALSE)=G164,"Same","MISMATCH")</f>
        <v>Same</v>
      </c>
      <c r="Q164" t="str">
        <f>IF(VLOOKUP($B164,[5]Google!$B$3:$I$174,[5]Google!H$1,FALSE)=H164,"Same","MISMATCH")</f>
        <v>Same</v>
      </c>
      <c r="R164" t="str">
        <f>IF(VLOOKUP($B164,[5]Google!$B$3:$I$174,[5]Google!I$1,FALSE)=I164,"Same","MISMATCH")</f>
        <v>Same</v>
      </c>
      <c r="S164" t="str">
        <f>IF(VLOOKUP($B164,[5]Google!$B$3:$M$174,[5]Google!J$1,FALSE)=J164,"Same","MISMATCH")</f>
        <v>Same</v>
      </c>
      <c r="T164" t="str">
        <f>IF(VLOOKUP($B164,[5]Google!$B$3:$M$174,[5]Google!K$1,FALSE)=K164,"Same","MISMATCH")</f>
        <v>Same</v>
      </c>
      <c r="U164" t="str">
        <f>IF(VLOOKUP($B164,[5]Google!$B$3:$M$174,[5]Google!L$1,FALSE)=L164,"Same","MISMATCH")</f>
        <v>Same</v>
      </c>
      <c r="V164" t="str">
        <f>IF(VLOOKUP($B164,[5]Google!$B$3:$M$174,[5]Google!M$1,FALSE)=M164,"Same","MISMATCH")</f>
        <v>Same</v>
      </c>
    </row>
    <row r="165" spans="2:22">
      <c r="B165" t="s">
        <v>46</v>
      </c>
      <c r="C165" s="31" t="str">
        <f>+VLOOKUP(B165,'Country &amp; Code Abbreviation'!$B$3:$C$245,2,FALSE)</f>
        <v>US</v>
      </c>
      <c r="D165" s="32" t="s">
        <v>346</v>
      </c>
      <c r="E165" s="32" t="s">
        <v>346</v>
      </c>
      <c r="F165" s="33">
        <f>+IFERROR(IF($E165=VLOOKUP($B165,Apple!$B$3:$I$176,Apple!$E$1,FALSE),VLOOKUP(Google!$B165,Apple!$B$3:$I$176,Apple!F$1,FALSE),VLOOKUP($B165,'INT Web'!$B$5:$U$247,'INT Web'!R$1,FALSE)),MROUND(VLOOKUP($B165,'INT Web'!$B$5:$AQ$247,'INT Web'!AL$1,FALSE),1)-0.01)</f>
        <v>159.99</v>
      </c>
      <c r="G165" s="33">
        <f>+IFERROR(IF($E165=VLOOKUP($B165,Apple!$B$3:$I$176,Apple!$E$1,FALSE),VLOOKUP(Google!$B165,Apple!$B$3:$I$176,Apple!G$1,FALSE),VLOOKUP($B165,'INT Web'!$B$5:$U$247,'INT Web'!S$1,FALSE)),MROUND(VLOOKUP($B165,'INT Web'!$B$5:$AQ$247,'INT Web'!AM$1,FALSE),1)-0.01)</f>
        <v>24.99</v>
      </c>
      <c r="H165" s="33">
        <f>+IFERROR(IF($E165=VLOOKUP($B165,Apple!$B$3:$I$176,Apple!$E$1,FALSE),VLOOKUP(Google!$B165,Apple!$B$3:$I$176,Apple!H$1,FALSE),VLOOKUP($B165,'INT Web'!$B$5:$U$247,'INT Web'!T$1,FALSE)),MROUND(VLOOKUP($B165,'INT Web'!$B$5:$AQ$247,'INT Web'!AN$1,FALSE),1)-0.01)</f>
        <v>109.99</v>
      </c>
      <c r="I165" s="33">
        <f>+IFERROR(IF($E165=VLOOKUP($B165,Apple!$B$3:$I$176,Apple!$E$1,FALSE),VLOOKUP(Google!$B165,Apple!$B$3:$I$176,Apple!I$1,FALSE),VLOOKUP($B165,'INT Web'!$B$5:$U$247,'INT Web'!U$1,FALSE)),MROUND(VLOOKUP($B165,'INT Web'!$B$5:$AQ$247,'INT Web'!AO$1,FALSE),1)-0.01)</f>
        <v>16.989999999999998</v>
      </c>
      <c r="J165" s="72">
        <f>+Apple!J168</f>
        <v>6.99</v>
      </c>
      <c r="K165" s="72">
        <f>+Apple!K168</f>
        <v>4.99</v>
      </c>
      <c r="L165" s="72">
        <f>+Apple!L168</f>
        <v>2.99</v>
      </c>
      <c r="M165" s="72">
        <f>+Apple!M168</f>
        <v>0.99</v>
      </c>
      <c r="O165" t="str">
        <f>IF(VLOOKUP($B165,[5]Google!$B$3:$I$174,[5]Google!F$1,FALSE)=F165,"Same","MISMATCH")</f>
        <v>Same</v>
      </c>
      <c r="P165" t="str">
        <f>IF(VLOOKUP($B165,[5]Google!$B$3:$I$174,[5]Google!G$1,FALSE)=G165,"Same","MISMATCH")</f>
        <v>Same</v>
      </c>
      <c r="Q165" t="str">
        <f>IF(VLOOKUP($B165,[5]Google!$B$3:$I$174,[5]Google!H$1,FALSE)=H165,"Same","MISMATCH")</f>
        <v>Same</v>
      </c>
      <c r="R165" t="str">
        <f>IF(VLOOKUP($B165,[5]Google!$B$3:$I$174,[5]Google!I$1,FALSE)=I165,"Same","MISMATCH")</f>
        <v>Same</v>
      </c>
      <c r="S165" t="str">
        <f>IF(VLOOKUP($B165,[5]Google!$B$3:$M$174,[5]Google!J$1,FALSE)=J165,"Same","MISMATCH")</f>
        <v>Same</v>
      </c>
      <c r="T165" t="str">
        <f>IF(VLOOKUP($B165,[5]Google!$B$3:$M$174,[5]Google!K$1,FALSE)=K165,"Same","MISMATCH")</f>
        <v>Same</v>
      </c>
      <c r="U165" t="str">
        <f>IF(VLOOKUP($B165,[5]Google!$B$3:$M$174,[5]Google!L$1,FALSE)=L165,"Same","MISMATCH")</f>
        <v>Same</v>
      </c>
      <c r="V165" t="str">
        <f>IF(VLOOKUP($B165,[5]Google!$B$3:$M$174,[5]Google!M$1,FALSE)=M165,"Same","MISMATCH")</f>
        <v>Same</v>
      </c>
    </row>
    <row r="166" spans="2:22">
      <c r="B166" t="s">
        <v>308</v>
      </c>
      <c r="C166" s="31" t="str">
        <f>+VLOOKUP(B166,'Country &amp; Code Abbreviation'!$B$3:$C$245,2,FALSE)</f>
        <v>UY</v>
      </c>
      <c r="D166" s="31" t="str">
        <f>+VLOOKUP(B166,'INT Web'!$B$5:$Q$248,16,FALSE)</f>
        <v>UYU</v>
      </c>
      <c r="E166" s="32" t="s">
        <v>346</v>
      </c>
      <c r="F166" s="33">
        <f>+IFERROR(IF($E166=VLOOKUP($B166,Apple!$B$3:$I$176,Apple!$E$1,FALSE),VLOOKUP(Google!$B166,Apple!$B$3:$I$176,Apple!F$1,FALSE),VLOOKUP($B166,'INT Web'!$B$5:$U$247,'INT Web'!R$1,FALSE)),MROUND(VLOOKUP($B166,'INT Web'!$B$5:$AQ$247,'INT Web'!AL$1,FALSE),1)-0.01)</f>
        <v>104.99</v>
      </c>
      <c r="G166" s="33">
        <f>+IFERROR(IF($E166=VLOOKUP($B166,Apple!$B$3:$I$176,Apple!$E$1,FALSE),VLOOKUP(Google!$B166,Apple!$B$3:$I$176,Apple!G$1,FALSE),VLOOKUP($B166,'INT Web'!$B$5:$U$247,'INT Web'!S$1,FALSE)),MROUND(VLOOKUP($B166,'INT Web'!$B$5:$AQ$247,'INT Web'!AM$1,FALSE),1)-0.01)</f>
        <v>17.989999999999998</v>
      </c>
      <c r="H166" s="33">
        <f>+IFERROR(IF($E166=VLOOKUP($B166,Apple!$B$3:$I$176,Apple!$E$1,FALSE),VLOOKUP(Google!$B166,Apple!$B$3:$I$176,Apple!H$1,FALSE),VLOOKUP($B166,'INT Web'!$B$5:$U$247,'INT Web'!T$1,FALSE)),MROUND(VLOOKUP($B166,'INT Web'!$B$5:$AQ$247,'INT Web'!AN$1,FALSE),1)-0.01)</f>
        <v>77.989999999999995</v>
      </c>
      <c r="I166" s="33">
        <f>+IFERROR(IF($E166=VLOOKUP($B166,Apple!$B$3:$I$176,Apple!$E$1,FALSE),VLOOKUP(Google!$B166,Apple!$B$3:$I$176,Apple!I$1,FALSE),VLOOKUP($B166,'INT Web'!$B$5:$U$247,'INT Web'!U$1,FALSE)),MROUND(VLOOKUP($B166,'INT Web'!$B$5:$AQ$247,'INT Web'!AO$1,FALSE),1)-0.01)</f>
        <v>12.99</v>
      </c>
      <c r="J166" s="33">
        <f>+IF($E166=VLOOKUP($B166,Apple!$B$3:$E$176,4,FALSE),VLOOKUP(Google!$B166,Apple!$B$3:$M$176,Apple!J$1,FALSE),VLOOKUP($B166,'[6]Single Game'!$B$4:$P$238,'[6]Single Game'!M$1,FALSE))</f>
        <v>3.99</v>
      </c>
      <c r="K166" s="33">
        <f>+IF($E166=VLOOKUP($B166,Apple!$B$3:$E$176,4,FALSE),VLOOKUP(Google!$B166,Apple!$B$3:$M$176,Apple!K$1,FALSE),VLOOKUP($B166,'[6]Single Game'!$B$4:$P$238,'[6]Single Game'!N$1,FALSE))</f>
        <v>2.99</v>
      </c>
      <c r="L166" s="33">
        <f>+IF($E166=VLOOKUP($B166,Apple!$B$3:$E$176,4,FALSE),VLOOKUP(Google!$B166,Apple!$B$3:$M$176,Apple!L$1,FALSE),VLOOKUP($B166,'[6]Single Game'!$B$4:$P$238,'[6]Single Game'!O$1,FALSE))</f>
        <v>1.99</v>
      </c>
      <c r="M166" s="33">
        <f>+IF($E166=VLOOKUP($B166,Apple!$B$3:$E$176,4,FALSE),VLOOKUP(Google!$B166,Apple!$B$3:$M$176,Apple!M$1,FALSE),VLOOKUP($B166,'[6]Single Game'!$B$4:$P$238,'[6]Single Game'!P$1,FALSE))</f>
        <v>0.99</v>
      </c>
      <c r="O166" t="str">
        <f>IF(VLOOKUP($B166,[5]Google!$B$3:$I$174,[5]Google!F$1,FALSE)=F166,"Same","MISMATCH")</f>
        <v>Same</v>
      </c>
      <c r="P166" t="str">
        <f>IF(VLOOKUP($B166,[5]Google!$B$3:$I$174,[5]Google!G$1,FALSE)=G166,"Same","MISMATCH")</f>
        <v>Same</v>
      </c>
      <c r="Q166" t="str">
        <f>IF(VLOOKUP($B166,[5]Google!$B$3:$I$174,[5]Google!H$1,FALSE)=H166,"Same","MISMATCH")</f>
        <v>Same</v>
      </c>
      <c r="R166" t="str">
        <f>IF(VLOOKUP($B166,[5]Google!$B$3:$I$174,[5]Google!I$1,FALSE)=I166,"Same","MISMATCH")</f>
        <v>Same</v>
      </c>
      <c r="S166" t="str">
        <f>IF(VLOOKUP($B166,[5]Google!$B$3:$M$174,[5]Google!J$1,FALSE)=J166,"Same","MISMATCH")</f>
        <v>Same</v>
      </c>
      <c r="T166" t="str">
        <f>IF(VLOOKUP($B166,[5]Google!$B$3:$M$174,[5]Google!K$1,FALSE)=K166,"Same","MISMATCH")</f>
        <v>Same</v>
      </c>
      <c r="U166" t="str">
        <f>IF(VLOOKUP($B166,[5]Google!$B$3:$M$174,[5]Google!L$1,FALSE)=L166,"Same","MISMATCH")</f>
        <v>Same</v>
      </c>
      <c r="V166" t="str">
        <f>IF(VLOOKUP($B166,[5]Google!$B$3:$M$174,[5]Google!M$1,FALSE)=M166,"Same","MISMATCH")</f>
        <v>Same</v>
      </c>
    </row>
    <row r="167" spans="2:22">
      <c r="B167" t="s">
        <v>309</v>
      </c>
      <c r="C167" s="31" t="str">
        <f>+VLOOKUP(B167,'Country &amp; Code Abbreviation'!$B$3:$C$245,2,FALSE)</f>
        <v>UZ</v>
      </c>
      <c r="D167" s="31" t="str">
        <f>+VLOOKUP(B167,'INT Web'!$B$5:$Q$248,16,FALSE)</f>
        <v>UZS</v>
      </c>
      <c r="E167" s="32" t="s">
        <v>346</v>
      </c>
      <c r="F167" s="33">
        <f>+IFERROR(IF($E167=VLOOKUP($B167,Apple!$B$3:$I$176,Apple!$E$1,FALSE),VLOOKUP(Google!$B167,Apple!$B$3:$I$176,Apple!F$1,FALSE),VLOOKUP($B167,'INT Web'!$B$5:$U$247,'INT Web'!R$1,FALSE)),MROUND(VLOOKUP($B167,'INT Web'!$B$5:$AQ$247,'INT Web'!AL$1,FALSE),1)-0.01)</f>
        <v>72.989999999999995</v>
      </c>
      <c r="G167" s="33">
        <f>+IFERROR(IF($E167=VLOOKUP($B167,Apple!$B$3:$I$176,Apple!$E$1,FALSE),VLOOKUP(Google!$B167,Apple!$B$3:$I$176,Apple!G$1,FALSE),VLOOKUP($B167,'INT Web'!$B$5:$U$247,'INT Web'!S$1,FALSE)),MROUND(VLOOKUP($B167,'INT Web'!$B$5:$AQ$247,'INT Web'!AM$1,FALSE),1)-0.01)</f>
        <v>11.99</v>
      </c>
      <c r="H167" s="33">
        <f>+IFERROR(IF($E167=VLOOKUP($B167,Apple!$B$3:$I$176,Apple!$E$1,FALSE),VLOOKUP(Google!$B167,Apple!$B$3:$I$176,Apple!H$1,FALSE),VLOOKUP($B167,'INT Web'!$B$5:$U$247,'INT Web'!T$1,FALSE)),MROUND(VLOOKUP($B167,'INT Web'!$B$5:$AQ$247,'INT Web'!AN$1,FALSE),1)-0.01)</f>
        <v>54.99</v>
      </c>
      <c r="I167" s="33">
        <f>+IFERROR(IF($E167=VLOOKUP($B167,Apple!$B$3:$I$176,Apple!$E$1,FALSE),VLOOKUP(Google!$B167,Apple!$B$3:$I$176,Apple!I$1,FALSE),VLOOKUP($B167,'INT Web'!$B$5:$U$247,'INT Web'!U$1,FALSE)),MROUND(VLOOKUP($B167,'INT Web'!$B$5:$AQ$247,'INT Web'!AO$1,FALSE),1)-0.01)</f>
        <v>8.99</v>
      </c>
      <c r="J167" s="33">
        <f>+IF($E167=VLOOKUP($B167,Apple!$B$3:$E$176,4,FALSE),VLOOKUP(Google!$B167,Apple!$B$3:$M$176,Apple!J$1,FALSE),VLOOKUP($B167,'[6]Single Game'!$B$4:$P$238,'[6]Single Game'!M$1,FALSE))</f>
        <v>2.4900000000000002</v>
      </c>
      <c r="K167" s="33">
        <f>+IF($E167=VLOOKUP($B167,Apple!$B$3:$E$176,4,FALSE),VLOOKUP(Google!$B167,Apple!$B$3:$M$176,Apple!K$1,FALSE),VLOOKUP($B167,'[6]Single Game'!$B$4:$P$238,'[6]Single Game'!N$1,FALSE))</f>
        <v>2.4900000000000002</v>
      </c>
      <c r="L167" s="33">
        <f>+IF($E167=VLOOKUP($B167,Apple!$B$3:$E$176,4,FALSE),VLOOKUP(Google!$B167,Apple!$B$3:$M$176,Apple!L$1,FALSE),VLOOKUP($B167,'[6]Single Game'!$B$4:$P$238,'[6]Single Game'!O$1,FALSE))</f>
        <v>1.19</v>
      </c>
      <c r="M167" s="33">
        <f>+IF($E167=VLOOKUP($B167,Apple!$B$3:$E$176,4,FALSE),VLOOKUP(Google!$B167,Apple!$B$3:$M$176,Apple!M$1,FALSE),VLOOKUP($B167,'[6]Single Game'!$B$4:$P$238,'[6]Single Game'!P$1,FALSE))</f>
        <v>1.19</v>
      </c>
      <c r="O167" t="str">
        <f>IF(VLOOKUP($B167,[5]Google!$B$3:$I$174,[5]Google!F$1,FALSE)=F167,"Same","MISMATCH")</f>
        <v>Same</v>
      </c>
      <c r="P167" t="str">
        <f>IF(VLOOKUP($B167,[5]Google!$B$3:$I$174,[5]Google!G$1,FALSE)=G167,"Same","MISMATCH")</f>
        <v>Same</v>
      </c>
      <c r="Q167" t="str">
        <f>IF(VLOOKUP($B167,[5]Google!$B$3:$I$174,[5]Google!H$1,FALSE)=H167,"Same","MISMATCH")</f>
        <v>Same</v>
      </c>
      <c r="R167" t="str">
        <f>IF(VLOOKUP($B167,[5]Google!$B$3:$I$174,[5]Google!I$1,FALSE)=I167,"Same","MISMATCH")</f>
        <v>Same</v>
      </c>
      <c r="S167" t="str">
        <f>IF(VLOOKUP($B167,[5]Google!$B$3:$M$174,[5]Google!J$1,FALSE)=J167,"Same","MISMATCH")</f>
        <v>Same</v>
      </c>
      <c r="T167" t="str">
        <f>IF(VLOOKUP($B167,[5]Google!$B$3:$M$174,[5]Google!K$1,FALSE)=K167,"Same","MISMATCH")</f>
        <v>Same</v>
      </c>
      <c r="U167" t="str">
        <f>IF(VLOOKUP($B167,[5]Google!$B$3:$M$174,[5]Google!L$1,FALSE)=L167,"Same","MISMATCH")</f>
        <v>Same</v>
      </c>
      <c r="V167" t="str">
        <f>IF(VLOOKUP($B167,[5]Google!$B$3:$M$174,[5]Google!M$1,FALSE)=M167,"Same","MISMATCH")</f>
        <v>Same</v>
      </c>
    </row>
    <row r="168" spans="2:22">
      <c r="B168" t="s">
        <v>310</v>
      </c>
      <c r="C168" s="31" t="str">
        <f>+VLOOKUP(B168,'Country &amp; Code Abbreviation'!$B$3:$C$245,2,FALSE)</f>
        <v>VU</v>
      </c>
      <c r="D168" s="31" t="str">
        <f>+VLOOKUP(B168,'INT Web'!$B$5:$Q$248,16,FALSE)</f>
        <v>VUV</v>
      </c>
      <c r="E168" s="32" t="s">
        <v>346</v>
      </c>
      <c r="F168" s="33">
        <f>+IFERROR(IF($E168=VLOOKUP($B168,Apple!$B$3:$I$176,Apple!$E$1,FALSE),VLOOKUP(Google!$B168,Apple!$B$3:$I$176,Apple!F$1,FALSE),VLOOKUP($B168,'INT Web'!$B$5:$U$247,'INT Web'!R$1,FALSE)),MROUND(VLOOKUP($B168,'INT Web'!$B$5:$AQ$247,'INT Web'!AL$1,FALSE),1)-0.01)</f>
        <v>61.99</v>
      </c>
      <c r="G168" s="33">
        <f>+IFERROR(IF($E168=VLOOKUP($B168,Apple!$B$3:$I$176,Apple!$E$1,FALSE),VLOOKUP(Google!$B168,Apple!$B$3:$I$176,Apple!G$1,FALSE),VLOOKUP($B168,'INT Web'!$B$5:$U$247,'INT Web'!S$1,FALSE)),MROUND(VLOOKUP($B168,'INT Web'!$B$5:$AQ$247,'INT Web'!AM$1,FALSE),1)-0.01)</f>
        <v>10.99</v>
      </c>
      <c r="H168" s="33">
        <f>+IFERROR(IF($E168=VLOOKUP($B168,Apple!$B$3:$I$176,Apple!$E$1,FALSE),VLOOKUP(Google!$B168,Apple!$B$3:$I$176,Apple!H$1,FALSE),VLOOKUP($B168,'INT Web'!$B$5:$U$247,'INT Web'!T$1,FALSE)),MROUND(VLOOKUP($B168,'INT Web'!$B$5:$AQ$247,'INT Web'!AN$1,FALSE),1)-0.01)</f>
        <v>44.99</v>
      </c>
      <c r="I168" s="33">
        <f>+IFERROR(IF($E168=VLOOKUP($B168,Apple!$B$3:$I$176,Apple!$E$1,FALSE),VLOOKUP(Google!$B168,Apple!$B$3:$I$176,Apple!I$1,FALSE),VLOOKUP($B168,'INT Web'!$B$5:$U$247,'INT Web'!U$1,FALSE)),MROUND(VLOOKUP($B168,'INT Web'!$B$5:$AQ$247,'INT Web'!AO$1,FALSE),1)-0.01)</f>
        <v>7.99</v>
      </c>
      <c r="J168" s="33">
        <f>+IF($E168=VLOOKUP($B168,Apple!$B$3:$E$176,4,FALSE),VLOOKUP(Google!$B168,Apple!$B$3:$M$176,Apple!J$1,FALSE),VLOOKUP($B168,'[6]Single Game'!$B$4:$P$238,'[6]Single Game'!M$1,FALSE))</f>
        <v>2.99</v>
      </c>
      <c r="K168" s="33">
        <f>+IF($E168=VLOOKUP($B168,Apple!$B$3:$E$176,4,FALSE),VLOOKUP(Google!$B168,Apple!$B$3:$M$176,Apple!K$1,FALSE),VLOOKUP($B168,'[6]Single Game'!$B$4:$P$238,'[6]Single Game'!N$1,FALSE))</f>
        <v>2.99</v>
      </c>
      <c r="L168" s="33">
        <f>+IF($E168=VLOOKUP($B168,Apple!$B$3:$E$176,4,FALSE),VLOOKUP(Google!$B168,Apple!$B$3:$M$176,Apple!L$1,FALSE),VLOOKUP($B168,'[6]Single Game'!$B$4:$P$238,'[6]Single Game'!O$1,FALSE))</f>
        <v>1.99</v>
      </c>
      <c r="M168" s="33">
        <f>+IF($E168=VLOOKUP($B168,Apple!$B$3:$E$176,4,FALSE),VLOOKUP(Google!$B168,Apple!$B$3:$M$176,Apple!M$1,FALSE),VLOOKUP($B168,'[6]Single Game'!$B$4:$P$238,'[6]Single Game'!P$1,FALSE))</f>
        <v>1.99</v>
      </c>
      <c r="O168" t="str">
        <f>IF(VLOOKUP($B168,[5]Google!$B$3:$I$174,[5]Google!F$1,FALSE)=F168,"Same","MISMATCH")</f>
        <v>Same</v>
      </c>
      <c r="P168" t="str">
        <f>IF(VLOOKUP($B168,[5]Google!$B$3:$I$174,[5]Google!G$1,FALSE)=G168,"Same","MISMATCH")</f>
        <v>Same</v>
      </c>
      <c r="Q168" t="str">
        <f>IF(VLOOKUP($B168,[5]Google!$B$3:$I$174,[5]Google!H$1,FALSE)=H168,"Same","MISMATCH")</f>
        <v>Same</v>
      </c>
      <c r="R168" t="str">
        <f>IF(VLOOKUP($B168,[5]Google!$B$3:$I$174,[5]Google!I$1,FALSE)=I168,"Same","MISMATCH")</f>
        <v>Same</v>
      </c>
      <c r="S168" t="str">
        <f>IF(VLOOKUP($B168,[5]Google!$B$3:$M$174,[5]Google!J$1,FALSE)=J168,"Same","MISMATCH")</f>
        <v>Same</v>
      </c>
      <c r="T168" t="str">
        <f>IF(VLOOKUP($B168,[5]Google!$B$3:$M$174,[5]Google!K$1,FALSE)=K168,"Same","MISMATCH")</f>
        <v>Same</v>
      </c>
      <c r="U168" t="str">
        <f>IF(VLOOKUP($B168,[5]Google!$B$3:$M$174,[5]Google!L$1,FALSE)=L168,"Same","MISMATCH")</f>
        <v>Same</v>
      </c>
      <c r="V168" t="str">
        <f>IF(VLOOKUP($B168,[5]Google!$B$3:$M$174,[5]Google!M$1,FALSE)=M168,"Same","MISMATCH")</f>
        <v>Same</v>
      </c>
    </row>
    <row r="169" spans="2:22">
      <c r="B169" t="s">
        <v>311</v>
      </c>
      <c r="C169" s="31" t="str">
        <f>+VLOOKUP(B169,'Country &amp; Code Abbreviation'!$B$3:$C$245,2,FALSE)</f>
        <v>VA</v>
      </c>
      <c r="D169" s="31" t="str">
        <f>+VLOOKUP(B169,'INT Web'!$B$5:$Q$248,16,FALSE)</f>
        <v>EUR</v>
      </c>
      <c r="E169" s="32" t="s">
        <v>368</v>
      </c>
      <c r="F169" s="150">
        <f>+VLOOKUP($B169,'INT Web'!$B$5:$U$247,'INT Web'!R$1,FALSE)</f>
        <v>129.99</v>
      </c>
      <c r="G169" s="150">
        <f>+VLOOKUP($B169,'INT Web'!$B$5:$U$247,'INT Web'!S$1,FALSE)</f>
        <v>18.989999999999998</v>
      </c>
      <c r="H169" s="150">
        <f>+VLOOKUP($B169,'INT Web'!$B$5:$U$247,'INT Web'!T$1,FALSE)</f>
        <v>89.99</v>
      </c>
      <c r="I169" s="150">
        <f>+VLOOKUP($B169,'INT Web'!$B$5:$U$247,'INT Web'!U$1,FALSE)</f>
        <v>14.99</v>
      </c>
      <c r="J169" s="72">
        <f>+VLOOKUP($B169,'[6]Single Game'!$B$4:$P$238,'[6]Single Game'!M$1,FALSE)</f>
        <v>4.99</v>
      </c>
      <c r="K169" s="72">
        <f>+VLOOKUP($B169,'[6]Single Game'!$B$4:$P$238,'[6]Single Game'!N$1,FALSE)</f>
        <v>3.99</v>
      </c>
      <c r="L169" s="72">
        <f>+VLOOKUP($B169,'[6]Single Game'!$B$4:$P$238,'[6]Single Game'!O$1,FALSE)</f>
        <v>2.99</v>
      </c>
      <c r="M169" s="72">
        <f>+VLOOKUP($B169,'[6]Single Game'!$B$4:$P$238,'[6]Single Game'!P$1,FALSE)</f>
        <v>1.9900000000000002</v>
      </c>
      <c r="O169" t="str">
        <f>IF(VLOOKUP($B169,[5]Google!$B$3:$I$174,[5]Google!F$1,FALSE)=F169,"Same","MISMATCH")</f>
        <v>Same</v>
      </c>
      <c r="P169" t="str">
        <f>IF(VLOOKUP($B169,[5]Google!$B$3:$I$174,[5]Google!G$1,FALSE)=G169,"Same","MISMATCH")</f>
        <v>Same</v>
      </c>
      <c r="Q169" t="str">
        <f>IF(VLOOKUP($B169,[5]Google!$B$3:$I$174,[5]Google!H$1,FALSE)=H169,"Same","MISMATCH")</f>
        <v>Same</v>
      </c>
      <c r="R169" t="str">
        <f>IF(VLOOKUP($B169,[5]Google!$B$3:$I$174,[5]Google!I$1,FALSE)=I169,"Same","MISMATCH")</f>
        <v>Same</v>
      </c>
      <c r="S169" t="str">
        <f>IF(VLOOKUP($B169,[5]Google!$B$3:$M$174,[5]Google!J$1,FALSE)=J169,"Same","MISMATCH")</f>
        <v>Same</v>
      </c>
      <c r="T169" t="str">
        <f>IF(VLOOKUP($B169,[5]Google!$B$3:$M$174,[5]Google!K$1,FALSE)=K169,"Same","MISMATCH")</f>
        <v>Same</v>
      </c>
      <c r="U169" t="str">
        <f>IF(VLOOKUP($B169,[5]Google!$B$3:$M$174,[5]Google!L$1,FALSE)=L169,"Same","MISMATCH")</f>
        <v>Same</v>
      </c>
      <c r="V169" t="str">
        <f>IF(VLOOKUP($B169,[5]Google!$B$3:$M$174,[5]Google!M$1,FALSE)=M169,"Same","MISMATCH")</f>
        <v>Same</v>
      </c>
    </row>
    <row r="170" spans="2:22">
      <c r="B170" t="s">
        <v>312</v>
      </c>
      <c r="C170" s="31" t="str">
        <f>+VLOOKUP(B170,'Country &amp; Code Abbreviation'!$B$3:$C$245,2,FALSE)</f>
        <v>VE</v>
      </c>
      <c r="D170" s="31" t="str">
        <f>+VLOOKUP(B170,'INT Web'!$B$5:$Q$248,16,FALSE)</f>
        <v>USD</v>
      </c>
      <c r="E170" s="32" t="s">
        <v>346</v>
      </c>
      <c r="F170" s="33">
        <f>+IFERROR(IF($E170=VLOOKUP($B170,Apple!$B$3:$I$176,Apple!$E$1,FALSE),VLOOKUP(Google!$B170,Apple!$B$3:$I$176,Apple!F$1,FALSE),VLOOKUP($B170,'INT Web'!$B$5:$U$247,'INT Web'!R$1,FALSE)),MROUND(VLOOKUP($B170,'INT Web'!$B$5:$AQ$247,'INT Web'!AL$1,FALSE),1)-0.01)</f>
        <v>95.99</v>
      </c>
      <c r="G170" s="33">
        <f>+IFERROR(IF($E170=VLOOKUP($B170,Apple!$B$3:$I$176,Apple!$E$1,FALSE),VLOOKUP(Google!$B170,Apple!$B$3:$I$176,Apple!G$1,FALSE),VLOOKUP($B170,'INT Web'!$B$5:$U$247,'INT Web'!S$1,FALSE)),MROUND(VLOOKUP($B170,'INT Web'!$B$5:$AQ$247,'INT Web'!AM$1,FALSE),1)-0.01)</f>
        <v>15.99</v>
      </c>
      <c r="H170" s="33">
        <f>+IFERROR(IF($E170=VLOOKUP($B170,Apple!$B$3:$I$176,Apple!$E$1,FALSE),VLOOKUP(Google!$B170,Apple!$B$3:$I$176,Apple!H$1,FALSE),VLOOKUP($B170,'INT Web'!$B$5:$U$247,'INT Web'!T$1,FALSE)),MROUND(VLOOKUP($B170,'INT Web'!$B$5:$AQ$247,'INT Web'!AN$1,FALSE),1)-0.01)</f>
        <v>71.989999999999995</v>
      </c>
      <c r="I170" s="33">
        <f>+IFERROR(IF($E170=VLOOKUP($B170,Apple!$B$3:$I$176,Apple!$E$1,FALSE),VLOOKUP(Google!$B170,Apple!$B$3:$I$176,Apple!I$1,FALSE),VLOOKUP($B170,'INT Web'!$B$5:$U$247,'INT Web'!U$1,FALSE)),MROUND(VLOOKUP($B170,'INT Web'!$B$5:$AQ$247,'INT Web'!AO$1,FALSE),1)-0.01)</f>
        <v>11.99</v>
      </c>
      <c r="J170" s="33">
        <f>+IF($E170=VLOOKUP($B170,Apple!$B$3:$E$176,4,FALSE),VLOOKUP(Google!$B170,Apple!$B$3:$M$176,Apple!J$1,FALSE),VLOOKUP($B170,'[6]Single Game'!$B$4:$P$238,'[6]Single Game'!M$1,FALSE))</f>
        <v>4.99</v>
      </c>
      <c r="K170" s="33">
        <f>+IF($E170=VLOOKUP($B170,Apple!$B$3:$E$176,4,FALSE),VLOOKUP(Google!$B170,Apple!$B$3:$M$176,Apple!K$1,FALSE),VLOOKUP($B170,'[6]Single Game'!$B$4:$P$238,'[6]Single Game'!N$1,FALSE))</f>
        <v>3.99</v>
      </c>
      <c r="L170" s="33">
        <f>+IF($E170=VLOOKUP($B170,Apple!$B$3:$E$176,4,FALSE),VLOOKUP(Google!$B170,Apple!$B$3:$M$176,Apple!L$1,FALSE),VLOOKUP($B170,'[6]Single Game'!$B$4:$P$238,'[6]Single Game'!O$1,FALSE))</f>
        <v>2.99</v>
      </c>
      <c r="M170" s="33">
        <f>+IF($E170=VLOOKUP($B170,Apple!$B$3:$E$176,4,FALSE),VLOOKUP(Google!$B170,Apple!$B$3:$M$176,Apple!M$1,FALSE),VLOOKUP($B170,'[6]Single Game'!$B$4:$P$238,'[6]Single Game'!P$1,FALSE))</f>
        <v>1.9900000000000002</v>
      </c>
      <c r="O170" t="str">
        <f>IF(VLOOKUP($B170,[5]Google!$B$3:$I$174,[5]Google!F$1,FALSE)=F170,"Same","MISMATCH")</f>
        <v>Same</v>
      </c>
      <c r="P170" t="str">
        <f>IF(VLOOKUP($B170,[5]Google!$B$3:$I$174,[5]Google!G$1,FALSE)=G170,"Same","MISMATCH")</f>
        <v>Same</v>
      </c>
      <c r="Q170" t="str">
        <f>IF(VLOOKUP($B170,[5]Google!$B$3:$I$174,[5]Google!H$1,FALSE)=H170,"Same","MISMATCH")</f>
        <v>Same</v>
      </c>
      <c r="R170" t="str">
        <f>IF(VLOOKUP($B170,[5]Google!$B$3:$I$174,[5]Google!I$1,FALSE)=I170,"Same","MISMATCH")</f>
        <v>Same</v>
      </c>
      <c r="S170" t="str">
        <f>IF(VLOOKUP($B170,[5]Google!$B$3:$M$174,[5]Google!J$1,FALSE)=J170,"Same","MISMATCH")</f>
        <v>Same</v>
      </c>
      <c r="T170" t="str">
        <f>IF(VLOOKUP($B170,[5]Google!$B$3:$M$174,[5]Google!K$1,FALSE)=K170,"Same","MISMATCH")</f>
        <v>Same</v>
      </c>
      <c r="U170" t="str">
        <f>IF(VLOOKUP($B170,[5]Google!$B$3:$M$174,[5]Google!L$1,FALSE)=L170,"Same","MISMATCH")</f>
        <v>Same</v>
      </c>
      <c r="V170" t="str">
        <f>IF(VLOOKUP($B170,[5]Google!$B$3:$M$174,[5]Google!M$1,FALSE)=M170,"Same","MISMATCH")</f>
        <v>Same</v>
      </c>
    </row>
    <row r="171" spans="2:22">
      <c r="B171" t="s">
        <v>313</v>
      </c>
      <c r="C171" s="31" t="str">
        <f>+VLOOKUP(B171,'Country &amp; Code Abbreviation'!$B$3:$C$245,2,FALSE)</f>
        <v>VN</v>
      </c>
      <c r="D171" s="31" t="str">
        <f>+VLOOKUP(B171,'INT Web'!$B$5:$Q$248,16,FALSE)</f>
        <v>VND</v>
      </c>
      <c r="E171" s="32" t="s">
        <v>410</v>
      </c>
      <c r="F171" s="33">
        <f>+IFERROR(IF($E171=VLOOKUP($B171,Apple!$B$3:$I$176,Apple!$E$1,FALSE),VLOOKUP(Google!$B171,Apple!$B$3:$I$176,Apple!F$1,FALSE),VLOOKUP($B171,'INT Web'!$B$5:$U$247,'INT Web'!R$1,FALSE)),MROUND(VLOOKUP($B171,'INT Web'!$B$5:$AQ$247,'INT Web'!AL$1,FALSE),1)-0.01)</f>
        <v>1999000</v>
      </c>
      <c r="G171" s="33">
        <f>+IFERROR(IF($E171=VLOOKUP($B171,Apple!$B$3:$I$176,Apple!$E$1,FALSE),VLOOKUP(Google!$B171,Apple!$B$3:$I$176,Apple!G$1,FALSE),VLOOKUP($B171,'INT Web'!$B$5:$U$247,'INT Web'!S$1,FALSE)),MROUND(VLOOKUP($B171,'INT Web'!$B$5:$AQ$247,'INT Web'!AM$1,FALSE),1)-0.01)</f>
        <v>309000</v>
      </c>
      <c r="H171" s="33">
        <f>+IFERROR(IF($E171=VLOOKUP($B171,Apple!$B$3:$I$176,Apple!$E$1,FALSE),VLOOKUP(Google!$B171,Apple!$B$3:$I$176,Apple!H$1,FALSE),VLOOKUP($B171,'INT Web'!$B$5:$U$247,'INT Web'!T$1,FALSE)),MROUND(VLOOKUP($B171,'INT Web'!$B$5:$AQ$247,'INT Web'!AN$1,FALSE),1)-0.01)</f>
        <v>1549000</v>
      </c>
      <c r="I171" s="33">
        <f>+IFERROR(IF($E171=VLOOKUP($B171,Apple!$B$3:$I$176,Apple!$E$1,FALSE),VLOOKUP(Google!$B171,Apple!$B$3:$I$176,Apple!I$1,FALSE),VLOOKUP($B171,'INT Web'!$B$5:$U$247,'INT Web'!U$1,FALSE)),MROUND(VLOOKUP($B171,'INT Web'!$B$5:$AQ$247,'INT Web'!AO$1,FALSE),1)-0.01)</f>
        <v>220000</v>
      </c>
      <c r="J171" s="33">
        <f>+IF($E171=VLOOKUP($B171,Apple!$B$3:$E$176,4,FALSE),VLOOKUP(Google!$B171,Apple!$B$3:$M$176,Apple!J$1,FALSE),VLOOKUP($B171,'[6]Single Game'!$B$4:$P$238,'[6]Single Game'!M$1,FALSE))</f>
        <v>89000</v>
      </c>
      <c r="K171" s="33">
        <f>+IF($E171=VLOOKUP($B171,Apple!$B$3:$E$176,4,FALSE),VLOOKUP(Google!$B171,Apple!$B$3:$M$176,Apple!K$1,FALSE),VLOOKUP($B171,'[6]Single Game'!$B$4:$P$238,'[6]Single Game'!N$1,FALSE))</f>
        <v>89000</v>
      </c>
      <c r="L171" s="33">
        <f>+IF($E171=VLOOKUP($B171,Apple!$B$3:$E$176,4,FALSE),VLOOKUP(Google!$B171,Apple!$B$3:$M$176,Apple!L$1,FALSE),VLOOKUP($B171,'[6]Single Game'!$B$4:$P$238,'[6]Single Game'!O$1,FALSE))</f>
        <v>45000</v>
      </c>
      <c r="M171" s="33">
        <f>+IF($E171=VLOOKUP($B171,Apple!$B$3:$E$176,4,FALSE),VLOOKUP(Google!$B171,Apple!$B$3:$M$176,Apple!M$1,FALSE),VLOOKUP($B171,'[6]Single Game'!$B$4:$P$238,'[6]Single Game'!P$1,FALSE))</f>
        <v>45000</v>
      </c>
      <c r="O171" t="str">
        <f>IF(VLOOKUP($B171,[5]Google!$B$3:$I$174,[5]Google!F$1,FALSE)=F171,"Same","MISMATCH")</f>
        <v>Same</v>
      </c>
      <c r="P171" t="str">
        <f>IF(VLOOKUP($B171,[5]Google!$B$3:$I$174,[5]Google!G$1,FALSE)=G171,"Same","MISMATCH")</f>
        <v>Same</v>
      </c>
      <c r="Q171" t="str">
        <f>IF(VLOOKUP($B171,[5]Google!$B$3:$I$174,[5]Google!H$1,FALSE)=H171,"Same","MISMATCH")</f>
        <v>Same</v>
      </c>
      <c r="R171" t="str">
        <f>IF(VLOOKUP($B171,[5]Google!$B$3:$I$174,[5]Google!I$1,FALSE)=I171,"Same","MISMATCH")</f>
        <v>Same</v>
      </c>
      <c r="S171" t="str">
        <f>IF(VLOOKUP($B171,[5]Google!$B$3:$M$174,[5]Google!J$1,FALSE)=J171,"Same","MISMATCH")</f>
        <v>Same</v>
      </c>
      <c r="T171" t="str">
        <f>IF(VLOOKUP($B171,[5]Google!$B$3:$M$174,[5]Google!K$1,FALSE)=K171,"Same","MISMATCH")</f>
        <v>Same</v>
      </c>
      <c r="U171" t="str">
        <f>IF(VLOOKUP($B171,[5]Google!$B$3:$M$174,[5]Google!L$1,FALSE)=L171,"Same","MISMATCH")</f>
        <v>Same</v>
      </c>
      <c r="V171" t="str">
        <f>IF(VLOOKUP($B171,[5]Google!$B$3:$M$174,[5]Google!M$1,FALSE)=M171,"Same","MISMATCH")</f>
        <v>Same</v>
      </c>
    </row>
    <row r="172" spans="2:22">
      <c r="B172" t="s">
        <v>316</v>
      </c>
      <c r="C172" s="31" t="str">
        <f>+VLOOKUP(B172,'Country &amp; Code Abbreviation'!$B$3:$C$245,2,FALSE)</f>
        <v>YE</v>
      </c>
      <c r="D172" s="31" t="str">
        <f>+VLOOKUP(B172,'INT Web'!$B$5:$Q$248,16,FALSE)</f>
        <v>USD</v>
      </c>
      <c r="E172" s="32" t="s">
        <v>346</v>
      </c>
      <c r="F172" s="33">
        <f>+IFERROR(IF($E172=VLOOKUP($B172,Apple!$B$3:$I$176,Apple!$E$1,FALSE),VLOOKUP(Google!$B172,Apple!$B$3:$I$176,Apple!F$1,FALSE),VLOOKUP($B172,'INT Web'!$B$5:$U$247,'INT Web'!R$1,FALSE)),MROUND(VLOOKUP($B172,'INT Web'!$B$5:$AQ$247,'INT Web'!AL$1,FALSE),1)-0.01)</f>
        <v>77.989999999999995</v>
      </c>
      <c r="G172" s="33">
        <f>+IFERROR(IF($E172=VLOOKUP($B172,Apple!$B$3:$I$176,Apple!$E$1,FALSE),VLOOKUP(Google!$B172,Apple!$B$3:$I$176,Apple!G$1,FALSE),VLOOKUP($B172,'INT Web'!$B$5:$U$247,'INT Web'!S$1,FALSE)),MROUND(VLOOKUP($B172,'INT Web'!$B$5:$AQ$247,'INT Web'!AM$1,FALSE),1)-0.01)</f>
        <v>12.99</v>
      </c>
      <c r="H172" s="33">
        <f>+IFERROR(IF($E172=VLOOKUP($B172,Apple!$B$3:$I$176,Apple!$E$1,FALSE),VLOOKUP(Google!$B172,Apple!$B$3:$I$176,Apple!H$1,FALSE),VLOOKUP($B172,'INT Web'!$B$5:$U$247,'INT Web'!T$1,FALSE)),MROUND(VLOOKUP($B172,'INT Web'!$B$5:$AQ$247,'INT Web'!AN$1,FALSE),1)-0.01)</f>
        <v>57.99</v>
      </c>
      <c r="I172" s="33">
        <f>+IFERROR(IF($E172=VLOOKUP($B172,Apple!$B$3:$I$176,Apple!$E$1,FALSE),VLOOKUP(Google!$B172,Apple!$B$3:$I$176,Apple!I$1,FALSE),VLOOKUP($B172,'INT Web'!$B$5:$U$247,'INT Web'!U$1,FALSE)),MROUND(VLOOKUP($B172,'INT Web'!$B$5:$AQ$247,'INT Web'!AO$1,FALSE),1)-0.01)</f>
        <v>9.99</v>
      </c>
      <c r="J172" s="33">
        <f>+IF($E172=VLOOKUP($B172,Apple!$B$3:$E$176,4,FALSE),VLOOKUP(Google!$B172,Apple!$B$3:$M$176,Apple!J$1,FALSE),VLOOKUP($B172,'[6]Single Game'!$B$4:$P$238,'[6]Single Game'!M$1,FALSE))</f>
        <v>3.99</v>
      </c>
      <c r="K172" s="33">
        <f>+IF($E172=VLOOKUP($B172,Apple!$B$3:$E$176,4,FALSE),VLOOKUP(Google!$B172,Apple!$B$3:$M$176,Apple!K$1,FALSE),VLOOKUP($B172,'[6]Single Game'!$B$4:$P$238,'[6]Single Game'!N$1,FALSE))</f>
        <v>2.99</v>
      </c>
      <c r="L172" s="33">
        <f>+IF($E172=VLOOKUP($B172,Apple!$B$3:$E$176,4,FALSE),VLOOKUP(Google!$B172,Apple!$B$3:$M$176,Apple!L$1,FALSE),VLOOKUP($B172,'[6]Single Game'!$B$4:$P$238,'[6]Single Game'!O$1,FALSE))</f>
        <v>1.99</v>
      </c>
      <c r="M172" s="33">
        <f>+IF($E172=VLOOKUP($B172,Apple!$B$3:$E$176,4,FALSE),VLOOKUP(Google!$B172,Apple!$B$3:$M$176,Apple!M$1,FALSE),VLOOKUP($B172,'[6]Single Game'!$B$4:$P$238,'[6]Single Game'!P$1,FALSE))</f>
        <v>0.99</v>
      </c>
      <c r="O172" t="str">
        <f>IF(VLOOKUP($B172,[5]Google!$B$3:$I$174,[5]Google!F$1,FALSE)=F172,"Same","MISMATCH")</f>
        <v>Same</v>
      </c>
      <c r="P172" t="str">
        <f>IF(VLOOKUP($B172,[5]Google!$B$3:$I$174,[5]Google!G$1,FALSE)=G172,"Same","MISMATCH")</f>
        <v>Same</v>
      </c>
      <c r="Q172" t="str">
        <f>IF(VLOOKUP($B172,[5]Google!$B$3:$I$174,[5]Google!H$1,FALSE)=H172,"Same","MISMATCH")</f>
        <v>Same</v>
      </c>
      <c r="R172" t="str">
        <f>IF(VLOOKUP($B172,[5]Google!$B$3:$I$174,[5]Google!I$1,FALSE)=I172,"Same","MISMATCH")</f>
        <v>Same</v>
      </c>
      <c r="S172" t="str">
        <f>IF(VLOOKUP($B172,[5]Google!$B$3:$M$174,[5]Google!J$1,FALSE)=J172,"Same","MISMATCH")</f>
        <v>Same</v>
      </c>
      <c r="T172" t="str">
        <f>IF(VLOOKUP($B172,[5]Google!$B$3:$M$174,[5]Google!K$1,FALSE)=K172,"Same","MISMATCH")</f>
        <v>Same</v>
      </c>
      <c r="U172" t="str">
        <f>IF(VLOOKUP($B172,[5]Google!$B$3:$M$174,[5]Google!L$1,FALSE)=L172,"Same","MISMATCH")</f>
        <v>Same</v>
      </c>
      <c r="V172" t="str">
        <f>IF(VLOOKUP($B172,[5]Google!$B$3:$M$174,[5]Google!M$1,FALSE)=M172,"Same","MISMATCH")</f>
        <v>Same</v>
      </c>
    </row>
    <row r="173" spans="2:22">
      <c r="B173" t="s">
        <v>317</v>
      </c>
      <c r="C173" s="31" t="str">
        <f>+VLOOKUP(B173,'Country &amp; Code Abbreviation'!$B$3:$C$245,2,FALSE)</f>
        <v>ZM</v>
      </c>
      <c r="D173" s="31" t="str">
        <f>+VLOOKUP(B173,'INT Web'!$B$5:$Q$248,16,FALSE)</f>
        <v>ZMW</v>
      </c>
      <c r="E173" s="32" t="s">
        <v>346</v>
      </c>
      <c r="F173" s="33">
        <f>+IFERROR(IF($E173=VLOOKUP($B173,Apple!$B$3:$I$176,Apple!$E$1,FALSE),VLOOKUP(Google!$B173,Apple!$B$3:$I$176,Apple!F$1,FALSE),VLOOKUP($B173,'INT Web'!$B$5:$U$247,'INT Web'!R$1,FALSE)),MROUND(VLOOKUP($B173,'INT Web'!$B$5:$AQ$247,'INT Web'!AL$1,FALSE),1)-0.01)</f>
        <v>79.989999999999995</v>
      </c>
      <c r="G173" s="33">
        <f>+IFERROR(IF($E173=VLOOKUP($B173,Apple!$B$3:$I$176,Apple!$E$1,FALSE),VLOOKUP(Google!$B173,Apple!$B$3:$I$176,Apple!G$1,FALSE),VLOOKUP($B173,'INT Web'!$B$5:$U$247,'INT Web'!S$1,FALSE)),MROUND(VLOOKUP($B173,'INT Web'!$B$5:$AQ$247,'INT Web'!AM$1,FALSE),1)-0.01)</f>
        <v>12.99</v>
      </c>
      <c r="H173" s="33">
        <f>+IFERROR(IF($E173=VLOOKUP($B173,Apple!$B$3:$I$176,Apple!$E$1,FALSE),VLOOKUP(Google!$B173,Apple!$B$3:$I$176,Apple!H$1,FALSE),VLOOKUP($B173,'INT Web'!$B$5:$U$247,'INT Web'!T$1,FALSE)),MROUND(VLOOKUP($B173,'INT Web'!$B$5:$AQ$247,'INT Web'!AN$1,FALSE),1)-0.01)</f>
        <v>57.99</v>
      </c>
      <c r="I173" s="33">
        <f>+IFERROR(IF($E173=VLOOKUP($B173,Apple!$B$3:$I$176,Apple!$E$1,FALSE),VLOOKUP(Google!$B173,Apple!$B$3:$I$176,Apple!I$1,FALSE),VLOOKUP($B173,'INT Web'!$B$5:$U$247,'INT Web'!U$1,FALSE)),MROUND(VLOOKUP($B173,'INT Web'!$B$5:$AQ$247,'INT Web'!AO$1,FALSE),1)-0.01)</f>
        <v>9.99</v>
      </c>
      <c r="J173" s="33">
        <f>+IF($E173=VLOOKUP($B173,Apple!$B$3:$E$176,4,FALSE),VLOOKUP(Google!$B173,Apple!$B$3:$M$176,Apple!J$1,FALSE),VLOOKUP($B173,'[6]Single Game'!$B$4:$P$238,'[6]Single Game'!M$1,FALSE))</f>
        <v>3.99</v>
      </c>
      <c r="K173" s="33">
        <f>+IF($E173=VLOOKUP($B173,Apple!$B$3:$E$176,4,FALSE),VLOOKUP(Google!$B173,Apple!$B$3:$M$176,Apple!K$1,FALSE),VLOOKUP($B173,'[6]Single Game'!$B$4:$P$238,'[6]Single Game'!N$1,FALSE))</f>
        <v>2.99</v>
      </c>
      <c r="L173" s="33">
        <f>+IF($E173=VLOOKUP($B173,Apple!$B$3:$E$176,4,FALSE),VLOOKUP(Google!$B173,Apple!$B$3:$M$176,Apple!L$1,FALSE),VLOOKUP($B173,'[6]Single Game'!$B$4:$P$238,'[6]Single Game'!O$1,FALSE))</f>
        <v>2.99</v>
      </c>
      <c r="M173" s="33">
        <f>+IF($E173=VLOOKUP($B173,Apple!$B$3:$E$176,4,FALSE),VLOOKUP(Google!$B173,Apple!$B$3:$M$176,Apple!M$1,FALSE),VLOOKUP($B173,'[6]Single Game'!$B$4:$P$238,'[6]Single Game'!P$1,FALSE))</f>
        <v>1.99</v>
      </c>
      <c r="O173" t="str">
        <f>IF(VLOOKUP($B173,[5]Google!$B$3:$I$174,[5]Google!F$1,FALSE)=F173,"Same","MISMATCH")</f>
        <v>Same</v>
      </c>
      <c r="P173" t="str">
        <f>IF(VLOOKUP($B173,[5]Google!$B$3:$I$174,[5]Google!G$1,FALSE)=G173,"Same","MISMATCH")</f>
        <v>Same</v>
      </c>
      <c r="Q173" t="str">
        <f>IF(VLOOKUP($B173,[5]Google!$B$3:$I$174,[5]Google!H$1,FALSE)=H173,"Same","MISMATCH")</f>
        <v>Same</v>
      </c>
      <c r="R173" t="str">
        <f>IF(VLOOKUP($B173,[5]Google!$B$3:$I$174,[5]Google!I$1,FALSE)=I173,"Same","MISMATCH")</f>
        <v>Same</v>
      </c>
      <c r="S173" t="str">
        <f>IF(VLOOKUP($B173,[5]Google!$B$3:$M$174,[5]Google!J$1,FALSE)=J173,"Same","MISMATCH")</f>
        <v>Same</v>
      </c>
      <c r="T173" t="str">
        <f>IF(VLOOKUP($B173,[5]Google!$B$3:$M$174,[5]Google!K$1,FALSE)=K173,"Same","MISMATCH")</f>
        <v>Same</v>
      </c>
      <c r="U173" t="str">
        <f>IF(VLOOKUP($B173,[5]Google!$B$3:$M$174,[5]Google!L$1,FALSE)=L173,"Same","MISMATCH")</f>
        <v>Same</v>
      </c>
      <c r="V173" t="str">
        <f>IF(VLOOKUP($B173,[5]Google!$B$3:$M$174,[5]Google!M$1,FALSE)=M173,"Same","MISMATCH")</f>
        <v>Same</v>
      </c>
    </row>
    <row r="174" spans="2:22">
      <c r="B174" t="s">
        <v>318</v>
      </c>
      <c r="C174" s="31" t="str">
        <f>+VLOOKUP(B174,'Country &amp; Code Abbreviation'!$B$3:$C$245,2,FALSE)</f>
        <v>ZW</v>
      </c>
      <c r="D174" s="31" t="str">
        <f>+VLOOKUP(B174,'INT Web'!$B$5:$Q$248,16,FALSE)</f>
        <v>USD</v>
      </c>
      <c r="E174" s="32" t="s">
        <v>346</v>
      </c>
      <c r="F174" s="33">
        <f>+IFERROR(IF($E174=VLOOKUP($B174,Apple!$B$3:$I$176,Apple!$E$1,FALSE),VLOOKUP(Google!$B174,Apple!$B$3:$I$176,Apple!F$1,FALSE),VLOOKUP($B174,'INT Web'!$B$5:$U$247,'INT Web'!R$1,FALSE)),MROUND(VLOOKUP($B174,'INT Web'!$B$5:$AQ$247,'INT Web'!AL$1,FALSE),1)-0.01)</f>
        <v>71.989999999999995</v>
      </c>
      <c r="G174" s="33">
        <f>+IFERROR(IF($E174=VLOOKUP($B174,Apple!$B$3:$I$176,Apple!$E$1,FALSE),VLOOKUP(Google!$B174,Apple!$B$3:$I$176,Apple!G$1,FALSE),VLOOKUP($B174,'INT Web'!$B$5:$U$247,'INT Web'!S$1,FALSE)),MROUND(VLOOKUP($B174,'INT Web'!$B$5:$AQ$247,'INT Web'!AM$1,FALSE),1)-0.01)</f>
        <v>11.99</v>
      </c>
      <c r="H174" s="33">
        <f>+IFERROR(IF($E174=VLOOKUP($B174,Apple!$B$3:$I$176,Apple!$E$1,FALSE),VLOOKUP(Google!$B174,Apple!$B$3:$I$176,Apple!H$1,FALSE),VLOOKUP($B174,'INT Web'!$B$5:$U$247,'INT Web'!T$1,FALSE)),MROUND(VLOOKUP($B174,'INT Web'!$B$5:$AQ$247,'INT Web'!AN$1,FALSE),1)-0.01)</f>
        <v>53.99</v>
      </c>
      <c r="I174" s="33">
        <f>+IFERROR(IF($E174=VLOOKUP($B174,Apple!$B$3:$I$176,Apple!$E$1,FALSE),VLOOKUP(Google!$B174,Apple!$B$3:$I$176,Apple!I$1,FALSE),VLOOKUP($B174,'INT Web'!$B$5:$U$247,'INT Web'!U$1,FALSE)),MROUND(VLOOKUP($B174,'INT Web'!$B$5:$AQ$247,'INT Web'!AO$1,FALSE),1)-0.01)</f>
        <v>8.99</v>
      </c>
      <c r="J174" s="34">
        <v>2.99</v>
      </c>
      <c r="K174" s="34">
        <v>2.99</v>
      </c>
      <c r="L174" s="34">
        <v>1.99</v>
      </c>
      <c r="M174" s="34">
        <v>1.99</v>
      </c>
      <c r="O174" t="str">
        <f>IF(VLOOKUP($B174,[5]Google!$B$3:$I$174,[5]Google!F$1,FALSE)=F174,"Same","MISMATCH")</f>
        <v>Same</v>
      </c>
      <c r="P174" t="str">
        <f>IF(VLOOKUP($B174,[5]Google!$B$3:$I$174,[5]Google!G$1,FALSE)=G174,"Same","MISMATCH")</f>
        <v>Same</v>
      </c>
      <c r="Q174" t="str">
        <f>IF(VLOOKUP($B174,[5]Google!$B$3:$I$174,[5]Google!H$1,FALSE)=H174,"Same","MISMATCH")</f>
        <v>Same</v>
      </c>
      <c r="R174" t="str">
        <f>IF(VLOOKUP($B174,[5]Google!$B$3:$I$174,[5]Google!I$1,FALSE)=I174,"Same","MISMATCH")</f>
        <v>Same</v>
      </c>
      <c r="S174" t="str">
        <f>IF(VLOOKUP($B174,[5]Google!$B$3:$M$174,[5]Google!J$1,FALSE)=J174,"Same","MISMATCH")</f>
        <v>Same</v>
      </c>
      <c r="T174" t="str">
        <f>IF(VLOOKUP($B174,[5]Google!$B$3:$M$174,[5]Google!K$1,FALSE)=K174,"Same","MISMATCH")</f>
        <v>Same</v>
      </c>
      <c r="U174" t="str">
        <f>IF(VLOOKUP($B174,[5]Google!$B$3:$M$174,[5]Google!L$1,FALSE)=L174,"Same","MISMATCH")</f>
        <v>Same</v>
      </c>
      <c r="V174" t="str">
        <f>IF(VLOOKUP($B174,[5]Google!$B$3:$M$174,[5]Google!M$1,FALSE)=M174,"Same","MISMATCH")</f>
        <v>Same</v>
      </c>
    </row>
  </sheetData>
  <autoFilter ref="B2:N2" xr:uid="{4631DC1F-A713-4D50-BED9-A78894F41542}"/>
  <conditionalFormatting sqref="B3:B28 B30:B174">
    <cfRule type="duplicateValues" dxfId="43" priority="5"/>
  </conditionalFormatting>
  <conditionalFormatting sqref="B29">
    <cfRule type="duplicateValues" dxfId="42" priority="4"/>
  </conditionalFormatting>
  <conditionalFormatting sqref="O2:R174">
    <cfRule type="containsErrors" dxfId="41" priority="3">
      <formula>ISERROR(O2)</formula>
    </cfRule>
  </conditionalFormatting>
  <conditionalFormatting sqref="S3:V174">
    <cfRule type="containsErrors" dxfId="40" priority="1">
      <formula>ISERROR(S3)</formula>
    </cfRule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FE3D-E5D9-44F3-9D4D-2C59210C1A78}">
  <sheetPr>
    <tabColor rgb="FFFFFF00"/>
  </sheetPr>
  <dimension ref="B2:T62"/>
  <sheetViews>
    <sheetView workbookViewId="0">
      <pane xSplit="5" ySplit="2" topLeftCell="F3" activePane="bottomRight" state="frozen"/>
      <selection pane="topRight" activeCell="L52" sqref="L52"/>
      <selection pane="bottomLeft" activeCell="L52" sqref="L52"/>
      <selection pane="bottomRight" activeCell="F3" sqref="F3"/>
    </sheetView>
  </sheetViews>
  <sheetFormatPr defaultColWidth="8.6328125" defaultRowHeight="12.5" outlineLevelCol="1"/>
  <cols>
    <col min="1" max="1" width="1.6328125" customWidth="1"/>
    <col min="2" max="2" width="13.6328125" customWidth="1"/>
    <col min="3" max="3" width="17.6328125" bestFit="1" customWidth="1"/>
    <col min="4" max="4" width="18.36328125" bestFit="1" customWidth="1"/>
    <col min="5" max="5" width="21.36328125" bestFit="1" customWidth="1"/>
    <col min="6" max="6" width="10.453125" bestFit="1" customWidth="1"/>
    <col min="7" max="7" width="19.453125" bestFit="1" customWidth="1"/>
    <col min="8" max="8" width="10.453125" bestFit="1" customWidth="1"/>
    <col min="9" max="9" width="19.453125" bestFit="1" customWidth="1"/>
    <col min="11" max="11" width="14.36328125" hidden="1" customWidth="1" outlineLevel="1"/>
    <col min="12" max="12" width="14.6328125" hidden="1" customWidth="1" outlineLevel="1"/>
    <col min="13" max="13" width="14.36328125" hidden="1" customWidth="1" outlineLevel="1"/>
    <col min="14" max="14" width="14.6328125" hidden="1" customWidth="1" outlineLevel="1"/>
    <col min="15" max="15" width="1.6328125" hidden="1" customWidth="1" outlineLevel="1"/>
    <col min="16" max="19" width="0" hidden="1" customWidth="1" outlineLevel="1"/>
    <col min="20" max="20" width="8.6328125" collapsed="1"/>
  </cols>
  <sheetData>
    <row r="2" spans="2:19" ht="13">
      <c r="B2" s="24" t="s">
        <v>31</v>
      </c>
      <c r="C2" s="24" t="s">
        <v>359</v>
      </c>
      <c r="D2" s="24" t="s">
        <v>360</v>
      </c>
      <c r="E2" s="24" t="s">
        <v>431</v>
      </c>
      <c r="F2" s="24" t="s">
        <v>55</v>
      </c>
      <c r="G2" s="24" t="s">
        <v>56</v>
      </c>
      <c r="H2" s="24" t="s">
        <v>57</v>
      </c>
      <c r="I2" s="24" t="s">
        <v>58</v>
      </c>
      <c r="K2" s="24" t="s">
        <v>55</v>
      </c>
      <c r="L2" s="24" t="s">
        <v>56</v>
      </c>
      <c r="M2" s="24" t="s">
        <v>57</v>
      </c>
      <c r="N2" s="24" t="s">
        <v>58</v>
      </c>
    </row>
    <row r="3" spans="2:19">
      <c r="B3" s="73" t="s">
        <v>84</v>
      </c>
      <c r="C3" s="110" t="str">
        <f>+VLOOKUP(B3,'Country &amp; Code Abbreviation'!$B$3:$C$245,2,FALSE)</f>
        <v>AU</v>
      </c>
      <c r="D3" s="31" t="str">
        <f>+VLOOKUP(B3,'INT Web'!$B$5:$Q$248,16,FALSE)</f>
        <v>AUD</v>
      </c>
      <c r="E3" s="32" t="s">
        <v>367</v>
      </c>
      <c r="F3" s="109">
        <f>+VLOOKUP($B3,'INT Web'!$B$5:$U$247,'INT Web'!R$1,FALSE)</f>
        <v>244.99</v>
      </c>
      <c r="G3" s="109">
        <f>+VLOOKUP($B3,'INT Web'!$B$5:$U$247,'INT Web'!S$1,FALSE)</f>
        <v>34.99</v>
      </c>
      <c r="H3" s="33">
        <f>+VLOOKUP($B3,'INT Web'!$B$5:$U$247,'INT Web'!T$1,FALSE)</f>
        <v>174.99</v>
      </c>
      <c r="I3" s="33">
        <f>+VLOOKUP($B3,'INT Web'!$B$5:$U$247,'INT Web'!U$1,FALSE)</f>
        <v>24.99</v>
      </c>
      <c r="K3" t="str">
        <f>IF(+VLOOKUP($B3,[5]Amazon!$B$3:$I$14,[5]Amazon!$F$1,FALSE)=F3,"same","PRICE CHANGE")</f>
        <v>PRICE CHANGE</v>
      </c>
      <c r="L3" t="str">
        <f>IF(+VLOOKUP($B3,[5]Amazon!$B$3:$I$14,[5]Amazon!$G$1,FALSE)=G3,"same","PRICE CHANGE")</f>
        <v>PRICE CHANGE</v>
      </c>
      <c r="M3" t="str">
        <f>IF(+VLOOKUP($B3,[5]Amazon!$B$3:$I$14,[5]Amazon!$H$1,FALSE)=H3,"same","PRICE CHANGE")</f>
        <v>same</v>
      </c>
      <c r="N3" t="str">
        <f>IF(+VLOOKUP($B3,[5]Amazon!$B$3:$I$14,[5]Amazon!$I$1,FALSE)=I3,"same","PRICE CHANGE")</f>
        <v>same</v>
      </c>
      <c r="P3" t="b">
        <f>+F3=VLOOKUP($B3,[5]Amazon!$B$3:$I$14,[5]Amazon!F$1,FALSE)</f>
        <v>0</v>
      </c>
      <c r="Q3" t="b">
        <f>+G3=VLOOKUP($B3,[5]Amazon!$B$3:$I$14,[5]Amazon!G$1,FALSE)</f>
        <v>0</v>
      </c>
      <c r="R3" t="b">
        <f>+H3=VLOOKUP($B3,[5]Amazon!$B$3:$I$14,[5]Amazon!H$1,FALSE)</f>
        <v>1</v>
      </c>
      <c r="S3" t="b">
        <f>+I3=VLOOKUP($B3,[5]Amazon!$B$3:$I$14,[5]Amazon!I$1,FALSE)</f>
        <v>1</v>
      </c>
    </row>
    <row r="4" spans="2:19">
      <c r="B4" t="s">
        <v>104</v>
      </c>
      <c r="C4" s="31" t="str">
        <f>+VLOOKUP(B4,'Country &amp; Code Abbreviation'!$B$3:$C$245,2,FALSE)</f>
        <v>BR</v>
      </c>
      <c r="D4" s="31" t="str">
        <f>+VLOOKUP(B4,'INT Web'!$B$5:$Q$248,16,FALSE)</f>
        <v>BRL</v>
      </c>
      <c r="E4" s="32" t="s">
        <v>369</v>
      </c>
      <c r="F4" s="33">
        <f>+VLOOKUP($B4,'INT Web'!$B$5:$U$247,'INT Web'!R$1,FALSE)</f>
        <v>489.99</v>
      </c>
      <c r="G4" s="33">
        <f>+VLOOKUP($B4,'INT Web'!$B$5:$U$247,'INT Web'!S$1,FALSE)</f>
        <v>69.989999999999995</v>
      </c>
      <c r="H4" s="33">
        <f>+VLOOKUP($B4,'INT Web'!$B$5:$U$247,'INT Web'!T$1,FALSE)</f>
        <v>384.99</v>
      </c>
      <c r="I4" s="33">
        <f>+VLOOKUP($B4,'INT Web'!$B$5:$U$247,'INT Web'!U$1,FALSE)</f>
        <v>54.99</v>
      </c>
      <c r="K4" t="str">
        <f>IF(+VLOOKUP($B4,[5]Amazon!$B$3:$I$14,[5]Amazon!$F$1,FALSE)=F4,"same","PRICE CHANGE")</f>
        <v>same</v>
      </c>
      <c r="L4" t="str">
        <f>IF(+VLOOKUP($B4,[5]Amazon!$B$3:$I$14,[5]Amazon!$G$1,FALSE)=G4,"same","PRICE CHANGE")</f>
        <v>same</v>
      </c>
      <c r="M4" t="str">
        <f>IF(+VLOOKUP($B4,[5]Amazon!$B$3:$I$14,[5]Amazon!$H$1,FALSE)=H4,"same","PRICE CHANGE")</f>
        <v>same</v>
      </c>
      <c r="N4" t="str">
        <f>IF(+VLOOKUP($B4,[5]Amazon!$B$3:$I$14,[5]Amazon!$I$1,FALSE)=I4,"same","PRICE CHANGE")</f>
        <v>same</v>
      </c>
      <c r="P4" t="b">
        <f>+F4=VLOOKUP($B4,[5]Amazon!$B$3:$I$14,[5]Amazon!F$1,FALSE)</f>
        <v>1</v>
      </c>
      <c r="Q4" t="b">
        <f>+G4=VLOOKUP($B4,[5]Amazon!$B$3:$I$14,[5]Amazon!G$1,FALSE)</f>
        <v>1</v>
      </c>
      <c r="R4" t="b">
        <f>+H4=VLOOKUP($B4,[5]Amazon!$B$3:$I$14,[5]Amazon!H$1,FALSE)</f>
        <v>1</v>
      </c>
      <c r="S4" t="b">
        <f>+I4=VLOOKUP($B4,[5]Amazon!$B$3:$I$14,[5]Amazon!I$1,FALSE)</f>
        <v>1</v>
      </c>
    </row>
    <row r="5" spans="2:19">
      <c r="B5" t="s">
        <v>113</v>
      </c>
      <c r="C5" s="31" t="str">
        <f>+VLOOKUP(B5,'Country &amp; Code Abbreviation'!$B$3:$C$245,2,FALSE)</f>
        <v>CA</v>
      </c>
      <c r="D5" s="31" t="str">
        <f>+VLOOKUP(B5,'INT Web'!$B$5:$Q$248,16,FALSE)</f>
        <v>CAD</v>
      </c>
      <c r="E5" s="32" t="s">
        <v>370</v>
      </c>
      <c r="F5" s="33">
        <f>+VLOOKUP($B5,'INT Web'!$B$5:$U$247,'INT Web'!R$1,FALSE)</f>
        <v>184.99</v>
      </c>
      <c r="G5" s="33">
        <f>+VLOOKUP($B5,'INT Web'!$B$5:$U$247,'INT Web'!S$1,FALSE)</f>
        <v>27.99</v>
      </c>
      <c r="H5" s="33">
        <f>+VLOOKUP($B5,'INT Web'!$B$5:$U$247,'INT Web'!T$1,FALSE)</f>
        <v>129.99</v>
      </c>
      <c r="I5" s="33">
        <f>+VLOOKUP($B5,'INT Web'!$B$5:$U$247,'INT Web'!U$1,FALSE)</f>
        <v>19.989999999999998</v>
      </c>
      <c r="K5" t="str">
        <f>IF(+VLOOKUP($B5,[5]Amazon!$B$3:$I$14,[5]Amazon!$F$1,FALSE)=F5,"same","PRICE CHANGE")</f>
        <v>same</v>
      </c>
      <c r="L5" t="str">
        <f>IF(+VLOOKUP($B5,[5]Amazon!$B$3:$I$14,[5]Amazon!$G$1,FALSE)=G5,"same","PRICE CHANGE")</f>
        <v>same</v>
      </c>
      <c r="M5" t="str">
        <f>IF(+VLOOKUP($B5,[5]Amazon!$B$3:$I$14,[5]Amazon!$H$1,FALSE)=H5,"same","PRICE CHANGE")</f>
        <v>same</v>
      </c>
      <c r="N5" t="str">
        <f>IF(+VLOOKUP($B5,[5]Amazon!$B$3:$I$14,[5]Amazon!$I$1,FALSE)=I5,"same","PRICE CHANGE")</f>
        <v>same</v>
      </c>
      <c r="P5" t="b">
        <f>+F5=VLOOKUP($B5,[5]Amazon!$B$3:$I$14,[5]Amazon!F$1,FALSE)</f>
        <v>1</v>
      </c>
      <c r="Q5" t="b">
        <f>+G5=VLOOKUP($B5,[5]Amazon!$B$3:$I$14,[5]Amazon!G$1,FALSE)</f>
        <v>1</v>
      </c>
      <c r="R5" t="b">
        <f>+H5=VLOOKUP($B5,[5]Amazon!$B$3:$I$14,[5]Amazon!H$1,FALSE)</f>
        <v>1</v>
      </c>
      <c r="S5" t="b">
        <f>+I5=VLOOKUP($B5,[5]Amazon!$B$3:$I$14,[5]Amazon!I$1,FALSE)</f>
        <v>1</v>
      </c>
    </row>
    <row r="6" spans="2:19">
      <c r="B6" t="s">
        <v>148</v>
      </c>
      <c r="C6" s="31" t="str">
        <f>+VLOOKUP(B6,'Country &amp; Code Abbreviation'!$B$3:$C$245,2,FALSE)</f>
        <v>FR</v>
      </c>
      <c r="D6" s="31" t="str">
        <f>+VLOOKUP(B6,'INT Web'!$B$5:$Q$248,16,FALSE)</f>
        <v>EUR</v>
      </c>
      <c r="E6" s="32" t="s">
        <v>368</v>
      </c>
      <c r="F6" s="33">
        <f>+VLOOKUP($B6,'INT Web'!$B$5:$U$247,'INT Web'!R$1,FALSE)</f>
        <v>199.99</v>
      </c>
      <c r="G6" s="33">
        <f>+VLOOKUP($B6,'INT Web'!$B$5:$U$247,'INT Web'!S$1,FALSE)</f>
        <v>28.99</v>
      </c>
      <c r="H6" s="33">
        <f>+VLOOKUP($B6,'INT Web'!$B$5:$U$247,'INT Web'!T$1,FALSE)</f>
        <v>146.99</v>
      </c>
      <c r="I6" s="33">
        <f>+VLOOKUP($B6,'INT Web'!$B$5:$U$247,'INT Web'!U$1,FALSE)</f>
        <v>21.99</v>
      </c>
      <c r="K6" t="str">
        <f>IF(+VLOOKUP($B6,[5]Amazon!$B$3:$I$14,[5]Amazon!$F$1,FALSE)=F6,"same","PRICE CHANGE")</f>
        <v>same</v>
      </c>
      <c r="L6" t="str">
        <f>IF(+VLOOKUP($B6,[5]Amazon!$B$3:$I$14,[5]Amazon!$G$1,FALSE)=G6,"same","PRICE CHANGE")</f>
        <v>same</v>
      </c>
      <c r="M6" t="str">
        <f>IF(+VLOOKUP($B6,[5]Amazon!$B$3:$I$14,[5]Amazon!$H$1,FALSE)=H6,"same","PRICE CHANGE")</f>
        <v>same</v>
      </c>
      <c r="N6" t="str">
        <f>IF(+VLOOKUP($B6,[5]Amazon!$B$3:$I$14,[5]Amazon!$I$1,FALSE)=I6,"same","PRICE CHANGE")</f>
        <v>same</v>
      </c>
      <c r="P6" t="b">
        <f>+F6=VLOOKUP($B6,[5]Amazon!$B$3:$I$14,[5]Amazon!F$1,FALSE)</f>
        <v>1</v>
      </c>
      <c r="Q6" t="b">
        <f>+G6=VLOOKUP($B6,[5]Amazon!$B$3:$I$14,[5]Amazon!G$1,FALSE)</f>
        <v>1</v>
      </c>
      <c r="R6" t="b">
        <f>+H6=VLOOKUP($B6,[5]Amazon!$B$3:$I$14,[5]Amazon!H$1,FALSE)</f>
        <v>1</v>
      </c>
      <c r="S6" t="b">
        <f>+I6=VLOOKUP($B6,[5]Amazon!$B$3:$I$14,[5]Amazon!I$1,FALSE)</f>
        <v>1</v>
      </c>
    </row>
    <row r="7" spans="2:19">
      <c r="B7" t="s">
        <v>155</v>
      </c>
      <c r="C7" s="31" t="str">
        <f>+VLOOKUP(B7,'Country &amp; Code Abbreviation'!$B$3:$C$245,2,FALSE)</f>
        <v>DE</v>
      </c>
      <c r="D7" s="31" t="str">
        <f>+VLOOKUP(B7,'INT Web'!$B$5:$Q$248,16,FALSE)</f>
        <v>EUR</v>
      </c>
      <c r="E7" s="32" t="s">
        <v>368</v>
      </c>
      <c r="F7" s="33">
        <f>+VLOOKUP($B7,'INT Web'!$B$5:$U$247,'INT Web'!R$1,FALSE)</f>
        <v>189.99</v>
      </c>
      <c r="G7" s="33">
        <f>+VLOOKUP($B7,'INT Web'!$B$5:$U$247,'INT Web'!S$1,FALSE)</f>
        <v>27.99</v>
      </c>
      <c r="H7" s="33">
        <f>+VLOOKUP($B7,'INT Web'!$B$5:$U$247,'INT Web'!T$1,FALSE)</f>
        <v>139.99</v>
      </c>
      <c r="I7" s="33">
        <f>+VLOOKUP($B7,'INT Web'!$B$5:$U$247,'INT Web'!U$1,FALSE)</f>
        <v>19.989999999999998</v>
      </c>
      <c r="K7" t="str">
        <f>IF(+VLOOKUP($B7,[5]Amazon!$B$3:$I$14,[5]Amazon!$F$1,FALSE)=F7,"same","PRICE CHANGE")</f>
        <v>same</v>
      </c>
      <c r="L7" t="str">
        <f>IF(+VLOOKUP($B7,[5]Amazon!$B$3:$I$14,[5]Amazon!$G$1,FALSE)=G7,"same","PRICE CHANGE")</f>
        <v>same</v>
      </c>
      <c r="M7" t="str">
        <f>IF(+VLOOKUP($B7,[5]Amazon!$B$3:$I$14,[5]Amazon!$H$1,FALSE)=H7,"same","PRICE CHANGE")</f>
        <v>same</v>
      </c>
      <c r="N7" t="str">
        <f>IF(+VLOOKUP($B7,[5]Amazon!$B$3:$I$14,[5]Amazon!$I$1,FALSE)=I7,"same","PRICE CHANGE")</f>
        <v>same</v>
      </c>
      <c r="P7" t="b">
        <f>+F7=VLOOKUP($B7,[5]Amazon!$B$3:$I$14,[5]Amazon!F$1,FALSE)</f>
        <v>1</v>
      </c>
      <c r="Q7" t="b">
        <f>+G7=VLOOKUP($B7,[5]Amazon!$B$3:$I$14,[5]Amazon!G$1,FALSE)</f>
        <v>1</v>
      </c>
      <c r="R7" t="b">
        <f>+H7=VLOOKUP($B7,[5]Amazon!$B$3:$I$14,[5]Amazon!H$1,FALSE)</f>
        <v>1</v>
      </c>
      <c r="S7" t="b">
        <f>+I7=VLOOKUP($B7,[5]Amazon!$B$3:$I$14,[5]Amazon!I$1,FALSE)</f>
        <v>1</v>
      </c>
    </row>
    <row r="8" spans="2:19">
      <c r="B8" t="s">
        <v>173</v>
      </c>
      <c r="C8" s="31" t="str">
        <f>+VLOOKUP(B8,'Country &amp; Code Abbreviation'!$B$3:$C$245,2,FALSE)</f>
        <v>IN</v>
      </c>
      <c r="D8" s="31" t="str">
        <f>+VLOOKUP(B8,'INT Web'!$B$5:$Q$248,16,FALSE)</f>
        <v>INR</v>
      </c>
      <c r="E8" s="32" t="s">
        <v>378</v>
      </c>
      <c r="F8" s="33">
        <f>+VLOOKUP($B8,'INT Web'!$B$5:$U$247,'INT Web'!R$1,FALSE)</f>
        <v>2099</v>
      </c>
      <c r="G8" s="33">
        <f>+VLOOKUP($B8,'INT Web'!$B$5:$U$247,'INT Web'!S$1,FALSE)</f>
        <v>329</v>
      </c>
      <c r="H8" s="33">
        <f>+VLOOKUP($B8,'INT Web'!$B$5:$U$247,'INT Web'!T$1,FALSE)</f>
        <v>1499</v>
      </c>
      <c r="I8" s="33">
        <f>+VLOOKUP($B8,'INT Web'!$B$5:$U$247,'INT Web'!U$1,FALSE)</f>
        <v>219</v>
      </c>
      <c r="K8" t="str">
        <f>IF(+VLOOKUP($B8,[5]Amazon!$B$3:$I$14,[5]Amazon!$F$1,FALSE)=F8,"same","PRICE CHANGE")</f>
        <v>same</v>
      </c>
      <c r="L8" t="str">
        <f>IF(+VLOOKUP($B8,[5]Amazon!$B$3:$I$14,[5]Amazon!$G$1,FALSE)=G8,"same","PRICE CHANGE")</f>
        <v>same</v>
      </c>
      <c r="M8" t="str">
        <f>IF(+VLOOKUP($B8,[5]Amazon!$B$3:$I$14,[5]Amazon!$H$1,FALSE)=H8,"same","PRICE CHANGE")</f>
        <v>same</v>
      </c>
      <c r="N8" t="str">
        <f>IF(+VLOOKUP($B8,[5]Amazon!$B$3:$I$14,[5]Amazon!$I$1,FALSE)=I8,"same","PRICE CHANGE")</f>
        <v>same</v>
      </c>
      <c r="P8" t="b">
        <f>+F8=VLOOKUP($B8,[5]Amazon!$B$3:$I$14,[5]Amazon!F$1,FALSE)</f>
        <v>1</v>
      </c>
      <c r="Q8" t="b">
        <f>+G8=VLOOKUP($B8,[5]Amazon!$B$3:$I$14,[5]Amazon!G$1,FALSE)</f>
        <v>1</v>
      </c>
      <c r="R8" t="b">
        <f>+H8=VLOOKUP($B8,[5]Amazon!$B$3:$I$14,[5]Amazon!H$1,FALSE)</f>
        <v>1</v>
      </c>
      <c r="S8" t="b">
        <f>+I8=VLOOKUP($B8,[5]Amazon!$B$3:$I$14,[5]Amazon!I$1,FALSE)</f>
        <v>1</v>
      </c>
    </row>
    <row r="9" spans="2:19">
      <c r="B9" t="s">
        <v>179</v>
      </c>
      <c r="C9" s="31" t="str">
        <f>+VLOOKUP(B9,'Country &amp; Code Abbreviation'!$B$3:$C$245,2,FALSE)</f>
        <v>IT</v>
      </c>
      <c r="D9" s="31" t="str">
        <f>+VLOOKUP(B9,'INT Web'!$B$5:$Q$248,16,FALSE)</f>
        <v>EUR</v>
      </c>
      <c r="E9" s="32" t="s">
        <v>368</v>
      </c>
      <c r="F9" s="33">
        <f>+VLOOKUP($B9,'INT Web'!$B$5:$U$247,'INT Web'!R$1,FALSE)</f>
        <v>149.99</v>
      </c>
      <c r="G9" s="33">
        <f>+VLOOKUP($B9,'INT Web'!$B$5:$U$247,'INT Web'!S$1,FALSE)</f>
        <v>21.99</v>
      </c>
      <c r="H9" s="33">
        <f>+VLOOKUP($B9,'INT Web'!$B$5:$U$247,'INT Web'!T$1,FALSE)</f>
        <v>109.99</v>
      </c>
      <c r="I9" s="33">
        <f>+VLOOKUP($B9,'INT Web'!$B$5:$U$247,'INT Web'!U$1,FALSE)</f>
        <v>15.99</v>
      </c>
      <c r="K9" t="str">
        <f>IF(+VLOOKUP($B9,[5]Amazon!$B$3:$I$14,[5]Amazon!$F$1,FALSE)=F9,"same","PRICE CHANGE")</f>
        <v>same</v>
      </c>
      <c r="L9" t="str">
        <f>IF(+VLOOKUP($B9,[5]Amazon!$B$3:$I$14,[5]Amazon!$G$1,FALSE)=G9,"same","PRICE CHANGE")</f>
        <v>same</v>
      </c>
      <c r="M9" t="str">
        <f>IF(+VLOOKUP($B9,[5]Amazon!$B$3:$I$14,[5]Amazon!$H$1,FALSE)=H9,"same","PRICE CHANGE")</f>
        <v>same</v>
      </c>
      <c r="N9" t="str">
        <f>IF(+VLOOKUP($B9,[5]Amazon!$B$3:$I$14,[5]Amazon!$I$1,FALSE)=I9,"same","PRICE CHANGE")</f>
        <v>same</v>
      </c>
      <c r="P9" t="b">
        <f>+F9=VLOOKUP($B9,[5]Amazon!$B$3:$I$14,[5]Amazon!F$1,FALSE)</f>
        <v>1</v>
      </c>
      <c r="Q9" t="b">
        <f>+G9=VLOOKUP($B9,[5]Amazon!$B$3:$I$14,[5]Amazon!G$1,FALSE)</f>
        <v>1</v>
      </c>
      <c r="R9" t="b">
        <f>+H9=VLOOKUP($B9,[5]Amazon!$B$3:$I$14,[5]Amazon!H$1,FALSE)</f>
        <v>1</v>
      </c>
      <c r="S9" t="b">
        <f>+I9=VLOOKUP($B9,[5]Amazon!$B$3:$I$14,[5]Amazon!I$1,FALSE)</f>
        <v>1</v>
      </c>
    </row>
    <row r="10" spans="2:19">
      <c r="B10" t="s">
        <v>181</v>
      </c>
      <c r="C10" s="31" t="str">
        <f>+VLOOKUP(B10,'Country &amp; Code Abbreviation'!$B$3:$C$245,2,FALSE)</f>
        <v>JP</v>
      </c>
      <c r="D10" s="31" t="str">
        <f>+VLOOKUP(B10,'INT Web'!$B$5:$Q$248,16,FALSE)</f>
        <v>JPY</v>
      </c>
      <c r="E10" s="32" t="s">
        <v>352</v>
      </c>
      <c r="F10" s="72">
        <v>25000</v>
      </c>
      <c r="G10" s="33">
        <f>+VLOOKUP($B10,'INT Web'!$B$5:$U$247,'INT Web'!S$1,FALSE)</f>
        <v>4190</v>
      </c>
      <c r="H10" s="72">
        <v>19000</v>
      </c>
      <c r="I10" s="33">
        <f>+VLOOKUP($B10,'INT Web'!$B$5:$U$247,'INT Web'!U$1,FALSE)</f>
        <v>3190</v>
      </c>
      <c r="K10" t="str">
        <f>IF(+VLOOKUP($B10,[5]Amazon!$B$3:$I$14,[5]Amazon!$F$1,FALSE)=F10,"same","PRICE CHANGE")</f>
        <v>same</v>
      </c>
      <c r="L10" t="str">
        <f>IF(+VLOOKUP($B10,[5]Amazon!$B$3:$I$14,[5]Amazon!$G$1,FALSE)=G10,"same","PRICE CHANGE")</f>
        <v>same</v>
      </c>
      <c r="M10" t="str">
        <f>IF(+VLOOKUP($B10,[5]Amazon!$B$3:$I$14,[5]Amazon!$H$1,FALSE)=H10,"same","PRICE CHANGE")</f>
        <v>same</v>
      </c>
      <c r="N10" t="str">
        <f>IF(+VLOOKUP($B10,[5]Amazon!$B$3:$I$14,[5]Amazon!$I$1,FALSE)=I10,"same","PRICE CHANGE")</f>
        <v>same</v>
      </c>
      <c r="P10" t="b">
        <f>+F10=VLOOKUP($B10,[5]Amazon!$B$3:$I$14,[5]Amazon!F$1,FALSE)</f>
        <v>1</v>
      </c>
      <c r="Q10" t="b">
        <f>+G10=VLOOKUP($B10,[5]Amazon!$B$3:$I$14,[5]Amazon!G$1,FALSE)</f>
        <v>1</v>
      </c>
      <c r="R10" t="b">
        <f>+H10=VLOOKUP($B10,[5]Amazon!$B$3:$I$14,[5]Amazon!H$1,FALSE)</f>
        <v>1</v>
      </c>
      <c r="S10" t="b">
        <f>+I10=VLOOKUP($B10,[5]Amazon!$B$3:$I$14,[5]Amazon!I$1,FALSE)</f>
        <v>1</v>
      </c>
    </row>
    <row r="11" spans="2:19">
      <c r="B11" t="s">
        <v>213</v>
      </c>
      <c r="C11" s="31" t="str">
        <f>+VLOOKUP(B11,'Country &amp; Code Abbreviation'!$B$3:$C$245,2,FALSE)</f>
        <v>MX</v>
      </c>
      <c r="D11" s="31" t="str">
        <f>+VLOOKUP(B11,'INT Web'!$B$5:$Q$248,16,FALSE)</f>
        <v>MXN</v>
      </c>
      <c r="E11" s="32" t="s">
        <v>384</v>
      </c>
      <c r="F11" s="33">
        <f>+VLOOKUP($B11,'INT Web'!$B$5:$U$247,'INT Web'!R$1,FALSE)</f>
        <v>1990</v>
      </c>
      <c r="G11" s="33">
        <f>+VLOOKUP($B11,'INT Web'!$B$5:$U$247,'INT Web'!S$1,FALSE)</f>
        <v>290</v>
      </c>
      <c r="H11" s="33">
        <f>+VLOOKUP($B11,'INT Web'!$B$5:$U$247,'INT Web'!T$1,FALSE)</f>
        <v>1470</v>
      </c>
      <c r="I11" s="33">
        <f>+VLOOKUP($B11,'INT Web'!$B$5:$U$247,'INT Web'!U$1,FALSE)</f>
        <v>210</v>
      </c>
      <c r="K11" t="str">
        <f>IF(+VLOOKUP($B11,[5]Amazon!$B$3:$I$14,[5]Amazon!$F$1,FALSE)=F11,"same","PRICE CHANGE")</f>
        <v>same</v>
      </c>
      <c r="L11" t="str">
        <f>IF(+VLOOKUP($B11,[5]Amazon!$B$3:$I$14,[5]Amazon!$G$1,FALSE)=G11,"same","PRICE CHANGE")</f>
        <v>same</v>
      </c>
      <c r="M11" t="str">
        <f>IF(+VLOOKUP($B11,[5]Amazon!$B$3:$I$14,[5]Amazon!$H$1,FALSE)=H11,"same","PRICE CHANGE")</f>
        <v>same</v>
      </c>
      <c r="N11" t="str">
        <f>IF(+VLOOKUP($B11,[5]Amazon!$B$3:$I$14,[5]Amazon!$I$1,FALSE)=I11,"same","PRICE CHANGE")</f>
        <v>same</v>
      </c>
      <c r="P11" t="b">
        <f>+F11=VLOOKUP($B11,[5]Amazon!$B$3:$I$14,[5]Amazon!F$1,FALSE)</f>
        <v>1</v>
      </c>
      <c r="Q11" t="b">
        <f>+G11=VLOOKUP($B11,[5]Amazon!$B$3:$I$14,[5]Amazon!G$1,FALSE)</f>
        <v>1</v>
      </c>
      <c r="R11" t="b">
        <f>+H11=VLOOKUP($B11,[5]Amazon!$B$3:$I$14,[5]Amazon!H$1,FALSE)</f>
        <v>1</v>
      </c>
      <c r="S11" t="b">
        <f>+I11=VLOOKUP($B11,[5]Amazon!$B$3:$I$14,[5]Amazon!I$1,FALSE)</f>
        <v>1</v>
      </c>
    </row>
    <row r="12" spans="2:19">
      <c r="B12" t="s">
        <v>276</v>
      </c>
      <c r="C12" s="31" t="str">
        <f>+VLOOKUP(B12,'Country &amp; Code Abbreviation'!$B$3:$C$245,2,FALSE)</f>
        <v>ES</v>
      </c>
      <c r="D12" s="31" t="str">
        <f>+VLOOKUP(B12,'INT Web'!$B$5:$Q$248,16,FALSE)</f>
        <v>EUR</v>
      </c>
      <c r="E12" s="32" t="s">
        <v>368</v>
      </c>
      <c r="F12" s="33">
        <f>+VLOOKUP($B12,'INT Web'!$B$5:$U$247,'INT Web'!R$1,FALSE)</f>
        <v>139.99</v>
      </c>
      <c r="G12" s="33">
        <f>+VLOOKUP($B12,'INT Web'!$B$5:$U$247,'INT Web'!S$1,FALSE)</f>
        <v>19.989999999999998</v>
      </c>
      <c r="H12" s="33">
        <f>+VLOOKUP($B12,'INT Web'!$B$5:$U$247,'INT Web'!T$1,FALSE)</f>
        <v>109.99</v>
      </c>
      <c r="I12" s="33">
        <f>+VLOOKUP($B12,'INT Web'!$B$5:$U$247,'INT Web'!U$1,FALSE)</f>
        <v>15.99</v>
      </c>
      <c r="K12" t="str">
        <f>IF(+VLOOKUP($B12,[5]Amazon!$B$3:$I$14,[5]Amazon!$F$1,FALSE)=F12,"same","PRICE CHANGE")</f>
        <v>same</v>
      </c>
      <c r="L12" t="str">
        <f>IF(+VLOOKUP($B12,[5]Amazon!$B$3:$I$14,[5]Amazon!$G$1,FALSE)=G12,"same","PRICE CHANGE")</f>
        <v>same</v>
      </c>
      <c r="M12" t="str">
        <f>IF(+VLOOKUP($B12,[5]Amazon!$B$3:$I$14,[5]Amazon!$H$1,FALSE)=H12,"same","PRICE CHANGE")</f>
        <v>same</v>
      </c>
      <c r="N12" t="str">
        <f>IF(+VLOOKUP($B12,[5]Amazon!$B$3:$I$14,[5]Amazon!$I$1,FALSE)=I12,"same","PRICE CHANGE")</f>
        <v>same</v>
      </c>
      <c r="P12" t="b">
        <f>+F12=VLOOKUP($B12,[5]Amazon!$B$3:$I$14,[5]Amazon!F$1,FALSE)</f>
        <v>1</v>
      </c>
      <c r="Q12" t="b">
        <f>+G12=VLOOKUP($B12,[5]Amazon!$B$3:$I$14,[5]Amazon!G$1,FALSE)</f>
        <v>1</v>
      </c>
      <c r="R12" t="b">
        <f>+H12=VLOOKUP($B12,[5]Amazon!$B$3:$I$14,[5]Amazon!H$1,FALSE)</f>
        <v>1</v>
      </c>
      <c r="S12" t="b">
        <f>+I12=VLOOKUP($B12,[5]Amazon!$B$3:$I$14,[5]Amazon!I$1,FALSE)</f>
        <v>1</v>
      </c>
    </row>
    <row r="13" spans="2:19">
      <c r="B13" t="s">
        <v>307</v>
      </c>
      <c r="C13" s="31" t="str">
        <f>+VLOOKUP(B13,'Country &amp; Code Abbreviation'!$B$3:$C$245,2,FALSE)</f>
        <v>GB</v>
      </c>
      <c r="D13" s="31" t="str">
        <f>+VLOOKUP(B13,'INT Web'!$B$5:$Q$248,16,FALSE)</f>
        <v>GBP</v>
      </c>
      <c r="E13" s="32" t="s">
        <v>409</v>
      </c>
      <c r="F13" s="33">
        <f>+VLOOKUP($B13,'INT Web'!$B$5:$U$247,'INT Web'!R$1,FALSE)</f>
        <v>149.99</v>
      </c>
      <c r="G13" s="33">
        <f>+VLOOKUP($B13,'INT Web'!$B$5:$U$247,'INT Web'!S$1,FALSE)</f>
        <v>22.99</v>
      </c>
      <c r="H13" s="33">
        <f>+VLOOKUP($B13,'INT Web'!$B$5:$U$247,'INT Web'!T$1,FALSE)</f>
        <v>114.99</v>
      </c>
      <c r="I13" s="33">
        <f>+VLOOKUP($B13,'INT Web'!$B$5:$U$247,'INT Web'!U$1,FALSE)</f>
        <v>16.989999999999998</v>
      </c>
      <c r="K13" t="str">
        <f>IF(+VLOOKUP($B13,[5]Amazon!$B$3:$I$14,[5]Amazon!$F$1,FALSE)=F13,"same","PRICE CHANGE")</f>
        <v>same</v>
      </c>
      <c r="L13" t="str">
        <f>IF(+VLOOKUP($B13,[5]Amazon!$B$3:$I$14,[5]Amazon!$G$1,FALSE)=G13,"same","PRICE CHANGE")</f>
        <v>same</v>
      </c>
      <c r="M13" t="str">
        <f>IF(+VLOOKUP($B13,[5]Amazon!$B$3:$I$14,[5]Amazon!$H$1,FALSE)=H13,"same","PRICE CHANGE")</f>
        <v>same</v>
      </c>
      <c r="N13" t="str">
        <f>IF(+VLOOKUP($B13,[5]Amazon!$B$3:$I$14,[5]Amazon!$I$1,FALSE)=I13,"same","PRICE CHANGE")</f>
        <v>same</v>
      </c>
      <c r="P13" t="b">
        <f>+F13=VLOOKUP($B13,[5]Amazon!$B$3:$I$14,[5]Amazon!F$1,FALSE)</f>
        <v>1</v>
      </c>
      <c r="Q13" t="b">
        <f>+G13=VLOOKUP($B13,[5]Amazon!$B$3:$I$14,[5]Amazon!G$1,FALSE)</f>
        <v>1</v>
      </c>
      <c r="R13" t="b">
        <f>+H13=VLOOKUP($B13,[5]Amazon!$B$3:$I$14,[5]Amazon!H$1,FALSE)</f>
        <v>1</v>
      </c>
      <c r="S13" t="b">
        <f>+I13=VLOOKUP($B13,[5]Amazon!$B$3:$I$14,[5]Amazon!I$1,FALSE)</f>
        <v>1</v>
      </c>
    </row>
    <row r="14" spans="2:19">
      <c r="B14" t="s">
        <v>46</v>
      </c>
      <c r="C14" s="31" t="str">
        <f>+VLOOKUP(B14,'Country &amp; Code Abbreviation'!$B$3:$C$245,2,FALSE)</f>
        <v>US</v>
      </c>
      <c r="D14" s="32" t="s">
        <v>346</v>
      </c>
      <c r="E14" s="32" t="s">
        <v>346</v>
      </c>
      <c r="F14" s="33">
        <f>+'DOM Web'!D3</f>
        <v>159.99</v>
      </c>
      <c r="G14" s="33">
        <f>+'DOM Web'!E3</f>
        <v>24.99</v>
      </c>
      <c r="H14" s="33">
        <f>+'DOM Web'!F3</f>
        <v>109.99</v>
      </c>
      <c r="I14" s="33">
        <f>+'DOM Web'!G3</f>
        <v>16.989999999999998</v>
      </c>
      <c r="K14" t="str">
        <f>IF(+VLOOKUP($B14,[5]Amazon!$B$3:$I$14,[5]Amazon!$F$1,FALSE)=F14,"same","PRICE CHANGE")</f>
        <v>same</v>
      </c>
      <c r="L14" t="str">
        <f>IF(+VLOOKUP($B14,[5]Amazon!$B$3:$I$14,[5]Amazon!$G$1,FALSE)=G14,"same","PRICE CHANGE")</f>
        <v>same</v>
      </c>
      <c r="M14" t="str">
        <f>IF(+VLOOKUP($B14,[5]Amazon!$B$3:$I$14,[5]Amazon!$H$1,FALSE)=H14,"same","PRICE CHANGE")</f>
        <v>same</v>
      </c>
      <c r="N14" t="str">
        <f>IF(+VLOOKUP($B14,[5]Amazon!$B$3:$I$14,[5]Amazon!$I$1,FALSE)=I14,"same","PRICE CHANGE")</f>
        <v>same</v>
      </c>
      <c r="P14" t="b">
        <f>+F14=VLOOKUP($B14,[5]Amazon!$B$3:$I$14,[5]Amazon!F$1,FALSE)</f>
        <v>1</v>
      </c>
      <c r="Q14" t="b">
        <f>+G14=VLOOKUP($B14,[5]Amazon!$B$3:$I$14,[5]Amazon!G$1,FALSE)</f>
        <v>1</v>
      </c>
      <c r="R14" t="b">
        <f>+H14=VLOOKUP($B14,[5]Amazon!$B$3:$I$14,[5]Amazon!H$1,FALSE)</f>
        <v>1</v>
      </c>
      <c r="S14" t="b">
        <f>+I14=VLOOKUP($B14,[5]Amazon!$B$3:$I$14,[5]Amazon!I$1,FALSE)</f>
        <v>1</v>
      </c>
    </row>
    <row r="15" spans="2:19">
      <c r="C15" s="31"/>
      <c r="D15" s="31"/>
      <c r="E15" s="32"/>
      <c r="F15" s="33"/>
      <c r="G15" s="33"/>
      <c r="H15" s="33"/>
      <c r="I15" s="33"/>
    </row>
    <row r="16" spans="2:19">
      <c r="C16" s="31"/>
      <c r="D16" s="31"/>
      <c r="E16" s="32"/>
      <c r="F16" s="33"/>
      <c r="G16" s="33"/>
      <c r="H16" s="33"/>
      <c r="I16" s="33"/>
    </row>
    <row r="17" spans="3:9">
      <c r="C17" s="31"/>
      <c r="D17" s="31"/>
      <c r="E17" s="32"/>
      <c r="F17" s="33"/>
      <c r="G17" s="33"/>
      <c r="H17" s="33"/>
      <c r="I17" s="33"/>
    </row>
    <row r="18" spans="3:9">
      <c r="C18" s="31"/>
      <c r="D18" s="31"/>
      <c r="E18" s="32"/>
      <c r="F18" s="33"/>
      <c r="G18" s="33"/>
      <c r="H18" s="33"/>
      <c r="I18" s="33"/>
    </row>
    <row r="19" spans="3:9">
      <c r="C19" s="31"/>
      <c r="D19" s="31"/>
      <c r="E19" s="32"/>
      <c r="F19" s="33"/>
      <c r="G19" s="33"/>
      <c r="H19" s="33"/>
      <c r="I19" s="33"/>
    </row>
    <row r="20" spans="3:9">
      <c r="C20" s="31"/>
      <c r="D20" s="31"/>
      <c r="E20" s="32"/>
      <c r="F20" s="33"/>
      <c r="G20" s="33"/>
      <c r="H20" s="33"/>
      <c r="I20" s="33"/>
    </row>
    <row r="21" spans="3:9">
      <c r="C21" s="31"/>
      <c r="D21" s="31"/>
      <c r="E21" s="32"/>
      <c r="F21" s="33"/>
      <c r="G21" s="33"/>
      <c r="H21" s="33"/>
      <c r="I21" s="33"/>
    </row>
    <row r="22" spans="3:9">
      <c r="C22" s="31"/>
      <c r="D22" s="31"/>
      <c r="E22" s="32"/>
      <c r="F22" s="33"/>
      <c r="G22" s="33"/>
      <c r="H22" s="33"/>
      <c r="I22" s="33"/>
    </row>
    <row r="23" spans="3:9">
      <c r="C23" s="31"/>
      <c r="D23" s="31"/>
      <c r="E23" s="32"/>
      <c r="F23" s="33"/>
      <c r="G23" s="33"/>
      <c r="H23" s="33"/>
      <c r="I23" s="33"/>
    </row>
    <row r="24" spans="3:9">
      <c r="C24" s="31"/>
      <c r="D24" s="31"/>
      <c r="E24" s="32"/>
      <c r="F24" s="33"/>
      <c r="G24" s="33"/>
      <c r="H24" s="33"/>
      <c r="I24" s="33"/>
    </row>
    <row r="25" spans="3:9">
      <c r="C25" s="31"/>
      <c r="D25" s="31"/>
      <c r="E25" s="32"/>
      <c r="F25" s="33"/>
      <c r="G25" s="33"/>
      <c r="H25" s="33"/>
      <c r="I25" s="33"/>
    </row>
    <row r="26" spans="3:9">
      <c r="C26" s="31"/>
      <c r="D26" s="31"/>
      <c r="E26" s="32"/>
      <c r="F26" s="33"/>
      <c r="G26" s="33"/>
      <c r="H26" s="33"/>
      <c r="I26" s="33"/>
    </row>
    <row r="27" spans="3:9">
      <c r="C27" s="31"/>
      <c r="D27" s="31"/>
      <c r="E27" s="32"/>
      <c r="F27" s="33"/>
      <c r="G27" s="33"/>
      <c r="H27" s="33"/>
      <c r="I27" s="33"/>
    </row>
    <row r="28" spans="3:9">
      <c r="C28" s="31"/>
      <c r="D28" s="31"/>
      <c r="E28" s="32"/>
      <c r="F28" s="33"/>
      <c r="G28" s="33"/>
      <c r="H28" s="33"/>
      <c r="I28" s="33"/>
    </row>
    <row r="29" spans="3:9">
      <c r="C29" s="31"/>
      <c r="D29" s="31"/>
      <c r="E29" s="32"/>
      <c r="F29" s="33"/>
      <c r="G29" s="33"/>
      <c r="H29" s="33"/>
      <c r="I29" s="33"/>
    </row>
    <row r="30" spans="3:9">
      <c r="C30" s="31"/>
      <c r="D30" s="31"/>
      <c r="E30" s="32"/>
      <c r="F30" s="33"/>
      <c r="G30" s="33"/>
      <c r="H30" s="33"/>
      <c r="I30" s="33"/>
    </row>
    <row r="31" spans="3:9">
      <c r="C31" s="31"/>
      <c r="D31" s="31"/>
      <c r="E31" s="32"/>
      <c r="F31" s="33"/>
      <c r="G31" s="33"/>
      <c r="H31" s="33"/>
      <c r="I31" s="33"/>
    </row>
    <row r="32" spans="3:9">
      <c r="C32" s="31"/>
      <c r="D32" s="31"/>
      <c r="E32" s="32"/>
      <c r="F32" s="33"/>
      <c r="G32" s="33"/>
      <c r="H32" s="33"/>
      <c r="I32" s="33"/>
    </row>
    <row r="33" spans="3:9">
      <c r="C33" s="31"/>
      <c r="D33" s="31"/>
      <c r="E33" s="32"/>
      <c r="F33" s="33"/>
      <c r="G33" s="33"/>
      <c r="H33" s="33"/>
      <c r="I33" s="33"/>
    </row>
    <row r="34" spans="3:9">
      <c r="C34" s="31"/>
      <c r="D34" s="31"/>
      <c r="E34" s="32"/>
      <c r="F34" s="33"/>
      <c r="G34" s="33"/>
      <c r="H34" s="33"/>
      <c r="I34" s="33"/>
    </row>
    <row r="35" spans="3:9">
      <c r="C35" s="31"/>
      <c r="D35" s="31"/>
      <c r="E35" s="32"/>
      <c r="F35" s="33"/>
      <c r="G35" s="33"/>
      <c r="H35" s="33"/>
      <c r="I35" s="33"/>
    </row>
    <row r="36" spans="3:9">
      <c r="C36" s="31"/>
      <c r="D36" s="31"/>
      <c r="E36" s="32"/>
      <c r="F36" s="33"/>
      <c r="G36" s="33"/>
      <c r="H36" s="33"/>
      <c r="I36" s="33"/>
    </row>
    <row r="37" spans="3:9">
      <c r="C37" s="31"/>
      <c r="D37" s="31"/>
      <c r="E37" s="32"/>
      <c r="F37" s="33"/>
      <c r="G37" s="33"/>
      <c r="H37" s="33"/>
      <c r="I37" s="33"/>
    </row>
    <row r="38" spans="3:9">
      <c r="C38" s="31"/>
      <c r="D38" s="31"/>
      <c r="E38" s="32"/>
      <c r="F38" s="33"/>
      <c r="G38" s="33"/>
      <c r="H38" s="33"/>
      <c r="I38" s="33"/>
    </row>
    <row r="39" spans="3:9">
      <c r="C39" s="31"/>
      <c r="D39" s="31"/>
      <c r="E39" s="32"/>
      <c r="F39" s="33"/>
      <c r="G39" s="33"/>
      <c r="H39" s="33"/>
      <c r="I39" s="33"/>
    </row>
    <row r="40" spans="3:9">
      <c r="C40" s="31"/>
      <c r="D40" s="31"/>
      <c r="E40" s="32"/>
      <c r="F40" s="33"/>
      <c r="G40" s="33"/>
      <c r="H40" s="33"/>
      <c r="I40" s="33"/>
    </row>
    <row r="41" spans="3:9">
      <c r="C41" s="31"/>
      <c r="D41" s="31"/>
      <c r="E41" s="32"/>
      <c r="F41" s="33"/>
      <c r="G41" s="33"/>
      <c r="H41" s="33"/>
      <c r="I41" s="33"/>
    </row>
    <row r="42" spans="3:9">
      <c r="C42" s="31"/>
      <c r="D42" s="31"/>
      <c r="E42" s="32"/>
      <c r="F42" s="33"/>
      <c r="G42" s="33"/>
      <c r="H42" s="33"/>
      <c r="I42" s="33"/>
    </row>
    <row r="43" spans="3:9">
      <c r="C43" s="31"/>
      <c r="D43" s="31"/>
      <c r="E43" s="32"/>
      <c r="F43" s="33"/>
      <c r="G43" s="33"/>
      <c r="H43" s="33"/>
      <c r="I43" s="33"/>
    </row>
    <row r="44" spans="3:9">
      <c r="C44" s="31"/>
      <c r="D44" s="31"/>
      <c r="E44" s="32"/>
      <c r="F44" s="33"/>
      <c r="G44" s="33"/>
      <c r="H44" s="33"/>
      <c r="I44" s="33"/>
    </row>
    <row r="45" spans="3:9">
      <c r="C45" s="31"/>
      <c r="D45" s="31"/>
      <c r="E45" s="32"/>
      <c r="F45" s="33"/>
      <c r="G45" s="33"/>
      <c r="H45" s="33"/>
      <c r="I45" s="33"/>
    </row>
    <row r="46" spans="3:9">
      <c r="C46" s="31"/>
      <c r="D46" s="31"/>
      <c r="E46" s="32"/>
      <c r="F46" s="33"/>
      <c r="G46" s="33"/>
      <c r="H46" s="33"/>
      <c r="I46" s="33"/>
    </row>
    <row r="47" spans="3:9">
      <c r="C47" s="31"/>
      <c r="D47" s="31"/>
      <c r="E47" s="32"/>
      <c r="F47" s="33"/>
      <c r="G47" s="33"/>
      <c r="H47" s="33"/>
      <c r="I47" s="33"/>
    </row>
    <row r="48" spans="3:9">
      <c r="C48" s="31"/>
      <c r="D48" s="31"/>
      <c r="E48" s="32"/>
      <c r="F48" s="33"/>
      <c r="G48" s="33"/>
      <c r="H48" s="33"/>
      <c r="I48" s="33"/>
    </row>
    <row r="49" spans="3:9">
      <c r="C49" s="31"/>
      <c r="D49" s="31"/>
      <c r="E49" s="32"/>
      <c r="F49" s="33"/>
      <c r="G49" s="33"/>
      <c r="H49" s="33"/>
      <c r="I49" s="33"/>
    </row>
    <row r="50" spans="3:9">
      <c r="C50" s="31"/>
      <c r="D50" s="31"/>
      <c r="E50" s="32"/>
      <c r="F50" s="33"/>
      <c r="G50" s="33"/>
      <c r="H50" s="33"/>
      <c r="I50" s="33"/>
    </row>
    <row r="51" spans="3:9">
      <c r="C51" s="31"/>
      <c r="D51" s="31"/>
      <c r="E51" s="32"/>
      <c r="F51" s="33"/>
      <c r="G51" s="33"/>
      <c r="H51" s="33"/>
      <c r="I51" s="33"/>
    </row>
    <row r="52" spans="3:9">
      <c r="C52" s="31"/>
      <c r="D52" s="31"/>
      <c r="E52" s="32"/>
      <c r="F52" s="33"/>
      <c r="G52" s="33"/>
      <c r="H52" s="33"/>
      <c r="I52" s="33"/>
    </row>
    <row r="53" spans="3:9">
      <c r="C53" s="31"/>
      <c r="D53" s="31"/>
      <c r="E53" s="32"/>
      <c r="F53" s="33"/>
      <c r="G53" s="33"/>
      <c r="H53" s="33"/>
      <c r="I53" s="33"/>
    </row>
    <row r="54" spans="3:9">
      <c r="C54" s="31"/>
      <c r="D54" s="31"/>
      <c r="E54" s="32"/>
      <c r="F54" s="33"/>
      <c r="G54" s="33"/>
      <c r="H54" s="33"/>
      <c r="I54" s="33"/>
    </row>
    <row r="55" spans="3:9">
      <c r="C55" s="31"/>
      <c r="D55" s="31"/>
      <c r="E55" s="32"/>
      <c r="F55" s="33"/>
      <c r="G55" s="33"/>
      <c r="H55" s="33"/>
      <c r="I55" s="33"/>
    </row>
    <row r="56" spans="3:9">
      <c r="C56" s="31"/>
      <c r="D56" s="31"/>
      <c r="E56" s="32"/>
      <c r="F56" s="33"/>
      <c r="G56" s="33"/>
      <c r="H56" s="33"/>
      <c r="I56" s="33"/>
    </row>
    <row r="57" spans="3:9">
      <c r="C57" s="31"/>
      <c r="D57" s="31"/>
      <c r="E57" s="32"/>
      <c r="F57" s="33"/>
      <c r="G57" s="33"/>
      <c r="H57" s="33"/>
      <c r="I57" s="33"/>
    </row>
    <row r="58" spans="3:9">
      <c r="C58" s="31"/>
      <c r="D58" s="31"/>
      <c r="E58" s="32"/>
      <c r="F58" s="33"/>
      <c r="G58" s="33"/>
      <c r="H58" s="33"/>
      <c r="I58" s="33"/>
    </row>
    <row r="59" spans="3:9">
      <c r="C59" s="31"/>
      <c r="D59" s="31"/>
      <c r="E59" s="32"/>
      <c r="F59" s="33"/>
      <c r="G59" s="33"/>
      <c r="H59" s="33"/>
      <c r="I59" s="33"/>
    </row>
    <row r="60" spans="3:9">
      <c r="C60" s="31"/>
      <c r="D60" s="31"/>
      <c r="E60" s="32"/>
      <c r="F60" s="33"/>
      <c r="G60" s="33"/>
      <c r="H60" s="33"/>
      <c r="I60" s="33"/>
    </row>
    <row r="61" spans="3:9">
      <c r="C61" s="31"/>
      <c r="D61" s="31"/>
      <c r="E61" s="32"/>
      <c r="F61" s="33"/>
      <c r="G61" s="33"/>
      <c r="H61" s="33"/>
      <c r="I61" s="33"/>
    </row>
    <row r="62" spans="3:9">
      <c r="C62" s="31"/>
      <c r="D62" s="31"/>
      <c r="E62" s="32"/>
      <c r="F62" s="33"/>
      <c r="G62" s="33"/>
      <c r="H62" s="33"/>
      <c r="I62" s="33"/>
    </row>
  </sheetData>
  <autoFilter ref="B2:I2" xr:uid="{00000000-0009-0000-0000-00000D000000}">
    <sortState xmlns:xlrd2="http://schemas.microsoft.com/office/spreadsheetml/2017/richdata2" ref="B3:K11">
      <sortCondition ref="B2"/>
    </sortState>
  </autoFilter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521F-9A3C-4C7A-B212-A255EE45DF8D}">
  <dimension ref="B2:I8"/>
  <sheetViews>
    <sheetView workbookViewId="0">
      <pane xSplit="5" ySplit="2" topLeftCell="F3" activePane="bottomRight" state="frozen"/>
      <selection pane="topRight" activeCell="F3" sqref="F3"/>
      <selection pane="bottomLeft" activeCell="F3" sqref="F3"/>
      <selection pane="bottomRight" activeCell="F3" sqref="F3"/>
    </sheetView>
  </sheetViews>
  <sheetFormatPr defaultColWidth="8.6328125" defaultRowHeight="12.5"/>
  <cols>
    <col min="1" max="1" width="1.6328125" customWidth="1"/>
    <col min="2" max="2" width="13.6328125" bestFit="1" customWidth="1"/>
    <col min="3" max="3" width="17.6328125" bestFit="1" customWidth="1"/>
    <col min="4" max="4" width="18.36328125" bestFit="1" customWidth="1"/>
    <col min="5" max="5" width="18.6328125" bestFit="1" customWidth="1"/>
    <col min="6" max="6" width="10.453125" bestFit="1" customWidth="1"/>
    <col min="7" max="7" width="19.453125" bestFit="1" customWidth="1"/>
    <col min="8" max="8" width="10.453125" bestFit="1" customWidth="1"/>
    <col min="9" max="9" width="19.453125" bestFit="1" customWidth="1"/>
  </cols>
  <sheetData>
    <row r="2" spans="2:9" ht="13">
      <c r="B2" s="24" t="s">
        <v>31</v>
      </c>
      <c r="C2" s="24" t="s">
        <v>359</v>
      </c>
      <c r="D2" s="24" t="s">
        <v>360</v>
      </c>
      <c r="E2" s="24" t="s">
        <v>432</v>
      </c>
      <c r="F2" s="24" t="s">
        <v>55</v>
      </c>
      <c r="G2" s="24" t="s">
        <v>56</v>
      </c>
      <c r="H2" s="24" t="s">
        <v>57</v>
      </c>
      <c r="I2" s="24" t="s">
        <v>58</v>
      </c>
    </row>
    <row r="3" spans="2:9">
      <c r="B3" t="s">
        <v>104</v>
      </c>
      <c r="C3" s="31" t="str">
        <f>+VLOOKUP(B3,'Country &amp; Code Abbreviation'!$B$3:$C$245,2,FALSE)</f>
        <v>BR</v>
      </c>
      <c r="D3" s="31" t="str">
        <f>+VLOOKUP(B3,'INT Web'!$B$5:$Q$248,16,FALSE)</f>
        <v>BRL</v>
      </c>
      <c r="E3" s="32" t="s">
        <v>369</v>
      </c>
      <c r="F3" s="33">
        <f>+VLOOKUP($B3,'INT Web'!$B$5:$U$247,'INT Web'!R$1,FALSE)</f>
        <v>489.99</v>
      </c>
      <c r="G3" s="33">
        <f>+VLOOKUP($B3,'INT Web'!$B$5:$U$247,'INT Web'!S$1,FALSE)</f>
        <v>69.989999999999995</v>
      </c>
      <c r="H3" s="33">
        <f>+VLOOKUP($B3,'INT Web'!$B$5:$U$247,'INT Web'!T$1,FALSE)</f>
        <v>384.99</v>
      </c>
      <c r="I3" s="33">
        <f>+VLOOKUP($B3,'INT Web'!$B$5:$U$247,'INT Web'!U$1,FALSE)</f>
        <v>54.99</v>
      </c>
    </row>
    <row r="4" spans="2:9">
      <c r="B4" t="s">
        <v>113</v>
      </c>
      <c r="C4" s="31" t="str">
        <f>+VLOOKUP(B4,'Country &amp; Code Abbreviation'!$B$3:$C$245,2,FALSE)</f>
        <v>CA</v>
      </c>
      <c r="D4" s="31" t="str">
        <f>+VLOOKUP(B4,'INT Web'!$B$5:$Q$248,16,FALSE)</f>
        <v>CAD</v>
      </c>
      <c r="E4" s="32" t="s">
        <v>370</v>
      </c>
      <c r="F4" s="33">
        <f>+VLOOKUP($B4,'INT Web'!$B$5:$U$247,'INT Web'!R$1,FALSE)</f>
        <v>184.99</v>
      </c>
      <c r="G4" s="33">
        <f>+VLOOKUP($B4,'INT Web'!$B$5:$U$247,'INT Web'!S$1,FALSE)</f>
        <v>27.99</v>
      </c>
      <c r="H4" s="33">
        <f>+VLOOKUP($B4,'INT Web'!$B$5:$U$247,'INT Web'!T$1,FALSE)</f>
        <v>129.99</v>
      </c>
      <c r="I4" s="33">
        <f>+VLOOKUP($B4,'INT Web'!$B$5:$U$247,'INT Web'!U$1,FALSE)</f>
        <v>19.989999999999998</v>
      </c>
    </row>
    <row r="5" spans="2:9">
      <c r="B5" t="s">
        <v>155</v>
      </c>
      <c r="C5" s="31" t="str">
        <f>+VLOOKUP(B5,'Country &amp; Code Abbreviation'!$B$3:$C$245,2,FALSE)</f>
        <v>DE</v>
      </c>
      <c r="D5" s="31" t="str">
        <f>+VLOOKUP(B5,'INT Web'!$B$5:$Q$248,16,FALSE)</f>
        <v>EUR</v>
      </c>
      <c r="E5" s="32" t="s">
        <v>368</v>
      </c>
      <c r="F5" s="34">
        <v>189.58</v>
      </c>
      <c r="G5" s="33">
        <f>+VLOOKUP($B5,'INT Web'!$B$5:$U$247,'INT Web'!S$1,FALSE)</f>
        <v>27.99</v>
      </c>
      <c r="H5" s="33">
        <f>+VLOOKUP($B5,'INT Web'!$B$5:$U$247,'INT Web'!T$1,FALSE)</f>
        <v>139.99</v>
      </c>
      <c r="I5" s="33">
        <f>+VLOOKUP($B5,'INT Web'!$B$5:$U$247,'INT Web'!U$1,FALSE)</f>
        <v>19.989999999999998</v>
      </c>
    </row>
    <row r="6" spans="2:9">
      <c r="B6" t="s">
        <v>213</v>
      </c>
      <c r="C6" s="31" t="str">
        <f>+VLOOKUP(B6,'Country &amp; Code Abbreviation'!$B$3:$C$245,2,FALSE)</f>
        <v>MX</v>
      </c>
      <c r="D6" s="31" t="str">
        <f>+VLOOKUP(B6,'INT Web'!$B$5:$Q$248,16,FALSE)</f>
        <v>MXN</v>
      </c>
      <c r="E6" s="32" t="s">
        <v>384</v>
      </c>
      <c r="F6" s="34">
        <v>1989</v>
      </c>
      <c r="G6" s="34">
        <v>289</v>
      </c>
      <c r="H6" s="34">
        <v>1469</v>
      </c>
      <c r="I6" s="34">
        <v>209</v>
      </c>
    </row>
    <row r="7" spans="2:9">
      <c r="B7" t="s">
        <v>307</v>
      </c>
      <c r="C7" s="31" t="str">
        <f>+VLOOKUP(B7,'Country &amp; Code Abbreviation'!$B$3:$C$245,2,FALSE)</f>
        <v>GB</v>
      </c>
      <c r="D7" s="31" t="str">
        <f>+VLOOKUP(B7,'INT Web'!$B$5:$Q$248,16,FALSE)</f>
        <v>GBP</v>
      </c>
      <c r="E7" s="32" t="s">
        <v>409</v>
      </c>
      <c r="F7" s="34">
        <v>149.69</v>
      </c>
      <c r="G7" s="33">
        <f>+VLOOKUP($B7,'INT Web'!$B$5:$U$247,'INT Web'!S$1,FALSE)</f>
        <v>22.99</v>
      </c>
      <c r="H7" s="33">
        <f>+VLOOKUP($B7,'INT Web'!$B$5:$U$247,'INT Web'!T$1,FALSE)</f>
        <v>114.99</v>
      </c>
      <c r="I7" s="33">
        <f>+VLOOKUP($B7,'INT Web'!$B$5:$U$247,'INT Web'!U$1,FALSE)</f>
        <v>16.989999999999998</v>
      </c>
    </row>
    <row r="8" spans="2:9">
      <c r="B8" t="s">
        <v>46</v>
      </c>
      <c r="C8" s="31" t="str">
        <f>+VLOOKUP(B8,'Country &amp; Code Abbreviation'!$B$3:$C$245,2,FALSE)</f>
        <v>US</v>
      </c>
      <c r="D8" s="32" t="s">
        <v>346</v>
      </c>
      <c r="E8" s="32" t="s">
        <v>346</v>
      </c>
      <c r="F8" s="33">
        <f>+'DOM Web'!D3</f>
        <v>159.99</v>
      </c>
      <c r="G8" s="33">
        <f>+'DOM Web'!E3</f>
        <v>24.99</v>
      </c>
      <c r="H8" s="33">
        <f>+'DOM Web'!F3</f>
        <v>109.99</v>
      </c>
      <c r="I8" s="33">
        <f>+'DOM Web'!G3</f>
        <v>16.989999999999998</v>
      </c>
    </row>
  </sheetData>
  <autoFilter ref="B2:I2" xr:uid="{00000000-0009-0000-0000-00000E000000}">
    <sortState xmlns:xlrd2="http://schemas.microsoft.com/office/spreadsheetml/2017/richdata2" ref="B3:I7">
      <sortCondition ref="B2"/>
    </sortState>
  </autoFilter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A361-C64E-4B4E-A642-92177AFF9076}">
  <sheetPr>
    <tabColor rgb="FFFFFF00"/>
  </sheetPr>
  <dimension ref="B2:O122"/>
  <sheetViews>
    <sheetView workbookViewId="0">
      <pane xSplit="5" ySplit="2" topLeftCell="F3" activePane="bottomRight" state="frozen"/>
      <selection pane="topRight" activeCell="F3" sqref="F3"/>
      <selection pane="bottomLeft" activeCell="F3" sqref="F3"/>
      <selection pane="bottomRight" activeCell="F3" sqref="F3"/>
    </sheetView>
  </sheetViews>
  <sheetFormatPr defaultColWidth="8.6328125" defaultRowHeight="12.5" outlineLevelRow="1" outlineLevelCol="1"/>
  <cols>
    <col min="1" max="1" width="1.6328125" customWidth="1"/>
    <col min="2" max="2" width="21.36328125" bestFit="1" customWidth="1"/>
    <col min="3" max="3" width="17.6328125" bestFit="1" customWidth="1"/>
    <col min="4" max="4" width="18.36328125" bestFit="1" customWidth="1"/>
    <col min="5" max="5" width="22.453125" bestFit="1" customWidth="1"/>
    <col min="6" max="6" width="10.453125" bestFit="1" customWidth="1"/>
    <col min="7" max="7" width="19.453125" bestFit="1" customWidth="1"/>
    <col min="8" max="8" width="10.453125" bestFit="1" customWidth="1"/>
    <col min="9" max="9" width="19.453125" bestFit="1" customWidth="1"/>
    <col min="11" max="11" width="14.36328125" hidden="1" customWidth="1" outlineLevel="1"/>
    <col min="12" max="12" width="14.6328125" hidden="1" customWidth="1" outlineLevel="1"/>
    <col min="13" max="13" width="5.54296875" hidden="1" customWidth="1" outlineLevel="1"/>
    <col min="14" max="14" width="14.6328125" hidden="1" customWidth="1" outlineLevel="1"/>
    <col min="15" max="15" width="8.6328125" collapsed="1"/>
  </cols>
  <sheetData>
    <row r="2" spans="2:14" ht="13">
      <c r="B2" s="24" t="s">
        <v>31</v>
      </c>
      <c r="C2" s="24" t="s">
        <v>359</v>
      </c>
      <c r="D2" s="24" t="s">
        <v>360</v>
      </c>
      <c r="E2" s="24" t="s">
        <v>433</v>
      </c>
      <c r="F2" s="24" t="s">
        <v>55</v>
      </c>
      <c r="G2" s="24" t="s">
        <v>56</v>
      </c>
      <c r="H2" s="24" t="s">
        <v>57</v>
      </c>
      <c r="I2" s="24" t="s">
        <v>58</v>
      </c>
      <c r="K2" s="24" t="s">
        <v>55</v>
      </c>
      <c r="L2" s="24" t="s">
        <v>56</v>
      </c>
      <c r="M2" s="24" t="s">
        <v>57</v>
      </c>
      <c r="N2" s="24" t="s">
        <v>58</v>
      </c>
    </row>
    <row r="3" spans="2:14">
      <c r="B3" t="s">
        <v>306</v>
      </c>
      <c r="C3" s="31" t="str">
        <f>+VLOOKUP(B3,'Country &amp; Code Abbreviation'!$B$3:$C$245,2,FALSE)</f>
        <v>AE</v>
      </c>
      <c r="D3" s="31" t="str">
        <f>+VLOOKUP(B3,'INT Web'!$B$5:$Q$248,16,FALSE)</f>
        <v>AED</v>
      </c>
      <c r="E3" s="32" t="s">
        <v>408</v>
      </c>
      <c r="F3" s="128">
        <f>+VLOOKUP($B3,'INT Web'!$B$5:$U$247,'INT Web'!R$1,FALSE)</f>
        <v>559.99</v>
      </c>
      <c r="G3" s="128">
        <f>+VLOOKUP($B3,'INT Web'!$B$5:$U$247,'INT Web'!S$1,FALSE)</f>
        <v>86.99</v>
      </c>
      <c r="H3" s="128">
        <f>+VLOOKUP($B3,'INT Web'!$B$5:$U$247,'INT Web'!T$1,FALSE)</f>
        <v>399.99</v>
      </c>
      <c r="I3" s="128">
        <f>+VLOOKUP($B3,'INT Web'!$B$5:$U$247,'INT Web'!U$1,FALSE)</f>
        <v>61.99</v>
      </c>
      <c r="K3" t="str">
        <f>IF(VLOOKUP($B3,[5]Samsung!$B$3:$I$123,[5]Samsung!$F$1,FALSE)=F3,"same", "PRICE CHANGE")</f>
        <v>same</v>
      </c>
      <c r="L3" t="str">
        <f>IF(VLOOKUP($B3,[5]Samsung!$B$3:$I$123,[5]Samsung!$G$1,FALSE)=G3,"same", "PRICE CHANGE")</f>
        <v>same</v>
      </c>
      <c r="M3" t="str">
        <f>IF(VLOOKUP($B3,[5]Samsung!$B$3:$I$123,[5]Samsung!$H$1,FALSE)=H3,"same", "PRICE CHANGE")</f>
        <v>same</v>
      </c>
      <c r="N3" t="str">
        <f>IF(VLOOKUP($B3,[5]Samsung!$B$3:$I$123,[5]Samsung!$I$1,FALSE)=I3,"same", "PRICE CHANGE")</f>
        <v>same</v>
      </c>
    </row>
    <row r="4" spans="2:14">
      <c r="B4" t="s">
        <v>73</v>
      </c>
      <c r="C4" s="31" t="str">
        <f>+VLOOKUP(B4,'Country &amp; Code Abbreviation'!$B$3:$C$245,2,FALSE)</f>
        <v>AL</v>
      </c>
      <c r="D4" s="31" t="str">
        <f>+VLOOKUP(B4,'INT Web'!$B$5:$Q$248,16,FALSE)</f>
        <v>ALL</v>
      </c>
      <c r="E4" s="32" t="s">
        <v>346</v>
      </c>
      <c r="F4" s="128">
        <f>+VLOOKUP($B4,Apple!$B$3:$I$176,Apple!F$1,FALSE)</f>
        <v>104.99</v>
      </c>
      <c r="G4" s="128">
        <f>+VLOOKUP($B4,Apple!$B$3:$I$176,Apple!G$1,FALSE)</f>
        <v>16.989999999999998</v>
      </c>
      <c r="H4" s="128">
        <f>+VLOOKUP($B4,Apple!$B$3:$I$176,Apple!H$1,FALSE)</f>
        <v>77.989999999999995</v>
      </c>
      <c r="I4" s="128">
        <f>+VLOOKUP($B4,Apple!$B$3:$I$176,Apple!I$1,FALSE)</f>
        <v>12.99</v>
      </c>
      <c r="K4" t="str">
        <f>IF(VLOOKUP($B4,[5]Samsung!$B$3:$I$123,[5]Samsung!$F$1,FALSE)=F4,"same", "PRICE CHANGE")</f>
        <v>same</v>
      </c>
      <c r="L4" t="str">
        <f>IF(VLOOKUP($B4,[5]Samsung!$B$3:$I$123,[5]Samsung!$G$1,FALSE)=G4,"same", "PRICE CHANGE")</f>
        <v>same</v>
      </c>
      <c r="M4" t="str">
        <f>IF(VLOOKUP($B4,[5]Samsung!$B$3:$I$123,[5]Samsung!$H$1,FALSE)=H4,"same", "PRICE CHANGE")</f>
        <v>same</v>
      </c>
      <c r="N4" t="str">
        <f>IF(VLOOKUP($B4,[5]Samsung!$B$3:$I$123,[5]Samsung!$I$1,FALSE)=I4,"same", "PRICE CHANGE")</f>
        <v>same</v>
      </c>
    </row>
    <row r="5" spans="2:14">
      <c r="B5" t="s">
        <v>82</v>
      </c>
      <c r="C5" s="31" t="str">
        <f>+VLOOKUP(B5,'Country &amp; Code Abbreviation'!$B$3:$C$245,2,FALSE)</f>
        <v>AM</v>
      </c>
      <c r="D5" s="31" t="str">
        <f>+VLOOKUP(B5,'INT Web'!$B$5:$Q$248,16,FALSE)</f>
        <v>AMD</v>
      </c>
      <c r="E5" s="32" t="s">
        <v>346</v>
      </c>
      <c r="F5" s="128">
        <f>+VLOOKUP($B5,Apple!$B$3:$I$176,Apple!F$1,FALSE)</f>
        <v>139.99</v>
      </c>
      <c r="G5" s="128">
        <f>+VLOOKUP($B5,Apple!$B$3:$I$176,Apple!G$1,FALSE)</f>
        <v>22.99</v>
      </c>
      <c r="H5" s="128">
        <f>+VLOOKUP($B5,Apple!$B$3:$I$176,Apple!H$1,FALSE)</f>
        <v>103.99</v>
      </c>
      <c r="I5" s="128">
        <f>+VLOOKUP($B5,Apple!$B$3:$I$176,Apple!I$1,FALSE)</f>
        <v>16.989999999999998</v>
      </c>
      <c r="K5" t="str">
        <f>IF(VLOOKUP($B5,[5]Samsung!$B$3:$I$123,[5]Samsung!$F$1,FALSE)=F5,"same", "PRICE CHANGE")</f>
        <v>same</v>
      </c>
      <c r="L5" t="str">
        <f>IF(VLOOKUP($B5,[5]Samsung!$B$3:$I$123,[5]Samsung!$G$1,FALSE)=G5,"same", "PRICE CHANGE")</f>
        <v>same</v>
      </c>
      <c r="M5" t="str">
        <f>IF(VLOOKUP($B5,[5]Samsung!$B$3:$I$123,[5]Samsung!$H$1,FALSE)=H5,"same", "PRICE CHANGE")</f>
        <v>same</v>
      </c>
      <c r="N5" t="str">
        <f>IF(VLOOKUP($B5,[5]Samsung!$B$3:$I$123,[5]Samsung!$I$1,FALSE)=I5,"same", "PRICE CHANGE")</f>
        <v>same</v>
      </c>
    </row>
    <row r="6" spans="2:14">
      <c r="B6" t="s">
        <v>81</v>
      </c>
      <c r="C6" s="31" t="str">
        <f>+VLOOKUP(B6,'Country &amp; Code Abbreviation'!$B$3:$C$245,2,FALSE)</f>
        <v>AR</v>
      </c>
      <c r="D6" s="31" t="str">
        <f>+VLOOKUP(B6,'INT Web'!$B$5:$Q$248,16,FALSE)</f>
        <v>USD</v>
      </c>
      <c r="E6" s="32" t="s">
        <v>346</v>
      </c>
      <c r="F6" s="128">
        <f>+VLOOKUP($B6,Apple!$B$3:$I$176,Apple!F$1,FALSE)</f>
        <v>79.989999999999995</v>
      </c>
      <c r="G6" s="128">
        <f>+VLOOKUP($B6,Apple!$B$3:$I$176,Apple!G$1,FALSE)</f>
        <v>12.99</v>
      </c>
      <c r="H6" s="128">
        <f>+VLOOKUP($B6,Apple!$B$3:$I$176,Apple!H$1,FALSE)</f>
        <v>59.99</v>
      </c>
      <c r="I6" s="128">
        <f>+VLOOKUP($B6,Apple!$B$3:$I$176,Apple!I$1,FALSE)</f>
        <v>9.99</v>
      </c>
      <c r="K6" t="str">
        <f>IF(VLOOKUP($B6,[5]Samsung!$B$3:$I$123,[5]Samsung!$F$1,FALSE)=F6,"same", "PRICE CHANGE")</f>
        <v>same</v>
      </c>
      <c r="L6" t="str">
        <f>IF(VLOOKUP($B6,[5]Samsung!$B$3:$I$123,[5]Samsung!$G$1,FALSE)=G6,"same", "PRICE CHANGE")</f>
        <v>same</v>
      </c>
      <c r="M6" t="str">
        <f>IF(VLOOKUP($B6,[5]Samsung!$B$3:$I$123,[5]Samsung!$H$1,FALSE)=H6,"same", "PRICE CHANGE")</f>
        <v>same</v>
      </c>
      <c r="N6" t="str">
        <f>IF(VLOOKUP($B6,[5]Samsung!$B$3:$I$123,[5]Samsung!$I$1,FALSE)=I6,"same", "PRICE CHANGE")</f>
        <v>same</v>
      </c>
    </row>
    <row r="7" spans="2:14">
      <c r="B7" t="s">
        <v>85</v>
      </c>
      <c r="C7" s="31" t="str">
        <f>+VLOOKUP(B7,'Country &amp; Code Abbreviation'!$B$3:$C$245,2,FALSE)</f>
        <v>AT</v>
      </c>
      <c r="D7" s="31" t="str">
        <f>+VLOOKUP(B7,'INT Web'!$B$5:$Q$248,16,FALSE)</f>
        <v>EUR</v>
      </c>
      <c r="E7" s="32" t="s">
        <v>368</v>
      </c>
      <c r="F7" s="128">
        <f>+VLOOKUP($B7,'INT Web'!$B$5:$U$247,'INT Web'!R$1,FALSE)</f>
        <v>159.99</v>
      </c>
      <c r="G7" s="128">
        <f>+VLOOKUP($B7,'INT Web'!$B$5:$U$247,'INT Web'!S$1,FALSE)</f>
        <v>23.99</v>
      </c>
      <c r="H7" s="128">
        <f>+VLOOKUP($B7,'INT Web'!$B$5:$U$247,'INT Web'!T$1,FALSE)</f>
        <v>116.99</v>
      </c>
      <c r="I7" s="128">
        <f>+VLOOKUP($B7,'INT Web'!$B$5:$U$247,'INT Web'!U$1,FALSE)</f>
        <v>17.989999999999998</v>
      </c>
      <c r="K7" t="str">
        <f>IF(VLOOKUP($B7,[5]Samsung!$B$3:$I$123,[5]Samsung!$F$1,FALSE)=F7,"same", "PRICE CHANGE")</f>
        <v>same</v>
      </c>
      <c r="L7" t="str">
        <f>IF(VLOOKUP($B7,[5]Samsung!$B$3:$I$123,[5]Samsung!$G$1,FALSE)=G7,"same", "PRICE CHANGE")</f>
        <v>same</v>
      </c>
      <c r="M7" t="str">
        <f>IF(VLOOKUP($B7,[5]Samsung!$B$3:$I$123,[5]Samsung!$H$1,FALSE)=H7,"same", "PRICE CHANGE")</f>
        <v>same</v>
      </c>
      <c r="N7" t="str">
        <f>IF(VLOOKUP($B7,[5]Samsung!$B$3:$I$123,[5]Samsung!$I$1,FALSE)=I7,"same", "PRICE CHANGE")</f>
        <v>same</v>
      </c>
    </row>
    <row r="8" spans="2:14">
      <c r="B8" s="73" t="s">
        <v>84</v>
      </c>
      <c r="C8" s="110" t="str">
        <f>+VLOOKUP(B8,'Country &amp; Code Abbreviation'!$B$3:$C$245,2,FALSE)</f>
        <v>AU</v>
      </c>
      <c r="D8" s="31" t="str">
        <f>+VLOOKUP(B8,'INT Web'!$B$5:$Q$248,16,FALSE)</f>
        <v>AUD</v>
      </c>
      <c r="E8" s="32" t="s">
        <v>367</v>
      </c>
      <c r="F8" s="221">
        <f>+VLOOKUP($B8,'INT Web'!$B$5:$U$247,'INT Web'!R$1,FALSE)</f>
        <v>244.99</v>
      </c>
      <c r="G8" s="221">
        <f>+VLOOKUP($B8,'INT Web'!$B$5:$U$247,'INT Web'!S$1,FALSE)</f>
        <v>34.99</v>
      </c>
      <c r="H8" s="128">
        <f>+VLOOKUP($B8,'INT Web'!$B$5:$U$247,'INT Web'!T$1,FALSE)</f>
        <v>174.99</v>
      </c>
      <c r="I8" s="128">
        <f>+VLOOKUP($B8,'INT Web'!$B$5:$U$247,'INT Web'!U$1,FALSE)</f>
        <v>24.99</v>
      </c>
      <c r="K8" t="str">
        <f>IF(VLOOKUP($B8,[5]Samsung!$B$3:$I$123,[5]Samsung!$F$1,FALSE)=F8,"same", "PRICE CHANGE")</f>
        <v>PRICE CHANGE</v>
      </c>
      <c r="L8" t="str">
        <f>IF(VLOOKUP($B8,[5]Samsung!$B$3:$I$123,[5]Samsung!$G$1,FALSE)=G8,"same", "PRICE CHANGE")</f>
        <v>PRICE CHANGE</v>
      </c>
      <c r="M8" t="str">
        <f>IF(VLOOKUP($B8,[5]Samsung!$B$3:$I$123,[5]Samsung!$H$1,FALSE)=H8,"same", "PRICE CHANGE")</f>
        <v>same</v>
      </c>
      <c r="N8" t="str">
        <f>IF(VLOOKUP($B8,[5]Samsung!$B$3:$I$123,[5]Samsung!$I$1,FALSE)=I8,"same", "PRICE CHANGE")</f>
        <v>same</v>
      </c>
    </row>
    <row r="9" spans="2:14">
      <c r="B9" t="s">
        <v>71</v>
      </c>
      <c r="C9" s="31" t="str">
        <f>+VLOOKUP(B9,'Country &amp; Code Abbreviation'!$B$3:$C$245,2,FALSE)</f>
        <v>AX</v>
      </c>
      <c r="D9" s="31" t="str">
        <f>+VLOOKUP(B9,'INT Web'!$B$5:$Q$248,16,FALSE)</f>
        <v>EUR</v>
      </c>
      <c r="E9" s="32" t="s">
        <v>368</v>
      </c>
      <c r="F9" s="128">
        <f>+VLOOKUP($B9,'INT Web'!$B$5:$U$247,'INT Web'!R$1,FALSE)</f>
        <v>119.99</v>
      </c>
      <c r="G9" s="128">
        <f>+VLOOKUP($B9,'INT Web'!$B$5:$U$247,'INT Web'!S$1,FALSE)</f>
        <v>19.989999999999998</v>
      </c>
      <c r="H9" s="128">
        <f>+VLOOKUP($B9,'INT Web'!$B$5:$U$247,'INT Web'!T$1,FALSE)</f>
        <v>89.99</v>
      </c>
      <c r="I9" s="128">
        <f>+VLOOKUP($B9,'INT Web'!$B$5:$U$247,'INT Web'!U$1,FALSE)</f>
        <v>14.99</v>
      </c>
      <c r="K9" t="str">
        <f>IF(VLOOKUP($B9,[5]Samsung!$B$3:$I$123,[5]Samsung!$F$1,FALSE)=F9,"same", "PRICE CHANGE")</f>
        <v>same</v>
      </c>
      <c r="L9" t="str">
        <f>IF(VLOOKUP($B9,[5]Samsung!$B$3:$I$123,[5]Samsung!$G$1,FALSE)=G9,"same", "PRICE CHANGE")</f>
        <v>same</v>
      </c>
      <c r="M9" t="str">
        <f>IF(VLOOKUP($B9,[5]Samsung!$B$3:$I$123,[5]Samsung!$H$1,FALSE)=H9,"same", "PRICE CHANGE")</f>
        <v>same</v>
      </c>
      <c r="N9" t="str">
        <f>IF(VLOOKUP($B9,[5]Samsung!$B$3:$I$123,[5]Samsung!$I$1,FALSE)=I9,"same", "PRICE CHANGE")</f>
        <v>same</v>
      </c>
    </row>
    <row r="10" spans="2:14">
      <c r="B10" t="s">
        <v>86</v>
      </c>
      <c r="C10" s="31" t="str">
        <f>+VLOOKUP(B10,'Country &amp; Code Abbreviation'!$B$3:$C$245,2,FALSE)</f>
        <v>AZ</v>
      </c>
      <c r="D10" s="31" t="str">
        <f>+VLOOKUP(B10,'INT Web'!$B$5:$Q$248,16,FALSE)</f>
        <v>AZN</v>
      </c>
      <c r="E10" s="32" t="s">
        <v>346</v>
      </c>
      <c r="F10" s="128">
        <f>+VLOOKUP($B10,Apple!$B$3:$I$176,Apple!F$1,FALSE)</f>
        <v>105.99</v>
      </c>
      <c r="G10" s="128">
        <f>+VLOOKUP($B10,Apple!$B$3:$I$176,Apple!G$1,FALSE)</f>
        <v>17.989999999999998</v>
      </c>
      <c r="H10" s="128">
        <f>+VLOOKUP($B10,Apple!$B$3:$I$176,Apple!H$1,FALSE)</f>
        <v>76.989999999999995</v>
      </c>
      <c r="I10" s="128">
        <f>+VLOOKUP($B10,Apple!$B$3:$I$176,Apple!I$1,FALSE)</f>
        <v>12.99</v>
      </c>
      <c r="K10" t="str">
        <f>IF(VLOOKUP($B10,[5]Samsung!$B$3:$I$123,[5]Samsung!$F$1,FALSE)=F10,"same", "PRICE CHANGE")</f>
        <v>same</v>
      </c>
      <c r="L10" t="str">
        <f>IF(VLOOKUP($B10,[5]Samsung!$B$3:$I$123,[5]Samsung!$G$1,FALSE)=G10,"same", "PRICE CHANGE")</f>
        <v>same</v>
      </c>
      <c r="M10" t="str">
        <f>IF(VLOOKUP($B10,[5]Samsung!$B$3:$I$123,[5]Samsung!$H$1,FALSE)=H10,"same", "PRICE CHANGE")</f>
        <v>same</v>
      </c>
      <c r="N10" t="str">
        <f>IF(VLOOKUP($B10,[5]Samsung!$B$3:$I$123,[5]Samsung!$I$1,FALSE)=I10,"same", "PRICE CHANGE")</f>
        <v>same</v>
      </c>
    </row>
    <row r="11" spans="2:14">
      <c r="B11" t="s">
        <v>101</v>
      </c>
      <c r="C11" s="31" t="str">
        <f>+VLOOKUP(B11,'Country &amp; Code Abbreviation'!$B$3:$C$245,2,FALSE)</f>
        <v>BA</v>
      </c>
      <c r="D11" s="31" t="str">
        <f>+VLOOKUP(B11,'INT Web'!$B$5:$Q$248,16,FALSE)</f>
        <v>BAM</v>
      </c>
      <c r="E11" s="32" t="s">
        <v>346</v>
      </c>
      <c r="F11" s="128">
        <f>+VLOOKUP($B11,Google!$B$3:$I$174,Google!F$1,FALSE)</f>
        <v>82.99</v>
      </c>
      <c r="G11" s="128">
        <f>+VLOOKUP($B11,Google!$B$3:$I$174,Google!G$1,FALSE)</f>
        <v>13.99</v>
      </c>
      <c r="H11" s="128">
        <f>+VLOOKUP($B11,Google!$B$3:$I$174,Google!H$1,FALSE)</f>
        <v>59.99</v>
      </c>
      <c r="I11" s="128">
        <f>+VLOOKUP($B11,Google!$B$3:$I$174,Google!I$1,FALSE)</f>
        <v>9.99</v>
      </c>
      <c r="K11" t="str">
        <f>IF(VLOOKUP($B11,[5]Samsung!$B$3:$I$123,[5]Samsung!$F$1,FALSE)=F11,"same", "PRICE CHANGE")</f>
        <v>same</v>
      </c>
      <c r="L11" t="str">
        <f>IF(VLOOKUP($B11,[5]Samsung!$B$3:$I$123,[5]Samsung!$G$1,FALSE)=G11,"same", "PRICE CHANGE")</f>
        <v>same</v>
      </c>
      <c r="M11" t="str">
        <f>IF(VLOOKUP($B11,[5]Samsung!$B$3:$I$123,[5]Samsung!$H$1,FALSE)=H11,"same", "PRICE CHANGE")</f>
        <v>same</v>
      </c>
      <c r="N11" t="str">
        <f>IF(VLOOKUP($B11,[5]Samsung!$B$3:$I$123,[5]Samsung!$I$1,FALSE)=I11,"same", "PRICE CHANGE")</f>
        <v>same</v>
      </c>
    </row>
    <row r="12" spans="2:14">
      <c r="B12" s="36" t="s">
        <v>89</v>
      </c>
      <c r="C12" s="37" t="str">
        <f>+VLOOKUP(B12,'Country &amp; Code Abbreviation'!$B$3:$C$245,2,FALSE)</f>
        <v>BD</v>
      </c>
      <c r="D12" s="37" t="str">
        <f>+VLOOKUP(B12,'INT Web'!$B$5:$Q$248,16,FALSE)</f>
        <v>BDT</v>
      </c>
      <c r="E12" s="38" t="s">
        <v>346</v>
      </c>
      <c r="F12" s="40">
        <f>+MROUND(VLOOKUP($B12,'INT Web'!$B$5:$AO$247,'INT Web'!R$1,FALSE)*'FX Rates'!$F$9,1)-0.01</f>
        <v>48.99</v>
      </c>
      <c r="G12" s="40">
        <f>+MROUND(VLOOKUP($B12,'INT Web'!$B$5:$AO$247,'INT Web'!S$1,FALSE)*'FX Rates'!$F$9,1)-0.01</f>
        <v>7.99</v>
      </c>
      <c r="H12" s="40">
        <f>+MROUND(VLOOKUP($B12,'INT Web'!$B$5:$AO$247,'INT Web'!T$1,FALSE)*'FX Rates'!$F$9,1)-0.01</f>
        <v>36.99</v>
      </c>
      <c r="I12" s="40">
        <f>+MROUND(VLOOKUP($B12,'INT Web'!$B$5:$AO$247,'INT Web'!U$1,FALSE)*'FX Rates'!$F$9,1)-0.01</f>
        <v>5.99</v>
      </c>
      <c r="K12" t="str">
        <f>IF(VLOOKUP($B12,[5]Samsung!$B$3:$I$123,[5]Samsung!$F$1,FALSE)=F12,"same", "PRICE CHANGE")</f>
        <v>same</v>
      </c>
      <c r="L12" t="str">
        <f>IF(VLOOKUP($B12,[5]Samsung!$B$3:$I$123,[5]Samsung!$G$1,FALSE)=G12,"same", "PRICE CHANGE")</f>
        <v>same</v>
      </c>
      <c r="M12" t="str">
        <f>IF(VLOOKUP($B12,[5]Samsung!$B$3:$I$123,[5]Samsung!$H$1,FALSE)=H12,"same", "PRICE CHANGE")</f>
        <v>same</v>
      </c>
      <c r="N12" t="str">
        <f>IF(VLOOKUP($B12,[5]Samsung!$B$3:$I$123,[5]Samsung!$I$1,FALSE)=I12,"same", "PRICE CHANGE")</f>
        <v>same</v>
      </c>
    </row>
    <row r="13" spans="2:14">
      <c r="B13" t="s">
        <v>92</v>
      </c>
      <c r="C13" s="31" t="str">
        <f>+VLOOKUP(B13,'Country &amp; Code Abbreviation'!$B$3:$C$245,2,FALSE)</f>
        <v>BE</v>
      </c>
      <c r="D13" s="31" t="str">
        <f>+VLOOKUP(B13,'INT Web'!$B$5:$Q$248,16,FALSE)</f>
        <v>EUR</v>
      </c>
      <c r="E13" s="32" t="s">
        <v>368</v>
      </c>
      <c r="F13" s="128">
        <f>+VLOOKUP($B13,'INT Web'!$B$5:$U$247,'INT Web'!R$1,FALSE)</f>
        <v>169.99</v>
      </c>
      <c r="G13" s="128">
        <f>+VLOOKUP($B13,'INT Web'!$B$5:$U$247,'INT Web'!S$1,FALSE)</f>
        <v>25.99</v>
      </c>
      <c r="H13" s="128">
        <f>+VLOOKUP($B13,'INT Web'!$B$5:$U$247,'INT Web'!T$1,FALSE)</f>
        <v>124.99</v>
      </c>
      <c r="I13" s="128">
        <f>+VLOOKUP($B13,'INT Web'!$B$5:$U$247,'INT Web'!U$1,FALSE)</f>
        <v>18.989999999999998</v>
      </c>
      <c r="K13" t="str">
        <f>IF(VLOOKUP($B13,[5]Samsung!$B$3:$I$123,[5]Samsung!$F$1,FALSE)=F13,"same", "PRICE CHANGE")</f>
        <v>same</v>
      </c>
      <c r="L13" t="str">
        <f>IF(VLOOKUP($B13,[5]Samsung!$B$3:$I$123,[5]Samsung!$G$1,FALSE)=G13,"same", "PRICE CHANGE")</f>
        <v>same</v>
      </c>
      <c r="M13" t="str">
        <f>IF(VLOOKUP($B13,[5]Samsung!$B$3:$I$123,[5]Samsung!$H$1,FALSE)=H13,"same", "PRICE CHANGE")</f>
        <v>same</v>
      </c>
      <c r="N13" t="str">
        <f>IF(VLOOKUP($B13,[5]Samsung!$B$3:$I$123,[5]Samsung!$I$1,FALSE)=I13,"same", "PRICE CHANGE")</f>
        <v>same</v>
      </c>
    </row>
    <row r="14" spans="2:14">
      <c r="B14" t="s">
        <v>108</v>
      </c>
      <c r="C14" s="31" t="str">
        <f>+VLOOKUP(B14,'Country &amp; Code Abbreviation'!$B$3:$C$245,2,FALSE)</f>
        <v>BG</v>
      </c>
      <c r="D14" s="31" t="str">
        <f>+VLOOKUP(B14,'INT Web'!$B$5:$Q$248,16,FALSE)</f>
        <v>EUR</v>
      </c>
      <c r="E14" s="32" t="s">
        <v>415</v>
      </c>
      <c r="F14" s="222">
        <v>92.99</v>
      </c>
      <c r="G14" s="128">
        <f>+VLOOKUP($B14,'INT Web'!$B$5:$U$247,'INT Web'!S$1,FALSE)</f>
        <v>14.99</v>
      </c>
      <c r="H14" s="222">
        <v>68.989999999999995</v>
      </c>
      <c r="I14" s="128">
        <f>+VLOOKUP($B14,'INT Web'!$B$5:$U$247,'INT Web'!U$1,FALSE)</f>
        <v>10.99</v>
      </c>
      <c r="K14" t="str">
        <f>IF(VLOOKUP($B14,[5]Samsung!$B$3:$I$123,[5]Samsung!$F$1,FALSE)=F14,"same", "PRICE CHANGE")</f>
        <v>same</v>
      </c>
      <c r="L14" t="str">
        <f>IF(VLOOKUP($B14,[5]Samsung!$B$3:$I$123,[5]Samsung!$G$1,FALSE)=G14,"same", "PRICE CHANGE")</f>
        <v>same</v>
      </c>
      <c r="M14" t="str">
        <f>IF(VLOOKUP($B14,[5]Samsung!$B$3:$I$123,[5]Samsung!$H$1,FALSE)=H14,"same", "PRICE CHANGE")</f>
        <v>same</v>
      </c>
      <c r="N14" t="str">
        <f>IF(VLOOKUP($B14,[5]Samsung!$B$3:$I$123,[5]Samsung!$I$1,FALSE)=I14,"same", "PRICE CHANGE")</f>
        <v>same</v>
      </c>
    </row>
    <row r="15" spans="2:14">
      <c r="B15" t="s">
        <v>88</v>
      </c>
      <c r="C15" s="31" t="str">
        <f>+VLOOKUP(B15,'Country &amp; Code Abbreviation'!$B$3:$C$245,2,FALSE)</f>
        <v>BH</v>
      </c>
      <c r="D15" s="31" t="str">
        <f>+VLOOKUP(B15,'INT Web'!$B$5:$Q$248,16,FALSE)</f>
        <v>BHD</v>
      </c>
      <c r="E15" s="32" t="s">
        <v>434</v>
      </c>
      <c r="F15" s="128">
        <f>+VLOOKUP($B15,'INT Web'!$B$5:$U$247,'INT Web'!R$1,FALSE)</f>
        <v>59.999000000000002</v>
      </c>
      <c r="G15" s="128">
        <f>+VLOOKUP($B15,'INT Web'!$B$5:$U$247,'INT Web'!S$1,FALSE)</f>
        <v>8.9990000000000006</v>
      </c>
      <c r="H15" s="128">
        <f>+VLOOKUP($B15,'INT Web'!$B$5:$U$247,'INT Web'!T$1,FALSE)</f>
        <v>49.999000000000002</v>
      </c>
      <c r="I15" s="128">
        <f>+VLOOKUP($B15,'INT Web'!$B$5:$U$247,'INT Web'!U$1,FALSE)</f>
        <v>6.9989999999999997</v>
      </c>
      <c r="K15" t="str">
        <f>IF(VLOOKUP($B15,[5]Samsung!$B$3:$I$123,[5]Samsung!$F$1,FALSE)=F15,"same", "PRICE CHANGE")</f>
        <v>same</v>
      </c>
      <c r="L15" t="str">
        <f>IF(VLOOKUP($B15,[5]Samsung!$B$3:$I$123,[5]Samsung!$G$1,FALSE)=G15,"same", "PRICE CHANGE")</f>
        <v>same</v>
      </c>
      <c r="M15" t="str">
        <f>IF(VLOOKUP($B15,[5]Samsung!$B$3:$I$123,[5]Samsung!$H$1,FALSE)=H15,"same", "PRICE CHANGE")</f>
        <v>same</v>
      </c>
      <c r="N15" t="str">
        <f>IF(VLOOKUP($B15,[5]Samsung!$B$3:$I$123,[5]Samsung!$I$1,FALSE)=I15,"same", "PRICE CHANGE")</f>
        <v>same</v>
      </c>
    </row>
    <row r="16" spans="2:14">
      <c r="B16" t="s">
        <v>98</v>
      </c>
      <c r="C16" s="31" t="str">
        <f>+VLOOKUP(B16,'Country &amp; Code Abbreviation'!$B$3:$C$245,2,FALSE)</f>
        <v>BO</v>
      </c>
      <c r="D16" s="31" t="str">
        <f>+VLOOKUP(B16,'INT Web'!$B$5:$Q$248,16,FALSE)</f>
        <v>BOB</v>
      </c>
      <c r="E16" s="32" t="s">
        <v>346</v>
      </c>
      <c r="F16" s="128">
        <f>+VLOOKUP($B16,Apple!$B$3:$I$176,Apple!F$1,FALSE)</f>
        <v>80.989999999999995</v>
      </c>
      <c r="G16" s="128">
        <f>+VLOOKUP($B16,Apple!$B$3:$I$176,Apple!G$1,FALSE)</f>
        <v>12.99</v>
      </c>
      <c r="H16" s="128">
        <f>+VLOOKUP($B16,Apple!$B$3:$I$176,Apple!H$1,FALSE)</f>
        <v>59.99</v>
      </c>
      <c r="I16" s="128">
        <f>+VLOOKUP($B16,Apple!$B$3:$I$176,Apple!I$1,FALSE)</f>
        <v>9.99</v>
      </c>
      <c r="K16" t="str">
        <f>IF(VLOOKUP($B16,[5]Samsung!$B$3:$I$123,[5]Samsung!$F$1,FALSE)=F16,"same", "PRICE CHANGE")</f>
        <v>same</v>
      </c>
      <c r="L16" t="str">
        <f>IF(VLOOKUP($B16,[5]Samsung!$B$3:$I$123,[5]Samsung!$G$1,FALSE)=G16,"same", "PRICE CHANGE")</f>
        <v>same</v>
      </c>
      <c r="M16" t="str">
        <f>IF(VLOOKUP($B16,[5]Samsung!$B$3:$I$123,[5]Samsung!$H$1,FALSE)=H16,"same", "PRICE CHANGE")</f>
        <v>same</v>
      </c>
      <c r="N16" t="str">
        <f>IF(VLOOKUP($B16,[5]Samsung!$B$3:$I$123,[5]Samsung!$I$1,FALSE)=I16,"same", "PRICE CHANGE")</f>
        <v>same</v>
      </c>
    </row>
    <row r="17" spans="2:14">
      <c r="B17" t="s">
        <v>104</v>
      </c>
      <c r="C17" s="31" t="str">
        <f>+VLOOKUP(B17,'Country &amp; Code Abbreviation'!$B$3:$C$245,2,FALSE)</f>
        <v>BR</v>
      </c>
      <c r="D17" s="31" t="str">
        <f>+VLOOKUP(B17,'INT Web'!$B$5:$Q$248,16,FALSE)</f>
        <v>BRL</v>
      </c>
      <c r="E17" s="32" t="s">
        <v>369</v>
      </c>
      <c r="F17" s="128">
        <f>+VLOOKUP($B17,'INT Web'!$B$5:$U$247,'INT Web'!R$1,FALSE)</f>
        <v>489.99</v>
      </c>
      <c r="G17" s="128">
        <f>+VLOOKUP($B17,'INT Web'!$B$5:$U$247,'INT Web'!S$1,FALSE)</f>
        <v>69.989999999999995</v>
      </c>
      <c r="H17" s="128">
        <f>+VLOOKUP($B17,'INT Web'!$B$5:$U$247,'INT Web'!T$1,FALSE)</f>
        <v>384.99</v>
      </c>
      <c r="I17" s="128">
        <f>+VLOOKUP($B17,'INT Web'!$B$5:$U$247,'INT Web'!U$1,FALSE)</f>
        <v>54.99</v>
      </c>
      <c r="K17" t="str">
        <f>IF(VLOOKUP($B17,[5]Samsung!$B$3:$I$123,[5]Samsung!$F$1,FALSE)=F17,"same", "PRICE CHANGE")</f>
        <v>same</v>
      </c>
      <c r="L17" t="str">
        <f>IF(VLOOKUP($B17,[5]Samsung!$B$3:$I$123,[5]Samsung!$G$1,FALSE)=G17,"same", "PRICE CHANGE")</f>
        <v>same</v>
      </c>
      <c r="M17" t="str">
        <f>IF(VLOOKUP($B17,[5]Samsung!$B$3:$I$123,[5]Samsung!$H$1,FALSE)=H17,"same", "PRICE CHANGE")</f>
        <v>same</v>
      </c>
      <c r="N17" t="str">
        <f>IF(VLOOKUP($B17,[5]Samsung!$B$3:$I$123,[5]Samsung!$I$1,FALSE)=I17,"same", "PRICE CHANGE")</f>
        <v>same</v>
      </c>
    </row>
    <row r="18" spans="2:14">
      <c r="B18" t="s">
        <v>87</v>
      </c>
      <c r="C18" s="31" t="str">
        <f>+VLOOKUP(B18,'Country &amp; Code Abbreviation'!$B$3:$C$245,2,FALSE)</f>
        <v>BS</v>
      </c>
      <c r="D18" s="31" t="str">
        <f>+VLOOKUP(B18,'INT Web'!$B$5:$Q$248,16,FALSE)</f>
        <v>BSD</v>
      </c>
      <c r="E18" s="32" t="s">
        <v>346</v>
      </c>
      <c r="F18" s="128">
        <f>+VLOOKUP($B18,Apple!$B$3:$I$176,Apple!F$1,FALSE)</f>
        <v>95.99</v>
      </c>
      <c r="G18" s="128">
        <f>+VLOOKUP($B18,Apple!$B$3:$I$176,Apple!G$1,FALSE)</f>
        <v>15.99</v>
      </c>
      <c r="H18" s="128">
        <f>+VLOOKUP($B18,Apple!$B$3:$I$176,Apple!H$1,FALSE)</f>
        <v>71.989999999999995</v>
      </c>
      <c r="I18" s="128">
        <f>+VLOOKUP($B18,Apple!$B$3:$I$176,Apple!I$1,FALSE)</f>
        <v>11.99</v>
      </c>
      <c r="K18" t="str">
        <f>IF(VLOOKUP($B18,[5]Samsung!$B$3:$I$123,[5]Samsung!$F$1,FALSE)=F18,"same", "PRICE CHANGE")</f>
        <v>same</v>
      </c>
      <c r="L18" t="str">
        <f>IF(VLOOKUP($B18,[5]Samsung!$B$3:$I$123,[5]Samsung!$G$1,FALSE)=G18,"same", "PRICE CHANGE")</f>
        <v>same</v>
      </c>
      <c r="M18" t="str">
        <f>IF(VLOOKUP($B18,[5]Samsung!$B$3:$I$123,[5]Samsung!$H$1,FALSE)=H18,"same", "PRICE CHANGE")</f>
        <v>same</v>
      </c>
      <c r="N18" t="str">
        <f>IF(VLOOKUP($B18,[5]Samsung!$B$3:$I$123,[5]Samsung!$I$1,FALSE)=I18,"same", "PRICE CHANGE")</f>
        <v>same</v>
      </c>
    </row>
    <row r="19" spans="2:14" hidden="1" outlineLevel="1">
      <c r="B19" t="s">
        <v>91</v>
      </c>
      <c r="C19" s="31" t="str">
        <f>+VLOOKUP(B19,'Country &amp; Code Abbreviation'!$B$3:$C$245,2,FALSE)</f>
        <v>BY</v>
      </c>
      <c r="D19" s="31" t="str">
        <f>+VLOOKUP(B19,'INT Web'!$B$5:$Q$248,16,FALSE)</f>
        <v>BYN</v>
      </c>
      <c r="E19" s="32" t="s">
        <v>346</v>
      </c>
      <c r="F19" s="128"/>
      <c r="G19" s="128"/>
      <c r="H19" s="128"/>
      <c r="I19" s="128"/>
      <c r="K19" t="str">
        <f>IF(VLOOKUP($B19,[5]Samsung!$B$3:$I$123,[5]Samsung!$F$1,FALSE)=F19,"same", "PRICE CHANGE")</f>
        <v>same</v>
      </c>
      <c r="L19" t="str">
        <f>IF(VLOOKUP($B19,[5]Samsung!$B$3:$I$123,[5]Samsung!$G$1,FALSE)=G19,"same", "PRICE CHANGE")</f>
        <v>same</v>
      </c>
      <c r="M19" t="str">
        <f>IF(VLOOKUP($B19,[5]Samsung!$B$3:$I$123,[5]Samsung!$H$1,FALSE)=H19,"same", "PRICE CHANGE")</f>
        <v>same</v>
      </c>
      <c r="N19" t="str">
        <f>IF(VLOOKUP($B19,[5]Samsung!$B$3:$I$123,[5]Samsung!$I$1,FALSE)=I19,"same", "PRICE CHANGE")</f>
        <v>same</v>
      </c>
    </row>
    <row r="20" spans="2:14" collapsed="1">
      <c r="B20" t="s">
        <v>113</v>
      </c>
      <c r="C20" s="31" t="str">
        <f>+VLOOKUP(B20,'Country &amp; Code Abbreviation'!$B$3:$C$245,2,FALSE)</f>
        <v>CA</v>
      </c>
      <c r="D20" s="31" t="str">
        <f>+VLOOKUP(B20,'INT Web'!$B$5:$Q$248,16,FALSE)</f>
        <v>CAD</v>
      </c>
      <c r="E20" s="32" t="s">
        <v>370</v>
      </c>
      <c r="F20" s="128">
        <f>+VLOOKUP($B20,'INT Web'!$B$5:$U$247,'INT Web'!R$1,FALSE)</f>
        <v>184.99</v>
      </c>
      <c r="G20" s="128">
        <f>+VLOOKUP($B20,'INT Web'!$B$5:$U$247,'INT Web'!S$1,FALSE)</f>
        <v>27.99</v>
      </c>
      <c r="H20" s="128">
        <f>+VLOOKUP($B20,'INT Web'!$B$5:$U$247,'INT Web'!T$1,FALSE)</f>
        <v>129.99</v>
      </c>
      <c r="I20" s="128">
        <f>+VLOOKUP($B20,'INT Web'!$B$5:$U$247,'INT Web'!U$1,FALSE)</f>
        <v>19.989999999999998</v>
      </c>
      <c r="K20" t="str">
        <f>IF(VLOOKUP($B20,[5]Samsung!$B$3:$I$123,[5]Samsung!$F$1,FALSE)=F20,"same", "PRICE CHANGE")</f>
        <v>same</v>
      </c>
      <c r="L20" t="str">
        <f>IF(VLOOKUP($B20,[5]Samsung!$B$3:$I$123,[5]Samsung!$G$1,FALSE)=G20,"same", "PRICE CHANGE")</f>
        <v>same</v>
      </c>
      <c r="M20" t="str">
        <f>IF(VLOOKUP($B20,[5]Samsung!$B$3:$I$123,[5]Samsung!$H$1,FALSE)=H20,"same", "PRICE CHANGE")</f>
        <v>same</v>
      </c>
      <c r="N20" t="str">
        <f>IF(VLOOKUP($B20,[5]Samsung!$B$3:$I$123,[5]Samsung!$I$1,FALSE)=I20,"same", "PRICE CHANGE")</f>
        <v>same</v>
      </c>
    </row>
    <row r="21" spans="2:14">
      <c r="B21" t="s">
        <v>288</v>
      </c>
      <c r="C21" s="31" t="str">
        <f>+VLOOKUP(B21,'Country &amp; Code Abbreviation'!$B$3:$C$245,2,FALSE)</f>
        <v>CH</v>
      </c>
      <c r="D21" s="31" t="str">
        <f>+VLOOKUP(B21,'INT Web'!$B$5:$Q$248,16,FALSE)</f>
        <v>CHF</v>
      </c>
      <c r="E21" s="32" t="s">
        <v>401</v>
      </c>
      <c r="F21" s="128">
        <f>+VLOOKUP($B21,'INT Web'!$B$5:$U$247,'INT Web'!R$1,FALSE)</f>
        <v>219.99</v>
      </c>
      <c r="G21" s="128">
        <f>+VLOOKUP($B21,'INT Web'!$B$5:$U$247,'INT Web'!S$1,FALSE)</f>
        <v>33.99</v>
      </c>
      <c r="H21" s="128">
        <f>+VLOOKUP($B21,'INT Web'!$B$5:$U$247,'INT Web'!T$1,FALSE)</f>
        <v>159.99</v>
      </c>
      <c r="I21" s="128">
        <f>+VLOOKUP($B21,'INT Web'!$B$5:$U$247,'INT Web'!U$1,FALSE)</f>
        <v>24.99</v>
      </c>
      <c r="K21" t="str">
        <f>IF(VLOOKUP($B21,[5]Samsung!$B$3:$I$123,[5]Samsung!$F$1,FALSE)=F21,"same", "PRICE CHANGE")</f>
        <v>same</v>
      </c>
      <c r="L21" t="str">
        <f>IF(VLOOKUP($B21,[5]Samsung!$B$3:$I$123,[5]Samsung!$G$1,FALSE)=G21,"same", "PRICE CHANGE")</f>
        <v>same</v>
      </c>
      <c r="M21" t="str">
        <f>IF(VLOOKUP($B21,[5]Samsung!$B$3:$I$123,[5]Samsung!$H$1,FALSE)=H21,"same", "PRICE CHANGE")</f>
        <v>same</v>
      </c>
      <c r="N21" t="str">
        <f>IF(VLOOKUP($B21,[5]Samsung!$B$3:$I$123,[5]Samsung!$I$1,FALSE)=I21,"same", "PRICE CHANGE")</f>
        <v>same</v>
      </c>
    </row>
    <row r="22" spans="2:14">
      <c r="B22" t="s">
        <v>118</v>
      </c>
      <c r="C22" s="31" t="str">
        <f>+VLOOKUP(B22,'Country &amp; Code Abbreviation'!$B$3:$C$245,2,FALSE)</f>
        <v>CL</v>
      </c>
      <c r="D22" s="31" t="str">
        <f>+VLOOKUP(B22,'INT Web'!$B$5:$Q$248,16,FALSE)</f>
        <v>CLP</v>
      </c>
      <c r="E22" s="32" t="s">
        <v>371</v>
      </c>
      <c r="F22" s="129">
        <f>+VLOOKUP($B22,'INT Web'!$B$5:$U$247,'INT Web'!R$1,FALSE)</f>
        <v>137900</v>
      </c>
      <c r="G22" s="129">
        <f>+VLOOKUP($B22,'INT Web'!$B$5:$U$247,'INT Web'!S$1,FALSE)</f>
        <v>22900</v>
      </c>
      <c r="H22" s="129">
        <f>+VLOOKUP($B22,'INT Web'!$B$5:$U$247,'INT Web'!T$1,FALSE)</f>
        <v>96300</v>
      </c>
      <c r="I22" s="129">
        <f>+VLOOKUP($B22,'INT Web'!$B$5:$U$247,'INT Web'!U$1,FALSE)</f>
        <v>15900</v>
      </c>
      <c r="K22" t="str">
        <f>IF(VLOOKUP($B22,[5]Samsung!$B$3:$I$123,[5]Samsung!$F$1,FALSE)=F22,"same", "PRICE CHANGE")</f>
        <v>same</v>
      </c>
      <c r="L22" t="str">
        <f>IF(VLOOKUP($B22,[5]Samsung!$B$3:$I$123,[5]Samsung!$G$1,FALSE)=G22,"same", "PRICE CHANGE")</f>
        <v>same</v>
      </c>
      <c r="M22" t="str">
        <f>IF(VLOOKUP($B22,[5]Samsung!$B$3:$I$123,[5]Samsung!$H$1,FALSE)=H22,"same", "PRICE CHANGE")</f>
        <v>same</v>
      </c>
      <c r="N22" t="str">
        <f>IF(VLOOKUP($B22,[5]Samsung!$B$3:$I$123,[5]Samsung!$I$1,FALSE)=I22,"same", "PRICE CHANGE")</f>
        <v>same</v>
      </c>
    </row>
    <row r="23" spans="2:14">
      <c r="B23" t="s">
        <v>121</v>
      </c>
      <c r="C23" s="31" t="str">
        <f>+VLOOKUP(B23,'Country &amp; Code Abbreviation'!$B$3:$C$245,2,FALSE)</f>
        <v>CO</v>
      </c>
      <c r="D23" s="31" t="str">
        <f>+VLOOKUP(B23,'INT Web'!$B$5:$Q$248,16,FALSE)</f>
        <v>COP</v>
      </c>
      <c r="E23" s="32" t="s">
        <v>372</v>
      </c>
      <c r="F23" s="129">
        <f>+VLOOKUP($B23,'INT Web'!$B$5:$U$247,'INT Web'!R$1,FALSE)</f>
        <v>335900</v>
      </c>
      <c r="G23" s="129">
        <f>+VLOOKUP($B23,'INT Web'!$B$5:$U$247,'INT Web'!S$1,FALSE)</f>
        <v>55900</v>
      </c>
      <c r="H23" s="129">
        <f>+VLOOKUP($B23,'INT Web'!$B$5:$U$247,'INT Web'!T$1,FALSE)</f>
        <v>248900</v>
      </c>
      <c r="I23" s="129">
        <f>+VLOOKUP($B23,'INT Web'!$B$5:$U$247,'INT Web'!U$1,FALSE)</f>
        <v>41400</v>
      </c>
      <c r="K23" t="str">
        <f>IF(VLOOKUP($B23,[5]Samsung!$B$3:$I$123,[5]Samsung!$F$1,FALSE)=F23,"same", "PRICE CHANGE")</f>
        <v>same</v>
      </c>
      <c r="L23" t="str">
        <f>IF(VLOOKUP($B23,[5]Samsung!$B$3:$I$123,[5]Samsung!$G$1,FALSE)=G23,"same", "PRICE CHANGE")</f>
        <v>same</v>
      </c>
      <c r="M23" t="str">
        <f>IF(VLOOKUP($B23,[5]Samsung!$B$3:$I$123,[5]Samsung!$H$1,FALSE)=H23,"same", "PRICE CHANGE")</f>
        <v>same</v>
      </c>
      <c r="N23" t="str">
        <f>IF(VLOOKUP($B23,[5]Samsung!$B$3:$I$123,[5]Samsung!$I$1,FALSE)=I23,"same", "PRICE CHANGE")</f>
        <v>same</v>
      </c>
    </row>
    <row r="24" spans="2:14">
      <c r="B24" t="s">
        <v>125</v>
      </c>
      <c r="C24" s="31" t="str">
        <f>+VLOOKUP(B24,'Country &amp; Code Abbreviation'!$B$3:$C$245,2,FALSE)</f>
        <v>CR</v>
      </c>
      <c r="D24" s="31" t="str">
        <f>+VLOOKUP(B24,'INT Web'!$B$5:$Q$248,16,FALSE)</f>
        <v>CRC</v>
      </c>
      <c r="E24" s="32" t="s">
        <v>346</v>
      </c>
      <c r="F24" s="128">
        <f>+VLOOKUP($B24,Apple!$B$3:$I$176,Apple!F$1,FALSE)</f>
        <v>147.99</v>
      </c>
      <c r="G24" s="128">
        <f>+VLOOKUP($B24,Apple!$B$3:$I$176,Apple!G$1,FALSE)</f>
        <v>24.99</v>
      </c>
      <c r="H24" s="128">
        <f>+VLOOKUP($B24,Apple!$B$3:$I$176,Apple!H$1,FALSE)</f>
        <v>113.99</v>
      </c>
      <c r="I24" s="128">
        <f>+VLOOKUP($B24,Apple!$B$3:$I$176,Apple!I$1,FALSE)</f>
        <v>18.989999999999998</v>
      </c>
      <c r="K24" t="str">
        <f>IF(VLOOKUP($B24,[5]Samsung!$B$3:$I$123,[5]Samsung!$F$1,FALSE)=F24,"same", "PRICE CHANGE")</f>
        <v>same</v>
      </c>
      <c r="L24" t="str">
        <f>IF(VLOOKUP($B24,[5]Samsung!$B$3:$I$123,[5]Samsung!$G$1,FALSE)=G24,"same", "PRICE CHANGE")</f>
        <v>same</v>
      </c>
      <c r="M24" t="str">
        <f>IF(VLOOKUP($B24,[5]Samsung!$B$3:$I$123,[5]Samsung!$H$1,FALSE)=H24,"same", "PRICE CHANGE")</f>
        <v>same</v>
      </c>
      <c r="N24" t="str">
        <f>IF(VLOOKUP($B24,[5]Samsung!$B$3:$I$123,[5]Samsung!$I$1,FALSE)=I24,"same", "PRICE CHANGE")</f>
        <v>same</v>
      </c>
    </row>
    <row r="25" spans="2:14">
      <c r="B25" t="s">
        <v>129</v>
      </c>
      <c r="C25" s="31" t="str">
        <f>+VLOOKUP(B25,'Country &amp; Code Abbreviation'!$B$3:$C$245,2,FALSE)</f>
        <v>CY</v>
      </c>
      <c r="D25" s="31" t="str">
        <f>+VLOOKUP(B25,'INT Web'!$B$5:$Q$248,16,FALSE)</f>
        <v>EUR</v>
      </c>
      <c r="E25" s="32" t="s">
        <v>368</v>
      </c>
      <c r="F25" s="128">
        <f>+VLOOKUP($B25,'INT Web'!$B$5:$U$247,'INT Web'!R$1,FALSE)</f>
        <v>89.99</v>
      </c>
      <c r="G25" s="128">
        <f>+VLOOKUP($B25,'INT Web'!$B$5:$U$247,'INT Web'!S$1,FALSE)</f>
        <v>12.99</v>
      </c>
      <c r="H25" s="128">
        <f>+VLOOKUP($B25,'INT Web'!$B$5:$U$247,'INT Web'!T$1,FALSE)</f>
        <v>69.989999999999995</v>
      </c>
      <c r="I25" s="128">
        <f>+VLOOKUP($B25,'INT Web'!$B$5:$U$247,'INT Web'!U$1,FALSE)</f>
        <v>9.99</v>
      </c>
      <c r="K25" t="str">
        <f>IF(VLOOKUP($B25,[5]Samsung!$B$3:$I$123,[5]Samsung!$F$1,FALSE)=F25,"same", "PRICE CHANGE")</f>
        <v>same</v>
      </c>
      <c r="L25" t="str">
        <f>IF(VLOOKUP($B25,[5]Samsung!$B$3:$I$123,[5]Samsung!$G$1,FALSE)=G25,"same", "PRICE CHANGE")</f>
        <v>same</v>
      </c>
      <c r="M25" t="str">
        <f>IF(VLOOKUP($B25,[5]Samsung!$B$3:$I$123,[5]Samsung!$H$1,FALSE)=H25,"same", "PRICE CHANGE")</f>
        <v>same</v>
      </c>
      <c r="N25" t="str">
        <f>IF(VLOOKUP($B25,[5]Samsung!$B$3:$I$123,[5]Samsung!$I$1,FALSE)=I25,"same", "PRICE CHANGE")</f>
        <v>same</v>
      </c>
    </row>
    <row r="26" spans="2:14">
      <c r="B26" t="s">
        <v>130</v>
      </c>
      <c r="C26" s="31" t="str">
        <f>+VLOOKUP(B26,'Country &amp; Code Abbreviation'!$B$3:$C$245,2,FALSE)</f>
        <v>CZ</v>
      </c>
      <c r="D26" s="31" t="str">
        <f>+VLOOKUP(B26,'INT Web'!$B$5:$Q$248,16,FALSE)</f>
        <v>CZK</v>
      </c>
      <c r="E26" s="32" t="s">
        <v>373</v>
      </c>
      <c r="F26" s="33">
        <f>+VLOOKUP($B26,'INT Web'!$B$5:$U$247,'INT Web'!R$1,FALSE)</f>
        <v>3599.99</v>
      </c>
      <c r="G26" s="33">
        <f>+VLOOKUP($B26,'INT Web'!$B$5:$U$247,'INT Web'!S$1,FALSE)</f>
        <v>549.99</v>
      </c>
      <c r="H26" s="33">
        <f>+VLOOKUP($B26,'INT Web'!$B$5:$U$247,'INT Web'!T$1,FALSE)</f>
        <v>2399.9899999999998</v>
      </c>
      <c r="I26" s="33">
        <f>+VLOOKUP($B26,'INT Web'!$B$5:$U$247,'INT Web'!U$1,FALSE)</f>
        <v>399.99</v>
      </c>
      <c r="K26" t="str">
        <f>IF(VLOOKUP($B26,[5]Samsung!$B$3:$I$123,[5]Samsung!$F$1,FALSE)=F26,"same", "PRICE CHANGE")</f>
        <v>same</v>
      </c>
      <c r="L26" t="str">
        <f>IF(VLOOKUP($B26,[5]Samsung!$B$3:$I$123,[5]Samsung!$G$1,FALSE)=G26,"same", "PRICE CHANGE")</f>
        <v>same</v>
      </c>
      <c r="M26" t="str">
        <f>IF(VLOOKUP($B26,[5]Samsung!$B$3:$I$123,[5]Samsung!$H$1,FALSE)=H26,"same", "PRICE CHANGE")</f>
        <v>same</v>
      </c>
      <c r="N26" t="str">
        <f>IF(VLOOKUP($B26,[5]Samsung!$B$3:$I$123,[5]Samsung!$I$1,FALSE)=I26,"same", "PRICE CHANGE")</f>
        <v>same</v>
      </c>
    </row>
    <row r="27" spans="2:14">
      <c r="B27" t="s">
        <v>155</v>
      </c>
      <c r="C27" s="31" t="str">
        <f>+VLOOKUP(B27,'Country &amp; Code Abbreviation'!$B$3:$C$245,2,FALSE)</f>
        <v>DE</v>
      </c>
      <c r="D27" s="31" t="str">
        <f>+VLOOKUP(B27,'INT Web'!$B$5:$Q$248,16,FALSE)</f>
        <v>EUR</v>
      </c>
      <c r="E27" s="32" t="s">
        <v>368</v>
      </c>
      <c r="F27" s="128">
        <f>+VLOOKUP($B27,'INT Web'!$B$5:$U$247,'INT Web'!R$1,FALSE)</f>
        <v>189.99</v>
      </c>
      <c r="G27" s="128">
        <f>+VLOOKUP($B27,'INT Web'!$B$5:$U$247,'INT Web'!S$1,FALSE)</f>
        <v>27.99</v>
      </c>
      <c r="H27" s="128">
        <f>+VLOOKUP($B27,'INT Web'!$B$5:$U$247,'INT Web'!T$1,FALSE)</f>
        <v>139.99</v>
      </c>
      <c r="I27" s="128">
        <f>+VLOOKUP($B27,'INT Web'!$B$5:$U$247,'INT Web'!U$1,FALSE)</f>
        <v>19.989999999999998</v>
      </c>
      <c r="K27" t="str">
        <f>IF(VLOOKUP($B27,[5]Samsung!$B$3:$I$123,[5]Samsung!$F$1,FALSE)=F27,"same", "PRICE CHANGE")</f>
        <v>same</v>
      </c>
      <c r="L27" t="str">
        <f>IF(VLOOKUP($B27,[5]Samsung!$B$3:$I$123,[5]Samsung!$G$1,FALSE)=G27,"same", "PRICE CHANGE")</f>
        <v>same</v>
      </c>
      <c r="M27" t="str">
        <f>IF(VLOOKUP($B27,[5]Samsung!$B$3:$I$123,[5]Samsung!$H$1,FALSE)=H27,"same", "PRICE CHANGE")</f>
        <v>same</v>
      </c>
      <c r="N27" t="str">
        <f>IF(VLOOKUP($B27,[5]Samsung!$B$3:$I$123,[5]Samsung!$I$1,FALSE)=I27,"same", "PRICE CHANGE")</f>
        <v>same</v>
      </c>
    </row>
    <row r="28" spans="2:14">
      <c r="B28" t="s">
        <v>132</v>
      </c>
      <c r="C28" s="31" t="str">
        <f>+VLOOKUP(B28,'Country &amp; Code Abbreviation'!$B$3:$C$245,2,FALSE)</f>
        <v>DK</v>
      </c>
      <c r="D28" s="31" t="str">
        <f>+VLOOKUP(B28,'INT Web'!$B$5:$Q$248,16,FALSE)</f>
        <v>DKK</v>
      </c>
      <c r="E28" s="32" t="s">
        <v>374</v>
      </c>
      <c r="F28" s="33">
        <f>+VLOOKUP($B28,'INT Web'!$B$5:$U$247,'INT Web'!R$1,FALSE)</f>
        <v>1299.99</v>
      </c>
      <c r="G28" s="33">
        <f>+VLOOKUP($B28,'INT Web'!$B$5:$U$247,'INT Web'!S$1,FALSE)</f>
        <v>199.99</v>
      </c>
      <c r="H28" s="33">
        <f>+VLOOKUP($B28,'INT Web'!$B$5:$U$247,'INT Web'!T$1,FALSE)</f>
        <v>899.99</v>
      </c>
      <c r="I28" s="33">
        <f>+VLOOKUP($B28,'INT Web'!$B$5:$U$247,'INT Web'!U$1,FALSE)</f>
        <v>139.99</v>
      </c>
      <c r="K28" t="str">
        <f>IF(VLOOKUP($B28,[5]Samsung!$B$3:$I$123,[5]Samsung!$F$1,FALSE)=F28,"same", "PRICE CHANGE")</f>
        <v>same</v>
      </c>
      <c r="L28" t="str">
        <f>IF(VLOOKUP($B28,[5]Samsung!$B$3:$I$123,[5]Samsung!$G$1,FALSE)=G28,"same", "PRICE CHANGE")</f>
        <v>same</v>
      </c>
      <c r="M28" t="str">
        <f>IF(VLOOKUP($B28,[5]Samsung!$B$3:$I$123,[5]Samsung!$H$1,FALSE)=H28,"same", "PRICE CHANGE")</f>
        <v>same</v>
      </c>
      <c r="N28" t="str">
        <f>IF(VLOOKUP($B28,[5]Samsung!$B$3:$I$123,[5]Samsung!$I$1,FALSE)=I28,"same", "PRICE CHANGE")</f>
        <v>same</v>
      </c>
    </row>
    <row r="29" spans="2:14">
      <c r="B29" t="s">
        <v>135</v>
      </c>
      <c r="C29" s="31" t="str">
        <f>+VLOOKUP(B29,'Country &amp; Code Abbreviation'!$B$3:$C$245,2,FALSE)</f>
        <v>DO</v>
      </c>
      <c r="D29" s="31" t="str">
        <f>+VLOOKUP(B29,'INT Web'!$B$5:$Q$248,16,FALSE)</f>
        <v>DOP</v>
      </c>
      <c r="E29" s="32" t="s">
        <v>346</v>
      </c>
      <c r="F29" s="128">
        <f>+VLOOKUP($B29,Apple!$B$3:$I$176,Apple!F$1,FALSE)</f>
        <v>126.99</v>
      </c>
      <c r="G29" s="128">
        <f>+VLOOKUP($B29,Apple!$B$3:$I$176,Apple!G$1,FALSE)</f>
        <v>19.989999999999998</v>
      </c>
      <c r="H29" s="128">
        <f>+VLOOKUP($B29,Apple!$B$3:$I$176,Apple!H$1,FALSE)</f>
        <v>94.99</v>
      </c>
      <c r="I29" s="128">
        <f>+VLOOKUP($B29,Apple!$B$3:$I$176,Apple!I$1,FALSE)</f>
        <v>15.99</v>
      </c>
      <c r="K29" t="str">
        <f>IF(VLOOKUP($B29,[5]Samsung!$B$3:$I$123,[5]Samsung!$F$1,FALSE)=F29,"same", "PRICE CHANGE")</f>
        <v>same</v>
      </c>
      <c r="L29" t="str">
        <f>IF(VLOOKUP($B29,[5]Samsung!$B$3:$I$123,[5]Samsung!$G$1,FALSE)=G29,"same", "PRICE CHANGE")</f>
        <v>same</v>
      </c>
      <c r="M29" t="str">
        <f>IF(VLOOKUP($B29,[5]Samsung!$B$3:$I$123,[5]Samsung!$H$1,FALSE)=H29,"same", "PRICE CHANGE")</f>
        <v>same</v>
      </c>
      <c r="N29" t="str">
        <f>IF(VLOOKUP($B29,[5]Samsung!$B$3:$I$123,[5]Samsung!$I$1,FALSE)=I29,"same", "PRICE CHANGE")</f>
        <v>same</v>
      </c>
    </row>
    <row r="30" spans="2:14">
      <c r="B30" t="s">
        <v>74</v>
      </c>
      <c r="C30" s="31" t="str">
        <f>+VLOOKUP(B30,'Country &amp; Code Abbreviation'!$B$3:$C$245,2,FALSE)</f>
        <v>DZ</v>
      </c>
      <c r="D30" s="31" t="str">
        <f>+VLOOKUP(B30,'INT Web'!$B$5:$Q$248,16,FALSE)</f>
        <v>DZD</v>
      </c>
      <c r="E30" s="32" t="s">
        <v>412</v>
      </c>
      <c r="F30" s="33">
        <f>+VLOOKUP($B30,'INT Web'!$B$5:$U$247,'INT Web'!R$1,FALSE)</f>
        <v>8099.99</v>
      </c>
      <c r="G30" s="33">
        <f>+VLOOKUP($B30,'INT Web'!$B$5:$U$247,'INT Web'!S$1,FALSE)</f>
        <v>1349.99</v>
      </c>
      <c r="H30" s="33">
        <f>+VLOOKUP($B30,'INT Web'!$B$5:$U$247,'INT Web'!T$1,FALSE)</f>
        <v>5999.99</v>
      </c>
      <c r="I30" s="33">
        <f>+VLOOKUP($B30,'INT Web'!$B$5:$U$247,'INT Web'!U$1,FALSE)</f>
        <v>999.99</v>
      </c>
      <c r="K30" t="str">
        <f>IF(VLOOKUP($B30,[5]Samsung!$B$3:$I$123,[5]Samsung!$F$1,FALSE)=F30,"same", "PRICE CHANGE")</f>
        <v>same</v>
      </c>
      <c r="L30" t="str">
        <f>IF(VLOOKUP($B30,[5]Samsung!$B$3:$I$123,[5]Samsung!$G$1,FALSE)=G30,"same", "PRICE CHANGE")</f>
        <v>same</v>
      </c>
      <c r="M30" t="str">
        <f>IF(VLOOKUP($B30,[5]Samsung!$B$3:$I$123,[5]Samsung!$H$1,FALSE)=H30,"same", "PRICE CHANGE")</f>
        <v>same</v>
      </c>
      <c r="N30" t="str">
        <f>IF(VLOOKUP($B30,[5]Samsung!$B$3:$I$123,[5]Samsung!$I$1,FALSE)=I30,"same", "PRICE CHANGE")</f>
        <v>same</v>
      </c>
    </row>
    <row r="31" spans="2:14">
      <c r="B31" t="s">
        <v>136</v>
      </c>
      <c r="C31" s="31" t="str">
        <f>+VLOOKUP(B31,'Country &amp; Code Abbreviation'!$B$3:$C$245,2,FALSE)</f>
        <v>EC</v>
      </c>
      <c r="D31" s="31" t="str">
        <f>+VLOOKUP(B31,'INT Web'!$B$5:$Q$248,16,FALSE)</f>
        <v>USD</v>
      </c>
      <c r="E31" s="32" t="s">
        <v>346</v>
      </c>
      <c r="F31" s="128">
        <f>+VLOOKUP($B31,'INT Web'!$B$5:$U$247,'INT Web'!R$1,FALSE)</f>
        <v>102.99</v>
      </c>
      <c r="G31" s="128">
        <f>+VLOOKUP($B31,'INT Web'!$B$5:$U$247,'INT Web'!S$1,FALSE)</f>
        <v>16.989999999999998</v>
      </c>
      <c r="H31" s="128">
        <f>+VLOOKUP($B31,'INT Web'!$B$5:$U$247,'INT Web'!T$1,FALSE)</f>
        <v>71.989999999999995</v>
      </c>
      <c r="I31" s="128">
        <f>+VLOOKUP($B31,'INT Web'!$B$5:$U$247,'INT Web'!U$1,FALSE)</f>
        <v>11.99</v>
      </c>
      <c r="K31" t="str">
        <f>IF(VLOOKUP($B31,[5]Samsung!$B$3:$I$123,[5]Samsung!$F$1,FALSE)=F31,"same", "PRICE CHANGE")</f>
        <v>same</v>
      </c>
      <c r="L31" t="str">
        <f>IF(VLOOKUP($B31,[5]Samsung!$B$3:$I$123,[5]Samsung!$G$1,FALSE)=G31,"same", "PRICE CHANGE")</f>
        <v>same</v>
      </c>
      <c r="M31" t="str">
        <f>IF(VLOOKUP($B31,[5]Samsung!$B$3:$I$123,[5]Samsung!$H$1,FALSE)=H31,"same", "PRICE CHANGE")</f>
        <v>same</v>
      </c>
      <c r="N31" t="str">
        <f>IF(VLOOKUP($B31,[5]Samsung!$B$3:$I$123,[5]Samsung!$I$1,FALSE)=I31,"same", "PRICE CHANGE")</f>
        <v>same</v>
      </c>
    </row>
    <row r="32" spans="2:14">
      <c r="B32" t="s">
        <v>141</v>
      </c>
      <c r="C32" s="31" t="str">
        <f>+VLOOKUP(B32,'Country &amp; Code Abbreviation'!$B$3:$C$245,2,FALSE)</f>
        <v>EE</v>
      </c>
      <c r="D32" s="31" t="str">
        <f>+VLOOKUP(B32,'INT Web'!$B$5:$Q$248,16,FALSE)</f>
        <v>EUR</v>
      </c>
      <c r="E32" s="32" t="s">
        <v>368</v>
      </c>
      <c r="F32" s="128">
        <f>+VLOOKUP($B32,'INT Web'!$B$5:$U$247,'INT Web'!R$1,FALSE)</f>
        <v>99.99</v>
      </c>
      <c r="G32" s="128">
        <f>+VLOOKUP($B32,'INT Web'!$B$5:$U$247,'INT Web'!S$1,FALSE)</f>
        <v>15.99</v>
      </c>
      <c r="H32" s="128">
        <f>+VLOOKUP($B32,'INT Web'!$B$5:$U$247,'INT Web'!T$1,FALSE)</f>
        <v>74.989999999999995</v>
      </c>
      <c r="I32" s="128">
        <f>+VLOOKUP($B32,'INT Web'!$B$5:$U$247,'INT Web'!U$1,FALSE)</f>
        <v>11.99</v>
      </c>
      <c r="K32" t="str">
        <f>IF(VLOOKUP($B32,[5]Samsung!$B$3:$I$123,[5]Samsung!$F$1,FALSE)=F32,"same", "PRICE CHANGE")</f>
        <v>same</v>
      </c>
      <c r="L32" t="str">
        <f>IF(VLOOKUP($B32,[5]Samsung!$B$3:$I$123,[5]Samsung!$G$1,FALSE)=G32,"same", "PRICE CHANGE")</f>
        <v>same</v>
      </c>
      <c r="M32" t="str">
        <f>IF(VLOOKUP($B32,[5]Samsung!$B$3:$I$123,[5]Samsung!$H$1,FALSE)=H32,"same", "PRICE CHANGE")</f>
        <v>same</v>
      </c>
      <c r="N32" t="str">
        <f>IF(VLOOKUP($B32,[5]Samsung!$B$3:$I$123,[5]Samsung!$I$1,FALSE)=I32,"same", "PRICE CHANGE")</f>
        <v>same</v>
      </c>
    </row>
    <row r="33" spans="2:14">
      <c r="B33" t="s">
        <v>137</v>
      </c>
      <c r="C33" s="31" t="str">
        <f>+VLOOKUP(B33,'Country &amp; Code Abbreviation'!$B$3:$C$245,2,FALSE)</f>
        <v>EG</v>
      </c>
      <c r="D33" s="31" t="str">
        <f>+VLOOKUP(B33,'INT Web'!$B$5:$Q$248,16,FALSE)</f>
        <v>EGP</v>
      </c>
      <c r="E33" s="32" t="s">
        <v>375</v>
      </c>
      <c r="F33" s="129">
        <f>+VLOOKUP($B33,'INT Web'!$B$5:$U$247,'INT Web'!R$1,FALSE)</f>
        <v>2359</v>
      </c>
      <c r="G33" s="129">
        <f>+VLOOKUP($B33,'INT Web'!$B$5:$U$247,'INT Web'!S$1,FALSE)</f>
        <v>399</v>
      </c>
      <c r="H33" s="129">
        <f>+VLOOKUP($B33,'INT Web'!$B$5:$U$247,'INT Web'!T$1,FALSE)</f>
        <v>1569</v>
      </c>
      <c r="I33" s="129">
        <f>+VLOOKUP($B33,'INT Web'!$B$5:$U$247,'INT Web'!U$1,FALSE)</f>
        <v>259</v>
      </c>
      <c r="K33" t="str">
        <f>IF(VLOOKUP($B33,[5]Samsung!$B$3:$I$123,[5]Samsung!$F$1,FALSE)=F33,"same", "PRICE CHANGE")</f>
        <v>same</v>
      </c>
      <c r="L33" t="str">
        <f>IF(VLOOKUP($B33,[5]Samsung!$B$3:$I$123,[5]Samsung!$G$1,FALSE)=G33,"same", "PRICE CHANGE")</f>
        <v>same</v>
      </c>
      <c r="M33" t="str">
        <f>IF(VLOOKUP($B33,[5]Samsung!$B$3:$I$123,[5]Samsung!$H$1,FALSE)=H33,"same", "PRICE CHANGE")</f>
        <v>same</v>
      </c>
      <c r="N33" t="str">
        <f>IF(VLOOKUP($B33,[5]Samsung!$B$3:$I$123,[5]Samsung!$I$1,FALSE)=I33,"same", "PRICE CHANGE")</f>
        <v>same</v>
      </c>
    </row>
    <row r="34" spans="2:14">
      <c r="B34" t="s">
        <v>276</v>
      </c>
      <c r="C34" s="31" t="str">
        <f>+VLOOKUP(B34,'Country &amp; Code Abbreviation'!$B$3:$C$245,2,FALSE)</f>
        <v>ES</v>
      </c>
      <c r="D34" s="31" t="str">
        <f>+VLOOKUP(B34,'INT Web'!$B$5:$Q$248,16,FALSE)</f>
        <v>EUR</v>
      </c>
      <c r="E34" s="32" t="s">
        <v>368</v>
      </c>
      <c r="F34" s="128">
        <f>+VLOOKUP($B34,'INT Web'!$B$5:$U$247,'INT Web'!R$1,FALSE)</f>
        <v>139.99</v>
      </c>
      <c r="G34" s="128">
        <f>+VLOOKUP($B34,'INT Web'!$B$5:$U$247,'INT Web'!S$1,FALSE)</f>
        <v>19.989999999999998</v>
      </c>
      <c r="H34" s="128">
        <f>+VLOOKUP($B34,'INT Web'!$B$5:$U$247,'INT Web'!T$1,FALSE)</f>
        <v>109.99</v>
      </c>
      <c r="I34" s="128">
        <f>+VLOOKUP($B34,'INT Web'!$B$5:$U$247,'INT Web'!U$1,FALSE)</f>
        <v>15.99</v>
      </c>
      <c r="K34" t="str">
        <f>IF(VLOOKUP($B34,[5]Samsung!$B$3:$I$123,[5]Samsung!$F$1,FALSE)=F34,"same", "PRICE CHANGE")</f>
        <v>same</v>
      </c>
      <c r="L34" t="str">
        <f>IF(VLOOKUP($B34,[5]Samsung!$B$3:$I$123,[5]Samsung!$G$1,FALSE)=G34,"same", "PRICE CHANGE")</f>
        <v>same</v>
      </c>
      <c r="M34" t="str">
        <f>IF(VLOOKUP($B34,[5]Samsung!$B$3:$I$123,[5]Samsung!$H$1,FALSE)=H34,"same", "PRICE CHANGE")</f>
        <v>same</v>
      </c>
      <c r="N34" t="str">
        <f>IF(VLOOKUP($B34,[5]Samsung!$B$3:$I$123,[5]Samsung!$I$1,FALSE)=I34,"same", "PRICE CHANGE")</f>
        <v>same</v>
      </c>
    </row>
    <row r="35" spans="2:14">
      <c r="B35" t="s">
        <v>147</v>
      </c>
      <c r="C35" s="31" t="str">
        <f>+VLOOKUP(B35,'Country &amp; Code Abbreviation'!$B$3:$C$245,2,FALSE)</f>
        <v>FI</v>
      </c>
      <c r="D35" s="31" t="str">
        <f>+VLOOKUP(B35,'INT Web'!$B$5:$Q$248,16,FALSE)</f>
        <v>EUR</v>
      </c>
      <c r="E35" s="32" t="s">
        <v>368</v>
      </c>
      <c r="F35" s="128">
        <f>+VLOOKUP($B35,'INT Web'!$B$5:$U$247,'INT Web'!R$1,FALSE)</f>
        <v>129.99</v>
      </c>
      <c r="G35" s="128">
        <f>+VLOOKUP($B35,'INT Web'!$B$5:$U$247,'INT Web'!S$1,FALSE)</f>
        <v>19.989999999999998</v>
      </c>
      <c r="H35" s="128">
        <f>+VLOOKUP($B35,'INT Web'!$B$5:$U$247,'INT Web'!T$1,FALSE)</f>
        <v>99.99</v>
      </c>
      <c r="I35" s="128">
        <f>+VLOOKUP($B35,'INT Web'!$B$5:$U$247,'INT Web'!U$1,FALSE)</f>
        <v>14.99</v>
      </c>
      <c r="K35" t="str">
        <f>IF(VLOOKUP($B35,[5]Samsung!$B$3:$I$123,[5]Samsung!$F$1,FALSE)=F35,"same", "PRICE CHANGE")</f>
        <v>same</v>
      </c>
      <c r="L35" t="str">
        <f>IF(VLOOKUP($B35,[5]Samsung!$B$3:$I$123,[5]Samsung!$G$1,FALSE)=G35,"same", "PRICE CHANGE")</f>
        <v>same</v>
      </c>
      <c r="M35" t="str">
        <f>IF(VLOOKUP($B35,[5]Samsung!$B$3:$I$123,[5]Samsung!$H$1,FALSE)=H35,"same", "PRICE CHANGE")</f>
        <v>same</v>
      </c>
      <c r="N35" t="str">
        <f>IF(VLOOKUP($B35,[5]Samsung!$B$3:$I$123,[5]Samsung!$I$1,FALSE)=I35,"same", "PRICE CHANGE")</f>
        <v>same</v>
      </c>
    </row>
    <row r="36" spans="2:14">
      <c r="B36" t="s">
        <v>145</v>
      </c>
      <c r="C36" s="31" t="str">
        <f>+VLOOKUP(B36,'Country &amp; Code Abbreviation'!$B$3:$C$245,2,FALSE)</f>
        <v>FO</v>
      </c>
      <c r="D36" s="31" t="str">
        <f>+VLOOKUP(B36,'INT Web'!$B$5:$Q$248,16,FALSE)</f>
        <v>DKK</v>
      </c>
      <c r="E36" s="32" t="s">
        <v>374</v>
      </c>
      <c r="F36" s="33">
        <f>+VLOOKUP($B36,'INT Web'!$B$5:$U$247,'INT Web'!R$1,FALSE)</f>
        <v>1139.99</v>
      </c>
      <c r="G36" s="33">
        <f>+VLOOKUP($B36,'INT Web'!$B$5:$U$247,'INT Web'!S$1,FALSE)</f>
        <v>189.99</v>
      </c>
      <c r="H36" s="33">
        <f>+VLOOKUP($B36,'INT Web'!$B$5:$U$247,'INT Web'!T$1,FALSE)</f>
        <v>829.99</v>
      </c>
      <c r="I36" s="33">
        <f>+VLOOKUP($B36,'INT Web'!$B$5:$U$247,'INT Web'!U$1,FALSE)</f>
        <v>139.99</v>
      </c>
      <c r="K36" t="str">
        <f>IF(VLOOKUP($B36,[5]Samsung!$B$3:$I$123,[5]Samsung!$F$1,FALSE)=F36,"same", "PRICE CHANGE")</f>
        <v>same</v>
      </c>
      <c r="L36" t="str">
        <f>IF(VLOOKUP($B36,[5]Samsung!$B$3:$I$123,[5]Samsung!$G$1,FALSE)=G36,"same", "PRICE CHANGE")</f>
        <v>same</v>
      </c>
      <c r="M36" t="str">
        <f>IF(VLOOKUP($B36,[5]Samsung!$B$3:$I$123,[5]Samsung!$H$1,FALSE)=H36,"same", "PRICE CHANGE")</f>
        <v>same</v>
      </c>
      <c r="N36" t="str">
        <f>IF(VLOOKUP($B36,[5]Samsung!$B$3:$I$123,[5]Samsung!$I$1,FALSE)=I36,"same", "PRICE CHANGE")</f>
        <v>same</v>
      </c>
    </row>
    <row r="37" spans="2:14">
      <c r="B37" t="s">
        <v>148</v>
      </c>
      <c r="C37" s="31" t="str">
        <f>+VLOOKUP(B37,'Country &amp; Code Abbreviation'!$B$3:$C$245,2,FALSE)</f>
        <v>FR</v>
      </c>
      <c r="D37" s="31" t="str">
        <f>+VLOOKUP(B37,'INT Web'!$B$5:$Q$248,16,FALSE)</f>
        <v>EUR</v>
      </c>
      <c r="E37" s="32" t="s">
        <v>368</v>
      </c>
      <c r="F37" s="128">
        <f>+VLOOKUP($B37,'INT Web'!$B$5:$U$247,'INT Web'!R$1,FALSE)</f>
        <v>199.99</v>
      </c>
      <c r="G37" s="128">
        <f>+VLOOKUP($B37,'INT Web'!$B$5:$U$247,'INT Web'!S$1,FALSE)</f>
        <v>28.99</v>
      </c>
      <c r="H37" s="128">
        <f>+VLOOKUP($B37,'INT Web'!$B$5:$U$247,'INT Web'!T$1,FALSE)</f>
        <v>146.99</v>
      </c>
      <c r="I37" s="128">
        <f>+VLOOKUP($B37,'INT Web'!$B$5:$U$247,'INT Web'!U$1,FALSE)</f>
        <v>21.99</v>
      </c>
      <c r="K37" t="str">
        <f>IF(VLOOKUP($B37,[5]Samsung!$B$3:$I$123,[5]Samsung!$F$1,FALSE)=F37,"same", "PRICE CHANGE")</f>
        <v>same</v>
      </c>
      <c r="L37" t="str">
        <f>IF(VLOOKUP($B37,[5]Samsung!$B$3:$I$123,[5]Samsung!$G$1,FALSE)=G37,"same", "PRICE CHANGE")</f>
        <v>same</v>
      </c>
      <c r="M37" t="str">
        <f>IF(VLOOKUP($B37,[5]Samsung!$B$3:$I$123,[5]Samsung!$H$1,FALSE)=H37,"same", "PRICE CHANGE")</f>
        <v>same</v>
      </c>
      <c r="N37" t="str">
        <f>IF(VLOOKUP($B37,[5]Samsung!$B$3:$I$123,[5]Samsung!$I$1,FALSE)=I37,"same", "PRICE CHANGE")</f>
        <v>same</v>
      </c>
    </row>
    <row r="38" spans="2:14">
      <c r="B38" t="s">
        <v>307</v>
      </c>
      <c r="C38" s="31" t="str">
        <f>+VLOOKUP(B38,'Country &amp; Code Abbreviation'!$B$3:$C$245,2,FALSE)</f>
        <v>GB</v>
      </c>
      <c r="D38" s="31" t="str">
        <f>+VLOOKUP(B38,'INT Web'!$B$5:$Q$248,16,FALSE)</f>
        <v>GBP</v>
      </c>
      <c r="E38" s="32" t="s">
        <v>409</v>
      </c>
      <c r="F38" s="128">
        <f>+VLOOKUP($B38,'INT Web'!$B$5:$U$247,'INT Web'!R$1,FALSE)</f>
        <v>149.99</v>
      </c>
      <c r="G38" s="128">
        <f>+VLOOKUP($B38,'INT Web'!$B$5:$U$247,'INT Web'!S$1,FALSE)</f>
        <v>22.99</v>
      </c>
      <c r="H38" s="128">
        <f>+VLOOKUP($B38,'INT Web'!$B$5:$U$247,'INT Web'!T$1,FALSE)</f>
        <v>114.99</v>
      </c>
      <c r="I38" s="128">
        <f>+VLOOKUP($B38,'INT Web'!$B$5:$U$247,'INT Web'!U$1,FALSE)</f>
        <v>16.989999999999998</v>
      </c>
      <c r="K38" t="str">
        <f>IF(VLOOKUP($B38,[5]Samsung!$B$3:$I$123,[5]Samsung!$F$1,FALSE)=F38,"same", "PRICE CHANGE")</f>
        <v>same</v>
      </c>
      <c r="L38" t="str">
        <f>IF(VLOOKUP($B38,[5]Samsung!$B$3:$I$123,[5]Samsung!$G$1,FALSE)=G38,"same", "PRICE CHANGE")</f>
        <v>same</v>
      </c>
      <c r="M38" t="str">
        <f>IF(VLOOKUP($B38,[5]Samsung!$B$3:$I$123,[5]Samsung!$H$1,FALSE)=H38,"same", "PRICE CHANGE")</f>
        <v>same</v>
      </c>
      <c r="N38" t="str">
        <f>IF(VLOOKUP($B38,[5]Samsung!$B$3:$I$123,[5]Samsung!$I$1,FALSE)=I38,"same", "PRICE CHANGE")</f>
        <v>same</v>
      </c>
    </row>
    <row r="39" spans="2:14">
      <c r="B39" t="s">
        <v>154</v>
      </c>
      <c r="C39" s="31" t="str">
        <f>+VLOOKUP(B39,'Country &amp; Code Abbreviation'!$B$3:$C$245,2,FALSE)</f>
        <v>GE</v>
      </c>
      <c r="D39" s="31" t="str">
        <f>+VLOOKUP(B39,'INT Web'!$B$5:$Q$248,16,FALSE)</f>
        <v>GEL</v>
      </c>
      <c r="E39" s="32" t="s">
        <v>346</v>
      </c>
      <c r="F39" s="128">
        <f>+VLOOKUP($B39,Apple!$B$3:$I$176,Apple!F$1,FALSE)</f>
        <v>113.99</v>
      </c>
      <c r="G39" s="128">
        <f>+VLOOKUP($B39,Apple!$B$3:$I$176,Apple!G$1,FALSE)</f>
        <v>19.989999999999998</v>
      </c>
      <c r="H39" s="128">
        <f>+VLOOKUP($B39,Apple!$B$3:$I$176,Apple!H$1,FALSE)</f>
        <v>87.99</v>
      </c>
      <c r="I39" s="128">
        <f>+VLOOKUP($B39,Apple!$B$3:$I$176,Apple!I$1,FALSE)</f>
        <v>13.99</v>
      </c>
      <c r="K39" t="str">
        <f>IF(VLOOKUP($B39,[5]Samsung!$B$3:$I$123,[5]Samsung!$F$1,FALSE)=F39,"same", "PRICE CHANGE")</f>
        <v>same</v>
      </c>
      <c r="L39" t="str">
        <f>IF(VLOOKUP($B39,[5]Samsung!$B$3:$I$123,[5]Samsung!$G$1,FALSE)=G39,"same", "PRICE CHANGE")</f>
        <v>same</v>
      </c>
      <c r="M39" t="str">
        <f>IF(VLOOKUP($B39,[5]Samsung!$B$3:$I$123,[5]Samsung!$H$1,FALSE)=H39,"same", "PRICE CHANGE")</f>
        <v>same</v>
      </c>
      <c r="N39" t="str">
        <f>IF(VLOOKUP($B39,[5]Samsung!$B$3:$I$123,[5]Samsung!$I$1,FALSE)=I39,"same", "PRICE CHANGE")</f>
        <v>same</v>
      </c>
    </row>
    <row r="40" spans="2:14">
      <c r="B40" t="s">
        <v>163</v>
      </c>
      <c r="C40" s="31" t="str">
        <f>+VLOOKUP(B40,'Country &amp; Code Abbreviation'!$B$3:$C$245,2,FALSE)</f>
        <v>GG</v>
      </c>
      <c r="D40" s="31" t="str">
        <f>+VLOOKUP(B40,'INT Web'!$B$5:$Q$248,16,FALSE)</f>
        <v>GBP</v>
      </c>
      <c r="E40" s="32" t="s">
        <v>409</v>
      </c>
      <c r="F40" s="128">
        <f>+VLOOKUP($B40,'INT Web'!$B$5:$U$247,'INT Web'!R$1,FALSE)</f>
        <v>139.99</v>
      </c>
      <c r="G40" s="128">
        <f>+VLOOKUP($B40,'INT Web'!$B$5:$U$247,'INT Web'!S$1,FALSE)</f>
        <v>19.989999999999998</v>
      </c>
      <c r="H40" s="128">
        <f>+VLOOKUP($B40,'INT Web'!$B$5:$U$247,'INT Web'!T$1,FALSE)</f>
        <v>89.99</v>
      </c>
      <c r="I40" s="128">
        <f>+VLOOKUP($B40,'INT Web'!$B$5:$U$247,'INT Web'!U$1,FALSE)</f>
        <v>14.99</v>
      </c>
      <c r="K40" t="str">
        <f>IF(VLOOKUP($B40,[5]Samsung!$B$3:$I$123,[5]Samsung!$F$1,FALSE)=F40,"same", "PRICE CHANGE")</f>
        <v>same</v>
      </c>
      <c r="L40" t="str">
        <f>IF(VLOOKUP($B40,[5]Samsung!$B$3:$I$123,[5]Samsung!$G$1,FALSE)=G40,"same", "PRICE CHANGE")</f>
        <v>same</v>
      </c>
      <c r="M40" t="str">
        <f>IF(VLOOKUP($B40,[5]Samsung!$B$3:$I$123,[5]Samsung!$H$1,FALSE)=H40,"same", "PRICE CHANGE")</f>
        <v>same</v>
      </c>
      <c r="N40" t="str">
        <f>IF(VLOOKUP($B40,[5]Samsung!$B$3:$I$123,[5]Samsung!$I$1,FALSE)=I40,"same", "PRICE CHANGE")</f>
        <v>same</v>
      </c>
    </row>
    <row r="41" spans="2:14">
      <c r="B41" t="s">
        <v>156</v>
      </c>
      <c r="C41" s="31" t="str">
        <f>+VLOOKUP(B41,'Country &amp; Code Abbreviation'!$B$3:$C$245,2,FALSE)</f>
        <v>GH</v>
      </c>
      <c r="D41" s="31" t="str">
        <f>+VLOOKUP(B41,'INT Web'!$B$5:$Q$248,16,FALSE)</f>
        <v>GHS</v>
      </c>
      <c r="E41" s="32" t="s">
        <v>346</v>
      </c>
      <c r="F41" s="128">
        <f>+VLOOKUP($B41,Apple!$B$3:$I$176,Apple!F$1,FALSE)</f>
        <v>49.99</v>
      </c>
      <c r="G41" s="128">
        <f>+VLOOKUP($B41,Apple!$B$3:$I$176,Apple!G$1,FALSE)</f>
        <v>7.99</v>
      </c>
      <c r="H41" s="128">
        <f>+VLOOKUP($B41,Apple!$B$3:$I$176,Apple!H$1,FALSE)</f>
        <v>34.99</v>
      </c>
      <c r="I41" s="128">
        <f>+VLOOKUP($B41,Apple!$B$3:$I$176,Apple!I$1,FALSE)</f>
        <v>5.99</v>
      </c>
      <c r="K41" t="str">
        <f>IF(VLOOKUP($B41,[5]Samsung!$B$3:$I$123,[5]Samsung!$F$1,FALSE)=F41,"same", "PRICE CHANGE")</f>
        <v>same</v>
      </c>
      <c r="L41" t="str">
        <f>IF(VLOOKUP($B41,[5]Samsung!$B$3:$I$123,[5]Samsung!$G$1,FALSE)=G41,"same", "PRICE CHANGE")</f>
        <v>same</v>
      </c>
      <c r="M41" t="str">
        <f>IF(VLOOKUP($B41,[5]Samsung!$B$3:$I$123,[5]Samsung!$H$1,FALSE)=H41,"same", "PRICE CHANGE")</f>
        <v>same</v>
      </c>
      <c r="N41" t="str">
        <f>IF(VLOOKUP($B41,[5]Samsung!$B$3:$I$123,[5]Samsung!$I$1,FALSE)=I41,"same", "PRICE CHANGE")</f>
        <v>same</v>
      </c>
    </row>
    <row r="42" spans="2:14">
      <c r="B42" t="s">
        <v>159</v>
      </c>
      <c r="C42" s="31" t="str">
        <f>+VLOOKUP(B42,'Country &amp; Code Abbreviation'!$B$3:$C$245,2,FALSE)</f>
        <v>GL</v>
      </c>
      <c r="D42" s="31" t="str">
        <f>+VLOOKUP(B42,'INT Web'!$B$5:$Q$248,16,FALSE)</f>
        <v>DKK</v>
      </c>
      <c r="E42" s="32" t="s">
        <v>374</v>
      </c>
      <c r="F42" s="33">
        <f>+VLOOKUP($B42,'INT Web'!$B$5:$U$247,'INT Web'!R$1,FALSE)</f>
        <v>1079.99</v>
      </c>
      <c r="G42" s="33">
        <f>+VLOOKUP($B42,'INT Web'!$B$5:$U$247,'INT Web'!S$1,FALSE)</f>
        <v>179.99</v>
      </c>
      <c r="H42" s="33">
        <f>+VLOOKUP($B42,'INT Web'!$B$5:$U$247,'INT Web'!T$1,FALSE)</f>
        <v>829.99</v>
      </c>
      <c r="I42" s="33">
        <f>+VLOOKUP($B42,'INT Web'!$B$5:$U$247,'INT Web'!U$1,FALSE)</f>
        <v>139.99</v>
      </c>
      <c r="K42" t="str">
        <f>IF(VLOOKUP($B42,[5]Samsung!$B$3:$I$123,[5]Samsung!$F$1,FALSE)=F42,"same", "PRICE CHANGE")</f>
        <v>same</v>
      </c>
      <c r="L42" t="str">
        <f>IF(VLOOKUP($B42,[5]Samsung!$B$3:$I$123,[5]Samsung!$G$1,FALSE)=G42,"same", "PRICE CHANGE")</f>
        <v>same</v>
      </c>
      <c r="M42" t="str">
        <f>IF(VLOOKUP($B42,[5]Samsung!$B$3:$I$123,[5]Samsung!$H$1,FALSE)=H42,"same", "PRICE CHANGE")</f>
        <v>same</v>
      </c>
      <c r="N42" t="str">
        <f>IF(VLOOKUP($B42,[5]Samsung!$B$3:$I$123,[5]Samsung!$I$1,FALSE)=I42,"same", "PRICE CHANGE")</f>
        <v>same</v>
      </c>
    </row>
    <row r="43" spans="2:14">
      <c r="B43" t="s">
        <v>158</v>
      </c>
      <c r="C43" s="31" t="str">
        <f>+VLOOKUP(B43,'Country &amp; Code Abbreviation'!$B$3:$C$245,2,FALSE)</f>
        <v>GR</v>
      </c>
      <c r="D43" s="31" t="str">
        <f>+VLOOKUP(B43,'INT Web'!$B$5:$Q$248,16,FALSE)</f>
        <v>EUR</v>
      </c>
      <c r="E43" s="32" t="s">
        <v>368</v>
      </c>
      <c r="F43" s="128">
        <f>+VLOOKUP($B43,'INT Web'!$B$5:$U$247,'INT Web'!R$1,FALSE)</f>
        <v>117.99</v>
      </c>
      <c r="G43" s="128">
        <f>+VLOOKUP($B43,'INT Web'!$B$5:$U$247,'INT Web'!S$1,FALSE)</f>
        <v>16.989999999999998</v>
      </c>
      <c r="H43" s="128">
        <f>+VLOOKUP($B43,'INT Web'!$B$5:$U$247,'INT Web'!T$1,FALSE)</f>
        <v>89.99</v>
      </c>
      <c r="I43" s="128">
        <f>+VLOOKUP($B43,'INT Web'!$B$5:$U$247,'INT Web'!U$1,FALSE)</f>
        <v>12.99</v>
      </c>
      <c r="K43" t="str">
        <f>IF(VLOOKUP($B43,[5]Samsung!$B$3:$I$123,[5]Samsung!$F$1,FALSE)=F43,"same", "PRICE CHANGE")</f>
        <v>same</v>
      </c>
      <c r="L43" t="str">
        <f>IF(VLOOKUP($B43,[5]Samsung!$B$3:$I$123,[5]Samsung!$G$1,FALSE)=G43,"same", "PRICE CHANGE")</f>
        <v>same</v>
      </c>
      <c r="M43" t="str">
        <f>IF(VLOOKUP($B43,[5]Samsung!$B$3:$I$123,[5]Samsung!$H$1,FALSE)=H43,"same", "PRICE CHANGE")</f>
        <v>same</v>
      </c>
      <c r="N43" t="str">
        <f>IF(VLOOKUP($B43,[5]Samsung!$B$3:$I$123,[5]Samsung!$I$1,FALSE)=I43,"same", "PRICE CHANGE")</f>
        <v>same</v>
      </c>
    </row>
    <row r="44" spans="2:14">
      <c r="B44" t="s">
        <v>162</v>
      </c>
      <c r="C44" s="31" t="str">
        <f>+VLOOKUP(B44,'Country &amp; Code Abbreviation'!$B$3:$C$245,2,FALSE)</f>
        <v>GT</v>
      </c>
      <c r="D44" s="31" t="str">
        <f>+VLOOKUP(B44,'INT Web'!$B$5:$Q$248,16,FALSE)</f>
        <v>GTQ</v>
      </c>
      <c r="E44" s="32" t="s">
        <v>435</v>
      </c>
      <c r="F44" s="128">
        <f>+VLOOKUP($B44,'INT Web'!$B$5:$U$247,'INT Web'!R$1,FALSE)</f>
        <v>749.99</v>
      </c>
      <c r="G44" s="128">
        <f>+VLOOKUP($B44,'INT Web'!$B$5:$U$247,'INT Web'!S$1,FALSE)</f>
        <v>124.99</v>
      </c>
      <c r="H44" s="128">
        <f>+VLOOKUP($B44,'INT Web'!$B$5:$U$247,'INT Web'!T$1,FALSE)</f>
        <v>509.99</v>
      </c>
      <c r="I44" s="128">
        <f>+VLOOKUP($B44,'INT Web'!$B$5:$U$247,'INT Web'!U$1,FALSE)</f>
        <v>84.99</v>
      </c>
      <c r="K44" t="str">
        <f>IF(VLOOKUP($B44,[5]Samsung!$B$3:$I$123,[5]Samsung!$F$1,FALSE)=F44,"same", "PRICE CHANGE")</f>
        <v>same</v>
      </c>
      <c r="L44" t="str">
        <f>IF(VLOOKUP($B44,[5]Samsung!$B$3:$I$123,[5]Samsung!$G$1,FALSE)=G44,"same", "PRICE CHANGE")</f>
        <v>same</v>
      </c>
      <c r="M44" t="str">
        <f>IF(VLOOKUP($B44,[5]Samsung!$B$3:$I$123,[5]Samsung!$H$1,FALSE)=H44,"same", "PRICE CHANGE")</f>
        <v>same</v>
      </c>
      <c r="N44" t="str">
        <f>IF(VLOOKUP($B44,[5]Samsung!$B$3:$I$123,[5]Samsung!$I$1,FALSE)=I44,"same", "PRICE CHANGE")</f>
        <v>same</v>
      </c>
    </row>
    <row r="45" spans="2:14">
      <c r="B45" t="s">
        <v>170</v>
      </c>
      <c r="C45" s="31" t="str">
        <f>+VLOOKUP(B45,'Country &amp; Code Abbreviation'!$B$3:$C$245,2,FALSE)</f>
        <v>HK</v>
      </c>
      <c r="D45" s="31" t="str">
        <f>+VLOOKUP(B45,'INT Web'!$B$5:$Q$248,16,FALSE)</f>
        <v>HKD</v>
      </c>
      <c r="E45" s="32" t="s">
        <v>376</v>
      </c>
      <c r="F45" s="129">
        <f>+VLOOKUP($B45,'INT Web'!$B$5:$U$247,'INT Web'!R$1,FALSE)</f>
        <v>1149</v>
      </c>
      <c r="G45" s="129">
        <f>+VLOOKUP($B45,'INT Web'!$B$5:$U$247,'INT Web'!S$1,FALSE)</f>
        <v>164</v>
      </c>
      <c r="H45" s="129">
        <f>+VLOOKUP($B45,'INT Web'!$B$5:$U$247,'INT Web'!T$1,FALSE)</f>
        <v>759</v>
      </c>
      <c r="I45" s="129">
        <f>+VLOOKUP($B45,'INT Web'!$B$5:$U$247,'INT Web'!U$1,FALSE)</f>
        <v>109</v>
      </c>
      <c r="K45" t="str">
        <f>IF(VLOOKUP($B45,[5]Samsung!$B$3:$I$123,[5]Samsung!$F$1,FALSE)=F45,"same", "PRICE CHANGE")</f>
        <v>same</v>
      </c>
      <c r="L45" t="str">
        <f>IF(VLOOKUP($B45,[5]Samsung!$B$3:$I$123,[5]Samsung!$G$1,FALSE)=G45,"same", "PRICE CHANGE")</f>
        <v>same</v>
      </c>
      <c r="M45" t="str">
        <f>IF(VLOOKUP($B45,[5]Samsung!$B$3:$I$123,[5]Samsung!$H$1,FALSE)=H45,"same", "PRICE CHANGE")</f>
        <v>same</v>
      </c>
      <c r="N45" t="str">
        <f>IF(VLOOKUP($B45,[5]Samsung!$B$3:$I$123,[5]Samsung!$I$1,FALSE)=I45,"same", "PRICE CHANGE")</f>
        <v>same</v>
      </c>
    </row>
    <row r="46" spans="2:14">
      <c r="B46" t="s">
        <v>169</v>
      </c>
      <c r="C46" s="31" t="str">
        <f>+VLOOKUP(B46,'Country &amp; Code Abbreviation'!$B$3:$C$245,2,FALSE)</f>
        <v>HN</v>
      </c>
      <c r="D46" s="31" t="str">
        <f>+VLOOKUP(B46,'INT Web'!$B$5:$Q$248,16,FALSE)</f>
        <v>HNL</v>
      </c>
      <c r="E46" s="32" t="s">
        <v>346</v>
      </c>
      <c r="F46" s="128">
        <f>+VLOOKUP($B46,Apple!$B$3:$I$176,Apple!F$1,FALSE)</f>
        <v>76.989999999999995</v>
      </c>
      <c r="G46" s="128">
        <f>+VLOOKUP($B46,Apple!$B$3:$I$176,Apple!G$1,FALSE)</f>
        <v>12.99</v>
      </c>
      <c r="H46" s="128">
        <f>+VLOOKUP($B46,Apple!$B$3:$I$176,Apple!H$1,FALSE)</f>
        <v>53.99</v>
      </c>
      <c r="I46" s="128">
        <f>+VLOOKUP($B46,Apple!$B$3:$I$176,Apple!I$1,FALSE)</f>
        <v>8.99</v>
      </c>
      <c r="K46" t="str">
        <f>IF(VLOOKUP($B46,[5]Samsung!$B$3:$I$123,[5]Samsung!$F$1,FALSE)=F46,"same", "PRICE CHANGE")</f>
        <v>same</v>
      </c>
      <c r="L46" t="str">
        <f>IF(VLOOKUP($B46,[5]Samsung!$B$3:$I$123,[5]Samsung!$G$1,FALSE)=G46,"same", "PRICE CHANGE")</f>
        <v>same</v>
      </c>
      <c r="M46" t="str">
        <f>IF(VLOOKUP($B46,[5]Samsung!$B$3:$I$123,[5]Samsung!$H$1,FALSE)=H46,"same", "PRICE CHANGE")</f>
        <v>same</v>
      </c>
      <c r="N46" t="str">
        <f>IF(VLOOKUP($B46,[5]Samsung!$B$3:$I$123,[5]Samsung!$I$1,FALSE)=I46,"same", "PRICE CHANGE")</f>
        <v>same</v>
      </c>
    </row>
    <row r="47" spans="2:14">
      <c r="B47" t="s">
        <v>127</v>
      </c>
      <c r="C47" s="31" t="str">
        <f>+VLOOKUP(B47,'Country &amp; Code Abbreviation'!$B$3:$C$245,2,FALSE)</f>
        <v>HR</v>
      </c>
      <c r="D47" s="31" t="str">
        <f>+VLOOKUP(B47,'INT Web'!$B$5:$Q$248,16,FALSE)</f>
        <v>EUR</v>
      </c>
      <c r="E47" s="32" t="s">
        <v>368</v>
      </c>
      <c r="F47" s="128">
        <f>+VLOOKUP($B47,'INT Web'!$B$5:$U$247,'INT Web'!R$1,FALSE)</f>
        <v>107.99</v>
      </c>
      <c r="G47" s="128">
        <f>+VLOOKUP($B47,'INT Web'!$B$5:$U$247,'INT Web'!S$1,FALSE)</f>
        <v>17.989999999999998</v>
      </c>
      <c r="H47" s="128">
        <f>+VLOOKUP($B47,'INT Web'!$B$5:$U$247,'INT Web'!T$1,FALSE)</f>
        <v>71.989999999999995</v>
      </c>
      <c r="I47" s="128">
        <f>+VLOOKUP($B47,'INT Web'!$B$5:$U$247,'INT Web'!U$1,FALSE)</f>
        <v>11.99</v>
      </c>
      <c r="K47" t="str">
        <f>IF(VLOOKUP($B47,[5]Samsung!$B$3:$I$123,[5]Samsung!$F$1,FALSE)=F47,"same", "PRICE CHANGE")</f>
        <v>same</v>
      </c>
      <c r="L47" t="str">
        <f>IF(VLOOKUP($B47,[5]Samsung!$B$3:$I$123,[5]Samsung!$G$1,FALSE)=G47,"same", "PRICE CHANGE")</f>
        <v>same</v>
      </c>
      <c r="M47" t="str">
        <f>IF(VLOOKUP($B47,[5]Samsung!$B$3:$I$123,[5]Samsung!$H$1,FALSE)=H47,"same", "PRICE CHANGE")</f>
        <v>same</v>
      </c>
      <c r="N47" t="str">
        <f>IF(VLOOKUP($B47,[5]Samsung!$B$3:$I$123,[5]Samsung!$I$1,FALSE)=I47,"same", "PRICE CHANGE")</f>
        <v>same</v>
      </c>
    </row>
    <row r="48" spans="2:14">
      <c r="B48" t="s">
        <v>171</v>
      </c>
      <c r="C48" s="31" t="str">
        <f>+VLOOKUP(B48,'Country &amp; Code Abbreviation'!$B$3:$C$245,2,FALSE)</f>
        <v>HU</v>
      </c>
      <c r="D48" s="31" t="str">
        <f>+VLOOKUP(B48,'INT Web'!$B$5:$Q$248,16,FALSE)</f>
        <v>HUF</v>
      </c>
      <c r="E48" s="32" t="s">
        <v>377</v>
      </c>
      <c r="F48" s="129">
        <f>+VLOOKUP($B48,'INT Web'!$B$5:$U$247,'INT Web'!R$1,FALSE)</f>
        <v>33999</v>
      </c>
      <c r="G48" s="129">
        <f>+VLOOKUP($B48,'INT Web'!$B$5:$U$247,'INT Web'!S$1,FALSE)</f>
        <v>5499</v>
      </c>
      <c r="H48" s="129">
        <f>+VLOOKUP($B48,'INT Web'!$B$5:$U$247,'INT Web'!T$1,FALSE)</f>
        <v>25999</v>
      </c>
      <c r="I48" s="129">
        <f>+VLOOKUP($B48,'INT Web'!$B$5:$U$247,'INT Web'!U$1,FALSE)</f>
        <v>4199</v>
      </c>
      <c r="K48" t="str">
        <f>IF(VLOOKUP($B48,[5]Samsung!$B$3:$I$123,[5]Samsung!$F$1,FALSE)=F48,"same", "PRICE CHANGE")</f>
        <v>same</v>
      </c>
      <c r="L48" t="str">
        <f>IF(VLOOKUP($B48,[5]Samsung!$B$3:$I$123,[5]Samsung!$G$1,FALSE)=G48,"same", "PRICE CHANGE")</f>
        <v>same</v>
      </c>
      <c r="M48" t="str">
        <f>IF(VLOOKUP($B48,[5]Samsung!$B$3:$I$123,[5]Samsung!$H$1,FALSE)=H48,"same", "PRICE CHANGE")</f>
        <v>same</v>
      </c>
      <c r="N48" t="str">
        <f>IF(VLOOKUP($B48,[5]Samsung!$B$3:$I$123,[5]Samsung!$I$1,FALSE)=I48,"same", "PRICE CHANGE")</f>
        <v>same</v>
      </c>
    </row>
    <row r="49" spans="2:14">
      <c r="B49" t="s">
        <v>174</v>
      </c>
      <c r="C49" s="31" t="str">
        <f>+VLOOKUP(B49,'Country &amp; Code Abbreviation'!$B$3:$C$245,2,FALSE)</f>
        <v>ID</v>
      </c>
      <c r="D49" s="31" t="str">
        <f>+VLOOKUP(B49,'INT Web'!$B$5:$Q$248,16,FALSE)</f>
        <v>IDR</v>
      </c>
      <c r="E49" s="32" t="s">
        <v>379</v>
      </c>
      <c r="F49" s="129">
        <f>+VLOOKUP($B49,'INT Web'!$B$5:$U$247,'INT Web'!R$1,FALSE)</f>
        <v>1200000</v>
      </c>
      <c r="G49" s="129">
        <f>+VLOOKUP($B49,'INT Web'!$B$5:$U$247,'INT Web'!S$1,FALSE)</f>
        <v>200000</v>
      </c>
      <c r="H49" s="129">
        <f>+VLOOKUP($B49,'INT Web'!$B$5:$U$247,'INT Web'!T$1,FALSE)</f>
        <v>945000</v>
      </c>
      <c r="I49" s="129">
        <f>+VLOOKUP($B49,'INT Web'!$B$5:$U$247,'INT Web'!U$1,FALSE)</f>
        <v>135000</v>
      </c>
      <c r="K49" t="str">
        <f>IF(VLOOKUP($B49,[5]Samsung!$B$3:$I$123,[5]Samsung!$F$1,FALSE)=F49,"same", "PRICE CHANGE")</f>
        <v>same</v>
      </c>
      <c r="L49" t="str">
        <f>IF(VLOOKUP($B49,[5]Samsung!$B$3:$I$123,[5]Samsung!$G$1,FALSE)=G49,"same", "PRICE CHANGE")</f>
        <v>same</v>
      </c>
      <c r="M49" t="str">
        <f>IF(VLOOKUP($B49,[5]Samsung!$B$3:$I$123,[5]Samsung!$H$1,FALSE)=H49,"same", "PRICE CHANGE")</f>
        <v>same</v>
      </c>
      <c r="N49" t="str">
        <f>IF(VLOOKUP($B49,[5]Samsung!$B$3:$I$123,[5]Samsung!$I$1,FALSE)=I49,"same", "PRICE CHANGE")</f>
        <v>same</v>
      </c>
    </row>
    <row r="50" spans="2:14">
      <c r="B50" t="s">
        <v>176</v>
      </c>
      <c r="C50" s="31" t="str">
        <f>+VLOOKUP(B50,'Country &amp; Code Abbreviation'!$B$3:$C$245,2,FALSE)</f>
        <v>IE</v>
      </c>
      <c r="D50" s="31" t="str">
        <f>+VLOOKUP(B50,'INT Web'!$B$5:$Q$248,16,FALSE)</f>
        <v>EUR</v>
      </c>
      <c r="E50" s="32" t="s">
        <v>368</v>
      </c>
      <c r="F50" s="128">
        <f>+VLOOKUP($B50,'INT Web'!$B$5:$U$247,'INT Web'!R$1,FALSE)</f>
        <v>159.99</v>
      </c>
      <c r="G50" s="128">
        <f>+VLOOKUP($B50,'INT Web'!$B$5:$U$247,'INT Web'!S$1,FALSE)</f>
        <v>24.99</v>
      </c>
      <c r="H50" s="128">
        <f>+VLOOKUP($B50,'INT Web'!$B$5:$U$247,'INT Web'!T$1,FALSE)</f>
        <v>121.99</v>
      </c>
      <c r="I50" s="128">
        <f>+VLOOKUP($B50,'INT Web'!$B$5:$U$247,'INT Web'!U$1,FALSE)</f>
        <v>18.989999999999998</v>
      </c>
      <c r="K50" t="str">
        <f>IF(VLOOKUP($B50,[5]Samsung!$B$3:$I$123,[5]Samsung!$F$1,FALSE)=F50,"same", "PRICE CHANGE")</f>
        <v>same</v>
      </c>
      <c r="L50" t="str">
        <f>IF(VLOOKUP($B50,[5]Samsung!$B$3:$I$123,[5]Samsung!$G$1,FALSE)=G50,"same", "PRICE CHANGE")</f>
        <v>same</v>
      </c>
      <c r="M50" t="str">
        <f>IF(VLOOKUP($B50,[5]Samsung!$B$3:$I$123,[5]Samsung!$H$1,FALSE)=H50,"same", "PRICE CHANGE")</f>
        <v>same</v>
      </c>
      <c r="N50" t="str">
        <f>IF(VLOOKUP($B50,[5]Samsung!$B$3:$I$123,[5]Samsung!$I$1,FALSE)=I50,"same", "PRICE CHANGE")</f>
        <v>same</v>
      </c>
    </row>
    <row r="51" spans="2:14">
      <c r="B51" t="s">
        <v>178</v>
      </c>
      <c r="C51" s="31" t="str">
        <f>+VLOOKUP(B51,'Country &amp; Code Abbreviation'!$B$3:$C$245,2,FALSE)</f>
        <v>IL</v>
      </c>
      <c r="D51" s="31" t="str">
        <f>+VLOOKUP(B51,'INT Web'!$B$5:$Q$248,16,FALSE)</f>
        <v>ILS</v>
      </c>
      <c r="E51" s="32" t="s">
        <v>380</v>
      </c>
      <c r="F51" s="128">
        <f>+VLOOKUP($B51,'INT Web'!$B$5:$U$247,'INT Web'!R$1,FALSE)</f>
        <v>569.99</v>
      </c>
      <c r="G51" s="128">
        <f>+VLOOKUP($B51,'INT Web'!$B$5:$U$247,'INT Web'!S$1,FALSE)</f>
        <v>87.99</v>
      </c>
      <c r="H51" s="128">
        <f>+VLOOKUP($B51,'INT Web'!$B$5:$U$247,'INT Web'!T$1,FALSE)</f>
        <v>419.99</v>
      </c>
      <c r="I51" s="128">
        <f>+VLOOKUP($B51,'INT Web'!$B$5:$U$247,'INT Web'!U$1,FALSE)</f>
        <v>64.989999999999995</v>
      </c>
      <c r="K51" t="str">
        <f>IF(VLOOKUP($B51,[5]Samsung!$B$3:$I$123,[5]Samsung!$F$1,FALSE)=F51,"same", "PRICE CHANGE")</f>
        <v>same</v>
      </c>
      <c r="L51" t="str">
        <f>IF(VLOOKUP($B51,[5]Samsung!$B$3:$I$123,[5]Samsung!$G$1,FALSE)=G51,"same", "PRICE CHANGE")</f>
        <v>same</v>
      </c>
      <c r="M51" t="str">
        <f>IF(VLOOKUP($B51,[5]Samsung!$B$3:$I$123,[5]Samsung!$H$1,FALSE)=H51,"same", "PRICE CHANGE")</f>
        <v>same</v>
      </c>
      <c r="N51" t="str">
        <f>IF(VLOOKUP($B51,[5]Samsung!$B$3:$I$123,[5]Samsung!$I$1,FALSE)=I51,"same", "PRICE CHANGE")</f>
        <v>same</v>
      </c>
    </row>
    <row r="52" spans="2:14">
      <c r="B52" s="36" t="s">
        <v>436</v>
      </c>
      <c r="C52" s="37" t="str">
        <f>+VLOOKUP(B52,'Country &amp; Code Abbreviation'!$B$3:$C$245,2,FALSE)</f>
        <v>IM</v>
      </c>
      <c r="D52" s="37" t="str">
        <f>+VLOOKUP(B52,'INT Web'!$B$5:$Q$248,16,FALSE)</f>
        <v>USD</v>
      </c>
      <c r="E52" s="38" t="s">
        <v>409</v>
      </c>
      <c r="F52" s="223">
        <v>131.99</v>
      </c>
      <c r="G52" s="40">
        <f>+MROUND(VLOOKUP($B52,'INT Web'!$B$5:$AO$247,'INT Web'!S$1,FALSE)*'FX Rates'!$F$10,1)-0.01</f>
        <v>18.989999999999998</v>
      </c>
      <c r="H52" s="223">
        <v>87.99</v>
      </c>
      <c r="I52" s="40">
        <f>+MROUND(VLOOKUP($B52,'INT Web'!$B$5:$AO$247,'INT Web'!U$1,FALSE)*'FX Rates'!$F$10,1)-0.01</f>
        <v>14.99</v>
      </c>
      <c r="K52" t="str">
        <f>IF(VLOOKUP($B52,[5]Samsung!$B$3:$I$123,[5]Samsung!$F$1,FALSE)=F52,"same", "PRICE CHANGE")</f>
        <v>same</v>
      </c>
      <c r="L52" t="str">
        <f>IF(VLOOKUP($B52,[5]Samsung!$B$3:$I$123,[5]Samsung!$G$1,FALSE)=G52,"same", "PRICE CHANGE")</f>
        <v>same</v>
      </c>
      <c r="M52" t="str">
        <f>IF(VLOOKUP($B52,[5]Samsung!$B$3:$I$123,[5]Samsung!$H$1,FALSE)=H52,"same", "PRICE CHANGE")</f>
        <v>same</v>
      </c>
      <c r="N52" t="str">
        <f>IF(VLOOKUP($B52,[5]Samsung!$B$3:$I$123,[5]Samsung!$I$1,FALSE)=I52,"same", "PRICE CHANGE")</f>
        <v>same</v>
      </c>
    </row>
    <row r="53" spans="2:14">
      <c r="B53" t="s">
        <v>173</v>
      </c>
      <c r="C53" s="31" t="str">
        <f>+VLOOKUP(B53,'Country &amp; Code Abbreviation'!$B$3:$C$245,2,FALSE)</f>
        <v>IN</v>
      </c>
      <c r="D53" s="31" t="str">
        <f>+VLOOKUP(B53,'INT Web'!$B$5:$Q$248,16,FALSE)</f>
        <v>INR</v>
      </c>
      <c r="E53" s="32" t="s">
        <v>378</v>
      </c>
      <c r="F53" s="129">
        <f>+VLOOKUP($B53,'INT Web'!$B$5:$U$247,'INT Web'!R$1,FALSE)</f>
        <v>2099</v>
      </c>
      <c r="G53" s="129">
        <f>+VLOOKUP($B53,'INT Web'!$B$5:$U$247,'INT Web'!S$1,FALSE)</f>
        <v>329</v>
      </c>
      <c r="H53" s="129">
        <f>+VLOOKUP($B53,'INT Web'!$B$5:$U$247,'INT Web'!T$1,FALSE)</f>
        <v>1499</v>
      </c>
      <c r="I53" s="129">
        <f>+VLOOKUP($B53,'INT Web'!$B$5:$U$247,'INT Web'!U$1,FALSE)</f>
        <v>219</v>
      </c>
      <c r="K53" t="str">
        <f>IF(VLOOKUP($B53,[5]Samsung!$B$3:$I$123,[5]Samsung!$F$1,FALSE)=F53,"same", "PRICE CHANGE")</f>
        <v>same</v>
      </c>
      <c r="L53" t="str">
        <f>IF(VLOOKUP($B53,[5]Samsung!$B$3:$I$123,[5]Samsung!$G$1,FALSE)=G53,"same", "PRICE CHANGE")</f>
        <v>same</v>
      </c>
      <c r="M53" t="str">
        <f>IF(VLOOKUP($B53,[5]Samsung!$B$3:$I$123,[5]Samsung!$H$1,FALSE)=H53,"same", "PRICE CHANGE")</f>
        <v>same</v>
      </c>
      <c r="N53" t="str">
        <f>IF(VLOOKUP($B53,[5]Samsung!$B$3:$I$123,[5]Samsung!$I$1,FALSE)=I53,"same", "PRICE CHANGE")</f>
        <v>same</v>
      </c>
    </row>
    <row r="54" spans="2:14">
      <c r="B54" t="s">
        <v>175</v>
      </c>
      <c r="C54" s="31" t="str">
        <f>+VLOOKUP(B54,'Country &amp; Code Abbreviation'!$B$3:$C$245,2,FALSE)</f>
        <v>IQ</v>
      </c>
      <c r="D54" s="31" t="str">
        <f>+VLOOKUP(B54,'INT Web'!$B$5:$Q$248,16,FALSE)</f>
        <v>USD</v>
      </c>
      <c r="E54" s="32" t="s">
        <v>421</v>
      </c>
      <c r="F54" s="129">
        <f>+VLOOKUP($B54,Google!$B$3:$I$174,Google!F$1,FALSE)</f>
        <v>145660</v>
      </c>
      <c r="G54" s="129">
        <f>+VLOOKUP($B54,Google!$B$3:$I$174,Google!G$1,FALSE)</f>
        <v>24750</v>
      </c>
      <c r="H54" s="129">
        <f>+VLOOKUP($B54,Google!$B$3:$I$174,Google!H$1,FALSE)</f>
        <v>109240</v>
      </c>
      <c r="I54" s="129">
        <f>+VLOOKUP($B54,Google!$B$3:$I$174,Google!I$1,FALSE)</f>
        <v>18920</v>
      </c>
      <c r="K54" t="str">
        <f>IF(VLOOKUP($B54,[5]Samsung!$B$3:$I$123,[5]Samsung!$F$1,FALSE)=F54,"same", "PRICE CHANGE")</f>
        <v>same</v>
      </c>
      <c r="L54" t="str">
        <f>IF(VLOOKUP($B54,[5]Samsung!$B$3:$I$123,[5]Samsung!$G$1,FALSE)=G54,"same", "PRICE CHANGE")</f>
        <v>same</v>
      </c>
      <c r="M54" t="str">
        <f>IF(VLOOKUP($B54,[5]Samsung!$B$3:$I$123,[5]Samsung!$H$1,FALSE)=H54,"same", "PRICE CHANGE")</f>
        <v>same</v>
      </c>
      <c r="N54" t="str">
        <f>IF(VLOOKUP($B54,[5]Samsung!$B$3:$I$123,[5]Samsung!$I$1,FALSE)=I54,"same", "PRICE CHANGE")</f>
        <v>same</v>
      </c>
    </row>
    <row r="55" spans="2:14">
      <c r="B55" t="s">
        <v>172</v>
      </c>
      <c r="C55" s="31" t="str">
        <f>+VLOOKUP(B55,'Country &amp; Code Abbreviation'!$B$3:$C$245,2,FALSE)</f>
        <v>IS</v>
      </c>
      <c r="D55" s="31" t="str">
        <f>+VLOOKUP(B55,'INT Web'!$B$5:$Q$248,16,FALSE)</f>
        <v>ISK</v>
      </c>
      <c r="E55" s="32" t="s">
        <v>346</v>
      </c>
      <c r="F55" s="128">
        <f>+VLOOKUP($B55,Apple!$B$3:$I$176,Apple!F$1,FALSE)</f>
        <v>239.99</v>
      </c>
      <c r="G55" s="128">
        <f>+VLOOKUP($B55,Apple!$B$3:$I$176,Apple!G$1,FALSE)</f>
        <v>36.99</v>
      </c>
      <c r="H55" s="128">
        <f>+VLOOKUP($B55,Apple!$B$3:$I$176,Apple!H$1,FALSE)</f>
        <v>174.99</v>
      </c>
      <c r="I55" s="128">
        <f>+VLOOKUP($B55,Apple!$B$3:$I$176,Apple!I$1,FALSE)</f>
        <v>26.99</v>
      </c>
      <c r="K55" t="str">
        <f>IF(VLOOKUP($B55,[5]Samsung!$B$3:$I$123,[5]Samsung!$F$1,FALSE)=F55,"same", "PRICE CHANGE")</f>
        <v>same</v>
      </c>
      <c r="L55" t="str">
        <f>IF(VLOOKUP($B55,[5]Samsung!$B$3:$I$123,[5]Samsung!$G$1,FALSE)=G55,"same", "PRICE CHANGE")</f>
        <v>same</v>
      </c>
      <c r="M55" t="str">
        <f>IF(VLOOKUP($B55,[5]Samsung!$B$3:$I$123,[5]Samsung!$H$1,FALSE)=H55,"same", "PRICE CHANGE")</f>
        <v>same</v>
      </c>
      <c r="N55" t="str">
        <f>IF(VLOOKUP($B55,[5]Samsung!$B$3:$I$123,[5]Samsung!$I$1,FALSE)=I55,"same", "PRICE CHANGE")</f>
        <v>same</v>
      </c>
    </row>
    <row r="56" spans="2:14">
      <c r="B56" t="s">
        <v>179</v>
      </c>
      <c r="C56" s="31" t="str">
        <f>+VLOOKUP(B56,'Country &amp; Code Abbreviation'!$B$3:$C$245,2,FALSE)</f>
        <v>IT</v>
      </c>
      <c r="D56" s="31" t="str">
        <f>+VLOOKUP(B56,'INT Web'!$B$5:$Q$248,16,FALSE)</f>
        <v>EUR</v>
      </c>
      <c r="E56" s="32" t="s">
        <v>368</v>
      </c>
      <c r="F56" s="128">
        <f>+VLOOKUP($B56,'INT Web'!$B$5:$U$247,'INT Web'!R$1,FALSE)</f>
        <v>149.99</v>
      </c>
      <c r="G56" s="128">
        <f>+VLOOKUP($B56,'INT Web'!$B$5:$U$247,'INT Web'!S$1,FALSE)</f>
        <v>21.99</v>
      </c>
      <c r="H56" s="128">
        <f>+VLOOKUP($B56,'INT Web'!$B$5:$U$247,'INT Web'!T$1,FALSE)</f>
        <v>109.99</v>
      </c>
      <c r="I56" s="128">
        <f>+VLOOKUP($B56,'INT Web'!$B$5:$U$247,'INT Web'!U$1,FALSE)</f>
        <v>15.99</v>
      </c>
      <c r="K56" t="str">
        <f>IF(VLOOKUP($B56,[5]Samsung!$B$3:$I$123,[5]Samsung!$F$1,FALSE)=F56,"same", "PRICE CHANGE")</f>
        <v>same</v>
      </c>
      <c r="L56" t="str">
        <f>IF(VLOOKUP($B56,[5]Samsung!$B$3:$I$123,[5]Samsung!$G$1,FALSE)=G56,"same", "PRICE CHANGE")</f>
        <v>same</v>
      </c>
      <c r="M56" t="str">
        <f>IF(VLOOKUP($B56,[5]Samsung!$B$3:$I$123,[5]Samsung!$H$1,FALSE)=H56,"same", "PRICE CHANGE")</f>
        <v>same</v>
      </c>
      <c r="N56" t="str">
        <f>IF(VLOOKUP($B56,[5]Samsung!$B$3:$I$123,[5]Samsung!$I$1,FALSE)=I56,"same", "PRICE CHANGE")</f>
        <v>same</v>
      </c>
    </row>
    <row r="57" spans="2:14">
      <c r="B57" s="36" t="s">
        <v>183</v>
      </c>
      <c r="C57" s="37" t="str">
        <f>+VLOOKUP(B57,'Country &amp; Code Abbreviation'!$B$3:$C$245,2,FALSE)</f>
        <v>JE</v>
      </c>
      <c r="D57" s="37" t="str">
        <f>+VLOOKUP(B57,'INT Web'!$B$5:$Q$248,16,FALSE)</f>
        <v>USD</v>
      </c>
      <c r="E57" s="38" t="s">
        <v>409</v>
      </c>
      <c r="F57" s="223">
        <v>131.99</v>
      </c>
      <c r="G57" s="40">
        <f>+MROUND(VLOOKUP($B57,'INT Web'!$B$5:$AO$247,'INT Web'!S$1,FALSE)*'FX Rates'!$F$11,1)-0.01</f>
        <v>18.989999999999998</v>
      </c>
      <c r="H57" s="223">
        <v>87.99</v>
      </c>
      <c r="I57" s="40">
        <f>+MROUND(VLOOKUP($B57,'INT Web'!$B$5:$AO$247,'INT Web'!U$1,FALSE)*'FX Rates'!$F$11,1)-0.01</f>
        <v>14.99</v>
      </c>
      <c r="K57" t="str">
        <f>IF(VLOOKUP($B57,[5]Samsung!$B$3:$I$123,[5]Samsung!$F$1,FALSE)=F57,"same", "PRICE CHANGE")</f>
        <v>same</v>
      </c>
      <c r="L57" t="str">
        <f>IF(VLOOKUP($B57,[5]Samsung!$B$3:$I$123,[5]Samsung!$G$1,FALSE)=G57,"same", "PRICE CHANGE")</f>
        <v>same</v>
      </c>
      <c r="M57" t="str">
        <f>IF(VLOOKUP($B57,[5]Samsung!$B$3:$I$123,[5]Samsung!$H$1,FALSE)=H57,"same", "PRICE CHANGE")</f>
        <v>same</v>
      </c>
      <c r="N57" t="str">
        <f>IF(VLOOKUP($B57,[5]Samsung!$B$3:$I$123,[5]Samsung!$I$1,FALSE)=I57,"same", "PRICE CHANGE")</f>
        <v>same</v>
      </c>
    </row>
    <row r="58" spans="2:14">
      <c r="B58" t="s">
        <v>180</v>
      </c>
      <c r="C58" s="31" t="str">
        <f>+VLOOKUP(B58,'Country &amp; Code Abbreviation'!$B$3:$C$245,2,FALSE)</f>
        <v>JM</v>
      </c>
      <c r="D58" s="31" t="str">
        <f>+VLOOKUP(B58,'INT Web'!$B$5:$Q$248,16,FALSE)</f>
        <v>JMD</v>
      </c>
      <c r="E58" s="32" t="s">
        <v>346</v>
      </c>
      <c r="F58" s="128">
        <f>+VLOOKUP($B58,Apple!$B$3:$I$176,Apple!F$1,FALSE)</f>
        <v>91.99</v>
      </c>
      <c r="G58" s="128">
        <f>+VLOOKUP($B58,Apple!$B$3:$I$176,Apple!G$1,FALSE)</f>
        <v>14.99</v>
      </c>
      <c r="H58" s="128">
        <f>+VLOOKUP($B58,Apple!$B$3:$I$176,Apple!H$1,FALSE)</f>
        <v>64.989999999999995</v>
      </c>
      <c r="I58" s="128">
        <f>+VLOOKUP($B58,Apple!$B$3:$I$176,Apple!I$1,FALSE)</f>
        <v>10.99</v>
      </c>
      <c r="K58" t="str">
        <f>IF(VLOOKUP($B58,[5]Samsung!$B$3:$I$123,[5]Samsung!$F$1,FALSE)=F58,"same", "PRICE CHANGE")</f>
        <v>same</v>
      </c>
      <c r="L58" t="str">
        <f>IF(VLOOKUP($B58,[5]Samsung!$B$3:$I$123,[5]Samsung!$G$1,FALSE)=G58,"same", "PRICE CHANGE")</f>
        <v>same</v>
      </c>
      <c r="M58" t="str">
        <f>IF(VLOOKUP($B58,[5]Samsung!$B$3:$I$123,[5]Samsung!$H$1,FALSE)=H58,"same", "PRICE CHANGE")</f>
        <v>same</v>
      </c>
      <c r="N58" t="str">
        <f>IF(VLOOKUP($B58,[5]Samsung!$B$3:$I$123,[5]Samsung!$I$1,FALSE)=I58,"same", "PRICE CHANGE")</f>
        <v>same</v>
      </c>
    </row>
    <row r="59" spans="2:14">
      <c r="B59" t="s">
        <v>184</v>
      </c>
      <c r="C59" s="31" t="str">
        <f>+VLOOKUP(B59,'Country &amp; Code Abbreviation'!$B$3:$C$245,2,FALSE)</f>
        <v>JO</v>
      </c>
      <c r="D59" s="31" t="str">
        <f>+VLOOKUP(B59,'INT Web'!$B$5:$Q$248,16,FALSE)</f>
        <v>JOD</v>
      </c>
      <c r="E59" s="32" t="s">
        <v>422</v>
      </c>
      <c r="F59" s="128">
        <f>+VLOOKUP($B59,'INT Web'!$B$5:$U$247,'INT Web'!R$1,FALSE)</f>
        <v>79.998999999999995</v>
      </c>
      <c r="G59" s="128">
        <f>+VLOOKUP($B59,'INT Web'!$B$5:$U$247,'INT Web'!S$1,FALSE)</f>
        <v>11.999000000000001</v>
      </c>
      <c r="H59" s="128">
        <f>+VLOOKUP($B59,'INT Web'!$B$5:$U$247,'INT Web'!T$1,FALSE)</f>
        <v>59.999000000000002</v>
      </c>
      <c r="I59" s="128">
        <f>+VLOOKUP($B59,'INT Web'!$B$5:$U$247,'INT Web'!U$1,FALSE)</f>
        <v>8.9990000000000006</v>
      </c>
      <c r="K59" t="str">
        <f>IF(VLOOKUP($B59,[5]Samsung!$B$3:$I$123,[5]Samsung!$F$1,FALSE)=F59,"same", "PRICE CHANGE")</f>
        <v>same</v>
      </c>
      <c r="L59" t="str">
        <f>IF(VLOOKUP($B59,[5]Samsung!$B$3:$I$123,[5]Samsung!$G$1,FALSE)=G59,"same", "PRICE CHANGE")</f>
        <v>same</v>
      </c>
      <c r="M59" t="str">
        <f>IF(VLOOKUP($B59,[5]Samsung!$B$3:$I$123,[5]Samsung!$H$1,FALSE)=H59,"same", "PRICE CHANGE")</f>
        <v>same</v>
      </c>
      <c r="N59" t="str">
        <f>IF(VLOOKUP($B59,[5]Samsung!$B$3:$I$123,[5]Samsung!$I$1,FALSE)=I59,"same", "PRICE CHANGE")</f>
        <v>same</v>
      </c>
    </row>
    <row r="60" spans="2:14">
      <c r="B60" t="s">
        <v>186</v>
      </c>
      <c r="C60" s="31" t="str">
        <f>+VLOOKUP(B60,'Country &amp; Code Abbreviation'!$B$3:$C$245,2,FALSE)</f>
        <v>KE</v>
      </c>
      <c r="D60" s="31" t="str">
        <f>+VLOOKUP(B60,'INT Web'!$B$5:$Q$248,16,FALSE)</f>
        <v>KES</v>
      </c>
      <c r="E60" s="32" t="s">
        <v>423</v>
      </c>
      <c r="F60" s="129">
        <f>+VLOOKUP($B60,'INT Web'!$B$5:$U$247,'INT Web'!R$1,FALSE)</f>
        <v>8940</v>
      </c>
      <c r="G60" s="129">
        <f>+VLOOKUP($B60,'INT Web'!$B$5:$U$247,'INT Web'!S$1,FALSE)</f>
        <v>1490</v>
      </c>
      <c r="H60" s="129">
        <f>+VLOOKUP($B60,'INT Web'!$B$5:$U$247,'INT Web'!T$1,FALSE)</f>
        <v>6600</v>
      </c>
      <c r="I60" s="129">
        <f>+VLOOKUP($B60,'INT Web'!$B$5:$U$247,'INT Web'!U$1,FALSE)</f>
        <v>1100</v>
      </c>
      <c r="K60" t="str">
        <f>IF(VLOOKUP($B60,[5]Samsung!$B$3:$I$123,[5]Samsung!$F$1,FALSE)=F60,"same", "PRICE CHANGE")</f>
        <v>same</v>
      </c>
      <c r="L60" t="str">
        <f>IF(VLOOKUP($B60,[5]Samsung!$B$3:$I$123,[5]Samsung!$G$1,FALSE)=G60,"same", "PRICE CHANGE")</f>
        <v>same</v>
      </c>
      <c r="M60" t="str">
        <f>IF(VLOOKUP($B60,[5]Samsung!$B$3:$I$123,[5]Samsung!$H$1,FALSE)=H60,"same", "PRICE CHANGE")</f>
        <v>same</v>
      </c>
      <c r="N60" t="str">
        <f>IF(VLOOKUP($B60,[5]Samsung!$B$3:$I$123,[5]Samsung!$I$1,FALSE)=I60,"same", "PRICE CHANGE")</f>
        <v>same</v>
      </c>
    </row>
    <row r="61" spans="2:14">
      <c r="B61" t="s">
        <v>190</v>
      </c>
      <c r="C61" s="31" t="str">
        <f>+VLOOKUP(B61,'Country &amp; Code Abbreviation'!$B$3:$C$245,2,FALSE)</f>
        <v>KG</v>
      </c>
      <c r="D61" s="31" t="str">
        <f>+VLOOKUP(B61,'INT Web'!$B$5:$Q$248,16,FALSE)</f>
        <v>KGS</v>
      </c>
      <c r="E61" s="32" t="s">
        <v>346</v>
      </c>
      <c r="F61" s="128">
        <f>+VLOOKUP($B61,Apple!$B$3:$I$176,Apple!F$1,FALSE)</f>
        <v>96.99</v>
      </c>
      <c r="G61" s="128">
        <f>+VLOOKUP($B61,Apple!$B$3:$I$176,Apple!G$1,FALSE)</f>
        <v>15.99</v>
      </c>
      <c r="H61" s="128">
        <f>+VLOOKUP($B61,Apple!$B$3:$I$176,Apple!H$1,FALSE)</f>
        <v>71.989999999999995</v>
      </c>
      <c r="I61" s="128">
        <f>+VLOOKUP($B61,Apple!$B$3:$I$176,Apple!I$1,FALSE)</f>
        <v>11.99</v>
      </c>
      <c r="K61" t="str">
        <f>IF(VLOOKUP($B61,[5]Samsung!$B$3:$I$123,[5]Samsung!$F$1,FALSE)=F61,"same", "PRICE CHANGE")</f>
        <v>same</v>
      </c>
      <c r="L61" t="str">
        <f>IF(VLOOKUP($B61,[5]Samsung!$B$3:$I$123,[5]Samsung!$G$1,FALSE)=G61,"same", "PRICE CHANGE")</f>
        <v>same</v>
      </c>
      <c r="M61" t="str">
        <f>IF(VLOOKUP($B61,[5]Samsung!$B$3:$I$123,[5]Samsung!$H$1,FALSE)=H61,"same", "PRICE CHANGE")</f>
        <v>same</v>
      </c>
      <c r="N61" t="str">
        <f>IF(VLOOKUP($B61,[5]Samsung!$B$3:$I$123,[5]Samsung!$I$1,FALSE)=I61,"same", "PRICE CHANGE")</f>
        <v>same</v>
      </c>
    </row>
    <row r="62" spans="2:14">
      <c r="B62" t="s">
        <v>111</v>
      </c>
      <c r="C62" s="31" t="str">
        <f>+VLOOKUP(B62,'Country &amp; Code Abbreviation'!$B$3:$C$245,2,FALSE)</f>
        <v>KH</v>
      </c>
      <c r="D62" s="31" t="str">
        <f>+VLOOKUP(B62,'INT Web'!$B$5:$Q$248,16,FALSE)</f>
        <v>KHR</v>
      </c>
      <c r="E62" s="32" t="s">
        <v>346</v>
      </c>
      <c r="F62" s="128">
        <f>+VLOOKUP($B62,Apple!$B$3:$I$176,Apple!F$1,FALSE)</f>
        <v>71.989999999999995</v>
      </c>
      <c r="G62" s="128">
        <f>+VLOOKUP($B62,Apple!$B$3:$I$176,Apple!G$1,FALSE)</f>
        <v>11.99</v>
      </c>
      <c r="H62" s="128">
        <f>+VLOOKUP($B62,Apple!$B$3:$I$176,Apple!H$1,FALSE)</f>
        <v>53.99</v>
      </c>
      <c r="I62" s="128">
        <f>+VLOOKUP($B62,Apple!$B$3:$I$176,Apple!I$1,FALSE)</f>
        <v>8.99</v>
      </c>
      <c r="K62" t="str">
        <f>IF(VLOOKUP($B62,[5]Samsung!$B$3:$I$123,[5]Samsung!$F$1,FALSE)=F62,"same", "PRICE CHANGE")</f>
        <v>same</v>
      </c>
      <c r="L62" t="str">
        <f>IF(VLOOKUP($B62,[5]Samsung!$B$3:$I$123,[5]Samsung!$G$1,FALSE)=G62,"same", "PRICE CHANGE")</f>
        <v>same</v>
      </c>
      <c r="M62" t="str">
        <f>IF(VLOOKUP($B62,[5]Samsung!$B$3:$I$123,[5]Samsung!$H$1,FALSE)=H62,"same", "PRICE CHANGE")</f>
        <v>same</v>
      </c>
      <c r="N62" t="str">
        <f>IF(VLOOKUP($B62,[5]Samsung!$B$3:$I$123,[5]Samsung!$I$1,FALSE)=I62,"same", "PRICE CHANGE")</f>
        <v>same</v>
      </c>
    </row>
    <row r="63" spans="2:14">
      <c r="B63" t="s">
        <v>273</v>
      </c>
      <c r="C63" s="31" t="str">
        <f>+VLOOKUP(B63,'Country &amp; Code Abbreviation'!$B$3:$C$245,2,FALSE)</f>
        <v>KR</v>
      </c>
      <c r="D63" s="31" t="str">
        <f>+VLOOKUP(B63,'INT Web'!$B$5:$Q$248,16,FALSE)</f>
        <v>KRW</v>
      </c>
      <c r="E63" s="32" t="s">
        <v>382</v>
      </c>
      <c r="F63" s="129">
        <f>+VLOOKUP($B63,'INT Web'!$B$5:$U$247,'INT Web'!R$1,FALSE)</f>
        <v>189990</v>
      </c>
      <c r="G63" s="129">
        <f>+VLOOKUP($B63,'INT Web'!$B$5:$U$247,'INT Web'!S$1,FALSE)</f>
        <v>29990</v>
      </c>
      <c r="H63" s="129">
        <f>+VLOOKUP($B63,'INT Web'!$B$5:$U$247,'INT Web'!T$1,FALSE)</f>
        <v>129990</v>
      </c>
      <c r="I63" s="129">
        <f>+VLOOKUP($B63,'INT Web'!$B$5:$U$247,'INT Web'!U$1,FALSE)</f>
        <v>20000</v>
      </c>
      <c r="K63" t="str">
        <f>IF(VLOOKUP($B63,[5]Samsung!$B$3:$I$123,[5]Samsung!$F$1,FALSE)=F63,"same", "PRICE CHANGE")</f>
        <v>same</v>
      </c>
      <c r="L63" t="str">
        <f>IF(VLOOKUP($B63,[5]Samsung!$B$3:$I$123,[5]Samsung!$G$1,FALSE)=G63,"same", "PRICE CHANGE")</f>
        <v>same</v>
      </c>
      <c r="M63" t="str">
        <f>IF(VLOOKUP($B63,[5]Samsung!$B$3:$I$123,[5]Samsung!$H$1,FALSE)=H63,"same", "PRICE CHANGE")</f>
        <v>same</v>
      </c>
      <c r="N63" t="str">
        <f>IF(VLOOKUP($B63,[5]Samsung!$B$3:$I$123,[5]Samsung!$I$1,FALSE)=I63,"same", "PRICE CHANGE")</f>
        <v>same</v>
      </c>
    </row>
    <row r="64" spans="2:14">
      <c r="B64" t="s">
        <v>189</v>
      </c>
      <c r="C64" s="31" t="str">
        <f>+VLOOKUP(B64,'Country &amp; Code Abbreviation'!$B$3:$C$245,2,FALSE)</f>
        <v>KW</v>
      </c>
      <c r="D64" s="31" t="str">
        <f>+VLOOKUP(B64,'INT Web'!$B$5:$Q$248,16,FALSE)</f>
        <v>KWD</v>
      </c>
      <c r="E64" s="32" t="s">
        <v>437</v>
      </c>
      <c r="F64" s="128">
        <f>+VLOOKUP($B64,'INT Web'!$B$5:$U$247,'INT Web'!R$1,FALSE)</f>
        <v>64.998999999999995</v>
      </c>
      <c r="G64" s="128">
        <f>+VLOOKUP($B64,'INT Web'!$B$5:$U$247,'INT Web'!S$1,FALSE)</f>
        <v>9.9990000000000006</v>
      </c>
      <c r="H64" s="128">
        <f>+VLOOKUP($B64,'INT Web'!$B$5:$U$247,'INT Web'!T$1,FALSE)</f>
        <v>49.999000000000002</v>
      </c>
      <c r="I64" s="128">
        <f>+VLOOKUP($B64,'INT Web'!$B$5:$U$247,'INT Web'!U$1,FALSE)</f>
        <v>6.9989999999999997</v>
      </c>
      <c r="K64" t="str">
        <f>IF(VLOOKUP($B64,[5]Samsung!$B$3:$I$123,[5]Samsung!$F$1,FALSE)=F64,"same", "PRICE CHANGE")</f>
        <v>same</v>
      </c>
      <c r="L64" t="str">
        <f>IF(VLOOKUP($B64,[5]Samsung!$B$3:$I$123,[5]Samsung!$G$1,FALSE)=G64,"same", "PRICE CHANGE")</f>
        <v>same</v>
      </c>
      <c r="M64" t="str">
        <f>IF(VLOOKUP($B64,[5]Samsung!$B$3:$I$123,[5]Samsung!$H$1,FALSE)=H64,"same", "PRICE CHANGE")</f>
        <v>same</v>
      </c>
      <c r="N64" t="str">
        <f>IF(VLOOKUP($B64,[5]Samsung!$B$3:$I$123,[5]Samsung!$I$1,FALSE)=I64,"same", "PRICE CHANGE")</f>
        <v>same</v>
      </c>
    </row>
    <row r="65" spans="2:14">
      <c r="B65" t="s">
        <v>185</v>
      </c>
      <c r="C65" s="31" t="str">
        <f>+VLOOKUP(B65,'Country &amp; Code Abbreviation'!$B$3:$C$245,2,FALSE)</f>
        <v>KZ</v>
      </c>
      <c r="D65" s="31" t="str">
        <f>+VLOOKUP(B65,'INT Web'!$B$5:$Q$248,16,FALSE)</f>
        <v>KZT</v>
      </c>
      <c r="E65" s="32" t="s">
        <v>381</v>
      </c>
      <c r="F65" s="129">
        <f>+VLOOKUP($B65,'INT Web'!$B$5:$U$247,'INT Web'!R$1,FALSE)</f>
        <v>37260</v>
      </c>
      <c r="G65" s="129">
        <f>+VLOOKUP($B65,'INT Web'!$B$5:$U$247,'INT Web'!S$1,FALSE)</f>
        <v>6210</v>
      </c>
      <c r="H65" s="129">
        <f>+VLOOKUP($B65,'INT Web'!$B$5:$U$247,'INT Web'!T$1,FALSE)</f>
        <v>27600</v>
      </c>
      <c r="I65" s="129">
        <f>+VLOOKUP($B65,'INT Web'!$B$5:$U$247,'INT Web'!U$1,FALSE)</f>
        <v>4600</v>
      </c>
      <c r="K65" t="str">
        <f>IF(VLOOKUP($B65,[5]Samsung!$B$3:$I$123,[5]Samsung!$F$1,FALSE)=F65,"same", "PRICE CHANGE")</f>
        <v>same</v>
      </c>
      <c r="L65" t="str">
        <f>IF(VLOOKUP($B65,[5]Samsung!$B$3:$I$123,[5]Samsung!$G$1,FALSE)=G65,"same", "PRICE CHANGE")</f>
        <v>same</v>
      </c>
      <c r="M65" t="str">
        <f>IF(VLOOKUP($B65,[5]Samsung!$B$3:$I$123,[5]Samsung!$H$1,FALSE)=H65,"same", "PRICE CHANGE")</f>
        <v>same</v>
      </c>
      <c r="N65" t="str">
        <f>IF(VLOOKUP($B65,[5]Samsung!$B$3:$I$123,[5]Samsung!$I$1,FALSE)=I65,"same", "PRICE CHANGE")</f>
        <v>same</v>
      </c>
    </row>
    <row r="66" spans="2:14">
      <c r="B66" t="s">
        <v>191</v>
      </c>
      <c r="C66" s="31" t="str">
        <f>+VLOOKUP(B66,'Country &amp; Code Abbreviation'!$B$3:$C$245,2,FALSE)</f>
        <v>LA</v>
      </c>
      <c r="D66" s="31" t="str">
        <f>+VLOOKUP(B66,'INT Web'!$B$5:$Q$248,16,FALSE)</f>
        <v>LAK</v>
      </c>
      <c r="E66" s="32" t="s">
        <v>346</v>
      </c>
      <c r="F66" s="128">
        <f>+VLOOKUP($B66,Apple!$B$3:$I$176,Apple!F$1,FALSE)</f>
        <v>59.99</v>
      </c>
      <c r="G66" s="128">
        <f>+VLOOKUP($B66,Apple!$B$3:$I$176,Apple!G$1,FALSE)</f>
        <v>9.99</v>
      </c>
      <c r="H66" s="128">
        <f>+VLOOKUP($B66,Apple!$B$3:$I$176,Apple!H$1,FALSE)</f>
        <v>44.99</v>
      </c>
      <c r="I66" s="128">
        <f>+VLOOKUP($B66,Apple!$B$3:$I$176,Apple!I$1,FALSE)</f>
        <v>6.99</v>
      </c>
      <c r="K66" t="str">
        <f>IF(VLOOKUP($B66,[5]Samsung!$B$3:$I$123,[5]Samsung!$F$1,FALSE)=F66,"same", "PRICE CHANGE")</f>
        <v>same</v>
      </c>
      <c r="L66" t="str">
        <f>IF(VLOOKUP($B66,[5]Samsung!$B$3:$I$123,[5]Samsung!$G$1,FALSE)=G66,"same", "PRICE CHANGE")</f>
        <v>same</v>
      </c>
      <c r="M66" t="str">
        <f>IF(VLOOKUP($B66,[5]Samsung!$B$3:$I$123,[5]Samsung!$H$1,FALSE)=H66,"same", "PRICE CHANGE")</f>
        <v>same</v>
      </c>
      <c r="N66" t="str">
        <f>IF(VLOOKUP($B66,[5]Samsung!$B$3:$I$123,[5]Samsung!$I$1,FALSE)=I66,"same", "PRICE CHANGE")</f>
        <v>same</v>
      </c>
    </row>
    <row r="67" spans="2:14">
      <c r="B67" s="36" t="s">
        <v>193</v>
      </c>
      <c r="C67" s="37" t="str">
        <f>+VLOOKUP(B67,'Country &amp; Code Abbreviation'!$B$3:$C$245,2,FALSE)</f>
        <v>LB</v>
      </c>
      <c r="D67" s="37" t="str">
        <f>+VLOOKUP(B67,'INT Web'!$B$5:$Q$248,16,FALSE)</f>
        <v>USD</v>
      </c>
      <c r="E67" s="38" t="s">
        <v>438</v>
      </c>
      <c r="F67" s="224">
        <v>3135000</v>
      </c>
      <c r="G67" s="169">
        <f>+MROUND(VLOOKUP($B67,'INT Web'!$B$5:$AO$247,'INT Web'!S$1,FALSE)*'FX Rates'!$F$12,1000)</f>
        <v>447000</v>
      </c>
      <c r="H67" s="224">
        <v>2508000</v>
      </c>
      <c r="I67" s="224">
        <v>358000</v>
      </c>
      <c r="K67" t="str">
        <f>IF(VLOOKUP($B67,[5]Samsung!$B$3:$I$123,[5]Samsung!$F$1,FALSE)=F67,"same", "PRICE CHANGE")</f>
        <v>same</v>
      </c>
      <c r="L67" t="str">
        <f>IF(VLOOKUP($B67,[5]Samsung!$B$3:$I$123,[5]Samsung!$G$1,FALSE)=G67,"same", "PRICE CHANGE")</f>
        <v>same</v>
      </c>
      <c r="M67" t="str">
        <f>IF(VLOOKUP($B67,[5]Samsung!$B$3:$I$123,[5]Samsung!$H$1,FALSE)=H67,"same", "PRICE CHANGE")</f>
        <v>same</v>
      </c>
      <c r="N67" t="str">
        <f>IF(VLOOKUP($B67,[5]Samsung!$B$3:$I$123,[5]Samsung!$I$1,FALSE)=I67,"same", "PRICE CHANGE")</f>
        <v>same</v>
      </c>
    </row>
    <row r="68" spans="2:14">
      <c r="B68" t="s">
        <v>197</v>
      </c>
      <c r="C68" s="31" t="str">
        <f>+VLOOKUP(B68,'Country &amp; Code Abbreviation'!$B$3:$C$245,2,FALSE)</f>
        <v>LI</v>
      </c>
      <c r="D68" s="31" t="str">
        <f>+VLOOKUP(B68,'INT Web'!$B$5:$Q$248,16,FALSE)</f>
        <v>CHF</v>
      </c>
      <c r="E68" s="32" t="s">
        <v>401</v>
      </c>
      <c r="F68" s="128">
        <f>+VLOOKUP($B68,'INT Web'!$B$5:$U$247,'INT Web'!R$1,FALSE)</f>
        <v>189.99</v>
      </c>
      <c r="G68" s="128">
        <f>+VLOOKUP($B68,'INT Web'!$B$5:$U$247,'INT Web'!S$1,FALSE)</f>
        <v>31.99</v>
      </c>
      <c r="H68" s="128">
        <f>+VLOOKUP($B68,'INT Web'!$B$5:$U$247,'INT Web'!T$1,FALSE)</f>
        <v>149.99</v>
      </c>
      <c r="I68" s="128">
        <f>+VLOOKUP($B68,'INT Web'!$B$5:$U$247,'INT Web'!U$1,FALSE)</f>
        <v>24.99</v>
      </c>
      <c r="K68" t="str">
        <f>IF(VLOOKUP($B68,[5]Samsung!$B$3:$I$123,[5]Samsung!$F$1,FALSE)=F68,"same", "PRICE CHANGE")</f>
        <v>same</v>
      </c>
      <c r="L68" t="str">
        <f>IF(VLOOKUP($B68,[5]Samsung!$B$3:$I$123,[5]Samsung!$G$1,FALSE)=G68,"same", "PRICE CHANGE")</f>
        <v>same</v>
      </c>
      <c r="M68" t="str">
        <f>IF(VLOOKUP($B68,[5]Samsung!$B$3:$I$123,[5]Samsung!$H$1,FALSE)=H68,"same", "PRICE CHANGE")</f>
        <v>same</v>
      </c>
      <c r="N68" t="str">
        <f>IF(VLOOKUP($B68,[5]Samsung!$B$3:$I$123,[5]Samsung!$I$1,FALSE)=I68,"same", "PRICE CHANGE")</f>
        <v>same</v>
      </c>
    </row>
    <row r="69" spans="2:14">
      <c r="B69" t="s">
        <v>277</v>
      </c>
      <c r="C69" s="31" t="str">
        <f>+VLOOKUP(B69,'Country &amp; Code Abbreviation'!$B$3:$C$245,2,FALSE)</f>
        <v>LK</v>
      </c>
      <c r="D69" s="31" t="str">
        <f>+VLOOKUP(B69,'INT Web'!$B$5:$Q$248,16,FALSE)</f>
        <v>LKR</v>
      </c>
      <c r="E69" s="32" t="s">
        <v>346</v>
      </c>
      <c r="F69" s="128">
        <f>+VLOOKUP($B69,Apple!$B$3:$I$176,Apple!F$1,FALSE)</f>
        <v>49.99</v>
      </c>
      <c r="G69" s="128">
        <f>+VLOOKUP($B69,Apple!$B$3:$I$176,Apple!G$1,FALSE)</f>
        <v>7.99</v>
      </c>
      <c r="H69" s="128">
        <f>+VLOOKUP($B69,Apple!$B$3:$I$176,Apple!H$1,FALSE)</f>
        <v>37.99</v>
      </c>
      <c r="I69" s="128">
        <f>+VLOOKUP($B69,Apple!$B$3:$I$176,Apple!I$1,FALSE)</f>
        <v>5.99</v>
      </c>
      <c r="K69" t="str">
        <f>IF(VLOOKUP($B69,[5]Samsung!$B$3:$I$123,[5]Samsung!$F$1,FALSE)=F69,"same", "PRICE CHANGE")</f>
        <v>same</v>
      </c>
      <c r="L69" t="str">
        <f>IF(VLOOKUP($B69,[5]Samsung!$B$3:$I$123,[5]Samsung!$G$1,FALSE)=G69,"same", "PRICE CHANGE")</f>
        <v>same</v>
      </c>
      <c r="M69" t="str">
        <f>IF(VLOOKUP($B69,[5]Samsung!$B$3:$I$123,[5]Samsung!$H$1,FALSE)=H69,"same", "PRICE CHANGE")</f>
        <v>same</v>
      </c>
      <c r="N69" t="str">
        <f>IF(VLOOKUP($B69,[5]Samsung!$B$3:$I$123,[5]Samsung!$I$1,FALSE)=I69,"same", "PRICE CHANGE")</f>
        <v>same</v>
      </c>
    </row>
    <row r="70" spans="2:14">
      <c r="B70" t="s">
        <v>198</v>
      </c>
      <c r="C70" s="31" t="str">
        <f>+VLOOKUP(B70,'Country &amp; Code Abbreviation'!$B$3:$C$245,2,FALSE)</f>
        <v>LT</v>
      </c>
      <c r="D70" s="31" t="str">
        <f>+VLOOKUP(B70,'INT Web'!$B$5:$Q$248,16,FALSE)</f>
        <v>EUR</v>
      </c>
      <c r="E70" s="32" t="s">
        <v>368</v>
      </c>
      <c r="F70" s="128">
        <f>+VLOOKUP($B70,'INT Web'!$B$5:$U$247,'INT Web'!R$1,FALSE)</f>
        <v>94.99</v>
      </c>
      <c r="G70" s="128">
        <f>+VLOOKUP($B70,'INT Web'!$B$5:$U$247,'INT Web'!S$1,FALSE)</f>
        <v>14.99</v>
      </c>
      <c r="H70" s="128">
        <f>+VLOOKUP($B70,'INT Web'!$B$5:$U$247,'INT Web'!T$1,FALSE)</f>
        <v>69.989999999999995</v>
      </c>
      <c r="I70" s="128">
        <f>+VLOOKUP($B70,'INT Web'!$B$5:$U$247,'INT Web'!U$1,FALSE)</f>
        <v>10.99</v>
      </c>
      <c r="K70" t="str">
        <f>IF(VLOOKUP($B70,[5]Samsung!$B$3:$I$123,[5]Samsung!$F$1,FALSE)=F70,"same", "PRICE CHANGE")</f>
        <v>same</v>
      </c>
      <c r="L70" t="str">
        <f>IF(VLOOKUP($B70,[5]Samsung!$B$3:$I$123,[5]Samsung!$G$1,FALSE)=G70,"same", "PRICE CHANGE")</f>
        <v>same</v>
      </c>
      <c r="M70" t="str">
        <f>IF(VLOOKUP($B70,[5]Samsung!$B$3:$I$123,[5]Samsung!$H$1,FALSE)=H70,"same", "PRICE CHANGE")</f>
        <v>same</v>
      </c>
      <c r="N70" t="str">
        <f>IF(VLOOKUP($B70,[5]Samsung!$B$3:$I$123,[5]Samsung!$I$1,FALSE)=I70,"same", "PRICE CHANGE")</f>
        <v>same</v>
      </c>
    </row>
    <row r="71" spans="2:14">
      <c r="B71" t="s">
        <v>199</v>
      </c>
      <c r="C71" s="31" t="str">
        <f>+VLOOKUP(B71,'Country &amp; Code Abbreviation'!$B$3:$C$245,2,FALSE)</f>
        <v>LU</v>
      </c>
      <c r="D71" s="31" t="str">
        <f>+VLOOKUP(B71,'INT Web'!$B$5:$Q$248,16,FALSE)</f>
        <v>EUR</v>
      </c>
      <c r="E71" s="32" t="s">
        <v>368</v>
      </c>
      <c r="F71" s="128">
        <f>+VLOOKUP($B71,'INT Web'!$B$5:$U$247,'INT Web'!R$1,FALSE)</f>
        <v>194.99</v>
      </c>
      <c r="G71" s="128">
        <f>+VLOOKUP($B71,'INT Web'!$B$5:$U$247,'INT Web'!S$1,FALSE)</f>
        <v>28.99</v>
      </c>
      <c r="H71" s="128">
        <f>+VLOOKUP($B71,'INT Web'!$B$5:$U$247,'INT Web'!T$1,FALSE)</f>
        <v>149.99</v>
      </c>
      <c r="I71" s="128">
        <f>+VLOOKUP($B71,'INT Web'!$B$5:$U$247,'INT Web'!U$1,FALSE)</f>
        <v>21.99</v>
      </c>
      <c r="K71" t="str">
        <f>IF(VLOOKUP($B71,[5]Samsung!$B$3:$I$123,[5]Samsung!$F$1,FALSE)=F71,"same", "PRICE CHANGE")</f>
        <v>same</v>
      </c>
      <c r="L71" t="str">
        <f>IF(VLOOKUP($B71,[5]Samsung!$B$3:$I$123,[5]Samsung!$G$1,FALSE)=G71,"same", "PRICE CHANGE")</f>
        <v>same</v>
      </c>
      <c r="M71" t="str">
        <f>IF(VLOOKUP($B71,[5]Samsung!$B$3:$I$123,[5]Samsung!$H$1,FALSE)=H71,"same", "PRICE CHANGE")</f>
        <v>same</v>
      </c>
      <c r="N71" t="str">
        <f>IF(VLOOKUP($B71,[5]Samsung!$B$3:$I$123,[5]Samsung!$I$1,FALSE)=I71,"same", "PRICE CHANGE")</f>
        <v>same</v>
      </c>
    </row>
    <row r="72" spans="2:14">
      <c r="B72" t="s">
        <v>192</v>
      </c>
      <c r="C72" s="31" t="str">
        <f>+VLOOKUP(B72,'Country &amp; Code Abbreviation'!$B$3:$C$245,2,FALSE)</f>
        <v>LV</v>
      </c>
      <c r="D72" s="31" t="str">
        <f>+VLOOKUP(B72,'INT Web'!$B$5:$Q$248,16,FALSE)</f>
        <v>EUR</v>
      </c>
      <c r="E72" s="32" t="s">
        <v>368</v>
      </c>
      <c r="F72" s="128">
        <f>+VLOOKUP($B72,'INT Web'!$B$5:$U$247,'INT Web'!R$1,FALSE)</f>
        <v>91.99</v>
      </c>
      <c r="G72" s="128">
        <f>+VLOOKUP($B72,'INT Web'!$B$5:$U$247,'INT Web'!S$1,FALSE)</f>
        <v>14.99</v>
      </c>
      <c r="H72" s="128">
        <f>+VLOOKUP($B72,'INT Web'!$B$5:$U$247,'INT Web'!T$1,FALSE)</f>
        <v>67.989999999999995</v>
      </c>
      <c r="I72" s="128">
        <f>+VLOOKUP($B72,'INT Web'!$B$5:$U$247,'INT Web'!U$1,FALSE)</f>
        <v>10.99</v>
      </c>
      <c r="K72" t="str">
        <f>IF(VLOOKUP($B72,[5]Samsung!$B$3:$I$123,[5]Samsung!$F$1,FALSE)=F72,"same", "PRICE CHANGE")</f>
        <v>same</v>
      </c>
      <c r="L72" t="str">
        <f>IF(VLOOKUP($B72,[5]Samsung!$B$3:$I$123,[5]Samsung!$G$1,FALSE)=G72,"same", "PRICE CHANGE")</f>
        <v>same</v>
      </c>
      <c r="M72" t="str">
        <f>IF(VLOOKUP($B72,[5]Samsung!$B$3:$I$123,[5]Samsung!$H$1,FALSE)=H72,"same", "PRICE CHANGE")</f>
        <v>same</v>
      </c>
      <c r="N72" t="str">
        <f>IF(VLOOKUP($B72,[5]Samsung!$B$3:$I$123,[5]Samsung!$I$1,FALSE)=I72,"same", "PRICE CHANGE")</f>
        <v>same</v>
      </c>
    </row>
    <row r="73" spans="2:14">
      <c r="B73" s="36" t="s">
        <v>196</v>
      </c>
      <c r="C73" s="37" t="str">
        <f>+VLOOKUP(B73,'Country &amp; Code Abbreviation'!$B$3:$C$245,2,FALSE)</f>
        <v>LY</v>
      </c>
      <c r="D73" s="37" t="str">
        <f>+VLOOKUP(B73,'INT Web'!$B$5:$Q$248,16,FALSE)</f>
        <v>USD</v>
      </c>
      <c r="E73" s="38" t="s">
        <v>439</v>
      </c>
      <c r="F73" s="40">
        <v>429.99</v>
      </c>
      <c r="G73" s="223">
        <v>74.989999999999995</v>
      </c>
      <c r="H73" s="40">
        <v>319.99</v>
      </c>
      <c r="I73" s="40">
        <v>54.99</v>
      </c>
      <c r="K73" t="str">
        <f>IF(VLOOKUP($B73,[5]Samsung!$B$3:$I$123,[5]Samsung!$F$1,FALSE)=F73,"same", "PRICE CHANGE")</f>
        <v>same</v>
      </c>
      <c r="L73" t="str">
        <f>IF(VLOOKUP($B73,[5]Samsung!$B$3:$I$123,[5]Samsung!$G$1,FALSE)=G73,"same", "PRICE CHANGE")</f>
        <v>same</v>
      </c>
      <c r="M73" t="str">
        <f>IF(VLOOKUP($B73,[5]Samsung!$B$3:$I$123,[5]Samsung!$H$1,FALSE)=H73,"same", "PRICE CHANGE")</f>
        <v>same</v>
      </c>
      <c r="N73" t="str">
        <f>IF(VLOOKUP($B73,[5]Samsung!$B$3:$I$123,[5]Samsung!$I$1,FALSE)=I73,"same", "PRICE CHANGE")</f>
        <v>same</v>
      </c>
    </row>
    <row r="74" spans="2:14">
      <c r="B74" t="s">
        <v>220</v>
      </c>
      <c r="C74" s="31" t="str">
        <f>+VLOOKUP(B74,'Country &amp; Code Abbreviation'!$B$3:$C$245,2,FALSE)</f>
        <v>MA</v>
      </c>
      <c r="D74" s="31" t="str">
        <f>+VLOOKUP(B74,'INT Web'!$B$5:$Q$248,16,FALSE)</f>
        <v>MAD</v>
      </c>
      <c r="E74" s="32" t="s">
        <v>425</v>
      </c>
      <c r="F74" s="129">
        <f>+VLOOKUP($B74,'INT Web'!$B$5:$U$247,'INT Web'!R$1,FALSE)</f>
        <v>720</v>
      </c>
      <c r="G74" s="129">
        <f>+VLOOKUP($B74,'INT Web'!$B$5:$U$247,'INT Web'!S$1,FALSE)</f>
        <v>120</v>
      </c>
      <c r="H74" s="129">
        <f>+VLOOKUP($B74,'INT Web'!$B$5:$U$247,'INT Web'!T$1,FALSE)</f>
        <v>540</v>
      </c>
      <c r="I74" s="129">
        <f>+VLOOKUP($B74,'INT Web'!$B$5:$U$247,'INT Web'!U$1,FALSE)</f>
        <v>90</v>
      </c>
      <c r="K74" t="str">
        <f>IF(VLOOKUP($B74,[5]Samsung!$B$3:$I$123,[5]Samsung!$F$1,FALSE)=F74,"same", "PRICE CHANGE")</f>
        <v>same</v>
      </c>
      <c r="L74" t="str">
        <f>IF(VLOOKUP($B74,[5]Samsung!$B$3:$I$123,[5]Samsung!$G$1,FALSE)=G74,"same", "PRICE CHANGE")</f>
        <v>same</v>
      </c>
      <c r="M74" t="str">
        <f>IF(VLOOKUP($B74,[5]Samsung!$B$3:$I$123,[5]Samsung!$H$1,FALSE)=H74,"same", "PRICE CHANGE")</f>
        <v>same</v>
      </c>
      <c r="N74" t="str">
        <f>IF(VLOOKUP($B74,[5]Samsung!$B$3:$I$123,[5]Samsung!$I$1,FALSE)=I74,"same", "PRICE CHANGE")</f>
        <v>same</v>
      </c>
    </row>
    <row r="75" spans="2:14">
      <c r="B75" t="s">
        <v>215</v>
      </c>
      <c r="C75" s="31" t="str">
        <f>+VLOOKUP(B75,'Country &amp; Code Abbreviation'!$B$3:$C$245,2,FALSE)</f>
        <v>MD</v>
      </c>
      <c r="D75" s="31" t="str">
        <f>+VLOOKUP(B75,'INT Web'!$B$5:$Q$248,16,FALSE)</f>
        <v>MDL</v>
      </c>
      <c r="E75" s="32" t="s">
        <v>346</v>
      </c>
      <c r="F75" s="128">
        <f>+VLOOKUP($B75,Apple!$B$3:$I$176,Apple!F$1,FALSE)</f>
        <v>84.99</v>
      </c>
      <c r="G75" s="128">
        <f>+VLOOKUP($B75,Apple!$B$3:$I$176,Apple!G$1,FALSE)</f>
        <v>13.99</v>
      </c>
      <c r="H75" s="128">
        <f>+VLOOKUP($B75,Apple!$B$3:$I$176,Apple!H$1,FALSE)</f>
        <v>62.99</v>
      </c>
      <c r="I75" s="128">
        <f>+VLOOKUP($B75,Apple!$B$3:$I$176,Apple!I$1,FALSE)</f>
        <v>9.99</v>
      </c>
      <c r="K75" t="str">
        <f>IF(VLOOKUP($B75,[5]Samsung!$B$3:$I$123,[5]Samsung!$F$1,FALSE)=F75,"same", "PRICE CHANGE")</f>
        <v>same</v>
      </c>
      <c r="L75" t="str">
        <f>IF(VLOOKUP($B75,[5]Samsung!$B$3:$I$123,[5]Samsung!$G$1,FALSE)=G75,"same", "PRICE CHANGE")</f>
        <v>same</v>
      </c>
      <c r="M75" t="str">
        <f>IF(VLOOKUP($B75,[5]Samsung!$B$3:$I$123,[5]Samsung!$H$1,FALSE)=H75,"same", "PRICE CHANGE")</f>
        <v>same</v>
      </c>
      <c r="N75" t="str">
        <f>IF(VLOOKUP($B75,[5]Samsung!$B$3:$I$123,[5]Samsung!$I$1,FALSE)=I75,"same", "PRICE CHANGE")</f>
        <v>same</v>
      </c>
    </row>
    <row r="76" spans="2:14">
      <c r="B76" s="36" t="s">
        <v>218</v>
      </c>
      <c r="C76" s="37" t="str">
        <f>+VLOOKUP(B76,'Country &amp; Code Abbreviation'!$B$3:$C$245,2,FALSE)</f>
        <v>ME</v>
      </c>
      <c r="D76" s="37" t="str">
        <f>+VLOOKUP(B76,'INT Web'!$B$5:$Q$248,16,FALSE)</f>
        <v>EUR</v>
      </c>
      <c r="E76" s="38" t="s">
        <v>346</v>
      </c>
      <c r="F76" s="223">
        <v>93.99</v>
      </c>
      <c r="G76" s="40">
        <f>+MROUND(VLOOKUP($B76,'INT Web'!$B$5:$AO$247,'INT Web'!S$1,FALSE)*'FX Rates'!$F$14,1)-0.01</f>
        <v>14.99</v>
      </c>
      <c r="H76" s="223">
        <v>70.989999999999995</v>
      </c>
      <c r="I76" s="223">
        <v>11.99</v>
      </c>
      <c r="K76" t="str">
        <f>IF(VLOOKUP($B76,[5]Samsung!$B$3:$I$123,[5]Samsung!$F$1,FALSE)=F76,"same", "PRICE CHANGE")</f>
        <v>same</v>
      </c>
      <c r="L76" t="str">
        <f>IF(VLOOKUP($B76,[5]Samsung!$B$3:$I$123,[5]Samsung!$G$1,FALSE)=G76,"same", "PRICE CHANGE")</f>
        <v>same</v>
      </c>
      <c r="M76" t="str">
        <f>IF(VLOOKUP($B76,[5]Samsung!$B$3:$I$123,[5]Samsung!$H$1,FALSE)=H76,"same", "PRICE CHANGE")</f>
        <v>same</v>
      </c>
      <c r="N76" t="str">
        <f>IF(VLOOKUP($B76,[5]Samsung!$B$3:$I$123,[5]Samsung!$I$1,FALSE)=I76,"same", "PRICE CHANGE")</f>
        <v>same</v>
      </c>
    </row>
    <row r="77" spans="2:14">
      <c r="B77" t="s">
        <v>201</v>
      </c>
      <c r="C77" s="31" t="str">
        <f>+VLOOKUP(B77,'Country &amp; Code Abbreviation'!$B$3:$C$245,2,FALSE)</f>
        <v>MK</v>
      </c>
      <c r="D77" s="31" t="str">
        <f>+VLOOKUP(B77,'INT Web'!$B$5:$Q$248,16,FALSE)</f>
        <v>MKD</v>
      </c>
      <c r="E77" s="32" t="s">
        <v>346</v>
      </c>
      <c r="F77" s="128">
        <f>+VLOOKUP($B77,Apple!$B$3:$I$176,Apple!F$1,FALSE)</f>
        <v>96.99</v>
      </c>
      <c r="G77" s="128">
        <f>+VLOOKUP($B77,Apple!$B$3:$I$176,Apple!G$1,FALSE)</f>
        <v>15.99</v>
      </c>
      <c r="H77" s="128">
        <f>+VLOOKUP($B77,Apple!$B$3:$I$176,Apple!H$1,FALSE)</f>
        <v>69.989999999999995</v>
      </c>
      <c r="I77" s="128">
        <f>+VLOOKUP($B77,Apple!$B$3:$I$176,Apple!I$1,FALSE)</f>
        <v>10.99</v>
      </c>
      <c r="K77" t="str">
        <f>IF(VLOOKUP($B77,[5]Samsung!$B$3:$I$123,[5]Samsung!$F$1,FALSE)=F77,"same", "PRICE CHANGE")</f>
        <v>same</v>
      </c>
      <c r="L77" t="str">
        <f>IF(VLOOKUP($B77,[5]Samsung!$B$3:$I$123,[5]Samsung!$G$1,FALSE)=G77,"same", "PRICE CHANGE")</f>
        <v>same</v>
      </c>
      <c r="M77" t="str">
        <f>IF(VLOOKUP($B77,[5]Samsung!$B$3:$I$123,[5]Samsung!$H$1,FALSE)=H77,"same", "PRICE CHANGE")</f>
        <v>same</v>
      </c>
      <c r="N77" t="str">
        <f>IF(VLOOKUP($B77,[5]Samsung!$B$3:$I$123,[5]Samsung!$I$1,FALSE)=I77,"same", "PRICE CHANGE")</f>
        <v>same</v>
      </c>
    </row>
    <row r="78" spans="2:14">
      <c r="B78" t="s">
        <v>222</v>
      </c>
      <c r="C78" s="31" t="str">
        <f>+VLOOKUP(B78,'Country &amp; Code Abbreviation'!$B$3:$C$245,2,FALSE)</f>
        <v>MM</v>
      </c>
      <c r="D78" s="31" t="str">
        <f>+VLOOKUP(B78,'INT Web'!$B$5:$Q$248,16,FALSE)</f>
        <v>MMK</v>
      </c>
      <c r="E78" s="32" t="s">
        <v>346</v>
      </c>
      <c r="F78" s="128">
        <f>+VLOOKUP($B78,Apple!$B$3:$I$176,Apple!F$1,FALSE)</f>
        <v>64.989999999999995</v>
      </c>
      <c r="G78" s="128">
        <f>+VLOOKUP($B78,Apple!$B$3:$I$176,Apple!G$1,FALSE)</f>
        <v>10.99</v>
      </c>
      <c r="H78" s="128">
        <f>+VLOOKUP($B78,Apple!$B$3:$I$176,Apple!H$1,FALSE)</f>
        <v>49.99</v>
      </c>
      <c r="I78" s="128">
        <f>+VLOOKUP($B78,Apple!$B$3:$I$176,Apple!I$1,FALSE)</f>
        <v>7.99</v>
      </c>
      <c r="K78" t="str">
        <f>IF(VLOOKUP($B78,[5]Samsung!$B$3:$I$123,[5]Samsung!$F$1,FALSE)=F78,"same", "PRICE CHANGE")</f>
        <v>same</v>
      </c>
      <c r="L78" t="str">
        <f>IF(VLOOKUP($B78,[5]Samsung!$B$3:$I$123,[5]Samsung!$G$1,FALSE)=G78,"same", "PRICE CHANGE")</f>
        <v>same</v>
      </c>
      <c r="M78" t="str">
        <f>IF(VLOOKUP($B78,[5]Samsung!$B$3:$I$123,[5]Samsung!$H$1,FALSE)=H78,"same", "PRICE CHANGE")</f>
        <v>same</v>
      </c>
      <c r="N78" t="str">
        <f>IF(VLOOKUP($B78,[5]Samsung!$B$3:$I$123,[5]Samsung!$I$1,FALSE)=I78,"same", "PRICE CHANGE")</f>
        <v>same</v>
      </c>
    </row>
    <row r="79" spans="2:14">
      <c r="B79" t="s">
        <v>217</v>
      </c>
      <c r="C79" s="31" t="str">
        <f>+VLOOKUP(B79,'Country &amp; Code Abbreviation'!$B$3:$C$245,2,FALSE)</f>
        <v>MN</v>
      </c>
      <c r="D79" s="31" t="str">
        <f>+VLOOKUP(B79,'INT Web'!$B$5:$Q$248,16,FALSE)</f>
        <v>MNT</v>
      </c>
      <c r="E79" s="32" t="s">
        <v>346</v>
      </c>
      <c r="F79" s="128">
        <f>+VLOOKUP($B79,Apple!$B$3:$I$176,Apple!F$1,FALSE)</f>
        <v>74.989999999999995</v>
      </c>
      <c r="G79" s="128">
        <f>+VLOOKUP($B79,Apple!$B$3:$I$176,Apple!G$1,FALSE)</f>
        <v>11.99</v>
      </c>
      <c r="H79" s="128">
        <f>+VLOOKUP($B79,Apple!$B$3:$I$176,Apple!H$1,FALSE)</f>
        <v>54.99</v>
      </c>
      <c r="I79" s="128">
        <f>+VLOOKUP($B79,Apple!$B$3:$I$176,Apple!I$1,FALSE)</f>
        <v>8.99</v>
      </c>
      <c r="K79" t="str">
        <f>IF(VLOOKUP($B79,[5]Samsung!$B$3:$I$123,[5]Samsung!$F$1,FALSE)=F79,"same", "PRICE CHANGE")</f>
        <v>same</v>
      </c>
      <c r="L79" t="str">
        <f>IF(VLOOKUP($B79,[5]Samsung!$B$3:$I$123,[5]Samsung!$G$1,FALSE)=G79,"same", "PRICE CHANGE")</f>
        <v>same</v>
      </c>
      <c r="M79" t="str">
        <f>IF(VLOOKUP($B79,[5]Samsung!$B$3:$I$123,[5]Samsung!$H$1,FALSE)=H79,"same", "PRICE CHANGE")</f>
        <v>same</v>
      </c>
      <c r="N79" t="str">
        <f>IF(VLOOKUP($B79,[5]Samsung!$B$3:$I$123,[5]Samsung!$I$1,FALSE)=I79,"same", "PRICE CHANGE")</f>
        <v>same</v>
      </c>
    </row>
    <row r="80" spans="2:14">
      <c r="B80" t="s">
        <v>200</v>
      </c>
      <c r="C80" s="31" t="str">
        <f>+VLOOKUP(B80,'Country &amp; Code Abbreviation'!$B$3:$C$245,2,FALSE)</f>
        <v>MO</v>
      </c>
      <c r="D80" s="31" t="str">
        <f>+VLOOKUP(B80,'INT Web'!$B$5:$Q$248,16,FALSE)</f>
        <v>MOP</v>
      </c>
      <c r="E80" s="32" t="s">
        <v>346</v>
      </c>
      <c r="F80" s="128">
        <f>+VLOOKUP($B80,Apple!$B$3:$I$176,Apple!F$1,FALSE)</f>
        <v>107.99</v>
      </c>
      <c r="G80" s="128">
        <f>+VLOOKUP($B80,Apple!$B$3:$I$176,Apple!G$1,FALSE)</f>
        <v>15.99</v>
      </c>
      <c r="H80" s="128">
        <f>+VLOOKUP($B80,Apple!$B$3:$I$176,Apple!H$1,FALSE)</f>
        <v>77.989999999999995</v>
      </c>
      <c r="I80" s="128">
        <f>+VLOOKUP($B80,Apple!$B$3:$I$176,Apple!I$1,FALSE)</f>
        <v>10.99</v>
      </c>
      <c r="K80" t="str">
        <f>IF(VLOOKUP($B80,[5]Samsung!$B$3:$I$123,[5]Samsung!$F$1,FALSE)=F80,"same", "PRICE CHANGE")</f>
        <v>same</v>
      </c>
      <c r="L80" t="str">
        <f>IF(VLOOKUP($B80,[5]Samsung!$B$3:$I$123,[5]Samsung!$G$1,FALSE)=G80,"same", "PRICE CHANGE")</f>
        <v>same</v>
      </c>
      <c r="M80" t="str">
        <f>IF(VLOOKUP($B80,[5]Samsung!$B$3:$I$123,[5]Samsung!$H$1,FALSE)=H80,"same", "PRICE CHANGE")</f>
        <v>same</v>
      </c>
      <c r="N80" t="str">
        <f>IF(VLOOKUP($B80,[5]Samsung!$B$3:$I$123,[5]Samsung!$I$1,FALSE)=I80,"same", "PRICE CHANGE")</f>
        <v>same</v>
      </c>
    </row>
    <row r="81" spans="2:14">
      <c r="B81" t="s">
        <v>207</v>
      </c>
      <c r="C81" s="31" t="str">
        <f>+VLOOKUP(B81,'Country &amp; Code Abbreviation'!$B$3:$C$245,2,FALSE)</f>
        <v>MT</v>
      </c>
      <c r="D81" s="31" t="str">
        <f>+VLOOKUP(B81,'INT Web'!$B$5:$Q$248,16,FALSE)</f>
        <v>EUR</v>
      </c>
      <c r="E81" s="32" t="s">
        <v>368</v>
      </c>
      <c r="F81" s="128">
        <f>+VLOOKUP($B81,'INT Web'!$B$5:$U$247,'INT Web'!R$1,FALSE)</f>
        <v>129.99</v>
      </c>
      <c r="G81" s="128">
        <f>+VLOOKUP($B81,'INT Web'!$B$5:$U$247,'INT Web'!S$1,FALSE)</f>
        <v>21.99</v>
      </c>
      <c r="H81" s="128">
        <f>+VLOOKUP($B81,'INT Web'!$B$5:$U$247,'INT Web'!T$1,FALSE)</f>
        <v>99.99</v>
      </c>
      <c r="I81" s="128">
        <f>+VLOOKUP($B81,'INT Web'!$B$5:$U$247,'INT Web'!U$1,FALSE)</f>
        <v>16.989999999999998</v>
      </c>
      <c r="K81" t="str">
        <f>IF(VLOOKUP($B81,[5]Samsung!$B$3:$I$123,[5]Samsung!$F$1,FALSE)=F81,"same", "PRICE CHANGE")</f>
        <v>same</v>
      </c>
      <c r="L81" t="str">
        <f>IF(VLOOKUP($B81,[5]Samsung!$B$3:$I$123,[5]Samsung!$G$1,FALSE)=G81,"same", "PRICE CHANGE")</f>
        <v>same</v>
      </c>
      <c r="M81" t="str">
        <f>IF(VLOOKUP($B81,[5]Samsung!$B$3:$I$123,[5]Samsung!$H$1,FALSE)=H81,"same", "PRICE CHANGE")</f>
        <v>same</v>
      </c>
      <c r="N81" t="str">
        <f>IF(VLOOKUP($B81,[5]Samsung!$B$3:$I$123,[5]Samsung!$I$1,FALSE)=I81,"same", "PRICE CHANGE")</f>
        <v>same</v>
      </c>
    </row>
    <row r="82" spans="2:14">
      <c r="B82" t="s">
        <v>211</v>
      </c>
      <c r="C82" s="31" t="str">
        <f>+VLOOKUP(B82,'Country &amp; Code Abbreviation'!$B$3:$C$245,2,FALSE)</f>
        <v>MU</v>
      </c>
      <c r="D82" s="31" t="str">
        <f>+VLOOKUP(B82,'INT Web'!$B$5:$Q$248,16,FALSE)</f>
        <v>MUR</v>
      </c>
      <c r="E82" s="32" t="s">
        <v>346</v>
      </c>
      <c r="F82" s="128">
        <f>+VLOOKUP($B82,Apple!$B$3:$I$176,Apple!F$1,FALSE)</f>
        <v>59.99</v>
      </c>
      <c r="G82" s="128">
        <f>+VLOOKUP($B82,Apple!$B$3:$I$176,Apple!G$1,FALSE)</f>
        <v>9.99</v>
      </c>
      <c r="H82" s="128">
        <f>+VLOOKUP($B82,Apple!$B$3:$I$176,Apple!H$1,FALSE)</f>
        <v>43.99</v>
      </c>
      <c r="I82" s="128">
        <f>+VLOOKUP($B82,Apple!$B$3:$I$176,Apple!I$1,FALSE)</f>
        <v>6.99</v>
      </c>
      <c r="K82" t="str">
        <f>IF(VLOOKUP($B82,[5]Samsung!$B$3:$I$123,[5]Samsung!$F$1,FALSE)=F82,"same", "PRICE CHANGE")</f>
        <v>same</v>
      </c>
      <c r="L82" t="str">
        <f>IF(VLOOKUP($B82,[5]Samsung!$B$3:$I$123,[5]Samsung!$G$1,FALSE)=G82,"same", "PRICE CHANGE")</f>
        <v>same</v>
      </c>
      <c r="M82" t="str">
        <f>IF(VLOOKUP($B82,[5]Samsung!$B$3:$I$123,[5]Samsung!$H$1,FALSE)=H82,"same", "PRICE CHANGE")</f>
        <v>same</v>
      </c>
      <c r="N82" t="str">
        <f>IF(VLOOKUP($B82,[5]Samsung!$B$3:$I$123,[5]Samsung!$I$1,FALSE)=I82,"same", "PRICE CHANGE")</f>
        <v>same</v>
      </c>
    </row>
    <row r="83" spans="2:14">
      <c r="B83" t="s">
        <v>213</v>
      </c>
      <c r="C83" s="31" t="str">
        <f>+VLOOKUP(B83,'Country &amp; Code Abbreviation'!$B$3:$C$245,2,FALSE)</f>
        <v>MX</v>
      </c>
      <c r="D83" s="31" t="str">
        <f>+VLOOKUP(B83,'INT Web'!$B$5:$Q$248,16,FALSE)</f>
        <v>MXN</v>
      </c>
      <c r="E83" s="32" t="s">
        <v>384</v>
      </c>
      <c r="F83" s="129">
        <f>+VLOOKUP($B83,'INT Web'!$B$5:$U$247,'INT Web'!R$1,FALSE)</f>
        <v>1990</v>
      </c>
      <c r="G83" s="129">
        <f>+VLOOKUP($B83,'INT Web'!$B$5:$U$247,'INT Web'!S$1,FALSE)</f>
        <v>290</v>
      </c>
      <c r="H83" s="129">
        <f>+VLOOKUP($B83,'INT Web'!$B$5:$U$247,'INT Web'!T$1,FALSE)</f>
        <v>1470</v>
      </c>
      <c r="I83" s="129">
        <f>+VLOOKUP($B83,'INT Web'!$B$5:$U$247,'INT Web'!U$1,FALSE)</f>
        <v>210</v>
      </c>
      <c r="K83" t="str">
        <f>IF(VLOOKUP($B83,[5]Samsung!$B$3:$I$123,[5]Samsung!$F$1,FALSE)=F83,"same", "PRICE CHANGE")</f>
        <v>same</v>
      </c>
      <c r="L83" t="str">
        <f>IF(VLOOKUP($B83,[5]Samsung!$B$3:$I$123,[5]Samsung!$G$1,FALSE)=G83,"same", "PRICE CHANGE")</f>
        <v>same</v>
      </c>
      <c r="M83" t="str">
        <f>IF(VLOOKUP($B83,[5]Samsung!$B$3:$I$123,[5]Samsung!$H$1,FALSE)=H83,"same", "PRICE CHANGE")</f>
        <v>same</v>
      </c>
      <c r="N83" t="str">
        <f>IF(VLOOKUP($B83,[5]Samsung!$B$3:$I$123,[5]Samsung!$I$1,FALSE)=I83,"same", "PRICE CHANGE")</f>
        <v>same</v>
      </c>
    </row>
    <row r="84" spans="2:14">
      <c r="B84" t="s">
        <v>204</v>
      </c>
      <c r="C84" s="31" t="str">
        <f>+VLOOKUP(B84,'Country &amp; Code Abbreviation'!$B$3:$C$245,2,FALSE)</f>
        <v>MY</v>
      </c>
      <c r="D84" s="31" t="str">
        <f>+VLOOKUP(B84,'INT Web'!$B$5:$Q$248,16,FALSE)</f>
        <v>MYR</v>
      </c>
      <c r="E84" s="32" t="s">
        <v>383</v>
      </c>
      <c r="F84" s="128">
        <f>+VLOOKUP($B84,'INT Web'!$B$5:$U$247,'INT Web'!R$1,FALSE)</f>
        <v>389.99</v>
      </c>
      <c r="G84" s="128">
        <f>+VLOOKUP($B84,'INT Web'!$B$5:$U$247,'INT Web'!S$1,FALSE)</f>
        <v>64.989999999999995</v>
      </c>
      <c r="H84" s="128">
        <f>+VLOOKUP($B84,'INT Web'!$B$5:$U$247,'INT Web'!T$1,FALSE)</f>
        <v>319.99</v>
      </c>
      <c r="I84" s="128">
        <f>+VLOOKUP($B84,'INT Web'!$B$5:$U$247,'INT Web'!U$1,FALSE)</f>
        <v>45.99</v>
      </c>
      <c r="K84" t="str">
        <f>IF(VLOOKUP($B84,[5]Samsung!$B$3:$I$123,[5]Samsung!$F$1,FALSE)=F84,"same", "PRICE CHANGE")</f>
        <v>same</v>
      </c>
      <c r="L84" t="str">
        <f>IF(VLOOKUP($B84,[5]Samsung!$B$3:$I$123,[5]Samsung!$G$1,FALSE)=G84,"same", "PRICE CHANGE")</f>
        <v>same</v>
      </c>
      <c r="M84" t="str">
        <f>IF(VLOOKUP($B84,[5]Samsung!$B$3:$I$123,[5]Samsung!$H$1,FALSE)=H84,"same", "PRICE CHANGE")</f>
        <v>same</v>
      </c>
      <c r="N84" t="str">
        <f>IF(VLOOKUP($B84,[5]Samsung!$B$3:$I$123,[5]Samsung!$I$1,FALSE)=I84,"same", "PRICE CHANGE")</f>
        <v>same</v>
      </c>
    </row>
    <row r="85" spans="2:14">
      <c r="B85" s="73" t="s">
        <v>232</v>
      </c>
      <c r="C85" s="110" t="str">
        <f>+VLOOKUP(B85,'Country &amp; Code Abbreviation'!$B$3:$C$245,2,FALSE)</f>
        <v>NG</v>
      </c>
      <c r="D85" s="31" t="str">
        <f>+VLOOKUP(B85,'INT Web'!$B$5:$Q$248,16,FALSE)</f>
        <v>NGN</v>
      </c>
      <c r="E85" s="32" t="s">
        <v>386</v>
      </c>
      <c r="F85" s="268">
        <f>+VLOOKUP($B85,'INT Web'!$B$5:$U$247,'INT Web'!R$1,FALSE)</f>
        <v>48800</v>
      </c>
      <c r="G85" s="268">
        <f>+VLOOKUP($B85,'INT Web'!$B$5:$U$247,'INT Web'!S$1,FALSE)</f>
        <v>8200</v>
      </c>
      <c r="H85" s="268">
        <f>+VLOOKUP($B85,'INT Web'!$B$5:$U$247,'INT Web'!T$1,FALSE)</f>
        <v>36300</v>
      </c>
      <c r="I85" s="268">
        <f>+VLOOKUP($B85,'INT Web'!$B$5:$U$247,'INT Web'!U$1,FALSE)</f>
        <v>6100</v>
      </c>
      <c r="K85" t="str">
        <f>IF(VLOOKUP($B85,[5]Samsung!$B$3:$I$123,[5]Samsung!$F$1,FALSE)=F85,"same", "PRICE CHANGE")</f>
        <v>PRICE CHANGE</v>
      </c>
      <c r="L85" t="str">
        <f>IF(VLOOKUP($B85,[5]Samsung!$B$3:$I$123,[5]Samsung!$G$1,FALSE)=G85,"same", "PRICE CHANGE")</f>
        <v>PRICE CHANGE</v>
      </c>
      <c r="M85" t="str">
        <f>IF(VLOOKUP($B85,[5]Samsung!$B$3:$I$123,[5]Samsung!$H$1,FALSE)=H85,"same", "PRICE CHANGE")</f>
        <v>PRICE CHANGE</v>
      </c>
      <c r="N85" t="str">
        <f>IF(VLOOKUP($B85,[5]Samsung!$B$3:$I$123,[5]Samsung!$I$1,FALSE)=I85,"same", "PRICE CHANGE")</f>
        <v>PRICE CHANGE</v>
      </c>
    </row>
    <row r="86" spans="2:14">
      <c r="B86" t="s">
        <v>230</v>
      </c>
      <c r="C86" s="31" t="str">
        <f>+VLOOKUP(B86,'Country &amp; Code Abbreviation'!$B$3:$C$245,2,FALSE)</f>
        <v>NI</v>
      </c>
      <c r="D86" s="31" t="str">
        <f>+VLOOKUP(B86,'INT Web'!$B$5:$Q$248,16,FALSE)</f>
        <v>NIO</v>
      </c>
      <c r="E86" s="32" t="s">
        <v>346</v>
      </c>
      <c r="F86" s="128">
        <f>+VLOOKUP($B86,Apple!$B$3:$I$176,Apple!F$1,FALSE)</f>
        <v>81.99</v>
      </c>
      <c r="G86" s="128">
        <f>+VLOOKUP($B86,Apple!$B$3:$I$176,Apple!G$1,FALSE)</f>
        <v>13.99</v>
      </c>
      <c r="H86" s="128">
        <f>+VLOOKUP($B86,Apple!$B$3:$I$176,Apple!H$1,FALSE)</f>
        <v>59.99</v>
      </c>
      <c r="I86" s="128">
        <f>+VLOOKUP($B86,Apple!$B$3:$I$176,Apple!I$1,FALSE)</f>
        <v>9.99</v>
      </c>
      <c r="K86" t="str">
        <f>IF(VLOOKUP($B86,[5]Samsung!$B$3:$I$123,[5]Samsung!$F$1,FALSE)=F86,"same", "PRICE CHANGE")</f>
        <v>same</v>
      </c>
      <c r="L86" t="str">
        <f>IF(VLOOKUP($B86,[5]Samsung!$B$3:$I$123,[5]Samsung!$G$1,FALSE)=G86,"same", "PRICE CHANGE")</f>
        <v>same</v>
      </c>
      <c r="M86" t="str">
        <f>IF(VLOOKUP($B86,[5]Samsung!$B$3:$I$123,[5]Samsung!$H$1,FALSE)=H86,"same", "PRICE CHANGE")</f>
        <v>same</v>
      </c>
      <c r="N86" t="str">
        <f>IF(VLOOKUP($B86,[5]Samsung!$B$3:$I$123,[5]Samsung!$I$1,FALSE)=I86,"same", "PRICE CHANGE")</f>
        <v>same</v>
      </c>
    </row>
    <row r="87" spans="2:14">
      <c r="B87" t="s">
        <v>226</v>
      </c>
      <c r="C87" s="31" t="str">
        <f>+VLOOKUP(B87,'Country &amp; Code Abbreviation'!$B$3:$C$245,2,FALSE)</f>
        <v>NL</v>
      </c>
      <c r="D87" s="31" t="str">
        <f>+VLOOKUP(B87,'INT Web'!$B$5:$Q$248,16,FALSE)</f>
        <v>EUR</v>
      </c>
      <c r="E87" s="32" t="s">
        <v>368</v>
      </c>
      <c r="F87" s="128">
        <f>+VLOOKUP($B87,'INT Web'!$B$5:$U$247,'INT Web'!R$1,FALSE)</f>
        <v>149.99</v>
      </c>
      <c r="G87" s="128">
        <f>+VLOOKUP($B87,'INT Web'!$B$5:$U$247,'INT Web'!S$1,FALSE)</f>
        <v>22.99</v>
      </c>
      <c r="H87" s="128">
        <f>+VLOOKUP($B87,'INT Web'!$B$5:$U$247,'INT Web'!T$1,FALSE)</f>
        <v>109.99</v>
      </c>
      <c r="I87" s="128">
        <f>+VLOOKUP($B87,'INT Web'!$B$5:$U$247,'INT Web'!U$1,FALSE)</f>
        <v>16.989999999999998</v>
      </c>
      <c r="K87" t="str">
        <f>IF(VLOOKUP($B87,[5]Samsung!$B$3:$I$123,[5]Samsung!$F$1,FALSE)=F87,"same", "PRICE CHANGE")</f>
        <v>same</v>
      </c>
      <c r="L87" t="str">
        <f>IF(VLOOKUP($B87,[5]Samsung!$B$3:$I$123,[5]Samsung!$G$1,FALSE)=G87,"same", "PRICE CHANGE")</f>
        <v>same</v>
      </c>
      <c r="M87" t="str">
        <f>IF(VLOOKUP($B87,[5]Samsung!$B$3:$I$123,[5]Samsung!$H$1,FALSE)=H87,"same", "PRICE CHANGE")</f>
        <v>same</v>
      </c>
      <c r="N87" t="str">
        <f>IF(VLOOKUP($B87,[5]Samsung!$B$3:$I$123,[5]Samsung!$I$1,FALSE)=I87,"same", "PRICE CHANGE")</f>
        <v>same</v>
      </c>
    </row>
    <row r="88" spans="2:14">
      <c r="B88" t="s">
        <v>237</v>
      </c>
      <c r="C88" s="31" t="str">
        <f>+VLOOKUP(B88,'Country &amp; Code Abbreviation'!$B$3:$C$245,2,FALSE)</f>
        <v>NO</v>
      </c>
      <c r="D88" s="31" t="str">
        <f>+VLOOKUP(B88,'INT Web'!$B$5:$Q$248,16,FALSE)</f>
        <v>NOK</v>
      </c>
      <c r="E88" s="32" t="s">
        <v>387</v>
      </c>
      <c r="F88" s="33">
        <f>+VLOOKUP($B88,'INT Web'!$B$5:$U$247,'INT Web'!R$1,FALSE)</f>
        <v>1399.99</v>
      </c>
      <c r="G88" s="33">
        <f>+VLOOKUP($B88,'INT Web'!$B$5:$U$247,'INT Web'!S$1,FALSE)</f>
        <v>209.99</v>
      </c>
      <c r="H88" s="33">
        <f>+VLOOKUP($B88,'INT Web'!$B$5:$U$247,'INT Web'!T$1,FALSE)</f>
        <v>999.99</v>
      </c>
      <c r="I88" s="33">
        <f>+VLOOKUP($B88,'INT Web'!$B$5:$U$247,'INT Web'!U$1,FALSE)</f>
        <v>149.99</v>
      </c>
      <c r="K88" t="str">
        <f>IF(VLOOKUP($B88,[5]Samsung!$B$3:$I$123,[5]Samsung!$F$1,FALSE)=F88,"same", "PRICE CHANGE")</f>
        <v>same</v>
      </c>
      <c r="L88" t="str">
        <f>IF(VLOOKUP($B88,[5]Samsung!$B$3:$I$123,[5]Samsung!$G$1,FALSE)=G88,"same", "PRICE CHANGE")</f>
        <v>same</v>
      </c>
      <c r="M88" t="str">
        <f>IF(VLOOKUP($B88,[5]Samsung!$B$3:$I$123,[5]Samsung!$H$1,FALSE)=H88,"same", "PRICE CHANGE")</f>
        <v>same</v>
      </c>
      <c r="N88" t="str">
        <f>IF(VLOOKUP($B88,[5]Samsung!$B$3:$I$123,[5]Samsung!$I$1,FALSE)=I88,"same", "PRICE CHANGE")</f>
        <v>same</v>
      </c>
    </row>
    <row r="89" spans="2:14">
      <c r="B89" t="s">
        <v>225</v>
      </c>
      <c r="C89" s="31" t="str">
        <f>+VLOOKUP(B89,'Country &amp; Code Abbreviation'!$B$3:$C$245,2,FALSE)</f>
        <v>NP</v>
      </c>
      <c r="D89" s="31" t="str">
        <f>+VLOOKUP(B89,'INT Web'!$B$5:$Q$248,16,FALSE)</f>
        <v>NPR</v>
      </c>
      <c r="E89" s="32" t="s">
        <v>346</v>
      </c>
      <c r="F89" s="128">
        <f>+VLOOKUP($B89,Apple!$B$3:$I$176,Apple!F$1,FALSE)</f>
        <v>78.989999999999995</v>
      </c>
      <c r="G89" s="128">
        <f>+VLOOKUP($B89,Apple!$B$3:$I$176,Apple!G$1,FALSE)</f>
        <v>12.99</v>
      </c>
      <c r="H89" s="128">
        <f>+VLOOKUP($B89,Apple!$B$3:$I$176,Apple!H$1,FALSE)</f>
        <v>57.99</v>
      </c>
      <c r="I89" s="128">
        <f>+VLOOKUP($B89,Apple!$B$3:$I$176,Apple!I$1,FALSE)</f>
        <v>8.99</v>
      </c>
      <c r="K89" t="str">
        <f>IF(VLOOKUP($B89,[5]Samsung!$B$3:$I$123,[5]Samsung!$F$1,FALSE)=F89,"same", "PRICE CHANGE")</f>
        <v>same</v>
      </c>
      <c r="L89" t="str">
        <f>IF(VLOOKUP($B89,[5]Samsung!$B$3:$I$123,[5]Samsung!$G$1,FALSE)=G89,"same", "PRICE CHANGE")</f>
        <v>same</v>
      </c>
      <c r="M89" t="str">
        <f>IF(VLOOKUP($B89,[5]Samsung!$B$3:$I$123,[5]Samsung!$H$1,FALSE)=H89,"same", "PRICE CHANGE")</f>
        <v>same</v>
      </c>
      <c r="N89" t="str">
        <f>IF(VLOOKUP($B89,[5]Samsung!$B$3:$I$123,[5]Samsung!$I$1,FALSE)=I89,"same", "PRICE CHANGE")</f>
        <v>same</v>
      </c>
    </row>
    <row r="90" spans="2:14">
      <c r="B90" t="s">
        <v>229</v>
      </c>
      <c r="C90" s="31" t="str">
        <f>+VLOOKUP(B90,'Country &amp; Code Abbreviation'!$B$3:$C$245,2,FALSE)</f>
        <v>NZ</v>
      </c>
      <c r="D90" s="31" t="str">
        <f>+VLOOKUP(B90,'INT Web'!$B$5:$Q$248,16,FALSE)</f>
        <v>NZD</v>
      </c>
      <c r="E90" s="32" t="s">
        <v>385</v>
      </c>
      <c r="F90" s="128">
        <f>+VLOOKUP($B90,'INT Web'!$B$5:$U$247,'INT Web'!R$1,FALSE)</f>
        <v>219.99</v>
      </c>
      <c r="G90" s="128">
        <f>+VLOOKUP($B90,'INT Web'!$B$5:$U$247,'INT Web'!S$1,FALSE)</f>
        <v>33.99</v>
      </c>
      <c r="H90" s="128">
        <f>+VLOOKUP($B90,'INT Web'!$B$5:$U$247,'INT Web'!T$1,FALSE)</f>
        <v>159.99</v>
      </c>
      <c r="I90" s="128">
        <f>+VLOOKUP($B90,'INT Web'!$B$5:$U$247,'INT Web'!U$1,FALSE)</f>
        <v>24.99</v>
      </c>
      <c r="K90" t="str">
        <f>IF(VLOOKUP($B90,[5]Samsung!$B$3:$I$123,[5]Samsung!$F$1,FALSE)=F90,"same", "PRICE CHANGE")</f>
        <v>same</v>
      </c>
      <c r="L90" t="str">
        <f>IF(VLOOKUP($B90,[5]Samsung!$B$3:$I$123,[5]Samsung!$G$1,FALSE)=G90,"same", "PRICE CHANGE")</f>
        <v>same</v>
      </c>
      <c r="M90" t="str">
        <f>IF(VLOOKUP($B90,[5]Samsung!$B$3:$I$123,[5]Samsung!$H$1,FALSE)=H90,"same", "PRICE CHANGE")</f>
        <v>same</v>
      </c>
      <c r="N90" t="str">
        <f>IF(VLOOKUP($B90,[5]Samsung!$B$3:$I$123,[5]Samsung!$I$1,FALSE)=I90,"same", "PRICE CHANGE")</f>
        <v>same</v>
      </c>
    </row>
    <row r="91" spans="2:14">
      <c r="B91" t="s">
        <v>238</v>
      </c>
      <c r="C91" s="31" t="str">
        <f>+VLOOKUP(B91,'Country &amp; Code Abbreviation'!$B$3:$C$245,2,FALSE)</f>
        <v>OM</v>
      </c>
      <c r="D91" s="31" t="str">
        <f>+VLOOKUP(B91,'INT Web'!$B$5:$Q$248,16,FALSE)</f>
        <v>OMR</v>
      </c>
      <c r="E91" s="32" t="s">
        <v>440</v>
      </c>
      <c r="F91" s="128">
        <f>+VLOOKUP($B91,'INT Web'!$B$5:$U$247,'INT Web'!R$1,FALSE)</f>
        <v>29.998999999999999</v>
      </c>
      <c r="G91" s="128">
        <f>+VLOOKUP($B91,'INT Web'!$B$5:$U$247,'INT Web'!S$1,FALSE)</f>
        <v>4.9989999999999997</v>
      </c>
      <c r="H91" s="128">
        <f>+VLOOKUP($B91,'INT Web'!$B$5:$U$247,'INT Web'!T$1,FALSE)</f>
        <v>23.998999999999999</v>
      </c>
      <c r="I91" s="128">
        <f>+VLOOKUP($B91,'INT Web'!$B$5:$U$247,'INT Web'!U$1,FALSE)</f>
        <v>3.9990000000000001</v>
      </c>
      <c r="K91" t="str">
        <f>IF(VLOOKUP($B91,[5]Samsung!$B$3:$I$123,[5]Samsung!$F$1,FALSE)=F91,"same", "PRICE CHANGE")</f>
        <v>same</v>
      </c>
      <c r="L91" t="str">
        <f>IF(VLOOKUP($B91,[5]Samsung!$B$3:$I$123,[5]Samsung!$G$1,FALSE)=G91,"same", "PRICE CHANGE")</f>
        <v>same</v>
      </c>
      <c r="M91" t="str">
        <f>IF(VLOOKUP($B91,[5]Samsung!$B$3:$I$123,[5]Samsung!$H$1,FALSE)=H91,"same", "PRICE CHANGE")</f>
        <v>same</v>
      </c>
      <c r="N91" t="str">
        <f>IF(VLOOKUP($B91,[5]Samsung!$B$3:$I$123,[5]Samsung!$I$1,FALSE)=I91,"same", "PRICE CHANGE")</f>
        <v>same</v>
      </c>
    </row>
    <row r="92" spans="2:14">
      <c r="B92" t="s">
        <v>242</v>
      </c>
      <c r="C92" s="31" t="str">
        <f>+VLOOKUP(B92,'Country &amp; Code Abbreviation'!$B$3:$C$245,2,FALSE)</f>
        <v>PA</v>
      </c>
      <c r="D92" s="31" t="str">
        <f>+VLOOKUP(B92,'INT Web'!$B$5:$Q$248,16,FALSE)</f>
        <v>USD</v>
      </c>
      <c r="E92" s="32" t="s">
        <v>346</v>
      </c>
      <c r="F92" s="128">
        <f>+VLOOKUP($B92,'INT Web'!$B$5:$U$247,'INT Web'!R$1,FALSE)</f>
        <v>113.99</v>
      </c>
      <c r="G92" s="128">
        <f>+VLOOKUP($B92,'INT Web'!$B$5:$U$247,'INT Web'!S$1,FALSE)</f>
        <v>18.989999999999998</v>
      </c>
      <c r="H92" s="128">
        <f>+VLOOKUP($B92,'INT Web'!$B$5:$U$247,'INT Web'!T$1,FALSE)</f>
        <v>83.99</v>
      </c>
      <c r="I92" s="128">
        <f>+VLOOKUP($B92,'INT Web'!$B$5:$U$247,'INT Web'!U$1,FALSE)</f>
        <v>13.99</v>
      </c>
      <c r="K92" t="str">
        <f>IF(VLOOKUP($B92,[5]Samsung!$B$3:$I$123,[5]Samsung!$F$1,FALSE)=F92,"same", "PRICE CHANGE")</f>
        <v>same</v>
      </c>
      <c r="L92" t="str">
        <f>IF(VLOOKUP($B92,[5]Samsung!$B$3:$I$123,[5]Samsung!$G$1,FALSE)=G92,"same", "PRICE CHANGE")</f>
        <v>same</v>
      </c>
      <c r="M92" t="str">
        <f>IF(VLOOKUP($B92,[5]Samsung!$B$3:$I$123,[5]Samsung!$H$1,FALSE)=H92,"same", "PRICE CHANGE")</f>
        <v>same</v>
      </c>
      <c r="N92" t="str">
        <f>IF(VLOOKUP($B92,[5]Samsung!$B$3:$I$123,[5]Samsung!$I$1,FALSE)=I92,"same", "PRICE CHANGE")</f>
        <v>same</v>
      </c>
    </row>
    <row r="93" spans="2:14">
      <c r="B93" t="s">
        <v>245</v>
      </c>
      <c r="C93" s="31" t="str">
        <f>+VLOOKUP(B93,'Country &amp; Code Abbreviation'!$B$3:$C$245,2,FALSE)</f>
        <v>PE</v>
      </c>
      <c r="D93" s="31" t="str">
        <f>+VLOOKUP(B93,'INT Web'!$B$5:$Q$248,16,FALSE)</f>
        <v>PEN</v>
      </c>
      <c r="E93" s="32" t="s">
        <v>389</v>
      </c>
      <c r="F93" s="128">
        <f>+VLOOKUP($B93,'INT Web'!$B$5:$U$247,'INT Web'!R$1,FALSE)</f>
        <v>377.99</v>
      </c>
      <c r="G93" s="128">
        <f>+VLOOKUP($B93,'INT Web'!$B$5:$U$247,'INT Web'!S$1,FALSE)</f>
        <v>62.99</v>
      </c>
      <c r="H93" s="128">
        <f>+VLOOKUP($B93,'INT Web'!$B$5:$U$247,'INT Web'!T$1,FALSE)</f>
        <v>281.99</v>
      </c>
      <c r="I93" s="128">
        <f>+VLOOKUP($B93,'INT Web'!$B$5:$U$247,'INT Web'!U$1,FALSE)</f>
        <v>46.99</v>
      </c>
      <c r="K93" t="str">
        <f>IF(VLOOKUP($B93,[5]Samsung!$B$3:$I$123,[5]Samsung!$F$1,FALSE)=F93,"same", "PRICE CHANGE")</f>
        <v>same</v>
      </c>
      <c r="L93" t="str">
        <f>IF(VLOOKUP($B93,[5]Samsung!$B$3:$I$123,[5]Samsung!$G$1,FALSE)=G93,"same", "PRICE CHANGE")</f>
        <v>same</v>
      </c>
      <c r="M93" t="str">
        <f>IF(VLOOKUP($B93,[5]Samsung!$B$3:$I$123,[5]Samsung!$H$1,FALSE)=H93,"same", "PRICE CHANGE")</f>
        <v>same</v>
      </c>
      <c r="N93" t="str">
        <f>IF(VLOOKUP($B93,[5]Samsung!$B$3:$I$123,[5]Samsung!$I$1,FALSE)=I93,"same", "PRICE CHANGE")</f>
        <v>same</v>
      </c>
    </row>
    <row r="94" spans="2:14">
      <c r="B94" t="s">
        <v>246</v>
      </c>
      <c r="C94" s="31" t="str">
        <f>+VLOOKUP(B94,'Country &amp; Code Abbreviation'!$B$3:$C$245,2,FALSE)</f>
        <v>PH</v>
      </c>
      <c r="D94" s="31" t="str">
        <f>+VLOOKUP(B94,'INT Web'!$B$5:$Q$248,16,FALSE)</f>
        <v>PHP</v>
      </c>
      <c r="E94" s="32" t="s">
        <v>390</v>
      </c>
      <c r="F94" s="129">
        <f>+VLOOKUP($B94,'INT Web'!$B$5:$U$247,'INT Web'!R$1,FALSE)</f>
        <v>5039</v>
      </c>
      <c r="G94" s="129">
        <f>+VLOOKUP($B94,'INT Web'!$B$5:$U$247,'INT Web'!S$1,FALSE)</f>
        <v>839</v>
      </c>
      <c r="H94" s="129">
        <f>+VLOOKUP($B94,'INT Web'!$B$5:$U$247,'INT Web'!T$1,FALSE)</f>
        <v>3919</v>
      </c>
      <c r="I94" s="129">
        <f>+VLOOKUP($B94,'INT Web'!$B$5:$U$247,'INT Web'!U$1,FALSE)</f>
        <v>559</v>
      </c>
      <c r="K94" t="str">
        <f>IF(VLOOKUP($B94,[5]Samsung!$B$3:$I$123,[5]Samsung!$F$1,FALSE)=F94,"same", "PRICE CHANGE")</f>
        <v>same</v>
      </c>
      <c r="L94" t="str">
        <f>IF(VLOOKUP($B94,[5]Samsung!$B$3:$I$123,[5]Samsung!$G$1,FALSE)=G94,"same", "PRICE CHANGE")</f>
        <v>same</v>
      </c>
      <c r="M94" t="str">
        <f>IF(VLOOKUP($B94,[5]Samsung!$B$3:$I$123,[5]Samsung!$H$1,FALSE)=H94,"same", "PRICE CHANGE")</f>
        <v>same</v>
      </c>
      <c r="N94" t="str">
        <f>IF(VLOOKUP($B94,[5]Samsung!$B$3:$I$123,[5]Samsung!$I$1,FALSE)=I94,"same", "PRICE CHANGE")</f>
        <v>same</v>
      </c>
    </row>
    <row r="95" spans="2:14">
      <c r="B95" s="36" t="s">
        <v>239</v>
      </c>
      <c r="C95" s="37" t="str">
        <f>+VLOOKUP(B95,'Country &amp; Code Abbreviation'!$B$3:$C$245,2,FALSE)</f>
        <v>PK</v>
      </c>
      <c r="D95" s="37" t="str">
        <f>+VLOOKUP(B95,'INT Web'!$B$5:$Q$248,16,FALSE)</f>
        <v>PKR</v>
      </c>
      <c r="E95" s="38" t="s">
        <v>346</v>
      </c>
      <c r="F95" s="223">
        <v>42.99</v>
      </c>
      <c r="G95" s="40">
        <f>+MROUND(VLOOKUP($B95,'INT Web'!$B$5:$AO$247,'INT Web'!S$1,FALSE)*'FX Rates'!$F$15,1)-0.01</f>
        <v>6.99</v>
      </c>
      <c r="H95" s="40">
        <f>+MROUND(VLOOKUP($B95,'INT Web'!$B$5:$AO$247,'INT Web'!T$1,FALSE)*'FX Rates'!$F$15,1)-0.01</f>
        <v>31.99</v>
      </c>
      <c r="I95" s="40">
        <f>+MROUND(VLOOKUP($B95,'INT Web'!$B$5:$AO$247,'INT Web'!U$1,FALSE)*'FX Rates'!$F$15,1)-0.01</f>
        <v>4.99</v>
      </c>
      <c r="K95" t="str">
        <f>IF(VLOOKUP($B95,[5]Samsung!$B$3:$I$123,[5]Samsung!$F$1,FALSE)=F95,"same", "PRICE CHANGE")</f>
        <v>same</v>
      </c>
      <c r="L95" t="str">
        <f>IF(VLOOKUP($B95,[5]Samsung!$B$3:$I$123,[5]Samsung!$G$1,FALSE)=G95,"same", "PRICE CHANGE")</f>
        <v>same</v>
      </c>
      <c r="M95" t="str">
        <f>IF(VLOOKUP($B95,[5]Samsung!$B$3:$I$123,[5]Samsung!$H$1,FALSE)=H95,"same", "PRICE CHANGE")</f>
        <v>same</v>
      </c>
      <c r="N95" t="str">
        <f>IF(VLOOKUP($B95,[5]Samsung!$B$3:$I$123,[5]Samsung!$I$1,FALSE)=I95,"same", "PRICE CHANGE")</f>
        <v>same</v>
      </c>
    </row>
    <row r="96" spans="2:14">
      <c r="B96" t="s">
        <v>248</v>
      </c>
      <c r="C96" s="31" t="str">
        <f>+VLOOKUP(B96,'Country &amp; Code Abbreviation'!$B$3:$C$245,2,FALSE)</f>
        <v>PL</v>
      </c>
      <c r="D96" s="31" t="str">
        <f>+VLOOKUP(B96,'INT Web'!$B$5:$Q$248,16,FALSE)</f>
        <v>PLN</v>
      </c>
      <c r="E96" s="32" t="s">
        <v>391</v>
      </c>
      <c r="F96" s="128">
        <f>+VLOOKUP($B96,'INT Web'!$B$5:$U$247,'INT Web'!R$1,FALSE)</f>
        <v>539.99</v>
      </c>
      <c r="G96" s="128">
        <f>+VLOOKUP($B96,'INT Web'!$B$5:$U$247,'INT Web'!S$1,FALSE)</f>
        <v>82.99</v>
      </c>
      <c r="H96" s="128">
        <f>+VLOOKUP($B96,'INT Web'!$B$5:$U$247,'INT Web'!T$1,FALSE)</f>
        <v>399.99</v>
      </c>
      <c r="I96" s="128">
        <f>+VLOOKUP($B96,'INT Web'!$B$5:$U$247,'INT Web'!U$1,FALSE)</f>
        <v>61.99</v>
      </c>
      <c r="K96" t="str">
        <f>IF(VLOOKUP($B96,[5]Samsung!$B$3:$I$123,[5]Samsung!$F$1,FALSE)=F96,"same", "PRICE CHANGE")</f>
        <v>same</v>
      </c>
      <c r="L96" t="str">
        <f>IF(VLOOKUP($B96,[5]Samsung!$B$3:$I$123,[5]Samsung!$G$1,FALSE)=G96,"same", "PRICE CHANGE")</f>
        <v>same</v>
      </c>
      <c r="M96" t="str">
        <f>IF(VLOOKUP($B96,[5]Samsung!$B$3:$I$123,[5]Samsung!$H$1,FALSE)=H96,"same", "PRICE CHANGE")</f>
        <v>same</v>
      </c>
      <c r="N96" t="str">
        <f>IF(VLOOKUP($B96,[5]Samsung!$B$3:$I$123,[5]Samsung!$I$1,FALSE)=I96,"same", "PRICE CHANGE")</f>
        <v>same</v>
      </c>
    </row>
    <row r="97" spans="2:14">
      <c r="B97" t="s">
        <v>249</v>
      </c>
      <c r="C97" s="31" t="str">
        <f>+VLOOKUP(B97,'Country &amp; Code Abbreviation'!$B$3:$C$245,2,FALSE)</f>
        <v>PT</v>
      </c>
      <c r="D97" s="31" t="str">
        <f>+VLOOKUP(B97,'INT Web'!$B$5:$Q$248,16,FALSE)</f>
        <v>EUR</v>
      </c>
      <c r="E97" s="32" t="s">
        <v>368</v>
      </c>
      <c r="F97" s="128">
        <f>+VLOOKUP($B97,'INT Web'!$B$5:$U$247,'INT Web'!R$1,FALSE)</f>
        <v>129.99</v>
      </c>
      <c r="G97" s="128">
        <f>+VLOOKUP($B97,'INT Web'!$B$5:$U$247,'INT Web'!S$1,FALSE)</f>
        <v>19.989999999999998</v>
      </c>
      <c r="H97" s="128">
        <f>+VLOOKUP($B97,'INT Web'!$B$5:$U$247,'INT Web'!T$1,FALSE)</f>
        <v>97.99</v>
      </c>
      <c r="I97" s="128">
        <f>+VLOOKUP($B97,'INT Web'!$B$5:$U$247,'INT Web'!U$1,FALSE)</f>
        <v>14.99</v>
      </c>
      <c r="K97" t="str">
        <f>IF(VLOOKUP($B97,[5]Samsung!$B$3:$I$123,[5]Samsung!$F$1,FALSE)=F97,"same", "PRICE CHANGE")</f>
        <v>same</v>
      </c>
      <c r="L97" t="str">
        <f>IF(VLOOKUP($B97,[5]Samsung!$B$3:$I$123,[5]Samsung!$G$1,FALSE)=G97,"same", "PRICE CHANGE")</f>
        <v>same</v>
      </c>
      <c r="M97" t="str">
        <f>IF(VLOOKUP($B97,[5]Samsung!$B$3:$I$123,[5]Samsung!$H$1,FALSE)=H97,"same", "PRICE CHANGE")</f>
        <v>same</v>
      </c>
      <c r="N97" t="str">
        <f>IF(VLOOKUP($B97,[5]Samsung!$B$3:$I$123,[5]Samsung!$I$1,FALSE)=I97,"same", "PRICE CHANGE")</f>
        <v>same</v>
      </c>
    </row>
    <row r="98" spans="2:14">
      <c r="B98" t="s">
        <v>244</v>
      </c>
      <c r="C98" s="31" t="str">
        <f>+VLOOKUP(B98,'Country &amp; Code Abbreviation'!$B$3:$C$245,2,FALSE)</f>
        <v>PY</v>
      </c>
      <c r="D98" s="31" t="str">
        <f>+VLOOKUP(B98,'INT Web'!$B$5:$Q$248,16,FALSE)</f>
        <v>PYG</v>
      </c>
      <c r="E98" s="32" t="s">
        <v>346</v>
      </c>
      <c r="F98" s="128">
        <f>+VLOOKUP($B98,Apple!$B$3:$I$176,Apple!F$1,FALSE)</f>
        <v>79.989999999999995</v>
      </c>
      <c r="G98" s="128">
        <f>+VLOOKUP($B98,Apple!$B$3:$I$176,Apple!G$1,FALSE)</f>
        <v>12.99</v>
      </c>
      <c r="H98" s="128">
        <f>+VLOOKUP($B98,Apple!$B$3:$I$176,Apple!H$1,FALSE)</f>
        <v>59.99</v>
      </c>
      <c r="I98" s="128">
        <f>+VLOOKUP($B98,Apple!$B$3:$I$176,Apple!I$1,FALSE)</f>
        <v>9.99</v>
      </c>
      <c r="K98" t="str">
        <f>IF(VLOOKUP($B98,[5]Samsung!$B$3:$I$123,[5]Samsung!$F$1,FALSE)=F98,"same", "PRICE CHANGE")</f>
        <v>same</v>
      </c>
      <c r="L98" t="str">
        <f>IF(VLOOKUP($B98,[5]Samsung!$B$3:$I$123,[5]Samsung!$G$1,FALSE)=G98,"same", "PRICE CHANGE")</f>
        <v>same</v>
      </c>
      <c r="M98" t="str">
        <f>IF(VLOOKUP($B98,[5]Samsung!$B$3:$I$123,[5]Samsung!$H$1,FALSE)=H98,"same", "PRICE CHANGE")</f>
        <v>same</v>
      </c>
      <c r="N98" t="str">
        <f>IF(VLOOKUP($B98,[5]Samsung!$B$3:$I$123,[5]Samsung!$I$1,FALSE)=I98,"same", "PRICE CHANGE")</f>
        <v>same</v>
      </c>
    </row>
    <row r="99" spans="2:14">
      <c r="B99" t="s">
        <v>250</v>
      </c>
      <c r="C99" s="31" t="str">
        <f>+VLOOKUP(B99,'Country &amp; Code Abbreviation'!$B$3:$C$245,2,FALSE)</f>
        <v>QA</v>
      </c>
      <c r="D99" s="31" t="str">
        <f>+VLOOKUP(B99,'INT Web'!$B$5:$Q$248,16,FALSE)</f>
        <v>QAR</v>
      </c>
      <c r="E99" s="32" t="s">
        <v>392</v>
      </c>
      <c r="F99" s="128">
        <f>+VLOOKUP($B99,'INT Web'!$B$5:$U$247,'INT Web'!R$1,FALSE)</f>
        <v>679.99</v>
      </c>
      <c r="G99" s="128">
        <f>+VLOOKUP($B99,'INT Web'!$B$5:$U$247,'INT Web'!S$1,FALSE)</f>
        <v>96.99</v>
      </c>
      <c r="H99" s="128">
        <f>+VLOOKUP($B99,'INT Web'!$B$5:$U$247,'INT Web'!T$1,FALSE)</f>
        <v>524.99</v>
      </c>
      <c r="I99" s="128">
        <f>+VLOOKUP($B99,'INT Web'!$B$5:$U$247,'INT Web'!U$1,FALSE)</f>
        <v>74.989999999999995</v>
      </c>
      <c r="K99" t="str">
        <f>IF(VLOOKUP($B99,[5]Samsung!$B$3:$I$123,[5]Samsung!$F$1,FALSE)=F99,"same", "PRICE CHANGE")</f>
        <v>same</v>
      </c>
      <c r="L99" t="str">
        <f>IF(VLOOKUP($B99,[5]Samsung!$B$3:$I$123,[5]Samsung!$G$1,FALSE)=G99,"same", "PRICE CHANGE")</f>
        <v>same</v>
      </c>
      <c r="M99" t="str">
        <f>IF(VLOOKUP($B99,[5]Samsung!$B$3:$I$123,[5]Samsung!$H$1,FALSE)=H99,"same", "PRICE CHANGE")</f>
        <v>same</v>
      </c>
      <c r="N99" t="str">
        <f>IF(VLOOKUP($B99,[5]Samsung!$B$3:$I$123,[5]Samsung!$I$1,FALSE)=I99,"same", "PRICE CHANGE")</f>
        <v>same</v>
      </c>
    </row>
    <row r="100" spans="2:14">
      <c r="B100" s="36" t="s">
        <v>252</v>
      </c>
      <c r="C100" s="37" t="str">
        <f>+VLOOKUP(B100,'Country &amp; Code Abbreviation'!$B$3:$C$245,2,FALSE)</f>
        <v>RO</v>
      </c>
      <c r="D100" s="37" t="str">
        <f>+VLOOKUP(B100,'INT Web'!$B$5:$Q$248,16,FALSE)</f>
        <v>RON</v>
      </c>
      <c r="E100" s="38" t="s">
        <v>368</v>
      </c>
      <c r="F100" s="40">
        <v>108.99</v>
      </c>
      <c r="G100" s="40">
        <v>15.99</v>
      </c>
      <c r="H100" s="40">
        <v>77.989999999999995</v>
      </c>
      <c r="I100" s="40">
        <v>11.99</v>
      </c>
      <c r="K100" t="str">
        <f>IF(VLOOKUP($B100,[5]Samsung!$B$3:$I$123,[5]Samsung!$F$1,FALSE)=F100,"same", "PRICE CHANGE")</f>
        <v>same</v>
      </c>
      <c r="L100" t="str">
        <f>IF(VLOOKUP($B100,[5]Samsung!$B$3:$I$123,[5]Samsung!$G$1,FALSE)=G100,"same", "PRICE CHANGE")</f>
        <v>same</v>
      </c>
      <c r="M100" t="str">
        <f>IF(VLOOKUP($B100,[5]Samsung!$B$3:$I$123,[5]Samsung!$H$1,FALSE)=H100,"same", "PRICE CHANGE")</f>
        <v>same</v>
      </c>
      <c r="N100" t="str">
        <f>IF(VLOOKUP($B100,[5]Samsung!$B$3:$I$123,[5]Samsung!$I$1,FALSE)=I100,"same", "PRICE CHANGE")</f>
        <v>same</v>
      </c>
    </row>
    <row r="101" spans="2:14">
      <c r="B101" t="s">
        <v>261</v>
      </c>
      <c r="C101" s="31" t="str">
        <f>+VLOOKUP(B101,'Country &amp; Code Abbreviation'!$B$3:$C$245,2,FALSE)</f>
        <v>RS</v>
      </c>
      <c r="D101" s="31" t="str">
        <f>+VLOOKUP(B101,'INT Web'!$B$5:$Q$248,16,FALSE)</f>
        <v>RSD</v>
      </c>
      <c r="E101" s="32" t="s">
        <v>428</v>
      </c>
      <c r="F101" s="33">
        <f>+VLOOKUP($B101,'INT Web'!$B$5:$U$247,'INT Web'!R$1,FALSE)</f>
        <v>10309.99</v>
      </c>
      <c r="G101" s="33">
        <f>+VLOOKUP($B101,'INT Web'!$B$5:$U$247,'INT Web'!S$1,FALSE)</f>
        <v>1649.99</v>
      </c>
      <c r="H101" s="33">
        <f>+VLOOKUP($B101,'INT Web'!$B$5:$U$247,'INT Web'!T$1,FALSE)</f>
        <v>7499.99</v>
      </c>
      <c r="I101" s="33">
        <f>+VLOOKUP($B101,'INT Web'!$B$5:$U$247,'INT Web'!U$1,FALSE)</f>
        <v>1199.99</v>
      </c>
      <c r="K101" t="str">
        <f>IF(VLOOKUP($B101,[5]Samsung!$B$3:$I$123,[5]Samsung!$F$1,FALSE)=F101,"same", "PRICE CHANGE")</f>
        <v>same</v>
      </c>
      <c r="L101" t="str">
        <f>IF(VLOOKUP($B101,[5]Samsung!$B$3:$I$123,[5]Samsung!$G$1,FALSE)=G101,"same", "PRICE CHANGE")</f>
        <v>same</v>
      </c>
      <c r="M101" t="str">
        <f>IF(VLOOKUP($B101,[5]Samsung!$B$3:$I$123,[5]Samsung!$H$1,FALSE)=H101,"same", "PRICE CHANGE")</f>
        <v>same</v>
      </c>
      <c r="N101" t="str">
        <f>IF(VLOOKUP($B101,[5]Samsung!$B$3:$I$123,[5]Samsung!$I$1,FALSE)=I101,"same", "PRICE CHANGE")</f>
        <v>same</v>
      </c>
    </row>
    <row r="102" spans="2:14" hidden="1" outlineLevel="1">
      <c r="B102" t="s">
        <v>253</v>
      </c>
      <c r="C102" s="31" t="str">
        <f>+VLOOKUP(B102,'Country &amp; Code Abbreviation'!$B$3:$C$245,2,FALSE)</f>
        <v>RU</v>
      </c>
      <c r="D102" s="31" t="str">
        <f>+VLOOKUP(B102,'INT Web'!$B$5:$Q$248,16,FALSE)</f>
        <v>RUB</v>
      </c>
      <c r="E102" s="32" t="s">
        <v>394</v>
      </c>
      <c r="F102" s="128">
        <f>+VLOOKUP($B102,'INT Web'!$B$5:$U$247,'INT Web'!R$1,FALSE)</f>
        <v>0</v>
      </c>
      <c r="G102" s="128">
        <f>+VLOOKUP($B102,'INT Web'!$B$5:$U$247,'INT Web'!S$1,FALSE)</f>
        <v>0</v>
      </c>
      <c r="H102" s="128">
        <f>+VLOOKUP($B102,'INT Web'!$B$5:$U$247,'INT Web'!T$1,FALSE)</f>
        <v>0</v>
      </c>
      <c r="I102" s="128">
        <f>+VLOOKUP($B102,'INT Web'!$B$5:$U$247,'INT Web'!U$1,FALSE)</f>
        <v>0</v>
      </c>
      <c r="K102" t="str">
        <f>IF(VLOOKUP($B102,[5]Samsung!$B$3:$I$123,[5]Samsung!$F$1,FALSE)=F102,"same", "PRICE CHANGE")</f>
        <v>same</v>
      </c>
      <c r="L102" t="str">
        <f>IF(VLOOKUP($B102,[5]Samsung!$B$3:$I$123,[5]Samsung!$G$1,FALSE)=G102,"same", "PRICE CHANGE")</f>
        <v>same</v>
      </c>
      <c r="M102" t="str">
        <f>IF(VLOOKUP($B102,[5]Samsung!$B$3:$I$123,[5]Samsung!$H$1,FALSE)=H102,"same", "PRICE CHANGE")</f>
        <v>same</v>
      </c>
      <c r="N102" t="str">
        <f>IF(VLOOKUP($B102,[5]Samsung!$B$3:$I$123,[5]Samsung!$I$1,FALSE)=I102,"same", "PRICE CHANGE")</f>
        <v>same</v>
      </c>
    </row>
    <row r="103" spans="2:14" collapsed="1">
      <c r="B103" t="s">
        <v>259</v>
      </c>
      <c r="C103" s="31" t="str">
        <f>+VLOOKUP(B103,'Country &amp; Code Abbreviation'!$B$3:$C$245,2,FALSE)</f>
        <v>SA</v>
      </c>
      <c r="D103" s="31" t="str">
        <f>+VLOOKUP(B103,'INT Web'!$B$5:$Q$248,16,FALSE)</f>
        <v>SAR</v>
      </c>
      <c r="E103" s="32" t="s">
        <v>395</v>
      </c>
      <c r="F103" s="128">
        <f>+VLOOKUP($B103,'INT Web'!$B$5:$U$247,'INT Web'!R$1,FALSE)</f>
        <v>526.99</v>
      </c>
      <c r="G103" s="128">
        <f>+VLOOKUP($B103,'INT Web'!$B$5:$U$247,'INT Web'!S$1,FALSE)</f>
        <v>84.99</v>
      </c>
      <c r="H103" s="128">
        <f>+VLOOKUP($B103,'INT Web'!$B$5:$U$247,'INT Web'!T$1,FALSE)</f>
        <v>384.99</v>
      </c>
      <c r="I103" s="128">
        <f>+VLOOKUP($B103,'INT Web'!$B$5:$U$247,'INT Web'!U$1,FALSE)</f>
        <v>61.99</v>
      </c>
      <c r="K103" t="str">
        <f>IF(VLOOKUP($B103,[5]Samsung!$B$3:$I$123,[5]Samsung!$F$1,FALSE)=F103,"same", "PRICE CHANGE")</f>
        <v>same</v>
      </c>
      <c r="L103" t="str">
        <f>IF(VLOOKUP($B103,[5]Samsung!$B$3:$I$123,[5]Samsung!$G$1,FALSE)=G103,"same", "PRICE CHANGE")</f>
        <v>same</v>
      </c>
      <c r="M103" t="str">
        <f>IF(VLOOKUP($B103,[5]Samsung!$B$3:$I$123,[5]Samsung!$H$1,FALSE)=H103,"same", "PRICE CHANGE")</f>
        <v>same</v>
      </c>
      <c r="N103" t="str">
        <f>IF(VLOOKUP($B103,[5]Samsung!$B$3:$I$123,[5]Samsung!$I$1,FALSE)=I103,"same", "PRICE CHANGE")</f>
        <v>same</v>
      </c>
    </row>
    <row r="104" spans="2:14">
      <c r="B104" t="s">
        <v>287</v>
      </c>
      <c r="C104" s="31" t="str">
        <f>+VLOOKUP(B104,'Country &amp; Code Abbreviation'!$B$3:$C$245,2,FALSE)</f>
        <v>SE</v>
      </c>
      <c r="D104" s="31" t="str">
        <f>+VLOOKUP(B104,'INT Web'!$B$5:$Q$248,16,FALSE)</f>
        <v>SEK</v>
      </c>
      <c r="E104" s="32" t="s">
        <v>400</v>
      </c>
      <c r="F104" s="33">
        <f>+VLOOKUP($B104,'INT Web'!$B$5:$U$247,'INT Web'!R$1,FALSE)</f>
        <v>1469.99</v>
      </c>
      <c r="G104" s="33">
        <f>+VLOOKUP($B104,'INT Web'!$B$5:$U$247,'INT Web'!S$1,FALSE)</f>
        <v>219.99</v>
      </c>
      <c r="H104" s="33">
        <f>+VLOOKUP($B104,'INT Web'!$B$5:$U$247,'INT Web'!T$1,FALSE)</f>
        <v>1069.99</v>
      </c>
      <c r="I104" s="33">
        <f>+VLOOKUP($B104,'INT Web'!$B$5:$U$247,'INT Web'!U$1,FALSE)</f>
        <v>159.99</v>
      </c>
      <c r="K104" t="str">
        <f>IF(VLOOKUP($B104,[5]Samsung!$B$3:$I$123,[5]Samsung!$F$1,FALSE)=F104,"same", "PRICE CHANGE")</f>
        <v>same</v>
      </c>
      <c r="L104" t="str">
        <f>IF(VLOOKUP($B104,[5]Samsung!$B$3:$I$123,[5]Samsung!$G$1,FALSE)=G104,"same", "PRICE CHANGE")</f>
        <v>same</v>
      </c>
      <c r="M104" t="str">
        <f>IF(VLOOKUP($B104,[5]Samsung!$B$3:$I$123,[5]Samsung!$H$1,FALSE)=H104,"same", "PRICE CHANGE")</f>
        <v>same</v>
      </c>
      <c r="N104" t="str">
        <f>IF(VLOOKUP($B104,[5]Samsung!$B$3:$I$123,[5]Samsung!$I$1,FALSE)=I104,"same", "PRICE CHANGE")</f>
        <v>same</v>
      </c>
    </row>
    <row r="105" spans="2:14">
      <c r="B105" t="s">
        <v>264</v>
      </c>
      <c r="C105" s="31" t="str">
        <f>+VLOOKUP(B105,'Country &amp; Code Abbreviation'!$B$3:$C$245,2,FALSE)</f>
        <v>SG</v>
      </c>
      <c r="D105" s="31" t="str">
        <f>+VLOOKUP(B105,'INT Web'!$B$5:$Q$248,16,FALSE)</f>
        <v>SGD</v>
      </c>
      <c r="E105" s="32" t="s">
        <v>396</v>
      </c>
      <c r="F105" s="128">
        <f>+VLOOKUP($B105,'INT Web'!$B$5:$U$247,'INT Web'!R$1,FALSE)</f>
        <v>184.99</v>
      </c>
      <c r="G105" s="128">
        <f>+VLOOKUP($B105,'INT Web'!$B$5:$U$247,'INT Web'!S$1,FALSE)</f>
        <v>26.984999999999999</v>
      </c>
      <c r="H105" s="128">
        <f>+VLOOKUP($B105,'INT Web'!$B$5:$U$247,'INT Web'!T$1,FALSE)</f>
        <v>124.99</v>
      </c>
      <c r="I105" s="128">
        <f>+VLOOKUP($B105,'INT Web'!$B$5:$U$247,'INT Web'!U$1,FALSE)</f>
        <v>17.989999999999998</v>
      </c>
      <c r="K105" t="str">
        <f>IF(VLOOKUP($B105,[5]Samsung!$B$3:$I$123,[5]Samsung!$F$1,FALSE)=F105,"same", "PRICE CHANGE")</f>
        <v>same</v>
      </c>
      <c r="L105" t="str">
        <f>IF(VLOOKUP($B105,[5]Samsung!$B$3:$I$123,[5]Samsung!$G$1,FALSE)=G105,"same", "PRICE CHANGE")</f>
        <v>same</v>
      </c>
      <c r="M105" t="str">
        <f>IF(VLOOKUP($B105,[5]Samsung!$B$3:$I$123,[5]Samsung!$H$1,FALSE)=H105,"same", "PRICE CHANGE")</f>
        <v>same</v>
      </c>
      <c r="N105" t="str">
        <f>IF(VLOOKUP($B105,[5]Samsung!$B$3:$I$123,[5]Samsung!$I$1,FALSE)=I105,"same", "PRICE CHANGE")</f>
        <v>same</v>
      </c>
    </row>
    <row r="106" spans="2:14">
      <c r="B106" t="s">
        <v>267</v>
      </c>
      <c r="C106" s="31" t="str">
        <f>+VLOOKUP(B106,'Country &amp; Code Abbreviation'!$B$3:$C$245,2,FALSE)</f>
        <v>SI</v>
      </c>
      <c r="D106" s="31" t="str">
        <f>+VLOOKUP(B106,'INT Web'!$B$5:$Q$248,16,FALSE)</f>
        <v>EUR</v>
      </c>
      <c r="E106" s="32" t="s">
        <v>368</v>
      </c>
      <c r="F106" s="128">
        <f>+VLOOKUP($B106,'INT Web'!$B$5:$U$247,'INT Web'!R$1,FALSE)</f>
        <v>121.99</v>
      </c>
      <c r="G106" s="128">
        <f>+VLOOKUP($B106,'INT Web'!$B$5:$U$247,'INT Web'!S$1,FALSE)</f>
        <v>18.989999999999998</v>
      </c>
      <c r="H106" s="128">
        <f>+VLOOKUP($B106,'INT Web'!$B$5:$U$247,'INT Web'!T$1,FALSE)</f>
        <v>89.99</v>
      </c>
      <c r="I106" s="128">
        <f>+VLOOKUP($B106,'INT Web'!$B$5:$U$247,'INT Web'!U$1,FALSE)</f>
        <v>13.99</v>
      </c>
      <c r="K106" t="str">
        <f>IF(VLOOKUP($B106,[5]Samsung!$B$3:$I$123,[5]Samsung!$F$1,FALSE)=F106,"same", "PRICE CHANGE")</f>
        <v>same</v>
      </c>
      <c r="L106" t="str">
        <f>IF(VLOOKUP($B106,[5]Samsung!$B$3:$I$123,[5]Samsung!$G$1,FALSE)=G106,"same", "PRICE CHANGE")</f>
        <v>same</v>
      </c>
      <c r="M106" t="str">
        <f>IF(VLOOKUP($B106,[5]Samsung!$B$3:$I$123,[5]Samsung!$H$1,FALSE)=H106,"same", "PRICE CHANGE")</f>
        <v>same</v>
      </c>
      <c r="N106" t="str">
        <f>IF(VLOOKUP($B106,[5]Samsung!$B$3:$I$123,[5]Samsung!$I$1,FALSE)=I106,"same", "PRICE CHANGE")</f>
        <v>same</v>
      </c>
    </row>
    <row r="107" spans="2:14">
      <c r="B107" t="s">
        <v>266</v>
      </c>
      <c r="C107" s="31" t="str">
        <f>+VLOOKUP(B107,'Country &amp; Code Abbreviation'!$B$3:$C$245,2,FALSE)</f>
        <v>SK</v>
      </c>
      <c r="D107" s="31" t="str">
        <f>+VLOOKUP(B107,'INT Web'!$B$5:$Q$248,16,FALSE)</f>
        <v>EUR</v>
      </c>
      <c r="E107" s="32" t="s">
        <v>368</v>
      </c>
      <c r="F107" s="128">
        <f>+VLOOKUP($B107,'INT Web'!$B$5:$U$247,'INT Web'!R$1,FALSE)</f>
        <v>94.99</v>
      </c>
      <c r="G107" s="128">
        <f>+VLOOKUP($B107,'INT Web'!$B$5:$U$247,'INT Web'!S$1,FALSE)</f>
        <v>14.99</v>
      </c>
      <c r="H107" s="128">
        <f>+VLOOKUP($B107,'INT Web'!$B$5:$U$247,'INT Web'!T$1,FALSE)</f>
        <v>69.989999999999995</v>
      </c>
      <c r="I107" s="128">
        <f>+VLOOKUP($B107,'INT Web'!$B$5:$U$247,'INT Web'!U$1,FALSE)</f>
        <v>10.99</v>
      </c>
      <c r="K107" t="str">
        <f>IF(VLOOKUP($B107,[5]Samsung!$B$3:$I$123,[5]Samsung!$F$1,FALSE)=F107,"same", "PRICE CHANGE")</f>
        <v>same</v>
      </c>
      <c r="L107" t="str">
        <f>IF(VLOOKUP($B107,[5]Samsung!$B$3:$I$123,[5]Samsung!$G$1,FALSE)=G107,"same", "PRICE CHANGE")</f>
        <v>same</v>
      </c>
      <c r="M107" t="str">
        <f>IF(VLOOKUP($B107,[5]Samsung!$B$3:$I$123,[5]Samsung!$H$1,FALSE)=H107,"same", "PRICE CHANGE")</f>
        <v>same</v>
      </c>
      <c r="N107" t="str">
        <f>IF(VLOOKUP($B107,[5]Samsung!$B$3:$I$123,[5]Samsung!$I$1,FALSE)=I107,"same", "PRICE CHANGE")</f>
        <v>same</v>
      </c>
    </row>
    <row r="108" spans="2:14">
      <c r="B108" t="s">
        <v>138</v>
      </c>
      <c r="C108" s="31" t="str">
        <f>+VLOOKUP(B108,'Country &amp; Code Abbreviation'!$B$3:$C$245,2,FALSE)</f>
        <v>SV</v>
      </c>
      <c r="D108" s="31" t="str">
        <f>+VLOOKUP(B108,'INT Web'!$B$5:$Q$248,16,FALSE)</f>
        <v>USD</v>
      </c>
      <c r="E108" s="32" t="s">
        <v>346</v>
      </c>
      <c r="F108" s="128">
        <f>+VLOOKUP($B108,'INT Web'!$B$5:$U$247,'INT Web'!R$1,FALSE)</f>
        <v>96.99</v>
      </c>
      <c r="G108" s="128">
        <f>+VLOOKUP($B108,'INT Web'!$B$5:$U$247,'INT Web'!S$1,FALSE)</f>
        <v>15.99</v>
      </c>
      <c r="H108" s="128">
        <f>+VLOOKUP($B108,'INT Web'!$B$5:$U$247,'INT Web'!T$1,FALSE)</f>
        <v>65.989999999999995</v>
      </c>
      <c r="I108" s="128">
        <f>+VLOOKUP($B108,'INT Web'!$B$5:$U$247,'INT Web'!U$1,FALSE)</f>
        <v>10.99</v>
      </c>
      <c r="K108" t="str">
        <f>IF(VLOOKUP($B108,[5]Samsung!$B$3:$I$123,[5]Samsung!$F$1,FALSE)=F108,"same", "PRICE CHANGE")</f>
        <v>same</v>
      </c>
      <c r="L108" t="str">
        <f>IF(VLOOKUP($B108,[5]Samsung!$B$3:$I$123,[5]Samsung!$G$1,FALSE)=G108,"same", "PRICE CHANGE")</f>
        <v>same</v>
      </c>
      <c r="M108" t="str">
        <f>IF(VLOOKUP($B108,[5]Samsung!$B$3:$I$123,[5]Samsung!$H$1,FALSE)=H108,"same", "PRICE CHANGE")</f>
        <v>same</v>
      </c>
      <c r="N108" t="str">
        <f>IF(VLOOKUP($B108,[5]Samsung!$B$3:$I$123,[5]Samsung!$I$1,FALSE)=I108,"same", "PRICE CHANGE")</f>
        <v>same</v>
      </c>
    </row>
    <row r="109" spans="2:14">
      <c r="B109" t="s">
        <v>293</v>
      </c>
      <c r="C109" s="31" t="str">
        <f>+VLOOKUP(B109,'Country &amp; Code Abbreviation'!$B$3:$C$245,2,FALSE)</f>
        <v>TH</v>
      </c>
      <c r="D109" s="31" t="str">
        <f>+VLOOKUP(B109,'INT Web'!$B$5:$Q$248,16,FALSE)</f>
        <v>THB</v>
      </c>
      <c r="E109" s="32" t="s">
        <v>404</v>
      </c>
      <c r="F109" s="129">
        <f>+VLOOKUP($B109,'INT Web'!$B$5:$U$247,'INT Web'!R$1,FALSE)</f>
        <v>2919</v>
      </c>
      <c r="G109" s="129">
        <f>+VLOOKUP($B109,'INT Web'!$B$5:$U$247,'INT Web'!S$1,FALSE)</f>
        <v>449</v>
      </c>
      <c r="H109" s="129">
        <f>+VLOOKUP($B109,'INT Web'!$B$5:$U$247,'INT Web'!T$1,FALSE)</f>
        <v>2100</v>
      </c>
      <c r="I109" s="129">
        <f>+VLOOKUP($B109,'INT Web'!$B$5:$U$247,'INT Web'!U$1,FALSE)</f>
        <v>300</v>
      </c>
      <c r="K109" t="str">
        <f>IF(VLOOKUP($B109,[5]Samsung!$B$3:$I$123,[5]Samsung!$F$1,FALSE)=F109,"same", "PRICE CHANGE")</f>
        <v>same</v>
      </c>
      <c r="L109" t="str">
        <f>IF(VLOOKUP($B109,[5]Samsung!$B$3:$I$123,[5]Samsung!$G$1,FALSE)=G109,"same", "PRICE CHANGE")</f>
        <v>same</v>
      </c>
      <c r="M109" t="str">
        <f>IF(VLOOKUP($B109,[5]Samsung!$B$3:$I$123,[5]Samsung!$H$1,FALSE)=H109,"same", "PRICE CHANGE")</f>
        <v>same</v>
      </c>
      <c r="N109" t="str">
        <f>IF(VLOOKUP($B109,[5]Samsung!$B$3:$I$123,[5]Samsung!$I$1,FALSE)=I109,"same", "PRICE CHANGE")</f>
        <v>same</v>
      </c>
    </row>
    <row r="110" spans="2:14">
      <c r="B110" t="s">
        <v>291</v>
      </c>
      <c r="C110" s="31" t="str">
        <f>+VLOOKUP(B110,'Country &amp; Code Abbreviation'!$B$3:$C$245,2,FALSE)</f>
        <v>TJ</v>
      </c>
      <c r="D110" s="31" t="str">
        <f>+VLOOKUP(B110,'INT Web'!$B$5:$Q$248,16,FALSE)</f>
        <v>USD</v>
      </c>
      <c r="E110" s="32" t="s">
        <v>346</v>
      </c>
      <c r="F110" s="128">
        <f>+VLOOKUP($B110,'INT Web'!$B$5:$U$247,'INT Web'!R$1,FALSE)</f>
        <v>71.989999999999995</v>
      </c>
      <c r="G110" s="128">
        <f>+VLOOKUP($B110,'INT Web'!$B$5:$U$247,'INT Web'!S$1,FALSE)</f>
        <v>11.99</v>
      </c>
      <c r="H110" s="128">
        <f>+VLOOKUP($B110,'INT Web'!$B$5:$U$247,'INT Web'!T$1,FALSE)</f>
        <v>53.99</v>
      </c>
      <c r="I110" s="128">
        <f>+VLOOKUP($B110,'INT Web'!$B$5:$U$247,'INT Web'!U$1,FALSE)</f>
        <v>8.99</v>
      </c>
      <c r="K110" t="str">
        <f>IF(VLOOKUP($B110,[5]Samsung!$B$3:$I$123,[5]Samsung!$F$1,FALSE)=F110,"same", "PRICE CHANGE")</f>
        <v>same</v>
      </c>
      <c r="L110" t="str">
        <f>IF(VLOOKUP($B110,[5]Samsung!$B$3:$I$123,[5]Samsung!$G$1,FALSE)=G110,"same", "PRICE CHANGE")</f>
        <v>same</v>
      </c>
      <c r="M110" t="str">
        <f>IF(VLOOKUP($B110,[5]Samsung!$B$3:$I$123,[5]Samsung!$H$1,FALSE)=H110,"same", "PRICE CHANGE")</f>
        <v>same</v>
      </c>
      <c r="N110" t="str">
        <f>IF(VLOOKUP($B110,[5]Samsung!$B$3:$I$123,[5]Samsung!$I$1,FALSE)=I110,"same", "PRICE CHANGE")</f>
        <v>same</v>
      </c>
    </row>
    <row r="111" spans="2:14">
      <c r="B111" t="s">
        <v>301</v>
      </c>
      <c r="C111" s="31" t="str">
        <f>+VLOOKUP(B111,'Country &amp; Code Abbreviation'!$B$3:$C$245,2,FALSE)</f>
        <v>TM</v>
      </c>
      <c r="D111" s="31" t="str">
        <f>+VLOOKUP(B111,'INT Web'!$B$5:$Q$248,16,FALSE)</f>
        <v>USD</v>
      </c>
      <c r="E111" s="32" t="s">
        <v>346</v>
      </c>
      <c r="F111" s="128">
        <f>+VLOOKUP($B111,'INT Web'!$B$5:$U$247,'INT Web'!R$1,FALSE)</f>
        <v>89.99</v>
      </c>
      <c r="G111" s="128">
        <f>+VLOOKUP($B111,'INT Web'!$B$5:$U$247,'INT Web'!S$1,FALSE)</f>
        <v>14.99</v>
      </c>
      <c r="H111" s="128">
        <f>+VLOOKUP($B111,'INT Web'!$B$5:$U$247,'INT Web'!T$1,FALSE)</f>
        <v>65.989999999999995</v>
      </c>
      <c r="I111" s="128">
        <f>+VLOOKUP($B111,'INT Web'!$B$5:$U$247,'INT Web'!U$1,FALSE)</f>
        <v>10.99</v>
      </c>
      <c r="K111" t="str">
        <f>IF(VLOOKUP($B111,[5]Samsung!$B$3:$I$123,[5]Samsung!$F$1,FALSE)=F111,"same", "PRICE CHANGE")</f>
        <v>same</v>
      </c>
      <c r="L111" t="str">
        <f>IF(VLOOKUP($B111,[5]Samsung!$B$3:$I$123,[5]Samsung!$G$1,FALSE)=G111,"same", "PRICE CHANGE")</f>
        <v>same</v>
      </c>
      <c r="M111" t="str">
        <f>IF(VLOOKUP($B111,[5]Samsung!$B$3:$I$123,[5]Samsung!$H$1,FALSE)=H111,"same", "PRICE CHANGE")</f>
        <v>same</v>
      </c>
      <c r="N111" t="str">
        <f>IF(VLOOKUP($B111,[5]Samsung!$B$3:$I$123,[5]Samsung!$I$1,FALSE)=I111,"same", "PRICE CHANGE")</f>
        <v>same</v>
      </c>
    </row>
    <row r="112" spans="2:14">
      <c r="B112" t="s">
        <v>299</v>
      </c>
      <c r="C112" s="31" t="str">
        <f>+VLOOKUP(B112,'Country &amp; Code Abbreviation'!$B$3:$C$245,2,FALSE)</f>
        <v>TN</v>
      </c>
      <c r="D112" s="31" t="str">
        <f>+VLOOKUP(B112,'INT Web'!$B$5:$Q$248,16,FALSE)</f>
        <v>TND</v>
      </c>
      <c r="E112" s="32" t="s">
        <v>441</v>
      </c>
      <c r="F112" s="128">
        <f>+VLOOKUP($B112,'INT Web'!$B$5:$U$247,'INT Web'!R$1,FALSE)</f>
        <v>215.999</v>
      </c>
      <c r="G112" s="128">
        <f>+VLOOKUP($B112,'INT Web'!$B$5:$U$247,'INT Web'!S$1,FALSE)</f>
        <v>35.999000000000002</v>
      </c>
      <c r="H112" s="128">
        <f>+VLOOKUP($B112,'INT Web'!$B$5:$U$247,'INT Web'!T$1,FALSE)</f>
        <v>161.999</v>
      </c>
      <c r="I112" s="128">
        <f>+VLOOKUP($B112,'INT Web'!$B$5:$U$247,'INT Web'!U$1,FALSE)</f>
        <v>26.998999999999999</v>
      </c>
      <c r="K112" t="str">
        <f>IF(VLOOKUP($B112,[5]Samsung!$B$3:$I$123,[5]Samsung!$F$1,FALSE)=F112,"same", "PRICE CHANGE")</f>
        <v>same</v>
      </c>
      <c r="L112" t="str">
        <f>IF(VLOOKUP($B112,[5]Samsung!$B$3:$I$123,[5]Samsung!$G$1,FALSE)=G112,"same", "PRICE CHANGE")</f>
        <v>same</v>
      </c>
      <c r="M112" t="str">
        <f>IF(VLOOKUP($B112,[5]Samsung!$B$3:$I$123,[5]Samsung!$H$1,FALSE)=H112,"same", "PRICE CHANGE")</f>
        <v>same</v>
      </c>
      <c r="N112" t="str">
        <f>IF(VLOOKUP($B112,[5]Samsung!$B$3:$I$123,[5]Samsung!$I$1,FALSE)=I112,"same", "PRICE CHANGE")</f>
        <v>same</v>
      </c>
    </row>
    <row r="113" spans="2:14">
      <c r="B113" s="73" t="s">
        <v>300</v>
      </c>
      <c r="C113" s="110" t="str">
        <f>+VLOOKUP(B113,'Country &amp; Code Abbreviation'!$B$3:$C$245,2,FALSE)</f>
        <v>TR</v>
      </c>
      <c r="D113" s="31" t="str">
        <f>+VLOOKUP(B113,'INT Web'!$B$5:$Q$248,16,FALSE)</f>
        <v>TRY</v>
      </c>
      <c r="E113" s="32" t="s">
        <v>406</v>
      </c>
      <c r="F113" s="109">
        <f>+VLOOKUP($B113,'INT Web'!$B$5:$U$247,'INT Web'!R$1,FALSE)</f>
        <v>1784.99</v>
      </c>
      <c r="G113" s="109">
        <f>+VLOOKUP($B113,'INT Web'!$B$5:$U$247,'INT Web'!S$1,FALSE)</f>
        <v>274.99</v>
      </c>
      <c r="H113" s="109">
        <f>+VLOOKUP($B113,'INT Web'!$B$5:$U$247,'INT Web'!T$1,FALSE)</f>
        <v>1329.99</v>
      </c>
      <c r="I113" s="109">
        <f>+VLOOKUP($B113,'INT Web'!$B$5:$U$247,'INT Web'!U$1,FALSE)</f>
        <v>204.99</v>
      </c>
      <c r="K113" t="str">
        <f>IF(VLOOKUP($B113,[5]Samsung!$B$3:$I$123,[5]Samsung!$F$1,FALSE)=F113,"same", "PRICE CHANGE")</f>
        <v>PRICE CHANGE</v>
      </c>
      <c r="L113" t="str">
        <f>IF(VLOOKUP($B113,[5]Samsung!$B$3:$I$123,[5]Samsung!$G$1,FALSE)=G113,"same", "PRICE CHANGE")</f>
        <v>PRICE CHANGE</v>
      </c>
      <c r="M113" t="str">
        <f>IF(VLOOKUP($B113,[5]Samsung!$B$3:$I$123,[5]Samsung!$H$1,FALSE)=H113,"same", "PRICE CHANGE")</f>
        <v>PRICE CHANGE</v>
      </c>
      <c r="N113" t="str">
        <f>IF(VLOOKUP($B113,[5]Samsung!$B$3:$I$123,[5]Samsung!$I$1,FALSE)=I113,"same", "PRICE CHANGE")</f>
        <v>PRICE CHANGE</v>
      </c>
    </row>
    <row r="114" spans="2:14">
      <c r="B114" t="s">
        <v>405</v>
      </c>
      <c r="C114" s="31" t="str">
        <f>+VLOOKUP(B114,'Country &amp; Code Abbreviation'!$B$3:$C$245,2,FALSE)</f>
        <v>TT</v>
      </c>
      <c r="D114" s="31" t="str">
        <f>+VLOOKUP(B114,'INT Web'!$B$5:$Q$248,16,FALSE)</f>
        <v>TTD</v>
      </c>
      <c r="E114" s="32" t="s">
        <v>346</v>
      </c>
      <c r="F114" s="128">
        <f>+VLOOKUP($B114,Apple!$B$3:$I$176,Apple!F$1,FALSE)</f>
        <v>101.99</v>
      </c>
      <c r="G114" s="128">
        <f>+VLOOKUP($B114,Apple!$B$3:$I$176,Apple!G$1,FALSE)</f>
        <v>16.989999999999998</v>
      </c>
      <c r="H114" s="128">
        <f>+VLOOKUP($B114,Apple!$B$3:$I$176,Apple!H$1,FALSE)</f>
        <v>71.989999999999995</v>
      </c>
      <c r="I114" s="128">
        <f>+VLOOKUP($B114,Apple!$B$3:$I$176,Apple!I$1,FALSE)</f>
        <v>11.99</v>
      </c>
      <c r="K114" t="str">
        <f>IF(VLOOKUP($B114,[5]Samsung!$B$3:$I$123,[5]Samsung!$F$1,FALSE)=F114,"same", "PRICE CHANGE")</f>
        <v>same</v>
      </c>
      <c r="L114" t="str">
        <f>IF(VLOOKUP($B114,[5]Samsung!$B$3:$I$123,[5]Samsung!$G$1,FALSE)=G114,"same", "PRICE CHANGE")</f>
        <v>same</v>
      </c>
      <c r="M114" t="str">
        <f>IF(VLOOKUP($B114,[5]Samsung!$B$3:$I$123,[5]Samsung!$H$1,FALSE)=H114,"same", "PRICE CHANGE")</f>
        <v>same</v>
      </c>
      <c r="N114" t="str">
        <f>IF(VLOOKUP($B114,[5]Samsung!$B$3:$I$123,[5]Samsung!$I$1,FALSE)=I114,"same", "PRICE CHANGE")</f>
        <v>same</v>
      </c>
    </row>
    <row r="115" spans="2:14">
      <c r="B115" t="s">
        <v>290</v>
      </c>
      <c r="C115" s="31" t="str">
        <f>+VLOOKUP(B115,'Country &amp; Code Abbreviation'!$B$3:$C$245,2,FALSE)</f>
        <v>TW</v>
      </c>
      <c r="D115" s="31" t="str">
        <f>+VLOOKUP(B115,'INT Web'!$B$5:$Q$248,16,FALSE)</f>
        <v>TWD</v>
      </c>
      <c r="E115" s="32" t="s">
        <v>402</v>
      </c>
      <c r="F115" s="129">
        <f>+VLOOKUP($B115,'INT Web'!$B$5:$U$247,'INT Web'!R$1,FALSE)</f>
        <v>3590</v>
      </c>
      <c r="G115" s="129">
        <f>+VLOOKUP($B115,'INT Web'!$B$5:$U$247,'INT Web'!S$1,FALSE)</f>
        <v>540</v>
      </c>
      <c r="H115" s="129">
        <f>+VLOOKUP($B115,'INT Web'!$B$5:$U$247,'INT Web'!T$1,FALSE)</f>
        <v>2720</v>
      </c>
      <c r="I115" s="129">
        <f>+VLOOKUP($B115,'INT Web'!$B$5:$U$247,'INT Web'!U$1,FALSE)</f>
        <v>390</v>
      </c>
      <c r="K115" t="str">
        <f>IF(VLOOKUP($B115,[5]Samsung!$B$3:$I$123,[5]Samsung!$F$1,FALSE)=F115,"same", "PRICE CHANGE")</f>
        <v>same</v>
      </c>
      <c r="L115" t="str">
        <f>IF(VLOOKUP($B115,[5]Samsung!$B$3:$I$123,[5]Samsung!$G$1,FALSE)=G115,"same", "PRICE CHANGE")</f>
        <v>same</v>
      </c>
      <c r="M115" t="str">
        <f>IF(VLOOKUP($B115,[5]Samsung!$B$3:$I$123,[5]Samsung!$H$1,FALSE)=H115,"same", "PRICE CHANGE")</f>
        <v>same</v>
      </c>
      <c r="N115" t="str">
        <f>IF(VLOOKUP($B115,[5]Samsung!$B$3:$I$123,[5]Samsung!$I$1,FALSE)=I115,"same", "PRICE CHANGE")</f>
        <v>same</v>
      </c>
    </row>
    <row r="116" spans="2:14">
      <c r="B116" t="s">
        <v>305</v>
      </c>
      <c r="C116" s="31" t="str">
        <f>+VLOOKUP(B116,'Country &amp; Code Abbreviation'!$B$3:$C$245,2,FALSE)</f>
        <v>UA</v>
      </c>
      <c r="D116" s="31" t="str">
        <f>+VLOOKUP(B116,'INT Web'!$B$5:$Q$248,16,FALSE)</f>
        <v>UAH</v>
      </c>
      <c r="E116" s="32" t="s">
        <v>430</v>
      </c>
      <c r="F116" s="33">
        <f>+VLOOKUP($B116,'INT Web'!$B$5:$U$247,'INT Web'!R$1,FALSE)</f>
        <v>1699.99</v>
      </c>
      <c r="G116" s="33">
        <f>+VLOOKUP($B116,'INT Web'!$B$5:$U$247,'INT Web'!S$1,FALSE)</f>
        <v>282.99</v>
      </c>
      <c r="H116" s="33">
        <f>+VLOOKUP($B116,'INT Web'!$B$5:$U$247,'INT Web'!T$1,FALSE)</f>
        <v>1259.99</v>
      </c>
      <c r="I116" s="33">
        <f>+VLOOKUP($B116,'INT Web'!$B$5:$U$247,'INT Web'!U$1,FALSE)</f>
        <v>209.99</v>
      </c>
      <c r="K116" t="str">
        <f>IF(VLOOKUP($B116,[5]Samsung!$B$3:$I$123,[5]Samsung!$F$1,FALSE)=F116,"same", "PRICE CHANGE")</f>
        <v>same</v>
      </c>
      <c r="L116" t="str">
        <f>IF(VLOOKUP($B116,[5]Samsung!$B$3:$I$123,[5]Samsung!$G$1,FALSE)=G116,"same", "PRICE CHANGE")</f>
        <v>same</v>
      </c>
      <c r="M116" t="str">
        <f>IF(VLOOKUP($B116,[5]Samsung!$B$3:$I$123,[5]Samsung!$H$1,FALSE)=H116,"same", "PRICE CHANGE")</f>
        <v>same</v>
      </c>
      <c r="N116" t="str">
        <f>IF(VLOOKUP($B116,[5]Samsung!$B$3:$I$123,[5]Samsung!$I$1,FALSE)=I116,"same", "PRICE CHANGE")</f>
        <v>same</v>
      </c>
    </row>
    <row r="117" spans="2:14">
      <c r="B117" t="s">
        <v>308</v>
      </c>
      <c r="C117" s="31" t="str">
        <f>+VLOOKUP(B117,'Country &amp; Code Abbreviation'!$B$3:$C$245,2,FALSE)</f>
        <v>UY</v>
      </c>
      <c r="D117" s="31" t="str">
        <f>+VLOOKUP(B117,'INT Web'!$B$5:$Q$248,16,FALSE)</f>
        <v>UYU</v>
      </c>
      <c r="E117" s="32" t="s">
        <v>346</v>
      </c>
      <c r="F117" s="128">
        <f>+VLOOKUP($B117,Apple!$B$3:$I$176,Apple!F$1,FALSE)</f>
        <v>104.99</v>
      </c>
      <c r="G117" s="128">
        <f>+VLOOKUP($B117,Apple!$B$3:$I$176,Apple!G$1,FALSE)</f>
        <v>17.989999999999998</v>
      </c>
      <c r="H117" s="128">
        <f>+VLOOKUP($B117,Apple!$B$3:$I$176,Apple!H$1,FALSE)</f>
        <v>77.989999999999995</v>
      </c>
      <c r="I117" s="128">
        <f>+VLOOKUP($B117,Apple!$B$3:$I$176,Apple!I$1,FALSE)</f>
        <v>12.99</v>
      </c>
      <c r="K117" t="str">
        <f>IF(VLOOKUP($B117,[5]Samsung!$B$3:$I$123,[5]Samsung!$F$1,FALSE)=F117,"same", "PRICE CHANGE")</f>
        <v>same</v>
      </c>
      <c r="L117" t="str">
        <f>IF(VLOOKUP($B117,[5]Samsung!$B$3:$I$123,[5]Samsung!$G$1,FALSE)=G117,"same", "PRICE CHANGE")</f>
        <v>same</v>
      </c>
      <c r="M117" t="str">
        <f>IF(VLOOKUP($B117,[5]Samsung!$B$3:$I$123,[5]Samsung!$H$1,FALSE)=H117,"same", "PRICE CHANGE")</f>
        <v>same</v>
      </c>
      <c r="N117" t="str">
        <f>IF(VLOOKUP($B117,[5]Samsung!$B$3:$I$123,[5]Samsung!$I$1,FALSE)=I117,"same", "PRICE CHANGE")</f>
        <v>same</v>
      </c>
    </row>
    <row r="118" spans="2:14">
      <c r="B118" t="s">
        <v>309</v>
      </c>
      <c r="C118" s="31" t="str">
        <f>+VLOOKUP(B118,'Country &amp; Code Abbreviation'!$B$3:$C$245,2,FALSE)</f>
        <v>UZ</v>
      </c>
      <c r="D118" s="31" t="str">
        <f>+VLOOKUP(B118,'INT Web'!$B$5:$Q$248,16,FALSE)</f>
        <v>UZS</v>
      </c>
      <c r="E118" s="32" t="s">
        <v>346</v>
      </c>
      <c r="F118" s="128">
        <f>+VLOOKUP($B118,Apple!$B$3:$I$176,Apple!F$1,FALSE)</f>
        <v>72.989999999999995</v>
      </c>
      <c r="G118" s="128">
        <f>+VLOOKUP($B118,Apple!$B$3:$I$176,Apple!G$1,FALSE)</f>
        <v>11.99</v>
      </c>
      <c r="H118" s="128">
        <f>+VLOOKUP($B118,Apple!$B$3:$I$176,Apple!H$1,FALSE)</f>
        <v>54.99</v>
      </c>
      <c r="I118" s="128">
        <f>+VLOOKUP($B118,Apple!$B$3:$I$176,Apple!I$1,FALSE)</f>
        <v>8.99</v>
      </c>
      <c r="K118" t="str">
        <f>IF(VLOOKUP($B118,[5]Samsung!$B$3:$I$123,[5]Samsung!$F$1,FALSE)=F118,"same", "PRICE CHANGE")</f>
        <v>same</v>
      </c>
      <c r="L118" t="str">
        <f>IF(VLOOKUP($B118,[5]Samsung!$B$3:$I$123,[5]Samsung!$G$1,FALSE)=G118,"same", "PRICE CHANGE")</f>
        <v>same</v>
      </c>
      <c r="M118" t="str">
        <f>IF(VLOOKUP($B118,[5]Samsung!$B$3:$I$123,[5]Samsung!$H$1,FALSE)=H118,"same", "PRICE CHANGE")</f>
        <v>same</v>
      </c>
      <c r="N118" t="str">
        <f>IF(VLOOKUP($B118,[5]Samsung!$B$3:$I$123,[5]Samsung!$I$1,FALSE)=I118,"same", "PRICE CHANGE")</f>
        <v>same</v>
      </c>
    </row>
    <row r="119" spans="2:14">
      <c r="B119" t="s">
        <v>312</v>
      </c>
      <c r="C119" s="31" t="str">
        <f>+VLOOKUP(B119,'Country &amp; Code Abbreviation'!$B$3:$C$245,2,FALSE)</f>
        <v>VE</v>
      </c>
      <c r="D119" s="31" t="str">
        <f>+VLOOKUP(B119,'INT Web'!$B$5:$Q$248,16,FALSE)</f>
        <v>USD</v>
      </c>
      <c r="E119" s="32" t="s">
        <v>346</v>
      </c>
      <c r="F119" s="128">
        <f>+VLOOKUP($B119,'INT Web'!$B$5:$U$247,'INT Web'!R$1,FALSE)</f>
        <v>95.99</v>
      </c>
      <c r="G119" s="128">
        <f>+VLOOKUP($B119,'INT Web'!$B$5:$U$247,'INT Web'!S$1,FALSE)</f>
        <v>15.99</v>
      </c>
      <c r="H119" s="128">
        <f>+VLOOKUP($B119,'INT Web'!$B$5:$U$247,'INT Web'!T$1,FALSE)</f>
        <v>71.989999999999995</v>
      </c>
      <c r="I119" s="128">
        <f>+VLOOKUP($B119,'INT Web'!$B$5:$U$247,'INT Web'!U$1,FALSE)</f>
        <v>11.99</v>
      </c>
      <c r="K119" t="str">
        <f>IF(VLOOKUP($B119,[5]Samsung!$B$3:$I$123,[5]Samsung!$F$1,FALSE)=F119,"same", "PRICE CHANGE")</f>
        <v>same</v>
      </c>
      <c r="L119" t="str">
        <f>IF(VLOOKUP($B119,[5]Samsung!$B$3:$I$123,[5]Samsung!$G$1,FALSE)=G119,"same", "PRICE CHANGE")</f>
        <v>same</v>
      </c>
      <c r="M119" t="str">
        <f>IF(VLOOKUP($B119,[5]Samsung!$B$3:$I$123,[5]Samsung!$H$1,FALSE)=H119,"same", "PRICE CHANGE")</f>
        <v>same</v>
      </c>
      <c r="N119" t="str">
        <f>IF(VLOOKUP($B119,[5]Samsung!$B$3:$I$123,[5]Samsung!$I$1,FALSE)=I119,"same", "PRICE CHANGE")</f>
        <v>same</v>
      </c>
    </row>
    <row r="120" spans="2:14">
      <c r="B120" t="s">
        <v>313</v>
      </c>
      <c r="C120" s="31" t="str">
        <f>+VLOOKUP(B120,'Country &amp; Code Abbreviation'!$B$3:$C$245,2,FALSE)</f>
        <v>VN</v>
      </c>
      <c r="D120" s="31" t="str">
        <f>+VLOOKUP(B120,'INT Web'!$B$5:$Q$248,16,FALSE)</f>
        <v>VND</v>
      </c>
      <c r="E120" s="32" t="s">
        <v>410</v>
      </c>
      <c r="F120" s="129">
        <f>+VLOOKUP($B120,'INT Web'!$B$5:$U$247,'INT Web'!R$1,FALSE)</f>
        <v>1999900</v>
      </c>
      <c r="G120" s="129">
        <f>+VLOOKUP($B120,'INT Web'!$B$5:$U$247,'INT Web'!S$1,FALSE)</f>
        <v>309000</v>
      </c>
      <c r="H120" s="129">
        <f>+VLOOKUP($B120,'INT Web'!$B$5:$U$247,'INT Web'!T$1,FALSE)</f>
        <v>1539000</v>
      </c>
      <c r="I120" s="129">
        <f>+VLOOKUP($B120,'INT Web'!$B$5:$U$247,'INT Web'!U$1,FALSE)</f>
        <v>220000</v>
      </c>
      <c r="K120" t="str">
        <f>IF(VLOOKUP($B120,[5]Samsung!$B$3:$I$123,[5]Samsung!$F$1,FALSE)=F120,"same", "PRICE CHANGE")</f>
        <v>same</v>
      </c>
      <c r="L120" t="str">
        <f>IF(VLOOKUP($B120,[5]Samsung!$B$3:$I$123,[5]Samsung!$G$1,FALSE)=G120,"same", "PRICE CHANGE")</f>
        <v>same</v>
      </c>
      <c r="M120" t="str">
        <f>IF(VLOOKUP($B120,[5]Samsung!$B$3:$I$123,[5]Samsung!$H$1,FALSE)=H120,"same", "PRICE CHANGE")</f>
        <v>same</v>
      </c>
      <c r="N120" t="str">
        <f>IF(VLOOKUP($B120,[5]Samsung!$B$3:$I$123,[5]Samsung!$I$1,FALSE)=I120,"same", "PRICE CHANGE")</f>
        <v>same</v>
      </c>
    </row>
    <row r="121" spans="2:14">
      <c r="B121" t="s">
        <v>316</v>
      </c>
      <c r="C121" s="31" t="str">
        <f>+VLOOKUP(B121,'Country &amp; Code Abbreviation'!$B$3:$C$245,2,FALSE)</f>
        <v>YE</v>
      </c>
      <c r="D121" s="31" t="str">
        <f>+VLOOKUP(B121,'INT Web'!$B$5:$Q$248,16,FALSE)</f>
        <v>USD</v>
      </c>
      <c r="E121" s="32" t="s">
        <v>442</v>
      </c>
      <c r="F121" s="72">
        <v>19439.990000000002</v>
      </c>
      <c r="G121" s="72">
        <v>3239.99</v>
      </c>
      <c r="H121" s="72">
        <v>14399.99</v>
      </c>
      <c r="I121" s="72">
        <v>2399.9899999999998</v>
      </c>
      <c r="K121" t="str">
        <f>IF(VLOOKUP($B121,[5]Samsung!$B$3:$I$123,[5]Samsung!$F$1,FALSE)=F121,"same", "PRICE CHANGE")</f>
        <v>same</v>
      </c>
      <c r="L121" t="str">
        <f>IF(VLOOKUP($B121,[5]Samsung!$B$3:$I$123,[5]Samsung!$G$1,FALSE)=G121,"same", "PRICE CHANGE")</f>
        <v>same</v>
      </c>
      <c r="M121" t="str">
        <f>IF(VLOOKUP($B121,[5]Samsung!$B$3:$I$123,[5]Samsung!$H$1,FALSE)=H121,"same", "PRICE CHANGE")</f>
        <v>same</v>
      </c>
      <c r="N121" t="str">
        <f>IF(VLOOKUP($B121,[5]Samsung!$B$3:$I$123,[5]Samsung!$I$1,FALSE)=I121,"same", "PRICE CHANGE")</f>
        <v>same</v>
      </c>
    </row>
    <row r="122" spans="2:14">
      <c r="B122" t="s">
        <v>271</v>
      </c>
      <c r="C122" s="31" t="str">
        <f>+VLOOKUP(B122,'Country &amp; Code Abbreviation'!$B$3:$C$245,2,FALSE)</f>
        <v>ZA</v>
      </c>
      <c r="D122" s="31" t="str">
        <f>+VLOOKUP(B122,'INT Web'!$B$5:$Q$248,16,FALSE)</f>
        <v>ZAR</v>
      </c>
      <c r="E122" s="32" t="s">
        <v>397</v>
      </c>
      <c r="F122" s="33">
        <f>+VLOOKUP($B122,'INT Web'!$B$5:$U$247,'INT Web'!R$1,FALSE)</f>
        <v>1133.99</v>
      </c>
      <c r="G122" s="33">
        <f>+VLOOKUP($B122,'INT Web'!$B$5:$U$247,'INT Web'!S$1,FALSE)</f>
        <v>188.99</v>
      </c>
      <c r="H122" s="33">
        <f>+VLOOKUP($B122,'INT Web'!$B$5:$U$247,'INT Web'!T$1,FALSE)</f>
        <v>839.99</v>
      </c>
      <c r="I122" s="33">
        <f>+VLOOKUP($B122,'INT Web'!$B$5:$U$247,'INT Web'!U$1,FALSE)</f>
        <v>139.99</v>
      </c>
      <c r="K122" t="str">
        <f>IF(VLOOKUP($B122,[5]Samsung!$B$3:$I$123,[5]Samsung!$F$1,FALSE)=F122,"same", "PRICE CHANGE")</f>
        <v>same</v>
      </c>
      <c r="L122" t="str">
        <f>IF(VLOOKUP($B122,[5]Samsung!$B$3:$I$123,[5]Samsung!$G$1,FALSE)=G122,"same", "PRICE CHANGE")</f>
        <v>same</v>
      </c>
      <c r="M122" t="str">
        <f>IF(VLOOKUP($B122,[5]Samsung!$B$3:$I$123,[5]Samsung!$H$1,FALSE)=H122,"same", "PRICE CHANGE")</f>
        <v>same</v>
      </c>
      <c r="N122" t="str">
        <f>IF(VLOOKUP($B122,[5]Samsung!$B$3:$I$123,[5]Samsung!$I$1,FALSE)=I122,"same", "PRICE CHANGE")</f>
        <v>same</v>
      </c>
    </row>
  </sheetData>
  <autoFilter ref="B2:I122" xr:uid="{92A1A361-C64E-4B4E-A642-92177AFF9076}"/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475C-96FE-4083-9AE3-DD8FA3513275}">
  <sheetPr>
    <tabColor theme="1"/>
  </sheetPr>
  <dimension ref="A1"/>
  <sheetViews>
    <sheetView showGridLines="0" workbookViewId="0"/>
  </sheetViews>
  <sheetFormatPr defaultColWidth="8.6328125" defaultRowHeight="12.5"/>
  <cols>
    <col min="1" max="16384" width="8.6328125" style="30"/>
  </cols>
  <sheetData/>
  <pageMargins left="0.7" right="0.7" top="0.75" bottom="0.75" header="0.3" footer="0.3"/>
  <headerFooter>
    <oddFooter>&amp;C_x000D_&amp;1#&amp;"Aptos"&amp;10&amp;K000000 NBA - Internal Use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B243-A459-408F-94CA-EC77A26420A6}">
  <sheetPr>
    <tabColor rgb="FFFFFF00"/>
  </sheetPr>
  <dimension ref="A1:AP248"/>
  <sheetViews>
    <sheetView zoomScale="85" zoomScaleNormal="85" workbookViewId="0">
      <pane xSplit="6" ySplit="4" topLeftCell="S5" activePane="bottomRight" state="frozen"/>
      <selection pane="topRight" activeCell="G1" sqref="G1"/>
      <selection pane="bottomLeft" activeCell="A5" sqref="A5"/>
      <selection pane="bottomRight" activeCell="S5" sqref="S5"/>
    </sheetView>
  </sheetViews>
  <sheetFormatPr defaultColWidth="9.453125" defaultRowHeight="12.5" outlineLevelRow="1" outlineLevelCol="2"/>
  <cols>
    <col min="1" max="1" width="1.6328125" customWidth="1"/>
    <col min="2" max="2" width="29.453125" bestFit="1" customWidth="1"/>
    <col min="3" max="3" width="13.54296875" bestFit="1" customWidth="1"/>
    <col min="4" max="4" width="16.54296875" bestFit="1" customWidth="1"/>
    <col min="5" max="5" width="15.453125" style="6" bestFit="1" customWidth="1"/>
    <col min="6" max="6" width="18.453125" style="7" hidden="1" customWidth="1" outlineLevel="1"/>
    <col min="7" max="7" width="25.453125" style="7" hidden="1" customWidth="1" outlineLevel="1"/>
    <col min="8" max="8" width="26.6328125" style="7" hidden="1" customWidth="1" outlineLevel="1"/>
    <col min="9" max="9" width="21" style="7" hidden="1" customWidth="1" outlineLevel="2"/>
    <col min="10" max="10" width="22.453125" style="7" hidden="1" customWidth="1" outlineLevel="2"/>
    <col min="11" max="11" width="28.453125" style="7" hidden="1" customWidth="1" outlineLevel="2"/>
    <col min="12" max="12" width="29.453125" style="7" hidden="1" customWidth="1" outlineLevel="2"/>
    <col min="13" max="13" width="23.453125" style="7" hidden="1" customWidth="1" outlineLevel="1"/>
    <col min="14" max="14" width="12.54296875" style="7" hidden="1" customWidth="1" outlineLevel="1"/>
    <col min="15" max="15" width="15.453125" style="7" hidden="1" customWidth="1" outlineLevel="1"/>
    <col min="16" max="17" width="16.453125" style="7" hidden="1" customWidth="1" outlineLevel="1"/>
    <col min="18" max="18" width="17.453125" style="7" hidden="1" customWidth="1" outlineLevel="1"/>
    <col min="19" max="19" width="34.453125" style="6" customWidth="1" collapsed="1"/>
    <col min="20" max="20" width="20.54296875" style="9" bestFit="1" customWidth="1"/>
    <col min="21" max="21" width="12" style="7" bestFit="1" customWidth="1"/>
    <col min="22" max="22" width="16.453125" style="7" bestFit="1" customWidth="1"/>
    <col min="23" max="23" width="16.54296875" style="7" bestFit="1" customWidth="1"/>
    <col min="24" max="24" width="20.54296875" style="9" bestFit="1" customWidth="1"/>
    <col min="25" max="25" width="12" bestFit="1" customWidth="1"/>
    <col min="26" max="26" width="16.453125" bestFit="1" customWidth="1"/>
    <col min="27" max="27" width="16.54296875" bestFit="1" customWidth="1"/>
    <col min="28" max="28" width="23.453125" bestFit="1" customWidth="1"/>
    <col min="29" max="29" width="20.54296875" style="9" hidden="1" customWidth="1" outlineLevel="1"/>
    <col min="30" max="30" width="12" hidden="1" customWidth="1" outlineLevel="1"/>
    <col min="31" max="31" width="16.453125" hidden="1" customWidth="1" outlineLevel="1"/>
    <col min="32" max="32" width="16.54296875" hidden="1" customWidth="1" outlineLevel="1"/>
    <col min="33" max="33" width="23.453125" hidden="1" customWidth="1" outlineLevel="1"/>
    <col min="34" max="34" width="20.54296875" style="9" hidden="1" customWidth="1" outlineLevel="1"/>
    <col min="35" max="35" width="12" hidden="1" customWidth="1" outlineLevel="1"/>
    <col min="36" max="36" width="16.453125" hidden="1" customWidth="1" outlineLevel="1"/>
    <col min="37" max="37" width="16.54296875" hidden="1" customWidth="1" outlineLevel="1"/>
    <col min="38" max="38" width="23.453125" hidden="1" customWidth="1" outlineLevel="1"/>
    <col min="39" max="39" width="17.6328125" bestFit="1" customWidth="1" collapsed="1"/>
    <col min="40" max="40" width="15.36328125" bestFit="1" customWidth="1"/>
    <col min="41" max="41" width="25.6328125" bestFit="1" customWidth="1"/>
    <col min="42" max="42" width="17.6328125" bestFit="1" customWidth="1"/>
  </cols>
  <sheetData>
    <row r="1" spans="1:42">
      <c r="B1">
        <v>1</v>
      </c>
      <c r="C1">
        <f>+B1+1</f>
        <v>2</v>
      </c>
      <c r="D1">
        <f t="shared" ref="D1:AL1" si="0">+C1+1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ref="AM1" si="1">+AL1+1</f>
        <v>38</v>
      </c>
      <c r="AN1">
        <f t="shared" ref="AN1" si="2">+AM1+1</f>
        <v>39</v>
      </c>
      <c r="AO1">
        <f t="shared" ref="AO1" si="3">+AN1+1</f>
        <v>40</v>
      </c>
      <c r="AP1">
        <f t="shared" ref="AP1" si="4">+AO1+1</f>
        <v>41</v>
      </c>
    </row>
    <row r="2" spans="1:42"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AC2"/>
      <c r="AH2"/>
    </row>
    <row r="3" spans="1:42" ht="13">
      <c r="B3" s="6"/>
      <c r="C3" s="6"/>
      <c r="D3" s="5" t="s">
        <v>443</v>
      </c>
      <c r="E3" s="5" t="s">
        <v>444</v>
      </c>
      <c r="F3" s="14" t="s">
        <v>445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5" t="s">
        <v>446</v>
      </c>
      <c r="T3" s="17" t="s">
        <v>447</v>
      </c>
      <c r="U3" s="174"/>
      <c r="V3" s="174"/>
      <c r="W3" s="174"/>
      <c r="X3" s="18" t="s">
        <v>448</v>
      </c>
      <c r="Y3" s="19"/>
      <c r="Z3" s="19"/>
      <c r="AA3" s="19"/>
      <c r="AB3" s="19"/>
      <c r="AC3" s="175" t="s">
        <v>449</v>
      </c>
      <c r="AD3" s="176"/>
      <c r="AE3" s="176"/>
      <c r="AF3" s="176"/>
      <c r="AG3" s="176"/>
      <c r="AH3" s="177" t="s">
        <v>450</v>
      </c>
      <c r="AI3" s="178"/>
      <c r="AJ3" s="178"/>
      <c r="AK3" s="178"/>
      <c r="AL3" s="178"/>
      <c r="AM3" s="198" t="s">
        <v>451</v>
      </c>
      <c r="AN3" s="198" t="s">
        <v>452</v>
      </c>
      <c r="AO3" s="198" t="s">
        <v>453</v>
      </c>
      <c r="AP3" s="198" t="s">
        <v>454</v>
      </c>
    </row>
    <row r="4" spans="1:42" ht="13">
      <c r="A4" s="41"/>
      <c r="B4" s="5" t="s">
        <v>31</v>
      </c>
      <c r="C4" s="5" t="s">
        <v>32</v>
      </c>
      <c r="D4" s="5" t="s">
        <v>455</v>
      </c>
      <c r="E4" s="5" t="s">
        <v>456</v>
      </c>
      <c r="F4" s="179" t="s">
        <v>360</v>
      </c>
      <c r="G4" s="179" t="s">
        <v>457</v>
      </c>
      <c r="H4" s="179" t="s">
        <v>458</v>
      </c>
      <c r="I4" s="179" t="s">
        <v>459</v>
      </c>
      <c r="J4" s="179" t="s">
        <v>460</v>
      </c>
      <c r="K4" s="179" t="s">
        <v>461</v>
      </c>
      <c r="L4" s="179" t="s">
        <v>462</v>
      </c>
      <c r="M4" s="179" t="s">
        <v>463</v>
      </c>
      <c r="N4" s="179" t="s">
        <v>464</v>
      </c>
      <c r="O4" s="179" t="s">
        <v>465</v>
      </c>
      <c r="P4" s="179" t="s">
        <v>466</v>
      </c>
      <c r="Q4" s="179" t="s">
        <v>467</v>
      </c>
      <c r="R4" s="179" t="s">
        <v>468</v>
      </c>
      <c r="S4" s="180" t="s">
        <v>469</v>
      </c>
      <c r="T4" s="181" t="s">
        <v>470</v>
      </c>
      <c r="U4" s="181" t="s">
        <v>471</v>
      </c>
      <c r="V4" s="181" t="s">
        <v>472</v>
      </c>
      <c r="W4" s="181" t="s">
        <v>473</v>
      </c>
      <c r="X4" s="182" t="s">
        <v>470</v>
      </c>
      <c r="Y4" s="182" t="s">
        <v>471</v>
      </c>
      <c r="Z4" s="182" t="s">
        <v>472</v>
      </c>
      <c r="AA4" s="182" t="s">
        <v>473</v>
      </c>
      <c r="AB4" s="182" t="s">
        <v>474</v>
      </c>
      <c r="AC4" s="183" t="s">
        <v>470</v>
      </c>
      <c r="AD4" s="183" t="s">
        <v>471</v>
      </c>
      <c r="AE4" s="183" t="s">
        <v>472</v>
      </c>
      <c r="AF4" s="183" t="s">
        <v>473</v>
      </c>
      <c r="AG4" s="183" t="s">
        <v>475</v>
      </c>
      <c r="AH4" s="184" t="s">
        <v>470</v>
      </c>
      <c r="AI4" s="184" t="s">
        <v>471</v>
      </c>
      <c r="AJ4" s="184" t="s">
        <v>472</v>
      </c>
      <c r="AK4" s="184" t="s">
        <v>473</v>
      </c>
      <c r="AL4" s="184" t="s">
        <v>475</v>
      </c>
      <c r="AM4" s="179" t="s">
        <v>476</v>
      </c>
      <c r="AN4" s="179" t="s">
        <v>476</v>
      </c>
      <c r="AO4" s="179" t="s">
        <v>476</v>
      </c>
      <c r="AP4" s="179" t="s">
        <v>476</v>
      </c>
    </row>
    <row r="5" spans="1:42" ht="13">
      <c r="B5" s="20" t="s">
        <v>70</v>
      </c>
      <c r="C5" s="20" t="s">
        <v>182</v>
      </c>
      <c r="D5" s="6"/>
      <c r="E5" s="6" t="str">
        <f>IF(VLOOKUP(B5,'[7]FY25 PRICING'!$B$5:$AL$246,'[7]FY25 PRICING'!$E$1,FALSE)=0,"","x")</f>
        <v/>
      </c>
      <c r="F5" s="11" t="str">
        <f>+VLOOKUP($B5,'[1]INT Web'!$B$5:$AS$247,'[1]INT Web'!$Q$1,FALSE)</f>
        <v>USD</v>
      </c>
      <c r="G5" s="22">
        <f>+VLOOKUP($B5,'[1]INT Web'!$B$5:$AS$247,'[1]INT Web'!$U$1,FALSE)</f>
        <v>8.99</v>
      </c>
      <c r="H5" s="22">
        <f>+VLOOKUP($B5,'[1]INT Web'!$B$5:$AS$247,'[1]INT Web'!$S$1,FALSE)</f>
        <v>11.99</v>
      </c>
      <c r="I5" s="22">
        <f>+VLOOKUP($B5,'[1]INT Web'!$B$5:$AS$247,'[1]INT Web'!$T$1,FALSE)</f>
        <v>53.99</v>
      </c>
      <c r="J5" s="22">
        <f>+VLOOKUP($B5,'[1]INT Web'!$B$5:$AS$247,'[1]INT Web'!$R$1,FALSE)</f>
        <v>71.989999999999995</v>
      </c>
      <c r="K5" s="185">
        <f t="shared" ref="K5:L68" si="5">+I5/G5</f>
        <v>6.0055617352614012</v>
      </c>
      <c r="L5" s="185">
        <f t="shared" si="5"/>
        <v>6.0041701417848206</v>
      </c>
      <c r="M5" s="185">
        <f t="shared" ref="M5:M68" si="6">+H5/G5</f>
        <v>1.3337041156840934</v>
      </c>
      <c r="N5" s="186">
        <v>1</v>
      </c>
      <c r="O5" s="187">
        <f t="shared" ref="O5:R68" si="7">+G5*$N5</f>
        <v>8.99</v>
      </c>
      <c r="P5" s="187">
        <f t="shared" si="7"/>
        <v>11.99</v>
      </c>
      <c r="Q5" s="187">
        <f t="shared" si="7"/>
        <v>53.99</v>
      </c>
      <c r="R5" s="187">
        <f t="shared" si="7"/>
        <v>71.989999999999995</v>
      </c>
      <c r="S5" s="6">
        <v>0</v>
      </c>
      <c r="T5" s="104">
        <f>+IF(AND($S5&lt;&gt;"PML",$S5&lt;&gt;"EVP"),G5,"EVALUATE")</f>
        <v>8.99</v>
      </c>
      <c r="U5" s="187">
        <f t="shared" ref="U5:U68" si="8">+T5*$N5</f>
        <v>8.99</v>
      </c>
      <c r="V5" s="188">
        <f t="shared" ref="V5:V68" si="9">+IF(T5=0,"",T5-G5)</f>
        <v>0</v>
      </c>
      <c r="W5" s="189">
        <f t="shared" ref="W5:W68" si="10">+IF(T5=0,"",T5/G5-1)</f>
        <v>0</v>
      </c>
      <c r="X5" s="104">
        <f>+IF(AND($S5&lt;&gt;"PML",$S5&lt;&gt;"EVP"),H5,"EVALUATE")</f>
        <v>11.99</v>
      </c>
      <c r="Y5" s="187">
        <f t="shared" ref="Y5:Y68" si="11">+X5*$N5</f>
        <v>11.99</v>
      </c>
      <c r="Z5" s="188">
        <f t="shared" ref="Z5:Z68" si="12">+IF(X5=0,"",X5-H5)</f>
        <v>0</v>
      </c>
      <c r="AA5" s="189">
        <f t="shared" ref="AA5:AA68" si="13">+IF(X5=0,"",X5/H5-1)</f>
        <v>0</v>
      </c>
      <c r="AB5" s="185">
        <f t="shared" ref="AB5:AB68" si="14">+IFERROR(X5/T5,"")</f>
        <v>1.3337041156840934</v>
      </c>
      <c r="AC5" s="104">
        <f>+IF(AND($S5&lt;&gt;"PML",$S5&lt;&gt;"EVP"),I5,"EVALUATE")</f>
        <v>53.99</v>
      </c>
      <c r="AD5" s="187">
        <f t="shared" ref="AD5:AD68" si="15">+AC5*$N5</f>
        <v>53.99</v>
      </c>
      <c r="AE5" s="188">
        <f t="shared" ref="AE5:AE68" si="16">+IF(AC5=0,"",AC5-I5)</f>
        <v>0</v>
      </c>
      <c r="AF5" s="189">
        <f t="shared" ref="AF5:AF68" si="17">+IF(AC5=0,"",AC5/I5-1)</f>
        <v>0</v>
      </c>
      <c r="AG5" s="185">
        <f t="shared" ref="AG5:AG68" si="18">+IFERROR(AC5/T5,"")</f>
        <v>6.0055617352614012</v>
      </c>
      <c r="AH5" s="104">
        <f>+IF(AND($S5&lt;&gt;"PML",$S5&lt;&gt;"EVP"),J5,"EVALUATE")</f>
        <v>71.989999999999995</v>
      </c>
      <c r="AI5" s="187">
        <f t="shared" ref="AI5:AI68" si="19">+AH5*$N5</f>
        <v>71.989999999999995</v>
      </c>
      <c r="AJ5" s="188">
        <f t="shared" ref="AJ5:AJ68" si="20">+IF(AH5=0,"",AH5-J5)</f>
        <v>0</v>
      </c>
      <c r="AK5" s="189">
        <f t="shared" ref="AK5:AK68" si="21">+IF(AH5=0,"",AH5/J5-1)</f>
        <v>0</v>
      </c>
      <c r="AL5" s="185">
        <f t="shared" ref="AL5:AL68" si="22">+IFERROR(AH5/X5,"")</f>
        <v>6.0041701417848206</v>
      </c>
      <c r="AM5" s="6" t="str">
        <f>+IF($S5="PML","No Intro Offer","30% Off SL / Annual")</f>
        <v>30% Off SL / Annual</v>
      </c>
      <c r="AN5" s="6" t="str">
        <f>+IF(OR($S5="EVP",$S5="SA",$S5=0),"15% Off All SKUs","Messaging Only")</f>
        <v>15% Off All SKUs</v>
      </c>
      <c r="AO5" s="6" t="str">
        <f t="shared" ref="AO5:AO68" si="23">+IF(AN5="15% Off All SKUs", "Monthly: 100% Off Next Month","Messaging / Pause Flow")</f>
        <v>Monthly: 100% Off Next Month</v>
      </c>
      <c r="AP5" s="6" t="str">
        <f>+IF(OR($S5="SVO",$S5="EVP",$S5="SA",$S5=0),"50% Off SL / Annual","50% Off LPP Only")</f>
        <v>50% Off SL / Annual</v>
      </c>
    </row>
    <row r="6" spans="1:42" ht="13">
      <c r="B6" s="20" t="s">
        <v>71</v>
      </c>
      <c r="C6" s="20" t="s">
        <v>100</v>
      </c>
      <c r="D6" s="6"/>
      <c r="E6" s="6" t="str">
        <f>IF(VLOOKUP(B6,'[7]FY25 PRICING'!$B$5:$AL$246,'[7]FY25 PRICING'!$E$1,FALSE)=0,"","x")</f>
        <v/>
      </c>
      <c r="F6" s="11" t="str">
        <f>+VLOOKUP($B6,'[1]INT Web'!$B$5:$AS$247,'[1]INT Web'!$Q$1,FALSE)</f>
        <v>EUR</v>
      </c>
      <c r="G6" s="22">
        <f>+VLOOKUP($B6,'[1]INT Web'!$B$5:$AS$247,'[1]INT Web'!$U$1,FALSE)</f>
        <v>14.99</v>
      </c>
      <c r="H6" s="22">
        <f>+VLOOKUP($B6,'[1]INT Web'!$B$5:$AS$247,'[1]INT Web'!$S$1,FALSE)</f>
        <v>19.989999999999998</v>
      </c>
      <c r="I6" s="22">
        <f>+VLOOKUP($B6,'[1]INT Web'!$B$5:$AS$247,'[1]INT Web'!$T$1,FALSE)</f>
        <v>89.99</v>
      </c>
      <c r="J6" s="22">
        <f>+VLOOKUP($B6,'[1]INT Web'!$B$5:$AS$247,'[1]INT Web'!$R$1,FALSE)</f>
        <v>119.99</v>
      </c>
      <c r="K6" s="185">
        <f t="shared" si="5"/>
        <v>6.0033355570380253</v>
      </c>
      <c r="L6" s="185">
        <f t="shared" si="5"/>
        <v>6.002501250625313</v>
      </c>
      <c r="M6" s="185">
        <f t="shared" si="6"/>
        <v>1.333555703802535</v>
      </c>
      <c r="N6" s="186">
        <v>1.1469499999999999</v>
      </c>
      <c r="O6" s="187">
        <f t="shared" si="7"/>
        <v>17.192780499999998</v>
      </c>
      <c r="P6" s="187">
        <f t="shared" si="7"/>
        <v>22.927530499999996</v>
      </c>
      <c r="Q6" s="187">
        <f t="shared" si="7"/>
        <v>103.21403049999999</v>
      </c>
      <c r="R6" s="187">
        <f t="shared" si="7"/>
        <v>137.62253049999998</v>
      </c>
      <c r="S6" s="6">
        <v>0</v>
      </c>
      <c r="T6" s="104">
        <f t="shared" ref="T6:T69" si="24">+IF(AND($S6&lt;&gt;"PML",$S6&lt;&gt;"EVP"),G6,"EVALUATE")</f>
        <v>14.99</v>
      </c>
      <c r="U6" s="187">
        <f t="shared" si="8"/>
        <v>17.192780499999998</v>
      </c>
      <c r="V6" s="188">
        <f t="shared" si="9"/>
        <v>0</v>
      </c>
      <c r="W6" s="189">
        <f t="shared" si="10"/>
        <v>0</v>
      </c>
      <c r="X6" s="104">
        <f t="shared" ref="X6:X69" si="25">+IF(AND($S6&lt;&gt;"PML",$S6&lt;&gt;"EVP"),H6,"EVALUATE")</f>
        <v>19.989999999999998</v>
      </c>
      <c r="Y6" s="187">
        <f t="shared" si="11"/>
        <v>22.927530499999996</v>
      </c>
      <c r="Z6" s="188">
        <f t="shared" si="12"/>
        <v>0</v>
      </c>
      <c r="AA6" s="189">
        <f t="shared" si="13"/>
        <v>0</v>
      </c>
      <c r="AB6" s="185">
        <f t="shared" si="14"/>
        <v>1.333555703802535</v>
      </c>
      <c r="AC6" s="104">
        <f t="shared" ref="AC6:AC69" si="26">+IF(AND($S6&lt;&gt;"PML",$S6&lt;&gt;"EVP"),I6,"EVALUATE")</f>
        <v>89.99</v>
      </c>
      <c r="AD6" s="187">
        <f t="shared" si="15"/>
        <v>103.21403049999999</v>
      </c>
      <c r="AE6" s="188">
        <f t="shared" si="16"/>
        <v>0</v>
      </c>
      <c r="AF6" s="189">
        <f t="shared" si="17"/>
        <v>0</v>
      </c>
      <c r="AG6" s="185">
        <f t="shared" si="18"/>
        <v>6.0033355570380253</v>
      </c>
      <c r="AH6" s="104">
        <f t="shared" ref="AH6:AH69" si="27">+IF(AND($S6&lt;&gt;"PML",$S6&lt;&gt;"EVP"),J6,"EVALUATE")</f>
        <v>119.99</v>
      </c>
      <c r="AI6" s="187">
        <f t="shared" si="19"/>
        <v>137.62253049999998</v>
      </c>
      <c r="AJ6" s="188">
        <f t="shared" si="20"/>
        <v>0</v>
      </c>
      <c r="AK6" s="189">
        <f t="shared" si="21"/>
        <v>0</v>
      </c>
      <c r="AL6" s="185">
        <f t="shared" si="22"/>
        <v>6.002501250625313</v>
      </c>
      <c r="AM6" s="6" t="str">
        <f t="shared" ref="AM6:AM69" si="28">+IF($S6="PML","No Intro Offer","30% Off SL / Annual")</f>
        <v>30% Off SL / Annual</v>
      </c>
      <c r="AN6" s="6" t="str">
        <f t="shared" ref="AN6:AN69" si="29">+IF(OR($S6="EVP",$S6="SA",$S6=0),"15% Off All SKUs","Messaging Only")</f>
        <v>15% Off All SKUs</v>
      </c>
      <c r="AO6" s="6" t="str">
        <f t="shared" si="23"/>
        <v>Monthly: 100% Off Next Month</v>
      </c>
      <c r="AP6" s="6" t="str">
        <f t="shared" ref="AP6:AP69" si="30">+IF(OR($S6="SVO",$S6="EVP",$S6="SA",$S6=0),"50% Off SL / Annual","50% Off LPP Only")</f>
        <v>50% Off SL / Annual</v>
      </c>
    </row>
    <row r="7" spans="1:42" ht="13">
      <c r="B7" s="20" t="s">
        <v>73</v>
      </c>
      <c r="C7" s="20" t="s">
        <v>100</v>
      </c>
      <c r="D7" s="6"/>
      <c r="E7" s="6" t="str">
        <f>IF(VLOOKUP(B7,'[7]FY25 PRICING'!$B$5:$AL$246,'[7]FY25 PRICING'!$E$1,FALSE)=0,"","x")</f>
        <v/>
      </c>
      <c r="F7" s="11" t="str">
        <f>+VLOOKUP($B7,'[1]INT Web'!$B$5:$AS$247,'[1]INT Web'!$Q$1,FALSE)</f>
        <v>ALL</v>
      </c>
      <c r="G7" s="22">
        <f>+VLOOKUP($B7,'[1]INT Web'!$B$5:$AS$247,'[1]INT Web'!$U$1,FALSE)</f>
        <v>1199.99</v>
      </c>
      <c r="H7" s="22">
        <f>+VLOOKUP($B7,'[1]INT Web'!$B$5:$AS$247,'[1]INT Web'!$S$1,FALSE)</f>
        <v>1619.99</v>
      </c>
      <c r="I7" s="22">
        <f>+VLOOKUP($B7,'[1]INT Web'!$B$5:$AS$247,'[1]INT Web'!$T$1,FALSE)</f>
        <v>7199.99</v>
      </c>
      <c r="J7" s="22">
        <f>+VLOOKUP($B7,'[1]INT Web'!$B$5:$AS$247,'[1]INT Web'!$R$1,FALSE)</f>
        <v>9719.99</v>
      </c>
      <c r="K7" s="185">
        <f t="shared" si="5"/>
        <v>6.0000416670138916</v>
      </c>
      <c r="L7" s="185">
        <f t="shared" si="5"/>
        <v>6.0000308643880516</v>
      </c>
      <c r="M7" s="185">
        <f t="shared" si="6"/>
        <v>1.3500029166909724</v>
      </c>
      <c r="N7" s="186">
        <v>1.2137395E-2</v>
      </c>
      <c r="O7" s="187">
        <f t="shared" si="7"/>
        <v>14.564752626050002</v>
      </c>
      <c r="P7" s="187">
        <f t="shared" si="7"/>
        <v>19.662458526049999</v>
      </c>
      <c r="Q7" s="187">
        <f t="shared" si="7"/>
        <v>87.389122626049996</v>
      </c>
      <c r="R7" s="187">
        <f t="shared" si="7"/>
        <v>117.97535802605</v>
      </c>
      <c r="S7" s="6">
        <v>0</v>
      </c>
      <c r="T7" s="104">
        <f t="shared" si="24"/>
        <v>1199.99</v>
      </c>
      <c r="U7" s="187">
        <f t="shared" si="8"/>
        <v>14.564752626050002</v>
      </c>
      <c r="V7" s="188">
        <f t="shared" si="9"/>
        <v>0</v>
      </c>
      <c r="W7" s="189">
        <f t="shared" si="10"/>
        <v>0</v>
      </c>
      <c r="X7" s="104">
        <f t="shared" si="25"/>
        <v>1619.99</v>
      </c>
      <c r="Y7" s="187">
        <f t="shared" si="11"/>
        <v>19.662458526049999</v>
      </c>
      <c r="Z7" s="188">
        <f t="shared" si="12"/>
        <v>0</v>
      </c>
      <c r="AA7" s="189">
        <f t="shared" si="13"/>
        <v>0</v>
      </c>
      <c r="AB7" s="185">
        <f t="shared" si="14"/>
        <v>1.3500029166909724</v>
      </c>
      <c r="AC7" s="104">
        <f t="shared" si="26"/>
        <v>7199.99</v>
      </c>
      <c r="AD7" s="187">
        <f t="shared" si="15"/>
        <v>87.389122626049996</v>
      </c>
      <c r="AE7" s="188">
        <f t="shared" si="16"/>
        <v>0</v>
      </c>
      <c r="AF7" s="189">
        <f t="shared" si="17"/>
        <v>0</v>
      </c>
      <c r="AG7" s="185">
        <f t="shared" si="18"/>
        <v>6.0000416670138916</v>
      </c>
      <c r="AH7" s="104">
        <f t="shared" si="27"/>
        <v>9719.99</v>
      </c>
      <c r="AI7" s="187">
        <f t="shared" si="19"/>
        <v>117.97535802605</v>
      </c>
      <c r="AJ7" s="188">
        <f t="shared" si="20"/>
        <v>0</v>
      </c>
      <c r="AK7" s="189">
        <f t="shared" si="21"/>
        <v>0</v>
      </c>
      <c r="AL7" s="185">
        <f t="shared" si="22"/>
        <v>6.0000308643880516</v>
      </c>
      <c r="AM7" s="6" t="str">
        <f t="shared" si="28"/>
        <v>30% Off SL / Annual</v>
      </c>
      <c r="AN7" s="6" t="str">
        <f t="shared" si="29"/>
        <v>15% Off All SKUs</v>
      </c>
      <c r="AO7" s="6" t="str">
        <f t="shared" si="23"/>
        <v>Monthly: 100% Off Next Month</v>
      </c>
      <c r="AP7" s="6" t="str">
        <f t="shared" si="30"/>
        <v>50% Off SL / Annual</v>
      </c>
    </row>
    <row r="8" spans="1:42" ht="13">
      <c r="B8" s="20" t="s">
        <v>74</v>
      </c>
      <c r="C8" s="20" t="s">
        <v>270</v>
      </c>
      <c r="D8" s="6"/>
      <c r="E8" s="6" t="str">
        <f>IF(VLOOKUP(B8,'[7]FY25 PRICING'!$B$5:$AL$246,'[7]FY25 PRICING'!$E$1,FALSE)=0,"","x")</f>
        <v/>
      </c>
      <c r="F8" s="11" t="str">
        <f>+VLOOKUP($B8,'[1]INT Web'!$B$5:$AS$247,'[1]INT Web'!$Q$1,FALSE)</f>
        <v>DZD</v>
      </c>
      <c r="G8" s="22">
        <f>+VLOOKUP($B8,'[1]INT Web'!$B$5:$AS$247,'[1]INT Web'!$U$1,FALSE)</f>
        <v>999.99</v>
      </c>
      <c r="H8" s="22">
        <f>+VLOOKUP($B8,'[1]INT Web'!$B$5:$AS$247,'[1]INT Web'!$S$1,FALSE)</f>
        <v>1349.99</v>
      </c>
      <c r="I8" s="22">
        <f>+VLOOKUP($B8,'[1]INT Web'!$B$5:$AS$247,'[1]INT Web'!$T$1,FALSE)</f>
        <v>5999.99</v>
      </c>
      <c r="J8" s="22">
        <f>+VLOOKUP($B8,'[1]INT Web'!$B$5:$AS$247,'[1]INT Web'!$R$1,FALSE)</f>
        <v>8099.99</v>
      </c>
      <c r="K8" s="185">
        <f t="shared" si="5"/>
        <v>6.0000500005000044</v>
      </c>
      <c r="L8" s="185">
        <f t="shared" si="5"/>
        <v>6.0000370373113876</v>
      </c>
      <c r="M8" s="185">
        <f t="shared" si="6"/>
        <v>1.3500035000350004</v>
      </c>
      <c r="N8" s="186">
        <v>7.4995686000000001E-3</v>
      </c>
      <c r="O8" s="187">
        <f t="shared" si="7"/>
        <v>7.4994936043139999</v>
      </c>
      <c r="P8" s="187">
        <f t="shared" si="7"/>
        <v>10.124342614314001</v>
      </c>
      <c r="Q8" s="187">
        <f t="shared" si="7"/>
        <v>44.997336604314</v>
      </c>
      <c r="R8" s="187">
        <f t="shared" si="7"/>
        <v>60.746430664313998</v>
      </c>
      <c r="S8" s="6">
        <v>0</v>
      </c>
      <c r="T8" s="104">
        <f t="shared" si="24"/>
        <v>999.99</v>
      </c>
      <c r="U8" s="187">
        <f t="shared" si="8"/>
        <v>7.4994936043139999</v>
      </c>
      <c r="V8" s="188">
        <f t="shared" si="9"/>
        <v>0</v>
      </c>
      <c r="W8" s="189">
        <f t="shared" si="10"/>
        <v>0</v>
      </c>
      <c r="X8" s="104">
        <f t="shared" si="25"/>
        <v>1349.99</v>
      </c>
      <c r="Y8" s="187">
        <f t="shared" si="11"/>
        <v>10.124342614314001</v>
      </c>
      <c r="Z8" s="188">
        <f t="shared" si="12"/>
        <v>0</v>
      </c>
      <c r="AA8" s="189">
        <f t="shared" si="13"/>
        <v>0</v>
      </c>
      <c r="AB8" s="185">
        <f t="shared" si="14"/>
        <v>1.3500035000350004</v>
      </c>
      <c r="AC8" s="104">
        <f t="shared" si="26"/>
        <v>5999.99</v>
      </c>
      <c r="AD8" s="187">
        <f t="shared" si="15"/>
        <v>44.997336604314</v>
      </c>
      <c r="AE8" s="188">
        <f t="shared" si="16"/>
        <v>0</v>
      </c>
      <c r="AF8" s="189">
        <f t="shared" si="17"/>
        <v>0</v>
      </c>
      <c r="AG8" s="185">
        <f t="shared" si="18"/>
        <v>6.0000500005000044</v>
      </c>
      <c r="AH8" s="104">
        <f t="shared" si="27"/>
        <v>8099.99</v>
      </c>
      <c r="AI8" s="187">
        <f t="shared" si="19"/>
        <v>60.746430664313998</v>
      </c>
      <c r="AJ8" s="188">
        <f t="shared" si="20"/>
        <v>0</v>
      </c>
      <c r="AK8" s="189">
        <f t="shared" si="21"/>
        <v>0</v>
      </c>
      <c r="AL8" s="185">
        <f t="shared" si="22"/>
        <v>6.0000370373113876</v>
      </c>
      <c r="AM8" s="6" t="str">
        <f t="shared" si="28"/>
        <v>30% Off SL / Annual</v>
      </c>
      <c r="AN8" s="6" t="str">
        <f t="shared" si="29"/>
        <v>15% Off All SKUs</v>
      </c>
      <c r="AO8" s="6" t="str">
        <f t="shared" si="23"/>
        <v>Monthly: 100% Off Next Month</v>
      </c>
      <c r="AP8" s="6" t="str">
        <f t="shared" si="30"/>
        <v>50% Off SL / Annual</v>
      </c>
    </row>
    <row r="9" spans="1:42" ht="13">
      <c r="B9" s="20" t="s">
        <v>75</v>
      </c>
      <c r="C9" s="20" t="s">
        <v>182</v>
      </c>
      <c r="D9" s="6"/>
      <c r="E9" s="6" t="str">
        <f>IF(VLOOKUP(B9,'[7]FY25 PRICING'!$B$5:$AL$246,'[7]FY25 PRICING'!$E$1,FALSE)=0,"","x")</f>
        <v/>
      </c>
      <c r="F9" s="11" t="str">
        <f>+VLOOKUP($B9,'[1]INT Web'!$B$5:$AS$247,'[1]INT Web'!$Q$1,FALSE)</f>
        <v>USD</v>
      </c>
      <c r="G9" s="22">
        <f>+VLOOKUP($B9,'[1]INT Web'!$B$5:$AS$247,'[1]INT Web'!$U$1,FALSE)</f>
        <v>13.99</v>
      </c>
      <c r="H9" s="22">
        <f>+VLOOKUP($B9,'[1]INT Web'!$B$5:$AS$247,'[1]INT Web'!$S$1,FALSE)</f>
        <v>18.989999999999998</v>
      </c>
      <c r="I9" s="22">
        <f>+VLOOKUP($B9,'[1]INT Web'!$B$5:$AS$247,'[1]INT Web'!$T$1,FALSE)</f>
        <v>83.99</v>
      </c>
      <c r="J9" s="22">
        <f>+VLOOKUP($B9,'[1]INT Web'!$B$5:$AS$247,'[1]INT Web'!$R$1,FALSE)</f>
        <v>129.99</v>
      </c>
      <c r="K9" s="185">
        <f t="shared" si="5"/>
        <v>6.003573981415296</v>
      </c>
      <c r="L9" s="185">
        <f t="shared" si="5"/>
        <v>6.8451816745655618</v>
      </c>
      <c r="M9" s="185">
        <f t="shared" si="6"/>
        <v>1.3573981415296639</v>
      </c>
      <c r="N9" s="186">
        <v>1</v>
      </c>
      <c r="O9" s="187">
        <f t="shared" si="7"/>
        <v>13.99</v>
      </c>
      <c r="P9" s="187">
        <f t="shared" si="7"/>
        <v>18.989999999999998</v>
      </c>
      <c r="Q9" s="187">
        <f t="shared" si="7"/>
        <v>83.99</v>
      </c>
      <c r="R9" s="187">
        <f t="shared" si="7"/>
        <v>129.99</v>
      </c>
      <c r="S9" s="6">
        <v>0</v>
      </c>
      <c r="T9" s="104">
        <f t="shared" si="24"/>
        <v>13.99</v>
      </c>
      <c r="U9" s="187">
        <f t="shared" si="8"/>
        <v>13.99</v>
      </c>
      <c r="V9" s="188">
        <f t="shared" si="9"/>
        <v>0</v>
      </c>
      <c r="W9" s="189">
        <f t="shared" si="10"/>
        <v>0</v>
      </c>
      <c r="X9" s="104">
        <f t="shared" si="25"/>
        <v>18.989999999999998</v>
      </c>
      <c r="Y9" s="187">
        <f t="shared" si="11"/>
        <v>18.989999999999998</v>
      </c>
      <c r="Z9" s="188">
        <f t="shared" si="12"/>
        <v>0</v>
      </c>
      <c r="AA9" s="189">
        <f t="shared" si="13"/>
        <v>0</v>
      </c>
      <c r="AB9" s="185">
        <f t="shared" si="14"/>
        <v>1.3573981415296639</v>
      </c>
      <c r="AC9" s="104">
        <f t="shared" si="26"/>
        <v>83.99</v>
      </c>
      <c r="AD9" s="187">
        <f t="shared" si="15"/>
        <v>83.99</v>
      </c>
      <c r="AE9" s="188">
        <f t="shared" si="16"/>
        <v>0</v>
      </c>
      <c r="AF9" s="189">
        <f t="shared" si="17"/>
        <v>0</v>
      </c>
      <c r="AG9" s="185">
        <f t="shared" si="18"/>
        <v>6.003573981415296</v>
      </c>
      <c r="AH9" s="104">
        <f t="shared" si="27"/>
        <v>129.99</v>
      </c>
      <c r="AI9" s="187">
        <f t="shared" si="19"/>
        <v>129.99</v>
      </c>
      <c r="AJ9" s="188">
        <f t="shared" si="20"/>
        <v>0</v>
      </c>
      <c r="AK9" s="189">
        <f t="shared" si="21"/>
        <v>0</v>
      </c>
      <c r="AL9" s="185">
        <f t="shared" si="22"/>
        <v>6.8451816745655618</v>
      </c>
      <c r="AM9" s="6" t="str">
        <f t="shared" si="28"/>
        <v>30% Off SL / Annual</v>
      </c>
      <c r="AN9" s="6" t="str">
        <f t="shared" si="29"/>
        <v>15% Off All SKUs</v>
      </c>
      <c r="AO9" s="6" t="str">
        <f t="shared" si="23"/>
        <v>Monthly: 100% Off Next Month</v>
      </c>
      <c r="AP9" s="6" t="str">
        <f t="shared" si="30"/>
        <v>50% Off SL / Annual</v>
      </c>
    </row>
    <row r="10" spans="1:42" ht="13">
      <c r="B10" s="20" t="s">
        <v>76</v>
      </c>
      <c r="C10" s="20" t="s">
        <v>100</v>
      </c>
      <c r="D10" s="6"/>
      <c r="E10" s="6" t="str">
        <f>IF(VLOOKUP(B10,'[7]FY25 PRICING'!$B$5:$AL$246,'[7]FY25 PRICING'!$E$1,FALSE)=0,"","x")</f>
        <v/>
      </c>
      <c r="F10" s="11" t="str">
        <f>+VLOOKUP($B10,'[1]INT Web'!$B$5:$AS$247,'[1]INT Web'!$Q$1,FALSE)</f>
        <v>EUR</v>
      </c>
      <c r="G10" s="22">
        <f>+VLOOKUP($B10,'[1]INT Web'!$B$5:$AS$247,'[1]INT Web'!$U$1,FALSE)</f>
        <v>17.989999999999998</v>
      </c>
      <c r="H10" s="22">
        <f>+VLOOKUP($B10,'[1]INT Web'!$B$5:$AS$247,'[1]INT Web'!$S$1,FALSE)</f>
        <v>22.99</v>
      </c>
      <c r="I10" s="22">
        <f>+VLOOKUP($B10,'[1]INT Web'!$B$5:$AS$247,'[1]INT Web'!$T$1,FALSE)</f>
        <v>109.99</v>
      </c>
      <c r="J10" s="22">
        <f>+VLOOKUP($B10,'[1]INT Web'!$B$5:$AS$247,'[1]INT Web'!$R$1,FALSE)</f>
        <v>159.99</v>
      </c>
      <c r="K10" s="185">
        <f t="shared" si="5"/>
        <v>6.1139521956642584</v>
      </c>
      <c r="L10" s="185">
        <f t="shared" si="5"/>
        <v>6.9591126576772515</v>
      </c>
      <c r="M10" s="185">
        <f t="shared" si="6"/>
        <v>1.2779321845469707</v>
      </c>
      <c r="N10" s="186">
        <v>1.1469499999999999</v>
      </c>
      <c r="O10" s="187">
        <f t="shared" si="7"/>
        <v>20.633630499999995</v>
      </c>
      <c r="P10" s="187">
        <f t="shared" si="7"/>
        <v>26.368380499999997</v>
      </c>
      <c r="Q10" s="187">
        <f t="shared" si="7"/>
        <v>126.15303049999999</v>
      </c>
      <c r="R10" s="187">
        <f t="shared" si="7"/>
        <v>183.5005305</v>
      </c>
      <c r="S10" s="6">
        <v>0</v>
      </c>
      <c r="T10" s="104">
        <f t="shared" si="24"/>
        <v>17.989999999999998</v>
      </c>
      <c r="U10" s="187">
        <f t="shared" si="8"/>
        <v>20.633630499999995</v>
      </c>
      <c r="V10" s="188">
        <f t="shared" si="9"/>
        <v>0</v>
      </c>
      <c r="W10" s="189">
        <f t="shared" si="10"/>
        <v>0</v>
      </c>
      <c r="X10" s="104">
        <f t="shared" si="25"/>
        <v>22.99</v>
      </c>
      <c r="Y10" s="187">
        <f t="shared" si="11"/>
        <v>26.368380499999997</v>
      </c>
      <c r="Z10" s="188">
        <f t="shared" si="12"/>
        <v>0</v>
      </c>
      <c r="AA10" s="189">
        <f t="shared" si="13"/>
        <v>0</v>
      </c>
      <c r="AB10" s="185">
        <f t="shared" si="14"/>
        <v>1.2779321845469707</v>
      </c>
      <c r="AC10" s="104">
        <f t="shared" si="26"/>
        <v>109.99</v>
      </c>
      <c r="AD10" s="187">
        <f t="shared" si="15"/>
        <v>126.15303049999999</v>
      </c>
      <c r="AE10" s="188">
        <f t="shared" si="16"/>
        <v>0</v>
      </c>
      <c r="AF10" s="189">
        <f t="shared" si="17"/>
        <v>0</v>
      </c>
      <c r="AG10" s="185">
        <f t="shared" si="18"/>
        <v>6.1139521956642584</v>
      </c>
      <c r="AH10" s="104">
        <f t="shared" si="27"/>
        <v>159.99</v>
      </c>
      <c r="AI10" s="187">
        <f t="shared" si="19"/>
        <v>183.5005305</v>
      </c>
      <c r="AJ10" s="188">
        <f t="shared" si="20"/>
        <v>0</v>
      </c>
      <c r="AK10" s="189">
        <f t="shared" si="21"/>
        <v>0</v>
      </c>
      <c r="AL10" s="185">
        <f t="shared" si="22"/>
        <v>6.9591126576772515</v>
      </c>
      <c r="AM10" s="6" t="str">
        <f t="shared" si="28"/>
        <v>30% Off SL / Annual</v>
      </c>
      <c r="AN10" s="6" t="str">
        <f t="shared" si="29"/>
        <v>15% Off All SKUs</v>
      </c>
      <c r="AO10" s="6" t="str">
        <f t="shared" si="23"/>
        <v>Monthly: 100% Off Next Month</v>
      </c>
      <c r="AP10" s="6" t="str">
        <f t="shared" si="30"/>
        <v>50% Off SL / Annual</v>
      </c>
    </row>
    <row r="11" spans="1:42" ht="13">
      <c r="B11" s="20" t="s">
        <v>77</v>
      </c>
      <c r="C11" s="20" t="s">
        <v>270</v>
      </c>
      <c r="D11" s="6"/>
      <c r="E11" s="6" t="str">
        <f>IF(VLOOKUP(B11,'[7]FY25 PRICING'!$B$5:$AL$246,'[7]FY25 PRICING'!$E$1,FALSE)=0,"","x")</f>
        <v/>
      </c>
      <c r="F11" s="11" t="str">
        <f>+VLOOKUP($B11,'[1]INT Web'!$B$5:$AS$247,'[1]INT Web'!$Q$1,FALSE)</f>
        <v>USD</v>
      </c>
      <c r="G11" s="22">
        <f>+VLOOKUP($B11,'[1]INT Web'!$B$5:$AS$247,'[1]INT Web'!$U$1,FALSE)</f>
        <v>8.99</v>
      </c>
      <c r="H11" s="22">
        <f>+VLOOKUP($B11,'[1]INT Web'!$B$5:$AS$247,'[1]INT Web'!$S$1,FALSE)</f>
        <v>11.99</v>
      </c>
      <c r="I11" s="22">
        <f>+VLOOKUP($B11,'[1]INT Web'!$B$5:$AS$247,'[1]INT Web'!$T$1,FALSE)</f>
        <v>53.99</v>
      </c>
      <c r="J11" s="22">
        <f>+VLOOKUP($B11,'[1]INT Web'!$B$5:$AS$247,'[1]INT Web'!$R$1,FALSE)</f>
        <v>71.989999999999995</v>
      </c>
      <c r="K11" s="185">
        <f t="shared" si="5"/>
        <v>6.0055617352614012</v>
      </c>
      <c r="L11" s="185">
        <f t="shared" si="5"/>
        <v>6.0041701417848206</v>
      </c>
      <c r="M11" s="185">
        <f t="shared" si="6"/>
        <v>1.3337041156840934</v>
      </c>
      <c r="N11" s="186">
        <v>1</v>
      </c>
      <c r="O11" s="187">
        <f t="shared" si="7"/>
        <v>8.99</v>
      </c>
      <c r="P11" s="187">
        <f t="shared" si="7"/>
        <v>11.99</v>
      </c>
      <c r="Q11" s="187">
        <f t="shared" si="7"/>
        <v>53.99</v>
      </c>
      <c r="R11" s="187">
        <f t="shared" si="7"/>
        <v>71.989999999999995</v>
      </c>
      <c r="S11" s="6" t="s">
        <v>477</v>
      </c>
      <c r="T11" s="104">
        <f t="shared" si="24"/>
        <v>8.99</v>
      </c>
      <c r="U11" s="187">
        <f t="shared" si="8"/>
        <v>8.99</v>
      </c>
      <c r="V11" s="188">
        <f t="shared" si="9"/>
        <v>0</v>
      </c>
      <c r="W11" s="189">
        <f t="shared" si="10"/>
        <v>0</v>
      </c>
      <c r="X11" s="104">
        <f t="shared" si="25"/>
        <v>11.99</v>
      </c>
      <c r="Y11" s="187">
        <f t="shared" si="11"/>
        <v>11.99</v>
      </c>
      <c r="Z11" s="188">
        <f t="shared" si="12"/>
        <v>0</v>
      </c>
      <c r="AA11" s="189">
        <f t="shared" si="13"/>
        <v>0</v>
      </c>
      <c r="AB11" s="185">
        <f t="shared" si="14"/>
        <v>1.3337041156840934</v>
      </c>
      <c r="AC11" s="104">
        <f t="shared" si="26"/>
        <v>53.99</v>
      </c>
      <c r="AD11" s="187">
        <f t="shared" si="15"/>
        <v>53.99</v>
      </c>
      <c r="AE11" s="188">
        <f t="shared" si="16"/>
        <v>0</v>
      </c>
      <c r="AF11" s="189">
        <f t="shared" si="17"/>
        <v>0</v>
      </c>
      <c r="AG11" s="185">
        <f t="shared" si="18"/>
        <v>6.0055617352614012</v>
      </c>
      <c r="AH11" s="104">
        <f t="shared" si="27"/>
        <v>71.989999999999995</v>
      </c>
      <c r="AI11" s="187">
        <f t="shared" si="19"/>
        <v>71.989999999999995</v>
      </c>
      <c r="AJ11" s="188">
        <f t="shared" si="20"/>
        <v>0</v>
      </c>
      <c r="AK11" s="189">
        <f t="shared" si="21"/>
        <v>0</v>
      </c>
      <c r="AL11" s="185">
        <f t="shared" si="22"/>
        <v>6.0041701417848206</v>
      </c>
      <c r="AM11" s="6" t="str">
        <f t="shared" si="28"/>
        <v>30% Off SL / Annual</v>
      </c>
      <c r="AN11" s="6" t="str">
        <f t="shared" si="29"/>
        <v>15% Off All SKUs</v>
      </c>
      <c r="AO11" s="6" t="str">
        <f t="shared" si="23"/>
        <v>Monthly: 100% Off Next Month</v>
      </c>
      <c r="AP11" s="6" t="str">
        <f t="shared" si="30"/>
        <v>50% Off SL / Annual</v>
      </c>
    </row>
    <row r="12" spans="1:42" ht="13">
      <c r="B12" s="20" t="s">
        <v>78</v>
      </c>
      <c r="C12" s="20" t="s">
        <v>96</v>
      </c>
      <c r="D12" s="6"/>
      <c r="E12" s="6" t="str">
        <f>IF(VLOOKUP(B12,'[7]FY25 PRICING'!$B$5:$AL$246,'[7]FY25 PRICING'!$E$1,FALSE)=0,"","x")</f>
        <v/>
      </c>
      <c r="F12" s="11" t="str">
        <f>+VLOOKUP($B12,'[1]INT Web'!$B$5:$AS$247,'[1]INT Web'!$Q$1,FALSE)</f>
        <v>XCD</v>
      </c>
      <c r="G12" s="22">
        <f>+VLOOKUP($B12,'[1]INT Web'!$B$5:$AS$247,'[1]INT Web'!$U$1,FALSE)</f>
        <v>32.99</v>
      </c>
      <c r="H12" s="22">
        <f>+VLOOKUP($B12,'[1]INT Web'!$B$5:$AS$247,'[1]INT Web'!$S$1,FALSE)</f>
        <v>44.99</v>
      </c>
      <c r="I12" s="22">
        <f>+VLOOKUP($B12,'[1]INT Web'!$B$5:$AS$247,'[1]INT Web'!$T$1,FALSE)</f>
        <v>197.99</v>
      </c>
      <c r="J12" s="22">
        <f>+VLOOKUP($B12,'[1]INT Web'!$B$5:$AS$247,'[1]INT Web'!$R$1,FALSE)</f>
        <v>269.99</v>
      </c>
      <c r="K12" s="185">
        <f t="shared" si="5"/>
        <v>6.0015156107911487</v>
      </c>
      <c r="L12" s="185">
        <f t="shared" si="5"/>
        <v>6.001111358079573</v>
      </c>
      <c r="M12" s="185">
        <f t="shared" si="6"/>
        <v>1.36374658987572</v>
      </c>
      <c r="N12" s="186">
        <v>0.37037036000000001</v>
      </c>
      <c r="O12" s="187">
        <f t="shared" si="7"/>
        <v>12.218518176400002</v>
      </c>
      <c r="P12" s="187">
        <f t="shared" si="7"/>
        <v>16.662962496400002</v>
      </c>
      <c r="Q12" s="187">
        <f t="shared" si="7"/>
        <v>73.3296275764</v>
      </c>
      <c r="R12" s="187">
        <f t="shared" si="7"/>
        <v>99.9962934964</v>
      </c>
      <c r="S12" s="6">
        <v>0</v>
      </c>
      <c r="T12" s="104">
        <f t="shared" si="24"/>
        <v>32.99</v>
      </c>
      <c r="U12" s="187">
        <f t="shared" si="8"/>
        <v>12.218518176400002</v>
      </c>
      <c r="V12" s="188">
        <f t="shared" si="9"/>
        <v>0</v>
      </c>
      <c r="W12" s="189">
        <f t="shared" si="10"/>
        <v>0</v>
      </c>
      <c r="X12" s="104">
        <f t="shared" si="25"/>
        <v>44.99</v>
      </c>
      <c r="Y12" s="187">
        <f t="shared" si="11"/>
        <v>16.662962496400002</v>
      </c>
      <c r="Z12" s="188">
        <f t="shared" si="12"/>
        <v>0</v>
      </c>
      <c r="AA12" s="189">
        <f t="shared" si="13"/>
        <v>0</v>
      </c>
      <c r="AB12" s="185">
        <f t="shared" si="14"/>
        <v>1.36374658987572</v>
      </c>
      <c r="AC12" s="104">
        <f t="shared" si="26"/>
        <v>197.99</v>
      </c>
      <c r="AD12" s="187">
        <f t="shared" si="15"/>
        <v>73.3296275764</v>
      </c>
      <c r="AE12" s="188">
        <f t="shared" si="16"/>
        <v>0</v>
      </c>
      <c r="AF12" s="189">
        <f t="shared" si="17"/>
        <v>0</v>
      </c>
      <c r="AG12" s="185">
        <f t="shared" si="18"/>
        <v>6.0015156107911487</v>
      </c>
      <c r="AH12" s="104">
        <f t="shared" si="27"/>
        <v>269.99</v>
      </c>
      <c r="AI12" s="187">
        <f t="shared" si="19"/>
        <v>99.9962934964</v>
      </c>
      <c r="AJ12" s="188">
        <f t="shared" si="20"/>
        <v>0</v>
      </c>
      <c r="AK12" s="189">
        <f t="shared" si="21"/>
        <v>0</v>
      </c>
      <c r="AL12" s="185">
        <f t="shared" si="22"/>
        <v>6.001111358079573</v>
      </c>
      <c r="AM12" s="6" t="str">
        <f t="shared" si="28"/>
        <v>30% Off SL / Annual</v>
      </c>
      <c r="AN12" s="6" t="str">
        <f t="shared" si="29"/>
        <v>15% Off All SKUs</v>
      </c>
      <c r="AO12" s="6" t="str">
        <f t="shared" si="23"/>
        <v>Monthly: 100% Off Next Month</v>
      </c>
      <c r="AP12" s="6" t="str">
        <f t="shared" si="30"/>
        <v>50% Off SL / Annual</v>
      </c>
    </row>
    <row r="13" spans="1:42" ht="13">
      <c r="B13" s="20" t="s">
        <v>79</v>
      </c>
      <c r="C13" s="20" t="s">
        <v>100</v>
      </c>
      <c r="D13" s="6"/>
      <c r="E13" s="6" t="str">
        <f>IF(VLOOKUP(B13,'[7]FY25 PRICING'!$B$5:$AL$246,'[7]FY25 PRICING'!$E$1,FALSE)=0,"","x")</f>
        <v/>
      </c>
      <c r="F13" s="11" t="str">
        <f>+VLOOKUP($B13,'[1]INT Web'!$B$5:$AS$247,'[1]INT Web'!$Q$1,FALSE)</f>
        <v>USD</v>
      </c>
      <c r="G13" s="22">
        <f>+VLOOKUP($B13,'[1]INT Web'!$B$5:$AS$247,'[1]INT Web'!$U$1,FALSE)</f>
        <v>16.989999999999998</v>
      </c>
      <c r="H13" s="22">
        <f>+VLOOKUP($B13,'[1]INT Web'!$B$5:$AS$247,'[1]INT Web'!$S$1,FALSE)</f>
        <v>21.99</v>
      </c>
      <c r="I13" s="22">
        <f>+VLOOKUP($B13,'[1]INT Web'!$B$5:$AS$247,'[1]INT Web'!$T$1,FALSE)</f>
        <v>99.99</v>
      </c>
      <c r="J13" s="22">
        <f>+VLOOKUP($B13,'[1]INT Web'!$B$5:$AS$247,'[1]INT Web'!$R$1,FALSE)</f>
        <v>154.99</v>
      </c>
      <c r="K13" s="185">
        <f t="shared" si="5"/>
        <v>5.8852266038846386</v>
      </c>
      <c r="L13" s="185">
        <f t="shared" si="5"/>
        <v>7.0482037289677137</v>
      </c>
      <c r="M13" s="185">
        <f t="shared" si="6"/>
        <v>1.2942907592701589</v>
      </c>
      <c r="N13" s="186">
        <v>1</v>
      </c>
      <c r="O13" s="187">
        <f t="shared" si="7"/>
        <v>16.989999999999998</v>
      </c>
      <c r="P13" s="187">
        <f t="shared" si="7"/>
        <v>21.99</v>
      </c>
      <c r="Q13" s="187">
        <f t="shared" si="7"/>
        <v>99.99</v>
      </c>
      <c r="R13" s="187">
        <f t="shared" si="7"/>
        <v>154.99</v>
      </c>
      <c r="S13" s="6">
        <v>0</v>
      </c>
      <c r="T13" s="104">
        <f t="shared" si="24"/>
        <v>16.989999999999998</v>
      </c>
      <c r="U13" s="187">
        <f t="shared" si="8"/>
        <v>16.989999999999998</v>
      </c>
      <c r="V13" s="188">
        <f t="shared" si="9"/>
        <v>0</v>
      </c>
      <c r="W13" s="189">
        <f t="shared" si="10"/>
        <v>0</v>
      </c>
      <c r="X13" s="104">
        <f t="shared" si="25"/>
        <v>21.99</v>
      </c>
      <c r="Y13" s="187">
        <f t="shared" si="11"/>
        <v>21.99</v>
      </c>
      <c r="Z13" s="188">
        <f t="shared" si="12"/>
        <v>0</v>
      </c>
      <c r="AA13" s="189">
        <f t="shared" si="13"/>
        <v>0</v>
      </c>
      <c r="AB13" s="185">
        <f t="shared" si="14"/>
        <v>1.2942907592701589</v>
      </c>
      <c r="AC13" s="104">
        <f t="shared" si="26"/>
        <v>99.99</v>
      </c>
      <c r="AD13" s="187">
        <f t="shared" si="15"/>
        <v>99.99</v>
      </c>
      <c r="AE13" s="188">
        <f t="shared" si="16"/>
        <v>0</v>
      </c>
      <c r="AF13" s="189">
        <f t="shared" si="17"/>
        <v>0</v>
      </c>
      <c r="AG13" s="185">
        <f t="shared" si="18"/>
        <v>5.8852266038846386</v>
      </c>
      <c r="AH13" s="104">
        <f t="shared" si="27"/>
        <v>154.99</v>
      </c>
      <c r="AI13" s="187">
        <f t="shared" si="19"/>
        <v>154.99</v>
      </c>
      <c r="AJ13" s="188">
        <f t="shared" si="20"/>
        <v>0</v>
      </c>
      <c r="AK13" s="189">
        <f t="shared" si="21"/>
        <v>0</v>
      </c>
      <c r="AL13" s="185">
        <f t="shared" si="22"/>
        <v>7.0482037289677137</v>
      </c>
      <c r="AM13" s="6" t="str">
        <f t="shared" si="28"/>
        <v>30% Off SL / Annual</v>
      </c>
      <c r="AN13" s="6" t="str">
        <f t="shared" si="29"/>
        <v>15% Off All SKUs</v>
      </c>
      <c r="AO13" s="6" t="str">
        <f t="shared" si="23"/>
        <v>Monthly: 100% Off Next Month</v>
      </c>
      <c r="AP13" s="6" t="str">
        <f t="shared" si="30"/>
        <v>50% Off SL / Annual</v>
      </c>
    </row>
    <row r="14" spans="1:42" ht="13">
      <c r="B14" s="20" t="s">
        <v>80</v>
      </c>
      <c r="C14" s="20" t="s">
        <v>96</v>
      </c>
      <c r="D14" s="6"/>
      <c r="E14" s="6" t="str">
        <f>IF(VLOOKUP(B14,'[7]FY25 PRICING'!$B$5:$AL$246,'[7]FY25 PRICING'!$E$1,FALSE)=0,"","x")</f>
        <v/>
      </c>
      <c r="F14" s="11" t="str">
        <f>+VLOOKUP($B14,'[1]INT Web'!$B$5:$AS$247,'[1]INT Web'!$Q$1,FALSE)</f>
        <v>XCD</v>
      </c>
      <c r="G14" s="22">
        <f>+VLOOKUP($B14,'[1]INT Web'!$B$5:$AS$247,'[1]INT Web'!$U$1,FALSE)</f>
        <v>37.99</v>
      </c>
      <c r="H14" s="22">
        <f>+VLOOKUP($B14,'[1]INT Web'!$B$5:$AS$247,'[1]INT Web'!$S$1,FALSE)</f>
        <v>50.99</v>
      </c>
      <c r="I14" s="22">
        <f>+VLOOKUP($B14,'[1]INT Web'!$B$5:$AS$247,'[1]INT Web'!$T$1,FALSE)</f>
        <v>227.99</v>
      </c>
      <c r="J14" s="22">
        <f>+VLOOKUP($B14,'[1]INT Web'!$B$5:$AS$247,'[1]INT Web'!$R$1,FALSE)</f>
        <v>305.99</v>
      </c>
      <c r="K14" s="185">
        <f t="shared" si="5"/>
        <v>6.0013161358252169</v>
      </c>
      <c r="L14" s="185">
        <f t="shared" si="5"/>
        <v>6.0009805844283193</v>
      </c>
      <c r="M14" s="185">
        <f t="shared" si="6"/>
        <v>1.3421953145564622</v>
      </c>
      <c r="N14" s="186">
        <v>0.37037036000000001</v>
      </c>
      <c r="O14" s="187">
        <f t="shared" si="7"/>
        <v>14.0703699764</v>
      </c>
      <c r="P14" s="187">
        <f t="shared" si="7"/>
        <v>18.8851846564</v>
      </c>
      <c r="Q14" s="187">
        <f t="shared" si="7"/>
        <v>84.440738376400006</v>
      </c>
      <c r="R14" s="187">
        <f t="shared" si="7"/>
        <v>113.32962645640001</v>
      </c>
      <c r="S14" s="6">
        <v>0</v>
      </c>
      <c r="T14" s="104">
        <f t="shared" si="24"/>
        <v>37.99</v>
      </c>
      <c r="U14" s="187">
        <f t="shared" si="8"/>
        <v>14.0703699764</v>
      </c>
      <c r="V14" s="188">
        <f t="shared" si="9"/>
        <v>0</v>
      </c>
      <c r="W14" s="189">
        <f t="shared" si="10"/>
        <v>0</v>
      </c>
      <c r="X14" s="104">
        <f t="shared" si="25"/>
        <v>50.99</v>
      </c>
      <c r="Y14" s="187">
        <f t="shared" si="11"/>
        <v>18.8851846564</v>
      </c>
      <c r="Z14" s="188">
        <f t="shared" si="12"/>
        <v>0</v>
      </c>
      <c r="AA14" s="189">
        <f t="shared" si="13"/>
        <v>0</v>
      </c>
      <c r="AB14" s="185">
        <f t="shared" si="14"/>
        <v>1.3421953145564622</v>
      </c>
      <c r="AC14" s="104">
        <f t="shared" si="26"/>
        <v>227.99</v>
      </c>
      <c r="AD14" s="187">
        <f t="shared" si="15"/>
        <v>84.440738376400006</v>
      </c>
      <c r="AE14" s="188">
        <f t="shared" si="16"/>
        <v>0</v>
      </c>
      <c r="AF14" s="189">
        <f t="shared" si="17"/>
        <v>0</v>
      </c>
      <c r="AG14" s="185">
        <f t="shared" si="18"/>
        <v>6.0013161358252169</v>
      </c>
      <c r="AH14" s="104">
        <f t="shared" si="27"/>
        <v>305.99</v>
      </c>
      <c r="AI14" s="187">
        <f t="shared" si="19"/>
        <v>113.32962645640001</v>
      </c>
      <c r="AJ14" s="188">
        <f t="shared" si="20"/>
        <v>0</v>
      </c>
      <c r="AK14" s="189">
        <f t="shared" si="21"/>
        <v>0</v>
      </c>
      <c r="AL14" s="185">
        <f t="shared" si="22"/>
        <v>6.0009805844283193</v>
      </c>
      <c r="AM14" s="6" t="str">
        <f t="shared" si="28"/>
        <v>30% Off SL / Annual</v>
      </c>
      <c r="AN14" s="6" t="str">
        <f t="shared" si="29"/>
        <v>15% Off All SKUs</v>
      </c>
      <c r="AO14" s="6" t="str">
        <f t="shared" si="23"/>
        <v>Monthly: 100% Off Next Month</v>
      </c>
      <c r="AP14" s="6" t="str">
        <f t="shared" si="30"/>
        <v>50% Off SL / Annual</v>
      </c>
    </row>
    <row r="15" spans="1:42" ht="13">
      <c r="B15" s="201" t="s">
        <v>81</v>
      </c>
      <c r="C15" s="201" t="s">
        <v>96</v>
      </c>
      <c r="D15" s="6" t="s">
        <v>478</v>
      </c>
      <c r="F15" s="170" t="str">
        <f>+VLOOKUP($B15,'[1]INT Web'!$B$5:$AS$247,'[1]INT Web'!$Q$1,FALSE)</f>
        <v>ARS</v>
      </c>
      <c r="G15" s="22">
        <f>+VLOOKUP($B15,'[1]INT Web'!$B$5:$AS$247,'[1]INT Web'!$U$1,FALSE)</f>
        <v>26819.985100000002</v>
      </c>
      <c r="H15" s="22">
        <f>+VLOOKUP($B15,'[1]INT Web'!$B$5:$AS$247,'[1]INT Web'!$S$1,FALSE)</f>
        <v>34419.99</v>
      </c>
      <c r="I15" s="22">
        <f>+VLOOKUP($B15,'[1]INT Web'!$B$5:$AS$247,'[1]INT Web'!$T$1,FALSE)</f>
        <v>163899.98510000002</v>
      </c>
      <c r="J15" s="22">
        <f>+VLOOKUP($B15,'[1]INT Web'!$B$5:$AS$247,'[1]INT Web'!$R$1,FALSE)</f>
        <v>206519.99</v>
      </c>
      <c r="K15" s="185">
        <f t="shared" si="5"/>
        <v>6.1111139506188614</v>
      </c>
      <c r="L15" s="185">
        <f t="shared" si="5"/>
        <v>6.0000014526442342</v>
      </c>
      <c r="M15" s="185">
        <f t="shared" si="6"/>
        <v>1.2833709590688771</v>
      </c>
      <c r="N15" s="186">
        <v>6.8528450000000004E-4</v>
      </c>
      <c r="O15" s="187">
        <f t="shared" si="7"/>
        <v>18.379320079260953</v>
      </c>
      <c r="P15" s="187">
        <f t="shared" si="7"/>
        <v>23.587485637155002</v>
      </c>
      <c r="Q15" s="187">
        <f t="shared" si="7"/>
        <v>112.31811933926097</v>
      </c>
      <c r="R15" s="187">
        <f t="shared" si="7"/>
        <v>141.524948087155</v>
      </c>
      <c r="S15" s="6" t="s">
        <v>479</v>
      </c>
      <c r="T15" s="202">
        <v>9.99</v>
      </c>
      <c r="U15" s="187">
        <f t="shared" si="8"/>
        <v>6.8459921550000002E-3</v>
      </c>
      <c r="V15" s="188">
        <f t="shared" si="9"/>
        <v>-26809.9951</v>
      </c>
      <c r="W15" s="189">
        <f t="shared" si="10"/>
        <v>-0.99962751657158821</v>
      </c>
      <c r="X15" s="202">
        <v>12.99</v>
      </c>
      <c r="Y15" s="187">
        <f t="shared" si="11"/>
        <v>8.9018456550000007E-3</v>
      </c>
      <c r="Z15" s="188">
        <f t="shared" si="12"/>
        <v>-34407</v>
      </c>
      <c r="AA15" s="189">
        <f t="shared" si="13"/>
        <v>-0.99962260302806594</v>
      </c>
      <c r="AB15" s="185">
        <f t="shared" si="14"/>
        <v>1.3003003003003002</v>
      </c>
      <c r="AC15" s="107">
        <v>59.99</v>
      </c>
      <c r="AD15" s="187">
        <f t="shared" si="15"/>
        <v>4.1110217155000003E-2</v>
      </c>
      <c r="AE15" s="188">
        <f t="shared" si="16"/>
        <v>-163839.99510000003</v>
      </c>
      <c r="AF15" s="189">
        <f t="shared" si="17"/>
        <v>-0.99963398410339455</v>
      </c>
      <c r="AG15" s="185">
        <f t="shared" si="18"/>
        <v>6.005005005005005</v>
      </c>
      <c r="AH15" s="107">
        <v>79.989999999999995</v>
      </c>
      <c r="AI15" s="187">
        <f t="shared" si="19"/>
        <v>5.4815907155000003E-2</v>
      </c>
      <c r="AJ15" s="188">
        <f t="shared" si="20"/>
        <v>-206440</v>
      </c>
      <c r="AK15" s="189">
        <f t="shared" si="21"/>
        <v>-0.99961267671957565</v>
      </c>
      <c r="AL15" s="185">
        <f t="shared" si="22"/>
        <v>6.157813702848344</v>
      </c>
      <c r="AM15" s="6" t="str">
        <f t="shared" si="28"/>
        <v>30% Off SL / Annual</v>
      </c>
      <c r="AN15" s="6" t="str">
        <f t="shared" si="29"/>
        <v>15% Off All SKUs</v>
      </c>
      <c r="AO15" s="6" t="str">
        <f t="shared" si="23"/>
        <v>Monthly: 100% Off Next Month</v>
      </c>
      <c r="AP15" s="6" t="str">
        <f t="shared" si="30"/>
        <v>50% Off SL / Annual</v>
      </c>
    </row>
    <row r="16" spans="1:42" ht="13">
      <c r="B16" s="20" t="s">
        <v>82</v>
      </c>
      <c r="C16" s="20" t="s">
        <v>275</v>
      </c>
      <c r="D16" s="6"/>
      <c r="E16" s="6" t="str">
        <f>IF(VLOOKUP(B16,'[7]FY25 PRICING'!$B$5:$AL$246,'[7]FY25 PRICING'!$E$1,FALSE)=0,"","x")</f>
        <v/>
      </c>
      <c r="F16" s="11" t="str">
        <f>+VLOOKUP($B16,'[1]INT Web'!$B$5:$AS$247,'[1]INT Web'!$Q$1,FALSE)</f>
        <v>AMD</v>
      </c>
      <c r="G16" s="22">
        <f>+VLOOKUP($B16,'[1]INT Web'!$B$5:$AS$247,'[1]INT Web'!$U$1,FALSE)</f>
        <v>6699.99</v>
      </c>
      <c r="H16" s="22">
        <f>+VLOOKUP($B16,'[1]INT Web'!$B$5:$AS$247,'[1]INT Web'!$S$1,FALSE)</f>
        <v>9039.99</v>
      </c>
      <c r="I16" s="22">
        <f>+VLOOKUP($B16,'[1]INT Web'!$B$5:$AS$247,'[1]INT Web'!$T$1,FALSE)</f>
        <v>40199.99</v>
      </c>
      <c r="J16" s="22">
        <f>+VLOOKUP($B16,'[1]INT Web'!$B$5:$AS$247,'[1]INT Web'!$R$1,FALSE)</f>
        <v>54269.99</v>
      </c>
      <c r="K16" s="185">
        <f t="shared" si="5"/>
        <v>6.0000074626977051</v>
      </c>
      <c r="L16" s="185">
        <f t="shared" si="5"/>
        <v>6.0033241187213706</v>
      </c>
      <c r="M16" s="185">
        <f t="shared" si="6"/>
        <v>1.3492542526182876</v>
      </c>
      <c r="N16" s="186">
        <v>2.7223454999999999E-3</v>
      </c>
      <c r="O16" s="187">
        <f t="shared" si="7"/>
        <v>18.239687626544999</v>
      </c>
      <c r="P16" s="187">
        <f t="shared" si="7"/>
        <v>24.609976096544997</v>
      </c>
      <c r="Q16" s="187">
        <f t="shared" si="7"/>
        <v>109.43826187654498</v>
      </c>
      <c r="R16" s="187">
        <f t="shared" si="7"/>
        <v>147.74166306154498</v>
      </c>
      <c r="S16" s="6">
        <v>0</v>
      </c>
      <c r="T16" s="104">
        <f t="shared" si="24"/>
        <v>6699.99</v>
      </c>
      <c r="U16" s="187">
        <f t="shared" si="8"/>
        <v>18.239687626544999</v>
      </c>
      <c r="V16" s="188">
        <f t="shared" si="9"/>
        <v>0</v>
      </c>
      <c r="W16" s="189">
        <f t="shared" si="10"/>
        <v>0</v>
      </c>
      <c r="X16" s="104">
        <f t="shared" si="25"/>
        <v>9039.99</v>
      </c>
      <c r="Y16" s="187">
        <f t="shared" si="11"/>
        <v>24.609976096544997</v>
      </c>
      <c r="Z16" s="188">
        <f t="shared" si="12"/>
        <v>0</v>
      </c>
      <c r="AA16" s="189">
        <f t="shared" si="13"/>
        <v>0</v>
      </c>
      <c r="AB16" s="185">
        <f t="shared" si="14"/>
        <v>1.3492542526182876</v>
      </c>
      <c r="AC16" s="104">
        <f t="shared" si="26"/>
        <v>40199.99</v>
      </c>
      <c r="AD16" s="187">
        <f t="shared" si="15"/>
        <v>109.43826187654498</v>
      </c>
      <c r="AE16" s="188">
        <f t="shared" si="16"/>
        <v>0</v>
      </c>
      <c r="AF16" s="189">
        <f t="shared" si="17"/>
        <v>0</v>
      </c>
      <c r="AG16" s="185">
        <f t="shared" si="18"/>
        <v>6.0000074626977051</v>
      </c>
      <c r="AH16" s="104">
        <f t="shared" si="27"/>
        <v>54269.99</v>
      </c>
      <c r="AI16" s="187">
        <f t="shared" si="19"/>
        <v>147.74166306154498</v>
      </c>
      <c r="AJ16" s="188">
        <f t="shared" si="20"/>
        <v>0</v>
      </c>
      <c r="AK16" s="189">
        <f t="shared" si="21"/>
        <v>0</v>
      </c>
      <c r="AL16" s="185">
        <f t="shared" si="22"/>
        <v>6.0033241187213706</v>
      </c>
      <c r="AM16" s="6" t="str">
        <f t="shared" si="28"/>
        <v>30% Off SL / Annual</v>
      </c>
      <c r="AN16" s="6" t="str">
        <f t="shared" si="29"/>
        <v>15% Off All SKUs</v>
      </c>
      <c r="AO16" s="6" t="str">
        <f t="shared" si="23"/>
        <v>Monthly: 100% Off Next Month</v>
      </c>
      <c r="AP16" s="6" t="str">
        <f t="shared" si="30"/>
        <v>50% Off SL / Annual</v>
      </c>
    </row>
    <row r="17" spans="2:42" ht="13">
      <c r="B17" s="20" t="s">
        <v>83</v>
      </c>
      <c r="C17" s="20" t="s">
        <v>96</v>
      </c>
      <c r="D17" s="6"/>
      <c r="E17" s="6" t="str">
        <f>IF(VLOOKUP(B17,'[7]FY25 PRICING'!$B$5:$AL$246,'[7]FY25 PRICING'!$E$1,FALSE)=0,"","x")</f>
        <v/>
      </c>
      <c r="F17" s="11" t="str">
        <f>+VLOOKUP($B17,'[1]INT Web'!$B$5:$AS$247,'[1]INT Web'!$Q$1,FALSE)</f>
        <v>AWG</v>
      </c>
      <c r="G17" s="22">
        <f>+VLOOKUP($B17,'[1]INT Web'!$B$5:$AS$247,'[1]INT Web'!$U$1,FALSE)</f>
        <v>21.99</v>
      </c>
      <c r="H17" s="22">
        <f>+VLOOKUP($B17,'[1]INT Web'!$B$5:$AS$247,'[1]INT Web'!$S$1,FALSE)</f>
        <v>29.99</v>
      </c>
      <c r="I17" s="22">
        <f>+VLOOKUP($B17,'[1]INT Web'!$B$5:$AS$247,'[1]INT Web'!$T$1,FALSE)</f>
        <v>131.99</v>
      </c>
      <c r="J17" s="22">
        <f>+VLOOKUP($B17,'[1]INT Web'!$B$5:$AS$247,'[1]INT Web'!$R$1,FALSE)</f>
        <v>179.99</v>
      </c>
      <c r="K17" s="185">
        <f t="shared" si="5"/>
        <v>6.0022737608003647</v>
      </c>
      <c r="L17" s="185">
        <f t="shared" si="5"/>
        <v>6.0016672224074696</v>
      </c>
      <c r="M17" s="185">
        <f t="shared" si="6"/>
        <v>1.3638017280582082</v>
      </c>
      <c r="N17" s="186">
        <v>0.55865925999999999</v>
      </c>
      <c r="O17" s="187">
        <f t="shared" si="7"/>
        <v>12.284917127399998</v>
      </c>
      <c r="P17" s="187">
        <f t="shared" si="7"/>
        <v>16.754191207399998</v>
      </c>
      <c r="Q17" s="187">
        <f t="shared" si="7"/>
        <v>73.737435727399998</v>
      </c>
      <c r="R17" s="187">
        <f t="shared" si="7"/>
        <v>100.5530802074</v>
      </c>
      <c r="S17" s="6">
        <v>0</v>
      </c>
      <c r="T17" s="104">
        <f t="shared" si="24"/>
        <v>21.99</v>
      </c>
      <c r="U17" s="187">
        <f t="shared" si="8"/>
        <v>12.284917127399998</v>
      </c>
      <c r="V17" s="188">
        <f t="shared" si="9"/>
        <v>0</v>
      </c>
      <c r="W17" s="189">
        <f t="shared" si="10"/>
        <v>0</v>
      </c>
      <c r="X17" s="104">
        <f t="shared" si="25"/>
        <v>29.99</v>
      </c>
      <c r="Y17" s="187">
        <f t="shared" si="11"/>
        <v>16.754191207399998</v>
      </c>
      <c r="Z17" s="188">
        <f t="shared" si="12"/>
        <v>0</v>
      </c>
      <c r="AA17" s="189">
        <f t="shared" si="13"/>
        <v>0</v>
      </c>
      <c r="AB17" s="185">
        <f t="shared" si="14"/>
        <v>1.3638017280582082</v>
      </c>
      <c r="AC17" s="104">
        <f t="shared" si="26"/>
        <v>131.99</v>
      </c>
      <c r="AD17" s="187">
        <f t="shared" si="15"/>
        <v>73.737435727399998</v>
      </c>
      <c r="AE17" s="188">
        <f t="shared" si="16"/>
        <v>0</v>
      </c>
      <c r="AF17" s="189">
        <f t="shared" si="17"/>
        <v>0</v>
      </c>
      <c r="AG17" s="185">
        <f t="shared" si="18"/>
        <v>6.0022737608003647</v>
      </c>
      <c r="AH17" s="104">
        <f t="shared" si="27"/>
        <v>179.99</v>
      </c>
      <c r="AI17" s="187">
        <f t="shared" si="19"/>
        <v>100.5530802074</v>
      </c>
      <c r="AJ17" s="188">
        <f t="shared" si="20"/>
        <v>0</v>
      </c>
      <c r="AK17" s="189">
        <f t="shared" si="21"/>
        <v>0</v>
      </c>
      <c r="AL17" s="185">
        <f t="shared" si="22"/>
        <v>6.0016672224074696</v>
      </c>
      <c r="AM17" s="6" t="str">
        <f t="shared" si="28"/>
        <v>30% Off SL / Annual</v>
      </c>
      <c r="AN17" s="6" t="str">
        <f t="shared" si="29"/>
        <v>15% Off All SKUs</v>
      </c>
      <c r="AO17" s="6" t="str">
        <f t="shared" si="23"/>
        <v>Monthly: 100% Off Next Month</v>
      </c>
      <c r="AP17" s="6" t="str">
        <f t="shared" si="30"/>
        <v>50% Off SL / Annual</v>
      </c>
    </row>
    <row r="18" spans="2:42" ht="13">
      <c r="B18" s="199" t="s">
        <v>84</v>
      </c>
      <c r="C18" s="199" t="s">
        <v>182</v>
      </c>
      <c r="D18" s="6" t="s">
        <v>480</v>
      </c>
      <c r="E18" s="6" t="s">
        <v>481</v>
      </c>
      <c r="F18" s="11" t="str">
        <f>+VLOOKUP($B18,'[1]INT Web'!$B$5:$AS$247,'[1]INT Web'!$Q$1,FALSE)</f>
        <v>AUD</v>
      </c>
      <c r="G18" s="22">
        <f>+VLOOKUP($B18,'[1]INT Web'!$B$5:$AS$247,'[1]INT Web'!$U$1,FALSE)</f>
        <v>24.99</v>
      </c>
      <c r="H18" s="22">
        <f>+VLOOKUP($B18,'[1]INT Web'!$B$5:$AS$247,'[1]INT Web'!$S$1,FALSE)</f>
        <v>32.99</v>
      </c>
      <c r="I18" s="22">
        <f>+VLOOKUP($B18,'[1]INT Web'!$B$5:$AS$247,'[1]INT Web'!$T$1,FALSE)</f>
        <v>174.99</v>
      </c>
      <c r="J18" s="22">
        <f>+VLOOKUP($B18,'[1]INT Web'!$B$5:$AS$247,'[1]INT Web'!$R$1,FALSE)</f>
        <v>229.99</v>
      </c>
      <c r="K18" s="185">
        <f t="shared" si="5"/>
        <v>7.0024009603841542</v>
      </c>
      <c r="L18" s="185">
        <f t="shared" si="5"/>
        <v>6.9715065171264019</v>
      </c>
      <c r="M18" s="185">
        <f t="shared" si="6"/>
        <v>1.3201280512204883</v>
      </c>
      <c r="N18" s="186">
        <v>0.70125000000000004</v>
      </c>
      <c r="O18" s="187">
        <f t="shared" si="7"/>
        <v>17.524237499999998</v>
      </c>
      <c r="P18" s="187">
        <f t="shared" si="7"/>
        <v>23.134237500000001</v>
      </c>
      <c r="Q18" s="187">
        <f t="shared" si="7"/>
        <v>122.71173750000001</v>
      </c>
      <c r="R18" s="187">
        <f t="shared" si="7"/>
        <v>161.28048750000002</v>
      </c>
      <c r="S18" s="6" t="s">
        <v>482</v>
      </c>
      <c r="T18" s="104">
        <f>+G18</f>
        <v>24.99</v>
      </c>
      <c r="U18" s="187">
        <f t="shared" si="8"/>
        <v>17.524237499999998</v>
      </c>
      <c r="V18" s="188">
        <f t="shared" si="9"/>
        <v>0</v>
      </c>
      <c r="W18" s="189">
        <f t="shared" si="10"/>
        <v>0</v>
      </c>
      <c r="X18" s="103">
        <v>34.99</v>
      </c>
      <c r="Y18" s="187">
        <f t="shared" si="11"/>
        <v>24.536737500000005</v>
      </c>
      <c r="Z18" s="188">
        <f t="shared" si="12"/>
        <v>2</v>
      </c>
      <c r="AA18" s="189">
        <f t="shared" si="13"/>
        <v>6.0624431645953214E-2</v>
      </c>
      <c r="AB18" s="185">
        <f t="shared" si="14"/>
        <v>1.4001600640256104</v>
      </c>
      <c r="AC18" s="104">
        <f>+I18</f>
        <v>174.99</v>
      </c>
      <c r="AD18" s="187">
        <f t="shared" si="15"/>
        <v>122.71173750000001</v>
      </c>
      <c r="AE18" s="188">
        <f t="shared" si="16"/>
        <v>0</v>
      </c>
      <c r="AF18" s="189">
        <f t="shared" si="17"/>
        <v>0</v>
      </c>
      <c r="AG18" s="185">
        <f t="shared" si="18"/>
        <v>7.0024009603841542</v>
      </c>
      <c r="AH18" s="103">
        <v>244.99</v>
      </c>
      <c r="AI18" s="187">
        <f t="shared" si="19"/>
        <v>171.7992375</v>
      </c>
      <c r="AJ18" s="188">
        <f t="shared" si="20"/>
        <v>15</v>
      </c>
      <c r="AK18" s="189">
        <f t="shared" si="21"/>
        <v>6.5220226966389738E-2</v>
      </c>
      <c r="AL18" s="185">
        <f t="shared" si="22"/>
        <v>7.0017147756501856</v>
      </c>
      <c r="AM18" s="6" t="str">
        <f t="shared" si="28"/>
        <v>No Intro Offer</v>
      </c>
      <c r="AN18" s="6" t="str">
        <f t="shared" si="29"/>
        <v>Messaging Only</v>
      </c>
      <c r="AO18" s="6" t="str">
        <f t="shared" si="23"/>
        <v>Messaging / Pause Flow</v>
      </c>
      <c r="AP18" s="6" t="str">
        <f t="shared" si="30"/>
        <v>50% Off LPP Only</v>
      </c>
    </row>
    <row r="19" spans="2:42" ht="13">
      <c r="B19" s="199" t="s">
        <v>85</v>
      </c>
      <c r="C19" s="199" t="s">
        <v>100</v>
      </c>
      <c r="D19" s="6" t="s">
        <v>480</v>
      </c>
      <c r="E19" s="6" t="s">
        <v>483</v>
      </c>
      <c r="F19" s="11" t="str">
        <f>+VLOOKUP($B19,'[1]INT Web'!$B$5:$AS$247,'[1]INT Web'!$Q$1,FALSE)</f>
        <v>EUR</v>
      </c>
      <c r="G19" s="22">
        <f>+VLOOKUP($B19,'[1]INT Web'!$B$5:$AS$247,'[1]INT Web'!$U$1,FALSE)</f>
        <v>17.989999999999998</v>
      </c>
      <c r="H19" s="22">
        <f>+VLOOKUP($B19,'[1]INT Web'!$B$5:$AS$247,'[1]INT Web'!$S$1,FALSE)</f>
        <v>23.99</v>
      </c>
      <c r="I19" s="22">
        <f>+VLOOKUP($B19,'[1]INT Web'!$B$5:$AS$247,'[1]INT Web'!$T$1,FALSE)</f>
        <v>116.99</v>
      </c>
      <c r="J19" s="22">
        <f>+VLOOKUP($B19,'[1]INT Web'!$B$5:$AS$247,'[1]INT Web'!$R$1,FALSE)</f>
        <v>159.99</v>
      </c>
      <c r="K19" s="185">
        <f t="shared" si="5"/>
        <v>6.5030572540300167</v>
      </c>
      <c r="L19" s="185">
        <f t="shared" si="5"/>
        <v>6.6690287619841611</v>
      </c>
      <c r="M19" s="185">
        <f t="shared" si="6"/>
        <v>1.3335186214563646</v>
      </c>
      <c r="N19" s="186">
        <v>1.1469499999999999</v>
      </c>
      <c r="O19" s="187">
        <f t="shared" si="7"/>
        <v>20.633630499999995</v>
      </c>
      <c r="P19" s="187">
        <f t="shared" si="7"/>
        <v>27.515330499999997</v>
      </c>
      <c r="Q19" s="187">
        <f t="shared" si="7"/>
        <v>134.18168049999997</v>
      </c>
      <c r="R19" s="187">
        <f t="shared" si="7"/>
        <v>183.5005305</v>
      </c>
      <c r="S19" s="6" t="s">
        <v>484</v>
      </c>
      <c r="T19" s="104">
        <f t="shared" si="24"/>
        <v>17.989999999999998</v>
      </c>
      <c r="U19" s="187">
        <f t="shared" si="8"/>
        <v>20.633630499999995</v>
      </c>
      <c r="V19" s="188">
        <f t="shared" si="9"/>
        <v>0</v>
      </c>
      <c r="W19" s="189">
        <f t="shared" si="10"/>
        <v>0</v>
      </c>
      <c r="X19" s="104">
        <f t="shared" si="25"/>
        <v>23.99</v>
      </c>
      <c r="Y19" s="187">
        <f t="shared" si="11"/>
        <v>27.515330499999997</v>
      </c>
      <c r="Z19" s="188">
        <f t="shared" si="12"/>
        <v>0</v>
      </c>
      <c r="AA19" s="189">
        <f t="shared" si="13"/>
        <v>0</v>
      </c>
      <c r="AB19" s="185">
        <f t="shared" si="14"/>
        <v>1.3335186214563646</v>
      </c>
      <c r="AC19" s="104">
        <f t="shared" si="26"/>
        <v>116.99</v>
      </c>
      <c r="AD19" s="187">
        <f t="shared" si="15"/>
        <v>134.18168049999997</v>
      </c>
      <c r="AE19" s="188">
        <f t="shared" si="16"/>
        <v>0</v>
      </c>
      <c r="AF19" s="189">
        <f t="shared" si="17"/>
        <v>0</v>
      </c>
      <c r="AG19" s="185">
        <f t="shared" si="18"/>
        <v>6.5030572540300167</v>
      </c>
      <c r="AH19" s="104">
        <f t="shared" si="27"/>
        <v>159.99</v>
      </c>
      <c r="AI19" s="187">
        <f t="shared" si="19"/>
        <v>183.5005305</v>
      </c>
      <c r="AJ19" s="188">
        <f t="shared" si="20"/>
        <v>0</v>
      </c>
      <c r="AK19" s="189">
        <f t="shared" si="21"/>
        <v>0</v>
      </c>
      <c r="AL19" s="185">
        <f t="shared" si="22"/>
        <v>6.6690287619841611</v>
      </c>
      <c r="AM19" s="6" t="str">
        <f t="shared" si="28"/>
        <v>30% Off SL / Annual</v>
      </c>
      <c r="AN19" s="6" t="str">
        <f t="shared" si="29"/>
        <v>Messaging Only</v>
      </c>
      <c r="AO19" s="6" t="str">
        <f t="shared" si="23"/>
        <v>Messaging / Pause Flow</v>
      </c>
      <c r="AP19" s="6" t="str">
        <f t="shared" si="30"/>
        <v>50% Off LPP Only</v>
      </c>
    </row>
    <row r="20" spans="2:42" ht="13">
      <c r="B20" s="20" t="s">
        <v>86</v>
      </c>
      <c r="C20" s="20" t="s">
        <v>275</v>
      </c>
      <c r="D20" s="6"/>
      <c r="E20" s="6" t="str">
        <f>IF(VLOOKUP(B20,'[7]FY25 PRICING'!$B$5:$AL$246,'[7]FY25 PRICING'!$E$1,FALSE)=0,"","x")</f>
        <v/>
      </c>
      <c r="F20" s="11" t="str">
        <f>+VLOOKUP($B20,'[1]INT Web'!$B$5:$AS$247,'[1]INT Web'!$Q$1,FALSE)</f>
        <v>AZN</v>
      </c>
      <c r="G20" s="22">
        <f>+VLOOKUP($B20,'[1]INT Web'!$B$5:$AS$247,'[1]INT Web'!$U$1,FALSE)</f>
        <v>21.99</v>
      </c>
      <c r="H20" s="22">
        <f>+VLOOKUP($B20,'[1]INT Web'!$B$5:$AS$247,'[1]INT Web'!$S$1,FALSE)</f>
        <v>29.99</v>
      </c>
      <c r="I20" s="22">
        <f>+VLOOKUP($B20,'[1]INT Web'!$B$5:$AS$247,'[1]INT Web'!$T$1,FALSE)</f>
        <v>129.99</v>
      </c>
      <c r="J20" s="22">
        <f>+VLOOKUP($B20,'[1]INT Web'!$B$5:$AS$247,'[1]INT Web'!$R$1,FALSE)</f>
        <v>179.99</v>
      </c>
      <c r="K20" s="185">
        <f t="shared" si="5"/>
        <v>5.9113233287858122</v>
      </c>
      <c r="L20" s="185">
        <f t="shared" si="5"/>
        <v>6.0016672224074696</v>
      </c>
      <c r="M20" s="185">
        <f t="shared" si="6"/>
        <v>1.3638017280582082</v>
      </c>
      <c r="N20" s="186">
        <v>0.58737150000000005</v>
      </c>
      <c r="O20" s="187">
        <f t="shared" si="7"/>
        <v>12.916299285000001</v>
      </c>
      <c r="P20" s="187">
        <f t="shared" si="7"/>
        <v>17.615271285000002</v>
      </c>
      <c r="Q20" s="187">
        <f t="shared" si="7"/>
        <v>76.352421285000005</v>
      </c>
      <c r="R20" s="187">
        <f t="shared" si="7"/>
        <v>105.72099628500001</v>
      </c>
      <c r="S20" s="6">
        <v>0</v>
      </c>
      <c r="T20" s="104">
        <f t="shared" si="24"/>
        <v>21.99</v>
      </c>
      <c r="U20" s="187">
        <f t="shared" si="8"/>
        <v>12.916299285000001</v>
      </c>
      <c r="V20" s="188">
        <f t="shared" si="9"/>
        <v>0</v>
      </c>
      <c r="W20" s="189">
        <f t="shared" si="10"/>
        <v>0</v>
      </c>
      <c r="X20" s="104">
        <f t="shared" si="25"/>
        <v>29.99</v>
      </c>
      <c r="Y20" s="187">
        <f t="shared" si="11"/>
        <v>17.615271285000002</v>
      </c>
      <c r="Z20" s="188">
        <f t="shared" si="12"/>
        <v>0</v>
      </c>
      <c r="AA20" s="189">
        <f t="shared" si="13"/>
        <v>0</v>
      </c>
      <c r="AB20" s="185">
        <f t="shared" si="14"/>
        <v>1.3638017280582082</v>
      </c>
      <c r="AC20" s="104">
        <f t="shared" si="26"/>
        <v>129.99</v>
      </c>
      <c r="AD20" s="187">
        <f t="shared" si="15"/>
        <v>76.352421285000005</v>
      </c>
      <c r="AE20" s="188">
        <f t="shared" si="16"/>
        <v>0</v>
      </c>
      <c r="AF20" s="189">
        <f t="shared" si="17"/>
        <v>0</v>
      </c>
      <c r="AG20" s="185">
        <f t="shared" si="18"/>
        <v>5.9113233287858122</v>
      </c>
      <c r="AH20" s="104">
        <f t="shared" si="27"/>
        <v>179.99</v>
      </c>
      <c r="AI20" s="187">
        <f t="shared" si="19"/>
        <v>105.72099628500001</v>
      </c>
      <c r="AJ20" s="188">
        <f t="shared" si="20"/>
        <v>0</v>
      </c>
      <c r="AK20" s="189">
        <f t="shared" si="21"/>
        <v>0</v>
      </c>
      <c r="AL20" s="185">
        <f t="shared" si="22"/>
        <v>6.0016672224074696</v>
      </c>
      <c r="AM20" s="6" t="str">
        <f t="shared" si="28"/>
        <v>30% Off SL / Annual</v>
      </c>
      <c r="AN20" s="6" t="str">
        <f t="shared" si="29"/>
        <v>15% Off All SKUs</v>
      </c>
      <c r="AO20" s="6" t="str">
        <f t="shared" si="23"/>
        <v>Monthly: 100% Off Next Month</v>
      </c>
      <c r="AP20" s="6" t="str">
        <f t="shared" si="30"/>
        <v>50% Off SL / Annual</v>
      </c>
    </row>
    <row r="21" spans="2:42" ht="13">
      <c r="B21" s="20" t="s">
        <v>87</v>
      </c>
      <c r="C21" s="20" t="s">
        <v>96</v>
      </c>
      <c r="D21" s="6"/>
      <c r="E21" s="6" t="str">
        <f>IF(VLOOKUP(B21,'[7]FY25 PRICING'!$B$5:$AL$246,'[7]FY25 PRICING'!$E$1,FALSE)=0,"","x")</f>
        <v/>
      </c>
      <c r="F21" s="11" t="str">
        <f>+VLOOKUP($B21,'[1]INT Web'!$B$5:$AS$247,'[1]INT Web'!$Q$1,FALSE)</f>
        <v>BSD</v>
      </c>
      <c r="G21" s="22">
        <f>+VLOOKUP($B21,'[1]INT Web'!$B$5:$AS$247,'[1]INT Web'!$U$1,FALSE)</f>
        <v>11.99</v>
      </c>
      <c r="H21" s="22">
        <f>+VLOOKUP($B21,'[1]INT Web'!$B$5:$AS$247,'[1]INT Web'!$S$1,FALSE)</f>
        <v>15.99</v>
      </c>
      <c r="I21" s="22">
        <f>+VLOOKUP($B21,'[1]INT Web'!$B$5:$AS$247,'[1]INT Web'!$T$1,FALSE)</f>
        <v>71.989999999999995</v>
      </c>
      <c r="J21" s="22">
        <f>+VLOOKUP($B21,'[1]INT Web'!$B$5:$AS$247,'[1]INT Web'!$R$1,FALSE)</f>
        <v>95.99</v>
      </c>
      <c r="K21" s="185">
        <f t="shared" si="5"/>
        <v>6.0041701417848206</v>
      </c>
      <c r="L21" s="185">
        <f t="shared" si="5"/>
        <v>6.0031269543464658</v>
      </c>
      <c r="M21" s="185">
        <f t="shared" si="6"/>
        <v>1.3336113427856546</v>
      </c>
      <c r="N21" s="186">
        <v>1</v>
      </c>
      <c r="O21" s="187">
        <f t="shared" si="7"/>
        <v>11.99</v>
      </c>
      <c r="P21" s="187">
        <f t="shared" si="7"/>
        <v>15.99</v>
      </c>
      <c r="Q21" s="187">
        <f t="shared" si="7"/>
        <v>71.989999999999995</v>
      </c>
      <c r="R21" s="187">
        <f t="shared" si="7"/>
        <v>95.99</v>
      </c>
      <c r="S21" s="6" t="s">
        <v>484</v>
      </c>
      <c r="T21" s="104">
        <f t="shared" si="24"/>
        <v>11.99</v>
      </c>
      <c r="U21" s="187">
        <f t="shared" si="8"/>
        <v>11.99</v>
      </c>
      <c r="V21" s="188">
        <f t="shared" si="9"/>
        <v>0</v>
      </c>
      <c r="W21" s="189">
        <f t="shared" si="10"/>
        <v>0</v>
      </c>
      <c r="X21" s="104">
        <f t="shared" si="25"/>
        <v>15.99</v>
      </c>
      <c r="Y21" s="187">
        <f t="shared" si="11"/>
        <v>15.99</v>
      </c>
      <c r="Z21" s="188">
        <f t="shared" si="12"/>
        <v>0</v>
      </c>
      <c r="AA21" s="189">
        <f t="shared" si="13"/>
        <v>0</v>
      </c>
      <c r="AB21" s="185">
        <f t="shared" si="14"/>
        <v>1.3336113427856546</v>
      </c>
      <c r="AC21" s="104">
        <f t="shared" si="26"/>
        <v>71.989999999999995</v>
      </c>
      <c r="AD21" s="187">
        <f t="shared" si="15"/>
        <v>71.989999999999995</v>
      </c>
      <c r="AE21" s="188">
        <f t="shared" si="16"/>
        <v>0</v>
      </c>
      <c r="AF21" s="189">
        <f t="shared" si="17"/>
        <v>0</v>
      </c>
      <c r="AG21" s="185">
        <f t="shared" si="18"/>
        <v>6.0041701417848206</v>
      </c>
      <c r="AH21" s="104">
        <f t="shared" si="27"/>
        <v>95.99</v>
      </c>
      <c r="AI21" s="187">
        <f t="shared" si="19"/>
        <v>95.99</v>
      </c>
      <c r="AJ21" s="188">
        <f t="shared" si="20"/>
        <v>0</v>
      </c>
      <c r="AK21" s="189">
        <f t="shared" si="21"/>
        <v>0</v>
      </c>
      <c r="AL21" s="185">
        <f t="shared" si="22"/>
        <v>6.0031269543464658</v>
      </c>
      <c r="AM21" s="6" t="str">
        <f t="shared" si="28"/>
        <v>30% Off SL / Annual</v>
      </c>
      <c r="AN21" s="6" t="str">
        <f t="shared" si="29"/>
        <v>Messaging Only</v>
      </c>
      <c r="AO21" s="6" t="str">
        <f t="shared" si="23"/>
        <v>Messaging / Pause Flow</v>
      </c>
      <c r="AP21" s="6" t="str">
        <f t="shared" si="30"/>
        <v>50% Off LPP Only</v>
      </c>
    </row>
    <row r="22" spans="2:42" ht="13">
      <c r="B22" s="20" t="s">
        <v>88</v>
      </c>
      <c r="C22" s="20" t="s">
        <v>275</v>
      </c>
      <c r="D22" s="6"/>
      <c r="E22" s="6" t="str">
        <f>IF(VLOOKUP(B22,'[7]FY25 PRICING'!$B$5:$AL$246,'[7]FY25 PRICING'!$E$1,FALSE)=0,"","x")</f>
        <v/>
      </c>
      <c r="F22" s="11" t="str">
        <f>+VLOOKUP($B22,'[1]INT Web'!$B$5:$AS$247,'[1]INT Web'!$Q$1,FALSE)</f>
        <v>BHD</v>
      </c>
      <c r="G22" s="190">
        <f>+VLOOKUP($B22,'[1]INT Web'!$B$5:$AS$247,'[1]INT Web'!$U$1,FALSE)</f>
        <v>6.9989999999999997</v>
      </c>
      <c r="H22" s="190">
        <f>+VLOOKUP($B22,'[1]INT Web'!$B$5:$AS$247,'[1]INT Web'!$S$1,FALSE)</f>
        <v>8.9990000000000006</v>
      </c>
      <c r="I22" s="190">
        <f>+VLOOKUP($B22,'[1]INT Web'!$B$5:$AS$247,'[1]INT Web'!$T$1,FALSE)</f>
        <v>49.999000000000002</v>
      </c>
      <c r="J22" s="190">
        <f>+VLOOKUP($B22,'[1]INT Web'!$B$5:$AS$247,'[1]INT Web'!$R$1,FALSE)</f>
        <v>59.999000000000002</v>
      </c>
      <c r="K22" s="185">
        <f t="shared" si="5"/>
        <v>7.1437348192598948</v>
      </c>
      <c r="L22" s="185">
        <f t="shared" si="5"/>
        <v>6.6672963662629181</v>
      </c>
      <c r="M22" s="185">
        <f t="shared" si="6"/>
        <v>1.2857551078725533</v>
      </c>
      <c r="N22" s="186">
        <v>2.65252</v>
      </c>
      <c r="O22" s="187">
        <f t="shared" si="7"/>
        <v>18.564987479999999</v>
      </c>
      <c r="P22" s="187">
        <f t="shared" si="7"/>
        <v>23.870027480000001</v>
      </c>
      <c r="Q22" s="187">
        <f t="shared" si="7"/>
        <v>132.62334748000001</v>
      </c>
      <c r="R22" s="187">
        <f t="shared" si="7"/>
        <v>159.14854748000002</v>
      </c>
      <c r="S22" s="6" t="s">
        <v>484</v>
      </c>
      <c r="T22" s="104">
        <f t="shared" si="24"/>
        <v>6.9989999999999997</v>
      </c>
      <c r="U22" s="187">
        <f t="shared" si="8"/>
        <v>18.564987479999999</v>
      </c>
      <c r="V22" s="188">
        <f t="shared" si="9"/>
        <v>0</v>
      </c>
      <c r="W22" s="189">
        <f t="shared" si="10"/>
        <v>0</v>
      </c>
      <c r="X22" s="104">
        <f t="shared" si="25"/>
        <v>8.9990000000000006</v>
      </c>
      <c r="Y22" s="187">
        <f t="shared" si="11"/>
        <v>23.870027480000001</v>
      </c>
      <c r="Z22" s="188">
        <f t="shared" si="12"/>
        <v>0</v>
      </c>
      <c r="AA22" s="189">
        <f t="shared" si="13"/>
        <v>0</v>
      </c>
      <c r="AB22" s="185">
        <f t="shared" si="14"/>
        <v>1.2857551078725533</v>
      </c>
      <c r="AC22" s="104">
        <f t="shared" si="26"/>
        <v>49.999000000000002</v>
      </c>
      <c r="AD22" s="187">
        <f t="shared" si="15"/>
        <v>132.62334748000001</v>
      </c>
      <c r="AE22" s="188">
        <f t="shared" si="16"/>
        <v>0</v>
      </c>
      <c r="AF22" s="189">
        <f t="shared" si="17"/>
        <v>0</v>
      </c>
      <c r="AG22" s="185">
        <f t="shared" si="18"/>
        <v>7.1437348192598948</v>
      </c>
      <c r="AH22" s="104">
        <f t="shared" si="27"/>
        <v>59.999000000000002</v>
      </c>
      <c r="AI22" s="187">
        <f t="shared" si="19"/>
        <v>159.14854748000002</v>
      </c>
      <c r="AJ22" s="188">
        <f t="shared" si="20"/>
        <v>0</v>
      </c>
      <c r="AK22" s="189">
        <f t="shared" si="21"/>
        <v>0</v>
      </c>
      <c r="AL22" s="185">
        <f t="shared" si="22"/>
        <v>6.6672963662629181</v>
      </c>
      <c r="AM22" s="6" t="str">
        <f t="shared" si="28"/>
        <v>30% Off SL / Annual</v>
      </c>
      <c r="AN22" s="6" t="str">
        <f t="shared" si="29"/>
        <v>Messaging Only</v>
      </c>
      <c r="AO22" s="6" t="str">
        <f t="shared" si="23"/>
        <v>Messaging / Pause Flow</v>
      </c>
      <c r="AP22" s="6" t="str">
        <f t="shared" si="30"/>
        <v>50% Off LPP Only</v>
      </c>
    </row>
    <row r="23" spans="2:42" ht="13">
      <c r="B23" s="20" t="s">
        <v>89</v>
      </c>
      <c r="C23" s="20" t="s">
        <v>182</v>
      </c>
      <c r="D23" s="6"/>
      <c r="E23" s="6" t="str">
        <f>IF(VLOOKUP(B23,'[7]FY25 PRICING'!$B$5:$AL$246,'[7]FY25 PRICING'!$E$1,FALSE)=0,"","x")</f>
        <v/>
      </c>
      <c r="F23" s="11" t="str">
        <f>+VLOOKUP($B23,'[1]INT Web'!$B$5:$AS$247,'[1]INT Web'!$Q$1,FALSE)</f>
        <v>BDT</v>
      </c>
      <c r="G23" s="22">
        <f>+VLOOKUP($B23,'[1]INT Web'!$B$5:$AS$247,'[1]INT Web'!$U$1,FALSE)</f>
        <v>749.99</v>
      </c>
      <c r="H23" s="22">
        <f>+VLOOKUP($B23,'[1]INT Web'!$B$5:$AS$247,'[1]INT Web'!$S$1,FALSE)</f>
        <v>1011.99</v>
      </c>
      <c r="I23" s="22">
        <f>+VLOOKUP($B23,'[1]INT Web'!$B$5:$AS$247,'[1]INT Web'!$T$1,FALSE)</f>
        <v>4499.99</v>
      </c>
      <c r="J23" s="22">
        <f>+VLOOKUP($B23,'[1]INT Web'!$B$5:$AS$247,'[1]INT Web'!$R$1,FALSE)</f>
        <v>6071.99</v>
      </c>
      <c r="K23" s="185">
        <f t="shared" si="5"/>
        <v>6.0000666675555667</v>
      </c>
      <c r="L23" s="185">
        <f t="shared" si="5"/>
        <v>6.0000494076028419</v>
      </c>
      <c r="M23" s="185">
        <f t="shared" si="6"/>
        <v>1.3493379911732157</v>
      </c>
      <c r="N23" s="186">
        <v>8.1234770000000005E-3</v>
      </c>
      <c r="O23" s="187">
        <f t="shared" si="7"/>
        <v>6.0925265152300003</v>
      </c>
      <c r="P23" s="187">
        <f t="shared" si="7"/>
        <v>8.2208774892300003</v>
      </c>
      <c r="Q23" s="187">
        <f t="shared" si="7"/>
        <v>36.555565265230001</v>
      </c>
      <c r="R23" s="187">
        <f t="shared" si="7"/>
        <v>49.325671109230001</v>
      </c>
      <c r="S23" s="6">
        <v>0</v>
      </c>
      <c r="T23" s="104">
        <f t="shared" si="24"/>
        <v>749.99</v>
      </c>
      <c r="U23" s="187">
        <f t="shared" si="8"/>
        <v>6.0925265152300003</v>
      </c>
      <c r="V23" s="188">
        <f t="shared" si="9"/>
        <v>0</v>
      </c>
      <c r="W23" s="189">
        <f t="shared" si="10"/>
        <v>0</v>
      </c>
      <c r="X23" s="104">
        <f t="shared" si="25"/>
        <v>1011.99</v>
      </c>
      <c r="Y23" s="187">
        <f t="shared" si="11"/>
        <v>8.2208774892300003</v>
      </c>
      <c r="Z23" s="188">
        <f t="shared" si="12"/>
        <v>0</v>
      </c>
      <c r="AA23" s="189">
        <f t="shared" si="13"/>
        <v>0</v>
      </c>
      <c r="AB23" s="185">
        <f t="shared" si="14"/>
        <v>1.3493379911732157</v>
      </c>
      <c r="AC23" s="104">
        <f t="shared" si="26"/>
        <v>4499.99</v>
      </c>
      <c r="AD23" s="187">
        <f t="shared" si="15"/>
        <v>36.555565265230001</v>
      </c>
      <c r="AE23" s="188">
        <f t="shared" si="16"/>
        <v>0</v>
      </c>
      <c r="AF23" s="189">
        <f t="shared" si="17"/>
        <v>0</v>
      </c>
      <c r="AG23" s="185">
        <f t="shared" si="18"/>
        <v>6.0000666675555667</v>
      </c>
      <c r="AH23" s="104">
        <f t="shared" si="27"/>
        <v>6071.99</v>
      </c>
      <c r="AI23" s="187">
        <f t="shared" si="19"/>
        <v>49.325671109230001</v>
      </c>
      <c r="AJ23" s="188">
        <f t="shared" si="20"/>
        <v>0</v>
      </c>
      <c r="AK23" s="189">
        <f t="shared" si="21"/>
        <v>0</v>
      </c>
      <c r="AL23" s="185">
        <f t="shared" si="22"/>
        <v>6.0000494076028419</v>
      </c>
      <c r="AM23" s="6" t="str">
        <f t="shared" si="28"/>
        <v>30% Off SL / Annual</v>
      </c>
      <c r="AN23" s="6" t="str">
        <f t="shared" si="29"/>
        <v>15% Off All SKUs</v>
      </c>
      <c r="AO23" s="6" t="str">
        <f t="shared" si="23"/>
        <v>Monthly: 100% Off Next Month</v>
      </c>
      <c r="AP23" s="6" t="str">
        <f t="shared" si="30"/>
        <v>50% Off SL / Annual</v>
      </c>
    </row>
    <row r="24" spans="2:42" ht="13">
      <c r="B24" s="20" t="s">
        <v>90</v>
      </c>
      <c r="C24" s="20" t="s">
        <v>96</v>
      </c>
      <c r="D24" s="6"/>
      <c r="E24" s="6" t="str">
        <f>IF(VLOOKUP(B24,'[7]FY25 PRICING'!$B$5:$AL$246,'[7]FY25 PRICING'!$E$1,FALSE)=0,"","x")</f>
        <v/>
      </c>
      <c r="F24" s="11" t="str">
        <f>+VLOOKUP($B24,'[1]INT Web'!$B$5:$AS$247,'[1]INT Web'!$Q$1,FALSE)</f>
        <v>BBD</v>
      </c>
      <c r="G24" s="22">
        <f>+VLOOKUP($B24,'[1]INT Web'!$B$5:$AS$247,'[1]INT Web'!$U$1,FALSE)</f>
        <v>25.99</v>
      </c>
      <c r="H24" s="22">
        <f>+VLOOKUP($B24,'[1]INT Web'!$B$5:$AS$247,'[1]INT Web'!$S$1,FALSE)</f>
        <v>34.99</v>
      </c>
      <c r="I24" s="22">
        <f>+VLOOKUP($B24,'[1]INT Web'!$B$5:$AS$247,'[1]INT Web'!$T$1,FALSE)</f>
        <v>155.99</v>
      </c>
      <c r="J24" s="22">
        <f>+VLOOKUP($B24,'[1]INT Web'!$B$5:$AS$247,'[1]INT Web'!$R$1,FALSE)</f>
        <v>209.99</v>
      </c>
      <c r="K24" s="185">
        <f t="shared" si="5"/>
        <v>6.0019238168526368</v>
      </c>
      <c r="L24" s="185">
        <f t="shared" si="5"/>
        <v>6.0014289797084883</v>
      </c>
      <c r="M24" s="185">
        <f t="shared" si="6"/>
        <v>1.3462870334744135</v>
      </c>
      <c r="N24" s="186">
        <v>0.5</v>
      </c>
      <c r="O24" s="187">
        <f t="shared" si="7"/>
        <v>12.994999999999999</v>
      </c>
      <c r="P24" s="187">
        <f t="shared" si="7"/>
        <v>17.495000000000001</v>
      </c>
      <c r="Q24" s="187">
        <f t="shared" si="7"/>
        <v>77.995000000000005</v>
      </c>
      <c r="R24" s="187">
        <f t="shared" si="7"/>
        <v>104.995</v>
      </c>
      <c r="S24" s="6" t="s">
        <v>485</v>
      </c>
      <c r="T24" s="104">
        <f t="shared" si="24"/>
        <v>25.99</v>
      </c>
      <c r="U24" s="187">
        <f t="shared" si="8"/>
        <v>12.994999999999999</v>
      </c>
      <c r="V24" s="188">
        <f t="shared" si="9"/>
        <v>0</v>
      </c>
      <c r="W24" s="189">
        <f t="shared" si="10"/>
        <v>0</v>
      </c>
      <c r="X24" s="104">
        <f t="shared" si="25"/>
        <v>34.99</v>
      </c>
      <c r="Y24" s="187">
        <f t="shared" si="11"/>
        <v>17.495000000000001</v>
      </c>
      <c r="Z24" s="188">
        <f t="shared" si="12"/>
        <v>0</v>
      </c>
      <c r="AA24" s="189">
        <f t="shared" si="13"/>
        <v>0</v>
      </c>
      <c r="AB24" s="185">
        <f t="shared" si="14"/>
        <v>1.3462870334744135</v>
      </c>
      <c r="AC24" s="104">
        <f t="shared" si="26"/>
        <v>155.99</v>
      </c>
      <c r="AD24" s="187">
        <f t="shared" si="15"/>
        <v>77.995000000000005</v>
      </c>
      <c r="AE24" s="188">
        <f t="shared" si="16"/>
        <v>0</v>
      </c>
      <c r="AF24" s="189">
        <f t="shared" si="17"/>
        <v>0</v>
      </c>
      <c r="AG24" s="185">
        <f t="shared" si="18"/>
        <v>6.0019238168526368</v>
      </c>
      <c r="AH24" s="104">
        <f t="shared" si="27"/>
        <v>209.99</v>
      </c>
      <c r="AI24" s="187">
        <f t="shared" si="19"/>
        <v>104.995</v>
      </c>
      <c r="AJ24" s="188">
        <f t="shared" si="20"/>
        <v>0</v>
      </c>
      <c r="AK24" s="189">
        <f t="shared" si="21"/>
        <v>0</v>
      </c>
      <c r="AL24" s="185">
        <f t="shared" si="22"/>
        <v>6.0014289797084883</v>
      </c>
      <c r="AM24" s="6" t="str">
        <f t="shared" si="28"/>
        <v>30% Off SL / Annual</v>
      </c>
      <c r="AN24" s="6" t="str">
        <f t="shared" si="29"/>
        <v>Messaging Only</v>
      </c>
      <c r="AO24" s="6" t="str">
        <f t="shared" si="23"/>
        <v>Messaging / Pause Flow</v>
      </c>
      <c r="AP24" s="6" t="str">
        <f t="shared" si="30"/>
        <v>50% Off LPP Only</v>
      </c>
    </row>
    <row r="25" spans="2:42" ht="13" hidden="1" outlineLevel="1">
      <c r="B25" s="191" t="s">
        <v>91</v>
      </c>
      <c r="C25" s="191" t="s">
        <v>100</v>
      </c>
      <c r="D25" s="27"/>
      <c r="E25" s="6" t="str">
        <f>IF(VLOOKUP(B25,'[7]FY25 PRICING'!$B$5:$AL$246,'[7]FY25 PRICING'!$E$1,FALSE)=0,"","x")</f>
        <v/>
      </c>
      <c r="F25" s="11" t="str">
        <f>+VLOOKUP($B25,'[1]INT Web'!$B$5:$AS$247,'[1]INT Web'!$Q$1,FALSE)</f>
        <v>BYN</v>
      </c>
      <c r="G25" s="192">
        <f>+VLOOKUP($B25,'[1]INT Web'!$B$5:$AS$247,'[1]INT Web'!$U$1,FALSE)</f>
        <v>0</v>
      </c>
      <c r="H25" s="192">
        <f>+VLOOKUP($B25,'[1]INT Web'!$B$5:$AS$247,'[1]INT Web'!$S$1,FALSE)</f>
        <v>0</v>
      </c>
      <c r="I25" s="22">
        <f>+VLOOKUP($B25,'[1]INT Web'!$B$5:$AS$247,'[1]INT Web'!$T$1,FALSE)</f>
        <v>0</v>
      </c>
      <c r="J25" s="22">
        <f>+VLOOKUP($B25,'[1]INT Web'!$B$5:$AS$247,'[1]INT Web'!$R$1,FALSE)</f>
        <v>0</v>
      </c>
      <c r="K25" s="185" t="e">
        <f t="shared" si="5"/>
        <v>#DIV/0!</v>
      </c>
      <c r="L25" s="185" t="e">
        <f t="shared" si="5"/>
        <v>#DIV/0!</v>
      </c>
      <c r="M25" s="185" t="e">
        <f t="shared" si="6"/>
        <v>#DIV/0!</v>
      </c>
      <c r="N25" s="186">
        <v>0.35909219999999997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6">
        <v>0</v>
      </c>
      <c r="T25" s="104">
        <f t="shared" si="24"/>
        <v>0</v>
      </c>
      <c r="U25" s="187">
        <f t="shared" si="8"/>
        <v>0</v>
      </c>
      <c r="V25" s="188" t="str">
        <f t="shared" si="9"/>
        <v/>
      </c>
      <c r="W25" s="189" t="str">
        <f t="shared" si="10"/>
        <v/>
      </c>
      <c r="X25" s="104">
        <f t="shared" si="25"/>
        <v>0</v>
      </c>
      <c r="Y25" s="187">
        <f t="shared" si="11"/>
        <v>0</v>
      </c>
      <c r="Z25" s="188" t="str">
        <f t="shared" si="12"/>
        <v/>
      </c>
      <c r="AA25" s="189" t="str">
        <f t="shared" si="13"/>
        <v/>
      </c>
      <c r="AB25" s="185" t="str">
        <f t="shared" si="14"/>
        <v/>
      </c>
      <c r="AC25" s="104">
        <f t="shared" si="26"/>
        <v>0</v>
      </c>
      <c r="AD25" s="187">
        <f t="shared" si="15"/>
        <v>0</v>
      </c>
      <c r="AE25" s="188" t="str">
        <f t="shared" si="16"/>
        <v/>
      </c>
      <c r="AF25" s="189" t="str">
        <f t="shared" si="17"/>
        <v/>
      </c>
      <c r="AG25" s="185" t="str">
        <f t="shared" si="18"/>
        <v/>
      </c>
      <c r="AH25" s="104">
        <f t="shared" si="27"/>
        <v>0</v>
      </c>
      <c r="AI25" s="187">
        <f t="shared" si="19"/>
        <v>0</v>
      </c>
      <c r="AJ25" s="188" t="str">
        <f t="shared" si="20"/>
        <v/>
      </c>
      <c r="AK25" s="189" t="str">
        <f t="shared" si="21"/>
        <v/>
      </c>
      <c r="AL25" s="185" t="str">
        <f t="shared" si="22"/>
        <v/>
      </c>
      <c r="AM25" s="6" t="str">
        <f t="shared" si="28"/>
        <v>30% Off SL / Annual</v>
      </c>
      <c r="AN25" s="6" t="str">
        <f t="shared" si="29"/>
        <v>15% Off All SKUs</v>
      </c>
      <c r="AO25" s="6" t="str">
        <f t="shared" si="23"/>
        <v>Monthly: 100% Off Next Month</v>
      </c>
      <c r="AP25" s="6" t="str">
        <f t="shared" si="30"/>
        <v>50% Off SL / Annual</v>
      </c>
    </row>
    <row r="26" spans="2:42" ht="13" collapsed="1">
      <c r="B26" s="199" t="s">
        <v>92</v>
      </c>
      <c r="C26" s="199" t="s">
        <v>100</v>
      </c>
      <c r="D26" s="6" t="s">
        <v>480</v>
      </c>
      <c r="E26" s="6" t="s">
        <v>483</v>
      </c>
      <c r="F26" s="11" t="str">
        <f>+VLOOKUP($B26,'[1]INT Web'!$B$5:$AS$247,'[1]INT Web'!$Q$1,FALSE)</f>
        <v>EUR</v>
      </c>
      <c r="G26" s="22">
        <f>+VLOOKUP($B26,'[1]INT Web'!$B$5:$AS$247,'[1]INT Web'!$U$1,FALSE)</f>
        <v>18.989999999999998</v>
      </c>
      <c r="H26" s="22">
        <f>+VLOOKUP($B26,'[1]INT Web'!$B$5:$AS$247,'[1]INT Web'!$S$1,FALSE)</f>
        <v>25.99</v>
      </c>
      <c r="I26" s="22">
        <f>+VLOOKUP($B26,'[1]INT Web'!$B$5:$AS$247,'[1]INT Web'!$T$1,FALSE)</f>
        <v>124.99</v>
      </c>
      <c r="J26" s="22">
        <f>+VLOOKUP($B26,'[1]INT Web'!$B$5:$AS$247,'[1]INT Web'!$R$1,FALSE)</f>
        <v>169.99</v>
      </c>
      <c r="K26" s="185">
        <f t="shared" si="5"/>
        <v>6.5818852027382837</v>
      </c>
      <c r="L26" s="185">
        <f t="shared" si="5"/>
        <v>6.5405925355906129</v>
      </c>
      <c r="M26" s="185">
        <f t="shared" si="6"/>
        <v>1.3686150605581886</v>
      </c>
      <c r="N26" s="186">
        <v>1.1469499999999999</v>
      </c>
      <c r="O26" s="187">
        <f t="shared" si="7"/>
        <v>21.780580499999996</v>
      </c>
      <c r="P26" s="187">
        <f t="shared" si="7"/>
        <v>29.809230499999995</v>
      </c>
      <c r="Q26" s="187">
        <f t="shared" si="7"/>
        <v>143.35728049999997</v>
      </c>
      <c r="R26" s="187">
        <f t="shared" si="7"/>
        <v>194.97003050000001</v>
      </c>
      <c r="S26" s="6" t="s">
        <v>486</v>
      </c>
      <c r="T26" s="104">
        <f t="shared" si="24"/>
        <v>18.989999999999998</v>
      </c>
      <c r="U26" s="187">
        <f t="shared" si="8"/>
        <v>21.780580499999996</v>
      </c>
      <c r="V26" s="188">
        <f t="shared" si="9"/>
        <v>0</v>
      </c>
      <c r="W26" s="189">
        <f t="shared" si="10"/>
        <v>0</v>
      </c>
      <c r="X26" s="104">
        <f t="shared" si="25"/>
        <v>25.99</v>
      </c>
      <c r="Y26" s="187">
        <f t="shared" si="11"/>
        <v>29.809230499999995</v>
      </c>
      <c r="Z26" s="188">
        <f t="shared" si="12"/>
        <v>0</v>
      </c>
      <c r="AA26" s="189">
        <f t="shared" si="13"/>
        <v>0</v>
      </c>
      <c r="AB26" s="185">
        <f t="shared" si="14"/>
        <v>1.3686150605581886</v>
      </c>
      <c r="AC26" s="104">
        <f t="shared" si="26"/>
        <v>124.99</v>
      </c>
      <c r="AD26" s="187">
        <f t="shared" si="15"/>
        <v>143.35728049999997</v>
      </c>
      <c r="AE26" s="188">
        <f t="shared" si="16"/>
        <v>0</v>
      </c>
      <c r="AF26" s="189">
        <f t="shared" si="17"/>
        <v>0</v>
      </c>
      <c r="AG26" s="185">
        <f t="shared" si="18"/>
        <v>6.5818852027382837</v>
      </c>
      <c r="AH26" s="104">
        <f t="shared" si="27"/>
        <v>169.99</v>
      </c>
      <c r="AI26" s="187">
        <f t="shared" si="19"/>
        <v>194.97003050000001</v>
      </c>
      <c r="AJ26" s="188">
        <f t="shared" si="20"/>
        <v>0</v>
      </c>
      <c r="AK26" s="189">
        <f t="shared" si="21"/>
        <v>0</v>
      </c>
      <c r="AL26" s="185">
        <f t="shared" si="22"/>
        <v>6.5405925355906129</v>
      </c>
      <c r="AM26" s="6" t="str">
        <f t="shared" si="28"/>
        <v>30% Off SL / Annual</v>
      </c>
      <c r="AN26" s="6" t="str">
        <f t="shared" si="29"/>
        <v>Messaging Only</v>
      </c>
      <c r="AO26" s="6" t="str">
        <f t="shared" si="23"/>
        <v>Messaging / Pause Flow</v>
      </c>
      <c r="AP26" s="6" t="str">
        <f t="shared" si="30"/>
        <v>50% Off SL / Annual</v>
      </c>
    </row>
    <row r="27" spans="2:42" ht="13">
      <c r="B27" s="20" t="s">
        <v>93</v>
      </c>
      <c r="C27" s="20" t="s">
        <v>96</v>
      </c>
      <c r="D27" s="6"/>
      <c r="E27" s="6" t="str">
        <f>IF(VLOOKUP(B27,'[7]FY25 PRICING'!$B$5:$AL$246,'[7]FY25 PRICING'!$E$1,FALSE)=0,"","x")</f>
        <v/>
      </c>
      <c r="F27" s="11" t="str">
        <f>+VLOOKUP($B27,'[1]INT Web'!$B$5:$AS$247,'[1]INT Web'!$Q$1,FALSE)</f>
        <v>BZD</v>
      </c>
      <c r="G27" s="22">
        <f>+VLOOKUP($B27,'[1]INT Web'!$B$5:$AS$247,'[1]INT Web'!$U$1,FALSE)</f>
        <v>17.989999999999998</v>
      </c>
      <c r="H27" s="22">
        <f>+VLOOKUP($B27,'[1]INT Web'!$B$5:$AS$247,'[1]INT Web'!$S$1,FALSE)</f>
        <v>24.99</v>
      </c>
      <c r="I27" s="22">
        <f>+VLOOKUP($B27,'[1]INT Web'!$B$5:$AS$247,'[1]INT Web'!$T$1,FALSE)</f>
        <v>107.99</v>
      </c>
      <c r="J27" s="22">
        <f>+VLOOKUP($B27,'[1]INT Web'!$B$5:$AS$247,'[1]INT Web'!$R$1,FALSE)</f>
        <v>149.99</v>
      </c>
      <c r="K27" s="185">
        <f t="shared" si="5"/>
        <v>6.0027793218454697</v>
      </c>
      <c r="L27" s="185">
        <f t="shared" si="5"/>
        <v>6.0020008003201291</v>
      </c>
      <c r="M27" s="185">
        <f t="shared" si="6"/>
        <v>1.3891050583657587</v>
      </c>
      <c r="N27" s="186">
        <v>0.5</v>
      </c>
      <c r="O27" s="187">
        <f t="shared" si="7"/>
        <v>8.9949999999999992</v>
      </c>
      <c r="P27" s="187">
        <f t="shared" si="7"/>
        <v>12.494999999999999</v>
      </c>
      <c r="Q27" s="187">
        <f t="shared" si="7"/>
        <v>53.994999999999997</v>
      </c>
      <c r="R27" s="187">
        <f t="shared" si="7"/>
        <v>74.995000000000005</v>
      </c>
      <c r="S27" s="6" t="s">
        <v>486</v>
      </c>
      <c r="T27" s="104">
        <f t="shared" si="24"/>
        <v>17.989999999999998</v>
      </c>
      <c r="U27" s="187">
        <f t="shared" si="8"/>
        <v>8.9949999999999992</v>
      </c>
      <c r="V27" s="188">
        <f t="shared" si="9"/>
        <v>0</v>
      </c>
      <c r="W27" s="189">
        <f t="shared" si="10"/>
        <v>0</v>
      </c>
      <c r="X27" s="104">
        <f t="shared" si="25"/>
        <v>24.99</v>
      </c>
      <c r="Y27" s="187">
        <f t="shared" si="11"/>
        <v>12.494999999999999</v>
      </c>
      <c r="Z27" s="188">
        <f t="shared" si="12"/>
        <v>0</v>
      </c>
      <c r="AA27" s="189">
        <f t="shared" si="13"/>
        <v>0</v>
      </c>
      <c r="AB27" s="185">
        <f t="shared" si="14"/>
        <v>1.3891050583657587</v>
      </c>
      <c r="AC27" s="104">
        <f t="shared" si="26"/>
        <v>107.99</v>
      </c>
      <c r="AD27" s="187">
        <f t="shared" si="15"/>
        <v>53.994999999999997</v>
      </c>
      <c r="AE27" s="188">
        <f t="shared" si="16"/>
        <v>0</v>
      </c>
      <c r="AF27" s="189">
        <f t="shared" si="17"/>
        <v>0</v>
      </c>
      <c r="AG27" s="185">
        <f t="shared" si="18"/>
        <v>6.0027793218454697</v>
      </c>
      <c r="AH27" s="104">
        <f t="shared" si="27"/>
        <v>149.99</v>
      </c>
      <c r="AI27" s="187">
        <f t="shared" si="19"/>
        <v>74.995000000000005</v>
      </c>
      <c r="AJ27" s="188">
        <f t="shared" si="20"/>
        <v>0</v>
      </c>
      <c r="AK27" s="189">
        <f t="shared" si="21"/>
        <v>0</v>
      </c>
      <c r="AL27" s="185">
        <f t="shared" si="22"/>
        <v>6.0020008003201291</v>
      </c>
      <c r="AM27" s="6" t="str">
        <f t="shared" si="28"/>
        <v>30% Off SL / Annual</v>
      </c>
      <c r="AN27" s="6" t="str">
        <f t="shared" si="29"/>
        <v>Messaging Only</v>
      </c>
      <c r="AO27" s="6" t="str">
        <f t="shared" si="23"/>
        <v>Messaging / Pause Flow</v>
      </c>
      <c r="AP27" s="6" t="str">
        <f t="shared" si="30"/>
        <v>50% Off SL / Annual</v>
      </c>
    </row>
    <row r="28" spans="2:42" ht="13">
      <c r="B28" s="20" t="s">
        <v>94</v>
      </c>
      <c r="C28" s="20" t="s">
        <v>270</v>
      </c>
      <c r="D28" s="6"/>
      <c r="E28" s="6" t="str">
        <f>IF(VLOOKUP(B28,'[7]FY25 PRICING'!$B$5:$AL$246,'[7]FY25 PRICING'!$E$1,FALSE)=0,"","x")</f>
        <v/>
      </c>
      <c r="F28" s="11" t="str">
        <f>+VLOOKUP($B28,'[1]INT Web'!$B$5:$AS$247,'[1]INT Web'!$Q$1,FALSE)</f>
        <v>XOF</v>
      </c>
      <c r="G28" s="136">
        <f>+VLOOKUP($B28,'[1]INT Web'!$B$5:$AS$247,'[1]INT Web'!$U$1,FALSE)</f>
        <v>5400</v>
      </c>
      <c r="H28" s="136">
        <f>+VLOOKUP($B28,'[1]INT Web'!$B$5:$AS$247,'[1]INT Web'!$S$1,FALSE)</f>
        <v>7290</v>
      </c>
      <c r="I28" s="22">
        <f>+VLOOKUP($B28,'[1]INT Web'!$B$5:$AS$247,'[1]INT Web'!$T$1,FALSE)</f>
        <v>32400</v>
      </c>
      <c r="J28" s="22">
        <f>+VLOOKUP($B28,'[1]INT Web'!$B$5:$AS$247,'[1]INT Web'!$R$1,FALSE)</f>
        <v>43740</v>
      </c>
      <c r="K28" s="185">
        <f t="shared" si="5"/>
        <v>6</v>
      </c>
      <c r="L28" s="185">
        <f t="shared" si="5"/>
        <v>6</v>
      </c>
      <c r="M28" s="185">
        <f t="shared" si="6"/>
        <v>1.35</v>
      </c>
      <c r="N28" s="186">
        <v>1.7485141000000001E-3</v>
      </c>
      <c r="O28" s="187">
        <f t="shared" si="7"/>
        <v>9.4419761400000013</v>
      </c>
      <c r="P28" s="187">
        <f t="shared" si="7"/>
        <v>12.746667789</v>
      </c>
      <c r="Q28" s="187">
        <f t="shared" si="7"/>
        <v>56.651856840000001</v>
      </c>
      <c r="R28" s="187">
        <f t="shared" si="7"/>
        <v>76.480006734</v>
      </c>
      <c r="S28" s="6">
        <v>0</v>
      </c>
      <c r="T28" s="104">
        <f t="shared" si="24"/>
        <v>5400</v>
      </c>
      <c r="U28" s="187">
        <f t="shared" si="8"/>
        <v>9.4419761400000013</v>
      </c>
      <c r="V28" s="188">
        <f t="shared" si="9"/>
        <v>0</v>
      </c>
      <c r="W28" s="189">
        <f t="shared" si="10"/>
        <v>0</v>
      </c>
      <c r="X28" s="104">
        <f t="shared" si="25"/>
        <v>7290</v>
      </c>
      <c r="Y28" s="187">
        <f t="shared" si="11"/>
        <v>12.746667789</v>
      </c>
      <c r="Z28" s="188">
        <f t="shared" si="12"/>
        <v>0</v>
      </c>
      <c r="AA28" s="189">
        <f t="shared" si="13"/>
        <v>0</v>
      </c>
      <c r="AB28" s="185">
        <f t="shared" si="14"/>
        <v>1.35</v>
      </c>
      <c r="AC28" s="104">
        <f t="shared" si="26"/>
        <v>32400</v>
      </c>
      <c r="AD28" s="187">
        <f t="shared" si="15"/>
        <v>56.651856840000001</v>
      </c>
      <c r="AE28" s="188">
        <f t="shared" si="16"/>
        <v>0</v>
      </c>
      <c r="AF28" s="189">
        <f t="shared" si="17"/>
        <v>0</v>
      </c>
      <c r="AG28" s="185">
        <f t="shared" si="18"/>
        <v>6</v>
      </c>
      <c r="AH28" s="104">
        <f t="shared" si="27"/>
        <v>43740</v>
      </c>
      <c r="AI28" s="187">
        <f t="shared" si="19"/>
        <v>76.480006734</v>
      </c>
      <c r="AJ28" s="188">
        <f t="shared" si="20"/>
        <v>0</v>
      </c>
      <c r="AK28" s="189">
        <f t="shared" si="21"/>
        <v>0</v>
      </c>
      <c r="AL28" s="185">
        <f t="shared" si="22"/>
        <v>6</v>
      </c>
      <c r="AM28" s="6" t="str">
        <f t="shared" si="28"/>
        <v>30% Off SL / Annual</v>
      </c>
      <c r="AN28" s="6" t="str">
        <f t="shared" si="29"/>
        <v>15% Off All SKUs</v>
      </c>
      <c r="AO28" s="6" t="str">
        <f t="shared" si="23"/>
        <v>Monthly: 100% Off Next Month</v>
      </c>
      <c r="AP28" s="6" t="str">
        <f t="shared" si="30"/>
        <v>50% Off SL / Annual</v>
      </c>
    </row>
    <row r="29" spans="2:42" ht="13">
      <c r="B29" s="20" t="s">
        <v>95</v>
      </c>
      <c r="C29" s="20" t="s">
        <v>96</v>
      </c>
      <c r="D29" s="6"/>
      <c r="E29" s="6" t="str">
        <f>IF(VLOOKUP(B29,'[7]FY25 PRICING'!$B$5:$AL$246,'[7]FY25 PRICING'!$E$1,FALSE)=0,"","x")</f>
        <v/>
      </c>
      <c r="F29" s="11" t="str">
        <f>+VLOOKUP($B29,'[1]INT Web'!$B$5:$AS$247,'[1]INT Web'!$Q$1,FALSE)</f>
        <v>BMD</v>
      </c>
      <c r="G29" s="22">
        <f>+VLOOKUP($B29,'[1]INT Web'!$B$5:$AS$247,'[1]INT Web'!$U$1,FALSE)</f>
        <v>11.99</v>
      </c>
      <c r="H29" s="22">
        <f>+VLOOKUP($B29,'[1]INT Web'!$B$5:$AS$247,'[1]INT Web'!$S$1,FALSE)</f>
        <v>15.99</v>
      </c>
      <c r="I29" s="22">
        <f>+VLOOKUP($B29,'[1]INT Web'!$B$5:$AS$247,'[1]INT Web'!$T$1,FALSE)</f>
        <v>71.989999999999995</v>
      </c>
      <c r="J29" s="22">
        <f>+VLOOKUP($B29,'[1]INT Web'!$B$5:$AS$247,'[1]INT Web'!$R$1,FALSE)</f>
        <v>95.99</v>
      </c>
      <c r="K29" s="185">
        <f t="shared" si="5"/>
        <v>6.0041701417848206</v>
      </c>
      <c r="L29" s="185">
        <f t="shared" si="5"/>
        <v>6.0031269543464658</v>
      </c>
      <c r="M29" s="185">
        <f t="shared" si="6"/>
        <v>1.3336113427856546</v>
      </c>
      <c r="N29" s="186">
        <v>1</v>
      </c>
      <c r="O29" s="187">
        <f t="shared" si="7"/>
        <v>11.99</v>
      </c>
      <c r="P29" s="187">
        <f t="shared" si="7"/>
        <v>15.99</v>
      </c>
      <c r="Q29" s="187">
        <f t="shared" si="7"/>
        <v>71.989999999999995</v>
      </c>
      <c r="R29" s="187">
        <f t="shared" si="7"/>
        <v>95.99</v>
      </c>
      <c r="S29" s="6">
        <v>0</v>
      </c>
      <c r="T29" s="104">
        <f t="shared" si="24"/>
        <v>11.99</v>
      </c>
      <c r="U29" s="187">
        <f t="shared" si="8"/>
        <v>11.99</v>
      </c>
      <c r="V29" s="188">
        <f t="shared" si="9"/>
        <v>0</v>
      </c>
      <c r="W29" s="189">
        <f t="shared" si="10"/>
        <v>0</v>
      </c>
      <c r="X29" s="104">
        <f t="shared" si="25"/>
        <v>15.99</v>
      </c>
      <c r="Y29" s="187">
        <f t="shared" si="11"/>
        <v>15.99</v>
      </c>
      <c r="Z29" s="188">
        <f t="shared" si="12"/>
        <v>0</v>
      </c>
      <c r="AA29" s="189">
        <f t="shared" si="13"/>
        <v>0</v>
      </c>
      <c r="AB29" s="185">
        <f t="shared" si="14"/>
        <v>1.3336113427856546</v>
      </c>
      <c r="AC29" s="104">
        <f t="shared" si="26"/>
        <v>71.989999999999995</v>
      </c>
      <c r="AD29" s="187">
        <f t="shared" si="15"/>
        <v>71.989999999999995</v>
      </c>
      <c r="AE29" s="188">
        <f t="shared" si="16"/>
        <v>0</v>
      </c>
      <c r="AF29" s="189">
        <f t="shared" si="17"/>
        <v>0</v>
      </c>
      <c r="AG29" s="185">
        <f t="shared" si="18"/>
        <v>6.0041701417848206</v>
      </c>
      <c r="AH29" s="104">
        <f t="shared" si="27"/>
        <v>95.99</v>
      </c>
      <c r="AI29" s="187">
        <f t="shared" si="19"/>
        <v>95.99</v>
      </c>
      <c r="AJ29" s="188">
        <f t="shared" si="20"/>
        <v>0</v>
      </c>
      <c r="AK29" s="189">
        <f t="shared" si="21"/>
        <v>0</v>
      </c>
      <c r="AL29" s="185">
        <f t="shared" si="22"/>
        <v>6.0031269543464658</v>
      </c>
      <c r="AM29" s="6" t="str">
        <f t="shared" si="28"/>
        <v>30% Off SL / Annual</v>
      </c>
      <c r="AN29" s="6" t="str">
        <f t="shared" si="29"/>
        <v>15% Off All SKUs</v>
      </c>
      <c r="AO29" s="6" t="str">
        <f t="shared" si="23"/>
        <v>Monthly: 100% Off Next Month</v>
      </c>
      <c r="AP29" s="6" t="str">
        <f t="shared" si="30"/>
        <v>50% Off SL / Annual</v>
      </c>
    </row>
    <row r="30" spans="2:42" ht="13">
      <c r="B30" s="20" t="s">
        <v>97</v>
      </c>
      <c r="C30" s="20" t="s">
        <v>182</v>
      </c>
      <c r="D30" s="6"/>
      <c r="E30" s="6" t="str">
        <f>IF(VLOOKUP(B30,'[7]FY25 PRICING'!$B$5:$AL$246,'[7]FY25 PRICING'!$E$1,FALSE)=0,"","x")</f>
        <v/>
      </c>
      <c r="F30" s="11" t="str">
        <f>+VLOOKUP($B30,'[1]INT Web'!$B$5:$AS$247,'[1]INT Web'!$Q$1,FALSE)</f>
        <v>USD</v>
      </c>
      <c r="G30" s="22">
        <f>+VLOOKUP($B30,'[1]INT Web'!$B$5:$AS$247,'[1]INT Web'!$U$1,FALSE)</f>
        <v>8.99</v>
      </c>
      <c r="H30" s="22">
        <f>+VLOOKUP($B30,'[1]INT Web'!$B$5:$AS$247,'[1]INT Web'!$S$1,FALSE)</f>
        <v>11.99</v>
      </c>
      <c r="I30" s="22">
        <f>+VLOOKUP($B30,'[1]INT Web'!$B$5:$AS$247,'[1]INT Web'!$T$1,FALSE)</f>
        <v>53.99</v>
      </c>
      <c r="J30" s="22">
        <f>+VLOOKUP($B30,'[1]INT Web'!$B$5:$AS$247,'[1]INT Web'!$R$1,FALSE)</f>
        <v>71.989999999999995</v>
      </c>
      <c r="K30" s="185">
        <f t="shared" si="5"/>
        <v>6.0055617352614012</v>
      </c>
      <c r="L30" s="185">
        <f t="shared" si="5"/>
        <v>6.0041701417848206</v>
      </c>
      <c r="M30" s="185">
        <f t="shared" si="6"/>
        <v>1.3337041156840934</v>
      </c>
      <c r="N30" s="186">
        <v>1</v>
      </c>
      <c r="O30" s="187">
        <f t="shared" si="7"/>
        <v>8.99</v>
      </c>
      <c r="P30" s="187">
        <f t="shared" si="7"/>
        <v>11.99</v>
      </c>
      <c r="Q30" s="187">
        <f t="shared" si="7"/>
        <v>53.99</v>
      </c>
      <c r="R30" s="187">
        <f t="shared" si="7"/>
        <v>71.989999999999995</v>
      </c>
      <c r="S30" s="6">
        <v>0</v>
      </c>
      <c r="T30" s="104">
        <f t="shared" si="24"/>
        <v>8.99</v>
      </c>
      <c r="U30" s="187">
        <f t="shared" si="8"/>
        <v>8.99</v>
      </c>
      <c r="V30" s="188">
        <f t="shared" si="9"/>
        <v>0</v>
      </c>
      <c r="W30" s="189">
        <f t="shared" si="10"/>
        <v>0</v>
      </c>
      <c r="X30" s="104">
        <f t="shared" si="25"/>
        <v>11.99</v>
      </c>
      <c r="Y30" s="187">
        <f t="shared" si="11"/>
        <v>11.99</v>
      </c>
      <c r="Z30" s="188">
        <f t="shared" si="12"/>
        <v>0</v>
      </c>
      <c r="AA30" s="189">
        <f t="shared" si="13"/>
        <v>0</v>
      </c>
      <c r="AB30" s="185">
        <f t="shared" si="14"/>
        <v>1.3337041156840934</v>
      </c>
      <c r="AC30" s="104">
        <f t="shared" si="26"/>
        <v>53.99</v>
      </c>
      <c r="AD30" s="187">
        <f t="shared" si="15"/>
        <v>53.99</v>
      </c>
      <c r="AE30" s="188">
        <f t="shared" si="16"/>
        <v>0</v>
      </c>
      <c r="AF30" s="189">
        <f t="shared" si="17"/>
        <v>0</v>
      </c>
      <c r="AG30" s="185">
        <f t="shared" si="18"/>
        <v>6.0055617352614012</v>
      </c>
      <c r="AH30" s="104">
        <f t="shared" si="27"/>
        <v>71.989999999999995</v>
      </c>
      <c r="AI30" s="187">
        <f t="shared" si="19"/>
        <v>71.989999999999995</v>
      </c>
      <c r="AJ30" s="188">
        <f t="shared" si="20"/>
        <v>0</v>
      </c>
      <c r="AK30" s="189">
        <f t="shared" si="21"/>
        <v>0</v>
      </c>
      <c r="AL30" s="185">
        <f t="shared" si="22"/>
        <v>6.0041701417848206</v>
      </c>
      <c r="AM30" s="6" t="str">
        <f t="shared" si="28"/>
        <v>30% Off SL / Annual</v>
      </c>
      <c r="AN30" s="6" t="str">
        <f t="shared" si="29"/>
        <v>15% Off All SKUs</v>
      </c>
      <c r="AO30" s="6" t="str">
        <f t="shared" si="23"/>
        <v>Monthly: 100% Off Next Month</v>
      </c>
      <c r="AP30" s="6" t="str">
        <f t="shared" si="30"/>
        <v>50% Off SL / Annual</v>
      </c>
    </row>
    <row r="31" spans="2:42" ht="13">
      <c r="B31" s="20" t="s">
        <v>98</v>
      </c>
      <c r="C31" s="20" t="s">
        <v>96</v>
      </c>
      <c r="D31" s="6"/>
      <c r="E31" s="6" t="str">
        <f>IF(VLOOKUP(B31,'[7]FY25 PRICING'!$B$5:$AL$246,'[7]FY25 PRICING'!$E$1,FALSE)=0,"","x")</f>
        <v/>
      </c>
      <c r="F31" s="11" t="str">
        <f>+VLOOKUP($B31,'[1]INT Web'!$B$5:$AS$247,'[1]INT Web'!$Q$1,FALSE)</f>
        <v>BOB</v>
      </c>
      <c r="G31" s="22">
        <f>+VLOOKUP($B31,'[1]INT Web'!$B$5:$AS$247,'[1]INT Web'!$U$1,FALSE)</f>
        <v>68.989999999999995</v>
      </c>
      <c r="H31" s="22">
        <f>+VLOOKUP($B31,'[1]INT Web'!$B$5:$AS$247,'[1]INT Web'!$S$1,FALSE)</f>
        <v>92.99</v>
      </c>
      <c r="I31" s="22">
        <f>+VLOOKUP($B31,'[1]INT Web'!$B$5:$AS$247,'[1]INT Web'!$T$1,FALSE)</f>
        <v>409.99</v>
      </c>
      <c r="J31" s="22">
        <f>+VLOOKUP($B31,'[1]INT Web'!$B$5:$AS$247,'[1]INT Web'!$R$1,FALSE)</f>
        <v>559.99</v>
      </c>
      <c r="K31" s="185">
        <f t="shared" si="5"/>
        <v>5.9427453254094802</v>
      </c>
      <c r="L31" s="185">
        <f t="shared" si="5"/>
        <v>6.022045381223788</v>
      </c>
      <c r="M31" s="185">
        <f t="shared" si="6"/>
        <v>1.3478765038411364</v>
      </c>
      <c r="N31" s="186">
        <v>0.14471780000000001</v>
      </c>
      <c r="O31" s="187">
        <f t="shared" si="7"/>
        <v>9.9840810219999998</v>
      </c>
      <c r="P31" s="187">
        <f t="shared" si="7"/>
        <v>13.457308222</v>
      </c>
      <c r="Q31" s="187">
        <f t="shared" si="7"/>
        <v>59.332850822000005</v>
      </c>
      <c r="R31" s="187">
        <f t="shared" si="7"/>
        <v>81.040520822000005</v>
      </c>
      <c r="S31" s="6" t="s">
        <v>485</v>
      </c>
      <c r="T31" s="104">
        <f t="shared" si="24"/>
        <v>68.989999999999995</v>
      </c>
      <c r="U31" s="187">
        <f t="shared" si="8"/>
        <v>9.9840810219999998</v>
      </c>
      <c r="V31" s="188">
        <f t="shared" si="9"/>
        <v>0</v>
      </c>
      <c r="W31" s="189">
        <f t="shared" si="10"/>
        <v>0</v>
      </c>
      <c r="X31" s="104">
        <f t="shared" si="25"/>
        <v>92.99</v>
      </c>
      <c r="Y31" s="187">
        <f t="shared" si="11"/>
        <v>13.457308222</v>
      </c>
      <c r="Z31" s="188">
        <f t="shared" si="12"/>
        <v>0</v>
      </c>
      <c r="AA31" s="189">
        <f t="shared" si="13"/>
        <v>0</v>
      </c>
      <c r="AB31" s="185">
        <f t="shared" si="14"/>
        <v>1.3478765038411364</v>
      </c>
      <c r="AC31" s="104">
        <f t="shared" si="26"/>
        <v>409.99</v>
      </c>
      <c r="AD31" s="187">
        <f t="shared" si="15"/>
        <v>59.332850822000005</v>
      </c>
      <c r="AE31" s="188">
        <f t="shared" si="16"/>
        <v>0</v>
      </c>
      <c r="AF31" s="189">
        <f t="shared" si="17"/>
        <v>0</v>
      </c>
      <c r="AG31" s="185">
        <f t="shared" si="18"/>
        <v>5.9427453254094802</v>
      </c>
      <c r="AH31" s="104">
        <f t="shared" si="27"/>
        <v>559.99</v>
      </c>
      <c r="AI31" s="187">
        <f t="shared" si="19"/>
        <v>81.040520822000005</v>
      </c>
      <c r="AJ31" s="188">
        <f t="shared" si="20"/>
        <v>0</v>
      </c>
      <c r="AK31" s="189">
        <f t="shared" si="21"/>
        <v>0</v>
      </c>
      <c r="AL31" s="185">
        <f t="shared" si="22"/>
        <v>6.022045381223788</v>
      </c>
      <c r="AM31" s="6" t="str">
        <f t="shared" si="28"/>
        <v>30% Off SL / Annual</v>
      </c>
      <c r="AN31" s="6" t="str">
        <f t="shared" si="29"/>
        <v>Messaging Only</v>
      </c>
      <c r="AO31" s="6" t="str">
        <f t="shared" si="23"/>
        <v>Messaging / Pause Flow</v>
      </c>
      <c r="AP31" s="6" t="str">
        <f t="shared" si="30"/>
        <v>50% Off LPP Only</v>
      </c>
    </row>
    <row r="32" spans="2:42" ht="13">
      <c r="B32" s="20" t="s">
        <v>99</v>
      </c>
      <c r="C32" s="20" t="s">
        <v>96</v>
      </c>
      <c r="D32" s="6"/>
      <c r="E32" s="6" t="str">
        <f>IF(VLOOKUP(B32,'[7]FY25 PRICING'!$B$5:$AL$246,'[7]FY25 PRICING'!$E$1,FALSE)=0,"","x")</f>
        <v/>
      </c>
      <c r="F32" s="11" t="str">
        <f>+VLOOKUP($B32,'[1]INT Web'!$B$5:$AS$247,'[1]INT Web'!$Q$1,FALSE)</f>
        <v>USD</v>
      </c>
      <c r="G32" s="22">
        <f>+VLOOKUP($B32,'[1]INT Web'!$B$5:$AS$247,'[1]INT Web'!$U$1,FALSE)</f>
        <v>10.99</v>
      </c>
      <c r="H32" s="22">
        <f>+VLOOKUP($B32,'[1]INT Web'!$B$5:$AS$247,'[1]INT Web'!$S$1,FALSE)</f>
        <v>14.99</v>
      </c>
      <c r="I32" s="22">
        <f>+VLOOKUP($B32,'[1]INT Web'!$B$5:$AS$247,'[1]INT Web'!$T$1,FALSE)</f>
        <v>69.989999999999995</v>
      </c>
      <c r="J32" s="22">
        <f>+VLOOKUP($B32,'[1]INT Web'!$B$5:$AS$247,'[1]INT Web'!$R$1,FALSE)</f>
        <v>89.99</v>
      </c>
      <c r="K32" s="185">
        <f t="shared" si="5"/>
        <v>6.3685168334849855</v>
      </c>
      <c r="L32" s="185">
        <f t="shared" si="5"/>
        <v>6.0033355570380253</v>
      </c>
      <c r="M32" s="185">
        <f t="shared" si="6"/>
        <v>1.3639672429481347</v>
      </c>
      <c r="N32" s="186">
        <v>1</v>
      </c>
      <c r="O32" s="187">
        <f t="shared" si="7"/>
        <v>10.99</v>
      </c>
      <c r="P32" s="187">
        <f t="shared" si="7"/>
        <v>14.99</v>
      </c>
      <c r="Q32" s="187">
        <f t="shared" si="7"/>
        <v>69.989999999999995</v>
      </c>
      <c r="R32" s="187">
        <f t="shared" si="7"/>
        <v>89.99</v>
      </c>
      <c r="S32" s="6">
        <v>0</v>
      </c>
      <c r="T32" s="104">
        <f t="shared" si="24"/>
        <v>10.99</v>
      </c>
      <c r="U32" s="187">
        <f t="shared" si="8"/>
        <v>10.99</v>
      </c>
      <c r="V32" s="188">
        <f t="shared" si="9"/>
        <v>0</v>
      </c>
      <c r="W32" s="189">
        <f t="shared" si="10"/>
        <v>0</v>
      </c>
      <c r="X32" s="104">
        <f t="shared" si="25"/>
        <v>14.99</v>
      </c>
      <c r="Y32" s="187">
        <f t="shared" si="11"/>
        <v>14.99</v>
      </c>
      <c r="Z32" s="188">
        <f t="shared" si="12"/>
        <v>0</v>
      </c>
      <c r="AA32" s="189">
        <f t="shared" si="13"/>
        <v>0</v>
      </c>
      <c r="AB32" s="185">
        <f t="shared" si="14"/>
        <v>1.3639672429481347</v>
      </c>
      <c r="AC32" s="104">
        <f t="shared" si="26"/>
        <v>69.989999999999995</v>
      </c>
      <c r="AD32" s="187">
        <f t="shared" si="15"/>
        <v>69.989999999999995</v>
      </c>
      <c r="AE32" s="188">
        <f t="shared" si="16"/>
        <v>0</v>
      </c>
      <c r="AF32" s="189">
        <f t="shared" si="17"/>
        <v>0</v>
      </c>
      <c r="AG32" s="185">
        <f t="shared" si="18"/>
        <v>6.3685168334849855</v>
      </c>
      <c r="AH32" s="104">
        <f t="shared" si="27"/>
        <v>89.99</v>
      </c>
      <c r="AI32" s="187">
        <f t="shared" si="19"/>
        <v>89.99</v>
      </c>
      <c r="AJ32" s="188">
        <f t="shared" si="20"/>
        <v>0</v>
      </c>
      <c r="AK32" s="189">
        <f t="shared" si="21"/>
        <v>0</v>
      </c>
      <c r="AL32" s="185">
        <f t="shared" si="22"/>
        <v>6.0033355570380253</v>
      </c>
      <c r="AM32" s="6" t="str">
        <f t="shared" si="28"/>
        <v>30% Off SL / Annual</v>
      </c>
      <c r="AN32" s="6" t="str">
        <f t="shared" si="29"/>
        <v>15% Off All SKUs</v>
      </c>
      <c r="AO32" s="6" t="str">
        <f t="shared" si="23"/>
        <v>Monthly: 100% Off Next Month</v>
      </c>
      <c r="AP32" s="6" t="str">
        <f t="shared" si="30"/>
        <v>50% Off SL / Annual</v>
      </c>
    </row>
    <row r="33" spans="2:42" ht="13">
      <c r="B33" s="20" t="s">
        <v>101</v>
      </c>
      <c r="C33" s="20" t="s">
        <v>100</v>
      </c>
      <c r="D33" s="6"/>
      <c r="E33" s="6" t="str">
        <f>IF(VLOOKUP(B33,'[7]FY25 PRICING'!$B$5:$AL$246,'[7]FY25 PRICING'!$E$1,FALSE)=0,"","x")</f>
        <v/>
      </c>
      <c r="F33" s="11" t="str">
        <f>+VLOOKUP($B33,'[1]INT Web'!$B$5:$AS$247,'[1]INT Web'!$Q$1,FALSE)</f>
        <v>BAM</v>
      </c>
      <c r="G33" s="22">
        <f>+VLOOKUP($B33,'[1]INT Web'!$B$5:$AS$247,'[1]INT Web'!$U$1,FALSE)</f>
        <v>17.989999999999998</v>
      </c>
      <c r="H33" s="22">
        <f>+VLOOKUP($B33,'[1]INT Web'!$B$5:$AS$247,'[1]INT Web'!$S$1,FALSE)</f>
        <v>24.99</v>
      </c>
      <c r="I33" s="22">
        <f>+VLOOKUP($B33,'[1]INT Web'!$B$5:$AS$247,'[1]INT Web'!$T$1,FALSE)</f>
        <v>109.99</v>
      </c>
      <c r="J33" s="22">
        <f>+VLOOKUP($B33,'[1]INT Web'!$B$5:$AS$247,'[1]INT Web'!$R$1,FALSE)</f>
        <v>149.99</v>
      </c>
      <c r="K33" s="185">
        <f t="shared" si="5"/>
        <v>6.1139521956642584</v>
      </c>
      <c r="L33" s="185">
        <f t="shared" si="5"/>
        <v>6.0020008003201291</v>
      </c>
      <c r="M33" s="185">
        <f t="shared" si="6"/>
        <v>1.3891050583657587</v>
      </c>
      <c r="N33" s="186">
        <v>0.58642430000000001</v>
      </c>
      <c r="O33" s="187">
        <f t="shared" si="7"/>
        <v>10.549773156999999</v>
      </c>
      <c r="P33" s="187">
        <f t="shared" si="7"/>
        <v>14.654743257</v>
      </c>
      <c r="Q33" s="187">
        <f t="shared" si="7"/>
        <v>64.500808757000001</v>
      </c>
      <c r="R33" s="187">
        <f t="shared" si="7"/>
        <v>87.957780757000009</v>
      </c>
      <c r="S33" s="6" t="s">
        <v>485</v>
      </c>
      <c r="T33" s="104">
        <f t="shared" si="24"/>
        <v>17.989999999999998</v>
      </c>
      <c r="U33" s="187">
        <f t="shared" si="8"/>
        <v>10.549773156999999</v>
      </c>
      <c r="V33" s="188">
        <f t="shared" si="9"/>
        <v>0</v>
      </c>
      <c r="W33" s="189">
        <f t="shared" si="10"/>
        <v>0</v>
      </c>
      <c r="X33" s="104">
        <f t="shared" si="25"/>
        <v>24.99</v>
      </c>
      <c r="Y33" s="187">
        <f t="shared" si="11"/>
        <v>14.654743257</v>
      </c>
      <c r="Z33" s="188">
        <f t="shared" si="12"/>
        <v>0</v>
      </c>
      <c r="AA33" s="189">
        <f t="shared" si="13"/>
        <v>0</v>
      </c>
      <c r="AB33" s="185">
        <f t="shared" si="14"/>
        <v>1.3891050583657587</v>
      </c>
      <c r="AC33" s="104">
        <f t="shared" si="26"/>
        <v>109.99</v>
      </c>
      <c r="AD33" s="187">
        <f t="shared" si="15"/>
        <v>64.500808757000001</v>
      </c>
      <c r="AE33" s="188">
        <f t="shared" si="16"/>
        <v>0</v>
      </c>
      <c r="AF33" s="189">
        <f t="shared" si="17"/>
        <v>0</v>
      </c>
      <c r="AG33" s="185">
        <f t="shared" si="18"/>
        <v>6.1139521956642584</v>
      </c>
      <c r="AH33" s="104">
        <f t="shared" si="27"/>
        <v>149.99</v>
      </c>
      <c r="AI33" s="187">
        <f t="shared" si="19"/>
        <v>87.957780757000009</v>
      </c>
      <c r="AJ33" s="188">
        <f t="shared" si="20"/>
        <v>0</v>
      </c>
      <c r="AK33" s="189">
        <f t="shared" si="21"/>
        <v>0</v>
      </c>
      <c r="AL33" s="185">
        <f t="shared" si="22"/>
        <v>6.0020008003201291</v>
      </c>
      <c r="AM33" s="6" t="str">
        <f t="shared" si="28"/>
        <v>30% Off SL / Annual</v>
      </c>
      <c r="AN33" s="6" t="str">
        <f t="shared" si="29"/>
        <v>Messaging Only</v>
      </c>
      <c r="AO33" s="6" t="str">
        <f t="shared" si="23"/>
        <v>Messaging / Pause Flow</v>
      </c>
      <c r="AP33" s="6" t="str">
        <f t="shared" si="30"/>
        <v>50% Off LPP Only</v>
      </c>
    </row>
    <row r="34" spans="2:42" ht="13">
      <c r="B34" s="20" t="s">
        <v>102</v>
      </c>
      <c r="C34" s="20" t="s">
        <v>270</v>
      </c>
      <c r="D34" s="6"/>
      <c r="E34" s="6" t="str">
        <f>IF(VLOOKUP(B34,'[7]FY25 PRICING'!$B$5:$AL$246,'[7]FY25 PRICING'!$E$1,FALSE)=0,"","x")</f>
        <v/>
      </c>
      <c r="F34" s="11" t="str">
        <f>+VLOOKUP($B34,'[1]INT Web'!$B$5:$AS$247,'[1]INT Web'!$Q$1,FALSE)</f>
        <v>BWP</v>
      </c>
      <c r="G34" s="22">
        <f>+VLOOKUP($B34,'[1]INT Web'!$B$5:$AS$247,'[1]INT Web'!$U$1,FALSE)</f>
        <v>81.99</v>
      </c>
      <c r="H34" s="22">
        <f>+VLOOKUP($B34,'[1]INT Web'!$B$5:$AS$247,'[1]INT Web'!$S$1,FALSE)</f>
        <v>110.99</v>
      </c>
      <c r="I34" s="22">
        <f>+VLOOKUP($B34,'[1]INT Web'!$B$5:$AS$247,'[1]INT Web'!$T$1,FALSE)</f>
        <v>491.99</v>
      </c>
      <c r="J34" s="22">
        <f>+VLOOKUP($B34,'[1]INT Web'!$B$5:$AS$247,'[1]INT Web'!$R$1,FALSE)</f>
        <v>665.99</v>
      </c>
      <c r="K34" s="185">
        <f t="shared" si="5"/>
        <v>6.0006098304671305</v>
      </c>
      <c r="L34" s="185">
        <f t="shared" si="5"/>
        <v>6.0004504910352283</v>
      </c>
      <c r="M34" s="185">
        <f t="shared" si="6"/>
        <v>1.3537016709354799</v>
      </c>
      <c r="N34" s="186">
        <v>7.0400000000000004E-2</v>
      </c>
      <c r="O34" s="187">
        <f t="shared" si="7"/>
        <v>5.7720960000000003</v>
      </c>
      <c r="P34" s="187">
        <f t="shared" si="7"/>
        <v>7.8136960000000002</v>
      </c>
      <c r="Q34" s="187">
        <f t="shared" si="7"/>
        <v>34.636096000000002</v>
      </c>
      <c r="R34" s="187">
        <f t="shared" si="7"/>
        <v>46.885696000000003</v>
      </c>
      <c r="S34" s="6">
        <v>0</v>
      </c>
      <c r="T34" s="104">
        <f t="shared" si="24"/>
        <v>81.99</v>
      </c>
      <c r="U34" s="187">
        <f t="shared" si="8"/>
        <v>5.7720960000000003</v>
      </c>
      <c r="V34" s="188">
        <f t="shared" si="9"/>
        <v>0</v>
      </c>
      <c r="W34" s="189">
        <f t="shared" si="10"/>
        <v>0</v>
      </c>
      <c r="X34" s="104">
        <f t="shared" si="25"/>
        <v>110.99</v>
      </c>
      <c r="Y34" s="187">
        <f t="shared" si="11"/>
        <v>7.8136960000000002</v>
      </c>
      <c r="Z34" s="188">
        <f t="shared" si="12"/>
        <v>0</v>
      </c>
      <c r="AA34" s="189">
        <f t="shared" si="13"/>
        <v>0</v>
      </c>
      <c r="AB34" s="185">
        <f t="shared" si="14"/>
        <v>1.3537016709354799</v>
      </c>
      <c r="AC34" s="104">
        <f t="shared" si="26"/>
        <v>491.99</v>
      </c>
      <c r="AD34" s="187">
        <f t="shared" si="15"/>
        <v>34.636096000000002</v>
      </c>
      <c r="AE34" s="188">
        <f t="shared" si="16"/>
        <v>0</v>
      </c>
      <c r="AF34" s="189">
        <f t="shared" si="17"/>
        <v>0</v>
      </c>
      <c r="AG34" s="185">
        <f t="shared" si="18"/>
        <v>6.0006098304671305</v>
      </c>
      <c r="AH34" s="104">
        <f t="shared" si="27"/>
        <v>665.99</v>
      </c>
      <c r="AI34" s="187">
        <f t="shared" si="19"/>
        <v>46.885696000000003</v>
      </c>
      <c r="AJ34" s="188">
        <f t="shared" si="20"/>
        <v>0</v>
      </c>
      <c r="AK34" s="189">
        <f t="shared" si="21"/>
        <v>0</v>
      </c>
      <c r="AL34" s="185">
        <f t="shared" si="22"/>
        <v>6.0004504910352283</v>
      </c>
      <c r="AM34" s="6" t="str">
        <f t="shared" si="28"/>
        <v>30% Off SL / Annual</v>
      </c>
      <c r="AN34" s="6" t="str">
        <f t="shared" si="29"/>
        <v>15% Off All SKUs</v>
      </c>
      <c r="AO34" s="6" t="str">
        <f t="shared" si="23"/>
        <v>Monthly: 100% Off Next Month</v>
      </c>
      <c r="AP34" s="6" t="str">
        <f t="shared" si="30"/>
        <v>50% Off SL / Annual</v>
      </c>
    </row>
    <row r="35" spans="2:42" ht="13">
      <c r="B35" s="20" t="s">
        <v>103</v>
      </c>
      <c r="C35" s="20" t="s">
        <v>100</v>
      </c>
      <c r="D35" s="6"/>
      <c r="E35" s="6" t="str">
        <f>IF(VLOOKUP(B35,'[7]FY25 PRICING'!$B$5:$AL$246,'[7]FY25 PRICING'!$E$1,FALSE)=0,"","x")</f>
        <v/>
      </c>
      <c r="F35" s="11" t="str">
        <f>+VLOOKUP($B35,'[1]INT Web'!$B$5:$AS$247,'[1]INT Web'!$Q$1,FALSE)</f>
        <v>NOK</v>
      </c>
      <c r="G35" s="22">
        <f>+VLOOKUP($B35,'[1]INT Web'!$B$5:$AS$247,'[1]INT Web'!$U$1,FALSE)</f>
        <v>149.99</v>
      </c>
      <c r="H35" s="22">
        <f>+VLOOKUP($B35,'[1]INT Web'!$B$5:$AS$247,'[1]INT Web'!$S$1,FALSE)</f>
        <v>199.99</v>
      </c>
      <c r="I35" s="22">
        <f>+VLOOKUP($B35,'[1]INT Web'!$B$5:$AS$247,'[1]INT Web'!$T$1,FALSE)</f>
        <v>899.99</v>
      </c>
      <c r="J35" s="22">
        <f>+VLOOKUP($B35,'[1]INT Web'!$B$5:$AS$247,'[1]INT Web'!$R$1,FALSE)</f>
        <v>1399.99</v>
      </c>
      <c r="K35" s="185">
        <f t="shared" si="5"/>
        <v>6.0003333555570366</v>
      </c>
      <c r="L35" s="185">
        <f t="shared" si="5"/>
        <v>7.0003000150007502</v>
      </c>
      <c r="M35" s="185">
        <f t="shared" si="6"/>
        <v>1.3333555570371358</v>
      </c>
      <c r="N35" s="186">
        <v>0.10330471400000001</v>
      </c>
      <c r="O35" s="187">
        <f t="shared" si="7"/>
        <v>15.494674052860002</v>
      </c>
      <c r="P35" s="187">
        <f t="shared" si="7"/>
        <v>20.659909752860003</v>
      </c>
      <c r="Q35" s="187">
        <f t="shared" si="7"/>
        <v>92.973209552860013</v>
      </c>
      <c r="R35" s="187">
        <f t="shared" si="7"/>
        <v>144.62556655286002</v>
      </c>
      <c r="S35" s="6">
        <v>0</v>
      </c>
      <c r="T35" s="104">
        <f t="shared" si="24"/>
        <v>149.99</v>
      </c>
      <c r="U35" s="187">
        <f t="shared" si="8"/>
        <v>15.494674052860002</v>
      </c>
      <c r="V35" s="188">
        <f t="shared" si="9"/>
        <v>0</v>
      </c>
      <c r="W35" s="189">
        <f t="shared" si="10"/>
        <v>0</v>
      </c>
      <c r="X35" s="104">
        <f t="shared" si="25"/>
        <v>199.99</v>
      </c>
      <c r="Y35" s="187">
        <f t="shared" si="11"/>
        <v>20.659909752860003</v>
      </c>
      <c r="Z35" s="188">
        <f t="shared" si="12"/>
        <v>0</v>
      </c>
      <c r="AA35" s="189">
        <f t="shared" si="13"/>
        <v>0</v>
      </c>
      <c r="AB35" s="185">
        <f t="shared" si="14"/>
        <v>1.3333555570371358</v>
      </c>
      <c r="AC35" s="104">
        <f t="shared" si="26"/>
        <v>899.99</v>
      </c>
      <c r="AD35" s="187">
        <f t="shared" si="15"/>
        <v>92.973209552860013</v>
      </c>
      <c r="AE35" s="188">
        <f t="shared" si="16"/>
        <v>0</v>
      </c>
      <c r="AF35" s="189">
        <f t="shared" si="17"/>
        <v>0</v>
      </c>
      <c r="AG35" s="185">
        <f t="shared" si="18"/>
        <v>6.0003333555570366</v>
      </c>
      <c r="AH35" s="104">
        <f t="shared" si="27"/>
        <v>1399.99</v>
      </c>
      <c r="AI35" s="187">
        <f t="shared" si="19"/>
        <v>144.62556655286002</v>
      </c>
      <c r="AJ35" s="188">
        <f t="shared" si="20"/>
        <v>0</v>
      </c>
      <c r="AK35" s="189">
        <f t="shared" si="21"/>
        <v>0</v>
      </c>
      <c r="AL35" s="185">
        <f t="shared" si="22"/>
        <v>7.0003000150007502</v>
      </c>
      <c r="AM35" s="6" t="str">
        <f t="shared" si="28"/>
        <v>30% Off SL / Annual</v>
      </c>
      <c r="AN35" s="6" t="str">
        <f t="shared" si="29"/>
        <v>15% Off All SKUs</v>
      </c>
      <c r="AO35" s="6" t="str">
        <f t="shared" si="23"/>
        <v>Monthly: 100% Off Next Month</v>
      </c>
      <c r="AP35" s="6" t="str">
        <f t="shared" si="30"/>
        <v>50% Off SL / Annual</v>
      </c>
    </row>
    <row r="36" spans="2:42" ht="13">
      <c r="B36" s="199" t="s">
        <v>104</v>
      </c>
      <c r="C36" s="199" t="s">
        <v>96</v>
      </c>
      <c r="D36" s="6" t="s">
        <v>487</v>
      </c>
      <c r="E36" s="6" t="s">
        <v>481</v>
      </c>
      <c r="F36" s="11" t="str">
        <f>+VLOOKUP($B36,'[1]INT Web'!$B$5:$AS$247,'[1]INT Web'!$Q$1,FALSE)</f>
        <v>BRL</v>
      </c>
      <c r="G36" s="22">
        <f>+VLOOKUP($B36,'[1]INT Web'!$B$5:$AS$247,'[1]INT Web'!$U$1,FALSE)</f>
        <v>54.99</v>
      </c>
      <c r="H36" s="22">
        <f>+VLOOKUP($B36,'[1]INT Web'!$B$5:$AS$247,'[1]INT Web'!$S$1,FALSE)</f>
        <v>69.989999999999995</v>
      </c>
      <c r="I36" s="22">
        <f>+VLOOKUP($B36,'[1]INT Web'!$B$5:$AS$247,'[1]INT Web'!$T$1,FALSE)</f>
        <v>384.99</v>
      </c>
      <c r="J36" s="22">
        <f>+VLOOKUP($B36,'[1]INT Web'!$B$5:$AS$247,'[1]INT Web'!$R$1,FALSE)</f>
        <v>489.99</v>
      </c>
      <c r="K36" s="185">
        <f t="shared" si="5"/>
        <v>7.0010911074740863</v>
      </c>
      <c r="L36" s="185">
        <f t="shared" si="5"/>
        <v>7.0008572653236181</v>
      </c>
      <c r="M36" s="185">
        <f t="shared" si="6"/>
        <v>1.2727768685215493</v>
      </c>
      <c r="N36" s="186">
        <v>0.19470594999999999</v>
      </c>
      <c r="O36" s="187">
        <f t="shared" si="7"/>
        <v>10.7068801905</v>
      </c>
      <c r="P36" s="187">
        <f t="shared" si="7"/>
        <v>13.627469440499999</v>
      </c>
      <c r="Q36" s="187">
        <f t="shared" si="7"/>
        <v>74.959843690499994</v>
      </c>
      <c r="R36" s="187">
        <f t="shared" si="7"/>
        <v>95.403968440499995</v>
      </c>
      <c r="S36" s="6" t="s">
        <v>488</v>
      </c>
      <c r="T36" s="104">
        <f t="shared" si="24"/>
        <v>54.99</v>
      </c>
      <c r="U36" s="187">
        <f t="shared" si="8"/>
        <v>10.7068801905</v>
      </c>
      <c r="V36" s="188">
        <f t="shared" si="9"/>
        <v>0</v>
      </c>
      <c r="W36" s="189">
        <f t="shared" si="10"/>
        <v>0</v>
      </c>
      <c r="X36" s="104">
        <f t="shared" si="25"/>
        <v>69.989999999999995</v>
      </c>
      <c r="Y36" s="187">
        <f t="shared" si="11"/>
        <v>13.627469440499999</v>
      </c>
      <c r="Z36" s="188">
        <f t="shared" si="12"/>
        <v>0</v>
      </c>
      <c r="AA36" s="189">
        <f t="shared" si="13"/>
        <v>0</v>
      </c>
      <c r="AB36" s="185">
        <f t="shared" si="14"/>
        <v>1.2727768685215493</v>
      </c>
      <c r="AC36" s="104">
        <f t="shared" si="26"/>
        <v>384.99</v>
      </c>
      <c r="AD36" s="187">
        <f t="shared" si="15"/>
        <v>74.959843690499994</v>
      </c>
      <c r="AE36" s="188">
        <f t="shared" si="16"/>
        <v>0</v>
      </c>
      <c r="AF36" s="189">
        <f t="shared" si="17"/>
        <v>0</v>
      </c>
      <c r="AG36" s="185">
        <f t="shared" si="18"/>
        <v>7.0010911074740863</v>
      </c>
      <c r="AH36" s="104">
        <f t="shared" si="27"/>
        <v>489.99</v>
      </c>
      <c r="AI36" s="187">
        <f t="shared" si="19"/>
        <v>95.403968440499995</v>
      </c>
      <c r="AJ36" s="188">
        <f t="shared" si="20"/>
        <v>0</v>
      </c>
      <c r="AK36" s="189">
        <f t="shared" si="21"/>
        <v>0</v>
      </c>
      <c r="AL36" s="185">
        <f t="shared" si="22"/>
        <v>7.0008572653236181</v>
      </c>
      <c r="AM36" s="6" t="str">
        <f t="shared" si="28"/>
        <v>30% Off SL / Annual</v>
      </c>
      <c r="AN36" s="6" t="str">
        <f t="shared" si="29"/>
        <v>Messaging Only</v>
      </c>
      <c r="AO36" s="6" t="str">
        <f t="shared" si="23"/>
        <v>Messaging / Pause Flow</v>
      </c>
      <c r="AP36" s="146" t="s">
        <v>489</v>
      </c>
    </row>
    <row r="37" spans="2:42" ht="13">
      <c r="B37" s="20" t="s">
        <v>105</v>
      </c>
      <c r="C37" s="20" t="s">
        <v>182</v>
      </c>
      <c r="D37" s="6"/>
      <c r="E37" s="6" t="str">
        <f>IF(VLOOKUP(B37,'[7]FY25 PRICING'!$B$5:$AL$246,'[7]FY25 PRICING'!$E$1,FALSE)=0,"","x")</f>
        <v/>
      </c>
      <c r="F37" s="11" t="str">
        <f>+VLOOKUP($B37,'[1]INT Web'!$B$5:$AS$247,'[1]INT Web'!$Q$1,FALSE)</f>
        <v>USD</v>
      </c>
      <c r="G37" s="22">
        <f>+VLOOKUP($B37,'[1]INT Web'!$B$5:$AS$247,'[1]INT Web'!$U$1,FALSE)</f>
        <v>9.99</v>
      </c>
      <c r="H37" s="22">
        <f>+VLOOKUP($B37,'[1]INT Web'!$B$5:$AS$247,'[1]INT Web'!$S$1,FALSE)</f>
        <v>12.99</v>
      </c>
      <c r="I37" s="22">
        <f>+VLOOKUP($B37,'[1]INT Web'!$B$5:$AS$247,'[1]INT Web'!$T$1,FALSE)</f>
        <v>59.99</v>
      </c>
      <c r="J37" s="22">
        <f>+VLOOKUP($B37,'[1]INT Web'!$B$5:$AS$247,'[1]INT Web'!$R$1,FALSE)</f>
        <v>77.989999999999995</v>
      </c>
      <c r="K37" s="185">
        <f t="shared" si="5"/>
        <v>6.005005005005005</v>
      </c>
      <c r="L37" s="185">
        <f t="shared" si="5"/>
        <v>6.0038491147036179</v>
      </c>
      <c r="M37" s="185">
        <f t="shared" si="6"/>
        <v>1.3003003003003002</v>
      </c>
      <c r="N37" s="186">
        <v>1</v>
      </c>
      <c r="O37" s="187">
        <f t="shared" si="7"/>
        <v>9.99</v>
      </c>
      <c r="P37" s="187">
        <f t="shared" si="7"/>
        <v>12.99</v>
      </c>
      <c r="Q37" s="187">
        <f t="shared" si="7"/>
        <v>59.99</v>
      </c>
      <c r="R37" s="187">
        <f t="shared" si="7"/>
        <v>77.989999999999995</v>
      </c>
      <c r="S37" s="6">
        <v>0</v>
      </c>
      <c r="T37" s="104">
        <f t="shared" si="24"/>
        <v>9.99</v>
      </c>
      <c r="U37" s="187">
        <f t="shared" si="8"/>
        <v>9.99</v>
      </c>
      <c r="V37" s="188">
        <f t="shared" si="9"/>
        <v>0</v>
      </c>
      <c r="W37" s="189">
        <f t="shared" si="10"/>
        <v>0</v>
      </c>
      <c r="X37" s="104">
        <f t="shared" si="25"/>
        <v>12.99</v>
      </c>
      <c r="Y37" s="187">
        <f t="shared" si="11"/>
        <v>12.99</v>
      </c>
      <c r="Z37" s="188">
        <f t="shared" si="12"/>
        <v>0</v>
      </c>
      <c r="AA37" s="189">
        <f t="shared" si="13"/>
        <v>0</v>
      </c>
      <c r="AB37" s="185">
        <f t="shared" si="14"/>
        <v>1.3003003003003002</v>
      </c>
      <c r="AC37" s="104">
        <f t="shared" si="26"/>
        <v>59.99</v>
      </c>
      <c r="AD37" s="187">
        <f t="shared" si="15"/>
        <v>59.99</v>
      </c>
      <c r="AE37" s="188">
        <f t="shared" si="16"/>
        <v>0</v>
      </c>
      <c r="AF37" s="189">
        <f t="shared" si="17"/>
        <v>0</v>
      </c>
      <c r="AG37" s="185">
        <f t="shared" si="18"/>
        <v>6.005005005005005</v>
      </c>
      <c r="AH37" s="104">
        <f t="shared" si="27"/>
        <v>77.989999999999995</v>
      </c>
      <c r="AI37" s="187">
        <f t="shared" si="19"/>
        <v>77.989999999999995</v>
      </c>
      <c r="AJ37" s="188">
        <f t="shared" si="20"/>
        <v>0</v>
      </c>
      <c r="AK37" s="189">
        <f t="shared" si="21"/>
        <v>0</v>
      </c>
      <c r="AL37" s="185">
        <f t="shared" si="22"/>
        <v>6.0038491147036179</v>
      </c>
      <c r="AM37" s="6" t="str">
        <f t="shared" si="28"/>
        <v>30% Off SL / Annual</v>
      </c>
      <c r="AN37" s="6" t="str">
        <f t="shared" si="29"/>
        <v>15% Off All SKUs</v>
      </c>
      <c r="AO37" s="6" t="str">
        <f t="shared" si="23"/>
        <v>Monthly: 100% Off Next Month</v>
      </c>
      <c r="AP37" s="6" t="str">
        <f t="shared" si="30"/>
        <v>50% Off SL / Annual</v>
      </c>
    </row>
    <row r="38" spans="2:42" ht="13">
      <c r="B38" s="20" t="s">
        <v>106</v>
      </c>
      <c r="C38" s="20" t="s">
        <v>96</v>
      </c>
      <c r="D38" s="6"/>
      <c r="E38" s="6" t="str">
        <f>IF(VLOOKUP(B38,'[7]FY25 PRICING'!$B$5:$AL$246,'[7]FY25 PRICING'!$E$1,FALSE)=0,"","x")</f>
        <v/>
      </c>
      <c r="F38" s="11" t="str">
        <f>+VLOOKUP($B38,'[1]INT Web'!$B$5:$AS$247,'[1]INT Web'!$Q$1,FALSE)</f>
        <v>USD</v>
      </c>
      <c r="G38" s="22">
        <f>+VLOOKUP($B38,'[1]INT Web'!$B$5:$AS$247,'[1]INT Web'!$U$1,FALSE)</f>
        <v>11.99</v>
      </c>
      <c r="H38" s="22">
        <f>+VLOOKUP($B38,'[1]INT Web'!$B$5:$AS$247,'[1]INT Web'!$S$1,FALSE)</f>
        <v>16.989999999999998</v>
      </c>
      <c r="I38" s="22">
        <f>+VLOOKUP($B38,'[1]INT Web'!$B$5:$AS$247,'[1]INT Web'!$T$1,FALSE)</f>
        <v>71.989999999999995</v>
      </c>
      <c r="J38" s="22">
        <f>+VLOOKUP($B38,'[1]INT Web'!$B$5:$AS$247,'[1]INT Web'!$R$1,FALSE)</f>
        <v>102.99</v>
      </c>
      <c r="K38" s="185">
        <f t="shared" si="5"/>
        <v>6.0041701417848206</v>
      </c>
      <c r="L38" s="185">
        <f t="shared" si="5"/>
        <v>6.0618010594467338</v>
      </c>
      <c r="M38" s="185">
        <f t="shared" si="6"/>
        <v>1.4170141784820682</v>
      </c>
      <c r="N38" s="186">
        <v>1</v>
      </c>
      <c r="O38" s="187">
        <f t="shared" si="7"/>
        <v>11.99</v>
      </c>
      <c r="P38" s="187">
        <f t="shared" si="7"/>
        <v>16.989999999999998</v>
      </c>
      <c r="Q38" s="187">
        <f t="shared" si="7"/>
        <v>71.989999999999995</v>
      </c>
      <c r="R38" s="187">
        <f t="shared" si="7"/>
        <v>102.99</v>
      </c>
      <c r="S38" s="6">
        <v>0</v>
      </c>
      <c r="T38" s="104">
        <f t="shared" si="24"/>
        <v>11.99</v>
      </c>
      <c r="U38" s="187">
        <f t="shared" si="8"/>
        <v>11.99</v>
      </c>
      <c r="V38" s="188">
        <f t="shared" si="9"/>
        <v>0</v>
      </c>
      <c r="W38" s="189">
        <f t="shared" si="10"/>
        <v>0</v>
      </c>
      <c r="X38" s="104">
        <f t="shared" si="25"/>
        <v>16.989999999999998</v>
      </c>
      <c r="Y38" s="187">
        <f t="shared" si="11"/>
        <v>16.989999999999998</v>
      </c>
      <c r="Z38" s="188">
        <f t="shared" si="12"/>
        <v>0</v>
      </c>
      <c r="AA38" s="189">
        <f t="shared" si="13"/>
        <v>0</v>
      </c>
      <c r="AB38" s="185">
        <f t="shared" si="14"/>
        <v>1.4170141784820682</v>
      </c>
      <c r="AC38" s="104">
        <f t="shared" si="26"/>
        <v>71.989999999999995</v>
      </c>
      <c r="AD38" s="187">
        <f t="shared" si="15"/>
        <v>71.989999999999995</v>
      </c>
      <c r="AE38" s="188">
        <f t="shared" si="16"/>
        <v>0</v>
      </c>
      <c r="AF38" s="189">
        <f t="shared" si="17"/>
        <v>0</v>
      </c>
      <c r="AG38" s="185">
        <f t="shared" si="18"/>
        <v>6.0041701417848206</v>
      </c>
      <c r="AH38" s="104">
        <f t="shared" si="27"/>
        <v>102.99</v>
      </c>
      <c r="AI38" s="187">
        <f t="shared" si="19"/>
        <v>102.99</v>
      </c>
      <c r="AJ38" s="188">
        <f t="shared" si="20"/>
        <v>0</v>
      </c>
      <c r="AK38" s="189">
        <f t="shared" si="21"/>
        <v>0</v>
      </c>
      <c r="AL38" s="185">
        <f t="shared" si="22"/>
        <v>6.0618010594467338</v>
      </c>
      <c r="AM38" s="6" t="str">
        <f t="shared" si="28"/>
        <v>30% Off SL / Annual</v>
      </c>
      <c r="AN38" s="6" t="str">
        <f t="shared" si="29"/>
        <v>15% Off All SKUs</v>
      </c>
      <c r="AO38" s="6" t="str">
        <f t="shared" si="23"/>
        <v>Monthly: 100% Off Next Month</v>
      </c>
      <c r="AP38" s="6" t="str">
        <f t="shared" si="30"/>
        <v>50% Off SL / Annual</v>
      </c>
    </row>
    <row r="39" spans="2:42" ht="13">
      <c r="B39" s="20" t="s">
        <v>107</v>
      </c>
      <c r="C39" s="20" t="s">
        <v>182</v>
      </c>
      <c r="D39" s="6"/>
      <c r="E39" s="6" t="str">
        <f>IF(VLOOKUP(B39,'[7]FY25 PRICING'!$B$5:$AL$246,'[7]FY25 PRICING'!$E$1,FALSE)=0,"","x")</f>
        <v/>
      </c>
      <c r="F39" s="11" t="str">
        <f>+VLOOKUP($B39,'[1]INT Web'!$B$5:$AS$247,'[1]INT Web'!$Q$1,FALSE)</f>
        <v>BND</v>
      </c>
      <c r="G39" s="22">
        <f>+VLOOKUP($B39,'[1]INT Web'!$B$5:$AS$247,'[1]INT Web'!$U$1,FALSE)</f>
        <v>12.99</v>
      </c>
      <c r="H39" s="22">
        <f>+VLOOKUP($B39,'[1]INT Web'!$B$5:$AS$247,'[1]INT Web'!$S$1,FALSE)</f>
        <v>17.989999999999998</v>
      </c>
      <c r="I39" s="22">
        <f>+VLOOKUP($B39,'[1]INT Web'!$B$5:$AS$247,'[1]INT Web'!$T$1,FALSE)</f>
        <v>77.989999999999995</v>
      </c>
      <c r="J39" s="22">
        <f>+VLOOKUP($B39,'[1]INT Web'!$B$5:$AS$247,'[1]INT Web'!$R$1,FALSE)</f>
        <v>107.99</v>
      </c>
      <c r="K39" s="185">
        <f t="shared" si="5"/>
        <v>6.0038491147036179</v>
      </c>
      <c r="L39" s="185">
        <f t="shared" si="5"/>
        <v>6.0027793218454697</v>
      </c>
      <c r="M39" s="185">
        <f t="shared" si="6"/>
        <v>1.3849114703618166</v>
      </c>
      <c r="N39" s="186">
        <v>0.77405369999999996</v>
      </c>
      <c r="O39" s="187">
        <f t="shared" si="7"/>
        <v>10.054957563</v>
      </c>
      <c r="P39" s="187">
        <f t="shared" si="7"/>
        <v>13.925226062999998</v>
      </c>
      <c r="Q39" s="187">
        <f t="shared" si="7"/>
        <v>60.368448062999995</v>
      </c>
      <c r="R39" s="187">
        <f t="shared" si="7"/>
        <v>83.590059062999998</v>
      </c>
      <c r="S39" s="6">
        <v>0</v>
      </c>
      <c r="T39" s="104">
        <f t="shared" si="24"/>
        <v>12.99</v>
      </c>
      <c r="U39" s="187">
        <f t="shared" si="8"/>
        <v>10.054957563</v>
      </c>
      <c r="V39" s="188">
        <f t="shared" si="9"/>
        <v>0</v>
      </c>
      <c r="W39" s="189">
        <f t="shared" si="10"/>
        <v>0</v>
      </c>
      <c r="X39" s="104">
        <f t="shared" si="25"/>
        <v>17.989999999999998</v>
      </c>
      <c r="Y39" s="187">
        <f t="shared" si="11"/>
        <v>13.925226062999998</v>
      </c>
      <c r="Z39" s="188">
        <f t="shared" si="12"/>
        <v>0</v>
      </c>
      <c r="AA39" s="189">
        <f t="shared" si="13"/>
        <v>0</v>
      </c>
      <c r="AB39" s="185">
        <f t="shared" si="14"/>
        <v>1.3849114703618166</v>
      </c>
      <c r="AC39" s="104">
        <f t="shared" si="26"/>
        <v>77.989999999999995</v>
      </c>
      <c r="AD39" s="187">
        <f t="shared" si="15"/>
        <v>60.368448062999995</v>
      </c>
      <c r="AE39" s="188">
        <f t="shared" si="16"/>
        <v>0</v>
      </c>
      <c r="AF39" s="189">
        <f t="shared" si="17"/>
        <v>0</v>
      </c>
      <c r="AG39" s="185">
        <f t="shared" si="18"/>
        <v>6.0038491147036179</v>
      </c>
      <c r="AH39" s="104">
        <f t="shared" si="27"/>
        <v>107.99</v>
      </c>
      <c r="AI39" s="187">
        <f t="shared" si="19"/>
        <v>83.590059062999998</v>
      </c>
      <c r="AJ39" s="188">
        <f t="shared" si="20"/>
        <v>0</v>
      </c>
      <c r="AK39" s="189">
        <f t="shared" si="21"/>
        <v>0</v>
      </c>
      <c r="AL39" s="185">
        <f t="shared" si="22"/>
        <v>6.0027793218454697</v>
      </c>
      <c r="AM39" s="6" t="str">
        <f t="shared" si="28"/>
        <v>30% Off SL / Annual</v>
      </c>
      <c r="AN39" s="6" t="str">
        <f t="shared" si="29"/>
        <v>15% Off All SKUs</v>
      </c>
      <c r="AO39" s="6" t="str">
        <f t="shared" si="23"/>
        <v>Monthly: 100% Off Next Month</v>
      </c>
      <c r="AP39" s="6" t="str">
        <f t="shared" si="30"/>
        <v>50% Off SL / Annual</v>
      </c>
    </row>
    <row r="40" spans="2:42" ht="13">
      <c r="B40" s="20" t="s">
        <v>108</v>
      </c>
      <c r="C40" s="20" t="s">
        <v>100</v>
      </c>
      <c r="D40" s="6"/>
      <c r="E40" s="6" t="str">
        <f>IF(VLOOKUP(B40,'[7]FY25 PRICING'!$B$5:$AL$246,'[7]FY25 PRICING'!$E$1,FALSE)=0,"","x")</f>
        <v/>
      </c>
      <c r="F40" s="193" t="str">
        <f>+VLOOKUP($B40,'[1]INT Web'!$B$5:$AS$247,'[1]INT Web'!$Q$1,FALSE)</f>
        <v>EUR</v>
      </c>
      <c r="G40" s="22">
        <f>+VLOOKUP($B40,'[1]INT Web'!$B$5:$AS$247,'[1]INT Web'!$U$1,FALSE)</f>
        <v>10.99</v>
      </c>
      <c r="H40" s="22">
        <f>+VLOOKUP($B40,'[1]INT Web'!$B$5:$AS$247,'[1]INT Web'!$S$1,FALSE)</f>
        <v>14.99</v>
      </c>
      <c r="I40" s="22">
        <f>+VLOOKUP($B40,'[1]INT Web'!$B$5:$AS$247,'[1]INT Web'!$T$1,FALSE)</f>
        <v>69.989999999999995</v>
      </c>
      <c r="J40" s="22">
        <f>+VLOOKUP($B40,'[1]INT Web'!$B$5:$AS$247,'[1]INT Web'!$R$1,FALSE)</f>
        <v>92.99</v>
      </c>
      <c r="K40" s="185">
        <f t="shared" si="5"/>
        <v>6.3685168334849855</v>
      </c>
      <c r="L40" s="185">
        <f t="shared" si="5"/>
        <v>6.2034689793195463</v>
      </c>
      <c r="M40" s="185">
        <f t="shared" si="6"/>
        <v>1.3639672429481347</v>
      </c>
      <c r="N40" s="186">
        <v>1.1469499999999999</v>
      </c>
      <c r="O40" s="187">
        <f t="shared" si="7"/>
        <v>12.6049805</v>
      </c>
      <c r="P40" s="187">
        <f t="shared" si="7"/>
        <v>17.192780499999998</v>
      </c>
      <c r="Q40" s="187">
        <f t="shared" si="7"/>
        <v>80.275030499999986</v>
      </c>
      <c r="R40" s="187">
        <f t="shared" si="7"/>
        <v>106.65488049999999</v>
      </c>
      <c r="S40" s="6" t="s">
        <v>484</v>
      </c>
      <c r="T40" s="203">
        <f t="shared" si="24"/>
        <v>10.99</v>
      </c>
      <c r="U40" s="187">
        <f t="shared" si="8"/>
        <v>12.6049805</v>
      </c>
      <c r="V40" s="188">
        <f t="shared" si="9"/>
        <v>0</v>
      </c>
      <c r="W40" s="189">
        <f t="shared" si="10"/>
        <v>0</v>
      </c>
      <c r="X40" s="203">
        <f t="shared" si="25"/>
        <v>14.99</v>
      </c>
      <c r="Y40" s="187">
        <f t="shared" si="11"/>
        <v>17.192780499999998</v>
      </c>
      <c r="Z40" s="188">
        <f t="shared" si="12"/>
        <v>0</v>
      </c>
      <c r="AA40" s="189">
        <f t="shared" si="13"/>
        <v>0</v>
      </c>
      <c r="AB40" s="185">
        <f t="shared" si="14"/>
        <v>1.3639672429481347</v>
      </c>
      <c r="AC40" s="203">
        <f t="shared" si="26"/>
        <v>69.989999999999995</v>
      </c>
      <c r="AD40" s="187">
        <f t="shared" si="15"/>
        <v>80.275030499999986</v>
      </c>
      <c r="AE40" s="188">
        <f t="shared" si="16"/>
        <v>0</v>
      </c>
      <c r="AF40" s="189">
        <f t="shared" si="17"/>
        <v>0</v>
      </c>
      <c r="AG40" s="185">
        <f t="shared" si="18"/>
        <v>6.3685168334849855</v>
      </c>
      <c r="AH40" s="203">
        <f t="shared" si="27"/>
        <v>92.99</v>
      </c>
      <c r="AI40" s="187">
        <f t="shared" si="19"/>
        <v>106.65488049999999</v>
      </c>
      <c r="AJ40" s="188">
        <f t="shared" si="20"/>
        <v>0</v>
      </c>
      <c r="AK40" s="189">
        <f t="shared" si="21"/>
        <v>0</v>
      </c>
      <c r="AL40" s="185">
        <f t="shared" si="22"/>
        <v>6.2034689793195463</v>
      </c>
      <c r="AM40" s="6" t="str">
        <f t="shared" si="28"/>
        <v>30% Off SL / Annual</v>
      </c>
      <c r="AN40" s="6" t="str">
        <f t="shared" si="29"/>
        <v>Messaging Only</v>
      </c>
      <c r="AO40" s="6" t="str">
        <f t="shared" si="23"/>
        <v>Messaging / Pause Flow</v>
      </c>
      <c r="AP40" s="6" t="str">
        <f t="shared" si="30"/>
        <v>50% Off LPP Only</v>
      </c>
    </row>
    <row r="41" spans="2:42" ht="13">
      <c r="B41" s="20" t="s">
        <v>109</v>
      </c>
      <c r="C41" s="20" t="s">
        <v>270</v>
      </c>
      <c r="D41" s="6"/>
      <c r="E41" s="6" t="str">
        <f>IF(VLOOKUP(B41,'[7]FY25 PRICING'!$B$5:$AL$246,'[7]FY25 PRICING'!$E$1,FALSE)=0,"","x")</f>
        <v/>
      </c>
      <c r="F41" s="11" t="str">
        <f>+VLOOKUP($B41,'[1]INT Web'!$B$5:$AS$247,'[1]INT Web'!$Q$1,FALSE)</f>
        <v>XOF</v>
      </c>
      <c r="G41" s="136">
        <f>+VLOOKUP($B41,'[1]INT Web'!$B$5:$AS$247,'[1]INT Web'!$U$1,FALSE)</f>
        <v>5400</v>
      </c>
      <c r="H41" s="136">
        <f>+VLOOKUP($B41,'[1]INT Web'!$B$5:$AS$247,'[1]INT Web'!$S$1,FALSE)</f>
        <v>7290</v>
      </c>
      <c r="I41" s="22">
        <f>+VLOOKUP($B41,'[1]INT Web'!$B$5:$AS$247,'[1]INT Web'!$T$1,FALSE)</f>
        <v>32400</v>
      </c>
      <c r="J41" s="22">
        <f>+VLOOKUP($B41,'[1]INT Web'!$B$5:$AS$247,'[1]INT Web'!$R$1,FALSE)</f>
        <v>43740</v>
      </c>
      <c r="K41" s="185">
        <f t="shared" si="5"/>
        <v>6</v>
      </c>
      <c r="L41" s="185">
        <f t="shared" si="5"/>
        <v>6</v>
      </c>
      <c r="M41" s="185">
        <f t="shared" si="6"/>
        <v>1.35</v>
      </c>
      <c r="N41" s="186">
        <v>1.7485141000000001E-3</v>
      </c>
      <c r="O41" s="187">
        <f t="shared" si="7"/>
        <v>9.4419761400000013</v>
      </c>
      <c r="P41" s="187">
        <f t="shared" si="7"/>
        <v>12.746667789</v>
      </c>
      <c r="Q41" s="187">
        <f t="shared" si="7"/>
        <v>56.651856840000001</v>
      </c>
      <c r="R41" s="187">
        <f t="shared" si="7"/>
        <v>76.480006734</v>
      </c>
      <c r="S41" s="6">
        <v>0</v>
      </c>
      <c r="T41" s="104">
        <f t="shared" si="24"/>
        <v>5400</v>
      </c>
      <c r="U41" s="187">
        <f t="shared" si="8"/>
        <v>9.4419761400000013</v>
      </c>
      <c r="V41" s="188">
        <f t="shared" si="9"/>
        <v>0</v>
      </c>
      <c r="W41" s="189">
        <f t="shared" si="10"/>
        <v>0</v>
      </c>
      <c r="X41" s="104">
        <f t="shared" si="25"/>
        <v>7290</v>
      </c>
      <c r="Y41" s="187">
        <f t="shared" si="11"/>
        <v>12.746667789</v>
      </c>
      <c r="Z41" s="188">
        <f t="shared" si="12"/>
        <v>0</v>
      </c>
      <c r="AA41" s="189">
        <f t="shared" si="13"/>
        <v>0</v>
      </c>
      <c r="AB41" s="185">
        <f t="shared" si="14"/>
        <v>1.35</v>
      </c>
      <c r="AC41" s="104">
        <f t="shared" si="26"/>
        <v>32400</v>
      </c>
      <c r="AD41" s="187">
        <f t="shared" si="15"/>
        <v>56.651856840000001</v>
      </c>
      <c r="AE41" s="188">
        <f t="shared" si="16"/>
        <v>0</v>
      </c>
      <c r="AF41" s="189">
        <f t="shared" si="17"/>
        <v>0</v>
      </c>
      <c r="AG41" s="185">
        <f t="shared" si="18"/>
        <v>6</v>
      </c>
      <c r="AH41" s="104">
        <f t="shared" si="27"/>
        <v>43740</v>
      </c>
      <c r="AI41" s="187">
        <f t="shared" si="19"/>
        <v>76.480006734</v>
      </c>
      <c r="AJ41" s="188">
        <f t="shared" si="20"/>
        <v>0</v>
      </c>
      <c r="AK41" s="189">
        <f t="shared" si="21"/>
        <v>0</v>
      </c>
      <c r="AL41" s="185">
        <f t="shared" si="22"/>
        <v>6</v>
      </c>
      <c r="AM41" s="6" t="str">
        <f t="shared" si="28"/>
        <v>30% Off SL / Annual</v>
      </c>
      <c r="AN41" s="6" t="str">
        <f t="shared" si="29"/>
        <v>15% Off All SKUs</v>
      </c>
      <c r="AO41" s="6" t="str">
        <f t="shared" si="23"/>
        <v>Monthly: 100% Off Next Month</v>
      </c>
      <c r="AP41" s="6" t="str">
        <f t="shared" si="30"/>
        <v>50% Off SL / Annual</v>
      </c>
    </row>
    <row r="42" spans="2:42" ht="13">
      <c r="B42" s="20" t="s">
        <v>110</v>
      </c>
      <c r="C42" s="20" t="s">
        <v>270</v>
      </c>
      <c r="D42" s="6"/>
      <c r="E42" s="6" t="str">
        <f>IF(VLOOKUP(B42,'[7]FY25 PRICING'!$B$5:$AL$246,'[7]FY25 PRICING'!$E$1,FALSE)=0,"","x")</f>
        <v/>
      </c>
      <c r="F42" s="11" t="str">
        <f>+VLOOKUP($B42,'[1]INT Web'!$B$5:$AS$247,'[1]INT Web'!$Q$1,FALSE)</f>
        <v>USD</v>
      </c>
      <c r="G42" s="22">
        <f>+VLOOKUP($B42,'[1]INT Web'!$B$5:$AS$247,'[1]INT Web'!$U$1,FALSE)</f>
        <v>8.99</v>
      </c>
      <c r="H42" s="22">
        <f>+VLOOKUP($B42,'[1]INT Web'!$B$5:$AS$247,'[1]INT Web'!$S$1,FALSE)</f>
        <v>11.99</v>
      </c>
      <c r="I42" s="22">
        <f>+VLOOKUP($B42,'[1]INT Web'!$B$5:$AS$247,'[1]INT Web'!$T$1,FALSE)</f>
        <v>53.99</v>
      </c>
      <c r="J42" s="22">
        <f>+VLOOKUP($B42,'[1]INT Web'!$B$5:$AS$247,'[1]INT Web'!$R$1,FALSE)</f>
        <v>71.989999999999995</v>
      </c>
      <c r="K42" s="185">
        <f t="shared" si="5"/>
        <v>6.0055617352614012</v>
      </c>
      <c r="L42" s="185">
        <f t="shared" si="5"/>
        <v>6.0041701417848206</v>
      </c>
      <c r="M42" s="185">
        <f t="shared" si="6"/>
        <v>1.3337041156840934</v>
      </c>
      <c r="N42" s="186">
        <v>1</v>
      </c>
      <c r="O42" s="187">
        <f t="shared" si="7"/>
        <v>8.99</v>
      </c>
      <c r="P42" s="187">
        <f t="shared" si="7"/>
        <v>11.99</v>
      </c>
      <c r="Q42" s="187">
        <f t="shared" si="7"/>
        <v>53.99</v>
      </c>
      <c r="R42" s="187">
        <f t="shared" si="7"/>
        <v>71.989999999999995</v>
      </c>
      <c r="S42" s="6">
        <v>0</v>
      </c>
      <c r="T42" s="104">
        <f t="shared" si="24"/>
        <v>8.99</v>
      </c>
      <c r="U42" s="187">
        <f t="shared" si="8"/>
        <v>8.99</v>
      </c>
      <c r="V42" s="188">
        <f t="shared" si="9"/>
        <v>0</v>
      </c>
      <c r="W42" s="189">
        <f t="shared" si="10"/>
        <v>0</v>
      </c>
      <c r="X42" s="104">
        <f t="shared" si="25"/>
        <v>11.99</v>
      </c>
      <c r="Y42" s="187">
        <f t="shared" si="11"/>
        <v>11.99</v>
      </c>
      <c r="Z42" s="188">
        <f t="shared" si="12"/>
        <v>0</v>
      </c>
      <c r="AA42" s="189">
        <f t="shared" si="13"/>
        <v>0</v>
      </c>
      <c r="AB42" s="185">
        <f t="shared" si="14"/>
        <v>1.3337041156840934</v>
      </c>
      <c r="AC42" s="104">
        <f t="shared" si="26"/>
        <v>53.99</v>
      </c>
      <c r="AD42" s="187">
        <f t="shared" si="15"/>
        <v>53.99</v>
      </c>
      <c r="AE42" s="188">
        <f t="shared" si="16"/>
        <v>0</v>
      </c>
      <c r="AF42" s="189">
        <f t="shared" si="17"/>
        <v>0</v>
      </c>
      <c r="AG42" s="185">
        <f t="shared" si="18"/>
        <v>6.0055617352614012</v>
      </c>
      <c r="AH42" s="104">
        <f t="shared" si="27"/>
        <v>71.989999999999995</v>
      </c>
      <c r="AI42" s="187">
        <f t="shared" si="19"/>
        <v>71.989999999999995</v>
      </c>
      <c r="AJ42" s="188">
        <f t="shared" si="20"/>
        <v>0</v>
      </c>
      <c r="AK42" s="189">
        <f t="shared" si="21"/>
        <v>0</v>
      </c>
      <c r="AL42" s="185">
        <f t="shared" si="22"/>
        <v>6.0041701417848206</v>
      </c>
      <c r="AM42" s="6" t="str">
        <f t="shared" si="28"/>
        <v>30% Off SL / Annual</v>
      </c>
      <c r="AN42" s="6" t="str">
        <f t="shared" si="29"/>
        <v>15% Off All SKUs</v>
      </c>
      <c r="AO42" s="6" t="str">
        <f t="shared" si="23"/>
        <v>Monthly: 100% Off Next Month</v>
      </c>
      <c r="AP42" s="6" t="str">
        <f t="shared" si="30"/>
        <v>50% Off SL / Annual</v>
      </c>
    </row>
    <row r="43" spans="2:42" ht="13">
      <c r="B43" s="20" t="s">
        <v>111</v>
      </c>
      <c r="C43" s="20" t="s">
        <v>182</v>
      </c>
      <c r="D43" s="6"/>
      <c r="E43" s="6" t="str">
        <f>IF(VLOOKUP(B43,'[7]FY25 PRICING'!$B$5:$AL$246,'[7]FY25 PRICING'!$E$1,FALSE)=0,"","x")</f>
        <v/>
      </c>
      <c r="F43" s="11" t="str">
        <f>+VLOOKUP($B43,'[1]INT Web'!$B$5:$AS$247,'[1]INT Web'!$Q$1,FALSE)</f>
        <v>KHR</v>
      </c>
      <c r="G43" s="22">
        <f>+VLOOKUP($B43,'[1]INT Web'!$B$5:$AS$247,'[1]INT Web'!$U$1,FALSE)</f>
        <v>36320</v>
      </c>
      <c r="H43" s="22">
        <f>+VLOOKUP($B43,'[1]INT Web'!$B$5:$AS$247,'[1]INT Web'!$S$1,FALSE)</f>
        <v>49030</v>
      </c>
      <c r="I43" s="22">
        <f>+VLOOKUP($B43,'[1]INT Web'!$B$5:$AS$247,'[1]INT Web'!$T$1,FALSE)</f>
        <v>217920</v>
      </c>
      <c r="J43" s="22">
        <f>+VLOOKUP($B43,'[1]INT Web'!$B$5:$AS$247,'[1]INT Web'!$R$1,FALSE)</f>
        <v>294180</v>
      </c>
      <c r="K43" s="185">
        <f t="shared" si="5"/>
        <v>6</v>
      </c>
      <c r="L43" s="185">
        <f t="shared" si="5"/>
        <v>6</v>
      </c>
      <c r="M43" s="185">
        <f t="shared" si="6"/>
        <v>1.3499449339207048</v>
      </c>
      <c r="N43" s="186">
        <v>2.4952399999999999E-4</v>
      </c>
      <c r="O43" s="187">
        <f t="shared" si="7"/>
        <v>9.0627116799999996</v>
      </c>
      <c r="P43" s="187">
        <f t="shared" si="7"/>
        <v>12.234161719999999</v>
      </c>
      <c r="Q43" s="187">
        <f t="shared" si="7"/>
        <v>54.376270079999998</v>
      </c>
      <c r="R43" s="187">
        <f t="shared" si="7"/>
        <v>73.404970320000004</v>
      </c>
      <c r="S43" s="6" t="s">
        <v>485</v>
      </c>
      <c r="T43" s="104">
        <f t="shared" si="24"/>
        <v>36320</v>
      </c>
      <c r="U43" s="187">
        <f t="shared" si="8"/>
        <v>9.0627116799999996</v>
      </c>
      <c r="V43" s="188">
        <f t="shared" si="9"/>
        <v>0</v>
      </c>
      <c r="W43" s="189">
        <f t="shared" si="10"/>
        <v>0</v>
      </c>
      <c r="X43" s="104">
        <f t="shared" si="25"/>
        <v>49030</v>
      </c>
      <c r="Y43" s="187">
        <f t="shared" si="11"/>
        <v>12.234161719999999</v>
      </c>
      <c r="Z43" s="188">
        <f t="shared" si="12"/>
        <v>0</v>
      </c>
      <c r="AA43" s="189">
        <f t="shared" si="13"/>
        <v>0</v>
      </c>
      <c r="AB43" s="185">
        <f t="shared" si="14"/>
        <v>1.3499449339207048</v>
      </c>
      <c r="AC43" s="104">
        <f t="shared" si="26"/>
        <v>217920</v>
      </c>
      <c r="AD43" s="187">
        <f t="shared" si="15"/>
        <v>54.376270079999998</v>
      </c>
      <c r="AE43" s="188">
        <f t="shared" si="16"/>
        <v>0</v>
      </c>
      <c r="AF43" s="189">
        <f t="shared" si="17"/>
        <v>0</v>
      </c>
      <c r="AG43" s="185">
        <f t="shared" si="18"/>
        <v>6</v>
      </c>
      <c r="AH43" s="104">
        <f t="shared" si="27"/>
        <v>294180</v>
      </c>
      <c r="AI43" s="187">
        <f t="shared" si="19"/>
        <v>73.404970320000004</v>
      </c>
      <c r="AJ43" s="188">
        <f t="shared" si="20"/>
        <v>0</v>
      </c>
      <c r="AK43" s="189">
        <f t="shared" si="21"/>
        <v>0</v>
      </c>
      <c r="AL43" s="185">
        <f t="shared" si="22"/>
        <v>6</v>
      </c>
      <c r="AM43" s="6" t="str">
        <f t="shared" si="28"/>
        <v>30% Off SL / Annual</v>
      </c>
      <c r="AN43" s="6" t="str">
        <f t="shared" si="29"/>
        <v>Messaging Only</v>
      </c>
      <c r="AO43" s="6" t="str">
        <f t="shared" si="23"/>
        <v>Messaging / Pause Flow</v>
      </c>
      <c r="AP43" s="6" t="str">
        <f t="shared" si="30"/>
        <v>50% Off LPP Only</v>
      </c>
    </row>
    <row r="44" spans="2:42" ht="13">
      <c r="B44" s="20" t="s">
        <v>112</v>
      </c>
      <c r="C44" s="20" t="s">
        <v>270</v>
      </c>
      <c r="D44" s="6"/>
      <c r="E44" s="6" t="str">
        <f>IF(VLOOKUP(B44,'[7]FY25 PRICING'!$B$5:$AL$246,'[7]FY25 PRICING'!$E$1,FALSE)=0,"","x")</f>
        <v/>
      </c>
      <c r="F44" s="11" t="str">
        <f>+VLOOKUP($B44,'[1]INT Web'!$B$5:$AS$247,'[1]INT Web'!$Q$1,FALSE)</f>
        <v>XAF</v>
      </c>
      <c r="G44" s="136">
        <f>+VLOOKUP($B44,'[1]INT Web'!$B$5:$AS$247,'[1]INT Web'!$U$1,FALSE)</f>
        <v>5400</v>
      </c>
      <c r="H44" s="136">
        <f>+VLOOKUP($B44,'[1]INT Web'!$B$5:$AS$247,'[1]INT Web'!$S$1,FALSE)</f>
        <v>7290</v>
      </c>
      <c r="I44" s="22">
        <f>+VLOOKUP($B44,'[1]INT Web'!$B$5:$AS$247,'[1]INT Web'!$T$1,FALSE)</f>
        <v>32400</v>
      </c>
      <c r="J44" s="22">
        <f>+VLOOKUP($B44,'[1]INT Web'!$B$5:$AS$247,'[1]INT Web'!$R$1,FALSE)</f>
        <v>43740</v>
      </c>
      <c r="K44" s="185">
        <f t="shared" si="5"/>
        <v>6</v>
      </c>
      <c r="L44" s="185">
        <f t="shared" si="5"/>
        <v>6</v>
      </c>
      <c r="M44" s="185">
        <f t="shared" si="6"/>
        <v>1.35</v>
      </c>
      <c r="N44" s="186">
        <v>1.7485141000000001E-3</v>
      </c>
      <c r="O44" s="187">
        <f t="shared" si="7"/>
        <v>9.4419761400000013</v>
      </c>
      <c r="P44" s="187">
        <f t="shared" si="7"/>
        <v>12.746667789</v>
      </c>
      <c r="Q44" s="187">
        <f t="shared" si="7"/>
        <v>56.651856840000001</v>
      </c>
      <c r="R44" s="187">
        <f t="shared" si="7"/>
        <v>76.480006734</v>
      </c>
      <c r="S44" s="6">
        <v>0</v>
      </c>
      <c r="T44" s="104">
        <f t="shared" si="24"/>
        <v>5400</v>
      </c>
      <c r="U44" s="187">
        <f t="shared" si="8"/>
        <v>9.4419761400000013</v>
      </c>
      <c r="V44" s="188">
        <f t="shared" si="9"/>
        <v>0</v>
      </c>
      <c r="W44" s="189">
        <f t="shared" si="10"/>
        <v>0</v>
      </c>
      <c r="X44" s="104">
        <f t="shared" si="25"/>
        <v>7290</v>
      </c>
      <c r="Y44" s="187">
        <f t="shared" si="11"/>
        <v>12.746667789</v>
      </c>
      <c r="Z44" s="188">
        <f t="shared" si="12"/>
        <v>0</v>
      </c>
      <c r="AA44" s="189">
        <f t="shared" si="13"/>
        <v>0</v>
      </c>
      <c r="AB44" s="185">
        <f t="shared" si="14"/>
        <v>1.35</v>
      </c>
      <c r="AC44" s="104">
        <f t="shared" si="26"/>
        <v>32400</v>
      </c>
      <c r="AD44" s="187">
        <f t="shared" si="15"/>
        <v>56.651856840000001</v>
      </c>
      <c r="AE44" s="188">
        <f t="shared" si="16"/>
        <v>0</v>
      </c>
      <c r="AF44" s="189">
        <f t="shared" si="17"/>
        <v>0</v>
      </c>
      <c r="AG44" s="185">
        <f t="shared" si="18"/>
        <v>6</v>
      </c>
      <c r="AH44" s="104">
        <f t="shared" si="27"/>
        <v>43740</v>
      </c>
      <c r="AI44" s="187">
        <f t="shared" si="19"/>
        <v>76.480006734</v>
      </c>
      <c r="AJ44" s="188">
        <f t="shared" si="20"/>
        <v>0</v>
      </c>
      <c r="AK44" s="189">
        <f t="shared" si="21"/>
        <v>0</v>
      </c>
      <c r="AL44" s="185">
        <f t="shared" si="22"/>
        <v>6</v>
      </c>
      <c r="AM44" s="6" t="str">
        <f t="shared" si="28"/>
        <v>30% Off SL / Annual</v>
      </c>
      <c r="AN44" s="6" t="str">
        <f t="shared" si="29"/>
        <v>15% Off All SKUs</v>
      </c>
      <c r="AO44" s="6" t="str">
        <f t="shared" si="23"/>
        <v>Monthly: 100% Off Next Month</v>
      </c>
      <c r="AP44" s="6" t="str">
        <f t="shared" si="30"/>
        <v>50% Off SL / Annual</v>
      </c>
    </row>
    <row r="45" spans="2:42" ht="13">
      <c r="B45" s="199" t="s">
        <v>113</v>
      </c>
      <c r="C45" s="199" t="s">
        <v>113</v>
      </c>
      <c r="D45" s="6" t="s">
        <v>478</v>
      </c>
      <c r="E45" s="6" t="s">
        <v>483</v>
      </c>
      <c r="F45" s="11" t="str">
        <f>+VLOOKUP($B45,'[1]INT Web'!$B$5:$AS$247,'[1]INT Web'!$Q$1,FALSE)</f>
        <v>CAD</v>
      </c>
      <c r="G45" s="22">
        <f>+VLOOKUP($B45,'[1]INT Web'!$B$5:$AS$247,'[1]INT Web'!$U$1,FALSE)</f>
        <v>19.989999999999998</v>
      </c>
      <c r="H45" s="22">
        <f>+VLOOKUP($B45,'[1]INT Web'!$B$5:$AS$247,'[1]INT Web'!$S$1,FALSE)</f>
        <v>27.99</v>
      </c>
      <c r="I45" s="22">
        <f>+VLOOKUP($B45,'[1]INT Web'!$B$5:$AS$247,'[1]INT Web'!$T$1,FALSE)</f>
        <v>129.99</v>
      </c>
      <c r="J45" s="22">
        <f>+VLOOKUP($B45,'[1]INT Web'!$B$5:$AS$247,'[1]INT Web'!$R$1,FALSE)</f>
        <v>184.99</v>
      </c>
      <c r="K45" s="185">
        <f t="shared" si="5"/>
        <v>6.5027513756878452</v>
      </c>
      <c r="L45" s="185">
        <f t="shared" si="5"/>
        <v>6.6091461236155773</v>
      </c>
      <c r="M45" s="185">
        <f t="shared" si="6"/>
        <v>1.400200100050025</v>
      </c>
      <c r="N45" s="186">
        <v>0.70539269999999998</v>
      </c>
      <c r="O45" s="187">
        <f t="shared" si="7"/>
        <v>14.100800072999998</v>
      </c>
      <c r="P45" s="187">
        <f t="shared" si="7"/>
        <v>19.743941672999998</v>
      </c>
      <c r="Q45" s="187">
        <f t="shared" si="7"/>
        <v>91.693997073000006</v>
      </c>
      <c r="R45" s="187">
        <f t="shared" si="7"/>
        <v>130.49059557300001</v>
      </c>
      <c r="S45" s="6" t="s">
        <v>482</v>
      </c>
      <c r="T45" s="104">
        <f>+G45</f>
        <v>19.989999999999998</v>
      </c>
      <c r="U45" s="187">
        <f t="shared" si="8"/>
        <v>14.100800072999998</v>
      </c>
      <c r="V45" s="188">
        <f t="shared" si="9"/>
        <v>0</v>
      </c>
      <c r="W45" s="189">
        <f t="shared" si="10"/>
        <v>0</v>
      </c>
      <c r="X45" s="104">
        <f>+H45</f>
        <v>27.99</v>
      </c>
      <c r="Y45" s="187">
        <f t="shared" si="11"/>
        <v>19.743941672999998</v>
      </c>
      <c r="Z45" s="188">
        <f t="shared" si="12"/>
        <v>0</v>
      </c>
      <c r="AA45" s="189">
        <f t="shared" si="13"/>
        <v>0</v>
      </c>
      <c r="AB45" s="185">
        <f t="shared" si="14"/>
        <v>1.400200100050025</v>
      </c>
      <c r="AC45" s="104">
        <f>+I45</f>
        <v>129.99</v>
      </c>
      <c r="AD45" s="187">
        <f t="shared" si="15"/>
        <v>91.693997073000006</v>
      </c>
      <c r="AE45" s="188">
        <f t="shared" si="16"/>
        <v>0</v>
      </c>
      <c r="AF45" s="189">
        <f t="shared" si="17"/>
        <v>0</v>
      </c>
      <c r="AG45" s="185">
        <f t="shared" si="18"/>
        <v>6.5027513756878452</v>
      </c>
      <c r="AH45" s="104">
        <f>+J45</f>
        <v>184.99</v>
      </c>
      <c r="AI45" s="187">
        <f t="shared" si="19"/>
        <v>130.49059557300001</v>
      </c>
      <c r="AJ45" s="188">
        <f t="shared" si="20"/>
        <v>0</v>
      </c>
      <c r="AK45" s="189">
        <f t="shared" si="21"/>
        <v>0</v>
      </c>
      <c r="AL45" s="185">
        <f t="shared" si="22"/>
        <v>6.6091461236155773</v>
      </c>
      <c r="AM45" s="6" t="str">
        <f t="shared" si="28"/>
        <v>No Intro Offer</v>
      </c>
      <c r="AN45" s="6" t="str">
        <f t="shared" si="29"/>
        <v>Messaging Only</v>
      </c>
      <c r="AO45" s="6" t="str">
        <f t="shared" si="23"/>
        <v>Messaging / Pause Flow</v>
      </c>
      <c r="AP45" s="6" t="str">
        <f t="shared" si="30"/>
        <v>50% Off LPP Only</v>
      </c>
    </row>
    <row r="46" spans="2:42" ht="13">
      <c r="B46" s="20" t="s">
        <v>114</v>
      </c>
      <c r="C46" s="20" t="s">
        <v>270</v>
      </c>
      <c r="D46" s="6"/>
      <c r="E46" s="6" t="str">
        <f>IF(VLOOKUP(B46,'[7]FY25 PRICING'!$B$5:$AL$246,'[7]FY25 PRICING'!$E$1,FALSE)=0,"","x")</f>
        <v/>
      </c>
      <c r="F46" s="11" t="str">
        <f>+VLOOKUP($B46,'[1]INT Web'!$B$5:$AS$247,'[1]INT Web'!$Q$1,FALSE)</f>
        <v>CVE</v>
      </c>
      <c r="G46" s="136">
        <f>+VLOOKUP($B46,'[1]INT Web'!$B$5:$AS$247,'[1]INT Web'!$U$1,FALSE)</f>
        <v>909</v>
      </c>
      <c r="H46" s="136">
        <f>+VLOOKUP($B46,'[1]INT Web'!$B$5:$AS$247,'[1]INT Web'!$S$1,FALSE)</f>
        <v>1229</v>
      </c>
      <c r="I46" s="22">
        <f>+VLOOKUP($B46,'[1]INT Web'!$B$5:$AS$247,'[1]INT Web'!$T$1,FALSE)</f>
        <v>5459</v>
      </c>
      <c r="J46" s="22">
        <f>+VLOOKUP($B46,'[1]INT Web'!$B$5:$AS$247,'[1]INT Web'!$R$1,FALSE)</f>
        <v>7369</v>
      </c>
      <c r="K46" s="185">
        <f t="shared" si="5"/>
        <v>6.0055005500550056</v>
      </c>
      <c r="L46" s="185">
        <f t="shared" si="5"/>
        <v>5.9959316517493901</v>
      </c>
      <c r="M46" s="185">
        <f t="shared" si="6"/>
        <v>1.352035203520352</v>
      </c>
      <c r="N46" s="186">
        <v>1.0399545E-2</v>
      </c>
      <c r="O46" s="187">
        <f t="shared" si="7"/>
        <v>9.4531864050000003</v>
      </c>
      <c r="P46" s="187">
        <f t="shared" si="7"/>
        <v>12.781040805</v>
      </c>
      <c r="Q46" s="187">
        <f t="shared" si="7"/>
        <v>56.771116155000001</v>
      </c>
      <c r="R46" s="187">
        <f t="shared" si="7"/>
        <v>76.634247105</v>
      </c>
      <c r="S46" s="6">
        <v>0</v>
      </c>
      <c r="T46" s="104">
        <f t="shared" si="24"/>
        <v>909</v>
      </c>
      <c r="U46" s="187">
        <f t="shared" si="8"/>
        <v>9.4531864050000003</v>
      </c>
      <c r="V46" s="188">
        <f t="shared" si="9"/>
        <v>0</v>
      </c>
      <c r="W46" s="189">
        <f t="shared" si="10"/>
        <v>0</v>
      </c>
      <c r="X46" s="104">
        <f t="shared" si="25"/>
        <v>1229</v>
      </c>
      <c r="Y46" s="187">
        <f t="shared" si="11"/>
        <v>12.781040805</v>
      </c>
      <c r="Z46" s="188">
        <f t="shared" si="12"/>
        <v>0</v>
      </c>
      <c r="AA46" s="189">
        <f t="shared" si="13"/>
        <v>0</v>
      </c>
      <c r="AB46" s="185">
        <f t="shared" si="14"/>
        <v>1.352035203520352</v>
      </c>
      <c r="AC46" s="104">
        <f t="shared" si="26"/>
        <v>5459</v>
      </c>
      <c r="AD46" s="187">
        <f t="shared" si="15"/>
        <v>56.771116155000001</v>
      </c>
      <c r="AE46" s="188">
        <f t="shared" si="16"/>
        <v>0</v>
      </c>
      <c r="AF46" s="189">
        <f t="shared" si="17"/>
        <v>0</v>
      </c>
      <c r="AG46" s="185">
        <f t="shared" si="18"/>
        <v>6.0055005500550056</v>
      </c>
      <c r="AH46" s="104">
        <f t="shared" si="27"/>
        <v>7369</v>
      </c>
      <c r="AI46" s="187">
        <f t="shared" si="19"/>
        <v>76.634247105</v>
      </c>
      <c r="AJ46" s="188">
        <f t="shared" si="20"/>
        <v>0</v>
      </c>
      <c r="AK46" s="189">
        <f t="shared" si="21"/>
        <v>0</v>
      </c>
      <c r="AL46" s="185">
        <f t="shared" si="22"/>
        <v>5.9959316517493901</v>
      </c>
      <c r="AM46" s="6" t="str">
        <f t="shared" si="28"/>
        <v>30% Off SL / Annual</v>
      </c>
      <c r="AN46" s="6" t="str">
        <f t="shared" si="29"/>
        <v>15% Off All SKUs</v>
      </c>
      <c r="AO46" s="6" t="str">
        <f t="shared" si="23"/>
        <v>Monthly: 100% Off Next Month</v>
      </c>
      <c r="AP46" s="6" t="str">
        <f t="shared" si="30"/>
        <v>50% Off SL / Annual</v>
      </c>
    </row>
    <row r="47" spans="2:42" ht="13">
      <c r="B47" s="20" t="s">
        <v>115</v>
      </c>
      <c r="C47" s="20" t="s">
        <v>96</v>
      </c>
      <c r="D47" s="6"/>
      <c r="E47" s="6" t="str">
        <f>IF(VLOOKUP(B47,'[7]FY25 PRICING'!$B$5:$AL$246,'[7]FY25 PRICING'!$E$1,FALSE)=0,"","x")</f>
        <v/>
      </c>
      <c r="F47" s="11" t="str">
        <f>+VLOOKUP($B47,'[1]INT Web'!$B$5:$AS$247,'[1]INT Web'!$Q$1,FALSE)</f>
        <v>USD</v>
      </c>
      <c r="G47" s="22">
        <f>+VLOOKUP($B47,'[1]INT Web'!$B$5:$AS$247,'[1]INT Web'!$U$1,FALSE)</f>
        <v>11.99</v>
      </c>
      <c r="H47" s="22">
        <f>+VLOOKUP($B47,'[1]INT Web'!$B$5:$AS$247,'[1]INT Web'!$S$1,FALSE)</f>
        <v>16.989999999999998</v>
      </c>
      <c r="I47" s="22">
        <f>+VLOOKUP($B47,'[1]INT Web'!$B$5:$AS$247,'[1]INT Web'!$T$1,FALSE)</f>
        <v>71.989999999999995</v>
      </c>
      <c r="J47" s="22">
        <f>+VLOOKUP($B47,'[1]INT Web'!$B$5:$AS$247,'[1]INT Web'!$R$1,FALSE)</f>
        <v>102.99</v>
      </c>
      <c r="K47" s="185">
        <f t="shared" si="5"/>
        <v>6.0041701417848206</v>
      </c>
      <c r="L47" s="185">
        <f t="shared" si="5"/>
        <v>6.0618010594467338</v>
      </c>
      <c r="M47" s="185">
        <f t="shared" si="6"/>
        <v>1.4170141784820682</v>
      </c>
      <c r="N47" s="186">
        <v>1</v>
      </c>
      <c r="O47" s="187">
        <f t="shared" si="7"/>
        <v>11.99</v>
      </c>
      <c r="P47" s="187">
        <f t="shared" si="7"/>
        <v>16.989999999999998</v>
      </c>
      <c r="Q47" s="187">
        <f t="shared" si="7"/>
        <v>71.989999999999995</v>
      </c>
      <c r="R47" s="187">
        <f t="shared" si="7"/>
        <v>102.99</v>
      </c>
      <c r="S47" s="6" t="s">
        <v>485</v>
      </c>
      <c r="T47" s="104">
        <f t="shared" si="24"/>
        <v>11.99</v>
      </c>
      <c r="U47" s="187">
        <f t="shared" si="8"/>
        <v>11.99</v>
      </c>
      <c r="V47" s="188">
        <f t="shared" si="9"/>
        <v>0</v>
      </c>
      <c r="W47" s="189">
        <f t="shared" si="10"/>
        <v>0</v>
      </c>
      <c r="X47" s="104">
        <f t="shared" si="25"/>
        <v>16.989999999999998</v>
      </c>
      <c r="Y47" s="187">
        <f t="shared" si="11"/>
        <v>16.989999999999998</v>
      </c>
      <c r="Z47" s="188">
        <f t="shared" si="12"/>
        <v>0</v>
      </c>
      <c r="AA47" s="189">
        <f t="shared" si="13"/>
        <v>0</v>
      </c>
      <c r="AB47" s="185">
        <f t="shared" si="14"/>
        <v>1.4170141784820682</v>
      </c>
      <c r="AC47" s="104">
        <f t="shared" si="26"/>
        <v>71.989999999999995</v>
      </c>
      <c r="AD47" s="187">
        <f t="shared" si="15"/>
        <v>71.989999999999995</v>
      </c>
      <c r="AE47" s="188">
        <f t="shared" si="16"/>
        <v>0</v>
      </c>
      <c r="AF47" s="189">
        <f t="shared" si="17"/>
        <v>0</v>
      </c>
      <c r="AG47" s="185">
        <f t="shared" si="18"/>
        <v>6.0041701417848206</v>
      </c>
      <c r="AH47" s="104">
        <f t="shared" si="27"/>
        <v>102.99</v>
      </c>
      <c r="AI47" s="187">
        <f t="shared" si="19"/>
        <v>102.99</v>
      </c>
      <c r="AJ47" s="188">
        <f t="shared" si="20"/>
        <v>0</v>
      </c>
      <c r="AK47" s="189">
        <f t="shared" si="21"/>
        <v>0</v>
      </c>
      <c r="AL47" s="185">
        <f t="shared" si="22"/>
        <v>6.0618010594467338</v>
      </c>
      <c r="AM47" s="6" t="str">
        <f t="shared" si="28"/>
        <v>30% Off SL / Annual</v>
      </c>
      <c r="AN47" s="6" t="str">
        <f t="shared" si="29"/>
        <v>Messaging Only</v>
      </c>
      <c r="AO47" s="6" t="str">
        <f t="shared" si="23"/>
        <v>Messaging / Pause Flow</v>
      </c>
      <c r="AP47" s="6" t="str">
        <f t="shared" si="30"/>
        <v>50% Off LPP Only</v>
      </c>
    </row>
    <row r="48" spans="2:42" ht="13">
      <c r="B48" s="20" t="s">
        <v>116</v>
      </c>
      <c r="C48" s="20" t="s">
        <v>270</v>
      </c>
      <c r="D48" s="6"/>
      <c r="E48" s="6" t="str">
        <f>IF(VLOOKUP(B48,'[7]FY25 PRICING'!$B$5:$AL$246,'[7]FY25 PRICING'!$E$1,FALSE)=0,"","x")</f>
        <v/>
      </c>
      <c r="F48" s="11" t="str">
        <f>+VLOOKUP($B48,'[1]INT Web'!$B$5:$AS$247,'[1]INT Web'!$Q$1,FALSE)</f>
        <v>XAF</v>
      </c>
      <c r="G48" s="136">
        <f>+VLOOKUP($B48,'[1]INT Web'!$B$5:$AS$247,'[1]INT Web'!$U$1,FALSE)</f>
        <v>5500</v>
      </c>
      <c r="H48" s="136">
        <f>+VLOOKUP($B48,'[1]INT Web'!$B$5:$AS$247,'[1]INT Web'!$S$1,FALSE)</f>
        <v>7430</v>
      </c>
      <c r="I48" s="22">
        <f>+VLOOKUP($B48,'[1]INT Web'!$B$5:$AS$247,'[1]INT Web'!$T$1,FALSE)</f>
        <v>33000</v>
      </c>
      <c r="J48" s="22">
        <f>+VLOOKUP($B48,'[1]INT Web'!$B$5:$AS$247,'[1]INT Web'!$R$1,FALSE)</f>
        <v>44580</v>
      </c>
      <c r="K48" s="185">
        <f t="shared" si="5"/>
        <v>6</v>
      </c>
      <c r="L48" s="185">
        <f t="shared" si="5"/>
        <v>6</v>
      </c>
      <c r="M48" s="185">
        <f t="shared" si="6"/>
        <v>1.3509090909090908</v>
      </c>
      <c r="N48" s="186">
        <v>1.7485141000000001E-3</v>
      </c>
      <c r="O48" s="187">
        <f t="shared" si="7"/>
        <v>9.61682755</v>
      </c>
      <c r="P48" s="187">
        <f t="shared" si="7"/>
        <v>12.991459763</v>
      </c>
      <c r="Q48" s="187">
        <f t="shared" si="7"/>
        <v>57.7009653</v>
      </c>
      <c r="R48" s="187">
        <f t="shared" si="7"/>
        <v>77.94875857800001</v>
      </c>
      <c r="S48" s="6">
        <v>0</v>
      </c>
      <c r="T48" s="104">
        <f t="shared" si="24"/>
        <v>5500</v>
      </c>
      <c r="U48" s="187">
        <f t="shared" si="8"/>
        <v>9.61682755</v>
      </c>
      <c r="V48" s="188">
        <f t="shared" si="9"/>
        <v>0</v>
      </c>
      <c r="W48" s="189">
        <f t="shared" si="10"/>
        <v>0</v>
      </c>
      <c r="X48" s="104">
        <f t="shared" si="25"/>
        <v>7430</v>
      </c>
      <c r="Y48" s="187">
        <f t="shared" si="11"/>
        <v>12.991459763</v>
      </c>
      <c r="Z48" s="188">
        <f t="shared" si="12"/>
        <v>0</v>
      </c>
      <c r="AA48" s="189">
        <f t="shared" si="13"/>
        <v>0</v>
      </c>
      <c r="AB48" s="185">
        <f t="shared" si="14"/>
        <v>1.3509090909090908</v>
      </c>
      <c r="AC48" s="104">
        <f t="shared" si="26"/>
        <v>33000</v>
      </c>
      <c r="AD48" s="187">
        <f t="shared" si="15"/>
        <v>57.7009653</v>
      </c>
      <c r="AE48" s="188">
        <f t="shared" si="16"/>
        <v>0</v>
      </c>
      <c r="AF48" s="189">
        <f t="shared" si="17"/>
        <v>0</v>
      </c>
      <c r="AG48" s="185">
        <f t="shared" si="18"/>
        <v>6</v>
      </c>
      <c r="AH48" s="104">
        <f t="shared" si="27"/>
        <v>44580</v>
      </c>
      <c r="AI48" s="187">
        <f t="shared" si="19"/>
        <v>77.94875857800001</v>
      </c>
      <c r="AJ48" s="188">
        <f t="shared" si="20"/>
        <v>0</v>
      </c>
      <c r="AK48" s="189">
        <f t="shared" si="21"/>
        <v>0</v>
      </c>
      <c r="AL48" s="185">
        <f t="shared" si="22"/>
        <v>6</v>
      </c>
      <c r="AM48" s="6" t="str">
        <f t="shared" si="28"/>
        <v>30% Off SL / Annual</v>
      </c>
      <c r="AN48" s="6" t="str">
        <f t="shared" si="29"/>
        <v>15% Off All SKUs</v>
      </c>
      <c r="AO48" s="6" t="str">
        <f t="shared" si="23"/>
        <v>Monthly: 100% Off Next Month</v>
      </c>
      <c r="AP48" s="6" t="str">
        <f t="shared" si="30"/>
        <v>50% Off SL / Annual</v>
      </c>
    </row>
    <row r="49" spans="2:42" ht="13">
      <c r="B49" s="20" t="s">
        <v>117</v>
      </c>
      <c r="C49" s="20" t="s">
        <v>270</v>
      </c>
      <c r="D49" s="6"/>
      <c r="E49" s="6" t="str">
        <f>IF(VLOOKUP(B49,'[7]FY25 PRICING'!$B$5:$AL$246,'[7]FY25 PRICING'!$E$1,FALSE)=0,"","x")</f>
        <v/>
      </c>
      <c r="F49" s="11" t="str">
        <f>+VLOOKUP($B49,'[1]INT Web'!$B$5:$AS$247,'[1]INT Web'!$Q$1,FALSE)</f>
        <v>XAF</v>
      </c>
      <c r="G49" s="136">
        <f>+VLOOKUP($B49,'[1]INT Web'!$B$5:$AS$247,'[1]INT Web'!$U$1,FALSE)</f>
        <v>5400</v>
      </c>
      <c r="H49" s="136">
        <f>+VLOOKUP($B49,'[1]INT Web'!$B$5:$AS$247,'[1]INT Web'!$S$1,FALSE)</f>
        <v>7290</v>
      </c>
      <c r="I49" s="22">
        <f>+VLOOKUP($B49,'[1]INT Web'!$B$5:$AS$247,'[1]INT Web'!$T$1,FALSE)</f>
        <v>32400</v>
      </c>
      <c r="J49" s="22">
        <f>+VLOOKUP($B49,'[1]INT Web'!$B$5:$AS$247,'[1]INT Web'!$R$1,FALSE)</f>
        <v>43740</v>
      </c>
      <c r="K49" s="185">
        <f t="shared" si="5"/>
        <v>6</v>
      </c>
      <c r="L49" s="185">
        <f t="shared" si="5"/>
        <v>6</v>
      </c>
      <c r="M49" s="185">
        <f t="shared" si="6"/>
        <v>1.35</v>
      </c>
      <c r="N49" s="186">
        <v>1.7485141000000001E-3</v>
      </c>
      <c r="O49" s="187">
        <f t="shared" si="7"/>
        <v>9.4419761400000013</v>
      </c>
      <c r="P49" s="187">
        <f t="shared" si="7"/>
        <v>12.746667789</v>
      </c>
      <c r="Q49" s="187">
        <f t="shared" si="7"/>
        <v>56.651856840000001</v>
      </c>
      <c r="R49" s="187">
        <f t="shared" si="7"/>
        <v>76.480006734</v>
      </c>
      <c r="S49" s="6">
        <v>0</v>
      </c>
      <c r="T49" s="104">
        <f t="shared" si="24"/>
        <v>5400</v>
      </c>
      <c r="U49" s="187">
        <f t="shared" si="8"/>
        <v>9.4419761400000013</v>
      </c>
      <c r="V49" s="188">
        <f t="shared" si="9"/>
        <v>0</v>
      </c>
      <c r="W49" s="189">
        <f t="shared" si="10"/>
        <v>0</v>
      </c>
      <c r="X49" s="104">
        <f t="shared" si="25"/>
        <v>7290</v>
      </c>
      <c r="Y49" s="187">
        <f t="shared" si="11"/>
        <v>12.746667789</v>
      </c>
      <c r="Z49" s="188">
        <f t="shared" si="12"/>
        <v>0</v>
      </c>
      <c r="AA49" s="189">
        <f t="shared" si="13"/>
        <v>0</v>
      </c>
      <c r="AB49" s="185">
        <f t="shared" si="14"/>
        <v>1.35</v>
      </c>
      <c r="AC49" s="104">
        <f t="shared" si="26"/>
        <v>32400</v>
      </c>
      <c r="AD49" s="187">
        <f t="shared" si="15"/>
        <v>56.651856840000001</v>
      </c>
      <c r="AE49" s="188">
        <f t="shared" si="16"/>
        <v>0</v>
      </c>
      <c r="AF49" s="189">
        <f t="shared" si="17"/>
        <v>0</v>
      </c>
      <c r="AG49" s="185">
        <f t="shared" si="18"/>
        <v>6</v>
      </c>
      <c r="AH49" s="104">
        <f t="shared" si="27"/>
        <v>43740</v>
      </c>
      <c r="AI49" s="187">
        <f t="shared" si="19"/>
        <v>76.480006734</v>
      </c>
      <c r="AJ49" s="188">
        <f t="shared" si="20"/>
        <v>0</v>
      </c>
      <c r="AK49" s="189">
        <f t="shared" si="21"/>
        <v>0</v>
      </c>
      <c r="AL49" s="185">
        <f t="shared" si="22"/>
        <v>6</v>
      </c>
      <c r="AM49" s="6" t="str">
        <f t="shared" si="28"/>
        <v>30% Off SL / Annual</v>
      </c>
      <c r="AN49" s="6" t="str">
        <f t="shared" si="29"/>
        <v>15% Off All SKUs</v>
      </c>
      <c r="AO49" s="6" t="str">
        <f t="shared" si="23"/>
        <v>Monthly: 100% Off Next Month</v>
      </c>
      <c r="AP49" s="6" t="str">
        <f t="shared" si="30"/>
        <v>50% Off SL / Annual</v>
      </c>
    </row>
    <row r="50" spans="2:42" ht="13">
      <c r="B50" s="199" t="s">
        <v>118</v>
      </c>
      <c r="C50" s="199" t="s">
        <v>96</v>
      </c>
      <c r="D50" s="6" t="s">
        <v>480</v>
      </c>
      <c r="E50" s="6" t="s">
        <v>483</v>
      </c>
      <c r="F50" s="11" t="str">
        <f>+VLOOKUP($B50,'[1]INT Web'!$B$5:$AS$247,'[1]INT Web'!$Q$1,FALSE)</f>
        <v>CLP</v>
      </c>
      <c r="G50" s="22">
        <f>+VLOOKUP($B50,'[1]INT Web'!$B$5:$AS$247,'[1]INT Web'!$U$1,FALSE)</f>
        <v>15900</v>
      </c>
      <c r="H50" s="22">
        <f>+VLOOKUP($B50,'[1]INT Web'!$B$5:$AS$247,'[1]INT Web'!$S$1,FALSE)</f>
        <v>22900</v>
      </c>
      <c r="I50" s="22">
        <f>+VLOOKUP($B50,'[1]INT Web'!$B$5:$AS$247,'[1]INT Web'!$T$1,FALSE)</f>
        <v>96300</v>
      </c>
      <c r="J50" s="22">
        <f>+VLOOKUP($B50,'[1]INT Web'!$B$5:$AS$247,'[1]INT Web'!$R$1,FALSE)</f>
        <v>137900</v>
      </c>
      <c r="K50" s="185">
        <f t="shared" si="5"/>
        <v>6.0566037735849054</v>
      </c>
      <c r="L50" s="185">
        <f t="shared" si="5"/>
        <v>6.0218340611353716</v>
      </c>
      <c r="M50" s="185">
        <f t="shared" si="6"/>
        <v>1.4402515723270439</v>
      </c>
      <c r="N50" s="186">
        <v>1.1093361999999999E-3</v>
      </c>
      <c r="O50" s="187">
        <f t="shared" si="7"/>
        <v>17.638445579999999</v>
      </c>
      <c r="P50" s="187">
        <f t="shared" si="7"/>
        <v>25.403798979999998</v>
      </c>
      <c r="Q50" s="187">
        <f t="shared" si="7"/>
        <v>106.82907605999999</v>
      </c>
      <c r="R50" s="187">
        <f t="shared" si="7"/>
        <v>152.97746197999999</v>
      </c>
      <c r="S50" s="132" t="s">
        <v>488</v>
      </c>
      <c r="T50" s="104">
        <f t="shared" si="24"/>
        <v>15900</v>
      </c>
      <c r="U50" s="187">
        <f t="shared" si="8"/>
        <v>17.638445579999999</v>
      </c>
      <c r="V50" s="188">
        <f t="shared" si="9"/>
        <v>0</v>
      </c>
      <c r="W50" s="189">
        <f t="shared" si="10"/>
        <v>0</v>
      </c>
      <c r="X50" s="104">
        <f t="shared" si="25"/>
        <v>22900</v>
      </c>
      <c r="Y50" s="187">
        <f t="shared" si="11"/>
        <v>25.403798979999998</v>
      </c>
      <c r="Z50" s="188">
        <f t="shared" si="12"/>
        <v>0</v>
      </c>
      <c r="AA50" s="189">
        <f t="shared" si="13"/>
        <v>0</v>
      </c>
      <c r="AB50" s="185">
        <f t="shared" si="14"/>
        <v>1.4402515723270439</v>
      </c>
      <c r="AC50" s="104">
        <f t="shared" si="26"/>
        <v>96300</v>
      </c>
      <c r="AD50" s="187">
        <f t="shared" si="15"/>
        <v>106.82907605999999</v>
      </c>
      <c r="AE50" s="188">
        <f t="shared" si="16"/>
        <v>0</v>
      </c>
      <c r="AF50" s="189">
        <f t="shared" si="17"/>
        <v>0</v>
      </c>
      <c r="AG50" s="185">
        <f t="shared" si="18"/>
        <v>6.0566037735849054</v>
      </c>
      <c r="AH50" s="104">
        <f t="shared" si="27"/>
        <v>137900</v>
      </c>
      <c r="AI50" s="187">
        <f t="shared" si="19"/>
        <v>152.97746197999999</v>
      </c>
      <c r="AJ50" s="188">
        <f t="shared" si="20"/>
        <v>0</v>
      </c>
      <c r="AK50" s="189">
        <f t="shared" si="21"/>
        <v>0</v>
      </c>
      <c r="AL50" s="185">
        <f t="shared" si="22"/>
        <v>6.0218340611353716</v>
      </c>
      <c r="AM50" s="6" t="str">
        <f t="shared" si="28"/>
        <v>30% Off SL / Annual</v>
      </c>
      <c r="AN50" s="6" t="str">
        <f t="shared" si="29"/>
        <v>Messaging Only</v>
      </c>
      <c r="AO50" s="6" t="str">
        <f t="shared" si="23"/>
        <v>Messaging / Pause Flow</v>
      </c>
      <c r="AP50" s="6" t="str">
        <f t="shared" si="30"/>
        <v>50% Off LPP Only</v>
      </c>
    </row>
    <row r="51" spans="2:42" ht="13">
      <c r="B51" s="20" t="s">
        <v>119</v>
      </c>
      <c r="C51" s="20" t="s">
        <v>182</v>
      </c>
      <c r="D51" s="6"/>
      <c r="E51" s="6" t="str">
        <f>IF(VLOOKUP(B51,'[7]FY25 PRICING'!$B$5:$AL$246,'[7]FY25 PRICING'!$E$1,FALSE)=0,"","x")</f>
        <v/>
      </c>
      <c r="F51" s="11" t="str">
        <f>+VLOOKUP($B51,'[1]INT Web'!$B$5:$AS$247,'[1]INT Web'!$Q$1,FALSE)</f>
        <v>AUD</v>
      </c>
      <c r="G51" s="22">
        <f>+VLOOKUP($B51,'[1]INT Web'!$B$5:$AS$247,'[1]INT Web'!$U$1,FALSE)</f>
        <v>12.99</v>
      </c>
      <c r="H51" s="22">
        <f>+VLOOKUP($B51,'[1]INT Web'!$B$5:$AS$247,'[1]INT Web'!$S$1,FALSE)</f>
        <v>17.989999999999998</v>
      </c>
      <c r="I51" s="22">
        <f>+VLOOKUP($B51,'[1]INT Web'!$B$5:$AS$247,'[1]INT Web'!$T$1,FALSE)</f>
        <v>77.989999999999995</v>
      </c>
      <c r="J51" s="22">
        <f>+VLOOKUP($B51,'[1]INT Web'!$B$5:$AS$247,'[1]INT Web'!$R$1,FALSE)</f>
        <v>107.99</v>
      </c>
      <c r="K51" s="185">
        <f t="shared" si="5"/>
        <v>6.0038491147036179</v>
      </c>
      <c r="L51" s="185">
        <f t="shared" si="5"/>
        <v>6.0027793218454697</v>
      </c>
      <c r="M51" s="185">
        <f t="shared" si="6"/>
        <v>1.3849114703618166</v>
      </c>
      <c r="N51" s="186">
        <v>0.70125000000000004</v>
      </c>
      <c r="O51" s="187">
        <f t="shared" si="7"/>
        <v>9.1092375000000008</v>
      </c>
      <c r="P51" s="187">
        <f t="shared" si="7"/>
        <v>12.6154875</v>
      </c>
      <c r="Q51" s="187">
        <f t="shared" si="7"/>
        <v>54.690487499999996</v>
      </c>
      <c r="R51" s="187">
        <f t="shared" si="7"/>
        <v>75.727987499999998</v>
      </c>
      <c r="S51" s="6">
        <v>0</v>
      </c>
      <c r="T51" s="104">
        <f t="shared" si="24"/>
        <v>12.99</v>
      </c>
      <c r="U51" s="187">
        <f t="shared" si="8"/>
        <v>9.1092375000000008</v>
      </c>
      <c r="V51" s="188">
        <f t="shared" si="9"/>
        <v>0</v>
      </c>
      <c r="W51" s="189">
        <f t="shared" si="10"/>
        <v>0</v>
      </c>
      <c r="X51" s="104">
        <f t="shared" si="25"/>
        <v>17.989999999999998</v>
      </c>
      <c r="Y51" s="187">
        <f t="shared" si="11"/>
        <v>12.6154875</v>
      </c>
      <c r="Z51" s="188">
        <f t="shared" si="12"/>
        <v>0</v>
      </c>
      <c r="AA51" s="189">
        <f t="shared" si="13"/>
        <v>0</v>
      </c>
      <c r="AB51" s="185">
        <f t="shared" si="14"/>
        <v>1.3849114703618166</v>
      </c>
      <c r="AC51" s="104">
        <f t="shared" si="26"/>
        <v>77.989999999999995</v>
      </c>
      <c r="AD51" s="187">
        <f t="shared" si="15"/>
        <v>54.690487499999996</v>
      </c>
      <c r="AE51" s="188">
        <f t="shared" si="16"/>
        <v>0</v>
      </c>
      <c r="AF51" s="189">
        <f t="shared" si="17"/>
        <v>0</v>
      </c>
      <c r="AG51" s="185">
        <f t="shared" si="18"/>
        <v>6.0038491147036179</v>
      </c>
      <c r="AH51" s="104">
        <f t="shared" si="27"/>
        <v>107.99</v>
      </c>
      <c r="AI51" s="187">
        <f t="shared" si="19"/>
        <v>75.727987499999998</v>
      </c>
      <c r="AJ51" s="188">
        <f t="shared" si="20"/>
        <v>0</v>
      </c>
      <c r="AK51" s="189">
        <f t="shared" si="21"/>
        <v>0</v>
      </c>
      <c r="AL51" s="185">
        <f t="shared" si="22"/>
        <v>6.0027793218454697</v>
      </c>
      <c r="AM51" s="6" t="str">
        <f t="shared" si="28"/>
        <v>30% Off SL / Annual</v>
      </c>
      <c r="AN51" s="6" t="str">
        <f t="shared" si="29"/>
        <v>15% Off All SKUs</v>
      </c>
      <c r="AO51" s="6" t="str">
        <f t="shared" si="23"/>
        <v>Monthly: 100% Off Next Month</v>
      </c>
      <c r="AP51" s="6" t="str">
        <f t="shared" si="30"/>
        <v>50% Off SL / Annual</v>
      </c>
    </row>
    <row r="52" spans="2:42" ht="13">
      <c r="B52" s="20" t="s">
        <v>120</v>
      </c>
      <c r="C52" s="20" t="s">
        <v>182</v>
      </c>
      <c r="D52" s="6"/>
      <c r="E52" s="6" t="str">
        <f>IF(VLOOKUP(B52,'[7]FY25 PRICING'!$B$5:$AL$246,'[7]FY25 PRICING'!$E$1,FALSE)=0,"","x")</f>
        <v/>
      </c>
      <c r="F52" s="11" t="str">
        <f>+VLOOKUP($B52,'[1]INT Web'!$B$5:$AS$247,'[1]INT Web'!$Q$1,FALSE)</f>
        <v>AUD</v>
      </c>
      <c r="G52" s="22">
        <f>+VLOOKUP($B52,'[1]INT Web'!$B$5:$AS$247,'[1]INT Web'!$U$1,FALSE)</f>
        <v>19.989999999999998</v>
      </c>
      <c r="H52" s="22">
        <f>+VLOOKUP($B52,'[1]INT Web'!$B$5:$AS$247,'[1]INT Web'!$S$1,FALSE)</f>
        <v>26.99</v>
      </c>
      <c r="I52" s="22">
        <f>+VLOOKUP($B52,'[1]INT Web'!$B$5:$AS$247,'[1]INT Web'!$T$1,FALSE)</f>
        <v>119.99</v>
      </c>
      <c r="J52" s="22">
        <f>+VLOOKUP($B52,'[1]INT Web'!$B$5:$AS$247,'[1]INT Web'!$R$1,FALSE)</f>
        <v>161.99</v>
      </c>
      <c r="K52" s="185">
        <f t="shared" si="5"/>
        <v>6.002501250625313</v>
      </c>
      <c r="L52" s="185">
        <f t="shared" si="5"/>
        <v>6.0018525379770296</v>
      </c>
      <c r="M52" s="185">
        <f t="shared" si="6"/>
        <v>1.3501750875437719</v>
      </c>
      <c r="N52" s="186">
        <v>0.70125000000000004</v>
      </c>
      <c r="O52" s="187">
        <f t="shared" si="7"/>
        <v>14.0179875</v>
      </c>
      <c r="P52" s="187">
        <f t="shared" si="7"/>
        <v>18.926737500000002</v>
      </c>
      <c r="Q52" s="187">
        <f t="shared" si="7"/>
        <v>84.142987500000004</v>
      </c>
      <c r="R52" s="187">
        <f t="shared" si="7"/>
        <v>113.59548750000002</v>
      </c>
      <c r="S52" s="6">
        <v>0</v>
      </c>
      <c r="T52" s="104">
        <f t="shared" si="24"/>
        <v>19.989999999999998</v>
      </c>
      <c r="U52" s="187">
        <f t="shared" si="8"/>
        <v>14.0179875</v>
      </c>
      <c r="V52" s="188">
        <f t="shared" si="9"/>
        <v>0</v>
      </c>
      <c r="W52" s="189">
        <f t="shared" si="10"/>
        <v>0</v>
      </c>
      <c r="X52" s="104">
        <f t="shared" si="25"/>
        <v>26.99</v>
      </c>
      <c r="Y52" s="187">
        <f t="shared" si="11"/>
        <v>18.926737500000002</v>
      </c>
      <c r="Z52" s="188">
        <f t="shared" si="12"/>
        <v>0</v>
      </c>
      <c r="AA52" s="189">
        <f t="shared" si="13"/>
        <v>0</v>
      </c>
      <c r="AB52" s="185">
        <f t="shared" si="14"/>
        <v>1.3501750875437719</v>
      </c>
      <c r="AC52" s="104">
        <f t="shared" si="26"/>
        <v>119.99</v>
      </c>
      <c r="AD52" s="187">
        <f t="shared" si="15"/>
        <v>84.142987500000004</v>
      </c>
      <c r="AE52" s="188">
        <f t="shared" si="16"/>
        <v>0</v>
      </c>
      <c r="AF52" s="189">
        <f t="shared" si="17"/>
        <v>0</v>
      </c>
      <c r="AG52" s="185">
        <f t="shared" si="18"/>
        <v>6.002501250625313</v>
      </c>
      <c r="AH52" s="104">
        <f t="shared" si="27"/>
        <v>161.99</v>
      </c>
      <c r="AI52" s="187">
        <f t="shared" si="19"/>
        <v>113.59548750000002</v>
      </c>
      <c r="AJ52" s="188">
        <f t="shared" si="20"/>
        <v>0</v>
      </c>
      <c r="AK52" s="189">
        <f t="shared" si="21"/>
        <v>0</v>
      </c>
      <c r="AL52" s="185">
        <f t="shared" si="22"/>
        <v>6.0018525379770296</v>
      </c>
      <c r="AM52" s="6" t="str">
        <f t="shared" si="28"/>
        <v>30% Off SL / Annual</v>
      </c>
      <c r="AN52" s="6" t="str">
        <f t="shared" si="29"/>
        <v>15% Off All SKUs</v>
      </c>
      <c r="AO52" s="6" t="str">
        <f t="shared" si="23"/>
        <v>Monthly: 100% Off Next Month</v>
      </c>
      <c r="AP52" s="6" t="str">
        <f t="shared" si="30"/>
        <v>50% Off SL / Annual</v>
      </c>
    </row>
    <row r="53" spans="2:42" ht="13">
      <c r="B53" s="199" t="s">
        <v>121</v>
      </c>
      <c r="C53" s="199" t="s">
        <v>96</v>
      </c>
      <c r="D53" s="6" t="s">
        <v>480</v>
      </c>
      <c r="F53" s="11" t="str">
        <f>+VLOOKUP($B53,'[1]INT Web'!$B$5:$AS$247,'[1]INT Web'!$Q$1,FALSE)</f>
        <v>COP</v>
      </c>
      <c r="G53" s="22">
        <f>+VLOOKUP($B53,'[1]INT Web'!$B$5:$AS$247,'[1]INT Web'!$U$1,FALSE)</f>
        <v>41400</v>
      </c>
      <c r="H53" s="22">
        <f>+VLOOKUP($B53,'[1]INT Web'!$B$5:$AS$247,'[1]INT Web'!$S$1,FALSE)</f>
        <v>55900</v>
      </c>
      <c r="I53" s="22">
        <f>+VLOOKUP($B53,'[1]INT Web'!$B$5:$AS$247,'[1]INT Web'!$T$1,FALSE)</f>
        <v>248900</v>
      </c>
      <c r="J53" s="22">
        <f>+VLOOKUP($B53,'[1]INT Web'!$B$5:$AS$247,'[1]INT Web'!$R$1,FALSE)</f>
        <v>335900</v>
      </c>
      <c r="K53" s="185">
        <f t="shared" si="5"/>
        <v>6.0120772946859899</v>
      </c>
      <c r="L53" s="185">
        <f t="shared" si="5"/>
        <v>6.0089445438282647</v>
      </c>
      <c r="M53" s="185">
        <f t="shared" si="6"/>
        <v>1.3502415458937198</v>
      </c>
      <c r="N53" s="186">
        <v>2.9082237999999999E-4</v>
      </c>
      <c r="O53" s="187">
        <f t="shared" si="7"/>
        <v>12.040046532</v>
      </c>
      <c r="P53" s="187">
        <f t="shared" si="7"/>
        <v>16.256971042</v>
      </c>
      <c r="Q53" s="187">
        <f t="shared" si="7"/>
        <v>72.385690381999993</v>
      </c>
      <c r="R53" s="187">
        <f t="shared" si="7"/>
        <v>97.687237441999997</v>
      </c>
      <c r="S53" s="132" t="s">
        <v>488</v>
      </c>
      <c r="T53" s="104">
        <f t="shared" si="24"/>
        <v>41400</v>
      </c>
      <c r="U53" s="187">
        <f t="shared" si="8"/>
        <v>12.040046532</v>
      </c>
      <c r="V53" s="188">
        <f t="shared" si="9"/>
        <v>0</v>
      </c>
      <c r="W53" s="189">
        <f t="shared" si="10"/>
        <v>0</v>
      </c>
      <c r="X53" s="104">
        <f t="shared" si="25"/>
        <v>55900</v>
      </c>
      <c r="Y53" s="187">
        <f t="shared" si="11"/>
        <v>16.256971042</v>
      </c>
      <c r="Z53" s="188">
        <f t="shared" si="12"/>
        <v>0</v>
      </c>
      <c r="AA53" s="189">
        <f t="shared" si="13"/>
        <v>0</v>
      </c>
      <c r="AB53" s="185">
        <f t="shared" si="14"/>
        <v>1.3502415458937198</v>
      </c>
      <c r="AC53" s="104">
        <f t="shared" si="26"/>
        <v>248900</v>
      </c>
      <c r="AD53" s="187">
        <f t="shared" si="15"/>
        <v>72.385690381999993</v>
      </c>
      <c r="AE53" s="188">
        <f t="shared" si="16"/>
        <v>0</v>
      </c>
      <c r="AF53" s="189">
        <f t="shared" si="17"/>
        <v>0</v>
      </c>
      <c r="AG53" s="185">
        <f t="shared" si="18"/>
        <v>6.0120772946859899</v>
      </c>
      <c r="AH53" s="104">
        <f t="shared" si="27"/>
        <v>335900</v>
      </c>
      <c r="AI53" s="187">
        <f t="shared" si="19"/>
        <v>97.687237441999997</v>
      </c>
      <c r="AJ53" s="188">
        <f t="shared" si="20"/>
        <v>0</v>
      </c>
      <c r="AK53" s="189">
        <f t="shared" si="21"/>
        <v>0</v>
      </c>
      <c r="AL53" s="185">
        <f t="shared" si="22"/>
        <v>6.0089445438282647</v>
      </c>
      <c r="AM53" s="6" t="str">
        <f t="shared" si="28"/>
        <v>30% Off SL / Annual</v>
      </c>
      <c r="AN53" s="6" t="str">
        <f t="shared" si="29"/>
        <v>Messaging Only</v>
      </c>
      <c r="AO53" s="6" t="str">
        <f t="shared" si="23"/>
        <v>Messaging / Pause Flow</v>
      </c>
      <c r="AP53" s="6" t="str">
        <f t="shared" si="30"/>
        <v>50% Off LPP Only</v>
      </c>
    </row>
    <row r="54" spans="2:42" ht="13">
      <c r="B54" s="20" t="s">
        <v>122</v>
      </c>
      <c r="C54" s="20" t="s">
        <v>270</v>
      </c>
      <c r="D54" s="6"/>
      <c r="E54" s="6" t="str">
        <f>IF(VLOOKUP(B54,'[7]FY25 PRICING'!$B$5:$AL$246,'[7]FY25 PRICING'!$E$1,FALSE)=0,"","x")</f>
        <v/>
      </c>
      <c r="F54" s="11" t="str">
        <f>+VLOOKUP($B54,'[1]INT Web'!$B$5:$AS$247,'[1]INT Web'!$Q$1,FALSE)</f>
        <v>KMF</v>
      </c>
      <c r="G54" s="136">
        <f>+VLOOKUP($B54,'[1]INT Web'!$B$5:$AS$247,'[1]INT Web'!$U$1,FALSE)</f>
        <v>4100</v>
      </c>
      <c r="H54" s="136">
        <f>+VLOOKUP($B54,'[1]INT Web'!$B$5:$AS$247,'[1]INT Web'!$S$1,FALSE)</f>
        <v>5540</v>
      </c>
      <c r="I54" s="22">
        <f>+VLOOKUP($B54,'[1]INT Web'!$B$5:$AS$247,'[1]INT Web'!$T$1,FALSE)</f>
        <v>24600</v>
      </c>
      <c r="J54" s="22">
        <f>+VLOOKUP($B54,'[1]INT Web'!$B$5:$AS$247,'[1]INT Web'!$R$1,FALSE)</f>
        <v>33240</v>
      </c>
      <c r="K54" s="185">
        <f t="shared" si="5"/>
        <v>6</v>
      </c>
      <c r="L54" s="185">
        <f t="shared" si="5"/>
        <v>6</v>
      </c>
      <c r="M54" s="185">
        <f t="shared" si="6"/>
        <v>1.351219512195122</v>
      </c>
      <c r="N54" s="186">
        <v>2.3313519E-3</v>
      </c>
      <c r="O54" s="187">
        <f t="shared" si="7"/>
        <v>9.5585427900000006</v>
      </c>
      <c r="P54" s="187">
        <f t="shared" si="7"/>
        <v>12.915689526</v>
      </c>
      <c r="Q54" s="187">
        <f t="shared" si="7"/>
        <v>57.351256740000004</v>
      </c>
      <c r="R54" s="187">
        <f t="shared" si="7"/>
        <v>77.494137156000008</v>
      </c>
      <c r="S54" s="6">
        <v>0</v>
      </c>
      <c r="T54" s="104">
        <f t="shared" si="24"/>
        <v>4100</v>
      </c>
      <c r="U54" s="187">
        <f t="shared" si="8"/>
        <v>9.5585427900000006</v>
      </c>
      <c r="V54" s="188">
        <f t="shared" si="9"/>
        <v>0</v>
      </c>
      <c r="W54" s="189">
        <f t="shared" si="10"/>
        <v>0</v>
      </c>
      <c r="X54" s="104">
        <f t="shared" si="25"/>
        <v>5540</v>
      </c>
      <c r="Y54" s="187">
        <f t="shared" si="11"/>
        <v>12.915689526</v>
      </c>
      <c r="Z54" s="188">
        <f t="shared" si="12"/>
        <v>0</v>
      </c>
      <c r="AA54" s="189">
        <f t="shared" si="13"/>
        <v>0</v>
      </c>
      <c r="AB54" s="185">
        <f t="shared" si="14"/>
        <v>1.351219512195122</v>
      </c>
      <c r="AC54" s="104">
        <f t="shared" si="26"/>
        <v>24600</v>
      </c>
      <c r="AD54" s="187">
        <f t="shared" si="15"/>
        <v>57.351256740000004</v>
      </c>
      <c r="AE54" s="188">
        <f t="shared" si="16"/>
        <v>0</v>
      </c>
      <c r="AF54" s="189">
        <f t="shared" si="17"/>
        <v>0</v>
      </c>
      <c r="AG54" s="185">
        <f t="shared" si="18"/>
        <v>6</v>
      </c>
      <c r="AH54" s="104">
        <f t="shared" si="27"/>
        <v>33240</v>
      </c>
      <c r="AI54" s="187">
        <f t="shared" si="19"/>
        <v>77.494137156000008</v>
      </c>
      <c r="AJ54" s="188">
        <f t="shared" si="20"/>
        <v>0</v>
      </c>
      <c r="AK54" s="189">
        <f t="shared" si="21"/>
        <v>0</v>
      </c>
      <c r="AL54" s="185">
        <f t="shared" si="22"/>
        <v>6</v>
      </c>
      <c r="AM54" s="6" t="str">
        <f t="shared" si="28"/>
        <v>30% Off SL / Annual</v>
      </c>
      <c r="AN54" s="6" t="str">
        <f t="shared" si="29"/>
        <v>15% Off All SKUs</v>
      </c>
      <c r="AO54" s="6" t="str">
        <f t="shared" si="23"/>
        <v>Monthly: 100% Off Next Month</v>
      </c>
      <c r="AP54" s="6" t="str">
        <f t="shared" si="30"/>
        <v>50% Off SL / Annual</v>
      </c>
    </row>
    <row r="55" spans="2:42" ht="13">
      <c r="B55" s="20" t="s">
        <v>123</v>
      </c>
      <c r="C55" s="20" t="s">
        <v>270</v>
      </c>
      <c r="D55" s="6"/>
      <c r="E55" s="6" t="str">
        <f>IF(VLOOKUP(B55,'[7]FY25 PRICING'!$B$5:$AL$246,'[7]FY25 PRICING'!$E$1,FALSE)=0,"","x")</f>
        <v/>
      </c>
      <c r="F55" s="11" t="str">
        <f>+VLOOKUP($B55,'[1]INT Web'!$B$5:$AS$247,'[1]INT Web'!$Q$1,FALSE)</f>
        <v>XAF</v>
      </c>
      <c r="G55" s="136">
        <f>+VLOOKUP($B55,'[1]INT Web'!$B$5:$AS$247,'[1]INT Web'!$U$1,FALSE)</f>
        <v>5400</v>
      </c>
      <c r="H55" s="136">
        <f>+VLOOKUP($B55,'[1]INT Web'!$B$5:$AS$247,'[1]INT Web'!$S$1,FALSE)</f>
        <v>7290</v>
      </c>
      <c r="I55" s="22">
        <f>+VLOOKUP($B55,'[1]INT Web'!$B$5:$AS$247,'[1]INT Web'!$T$1,FALSE)</f>
        <v>32400</v>
      </c>
      <c r="J55" s="22">
        <f>+VLOOKUP($B55,'[1]INT Web'!$B$5:$AS$247,'[1]INT Web'!$R$1,FALSE)</f>
        <v>43740</v>
      </c>
      <c r="K55" s="185">
        <f t="shared" si="5"/>
        <v>6</v>
      </c>
      <c r="L55" s="185">
        <f t="shared" si="5"/>
        <v>6</v>
      </c>
      <c r="M55" s="185">
        <f t="shared" si="6"/>
        <v>1.35</v>
      </c>
      <c r="N55" s="186">
        <v>1.7485141000000001E-3</v>
      </c>
      <c r="O55" s="187">
        <f t="shared" si="7"/>
        <v>9.4419761400000013</v>
      </c>
      <c r="P55" s="187">
        <f t="shared" si="7"/>
        <v>12.746667789</v>
      </c>
      <c r="Q55" s="187">
        <f t="shared" si="7"/>
        <v>56.651856840000001</v>
      </c>
      <c r="R55" s="187">
        <f t="shared" si="7"/>
        <v>76.480006734</v>
      </c>
      <c r="S55" s="6">
        <v>0</v>
      </c>
      <c r="T55" s="104">
        <f t="shared" si="24"/>
        <v>5400</v>
      </c>
      <c r="U55" s="187">
        <f t="shared" si="8"/>
        <v>9.4419761400000013</v>
      </c>
      <c r="V55" s="188">
        <f t="shared" si="9"/>
        <v>0</v>
      </c>
      <c r="W55" s="189">
        <f t="shared" si="10"/>
        <v>0</v>
      </c>
      <c r="X55" s="104">
        <f t="shared" si="25"/>
        <v>7290</v>
      </c>
      <c r="Y55" s="187">
        <f t="shared" si="11"/>
        <v>12.746667789</v>
      </c>
      <c r="Z55" s="188">
        <f t="shared" si="12"/>
        <v>0</v>
      </c>
      <c r="AA55" s="189">
        <f t="shared" si="13"/>
        <v>0</v>
      </c>
      <c r="AB55" s="185">
        <f t="shared" si="14"/>
        <v>1.35</v>
      </c>
      <c r="AC55" s="104">
        <f t="shared" si="26"/>
        <v>32400</v>
      </c>
      <c r="AD55" s="187">
        <f t="shared" si="15"/>
        <v>56.651856840000001</v>
      </c>
      <c r="AE55" s="188">
        <f t="shared" si="16"/>
        <v>0</v>
      </c>
      <c r="AF55" s="189">
        <f t="shared" si="17"/>
        <v>0</v>
      </c>
      <c r="AG55" s="185">
        <f t="shared" si="18"/>
        <v>6</v>
      </c>
      <c r="AH55" s="104">
        <f t="shared" si="27"/>
        <v>43740</v>
      </c>
      <c r="AI55" s="187">
        <f t="shared" si="19"/>
        <v>76.480006734</v>
      </c>
      <c r="AJ55" s="188">
        <f t="shared" si="20"/>
        <v>0</v>
      </c>
      <c r="AK55" s="189">
        <f t="shared" si="21"/>
        <v>0</v>
      </c>
      <c r="AL55" s="185">
        <f t="shared" si="22"/>
        <v>6</v>
      </c>
      <c r="AM55" s="6" t="str">
        <f t="shared" si="28"/>
        <v>30% Off SL / Annual</v>
      </c>
      <c r="AN55" s="6" t="str">
        <f t="shared" si="29"/>
        <v>15% Off All SKUs</v>
      </c>
      <c r="AO55" s="6" t="str">
        <f t="shared" si="23"/>
        <v>Monthly: 100% Off Next Month</v>
      </c>
      <c r="AP55" s="6" t="str">
        <f t="shared" si="30"/>
        <v>50% Off SL / Annual</v>
      </c>
    </row>
    <row r="56" spans="2:42" ht="13">
      <c r="B56" s="20" t="s">
        <v>124</v>
      </c>
      <c r="C56" s="20" t="s">
        <v>182</v>
      </c>
      <c r="D56" s="6"/>
      <c r="E56" s="6" t="str">
        <f>IF(VLOOKUP(B56,'[7]FY25 PRICING'!$B$5:$AL$246,'[7]FY25 PRICING'!$E$1,FALSE)=0,"","x")</f>
        <v/>
      </c>
      <c r="F56" s="11" t="str">
        <f>+VLOOKUP($B56,'[1]INT Web'!$B$5:$AS$247,'[1]INT Web'!$Q$1,FALSE)</f>
        <v>NZD</v>
      </c>
      <c r="G56" s="22">
        <f>+VLOOKUP($B56,'[1]INT Web'!$B$5:$AS$247,'[1]INT Web'!$U$1,FALSE)</f>
        <v>24.99</v>
      </c>
      <c r="H56" s="22">
        <f>+VLOOKUP($B56,'[1]INT Web'!$B$5:$AS$247,'[1]INT Web'!$S$1,FALSE)</f>
        <v>33.99</v>
      </c>
      <c r="I56" s="22">
        <f>+VLOOKUP($B56,'[1]INT Web'!$B$5:$AS$247,'[1]INT Web'!$T$1,FALSE)</f>
        <v>149.99</v>
      </c>
      <c r="J56" s="22">
        <f>+VLOOKUP($B56,'[1]INT Web'!$B$5:$AS$247,'[1]INT Web'!$R$1,FALSE)</f>
        <v>203.99</v>
      </c>
      <c r="K56" s="185">
        <f t="shared" si="5"/>
        <v>6.0020008003201291</v>
      </c>
      <c r="L56" s="185">
        <f t="shared" si="5"/>
        <v>6.0014710208884967</v>
      </c>
      <c r="M56" s="185">
        <f t="shared" si="6"/>
        <v>1.3601440576230495</v>
      </c>
      <c r="N56" s="186">
        <v>0.57384999999999997</v>
      </c>
      <c r="O56" s="187">
        <f t="shared" si="7"/>
        <v>14.340511499999998</v>
      </c>
      <c r="P56" s="187">
        <f t="shared" si="7"/>
        <v>19.5051615</v>
      </c>
      <c r="Q56" s="187">
        <f t="shared" si="7"/>
        <v>86.071761499999994</v>
      </c>
      <c r="R56" s="187">
        <f t="shared" si="7"/>
        <v>117.0596615</v>
      </c>
      <c r="S56" s="6">
        <v>0</v>
      </c>
      <c r="T56" s="104">
        <f t="shared" si="24"/>
        <v>24.99</v>
      </c>
      <c r="U56" s="187">
        <f t="shared" si="8"/>
        <v>14.340511499999998</v>
      </c>
      <c r="V56" s="188">
        <f t="shared" si="9"/>
        <v>0</v>
      </c>
      <c r="W56" s="189">
        <f t="shared" si="10"/>
        <v>0</v>
      </c>
      <c r="X56" s="104">
        <f t="shared" si="25"/>
        <v>33.99</v>
      </c>
      <c r="Y56" s="187">
        <f t="shared" si="11"/>
        <v>19.5051615</v>
      </c>
      <c r="Z56" s="188">
        <f t="shared" si="12"/>
        <v>0</v>
      </c>
      <c r="AA56" s="189">
        <f t="shared" si="13"/>
        <v>0</v>
      </c>
      <c r="AB56" s="185">
        <f t="shared" si="14"/>
        <v>1.3601440576230495</v>
      </c>
      <c r="AC56" s="104">
        <f t="shared" si="26"/>
        <v>149.99</v>
      </c>
      <c r="AD56" s="187">
        <f t="shared" si="15"/>
        <v>86.071761499999994</v>
      </c>
      <c r="AE56" s="188">
        <f t="shared" si="16"/>
        <v>0</v>
      </c>
      <c r="AF56" s="189">
        <f t="shared" si="17"/>
        <v>0</v>
      </c>
      <c r="AG56" s="185">
        <f t="shared" si="18"/>
        <v>6.0020008003201291</v>
      </c>
      <c r="AH56" s="104">
        <f t="shared" si="27"/>
        <v>203.99</v>
      </c>
      <c r="AI56" s="187">
        <f t="shared" si="19"/>
        <v>117.0596615</v>
      </c>
      <c r="AJ56" s="188">
        <f t="shared" si="20"/>
        <v>0</v>
      </c>
      <c r="AK56" s="189">
        <f t="shared" si="21"/>
        <v>0</v>
      </c>
      <c r="AL56" s="185">
        <f t="shared" si="22"/>
        <v>6.0014710208884967</v>
      </c>
      <c r="AM56" s="6" t="str">
        <f t="shared" si="28"/>
        <v>30% Off SL / Annual</v>
      </c>
      <c r="AN56" s="6" t="str">
        <f t="shared" si="29"/>
        <v>15% Off All SKUs</v>
      </c>
      <c r="AO56" s="6" t="str">
        <f t="shared" si="23"/>
        <v>Monthly: 100% Off Next Month</v>
      </c>
      <c r="AP56" s="6" t="str">
        <f t="shared" si="30"/>
        <v>50% Off SL / Annual</v>
      </c>
    </row>
    <row r="57" spans="2:42" ht="13">
      <c r="B57" s="20" t="s">
        <v>125</v>
      </c>
      <c r="C57" s="20" t="s">
        <v>96</v>
      </c>
      <c r="D57" s="6" t="s">
        <v>478</v>
      </c>
      <c r="E57" s="6" t="str">
        <f>IF(VLOOKUP(B57,'[7]FY25 PRICING'!$B$5:$AL$246,'[7]FY25 PRICING'!$E$1,FALSE)=0,"","x")</f>
        <v/>
      </c>
      <c r="F57" s="11" t="str">
        <f>+VLOOKUP($B57,'[1]INT Web'!$B$5:$AS$247,'[1]INT Web'!$Q$1,FALSE)</f>
        <v>CRC</v>
      </c>
      <c r="G57" s="22">
        <f>+VLOOKUP($B57,'[1]INT Web'!$B$5:$AS$247,'[1]INT Web'!$U$1,FALSE)</f>
        <v>10000</v>
      </c>
      <c r="H57" s="22">
        <f>+VLOOKUP($B57,'[1]INT Web'!$B$5:$AS$247,'[1]INT Web'!$S$1,FALSE)</f>
        <v>13000</v>
      </c>
      <c r="I57" s="22">
        <f>+VLOOKUP($B57,'[1]INT Web'!$B$5:$AS$247,'[1]INT Web'!$T$1,FALSE)</f>
        <v>60000</v>
      </c>
      <c r="J57" s="22">
        <f>+VLOOKUP($B57,'[1]INT Web'!$B$5:$AS$247,'[1]INT Web'!$R$1,FALSE)</f>
        <v>78000</v>
      </c>
      <c r="K57" s="185">
        <f t="shared" si="5"/>
        <v>6</v>
      </c>
      <c r="L57" s="185">
        <f t="shared" si="5"/>
        <v>6</v>
      </c>
      <c r="M57" s="185">
        <f t="shared" si="6"/>
        <v>1.3</v>
      </c>
      <c r="N57" s="186">
        <v>2.1978023000000001E-3</v>
      </c>
      <c r="O57" s="187">
        <f t="shared" si="7"/>
        <v>21.978023</v>
      </c>
      <c r="P57" s="187">
        <f t="shared" si="7"/>
        <v>28.571429900000002</v>
      </c>
      <c r="Q57" s="187">
        <f t="shared" si="7"/>
        <v>131.86813800000002</v>
      </c>
      <c r="R57" s="187">
        <f t="shared" si="7"/>
        <v>171.42857940000002</v>
      </c>
      <c r="S57" s="6" t="s">
        <v>485</v>
      </c>
      <c r="T57" s="104">
        <f t="shared" si="24"/>
        <v>10000</v>
      </c>
      <c r="U57" s="187">
        <f t="shared" si="8"/>
        <v>21.978023</v>
      </c>
      <c r="V57" s="188">
        <f t="shared" si="9"/>
        <v>0</v>
      </c>
      <c r="W57" s="189">
        <f t="shared" si="10"/>
        <v>0</v>
      </c>
      <c r="X57" s="104">
        <f t="shared" si="25"/>
        <v>13000</v>
      </c>
      <c r="Y57" s="187">
        <f t="shared" si="11"/>
        <v>28.571429900000002</v>
      </c>
      <c r="Z57" s="188">
        <f t="shared" si="12"/>
        <v>0</v>
      </c>
      <c r="AA57" s="189">
        <f t="shared" si="13"/>
        <v>0</v>
      </c>
      <c r="AB57" s="185">
        <f t="shared" si="14"/>
        <v>1.3</v>
      </c>
      <c r="AC57" s="104">
        <f t="shared" si="26"/>
        <v>60000</v>
      </c>
      <c r="AD57" s="187">
        <f t="shared" si="15"/>
        <v>131.86813800000002</v>
      </c>
      <c r="AE57" s="188">
        <f t="shared" si="16"/>
        <v>0</v>
      </c>
      <c r="AF57" s="189">
        <f t="shared" si="17"/>
        <v>0</v>
      </c>
      <c r="AG57" s="185">
        <f t="shared" si="18"/>
        <v>6</v>
      </c>
      <c r="AH57" s="104">
        <f t="shared" si="27"/>
        <v>78000</v>
      </c>
      <c r="AI57" s="187">
        <f t="shared" si="19"/>
        <v>171.42857940000002</v>
      </c>
      <c r="AJ57" s="188">
        <f t="shared" si="20"/>
        <v>0</v>
      </c>
      <c r="AK57" s="189">
        <f t="shared" si="21"/>
        <v>0</v>
      </c>
      <c r="AL57" s="185">
        <f t="shared" si="22"/>
        <v>6</v>
      </c>
      <c r="AM57" s="6" t="str">
        <f t="shared" si="28"/>
        <v>30% Off SL / Annual</v>
      </c>
      <c r="AN57" s="6" t="str">
        <f t="shared" si="29"/>
        <v>Messaging Only</v>
      </c>
      <c r="AO57" s="6" t="str">
        <f t="shared" si="23"/>
        <v>Messaging / Pause Flow</v>
      </c>
      <c r="AP57" s="6" t="str">
        <f t="shared" si="30"/>
        <v>50% Off LPP Only</v>
      </c>
    </row>
    <row r="58" spans="2:42" ht="13">
      <c r="B58" s="20" t="s">
        <v>126</v>
      </c>
      <c r="C58" s="20" t="s">
        <v>270</v>
      </c>
      <c r="D58" s="6"/>
      <c r="E58" s="6" t="str">
        <f>IF(VLOOKUP(B58,'[7]FY25 PRICING'!$B$5:$AL$246,'[7]FY25 PRICING'!$E$1,FALSE)=0,"","x")</f>
        <v/>
      </c>
      <c r="F58" s="11" t="str">
        <f>+VLOOKUP($B58,'[1]INT Web'!$B$5:$AS$247,'[1]INT Web'!$Q$1,FALSE)</f>
        <v>XOF</v>
      </c>
      <c r="G58" s="136">
        <f>+VLOOKUP($B58,'[1]INT Web'!$B$5:$AS$247,'[1]INT Web'!$U$1,FALSE)</f>
        <v>5500</v>
      </c>
      <c r="H58" s="136">
        <f>+VLOOKUP($B58,'[1]INT Web'!$B$5:$AS$247,'[1]INT Web'!$S$1,FALSE)</f>
        <v>7430</v>
      </c>
      <c r="I58" s="22">
        <f>+VLOOKUP($B58,'[1]INT Web'!$B$5:$AS$247,'[1]INT Web'!$T$1,FALSE)</f>
        <v>33000</v>
      </c>
      <c r="J58" s="22">
        <f>+VLOOKUP($B58,'[1]INT Web'!$B$5:$AS$247,'[1]INT Web'!$R$1,FALSE)</f>
        <v>44580</v>
      </c>
      <c r="K58" s="185">
        <f t="shared" si="5"/>
        <v>6</v>
      </c>
      <c r="L58" s="185">
        <f t="shared" si="5"/>
        <v>6</v>
      </c>
      <c r="M58" s="185">
        <f t="shared" si="6"/>
        <v>1.3509090909090908</v>
      </c>
      <c r="N58" s="186">
        <v>1.7485141000000001E-3</v>
      </c>
      <c r="O58" s="187">
        <f t="shared" si="7"/>
        <v>9.61682755</v>
      </c>
      <c r="P58" s="187">
        <f t="shared" si="7"/>
        <v>12.991459763</v>
      </c>
      <c r="Q58" s="187">
        <f t="shared" si="7"/>
        <v>57.7009653</v>
      </c>
      <c r="R58" s="187">
        <f t="shared" si="7"/>
        <v>77.94875857800001</v>
      </c>
      <c r="S58" s="6" t="s">
        <v>485</v>
      </c>
      <c r="T58" s="104">
        <f t="shared" si="24"/>
        <v>5500</v>
      </c>
      <c r="U58" s="187">
        <f t="shared" si="8"/>
        <v>9.61682755</v>
      </c>
      <c r="V58" s="188">
        <f t="shared" si="9"/>
        <v>0</v>
      </c>
      <c r="W58" s="189">
        <f t="shared" si="10"/>
        <v>0</v>
      </c>
      <c r="X58" s="104">
        <f t="shared" si="25"/>
        <v>7430</v>
      </c>
      <c r="Y58" s="187">
        <f t="shared" si="11"/>
        <v>12.991459763</v>
      </c>
      <c r="Z58" s="188">
        <f t="shared" si="12"/>
        <v>0</v>
      </c>
      <c r="AA58" s="189">
        <f t="shared" si="13"/>
        <v>0</v>
      </c>
      <c r="AB58" s="185">
        <f t="shared" si="14"/>
        <v>1.3509090909090908</v>
      </c>
      <c r="AC58" s="104">
        <f t="shared" si="26"/>
        <v>33000</v>
      </c>
      <c r="AD58" s="187">
        <f t="shared" si="15"/>
        <v>57.7009653</v>
      </c>
      <c r="AE58" s="188">
        <f t="shared" si="16"/>
        <v>0</v>
      </c>
      <c r="AF58" s="189">
        <f t="shared" si="17"/>
        <v>0</v>
      </c>
      <c r="AG58" s="185">
        <f t="shared" si="18"/>
        <v>6</v>
      </c>
      <c r="AH58" s="104">
        <f t="shared" si="27"/>
        <v>44580</v>
      </c>
      <c r="AI58" s="187">
        <f t="shared" si="19"/>
        <v>77.94875857800001</v>
      </c>
      <c r="AJ58" s="188">
        <f t="shared" si="20"/>
        <v>0</v>
      </c>
      <c r="AK58" s="189">
        <f t="shared" si="21"/>
        <v>0</v>
      </c>
      <c r="AL58" s="185">
        <f t="shared" si="22"/>
        <v>6</v>
      </c>
      <c r="AM58" s="6" t="str">
        <f t="shared" si="28"/>
        <v>30% Off SL / Annual</v>
      </c>
      <c r="AN58" s="6" t="str">
        <f t="shared" si="29"/>
        <v>Messaging Only</v>
      </c>
      <c r="AO58" s="6" t="str">
        <f t="shared" si="23"/>
        <v>Messaging / Pause Flow</v>
      </c>
      <c r="AP58" s="6" t="str">
        <f t="shared" si="30"/>
        <v>50% Off LPP Only</v>
      </c>
    </row>
    <row r="59" spans="2:42" ht="13">
      <c r="B59" s="20" t="s">
        <v>127</v>
      </c>
      <c r="C59" s="20" t="s">
        <v>100</v>
      </c>
      <c r="D59" s="6" t="s">
        <v>478</v>
      </c>
      <c r="E59" s="6" t="str">
        <f>IF(VLOOKUP(B59,'[7]FY25 PRICING'!$B$5:$AL$246,'[7]FY25 PRICING'!$E$1,FALSE)=0,"","x")</f>
        <v/>
      </c>
      <c r="F59" s="11" t="str">
        <f>+VLOOKUP($B59,'[1]INT Web'!$B$5:$AS$247,'[1]INT Web'!$Q$1,FALSE)</f>
        <v>EUR</v>
      </c>
      <c r="G59" s="22">
        <f>+VLOOKUP($B59,'[1]INT Web'!$B$5:$AS$247,'[1]INT Web'!$U$1,FALSE)</f>
        <v>11.99</v>
      </c>
      <c r="H59" s="22">
        <f>+VLOOKUP($B59,'[1]INT Web'!$B$5:$AS$247,'[1]INT Web'!$S$1,FALSE)</f>
        <v>17.989999999999998</v>
      </c>
      <c r="I59" s="22">
        <f>+VLOOKUP($B59,'[1]INT Web'!$B$5:$AS$247,'[1]INT Web'!$T$1,FALSE)</f>
        <v>71.989999999999995</v>
      </c>
      <c r="J59" s="22">
        <f>+VLOOKUP($B59,'[1]INT Web'!$B$5:$AS$247,'[1]INT Web'!$R$1,FALSE)</f>
        <v>107.99</v>
      </c>
      <c r="K59" s="185">
        <f t="shared" si="5"/>
        <v>6.0041701417848206</v>
      </c>
      <c r="L59" s="185">
        <f t="shared" si="5"/>
        <v>6.0027793218454697</v>
      </c>
      <c r="M59" s="185">
        <f t="shared" si="6"/>
        <v>1.5004170141784818</v>
      </c>
      <c r="N59" s="186">
        <v>1.1469499999999999</v>
      </c>
      <c r="O59" s="187">
        <f t="shared" si="7"/>
        <v>13.751930499999999</v>
      </c>
      <c r="P59" s="187">
        <f t="shared" si="7"/>
        <v>20.633630499999995</v>
      </c>
      <c r="Q59" s="187">
        <f t="shared" si="7"/>
        <v>82.568930499999993</v>
      </c>
      <c r="R59" s="187">
        <f t="shared" si="7"/>
        <v>123.85913049999998</v>
      </c>
      <c r="S59" s="6" t="s">
        <v>485</v>
      </c>
      <c r="T59" s="104">
        <f t="shared" si="24"/>
        <v>11.99</v>
      </c>
      <c r="U59" s="187">
        <f t="shared" si="8"/>
        <v>13.751930499999999</v>
      </c>
      <c r="V59" s="188">
        <f t="shared" si="9"/>
        <v>0</v>
      </c>
      <c r="W59" s="189">
        <f t="shared" si="10"/>
        <v>0</v>
      </c>
      <c r="X59" s="104">
        <f t="shared" si="25"/>
        <v>17.989999999999998</v>
      </c>
      <c r="Y59" s="187">
        <f t="shared" si="11"/>
        <v>20.633630499999995</v>
      </c>
      <c r="Z59" s="188">
        <f t="shared" si="12"/>
        <v>0</v>
      </c>
      <c r="AA59" s="189">
        <f t="shared" si="13"/>
        <v>0</v>
      </c>
      <c r="AB59" s="185">
        <f t="shared" si="14"/>
        <v>1.5004170141784818</v>
      </c>
      <c r="AC59" s="104">
        <f t="shared" si="26"/>
        <v>71.989999999999995</v>
      </c>
      <c r="AD59" s="187">
        <f t="shared" si="15"/>
        <v>82.568930499999993</v>
      </c>
      <c r="AE59" s="188">
        <f t="shared" si="16"/>
        <v>0</v>
      </c>
      <c r="AF59" s="189">
        <f t="shared" si="17"/>
        <v>0</v>
      </c>
      <c r="AG59" s="185">
        <f t="shared" si="18"/>
        <v>6.0041701417848206</v>
      </c>
      <c r="AH59" s="104">
        <f t="shared" si="27"/>
        <v>107.99</v>
      </c>
      <c r="AI59" s="187">
        <f t="shared" si="19"/>
        <v>123.85913049999998</v>
      </c>
      <c r="AJ59" s="188">
        <f t="shared" si="20"/>
        <v>0</v>
      </c>
      <c r="AK59" s="189">
        <f t="shared" si="21"/>
        <v>0</v>
      </c>
      <c r="AL59" s="185">
        <f t="shared" si="22"/>
        <v>6.0027793218454697</v>
      </c>
      <c r="AM59" s="6" t="str">
        <f t="shared" si="28"/>
        <v>30% Off SL / Annual</v>
      </c>
      <c r="AN59" s="6" t="str">
        <f t="shared" si="29"/>
        <v>Messaging Only</v>
      </c>
      <c r="AO59" s="6" t="str">
        <f t="shared" si="23"/>
        <v>Messaging / Pause Flow</v>
      </c>
      <c r="AP59" s="6" t="str">
        <f t="shared" si="30"/>
        <v>50% Off LPP Only</v>
      </c>
    </row>
    <row r="60" spans="2:42" ht="13">
      <c r="B60" s="20" t="s">
        <v>128</v>
      </c>
      <c r="C60" s="20" t="s">
        <v>96</v>
      </c>
      <c r="D60" s="6"/>
      <c r="E60" s="6" t="str">
        <f>IF(VLOOKUP(B60,'[7]FY25 PRICING'!$B$5:$AL$246,'[7]FY25 PRICING'!$E$1,FALSE)=0,"","x")</f>
        <v/>
      </c>
      <c r="F60" s="11" t="str">
        <f>+VLOOKUP($B60,'[1]INT Web'!$B$5:$AS$247,'[1]INT Web'!$Q$1,FALSE)</f>
        <v>ANG</v>
      </c>
      <c r="G60" s="22">
        <f>+VLOOKUP($B60,'[1]INT Web'!$B$5:$AS$247,'[1]INT Web'!$U$1,FALSE)</f>
        <v>20.99</v>
      </c>
      <c r="H60" s="22">
        <f>+VLOOKUP($B60,'[1]INT Web'!$B$5:$AS$247,'[1]INT Web'!$S$1,FALSE)</f>
        <v>27.99</v>
      </c>
      <c r="I60" s="22">
        <f>+VLOOKUP($B60,'[1]INT Web'!$B$5:$AS$247,'[1]INT Web'!$T$1,FALSE)</f>
        <v>125.99</v>
      </c>
      <c r="J60" s="22">
        <f>+VLOOKUP($B60,'[1]INT Web'!$B$5:$AS$247,'[1]INT Web'!$R$1,FALSE)</f>
        <v>167.99</v>
      </c>
      <c r="K60" s="185">
        <f t="shared" si="5"/>
        <v>6.0023820867079563</v>
      </c>
      <c r="L60" s="185">
        <f t="shared" si="5"/>
        <v>6.0017863522686676</v>
      </c>
      <c r="M60" s="185">
        <f t="shared" si="6"/>
        <v>1.3334921391138637</v>
      </c>
      <c r="N60" s="186">
        <v>0.55865925999999999</v>
      </c>
      <c r="O60" s="187">
        <f t="shared" si="7"/>
        <v>11.726257867399999</v>
      </c>
      <c r="P60" s="187">
        <f t="shared" si="7"/>
        <v>15.636872687399999</v>
      </c>
      <c r="Q60" s="187">
        <f t="shared" si="7"/>
        <v>70.38548016739999</v>
      </c>
      <c r="R60" s="187">
        <f t="shared" si="7"/>
        <v>93.8491690874</v>
      </c>
      <c r="S60" s="6">
        <v>0</v>
      </c>
      <c r="T60" s="104">
        <f t="shared" si="24"/>
        <v>20.99</v>
      </c>
      <c r="U60" s="187">
        <f t="shared" si="8"/>
        <v>11.726257867399999</v>
      </c>
      <c r="V60" s="188">
        <f t="shared" si="9"/>
        <v>0</v>
      </c>
      <c r="W60" s="189">
        <f t="shared" si="10"/>
        <v>0</v>
      </c>
      <c r="X60" s="104">
        <f t="shared" si="25"/>
        <v>27.99</v>
      </c>
      <c r="Y60" s="187">
        <f t="shared" si="11"/>
        <v>15.636872687399999</v>
      </c>
      <c r="Z60" s="188">
        <f t="shared" si="12"/>
        <v>0</v>
      </c>
      <c r="AA60" s="189">
        <f t="shared" si="13"/>
        <v>0</v>
      </c>
      <c r="AB60" s="185">
        <f t="shared" si="14"/>
        <v>1.3334921391138637</v>
      </c>
      <c r="AC60" s="104">
        <f t="shared" si="26"/>
        <v>125.99</v>
      </c>
      <c r="AD60" s="187">
        <f t="shared" si="15"/>
        <v>70.38548016739999</v>
      </c>
      <c r="AE60" s="188">
        <f t="shared" si="16"/>
        <v>0</v>
      </c>
      <c r="AF60" s="189">
        <f t="shared" si="17"/>
        <v>0</v>
      </c>
      <c r="AG60" s="185">
        <f t="shared" si="18"/>
        <v>6.0023820867079563</v>
      </c>
      <c r="AH60" s="104">
        <f t="shared" si="27"/>
        <v>167.99</v>
      </c>
      <c r="AI60" s="187">
        <f t="shared" si="19"/>
        <v>93.8491690874</v>
      </c>
      <c r="AJ60" s="188">
        <f t="shared" si="20"/>
        <v>0</v>
      </c>
      <c r="AK60" s="189">
        <f t="shared" si="21"/>
        <v>0</v>
      </c>
      <c r="AL60" s="185">
        <f t="shared" si="22"/>
        <v>6.0017863522686676</v>
      </c>
      <c r="AM60" s="6" t="str">
        <f t="shared" si="28"/>
        <v>30% Off SL / Annual</v>
      </c>
      <c r="AN60" s="6" t="str">
        <f t="shared" si="29"/>
        <v>15% Off All SKUs</v>
      </c>
      <c r="AO60" s="6" t="str">
        <f t="shared" si="23"/>
        <v>Monthly: 100% Off Next Month</v>
      </c>
      <c r="AP60" s="6" t="str">
        <f t="shared" si="30"/>
        <v>50% Off SL / Annual</v>
      </c>
    </row>
    <row r="61" spans="2:42" ht="13">
      <c r="B61" s="20" t="s">
        <v>129</v>
      </c>
      <c r="C61" s="20" t="s">
        <v>100</v>
      </c>
      <c r="D61" s="6"/>
      <c r="E61" s="6" t="str">
        <f>IF(VLOOKUP(B61,'[7]FY25 PRICING'!$B$5:$AL$246,'[7]FY25 PRICING'!$E$1,FALSE)=0,"","x")</f>
        <v/>
      </c>
      <c r="F61" s="11" t="str">
        <f>+VLOOKUP($B61,'[1]INT Web'!$B$5:$AS$247,'[1]INT Web'!$Q$1,FALSE)</f>
        <v>EUR</v>
      </c>
      <c r="G61" s="22">
        <f>+VLOOKUP($B61,'[1]INT Web'!$B$5:$AS$247,'[1]INT Web'!$U$1,FALSE)</f>
        <v>9.99</v>
      </c>
      <c r="H61" s="22">
        <f>+VLOOKUP($B61,'[1]INT Web'!$B$5:$AS$247,'[1]INT Web'!$S$1,FALSE)</f>
        <v>12.99</v>
      </c>
      <c r="I61" s="22">
        <f>+VLOOKUP($B61,'[1]INT Web'!$B$5:$AS$247,'[1]INT Web'!$T$1,FALSE)</f>
        <v>69.989999999999995</v>
      </c>
      <c r="J61" s="22">
        <f>+VLOOKUP($B61,'[1]INT Web'!$B$5:$AS$247,'[1]INT Web'!$R$1,FALSE)</f>
        <v>89.99</v>
      </c>
      <c r="K61" s="185">
        <f t="shared" si="5"/>
        <v>7.0060060060060056</v>
      </c>
      <c r="L61" s="185">
        <f t="shared" si="5"/>
        <v>6.9276366435719776</v>
      </c>
      <c r="M61" s="185">
        <f t="shared" si="6"/>
        <v>1.3003003003003002</v>
      </c>
      <c r="N61" s="186">
        <v>1.1469499999999999</v>
      </c>
      <c r="O61" s="187">
        <f t="shared" si="7"/>
        <v>11.4580305</v>
      </c>
      <c r="P61" s="187">
        <f t="shared" si="7"/>
        <v>14.898880499999999</v>
      </c>
      <c r="Q61" s="187">
        <f t="shared" si="7"/>
        <v>80.275030499999986</v>
      </c>
      <c r="R61" s="187">
        <f t="shared" si="7"/>
        <v>103.21403049999999</v>
      </c>
      <c r="S61" s="6" t="s">
        <v>486</v>
      </c>
      <c r="T61" s="104">
        <f t="shared" si="24"/>
        <v>9.99</v>
      </c>
      <c r="U61" s="187">
        <f t="shared" si="8"/>
        <v>11.4580305</v>
      </c>
      <c r="V61" s="188">
        <f t="shared" si="9"/>
        <v>0</v>
      </c>
      <c r="W61" s="189">
        <f t="shared" si="10"/>
        <v>0</v>
      </c>
      <c r="X61" s="104">
        <f t="shared" si="25"/>
        <v>12.99</v>
      </c>
      <c r="Y61" s="187">
        <f t="shared" si="11"/>
        <v>14.898880499999999</v>
      </c>
      <c r="Z61" s="188">
        <f t="shared" si="12"/>
        <v>0</v>
      </c>
      <c r="AA61" s="189">
        <f t="shared" si="13"/>
        <v>0</v>
      </c>
      <c r="AB61" s="185">
        <f t="shared" si="14"/>
        <v>1.3003003003003002</v>
      </c>
      <c r="AC61" s="104">
        <f t="shared" si="26"/>
        <v>69.989999999999995</v>
      </c>
      <c r="AD61" s="187">
        <f t="shared" si="15"/>
        <v>80.275030499999986</v>
      </c>
      <c r="AE61" s="188">
        <f t="shared" si="16"/>
        <v>0</v>
      </c>
      <c r="AF61" s="189">
        <f t="shared" si="17"/>
        <v>0</v>
      </c>
      <c r="AG61" s="185">
        <f t="shared" si="18"/>
        <v>7.0060060060060056</v>
      </c>
      <c r="AH61" s="104">
        <f t="shared" si="27"/>
        <v>89.99</v>
      </c>
      <c r="AI61" s="187">
        <f t="shared" si="19"/>
        <v>103.21403049999999</v>
      </c>
      <c r="AJ61" s="188">
        <f t="shared" si="20"/>
        <v>0</v>
      </c>
      <c r="AK61" s="189">
        <f t="shared" si="21"/>
        <v>0</v>
      </c>
      <c r="AL61" s="185">
        <f t="shared" si="22"/>
        <v>6.9276366435719776</v>
      </c>
      <c r="AM61" s="6" t="str">
        <f t="shared" si="28"/>
        <v>30% Off SL / Annual</v>
      </c>
      <c r="AN61" s="6" t="str">
        <f t="shared" si="29"/>
        <v>Messaging Only</v>
      </c>
      <c r="AO61" s="6" t="str">
        <f t="shared" si="23"/>
        <v>Messaging / Pause Flow</v>
      </c>
      <c r="AP61" s="6" t="str">
        <f t="shared" si="30"/>
        <v>50% Off SL / Annual</v>
      </c>
    </row>
    <row r="62" spans="2:42" ht="13">
      <c r="B62" s="20" t="s">
        <v>130</v>
      </c>
      <c r="C62" s="20" t="s">
        <v>100</v>
      </c>
      <c r="D62" s="6" t="s">
        <v>478</v>
      </c>
      <c r="E62" s="6" t="str">
        <f>IF(VLOOKUP(B62,'[7]FY25 PRICING'!$B$5:$AL$246,'[7]FY25 PRICING'!$E$1,FALSE)=0,"","x")</f>
        <v/>
      </c>
      <c r="F62" s="11" t="str">
        <f>+VLOOKUP($B62,'[1]INT Web'!$B$5:$AS$247,'[1]INT Web'!$Q$1,FALSE)</f>
        <v>CZK</v>
      </c>
      <c r="G62" s="22">
        <f>+VLOOKUP($B62,'[1]INT Web'!$B$5:$AS$247,'[1]INT Web'!$U$1,FALSE)</f>
        <v>399.99</v>
      </c>
      <c r="H62" s="22">
        <f>+VLOOKUP($B62,'[1]INT Web'!$B$5:$AS$247,'[1]INT Web'!$S$1,FALSE)</f>
        <v>549.99</v>
      </c>
      <c r="I62" s="22">
        <f>+VLOOKUP($B62,'[1]INT Web'!$B$5:$AS$247,'[1]INT Web'!$T$1,FALSE)</f>
        <v>2399.9899999999998</v>
      </c>
      <c r="J62" s="22">
        <f>+VLOOKUP($B62,'[1]INT Web'!$B$5:$AS$247,'[1]INT Web'!$R$1,FALSE)</f>
        <v>3599.99</v>
      </c>
      <c r="K62" s="185">
        <f t="shared" si="5"/>
        <v>6.0001250031250777</v>
      </c>
      <c r="L62" s="185">
        <f t="shared" si="5"/>
        <v>6.545555373734067</v>
      </c>
      <c r="M62" s="185">
        <f t="shared" si="6"/>
        <v>1.3750093752343808</v>
      </c>
      <c r="N62" s="186">
        <v>4.7424941999999998E-2</v>
      </c>
      <c r="O62" s="187">
        <f t="shared" si="7"/>
        <v>18.96950255058</v>
      </c>
      <c r="P62" s="187">
        <f t="shared" si="7"/>
        <v>26.083243850580001</v>
      </c>
      <c r="Q62" s="187">
        <f t="shared" si="7"/>
        <v>113.81938655057998</v>
      </c>
      <c r="R62" s="187">
        <f t="shared" si="7"/>
        <v>170.72931695057997</v>
      </c>
      <c r="S62" s="6" t="s">
        <v>485</v>
      </c>
      <c r="T62" s="104">
        <f t="shared" si="24"/>
        <v>399.99</v>
      </c>
      <c r="U62" s="187">
        <f t="shared" si="8"/>
        <v>18.96950255058</v>
      </c>
      <c r="V62" s="188">
        <f t="shared" si="9"/>
        <v>0</v>
      </c>
      <c r="W62" s="189">
        <f t="shared" si="10"/>
        <v>0</v>
      </c>
      <c r="X62" s="104">
        <f t="shared" si="25"/>
        <v>549.99</v>
      </c>
      <c r="Y62" s="187">
        <f t="shared" si="11"/>
        <v>26.083243850580001</v>
      </c>
      <c r="Z62" s="188">
        <f t="shared" si="12"/>
        <v>0</v>
      </c>
      <c r="AA62" s="189">
        <f t="shared" si="13"/>
        <v>0</v>
      </c>
      <c r="AB62" s="185">
        <f t="shared" si="14"/>
        <v>1.3750093752343808</v>
      </c>
      <c r="AC62" s="104">
        <f t="shared" si="26"/>
        <v>2399.9899999999998</v>
      </c>
      <c r="AD62" s="187">
        <f t="shared" si="15"/>
        <v>113.81938655057998</v>
      </c>
      <c r="AE62" s="188">
        <f t="shared" si="16"/>
        <v>0</v>
      </c>
      <c r="AF62" s="189">
        <f t="shared" si="17"/>
        <v>0</v>
      </c>
      <c r="AG62" s="185">
        <f t="shared" si="18"/>
        <v>6.0001250031250777</v>
      </c>
      <c r="AH62" s="104">
        <f t="shared" si="27"/>
        <v>3599.99</v>
      </c>
      <c r="AI62" s="187">
        <f t="shared" si="19"/>
        <v>170.72931695057997</v>
      </c>
      <c r="AJ62" s="188">
        <f t="shared" si="20"/>
        <v>0</v>
      </c>
      <c r="AK62" s="189">
        <f t="shared" si="21"/>
        <v>0</v>
      </c>
      <c r="AL62" s="185">
        <f t="shared" si="22"/>
        <v>6.545555373734067</v>
      </c>
      <c r="AM62" s="6" t="str">
        <f t="shared" si="28"/>
        <v>30% Off SL / Annual</v>
      </c>
      <c r="AN62" s="6" t="str">
        <f t="shared" si="29"/>
        <v>Messaging Only</v>
      </c>
      <c r="AO62" s="6" t="str">
        <f t="shared" si="23"/>
        <v>Messaging / Pause Flow</v>
      </c>
      <c r="AP62" s="6" t="str">
        <f t="shared" si="30"/>
        <v>50% Off LPP Only</v>
      </c>
    </row>
    <row r="63" spans="2:42" ht="13">
      <c r="B63" s="20" t="s">
        <v>131</v>
      </c>
      <c r="C63" s="20" t="s">
        <v>270</v>
      </c>
      <c r="D63" s="6"/>
      <c r="E63" s="6" t="str">
        <f>IF(VLOOKUP(B63,'[7]FY25 PRICING'!$B$5:$AL$246,'[7]FY25 PRICING'!$E$1,FALSE)=0,"","x")</f>
        <v/>
      </c>
      <c r="F63" s="11" t="str">
        <f>+VLOOKUP($B63,'[1]INT Web'!$B$5:$AS$247,'[1]INT Web'!$Q$1,FALSE)</f>
        <v>USD</v>
      </c>
      <c r="G63" s="22">
        <f>+VLOOKUP($B63,'[1]INT Web'!$B$5:$AS$247,'[1]INT Web'!$U$1,FALSE)</f>
        <v>8.99</v>
      </c>
      <c r="H63" s="22">
        <f>+VLOOKUP($B63,'[1]INT Web'!$B$5:$AS$247,'[1]INT Web'!$S$1,FALSE)</f>
        <v>11.99</v>
      </c>
      <c r="I63" s="22">
        <f>+VLOOKUP($B63,'[1]INT Web'!$B$5:$AS$247,'[1]INT Web'!$T$1,FALSE)</f>
        <v>53.99</v>
      </c>
      <c r="J63" s="22">
        <f>+VLOOKUP($B63,'[1]INT Web'!$B$5:$AS$247,'[1]INT Web'!$R$1,FALSE)</f>
        <v>71.989999999999995</v>
      </c>
      <c r="K63" s="185">
        <f t="shared" si="5"/>
        <v>6.0055617352614012</v>
      </c>
      <c r="L63" s="185">
        <f t="shared" si="5"/>
        <v>6.0041701417848206</v>
      </c>
      <c r="M63" s="185">
        <f t="shared" si="6"/>
        <v>1.3337041156840934</v>
      </c>
      <c r="N63" s="186">
        <v>1</v>
      </c>
      <c r="O63" s="187">
        <f t="shared" si="7"/>
        <v>8.99</v>
      </c>
      <c r="P63" s="187">
        <f t="shared" si="7"/>
        <v>11.99</v>
      </c>
      <c r="Q63" s="187">
        <f t="shared" si="7"/>
        <v>53.99</v>
      </c>
      <c r="R63" s="187">
        <f t="shared" si="7"/>
        <v>71.989999999999995</v>
      </c>
      <c r="S63" s="6">
        <v>0</v>
      </c>
      <c r="T63" s="104">
        <f t="shared" si="24"/>
        <v>8.99</v>
      </c>
      <c r="U63" s="187">
        <f t="shared" si="8"/>
        <v>8.99</v>
      </c>
      <c r="V63" s="188">
        <f t="shared" si="9"/>
        <v>0</v>
      </c>
      <c r="W63" s="189">
        <f t="shared" si="10"/>
        <v>0</v>
      </c>
      <c r="X63" s="104">
        <f t="shared" si="25"/>
        <v>11.99</v>
      </c>
      <c r="Y63" s="187">
        <f t="shared" si="11"/>
        <v>11.99</v>
      </c>
      <c r="Z63" s="188">
        <f t="shared" si="12"/>
        <v>0</v>
      </c>
      <c r="AA63" s="189">
        <f t="shared" si="13"/>
        <v>0</v>
      </c>
      <c r="AB63" s="185">
        <f t="shared" si="14"/>
        <v>1.3337041156840934</v>
      </c>
      <c r="AC63" s="104">
        <f t="shared" si="26"/>
        <v>53.99</v>
      </c>
      <c r="AD63" s="187">
        <f t="shared" si="15"/>
        <v>53.99</v>
      </c>
      <c r="AE63" s="188">
        <f t="shared" si="16"/>
        <v>0</v>
      </c>
      <c r="AF63" s="189">
        <f t="shared" si="17"/>
        <v>0</v>
      </c>
      <c r="AG63" s="185">
        <f t="shared" si="18"/>
        <v>6.0055617352614012</v>
      </c>
      <c r="AH63" s="104">
        <f t="shared" si="27"/>
        <v>71.989999999999995</v>
      </c>
      <c r="AI63" s="187">
        <f t="shared" si="19"/>
        <v>71.989999999999995</v>
      </c>
      <c r="AJ63" s="188">
        <f t="shared" si="20"/>
        <v>0</v>
      </c>
      <c r="AK63" s="189">
        <f t="shared" si="21"/>
        <v>0</v>
      </c>
      <c r="AL63" s="185">
        <f t="shared" si="22"/>
        <v>6.0041701417848206</v>
      </c>
      <c r="AM63" s="6" t="str">
        <f t="shared" si="28"/>
        <v>30% Off SL / Annual</v>
      </c>
      <c r="AN63" s="6" t="str">
        <f t="shared" si="29"/>
        <v>15% Off All SKUs</v>
      </c>
      <c r="AO63" s="6" t="str">
        <f t="shared" si="23"/>
        <v>Monthly: 100% Off Next Month</v>
      </c>
      <c r="AP63" s="6" t="str">
        <f t="shared" si="30"/>
        <v>50% Off SL / Annual</v>
      </c>
    </row>
    <row r="64" spans="2:42" ht="13">
      <c r="B64" s="20" t="s">
        <v>132</v>
      </c>
      <c r="C64" s="20" t="s">
        <v>100</v>
      </c>
      <c r="D64" s="6" t="s">
        <v>478</v>
      </c>
      <c r="F64" s="11" t="str">
        <f>+VLOOKUP($B64,'[1]INT Web'!$B$5:$AS$247,'[1]INT Web'!$Q$1,FALSE)</f>
        <v>DKK</v>
      </c>
      <c r="G64" s="22">
        <f>+VLOOKUP($B64,'[1]INT Web'!$B$5:$AS$247,'[1]INT Web'!$U$1,FALSE)</f>
        <v>139.99</v>
      </c>
      <c r="H64" s="22">
        <f>+VLOOKUP($B64,'[1]INT Web'!$B$5:$AS$247,'[1]INT Web'!$S$1,FALSE)</f>
        <v>199.99</v>
      </c>
      <c r="I64" s="22">
        <f>+VLOOKUP($B64,'[1]INT Web'!$B$5:$AS$247,'[1]INT Web'!$T$1,FALSE)</f>
        <v>899.99</v>
      </c>
      <c r="J64" s="22">
        <f>+VLOOKUP($B64,'[1]INT Web'!$B$5:$AS$247,'[1]INT Web'!$R$1,FALSE)</f>
        <v>1299.99</v>
      </c>
      <c r="K64" s="185">
        <f t="shared" si="5"/>
        <v>6.4289592113722405</v>
      </c>
      <c r="L64" s="185">
        <f t="shared" si="5"/>
        <v>6.5002750137506871</v>
      </c>
      <c r="M64" s="185">
        <f t="shared" si="6"/>
        <v>1.4286020430030717</v>
      </c>
      <c r="N64" s="186">
        <v>0.15343896000000001</v>
      </c>
      <c r="O64" s="187">
        <f t="shared" si="7"/>
        <v>21.479920010400004</v>
      </c>
      <c r="P64" s="187">
        <f t="shared" si="7"/>
        <v>30.686257610400006</v>
      </c>
      <c r="Q64" s="187">
        <f t="shared" si="7"/>
        <v>138.09352961040003</v>
      </c>
      <c r="R64" s="187">
        <f t="shared" si="7"/>
        <v>199.46911361040003</v>
      </c>
      <c r="S64" s="6" t="s">
        <v>485</v>
      </c>
      <c r="T64" s="104">
        <f t="shared" si="24"/>
        <v>139.99</v>
      </c>
      <c r="U64" s="187">
        <f t="shared" si="8"/>
        <v>21.479920010400004</v>
      </c>
      <c r="V64" s="188">
        <f t="shared" si="9"/>
        <v>0</v>
      </c>
      <c r="W64" s="189">
        <f t="shared" si="10"/>
        <v>0</v>
      </c>
      <c r="X64" s="104">
        <f t="shared" si="25"/>
        <v>199.99</v>
      </c>
      <c r="Y64" s="187">
        <f t="shared" si="11"/>
        <v>30.686257610400006</v>
      </c>
      <c r="Z64" s="188">
        <f t="shared" si="12"/>
        <v>0</v>
      </c>
      <c r="AA64" s="189">
        <f t="shared" si="13"/>
        <v>0</v>
      </c>
      <c r="AB64" s="185">
        <f t="shared" si="14"/>
        <v>1.4286020430030717</v>
      </c>
      <c r="AC64" s="104">
        <f t="shared" si="26"/>
        <v>899.99</v>
      </c>
      <c r="AD64" s="187">
        <f t="shared" si="15"/>
        <v>138.09352961040003</v>
      </c>
      <c r="AE64" s="188">
        <f t="shared" si="16"/>
        <v>0</v>
      </c>
      <c r="AF64" s="189">
        <f t="shared" si="17"/>
        <v>0</v>
      </c>
      <c r="AG64" s="185">
        <f t="shared" si="18"/>
        <v>6.4289592113722405</v>
      </c>
      <c r="AH64" s="104">
        <f t="shared" si="27"/>
        <v>1299.99</v>
      </c>
      <c r="AI64" s="187">
        <f t="shared" si="19"/>
        <v>199.46911361040003</v>
      </c>
      <c r="AJ64" s="188">
        <f t="shared" si="20"/>
        <v>0</v>
      </c>
      <c r="AK64" s="189">
        <f t="shared" si="21"/>
        <v>0</v>
      </c>
      <c r="AL64" s="185">
        <f t="shared" si="22"/>
        <v>6.5002750137506871</v>
      </c>
      <c r="AM64" s="6" t="str">
        <f t="shared" si="28"/>
        <v>30% Off SL / Annual</v>
      </c>
      <c r="AN64" s="6" t="str">
        <f t="shared" si="29"/>
        <v>Messaging Only</v>
      </c>
      <c r="AO64" s="6" t="str">
        <f t="shared" si="23"/>
        <v>Messaging / Pause Flow</v>
      </c>
      <c r="AP64" s="6" t="str">
        <f t="shared" si="30"/>
        <v>50% Off LPP Only</v>
      </c>
    </row>
    <row r="65" spans="2:42" ht="13">
      <c r="B65" s="20" t="s">
        <v>133</v>
      </c>
      <c r="C65" s="20" t="s">
        <v>270</v>
      </c>
      <c r="D65" s="6"/>
      <c r="E65" s="6" t="str">
        <f>IF(VLOOKUP(B65,'[7]FY25 PRICING'!$B$5:$AL$246,'[7]FY25 PRICING'!$E$1,FALSE)=0,"","x")</f>
        <v/>
      </c>
      <c r="F65" s="11" t="str">
        <f>+VLOOKUP($B65,'[1]INT Web'!$B$5:$AS$247,'[1]INT Web'!$Q$1,FALSE)</f>
        <v>DJF</v>
      </c>
      <c r="G65" s="136">
        <f>+VLOOKUP($B65,'[1]INT Web'!$B$5:$AS$247,'[1]INT Web'!$U$1,FALSE)</f>
        <v>1300</v>
      </c>
      <c r="H65" s="136">
        <f>+VLOOKUP($B65,'[1]INT Web'!$B$5:$AS$247,'[1]INT Web'!$S$1,FALSE)</f>
        <v>1760</v>
      </c>
      <c r="I65" s="22">
        <f>+VLOOKUP($B65,'[1]INT Web'!$B$5:$AS$247,'[1]INT Web'!$T$1,FALSE)</f>
        <v>7800</v>
      </c>
      <c r="J65" s="22">
        <f>+VLOOKUP($B65,'[1]INT Web'!$B$5:$AS$247,'[1]INT Web'!$R$1,FALSE)</f>
        <v>10560</v>
      </c>
      <c r="K65" s="185">
        <f t="shared" si="5"/>
        <v>6</v>
      </c>
      <c r="L65" s="185">
        <f t="shared" si="5"/>
        <v>6</v>
      </c>
      <c r="M65" s="185">
        <f t="shared" si="6"/>
        <v>1.3538461538461539</v>
      </c>
      <c r="N65" s="186">
        <v>5.6256643000000004E-3</v>
      </c>
      <c r="O65" s="187">
        <f t="shared" si="7"/>
        <v>7.3133635900000007</v>
      </c>
      <c r="P65" s="187">
        <f t="shared" si="7"/>
        <v>9.9011691680000009</v>
      </c>
      <c r="Q65" s="187">
        <f t="shared" si="7"/>
        <v>43.880181540000002</v>
      </c>
      <c r="R65" s="187">
        <f t="shared" si="7"/>
        <v>59.407015008000002</v>
      </c>
      <c r="S65" s="6">
        <v>0</v>
      </c>
      <c r="T65" s="104">
        <f t="shared" si="24"/>
        <v>1300</v>
      </c>
      <c r="U65" s="187">
        <f t="shared" si="8"/>
        <v>7.3133635900000007</v>
      </c>
      <c r="V65" s="188">
        <f t="shared" si="9"/>
        <v>0</v>
      </c>
      <c r="W65" s="189">
        <f t="shared" si="10"/>
        <v>0</v>
      </c>
      <c r="X65" s="104">
        <f t="shared" si="25"/>
        <v>1760</v>
      </c>
      <c r="Y65" s="187">
        <f t="shared" si="11"/>
        <v>9.9011691680000009</v>
      </c>
      <c r="Z65" s="188">
        <f t="shared" si="12"/>
        <v>0</v>
      </c>
      <c r="AA65" s="189">
        <f t="shared" si="13"/>
        <v>0</v>
      </c>
      <c r="AB65" s="185">
        <f t="shared" si="14"/>
        <v>1.3538461538461539</v>
      </c>
      <c r="AC65" s="104">
        <f t="shared" si="26"/>
        <v>7800</v>
      </c>
      <c r="AD65" s="187">
        <f t="shared" si="15"/>
        <v>43.880181540000002</v>
      </c>
      <c r="AE65" s="188">
        <f t="shared" si="16"/>
        <v>0</v>
      </c>
      <c r="AF65" s="189">
        <f t="shared" si="17"/>
        <v>0</v>
      </c>
      <c r="AG65" s="185">
        <f t="shared" si="18"/>
        <v>6</v>
      </c>
      <c r="AH65" s="104">
        <f t="shared" si="27"/>
        <v>10560</v>
      </c>
      <c r="AI65" s="187">
        <f t="shared" si="19"/>
        <v>59.407015008000002</v>
      </c>
      <c r="AJ65" s="188">
        <f t="shared" si="20"/>
        <v>0</v>
      </c>
      <c r="AK65" s="189">
        <f t="shared" si="21"/>
        <v>0</v>
      </c>
      <c r="AL65" s="185">
        <f t="shared" si="22"/>
        <v>6</v>
      </c>
      <c r="AM65" s="6" t="str">
        <f t="shared" si="28"/>
        <v>30% Off SL / Annual</v>
      </c>
      <c r="AN65" s="6" t="str">
        <f t="shared" si="29"/>
        <v>15% Off All SKUs</v>
      </c>
      <c r="AO65" s="6" t="str">
        <f t="shared" si="23"/>
        <v>Monthly: 100% Off Next Month</v>
      </c>
      <c r="AP65" s="6" t="str">
        <f t="shared" si="30"/>
        <v>50% Off SL / Annual</v>
      </c>
    </row>
    <row r="66" spans="2:42" ht="13">
      <c r="B66" s="20" t="s">
        <v>134</v>
      </c>
      <c r="C66" s="20" t="s">
        <v>96</v>
      </c>
      <c r="D66" s="6"/>
      <c r="E66" s="6" t="str">
        <f>IF(VLOOKUP(B66,'[7]FY25 PRICING'!$B$5:$AL$246,'[7]FY25 PRICING'!$E$1,FALSE)=0,"","x")</f>
        <v/>
      </c>
      <c r="F66" s="11" t="str">
        <f>+VLOOKUP($B66,'[1]INT Web'!$B$5:$AS$247,'[1]INT Web'!$Q$1,FALSE)</f>
        <v>XCD</v>
      </c>
      <c r="G66" s="22">
        <f>+VLOOKUP($B66,'[1]INT Web'!$B$5:$AS$247,'[1]INT Web'!$U$1,FALSE)</f>
        <v>37.99</v>
      </c>
      <c r="H66" s="22">
        <f>+VLOOKUP($B66,'[1]INT Web'!$B$5:$AS$247,'[1]INT Web'!$S$1,FALSE)</f>
        <v>50.99</v>
      </c>
      <c r="I66" s="22">
        <f>+VLOOKUP($B66,'[1]INT Web'!$B$5:$AS$247,'[1]INT Web'!$T$1,FALSE)</f>
        <v>227.99</v>
      </c>
      <c r="J66" s="22">
        <f>+VLOOKUP($B66,'[1]INT Web'!$B$5:$AS$247,'[1]INT Web'!$R$1,FALSE)</f>
        <v>305.99</v>
      </c>
      <c r="K66" s="185">
        <f t="shared" si="5"/>
        <v>6.0013161358252169</v>
      </c>
      <c r="L66" s="185">
        <f t="shared" si="5"/>
        <v>6.0009805844283193</v>
      </c>
      <c r="M66" s="185">
        <f t="shared" si="6"/>
        <v>1.3421953145564622</v>
      </c>
      <c r="N66" s="186">
        <v>0.37037036000000001</v>
      </c>
      <c r="O66" s="187">
        <f t="shared" si="7"/>
        <v>14.0703699764</v>
      </c>
      <c r="P66" s="187">
        <f t="shared" si="7"/>
        <v>18.8851846564</v>
      </c>
      <c r="Q66" s="187">
        <f t="shared" si="7"/>
        <v>84.440738376400006</v>
      </c>
      <c r="R66" s="187">
        <f t="shared" si="7"/>
        <v>113.32962645640001</v>
      </c>
      <c r="S66" s="6">
        <v>0</v>
      </c>
      <c r="T66" s="104">
        <f t="shared" si="24"/>
        <v>37.99</v>
      </c>
      <c r="U66" s="187">
        <f t="shared" si="8"/>
        <v>14.0703699764</v>
      </c>
      <c r="V66" s="188">
        <f t="shared" si="9"/>
        <v>0</v>
      </c>
      <c r="W66" s="189">
        <f t="shared" si="10"/>
        <v>0</v>
      </c>
      <c r="X66" s="104">
        <f t="shared" si="25"/>
        <v>50.99</v>
      </c>
      <c r="Y66" s="187">
        <f t="shared" si="11"/>
        <v>18.8851846564</v>
      </c>
      <c r="Z66" s="188">
        <f t="shared" si="12"/>
        <v>0</v>
      </c>
      <c r="AA66" s="189">
        <f t="shared" si="13"/>
        <v>0</v>
      </c>
      <c r="AB66" s="185">
        <f t="shared" si="14"/>
        <v>1.3421953145564622</v>
      </c>
      <c r="AC66" s="104">
        <f t="shared" si="26"/>
        <v>227.99</v>
      </c>
      <c r="AD66" s="187">
        <f t="shared" si="15"/>
        <v>84.440738376400006</v>
      </c>
      <c r="AE66" s="188">
        <f t="shared" si="16"/>
        <v>0</v>
      </c>
      <c r="AF66" s="189">
        <f t="shared" si="17"/>
        <v>0</v>
      </c>
      <c r="AG66" s="185">
        <f t="shared" si="18"/>
        <v>6.0013161358252169</v>
      </c>
      <c r="AH66" s="104">
        <f t="shared" si="27"/>
        <v>305.99</v>
      </c>
      <c r="AI66" s="187">
        <f t="shared" si="19"/>
        <v>113.32962645640001</v>
      </c>
      <c r="AJ66" s="188">
        <f t="shared" si="20"/>
        <v>0</v>
      </c>
      <c r="AK66" s="189">
        <f t="shared" si="21"/>
        <v>0</v>
      </c>
      <c r="AL66" s="185">
        <f t="shared" si="22"/>
        <v>6.0009805844283193</v>
      </c>
      <c r="AM66" s="6" t="str">
        <f t="shared" si="28"/>
        <v>30% Off SL / Annual</v>
      </c>
      <c r="AN66" s="6" t="str">
        <f t="shared" si="29"/>
        <v>15% Off All SKUs</v>
      </c>
      <c r="AO66" s="6" t="str">
        <f t="shared" si="23"/>
        <v>Monthly: 100% Off Next Month</v>
      </c>
      <c r="AP66" s="6" t="str">
        <f t="shared" si="30"/>
        <v>50% Off SL / Annual</v>
      </c>
    </row>
    <row r="67" spans="2:42" ht="13">
      <c r="B67" s="20" t="s">
        <v>135</v>
      </c>
      <c r="C67" s="20" t="s">
        <v>96</v>
      </c>
      <c r="D67" s="6" t="s">
        <v>478</v>
      </c>
      <c r="E67" s="6" t="s">
        <v>490</v>
      </c>
      <c r="F67" s="11" t="str">
        <f>+VLOOKUP($B67,'[1]INT Web'!$B$5:$AS$247,'[1]INT Web'!$Q$1,FALSE)</f>
        <v>DOP</v>
      </c>
      <c r="G67" s="22">
        <f>+VLOOKUP($B67,'[1]INT Web'!$B$5:$AS$247,'[1]INT Web'!$U$1,FALSE)</f>
        <v>869.99</v>
      </c>
      <c r="H67" s="22">
        <f>+VLOOKUP($B67,'[1]INT Web'!$B$5:$AS$247,'[1]INT Web'!$S$1,FALSE)</f>
        <v>1249.99</v>
      </c>
      <c r="I67" s="22">
        <f>+VLOOKUP($B67,'[1]INT Web'!$B$5:$AS$247,'[1]INT Web'!$T$1,FALSE)</f>
        <v>5219.99</v>
      </c>
      <c r="J67" s="22">
        <f>+VLOOKUP($B67,'[1]INT Web'!$B$5:$AS$247,'[1]INT Web'!$R$1,FALSE)</f>
        <v>7499.99</v>
      </c>
      <c r="K67" s="185">
        <f t="shared" si="5"/>
        <v>6.000057471924964</v>
      </c>
      <c r="L67" s="185">
        <f t="shared" si="5"/>
        <v>6.0000400003200021</v>
      </c>
      <c r="M67" s="185">
        <f t="shared" si="6"/>
        <v>1.4367866297313763</v>
      </c>
      <c r="N67" s="186">
        <v>1.7105713000000002E-2</v>
      </c>
      <c r="O67" s="187">
        <f t="shared" si="7"/>
        <v>14.881799252870001</v>
      </c>
      <c r="P67" s="187">
        <f t="shared" si="7"/>
        <v>21.381970192870003</v>
      </c>
      <c r="Q67" s="187">
        <f t="shared" si="7"/>
        <v>89.291650802870009</v>
      </c>
      <c r="R67" s="187">
        <f t="shared" si="7"/>
        <v>128.29267644287</v>
      </c>
      <c r="S67" s="194" t="s">
        <v>477</v>
      </c>
      <c r="T67" s="104">
        <f t="shared" si="24"/>
        <v>869.99</v>
      </c>
      <c r="U67" s="187">
        <f t="shared" si="8"/>
        <v>14.881799252870001</v>
      </c>
      <c r="V67" s="188">
        <f t="shared" si="9"/>
        <v>0</v>
      </c>
      <c r="W67" s="189">
        <f t="shared" si="10"/>
        <v>0</v>
      </c>
      <c r="X67" s="104">
        <f t="shared" si="25"/>
        <v>1249.99</v>
      </c>
      <c r="Y67" s="187">
        <f t="shared" si="11"/>
        <v>21.381970192870003</v>
      </c>
      <c r="Z67" s="188">
        <f t="shared" si="12"/>
        <v>0</v>
      </c>
      <c r="AA67" s="189">
        <f t="shared" si="13"/>
        <v>0</v>
      </c>
      <c r="AB67" s="185">
        <f t="shared" si="14"/>
        <v>1.4367866297313763</v>
      </c>
      <c r="AC67" s="104">
        <f t="shared" si="26"/>
        <v>5219.99</v>
      </c>
      <c r="AD67" s="187">
        <f t="shared" si="15"/>
        <v>89.291650802870009</v>
      </c>
      <c r="AE67" s="188">
        <f t="shared" si="16"/>
        <v>0</v>
      </c>
      <c r="AF67" s="189">
        <f t="shared" si="17"/>
        <v>0</v>
      </c>
      <c r="AG67" s="185">
        <f t="shared" si="18"/>
        <v>6.000057471924964</v>
      </c>
      <c r="AH67" s="104">
        <f t="shared" si="27"/>
        <v>7499.99</v>
      </c>
      <c r="AI67" s="187">
        <f t="shared" si="19"/>
        <v>128.29267644287</v>
      </c>
      <c r="AJ67" s="188">
        <f t="shared" si="20"/>
        <v>0</v>
      </c>
      <c r="AK67" s="189">
        <f t="shared" si="21"/>
        <v>0</v>
      </c>
      <c r="AL67" s="185">
        <f t="shared" si="22"/>
        <v>6.0000400003200021</v>
      </c>
      <c r="AM67" s="6" t="str">
        <f t="shared" si="28"/>
        <v>30% Off SL / Annual</v>
      </c>
      <c r="AN67" s="6" t="str">
        <f t="shared" si="29"/>
        <v>15% Off All SKUs</v>
      </c>
      <c r="AO67" s="6" t="str">
        <f t="shared" si="23"/>
        <v>Monthly: 100% Off Next Month</v>
      </c>
      <c r="AP67" s="6" t="str">
        <f t="shared" si="30"/>
        <v>50% Off SL / Annual</v>
      </c>
    </row>
    <row r="68" spans="2:42" ht="13">
      <c r="B68" s="20" t="s">
        <v>136</v>
      </c>
      <c r="C68" s="20" t="s">
        <v>96</v>
      </c>
      <c r="D68" s="6"/>
      <c r="E68" s="6" t="str">
        <f>IF(VLOOKUP(B68,'[7]FY25 PRICING'!$B$5:$AL$246,'[7]FY25 PRICING'!$E$1,FALSE)=0,"","x")</f>
        <v/>
      </c>
      <c r="F68" s="11" t="str">
        <f>+VLOOKUP($B68,'[1]INT Web'!$B$5:$AS$247,'[1]INT Web'!$Q$1,FALSE)</f>
        <v>USD</v>
      </c>
      <c r="G68" s="22">
        <f>+VLOOKUP($B68,'[1]INT Web'!$B$5:$AS$247,'[1]INT Web'!$U$1,FALSE)</f>
        <v>11.99</v>
      </c>
      <c r="H68" s="22">
        <f>+VLOOKUP($B68,'[1]INT Web'!$B$5:$AS$247,'[1]INT Web'!$S$1,FALSE)</f>
        <v>16.989999999999998</v>
      </c>
      <c r="I68" s="22">
        <f>+VLOOKUP($B68,'[1]INT Web'!$B$5:$AS$247,'[1]INT Web'!$T$1,FALSE)</f>
        <v>71.989999999999995</v>
      </c>
      <c r="J68" s="22">
        <f>+VLOOKUP($B68,'[1]INT Web'!$B$5:$AS$247,'[1]INT Web'!$R$1,FALSE)</f>
        <v>102.99</v>
      </c>
      <c r="K68" s="185">
        <f t="shared" si="5"/>
        <v>6.0041701417848206</v>
      </c>
      <c r="L68" s="185">
        <f t="shared" si="5"/>
        <v>6.0618010594467338</v>
      </c>
      <c r="M68" s="185">
        <f t="shared" si="6"/>
        <v>1.4170141784820682</v>
      </c>
      <c r="N68" s="186">
        <v>1</v>
      </c>
      <c r="O68" s="187">
        <f t="shared" si="7"/>
        <v>11.99</v>
      </c>
      <c r="P68" s="187">
        <f t="shared" si="7"/>
        <v>16.989999999999998</v>
      </c>
      <c r="Q68" s="187">
        <f t="shared" si="7"/>
        <v>71.989999999999995</v>
      </c>
      <c r="R68" s="187">
        <f t="shared" ref="R68:R131" si="31">+J68*$N68</f>
        <v>102.99</v>
      </c>
      <c r="S68" s="6" t="s">
        <v>484</v>
      </c>
      <c r="T68" s="104">
        <f t="shared" si="24"/>
        <v>11.99</v>
      </c>
      <c r="U68" s="187">
        <f t="shared" si="8"/>
        <v>11.99</v>
      </c>
      <c r="V68" s="188">
        <f t="shared" si="9"/>
        <v>0</v>
      </c>
      <c r="W68" s="189">
        <f t="shared" si="10"/>
        <v>0</v>
      </c>
      <c r="X68" s="104">
        <f t="shared" si="25"/>
        <v>16.989999999999998</v>
      </c>
      <c r="Y68" s="187">
        <f t="shared" si="11"/>
        <v>16.989999999999998</v>
      </c>
      <c r="Z68" s="188">
        <f t="shared" si="12"/>
        <v>0</v>
      </c>
      <c r="AA68" s="189">
        <f t="shared" si="13"/>
        <v>0</v>
      </c>
      <c r="AB68" s="185">
        <f t="shared" si="14"/>
        <v>1.4170141784820682</v>
      </c>
      <c r="AC68" s="104">
        <f t="shared" si="26"/>
        <v>71.989999999999995</v>
      </c>
      <c r="AD68" s="187">
        <f t="shared" si="15"/>
        <v>71.989999999999995</v>
      </c>
      <c r="AE68" s="188">
        <f t="shared" si="16"/>
        <v>0</v>
      </c>
      <c r="AF68" s="189">
        <f t="shared" si="17"/>
        <v>0</v>
      </c>
      <c r="AG68" s="185">
        <f t="shared" si="18"/>
        <v>6.0041701417848206</v>
      </c>
      <c r="AH68" s="104">
        <f t="shared" si="27"/>
        <v>102.99</v>
      </c>
      <c r="AI68" s="187">
        <f t="shared" si="19"/>
        <v>102.99</v>
      </c>
      <c r="AJ68" s="188">
        <f t="shared" si="20"/>
        <v>0</v>
      </c>
      <c r="AK68" s="189">
        <f t="shared" si="21"/>
        <v>0</v>
      </c>
      <c r="AL68" s="185">
        <f t="shared" si="22"/>
        <v>6.0618010594467338</v>
      </c>
      <c r="AM68" s="6" t="str">
        <f t="shared" si="28"/>
        <v>30% Off SL / Annual</v>
      </c>
      <c r="AN68" s="6" t="str">
        <f t="shared" si="29"/>
        <v>Messaging Only</v>
      </c>
      <c r="AO68" s="6" t="str">
        <f t="shared" si="23"/>
        <v>Messaging / Pause Flow</v>
      </c>
      <c r="AP68" s="6" t="str">
        <f t="shared" si="30"/>
        <v>50% Off LPP Only</v>
      </c>
    </row>
    <row r="69" spans="2:42" ht="13">
      <c r="B69" s="20" t="s">
        <v>137</v>
      </c>
      <c r="C69" s="20" t="s">
        <v>270</v>
      </c>
      <c r="D69" s="6"/>
      <c r="E69" s="6" t="str">
        <f>IF(VLOOKUP(B69,'[7]FY25 PRICING'!$B$5:$AL$246,'[7]FY25 PRICING'!$E$1,FALSE)=0,"","x")</f>
        <v/>
      </c>
      <c r="F69" s="11" t="str">
        <f>+VLOOKUP($B69,'[1]INT Web'!$B$5:$AS$247,'[1]INT Web'!$Q$1,FALSE)</f>
        <v>EGP</v>
      </c>
      <c r="G69" s="22">
        <f>+VLOOKUP($B69,'[1]INT Web'!$B$5:$AS$247,'[1]INT Web'!$U$1,FALSE)</f>
        <v>259</v>
      </c>
      <c r="H69" s="22">
        <f>+VLOOKUP($B69,'[1]INT Web'!$B$5:$AS$247,'[1]INT Web'!$S$1,FALSE)</f>
        <v>399</v>
      </c>
      <c r="I69" s="22">
        <f>+VLOOKUP($B69,'[1]INT Web'!$B$5:$AS$247,'[1]INT Web'!$T$1,FALSE)</f>
        <v>1569</v>
      </c>
      <c r="J69" s="22">
        <f>+VLOOKUP($B69,'[1]INT Web'!$B$5:$AS$247,'[1]INT Web'!$R$1,FALSE)</f>
        <v>2359</v>
      </c>
      <c r="K69" s="185">
        <f t="shared" ref="K69:L132" si="32">+I69/G69</f>
        <v>6.057915057915058</v>
      </c>
      <c r="L69" s="185">
        <f t="shared" si="32"/>
        <v>5.9122807017543861</v>
      </c>
      <c r="M69" s="185">
        <f t="shared" ref="M69:M132" si="33">+H69/G69</f>
        <v>1.5405405405405406</v>
      </c>
      <c r="N69" s="186">
        <v>2.0032052000000002E-2</v>
      </c>
      <c r="O69" s="187">
        <f t="shared" ref="O69:R132" si="34">+G69*$N69</f>
        <v>5.1883014680000006</v>
      </c>
      <c r="P69" s="187">
        <f t="shared" si="34"/>
        <v>7.9927887480000006</v>
      </c>
      <c r="Q69" s="187">
        <f t="shared" si="34"/>
        <v>31.430289588000001</v>
      </c>
      <c r="R69" s="187">
        <f t="shared" si="31"/>
        <v>47.255610668000003</v>
      </c>
      <c r="S69" s="6" t="s">
        <v>486</v>
      </c>
      <c r="T69" s="104">
        <f t="shared" si="24"/>
        <v>259</v>
      </c>
      <c r="U69" s="187">
        <f t="shared" ref="U69:U132" si="35">+T69*$N69</f>
        <v>5.1883014680000006</v>
      </c>
      <c r="V69" s="188">
        <f t="shared" ref="V69:V132" si="36">+IF(T69=0,"",T69-G69)</f>
        <v>0</v>
      </c>
      <c r="W69" s="189">
        <f t="shared" ref="W69:W132" si="37">+IF(T69=0,"",T69/G69-1)</f>
        <v>0</v>
      </c>
      <c r="X69" s="104">
        <f t="shared" si="25"/>
        <v>399</v>
      </c>
      <c r="Y69" s="187">
        <f t="shared" ref="Y69:Y132" si="38">+X69*$N69</f>
        <v>7.9927887480000006</v>
      </c>
      <c r="Z69" s="188">
        <f t="shared" ref="Z69:Z132" si="39">+IF(X69=0,"",X69-H69)</f>
        <v>0</v>
      </c>
      <c r="AA69" s="189">
        <f t="shared" ref="AA69:AA132" si="40">+IF(X69=0,"",X69/H69-1)</f>
        <v>0</v>
      </c>
      <c r="AB69" s="185">
        <f t="shared" ref="AB69:AB132" si="41">+IFERROR(X69/T69,"")</f>
        <v>1.5405405405405406</v>
      </c>
      <c r="AC69" s="104">
        <f t="shared" si="26"/>
        <v>1569</v>
      </c>
      <c r="AD69" s="187">
        <f t="shared" ref="AD69:AD132" si="42">+AC69*$N69</f>
        <v>31.430289588000001</v>
      </c>
      <c r="AE69" s="188">
        <f t="shared" ref="AE69:AE132" si="43">+IF(AC69=0,"",AC69-I69)</f>
        <v>0</v>
      </c>
      <c r="AF69" s="189">
        <f t="shared" ref="AF69:AF132" si="44">+IF(AC69=0,"",AC69/I69-1)</f>
        <v>0</v>
      </c>
      <c r="AG69" s="185">
        <f t="shared" ref="AG69:AG132" si="45">+IFERROR(AC69/T69,"")</f>
        <v>6.057915057915058</v>
      </c>
      <c r="AH69" s="104">
        <f t="shared" si="27"/>
        <v>2359</v>
      </c>
      <c r="AI69" s="187">
        <f t="shared" ref="AI69:AI132" si="46">+AH69*$N69</f>
        <v>47.255610668000003</v>
      </c>
      <c r="AJ69" s="188">
        <f t="shared" ref="AJ69:AJ132" si="47">+IF(AH69=0,"",AH69-J69)</f>
        <v>0</v>
      </c>
      <c r="AK69" s="189">
        <f t="shared" ref="AK69:AK132" si="48">+IF(AH69=0,"",AH69/J69-1)</f>
        <v>0</v>
      </c>
      <c r="AL69" s="185">
        <f t="shared" ref="AL69:AL132" si="49">+IFERROR(AH69/X69,"")</f>
        <v>5.9122807017543861</v>
      </c>
      <c r="AM69" s="6" t="str">
        <f t="shared" si="28"/>
        <v>30% Off SL / Annual</v>
      </c>
      <c r="AN69" s="6" t="str">
        <f t="shared" si="29"/>
        <v>Messaging Only</v>
      </c>
      <c r="AO69" s="6" t="str">
        <f t="shared" ref="AO69:AO132" si="50">+IF(AN69="15% Off All SKUs", "Monthly: 100% Off Next Month","Messaging / Pause Flow")</f>
        <v>Messaging / Pause Flow</v>
      </c>
      <c r="AP69" s="6" t="str">
        <f t="shared" si="30"/>
        <v>50% Off SL / Annual</v>
      </c>
    </row>
    <row r="70" spans="2:42" ht="13">
      <c r="B70" s="20" t="s">
        <v>138</v>
      </c>
      <c r="C70" s="20" t="s">
        <v>96</v>
      </c>
      <c r="D70" s="6"/>
      <c r="E70" s="6" t="str">
        <f>IF(VLOOKUP(B70,'[7]FY25 PRICING'!$B$5:$AL$246,'[7]FY25 PRICING'!$E$1,FALSE)=0,"","x")</f>
        <v/>
      </c>
      <c r="F70" s="11" t="str">
        <f>+VLOOKUP($B70,'[1]INT Web'!$B$5:$AS$247,'[1]INT Web'!$Q$1,FALSE)</f>
        <v>USD</v>
      </c>
      <c r="G70" s="22">
        <f>+VLOOKUP($B70,'[1]INT Web'!$B$5:$AS$247,'[1]INT Web'!$U$1,FALSE)</f>
        <v>10.99</v>
      </c>
      <c r="H70" s="22">
        <f>+VLOOKUP($B70,'[1]INT Web'!$B$5:$AS$247,'[1]INT Web'!$S$1,FALSE)</f>
        <v>15.99</v>
      </c>
      <c r="I70" s="22">
        <f>+VLOOKUP($B70,'[1]INT Web'!$B$5:$AS$247,'[1]INT Web'!$T$1,FALSE)</f>
        <v>65.989999999999995</v>
      </c>
      <c r="J70" s="22">
        <f>+VLOOKUP($B70,'[1]INT Web'!$B$5:$AS$247,'[1]INT Web'!$R$1,FALSE)</f>
        <v>96.99</v>
      </c>
      <c r="K70" s="185">
        <f t="shared" si="32"/>
        <v>6.0045495905368513</v>
      </c>
      <c r="L70" s="185">
        <f t="shared" si="32"/>
        <v>6.0656660412757972</v>
      </c>
      <c r="M70" s="185">
        <f t="shared" si="33"/>
        <v>1.4549590536851684</v>
      </c>
      <c r="N70" s="186">
        <v>1</v>
      </c>
      <c r="O70" s="187">
        <f t="shared" si="34"/>
        <v>10.99</v>
      </c>
      <c r="P70" s="187">
        <f t="shared" si="34"/>
        <v>15.99</v>
      </c>
      <c r="Q70" s="187">
        <f t="shared" si="34"/>
        <v>65.989999999999995</v>
      </c>
      <c r="R70" s="187">
        <f t="shared" si="31"/>
        <v>96.99</v>
      </c>
      <c r="S70" s="6" t="s">
        <v>484</v>
      </c>
      <c r="T70" s="104">
        <f t="shared" ref="T70:T133" si="51">+IF(AND($S70&lt;&gt;"PML",$S70&lt;&gt;"EVP"),G70,"EVALUATE")</f>
        <v>10.99</v>
      </c>
      <c r="U70" s="187">
        <f t="shared" si="35"/>
        <v>10.99</v>
      </c>
      <c r="V70" s="188">
        <f t="shared" si="36"/>
        <v>0</v>
      </c>
      <c r="W70" s="189">
        <f t="shared" si="37"/>
        <v>0</v>
      </c>
      <c r="X70" s="104">
        <f t="shared" ref="X70:X133" si="52">+IF(AND($S70&lt;&gt;"PML",$S70&lt;&gt;"EVP"),H70,"EVALUATE")</f>
        <v>15.99</v>
      </c>
      <c r="Y70" s="187">
        <f t="shared" si="38"/>
        <v>15.99</v>
      </c>
      <c r="Z70" s="188">
        <f t="shared" si="39"/>
        <v>0</v>
      </c>
      <c r="AA70" s="189">
        <f t="shared" si="40"/>
        <v>0</v>
      </c>
      <c r="AB70" s="185">
        <f t="shared" si="41"/>
        <v>1.4549590536851684</v>
      </c>
      <c r="AC70" s="104">
        <f t="shared" ref="AC70:AC133" si="53">+IF(AND($S70&lt;&gt;"PML",$S70&lt;&gt;"EVP"),I70,"EVALUATE")</f>
        <v>65.989999999999995</v>
      </c>
      <c r="AD70" s="187">
        <f t="shared" si="42"/>
        <v>65.989999999999995</v>
      </c>
      <c r="AE70" s="188">
        <f t="shared" si="43"/>
        <v>0</v>
      </c>
      <c r="AF70" s="189">
        <f t="shared" si="44"/>
        <v>0</v>
      </c>
      <c r="AG70" s="185">
        <f t="shared" si="45"/>
        <v>6.0045495905368513</v>
      </c>
      <c r="AH70" s="104">
        <f t="shared" ref="AH70:AH133" si="54">+IF(AND($S70&lt;&gt;"PML",$S70&lt;&gt;"EVP"),J70,"EVALUATE")</f>
        <v>96.99</v>
      </c>
      <c r="AI70" s="187">
        <f t="shared" si="46"/>
        <v>96.99</v>
      </c>
      <c r="AJ70" s="188">
        <f t="shared" si="47"/>
        <v>0</v>
      </c>
      <c r="AK70" s="189">
        <f t="shared" si="48"/>
        <v>0</v>
      </c>
      <c r="AL70" s="185">
        <f t="shared" si="49"/>
        <v>6.0656660412757972</v>
      </c>
      <c r="AM70" s="6" t="str">
        <f t="shared" ref="AM70:AM133" si="55">+IF($S70="PML","No Intro Offer","30% Off SL / Annual")</f>
        <v>30% Off SL / Annual</v>
      </c>
      <c r="AN70" s="6" t="str">
        <f t="shared" ref="AN70:AN133" si="56">+IF(OR($S70="EVP",$S70="SA",$S70=0),"15% Off All SKUs","Messaging Only")</f>
        <v>Messaging Only</v>
      </c>
      <c r="AO70" s="6" t="str">
        <f t="shared" si="50"/>
        <v>Messaging / Pause Flow</v>
      </c>
      <c r="AP70" s="6" t="str">
        <f t="shared" ref="AP70:AP133" si="57">+IF(OR($S70="SVO",$S70="EVP",$S70="SA",$S70=0),"50% Off SL / Annual","50% Off LPP Only")</f>
        <v>50% Off LPP Only</v>
      </c>
    </row>
    <row r="71" spans="2:42" ht="13">
      <c r="B71" s="20" t="s">
        <v>139</v>
      </c>
      <c r="C71" s="20" t="s">
        <v>270</v>
      </c>
      <c r="D71" s="6"/>
      <c r="E71" s="6" t="str">
        <f>IF(VLOOKUP(B71,'[7]FY25 PRICING'!$B$5:$AL$246,'[7]FY25 PRICING'!$E$1,FALSE)=0,"","x")</f>
        <v/>
      </c>
      <c r="F71" s="11" t="str">
        <f>+VLOOKUP($B71,'[1]INT Web'!$B$5:$AS$247,'[1]INT Web'!$Q$1,FALSE)</f>
        <v>XAF</v>
      </c>
      <c r="G71" s="136">
        <f>+VLOOKUP($B71,'[1]INT Web'!$B$5:$AS$247,'[1]INT Web'!$U$1,FALSE)</f>
        <v>4200</v>
      </c>
      <c r="H71" s="136">
        <f>+VLOOKUP($B71,'[1]INT Web'!$B$5:$AS$247,'[1]INT Web'!$S$1,FALSE)</f>
        <v>5670</v>
      </c>
      <c r="I71" s="22">
        <f>+VLOOKUP($B71,'[1]INT Web'!$B$5:$AS$247,'[1]INT Web'!$T$1,FALSE)</f>
        <v>25200</v>
      </c>
      <c r="J71" s="22">
        <f>+VLOOKUP($B71,'[1]INT Web'!$B$5:$AS$247,'[1]INT Web'!$R$1,FALSE)</f>
        <v>34020</v>
      </c>
      <c r="K71" s="185">
        <f t="shared" si="32"/>
        <v>6</v>
      </c>
      <c r="L71" s="185">
        <f t="shared" si="32"/>
        <v>6</v>
      </c>
      <c r="M71" s="185">
        <f t="shared" si="33"/>
        <v>1.35</v>
      </c>
      <c r="N71" s="186">
        <v>1.7485141000000001E-3</v>
      </c>
      <c r="O71" s="187">
        <f t="shared" si="34"/>
        <v>7.3437592200000008</v>
      </c>
      <c r="P71" s="187">
        <f t="shared" si="34"/>
        <v>9.9140749470000014</v>
      </c>
      <c r="Q71" s="187">
        <f t="shared" si="34"/>
        <v>44.062555320000001</v>
      </c>
      <c r="R71" s="187">
        <f t="shared" si="31"/>
        <v>59.484449682000005</v>
      </c>
      <c r="S71" s="6">
        <v>0</v>
      </c>
      <c r="T71" s="104">
        <f t="shared" si="51"/>
        <v>4200</v>
      </c>
      <c r="U71" s="187">
        <f t="shared" si="35"/>
        <v>7.3437592200000008</v>
      </c>
      <c r="V71" s="188">
        <f t="shared" si="36"/>
        <v>0</v>
      </c>
      <c r="W71" s="189">
        <f t="shared" si="37"/>
        <v>0</v>
      </c>
      <c r="X71" s="104">
        <f t="shared" si="52"/>
        <v>5670</v>
      </c>
      <c r="Y71" s="187">
        <f t="shared" si="38"/>
        <v>9.9140749470000014</v>
      </c>
      <c r="Z71" s="188">
        <f t="shared" si="39"/>
        <v>0</v>
      </c>
      <c r="AA71" s="189">
        <f t="shared" si="40"/>
        <v>0</v>
      </c>
      <c r="AB71" s="185">
        <f t="shared" si="41"/>
        <v>1.35</v>
      </c>
      <c r="AC71" s="104">
        <f t="shared" si="53"/>
        <v>25200</v>
      </c>
      <c r="AD71" s="187">
        <f t="shared" si="42"/>
        <v>44.062555320000001</v>
      </c>
      <c r="AE71" s="188">
        <f t="shared" si="43"/>
        <v>0</v>
      </c>
      <c r="AF71" s="189">
        <f t="shared" si="44"/>
        <v>0</v>
      </c>
      <c r="AG71" s="185">
        <f t="shared" si="45"/>
        <v>6</v>
      </c>
      <c r="AH71" s="104">
        <f t="shared" si="54"/>
        <v>34020</v>
      </c>
      <c r="AI71" s="187">
        <f t="shared" si="46"/>
        <v>59.484449682000005</v>
      </c>
      <c r="AJ71" s="188">
        <f t="shared" si="47"/>
        <v>0</v>
      </c>
      <c r="AK71" s="189">
        <f t="shared" si="48"/>
        <v>0</v>
      </c>
      <c r="AL71" s="185">
        <f t="shared" si="49"/>
        <v>6</v>
      </c>
      <c r="AM71" s="6" t="str">
        <f t="shared" si="55"/>
        <v>30% Off SL / Annual</v>
      </c>
      <c r="AN71" s="6" t="str">
        <f t="shared" si="56"/>
        <v>15% Off All SKUs</v>
      </c>
      <c r="AO71" s="6" t="str">
        <f t="shared" si="50"/>
        <v>Monthly: 100% Off Next Month</v>
      </c>
      <c r="AP71" s="6" t="str">
        <f t="shared" si="57"/>
        <v>50% Off SL / Annual</v>
      </c>
    </row>
    <row r="72" spans="2:42" ht="13">
      <c r="B72" s="20" t="s">
        <v>140</v>
      </c>
      <c r="C72" s="20" t="s">
        <v>270</v>
      </c>
      <c r="D72" s="6"/>
      <c r="E72" s="6" t="str">
        <f>IF(VLOOKUP(B72,'[7]FY25 PRICING'!$B$5:$AL$246,'[7]FY25 PRICING'!$E$1,FALSE)=0,"","x")</f>
        <v/>
      </c>
      <c r="F72" s="11" t="str">
        <f>+VLOOKUP($B72,'[1]INT Web'!$B$5:$AS$247,'[1]INT Web'!$Q$1,FALSE)</f>
        <v>USD</v>
      </c>
      <c r="G72" s="22">
        <f>+VLOOKUP($B72,'[1]INT Web'!$B$5:$AS$247,'[1]INT Web'!$U$1,FALSE)</f>
        <v>8.99</v>
      </c>
      <c r="H72" s="22">
        <f>+VLOOKUP($B72,'[1]INT Web'!$B$5:$AS$247,'[1]INT Web'!$S$1,FALSE)</f>
        <v>11.99</v>
      </c>
      <c r="I72" s="22">
        <f>+VLOOKUP($B72,'[1]INT Web'!$B$5:$AS$247,'[1]INT Web'!$T$1,FALSE)</f>
        <v>53.99</v>
      </c>
      <c r="J72" s="22">
        <f>+VLOOKUP($B72,'[1]INT Web'!$B$5:$AS$247,'[1]INT Web'!$R$1,FALSE)</f>
        <v>71.989999999999995</v>
      </c>
      <c r="K72" s="185">
        <f t="shared" si="32"/>
        <v>6.0055617352614012</v>
      </c>
      <c r="L72" s="185">
        <f t="shared" si="32"/>
        <v>6.0041701417848206</v>
      </c>
      <c r="M72" s="185">
        <f t="shared" si="33"/>
        <v>1.3337041156840934</v>
      </c>
      <c r="N72" s="186">
        <v>1</v>
      </c>
      <c r="O72" s="187">
        <f t="shared" si="34"/>
        <v>8.99</v>
      </c>
      <c r="P72" s="187">
        <f t="shared" si="34"/>
        <v>11.99</v>
      </c>
      <c r="Q72" s="187">
        <f t="shared" si="34"/>
        <v>53.99</v>
      </c>
      <c r="R72" s="187">
        <f t="shared" si="31"/>
        <v>71.989999999999995</v>
      </c>
      <c r="S72" s="6">
        <v>0</v>
      </c>
      <c r="T72" s="104">
        <f t="shared" si="51"/>
        <v>8.99</v>
      </c>
      <c r="U72" s="187">
        <f t="shared" si="35"/>
        <v>8.99</v>
      </c>
      <c r="V72" s="188">
        <f t="shared" si="36"/>
        <v>0</v>
      </c>
      <c r="W72" s="189">
        <f t="shared" si="37"/>
        <v>0</v>
      </c>
      <c r="X72" s="104">
        <f t="shared" si="52"/>
        <v>11.99</v>
      </c>
      <c r="Y72" s="187">
        <f t="shared" si="38"/>
        <v>11.99</v>
      </c>
      <c r="Z72" s="188">
        <f t="shared" si="39"/>
        <v>0</v>
      </c>
      <c r="AA72" s="189">
        <f t="shared" si="40"/>
        <v>0</v>
      </c>
      <c r="AB72" s="185">
        <f t="shared" si="41"/>
        <v>1.3337041156840934</v>
      </c>
      <c r="AC72" s="104">
        <f t="shared" si="53"/>
        <v>53.99</v>
      </c>
      <c r="AD72" s="187">
        <f t="shared" si="42"/>
        <v>53.99</v>
      </c>
      <c r="AE72" s="188">
        <f t="shared" si="43"/>
        <v>0</v>
      </c>
      <c r="AF72" s="189">
        <f t="shared" si="44"/>
        <v>0</v>
      </c>
      <c r="AG72" s="185">
        <f t="shared" si="45"/>
        <v>6.0055617352614012</v>
      </c>
      <c r="AH72" s="104">
        <f t="shared" si="54"/>
        <v>71.989999999999995</v>
      </c>
      <c r="AI72" s="187">
        <f t="shared" si="46"/>
        <v>71.989999999999995</v>
      </c>
      <c r="AJ72" s="188">
        <f t="shared" si="47"/>
        <v>0</v>
      </c>
      <c r="AK72" s="189">
        <f t="shared" si="48"/>
        <v>0</v>
      </c>
      <c r="AL72" s="185">
        <f t="shared" si="49"/>
        <v>6.0041701417848206</v>
      </c>
      <c r="AM72" s="6" t="str">
        <f t="shared" si="55"/>
        <v>30% Off SL / Annual</v>
      </c>
      <c r="AN72" s="6" t="str">
        <f t="shared" si="56"/>
        <v>15% Off All SKUs</v>
      </c>
      <c r="AO72" s="6" t="str">
        <f t="shared" si="50"/>
        <v>Monthly: 100% Off Next Month</v>
      </c>
      <c r="AP72" s="6" t="str">
        <f t="shared" si="57"/>
        <v>50% Off SL / Annual</v>
      </c>
    </row>
    <row r="73" spans="2:42" ht="13">
      <c r="B73" s="20" t="s">
        <v>141</v>
      </c>
      <c r="C73" s="20" t="s">
        <v>100</v>
      </c>
      <c r="D73" s="6"/>
      <c r="E73" s="6" t="str">
        <f>IF(VLOOKUP(B73,'[7]FY25 PRICING'!$B$5:$AL$246,'[7]FY25 PRICING'!$E$1,FALSE)=0,"","x")</f>
        <v/>
      </c>
      <c r="F73" s="11" t="str">
        <f>+VLOOKUP($B73,'[1]INT Web'!$B$5:$AS$247,'[1]INT Web'!$Q$1,FALSE)</f>
        <v>EUR</v>
      </c>
      <c r="G73" s="22">
        <f>+VLOOKUP($B73,'[1]INT Web'!$B$5:$AS$247,'[1]INT Web'!$U$1,FALSE)</f>
        <v>11.99</v>
      </c>
      <c r="H73" s="22">
        <f>+VLOOKUP($B73,'[1]INT Web'!$B$5:$AS$247,'[1]INT Web'!$S$1,FALSE)</f>
        <v>15.99</v>
      </c>
      <c r="I73" s="22">
        <f>+VLOOKUP($B73,'[1]INT Web'!$B$5:$AS$247,'[1]INT Web'!$T$1,FALSE)</f>
        <v>74.989999999999995</v>
      </c>
      <c r="J73" s="22">
        <f>+VLOOKUP($B73,'[1]INT Web'!$B$5:$AS$247,'[1]INT Web'!$R$1,FALSE)</f>
        <v>99.99</v>
      </c>
      <c r="K73" s="185">
        <f t="shared" si="32"/>
        <v>6.2543786488740611</v>
      </c>
      <c r="L73" s="185">
        <f t="shared" si="32"/>
        <v>6.2532833020637897</v>
      </c>
      <c r="M73" s="185">
        <f t="shared" si="33"/>
        <v>1.3336113427856546</v>
      </c>
      <c r="N73" s="186">
        <v>1.1469499999999999</v>
      </c>
      <c r="O73" s="187">
        <f t="shared" si="34"/>
        <v>13.751930499999999</v>
      </c>
      <c r="P73" s="187">
        <f t="shared" si="34"/>
        <v>18.339730499999998</v>
      </c>
      <c r="Q73" s="187">
        <f t="shared" si="34"/>
        <v>86.009780499999991</v>
      </c>
      <c r="R73" s="187">
        <f t="shared" si="31"/>
        <v>114.68353049999999</v>
      </c>
      <c r="S73" s="6" t="s">
        <v>485</v>
      </c>
      <c r="T73" s="104">
        <f t="shared" si="51"/>
        <v>11.99</v>
      </c>
      <c r="U73" s="187">
        <f t="shared" si="35"/>
        <v>13.751930499999999</v>
      </c>
      <c r="V73" s="188">
        <f t="shared" si="36"/>
        <v>0</v>
      </c>
      <c r="W73" s="189">
        <f t="shared" si="37"/>
        <v>0</v>
      </c>
      <c r="X73" s="104">
        <f t="shared" si="52"/>
        <v>15.99</v>
      </c>
      <c r="Y73" s="187">
        <f t="shared" si="38"/>
        <v>18.339730499999998</v>
      </c>
      <c r="Z73" s="188">
        <f t="shared" si="39"/>
        <v>0</v>
      </c>
      <c r="AA73" s="189">
        <f t="shared" si="40"/>
        <v>0</v>
      </c>
      <c r="AB73" s="185">
        <f t="shared" si="41"/>
        <v>1.3336113427856546</v>
      </c>
      <c r="AC73" s="104">
        <f t="shared" si="53"/>
        <v>74.989999999999995</v>
      </c>
      <c r="AD73" s="187">
        <f t="shared" si="42"/>
        <v>86.009780499999991</v>
      </c>
      <c r="AE73" s="188">
        <f t="shared" si="43"/>
        <v>0</v>
      </c>
      <c r="AF73" s="189">
        <f t="shared" si="44"/>
        <v>0</v>
      </c>
      <c r="AG73" s="185">
        <f t="shared" si="45"/>
        <v>6.2543786488740611</v>
      </c>
      <c r="AH73" s="104">
        <f t="shared" si="54"/>
        <v>99.99</v>
      </c>
      <c r="AI73" s="187">
        <f t="shared" si="46"/>
        <v>114.68353049999999</v>
      </c>
      <c r="AJ73" s="188">
        <f t="shared" si="47"/>
        <v>0</v>
      </c>
      <c r="AK73" s="189">
        <f t="shared" si="48"/>
        <v>0</v>
      </c>
      <c r="AL73" s="185">
        <f t="shared" si="49"/>
        <v>6.2532833020637897</v>
      </c>
      <c r="AM73" s="6" t="str">
        <f t="shared" si="55"/>
        <v>30% Off SL / Annual</v>
      </c>
      <c r="AN73" s="6" t="str">
        <f t="shared" si="56"/>
        <v>Messaging Only</v>
      </c>
      <c r="AO73" s="6" t="str">
        <f t="shared" si="50"/>
        <v>Messaging / Pause Flow</v>
      </c>
      <c r="AP73" s="6" t="str">
        <f t="shared" si="57"/>
        <v>50% Off LPP Only</v>
      </c>
    </row>
    <row r="74" spans="2:42" ht="13">
      <c r="B74" s="20" t="s">
        <v>142</v>
      </c>
      <c r="C74" s="20" t="s">
        <v>270</v>
      </c>
      <c r="D74" s="6"/>
      <c r="E74" s="6" t="str">
        <f>IF(VLOOKUP(B74,'[7]FY25 PRICING'!$B$5:$AL$246,'[7]FY25 PRICING'!$E$1,FALSE)=0,"","x")</f>
        <v/>
      </c>
      <c r="F74" s="11" t="str">
        <f>+VLOOKUP($B74,'[1]INT Web'!$B$5:$AS$247,'[1]INT Web'!$Q$1,FALSE)</f>
        <v>SZL</v>
      </c>
      <c r="G74" s="22">
        <f>+VLOOKUP($B74,'[1]INT Web'!$B$5:$AS$247,'[1]INT Web'!$U$1,FALSE)</f>
        <v>159.99</v>
      </c>
      <c r="H74" s="22">
        <f>+VLOOKUP($B74,'[1]INT Web'!$B$5:$AS$247,'[1]INT Web'!$S$1,FALSE)</f>
        <v>215.99</v>
      </c>
      <c r="I74" s="22">
        <f>+VLOOKUP($B74,'[1]INT Web'!$B$5:$AS$247,'[1]INT Web'!$T$1,FALSE)</f>
        <v>959.99</v>
      </c>
      <c r="J74" s="22">
        <f>+VLOOKUP($B74,'[1]INT Web'!$B$5:$AS$247,'[1]INT Web'!$R$1,FALSE)</f>
        <v>1295.99</v>
      </c>
      <c r="K74" s="185">
        <f t="shared" si="32"/>
        <v>6.0003125195324705</v>
      </c>
      <c r="L74" s="185">
        <f t="shared" si="32"/>
        <v>6.0002314921987123</v>
      </c>
      <c r="M74" s="185">
        <f t="shared" si="33"/>
        <v>1.3500218763672729</v>
      </c>
      <c r="N74" s="186">
        <v>6.0781040000000001E-2</v>
      </c>
      <c r="O74" s="187">
        <f t="shared" si="34"/>
        <v>9.7243585896000013</v>
      </c>
      <c r="P74" s="187">
        <f t="shared" si="34"/>
        <v>13.1280968296</v>
      </c>
      <c r="Q74" s="187">
        <f t="shared" si="34"/>
        <v>58.349190589599999</v>
      </c>
      <c r="R74" s="187">
        <f t="shared" si="31"/>
        <v>78.771620029600001</v>
      </c>
      <c r="S74" s="6">
        <v>0</v>
      </c>
      <c r="T74" s="104">
        <f t="shared" si="51"/>
        <v>159.99</v>
      </c>
      <c r="U74" s="187">
        <f t="shared" si="35"/>
        <v>9.7243585896000013</v>
      </c>
      <c r="V74" s="188">
        <f t="shared" si="36"/>
        <v>0</v>
      </c>
      <c r="W74" s="189">
        <f t="shared" si="37"/>
        <v>0</v>
      </c>
      <c r="X74" s="104">
        <f t="shared" si="52"/>
        <v>215.99</v>
      </c>
      <c r="Y74" s="187">
        <f t="shared" si="38"/>
        <v>13.1280968296</v>
      </c>
      <c r="Z74" s="188">
        <f t="shared" si="39"/>
        <v>0</v>
      </c>
      <c r="AA74" s="189">
        <f t="shared" si="40"/>
        <v>0</v>
      </c>
      <c r="AB74" s="185">
        <f t="shared" si="41"/>
        <v>1.3500218763672729</v>
      </c>
      <c r="AC74" s="104">
        <f t="shared" si="53"/>
        <v>959.99</v>
      </c>
      <c r="AD74" s="187">
        <f t="shared" si="42"/>
        <v>58.349190589599999</v>
      </c>
      <c r="AE74" s="188">
        <f t="shared" si="43"/>
        <v>0</v>
      </c>
      <c r="AF74" s="189">
        <f t="shared" si="44"/>
        <v>0</v>
      </c>
      <c r="AG74" s="185">
        <f t="shared" si="45"/>
        <v>6.0003125195324705</v>
      </c>
      <c r="AH74" s="104">
        <f t="shared" si="54"/>
        <v>1295.99</v>
      </c>
      <c r="AI74" s="187">
        <f t="shared" si="46"/>
        <v>78.771620029600001</v>
      </c>
      <c r="AJ74" s="188">
        <f t="shared" si="47"/>
        <v>0</v>
      </c>
      <c r="AK74" s="189">
        <f t="shared" si="48"/>
        <v>0</v>
      </c>
      <c r="AL74" s="185">
        <f t="shared" si="49"/>
        <v>6.0002314921987123</v>
      </c>
      <c r="AM74" s="6" t="str">
        <f t="shared" si="55"/>
        <v>30% Off SL / Annual</v>
      </c>
      <c r="AN74" s="6" t="str">
        <f t="shared" si="56"/>
        <v>15% Off All SKUs</v>
      </c>
      <c r="AO74" s="6" t="str">
        <f t="shared" si="50"/>
        <v>Monthly: 100% Off Next Month</v>
      </c>
      <c r="AP74" s="6" t="str">
        <f t="shared" si="57"/>
        <v>50% Off SL / Annual</v>
      </c>
    </row>
    <row r="75" spans="2:42" ht="13">
      <c r="B75" s="20" t="s">
        <v>143</v>
      </c>
      <c r="C75" s="20" t="s">
        <v>270</v>
      </c>
      <c r="D75" s="6"/>
      <c r="E75" s="6" t="str">
        <f>IF(VLOOKUP(B75,'[7]FY25 PRICING'!$B$5:$AL$246,'[7]FY25 PRICING'!$E$1,FALSE)=0,"","x")</f>
        <v/>
      </c>
      <c r="F75" s="11" t="str">
        <f>+VLOOKUP($B75,'[1]INT Web'!$B$5:$AS$247,'[1]INT Web'!$Q$1,FALSE)</f>
        <v>ETB</v>
      </c>
      <c r="G75" s="22">
        <f>+VLOOKUP($B75,'[1]INT Web'!$B$5:$AS$247,'[1]INT Web'!$U$1,FALSE)</f>
        <v>319.99</v>
      </c>
      <c r="H75" s="22">
        <f>+VLOOKUP($B75,'[1]INT Web'!$B$5:$AS$247,'[1]INT Web'!$S$1,FALSE)</f>
        <v>431.99</v>
      </c>
      <c r="I75" s="22">
        <f>+VLOOKUP($B75,'[1]INT Web'!$B$5:$AS$247,'[1]INT Web'!$T$1,FALSE)</f>
        <v>1919.99</v>
      </c>
      <c r="J75" s="22">
        <f>+VLOOKUP($B75,'[1]INT Web'!$B$5:$AS$247,'[1]INT Web'!$R$1,FALSE)</f>
        <v>2591.9899999999998</v>
      </c>
      <c r="K75" s="185">
        <f t="shared" si="32"/>
        <v>6.000156254882965</v>
      </c>
      <c r="L75" s="185">
        <f t="shared" si="32"/>
        <v>6.0001157434199861</v>
      </c>
      <c r="M75" s="185">
        <f t="shared" si="33"/>
        <v>1.3500109378418075</v>
      </c>
      <c r="N75" s="186">
        <v>6.2928699999999999E-3</v>
      </c>
      <c r="O75" s="187">
        <f t="shared" si="34"/>
        <v>2.0136554712999999</v>
      </c>
      <c r="P75" s="187">
        <f t="shared" si="34"/>
        <v>2.7184569113000001</v>
      </c>
      <c r="Q75" s="187">
        <f t="shared" si="34"/>
        <v>12.082247471300001</v>
      </c>
      <c r="R75" s="187">
        <f t="shared" si="31"/>
        <v>16.311056111299997</v>
      </c>
      <c r="S75" s="6">
        <v>0</v>
      </c>
      <c r="T75" s="104">
        <f t="shared" si="51"/>
        <v>319.99</v>
      </c>
      <c r="U75" s="187">
        <f t="shared" si="35"/>
        <v>2.0136554712999999</v>
      </c>
      <c r="V75" s="188">
        <f t="shared" si="36"/>
        <v>0</v>
      </c>
      <c r="W75" s="189">
        <f t="shared" si="37"/>
        <v>0</v>
      </c>
      <c r="X75" s="104">
        <f t="shared" si="52"/>
        <v>431.99</v>
      </c>
      <c r="Y75" s="187">
        <f t="shared" si="38"/>
        <v>2.7184569113000001</v>
      </c>
      <c r="Z75" s="188">
        <f t="shared" si="39"/>
        <v>0</v>
      </c>
      <c r="AA75" s="189">
        <f t="shared" si="40"/>
        <v>0</v>
      </c>
      <c r="AB75" s="185">
        <f t="shared" si="41"/>
        <v>1.3500109378418075</v>
      </c>
      <c r="AC75" s="104">
        <f t="shared" si="53"/>
        <v>1919.99</v>
      </c>
      <c r="AD75" s="187">
        <f t="shared" si="42"/>
        <v>12.082247471300001</v>
      </c>
      <c r="AE75" s="188">
        <f t="shared" si="43"/>
        <v>0</v>
      </c>
      <c r="AF75" s="189">
        <f t="shared" si="44"/>
        <v>0</v>
      </c>
      <c r="AG75" s="185">
        <f t="shared" si="45"/>
        <v>6.000156254882965</v>
      </c>
      <c r="AH75" s="104">
        <f t="shared" si="54"/>
        <v>2591.9899999999998</v>
      </c>
      <c r="AI75" s="187">
        <f t="shared" si="46"/>
        <v>16.311056111299997</v>
      </c>
      <c r="AJ75" s="188">
        <f t="shared" si="47"/>
        <v>0</v>
      </c>
      <c r="AK75" s="189">
        <f t="shared" si="48"/>
        <v>0</v>
      </c>
      <c r="AL75" s="185">
        <f t="shared" si="49"/>
        <v>6.0001157434199861</v>
      </c>
      <c r="AM75" s="6" t="str">
        <f t="shared" si="55"/>
        <v>30% Off SL / Annual</v>
      </c>
      <c r="AN75" s="6" t="str">
        <f t="shared" si="56"/>
        <v>15% Off All SKUs</v>
      </c>
      <c r="AO75" s="6" t="str">
        <f t="shared" si="50"/>
        <v>Monthly: 100% Off Next Month</v>
      </c>
      <c r="AP75" s="6" t="str">
        <f t="shared" si="57"/>
        <v>50% Off SL / Annual</v>
      </c>
    </row>
    <row r="76" spans="2:42" ht="13">
      <c r="B76" s="20" t="s">
        <v>144</v>
      </c>
      <c r="C76" s="20" t="s">
        <v>96</v>
      </c>
      <c r="D76" s="6"/>
      <c r="E76" s="6" t="str">
        <f>IF(VLOOKUP(B76,'[7]FY25 PRICING'!$B$5:$AL$246,'[7]FY25 PRICING'!$E$1,FALSE)=0,"","x")</f>
        <v/>
      </c>
      <c r="F76" s="11" t="str">
        <f>+VLOOKUP($B76,'[1]INT Web'!$B$5:$AS$247,'[1]INT Web'!$Q$1,FALSE)</f>
        <v>FKP</v>
      </c>
      <c r="G76" s="22">
        <f>+VLOOKUP($B76,'[1]INT Web'!$B$5:$AS$247,'[1]INT Web'!$U$1,FALSE)</f>
        <v>7</v>
      </c>
      <c r="H76" s="22">
        <f>+VLOOKUP($B76,'[1]INT Web'!$B$5:$AS$247,'[1]INT Web'!$S$1,FALSE)</f>
        <v>10</v>
      </c>
      <c r="I76" s="22">
        <f>+VLOOKUP($B76,'[1]INT Web'!$B$5:$AS$247,'[1]INT Web'!$T$1,FALSE)</f>
        <v>50</v>
      </c>
      <c r="J76" s="22">
        <f>+VLOOKUP($B76,'[1]INT Web'!$B$5:$AS$247,'[1]INT Web'!$R$1,FALSE)</f>
        <v>60</v>
      </c>
      <c r="K76" s="185">
        <f t="shared" si="32"/>
        <v>7.1428571428571432</v>
      </c>
      <c r="L76" s="185">
        <f t="shared" si="32"/>
        <v>6</v>
      </c>
      <c r="M76" s="185">
        <f t="shared" si="33"/>
        <v>1.4285714285714286</v>
      </c>
      <c r="N76" s="186">
        <v>1.32355</v>
      </c>
      <c r="O76" s="187">
        <f t="shared" si="34"/>
        <v>9.2648499999999991</v>
      </c>
      <c r="P76" s="187">
        <f t="shared" si="34"/>
        <v>13.2355</v>
      </c>
      <c r="Q76" s="187">
        <f t="shared" si="34"/>
        <v>66.177499999999995</v>
      </c>
      <c r="R76" s="187">
        <f t="shared" si="31"/>
        <v>79.412999999999997</v>
      </c>
      <c r="S76" s="6">
        <v>0</v>
      </c>
      <c r="T76" s="104">
        <f t="shared" si="51"/>
        <v>7</v>
      </c>
      <c r="U76" s="187">
        <f t="shared" si="35"/>
        <v>9.2648499999999991</v>
      </c>
      <c r="V76" s="188">
        <f t="shared" si="36"/>
        <v>0</v>
      </c>
      <c r="W76" s="189">
        <f t="shared" si="37"/>
        <v>0</v>
      </c>
      <c r="X76" s="104">
        <f t="shared" si="52"/>
        <v>10</v>
      </c>
      <c r="Y76" s="187">
        <f t="shared" si="38"/>
        <v>13.2355</v>
      </c>
      <c r="Z76" s="188">
        <f t="shared" si="39"/>
        <v>0</v>
      </c>
      <c r="AA76" s="189">
        <f t="shared" si="40"/>
        <v>0</v>
      </c>
      <c r="AB76" s="185">
        <f t="shared" si="41"/>
        <v>1.4285714285714286</v>
      </c>
      <c r="AC76" s="104">
        <f t="shared" si="53"/>
        <v>50</v>
      </c>
      <c r="AD76" s="187">
        <f t="shared" si="42"/>
        <v>66.177499999999995</v>
      </c>
      <c r="AE76" s="188">
        <f t="shared" si="43"/>
        <v>0</v>
      </c>
      <c r="AF76" s="189">
        <f t="shared" si="44"/>
        <v>0</v>
      </c>
      <c r="AG76" s="185">
        <f t="shared" si="45"/>
        <v>7.1428571428571432</v>
      </c>
      <c r="AH76" s="104">
        <f t="shared" si="54"/>
        <v>60</v>
      </c>
      <c r="AI76" s="187">
        <f t="shared" si="46"/>
        <v>79.412999999999997</v>
      </c>
      <c r="AJ76" s="188">
        <f t="shared" si="47"/>
        <v>0</v>
      </c>
      <c r="AK76" s="189">
        <f t="shared" si="48"/>
        <v>0</v>
      </c>
      <c r="AL76" s="185">
        <f t="shared" si="49"/>
        <v>6</v>
      </c>
      <c r="AM76" s="6" t="str">
        <f t="shared" si="55"/>
        <v>30% Off SL / Annual</v>
      </c>
      <c r="AN76" s="6" t="str">
        <f t="shared" si="56"/>
        <v>15% Off All SKUs</v>
      </c>
      <c r="AO76" s="6" t="str">
        <f t="shared" si="50"/>
        <v>Monthly: 100% Off Next Month</v>
      </c>
      <c r="AP76" s="6" t="str">
        <f t="shared" si="57"/>
        <v>50% Off SL / Annual</v>
      </c>
    </row>
    <row r="77" spans="2:42" ht="13">
      <c r="B77" s="20" t="s">
        <v>145</v>
      </c>
      <c r="C77" s="20" t="s">
        <v>100</v>
      </c>
      <c r="D77" s="6"/>
      <c r="E77" s="6" t="str">
        <f>IF(VLOOKUP(B77,'[7]FY25 PRICING'!$B$5:$AL$246,'[7]FY25 PRICING'!$E$1,FALSE)=0,"","x")</f>
        <v/>
      </c>
      <c r="F77" s="11" t="str">
        <f>+VLOOKUP($B77,'[1]INT Web'!$B$5:$AS$247,'[1]INT Web'!$Q$1,FALSE)</f>
        <v>DKK</v>
      </c>
      <c r="G77" s="22">
        <f>+VLOOKUP($B77,'[1]INT Web'!$B$5:$AS$247,'[1]INT Web'!$U$1,FALSE)</f>
        <v>139.99</v>
      </c>
      <c r="H77" s="22">
        <f>+VLOOKUP($B77,'[1]INT Web'!$B$5:$AS$247,'[1]INT Web'!$S$1,FALSE)</f>
        <v>189.99</v>
      </c>
      <c r="I77" s="22">
        <f>+VLOOKUP($B77,'[1]INT Web'!$B$5:$AS$247,'[1]INT Web'!$T$1,FALSE)</f>
        <v>829.99</v>
      </c>
      <c r="J77" s="22">
        <f>+VLOOKUP($B77,'[1]INT Web'!$B$5:$AS$247,'[1]INT Web'!$R$1,FALSE)</f>
        <v>1139.99</v>
      </c>
      <c r="K77" s="185">
        <f t="shared" si="32"/>
        <v>5.928923494535324</v>
      </c>
      <c r="L77" s="185">
        <f t="shared" si="32"/>
        <v>6.000263171745881</v>
      </c>
      <c r="M77" s="185">
        <f t="shared" si="33"/>
        <v>1.3571683691692265</v>
      </c>
      <c r="N77" s="186">
        <v>0.15343896000000001</v>
      </c>
      <c r="O77" s="187">
        <f t="shared" si="34"/>
        <v>21.479920010400004</v>
      </c>
      <c r="P77" s="187">
        <f t="shared" si="34"/>
        <v>29.151868010400005</v>
      </c>
      <c r="Q77" s="187">
        <f t="shared" si="34"/>
        <v>127.35280241040002</v>
      </c>
      <c r="R77" s="187">
        <f t="shared" si="31"/>
        <v>174.91888001040002</v>
      </c>
      <c r="S77" s="6">
        <v>0</v>
      </c>
      <c r="T77" s="104">
        <f t="shared" si="51"/>
        <v>139.99</v>
      </c>
      <c r="U77" s="187">
        <f t="shared" si="35"/>
        <v>21.479920010400004</v>
      </c>
      <c r="V77" s="188">
        <f t="shared" si="36"/>
        <v>0</v>
      </c>
      <c r="W77" s="189">
        <f t="shared" si="37"/>
        <v>0</v>
      </c>
      <c r="X77" s="104">
        <f t="shared" si="52"/>
        <v>189.99</v>
      </c>
      <c r="Y77" s="187">
        <f t="shared" si="38"/>
        <v>29.151868010400005</v>
      </c>
      <c r="Z77" s="188">
        <f t="shared" si="39"/>
        <v>0</v>
      </c>
      <c r="AA77" s="189">
        <f t="shared" si="40"/>
        <v>0</v>
      </c>
      <c r="AB77" s="185">
        <f t="shared" si="41"/>
        <v>1.3571683691692265</v>
      </c>
      <c r="AC77" s="104">
        <f t="shared" si="53"/>
        <v>829.99</v>
      </c>
      <c r="AD77" s="187">
        <f t="shared" si="42"/>
        <v>127.35280241040002</v>
      </c>
      <c r="AE77" s="188">
        <f t="shared" si="43"/>
        <v>0</v>
      </c>
      <c r="AF77" s="189">
        <f t="shared" si="44"/>
        <v>0</v>
      </c>
      <c r="AG77" s="185">
        <f t="shared" si="45"/>
        <v>5.928923494535324</v>
      </c>
      <c r="AH77" s="104">
        <f t="shared" si="54"/>
        <v>1139.99</v>
      </c>
      <c r="AI77" s="187">
        <f t="shared" si="46"/>
        <v>174.91888001040002</v>
      </c>
      <c r="AJ77" s="188">
        <f t="shared" si="47"/>
        <v>0</v>
      </c>
      <c r="AK77" s="189">
        <f t="shared" si="48"/>
        <v>0</v>
      </c>
      <c r="AL77" s="185">
        <f t="shared" si="49"/>
        <v>6.000263171745881</v>
      </c>
      <c r="AM77" s="6" t="str">
        <f t="shared" si="55"/>
        <v>30% Off SL / Annual</v>
      </c>
      <c r="AN77" s="6" t="str">
        <f t="shared" si="56"/>
        <v>15% Off All SKUs</v>
      </c>
      <c r="AO77" s="6" t="str">
        <f t="shared" si="50"/>
        <v>Monthly: 100% Off Next Month</v>
      </c>
      <c r="AP77" s="6" t="str">
        <f t="shared" si="57"/>
        <v>50% Off SL / Annual</v>
      </c>
    </row>
    <row r="78" spans="2:42" ht="13.4" customHeight="1">
      <c r="B78" s="20" t="s">
        <v>146</v>
      </c>
      <c r="C78" s="20" t="s">
        <v>182</v>
      </c>
      <c r="D78" s="6"/>
      <c r="E78" s="6" t="str">
        <f>IF(VLOOKUP(B78,'[7]FY25 PRICING'!$B$5:$AL$246,'[7]FY25 PRICING'!$E$1,FALSE)=0,"","x")</f>
        <v/>
      </c>
      <c r="F78" s="11" t="str">
        <f>+VLOOKUP($B78,'[1]INT Web'!$B$5:$AS$247,'[1]INT Web'!$Q$1,FALSE)</f>
        <v>FJD</v>
      </c>
      <c r="G78" s="22">
        <f>+VLOOKUP($B78,'[1]INT Web'!$B$5:$AS$247,'[1]INT Web'!$U$1,FALSE)</f>
        <v>21.99</v>
      </c>
      <c r="H78" s="22">
        <f>+VLOOKUP($B78,'[1]INT Web'!$B$5:$AS$247,'[1]INT Web'!$S$1,FALSE)</f>
        <v>29.99</v>
      </c>
      <c r="I78" s="22">
        <f>+VLOOKUP($B78,'[1]INT Web'!$B$5:$AS$247,'[1]INT Web'!$T$1,FALSE)</f>
        <v>131.99</v>
      </c>
      <c r="J78" s="22">
        <f>+VLOOKUP($B78,'[1]INT Web'!$B$5:$AS$247,'[1]INT Web'!$R$1,FALSE)</f>
        <v>179.99</v>
      </c>
      <c r="K78" s="185">
        <f t="shared" si="32"/>
        <v>6.0022737608003647</v>
      </c>
      <c r="L78" s="185">
        <f t="shared" si="32"/>
        <v>6.0016672224074696</v>
      </c>
      <c r="M78" s="185">
        <f t="shared" si="33"/>
        <v>1.3638017280582082</v>
      </c>
      <c r="N78" s="186">
        <v>0.44526568</v>
      </c>
      <c r="O78" s="187">
        <f t="shared" si="34"/>
        <v>9.7913923031999985</v>
      </c>
      <c r="P78" s="187">
        <f t="shared" si="34"/>
        <v>13.353517743199999</v>
      </c>
      <c r="Q78" s="187">
        <f t="shared" si="34"/>
        <v>58.770617103200003</v>
      </c>
      <c r="R78" s="187">
        <f t="shared" si="31"/>
        <v>80.143369743199997</v>
      </c>
      <c r="S78" s="6">
        <v>0</v>
      </c>
      <c r="T78" s="104">
        <f t="shared" si="51"/>
        <v>21.99</v>
      </c>
      <c r="U78" s="187">
        <f t="shared" si="35"/>
        <v>9.7913923031999985</v>
      </c>
      <c r="V78" s="188">
        <f t="shared" si="36"/>
        <v>0</v>
      </c>
      <c r="W78" s="189">
        <f t="shared" si="37"/>
        <v>0</v>
      </c>
      <c r="X78" s="104">
        <f t="shared" si="52"/>
        <v>29.99</v>
      </c>
      <c r="Y78" s="187">
        <f t="shared" si="38"/>
        <v>13.353517743199999</v>
      </c>
      <c r="Z78" s="188">
        <f t="shared" si="39"/>
        <v>0</v>
      </c>
      <c r="AA78" s="189">
        <f t="shared" si="40"/>
        <v>0</v>
      </c>
      <c r="AB78" s="185">
        <f t="shared" si="41"/>
        <v>1.3638017280582082</v>
      </c>
      <c r="AC78" s="104">
        <f t="shared" si="53"/>
        <v>131.99</v>
      </c>
      <c r="AD78" s="187">
        <f t="shared" si="42"/>
        <v>58.770617103200003</v>
      </c>
      <c r="AE78" s="188">
        <f t="shared" si="43"/>
        <v>0</v>
      </c>
      <c r="AF78" s="189">
        <f t="shared" si="44"/>
        <v>0</v>
      </c>
      <c r="AG78" s="185">
        <f t="shared" si="45"/>
        <v>6.0022737608003647</v>
      </c>
      <c r="AH78" s="104">
        <f t="shared" si="54"/>
        <v>179.99</v>
      </c>
      <c r="AI78" s="187">
        <f t="shared" si="46"/>
        <v>80.143369743199997</v>
      </c>
      <c r="AJ78" s="188">
        <f t="shared" si="47"/>
        <v>0</v>
      </c>
      <c r="AK78" s="189">
        <f t="shared" si="48"/>
        <v>0</v>
      </c>
      <c r="AL78" s="185">
        <f t="shared" si="49"/>
        <v>6.0016672224074696</v>
      </c>
      <c r="AM78" s="6" t="str">
        <f t="shared" si="55"/>
        <v>30% Off SL / Annual</v>
      </c>
      <c r="AN78" s="6" t="str">
        <f t="shared" si="56"/>
        <v>15% Off All SKUs</v>
      </c>
      <c r="AO78" s="6" t="str">
        <f t="shared" si="50"/>
        <v>Monthly: 100% Off Next Month</v>
      </c>
      <c r="AP78" s="6" t="str">
        <f t="shared" si="57"/>
        <v>50% Off SL / Annual</v>
      </c>
    </row>
    <row r="79" spans="2:42" ht="13">
      <c r="B79" s="199" t="s">
        <v>147</v>
      </c>
      <c r="C79" s="199" t="s">
        <v>100</v>
      </c>
      <c r="D79" s="6" t="s">
        <v>480</v>
      </c>
      <c r="E79" s="6" t="s">
        <v>483</v>
      </c>
      <c r="F79" s="11" t="str">
        <f>+VLOOKUP($B79,'[1]INT Web'!$B$5:$AS$247,'[1]INT Web'!$Q$1,FALSE)</f>
        <v>EUR</v>
      </c>
      <c r="G79" s="22">
        <f>+VLOOKUP($B79,'[1]INT Web'!$B$5:$AS$247,'[1]INT Web'!$U$1,FALSE)</f>
        <v>14.99</v>
      </c>
      <c r="H79" s="22">
        <f>+VLOOKUP($B79,'[1]INT Web'!$B$5:$AS$247,'[1]INT Web'!$S$1,FALSE)</f>
        <v>19.989999999999998</v>
      </c>
      <c r="I79" s="22">
        <f>+VLOOKUP($B79,'[1]INT Web'!$B$5:$AS$247,'[1]INT Web'!$T$1,FALSE)</f>
        <v>99.99</v>
      </c>
      <c r="J79" s="22">
        <f>+VLOOKUP($B79,'[1]INT Web'!$B$5:$AS$247,'[1]INT Web'!$R$1,FALSE)</f>
        <v>129.99</v>
      </c>
      <c r="K79" s="185">
        <f t="shared" si="32"/>
        <v>6.6704469646430953</v>
      </c>
      <c r="L79" s="185">
        <f t="shared" si="32"/>
        <v>6.5027513756878452</v>
      </c>
      <c r="M79" s="185">
        <f t="shared" si="33"/>
        <v>1.333555703802535</v>
      </c>
      <c r="N79" s="186">
        <v>1.1469499999999999</v>
      </c>
      <c r="O79" s="187">
        <f t="shared" si="34"/>
        <v>17.192780499999998</v>
      </c>
      <c r="P79" s="187">
        <f t="shared" si="34"/>
        <v>22.927530499999996</v>
      </c>
      <c r="Q79" s="187">
        <f t="shared" si="34"/>
        <v>114.68353049999999</v>
      </c>
      <c r="R79" s="187">
        <f t="shared" si="31"/>
        <v>149.09203049999999</v>
      </c>
      <c r="S79" s="6" t="s">
        <v>485</v>
      </c>
      <c r="T79" s="104">
        <f t="shared" si="51"/>
        <v>14.99</v>
      </c>
      <c r="U79" s="187">
        <f t="shared" si="35"/>
        <v>17.192780499999998</v>
      </c>
      <c r="V79" s="188">
        <f t="shared" si="36"/>
        <v>0</v>
      </c>
      <c r="W79" s="189">
        <f t="shared" si="37"/>
        <v>0</v>
      </c>
      <c r="X79" s="104">
        <f t="shared" si="52"/>
        <v>19.989999999999998</v>
      </c>
      <c r="Y79" s="187">
        <f t="shared" si="38"/>
        <v>22.927530499999996</v>
      </c>
      <c r="Z79" s="188">
        <f t="shared" si="39"/>
        <v>0</v>
      </c>
      <c r="AA79" s="189">
        <f t="shared" si="40"/>
        <v>0</v>
      </c>
      <c r="AB79" s="185">
        <f t="shared" si="41"/>
        <v>1.333555703802535</v>
      </c>
      <c r="AC79" s="104">
        <f t="shared" si="53"/>
        <v>99.99</v>
      </c>
      <c r="AD79" s="187">
        <f t="shared" si="42"/>
        <v>114.68353049999999</v>
      </c>
      <c r="AE79" s="188">
        <f t="shared" si="43"/>
        <v>0</v>
      </c>
      <c r="AF79" s="189">
        <f t="shared" si="44"/>
        <v>0</v>
      </c>
      <c r="AG79" s="185">
        <f t="shared" si="45"/>
        <v>6.6704469646430953</v>
      </c>
      <c r="AH79" s="104">
        <f t="shared" si="54"/>
        <v>129.99</v>
      </c>
      <c r="AI79" s="187">
        <f t="shared" si="46"/>
        <v>149.09203049999999</v>
      </c>
      <c r="AJ79" s="188">
        <f t="shared" si="47"/>
        <v>0</v>
      </c>
      <c r="AK79" s="189">
        <f t="shared" si="48"/>
        <v>0</v>
      </c>
      <c r="AL79" s="185">
        <f t="shared" si="49"/>
        <v>6.5027513756878452</v>
      </c>
      <c r="AM79" s="6" t="str">
        <f t="shared" si="55"/>
        <v>30% Off SL / Annual</v>
      </c>
      <c r="AN79" s="6" t="str">
        <f t="shared" si="56"/>
        <v>Messaging Only</v>
      </c>
      <c r="AO79" s="6" t="str">
        <f t="shared" si="50"/>
        <v>Messaging / Pause Flow</v>
      </c>
      <c r="AP79" s="6" t="str">
        <f t="shared" si="57"/>
        <v>50% Off LPP Only</v>
      </c>
    </row>
    <row r="80" spans="2:42" ht="13">
      <c r="B80" s="199" t="s">
        <v>148</v>
      </c>
      <c r="C80" s="199" t="s">
        <v>100</v>
      </c>
      <c r="D80" s="6" t="s">
        <v>480</v>
      </c>
      <c r="E80" s="6" t="s">
        <v>481</v>
      </c>
      <c r="F80" s="11" t="str">
        <f>+VLOOKUP($B80,'[1]INT Web'!$B$5:$AS$247,'[1]INT Web'!$Q$1,FALSE)</f>
        <v>EUR</v>
      </c>
      <c r="G80" s="22">
        <f>+VLOOKUP($B80,'[1]INT Web'!$B$5:$AS$247,'[1]INT Web'!$U$1,FALSE)</f>
        <v>21.99</v>
      </c>
      <c r="H80" s="22">
        <f>+VLOOKUP($B80,'[1]INT Web'!$B$5:$AS$247,'[1]INT Web'!$S$1,FALSE)</f>
        <v>28.99</v>
      </c>
      <c r="I80" s="22">
        <f>+VLOOKUP($B80,'[1]INT Web'!$B$5:$AS$247,'[1]INT Web'!$T$1,FALSE)</f>
        <v>146.99</v>
      </c>
      <c r="J80" s="22">
        <f>+VLOOKUP($B80,'[1]INT Web'!$B$5:$AS$247,'[1]INT Web'!$R$1,FALSE)</f>
        <v>199.99</v>
      </c>
      <c r="K80" s="185">
        <f t="shared" si="32"/>
        <v>6.6844020009095049</v>
      </c>
      <c r="L80" s="185">
        <f t="shared" si="32"/>
        <v>6.8985857192135223</v>
      </c>
      <c r="M80" s="185">
        <f t="shared" si="33"/>
        <v>1.3183265120509322</v>
      </c>
      <c r="N80" s="186">
        <v>1.1469499999999999</v>
      </c>
      <c r="O80" s="187">
        <f t="shared" si="34"/>
        <v>25.221430499999997</v>
      </c>
      <c r="P80" s="187">
        <f t="shared" si="34"/>
        <v>33.250080499999996</v>
      </c>
      <c r="Q80" s="187">
        <f t="shared" si="34"/>
        <v>168.5901805</v>
      </c>
      <c r="R80" s="187">
        <f t="shared" si="31"/>
        <v>229.37853049999998</v>
      </c>
      <c r="S80" s="6" t="s">
        <v>484</v>
      </c>
      <c r="T80" s="104">
        <f t="shared" si="51"/>
        <v>21.99</v>
      </c>
      <c r="U80" s="187">
        <f t="shared" si="35"/>
        <v>25.221430499999997</v>
      </c>
      <c r="V80" s="188">
        <f t="shared" si="36"/>
        <v>0</v>
      </c>
      <c r="W80" s="189">
        <f t="shared" si="37"/>
        <v>0</v>
      </c>
      <c r="X80" s="104">
        <f t="shared" si="52"/>
        <v>28.99</v>
      </c>
      <c r="Y80" s="187">
        <f t="shared" si="38"/>
        <v>33.250080499999996</v>
      </c>
      <c r="Z80" s="188">
        <f t="shared" si="39"/>
        <v>0</v>
      </c>
      <c r="AA80" s="189">
        <f t="shared" si="40"/>
        <v>0</v>
      </c>
      <c r="AB80" s="185">
        <f t="shared" si="41"/>
        <v>1.3183265120509322</v>
      </c>
      <c r="AC80" s="104">
        <f t="shared" si="53"/>
        <v>146.99</v>
      </c>
      <c r="AD80" s="187">
        <f t="shared" si="42"/>
        <v>168.5901805</v>
      </c>
      <c r="AE80" s="188">
        <f t="shared" si="43"/>
        <v>0</v>
      </c>
      <c r="AF80" s="189">
        <f t="shared" si="44"/>
        <v>0</v>
      </c>
      <c r="AG80" s="185">
        <f t="shared" si="45"/>
        <v>6.6844020009095049</v>
      </c>
      <c r="AH80" s="104">
        <f t="shared" si="54"/>
        <v>199.99</v>
      </c>
      <c r="AI80" s="187">
        <f t="shared" si="46"/>
        <v>229.37853049999998</v>
      </c>
      <c r="AJ80" s="188">
        <f t="shared" si="47"/>
        <v>0</v>
      </c>
      <c r="AK80" s="189">
        <f t="shared" si="48"/>
        <v>0</v>
      </c>
      <c r="AL80" s="185">
        <f t="shared" si="49"/>
        <v>6.8985857192135223</v>
      </c>
      <c r="AM80" s="6" t="str">
        <f t="shared" si="55"/>
        <v>30% Off SL / Annual</v>
      </c>
      <c r="AN80" s="6" t="str">
        <f t="shared" si="56"/>
        <v>Messaging Only</v>
      </c>
      <c r="AO80" s="6" t="str">
        <f t="shared" si="50"/>
        <v>Messaging / Pause Flow</v>
      </c>
      <c r="AP80" s="6" t="str">
        <f t="shared" si="57"/>
        <v>50% Off LPP Only</v>
      </c>
    </row>
    <row r="81" spans="2:42" ht="13">
      <c r="B81" s="20" t="s">
        <v>149</v>
      </c>
      <c r="C81" s="21" t="s">
        <v>100</v>
      </c>
      <c r="D81" s="6"/>
      <c r="E81" s="6" t="str">
        <f>IF(VLOOKUP(B81,'[7]FY25 PRICING'!$B$5:$AL$246,'[7]FY25 PRICING'!$E$1,FALSE)=0,"","x")</f>
        <v/>
      </c>
      <c r="F81" s="11" t="str">
        <f>+VLOOKUP($B81,'[1]INT Web'!$B$5:$AS$247,'[1]INT Web'!$Q$1,FALSE)</f>
        <v>EUR</v>
      </c>
      <c r="G81" s="22">
        <f>+VLOOKUP($B81,'[1]INT Web'!$B$5:$AS$247,'[1]INT Web'!$U$1,FALSE)</f>
        <v>9.99</v>
      </c>
      <c r="H81" s="22">
        <f>+VLOOKUP($B81,'[1]INT Web'!$B$5:$AS$247,'[1]INT Web'!$S$1,FALSE)</f>
        <v>12.99</v>
      </c>
      <c r="I81" s="22">
        <f>+VLOOKUP($B81,'[1]INT Web'!$B$5:$AS$247,'[1]INT Web'!$T$1,FALSE)</f>
        <v>59.99</v>
      </c>
      <c r="J81" s="22">
        <f>+VLOOKUP($B81,'[1]INT Web'!$B$5:$AS$247,'[1]INT Web'!$R$1,FALSE)</f>
        <v>77.989999999999995</v>
      </c>
      <c r="K81" s="185">
        <f t="shared" si="32"/>
        <v>6.005005005005005</v>
      </c>
      <c r="L81" s="185">
        <f t="shared" si="32"/>
        <v>6.0038491147036179</v>
      </c>
      <c r="M81" s="185">
        <f t="shared" si="33"/>
        <v>1.3003003003003002</v>
      </c>
      <c r="N81" s="186">
        <v>1.1469499999999999</v>
      </c>
      <c r="O81" s="187">
        <f t="shared" si="34"/>
        <v>11.4580305</v>
      </c>
      <c r="P81" s="187">
        <f t="shared" si="34"/>
        <v>14.898880499999999</v>
      </c>
      <c r="Q81" s="187">
        <f t="shared" si="34"/>
        <v>68.805530500000003</v>
      </c>
      <c r="R81" s="187">
        <f t="shared" si="31"/>
        <v>89.450630499999988</v>
      </c>
      <c r="S81" s="6">
        <v>0</v>
      </c>
      <c r="T81" s="104">
        <f t="shared" si="51"/>
        <v>9.99</v>
      </c>
      <c r="U81" s="187">
        <f t="shared" si="35"/>
        <v>11.4580305</v>
      </c>
      <c r="V81" s="188">
        <f t="shared" si="36"/>
        <v>0</v>
      </c>
      <c r="W81" s="189">
        <f t="shared" si="37"/>
        <v>0</v>
      </c>
      <c r="X81" s="104">
        <f t="shared" si="52"/>
        <v>12.99</v>
      </c>
      <c r="Y81" s="187">
        <f t="shared" si="38"/>
        <v>14.898880499999999</v>
      </c>
      <c r="Z81" s="188">
        <f t="shared" si="39"/>
        <v>0</v>
      </c>
      <c r="AA81" s="189">
        <f t="shared" si="40"/>
        <v>0</v>
      </c>
      <c r="AB81" s="185">
        <f t="shared" si="41"/>
        <v>1.3003003003003002</v>
      </c>
      <c r="AC81" s="104">
        <f t="shared" si="53"/>
        <v>59.99</v>
      </c>
      <c r="AD81" s="187">
        <f t="shared" si="42"/>
        <v>68.805530500000003</v>
      </c>
      <c r="AE81" s="188">
        <f t="shared" si="43"/>
        <v>0</v>
      </c>
      <c r="AF81" s="189">
        <f t="shared" si="44"/>
        <v>0</v>
      </c>
      <c r="AG81" s="185">
        <f t="shared" si="45"/>
        <v>6.005005005005005</v>
      </c>
      <c r="AH81" s="104">
        <f t="shared" si="54"/>
        <v>77.989999999999995</v>
      </c>
      <c r="AI81" s="187">
        <f t="shared" si="46"/>
        <v>89.450630499999988</v>
      </c>
      <c r="AJ81" s="188">
        <f t="shared" si="47"/>
        <v>0</v>
      </c>
      <c r="AK81" s="189">
        <f t="shared" si="48"/>
        <v>0</v>
      </c>
      <c r="AL81" s="185">
        <f t="shared" si="49"/>
        <v>6.0038491147036179</v>
      </c>
      <c r="AM81" s="6" t="str">
        <f t="shared" si="55"/>
        <v>30% Off SL / Annual</v>
      </c>
      <c r="AN81" s="6" t="str">
        <f t="shared" si="56"/>
        <v>15% Off All SKUs</v>
      </c>
      <c r="AO81" s="6" t="str">
        <f t="shared" si="50"/>
        <v>Monthly: 100% Off Next Month</v>
      </c>
      <c r="AP81" s="6" t="str">
        <f t="shared" si="57"/>
        <v>50% Off SL / Annual</v>
      </c>
    </row>
    <row r="82" spans="2:42" ht="13">
      <c r="B82" s="20" t="s">
        <v>150</v>
      </c>
      <c r="C82" s="20" t="s">
        <v>182</v>
      </c>
      <c r="D82" s="6"/>
      <c r="E82" s="6" t="str">
        <f>IF(VLOOKUP(B82,'[7]FY25 PRICING'!$B$5:$AL$246,'[7]FY25 PRICING'!$E$1,FALSE)=0,"","x")</f>
        <v/>
      </c>
      <c r="F82" s="11" t="str">
        <f>+VLOOKUP($B82,'[1]INT Web'!$B$5:$AS$247,'[1]INT Web'!$Q$1,FALSE)</f>
        <v>XPF</v>
      </c>
      <c r="G82" s="136">
        <f>+VLOOKUP($B82,'[1]INT Web'!$B$5:$AS$247,'[1]INT Web'!$U$1,FALSE)</f>
        <v>1000</v>
      </c>
      <c r="H82" s="136">
        <f>+VLOOKUP($B82,'[1]INT Web'!$B$5:$AS$247,'[1]INT Web'!$S$1,FALSE)</f>
        <v>1350</v>
      </c>
      <c r="I82" s="22">
        <f>+VLOOKUP($B82,'[1]INT Web'!$B$5:$AS$247,'[1]INT Web'!$T$1,FALSE)</f>
        <v>6000</v>
      </c>
      <c r="J82" s="22">
        <f>+VLOOKUP($B82,'[1]INT Web'!$B$5:$AS$247,'[1]INT Web'!$R$1,FALSE)</f>
        <v>8100</v>
      </c>
      <c r="K82" s="185">
        <f t="shared" si="32"/>
        <v>6</v>
      </c>
      <c r="L82" s="185">
        <f t="shared" si="32"/>
        <v>6</v>
      </c>
      <c r="M82" s="185">
        <f t="shared" si="33"/>
        <v>1.35</v>
      </c>
      <c r="N82" s="186">
        <v>9.6114470000000004E-3</v>
      </c>
      <c r="O82" s="187">
        <f t="shared" si="34"/>
        <v>9.6114470000000001</v>
      </c>
      <c r="P82" s="187">
        <f t="shared" si="34"/>
        <v>12.97545345</v>
      </c>
      <c r="Q82" s="187">
        <f t="shared" si="34"/>
        <v>57.668682000000004</v>
      </c>
      <c r="R82" s="187">
        <f t="shared" si="31"/>
        <v>77.852720700000006</v>
      </c>
      <c r="S82" s="6">
        <v>0</v>
      </c>
      <c r="T82" s="104">
        <f t="shared" si="51"/>
        <v>1000</v>
      </c>
      <c r="U82" s="187">
        <f t="shared" si="35"/>
        <v>9.6114470000000001</v>
      </c>
      <c r="V82" s="188">
        <f t="shared" si="36"/>
        <v>0</v>
      </c>
      <c r="W82" s="189">
        <f t="shared" si="37"/>
        <v>0</v>
      </c>
      <c r="X82" s="104">
        <f t="shared" si="52"/>
        <v>1350</v>
      </c>
      <c r="Y82" s="187">
        <f t="shared" si="38"/>
        <v>12.97545345</v>
      </c>
      <c r="Z82" s="188">
        <f t="shared" si="39"/>
        <v>0</v>
      </c>
      <c r="AA82" s="189">
        <f t="shared" si="40"/>
        <v>0</v>
      </c>
      <c r="AB82" s="185">
        <f t="shared" si="41"/>
        <v>1.35</v>
      </c>
      <c r="AC82" s="104">
        <f t="shared" si="53"/>
        <v>6000</v>
      </c>
      <c r="AD82" s="187">
        <f t="shared" si="42"/>
        <v>57.668682000000004</v>
      </c>
      <c r="AE82" s="188">
        <f t="shared" si="43"/>
        <v>0</v>
      </c>
      <c r="AF82" s="189">
        <f t="shared" si="44"/>
        <v>0</v>
      </c>
      <c r="AG82" s="185">
        <f t="shared" si="45"/>
        <v>6</v>
      </c>
      <c r="AH82" s="104">
        <f t="shared" si="54"/>
        <v>8100</v>
      </c>
      <c r="AI82" s="187">
        <f t="shared" si="46"/>
        <v>77.852720700000006</v>
      </c>
      <c r="AJ82" s="188">
        <f t="shared" si="47"/>
        <v>0</v>
      </c>
      <c r="AK82" s="189">
        <f t="shared" si="48"/>
        <v>0</v>
      </c>
      <c r="AL82" s="185">
        <f t="shared" si="49"/>
        <v>6</v>
      </c>
      <c r="AM82" s="6" t="str">
        <f t="shared" si="55"/>
        <v>30% Off SL / Annual</v>
      </c>
      <c r="AN82" s="6" t="str">
        <f t="shared" si="56"/>
        <v>15% Off All SKUs</v>
      </c>
      <c r="AO82" s="6" t="str">
        <f t="shared" si="50"/>
        <v>Monthly: 100% Off Next Month</v>
      </c>
      <c r="AP82" s="6" t="str">
        <f t="shared" si="57"/>
        <v>50% Off SL / Annual</v>
      </c>
    </row>
    <row r="83" spans="2:42" ht="13">
      <c r="B83" s="20" t="s">
        <v>151</v>
      </c>
      <c r="C83" s="20" t="s">
        <v>100</v>
      </c>
      <c r="D83" s="6"/>
      <c r="E83" s="6" t="str">
        <f>IF(VLOOKUP(B83,'[7]FY25 PRICING'!$B$5:$AL$246,'[7]FY25 PRICING'!$E$1,FALSE)=0,"","x")</f>
        <v/>
      </c>
      <c r="F83" s="11" t="str">
        <f>+VLOOKUP($B83,'[1]INT Web'!$B$5:$AS$247,'[1]INT Web'!$Q$1,FALSE)</f>
        <v>EUR</v>
      </c>
      <c r="G83" s="22">
        <f>+VLOOKUP($B83,'[1]INT Web'!$B$5:$AS$247,'[1]INT Web'!$U$1,FALSE)</f>
        <v>14.99</v>
      </c>
      <c r="H83" s="22">
        <f>+VLOOKUP($B83,'[1]INT Web'!$B$5:$AS$247,'[1]INT Web'!$S$1,FALSE)</f>
        <v>19.989999999999998</v>
      </c>
      <c r="I83" s="22">
        <f>+VLOOKUP($B83,'[1]INT Web'!$B$5:$AS$247,'[1]INT Web'!$T$1,FALSE)</f>
        <v>89.99</v>
      </c>
      <c r="J83" s="22">
        <f>+VLOOKUP($B83,'[1]INT Web'!$B$5:$AS$247,'[1]INT Web'!$R$1,FALSE)</f>
        <v>119.99</v>
      </c>
      <c r="K83" s="185">
        <f t="shared" si="32"/>
        <v>6.0033355570380253</v>
      </c>
      <c r="L83" s="185">
        <f t="shared" si="32"/>
        <v>6.002501250625313</v>
      </c>
      <c r="M83" s="185">
        <f t="shared" si="33"/>
        <v>1.333555703802535</v>
      </c>
      <c r="N83" s="186">
        <v>1.1469499999999999</v>
      </c>
      <c r="O83" s="187">
        <f t="shared" si="34"/>
        <v>17.192780499999998</v>
      </c>
      <c r="P83" s="187">
        <f t="shared" si="34"/>
        <v>22.927530499999996</v>
      </c>
      <c r="Q83" s="187">
        <f t="shared" si="34"/>
        <v>103.21403049999999</v>
      </c>
      <c r="R83" s="187">
        <f t="shared" si="31"/>
        <v>137.62253049999998</v>
      </c>
      <c r="S83" s="6">
        <v>0</v>
      </c>
      <c r="T83" s="104">
        <f t="shared" si="51"/>
        <v>14.99</v>
      </c>
      <c r="U83" s="187">
        <f t="shared" si="35"/>
        <v>17.192780499999998</v>
      </c>
      <c r="V83" s="188">
        <f t="shared" si="36"/>
        <v>0</v>
      </c>
      <c r="W83" s="189">
        <f t="shared" si="37"/>
        <v>0</v>
      </c>
      <c r="X83" s="104">
        <f t="shared" si="52"/>
        <v>19.989999999999998</v>
      </c>
      <c r="Y83" s="187">
        <f t="shared" si="38"/>
        <v>22.927530499999996</v>
      </c>
      <c r="Z83" s="188">
        <f t="shared" si="39"/>
        <v>0</v>
      </c>
      <c r="AA83" s="189">
        <f t="shared" si="40"/>
        <v>0</v>
      </c>
      <c r="AB83" s="185">
        <f t="shared" si="41"/>
        <v>1.333555703802535</v>
      </c>
      <c r="AC83" s="104">
        <f t="shared" si="53"/>
        <v>89.99</v>
      </c>
      <c r="AD83" s="187">
        <f t="shared" si="42"/>
        <v>103.21403049999999</v>
      </c>
      <c r="AE83" s="188">
        <f t="shared" si="43"/>
        <v>0</v>
      </c>
      <c r="AF83" s="189">
        <f t="shared" si="44"/>
        <v>0</v>
      </c>
      <c r="AG83" s="185">
        <f t="shared" si="45"/>
        <v>6.0033355570380253</v>
      </c>
      <c r="AH83" s="104">
        <f t="shared" si="54"/>
        <v>119.99</v>
      </c>
      <c r="AI83" s="187">
        <f t="shared" si="46"/>
        <v>137.62253049999998</v>
      </c>
      <c r="AJ83" s="188">
        <f t="shared" si="47"/>
        <v>0</v>
      </c>
      <c r="AK83" s="189">
        <f t="shared" si="48"/>
        <v>0</v>
      </c>
      <c r="AL83" s="185">
        <f t="shared" si="49"/>
        <v>6.002501250625313</v>
      </c>
      <c r="AM83" s="6" t="str">
        <f t="shared" si="55"/>
        <v>30% Off SL / Annual</v>
      </c>
      <c r="AN83" s="6" t="str">
        <f t="shared" si="56"/>
        <v>15% Off All SKUs</v>
      </c>
      <c r="AO83" s="6" t="str">
        <f t="shared" si="50"/>
        <v>Monthly: 100% Off Next Month</v>
      </c>
      <c r="AP83" s="6" t="str">
        <f t="shared" si="57"/>
        <v>50% Off SL / Annual</v>
      </c>
    </row>
    <row r="84" spans="2:42" ht="13">
      <c r="B84" s="20" t="s">
        <v>152</v>
      </c>
      <c r="C84" s="20" t="s">
        <v>270</v>
      </c>
      <c r="D84" s="6"/>
      <c r="E84" s="6" t="str">
        <f>IF(VLOOKUP(B84,'[7]FY25 PRICING'!$B$5:$AL$246,'[7]FY25 PRICING'!$E$1,FALSE)=0,"","x")</f>
        <v/>
      </c>
      <c r="F84" s="11" t="str">
        <f>+VLOOKUP($B84,'[1]INT Web'!$B$5:$AS$247,'[1]INT Web'!$Q$1,FALSE)</f>
        <v>XAF</v>
      </c>
      <c r="G84" s="136">
        <f>+VLOOKUP($B84,'[1]INT Web'!$B$5:$AS$247,'[1]INT Web'!$U$1,FALSE)</f>
        <v>4200</v>
      </c>
      <c r="H84" s="136">
        <f>+VLOOKUP($B84,'[1]INT Web'!$B$5:$AS$247,'[1]INT Web'!$S$1,FALSE)</f>
        <v>5670</v>
      </c>
      <c r="I84" s="22">
        <f>+VLOOKUP($B84,'[1]INT Web'!$B$5:$AS$247,'[1]INT Web'!$T$1,FALSE)</f>
        <v>25200</v>
      </c>
      <c r="J84" s="22">
        <f>+VLOOKUP($B84,'[1]INT Web'!$B$5:$AS$247,'[1]INT Web'!$R$1,FALSE)</f>
        <v>34020</v>
      </c>
      <c r="K84" s="185">
        <f t="shared" si="32"/>
        <v>6</v>
      </c>
      <c r="L84" s="185">
        <f t="shared" si="32"/>
        <v>6</v>
      </c>
      <c r="M84" s="185">
        <f t="shared" si="33"/>
        <v>1.35</v>
      </c>
      <c r="N84" s="186">
        <v>1.7485141000000001E-3</v>
      </c>
      <c r="O84" s="187">
        <f t="shared" si="34"/>
        <v>7.3437592200000008</v>
      </c>
      <c r="P84" s="187">
        <f t="shared" si="34"/>
        <v>9.9140749470000014</v>
      </c>
      <c r="Q84" s="187">
        <f t="shared" si="34"/>
        <v>44.062555320000001</v>
      </c>
      <c r="R84" s="187">
        <f t="shared" si="31"/>
        <v>59.484449682000005</v>
      </c>
      <c r="S84" s="6">
        <v>0</v>
      </c>
      <c r="T84" s="104">
        <f t="shared" si="51"/>
        <v>4200</v>
      </c>
      <c r="U84" s="187">
        <f t="shared" si="35"/>
        <v>7.3437592200000008</v>
      </c>
      <c r="V84" s="188">
        <f t="shared" si="36"/>
        <v>0</v>
      </c>
      <c r="W84" s="189">
        <f t="shared" si="37"/>
        <v>0</v>
      </c>
      <c r="X84" s="104">
        <f t="shared" si="52"/>
        <v>5670</v>
      </c>
      <c r="Y84" s="187">
        <f t="shared" si="38"/>
        <v>9.9140749470000014</v>
      </c>
      <c r="Z84" s="188">
        <f t="shared" si="39"/>
        <v>0</v>
      </c>
      <c r="AA84" s="189">
        <f t="shared" si="40"/>
        <v>0</v>
      </c>
      <c r="AB84" s="185">
        <f t="shared" si="41"/>
        <v>1.35</v>
      </c>
      <c r="AC84" s="104">
        <f t="shared" si="53"/>
        <v>25200</v>
      </c>
      <c r="AD84" s="187">
        <f t="shared" si="42"/>
        <v>44.062555320000001</v>
      </c>
      <c r="AE84" s="188">
        <f t="shared" si="43"/>
        <v>0</v>
      </c>
      <c r="AF84" s="189">
        <f t="shared" si="44"/>
        <v>0</v>
      </c>
      <c r="AG84" s="185">
        <f t="shared" si="45"/>
        <v>6</v>
      </c>
      <c r="AH84" s="104">
        <f t="shared" si="54"/>
        <v>34020</v>
      </c>
      <c r="AI84" s="187">
        <f t="shared" si="46"/>
        <v>59.484449682000005</v>
      </c>
      <c r="AJ84" s="188">
        <f t="shared" si="47"/>
        <v>0</v>
      </c>
      <c r="AK84" s="189">
        <f t="shared" si="48"/>
        <v>0</v>
      </c>
      <c r="AL84" s="185">
        <f t="shared" si="49"/>
        <v>6</v>
      </c>
      <c r="AM84" s="6" t="str">
        <f t="shared" si="55"/>
        <v>30% Off SL / Annual</v>
      </c>
      <c r="AN84" s="6" t="str">
        <f t="shared" si="56"/>
        <v>15% Off All SKUs</v>
      </c>
      <c r="AO84" s="6" t="str">
        <f t="shared" si="50"/>
        <v>Monthly: 100% Off Next Month</v>
      </c>
      <c r="AP84" s="6" t="str">
        <f t="shared" si="57"/>
        <v>50% Off SL / Annual</v>
      </c>
    </row>
    <row r="85" spans="2:42" ht="13">
      <c r="B85" s="20" t="s">
        <v>153</v>
      </c>
      <c r="C85" s="20" t="s">
        <v>270</v>
      </c>
      <c r="D85" s="6"/>
      <c r="E85" s="6" t="str">
        <f>IF(VLOOKUP(B85,'[7]FY25 PRICING'!$B$5:$AL$246,'[7]FY25 PRICING'!$E$1,FALSE)=0,"","x")</f>
        <v/>
      </c>
      <c r="F85" s="11" t="str">
        <f>+VLOOKUP($B85,'[1]INT Web'!$B$5:$AS$247,'[1]INT Web'!$Q$1,FALSE)</f>
        <v>GMD</v>
      </c>
      <c r="G85" s="22">
        <f>+VLOOKUP($B85,'[1]INT Web'!$B$5:$AS$247,'[1]INT Web'!$U$1,FALSE)</f>
        <v>549.99</v>
      </c>
      <c r="H85" s="22">
        <f>+VLOOKUP($B85,'[1]INT Web'!$B$5:$AS$247,'[1]INT Web'!$S$1,FALSE)</f>
        <v>741.99</v>
      </c>
      <c r="I85" s="22">
        <f>+VLOOKUP($B85,'[1]INT Web'!$B$5:$AS$247,'[1]INT Web'!$T$1,FALSE)</f>
        <v>3299.99</v>
      </c>
      <c r="J85" s="22">
        <f>+VLOOKUP($B85,'[1]INT Web'!$B$5:$AS$247,'[1]INT Web'!$R$1,FALSE)</f>
        <v>4451.99</v>
      </c>
      <c r="K85" s="185">
        <f t="shared" si="32"/>
        <v>6.0000909107438316</v>
      </c>
      <c r="L85" s="185">
        <f t="shared" si="32"/>
        <v>6.0000673863529155</v>
      </c>
      <c r="M85" s="185">
        <f t="shared" si="33"/>
        <v>1.3490972563137511</v>
      </c>
      <c r="N85" s="186">
        <v>1.3605442000000001E-2</v>
      </c>
      <c r="O85" s="187">
        <f t="shared" si="34"/>
        <v>7.4828570455800003</v>
      </c>
      <c r="P85" s="187">
        <f t="shared" si="34"/>
        <v>10.09510190958</v>
      </c>
      <c r="Q85" s="187">
        <f t="shared" si="34"/>
        <v>44.897822545579999</v>
      </c>
      <c r="R85" s="187">
        <f t="shared" si="31"/>
        <v>60.571291729579997</v>
      </c>
      <c r="S85" s="6">
        <v>0</v>
      </c>
      <c r="T85" s="104">
        <f t="shared" si="51"/>
        <v>549.99</v>
      </c>
      <c r="U85" s="187">
        <f t="shared" si="35"/>
        <v>7.4828570455800003</v>
      </c>
      <c r="V85" s="188">
        <f t="shared" si="36"/>
        <v>0</v>
      </c>
      <c r="W85" s="189">
        <f t="shared" si="37"/>
        <v>0</v>
      </c>
      <c r="X85" s="104">
        <f t="shared" si="52"/>
        <v>741.99</v>
      </c>
      <c r="Y85" s="187">
        <f t="shared" si="38"/>
        <v>10.09510190958</v>
      </c>
      <c r="Z85" s="188">
        <f t="shared" si="39"/>
        <v>0</v>
      </c>
      <c r="AA85" s="189">
        <f t="shared" si="40"/>
        <v>0</v>
      </c>
      <c r="AB85" s="185">
        <f t="shared" si="41"/>
        <v>1.3490972563137511</v>
      </c>
      <c r="AC85" s="104">
        <f t="shared" si="53"/>
        <v>3299.99</v>
      </c>
      <c r="AD85" s="187">
        <f t="shared" si="42"/>
        <v>44.897822545579999</v>
      </c>
      <c r="AE85" s="188">
        <f t="shared" si="43"/>
        <v>0</v>
      </c>
      <c r="AF85" s="189">
        <f t="shared" si="44"/>
        <v>0</v>
      </c>
      <c r="AG85" s="185">
        <f t="shared" si="45"/>
        <v>6.0000909107438316</v>
      </c>
      <c r="AH85" s="104">
        <f t="shared" si="54"/>
        <v>4451.99</v>
      </c>
      <c r="AI85" s="187">
        <f t="shared" si="46"/>
        <v>60.571291729579997</v>
      </c>
      <c r="AJ85" s="188">
        <f t="shared" si="47"/>
        <v>0</v>
      </c>
      <c r="AK85" s="189">
        <f t="shared" si="48"/>
        <v>0</v>
      </c>
      <c r="AL85" s="185">
        <f t="shared" si="49"/>
        <v>6.0000673863529155</v>
      </c>
      <c r="AM85" s="6" t="str">
        <f t="shared" si="55"/>
        <v>30% Off SL / Annual</v>
      </c>
      <c r="AN85" s="6" t="str">
        <f t="shared" si="56"/>
        <v>15% Off All SKUs</v>
      </c>
      <c r="AO85" s="6" t="str">
        <f t="shared" si="50"/>
        <v>Monthly: 100% Off Next Month</v>
      </c>
      <c r="AP85" s="6" t="str">
        <f t="shared" si="57"/>
        <v>50% Off SL / Annual</v>
      </c>
    </row>
    <row r="86" spans="2:42" ht="13">
      <c r="B86" s="20" t="s">
        <v>154</v>
      </c>
      <c r="C86" s="20" t="s">
        <v>275</v>
      </c>
      <c r="D86" s="6"/>
      <c r="E86" s="6" t="str">
        <f>IF(VLOOKUP(B86,'[7]FY25 PRICING'!$B$5:$AL$246,'[7]FY25 PRICING'!$E$1,FALSE)=0,"","x")</f>
        <v/>
      </c>
      <c r="F86" s="11" t="str">
        <f>+VLOOKUP($B86,'[1]INT Web'!$B$5:$AS$247,'[1]INT Web'!$Q$1,FALSE)</f>
        <v>GEL</v>
      </c>
      <c r="G86" s="22">
        <f>+VLOOKUP($B86,'[1]INT Web'!$B$5:$AS$247,'[1]INT Web'!$U$1,FALSE)</f>
        <v>37.99</v>
      </c>
      <c r="H86" s="22">
        <f>+VLOOKUP($B86,'[1]INT Web'!$B$5:$AS$247,'[1]INT Web'!$S$1,FALSE)</f>
        <v>50.99</v>
      </c>
      <c r="I86" s="22">
        <f>+VLOOKUP($B86,'[1]INT Web'!$B$5:$AS$247,'[1]INT Web'!$T$1,FALSE)</f>
        <v>229.99</v>
      </c>
      <c r="J86" s="22">
        <f>+VLOOKUP($B86,'[1]INT Web'!$B$5:$AS$247,'[1]INT Web'!$R$1,FALSE)</f>
        <v>299.99</v>
      </c>
      <c r="K86" s="185">
        <f t="shared" si="32"/>
        <v>6.0539615688339037</v>
      </c>
      <c r="L86" s="185">
        <f t="shared" si="32"/>
        <v>5.8833104530300062</v>
      </c>
      <c r="M86" s="185">
        <f t="shared" si="33"/>
        <v>1.3421953145564622</v>
      </c>
      <c r="N86" s="186">
        <v>0.37678974999999998</v>
      </c>
      <c r="O86" s="187">
        <f t="shared" si="34"/>
        <v>14.3142426025</v>
      </c>
      <c r="P86" s="187">
        <f t="shared" si="34"/>
        <v>19.2125093525</v>
      </c>
      <c r="Q86" s="187">
        <f t="shared" si="34"/>
        <v>86.657874602500002</v>
      </c>
      <c r="R86" s="187">
        <f t="shared" si="31"/>
        <v>113.0331571025</v>
      </c>
      <c r="S86" s="6" t="s">
        <v>486</v>
      </c>
      <c r="T86" s="104">
        <f t="shared" si="51"/>
        <v>37.99</v>
      </c>
      <c r="U86" s="187">
        <f t="shared" si="35"/>
        <v>14.3142426025</v>
      </c>
      <c r="V86" s="188">
        <f t="shared" si="36"/>
        <v>0</v>
      </c>
      <c r="W86" s="189">
        <f t="shared" si="37"/>
        <v>0</v>
      </c>
      <c r="X86" s="104">
        <f t="shared" si="52"/>
        <v>50.99</v>
      </c>
      <c r="Y86" s="187">
        <f t="shared" si="38"/>
        <v>19.2125093525</v>
      </c>
      <c r="Z86" s="188">
        <f t="shared" si="39"/>
        <v>0</v>
      </c>
      <c r="AA86" s="189">
        <f t="shared" si="40"/>
        <v>0</v>
      </c>
      <c r="AB86" s="185">
        <f t="shared" si="41"/>
        <v>1.3421953145564622</v>
      </c>
      <c r="AC86" s="104">
        <f t="shared" si="53"/>
        <v>229.99</v>
      </c>
      <c r="AD86" s="187">
        <f t="shared" si="42"/>
        <v>86.657874602500002</v>
      </c>
      <c r="AE86" s="188">
        <f t="shared" si="43"/>
        <v>0</v>
      </c>
      <c r="AF86" s="189">
        <f t="shared" si="44"/>
        <v>0</v>
      </c>
      <c r="AG86" s="185">
        <f t="shared" si="45"/>
        <v>6.0539615688339037</v>
      </c>
      <c r="AH86" s="104">
        <f t="shared" si="54"/>
        <v>299.99</v>
      </c>
      <c r="AI86" s="187">
        <f t="shared" si="46"/>
        <v>113.0331571025</v>
      </c>
      <c r="AJ86" s="188">
        <f t="shared" si="47"/>
        <v>0</v>
      </c>
      <c r="AK86" s="189">
        <f t="shared" si="48"/>
        <v>0</v>
      </c>
      <c r="AL86" s="185">
        <f t="shared" si="49"/>
        <v>5.8833104530300062</v>
      </c>
      <c r="AM86" s="6" t="str">
        <f t="shared" si="55"/>
        <v>30% Off SL / Annual</v>
      </c>
      <c r="AN86" s="6" t="str">
        <f t="shared" si="56"/>
        <v>Messaging Only</v>
      </c>
      <c r="AO86" s="6" t="str">
        <f t="shared" si="50"/>
        <v>Messaging / Pause Flow</v>
      </c>
      <c r="AP86" s="6" t="str">
        <f t="shared" si="57"/>
        <v>50% Off SL / Annual</v>
      </c>
    </row>
    <row r="87" spans="2:42" ht="13">
      <c r="B87" s="199" t="s">
        <v>155</v>
      </c>
      <c r="C87" s="199" t="s">
        <v>100</v>
      </c>
      <c r="D87" s="6" t="s">
        <v>480</v>
      </c>
      <c r="E87" s="6" t="s">
        <v>481</v>
      </c>
      <c r="F87" s="11" t="str">
        <f>+VLOOKUP($B87,'[1]INT Web'!$B$5:$AS$247,'[1]INT Web'!$Q$1,FALSE)</f>
        <v>EUR</v>
      </c>
      <c r="G87" s="22">
        <f>+VLOOKUP($B87,'[1]INT Web'!$B$5:$AS$247,'[1]INT Web'!$U$1,FALSE)</f>
        <v>19.989999999999998</v>
      </c>
      <c r="H87" s="22">
        <f>+VLOOKUP($B87,'[1]INT Web'!$B$5:$AS$247,'[1]INT Web'!$S$1,FALSE)</f>
        <v>27.99</v>
      </c>
      <c r="I87" s="22">
        <f>+VLOOKUP($B87,'[1]INT Web'!$B$5:$AS$247,'[1]INT Web'!$T$1,FALSE)</f>
        <v>139.99</v>
      </c>
      <c r="J87" s="22">
        <f>+VLOOKUP($B87,'[1]INT Web'!$B$5:$AS$247,'[1]INT Web'!$R$1,FALSE)</f>
        <v>189.99</v>
      </c>
      <c r="K87" s="185">
        <f t="shared" si="32"/>
        <v>7.0030015007503765</v>
      </c>
      <c r="L87" s="185">
        <f t="shared" si="32"/>
        <v>6.7877813504823159</v>
      </c>
      <c r="M87" s="185">
        <f t="shared" si="33"/>
        <v>1.400200100050025</v>
      </c>
      <c r="N87" s="186">
        <v>1.1469499999999999</v>
      </c>
      <c r="O87" s="187">
        <f t="shared" si="34"/>
        <v>22.927530499999996</v>
      </c>
      <c r="P87" s="187">
        <f t="shared" si="34"/>
        <v>32.103130499999999</v>
      </c>
      <c r="Q87" s="187">
        <f t="shared" si="34"/>
        <v>160.5615305</v>
      </c>
      <c r="R87" s="187">
        <f t="shared" si="31"/>
        <v>217.9090305</v>
      </c>
      <c r="S87" s="6" t="s">
        <v>484</v>
      </c>
      <c r="T87" s="104">
        <f t="shared" si="51"/>
        <v>19.989999999999998</v>
      </c>
      <c r="U87" s="187">
        <f t="shared" si="35"/>
        <v>22.927530499999996</v>
      </c>
      <c r="V87" s="188">
        <f t="shared" si="36"/>
        <v>0</v>
      </c>
      <c r="W87" s="189">
        <f t="shared" si="37"/>
        <v>0</v>
      </c>
      <c r="X87" s="104">
        <f t="shared" si="52"/>
        <v>27.99</v>
      </c>
      <c r="Y87" s="187">
        <f t="shared" si="38"/>
        <v>32.103130499999999</v>
      </c>
      <c r="Z87" s="188">
        <f t="shared" si="39"/>
        <v>0</v>
      </c>
      <c r="AA87" s="189">
        <f t="shared" si="40"/>
        <v>0</v>
      </c>
      <c r="AB87" s="185">
        <f t="shared" si="41"/>
        <v>1.400200100050025</v>
      </c>
      <c r="AC87" s="104">
        <f t="shared" si="53"/>
        <v>139.99</v>
      </c>
      <c r="AD87" s="187">
        <f t="shared" si="42"/>
        <v>160.5615305</v>
      </c>
      <c r="AE87" s="188">
        <f t="shared" si="43"/>
        <v>0</v>
      </c>
      <c r="AF87" s="189">
        <f t="shared" si="44"/>
        <v>0</v>
      </c>
      <c r="AG87" s="185">
        <f t="shared" si="45"/>
        <v>7.0030015007503765</v>
      </c>
      <c r="AH87" s="104">
        <f t="shared" si="54"/>
        <v>189.99</v>
      </c>
      <c r="AI87" s="187">
        <f t="shared" si="46"/>
        <v>217.9090305</v>
      </c>
      <c r="AJ87" s="188">
        <f t="shared" si="47"/>
        <v>0</v>
      </c>
      <c r="AK87" s="189">
        <f t="shared" si="48"/>
        <v>0</v>
      </c>
      <c r="AL87" s="185">
        <f t="shared" si="49"/>
        <v>6.7877813504823159</v>
      </c>
      <c r="AM87" s="6" t="str">
        <f t="shared" si="55"/>
        <v>30% Off SL / Annual</v>
      </c>
      <c r="AN87" s="6" t="str">
        <f t="shared" si="56"/>
        <v>Messaging Only</v>
      </c>
      <c r="AO87" s="6" t="str">
        <f t="shared" si="50"/>
        <v>Messaging / Pause Flow</v>
      </c>
      <c r="AP87" s="6" t="str">
        <f t="shared" si="57"/>
        <v>50% Off LPP Only</v>
      </c>
    </row>
    <row r="88" spans="2:42" ht="13">
      <c r="B88" s="20" t="s">
        <v>156</v>
      </c>
      <c r="C88" s="20" t="s">
        <v>270</v>
      </c>
      <c r="D88" s="6"/>
      <c r="E88" s="6" t="str">
        <f>IF(VLOOKUP(B88,'[7]FY25 PRICING'!$B$5:$AL$246,'[7]FY25 PRICING'!$E$1,FALSE)=0,"","x")</f>
        <v/>
      </c>
      <c r="F88" s="11" t="str">
        <f>+VLOOKUP($B88,'[1]INT Web'!$B$5:$AS$247,'[1]INT Web'!$Q$1,FALSE)</f>
        <v>GHS</v>
      </c>
      <c r="G88" s="22">
        <f>+VLOOKUP($B88,'[1]INT Web'!$B$5:$AS$247,'[1]INT Web'!$U$1,FALSE)</f>
        <v>79</v>
      </c>
      <c r="H88" s="22">
        <f>+VLOOKUP($B88,'[1]INT Web'!$B$5:$AS$247,'[1]INT Web'!$S$1,FALSE)</f>
        <v>114</v>
      </c>
      <c r="I88" s="22">
        <f>+VLOOKUP($B88,'[1]INT Web'!$B$5:$AS$247,'[1]INT Web'!$T$1,FALSE)</f>
        <v>479</v>
      </c>
      <c r="J88" s="22">
        <f>+VLOOKUP($B88,'[1]INT Web'!$B$5:$AS$247,'[1]INT Web'!$R$1,FALSE)</f>
        <v>679</v>
      </c>
      <c r="K88" s="185">
        <f t="shared" si="32"/>
        <v>6.0632911392405067</v>
      </c>
      <c r="L88" s="185">
        <f t="shared" si="32"/>
        <v>5.9561403508771926</v>
      </c>
      <c r="M88" s="185">
        <f t="shared" si="33"/>
        <v>1.4430379746835442</v>
      </c>
      <c r="N88" s="186">
        <v>8.9285719999999999E-2</v>
      </c>
      <c r="O88" s="187">
        <f t="shared" si="34"/>
        <v>7.0535718799999998</v>
      </c>
      <c r="P88" s="187">
        <f t="shared" si="34"/>
        <v>10.17857208</v>
      </c>
      <c r="Q88" s="187">
        <f t="shared" si="34"/>
        <v>42.767859879999996</v>
      </c>
      <c r="R88" s="187">
        <f t="shared" si="31"/>
        <v>60.625003880000001</v>
      </c>
      <c r="S88" s="6" t="s">
        <v>477</v>
      </c>
      <c r="T88" s="104">
        <f t="shared" si="51"/>
        <v>79</v>
      </c>
      <c r="U88" s="187">
        <f t="shared" si="35"/>
        <v>7.0535718799999998</v>
      </c>
      <c r="V88" s="188">
        <f t="shared" si="36"/>
        <v>0</v>
      </c>
      <c r="W88" s="189">
        <f t="shared" si="37"/>
        <v>0</v>
      </c>
      <c r="X88" s="104">
        <f t="shared" si="52"/>
        <v>114</v>
      </c>
      <c r="Y88" s="187">
        <f t="shared" si="38"/>
        <v>10.17857208</v>
      </c>
      <c r="Z88" s="188">
        <f t="shared" si="39"/>
        <v>0</v>
      </c>
      <c r="AA88" s="189">
        <f t="shared" si="40"/>
        <v>0</v>
      </c>
      <c r="AB88" s="185">
        <f t="shared" si="41"/>
        <v>1.4430379746835442</v>
      </c>
      <c r="AC88" s="104">
        <f t="shared" si="53"/>
        <v>479</v>
      </c>
      <c r="AD88" s="187">
        <f t="shared" si="42"/>
        <v>42.767859879999996</v>
      </c>
      <c r="AE88" s="188">
        <f t="shared" si="43"/>
        <v>0</v>
      </c>
      <c r="AF88" s="189">
        <f t="shared" si="44"/>
        <v>0</v>
      </c>
      <c r="AG88" s="185">
        <f t="shared" si="45"/>
        <v>6.0632911392405067</v>
      </c>
      <c r="AH88" s="104">
        <f t="shared" si="54"/>
        <v>679</v>
      </c>
      <c r="AI88" s="187">
        <f t="shared" si="46"/>
        <v>60.625003880000001</v>
      </c>
      <c r="AJ88" s="188">
        <f t="shared" si="47"/>
        <v>0</v>
      </c>
      <c r="AK88" s="189">
        <f t="shared" si="48"/>
        <v>0</v>
      </c>
      <c r="AL88" s="185">
        <f t="shared" si="49"/>
        <v>5.9561403508771926</v>
      </c>
      <c r="AM88" s="6" t="str">
        <f t="shared" si="55"/>
        <v>30% Off SL / Annual</v>
      </c>
      <c r="AN88" s="6" t="str">
        <f t="shared" si="56"/>
        <v>15% Off All SKUs</v>
      </c>
      <c r="AO88" s="6" t="str">
        <f t="shared" si="50"/>
        <v>Monthly: 100% Off Next Month</v>
      </c>
      <c r="AP88" s="6" t="str">
        <f t="shared" si="57"/>
        <v>50% Off SL / Annual</v>
      </c>
    </row>
    <row r="89" spans="2:42" ht="13">
      <c r="B89" s="20" t="s">
        <v>157</v>
      </c>
      <c r="C89" s="20" t="s">
        <v>100</v>
      </c>
      <c r="D89" s="6"/>
      <c r="E89" s="6" t="str">
        <f>IF(VLOOKUP(B89,'[7]FY25 PRICING'!$B$5:$AL$246,'[7]FY25 PRICING'!$E$1,FALSE)=0,"","x")</f>
        <v/>
      </c>
      <c r="F89" s="11" t="str">
        <f>+VLOOKUP($B89,'[1]INT Web'!$B$5:$AS$247,'[1]INT Web'!$Q$1,FALSE)</f>
        <v>GIP</v>
      </c>
      <c r="G89" s="22">
        <f>+VLOOKUP($B89,'[1]INT Web'!$B$5:$AS$247,'[1]INT Web'!$U$1,FALSE)</f>
        <v>12.99</v>
      </c>
      <c r="H89" s="22">
        <f>+VLOOKUP($B89,'[1]INT Web'!$B$5:$AS$247,'[1]INT Web'!$S$1,FALSE)</f>
        <v>17.989999999999998</v>
      </c>
      <c r="I89" s="22">
        <f>+VLOOKUP($B89,'[1]INT Web'!$B$5:$AS$247,'[1]INT Web'!$T$1,FALSE)</f>
        <v>79.989999999999995</v>
      </c>
      <c r="J89" s="22">
        <f>+VLOOKUP($B89,'[1]INT Web'!$B$5:$AS$247,'[1]INT Web'!$R$1,FALSE)</f>
        <v>124.99</v>
      </c>
      <c r="K89" s="185">
        <f t="shared" si="32"/>
        <v>6.157813702848344</v>
      </c>
      <c r="L89" s="185">
        <f t="shared" si="32"/>
        <v>6.9477487493051697</v>
      </c>
      <c r="M89" s="185">
        <f t="shared" si="33"/>
        <v>1.3849114703618166</v>
      </c>
      <c r="N89" s="186">
        <v>1.32355</v>
      </c>
      <c r="O89" s="187">
        <f t="shared" si="34"/>
        <v>17.192914500000001</v>
      </c>
      <c r="P89" s="187">
        <f t="shared" si="34"/>
        <v>23.810664499999998</v>
      </c>
      <c r="Q89" s="187">
        <f t="shared" si="34"/>
        <v>105.87076449999999</v>
      </c>
      <c r="R89" s="187">
        <f t="shared" si="31"/>
        <v>165.43051449999999</v>
      </c>
      <c r="S89" s="6">
        <v>0</v>
      </c>
      <c r="T89" s="104">
        <f t="shared" si="51"/>
        <v>12.99</v>
      </c>
      <c r="U89" s="187">
        <f t="shared" si="35"/>
        <v>17.192914500000001</v>
      </c>
      <c r="V89" s="188">
        <f t="shared" si="36"/>
        <v>0</v>
      </c>
      <c r="W89" s="189">
        <f t="shared" si="37"/>
        <v>0</v>
      </c>
      <c r="X89" s="104">
        <f t="shared" si="52"/>
        <v>17.989999999999998</v>
      </c>
      <c r="Y89" s="187">
        <f t="shared" si="38"/>
        <v>23.810664499999998</v>
      </c>
      <c r="Z89" s="188">
        <f t="shared" si="39"/>
        <v>0</v>
      </c>
      <c r="AA89" s="189">
        <f t="shared" si="40"/>
        <v>0</v>
      </c>
      <c r="AB89" s="185">
        <f t="shared" si="41"/>
        <v>1.3849114703618166</v>
      </c>
      <c r="AC89" s="104">
        <f t="shared" si="53"/>
        <v>79.989999999999995</v>
      </c>
      <c r="AD89" s="187">
        <f t="shared" si="42"/>
        <v>105.87076449999999</v>
      </c>
      <c r="AE89" s="188">
        <f t="shared" si="43"/>
        <v>0</v>
      </c>
      <c r="AF89" s="189">
        <f t="shared" si="44"/>
        <v>0</v>
      </c>
      <c r="AG89" s="185">
        <f t="shared" si="45"/>
        <v>6.157813702848344</v>
      </c>
      <c r="AH89" s="104">
        <f t="shared" si="54"/>
        <v>124.99</v>
      </c>
      <c r="AI89" s="187">
        <f t="shared" si="46"/>
        <v>165.43051449999999</v>
      </c>
      <c r="AJ89" s="188">
        <f t="shared" si="47"/>
        <v>0</v>
      </c>
      <c r="AK89" s="189">
        <f t="shared" si="48"/>
        <v>0</v>
      </c>
      <c r="AL89" s="185">
        <f t="shared" si="49"/>
        <v>6.9477487493051697</v>
      </c>
      <c r="AM89" s="6" t="str">
        <f t="shared" si="55"/>
        <v>30% Off SL / Annual</v>
      </c>
      <c r="AN89" s="6" t="str">
        <f t="shared" si="56"/>
        <v>15% Off All SKUs</v>
      </c>
      <c r="AO89" s="6" t="str">
        <f t="shared" si="50"/>
        <v>Monthly: 100% Off Next Month</v>
      </c>
      <c r="AP89" s="6" t="str">
        <f t="shared" si="57"/>
        <v>50% Off SL / Annual</v>
      </c>
    </row>
    <row r="90" spans="2:42" ht="13">
      <c r="B90" s="20" t="s">
        <v>158</v>
      </c>
      <c r="C90" s="20" t="s">
        <v>100</v>
      </c>
      <c r="D90" s="6" t="s">
        <v>478</v>
      </c>
      <c r="E90" s="6" t="str">
        <f>IF(VLOOKUP(B90,'[7]FY25 PRICING'!$B$5:$AL$246,'[7]FY25 PRICING'!$E$1,FALSE)=0,"","x")</f>
        <v/>
      </c>
      <c r="F90" s="11" t="str">
        <f>+VLOOKUP($B90,'[1]INT Web'!$B$5:$AS$247,'[1]INT Web'!$Q$1,FALSE)</f>
        <v>EUR</v>
      </c>
      <c r="G90" s="22">
        <f>+VLOOKUP($B90,'[1]INT Web'!$B$5:$AS$247,'[1]INT Web'!$U$1,FALSE)</f>
        <v>12.99</v>
      </c>
      <c r="H90" s="22">
        <f>+VLOOKUP($B90,'[1]INT Web'!$B$5:$AS$247,'[1]INT Web'!$S$1,FALSE)</f>
        <v>16.989999999999998</v>
      </c>
      <c r="I90" s="22">
        <f>+VLOOKUP($B90,'[1]INT Web'!$B$5:$AS$247,'[1]INT Web'!$T$1,FALSE)</f>
        <v>89.99</v>
      </c>
      <c r="J90" s="22">
        <f>+VLOOKUP($B90,'[1]INT Web'!$B$5:$AS$247,'[1]INT Web'!$R$1,FALSE)</f>
        <v>117.99</v>
      </c>
      <c r="K90" s="185">
        <f t="shared" si="32"/>
        <v>6.9276366435719776</v>
      </c>
      <c r="L90" s="185">
        <f t="shared" si="32"/>
        <v>6.9446733372572105</v>
      </c>
      <c r="M90" s="185">
        <f t="shared" si="33"/>
        <v>1.3079291762894534</v>
      </c>
      <c r="N90" s="186">
        <v>1.1469499999999999</v>
      </c>
      <c r="O90" s="187">
        <f t="shared" si="34"/>
        <v>14.898880499999999</v>
      </c>
      <c r="P90" s="187">
        <f t="shared" si="34"/>
        <v>19.486680499999999</v>
      </c>
      <c r="Q90" s="187">
        <f t="shared" si="34"/>
        <v>103.21403049999999</v>
      </c>
      <c r="R90" s="187">
        <f t="shared" si="31"/>
        <v>135.32863049999997</v>
      </c>
      <c r="S90" s="6" t="s">
        <v>488</v>
      </c>
      <c r="T90" s="104">
        <f t="shared" si="51"/>
        <v>12.99</v>
      </c>
      <c r="U90" s="187">
        <f t="shared" si="35"/>
        <v>14.898880499999999</v>
      </c>
      <c r="V90" s="188">
        <f t="shared" si="36"/>
        <v>0</v>
      </c>
      <c r="W90" s="189">
        <f t="shared" si="37"/>
        <v>0</v>
      </c>
      <c r="X90" s="104">
        <f t="shared" si="52"/>
        <v>16.989999999999998</v>
      </c>
      <c r="Y90" s="187">
        <f t="shared" si="38"/>
        <v>19.486680499999999</v>
      </c>
      <c r="Z90" s="188">
        <f t="shared" si="39"/>
        <v>0</v>
      </c>
      <c r="AA90" s="189">
        <f t="shared" si="40"/>
        <v>0</v>
      </c>
      <c r="AB90" s="185">
        <f t="shared" si="41"/>
        <v>1.3079291762894534</v>
      </c>
      <c r="AC90" s="104">
        <f t="shared" si="53"/>
        <v>89.99</v>
      </c>
      <c r="AD90" s="187">
        <f t="shared" si="42"/>
        <v>103.21403049999999</v>
      </c>
      <c r="AE90" s="188">
        <f t="shared" si="43"/>
        <v>0</v>
      </c>
      <c r="AF90" s="189">
        <f t="shared" si="44"/>
        <v>0</v>
      </c>
      <c r="AG90" s="185">
        <f t="shared" si="45"/>
        <v>6.9276366435719776</v>
      </c>
      <c r="AH90" s="104">
        <f t="shared" si="54"/>
        <v>117.99</v>
      </c>
      <c r="AI90" s="187">
        <f t="shared" si="46"/>
        <v>135.32863049999997</v>
      </c>
      <c r="AJ90" s="188">
        <f t="shared" si="47"/>
        <v>0</v>
      </c>
      <c r="AK90" s="189">
        <f t="shared" si="48"/>
        <v>0</v>
      </c>
      <c r="AL90" s="185">
        <f t="shared" si="49"/>
        <v>6.9446733372572105</v>
      </c>
      <c r="AM90" s="6" t="str">
        <f t="shared" si="55"/>
        <v>30% Off SL / Annual</v>
      </c>
      <c r="AN90" s="6" t="str">
        <f t="shared" si="56"/>
        <v>Messaging Only</v>
      </c>
      <c r="AO90" s="6" t="str">
        <f t="shared" si="50"/>
        <v>Messaging / Pause Flow</v>
      </c>
      <c r="AP90" s="6" t="str">
        <f t="shared" si="57"/>
        <v>50% Off LPP Only</v>
      </c>
    </row>
    <row r="91" spans="2:42" ht="13">
      <c r="B91" s="20" t="s">
        <v>159</v>
      </c>
      <c r="C91" s="20" t="s">
        <v>100</v>
      </c>
      <c r="D91" s="6"/>
      <c r="E91" s="6" t="str">
        <f>IF(VLOOKUP(B91,'[7]FY25 PRICING'!$B$5:$AL$246,'[7]FY25 PRICING'!$E$1,FALSE)=0,"","x")</f>
        <v/>
      </c>
      <c r="F91" s="11" t="str">
        <f>+VLOOKUP($B91,'[1]INT Web'!$B$5:$AS$247,'[1]INT Web'!$Q$1,FALSE)</f>
        <v>DKK</v>
      </c>
      <c r="G91" s="22">
        <f>+VLOOKUP($B91,'[1]INT Web'!$B$5:$AS$247,'[1]INT Web'!$U$1,FALSE)</f>
        <v>139.99</v>
      </c>
      <c r="H91" s="22">
        <f>+VLOOKUP($B91,'[1]INT Web'!$B$5:$AS$247,'[1]INT Web'!$S$1,FALSE)</f>
        <v>179.99</v>
      </c>
      <c r="I91" s="22">
        <f>+VLOOKUP($B91,'[1]INT Web'!$B$5:$AS$247,'[1]INT Web'!$T$1,FALSE)</f>
        <v>829.99</v>
      </c>
      <c r="J91" s="22">
        <f>+VLOOKUP($B91,'[1]INT Web'!$B$5:$AS$247,'[1]INT Web'!$R$1,FALSE)</f>
        <v>1079.99</v>
      </c>
      <c r="K91" s="185">
        <f t="shared" si="32"/>
        <v>5.928923494535324</v>
      </c>
      <c r="L91" s="185">
        <f t="shared" si="32"/>
        <v>6.0002777932107341</v>
      </c>
      <c r="M91" s="185">
        <f t="shared" si="33"/>
        <v>1.285734695335381</v>
      </c>
      <c r="N91" s="186">
        <v>0.15343896000000001</v>
      </c>
      <c r="O91" s="187">
        <f t="shared" si="34"/>
        <v>21.479920010400004</v>
      </c>
      <c r="P91" s="187">
        <f t="shared" si="34"/>
        <v>27.617478410400004</v>
      </c>
      <c r="Q91" s="187">
        <f t="shared" si="34"/>
        <v>127.35280241040002</v>
      </c>
      <c r="R91" s="187">
        <f t="shared" si="31"/>
        <v>165.7125424104</v>
      </c>
      <c r="S91" s="6">
        <v>0</v>
      </c>
      <c r="T91" s="104">
        <f t="shared" si="51"/>
        <v>139.99</v>
      </c>
      <c r="U91" s="187">
        <f t="shared" si="35"/>
        <v>21.479920010400004</v>
      </c>
      <c r="V91" s="188">
        <f t="shared" si="36"/>
        <v>0</v>
      </c>
      <c r="W91" s="189">
        <f t="shared" si="37"/>
        <v>0</v>
      </c>
      <c r="X91" s="104">
        <f t="shared" si="52"/>
        <v>179.99</v>
      </c>
      <c r="Y91" s="187">
        <f t="shared" si="38"/>
        <v>27.617478410400004</v>
      </c>
      <c r="Z91" s="188">
        <f t="shared" si="39"/>
        <v>0</v>
      </c>
      <c r="AA91" s="189">
        <f t="shared" si="40"/>
        <v>0</v>
      </c>
      <c r="AB91" s="185">
        <f t="shared" si="41"/>
        <v>1.285734695335381</v>
      </c>
      <c r="AC91" s="104">
        <f t="shared" si="53"/>
        <v>829.99</v>
      </c>
      <c r="AD91" s="187">
        <f t="shared" si="42"/>
        <v>127.35280241040002</v>
      </c>
      <c r="AE91" s="188">
        <f t="shared" si="43"/>
        <v>0</v>
      </c>
      <c r="AF91" s="189">
        <f t="shared" si="44"/>
        <v>0</v>
      </c>
      <c r="AG91" s="185">
        <f t="shared" si="45"/>
        <v>5.928923494535324</v>
      </c>
      <c r="AH91" s="104">
        <f t="shared" si="54"/>
        <v>1079.99</v>
      </c>
      <c r="AI91" s="187">
        <f t="shared" si="46"/>
        <v>165.7125424104</v>
      </c>
      <c r="AJ91" s="188">
        <f t="shared" si="47"/>
        <v>0</v>
      </c>
      <c r="AK91" s="189">
        <f t="shared" si="48"/>
        <v>0</v>
      </c>
      <c r="AL91" s="185">
        <f t="shared" si="49"/>
        <v>6.0002777932107341</v>
      </c>
      <c r="AM91" s="6" t="str">
        <f t="shared" si="55"/>
        <v>30% Off SL / Annual</v>
      </c>
      <c r="AN91" s="6" t="str">
        <f t="shared" si="56"/>
        <v>15% Off All SKUs</v>
      </c>
      <c r="AO91" s="6" t="str">
        <f t="shared" si="50"/>
        <v>Monthly: 100% Off Next Month</v>
      </c>
      <c r="AP91" s="6" t="str">
        <f t="shared" si="57"/>
        <v>50% Off SL / Annual</v>
      </c>
    </row>
    <row r="92" spans="2:42" ht="13">
      <c r="B92" s="20" t="s">
        <v>160</v>
      </c>
      <c r="C92" s="20" t="s">
        <v>96</v>
      </c>
      <c r="D92" s="6"/>
      <c r="E92" s="6" t="str">
        <f>IF(VLOOKUP(B92,'[7]FY25 PRICING'!$B$5:$AL$246,'[7]FY25 PRICING'!$E$1,FALSE)=0,"","x")</f>
        <v/>
      </c>
      <c r="F92" s="11" t="str">
        <f>+VLOOKUP($B92,'[1]INT Web'!$B$5:$AS$247,'[1]INT Web'!$Q$1,FALSE)</f>
        <v>XCD</v>
      </c>
      <c r="G92" s="22">
        <f>+VLOOKUP($B92,'[1]INT Web'!$B$5:$AS$247,'[1]INT Web'!$U$1,FALSE)</f>
        <v>37.99</v>
      </c>
      <c r="H92" s="22">
        <f>+VLOOKUP($B92,'[1]INT Web'!$B$5:$AS$247,'[1]INT Web'!$S$1,FALSE)</f>
        <v>50.99</v>
      </c>
      <c r="I92" s="22">
        <f>+VLOOKUP($B92,'[1]INT Web'!$B$5:$AS$247,'[1]INT Web'!$T$1,FALSE)</f>
        <v>227.99</v>
      </c>
      <c r="J92" s="22">
        <f>+VLOOKUP($B92,'[1]INT Web'!$B$5:$AS$247,'[1]INT Web'!$R$1,FALSE)</f>
        <v>305.99</v>
      </c>
      <c r="K92" s="185">
        <f t="shared" si="32"/>
        <v>6.0013161358252169</v>
      </c>
      <c r="L92" s="185">
        <f t="shared" si="32"/>
        <v>6.0009805844283193</v>
      </c>
      <c r="M92" s="185">
        <f t="shared" si="33"/>
        <v>1.3421953145564622</v>
      </c>
      <c r="N92" s="186">
        <v>0.37037036000000001</v>
      </c>
      <c r="O92" s="187">
        <f t="shared" si="34"/>
        <v>14.0703699764</v>
      </c>
      <c r="P92" s="187">
        <f t="shared" si="34"/>
        <v>18.8851846564</v>
      </c>
      <c r="Q92" s="187">
        <f t="shared" si="34"/>
        <v>84.440738376400006</v>
      </c>
      <c r="R92" s="187">
        <f t="shared" si="31"/>
        <v>113.32962645640001</v>
      </c>
      <c r="S92" s="6">
        <v>0</v>
      </c>
      <c r="T92" s="104">
        <f t="shared" si="51"/>
        <v>37.99</v>
      </c>
      <c r="U92" s="187">
        <f t="shared" si="35"/>
        <v>14.0703699764</v>
      </c>
      <c r="V92" s="188">
        <f t="shared" si="36"/>
        <v>0</v>
      </c>
      <c r="W92" s="189">
        <f t="shared" si="37"/>
        <v>0</v>
      </c>
      <c r="X92" s="104">
        <f t="shared" si="52"/>
        <v>50.99</v>
      </c>
      <c r="Y92" s="187">
        <f t="shared" si="38"/>
        <v>18.8851846564</v>
      </c>
      <c r="Z92" s="188">
        <f t="shared" si="39"/>
        <v>0</v>
      </c>
      <c r="AA92" s="189">
        <f t="shared" si="40"/>
        <v>0</v>
      </c>
      <c r="AB92" s="185">
        <f t="shared" si="41"/>
        <v>1.3421953145564622</v>
      </c>
      <c r="AC92" s="104">
        <f t="shared" si="53"/>
        <v>227.99</v>
      </c>
      <c r="AD92" s="187">
        <f t="shared" si="42"/>
        <v>84.440738376400006</v>
      </c>
      <c r="AE92" s="188">
        <f t="shared" si="43"/>
        <v>0</v>
      </c>
      <c r="AF92" s="189">
        <f t="shared" si="44"/>
        <v>0</v>
      </c>
      <c r="AG92" s="185">
        <f t="shared" si="45"/>
        <v>6.0013161358252169</v>
      </c>
      <c r="AH92" s="104">
        <f t="shared" si="54"/>
        <v>305.99</v>
      </c>
      <c r="AI92" s="187">
        <f t="shared" si="46"/>
        <v>113.32962645640001</v>
      </c>
      <c r="AJ92" s="188">
        <f t="shared" si="47"/>
        <v>0</v>
      </c>
      <c r="AK92" s="189">
        <f t="shared" si="48"/>
        <v>0</v>
      </c>
      <c r="AL92" s="185">
        <f t="shared" si="49"/>
        <v>6.0009805844283193</v>
      </c>
      <c r="AM92" s="6" t="str">
        <f t="shared" si="55"/>
        <v>30% Off SL / Annual</v>
      </c>
      <c r="AN92" s="6" t="str">
        <f t="shared" si="56"/>
        <v>15% Off All SKUs</v>
      </c>
      <c r="AO92" s="6" t="str">
        <f t="shared" si="50"/>
        <v>Monthly: 100% Off Next Month</v>
      </c>
      <c r="AP92" s="6" t="str">
        <f t="shared" si="57"/>
        <v>50% Off SL / Annual</v>
      </c>
    </row>
    <row r="93" spans="2:42" ht="13">
      <c r="B93" s="20" t="s">
        <v>161</v>
      </c>
      <c r="C93" s="21" t="s">
        <v>100</v>
      </c>
      <c r="D93" s="6"/>
      <c r="E93" s="6" t="str">
        <f>IF(VLOOKUP(B93,'[7]FY25 PRICING'!$B$5:$AL$246,'[7]FY25 PRICING'!$E$1,FALSE)=0,"","x")</f>
        <v/>
      </c>
      <c r="F93" s="11" t="str">
        <f>+VLOOKUP($B93,'[1]INT Web'!$B$5:$AS$247,'[1]INT Web'!$Q$1,FALSE)</f>
        <v>EUR</v>
      </c>
      <c r="G93" s="22">
        <f>+VLOOKUP($B93,'[1]INT Web'!$B$5:$AS$247,'[1]INT Web'!$U$1,FALSE)</f>
        <v>9.99</v>
      </c>
      <c r="H93" s="22">
        <f>+VLOOKUP($B93,'[1]INT Web'!$B$5:$AS$247,'[1]INT Web'!$S$1,FALSE)</f>
        <v>13.99</v>
      </c>
      <c r="I93" s="22">
        <f>+VLOOKUP($B93,'[1]INT Web'!$B$5:$AS$247,'[1]INT Web'!$T$1,FALSE)</f>
        <v>59.99</v>
      </c>
      <c r="J93" s="22">
        <f>+VLOOKUP($B93,'[1]INT Web'!$B$5:$AS$247,'[1]INT Web'!$R$1,FALSE)</f>
        <v>84.99</v>
      </c>
      <c r="K93" s="185">
        <f t="shared" si="32"/>
        <v>6.005005005005005</v>
      </c>
      <c r="L93" s="185">
        <f t="shared" si="32"/>
        <v>6.0750536097212287</v>
      </c>
      <c r="M93" s="185">
        <f t="shared" si="33"/>
        <v>1.4004004004004005</v>
      </c>
      <c r="N93" s="186">
        <v>1.1469499999999999</v>
      </c>
      <c r="O93" s="187">
        <f t="shared" si="34"/>
        <v>11.4580305</v>
      </c>
      <c r="P93" s="187">
        <f t="shared" si="34"/>
        <v>16.045830499999997</v>
      </c>
      <c r="Q93" s="187">
        <f t="shared" si="34"/>
        <v>68.805530500000003</v>
      </c>
      <c r="R93" s="187">
        <f t="shared" si="31"/>
        <v>97.479280499999987</v>
      </c>
      <c r="S93" s="6">
        <v>0</v>
      </c>
      <c r="T93" s="104">
        <f t="shared" si="51"/>
        <v>9.99</v>
      </c>
      <c r="U93" s="187">
        <f t="shared" si="35"/>
        <v>11.4580305</v>
      </c>
      <c r="V93" s="188">
        <f t="shared" si="36"/>
        <v>0</v>
      </c>
      <c r="W93" s="189">
        <f t="shared" si="37"/>
        <v>0</v>
      </c>
      <c r="X93" s="104">
        <f t="shared" si="52"/>
        <v>13.99</v>
      </c>
      <c r="Y93" s="187">
        <f t="shared" si="38"/>
        <v>16.045830499999997</v>
      </c>
      <c r="Z93" s="188">
        <f t="shared" si="39"/>
        <v>0</v>
      </c>
      <c r="AA93" s="189">
        <f t="shared" si="40"/>
        <v>0</v>
      </c>
      <c r="AB93" s="185">
        <f t="shared" si="41"/>
        <v>1.4004004004004005</v>
      </c>
      <c r="AC93" s="104">
        <f t="shared" si="53"/>
        <v>59.99</v>
      </c>
      <c r="AD93" s="187">
        <f t="shared" si="42"/>
        <v>68.805530500000003</v>
      </c>
      <c r="AE93" s="188">
        <f t="shared" si="43"/>
        <v>0</v>
      </c>
      <c r="AF93" s="189">
        <f t="shared" si="44"/>
        <v>0</v>
      </c>
      <c r="AG93" s="185">
        <f t="shared" si="45"/>
        <v>6.005005005005005</v>
      </c>
      <c r="AH93" s="104">
        <f t="shared" si="54"/>
        <v>84.99</v>
      </c>
      <c r="AI93" s="187">
        <f t="shared" si="46"/>
        <v>97.479280499999987</v>
      </c>
      <c r="AJ93" s="188">
        <f t="shared" si="47"/>
        <v>0</v>
      </c>
      <c r="AK93" s="189">
        <f t="shared" si="48"/>
        <v>0</v>
      </c>
      <c r="AL93" s="185">
        <f t="shared" si="49"/>
        <v>6.0750536097212287</v>
      </c>
      <c r="AM93" s="6" t="str">
        <f t="shared" si="55"/>
        <v>30% Off SL / Annual</v>
      </c>
      <c r="AN93" s="6" t="str">
        <f t="shared" si="56"/>
        <v>15% Off All SKUs</v>
      </c>
      <c r="AO93" s="6" t="str">
        <f t="shared" si="50"/>
        <v>Monthly: 100% Off Next Month</v>
      </c>
      <c r="AP93" s="6" t="str">
        <f t="shared" si="57"/>
        <v>50% Off SL / Annual</v>
      </c>
    </row>
    <row r="94" spans="2:42" ht="13">
      <c r="B94" s="20" t="s">
        <v>162</v>
      </c>
      <c r="C94" s="20" t="s">
        <v>96</v>
      </c>
      <c r="D94" s="6" t="s">
        <v>478</v>
      </c>
      <c r="E94" s="6" t="str">
        <f>IF(VLOOKUP(B94,'[7]FY25 PRICING'!$B$5:$AL$246,'[7]FY25 PRICING'!$E$1,FALSE)=0,"","x")</f>
        <v/>
      </c>
      <c r="F94" s="11" t="str">
        <f>+VLOOKUP($B94,'[1]INT Web'!$B$5:$AS$247,'[1]INT Web'!$Q$1,FALSE)</f>
        <v>GTQ</v>
      </c>
      <c r="G94" s="22">
        <f>+VLOOKUP($B94,'[1]INT Web'!$B$5:$AS$247,'[1]INT Web'!$U$1,FALSE)</f>
        <v>84.99</v>
      </c>
      <c r="H94" s="22">
        <f>+VLOOKUP($B94,'[1]INT Web'!$B$5:$AS$247,'[1]INT Web'!$S$1,FALSE)</f>
        <v>124.99</v>
      </c>
      <c r="I94" s="22">
        <f>+VLOOKUP($B94,'[1]INT Web'!$B$5:$AS$247,'[1]INT Web'!$T$1,FALSE)</f>
        <v>509.99</v>
      </c>
      <c r="J94" s="22">
        <f>+VLOOKUP($B94,'[1]INT Web'!$B$5:$AS$247,'[1]INT Web'!$R$1,FALSE)</f>
        <v>749.99</v>
      </c>
      <c r="K94" s="185">
        <f t="shared" si="32"/>
        <v>6.0005883045064126</v>
      </c>
      <c r="L94" s="185">
        <f t="shared" si="32"/>
        <v>6.0004000320025606</v>
      </c>
      <c r="M94" s="185">
        <f t="shared" si="33"/>
        <v>1.4706436051300154</v>
      </c>
      <c r="N94" s="186">
        <v>0.13131114999999999</v>
      </c>
      <c r="O94" s="187">
        <f t="shared" si="34"/>
        <v>11.160134638499999</v>
      </c>
      <c r="P94" s="187">
        <f t="shared" si="34"/>
        <v>16.412580638499996</v>
      </c>
      <c r="Q94" s="187">
        <f t="shared" si="34"/>
        <v>66.967373388499993</v>
      </c>
      <c r="R94" s="187">
        <f t="shared" si="31"/>
        <v>98.482049388499988</v>
      </c>
      <c r="S94" s="6" t="s">
        <v>485</v>
      </c>
      <c r="T94" s="104">
        <f t="shared" si="51"/>
        <v>84.99</v>
      </c>
      <c r="U94" s="187">
        <f t="shared" si="35"/>
        <v>11.160134638499999</v>
      </c>
      <c r="V94" s="188">
        <f t="shared" si="36"/>
        <v>0</v>
      </c>
      <c r="W94" s="189">
        <f t="shared" si="37"/>
        <v>0</v>
      </c>
      <c r="X94" s="104">
        <f t="shared" si="52"/>
        <v>124.99</v>
      </c>
      <c r="Y94" s="187">
        <f t="shared" si="38"/>
        <v>16.412580638499996</v>
      </c>
      <c r="Z94" s="188">
        <f t="shared" si="39"/>
        <v>0</v>
      </c>
      <c r="AA94" s="189">
        <f t="shared" si="40"/>
        <v>0</v>
      </c>
      <c r="AB94" s="185">
        <f t="shared" si="41"/>
        <v>1.4706436051300154</v>
      </c>
      <c r="AC94" s="104">
        <f t="shared" si="53"/>
        <v>509.99</v>
      </c>
      <c r="AD94" s="187">
        <f t="shared" si="42"/>
        <v>66.967373388499993</v>
      </c>
      <c r="AE94" s="188">
        <f t="shared" si="43"/>
        <v>0</v>
      </c>
      <c r="AF94" s="189">
        <f t="shared" si="44"/>
        <v>0</v>
      </c>
      <c r="AG94" s="185">
        <f t="shared" si="45"/>
        <v>6.0005883045064126</v>
      </c>
      <c r="AH94" s="104">
        <f t="shared" si="54"/>
        <v>749.99</v>
      </c>
      <c r="AI94" s="187">
        <f t="shared" si="46"/>
        <v>98.482049388499988</v>
      </c>
      <c r="AJ94" s="188">
        <f t="shared" si="47"/>
        <v>0</v>
      </c>
      <c r="AK94" s="189">
        <f t="shared" si="48"/>
        <v>0</v>
      </c>
      <c r="AL94" s="185">
        <f t="shared" si="49"/>
        <v>6.0004000320025606</v>
      </c>
      <c r="AM94" s="6" t="str">
        <f t="shared" si="55"/>
        <v>30% Off SL / Annual</v>
      </c>
      <c r="AN94" s="6" t="str">
        <f t="shared" si="56"/>
        <v>Messaging Only</v>
      </c>
      <c r="AO94" s="6" t="str">
        <f t="shared" si="50"/>
        <v>Messaging / Pause Flow</v>
      </c>
      <c r="AP94" s="6" t="str">
        <f t="shared" si="57"/>
        <v>50% Off LPP Only</v>
      </c>
    </row>
    <row r="95" spans="2:42" ht="13">
      <c r="B95" s="20" t="s">
        <v>163</v>
      </c>
      <c r="C95" s="20" t="s">
        <v>100</v>
      </c>
      <c r="D95" s="6"/>
      <c r="E95" s="6" t="str">
        <f>IF(VLOOKUP(B95,'[7]FY25 PRICING'!$B$5:$AL$246,'[7]FY25 PRICING'!$E$1,FALSE)=0,"","x")</f>
        <v/>
      </c>
      <c r="F95" s="11" t="str">
        <f>+VLOOKUP($B95,'[1]INT Web'!$B$5:$AS$247,'[1]INT Web'!$Q$1,FALSE)</f>
        <v>GBP</v>
      </c>
      <c r="G95" s="22">
        <f>+VLOOKUP($B95,'[1]INT Web'!$B$5:$AS$247,'[1]INT Web'!$U$1,FALSE)</f>
        <v>14.99</v>
      </c>
      <c r="H95" s="22">
        <f>+VLOOKUP($B95,'[1]INT Web'!$B$5:$AS$247,'[1]INT Web'!$S$1,FALSE)</f>
        <v>19.989999999999998</v>
      </c>
      <c r="I95" s="22">
        <f>+VLOOKUP($B95,'[1]INT Web'!$B$5:$AS$247,'[1]INT Web'!$T$1,FALSE)</f>
        <v>89.99</v>
      </c>
      <c r="J95" s="22">
        <f>+VLOOKUP($B95,'[1]INT Web'!$B$5:$AS$247,'[1]INT Web'!$R$1,FALSE)</f>
        <v>139.99</v>
      </c>
      <c r="K95" s="185">
        <f t="shared" si="32"/>
        <v>6.0033355570380253</v>
      </c>
      <c r="L95" s="185">
        <f t="shared" si="32"/>
        <v>7.0030015007503765</v>
      </c>
      <c r="M95" s="185">
        <f t="shared" si="33"/>
        <v>1.333555703802535</v>
      </c>
      <c r="N95" s="186">
        <v>1.3230500000000001</v>
      </c>
      <c r="O95" s="187">
        <f t="shared" si="34"/>
        <v>19.8325195</v>
      </c>
      <c r="P95" s="187">
        <f t="shared" si="34"/>
        <v>26.4477695</v>
      </c>
      <c r="Q95" s="187">
        <f t="shared" si="34"/>
        <v>119.06126949999999</v>
      </c>
      <c r="R95" s="187">
        <f t="shared" si="31"/>
        <v>185.21376950000001</v>
      </c>
      <c r="S95" s="6">
        <v>0</v>
      </c>
      <c r="T95" s="104">
        <f t="shared" si="51"/>
        <v>14.99</v>
      </c>
      <c r="U95" s="187">
        <f t="shared" si="35"/>
        <v>19.8325195</v>
      </c>
      <c r="V95" s="188">
        <f t="shared" si="36"/>
        <v>0</v>
      </c>
      <c r="W95" s="189">
        <f t="shared" si="37"/>
        <v>0</v>
      </c>
      <c r="X95" s="104">
        <f t="shared" si="52"/>
        <v>19.989999999999998</v>
      </c>
      <c r="Y95" s="187">
        <f t="shared" si="38"/>
        <v>26.4477695</v>
      </c>
      <c r="Z95" s="188">
        <f t="shared" si="39"/>
        <v>0</v>
      </c>
      <c r="AA95" s="189">
        <f t="shared" si="40"/>
        <v>0</v>
      </c>
      <c r="AB95" s="185">
        <f t="shared" si="41"/>
        <v>1.333555703802535</v>
      </c>
      <c r="AC95" s="104">
        <f t="shared" si="53"/>
        <v>89.99</v>
      </c>
      <c r="AD95" s="187">
        <f t="shared" si="42"/>
        <v>119.06126949999999</v>
      </c>
      <c r="AE95" s="188">
        <f t="shared" si="43"/>
        <v>0</v>
      </c>
      <c r="AF95" s="189">
        <f t="shared" si="44"/>
        <v>0</v>
      </c>
      <c r="AG95" s="185">
        <f t="shared" si="45"/>
        <v>6.0033355570380253</v>
      </c>
      <c r="AH95" s="104">
        <f t="shared" si="54"/>
        <v>139.99</v>
      </c>
      <c r="AI95" s="187">
        <f t="shared" si="46"/>
        <v>185.21376950000001</v>
      </c>
      <c r="AJ95" s="188">
        <f t="shared" si="47"/>
        <v>0</v>
      </c>
      <c r="AK95" s="189">
        <f t="shared" si="48"/>
        <v>0</v>
      </c>
      <c r="AL95" s="185">
        <f t="shared" si="49"/>
        <v>7.0030015007503765</v>
      </c>
      <c r="AM95" s="6" t="str">
        <f t="shared" si="55"/>
        <v>30% Off SL / Annual</v>
      </c>
      <c r="AN95" s="6" t="str">
        <f t="shared" si="56"/>
        <v>15% Off All SKUs</v>
      </c>
      <c r="AO95" s="6" t="str">
        <f t="shared" si="50"/>
        <v>Monthly: 100% Off Next Month</v>
      </c>
      <c r="AP95" s="6" t="str">
        <f t="shared" si="57"/>
        <v>50% Off SL / Annual</v>
      </c>
    </row>
    <row r="96" spans="2:42" ht="13">
      <c r="B96" s="20" t="s">
        <v>164</v>
      </c>
      <c r="C96" s="20" t="s">
        <v>270</v>
      </c>
      <c r="D96" s="6"/>
      <c r="E96" s="6" t="str">
        <f>IF(VLOOKUP(B96,'[7]FY25 PRICING'!$B$5:$AL$246,'[7]FY25 PRICING'!$E$1,FALSE)=0,"","x")</f>
        <v/>
      </c>
      <c r="F96" s="11" t="str">
        <f>+VLOOKUP($B96,'[1]INT Web'!$B$5:$AS$247,'[1]INT Web'!$Q$1,FALSE)</f>
        <v>GNF</v>
      </c>
      <c r="G96" s="136">
        <f>+VLOOKUP($B96,'[1]INT Web'!$B$5:$AS$247,'[1]INT Web'!$U$1,FALSE)</f>
        <v>80800</v>
      </c>
      <c r="H96" s="136">
        <f>+VLOOKUP($B96,'[1]INT Web'!$B$5:$AS$247,'[1]INT Web'!$S$1,FALSE)</f>
        <v>109080</v>
      </c>
      <c r="I96" s="22">
        <f>+VLOOKUP($B96,'[1]INT Web'!$B$5:$AS$247,'[1]INT Web'!$T$1,FALSE)</f>
        <v>484800</v>
      </c>
      <c r="J96" s="22">
        <f>+VLOOKUP($B96,'[1]INT Web'!$B$5:$AS$247,'[1]INT Web'!$R$1,FALSE)</f>
        <v>654480</v>
      </c>
      <c r="K96" s="185">
        <f t="shared" si="32"/>
        <v>6</v>
      </c>
      <c r="L96" s="185">
        <f t="shared" si="32"/>
        <v>6</v>
      </c>
      <c r="M96" s="185">
        <f t="shared" si="33"/>
        <v>1.35</v>
      </c>
      <c r="N96" s="186">
        <v>1.1392766E-4</v>
      </c>
      <c r="O96" s="187">
        <f t="shared" si="34"/>
        <v>9.2053549280000002</v>
      </c>
      <c r="P96" s="187">
        <f t="shared" si="34"/>
        <v>12.427229152800001</v>
      </c>
      <c r="Q96" s="187">
        <f t="shared" si="34"/>
        <v>55.232129567999998</v>
      </c>
      <c r="R96" s="187">
        <f t="shared" si="31"/>
        <v>74.563374916800001</v>
      </c>
      <c r="S96" s="6">
        <v>0</v>
      </c>
      <c r="T96" s="104">
        <f t="shared" si="51"/>
        <v>80800</v>
      </c>
      <c r="U96" s="187">
        <f t="shared" si="35"/>
        <v>9.2053549280000002</v>
      </c>
      <c r="V96" s="188">
        <f t="shared" si="36"/>
        <v>0</v>
      </c>
      <c r="W96" s="189">
        <f t="shared" si="37"/>
        <v>0</v>
      </c>
      <c r="X96" s="104">
        <f t="shared" si="52"/>
        <v>109080</v>
      </c>
      <c r="Y96" s="187">
        <f t="shared" si="38"/>
        <v>12.427229152800001</v>
      </c>
      <c r="Z96" s="188">
        <f t="shared" si="39"/>
        <v>0</v>
      </c>
      <c r="AA96" s="189">
        <f t="shared" si="40"/>
        <v>0</v>
      </c>
      <c r="AB96" s="185">
        <f t="shared" si="41"/>
        <v>1.35</v>
      </c>
      <c r="AC96" s="104">
        <f t="shared" si="53"/>
        <v>484800</v>
      </c>
      <c r="AD96" s="187">
        <f t="shared" si="42"/>
        <v>55.232129567999998</v>
      </c>
      <c r="AE96" s="188">
        <f t="shared" si="43"/>
        <v>0</v>
      </c>
      <c r="AF96" s="189">
        <f t="shared" si="44"/>
        <v>0</v>
      </c>
      <c r="AG96" s="185">
        <f t="shared" si="45"/>
        <v>6</v>
      </c>
      <c r="AH96" s="104">
        <f t="shared" si="54"/>
        <v>654480</v>
      </c>
      <c r="AI96" s="187">
        <f t="shared" si="46"/>
        <v>74.563374916800001</v>
      </c>
      <c r="AJ96" s="188">
        <f t="shared" si="47"/>
        <v>0</v>
      </c>
      <c r="AK96" s="189">
        <f t="shared" si="48"/>
        <v>0</v>
      </c>
      <c r="AL96" s="185">
        <f t="shared" si="49"/>
        <v>6</v>
      </c>
      <c r="AM96" s="6" t="str">
        <f t="shared" si="55"/>
        <v>30% Off SL / Annual</v>
      </c>
      <c r="AN96" s="6" t="str">
        <f t="shared" si="56"/>
        <v>15% Off All SKUs</v>
      </c>
      <c r="AO96" s="6" t="str">
        <f t="shared" si="50"/>
        <v>Monthly: 100% Off Next Month</v>
      </c>
      <c r="AP96" s="6" t="str">
        <f t="shared" si="57"/>
        <v>50% Off SL / Annual</v>
      </c>
    </row>
    <row r="97" spans="2:42" ht="13">
      <c r="B97" s="20" t="s">
        <v>165</v>
      </c>
      <c r="C97" s="20" t="s">
        <v>270</v>
      </c>
      <c r="D97" s="6"/>
      <c r="E97" s="6" t="str">
        <f>IF(VLOOKUP(B97,'[7]FY25 PRICING'!$B$5:$AL$246,'[7]FY25 PRICING'!$E$1,FALSE)=0,"","x")</f>
        <v/>
      </c>
      <c r="F97" s="11" t="str">
        <f>+VLOOKUP($B97,'[1]INT Web'!$B$5:$AS$247,'[1]INT Web'!$Q$1,FALSE)</f>
        <v>XOF</v>
      </c>
      <c r="G97" s="136">
        <f>+VLOOKUP($B97,'[1]INT Web'!$B$5:$AS$247,'[1]INT Web'!$U$1,FALSE)</f>
        <v>5400</v>
      </c>
      <c r="H97" s="136">
        <f>+VLOOKUP($B97,'[1]INT Web'!$B$5:$AS$247,'[1]INT Web'!$S$1,FALSE)</f>
        <v>7290</v>
      </c>
      <c r="I97" s="22">
        <f>+VLOOKUP($B97,'[1]INT Web'!$B$5:$AS$247,'[1]INT Web'!$T$1,FALSE)</f>
        <v>32400</v>
      </c>
      <c r="J97" s="22">
        <f>+VLOOKUP($B97,'[1]INT Web'!$B$5:$AS$247,'[1]INT Web'!$R$1,FALSE)</f>
        <v>43740</v>
      </c>
      <c r="K97" s="185">
        <f t="shared" si="32"/>
        <v>6</v>
      </c>
      <c r="L97" s="185">
        <f t="shared" si="32"/>
        <v>6</v>
      </c>
      <c r="M97" s="185">
        <f t="shared" si="33"/>
        <v>1.35</v>
      </c>
      <c r="N97" s="186">
        <v>1.7485141000000001E-3</v>
      </c>
      <c r="O97" s="187">
        <f t="shared" si="34"/>
        <v>9.4419761400000013</v>
      </c>
      <c r="P97" s="187">
        <f t="shared" si="34"/>
        <v>12.746667789</v>
      </c>
      <c r="Q97" s="187">
        <f t="shared" si="34"/>
        <v>56.651856840000001</v>
      </c>
      <c r="R97" s="187">
        <f t="shared" si="31"/>
        <v>76.480006734</v>
      </c>
      <c r="S97" s="6">
        <v>0</v>
      </c>
      <c r="T97" s="104">
        <f t="shared" si="51"/>
        <v>5400</v>
      </c>
      <c r="U97" s="187">
        <f t="shared" si="35"/>
        <v>9.4419761400000013</v>
      </c>
      <c r="V97" s="188">
        <f t="shared" si="36"/>
        <v>0</v>
      </c>
      <c r="W97" s="189">
        <f t="shared" si="37"/>
        <v>0</v>
      </c>
      <c r="X97" s="104">
        <f t="shared" si="52"/>
        <v>7290</v>
      </c>
      <c r="Y97" s="187">
        <f t="shared" si="38"/>
        <v>12.746667789</v>
      </c>
      <c r="Z97" s="188">
        <f t="shared" si="39"/>
        <v>0</v>
      </c>
      <c r="AA97" s="189">
        <f t="shared" si="40"/>
        <v>0</v>
      </c>
      <c r="AB97" s="185">
        <f t="shared" si="41"/>
        <v>1.35</v>
      </c>
      <c r="AC97" s="104">
        <f t="shared" si="53"/>
        <v>32400</v>
      </c>
      <c r="AD97" s="187">
        <f t="shared" si="42"/>
        <v>56.651856840000001</v>
      </c>
      <c r="AE97" s="188">
        <f t="shared" si="43"/>
        <v>0</v>
      </c>
      <c r="AF97" s="189">
        <f t="shared" si="44"/>
        <v>0</v>
      </c>
      <c r="AG97" s="185">
        <f t="shared" si="45"/>
        <v>6</v>
      </c>
      <c r="AH97" s="104">
        <f t="shared" si="54"/>
        <v>43740</v>
      </c>
      <c r="AI97" s="187">
        <f t="shared" si="46"/>
        <v>76.480006734</v>
      </c>
      <c r="AJ97" s="188">
        <f t="shared" si="47"/>
        <v>0</v>
      </c>
      <c r="AK97" s="189">
        <f t="shared" si="48"/>
        <v>0</v>
      </c>
      <c r="AL97" s="185">
        <f t="shared" si="49"/>
        <v>6</v>
      </c>
      <c r="AM97" s="6" t="str">
        <f t="shared" si="55"/>
        <v>30% Off SL / Annual</v>
      </c>
      <c r="AN97" s="6" t="str">
        <f t="shared" si="56"/>
        <v>15% Off All SKUs</v>
      </c>
      <c r="AO97" s="6" t="str">
        <f t="shared" si="50"/>
        <v>Monthly: 100% Off Next Month</v>
      </c>
      <c r="AP97" s="6" t="str">
        <f t="shared" si="57"/>
        <v>50% Off SL / Annual</v>
      </c>
    </row>
    <row r="98" spans="2:42" ht="13">
      <c r="B98" s="20" t="s">
        <v>166</v>
      </c>
      <c r="C98" s="20" t="s">
        <v>96</v>
      </c>
      <c r="D98" s="6"/>
      <c r="E98" s="6" t="str">
        <f>IF(VLOOKUP(B98,'[7]FY25 PRICING'!$B$5:$AL$246,'[7]FY25 PRICING'!$E$1,FALSE)=0,"","x")</f>
        <v/>
      </c>
      <c r="F98" s="11" t="str">
        <f>+VLOOKUP($B98,'[1]INT Web'!$B$5:$AS$247,'[1]INT Web'!$Q$1,FALSE)</f>
        <v>GYD</v>
      </c>
      <c r="G98" s="22">
        <f>+VLOOKUP($B98,'[1]INT Web'!$B$5:$AS$247,'[1]INT Web'!$U$1,FALSE)</f>
        <v>2899.99</v>
      </c>
      <c r="H98" s="22">
        <f>+VLOOKUP($B98,'[1]INT Web'!$B$5:$AS$247,'[1]INT Web'!$S$1,FALSE)</f>
        <v>4199.99</v>
      </c>
      <c r="I98" s="22">
        <f>+VLOOKUP($B98,'[1]INT Web'!$B$5:$AS$247,'[1]INT Web'!$T$1,FALSE)</f>
        <v>17399.990000000002</v>
      </c>
      <c r="J98" s="22">
        <f>+VLOOKUP($B98,'[1]INT Web'!$B$5:$AS$247,'[1]INT Web'!$R$1,FALSE)</f>
        <v>25199.99</v>
      </c>
      <c r="K98" s="185">
        <f t="shared" si="32"/>
        <v>6.0000172414387647</v>
      </c>
      <c r="L98" s="185">
        <f t="shared" si="32"/>
        <v>6.0000119047902505</v>
      </c>
      <c r="M98" s="185">
        <f t="shared" si="33"/>
        <v>1.4482774078531306</v>
      </c>
      <c r="N98" s="186">
        <v>4.7904374E-3</v>
      </c>
      <c r="O98" s="187">
        <f t="shared" si="34"/>
        <v>13.892220555625999</v>
      </c>
      <c r="P98" s="187">
        <f t="shared" si="34"/>
        <v>20.119789175626</v>
      </c>
      <c r="Q98" s="187">
        <f t="shared" si="34"/>
        <v>83.353562855626009</v>
      </c>
      <c r="R98" s="187">
        <f t="shared" si="31"/>
        <v>120.71897457562601</v>
      </c>
      <c r="S98" s="6" t="s">
        <v>484</v>
      </c>
      <c r="T98" s="104">
        <f t="shared" si="51"/>
        <v>2899.99</v>
      </c>
      <c r="U98" s="187">
        <f t="shared" si="35"/>
        <v>13.892220555625999</v>
      </c>
      <c r="V98" s="188">
        <f t="shared" si="36"/>
        <v>0</v>
      </c>
      <c r="W98" s="189">
        <f t="shared" si="37"/>
        <v>0</v>
      </c>
      <c r="X98" s="104">
        <f t="shared" si="52"/>
        <v>4199.99</v>
      </c>
      <c r="Y98" s="187">
        <f t="shared" si="38"/>
        <v>20.119789175626</v>
      </c>
      <c r="Z98" s="188">
        <f t="shared" si="39"/>
        <v>0</v>
      </c>
      <c r="AA98" s="189">
        <f t="shared" si="40"/>
        <v>0</v>
      </c>
      <c r="AB98" s="185">
        <f t="shared" si="41"/>
        <v>1.4482774078531306</v>
      </c>
      <c r="AC98" s="104">
        <f t="shared" si="53"/>
        <v>17399.990000000002</v>
      </c>
      <c r="AD98" s="187">
        <f t="shared" si="42"/>
        <v>83.353562855626009</v>
      </c>
      <c r="AE98" s="188">
        <f t="shared" si="43"/>
        <v>0</v>
      </c>
      <c r="AF98" s="189">
        <f t="shared" si="44"/>
        <v>0</v>
      </c>
      <c r="AG98" s="185">
        <f t="shared" si="45"/>
        <v>6.0000172414387647</v>
      </c>
      <c r="AH98" s="104">
        <f t="shared" si="54"/>
        <v>25199.99</v>
      </c>
      <c r="AI98" s="187">
        <f t="shared" si="46"/>
        <v>120.71897457562601</v>
      </c>
      <c r="AJ98" s="188">
        <f t="shared" si="47"/>
        <v>0</v>
      </c>
      <c r="AK98" s="189">
        <f t="shared" si="48"/>
        <v>0</v>
      </c>
      <c r="AL98" s="185">
        <f t="shared" si="49"/>
        <v>6.0000119047902505</v>
      </c>
      <c r="AM98" s="6" t="str">
        <f t="shared" si="55"/>
        <v>30% Off SL / Annual</v>
      </c>
      <c r="AN98" s="6" t="str">
        <f t="shared" si="56"/>
        <v>Messaging Only</v>
      </c>
      <c r="AO98" s="6" t="str">
        <f t="shared" si="50"/>
        <v>Messaging / Pause Flow</v>
      </c>
      <c r="AP98" s="6" t="str">
        <f t="shared" si="57"/>
        <v>50% Off LPP Only</v>
      </c>
    </row>
    <row r="99" spans="2:42" ht="13">
      <c r="B99" s="20" t="s">
        <v>167</v>
      </c>
      <c r="C99" s="20" t="s">
        <v>96</v>
      </c>
      <c r="D99" s="6"/>
      <c r="E99" s="6" t="str">
        <f>IF(VLOOKUP(B99,'[7]FY25 PRICING'!$B$5:$AL$246,'[7]FY25 PRICING'!$E$1,FALSE)=0,"","x")</f>
        <v/>
      </c>
      <c r="F99" s="11" t="str">
        <f>+VLOOKUP($B99,'[1]INT Web'!$B$5:$AS$247,'[1]INT Web'!$Q$1,FALSE)</f>
        <v>HTG</v>
      </c>
      <c r="G99" s="22">
        <f>+VLOOKUP($B99,'[1]INT Web'!$B$5:$AS$247,'[1]INT Web'!$U$1,FALSE)</f>
        <v>1600</v>
      </c>
      <c r="H99" s="22">
        <f>+VLOOKUP($B99,'[1]INT Web'!$B$5:$AS$247,'[1]INT Web'!$S$1,FALSE)</f>
        <v>2160</v>
      </c>
      <c r="I99" s="22">
        <f>+VLOOKUP($B99,'[1]INT Web'!$B$5:$AS$247,'[1]INT Web'!$T$1,FALSE)</f>
        <v>9600</v>
      </c>
      <c r="J99" s="22">
        <f>+VLOOKUP($B99,'[1]INT Web'!$B$5:$AS$247,'[1]INT Web'!$R$1,FALSE)</f>
        <v>12960</v>
      </c>
      <c r="K99" s="185">
        <f t="shared" si="32"/>
        <v>6</v>
      </c>
      <c r="L99" s="185">
        <f t="shared" si="32"/>
        <v>6</v>
      </c>
      <c r="M99" s="185">
        <f t="shared" si="33"/>
        <v>1.35</v>
      </c>
      <c r="N99" s="186">
        <v>7.6609039999999996E-3</v>
      </c>
      <c r="O99" s="187">
        <f t="shared" si="34"/>
        <v>12.257446399999999</v>
      </c>
      <c r="P99" s="187">
        <f t="shared" si="34"/>
        <v>16.547552639999999</v>
      </c>
      <c r="Q99" s="187">
        <f t="shared" si="34"/>
        <v>73.544678399999995</v>
      </c>
      <c r="R99" s="187">
        <f t="shared" si="31"/>
        <v>99.285315839999996</v>
      </c>
      <c r="S99" s="6">
        <v>0</v>
      </c>
      <c r="T99" s="104">
        <f t="shared" si="51"/>
        <v>1600</v>
      </c>
      <c r="U99" s="187">
        <f t="shared" si="35"/>
        <v>12.257446399999999</v>
      </c>
      <c r="V99" s="188">
        <f t="shared" si="36"/>
        <v>0</v>
      </c>
      <c r="W99" s="189">
        <f t="shared" si="37"/>
        <v>0</v>
      </c>
      <c r="X99" s="104">
        <f t="shared" si="52"/>
        <v>2160</v>
      </c>
      <c r="Y99" s="187">
        <f t="shared" si="38"/>
        <v>16.547552639999999</v>
      </c>
      <c r="Z99" s="188">
        <f t="shared" si="39"/>
        <v>0</v>
      </c>
      <c r="AA99" s="189">
        <f t="shared" si="40"/>
        <v>0</v>
      </c>
      <c r="AB99" s="185">
        <f t="shared" si="41"/>
        <v>1.35</v>
      </c>
      <c r="AC99" s="104">
        <f t="shared" si="53"/>
        <v>9600</v>
      </c>
      <c r="AD99" s="187">
        <f t="shared" si="42"/>
        <v>73.544678399999995</v>
      </c>
      <c r="AE99" s="188">
        <f t="shared" si="43"/>
        <v>0</v>
      </c>
      <c r="AF99" s="189">
        <f t="shared" si="44"/>
        <v>0</v>
      </c>
      <c r="AG99" s="185">
        <f t="shared" si="45"/>
        <v>6</v>
      </c>
      <c r="AH99" s="104">
        <f t="shared" si="54"/>
        <v>12960</v>
      </c>
      <c r="AI99" s="187">
        <f t="shared" si="46"/>
        <v>99.285315839999996</v>
      </c>
      <c r="AJ99" s="188">
        <f t="shared" si="47"/>
        <v>0</v>
      </c>
      <c r="AK99" s="189">
        <f t="shared" si="48"/>
        <v>0</v>
      </c>
      <c r="AL99" s="185">
        <f t="shared" si="49"/>
        <v>6</v>
      </c>
      <c r="AM99" s="6" t="str">
        <f t="shared" si="55"/>
        <v>30% Off SL / Annual</v>
      </c>
      <c r="AN99" s="6" t="str">
        <f t="shared" si="56"/>
        <v>15% Off All SKUs</v>
      </c>
      <c r="AO99" s="6" t="str">
        <f t="shared" si="50"/>
        <v>Monthly: 100% Off Next Month</v>
      </c>
      <c r="AP99" s="6" t="str">
        <f t="shared" si="57"/>
        <v>50% Off SL / Annual</v>
      </c>
    </row>
    <row r="100" spans="2:42" ht="13">
      <c r="B100" s="20" t="s">
        <v>168</v>
      </c>
      <c r="C100" s="20" t="s">
        <v>173</v>
      </c>
      <c r="D100" s="6"/>
      <c r="E100" s="6" t="str">
        <f>IF(VLOOKUP(B100,'[7]FY25 PRICING'!$B$5:$AL$246,'[7]FY25 PRICING'!$E$1,FALSE)=0,"","x")</f>
        <v/>
      </c>
      <c r="F100" s="11" t="str">
        <f>+VLOOKUP($B100,'[1]INT Web'!$B$5:$AS$247,'[1]INT Web'!$Q$1,FALSE)</f>
        <v>AUD</v>
      </c>
      <c r="G100" s="22">
        <f>+VLOOKUP($B100,'[1]INT Web'!$B$5:$AS$247,'[1]INT Web'!$U$1,FALSE)</f>
        <v>12.99</v>
      </c>
      <c r="H100" s="22">
        <f>+VLOOKUP($B100,'[1]INT Web'!$B$5:$AS$247,'[1]INT Web'!$S$1,FALSE)</f>
        <v>17.989999999999998</v>
      </c>
      <c r="I100" s="22">
        <f>+VLOOKUP($B100,'[1]INT Web'!$B$5:$AS$247,'[1]INT Web'!$T$1,FALSE)</f>
        <v>77.989999999999995</v>
      </c>
      <c r="J100" s="22">
        <f>+VLOOKUP($B100,'[1]INT Web'!$B$5:$AS$247,'[1]INT Web'!$R$1,FALSE)</f>
        <v>107.99</v>
      </c>
      <c r="K100" s="185">
        <f t="shared" si="32"/>
        <v>6.0038491147036179</v>
      </c>
      <c r="L100" s="185">
        <f t="shared" si="32"/>
        <v>6.0027793218454697</v>
      </c>
      <c r="M100" s="185">
        <f t="shared" si="33"/>
        <v>1.3849114703618166</v>
      </c>
      <c r="N100" s="186">
        <v>0.70125000000000004</v>
      </c>
      <c r="O100" s="187">
        <f t="shared" si="34"/>
        <v>9.1092375000000008</v>
      </c>
      <c r="P100" s="187">
        <f t="shared" si="34"/>
        <v>12.6154875</v>
      </c>
      <c r="Q100" s="187">
        <f t="shared" si="34"/>
        <v>54.690487499999996</v>
      </c>
      <c r="R100" s="187">
        <f t="shared" si="31"/>
        <v>75.727987499999998</v>
      </c>
      <c r="S100" s="6">
        <v>0</v>
      </c>
      <c r="T100" s="104">
        <f t="shared" si="51"/>
        <v>12.99</v>
      </c>
      <c r="U100" s="187">
        <f t="shared" si="35"/>
        <v>9.1092375000000008</v>
      </c>
      <c r="V100" s="188">
        <f t="shared" si="36"/>
        <v>0</v>
      </c>
      <c r="W100" s="189">
        <f t="shared" si="37"/>
        <v>0</v>
      </c>
      <c r="X100" s="104">
        <f t="shared" si="52"/>
        <v>17.989999999999998</v>
      </c>
      <c r="Y100" s="187">
        <f t="shared" si="38"/>
        <v>12.6154875</v>
      </c>
      <c r="Z100" s="188">
        <f t="shared" si="39"/>
        <v>0</v>
      </c>
      <c r="AA100" s="189">
        <f t="shared" si="40"/>
        <v>0</v>
      </c>
      <c r="AB100" s="185">
        <f t="shared" si="41"/>
        <v>1.3849114703618166</v>
      </c>
      <c r="AC100" s="104">
        <f t="shared" si="53"/>
        <v>77.989999999999995</v>
      </c>
      <c r="AD100" s="187">
        <f t="shared" si="42"/>
        <v>54.690487499999996</v>
      </c>
      <c r="AE100" s="188">
        <f t="shared" si="43"/>
        <v>0</v>
      </c>
      <c r="AF100" s="189">
        <f t="shared" si="44"/>
        <v>0</v>
      </c>
      <c r="AG100" s="185">
        <f t="shared" si="45"/>
        <v>6.0038491147036179</v>
      </c>
      <c r="AH100" s="104">
        <f t="shared" si="54"/>
        <v>107.99</v>
      </c>
      <c r="AI100" s="187">
        <f t="shared" si="46"/>
        <v>75.727987499999998</v>
      </c>
      <c r="AJ100" s="188">
        <f t="shared" si="47"/>
        <v>0</v>
      </c>
      <c r="AK100" s="189">
        <f t="shared" si="48"/>
        <v>0</v>
      </c>
      <c r="AL100" s="185">
        <f t="shared" si="49"/>
        <v>6.0027793218454697</v>
      </c>
      <c r="AM100" s="6" t="str">
        <f t="shared" si="55"/>
        <v>30% Off SL / Annual</v>
      </c>
      <c r="AN100" s="6" t="str">
        <f t="shared" si="56"/>
        <v>15% Off All SKUs</v>
      </c>
      <c r="AO100" s="6" t="str">
        <f t="shared" si="50"/>
        <v>Monthly: 100% Off Next Month</v>
      </c>
      <c r="AP100" s="6" t="str">
        <f t="shared" si="57"/>
        <v>50% Off SL / Annual</v>
      </c>
    </row>
    <row r="101" spans="2:42" ht="13">
      <c r="B101" s="20" t="s">
        <v>169</v>
      </c>
      <c r="C101" s="20" t="s">
        <v>96</v>
      </c>
      <c r="D101" s="6"/>
      <c r="E101" s="6" t="str">
        <f>IF(VLOOKUP(B101,'[7]FY25 PRICING'!$B$5:$AL$246,'[7]FY25 PRICING'!$E$1,FALSE)=0,"","x")</f>
        <v/>
      </c>
      <c r="F101" s="11" t="str">
        <f>+VLOOKUP($B101,'[1]INT Web'!$B$5:$AS$247,'[1]INT Web'!$Q$1,FALSE)</f>
        <v>HNL</v>
      </c>
      <c r="G101" s="22">
        <f>+VLOOKUP($B101,'[1]INT Web'!$B$5:$AS$247,'[1]INT Web'!$U$1,FALSE)</f>
        <v>219.99</v>
      </c>
      <c r="H101" s="22">
        <f>+VLOOKUP($B101,'[1]INT Web'!$B$5:$AS$247,'[1]INT Web'!$S$1,FALSE)</f>
        <v>319.99</v>
      </c>
      <c r="I101" s="22">
        <f>+VLOOKUP($B101,'[1]INT Web'!$B$5:$AS$247,'[1]INT Web'!$T$1,FALSE)</f>
        <v>1319.99</v>
      </c>
      <c r="J101" s="22">
        <f>+VLOOKUP($B101,'[1]INT Web'!$B$5:$AS$247,'[1]INT Web'!$R$1,FALSE)</f>
        <v>1919.99</v>
      </c>
      <c r="K101" s="185">
        <f t="shared" si="32"/>
        <v>6.0002272830583205</v>
      </c>
      <c r="L101" s="185">
        <f t="shared" si="32"/>
        <v>6.000156254882965</v>
      </c>
      <c r="M101" s="185">
        <f t="shared" si="33"/>
        <v>1.4545661166416655</v>
      </c>
      <c r="N101" s="186">
        <v>3.7453182000000002E-2</v>
      </c>
      <c r="O101" s="187">
        <f t="shared" si="34"/>
        <v>8.2393255081800003</v>
      </c>
      <c r="P101" s="187">
        <f t="shared" si="34"/>
        <v>11.98464370818</v>
      </c>
      <c r="Q101" s="187">
        <f t="shared" si="34"/>
        <v>49.43782570818</v>
      </c>
      <c r="R101" s="187">
        <f t="shared" si="31"/>
        <v>71.909734908179999</v>
      </c>
      <c r="S101" s="6" t="s">
        <v>485</v>
      </c>
      <c r="T101" s="104">
        <f t="shared" si="51"/>
        <v>219.99</v>
      </c>
      <c r="U101" s="187">
        <f t="shared" si="35"/>
        <v>8.2393255081800003</v>
      </c>
      <c r="V101" s="188">
        <f t="shared" si="36"/>
        <v>0</v>
      </c>
      <c r="W101" s="189">
        <f t="shared" si="37"/>
        <v>0</v>
      </c>
      <c r="X101" s="104">
        <f t="shared" si="52"/>
        <v>319.99</v>
      </c>
      <c r="Y101" s="187">
        <f t="shared" si="38"/>
        <v>11.98464370818</v>
      </c>
      <c r="Z101" s="188">
        <f t="shared" si="39"/>
        <v>0</v>
      </c>
      <c r="AA101" s="189">
        <f t="shared" si="40"/>
        <v>0</v>
      </c>
      <c r="AB101" s="185">
        <f t="shared" si="41"/>
        <v>1.4545661166416655</v>
      </c>
      <c r="AC101" s="104">
        <f t="shared" si="53"/>
        <v>1319.99</v>
      </c>
      <c r="AD101" s="187">
        <f t="shared" si="42"/>
        <v>49.43782570818</v>
      </c>
      <c r="AE101" s="188">
        <f t="shared" si="43"/>
        <v>0</v>
      </c>
      <c r="AF101" s="189">
        <f t="shared" si="44"/>
        <v>0</v>
      </c>
      <c r="AG101" s="185">
        <f t="shared" si="45"/>
        <v>6.0002272830583205</v>
      </c>
      <c r="AH101" s="104">
        <f t="shared" si="54"/>
        <v>1919.99</v>
      </c>
      <c r="AI101" s="187">
        <f t="shared" si="46"/>
        <v>71.909734908179999</v>
      </c>
      <c r="AJ101" s="188">
        <f t="shared" si="47"/>
        <v>0</v>
      </c>
      <c r="AK101" s="189">
        <f t="shared" si="48"/>
        <v>0</v>
      </c>
      <c r="AL101" s="185">
        <f t="shared" si="49"/>
        <v>6.000156254882965</v>
      </c>
      <c r="AM101" s="6" t="str">
        <f t="shared" si="55"/>
        <v>30% Off SL / Annual</v>
      </c>
      <c r="AN101" s="6" t="str">
        <f t="shared" si="56"/>
        <v>Messaging Only</v>
      </c>
      <c r="AO101" s="6" t="str">
        <f t="shared" si="50"/>
        <v>Messaging / Pause Flow</v>
      </c>
      <c r="AP101" s="6" t="str">
        <f t="shared" si="57"/>
        <v>50% Off LPP Only</v>
      </c>
    </row>
    <row r="102" spans="2:42" ht="13">
      <c r="B102" s="20" t="s">
        <v>170</v>
      </c>
      <c r="C102" s="20" t="s">
        <v>351</v>
      </c>
      <c r="D102" s="6" t="s">
        <v>491</v>
      </c>
      <c r="E102" s="6" t="s">
        <v>490</v>
      </c>
      <c r="F102" s="11" t="str">
        <f>+VLOOKUP($B102,'[1]INT Web'!$B$5:$AS$247,'[1]INT Web'!$Q$1,FALSE)</f>
        <v>HKD</v>
      </c>
      <c r="G102" s="22">
        <f>+VLOOKUP($B102,'[1]INT Web'!$B$5:$AS$247,'[1]INT Web'!$U$1,FALSE)</f>
        <v>109</v>
      </c>
      <c r="H102" s="22">
        <f>+VLOOKUP($B102,'[1]INT Web'!$B$5:$AS$247,'[1]INT Web'!$S$1,FALSE)</f>
        <v>164</v>
      </c>
      <c r="I102" s="22">
        <f>+VLOOKUP($B102,'[1]INT Web'!$B$5:$AS$247,'[1]INT Web'!$T$1,FALSE)</f>
        <v>759</v>
      </c>
      <c r="J102" s="22">
        <f>+VLOOKUP($B102,'[1]INT Web'!$B$5:$AS$247,'[1]INT Web'!$R$1,FALSE)</f>
        <v>1149</v>
      </c>
      <c r="K102" s="185">
        <f t="shared" si="32"/>
        <v>6.9633027522935782</v>
      </c>
      <c r="L102" s="185">
        <f t="shared" si="32"/>
        <v>7.0060975609756095</v>
      </c>
      <c r="M102" s="185">
        <f t="shared" si="33"/>
        <v>1.5045871559633028</v>
      </c>
      <c r="N102" s="186">
        <v>0.12761043</v>
      </c>
      <c r="O102" s="187">
        <f t="shared" si="34"/>
        <v>13.90953687</v>
      </c>
      <c r="P102" s="187">
        <f t="shared" si="34"/>
        <v>20.928110520000001</v>
      </c>
      <c r="Q102" s="187">
        <f t="shared" si="34"/>
        <v>96.856316370000002</v>
      </c>
      <c r="R102" s="187">
        <f t="shared" si="31"/>
        <v>146.62438406999999</v>
      </c>
      <c r="S102" s="132" t="s">
        <v>486</v>
      </c>
      <c r="T102" s="104">
        <f t="shared" si="51"/>
        <v>109</v>
      </c>
      <c r="U102" s="187">
        <f t="shared" si="35"/>
        <v>13.90953687</v>
      </c>
      <c r="V102" s="188">
        <f t="shared" si="36"/>
        <v>0</v>
      </c>
      <c r="W102" s="189">
        <f t="shared" si="37"/>
        <v>0</v>
      </c>
      <c r="X102" s="104">
        <f t="shared" si="52"/>
        <v>164</v>
      </c>
      <c r="Y102" s="187">
        <f t="shared" si="38"/>
        <v>20.928110520000001</v>
      </c>
      <c r="Z102" s="188">
        <f t="shared" si="39"/>
        <v>0</v>
      </c>
      <c r="AA102" s="189">
        <f t="shared" si="40"/>
        <v>0</v>
      </c>
      <c r="AB102" s="185">
        <f t="shared" si="41"/>
        <v>1.5045871559633028</v>
      </c>
      <c r="AC102" s="104">
        <f t="shared" si="53"/>
        <v>759</v>
      </c>
      <c r="AD102" s="187">
        <f t="shared" si="42"/>
        <v>96.856316370000002</v>
      </c>
      <c r="AE102" s="188">
        <f t="shared" si="43"/>
        <v>0</v>
      </c>
      <c r="AF102" s="189">
        <f t="shared" si="44"/>
        <v>0</v>
      </c>
      <c r="AG102" s="185">
        <f t="shared" si="45"/>
        <v>6.9633027522935782</v>
      </c>
      <c r="AH102" s="104">
        <f t="shared" si="54"/>
        <v>1149</v>
      </c>
      <c r="AI102" s="187">
        <f t="shared" si="46"/>
        <v>146.62438406999999</v>
      </c>
      <c r="AJ102" s="188">
        <f t="shared" si="47"/>
        <v>0</v>
      </c>
      <c r="AK102" s="189">
        <f t="shared" si="48"/>
        <v>0</v>
      </c>
      <c r="AL102" s="185">
        <f t="shared" si="49"/>
        <v>7.0060975609756095</v>
      </c>
      <c r="AM102" s="6" t="str">
        <f t="shared" si="55"/>
        <v>30% Off SL / Annual</v>
      </c>
      <c r="AN102" s="6" t="str">
        <f t="shared" si="56"/>
        <v>Messaging Only</v>
      </c>
      <c r="AO102" s="6" t="str">
        <f t="shared" si="50"/>
        <v>Messaging / Pause Flow</v>
      </c>
      <c r="AP102" s="6" t="str">
        <f t="shared" si="57"/>
        <v>50% Off SL / Annual</v>
      </c>
    </row>
    <row r="103" spans="2:42" ht="13">
      <c r="B103" s="20" t="s">
        <v>171</v>
      </c>
      <c r="C103" s="20" t="s">
        <v>100</v>
      </c>
      <c r="D103" s="6" t="s">
        <v>478</v>
      </c>
      <c r="E103" s="6" t="str">
        <f>IF(VLOOKUP(B103,'[7]FY25 PRICING'!$B$5:$AL$246,'[7]FY25 PRICING'!$E$1,FALSE)=0,"","x")</f>
        <v/>
      </c>
      <c r="F103" s="11" t="str">
        <f>+VLOOKUP($B103,'[1]INT Web'!$B$5:$AS$247,'[1]INT Web'!$Q$1,FALSE)</f>
        <v>HUF</v>
      </c>
      <c r="G103" s="136">
        <f>+VLOOKUP($B103,'[1]INT Web'!$B$5:$AS$247,'[1]INT Web'!$U$1,FALSE)</f>
        <v>4199</v>
      </c>
      <c r="H103" s="136">
        <f>+VLOOKUP($B103,'[1]INT Web'!$B$5:$AS$247,'[1]INT Web'!$S$1,FALSE)</f>
        <v>5499</v>
      </c>
      <c r="I103" s="22">
        <f>+VLOOKUP($B103,'[1]INT Web'!$B$5:$AS$247,'[1]INT Web'!$T$1,FALSE)</f>
        <v>25999</v>
      </c>
      <c r="J103" s="22">
        <f>+VLOOKUP($B103,'[1]INT Web'!$B$5:$AS$247,'[1]INT Web'!$R$1,FALSE)</f>
        <v>33999</v>
      </c>
      <c r="K103" s="185">
        <f t="shared" si="32"/>
        <v>6.1917123124553468</v>
      </c>
      <c r="L103" s="185">
        <f t="shared" si="32"/>
        <v>6.1827605019094385</v>
      </c>
      <c r="M103" s="185">
        <f t="shared" si="33"/>
        <v>1.3095975232198143</v>
      </c>
      <c r="N103" s="186">
        <v>3.2611599999999999E-3</v>
      </c>
      <c r="O103" s="187">
        <f t="shared" si="34"/>
        <v>13.69361084</v>
      </c>
      <c r="P103" s="187">
        <f t="shared" si="34"/>
        <v>17.933118839999999</v>
      </c>
      <c r="Q103" s="187">
        <f t="shared" si="34"/>
        <v>84.786898839999992</v>
      </c>
      <c r="R103" s="187">
        <f t="shared" si="31"/>
        <v>110.87617883999999</v>
      </c>
      <c r="S103" s="6" t="s">
        <v>485</v>
      </c>
      <c r="T103" s="104">
        <f t="shared" si="51"/>
        <v>4199</v>
      </c>
      <c r="U103" s="187">
        <f t="shared" si="35"/>
        <v>13.69361084</v>
      </c>
      <c r="V103" s="188">
        <f t="shared" si="36"/>
        <v>0</v>
      </c>
      <c r="W103" s="189">
        <f t="shared" si="37"/>
        <v>0</v>
      </c>
      <c r="X103" s="104">
        <f t="shared" si="52"/>
        <v>5499</v>
      </c>
      <c r="Y103" s="187">
        <f t="shared" si="38"/>
        <v>17.933118839999999</v>
      </c>
      <c r="Z103" s="188">
        <f t="shared" si="39"/>
        <v>0</v>
      </c>
      <c r="AA103" s="189">
        <f t="shared" si="40"/>
        <v>0</v>
      </c>
      <c r="AB103" s="185">
        <f t="shared" si="41"/>
        <v>1.3095975232198143</v>
      </c>
      <c r="AC103" s="104">
        <f t="shared" si="53"/>
        <v>25999</v>
      </c>
      <c r="AD103" s="187">
        <f t="shared" si="42"/>
        <v>84.786898839999992</v>
      </c>
      <c r="AE103" s="188">
        <f t="shared" si="43"/>
        <v>0</v>
      </c>
      <c r="AF103" s="189">
        <f t="shared" si="44"/>
        <v>0</v>
      </c>
      <c r="AG103" s="185">
        <f t="shared" si="45"/>
        <v>6.1917123124553468</v>
      </c>
      <c r="AH103" s="104">
        <f t="shared" si="54"/>
        <v>33999</v>
      </c>
      <c r="AI103" s="187">
        <f t="shared" si="46"/>
        <v>110.87617883999999</v>
      </c>
      <c r="AJ103" s="188">
        <f t="shared" si="47"/>
        <v>0</v>
      </c>
      <c r="AK103" s="189">
        <f t="shared" si="48"/>
        <v>0</v>
      </c>
      <c r="AL103" s="185">
        <f t="shared" si="49"/>
        <v>6.1827605019094385</v>
      </c>
      <c r="AM103" s="6" t="str">
        <f t="shared" si="55"/>
        <v>30% Off SL / Annual</v>
      </c>
      <c r="AN103" s="6" t="str">
        <f t="shared" si="56"/>
        <v>Messaging Only</v>
      </c>
      <c r="AO103" s="6" t="str">
        <f t="shared" si="50"/>
        <v>Messaging / Pause Flow</v>
      </c>
      <c r="AP103" s="6" t="str">
        <f t="shared" si="57"/>
        <v>50% Off LPP Only</v>
      </c>
    </row>
    <row r="104" spans="2:42" ht="13">
      <c r="B104" s="20" t="s">
        <v>172</v>
      </c>
      <c r="C104" s="20" t="s">
        <v>100</v>
      </c>
      <c r="D104" s="6"/>
      <c r="E104" s="6" t="str">
        <f>IF(VLOOKUP(B104,'[7]FY25 PRICING'!$B$5:$AL$246,'[7]FY25 PRICING'!$E$1,FALSE)=0,"","x")</f>
        <v/>
      </c>
      <c r="F104" s="11" t="str">
        <f>+VLOOKUP($B104,'[1]INT Web'!$B$5:$AS$247,'[1]INT Web'!$Q$1,FALSE)</f>
        <v>ISK</v>
      </c>
      <c r="G104" s="22">
        <f>+VLOOKUP($B104,'[1]INT Web'!$B$5:$AS$247,'[1]INT Web'!$U$1,FALSE)</f>
        <v>3699.99</v>
      </c>
      <c r="H104" s="22">
        <f>+VLOOKUP($B104,'[1]INT Web'!$B$5:$AS$247,'[1]INT Web'!$S$1,FALSE)</f>
        <v>5099.99</v>
      </c>
      <c r="I104" s="22">
        <f>+VLOOKUP($B104,'[1]INT Web'!$B$5:$AS$247,'[1]INT Web'!$T$1,FALSE)</f>
        <v>23999.99</v>
      </c>
      <c r="J104" s="22">
        <f>+VLOOKUP($B104,'[1]INT Web'!$B$5:$AS$247,'[1]INT Web'!$R$1,FALSE)</f>
        <v>32999.99</v>
      </c>
      <c r="K104" s="185">
        <f t="shared" si="32"/>
        <v>6.486501314868419</v>
      </c>
      <c r="L104" s="185">
        <f t="shared" si="32"/>
        <v>6.470598961958749</v>
      </c>
      <c r="M104" s="185">
        <f t="shared" si="33"/>
        <v>1.3783794010254082</v>
      </c>
      <c r="N104" s="186">
        <v>7.9649539999999998E-3</v>
      </c>
      <c r="O104" s="187">
        <f t="shared" si="34"/>
        <v>29.470250150459997</v>
      </c>
      <c r="P104" s="187">
        <f t="shared" si="34"/>
        <v>40.62118575046</v>
      </c>
      <c r="Q104" s="187">
        <f t="shared" si="34"/>
        <v>191.15881635046</v>
      </c>
      <c r="R104" s="187">
        <f t="shared" si="31"/>
        <v>262.84340235046</v>
      </c>
      <c r="S104" s="6" t="s">
        <v>485</v>
      </c>
      <c r="T104" s="104">
        <f t="shared" si="51"/>
        <v>3699.99</v>
      </c>
      <c r="U104" s="187">
        <f t="shared" si="35"/>
        <v>29.470250150459997</v>
      </c>
      <c r="V104" s="188">
        <f t="shared" si="36"/>
        <v>0</v>
      </c>
      <c r="W104" s="189">
        <f t="shared" si="37"/>
        <v>0</v>
      </c>
      <c r="X104" s="104">
        <f t="shared" si="52"/>
        <v>5099.99</v>
      </c>
      <c r="Y104" s="187">
        <f t="shared" si="38"/>
        <v>40.62118575046</v>
      </c>
      <c r="Z104" s="188">
        <f t="shared" si="39"/>
        <v>0</v>
      </c>
      <c r="AA104" s="189">
        <f t="shared" si="40"/>
        <v>0</v>
      </c>
      <c r="AB104" s="185">
        <f t="shared" si="41"/>
        <v>1.3783794010254082</v>
      </c>
      <c r="AC104" s="104">
        <f t="shared" si="53"/>
        <v>23999.99</v>
      </c>
      <c r="AD104" s="187">
        <f t="shared" si="42"/>
        <v>191.15881635046</v>
      </c>
      <c r="AE104" s="188">
        <f t="shared" si="43"/>
        <v>0</v>
      </c>
      <c r="AF104" s="189">
        <f t="shared" si="44"/>
        <v>0</v>
      </c>
      <c r="AG104" s="185">
        <f t="shared" si="45"/>
        <v>6.486501314868419</v>
      </c>
      <c r="AH104" s="104">
        <f t="shared" si="54"/>
        <v>32999.99</v>
      </c>
      <c r="AI104" s="187">
        <f t="shared" si="46"/>
        <v>262.84340235046</v>
      </c>
      <c r="AJ104" s="188">
        <f t="shared" si="47"/>
        <v>0</v>
      </c>
      <c r="AK104" s="189">
        <f t="shared" si="48"/>
        <v>0</v>
      </c>
      <c r="AL104" s="185">
        <f t="shared" si="49"/>
        <v>6.470598961958749</v>
      </c>
      <c r="AM104" s="6" t="str">
        <f t="shared" si="55"/>
        <v>30% Off SL / Annual</v>
      </c>
      <c r="AN104" s="6" t="str">
        <f t="shared" si="56"/>
        <v>Messaging Only</v>
      </c>
      <c r="AO104" s="6" t="str">
        <f t="shared" si="50"/>
        <v>Messaging / Pause Flow</v>
      </c>
      <c r="AP104" s="6" t="str">
        <f t="shared" si="57"/>
        <v>50% Off LPP Only</v>
      </c>
    </row>
    <row r="105" spans="2:42" ht="13">
      <c r="B105" s="199" t="s">
        <v>173</v>
      </c>
      <c r="C105" s="199" t="s">
        <v>173</v>
      </c>
      <c r="D105" s="6" t="s">
        <v>480</v>
      </c>
      <c r="E105" s="6" t="s">
        <v>483</v>
      </c>
      <c r="F105" s="11" t="str">
        <f>+VLOOKUP($B105,'[1]INT Web'!$B$5:$AS$247,'[1]INT Web'!$Q$1,FALSE)</f>
        <v>INR</v>
      </c>
      <c r="G105" s="22">
        <f>+VLOOKUP($B105,'[1]INT Web'!$B$5:$AS$247,'[1]INT Web'!$U$1,FALSE)</f>
        <v>219</v>
      </c>
      <c r="H105" s="22">
        <f>+VLOOKUP($B105,'[1]INT Web'!$B$5:$AS$247,'[1]INT Web'!$S$1,FALSE)</f>
        <v>329</v>
      </c>
      <c r="I105" s="22">
        <f>+VLOOKUP($B105,'[1]INT Web'!$B$5:$AS$247,'[1]INT Web'!$T$1,FALSE)</f>
        <v>1499</v>
      </c>
      <c r="J105" s="22">
        <f>+VLOOKUP($B105,'[1]INT Web'!$B$5:$AS$247,'[1]INT Web'!$R$1,FALSE)</f>
        <v>2099</v>
      </c>
      <c r="K105" s="185">
        <f t="shared" si="32"/>
        <v>6.8447488584474883</v>
      </c>
      <c r="L105" s="185">
        <f t="shared" si="32"/>
        <v>6.3799392097264436</v>
      </c>
      <c r="M105" s="185">
        <f t="shared" si="33"/>
        <v>1.5022831050228311</v>
      </c>
      <c r="N105" s="186">
        <v>1.0600238E-2</v>
      </c>
      <c r="O105" s="187">
        <f t="shared" si="34"/>
        <v>2.3214521219999997</v>
      </c>
      <c r="P105" s="187">
        <f t="shared" si="34"/>
        <v>3.487478302</v>
      </c>
      <c r="Q105" s="187">
        <f t="shared" si="34"/>
        <v>15.889756761999999</v>
      </c>
      <c r="R105" s="187">
        <f t="shared" si="31"/>
        <v>22.249899562</v>
      </c>
      <c r="S105" s="132" t="s">
        <v>479</v>
      </c>
      <c r="T105" s="104">
        <f>+G105</f>
        <v>219</v>
      </c>
      <c r="U105" s="187">
        <f t="shared" si="35"/>
        <v>2.3214521219999997</v>
      </c>
      <c r="V105" s="188">
        <f t="shared" si="36"/>
        <v>0</v>
      </c>
      <c r="W105" s="189">
        <f t="shared" si="37"/>
        <v>0</v>
      </c>
      <c r="X105" s="104">
        <f>+H105</f>
        <v>329</v>
      </c>
      <c r="Y105" s="187">
        <f t="shared" si="38"/>
        <v>3.487478302</v>
      </c>
      <c r="Z105" s="188">
        <f t="shared" si="39"/>
        <v>0</v>
      </c>
      <c r="AA105" s="189">
        <f t="shared" si="40"/>
        <v>0</v>
      </c>
      <c r="AB105" s="185">
        <f t="shared" si="41"/>
        <v>1.5022831050228311</v>
      </c>
      <c r="AC105" s="104">
        <f>+I105</f>
        <v>1499</v>
      </c>
      <c r="AD105" s="187">
        <f t="shared" si="42"/>
        <v>15.889756761999999</v>
      </c>
      <c r="AE105" s="188">
        <f t="shared" si="43"/>
        <v>0</v>
      </c>
      <c r="AF105" s="189">
        <f t="shared" si="44"/>
        <v>0</v>
      </c>
      <c r="AG105" s="185">
        <f t="shared" si="45"/>
        <v>6.8447488584474883</v>
      </c>
      <c r="AH105" s="104">
        <f>+J105</f>
        <v>2099</v>
      </c>
      <c r="AI105" s="187">
        <f t="shared" si="46"/>
        <v>22.249899562</v>
      </c>
      <c r="AJ105" s="188">
        <f t="shared" si="47"/>
        <v>0</v>
      </c>
      <c r="AK105" s="189">
        <f t="shared" si="48"/>
        <v>0</v>
      </c>
      <c r="AL105" s="185">
        <f t="shared" si="49"/>
        <v>6.3799392097264436</v>
      </c>
      <c r="AM105" s="6" t="str">
        <f t="shared" si="55"/>
        <v>30% Off SL / Annual</v>
      </c>
      <c r="AN105" s="6" t="str">
        <f t="shared" si="56"/>
        <v>15% Off All SKUs</v>
      </c>
      <c r="AO105" s="6" t="str">
        <f t="shared" si="50"/>
        <v>Monthly: 100% Off Next Month</v>
      </c>
      <c r="AP105" s="6" t="str">
        <f t="shared" si="57"/>
        <v>50% Off SL / Annual</v>
      </c>
    </row>
    <row r="106" spans="2:42" ht="13">
      <c r="B106" s="20" t="s">
        <v>174</v>
      </c>
      <c r="C106" s="20" t="s">
        <v>182</v>
      </c>
      <c r="D106" s="6" t="s">
        <v>492</v>
      </c>
      <c r="E106" s="6" t="str">
        <f>IF(VLOOKUP(B106,'[7]FY25 PRICING'!$B$5:$AL$246,'[7]FY25 PRICING'!$E$1,FALSE)=0,"","x")</f>
        <v/>
      </c>
      <c r="F106" s="11" t="str">
        <f>+VLOOKUP($B106,'[1]INT Web'!$B$5:$AS$247,'[1]INT Web'!$Q$1,FALSE)</f>
        <v>IDR</v>
      </c>
      <c r="G106" s="136">
        <f>+VLOOKUP($B106,'[1]INT Web'!$B$5:$AS$247,'[1]INT Web'!$U$1,FALSE)</f>
        <v>135000</v>
      </c>
      <c r="H106" s="136">
        <f>+VLOOKUP($B106,'[1]INT Web'!$B$5:$AS$247,'[1]INT Web'!$S$1,FALSE)</f>
        <v>200000</v>
      </c>
      <c r="I106" s="22">
        <f>+VLOOKUP($B106,'[1]INT Web'!$B$5:$AS$247,'[1]INT Web'!$T$1,FALSE)</f>
        <v>945000</v>
      </c>
      <c r="J106" s="22">
        <f>+VLOOKUP($B106,'[1]INT Web'!$B$5:$AS$247,'[1]INT Web'!$R$1,FALSE)</f>
        <v>1200000</v>
      </c>
      <c r="K106" s="185">
        <f t="shared" si="32"/>
        <v>7</v>
      </c>
      <c r="L106" s="185">
        <f t="shared" si="32"/>
        <v>6</v>
      </c>
      <c r="M106" s="185">
        <f t="shared" si="33"/>
        <v>1.4814814814814814</v>
      </c>
      <c r="N106" s="186">
        <v>5.6242970000000001E-5</v>
      </c>
      <c r="O106" s="187">
        <f t="shared" si="34"/>
        <v>7.59280095</v>
      </c>
      <c r="P106" s="187">
        <f t="shared" si="34"/>
        <v>11.248594000000001</v>
      </c>
      <c r="Q106" s="187">
        <f t="shared" si="34"/>
        <v>53.149606650000003</v>
      </c>
      <c r="R106" s="187">
        <f t="shared" si="31"/>
        <v>67.491563999999997</v>
      </c>
      <c r="S106" s="6" t="s">
        <v>488</v>
      </c>
      <c r="T106" s="104">
        <f t="shared" si="51"/>
        <v>135000</v>
      </c>
      <c r="U106" s="187">
        <f t="shared" si="35"/>
        <v>7.59280095</v>
      </c>
      <c r="V106" s="188">
        <f t="shared" si="36"/>
        <v>0</v>
      </c>
      <c r="W106" s="189">
        <f t="shared" si="37"/>
        <v>0</v>
      </c>
      <c r="X106" s="104">
        <f t="shared" si="52"/>
        <v>200000</v>
      </c>
      <c r="Y106" s="187">
        <f t="shared" si="38"/>
        <v>11.248594000000001</v>
      </c>
      <c r="Z106" s="188">
        <f t="shared" si="39"/>
        <v>0</v>
      </c>
      <c r="AA106" s="189">
        <f t="shared" si="40"/>
        <v>0</v>
      </c>
      <c r="AB106" s="185">
        <f t="shared" si="41"/>
        <v>1.4814814814814814</v>
      </c>
      <c r="AC106" s="104">
        <f t="shared" si="53"/>
        <v>945000</v>
      </c>
      <c r="AD106" s="187">
        <f t="shared" si="42"/>
        <v>53.149606650000003</v>
      </c>
      <c r="AE106" s="188">
        <f t="shared" si="43"/>
        <v>0</v>
      </c>
      <c r="AF106" s="189">
        <f t="shared" si="44"/>
        <v>0</v>
      </c>
      <c r="AG106" s="185">
        <f t="shared" si="45"/>
        <v>7</v>
      </c>
      <c r="AH106" s="104">
        <f t="shared" si="54"/>
        <v>1200000</v>
      </c>
      <c r="AI106" s="187">
        <f t="shared" si="46"/>
        <v>67.491563999999997</v>
      </c>
      <c r="AJ106" s="188">
        <f t="shared" si="47"/>
        <v>0</v>
      </c>
      <c r="AK106" s="189">
        <f t="shared" si="48"/>
        <v>0</v>
      </c>
      <c r="AL106" s="185">
        <f t="shared" si="49"/>
        <v>6</v>
      </c>
      <c r="AM106" s="6" t="str">
        <f t="shared" si="55"/>
        <v>30% Off SL / Annual</v>
      </c>
      <c r="AN106" s="6" t="str">
        <f t="shared" si="56"/>
        <v>Messaging Only</v>
      </c>
      <c r="AO106" s="6" t="str">
        <f t="shared" si="50"/>
        <v>Messaging / Pause Flow</v>
      </c>
      <c r="AP106" s="6" t="str">
        <f t="shared" si="57"/>
        <v>50% Off LPP Only</v>
      </c>
    </row>
    <row r="107" spans="2:42" ht="13">
      <c r="B107" s="20" t="s">
        <v>175</v>
      </c>
      <c r="C107" s="20" t="s">
        <v>275</v>
      </c>
      <c r="D107" s="6"/>
      <c r="E107" s="6" t="str">
        <f>IF(VLOOKUP(B107,'[7]FY25 PRICING'!$B$5:$AL$246,'[7]FY25 PRICING'!$E$1,FALSE)=0,"","x")</f>
        <v/>
      </c>
      <c r="F107" s="11" t="str">
        <f>+VLOOKUP($B107,'[1]INT Web'!$B$5:$AS$247,'[1]INT Web'!$Q$1,FALSE)</f>
        <v>USD</v>
      </c>
      <c r="G107" s="22">
        <f>+VLOOKUP($B107,'[1]INT Web'!$B$5:$AS$247,'[1]INT Web'!$U$1,FALSE)</f>
        <v>12.99</v>
      </c>
      <c r="H107" s="22">
        <f>+VLOOKUP($B107,'[1]INT Web'!$B$5:$AS$247,'[1]INT Web'!$S$1,FALSE)</f>
        <v>16.989999999999998</v>
      </c>
      <c r="I107" s="22">
        <f>+VLOOKUP($B107,'[1]INT Web'!$B$5:$AS$247,'[1]INT Web'!$T$1,FALSE)</f>
        <v>74.989999999999995</v>
      </c>
      <c r="J107" s="22">
        <f>+VLOOKUP($B107,'[1]INT Web'!$B$5:$AS$247,'[1]INT Web'!$R$1,FALSE)</f>
        <v>99.99</v>
      </c>
      <c r="K107" s="185">
        <f t="shared" si="32"/>
        <v>5.772902232486528</v>
      </c>
      <c r="L107" s="185">
        <f t="shared" si="32"/>
        <v>5.8852266038846386</v>
      </c>
      <c r="M107" s="185">
        <f t="shared" si="33"/>
        <v>1.3079291762894534</v>
      </c>
      <c r="N107" s="186">
        <v>1</v>
      </c>
      <c r="O107" s="187">
        <f t="shared" si="34"/>
        <v>12.99</v>
      </c>
      <c r="P107" s="187">
        <f t="shared" si="34"/>
        <v>16.989999999999998</v>
      </c>
      <c r="Q107" s="187">
        <f t="shared" si="34"/>
        <v>74.989999999999995</v>
      </c>
      <c r="R107" s="187">
        <f t="shared" si="31"/>
        <v>99.99</v>
      </c>
      <c r="S107" s="6">
        <v>0</v>
      </c>
      <c r="T107" s="104">
        <f t="shared" si="51"/>
        <v>12.99</v>
      </c>
      <c r="U107" s="187">
        <f t="shared" si="35"/>
        <v>12.99</v>
      </c>
      <c r="V107" s="188">
        <f t="shared" si="36"/>
        <v>0</v>
      </c>
      <c r="W107" s="189">
        <f t="shared" si="37"/>
        <v>0</v>
      </c>
      <c r="X107" s="104">
        <f t="shared" si="52"/>
        <v>16.989999999999998</v>
      </c>
      <c r="Y107" s="187">
        <f t="shared" si="38"/>
        <v>16.989999999999998</v>
      </c>
      <c r="Z107" s="188">
        <f t="shared" si="39"/>
        <v>0</v>
      </c>
      <c r="AA107" s="189">
        <f t="shared" si="40"/>
        <v>0</v>
      </c>
      <c r="AB107" s="185">
        <f t="shared" si="41"/>
        <v>1.3079291762894534</v>
      </c>
      <c r="AC107" s="104">
        <f t="shared" si="53"/>
        <v>74.989999999999995</v>
      </c>
      <c r="AD107" s="187">
        <f t="shared" si="42"/>
        <v>74.989999999999995</v>
      </c>
      <c r="AE107" s="188">
        <f t="shared" si="43"/>
        <v>0</v>
      </c>
      <c r="AF107" s="189">
        <f t="shared" si="44"/>
        <v>0</v>
      </c>
      <c r="AG107" s="185">
        <f t="shared" si="45"/>
        <v>5.772902232486528</v>
      </c>
      <c r="AH107" s="104">
        <f t="shared" si="54"/>
        <v>99.99</v>
      </c>
      <c r="AI107" s="187">
        <f t="shared" si="46"/>
        <v>99.99</v>
      </c>
      <c r="AJ107" s="188">
        <f t="shared" si="47"/>
        <v>0</v>
      </c>
      <c r="AK107" s="189">
        <f t="shared" si="48"/>
        <v>0</v>
      </c>
      <c r="AL107" s="185">
        <f t="shared" si="49"/>
        <v>5.8852266038846386</v>
      </c>
      <c r="AM107" s="6" t="str">
        <f t="shared" si="55"/>
        <v>30% Off SL / Annual</v>
      </c>
      <c r="AN107" s="6" t="str">
        <f t="shared" si="56"/>
        <v>15% Off All SKUs</v>
      </c>
      <c r="AO107" s="6" t="str">
        <f t="shared" si="50"/>
        <v>Monthly: 100% Off Next Month</v>
      </c>
      <c r="AP107" s="6" t="str">
        <f t="shared" si="57"/>
        <v>50% Off SL / Annual</v>
      </c>
    </row>
    <row r="108" spans="2:42" ht="13">
      <c r="B108" s="20" t="s">
        <v>176</v>
      </c>
      <c r="C108" s="20" t="s">
        <v>100</v>
      </c>
      <c r="D108" s="6" t="s">
        <v>478</v>
      </c>
      <c r="E108" s="6" t="str">
        <f>IF(VLOOKUP(B108,'[7]FY25 PRICING'!$B$5:$AL$246,'[7]FY25 PRICING'!$E$1,FALSE)=0,"","x")</f>
        <v/>
      </c>
      <c r="F108" s="11" t="str">
        <f>+VLOOKUP($B108,'[1]INT Web'!$B$5:$AS$247,'[1]INT Web'!$Q$1,FALSE)</f>
        <v>EUR</v>
      </c>
      <c r="G108" s="22">
        <f>+VLOOKUP($B108,'[1]INT Web'!$B$5:$AS$247,'[1]INT Web'!$U$1,FALSE)</f>
        <v>18.989999999999998</v>
      </c>
      <c r="H108" s="22">
        <f>+VLOOKUP($B108,'[1]INT Web'!$B$5:$AS$247,'[1]INT Web'!$S$1,FALSE)</f>
        <v>24.99</v>
      </c>
      <c r="I108" s="22">
        <f>+VLOOKUP($B108,'[1]INT Web'!$B$5:$AS$247,'[1]INT Web'!$T$1,FALSE)</f>
        <v>121.99</v>
      </c>
      <c r="J108" s="22">
        <f>+VLOOKUP($B108,'[1]INT Web'!$B$5:$AS$247,'[1]INT Web'!$R$1,FALSE)</f>
        <v>159.99</v>
      </c>
      <c r="K108" s="185">
        <f t="shared" si="32"/>
        <v>6.4239073196419172</v>
      </c>
      <c r="L108" s="185">
        <f t="shared" si="32"/>
        <v>6.4021608643457393</v>
      </c>
      <c r="M108" s="185">
        <f t="shared" si="33"/>
        <v>1.315955766192733</v>
      </c>
      <c r="N108" s="186">
        <v>1.1469499999999999</v>
      </c>
      <c r="O108" s="187">
        <f t="shared" si="34"/>
        <v>21.780580499999996</v>
      </c>
      <c r="P108" s="187">
        <f t="shared" si="34"/>
        <v>28.662280499999998</v>
      </c>
      <c r="Q108" s="187">
        <f t="shared" si="34"/>
        <v>139.91643049999999</v>
      </c>
      <c r="R108" s="187">
        <f t="shared" si="31"/>
        <v>183.5005305</v>
      </c>
      <c r="S108" s="6" t="s">
        <v>485</v>
      </c>
      <c r="T108" s="104">
        <f t="shared" si="51"/>
        <v>18.989999999999998</v>
      </c>
      <c r="U108" s="187">
        <f t="shared" si="35"/>
        <v>21.780580499999996</v>
      </c>
      <c r="V108" s="188">
        <f t="shared" si="36"/>
        <v>0</v>
      </c>
      <c r="W108" s="189">
        <f t="shared" si="37"/>
        <v>0</v>
      </c>
      <c r="X108" s="104">
        <f t="shared" si="52"/>
        <v>24.99</v>
      </c>
      <c r="Y108" s="187">
        <f t="shared" si="38"/>
        <v>28.662280499999998</v>
      </c>
      <c r="Z108" s="188">
        <f t="shared" si="39"/>
        <v>0</v>
      </c>
      <c r="AA108" s="189">
        <f t="shared" si="40"/>
        <v>0</v>
      </c>
      <c r="AB108" s="185">
        <f t="shared" si="41"/>
        <v>1.315955766192733</v>
      </c>
      <c r="AC108" s="104">
        <f t="shared" si="53"/>
        <v>121.99</v>
      </c>
      <c r="AD108" s="187">
        <f t="shared" si="42"/>
        <v>139.91643049999999</v>
      </c>
      <c r="AE108" s="188">
        <f t="shared" si="43"/>
        <v>0</v>
      </c>
      <c r="AF108" s="189">
        <f t="shared" si="44"/>
        <v>0</v>
      </c>
      <c r="AG108" s="185">
        <f t="shared" si="45"/>
        <v>6.4239073196419172</v>
      </c>
      <c r="AH108" s="104">
        <f t="shared" si="54"/>
        <v>159.99</v>
      </c>
      <c r="AI108" s="187">
        <f t="shared" si="46"/>
        <v>183.5005305</v>
      </c>
      <c r="AJ108" s="188">
        <f t="shared" si="47"/>
        <v>0</v>
      </c>
      <c r="AK108" s="189">
        <f t="shared" si="48"/>
        <v>0</v>
      </c>
      <c r="AL108" s="185">
        <f t="shared" si="49"/>
        <v>6.4021608643457393</v>
      </c>
      <c r="AM108" s="6" t="str">
        <f t="shared" si="55"/>
        <v>30% Off SL / Annual</v>
      </c>
      <c r="AN108" s="6" t="str">
        <f t="shared" si="56"/>
        <v>Messaging Only</v>
      </c>
      <c r="AO108" s="6" t="str">
        <f t="shared" si="50"/>
        <v>Messaging / Pause Flow</v>
      </c>
      <c r="AP108" s="6" t="str">
        <f t="shared" si="57"/>
        <v>50% Off LPP Only</v>
      </c>
    </row>
    <row r="109" spans="2:42" ht="13">
      <c r="B109" s="20" t="s">
        <v>177</v>
      </c>
      <c r="C109" s="20" t="s">
        <v>100</v>
      </c>
      <c r="D109" s="6"/>
      <c r="E109" s="6" t="str">
        <f>IF(VLOOKUP(B109,'[7]FY25 PRICING'!$B$5:$AL$246,'[7]FY25 PRICING'!$E$1,FALSE)=0,"","x")</f>
        <v/>
      </c>
      <c r="F109" s="11" t="str">
        <f>+VLOOKUP($B109,'[1]INT Web'!$B$5:$AS$247,'[1]INT Web'!$Q$1,FALSE)</f>
        <v>USD</v>
      </c>
      <c r="G109" s="22">
        <f>+VLOOKUP($B109,'[1]INT Web'!$B$5:$AS$247,'[1]INT Web'!$U$1,FALSE)</f>
        <v>19.989999999999998</v>
      </c>
      <c r="H109" s="22">
        <f>+VLOOKUP($B109,'[1]INT Web'!$B$5:$AS$247,'[1]INT Web'!$S$1,FALSE)</f>
        <v>25.99</v>
      </c>
      <c r="I109" s="22">
        <f>+VLOOKUP($B109,'[1]INT Web'!$B$5:$AS$247,'[1]INT Web'!$T$1,FALSE)</f>
        <v>119.99</v>
      </c>
      <c r="J109" s="22">
        <f>+VLOOKUP($B109,'[1]INT Web'!$B$5:$AS$247,'[1]INT Web'!$R$1,FALSE)</f>
        <v>179.99</v>
      </c>
      <c r="K109" s="185">
        <f t="shared" si="32"/>
        <v>6.002501250625313</v>
      </c>
      <c r="L109" s="185">
        <f t="shared" si="32"/>
        <v>6.9253559061177388</v>
      </c>
      <c r="M109" s="185">
        <f t="shared" si="33"/>
        <v>1.3001500750375188</v>
      </c>
      <c r="N109" s="186">
        <v>1</v>
      </c>
      <c r="O109" s="187">
        <f t="shared" si="34"/>
        <v>19.989999999999998</v>
      </c>
      <c r="P109" s="187">
        <f t="shared" si="34"/>
        <v>25.99</v>
      </c>
      <c r="Q109" s="187">
        <f t="shared" si="34"/>
        <v>119.99</v>
      </c>
      <c r="R109" s="187">
        <f t="shared" si="31"/>
        <v>179.99</v>
      </c>
      <c r="S109" s="6">
        <v>0</v>
      </c>
      <c r="T109" s="104">
        <f t="shared" si="51"/>
        <v>19.989999999999998</v>
      </c>
      <c r="U109" s="187">
        <f t="shared" si="35"/>
        <v>19.989999999999998</v>
      </c>
      <c r="V109" s="188">
        <f t="shared" si="36"/>
        <v>0</v>
      </c>
      <c r="W109" s="189">
        <f t="shared" si="37"/>
        <v>0</v>
      </c>
      <c r="X109" s="104">
        <f t="shared" si="52"/>
        <v>25.99</v>
      </c>
      <c r="Y109" s="187">
        <f t="shared" si="38"/>
        <v>25.99</v>
      </c>
      <c r="Z109" s="188">
        <f t="shared" si="39"/>
        <v>0</v>
      </c>
      <c r="AA109" s="189">
        <f t="shared" si="40"/>
        <v>0</v>
      </c>
      <c r="AB109" s="185">
        <f t="shared" si="41"/>
        <v>1.3001500750375188</v>
      </c>
      <c r="AC109" s="104">
        <f t="shared" si="53"/>
        <v>119.99</v>
      </c>
      <c r="AD109" s="187">
        <f t="shared" si="42"/>
        <v>119.99</v>
      </c>
      <c r="AE109" s="188">
        <f t="shared" si="43"/>
        <v>0</v>
      </c>
      <c r="AF109" s="189">
        <f t="shared" si="44"/>
        <v>0</v>
      </c>
      <c r="AG109" s="185">
        <f t="shared" si="45"/>
        <v>6.002501250625313</v>
      </c>
      <c r="AH109" s="104">
        <f t="shared" si="54"/>
        <v>179.99</v>
      </c>
      <c r="AI109" s="187">
        <f t="shared" si="46"/>
        <v>179.99</v>
      </c>
      <c r="AJ109" s="188">
        <f t="shared" si="47"/>
        <v>0</v>
      </c>
      <c r="AK109" s="189">
        <f t="shared" si="48"/>
        <v>0</v>
      </c>
      <c r="AL109" s="185">
        <f t="shared" si="49"/>
        <v>6.9253559061177388</v>
      </c>
      <c r="AM109" s="6" t="str">
        <f t="shared" si="55"/>
        <v>30% Off SL / Annual</v>
      </c>
      <c r="AN109" s="6" t="str">
        <f t="shared" si="56"/>
        <v>15% Off All SKUs</v>
      </c>
      <c r="AO109" s="6" t="str">
        <f t="shared" si="50"/>
        <v>Monthly: 100% Off Next Month</v>
      </c>
      <c r="AP109" s="6" t="str">
        <f t="shared" si="57"/>
        <v>50% Off SL / Annual</v>
      </c>
    </row>
    <row r="110" spans="2:42" ht="13">
      <c r="B110" s="20" t="s">
        <v>178</v>
      </c>
      <c r="C110" s="20" t="s">
        <v>100</v>
      </c>
      <c r="D110" s="6"/>
      <c r="E110" s="6" t="s">
        <v>490</v>
      </c>
      <c r="F110" s="11" t="str">
        <f>+VLOOKUP($B110,'[1]INT Web'!$B$5:$AS$247,'[1]INT Web'!$Q$1,FALSE)</f>
        <v>ILS</v>
      </c>
      <c r="G110" s="22">
        <f>+VLOOKUP($B110,'[1]INT Web'!$B$5:$AS$247,'[1]INT Web'!$U$1,FALSE)</f>
        <v>64.989999999999995</v>
      </c>
      <c r="H110" s="22">
        <f>+VLOOKUP($B110,'[1]INT Web'!$B$5:$AS$247,'[1]INT Web'!$S$1,FALSE)</f>
        <v>87.99</v>
      </c>
      <c r="I110" s="22">
        <f>+VLOOKUP($B110,'[1]INT Web'!$B$5:$AS$247,'[1]INT Web'!$T$1,FALSE)</f>
        <v>419.99</v>
      </c>
      <c r="J110" s="22">
        <f>+VLOOKUP($B110,'[1]INT Web'!$B$5:$AS$247,'[1]INT Web'!$R$1,FALSE)</f>
        <v>569.99</v>
      </c>
      <c r="K110" s="185">
        <f t="shared" si="32"/>
        <v>6.4623788275119258</v>
      </c>
      <c r="L110" s="185">
        <f t="shared" si="32"/>
        <v>6.4778952153653826</v>
      </c>
      <c r="M110" s="185">
        <f t="shared" si="33"/>
        <v>1.3539006000923219</v>
      </c>
      <c r="N110" s="186">
        <v>0.33808914000000001</v>
      </c>
      <c r="O110" s="187">
        <f t="shared" si="34"/>
        <v>21.972413208599999</v>
      </c>
      <c r="P110" s="187">
        <f t="shared" si="34"/>
        <v>29.748463428600001</v>
      </c>
      <c r="Q110" s="187">
        <f t="shared" si="34"/>
        <v>141.99405790860001</v>
      </c>
      <c r="R110" s="187">
        <f t="shared" si="31"/>
        <v>192.70742890860001</v>
      </c>
      <c r="S110" s="132" t="s">
        <v>486</v>
      </c>
      <c r="T110" s="104">
        <f t="shared" si="51"/>
        <v>64.989999999999995</v>
      </c>
      <c r="U110" s="187">
        <f t="shared" si="35"/>
        <v>21.972413208599999</v>
      </c>
      <c r="V110" s="188">
        <f t="shared" si="36"/>
        <v>0</v>
      </c>
      <c r="W110" s="189">
        <f t="shared" si="37"/>
        <v>0</v>
      </c>
      <c r="X110" s="104">
        <f t="shared" si="52"/>
        <v>87.99</v>
      </c>
      <c r="Y110" s="187">
        <f t="shared" si="38"/>
        <v>29.748463428600001</v>
      </c>
      <c r="Z110" s="188">
        <f t="shared" si="39"/>
        <v>0</v>
      </c>
      <c r="AA110" s="189">
        <f t="shared" si="40"/>
        <v>0</v>
      </c>
      <c r="AB110" s="185">
        <f t="shared" si="41"/>
        <v>1.3539006000923219</v>
      </c>
      <c r="AC110" s="104">
        <f t="shared" si="53"/>
        <v>419.99</v>
      </c>
      <c r="AD110" s="187">
        <f t="shared" si="42"/>
        <v>141.99405790860001</v>
      </c>
      <c r="AE110" s="188">
        <f t="shared" si="43"/>
        <v>0</v>
      </c>
      <c r="AF110" s="189">
        <f t="shared" si="44"/>
        <v>0</v>
      </c>
      <c r="AG110" s="185">
        <f t="shared" si="45"/>
        <v>6.4623788275119258</v>
      </c>
      <c r="AH110" s="104">
        <f t="shared" si="54"/>
        <v>569.99</v>
      </c>
      <c r="AI110" s="187">
        <f t="shared" si="46"/>
        <v>192.70742890860001</v>
      </c>
      <c r="AJ110" s="188">
        <f t="shared" si="47"/>
        <v>0</v>
      </c>
      <c r="AK110" s="189">
        <f t="shared" si="48"/>
        <v>0</v>
      </c>
      <c r="AL110" s="185">
        <f t="shared" si="49"/>
        <v>6.4778952153653826</v>
      </c>
      <c r="AM110" s="6" t="str">
        <f t="shared" si="55"/>
        <v>30% Off SL / Annual</v>
      </c>
      <c r="AN110" s="6" t="str">
        <f t="shared" si="56"/>
        <v>Messaging Only</v>
      </c>
      <c r="AO110" s="6" t="str">
        <f t="shared" si="50"/>
        <v>Messaging / Pause Flow</v>
      </c>
      <c r="AP110" s="6" t="str">
        <f t="shared" si="57"/>
        <v>50% Off SL / Annual</v>
      </c>
    </row>
    <row r="111" spans="2:42" ht="13">
      <c r="B111" s="199" t="s">
        <v>179</v>
      </c>
      <c r="C111" s="199" t="s">
        <v>100</v>
      </c>
      <c r="D111" s="6" t="s">
        <v>480</v>
      </c>
      <c r="E111" s="6" t="s">
        <v>481</v>
      </c>
      <c r="F111" s="11" t="str">
        <f>+VLOOKUP($B111,'[1]INT Web'!$B$5:$AS$247,'[1]INT Web'!$Q$1,FALSE)</f>
        <v>EUR</v>
      </c>
      <c r="G111" s="22">
        <f>+VLOOKUP($B111,'[1]INT Web'!$B$5:$AS$247,'[1]INT Web'!$U$1,FALSE)</f>
        <v>15.99</v>
      </c>
      <c r="H111" s="22">
        <f>+VLOOKUP($B111,'[1]INT Web'!$B$5:$AS$247,'[1]INT Web'!$S$1,FALSE)</f>
        <v>21.99</v>
      </c>
      <c r="I111" s="22">
        <f>+VLOOKUP($B111,'[1]INT Web'!$B$5:$AS$247,'[1]INT Web'!$T$1,FALSE)</f>
        <v>109.99</v>
      </c>
      <c r="J111" s="22">
        <f>+VLOOKUP($B111,'[1]INT Web'!$B$5:$AS$247,'[1]INT Web'!$R$1,FALSE)</f>
        <v>149.99</v>
      </c>
      <c r="K111" s="185">
        <f t="shared" si="32"/>
        <v>6.8786741713570976</v>
      </c>
      <c r="L111" s="185">
        <f t="shared" si="32"/>
        <v>6.8208276489313331</v>
      </c>
      <c r="M111" s="185">
        <f t="shared" si="33"/>
        <v>1.3752345215759849</v>
      </c>
      <c r="N111" s="186">
        <v>1.1469499999999999</v>
      </c>
      <c r="O111" s="187">
        <f t="shared" si="34"/>
        <v>18.339730499999998</v>
      </c>
      <c r="P111" s="187">
        <f t="shared" si="34"/>
        <v>25.221430499999997</v>
      </c>
      <c r="Q111" s="187">
        <f t="shared" si="34"/>
        <v>126.15303049999999</v>
      </c>
      <c r="R111" s="187">
        <f t="shared" si="31"/>
        <v>172.03103049999999</v>
      </c>
      <c r="S111" s="132" t="s">
        <v>484</v>
      </c>
      <c r="T111" s="104">
        <f t="shared" si="51"/>
        <v>15.99</v>
      </c>
      <c r="U111" s="187">
        <f t="shared" si="35"/>
        <v>18.339730499999998</v>
      </c>
      <c r="V111" s="188">
        <f t="shared" si="36"/>
        <v>0</v>
      </c>
      <c r="W111" s="189">
        <f t="shared" si="37"/>
        <v>0</v>
      </c>
      <c r="X111" s="104">
        <f t="shared" si="52"/>
        <v>21.99</v>
      </c>
      <c r="Y111" s="187">
        <f t="shared" si="38"/>
        <v>25.221430499999997</v>
      </c>
      <c r="Z111" s="188">
        <f t="shared" si="39"/>
        <v>0</v>
      </c>
      <c r="AA111" s="189">
        <f t="shared" si="40"/>
        <v>0</v>
      </c>
      <c r="AB111" s="185">
        <f t="shared" si="41"/>
        <v>1.3752345215759849</v>
      </c>
      <c r="AC111" s="104">
        <f t="shared" si="53"/>
        <v>109.99</v>
      </c>
      <c r="AD111" s="187">
        <f t="shared" si="42"/>
        <v>126.15303049999999</v>
      </c>
      <c r="AE111" s="188">
        <f t="shared" si="43"/>
        <v>0</v>
      </c>
      <c r="AF111" s="189">
        <f t="shared" si="44"/>
        <v>0</v>
      </c>
      <c r="AG111" s="185">
        <f t="shared" si="45"/>
        <v>6.8786741713570976</v>
      </c>
      <c r="AH111" s="104">
        <f t="shared" si="54"/>
        <v>149.99</v>
      </c>
      <c r="AI111" s="187">
        <f t="shared" si="46"/>
        <v>172.03103049999999</v>
      </c>
      <c r="AJ111" s="188">
        <f t="shared" si="47"/>
        <v>0</v>
      </c>
      <c r="AK111" s="189">
        <f t="shared" si="48"/>
        <v>0</v>
      </c>
      <c r="AL111" s="185">
        <f t="shared" si="49"/>
        <v>6.8208276489313331</v>
      </c>
      <c r="AM111" s="6" t="str">
        <f t="shared" si="55"/>
        <v>30% Off SL / Annual</v>
      </c>
      <c r="AN111" s="146" t="s">
        <v>493</v>
      </c>
      <c r="AO111" s="6" t="str">
        <f t="shared" si="50"/>
        <v>Monthly: 100% Off Next Month</v>
      </c>
      <c r="AP111" s="6" t="str">
        <f t="shared" si="57"/>
        <v>50% Off LPP Only</v>
      </c>
    </row>
    <row r="112" spans="2:42" ht="13">
      <c r="B112" s="20" t="s">
        <v>180</v>
      </c>
      <c r="C112" s="20" t="s">
        <v>96</v>
      </c>
      <c r="D112" s="6"/>
      <c r="E112" s="6" t="str">
        <f>IF(VLOOKUP(B112,'[7]FY25 PRICING'!$B$5:$AL$246,'[7]FY25 PRICING'!$E$1,FALSE)=0,"","x")</f>
        <v/>
      </c>
      <c r="F112" s="11" t="str">
        <f>+VLOOKUP($B112,'[1]INT Web'!$B$5:$AS$247,'[1]INT Web'!$Q$1,FALSE)</f>
        <v>JMD</v>
      </c>
      <c r="G112" s="22">
        <f>+VLOOKUP($B112,'[1]INT Web'!$B$5:$AS$247,'[1]INT Web'!$U$1,FALSE)</f>
        <v>1699.99</v>
      </c>
      <c r="H112" s="22">
        <f>+VLOOKUP($B112,'[1]INT Web'!$B$5:$AS$247,'[1]INT Web'!$S$1,FALSE)</f>
        <v>2399.9899999999998</v>
      </c>
      <c r="I112" s="22">
        <f>+VLOOKUP($B112,'[1]INT Web'!$B$5:$AS$247,'[1]INT Web'!$T$1,FALSE)</f>
        <v>10199.99</v>
      </c>
      <c r="J112" s="22">
        <f>+VLOOKUP($B112,'[1]INT Web'!$B$5:$AS$247,'[1]INT Web'!$R$1,FALSE)</f>
        <v>14399.99</v>
      </c>
      <c r="K112" s="185">
        <f t="shared" si="32"/>
        <v>6.0000294119377173</v>
      </c>
      <c r="L112" s="185">
        <f t="shared" si="32"/>
        <v>6.0000208334201401</v>
      </c>
      <c r="M112" s="185">
        <f t="shared" si="33"/>
        <v>1.4117671280419295</v>
      </c>
      <c r="N112" s="186">
        <v>6.3492063999999997E-3</v>
      </c>
      <c r="O112" s="187">
        <f t="shared" si="34"/>
        <v>10.793587387936</v>
      </c>
      <c r="P112" s="187">
        <f t="shared" si="34"/>
        <v>15.238031867935998</v>
      </c>
      <c r="Q112" s="187">
        <f t="shared" si="34"/>
        <v>64.761841787935992</v>
      </c>
      <c r="R112" s="187">
        <f t="shared" si="31"/>
        <v>91.428508667936001</v>
      </c>
      <c r="S112" s="132" t="s">
        <v>477</v>
      </c>
      <c r="T112" s="104">
        <f t="shared" si="51"/>
        <v>1699.99</v>
      </c>
      <c r="U112" s="187">
        <f t="shared" si="35"/>
        <v>10.793587387936</v>
      </c>
      <c r="V112" s="188">
        <f t="shared" si="36"/>
        <v>0</v>
      </c>
      <c r="W112" s="189">
        <f t="shared" si="37"/>
        <v>0</v>
      </c>
      <c r="X112" s="104">
        <f t="shared" si="52"/>
        <v>2399.9899999999998</v>
      </c>
      <c r="Y112" s="187">
        <f t="shared" si="38"/>
        <v>15.238031867935998</v>
      </c>
      <c r="Z112" s="188">
        <f t="shared" si="39"/>
        <v>0</v>
      </c>
      <c r="AA112" s="189">
        <f t="shared" si="40"/>
        <v>0</v>
      </c>
      <c r="AB112" s="185">
        <f t="shared" si="41"/>
        <v>1.4117671280419295</v>
      </c>
      <c r="AC112" s="104">
        <f t="shared" si="53"/>
        <v>10199.99</v>
      </c>
      <c r="AD112" s="187">
        <f t="shared" si="42"/>
        <v>64.761841787935992</v>
      </c>
      <c r="AE112" s="188">
        <f t="shared" si="43"/>
        <v>0</v>
      </c>
      <c r="AF112" s="189">
        <f t="shared" si="44"/>
        <v>0</v>
      </c>
      <c r="AG112" s="185">
        <f t="shared" si="45"/>
        <v>6.0000294119377173</v>
      </c>
      <c r="AH112" s="104">
        <f t="shared" si="54"/>
        <v>14399.99</v>
      </c>
      <c r="AI112" s="187">
        <f t="shared" si="46"/>
        <v>91.428508667936001</v>
      </c>
      <c r="AJ112" s="188">
        <f t="shared" si="47"/>
        <v>0</v>
      </c>
      <c r="AK112" s="189">
        <f t="shared" si="48"/>
        <v>0</v>
      </c>
      <c r="AL112" s="185">
        <f t="shared" si="49"/>
        <v>6.0000208334201401</v>
      </c>
      <c r="AM112" s="6" t="str">
        <f t="shared" si="55"/>
        <v>30% Off SL / Annual</v>
      </c>
      <c r="AN112" s="6" t="str">
        <f t="shared" si="56"/>
        <v>15% Off All SKUs</v>
      </c>
      <c r="AO112" s="6" t="str">
        <f t="shared" si="50"/>
        <v>Monthly: 100% Off Next Month</v>
      </c>
      <c r="AP112" s="6" t="str">
        <f t="shared" si="57"/>
        <v>50% Off SL / Annual</v>
      </c>
    </row>
    <row r="113" spans="2:42" ht="13">
      <c r="B113" s="199" t="s">
        <v>181</v>
      </c>
      <c r="C113" s="199" t="s">
        <v>182</v>
      </c>
      <c r="D113" s="6" t="s">
        <v>480</v>
      </c>
      <c r="E113" s="6" t="s">
        <v>481</v>
      </c>
      <c r="F113" s="11" t="str">
        <f>+VLOOKUP($B113,'[1]INT Web'!$B$5:$AS$247,'[1]INT Web'!$Q$1,FALSE)</f>
        <v>JPY</v>
      </c>
      <c r="G113" s="22">
        <f>+VLOOKUP($B113,'[1]INT Web'!$B$5:$AS$247,'[1]INT Web'!$U$1,FALSE)</f>
        <v>3190</v>
      </c>
      <c r="H113" s="22">
        <f>+VLOOKUP($B113,'[1]INT Web'!$B$5:$AS$247,'[1]INT Web'!$S$1,FALSE)</f>
        <v>4190</v>
      </c>
      <c r="I113" s="22">
        <f>+VLOOKUP($B113,'[1]INT Web'!$B$5:$AS$247,'[1]INT Web'!$T$1,FALSE)</f>
        <v>19190</v>
      </c>
      <c r="J113" s="22">
        <f>+VLOOKUP($B113,'[1]INT Web'!$B$5:$AS$247,'[1]INT Web'!$R$1,FALSE)</f>
        <v>25190</v>
      </c>
      <c r="K113" s="185">
        <f t="shared" si="32"/>
        <v>6.015673981191223</v>
      </c>
      <c r="L113" s="185">
        <f t="shared" si="32"/>
        <v>6.0119331742243434</v>
      </c>
      <c r="M113" s="185">
        <f t="shared" si="33"/>
        <v>1.3134796238244515</v>
      </c>
      <c r="N113" s="186">
        <v>6.2046289999999997E-3</v>
      </c>
      <c r="O113" s="187">
        <f t="shared" si="34"/>
        <v>19.79276651</v>
      </c>
      <c r="P113" s="187">
        <f t="shared" si="34"/>
        <v>25.99739551</v>
      </c>
      <c r="Q113" s="187">
        <f t="shared" si="34"/>
        <v>119.06683050999999</v>
      </c>
      <c r="R113" s="187">
        <f t="shared" si="31"/>
        <v>156.29460451</v>
      </c>
      <c r="S113" s="132" t="s">
        <v>486</v>
      </c>
      <c r="T113" s="104">
        <f t="shared" si="51"/>
        <v>3190</v>
      </c>
      <c r="U113" s="187">
        <f t="shared" si="35"/>
        <v>19.79276651</v>
      </c>
      <c r="V113" s="188">
        <f t="shared" si="36"/>
        <v>0</v>
      </c>
      <c r="W113" s="189">
        <f t="shared" si="37"/>
        <v>0</v>
      </c>
      <c r="X113" s="104">
        <f t="shared" si="52"/>
        <v>4190</v>
      </c>
      <c r="Y113" s="187">
        <f t="shared" si="38"/>
        <v>25.99739551</v>
      </c>
      <c r="Z113" s="188">
        <f t="shared" si="39"/>
        <v>0</v>
      </c>
      <c r="AA113" s="189">
        <f t="shared" si="40"/>
        <v>0</v>
      </c>
      <c r="AB113" s="185">
        <f t="shared" si="41"/>
        <v>1.3134796238244515</v>
      </c>
      <c r="AC113" s="104">
        <f t="shared" si="53"/>
        <v>19190</v>
      </c>
      <c r="AD113" s="187">
        <f t="shared" si="42"/>
        <v>119.06683050999999</v>
      </c>
      <c r="AE113" s="188">
        <f t="shared" si="43"/>
        <v>0</v>
      </c>
      <c r="AF113" s="189">
        <f t="shared" si="44"/>
        <v>0</v>
      </c>
      <c r="AG113" s="185">
        <f t="shared" si="45"/>
        <v>6.015673981191223</v>
      </c>
      <c r="AH113" s="104">
        <f t="shared" si="54"/>
        <v>25190</v>
      </c>
      <c r="AI113" s="187">
        <f t="shared" si="46"/>
        <v>156.29460451</v>
      </c>
      <c r="AJ113" s="188">
        <f t="shared" si="47"/>
        <v>0</v>
      </c>
      <c r="AK113" s="189">
        <f t="shared" si="48"/>
        <v>0</v>
      </c>
      <c r="AL113" s="185">
        <f t="shared" si="49"/>
        <v>6.0119331742243434</v>
      </c>
      <c r="AM113" s="6" t="str">
        <f t="shared" si="55"/>
        <v>30% Off SL / Annual</v>
      </c>
      <c r="AN113" s="6" t="str">
        <f t="shared" si="56"/>
        <v>Messaging Only</v>
      </c>
      <c r="AO113" s="6" t="str">
        <f t="shared" si="50"/>
        <v>Messaging / Pause Flow</v>
      </c>
      <c r="AP113" s="6" t="str">
        <f t="shared" si="57"/>
        <v>50% Off SL / Annual</v>
      </c>
    </row>
    <row r="114" spans="2:42" ht="13">
      <c r="B114" s="20" t="s">
        <v>183</v>
      </c>
      <c r="C114" s="20" t="s">
        <v>100</v>
      </c>
      <c r="D114" s="6"/>
      <c r="E114" s="6" t="str">
        <f>IF(VLOOKUP(B114,'[7]FY25 PRICING'!$B$5:$AL$246,'[7]FY25 PRICING'!$E$1,FALSE)=0,"","x")</f>
        <v/>
      </c>
      <c r="F114" s="11" t="str">
        <f>+VLOOKUP($B114,'[1]INT Web'!$B$5:$AS$247,'[1]INT Web'!$Q$1,FALSE)</f>
        <v>USD</v>
      </c>
      <c r="G114" s="190">
        <f>+VLOOKUP($B114,'[1]INT Web'!$B$5:$AS$247,'[1]INT Web'!$U$1,FALSE)</f>
        <v>19.989999999999998</v>
      </c>
      <c r="H114" s="190">
        <f>+VLOOKUP($B114,'[1]INT Web'!$B$5:$AS$247,'[1]INT Web'!$S$1,FALSE)</f>
        <v>25.99</v>
      </c>
      <c r="I114" s="190">
        <f>+VLOOKUP($B114,'[1]INT Web'!$B$5:$AS$247,'[1]INT Web'!$T$1,FALSE)</f>
        <v>119.99</v>
      </c>
      <c r="J114" s="190">
        <f>+VLOOKUP($B114,'[1]INT Web'!$B$5:$AS$247,'[1]INT Web'!$R$1,FALSE)</f>
        <v>179.99</v>
      </c>
      <c r="K114" s="185">
        <f t="shared" si="32"/>
        <v>6.002501250625313</v>
      </c>
      <c r="L114" s="185">
        <f t="shared" si="32"/>
        <v>6.9253559061177388</v>
      </c>
      <c r="M114" s="185">
        <f t="shared" si="33"/>
        <v>1.3001500750375188</v>
      </c>
      <c r="N114" s="186">
        <v>1</v>
      </c>
      <c r="O114" s="187">
        <f t="shared" si="34"/>
        <v>19.989999999999998</v>
      </c>
      <c r="P114" s="187">
        <f t="shared" si="34"/>
        <v>25.99</v>
      </c>
      <c r="Q114" s="187">
        <f t="shared" si="34"/>
        <v>119.99</v>
      </c>
      <c r="R114" s="187">
        <f t="shared" si="31"/>
        <v>179.99</v>
      </c>
      <c r="S114" s="6">
        <v>0</v>
      </c>
      <c r="T114" s="104">
        <f t="shared" si="51"/>
        <v>19.989999999999998</v>
      </c>
      <c r="U114" s="187">
        <f t="shared" si="35"/>
        <v>19.989999999999998</v>
      </c>
      <c r="V114" s="188">
        <f t="shared" si="36"/>
        <v>0</v>
      </c>
      <c r="W114" s="189">
        <f t="shared" si="37"/>
        <v>0</v>
      </c>
      <c r="X114" s="104">
        <f t="shared" si="52"/>
        <v>25.99</v>
      </c>
      <c r="Y114" s="187">
        <f t="shared" si="38"/>
        <v>25.99</v>
      </c>
      <c r="Z114" s="188">
        <f t="shared" si="39"/>
        <v>0</v>
      </c>
      <c r="AA114" s="189">
        <f t="shared" si="40"/>
        <v>0</v>
      </c>
      <c r="AB114" s="185">
        <f t="shared" si="41"/>
        <v>1.3001500750375188</v>
      </c>
      <c r="AC114" s="104">
        <f t="shared" si="53"/>
        <v>119.99</v>
      </c>
      <c r="AD114" s="187">
        <f t="shared" si="42"/>
        <v>119.99</v>
      </c>
      <c r="AE114" s="188">
        <f t="shared" si="43"/>
        <v>0</v>
      </c>
      <c r="AF114" s="189">
        <f t="shared" si="44"/>
        <v>0</v>
      </c>
      <c r="AG114" s="185">
        <f t="shared" si="45"/>
        <v>6.002501250625313</v>
      </c>
      <c r="AH114" s="104">
        <f t="shared" si="54"/>
        <v>179.99</v>
      </c>
      <c r="AI114" s="187">
        <f t="shared" si="46"/>
        <v>179.99</v>
      </c>
      <c r="AJ114" s="188">
        <f t="shared" si="47"/>
        <v>0</v>
      </c>
      <c r="AK114" s="189">
        <f t="shared" si="48"/>
        <v>0</v>
      </c>
      <c r="AL114" s="185">
        <f t="shared" si="49"/>
        <v>6.9253559061177388</v>
      </c>
      <c r="AM114" s="6" t="str">
        <f t="shared" si="55"/>
        <v>30% Off SL / Annual</v>
      </c>
      <c r="AN114" s="6" t="str">
        <f t="shared" si="56"/>
        <v>15% Off All SKUs</v>
      </c>
      <c r="AO114" s="6" t="str">
        <f t="shared" si="50"/>
        <v>Monthly: 100% Off Next Month</v>
      </c>
      <c r="AP114" s="6" t="str">
        <f t="shared" si="57"/>
        <v>50% Off SL / Annual</v>
      </c>
    </row>
    <row r="115" spans="2:42" ht="13">
      <c r="B115" s="20" t="s">
        <v>184</v>
      </c>
      <c r="C115" s="20" t="s">
        <v>275</v>
      </c>
      <c r="D115" s="6"/>
      <c r="E115" s="6" t="str">
        <f>IF(VLOOKUP(B115,'[7]FY25 PRICING'!$B$5:$AL$246,'[7]FY25 PRICING'!$E$1,FALSE)=0,"","x")</f>
        <v/>
      </c>
      <c r="F115" s="11" t="str">
        <f>+VLOOKUP($B115,'[1]INT Web'!$B$5:$AS$247,'[1]INT Web'!$Q$1,FALSE)</f>
        <v>JOD</v>
      </c>
      <c r="G115" s="22">
        <f>+VLOOKUP($B115,'[1]INT Web'!$B$5:$AS$247,'[1]INT Web'!$U$1,FALSE)</f>
        <v>8.9990000000000006</v>
      </c>
      <c r="H115" s="22">
        <f>+VLOOKUP($B115,'[1]INT Web'!$B$5:$AS$247,'[1]INT Web'!$S$1,FALSE)</f>
        <v>11.999000000000001</v>
      </c>
      <c r="I115" s="22">
        <f>+VLOOKUP($B115,'[1]INT Web'!$B$5:$AS$247,'[1]INT Web'!$T$1,FALSE)</f>
        <v>59.999000000000002</v>
      </c>
      <c r="J115" s="22">
        <f>+VLOOKUP($B115,'[1]INT Web'!$B$5:$AS$247,'[1]INT Web'!$R$1,FALSE)</f>
        <v>79.998999999999995</v>
      </c>
      <c r="K115" s="185">
        <f t="shared" si="32"/>
        <v>6.6672963662629181</v>
      </c>
      <c r="L115" s="185">
        <f t="shared" si="32"/>
        <v>6.6671389282440199</v>
      </c>
      <c r="M115" s="185">
        <f t="shared" si="33"/>
        <v>1.3333703744860539</v>
      </c>
      <c r="N115" s="186">
        <v>1.4104372000000001</v>
      </c>
      <c r="O115" s="187">
        <f t="shared" si="34"/>
        <v>12.692524362800002</v>
      </c>
      <c r="P115" s="187">
        <f t="shared" si="34"/>
        <v>16.923835962800002</v>
      </c>
      <c r="Q115" s="187">
        <f t="shared" si="34"/>
        <v>84.624821562800008</v>
      </c>
      <c r="R115" s="187">
        <f t="shared" si="31"/>
        <v>112.8335655628</v>
      </c>
      <c r="S115" s="6">
        <v>0</v>
      </c>
      <c r="T115" s="104">
        <f t="shared" si="51"/>
        <v>8.9990000000000006</v>
      </c>
      <c r="U115" s="187">
        <f t="shared" si="35"/>
        <v>12.692524362800002</v>
      </c>
      <c r="V115" s="188">
        <f t="shared" si="36"/>
        <v>0</v>
      </c>
      <c r="W115" s="189">
        <f t="shared" si="37"/>
        <v>0</v>
      </c>
      <c r="X115" s="104">
        <f t="shared" si="52"/>
        <v>11.999000000000001</v>
      </c>
      <c r="Y115" s="187">
        <f t="shared" si="38"/>
        <v>16.923835962800002</v>
      </c>
      <c r="Z115" s="188">
        <f t="shared" si="39"/>
        <v>0</v>
      </c>
      <c r="AA115" s="189">
        <f t="shared" si="40"/>
        <v>0</v>
      </c>
      <c r="AB115" s="185">
        <f t="shared" si="41"/>
        <v>1.3333703744860539</v>
      </c>
      <c r="AC115" s="104">
        <f t="shared" si="53"/>
        <v>59.999000000000002</v>
      </c>
      <c r="AD115" s="187">
        <f t="shared" si="42"/>
        <v>84.624821562800008</v>
      </c>
      <c r="AE115" s="188">
        <f t="shared" si="43"/>
        <v>0</v>
      </c>
      <c r="AF115" s="189">
        <f t="shared" si="44"/>
        <v>0</v>
      </c>
      <c r="AG115" s="185">
        <f t="shared" si="45"/>
        <v>6.6672963662629181</v>
      </c>
      <c r="AH115" s="104">
        <f t="shared" si="54"/>
        <v>79.998999999999995</v>
      </c>
      <c r="AI115" s="187">
        <f t="shared" si="46"/>
        <v>112.8335655628</v>
      </c>
      <c r="AJ115" s="188">
        <f t="shared" si="47"/>
        <v>0</v>
      </c>
      <c r="AK115" s="189">
        <f t="shared" si="48"/>
        <v>0</v>
      </c>
      <c r="AL115" s="185">
        <f t="shared" si="49"/>
        <v>6.6671389282440199</v>
      </c>
      <c r="AM115" s="6" t="str">
        <f t="shared" si="55"/>
        <v>30% Off SL / Annual</v>
      </c>
      <c r="AN115" s="6" t="str">
        <f t="shared" si="56"/>
        <v>15% Off All SKUs</v>
      </c>
      <c r="AO115" s="6" t="str">
        <f t="shared" si="50"/>
        <v>Monthly: 100% Off Next Month</v>
      </c>
      <c r="AP115" s="6" t="str">
        <f t="shared" si="57"/>
        <v>50% Off SL / Annual</v>
      </c>
    </row>
    <row r="116" spans="2:42" ht="13">
      <c r="B116" s="20" t="s">
        <v>185</v>
      </c>
      <c r="C116" s="20" t="s">
        <v>494</v>
      </c>
      <c r="D116" s="6"/>
      <c r="E116" s="6" t="str">
        <f>IF(VLOOKUP(B116,'[7]FY25 PRICING'!$B$5:$AL$246,'[7]FY25 PRICING'!$E$1,FALSE)=0,"","x")</f>
        <v/>
      </c>
      <c r="F116" s="11" t="str">
        <f>+VLOOKUP($B116,'[1]INT Web'!$B$5:$AS$247,'[1]INT Web'!$Q$1,FALSE)</f>
        <v>KZT</v>
      </c>
      <c r="G116" s="22">
        <f>+VLOOKUP($B116,'[1]INT Web'!$B$5:$AS$247,'[1]INT Web'!$U$1,FALSE)</f>
        <v>4600</v>
      </c>
      <c r="H116" s="22">
        <f>+VLOOKUP($B116,'[1]INT Web'!$B$5:$AS$247,'[1]INT Web'!$S$1,FALSE)</f>
        <v>6210</v>
      </c>
      <c r="I116" s="22">
        <f>+VLOOKUP($B116,'[1]INT Web'!$B$5:$AS$247,'[1]INT Web'!$T$1,FALSE)</f>
        <v>27600</v>
      </c>
      <c r="J116" s="22">
        <f>+VLOOKUP($B116,'[1]INT Web'!$B$5:$AS$247,'[1]INT Web'!$R$1,FALSE)</f>
        <v>37260</v>
      </c>
      <c r="K116" s="185">
        <f t="shared" si="32"/>
        <v>6</v>
      </c>
      <c r="L116" s="185">
        <f t="shared" si="32"/>
        <v>6</v>
      </c>
      <c r="M116" s="185">
        <f t="shared" si="33"/>
        <v>1.35</v>
      </c>
      <c r="N116" s="186">
        <v>2.0502096000000001E-3</v>
      </c>
      <c r="O116" s="187">
        <f t="shared" si="34"/>
        <v>9.4309641600000003</v>
      </c>
      <c r="P116" s="187">
        <f t="shared" si="34"/>
        <v>12.731801616</v>
      </c>
      <c r="Q116" s="187">
        <f t="shared" si="34"/>
        <v>56.585784960000005</v>
      </c>
      <c r="R116" s="187">
        <f t="shared" si="31"/>
        <v>76.390809696000005</v>
      </c>
      <c r="S116" s="6">
        <v>0</v>
      </c>
      <c r="T116" s="104">
        <f t="shared" si="51"/>
        <v>4600</v>
      </c>
      <c r="U116" s="187">
        <f t="shared" si="35"/>
        <v>9.4309641600000003</v>
      </c>
      <c r="V116" s="188">
        <f t="shared" si="36"/>
        <v>0</v>
      </c>
      <c r="W116" s="189">
        <f t="shared" si="37"/>
        <v>0</v>
      </c>
      <c r="X116" s="104">
        <f t="shared" si="52"/>
        <v>6210</v>
      </c>
      <c r="Y116" s="187">
        <f t="shared" si="38"/>
        <v>12.731801616</v>
      </c>
      <c r="Z116" s="188">
        <f t="shared" si="39"/>
        <v>0</v>
      </c>
      <c r="AA116" s="189">
        <f t="shared" si="40"/>
        <v>0</v>
      </c>
      <c r="AB116" s="185">
        <f t="shared" si="41"/>
        <v>1.35</v>
      </c>
      <c r="AC116" s="104">
        <f t="shared" si="53"/>
        <v>27600</v>
      </c>
      <c r="AD116" s="187">
        <f t="shared" si="42"/>
        <v>56.585784960000005</v>
      </c>
      <c r="AE116" s="188">
        <f t="shared" si="43"/>
        <v>0</v>
      </c>
      <c r="AF116" s="189">
        <f t="shared" si="44"/>
        <v>0</v>
      </c>
      <c r="AG116" s="185">
        <f t="shared" si="45"/>
        <v>6</v>
      </c>
      <c r="AH116" s="104">
        <f t="shared" si="54"/>
        <v>37260</v>
      </c>
      <c r="AI116" s="187">
        <f t="shared" si="46"/>
        <v>76.390809696000005</v>
      </c>
      <c r="AJ116" s="188">
        <f t="shared" si="47"/>
        <v>0</v>
      </c>
      <c r="AK116" s="189">
        <f t="shared" si="48"/>
        <v>0</v>
      </c>
      <c r="AL116" s="185">
        <f t="shared" si="49"/>
        <v>6</v>
      </c>
      <c r="AM116" s="6" t="str">
        <f t="shared" si="55"/>
        <v>30% Off SL / Annual</v>
      </c>
      <c r="AN116" s="6" t="str">
        <f t="shared" si="56"/>
        <v>15% Off All SKUs</v>
      </c>
      <c r="AO116" s="6" t="str">
        <f t="shared" si="50"/>
        <v>Monthly: 100% Off Next Month</v>
      </c>
      <c r="AP116" s="6" t="str">
        <f t="shared" si="57"/>
        <v>50% Off SL / Annual</v>
      </c>
    </row>
    <row r="117" spans="2:42" ht="13">
      <c r="B117" s="20" t="s">
        <v>186</v>
      </c>
      <c r="C117" s="20" t="s">
        <v>270</v>
      </c>
      <c r="D117" s="6"/>
      <c r="E117" s="6" t="str">
        <f>IF(VLOOKUP(B117,'[7]FY25 PRICING'!$B$5:$AL$246,'[7]FY25 PRICING'!$E$1,FALSE)=0,"","x")</f>
        <v/>
      </c>
      <c r="F117" s="11" t="str">
        <f>+VLOOKUP($B117,'[1]INT Web'!$B$5:$AS$247,'[1]INT Web'!$Q$1,FALSE)</f>
        <v>KES</v>
      </c>
      <c r="G117" s="22">
        <f>+VLOOKUP($B117,'[1]INT Web'!$B$5:$AS$247,'[1]INT Web'!$U$1,FALSE)</f>
        <v>1100</v>
      </c>
      <c r="H117" s="22">
        <f>+VLOOKUP($B117,'[1]INT Web'!$B$5:$AS$247,'[1]INT Web'!$S$1,FALSE)</f>
        <v>1490</v>
      </c>
      <c r="I117" s="22">
        <f>+VLOOKUP($B117,'[1]INT Web'!$B$5:$AS$247,'[1]INT Web'!$T$1,FALSE)</f>
        <v>6600</v>
      </c>
      <c r="J117" s="22">
        <f>+VLOOKUP($B117,'[1]INT Web'!$B$5:$AS$247,'[1]INT Web'!$R$1,FALSE)</f>
        <v>8940</v>
      </c>
      <c r="K117" s="185">
        <f t="shared" si="32"/>
        <v>6</v>
      </c>
      <c r="L117" s="185">
        <f t="shared" si="32"/>
        <v>6</v>
      </c>
      <c r="M117" s="185">
        <f t="shared" si="33"/>
        <v>1.3545454545454545</v>
      </c>
      <c r="N117" s="186">
        <v>7.7279755000000004E-3</v>
      </c>
      <c r="O117" s="187">
        <f t="shared" si="34"/>
        <v>8.5007730500000012</v>
      </c>
      <c r="P117" s="187">
        <f t="shared" si="34"/>
        <v>11.514683495</v>
      </c>
      <c r="Q117" s="187">
        <f t="shared" si="34"/>
        <v>51.004638300000003</v>
      </c>
      <c r="R117" s="187">
        <f t="shared" si="31"/>
        <v>69.088100969999999</v>
      </c>
      <c r="S117" s="132" t="s">
        <v>477</v>
      </c>
      <c r="T117" s="104">
        <f t="shared" si="51"/>
        <v>1100</v>
      </c>
      <c r="U117" s="187">
        <f t="shared" si="35"/>
        <v>8.5007730500000012</v>
      </c>
      <c r="V117" s="188">
        <f t="shared" si="36"/>
        <v>0</v>
      </c>
      <c r="W117" s="189">
        <f t="shared" si="37"/>
        <v>0</v>
      </c>
      <c r="X117" s="104">
        <f t="shared" si="52"/>
        <v>1490</v>
      </c>
      <c r="Y117" s="187">
        <f t="shared" si="38"/>
        <v>11.514683495</v>
      </c>
      <c r="Z117" s="188">
        <f t="shared" si="39"/>
        <v>0</v>
      </c>
      <c r="AA117" s="189">
        <f t="shared" si="40"/>
        <v>0</v>
      </c>
      <c r="AB117" s="185">
        <f t="shared" si="41"/>
        <v>1.3545454545454545</v>
      </c>
      <c r="AC117" s="104">
        <f t="shared" si="53"/>
        <v>6600</v>
      </c>
      <c r="AD117" s="187">
        <f t="shared" si="42"/>
        <v>51.004638300000003</v>
      </c>
      <c r="AE117" s="188">
        <f t="shared" si="43"/>
        <v>0</v>
      </c>
      <c r="AF117" s="189">
        <f t="shared" si="44"/>
        <v>0</v>
      </c>
      <c r="AG117" s="185">
        <f t="shared" si="45"/>
        <v>6</v>
      </c>
      <c r="AH117" s="104">
        <f t="shared" si="54"/>
        <v>8940</v>
      </c>
      <c r="AI117" s="187">
        <f t="shared" si="46"/>
        <v>69.088100969999999</v>
      </c>
      <c r="AJ117" s="188">
        <f t="shared" si="47"/>
        <v>0</v>
      </c>
      <c r="AK117" s="189">
        <f t="shared" si="48"/>
        <v>0</v>
      </c>
      <c r="AL117" s="185">
        <f t="shared" si="49"/>
        <v>6</v>
      </c>
      <c r="AM117" s="6" t="str">
        <f t="shared" si="55"/>
        <v>30% Off SL / Annual</v>
      </c>
      <c r="AN117" s="6" t="str">
        <f t="shared" si="56"/>
        <v>15% Off All SKUs</v>
      </c>
      <c r="AO117" s="6" t="str">
        <f t="shared" si="50"/>
        <v>Monthly: 100% Off Next Month</v>
      </c>
      <c r="AP117" s="6" t="str">
        <f t="shared" si="57"/>
        <v>50% Off SL / Annual</v>
      </c>
    </row>
    <row r="118" spans="2:42" ht="13">
      <c r="B118" s="20" t="s">
        <v>187</v>
      </c>
      <c r="C118" s="20" t="s">
        <v>182</v>
      </c>
      <c r="D118" s="6"/>
      <c r="E118" s="6" t="str">
        <f>IF(VLOOKUP(B118,'[7]FY25 PRICING'!$B$5:$AL$246,'[7]FY25 PRICING'!$E$1,FALSE)=0,"","x")</f>
        <v/>
      </c>
      <c r="F118" s="11" t="str">
        <f>+VLOOKUP($B118,'[1]INT Web'!$B$5:$AS$247,'[1]INT Web'!$Q$1,FALSE)</f>
        <v>AUD</v>
      </c>
      <c r="G118" s="22">
        <f>+VLOOKUP($B118,'[1]INT Web'!$B$5:$AS$247,'[1]INT Web'!$U$1,FALSE)</f>
        <v>12.99</v>
      </c>
      <c r="H118" s="22">
        <f>+VLOOKUP($B118,'[1]INT Web'!$B$5:$AS$247,'[1]INT Web'!$S$1,FALSE)</f>
        <v>17.989999999999998</v>
      </c>
      <c r="I118" s="22">
        <f>+VLOOKUP($B118,'[1]INT Web'!$B$5:$AS$247,'[1]INT Web'!$T$1,FALSE)</f>
        <v>77.989999999999995</v>
      </c>
      <c r="J118" s="22">
        <f>+VLOOKUP($B118,'[1]INT Web'!$B$5:$AS$247,'[1]INT Web'!$R$1,FALSE)</f>
        <v>107.99</v>
      </c>
      <c r="K118" s="185">
        <f t="shared" si="32"/>
        <v>6.0038491147036179</v>
      </c>
      <c r="L118" s="185">
        <f t="shared" si="32"/>
        <v>6.0027793218454697</v>
      </c>
      <c r="M118" s="185">
        <f t="shared" si="33"/>
        <v>1.3849114703618166</v>
      </c>
      <c r="N118" s="186">
        <v>0.70125000000000004</v>
      </c>
      <c r="O118" s="187">
        <f t="shared" si="34"/>
        <v>9.1092375000000008</v>
      </c>
      <c r="P118" s="187">
        <f t="shared" si="34"/>
        <v>12.6154875</v>
      </c>
      <c r="Q118" s="187">
        <f t="shared" si="34"/>
        <v>54.690487499999996</v>
      </c>
      <c r="R118" s="187">
        <f t="shared" si="31"/>
        <v>75.727987499999998</v>
      </c>
      <c r="S118" s="6">
        <v>0</v>
      </c>
      <c r="T118" s="104">
        <f t="shared" si="51"/>
        <v>12.99</v>
      </c>
      <c r="U118" s="187">
        <f t="shared" si="35"/>
        <v>9.1092375000000008</v>
      </c>
      <c r="V118" s="188">
        <f t="shared" si="36"/>
        <v>0</v>
      </c>
      <c r="W118" s="189">
        <f t="shared" si="37"/>
        <v>0</v>
      </c>
      <c r="X118" s="104">
        <f t="shared" si="52"/>
        <v>17.989999999999998</v>
      </c>
      <c r="Y118" s="187">
        <f t="shared" si="38"/>
        <v>12.6154875</v>
      </c>
      <c r="Z118" s="188">
        <f t="shared" si="39"/>
        <v>0</v>
      </c>
      <c r="AA118" s="189">
        <f t="shared" si="40"/>
        <v>0</v>
      </c>
      <c r="AB118" s="185">
        <f t="shared" si="41"/>
        <v>1.3849114703618166</v>
      </c>
      <c r="AC118" s="104">
        <f t="shared" si="53"/>
        <v>77.989999999999995</v>
      </c>
      <c r="AD118" s="187">
        <f t="shared" si="42"/>
        <v>54.690487499999996</v>
      </c>
      <c r="AE118" s="188">
        <f t="shared" si="43"/>
        <v>0</v>
      </c>
      <c r="AF118" s="189">
        <f t="shared" si="44"/>
        <v>0</v>
      </c>
      <c r="AG118" s="185">
        <f t="shared" si="45"/>
        <v>6.0038491147036179</v>
      </c>
      <c r="AH118" s="104">
        <f t="shared" si="54"/>
        <v>107.99</v>
      </c>
      <c r="AI118" s="187">
        <f t="shared" si="46"/>
        <v>75.727987499999998</v>
      </c>
      <c r="AJ118" s="188">
        <f t="shared" si="47"/>
        <v>0</v>
      </c>
      <c r="AK118" s="189">
        <f t="shared" si="48"/>
        <v>0</v>
      </c>
      <c r="AL118" s="185">
        <f t="shared" si="49"/>
        <v>6.0027793218454697</v>
      </c>
      <c r="AM118" s="6" t="str">
        <f t="shared" si="55"/>
        <v>30% Off SL / Annual</v>
      </c>
      <c r="AN118" s="6" t="str">
        <f t="shared" si="56"/>
        <v>15% Off All SKUs</v>
      </c>
      <c r="AO118" s="6" t="str">
        <f t="shared" si="50"/>
        <v>Monthly: 100% Off Next Month</v>
      </c>
      <c r="AP118" s="6" t="str">
        <f t="shared" si="57"/>
        <v>50% Off SL / Annual</v>
      </c>
    </row>
    <row r="119" spans="2:42" ht="13">
      <c r="B119" s="20" t="s">
        <v>188</v>
      </c>
      <c r="C119" s="20" t="s">
        <v>100</v>
      </c>
      <c r="D119" s="6"/>
      <c r="E119" s="6" t="str">
        <f>IF(VLOOKUP(B119,'[7]FY25 PRICING'!$B$5:$AL$246,'[7]FY25 PRICING'!$E$1,FALSE)=0,"","x")</f>
        <v/>
      </c>
      <c r="F119" s="11" t="str">
        <f>+VLOOKUP($B119,'[1]INT Web'!$B$5:$AS$247,'[1]INT Web'!$Q$1,FALSE)</f>
        <v>EUR</v>
      </c>
      <c r="G119" s="190">
        <f>+VLOOKUP($B119,'[1]INT Web'!$B$5:$AS$247,'[1]INT Web'!$U$1,FALSE)</f>
        <v>5.99</v>
      </c>
      <c r="H119" s="190">
        <f>+VLOOKUP($B119,'[1]INT Web'!$B$5:$AS$247,'[1]INT Web'!$S$1,FALSE)</f>
        <v>7.99</v>
      </c>
      <c r="I119" s="190">
        <f>+VLOOKUP($B119,'[1]INT Web'!$B$5:$AS$247,'[1]INT Web'!$T$1,FALSE)</f>
        <v>35.99</v>
      </c>
      <c r="J119" s="190">
        <f>+VLOOKUP($B119,'[1]INT Web'!$B$5:$AS$247,'[1]INT Web'!$R$1,FALSE)</f>
        <v>47.99</v>
      </c>
      <c r="K119" s="185">
        <f t="shared" si="32"/>
        <v>6.0083472454090154</v>
      </c>
      <c r="L119" s="185">
        <f t="shared" si="32"/>
        <v>6.0062578222778473</v>
      </c>
      <c r="M119" s="185">
        <f t="shared" si="33"/>
        <v>1.333889816360601</v>
      </c>
      <c r="N119" s="186">
        <v>1.1469499999999999</v>
      </c>
      <c r="O119" s="187">
        <f t="shared" si="34"/>
        <v>6.8702304999999999</v>
      </c>
      <c r="P119" s="187">
        <f t="shared" si="34"/>
        <v>9.1641304999999988</v>
      </c>
      <c r="Q119" s="187">
        <f t="shared" si="34"/>
        <v>41.278730500000002</v>
      </c>
      <c r="R119" s="187">
        <f t="shared" si="31"/>
        <v>55.042130499999999</v>
      </c>
      <c r="S119" s="6">
        <v>0</v>
      </c>
      <c r="T119" s="104">
        <f t="shared" si="51"/>
        <v>5.99</v>
      </c>
      <c r="U119" s="187">
        <f t="shared" si="35"/>
        <v>6.8702304999999999</v>
      </c>
      <c r="V119" s="188">
        <f t="shared" si="36"/>
        <v>0</v>
      </c>
      <c r="W119" s="189">
        <f t="shared" si="37"/>
        <v>0</v>
      </c>
      <c r="X119" s="104">
        <f t="shared" si="52"/>
        <v>7.99</v>
      </c>
      <c r="Y119" s="187">
        <f t="shared" si="38"/>
        <v>9.1641304999999988</v>
      </c>
      <c r="Z119" s="188">
        <f t="shared" si="39"/>
        <v>0</v>
      </c>
      <c r="AA119" s="189">
        <f t="shared" si="40"/>
        <v>0</v>
      </c>
      <c r="AB119" s="185">
        <f t="shared" si="41"/>
        <v>1.333889816360601</v>
      </c>
      <c r="AC119" s="104">
        <f t="shared" si="53"/>
        <v>35.99</v>
      </c>
      <c r="AD119" s="187">
        <f t="shared" si="42"/>
        <v>41.278730500000002</v>
      </c>
      <c r="AE119" s="188">
        <f t="shared" si="43"/>
        <v>0</v>
      </c>
      <c r="AF119" s="189">
        <f t="shared" si="44"/>
        <v>0</v>
      </c>
      <c r="AG119" s="185">
        <f t="shared" si="45"/>
        <v>6.0083472454090154</v>
      </c>
      <c r="AH119" s="104">
        <f t="shared" si="54"/>
        <v>47.99</v>
      </c>
      <c r="AI119" s="187">
        <f t="shared" si="46"/>
        <v>55.042130499999999</v>
      </c>
      <c r="AJ119" s="188">
        <f t="shared" si="47"/>
        <v>0</v>
      </c>
      <c r="AK119" s="189">
        <f t="shared" si="48"/>
        <v>0</v>
      </c>
      <c r="AL119" s="185">
        <f t="shared" si="49"/>
        <v>6.0062578222778473</v>
      </c>
      <c r="AM119" s="6" t="str">
        <f t="shared" si="55"/>
        <v>30% Off SL / Annual</v>
      </c>
      <c r="AN119" s="6" t="str">
        <f t="shared" si="56"/>
        <v>15% Off All SKUs</v>
      </c>
      <c r="AO119" s="6" t="str">
        <f t="shared" si="50"/>
        <v>Monthly: 100% Off Next Month</v>
      </c>
      <c r="AP119" s="6" t="str">
        <f t="shared" si="57"/>
        <v>50% Off SL / Annual</v>
      </c>
    </row>
    <row r="120" spans="2:42" ht="13">
      <c r="B120" s="20" t="s">
        <v>189</v>
      </c>
      <c r="C120" s="20" t="s">
        <v>275</v>
      </c>
      <c r="D120" s="6"/>
      <c r="E120" s="6" t="str">
        <f>IF(VLOOKUP(B120,'[7]FY25 PRICING'!$B$5:$AL$246,'[7]FY25 PRICING'!$E$1,FALSE)=0,"","x")</f>
        <v/>
      </c>
      <c r="F120" s="11" t="str">
        <f>+VLOOKUP($B120,'[1]INT Web'!$B$5:$AS$247,'[1]INT Web'!$Q$1,FALSE)</f>
        <v>KWD</v>
      </c>
      <c r="G120" s="22">
        <f>+VLOOKUP($B120,'[1]INT Web'!$B$5:$AS$247,'[1]INT Web'!$U$1,FALSE)</f>
        <v>6.9989999999999997</v>
      </c>
      <c r="H120" s="22">
        <f>+VLOOKUP($B120,'[1]INT Web'!$B$5:$AS$247,'[1]INT Web'!$S$1,FALSE)</f>
        <v>9.9990000000000006</v>
      </c>
      <c r="I120" s="22">
        <f>+VLOOKUP($B120,'[1]INT Web'!$B$5:$AS$247,'[1]INT Web'!$T$1,FALSE)</f>
        <v>49.999000000000002</v>
      </c>
      <c r="J120" s="22">
        <f>+VLOOKUP($B120,'[1]INT Web'!$B$5:$AS$247,'[1]INT Web'!$R$1,FALSE)</f>
        <v>64.998999999999995</v>
      </c>
      <c r="K120" s="185">
        <f t="shared" si="32"/>
        <v>7.1437348192598948</v>
      </c>
      <c r="L120" s="185">
        <f t="shared" si="32"/>
        <v>6.5005500550054993</v>
      </c>
      <c r="M120" s="185">
        <f t="shared" si="33"/>
        <v>1.4286326618088301</v>
      </c>
      <c r="N120" s="186">
        <v>3.2441200000000001</v>
      </c>
      <c r="O120" s="187">
        <f t="shared" si="34"/>
        <v>22.705595880000001</v>
      </c>
      <c r="P120" s="187">
        <f t="shared" si="34"/>
        <v>32.437955880000004</v>
      </c>
      <c r="Q120" s="187">
        <f t="shared" si="34"/>
        <v>162.20275588000001</v>
      </c>
      <c r="R120" s="187">
        <f t="shared" si="31"/>
        <v>210.86455587999998</v>
      </c>
      <c r="S120" s="6" t="s">
        <v>485</v>
      </c>
      <c r="T120" s="104">
        <f t="shared" si="51"/>
        <v>6.9989999999999997</v>
      </c>
      <c r="U120" s="187">
        <f t="shared" si="35"/>
        <v>22.705595880000001</v>
      </c>
      <c r="V120" s="188">
        <f t="shared" si="36"/>
        <v>0</v>
      </c>
      <c r="W120" s="189">
        <f t="shared" si="37"/>
        <v>0</v>
      </c>
      <c r="X120" s="104">
        <f t="shared" si="52"/>
        <v>9.9990000000000006</v>
      </c>
      <c r="Y120" s="187">
        <f t="shared" si="38"/>
        <v>32.437955880000004</v>
      </c>
      <c r="Z120" s="188">
        <f t="shared" si="39"/>
        <v>0</v>
      </c>
      <c r="AA120" s="189">
        <f t="shared" si="40"/>
        <v>0</v>
      </c>
      <c r="AB120" s="185">
        <f t="shared" si="41"/>
        <v>1.4286326618088301</v>
      </c>
      <c r="AC120" s="104">
        <f t="shared" si="53"/>
        <v>49.999000000000002</v>
      </c>
      <c r="AD120" s="187">
        <f t="shared" si="42"/>
        <v>162.20275588000001</v>
      </c>
      <c r="AE120" s="188">
        <f t="shared" si="43"/>
        <v>0</v>
      </c>
      <c r="AF120" s="189">
        <f t="shared" si="44"/>
        <v>0</v>
      </c>
      <c r="AG120" s="185">
        <f t="shared" si="45"/>
        <v>7.1437348192598948</v>
      </c>
      <c r="AH120" s="104">
        <f t="shared" si="54"/>
        <v>64.998999999999995</v>
      </c>
      <c r="AI120" s="187">
        <f t="shared" si="46"/>
        <v>210.86455587999998</v>
      </c>
      <c r="AJ120" s="188">
        <f t="shared" si="47"/>
        <v>0</v>
      </c>
      <c r="AK120" s="189">
        <f t="shared" si="48"/>
        <v>0</v>
      </c>
      <c r="AL120" s="185">
        <f t="shared" si="49"/>
        <v>6.5005500550054993</v>
      </c>
      <c r="AM120" s="6" t="str">
        <f t="shared" si="55"/>
        <v>30% Off SL / Annual</v>
      </c>
      <c r="AN120" s="6" t="str">
        <f t="shared" si="56"/>
        <v>Messaging Only</v>
      </c>
      <c r="AO120" s="6" t="str">
        <f t="shared" si="50"/>
        <v>Messaging / Pause Flow</v>
      </c>
      <c r="AP120" s="6" t="str">
        <f t="shared" si="57"/>
        <v>50% Off LPP Only</v>
      </c>
    </row>
    <row r="121" spans="2:42" ht="13">
      <c r="B121" s="20" t="s">
        <v>190</v>
      </c>
      <c r="C121" s="20" t="s">
        <v>182</v>
      </c>
      <c r="D121" s="6"/>
      <c r="E121" s="6" t="str">
        <f>IF(VLOOKUP(B121,'[7]FY25 PRICING'!$B$5:$AL$246,'[7]FY25 PRICING'!$E$1,FALSE)=0,"","x")</f>
        <v/>
      </c>
      <c r="F121" s="11" t="str">
        <f>+VLOOKUP($B121,'[1]INT Web'!$B$5:$AS$247,'[1]INT Web'!$Q$1,FALSE)</f>
        <v>KGS</v>
      </c>
      <c r="G121" s="22">
        <f>+VLOOKUP($B121,'[1]INT Web'!$B$5:$AS$247,'[1]INT Web'!$U$1,FALSE)</f>
        <v>979.99</v>
      </c>
      <c r="H121" s="22">
        <f>+VLOOKUP($B121,'[1]INT Web'!$B$5:$AS$247,'[1]INT Web'!$S$1,FALSE)</f>
        <v>1322.99</v>
      </c>
      <c r="I121" s="22">
        <f>+VLOOKUP($B121,'[1]INT Web'!$B$5:$AS$247,'[1]INT Web'!$T$1,FALSE)</f>
        <v>5879.99</v>
      </c>
      <c r="J121" s="22">
        <f>+VLOOKUP($B121,'[1]INT Web'!$B$5:$AS$247,'[1]INT Web'!$R$1,FALSE)</f>
        <v>7937.99</v>
      </c>
      <c r="K121" s="185">
        <f t="shared" si="32"/>
        <v>6.000051020928785</v>
      </c>
      <c r="L121" s="185">
        <f t="shared" si="32"/>
        <v>6.0000377931805984</v>
      </c>
      <c r="M121" s="185">
        <f t="shared" si="33"/>
        <v>1.3500035714650149</v>
      </c>
      <c r="N121" s="186">
        <v>1.1435106E-2</v>
      </c>
      <c r="O121" s="187">
        <f t="shared" si="34"/>
        <v>11.206289528940001</v>
      </c>
      <c r="P121" s="187">
        <f t="shared" si="34"/>
        <v>15.12853088694</v>
      </c>
      <c r="Q121" s="187">
        <f t="shared" si="34"/>
        <v>67.23830892894</v>
      </c>
      <c r="R121" s="187">
        <f t="shared" si="31"/>
        <v>90.771757076940006</v>
      </c>
      <c r="S121" s="6">
        <v>0</v>
      </c>
      <c r="T121" s="104">
        <f t="shared" si="51"/>
        <v>979.99</v>
      </c>
      <c r="U121" s="187">
        <f t="shared" si="35"/>
        <v>11.206289528940001</v>
      </c>
      <c r="V121" s="188">
        <f t="shared" si="36"/>
        <v>0</v>
      </c>
      <c r="W121" s="189">
        <f t="shared" si="37"/>
        <v>0</v>
      </c>
      <c r="X121" s="104">
        <f t="shared" si="52"/>
        <v>1322.99</v>
      </c>
      <c r="Y121" s="187">
        <f t="shared" si="38"/>
        <v>15.12853088694</v>
      </c>
      <c r="Z121" s="188">
        <f t="shared" si="39"/>
        <v>0</v>
      </c>
      <c r="AA121" s="189">
        <f t="shared" si="40"/>
        <v>0</v>
      </c>
      <c r="AB121" s="185">
        <f t="shared" si="41"/>
        <v>1.3500035714650149</v>
      </c>
      <c r="AC121" s="104">
        <f t="shared" si="53"/>
        <v>5879.99</v>
      </c>
      <c r="AD121" s="187">
        <f t="shared" si="42"/>
        <v>67.23830892894</v>
      </c>
      <c r="AE121" s="188">
        <f t="shared" si="43"/>
        <v>0</v>
      </c>
      <c r="AF121" s="189">
        <f t="shared" si="44"/>
        <v>0</v>
      </c>
      <c r="AG121" s="185">
        <f t="shared" si="45"/>
        <v>6.000051020928785</v>
      </c>
      <c r="AH121" s="104">
        <f t="shared" si="54"/>
        <v>7937.99</v>
      </c>
      <c r="AI121" s="187">
        <f t="shared" si="46"/>
        <v>90.771757076940006</v>
      </c>
      <c r="AJ121" s="188">
        <f t="shared" si="47"/>
        <v>0</v>
      </c>
      <c r="AK121" s="189">
        <f t="shared" si="48"/>
        <v>0</v>
      </c>
      <c r="AL121" s="185">
        <f t="shared" si="49"/>
        <v>6.0000377931805984</v>
      </c>
      <c r="AM121" s="6" t="str">
        <f t="shared" si="55"/>
        <v>30% Off SL / Annual</v>
      </c>
      <c r="AN121" s="6" t="str">
        <f t="shared" si="56"/>
        <v>15% Off All SKUs</v>
      </c>
      <c r="AO121" s="6" t="str">
        <f t="shared" si="50"/>
        <v>Monthly: 100% Off Next Month</v>
      </c>
      <c r="AP121" s="6" t="str">
        <f t="shared" si="57"/>
        <v>50% Off SL / Annual</v>
      </c>
    </row>
    <row r="122" spans="2:42" ht="13">
      <c r="B122" s="20" t="s">
        <v>191</v>
      </c>
      <c r="C122" s="20" t="s">
        <v>182</v>
      </c>
      <c r="D122" s="6"/>
      <c r="E122" s="6" t="str">
        <f>IF(VLOOKUP(B122,'[7]FY25 PRICING'!$B$5:$AL$246,'[7]FY25 PRICING'!$E$1,FALSE)=0,"","x")</f>
        <v/>
      </c>
      <c r="F122" s="11" t="str">
        <f>+VLOOKUP($B122,'[1]INT Web'!$B$5:$AS$247,'[1]INT Web'!$Q$1,FALSE)</f>
        <v>LAK</v>
      </c>
      <c r="G122" s="22">
        <f>+VLOOKUP($B122,'[1]INT Web'!$B$5:$AS$247,'[1]INT Web'!$U$1,FALSE)</f>
        <v>95100</v>
      </c>
      <c r="H122" s="22">
        <f>+VLOOKUP($B122,'[1]INT Web'!$B$5:$AS$247,'[1]INT Web'!$S$1,FALSE)</f>
        <v>128390</v>
      </c>
      <c r="I122" s="22">
        <f>+VLOOKUP($B122,'[1]INT Web'!$B$5:$AS$247,'[1]INT Web'!$T$1,FALSE)</f>
        <v>570600</v>
      </c>
      <c r="J122" s="22">
        <f>+VLOOKUP($B122,'[1]INT Web'!$B$5:$AS$247,'[1]INT Web'!$R$1,FALSE)</f>
        <v>770340</v>
      </c>
      <c r="K122" s="185">
        <f t="shared" si="32"/>
        <v>6</v>
      </c>
      <c r="L122" s="185">
        <f t="shared" si="32"/>
        <v>6</v>
      </c>
      <c r="M122" s="185">
        <f t="shared" si="33"/>
        <v>1.3500525762355415</v>
      </c>
      <c r="N122" s="186">
        <v>4.5487195E-5</v>
      </c>
      <c r="O122" s="187">
        <f t="shared" si="34"/>
        <v>4.3258322444999999</v>
      </c>
      <c r="P122" s="187">
        <f t="shared" si="34"/>
        <v>5.8401009660499996</v>
      </c>
      <c r="Q122" s="187">
        <f t="shared" si="34"/>
        <v>25.954993467000001</v>
      </c>
      <c r="R122" s="187">
        <f t="shared" si="31"/>
        <v>35.040605796299999</v>
      </c>
      <c r="S122" s="6">
        <v>0</v>
      </c>
      <c r="T122" s="104">
        <f t="shared" si="51"/>
        <v>95100</v>
      </c>
      <c r="U122" s="187">
        <f t="shared" si="35"/>
        <v>4.3258322444999999</v>
      </c>
      <c r="V122" s="188">
        <f t="shared" si="36"/>
        <v>0</v>
      </c>
      <c r="W122" s="189">
        <f t="shared" si="37"/>
        <v>0</v>
      </c>
      <c r="X122" s="104">
        <f t="shared" si="52"/>
        <v>128390</v>
      </c>
      <c r="Y122" s="187">
        <f t="shared" si="38"/>
        <v>5.8401009660499996</v>
      </c>
      <c r="Z122" s="188">
        <f t="shared" si="39"/>
        <v>0</v>
      </c>
      <c r="AA122" s="189">
        <f t="shared" si="40"/>
        <v>0</v>
      </c>
      <c r="AB122" s="185">
        <f t="shared" si="41"/>
        <v>1.3500525762355415</v>
      </c>
      <c r="AC122" s="104">
        <f t="shared" si="53"/>
        <v>570600</v>
      </c>
      <c r="AD122" s="187">
        <f t="shared" si="42"/>
        <v>25.954993467000001</v>
      </c>
      <c r="AE122" s="188">
        <f t="shared" si="43"/>
        <v>0</v>
      </c>
      <c r="AF122" s="189">
        <f t="shared" si="44"/>
        <v>0</v>
      </c>
      <c r="AG122" s="185">
        <f t="shared" si="45"/>
        <v>6</v>
      </c>
      <c r="AH122" s="104">
        <f t="shared" si="54"/>
        <v>770340</v>
      </c>
      <c r="AI122" s="187">
        <f t="shared" si="46"/>
        <v>35.040605796299999</v>
      </c>
      <c r="AJ122" s="188">
        <f t="shared" si="47"/>
        <v>0</v>
      </c>
      <c r="AK122" s="189">
        <f t="shared" si="48"/>
        <v>0</v>
      </c>
      <c r="AL122" s="185">
        <f t="shared" si="49"/>
        <v>6</v>
      </c>
      <c r="AM122" s="6" t="str">
        <f t="shared" si="55"/>
        <v>30% Off SL / Annual</v>
      </c>
      <c r="AN122" s="6" t="str">
        <f t="shared" si="56"/>
        <v>15% Off All SKUs</v>
      </c>
      <c r="AO122" s="6" t="str">
        <f t="shared" si="50"/>
        <v>Monthly: 100% Off Next Month</v>
      </c>
      <c r="AP122" s="6" t="str">
        <f t="shared" si="57"/>
        <v>50% Off SL / Annual</v>
      </c>
    </row>
    <row r="123" spans="2:42" ht="13">
      <c r="B123" s="20" t="s">
        <v>192</v>
      </c>
      <c r="C123" s="20" t="s">
        <v>100</v>
      </c>
      <c r="D123" s="6"/>
      <c r="E123" s="6" t="str">
        <f>IF(VLOOKUP(B123,'[7]FY25 PRICING'!$B$5:$AL$246,'[7]FY25 PRICING'!$E$1,FALSE)=0,"","x")</f>
        <v/>
      </c>
      <c r="F123" s="11" t="str">
        <f>+VLOOKUP($B123,'[1]INT Web'!$B$5:$AS$247,'[1]INT Web'!$Q$1,FALSE)</f>
        <v>EUR</v>
      </c>
      <c r="G123" s="22">
        <f>+VLOOKUP($B123,'[1]INT Web'!$B$5:$AS$247,'[1]INT Web'!$U$1,FALSE)</f>
        <v>10.99</v>
      </c>
      <c r="H123" s="22">
        <f>+VLOOKUP($B123,'[1]INT Web'!$B$5:$AS$247,'[1]INT Web'!$S$1,FALSE)</f>
        <v>14.99</v>
      </c>
      <c r="I123" s="22">
        <f>+VLOOKUP($B123,'[1]INT Web'!$B$5:$AS$247,'[1]INT Web'!$T$1,FALSE)</f>
        <v>67.989999999999995</v>
      </c>
      <c r="J123" s="22">
        <f>+VLOOKUP($B123,'[1]INT Web'!$B$5:$AS$247,'[1]INT Web'!$R$1,FALSE)</f>
        <v>91.99</v>
      </c>
      <c r="K123" s="185">
        <f t="shared" si="32"/>
        <v>6.186533212010918</v>
      </c>
      <c r="L123" s="185">
        <f t="shared" si="32"/>
        <v>6.1367578385590393</v>
      </c>
      <c r="M123" s="185">
        <f t="shared" si="33"/>
        <v>1.3639672429481347</v>
      </c>
      <c r="N123" s="186">
        <v>1.1469499999999999</v>
      </c>
      <c r="O123" s="187">
        <f t="shared" si="34"/>
        <v>12.6049805</v>
      </c>
      <c r="P123" s="187">
        <f t="shared" si="34"/>
        <v>17.192780499999998</v>
      </c>
      <c r="Q123" s="187">
        <f t="shared" si="34"/>
        <v>77.981130499999992</v>
      </c>
      <c r="R123" s="187">
        <f t="shared" si="31"/>
        <v>105.50793049999999</v>
      </c>
      <c r="S123" s="6" t="s">
        <v>485</v>
      </c>
      <c r="T123" s="104">
        <f t="shared" si="51"/>
        <v>10.99</v>
      </c>
      <c r="U123" s="187">
        <f t="shared" si="35"/>
        <v>12.6049805</v>
      </c>
      <c r="V123" s="188">
        <f t="shared" si="36"/>
        <v>0</v>
      </c>
      <c r="W123" s="189">
        <f t="shared" si="37"/>
        <v>0</v>
      </c>
      <c r="X123" s="104">
        <f t="shared" si="52"/>
        <v>14.99</v>
      </c>
      <c r="Y123" s="187">
        <f t="shared" si="38"/>
        <v>17.192780499999998</v>
      </c>
      <c r="Z123" s="188">
        <f t="shared" si="39"/>
        <v>0</v>
      </c>
      <c r="AA123" s="189">
        <f t="shared" si="40"/>
        <v>0</v>
      </c>
      <c r="AB123" s="185">
        <f t="shared" si="41"/>
        <v>1.3639672429481347</v>
      </c>
      <c r="AC123" s="104">
        <f t="shared" si="53"/>
        <v>67.989999999999995</v>
      </c>
      <c r="AD123" s="187">
        <f t="shared" si="42"/>
        <v>77.981130499999992</v>
      </c>
      <c r="AE123" s="188">
        <f t="shared" si="43"/>
        <v>0</v>
      </c>
      <c r="AF123" s="189">
        <f t="shared" si="44"/>
        <v>0</v>
      </c>
      <c r="AG123" s="185">
        <f t="shared" si="45"/>
        <v>6.186533212010918</v>
      </c>
      <c r="AH123" s="104">
        <f t="shared" si="54"/>
        <v>91.99</v>
      </c>
      <c r="AI123" s="187">
        <f t="shared" si="46"/>
        <v>105.50793049999999</v>
      </c>
      <c r="AJ123" s="188">
        <f t="shared" si="47"/>
        <v>0</v>
      </c>
      <c r="AK123" s="189">
        <f t="shared" si="48"/>
        <v>0</v>
      </c>
      <c r="AL123" s="185">
        <f t="shared" si="49"/>
        <v>6.1367578385590393</v>
      </c>
      <c r="AM123" s="6" t="str">
        <f t="shared" si="55"/>
        <v>30% Off SL / Annual</v>
      </c>
      <c r="AN123" s="6" t="str">
        <f t="shared" si="56"/>
        <v>Messaging Only</v>
      </c>
      <c r="AO123" s="6" t="str">
        <f t="shared" si="50"/>
        <v>Messaging / Pause Flow</v>
      </c>
      <c r="AP123" s="6" t="str">
        <f t="shared" si="57"/>
        <v>50% Off LPP Only</v>
      </c>
    </row>
    <row r="124" spans="2:42" ht="13">
      <c r="B124" s="20" t="s">
        <v>193</v>
      </c>
      <c r="C124" s="20" t="s">
        <v>275</v>
      </c>
      <c r="D124" s="6"/>
      <c r="E124" s="6" t="str">
        <f>IF(VLOOKUP(B124,'[7]FY25 PRICING'!$B$5:$AL$246,'[7]FY25 PRICING'!$E$1,FALSE)=0,"","x")</f>
        <v/>
      </c>
      <c r="F124" s="11" t="str">
        <f>+VLOOKUP($B124,'[1]INT Web'!$B$5:$AS$247,'[1]INT Web'!$Q$1,FALSE)</f>
        <v>USD</v>
      </c>
      <c r="G124" s="22">
        <f>+VLOOKUP($B124,'[1]INT Web'!$B$5:$AS$247,'[1]INT Web'!$U$1,FALSE)</f>
        <v>3.99</v>
      </c>
      <c r="H124" s="22">
        <f>+VLOOKUP($B124,'[1]INT Web'!$B$5:$AS$247,'[1]INT Web'!$S$1,FALSE)</f>
        <v>4.99</v>
      </c>
      <c r="I124" s="22">
        <f>+VLOOKUP($B124,'[1]INT Web'!$B$5:$AS$247,'[1]INT Web'!$T$1,FALSE)</f>
        <v>27.99</v>
      </c>
      <c r="J124" s="22">
        <f>+VLOOKUP($B124,'[1]INT Web'!$B$5:$AS$247,'[1]INT Web'!$R$1,FALSE)</f>
        <v>34.99</v>
      </c>
      <c r="K124" s="185">
        <f t="shared" si="32"/>
        <v>7.0150375939849621</v>
      </c>
      <c r="L124" s="185">
        <f t="shared" si="32"/>
        <v>7.0120240480961922</v>
      </c>
      <c r="M124" s="185">
        <f t="shared" si="33"/>
        <v>1.2506265664160401</v>
      </c>
      <c r="N124" s="186">
        <v>1</v>
      </c>
      <c r="O124" s="187">
        <f t="shared" si="34"/>
        <v>3.99</v>
      </c>
      <c r="P124" s="187">
        <f t="shared" si="34"/>
        <v>4.99</v>
      </c>
      <c r="Q124" s="187">
        <f t="shared" si="34"/>
        <v>27.99</v>
      </c>
      <c r="R124" s="187">
        <f t="shared" si="31"/>
        <v>34.99</v>
      </c>
      <c r="S124" s="132" t="s">
        <v>486</v>
      </c>
      <c r="T124" s="104">
        <f t="shared" si="51"/>
        <v>3.99</v>
      </c>
      <c r="U124" s="187">
        <f t="shared" si="35"/>
        <v>3.99</v>
      </c>
      <c r="V124" s="188">
        <f t="shared" si="36"/>
        <v>0</v>
      </c>
      <c r="W124" s="189">
        <f t="shared" si="37"/>
        <v>0</v>
      </c>
      <c r="X124" s="104">
        <f t="shared" si="52"/>
        <v>4.99</v>
      </c>
      <c r="Y124" s="187">
        <f t="shared" si="38"/>
        <v>4.99</v>
      </c>
      <c r="Z124" s="188">
        <f t="shared" si="39"/>
        <v>0</v>
      </c>
      <c r="AA124" s="189">
        <f t="shared" si="40"/>
        <v>0</v>
      </c>
      <c r="AB124" s="185">
        <f t="shared" si="41"/>
        <v>1.2506265664160401</v>
      </c>
      <c r="AC124" s="104">
        <f t="shared" si="53"/>
        <v>27.99</v>
      </c>
      <c r="AD124" s="187">
        <f t="shared" si="42"/>
        <v>27.99</v>
      </c>
      <c r="AE124" s="188">
        <f t="shared" si="43"/>
        <v>0</v>
      </c>
      <c r="AF124" s="189">
        <f t="shared" si="44"/>
        <v>0</v>
      </c>
      <c r="AG124" s="185">
        <f t="shared" si="45"/>
        <v>7.0150375939849621</v>
      </c>
      <c r="AH124" s="104">
        <f t="shared" si="54"/>
        <v>34.99</v>
      </c>
      <c r="AI124" s="187">
        <f t="shared" si="46"/>
        <v>34.99</v>
      </c>
      <c r="AJ124" s="188">
        <f t="shared" si="47"/>
        <v>0</v>
      </c>
      <c r="AK124" s="189">
        <f t="shared" si="48"/>
        <v>0</v>
      </c>
      <c r="AL124" s="185">
        <f t="shared" si="49"/>
        <v>7.0120240480961922</v>
      </c>
      <c r="AM124" s="6" t="str">
        <f t="shared" si="55"/>
        <v>30% Off SL / Annual</v>
      </c>
      <c r="AN124" s="6" t="str">
        <f t="shared" si="56"/>
        <v>Messaging Only</v>
      </c>
      <c r="AO124" s="6" t="str">
        <f t="shared" si="50"/>
        <v>Messaging / Pause Flow</v>
      </c>
      <c r="AP124" s="6" t="str">
        <f t="shared" si="57"/>
        <v>50% Off SL / Annual</v>
      </c>
    </row>
    <row r="125" spans="2:42" ht="13">
      <c r="B125" s="20" t="s">
        <v>194</v>
      </c>
      <c r="C125" s="20" t="s">
        <v>270</v>
      </c>
      <c r="D125" s="6"/>
      <c r="E125" s="6" t="str">
        <f>IF(VLOOKUP(B125,'[7]FY25 PRICING'!$B$5:$AL$246,'[7]FY25 PRICING'!$E$1,FALSE)=0,"","x")</f>
        <v/>
      </c>
      <c r="F125" s="11" t="str">
        <f>+VLOOKUP($B125,'[1]INT Web'!$B$5:$AS$247,'[1]INT Web'!$Q$1,FALSE)</f>
        <v>USD</v>
      </c>
      <c r="G125" s="22">
        <f>+VLOOKUP($B125,'[1]INT Web'!$B$5:$AS$247,'[1]INT Web'!$U$1,FALSE)</f>
        <v>8.99</v>
      </c>
      <c r="H125" s="22">
        <f>+VLOOKUP($B125,'[1]INT Web'!$B$5:$AS$247,'[1]INT Web'!$S$1,FALSE)</f>
        <v>11.99</v>
      </c>
      <c r="I125" s="22">
        <f>+VLOOKUP($B125,'[1]INT Web'!$B$5:$AS$247,'[1]INT Web'!$T$1,FALSE)</f>
        <v>53.99</v>
      </c>
      <c r="J125" s="22">
        <f>+VLOOKUP($B125,'[1]INT Web'!$B$5:$AS$247,'[1]INT Web'!$R$1,FALSE)</f>
        <v>71.989999999999995</v>
      </c>
      <c r="K125" s="185">
        <f t="shared" si="32"/>
        <v>6.0055617352614012</v>
      </c>
      <c r="L125" s="185">
        <f t="shared" si="32"/>
        <v>6.0041701417848206</v>
      </c>
      <c r="M125" s="185">
        <f t="shared" si="33"/>
        <v>1.3337041156840934</v>
      </c>
      <c r="N125" s="186">
        <v>1</v>
      </c>
      <c r="O125" s="187">
        <f t="shared" si="34"/>
        <v>8.99</v>
      </c>
      <c r="P125" s="187">
        <f t="shared" si="34"/>
        <v>11.99</v>
      </c>
      <c r="Q125" s="187">
        <f t="shared" si="34"/>
        <v>53.99</v>
      </c>
      <c r="R125" s="187">
        <f t="shared" si="31"/>
        <v>71.989999999999995</v>
      </c>
      <c r="S125" s="6">
        <v>0</v>
      </c>
      <c r="T125" s="104">
        <f t="shared" si="51"/>
        <v>8.99</v>
      </c>
      <c r="U125" s="187">
        <f t="shared" si="35"/>
        <v>8.99</v>
      </c>
      <c r="V125" s="188">
        <f t="shared" si="36"/>
        <v>0</v>
      </c>
      <c r="W125" s="189">
        <f t="shared" si="37"/>
        <v>0</v>
      </c>
      <c r="X125" s="104">
        <f t="shared" si="52"/>
        <v>11.99</v>
      </c>
      <c r="Y125" s="187">
        <f t="shared" si="38"/>
        <v>11.99</v>
      </c>
      <c r="Z125" s="188">
        <f t="shared" si="39"/>
        <v>0</v>
      </c>
      <c r="AA125" s="189">
        <f t="shared" si="40"/>
        <v>0</v>
      </c>
      <c r="AB125" s="185">
        <f t="shared" si="41"/>
        <v>1.3337041156840934</v>
      </c>
      <c r="AC125" s="104">
        <f t="shared" si="53"/>
        <v>53.99</v>
      </c>
      <c r="AD125" s="187">
        <f t="shared" si="42"/>
        <v>53.99</v>
      </c>
      <c r="AE125" s="188">
        <f t="shared" si="43"/>
        <v>0</v>
      </c>
      <c r="AF125" s="189">
        <f t="shared" si="44"/>
        <v>0</v>
      </c>
      <c r="AG125" s="185">
        <f t="shared" si="45"/>
        <v>6.0055617352614012</v>
      </c>
      <c r="AH125" s="104">
        <f t="shared" si="54"/>
        <v>71.989999999999995</v>
      </c>
      <c r="AI125" s="187">
        <f t="shared" si="46"/>
        <v>71.989999999999995</v>
      </c>
      <c r="AJ125" s="188">
        <f t="shared" si="47"/>
        <v>0</v>
      </c>
      <c r="AK125" s="189">
        <f t="shared" si="48"/>
        <v>0</v>
      </c>
      <c r="AL125" s="185">
        <f t="shared" si="49"/>
        <v>6.0041701417848206</v>
      </c>
      <c r="AM125" s="6" t="str">
        <f t="shared" si="55"/>
        <v>30% Off SL / Annual</v>
      </c>
      <c r="AN125" s="6" t="str">
        <f t="shared" si="56"/>
        <v>15% Off All SKUs</v>
      </c>
      <c r="AO125" s="6" t="str">
        <f t="shared" si="50"/>
        <v>Monthly: 100% Off Next Month</v>
      </c>
      <c r="AP125" s="6" t="str">
        <f t="shared" si="57"/>
        <v>50% Off SL / Annual</v>
      </c>
    </row>
    <row r="126" spans="2:42" ht="13">
      <c r="B126" s="20" t="s">
        <v>195</v>
      </c>
      <c r="C126" s="20" t="s">
        <v>270</v>
      </c>
      <c r="D126" s="6"/>
      <c r="E126" s="6" t="str">
        <f>IF(VLOOKUP(B126,'[7]FY25 PRICING'!$B$5:$AL$246,'[7]FY25 PRICING'!$E$1,FALSE)=0,"","x")</f>
        <v/>
      </c>
      <c r="F126" s="11" t="str">
        <f>+VLOOKUP($B126,'[1]INT Web'!$B$5:$AS$247,'[1]INT Web'!$Q$1,FALSE)</f>
        <v>USD</v>
      </c>
      <c r="G126" s="22">
        <f>+VLOOKUP($B126,'[1]INT Web'!$B$5:$AS$247,'[1]INT Web'!$U$1,FALSE)</f>
        <v>8.99</v>
      </c>
      <c r="H126" s="22">
        <f>+VLOOKUP($B126,'[1]INT Web'!$B$5:$AS$247,'[1]INT Web'!$S$1,FALSE)</f>
        <v>11.99</v>
      </c>
      <c r="I126" s="22">
        <f>+VLOOKUP($B126,'[1]INT Web'!$B$5:$AS$247,'[1]INT Web'!$T$1,FALSE)</f>
        <v>53.99</v>
      </c>
      <c r="J126" s="22">
        <f>+VLOOKUP($B126,'[1]INT Web'!$B$5:$AS$247,'[1]INT Web'!$R$1,FALSE)</f>
        <v>71.989999999999995</v>
      </c>
      <c r="K126" s="185">
        <f t="shared" si="32"/>
        <v>6.0055617352614012</v>
      </c>
      <c r="L126" s="185">
        <f t="shared" si="32"/>
        <v>6.0041701417848206</v>
      </c>
      <c r="M126" s="185">
        <f t="shared" si="33"/>
        <v>1.3337041156840934</v>
      </c>
      <c r="N126" s="186">
        <v>1</v>
      </c>
      <c r="O126" s="187">
        <f t="shared" si="34"/>
        <v>8.99</v>
      </c>
      <c r="P126" s="187">
        <f t="shared" si="34"/>
        <v>11.99</v>
      </c>
      <c r="Q126" s="187">
        <f t="shared" si="34"/>
        <v>53.99</v>
      </c>
      <c r="R126" s="187">
        <f t="shared" si="31"/>
        <v>71.989999999999995</v>
      </c>
      <c r="S126" s="6">
        <v>0</v>
      </c>
      <c r="T126" s="104">
        <f t="shared" si="51"/>
        <v>8.99</v>
      </c>
      <c r="U126" s="187">
        <f t="shared" si="35"/>
        <v>8.99</v>
      </c>
      <c r="V126" s="188">
        <f t="shared" si="36"/>
        <v>0</v>
      </c>
      <c r="W126" s="189">
        <f t="shared" si="37"/>
        <v>0</v>
      </c>
      <c r="X126" s="104">
        <f t="shared" si="52"/>
        <v>11.99</v>
      </c>
      <c r="Y126" s="187">
        <f t="shared" si="38"/>
        <v>11.99</v>
      </c>
      <c r="Z126" s="188">
        <f t="shared" si="39"/>
        <v>0</v>
      </c>
      <c r="AA126" s="189">
        <f t="shared" si="40"/>
        <v>0</v>
      </c>
      <c r="AB126" s="185">
        <f t="shared" si="41"/>
        <v>1.3337041156840934</v>
      </c>
      <c r="AC126" s="104">
        <f t="shared" si="53"/>
        <v>53.99</v>
      </c>
      <c r="AD126" s="187">
        <f t="shared" si="42"/>
        <v>53.99</v>
      </c>
      <c r="AE126" s="188">
        <f t="shared" si="43"/>
        <v>0</v>
      </c>
      <c r="AF126" s="189">
        <f t="shared" si="44"/>
        <v>0</v>
      </c>
      <c r="AG126" s="185">
        <f t="shared" si="45"/>
        <v>6.0055617352614012</v>
      </c>
      <c r="AH126" s="104">
        <f t="shared" si="54"/>
        <v>71.989999999999995</v>
      </c>
      <c r="AI126" s="187">
        <f t="shared" si="46"/>
        <v>71.989999999999995</v>
      </c>
      <c r="AJ126" s="188">
        <f t="shared" si="47"/>
        <v>0</v>
      </c>
      <c r="AK126" s="189">
        <f t="shared" si="48"/>
        <v>0</v>
      </c>
      <c r="AL126" s="185">
        <f t="shared" si="49"/>
        <v>6.0041701417848206</v>
      </c>
      <c r="AM126" s="6" t="str">
        <f t="shared" si="55"/>
        <v>30% Off SL / Annual</v>
      </c>
      <c r="AN126" s="6" t="str">
        <f t="shared" si="56"/>
        <v>15% Off All SKUs</v>
      </c>
      <c r="AO126" s="6" t="str">
        <f t="shared" si="50"/>
        <v>Monthly: 100% Off Next Month</v>
      </c>
      <c r="AP126" s="6" t="str">
        <f t="shared" si="57"/>
        <v>50% Off SL / Annual</v>
      </c>
    </row>
    <row r="127" spans="2:42" ht="13">
      <c r="B127" s="20" t="s">
        <v>196</v>
      </c>
      <c r="C127" s="20" t="s">
        <v>270</v>
      </c>
      <c r="D127" s="6"/>
      <c r="E127" s="6" t="str">
        <f>IF(VLOOKUP(B127,'[7]FY25 PRICING'!$B$5:$AL$246,'[7]FY25 PRICING'!$E$1,FALSE)=0,"","x")</f>
        <v/>
      </c>
      <c r="F127" s="11" t="str">
        <f>+VLOOKUP($B127,'[1]INT Web'!$B$5:$AS$247,'[1]INT Web'!$Q$1,FALSE)</f>
        <v>USD</v>
      </c>
      <c r="G127" s="22">
        <f>+VLOOKUP($B127,'[1]INT Web'!$B$5:$AS$247,'[1]INT Web'!$U$1,FALSE)</f>
        <v>9.99</v>
      </c>
      <c r="H127" s="22">
        <f>+VLOOKUP($B127,'[1]INT Web'!$B$5:$AS$247,'[1]INT Web'!$S$1,FALSE)</f>
        <v>13.99</v>
      </c>
      <c r="I127" s="22">
        <f>+VLOOKUP($B127,'[1]INT Web'!$B$5:$AS$247,'[1]INT Web'!$T$1,FALSE)</f>
        <v>59.99</v>
      </c>
      <c r="J127" s="22">
        <f>+VLOOKUP($B127,'[1]INT Web'!$B$5:$AS$247,'[1]INT Web'!$R$1,FALSE)</f>
        <v>79.989999999999995</v>
      </c>
      <c r="K127" s="185">
        <f t="shared" si="32"/>
        <v>6.005005005005005</v>
      </c>
      <c r="L127" s="185">
        <f t="shared" si="32"/>
        <v>5.7176554681915652</v>
      </c>
      <c r="M127" s="185">
        <f t="shared" si="33"/>
        <v>1.4004004004004005</v>
      </c>
      <c r="N127" s="186">
        <v>1</v>
      </c>
      <c r="O127" s="187">
        <f t="shared" si="34"/>
        <v>9.99</v>
      </c>
      <c r="P127" s="187">
        <f t="shared" si="34"/>
        <v>13.99</v>
      </c>
      <c r="Q127" s="187">
        <f t="shared" si="34"/>
        <v>59.99</v>
      </c>
      <c r="R127" s="187">
        <f t="shared" si="31"/>
        <v>79.989999999999995</v>
      </c>
      <c r="S127" s="6">
        <v>0</v>
      </c>
      <c r="T127" s="104">
        <f t="shared" si="51"/>
        <v>9.99</v>
      </c>
      <c r="U127" s="187">
        <f t="shared" si="35"/>
        <v>9.99</v>
      </c>
      <c r="V127" s="188">
        <f t="shared" si="36"/>
        <v>0</v>
      </c>
      <c r="W127" s="189">
        <f t="shared" si="37"/>
        <v>0</v>
      </c>
      <c r="X127" s="104">
        <f t="shared" si="52"/>
        <v>13.99</v>
      </c>
      <c r="Y127" s="187">
        <f t="shared" si="38"/>
        <v>13.99</v>
      </c>
      <c r="Z127" s="188">
        <f t="shared" si="39"/>
        <v>0</v>
      </c>
      <c r="AA127" s="189">
        <f t="shared" si="40"/>
        <v>0</v>
      </c>
      <c r="AB127" s="185">
        <f t="shared" si="41"/>
        <v>1.4004004004004005</v>
      </c>
      <c r="AC127" s="104">
        <f t="shared" si="53"/>
        <v>59.99</v>
      </c>
      <c r="AD127" s="187">
        <f t="shared" si="42"/>
        <v>59.99</v>
      </c>
      <c r="AE127" s="188">
        <f t="shared" si="43"/>
        <v>0</v>
      </c>
      <c r="AF127" s="189">
        <f t="shared" si="44"/>
        <v>0</v>
      </c>
      <c r="AG127" s="185">
        <f t="shared" si="45"/>
        <v>6.005005005005005</v>
      </c>
      <c r="AH127" s="104">
        <f t="shared" si="54"/>
        <v>79.989999999999995</v>
      </c>
      <c r="AI127" s="187">
        <f t="shared" si="46"/>
        <v>79.989999999999995</v>
      </c>
      <c r="AJ127" s="188">
        <f t="shared" si="47"/>
        <v>0</v>
      </c>
      <c r="AK127" s="189">
        <f t="shared" si="48"/>
        <v>0</v>
      </c>
      <c r="AL127" s="185">
        <f t="shared" si="49"/>
        <v>5.7176554681915652</v>
      </c>
      <c r="AM127" s="6" t="str">
        <f t="shared" si="55"/>
        <v>30% Off SL / Annual</v>
      </c>
      <c r="AN127" s="6" t="str">
        <f t="shared" si="56"/>
        <v>15% Off All SKUs</v>
      </c>
      <c r="AO127" s="6" t="str">
        <f t="shared" si="50"/>
        <v>Monthly: 100% Off Next Month</v>
      </c>
      <c r="AP127" s="6" t="str">
        <f t="shared" si="57"/>
        <v>50% Off SL / Annual</v>
      </c>
    </row>
    <row r="128" spans="2:42" ht="13">
      <c r="B128" s="20" t="s">
        <v>197</v>
      </c>
      <c r="C128" s="20" t="s">
        <v>100</v>
      </c>
      <c r="D128" s="6"/>
      <c r="E128" s="6" t="str">
        <f>IF(VLOOKUP(B128,'[7]FY25 PRICING'!$B$5:$AL$246,'[7]FY25 PRICING'!$E$1,FALSE)=0,"","x")</f>
        <v/>
      </c>
      <c r="F128" s="11" t="str">
        <f>+VLOOKUP($B128,'[1]INT Web'!$B$5:$AS$247,'[1]INT Web'!$Q$1,FALSE)</f>
        <v>CHF</v>
      </c>
      <c r="G128" s="22">
        <f>+VLOOKUP($B128,'[1]INT Web'!$B$5:$AS$247,'[1]INT Web'!$U$1,FALSE)</f>
        <v>24.99</v>
      </c>
      <c r="H128" s="22">
        <f>+VLOOKUP($B128,'[1]INT Web'!$B$5:$AS$247,'[1]INT Web'!$S$1,FALSE)</f>
        <v>31.99</v>
      </c>
      <c r="I128" s="22">
        <f>+VLOOKUP($B128,'[1]INT Web'!$B$5:$AS$247,'[1]INT Web'!$T$1,FALSE)</f>
        <v>149.99</v>
      </c>
      <c r="J128" s="22">
        <f>+VLOOKUP($B128,'[1]INT Web'!$B$5:$AS$247,'[1]INT Web'!$R$1,FALSE)</f>
        <v>189.99</v>
      </c>
      <c r="K128" s="185">
        <f t="shared" si="32"/>
        <v>6.0020008003201291</v>
      </c>
      <c r="L128" s="185">
        <f t="shared" si="32"/>
        <v>5.9390434510784624</v>
      </c>
      <c r="M128" s="185">
        <f t="shared" si="33"/>
        <v>1.2801120448179273</v>
      </c>
      <c r="N128" s="186">
        <v>1.2380068</v>
      </c>
      <c r="O128" s="187">
        <f t="shared" si="34"/>
        <v>30.937789931999998</v>
      </c>
      <c r="P128" s="187">
        <f t="shared" si="34"/>
        <v>39.603837532</v>
      </c>
      <c r="Q128" s="187">
        <f t="shared" si="34"/>
        <v>185.688639932</v>
      </c>
      <c r="R128" s="187">
        <f t="shared" si="31"/>
        <v>235.20891193200001</v>
      </c>
      <c r="S128" s="6">
        <v>0</v>
      </c>
      <c r="T128" s="104">
        <f t="shared" si="51"/>
        <v>24.99</v>
      </c>
      <c r="U128" s="187">
        <f t="shared" si="35"/>
        <v>30.937789931999998</v>
      </c>
      <c r="V128" s="188">
        <f t="shared" si="36"/>
        <v>0</v>
      </c>
      <c r="W128" s="189">
        <f t="shared" si="37"/>
        <v>0</v>
      </c>
      <c r="X128" s="104">
        <f t="shared" si="52"/>
        <v>31.99</v>
      </c>
      <c r="Y128" s="187">
        <f t="shared" si="38"/>
        <v>39.603837532</v>
      </c>
      <c r="Z128" s="188">
        <f t="shared" si="39"/>
        <v>0</v>
      </c>
      <c r="AA128" s="189">
        <f t="shared" si="40"/>
        <v>0</v>
      </c>
      <c r="AB128" s="185">
        <f t="shared" si="41"/>
        <v>1.2801120448179273</v>
      </c>
      <c r="AC128" s="104">
        <f t="shared" si="53"/>
        <v>149.99</v>
      </c>
      <c r="AD128" s="187">
        <f t="shared" si="42"/>
        <v>185.688639932</v>
      </c>
      <c r="AE128" s="188">
        <f t="shared" si="43"/>
        <v>0</v>
      </c>
      <c r="AF128" s="189">
        <f t="shared" si="44"/>
        <v>0</v>
      </c>
      <c r="AG128" s="185">
        <f t="shared" si="45"/>
        <v>6.0020008003201291</v>
      </c>
      <c r="AH128" s="104">
        <f t="shared" si="54"/>
        <v>189.99</v>
      </c>
      <c r="AI128" s="187">
        <f t="shared" si="46"/>
        <v>235.20891193200001</v>
      </c>
      <c r="AJ128" s="188">
        <f t="shared" si="47"/>
        <v>0</v>
      </c>
      <c r="AK128" s="189">
        <f t="shared" si="48"/>
        <v>0</v>
      </c>
      <c r="AL128" s="185">
        <f t="shared" si="49"/>
        <v>5.9390434510784624</v>
      </c>
      <c r="AM128" s="6" t="str">
        <f t="shared" si="55"/>
        <v>30% Off SL / Annual</v>
      </c>
      <c r="AN128" s="6" t="str">
        <f t="shared" si="56"/>
        <v>15% Off All SKUs</v>
      </c>
      <c r="AO128" s="6" t="str">
        <f t="shared" si="50"/>
        <v>Monthly: 100% Off Next Month</v>
      </c>
      <c r="AP128" s="6" t="str">
        <f t="shared" si="57"/>
        <v>50% Off SL / Annual</v>
      </c>
    </row>
    <row r="129" spans="2:42" ht="13">
      <c r="B129" s="20" t="s">
        <v>198</v>
      </c>
      <c r="C129" s="20" t="s">
        <v>100</v>
      </c>
      <c r="D129" s="6"/>
      <c r="E129" s="6" t="str">
        <f>IF(VLOOKUP(B129,'[7]FY25 PRICING'!$B$5:$AL$246,'[7]FY25 PRICING'!$E$1,FALSE)=0,"","x")</f>
        <v/>
      </c>
      <c r="F129" s="11" t="str">
        <f>+VLOOKUP($B129,'[1]INT Web'!$B$5:$AS$247,'[1]INT Web'!$Q$1,FALSE)</f>
        <v>EUR</v>
      </c>
      <c r="G129" s="22">
        <f>+VLOOKUP($B129,'[1]INT Web'!$B$5:$AS$247,'[1]INT Web'!$U$1,FALSE)</f>
        <v>10.99</v>
      </c>
      <c r="H129" s="22">
        <f>+VLOOKUP($B129,'[1]INT Web'!$B$5:$AS$247,'[1]INT Web'!$S$1,FALSE)</f>
        <v>14.99</v>
      </c>
      <c r="I129" s="22">
        <f>+VLOOKUP($B129,'[1]INT Web'!$B$5:$AS$247,'[1]INT Web'!$T$1,FALSE)</f>
        <v>69.989999999999995</v>
      </c>
      <c r="J129" s="22">
        <f>+VLOOKUP($B129,'[1]INT Web'!$B$5:$AS$247,'[1]INT Web'!$R$1,FALSE)</f>
        <v>94.99</v>
      </c>
      <c r="K129" s="185">
        <f t="shared" si="32"/>
        <v>6.3685168334849855</v>
      </c>
      <c r="L129" s="185">
        <f t="shared" si="32"/>
        <v>6.3368912608405603</v>
      </c>
      <c r="M129" s="185">
        <f t="shared" si="33"/>
        <v>1.3639672429481347</v>
      </c>
      <c r="N129" s="186">
        <v>1.1469499999999999</v>
      </c>
      <c r="O129" s="187">
        <f t="shared" si="34"/>
        <v>12.6049805</v>
      </c>
      <c r="P129" s="187">
        <f t="shared" si="34"/>
        <v>17.192780499999998</v>
      </c>
      <c r="Q129" s="187">
        <f t="shared" si="34"/>
        <v>80.275030499999986</v>
      </c>
      <c r="R129" s="187">
        <f t="shared" si="31"/>
        <v>108.94878049999998</v>
      </c>
      <c r="S129" s="132" t="s">
        <v>484</v>
      </c>
      <c r="T129" s="104">
        <f t="shared" si="51"/>
        <v>10.99</v>
      </c>
      <c r="U129" s="187">
        <f t="shared" si="35"/>
        <v>12.6049805</v>
      </c>
      <c r="V129" s="188">
        <f t="shared" si="36"/>
        <v>0</v>
      </c>
      <c r="W129" s="189">
        <f t="shared" si="37"/>
        <v>0</v>
      </c>
      <c r="X129" s="104">
        <f t="shared" si="52"/>
        <v>14.99</v>
      </c>
      <c r="Y129" s="187">
        <f t="shared" si="38"/>
        <v>17.192780499999998</v>
      </c>
      <c r="Z129" s="188">
        <f t="shared" si="39"/>
        <v>0</v>
      </c>
      <c r="AA129" s="189">
        <f t="shared" si="40"/>
        <v>0</v>
      </c>
      <c r="AB129" s="185">
        <f t="shared" si="41"/>
        <v>1.3639672429481347</v>
      </c>
      <c r="AC129" s="104">
        <f t="shared" si="53"/>
        <v>69.989999999999995</v>
      </c>
      <c r="AD129" s="187">
        <f t="shared" si="42"/>
        <v>80.275030499999986</v>
      </c>
      <c r="AE129" s="188">
        <f t="shared" si="43"/>
        <v>0</v>
      </c>
      <c r="AF129" s="189">
        <f t="shared" si="44"/>
        <v>0</v>
      </c>
      <c r="AG129" s="185">
        <f t="shared" si="45"/>
        <v>6.3685168334849855</v>
      </c>
      <c r="AH129" s="104">
        <f t="shared" si="54"/>
        <v>94.99</v>
      </c>
      <c r="AI129" s="187">
        <f t="shared" si="46"/>
        <v>108.94878049999998</v>
      </c>
      <c r="AJ129" s="188">
        <f t="shared" si="47"/>
        <v>0</v>
      </c>
      <c r="AK129" s="189">
        <f t="shared" si="48"/>
        <v>0</v>
      </c>
      <c r="AL129" s="185">
        <f t="shared" si="49"/>
        <v>6.3368912608405603</v>
      </c>
      <c r="AM129" s="6" t="str">
        <f t="shared" si="55"/>
        <v>30% Off SL / Annual</v>
      </c>
      <c r="AN129" s="6" t="str">
        <f t="shared" si="56"/>
        <v>Messaging Only</v>
      </c>
      <c r="AO129" s="6" t="str">
        <f t="shared" si="50"/>
        <v>Messaging / Pause Flow</v>
      </c>
      <c r="AP129" s="6" t="str">
        <f t="shared" si="57"/>
        <v>50% Off LPP Only</v>
      </c>
    </row>
    <row r="130" spans="2:42" ht="13">
      <c r="B130" s="20" t="s">
        <v>199</v>
      </c>
      <c r="C130" s="20" t="s">
        <v>100</v>
      </c>
      <c r="D130" s="6"/>
      <c r="E130" s="6" t="str">
        <f>IF(VLOOKUP(B130,'[7]FY25 PRICING'!$B$5:$AL$246,'[7]FY25 PRICING'!$E$1,FALSE)=0,"","x")</f>
        <v/>
      </c>
      <c r="F130" s="11" t="str">
        <f>+VLOOKUP($B130,'[1]INT Web'!$B$5:$AS$247,'[1]INT Web'!$Q$1,FALSE)</f>
        <v>EUR</v>
      </c>
      <c r="G130" s="22">
        <f>+VLOOKUP($B130,'[1]INT Web'!$B$5:$AS$247,'[1]INT Web'!$U$1,FALSE)</f>
        <v>21.99</v>
      </c>
      <c r="H130" s="22">
        <f>+VLOOKUP($B130,'[1]INT Web'!$B$5:$AS$247,'[1]INT Web'!$S$1,FALSE)</f>
        <v>28.99</v>
      </c>
      <c r="I130" s="22">
        <f>+VLOOKUP($B130,'[1]INT Web'!$B$5:$AS$247,'[1]INT Web'!$T$1,FALSE)</f>
        <v>149.99</v>
      </c>
      <c r="J130" s="22">
        <f>+VLOOKUP($B130,'[1]INT Web'!$B$5:$AS$247,'[1]INT Web'!$R$1,FALSE)</f>
        <v>194.99</v>
      </c>
      <c r="K130" s="185">
        <f t="shared" si="32"/>
        <v>6.8208276489313331</v>
      </c>
      <c r="L130" s="185">
        <f t="shared" si="32"/>
        <v>6.7261124525698524</v>
      </c>
      <c r="M130" s="185">
        <f t="shared" si="33"/>
        <v>1.3183265120509322</v>
      </c>
      <c r="N130" s="186">
        <v>1.1469499999999999</v>
      </c>
      <c r="O130" s="187">
        <f t="shared" si="34"/>
        <v>25.221430499999997</v>
      </c>
      <c r="P130" s="187">
        <f t="shared" si="34"/>
        <v>33.250080499999996</v>
      </c>
      <c r="Q130" s="187">
        <f t="shared" si="34"/>
        <v>172.03103049999999</v>
      </c>
      <c r="R130" s="187">
        <f t="shared" si="31"/>
        <v>223.64378049999999</v>
      </c>
      <c r="S130" s="132" t="s">
        <v>486</v>
      </c>
      <c r="T130" s="104">
        <f t="shared" si="51"/>
        <v>21.99</v>
      </c>
      <c r="U130" s="187">
        <f t="shared" si="35"/>
        <v>25.221430499999997</v>
      </c>
      <c r="V130" s="188">
        <f t="shared" si="36"/>
        <v>0</v>
      </c>
      <c r="W130" s="189">
        <f t="shared" si="37"/>
        <v>0</v>
      </c>
      <c r="X130" s="104">
        <f t="shared" si="52"/>
        <v>28.99</v>
      </c>
      <c r="Y130" s="187">
        <f t="shared" si="38"/>
        <v>33.250080499999996</v>
      </c>
      <c r="Z130" s="188">
        <f t="shared" si="39"/>
        <v>0</v>
      </c>
      <c r="AA130" s="189">
        <f t="shared" si="40"/>
        <v>0</v>
      </c>
      <c r="AB130" s="185">
        <f t="shared" si="41"/>
        <v>1.3183265120509322</v>
      </c>
      <c r="AC130" s="104">
        <f t="shared" si="53"/>
        <v>149.99</v>
      </c>
      <c r="AD130" s="187">
        <f t="shared" si="42"/>
        <v>172.03103049999999</v>
      </c>
      <c r="AE130" s="188">
        <f t="shared" si="43"/>
        <v>0</v>
      </c>
      <c r="AF130" s="189">
        <f t="shared" si="44"/>
        <v>0</v>
      </c>
      <c r="AG130" s="185">
        <f t="shared" si="45"/>
        <v>6.8208276489313331</v>
      </c>
      <c r="AH130" s="104">
        <f t="shared" si="54"/>
        <v>194.99</v>
      </c>
      <c r="AI130" s="187">
        <f t="shared" si="46"/>
        <v>223.64378049999999</v>
      </c>
      <c r="AJ130" s="188">
        <f t="shared" si="47"/>
        <v>0</v>
      </c>
      <c r="AK130" s="189">
        <f t="shared" si="48"/>
        <v>0</v>
      </c>
      <c r="AL130" s="185">
        <f t="shared" si="49"/>
        <v>6.7261124525698524</v>
      </c>
      <c r="AM130" s="6" t="str">
        <f t="shared" si="55"/>
        <v>30% Off SL / Annual</v>
      </c>
      <c r="AN130" s="6" t="str">
        <f t="shared" si="56"/>
        <v>Messaging Only</v>
      </c>
      <c r="AO130" s="6" t="str">
        <f t="shared" si="50"/>
        <v>Messaging / Pause Flow</v>
      </c>
      <c r="AP130" s="6" t="str">
        <f t="shared" si="57"/>
        <v>50% Off SL / Annual</v>
      </c>
    </row>
    <row r="131" spans="2:42" ht="13">
      <c r="B131" s="20" t="s">
        <v>200</v>
      </c>
      <c r="C131" s="20" t="s">
        <v>351</v>
      </c>
      <c r="D131" s="6"/>
      <c r="E131" s="6" t="str">
        <f>IF(VLOOKUP(B131,'[7]FY25 PRICING'!$B$5:$AL$246,'[7]FY25 PRICING'!$E$1,FALSE)=0,"","x")</f>
        <v/>
      </c>
      <c r="F131" s="11" t="str">
        <f>+VLOOKUP($B131,'[1]INT Web'!$B$5:$AS$247,'[1]INT Web'!$Q$1,FALSE)</f>
        <v>MOP</v>
      </c>
      <c r="G131" s="22">
        <f>+VLOOKUP($B131,'[1]INT Web'!$B$5:$AS$247,'[1]INT Web'!$U$1,FALSE)</f>
        <v>89.99</v>
      </c>
      <c r="H131" s="22">
        <f>+VLOOKUP($B131,'[1]INT Web'!$B$5:$AS$247,'[1]INT Web'!$S$1,FALSE)</f>
        <v>124.99</v>
      </c>
      <c r="I131" s="22">
        <f>+VLOOKUP($B131,'[1]INT Web'!$B$5:$AS$247,'[1]INT Web'!$T$1,FALSE)</f>
        <v>629.99</v>
      </c>
      <c r="J131" s="22">
        <f>+VLOOKUP($B131,'[1]INT Web'!$B$5:$AS$247,'[1]INT Web'!$R$1,FALSE)</f>
        <v>869.99</v>
      </c>
      <c r="K131" s="185">
        <f t="shared" si="32"/>
        <v>7.0006667407489722</v>
      </c>
      <c r="L131" s="185">
        <f t="shared" si="32"/>
        <v>6.9604768381470521</v>
      </c>
      <c r="M131" s="185">
        <f t="shared" si="33"/>
        <v>1.388932103567063</v>
      </c>
      <c r="N131" s="186">
        <v>0.12389347000000001</v>
      </c>
      <c r="O131" s="187">
        <f t="shared" si="34"/>
        <v>11.149173365299999</v>
      </c>
      <c r="P131" s="187">
        <f t="shared" si="34"/>
        <v>15.485444815299999</v>
      </c>
      <c r="Q131" s="187">
        <f t="shared" si="34"/>
        <v>78.051647165300011</v>
      </c>
      <c r="R131" s="187">
        <f t="shared" si="31"/>
        <v>107.7860799653</v>
      </c>
      <c r="S131" s="132" t="s">
        <v>486</v>
      </c>
      <c r="T131" s="104">
        <f t="shared" si="51"/>
        <v>89.99</v>
      </c>
      <c r="U131" s="187">
        <f t="shared" si="35"/>
        <v>11.149173365299999</v>
      </c>
      <c r="V131" s="188">
        <f t="shared" si="36"/>
        <v>0</v>
      </c>
      <c r="W131" s="189">
        <f t="shared" si="37"/>
        <v>0</v>
      </c>
      <c r="X131" s="104">
        <f t="shared" si="52"/>
        <v>124.99</v>
      </c>
      <c r="Y131" s="187">
        <f t="shared" si="38"/>
        <v>15.485444815299999</v>
      </c>
      <c r="Z131" s="188">
        <f t="shared" si="39"/>
        <v>0</v>
      </c>
      <c r="AA131" s="189">
        <f t="shared" si="40"/>
        <v>0</v>
      </c>
      <c r="AB131" s="185">
        <f t="shared" si="41"/>
        <v>1.388932103567063</v>
      </c>
      <c r="AC131" s="104">
        <f t="shared" si="53"/>
        <v>629.99</v>
      </c>
      <c r="AD131" s="187">
        <f t="shared" si="42"/>
        <v>78.051647165300011</v>
      </c>
      <c r="AE131" s="188">
        <f t="shared" si="43"/>
        <v>0</v>
      </c>
      <c r="AF131" s="189">
        <f t="shared" si="44"/>
        <v>0</v>
      </c>
      <c r="AG131" s="185">
        <f t="shared" si="45"/>
        <v>7.0006667407489722</v>
      </c>
      <c r="AH131" s="104">
        <f t="shared" si="54"/>
        <v>869.99</v>
      </c>
      <c r="AI131" s="187">
        <f t="shared" si="46"/>
        <v>107.7860799653</v>
      </c>
      <c r="AJ131" s="188">
        <f t="shared" si="47"/>
        <v>0</v>
      </c>
      <c r="AK131" s="189">
        <f t="shared" si="48"/>
        <v>0</v>
      </c>
      <c r="AL131" s="185">
        <f t="shared" si="49"/>
        <v>6.9604768381470521</v>
      </c>
      <c r="AM131" s="6" t="str">
        <f t="shared" si="55"/>
        <v>30% Off SL / Annual</v>
      </c>
      <c r="AN131" s="6" t="str">
        <f t="shared" si="56"/>
        <v>Messaging Only</v>
      </c>
      <c r="AO131" s="6" t="str">
        <f t="shared" si="50"/>
        <v>Messaging / Pause Flow</v>
      </c>
      <c r="AP131" s="6" t="str">
        <f t="shared" si="57"/>
        <v>50% Off SL / Annual</v>
      </c>
    </row>
    <row r="132" spans="2:42" ht="13">
      <c r="B132" s="20" t="s">
        <v>201</v>
      </c>
      <c r="C132" s="20" t="s">
        <v>100</v>
      </c>
      <c r="D132" s="6"/>
      <c r="E132" s="6" t="str">
        <f>IF(VLOOKUP(B132,'[7]FY25 PRICING'!$B$5:$AL$246,'[7]FY25 PRICING'!$E$1,FALSE)=0,"","x")</f>
        <v/>
      </c>
      <c r="F132" s="11" t="str">
        <f>+VLOOKUP($B132,'[1]INT Web'!$B$5:$AS$247,'[1]INT Web'!$Q$1,FALSE)</f>
        <v>MKD</v>
      </c>
      <c r="G132" s="22">
        <f>+VLOOKUP($B132,'[1]INT Web'!$B$5:$AS$247,'[1]INT Web'!$U$1,FALSE)</f>
        <v>649.99</v>
      </c>
      <c r="H132" s="22">
        <f>+VLOOKUP($B132,'[1]INT Web'!$B$5:$AS$247,'[1]INT Web'!$S$1,FALSE)</f>
        <v>909.99</v>
      </c>
      <c r="I132" s="22">
        <f>+VLOOKUP($B132,'[1]INT Web'!$B$5:$AS$247,'[1]INT Web'!$T$1,FALSE)</f>
        <v>3899.99</v>
      </c>
      <c r="J132" s="22">
        <f>+VLOOKUP($B132,'[1]INT Web'!$B$5:$AS$247,'[1]INT Web'!$R$1,FALSE)</f>
        <v>5499.99</v>
      </c>
      <c r="K132" s="185">
        <f t="shared" si="32"/>
        <v>6.0000769242603731</v>
      </c>
      <c r="L132" s="185">
        <f t="shared" si="32"/>
        <v>6.044011472653545</v>
      </c>
      <c r="M132" s="185">
        <f t="shared" si="33"/>
        <v>1.4000061539408299</v>
      </c>
      <c r="N132" s="186">
        <v>1.8634118000000002E-2</v>
      </c>
      <c r="O132" s="187">
        <f t="shared" si="34"/>
        <v>12.111990358820002</v>
      </c>
      <c r="P132" s="187">
        <f t="shared" si="34"/>
        <v>16.956861038820001</v>
      </c>
      <c r="Q132" s="187">
        <f t="shared" si="34"/>
        <v>72.672873858819997</v>
      </c>
      <c r="R132" s="187">
        <f t="shared" si="34"/>
        <v>102.48746265882001</v>
      </c>
      <c r="S132" s="6" t="s">
        <v>485</v>
      </c>
      <c r="T132" s="104">
        <f t="shared" si="51"/>
        <v>649.99</v>
      </c>
      <c r="U132" s="187">
        <f t="shared" si="35"/>
        <v>12.111990358820002</v>
      </c>
      <c r="V132" s="188">
        <f t="shared" si="36"/>
        <v>0</v>
      </c>
      <c r="W132" s="189">
        <f t="shared" si="37"/>
        <v>0</v>
      </c>
      <c r="X132" s="104">
        <f t="shared" si="52"/>
        <v>909.99</v>
      </c>
      <c r="Y132" s="187">
        <f t="shared" si="38"/>
        <v>16.956861038820001</v>
      </c>
      <c r="Z132" s="188">
        <f t="shared" si="39"/>
        <v>0</v>
      </c>
      <c r="AA132" s="189">
        <f t="shared" si="40"/>
        <v>0</v>
      </c>
      <c r="AB132" s="185">
        <f t="shared" si="41"/>
        <v>1.4000061539408299</v>
      </c>
      <c r="AC132" s="104">
        <f t="shared" si="53"/>
        <v>3899.99</v>
      </c>
      <c r="AD132" s="187">
        <f t="shared" si="42"/>
        <v>72.672873858819997</v>
      </c>
      <c r="AE132" s="188">
        <f t="shared" si="43"/>
        <v>0</v>
      </c>
      <c r="AF132" s="189">
        <f t="shared" si="44"/>
        <v>0</v>
      </c>
      <c r="AG132" s="185">
        <f t="shared" si="45"/>
        <v>6.0000769242603731</v>
      </c>
      <c r="AH132" s="104">
        <f t="shared" si="54"/>
        <v>5499.99</v>
      </c>
      <c r="AI132" s="187">
        <f t="shared" si="46"/>
        <v>102.48746265882001</v>
      </c>
      <c r="AJ132" s="188">
        <f t="shared" si="47"/>
        <v>0</v>
      </c>
      <c r="AK132" s="189">
        <f t="shared" si="48"/>
        <v>0</v>
      </c>
      <c r="AL132" s="185">
        <f t="shared" si="49"/>
        <v>6.044011472653545</v>
      </c>
      <c r="AM132" s="6" t="str">
        <f t="shared" si="55"/>
        <v>30% Off SL / Annual</v>
      </c>
      <c r="AN132" s="6" t="str">
        <f t="shared" si="56"/>
        <v>Messaging Only</v>
      </c>
      <c r="AO132" s="6" t="str">
        <f t="shared" si="50"/>
        <v>Messaging / Pause Flow</v>
      </c>
      <c r="AP132" s="6" t="str">
        <f t="shared" si="57"/>
        <v>50% Off LPP Only</v>
      </c>
    </row>
    <row r="133" spans="2:42" ht="13">
      <c r="B133" s="20" t="s">
        <v>202</v>
      </c>
      <c r="C133" s="20" t="s">
        <v>270</v>
      </c>
      <c r="D133" s="6"/>
      <c r="E133" s="6" t="str">
        <f>IF(VLOOKUP(B133,'[7]FY25 PRICING'!$B$5:$AL$246,'[7]FY25 PRICING'!$E$1,FALSE)=0,"","x")</f>
        <v/>
      </c>
      <c r="F133" s="11" t="str">
        <f>+VLOOKUP($B133,'[1]INT Web'!$B$5:$AS$247,'[1]INT Web'!$Q$1,FALSE)</f>
        <v>USD</v>
      </c>
      <c r="G133" s="22">
        <f>+VLOOKUP($B133,'[1]INT Web'!$B$5:$AS$247,'[1]INT Web'!$U$1,FALSE)</f>
        <v>8.99</v>
      </c>
      <c r="H133" s="22">
        <f>+VLOOKUP($B133,'[1]INT Web'!$B$5:$AS$247,'[1]INT Web'!$S$1,FALSE)</f>
        <v>11.99</v>
      </c>
      <c r="I133" s="22">
        <f>+VLOOKUP($B133,'[1]INT Web'!$B$5:$AS$247,'[1]INT Web'!$T$1,FALSE)</f>
        <v>53.99</v>
      </c>
      <c r="J133" s="22">
        <f>+VLOOKUP($B133,'[1]INT Web'!$B$5:$AS$247,'[1]INT Web'!$R$1,FALSE)</f>
        <v>71.989999999999995</v>
      </c>
      <c r="K133" s="185">
        <f t="shared" ref="K133:L196" si="58">+I133/G133</f>
        <v>6.0055617352614012</v>
      </c>
      <c r="L133" s="185">
        <f t="shared" si="58"/>
        <v>6.0041701417848206</v>
      </c>
      <c r="M133" s="185">
        <f t="shared" ref="M133:M196" si="59">+H133/G133</f>
        <v>1.3337041156840934</v>
      </c>
      <c r="N133" s="186">
        <v>1</v>
      </c>
      <c r="O133" s="187">
        <f t="shared" ref="O133:R196" si="60">+G133*$N133</f>
        <v>8.99</v>
      </c>
      <c r="P133" s="187">
        <f t="shared" si="60"/>
        <v>11.99</v>
      </c>
      <c r="Q133" s="187">
        <f t="shared" si="60"/>
        <v>53.99</v>
      </c>
      <c r="R133" s="187">
        <f t="shared" si="60"/>
        <v>71.989999999999995</v>
      </c>
      <c r="S133" s="6">
        <v>0</v>
      </c>
      <c r="T133" s="104">
        <f t="shared" si="51"/>
        <v>8.99</v>
      </c>
      <c r="U133" s="187">
        <f t="shared" ref="U133:U196" si="61">+T133*$N133</f>
        <v>8.99</v>
      </c>
      <c r="V133" s="188">
        <f t="shared" ref="V133:V196" si="62">+IF(T133=0,"",T133-G133)</f>
        <v>0</v>
      </c>
      <c r="W133" s="189">
        <f t="shared" ref="W133:W196" si="63">+IF(T133=0,"",T133/G133-1)</f>
        <v>0</v>
      </c>
      <c r="X133" s="104">
        <f t="shared" si="52"/>
        <v>11.99</v>
      </c>
      <c r="Y133" s="187">
        <f t="shared" ref="Y133:Y196" si="64">+X133*$N133</f>
        <v>11.99</v>
      </c>
      <c r="Z133" s="188">
        <f t="shared" ref="Z133:Z196" si="65">+IF(X133=0,"",X133-H133)</f>
        <v>0</v>
      </c>
      <c r="AA133" s="189">
        <f t="shared" ref="AA133:AA196" si="66">+IF(X133=0,"",X133/H133-1)</f>
        <v>0</v>
      </c>
      <c r="AB133" s="185">
        <f t="shared" ref="AB133:AB196" si="67">+IFERROR(X133/T133,"")</f>
        <v>1.3337041156840934</v>
      </c>
      <c r="AC133" s="104">
        <f t="shared" si="53"/>
        <v>53.99</v>
      </c>
      <c r="AD133" s="187">
        <f t="shared" ref="AD133:AD196" si="68">+AC133*$N133</f>
        <v>53.99</v>
      </c>
      <c r="AE133" s="188">
        <f t="shared" ref="AE133:AE196" si="69">+IF(AC133=0,"",AC133-I133)</f>
        <v>0</v>
      </c>
      <c r="AF133" s="189">
        <f t="shared" ref="AF133:AF196" si="70">+IF(AC133=0,"",AC133/I133-1)</f>
        <v>0</v>
      </c>
      <c r="AG133" s="185">
        <f t="shared" ref="AG133:AG196" si="71">+IFERROR(AC133/T133,"")</f>
        <v>6.0055617352614012</v>
      </c>
      <c r="AH133" s="104">
        <f t="shared" si="54"/>
        <v>71.989999999999995</v>
      </c>
      <c r="AI133" s="187">
        <f t="shared" ref="AI133:AI196" si="72">+AH133*$N133</f>
        <v>71.989999999999995</v>
      </c>
      <c r="AJ133" s="188">
        <f t="shared" ref="AJ133:AJ196" si="73">+IF(AH133=0,"",AH133-J133)</f>
        <v>0</v>
      </c>
      <c r="AK133" s="189">
        <f t="shared" ref="AK133:AK196" si="74">+IF(AH133=0,"",AH133/J133-1)</f>
        <v>0</v>
      </c>
      <c r="AL133" s="185">
        <f t="shared" ref="AL133:AL196" si="75">+IFERROR(AH133/X133,"")</f>
        <v>6.0041701417848206</v>
      </c>
      <c r="AM133" s="6" t="str">
        <f t="shared" si="55"/>
        <v>30% Off SL / Annual</v>
      </c>
      <c r="AN133" s="6" t="str">
        <f t="shared" si="56"/>
        <v>15% Off All SKUs</v>
      </c>
      <c r="AO133" s="6" t="str">
        <f t="shared" ref="AO133:AO196" si="76">+IF(AN133="15% Off All SKUs", "Monthly: 100% Off Next Month","Messaging / Pause Flow")</f>
        <v>Monthly: 100% Off Next Month</v>
      </c>
      <c r="AP133" s="6" t="str">
        <f t="shared" si="57"/>
        <v>50% Off SL / Annual</v>
      </c>
    </row>
    <row r="134" spans="2:42" ht="13">
      <c r="B134" s="20" t="s">
        <v>203</v>
      </c>
      <c r="C134" s="20" t="s">
        <v>270</v>
      </c>
      <c r="D134" s="6"/>
      <c r="E134" s="6" t="str">
        <f>IF(VLOOKUP(B134,'[7]FY25 PRICING'!$B$5:$AL$246,'[7]FY25 PRICING'!$E$1,FALSE)=0,"","x")</f>
        <v/>
      </c>
      <c r="F134" s="11" t="str">
        <f>+VLOOKUP($B134,'[1]INT Web'!$B$5:$AS$247,'[1]INT Web'!$Q$1,FALSE)</f>
        <v>MWK</v>
      </c>
      <c r="G134" s="22">
        <f>+VLOOKUP($B134,'[1]INT Web'!$B$5:$AS$247,'[1]INT Web'!$U$1,FALSE)</f>
        <v>7299.99</v>
      </c>
      <c r="H134" s="22">
        <f>+VLOOKUP($B134,'[1]INT Web'!$B$5:$AS$247,'[1]INT Web'!$S$1,FALSE)</f>
        <v>9854.99</v>
      </c>
      <c r="I134" s="22">
        <f>+VLOOKUP($B134,'[1]INT Web'!$B$5:$AS$247,'[1]INT Web'!$T$1,FALSE)</f>
        <v>43799.99</v>
      </c>
      <c r="J134" s="22">
        <f>+VLOOKUP($B134,'[1]INT Web'!$B$5:$AS$247,'[1]INT Web'!$R$1,FALSE)</f>
        <v>59129.99</v>
      </c>
      <c r="K134" s="185">
        <f t="shared" si="58"/>
        <v>6.0000068493244507</v>
      </c>
      <c r="L134" s="185">
        <f t="shared" si="58"/>
        <v>6.0000050735718657</v>
      </c>
      <c r="M134" s="185">
        <f t="shared" si="59"/>
        <v>1.3500004794527116</v>
      </c>
      <c r="N134" s="186">
        <v>5.7737550000000004E-4</v>
      </c>
      <c r="O134" s="187">
        <f t="shared" si="60"/>
        <v>4.2148353762450004</v>
      </c>
      <c r="P134" s="187">
        <f t="shared" si="60"/>
        <v>5.690029778745</v>
      </c>
      <c r="Q134" s="187">
        <f t="shared" si="60"/>
        <v>25.289041126244999</v>
      </c>
      <c r="R134" s="187">
        <f t="shared" si="60"/>
        <v>34.140207541245005</v>
      </c>
      <c r="S134" s="6">
        <v>0</v>
      </c>
      <c r="T134" s="104">
        <f t="shared" ref="T134:T197" si="77">+IF(AND($S134&lt;&gt;"PML",$S134&lt;&gt;"EVP"),G134,"EVALUATE")</f>
        <v>7299.99</v>
      </c>
      <c r="U134" s="187">
        <f t="shared" si="61"/>
        <v>4.2148353762450004</v>
      </c>
      <c r="V134" s="188">
        <f t="shared" si="62"/>
        <v>0</v>
      </c>
      <c r="W134" s="189">
        <f t="shared" si="63"/>
        <v>0</v>
      </c>
      <c r="X134" s="104">
        <f t="shared" ref="X134:X197" si="78">+IF(AND($S134&lt;&gt;"PML",$S134&lt;&gt;"EVP"),H134,"EVALUATE")</f>
        <v>9854.99</v>
      </c>
      <c r="Y134" s="187">
        <f t="shared" si="64"/>
        <v>5.690029778745</v>
      </c>
      <c r="Z134" s="188">
        <f t="shared" si="65"/>
        <v>0</v>
      </c>
      <c r="AA134" s="189">
        <f t="shared" si="66"/>
        <v>0</v>
      </c>
      <c r="AB134" s="185">
        <f t="shared" si="67"/>
        <v>1.3500004794527116</v>
      </c>
      <c r="AC134" s="104">
        <f t="shared" ref="AC134:AC197" si="79">+IF(AND($S134&lt;&gt;"PML",$S134&lt;&gt;"EVP"),I134,"EVALUATE")</f>
        <v>43799.99</v>
      </c>
      <c r="AD134" s="187">
        <f t="shared" si="68"/>
        <v>25.289041126244999</v>
      </c>
      <c r="AE134" s="188">
        <f t="shared" si="69"/>
        <v>0</v>
      </c>
      <c r="AF134" s="189">
        <f t="shared" si="70"/>
        <v>0</v>
      </c>
      <c r="AG134" s="185">
        <f t="shared" si="71"/>
        <v>6.0000068493244507</v>
      </c>
      <c r="AH134" s="104">
        <f t="shared" ref="AH134:AH197" si="80">+IF(AND($S134&lt;&gt;"PML",$S134&lt;&gt;"EVP"),J134,"EVALUATE")</f>
        <v>59129.99</v>
      </c>
      <c r="AI134" s="187">
        <f t="shared" si="72"/>
        <v>34.140207541245005</v>
      </c>
      <c r="AJ134" s="188">
        <f t="shared" si="73"/>
        <v>0</v>
      </c>
      <c r="AK134" s="189">
        <f t="shared" si="74"/>
        <v>0</v>
      </c>
      <c r="AL134" s="185">
        <f t="shared" si="75"/>
        <v>6.0000050735718657</v>
      </c>
      <c r="AM134" s="6" t="str">
        <f t="shared" ref="AM134:AM197" si="81">+IF($S134="PML","No Intro Offer","30% Off SL / Annual")</f>
        <v>30% Off SL / Annual</v>
      </c>
      <c r="AN134" s="6" t="str">
        <f t="shared" ref="AN134:AN197" si="82">+IF(OR($S134="EVP",$S134="SA",$S134=0),"15% Off All SKUs","Messaging Only")</f>
        <v>15% Off All SKUs</v>
      </c>
      <c r="AO134" s="6" t="str">
        <f t="shared" si="76"/>
        <v>Monthly: 100% Off Next Month</v>
      </c>
      <c r="AP134" s="6" t="str">
        <f t="shared" ref="AP134:AP197" si="83">+IF(OR($S134="SVO",$S134="EVP",$S134="SA",$S134=0),"50% Off SL / Annual","50% Off LPP Only")</f>
        <v>50% Off SL / Annual</v>
      </c>
    </row>
    <row r="135" spans="2:42" ht="13">
      <c r="B135" s="20" t="s">
        <v>204</v>
      </c>
      <c r="C135" s="20" t="s">
        <v>182</v>
      </c>
      <c r="D135" s="6" t="s">
        <v>492</v>
      </c>
      <c r="E135" s="6" t="str">
        <f>IF(VLOOKUP(B135,'[7]FY25 PRICING'!$B$5:$AL$246,'[7]FY25 PRICING'!$E$1,FALSE)=0,"","x")</f>
        <v/>
      </c>
      <c r="F135" s="11" t="str">
        <f>+VLOOKUP($B135,'[1]INT Web'!$B$5:$AS$247,'[1]INT Web'!$Q$1,FALSE)</f>
        <v>MYR</v>
      </c>
      <c r="G135" s="22">
        <f>+VLOOKUP($B135,'[1]INT Web'!$B$5:$AS$247,'[1]INT Web'!$U$1,FALSE)</f>
        <v>45.99</v>
      </c>
      <c r="H135" s="22">
        <f>+VLOOKUP($B135,'[1]INT Web'!$B$5:$AS$247,'[1]INT Web'!$S$1,FALSE)</f>
        <v>64.989999999999995</v>
      </c>
      <c r="I135" s="22">
        <f>+VLOOKUP($B135,'[1]INT Web'!$B$5:$AS$247,'[1]INT Web'!$T$1,FALSE)</f>
        <v>319.99</v>
      </c>
      <c r="J135" s="22">
        <f>+VLOOKUP($B135,'[1]INT Web'!$B$5:$AS$247,'[1]INT Web'!$R$1,FALSE)</f>
        <v>389.99</v>
      </c>
      <c r="K135" s="185">
        <f t="shared" si="58"/>
        <v>6.9578169167210264</v>
      </c>
      <c r="L135" s="185">
        <f t="shared" si="58"/>
        <v>6.0007693491306364</v>
      </c>
      <c r="M135" s="185">
        <f t="shared" si="59"/>
        <v>1.4131332898456184</v>
      </c>
      <c r="N135" s="186">
        <v>0.24172104999999999</v>
      </c>
      <c r="O135" s="187">
        <f t="shared" si="60"/>
        <v>11.116751089500001</v>
      </c>
      <c r="P135" s="187">
        <f t="shared" si="60"/>
        <v>15.709451039499998</v>
      </c>
      <c r="Q135" s="187">
        <f t="shared" si="60"/>
        <v>77.348318789499999</v>
      </c>
      <c r="R135" s="187">
        <f t="shared" si="60"/>
        <v>94.268792289499999</v>
      </c>
      <c r="S135" s="6" t="s">
        <v>488</v>
      </c>
      <c r="T135" s="104">
        <f t="shared" si="77"/>
        <v>45.99</v>
      </c>
      <c r="U135" s="187">
        <f t="shared" si="61"/>
        <v>11.116751089500001</v>
      </c>
      <c r="V135" s="188">
        <f t="shared" si="62"/>
        <v>0</v>
      </c>
      <c r="W135" s="189">
        <f t="shared" si="63"/>
        <v>0</v>
      </c>
      <c r="X135" s="104">
        <f t="shared" si="78"/>
        <v>64.989999999999995</v>
      </c>
      <c r="Y135" s="187">
        <f t="shared" si="64"/>
        <v>15.709451039499998</v>
      </c>
      <c r="Z135" s="188">
        <f t="shared" si="65"/>
        <v>0</v>
      </c>
      <c r="AA135" s="189">
        <f t="shared" si="66"/>
        <v>0</v>
      </c>
      <c r="AB135" s="185">
        <f t="shared" si="67"/>
        <v>1.4131332898456184</v>
      </c>
      <c r="AC135" s="104">
        <f t="shared" si="79"/>
        <v>319.99</v>
      </c>
      <c r="AD135" s="187">
        <f t="shared" si="68"/>
        <v>77.348318789499999</v>
      </c>
      <c r="AE135" s="188">
        <f t="shared" si="69"/>
        <v>0</v>
      </c>
      <c r="AF135" s="189">
        <f t="shared" si="70"/>
        <v>0</v>
      </c>
      <c r="AG135" s="185">
        <f t="shared" si="71"/>
        <v>6.9578169167210264</v>
      </c>
      <c r="AH135" s="104">
        <f t="shared" si="80"/>
        <v>389.99</v>
      </c>
      <c r="AI135" s="187">
        <f t="shared" si="72"/>
        <v>94.268792289499999</v>
      </c>
      <c r="AJ135" s="188">
        <f t="shared" si="73"/>
        <v>0</v>
      </c>
      <c r="AK135" s="189">
        <f t="shared" si="74"/>
        <v>0</v>
      </c>
      <c r="AL135" s="185">
        <f t="shared" si="75"/>
        <v>6.0007693491306364</v>
      </c>
      <c r="AM135" s="6" t="str">
        <f t="shared" si="81"/>
        <v>30% Off SL / Annual</v>
      </c>
      <c r="AN135" s="6" t="str">
        <f t="shared" si="82"/>
        <v>Messaging Only</v>
      </c>
      <c r="AO135" s="6" t="str">
        <f t="shared" si="76"/>
        <v>Messaging / Pause Flow</v>
      </c>
      <c r="AP135" s="6" t="str">
        <f t="shared" si="83"/>
        <v>50% Off LPP Only</v>
      </c>
    </row>
    <row r="136" spans="2:42" ht="13">
      <c r="B136" s="20" t="s">
        <v>205</v>
      </c>
      <c r="C136" s="20" t="s">
        <v>182</v>
      </c>
      <c r="D136" s="6"/>
      <c r="E136" s="6" t="str">
        <f>IF(VLOOKUP(B136,'[7]FY25 PRICING'!$B$5:$AL$246,'[7]FY25 PRICING'!$E$1,FALSE)=0,"","x")</f>
        <v/>
      </c>
      <c r="F136" s="11" t="str">
        <f>+VLOOKUP($B136,'[1]INT Web'!$B$5:$AS$247,'[1]INT Web'!$Q$1,FALSE)</f>
        <v>MVR</v>
      </c>
      <c r="G136" s="136">
        <f>+VLOOKUP($B136,'[1]INT Web'!$B$5:$AS$247,'[1]INT Web'!$U$1,FALSE)</f>
        <v>134.99</v>
      </c>
      <c r="H136" s="136">
        <f>+VLOOKUP($B136,'[1]INT Web'!$B$5:$AS$247,'[1]INT Web'!$S$1,FALSE)</f>
        <v>181.99</v>
      </c>
      <c r="I136" s="22">
        <f>+VLOOKUP($B136,'[1]INT Web'!$B$5:$AS$247,'[1]INT Web'!$T$1,FALSE)</f>
        <v>809.99</v>
      </c>
      <c r="J136" s="22">
        <f>+VLOOKUP($B136,'[1]INT Web'!$B$5:$AS$247,'[1]INT Web'!$R$1,FALSE)</f>
        <v>1091.99</v>
      </c>
      <c r="K136" s="185">
        <f t="shared" si="58"/>
        <v>6.0003703978072442</v>
      </c>
      <c r="L136" s="185">
        <f t="shared" si="58"/>
        <v>6.00027474037035</v>
      </c>
      <c r="M136" s="185">
        <f t="shared" si="59"/>
        <v>1.3481739388102822</v>
      </c>
      <c r="N136" s="186">
        <v>6.4850844000000005E-2</v>
      </c>
      <c r="O136" s="187">
        <f t="shared" si="60"/>
        <v>8.7542154315600005</v>
      </c>
      <c r="P136" s="187">
        <f t="shared" si="60"/>
        <v>11.802205099560002</v>
      </c>
      <c r="Q136" s="187">
        <f t="shared" si="60"/>
        <v>52.528535131560005</v>
      </c>
      <c r="R136" s="187">
        <f t="shared" si="60"/>
        <v>70.816473139560003</v>
      </c>
      <c r="S136" s="6">
        <v>0</v>
      </c>
      <c r="T136" s="104">
        <f t="shared" si="77"/>
        <v>134.99</v>
      </c>
      <c r="U136" s="187">
        <f t="shared" si="61"/>
        <v>8.7542154315600005</v>
      </c>
      <c r="V136" s="188">
        <f t="shared" si="62"/>
        <v>0</v>
      </c>
      <c r="W136" s="189">
        <f t="shared" si="63"/>
        <v>0</v>
      </c>
      <c r="X136" s="104">
        <f t="shared" si="78"/>
        <v>181.99</v>
      </c>
      <c r="Y136" s="187">
        <f t="shared" si="64"/>
        <v>11.802205099560002</v>
      </c>
      <c r="Z136" s="188">
        <f t="shared" si="65"/>
        <v>0</v>
      </c>
      <c r="AA136" s="189">
        <f t="shared" si="66"/>
        <v>0</v>
      </c>
      <c r="AB136" s="185">
        <f t="shared" si="67"/>
        <v>1.3481739388102822</v>
      </c>
      <c r="AC136" s="104">
        <f t="shared" si="79"/>
        <v>809.99</v>
      </c>
      <c r="AD136" s="187">
        <f t="shared" si="68"/>
        <v>52.528535131560005</v>
      </c>
      <c r="AE136" s="188">
        <f t="shared" si="69"/>
        <v>0</v>
      </c>
      <c r="AF136" s="189">
        <f t="shared" si="70"/>
        <v>0</v>
      </c>
      <c r="AG136" s="185">
        <f t="shared" si="71"/>
        <v>6.0003703978072442</v>
      </c>
      <c r="AH136" s="104">
        <f t="shared" si="80"/>
        <v>1091.99</v>
      </c>
      <c r="AI136" s="187">
        <f t="shared" si="72"/>
        <v>70.816473139560003</v>
      </c>
      <c r="AJ136" s="188">
        <f t="shared" si="73"/>
        <v>0</v>
      </c>
      <c r="AK136" s="189">
        <f t="shared" si="74"/>
        <v>0</v>
      </c>
      <c r="AL136" s="185">
        <f t="shared" si="75"/>
        <v>6.00027474037035</v>
      </c>
      <c r="AM136" s="6" t="str">
        <f t="shared" si="81"/>
        <v>30% Off SL / Annual</v>
      </c>
      <c r="AN136" s="6" t="str">
        <f t="shared" si="82"/>
        <v>15% Off All SKUs</v>
      </c>
      <c r="AO136" s="6" t="str">
        <f t="shared" si="76"/>
        <v>Monthly: 100% Off Next Month</v>
      </c>
      <c r="AP136" s="6" t="str">
        <f t="shared" si="83"/>
        <v>50% Off SL / Annual</v>
      </c>
    </row>
    <row r="137" spans="2:42" ht="13">
      <c r="B137" s="20" t="s">
        <v>206</v>
      </c>
      <c r="C137" s="20" t="s">
        <v>270</v>
      </c>
      <c r="D137" s="6"/>
      <c r="E137" s="6" t="str">
        <f>IF(VLOOKUP(B137,'[7]FY25 PRICING'!$B$5:$AL$246,'[7]FY25 PRICING'!$E$1,FALSE)=0,"","x")</f>
        <v/>
      </c>
      <c r="F137" s="11" t="str">
        <f>+VLOOKUP($B137,'[1]INT Web'!$B$5:$AS$247,'[1]INT Web'!$Q$1,FALSE)</f>
        <v>XOF</v>
      </c>
      <c r="G137" s="22">
        <f>+VLOOKUP($B137,'[1]INT Web'!$B$5:$AS$247,'[1]INT Web'!$U$1,FALSE)</f>
        <v>5400</v>
      </c>
      <c r="H137" s="22">
        <f>+VLOOKUP($B137,'[1]INT Web'!$B$5:$AS$247,'[1]INT Web'!$S$1,FALSE)</f>
        <v>7290</v>
      </c>
      <c r="I137" s="22">
        <f>+VLOOKUP($B137,'[1]INT Web'!$B$5:$AS$247,'[1]INT Web'!$T$1,FALSE)</f>
        <v>32400</v>
      </c>
      <c r="J137" s="22">
        <f>+VLOOKUP($B137,'[1]INT Web'!$B$5:$AS$247,'[1]INT Web'!$R$1,FALSE)</f>
        <v>43740</v>
      </c>
      <c r="K137" s="185">
        <f t="shared" si="58"/>
        <v>6</v>
      </c>
      <c r="L137" s="185">
        <f t="shared" si="58"/>
        <v>6</v>
      </c>
      <c r="M137" s="185">
        <f t="shared" si="59"/>
        <v>1.35</v>
      </c>
      <c r="N137" s="186">
        <v>1.7485141000000001E-3</v>
      </c>
      <c r="O137" s="187">
        <f t="shared" si="60"/>
        <v>9.4419761400000013</v>
      </c>
      <c r="P137" s="187">
        <f t="shared" si="60"/>
        <v>12.746667789</v>
      </c>
      <c r="Q137" s="187">
        <f t="shared" si="60"/>
        <v>56.651856840000001</v>
      </c>
      <c r="R137" s="187">
        <f t="shared" si="60"/>
        <v>76.480006734</v>
      </c>
      <c r="S137" s="6">
        <v>0</v>
      </c>
      <c r="T137" s="104">
        <f t="shared" si="77"/>
        <v>5400</v>
      </c>
      <c r="U137" s="187">
        <f t="shared" si="61"/>
        <v>9.4419761400000013</v>
      </c>
      <c r="V137" s="188">
        <f t="shared" si="62"/>
        <v>0</v>
      </c>
      <c r="W137" s="189">
        <f t="shared" si="63"/>
        <v>0</v>
      </c>
      <c r="X137" s="104">
        <f t="shared" si="78"/>
        <v>7290</v>
      </c>
      <c r="Y137" s="187">
        <f t="shared" si="64"/>
        <v>12.746667789</v>
      </c>
      <c r="Z137" s="188">
        <f t="shared" si="65"/>
        <v>0</v>
      </c>
      <c r="AA137" s="189">
        <f t="shared" si="66"/>
        <v>0</v>
      </c>
      <c r="AB137" s="185">
        <f t="shared" si="67"/>
        <v>1.35</v>
      </c>
      <c r="AC137" s="104">
        <f t="shared" si="79"/>
        <v>32400</v>
      </c>
      <c r="AD137" s="187">
        <f t="shared" si="68"/>
        <v>56.651856840000001</v>
      </c>
      <c r="AE137" s="188">
        <f t="shared" si="69"/>
        <v>0</v>
      </c>
      <c r="AF137" s="189">
        <f t="shared" si="70"/>
        <v>0</v>
      </c>
      <c r="AG137" s="185">
        <f t="shared" si="71"/>
        <v>6</v>
      </c>
      <c r="AH137" s="104">
        <f t="shared" si="80"/>
        <v>43740</v>
      </c>
      <c r="AI137" s="187">
        <f t="shared" si="72"/>
        <v>76.480006734</v>
      </c>
      <c r="AJ137" s="188">
        <f t="shared" si="73"/>
        <v>0</v>
      </c>
      <c r="AK137" s="189">
        <f t="shared" si="74"/>
        <v>0</v>
      </c>
      <c r="AL137" s="185">
        <f t="shared" si="75"/>
        <v>6</v>
      </c>
      <c r="AM137" s="6" t="str">
        <f t="shared" si="81"/>
        <v>30% Off SL / Annual</v>
      </c>
      <c r="AN137" s="6" t="str">
        <f t="shared" si="82"/>
        <v>15% Off All SKUs</v>
      </c>
      <c r="AO137" s="6" t="str">
        <f t="shared" si="76"/>
        <v>Monthly: 100% Off Next Month</v>
      </c>
      <c r="AP137" s="6" t="str">
        <f t="shared" si="83"/>
        <v>50% Off SL / Annual</v>
      </c>
    </row>
    <row r="138" spans="2:42" ht="13">
      <c r="B138" s="20" t="s">
        <v>207</v>
      </c>
      <c r="C138" s="20" t="s">
        <v>100</v>
      </c>
      <c r="D138" s="6"/>
      <c r="E138" s="6" t="str">
        <f>IF(VLOOKUP(B138,'[7]FY25 PRICING'!$B$5:$AL$246,'[7]FY25 PRICING'!$E$1,FALSE)=0,"","x")</f>
        <v/>
      </c>
      <c r="F138" s="11" t="str">
        <f>+VLOOKUP($B138,'[1]INT Web'!$B$5:$AS$247,'[1]INT Web'!$Q$1,FALSE)</f>
        <v>EUR</v>
      </c>
      <c r="G138" s="22">
        <f>+VLOOKUP($B138,'[1]INT Web'!$B$5:$AS$247,'[1]INT Web'!$U$1,FALSE)</f>
        <v>16.989999999999998</v>
      </c>
      <c r="H138" s="22">
        <f>+VLOOKUP($B138,'[1]INT Web'!$B$5:$AS$247,'[1]INT Web'!$S$1,FALSE)</f>
        <v>21.99</v>
      </c>
      <c r="I138" s="22">
        <f>+VLOOKUP($B138,'[1]INT Web'!$B$5:$AS$247,'[1]INT Web'!$T$1,FALSE)</f>
        <v>99.99</v>
      </c>
      <c r="J138" s="22">
        <f>+VLOOKUP($B138,'[1]INT Web'!$B$5:$AS$247,'[1]INT Web'!$R$1,FALSE)</f>
        <v>129.99</v>
      </c>
      <c r="K138" s="185">
        <f t="shared" si="58"/>
        <v>5.8852266038846386</v>
      </c>
      <c r="L138" s="185">
        <f t="shared" si="58"/>
        <v>5.9113233287858122</v>
      </c>
      <c r="M138" s="185">
        <f t="shared" si="59"/>
        <v>1.2942907592701589</v>
      </c>
      <c r="N138" s="186">
        <v>1.1469499999999999</v>
      </c>
      <c r="O138" s="187">
        <f t="shared" si="60"/>
        <v>19.486680499999999</v>
      </c>
      <c r="P138" s="187">
        <f t="shared" si="60"/>
        <v>25.221430499999997</v>
      </c>
      <c r="Q138" s="187">
        <f t="shared" si="60"/>
        <v>114.68353049999999</v>
      </c>
      <c r="R138" s="187">
        <f t="shared" si="60"/>
        <v>149.09203049999999</v>
      </c>
      <c r="S138" s="6">
        <v>0</v>
      </c>
      <c r="T138" s="104">
        <f t="shared" si="77"/>
        <v>16.989999999999998</v>
      </c>
      <c r="U138" s="187">
        <f t="shared" si="61"/>
        <v>19.486680499999999</v>
      </c>
      <c r="V138" s="188">
        <f t="shared" si="62"/>
        <v>0</v>
      </c>
      <c r="W138" s="189">
        <f t="shared" si="63"/>
        <v>0</v>
      </c>
      <c r="X138" s="104">
        <f t="shared" si="78"/>
        <v>21.99</v>
      </c>
      <c r="Y138" s="187">
        <f t="shared" si="64"/>
        <v>25.221430499999997</v>
      </c>
      <c r="Z138" s="188">
        <f t="shared" si="65"/>
        <v>0</v>
      </c>
      <c r="AA138" s="189">
        <f t="shared" si="66"/>
        <v>0</v>
      </c>
      <c r="AB138" s="185">
        <f t="shared" si="67"/>
        <v>1.2942907592701589</v>
      </c>
      <c r="AC138" s="104">
        <f t="shared" si="79"/>
        <v>99.99</v>
      </c>
      <c r="AD138" s="187">
        <f t="shared" si="68"/>
        <v>114.68353049999999</v>
      </c>
      <c r="AE138" s="188">
        <f t="shared" si="69"/>
        <v>0</v>
      </c>
      <c r="AF138" s="189">
        <f t="shared" si="70"/>
        <v>0</v>
      </c>
      <c r="AG138" s="185">
        <f t="shared" si="71"/>
        <v>5.8852266038846386</v>
      </c>
      <c r="AH138" s="104">
        <f t="shared" si="80"/>
        <v>129.99</v>
      </c>
      <c r="AI138" s="187">
        <f t="shared" si="72"/>
        <v>149.09203049999999</v>
      </c>
      <c r="AJ138" s="188">
        <f t="shared" si="73"/>
        <v>0</v>
      </c>
      <c r="AK138" s="189">
        <f t="shared" si="74"/>
        <v>0</v>
      </c>
      <c r="AL138" s="185">
        <f t="shared" si="75"/>
        <v>5.9113233287858122</v>
      </c>
      <c r="AM138" s="6" t="str">
        <f t="shared" si="81"/>
        <v>30% Off SL / Annual</v>
      </c>
      <c r="AN138" s="6" t="str">
        <f t="shared" si="82"/>
        <v>15% Off All SKUs</v>
      </c>
      <c r="AO138" s="6" t="str">
        <f t="shared" si="76"/>
        <v>Monthly: 100% Off Next Month</v>
      </c>
      <c r="AP138" s="6" t="str">
        <f t="shared" si="83"/>
        <v>50% Off SL / Annual</v>
      </c>
    </row>
    <row r="139" spans="2:42" ht="13">
      <c r="B139" s="20" t="s">
        <v>208</v>
      </c>
      <c r="C139" s="20" t="s">
        <v>182</v>
      </c>
      <c r="D139" s="6"/>
      <c r="E139" s="6" t="str">
        <f>IF(VLOOKUP(B139,'[7]FY25 PRICING'!$B$5:$AL$246,'[7]FY25 PRICING'!$E$1,FALSE)=0,"","x")</f>
        <v/>
      </c>
      <c r="F139" s="11" t="str">
        <f>+VLOOKUP($B139,'[1]INT Web'!$B$5:$AS$247,'[1]INT Web'!$Q$1,FALSE)</f>
        <v>USD</v>
      </c>
      <c r="G139" s="22">
        <f>+VLOOKUP($B139,'[1]INT Web'!$B$5:$AS$247,'[1]INT Web'!$U$1,FALSE)</f>
        <v>13.99</v>
      </c>
      <c r="H139" s="22">
        <f>+VLOOKUP($B139,'[1]INT Web'!$B$5:$AS$247,'[1]INT Web'!$S$1,FALSE)</f>
        <v>18.989999999999998</v>
      </c>
      <c r="I139" s="22">
        <f>+VLOOKUP($B139,'[1]INT Web'!$B$5:$AS$247,'[1]INT Web'!$T$1,FALSE)</f>
        <v>83.99</v>
      </c>
      <c r="J139" s="22">
        <f>+VLOOKUP($B139,'[1]INT Web'!$B$5:$AS$247,'[1]INT Web'!$R$1,FALSE)</f>
        <v>129.99</v>
      </c>
      <c r="K139" s="185">
        <f t="shared" si="58"/>
        <v>6.003573981415296</v>
      </c>
      <c r="L139" s="185">
        <f t="shared" si="58"/>
        <v>6.8451816745655618</v>
      </c>
      <c r="M139" s="185">
        <f t="shared" si="59"/>
        <v>1.3573981415296639</v>
      </c>
      <c r="N139" s="186">
        <v>1</v>
      </c>
      <c r="O139" s="187">
        <f t="shared" si="60"/>
        <v>13.99</v>
      </c>
      <c r="P139" s="187">
        <f t="shared" si="60"/>
        <v>18.989999999999998</v>
      </c>
      <c r="Q139" s="187">
        <f t="shared" si="60"/>
        <v>83.99</v>
      </c>
      <c r="R139" s="187">
        <f t="shared" si="60"/>
        <v>129.99</v>
      </c>
      <c r="S139" s="6">
        <v>0</v>
      </c>
      <c r="T139" s="104">
        <f t="shared" si="77"/>
        <v>13.99</v>
      </c>
      <c r="U139" s="187">
        <f t="shared" si="61"/>
        <v>13.99</v>
      </c>
      <c r="V139" s="188">
        <f t="shared" si="62"/>
        <v>0</v>
      </c>
      <c r="W139" s="189">
        <f t="shared" si="63"/>
        <v>0</v>
      </c>
      <c r="X139" s="104">
        <f t="shared" si="78"/>
        <v>18.989999999999998</v>
      </c>
      <c r="Y139" s="187">
        <f t="shared" si="64"/>
        <v>18.989999999999998</v>
      </c>
      <c r="Z139" s="188">
        <f t="shared" si="65"/>
        <v>0</v>
      </c>
      <c r="AA139" s="189">
        <f t="shared" si="66"/>
        <v>0</v>
      </c>
      <c r="AB139" s="185">
        <f t="shared" si="67"/>
        <v>1.3573981415296639</v>
      </c>
      <c r="AC139" s="104">
        <f t="shared" si="79"/>
        <v>83.99</v>
      </c>
      <c r="AD139" s="187">
        <f t="shared" si="68"/>
        <v>83.99</v>
      </c>
      <c r="AE139" s="188">
        <f t="shared" si="69"/>
        <v>0</v>
      </c>
      <c r="AF139" s="189">
        <f t="shared" si="70"/>
        <v>0</v>
      </c>
      <c r="AG139" s="185">
        <f t="shared" si="71"/>
        <v>6.003573981415296</v>
      </c>
      <c r="AH139" s="104">
        <f t="shared" si="80"/>
        <v>129.99</v>
      </c>
      <c r="AI139" s="187">
        <f t="shared" si="72"/>
        <v>129.99</v>
      </c>
      <c r="AJ139" s="188">
        <f t="shared" si="73"/>
        <v>0</v>
      </c>
      <c r="AK139" s="189">
        <f t="shared" si="74"/>
        <v>0</v>
      </c>
      <c r="AL139" s="185">
        <f t="shared" si="75"/>
        <v>6.8451816745655618</v>
      </c>
      <c r="AM139" s="6" t="str">
        <f t="shared" si="81"/>
        <v>30% Off SL / Annual</v>
      </c>
      <c r="AN139" s="6" t="str">
        <f t="shared" si="82"/>
        <v>15% Off All SKUs</v>
      </c>
      <c r="AO139" s="6" t="str">
        <f t="shared" si="76"/>
        <v>Monthly: 100% Off Next Month</v>
      </c>
      <c r="AP139" s="6" t="str">
        <f t="shared" si="83"/>
        <v>50% Off SL / Annual</v>
      </c>
    </row>
    <row r="140" spans="2:42" ht="13">
      <c r="B140" s="20" t="s">
        <v>209</v>
      </c>
      <c r="C140" s="21" t="s">
        <v>100</v>
      </c>
      <c r="D140" s="6"/>
      <c r="E140" s="6" t="str">
        <f>IF(VLOOKUP(B140,'[7]FY25 PRICING'!$B$5:$AL$246,'[7]FY25 PRICING'!$E$1,FALSE)=0,"","x")</f>
        <v/>
      </c>
      <c r="F140" s="11" t="str">
        <f>+VLOOKUP($B140,'[1]INT Web'!$B$5:$AS$247,'[1]INT Web'!$Q$1,FALSE)</f>
        <v>EUR</v>
      </c>
      <c r="G140" s="22">
        <f>+VLOOKUP($B140,'[1]INT Web'!$B$5:$AS$247,'[1]INT Web'!$U$1,FALSE)</f>
        <v>10.99</v>
      </c>
      <c r="H140" s="22">
        <f>+VLOOKUP($B140,'[1]INT Web'!$B$5:$AS$247,'[1]INT Web'!$S$1,FALSE)</f>
        <v>14.99</v>
      </c>
      <c r="I140" s="22">
        <f>+VLOOKUP($B140,'[1]INT Web'!$B$5:$AS$247,'[1]INT Web'!$T$1,FALSE)</f>
        <v>64.989999999999995</v>
      </c>
      <c r="J140" s="22">
        <f>+VLOOKUP($B140,'[1]INT Web'!$B$5:$AS$247,'[1]INT Web'!$R$1,FALSE)</f>
        <v>89.99</v>
      </c>
      <c r="K140" s="185">
        <f t="shared" si="58"/>
        <v>5.9135577797998176</v>
      </c>
      <c r="L140" s="185">
        <f t="shared" si="58"/>
        <v>6.0033355570380253</v>
      </c>
      <c r="M140" s="185">
        <f t="shared" si="59"/>
        <v>1.3639672429481347</v>
      </c>
      <c r="N140" s="186">
        <v>1.1469499999999999</v>
      </c>
      <c r="O140" s="187">
        <f t="shared" si="60"/>
        <v>12.6049805</v>
      </c>
      <c r="P140" s="187">
        <f t="shared" si="60"/>
        <v>17.192780499999998</v>
      </c>
      <c r="Q140" s="187">
        <f t="shared" si="60"/>
        <v>74.540280499999994</v>
      </c>
      <c r="R140" s="187">
        <f t="shared" si="60"/>
        <v>103.21403049999999</v>
      </c>
      <c r="S140" s="6">
        <v>0</v>
      </c>
      <c r="T140" s="104">
        <f t="shared" si="77"/>
        <v>10.99</v>
      </c>
      <c r="U140" s="187">
        <f t="shared" si="61"/>
        <v>12.6049805</v>
      </c>
      <c r="V140" s="188">
        <f t="shared" si="62"/>
        <v>0</v>
      </c>
      <c r="W140" s="189">
        <f t="shared" si="63"/>
        <v>0</v>
      </c>
      <c r="X140" s="104">
        <f t="shared" si="78"/>
        <v>14.99</v>
      </c>
      <c r="Y140" s="187">
        <f t="shared" si="64"/>
        <v>17.192780499999998</v>
      </c>
      <c r="Z140" s="188">
        <f t="shared" si="65"/>
        <v>0</v>
      </c>
      <c r="AA140" s="189">
        <f t="shared" si="66"/>
        <v>0</v>
      </c>
      <c r="AB140" s="185">
        <f t="shared" si="67"/>
        <v>1.3639672429481347</v>
      </c>
      <c r="AC140" s="104">
        <f t="shared" si="79"/>
        <v>64.989999999999995</v>
      </c>
      <c r="AD140" s="187">
        <f t="shared" si="68"/>
        <v>74.540280499999994</v>
      </c>
      <c r="AE140" s="188">
        <f t="shared" si="69"/>
        <v>0</v>
      </c>
      <c r="AF140" s="189">
        <f t="shared" si="70"/>
        <v>0</v>
      </c>
      <c r="AG140" s="185">
        <f t="shared" si="71"/>
        <v>5.9135577797998176</v>
      </c>
      <c r="AH140" s="104">
        <f t="shared" si="80"/>
        <v>89.99</v>
      </c>
      <c r="AI140" s="187">
        <f t="shared" si="72"/>
        <v>103.21403049999999</v>
      </c>
      <c r="AJ140" s="188">
        <f t="shared" si="73"/>
        <v>0</v>
      </c>
      <c r="AK140" s="189">
        <f t="shared" si="74"/>
        <v>0</v>
      </c>
      <c r="AL140" s="185">
        <f t="shared" si="75"/>
        <v>6.0033355570380253</v>
      </c>
      <c r="AM140" s="6" t="str">
        <f t="shared" si="81"/>
        <v>30% Off SL / Annual</v>
      </c>
      <c r="AN140" s="6" t="str">
        <f t="shared" si="82"/>
        <v>15% Off All SKUs</v>
      </c>
      <c r="AO140" s="6" t="str">
        <f t="shared" si="76"/>
        <v>Monthly: 100% Off Next Month</v>
      </c>
      <c r="AP140" s="6" t="str">
        <f t="shared" si="83"/>
        <v>50% Off SL / Annual</v>
      </c>
    </row>
    <row r="141" spans="2:42" ht="13">
      <c r="B141" s="20" t="s">
        <v>210</v>
      </c>
      <c r="C141" s="20" t="s">
        <v>270</v>
      </c>
      <c r="D141" s="6"/>
      <c r="E141" s="6" t="str">
        <f>IF(VLOOKUP(B141,'[7]FY25 PRICING'!$B$5:$AL$246,'[7]FY25 PRICING'!$E$1,FALSE)=0,"","x")</f>
        <v/>
      </c>
      <c r="F141" s="11" t="str">
        <f>+VLOOKUP($B141,'[1]INT Web'!$B$5:$AS$247,'[1]INT Web'!$Q$1,FALSE)</f>
        <v>USD</v>
      </c>
      <c r="G141" s="22">
        <f>+VLOOKUP($B141,'[1]INT Web'!$B$5:$AS$247,'[1]INT Web'!$U$1,FALSE)</f>
        <v>8.99</v>
      </c>
      <c r="H141" s="22">
        <f>+VLOOKUP($B141,'[1]INT Web'!$B$5:$AS$247,'[1]INT Web'!$S$1,FALSE)</f>
        <v>11.99</v>
      </c>
      <c r="I141" s="22">
        <f>+VLOOKUP($B141,'[1]INT Web'!$B$5:$AS$247,'[1]INT Web'!$T$1,FALSE)</f>
        <v>53.99</v>
      </c>
      <c r="J141" s="22">
        <f>+VLOOKUP($B141,'[1]INT Web'!$B$5:$AS$247,'[1]INT Web'!$R$1,FALSE)</f>
        <v>71.989999999999995</v>
      </c>
      <c r="K141" s="185">
        <f t="shared" si="58"/>
        <v>6.0055617352614012</v>
      </c>
      <c r="L141" s="185">
        <f t="shared" si="58"/>
        <v>6.0041701417848206</v>
      </c>
      <c r="M141" s="185">
        <f t="shared" si="59"/>
        <v>1.3337041156840934</v>
      </c>
      <c r="N141" s="186">
        <v>1</v>
      </c>
      <c r="O141" s="187">
        <f t="shared" si="60"/>
        <v>8.99</v>
      </c>
      <c r="P141" s="187">
        <f t="shared" si="60"/>
        <v>11.99</v>
      </c>
      <c r="Q141" s="187">
        <f t="shared" si="60"/>
        <v>53.99</v>
      </c>
      <c r="R141" s="187">
        <f t="shared" si="60"/>
        <v>71.989999999999995</v>
      </c>
      <c r="S141" s="6">
        <v>0</v>
      </c>
      <c r="T141" s="104">
        <f t="shared" si="77"/>
        <v>8.99</v>
      </c>
      <c r="U141" s="187">
        <f t="shared" si="61"/>
        <v>8.99</v>
      </c>
      <c r="V141" s="188">
        <f t="shared" si="62"/>
        <v>0</v>
      </c>
      <c r="W141" s="189">
        <f t="shared" si="63"/>
        <v>0</v>
      </c>
      <c r="X141" s="104">
        <f t="shared" si="78"/>
        <v>11.99</v>
      </c>
      <c r="Y141" s="187">
        <f t="shared" si="64"/>
        <v>11.99</v>
      </c>
      <c r="Z141" s="188">
        <f t="shared" si="65"/>
        <v>0</v>
      </c>
      <c r="AA141" s="189">
        <f t="shared" si="66"/>
        <v>0</v>
      </c>
      <c r="AB141" s="185">
        <f t="shared" si="67"/>
        <v>1.3337041156840934</v>
      </c>
      <c r="AC141" s="104">
        <f t="shared" si="79"/>
        <v>53.99</v>
      </c>
      <c r="AD141" s="187">
        <f t="shared" si="68"/>
        <v>53.99</v>
      </c>
      <c r="AE141" s="188">
        <f t="shared" si="69"/>
        <v>0</v>
      </c>
      <c r="AF141" s="189">
        <f t="shared" si="70"/>
        <v>0</v>
      </c>
      <c r="AG141" s="185">
        <f t="shared" si="71"/>
        <v>6.0055617352614012</v>
      </c>
      <c r="AH141" s="104">
        <f t="shared" si="80"/>
        <v>71.989999999999995</v>
      </c>
      <c r="AI141" s="187">
        <f t="shared" si="72"/>
        <v>71.989999999999995</v>
      </c>
      <c r="AJ141" s="188">
        <f t="shared" si="73"/>
        <v>0</v>
      </c>
      <c r="AK141" s="189">
        <f t="shared" si="74"/>
        <v>0</v>
      </c>
      <c r="AL141" s="185">
        <f t="shared" si="75"/>
        <v>6.0041701417848206</v>
      </c>
      <c r="AM141" s="6" t="str">
        <f t="shared" si="81"/>
        <v>30% Off SL / Annual</v>
      </c>
      <c r="AN141" s="6" t="str">
        <f t="shared" si="82"/>
        <v>15% Off All SKUs</v>
      </c>
      <c r="AO141" s="6" t="str">
        <f t="shared" si="76"/>
        <v>Monthly: 100% Off Next Month</v>
      </c>
      <c r="AP141" s="6" t="str">
        <f t="shared" si="83"/>
        <v>50% Off SL / Annual</v>
      </c>
    </row>
    <row r="142" spans="2:42" ht="13">
      <c r="B142" s="20" t="s">
        <v>211</v>
      </c>
      <c r="C142" s="20" t="s">
        <v>270</v>
      </c>
      <c r="D142" s="6"/>
      <c r="E142" s="6" t="str">
        <f>IF(VLOOKUP(B142,'[7]FY25 PRICING'!$B$5:$AL$246,'[7]FY25 PRICING'!$E$1,FALSE)=0,"","x")</f>
        <v/>
      </c>
      <c r="F142" s="11" t="str">
        <f>+VLOOKUP($B142,'[1]INT Web'!$B$5:$AS$247,'[1]INT Web'!$Q$1,FALSE)</f>
        <v>MUR</v>
      </c>
      <c r="G142" s="22">
        <f>+VLOOKUP($B142,'[1]INT Web'!$B$5:$AS$247,'[1]INT Web'!$U$1,FALSE)</f>
        <v>319.99</v>
      </c>
      <c r="H142" s="22">
        <f>+VLOOKUP($B142,'[1]INT Web'!$B$5:$AS$247,'[1]INT Web'!$S$1,FALSE)</f>
        <v>431.99</v>
      </c>
      <c r="I142" s="22">
        <f>+VLOOKUP($B142,'[1]INT Web'!$B$5:$AS$247,'[1]INT Web'!$T$1,FALSE)</f>
        <v>1919.99</v>
      </c>
      <c r="J142" s="22">
        <f>+VLOOKUP($B142,'[1]INT Web'!$B$5:$AS$247,'[1]INT Web'!$R$1,FALSE)</f>
        <v>2591.9899999999998</v>
      </c>
      <c r="K142" s="185">
        <f t="shared" si="58"/>
        <v>6.000156254882965</v>
      </c>
      <c r="L142" s="185">
        <f t="shared" si="58"/>
        <v>6.0001157434199861</v>
      </c>
      <c r="M142" s="185">
        <f t="shared" si="59"/>
        <v>1.3500109378418075</v>
      </c>
      <c r="N142" s="186">
        <v>2.0889910000000001E-2</v>
      </c>
      <c r="O142" s="187">
        <f t="shared" si="60"/>
        <v>6.6845623009000006</v>
      </c>
      <c r="P142" s="187">
        <f t="shared" si="60"/>
        <v>9.0242322209000001</v>
      </c>
      <c r="Q142" s="187">
        <f t="shared" si="60"/>
        <v>40.108418300900006</v>
      </c>
      <c r="R142" s="187">
        <f t="shared" si="60"/>
        <v>54.146437820899997</v>
      </c>
      <c r="S142" s="6">
        <v>0</v>
      </c>
      <c r="T142" s="104">
        <f t="shared" si="77"/>
        <v>319.99</v>
      </c>
      <c r="U142" s="187">
        <f t="shared" si="61"/>
        <v>6.6845623009000006</v>
      </c>
      <c r="V142" s="188">
        <f t="shared" si="62"/>
        <v>0</v>
      </c>
      <c r="W142" s="189">
        <f t="shared" si="63"/>
        <v>0</v>
      </c>
      <c r="X142" s="104">
        <f t="shared" si="78"/>
        <v>431.99</v>
      </c>
      <c r="Y142" s="187">
        <f t="shared" si="64"/>
        <v>9.0242322209000001</v>
      </c>
      <c r="Z142" s="188">
        <f t="shared" si="65"/>
        <v>0</v>
      </c>
      <c r="AA142" s="189">
        <f t="shared" si="66"/>
        <v>0</v>
      </c>
      <c r="AB142" s="185">
        <f t="shared" si="67"/>
        <v>1.3500109378418075</v>
      </c>
      <c r="AC142" s="104">
        <f t="shared" si="79"/>
        <v>1919.99</v>
      </c>
      <c r="AD142" s="187">
        <f t="shared" si="68"/>
        <v>40.108418300900006</v>
      </c>
      <c r="AE142" s="188">
        <f t="shared" si="69"/>
        <v>0</v>
      </c>
      <c r="AF142" s="189">
        <f t="shared" si="70"/>
        <v>0</v>
      </c>
      <c r="AG142" s="185">
        <f t="shared" si="71"/>
        <v>6.000156254882965</v>
      </c>
      <c r="AH142" s="104">
        <f t="shared" si="80"/>
        <v>2591.9899999999998</v>
      </c>
      <c r="AI142" s="187">
        <f t="shared" si="72"/>
        <v>54.146437820899997</v>
      </c>
      <c r="AJ142" s="188">
        <f t="shared" si="73"/>
        <v>0</v>
      </c>
      <c r="AK142" s="189">
        <f t="shared" si="74"/>
        <v>0</v>
      </c>
      <c r="AL142" s="185">
        <f t="shared" si="75"/>
        <v>6.0001157434199861</v>
      </c>
      <c r="AM142" s="6" t="str">
        <f t="shared" si="81"/>
        <v>30% Off SL / Annual</v>
      </c>
      <c r="AN142" s="6" t="str">
        <f t="shared" si="82"/>
        <v>15% Off All SKUs</v>
      </c>
      <c r="AO142" s="6" t="str">
        <f t="shared" si="76"/>
        <v>Monthly: 100% Off Next Month</v>
      </c>
      <c r="AP142" s="6" t="str">
        <f t="shared" si="83"/>
        <v>50% Off SL / Annual</v>
      </c>
    </row>
    <row r="143" spans="2:42" ht="13">
      <c r="B143" s="20" t="s">
        <v>212</v>
      </c>
      <c r="C143" s="21" t="s">
        <v>100</v>
      </c>
      <c r="D143" s="6"/>
      <c r="E143" s="6" t="str">
        <f>IF(VLOOKUP(B143,'[7]FY25 PRICING'!$B$5:$AL$246,'[7]FY25 PRICING'!$E$1,FALSE)=0,"","x")</f>
        <v/>
      </c>
      <c r="F143" s="11" t="str">
        <f>+VLOOKUP($B143,'[1]INT Web'!$B$5:$AS$247,'[1]INT Web'!$Q$1,FALSE)</f>
        <v>EUR</v>
      </c>
      <c r="G143" s="22">
        <f>+VLOOKUP($B143,'[1]INT Web'!$B$5:$AS$247,'[1]INT Web'!$U$1,FALSE)</f>
        <v>9.99</v>
      </c>
      <c r="H143" s="22">
        <f>+VLOOKUP($B143,'[1]INT Web'!$B$5:$AS$247,'[1]INT Web'!$S$1,FALSE)</f>
        <v>12.99</v>
      </c>
      <c r="I143" s="22">
        <f>+VLOOKUP($B143,'[1]INT Web'!$B$5:$AS$247,'[1]INT Web'!$T$1,FALSE)</f>
        <v>59.99</v>
      </c>
      <c r="J143" s="22">
        <f>+VLOOKUP($B143,'[1]INT Web'!$B$5:$AS$247,'[1]INT Web'!$R$1,FALSE)</f>
        <v>77.989999999999995</v>
      </c>
      <c r="K143" s="185">
        <f t="shared" si="58"/>
        <v>6.005005005005005</v>
      </c>
      <c r="L143" s="185">
        <f t="shared" si="58"/>
        <v>6.0038491147036179</v>
      </c>
      <c r="M143" s="185">
        <f t="shared" si="59"/>
        <v>1.3003003003003002</v>
      </c>
      <c r="N143" s="186">
        <v>1.1469499999999999</v>
      </c>
      <c r="O143" s="187">
        <f t="shared" si="60"/>
        <v>11.4580305</v>
      </c>
      <c r="P143" s="187">
        <f t="shared" si="60"/>
        <v>14.898880499999999</v>
      </c>
      <c r="Q143" s="187">
        <f t="shared" si="60"/>
        <v>68.805530500000003</v>
      </c>
      <c r="R143" s="187">
        <f t="shared" si="60"/>
        <v>89.450630499999988</v>
      </c>
      <c r="S143" s="6">
        <v>0</v>
      </c>
      <c r="T143" s="104">
        <f t="shared" si="77"/>
        <v>9.99</v>
      </c>
      <c r="U143" s="187">
        <f t="shared" si="61"/>
        <v>11.4580305</v>
      </c>
      <c r="V143" s="188">
        <f t="shared" si="62"/>
        <v>0</v>
      </c>
      <c r="W143" s="189">
        <f t="shared" si="63"/>
        <v>0</v>
      </c>
      <c r="X143" s="104">
        <f t="shared" si="78"/>
        <v>12.99</v>
      </c>
      <c r="Y143" s="187">
        <f t="shared" si="64"/>
        <v>14.898880499999999</v>
      </c>
      <c r="Z143" s="188">
        <f t="shared" si="65"/>
        <v>0</v>
      </c>
      <c r="AA143" s="189">
        <f t="shared" si="66"/>
        <v>0</v>
      </c>
      <c r="AB143" s="185">
        <f t="shared" si="67"/>
        <v>1.3003003003003002</v>
      </c>
      <c r="AC143" s="104">
        <f t="shared" si="79"/>
        <v>59.99</v>
      </c>
      <c r="AD143" s="187">
        <f t="shared" si="68"/>
        <v>68.805530500000003</v>
      </c>
      <c r="AE143" s="188">
        <f t="shared" si="69"/>
        <v>0</v>
      </c>
      <c r="AF143" s="189">
        <f t="shared" si="70"/>
        <v>0</v>
      </c>
      <c r="AG143" s="185">
        <f t="shared" si="71"/>
        <v>6.005005005005005</v>
      </c>
      <c r="AH143" s="104">
        <f t="shared" si="80"/>
        <v>77.989999999999995</v>
      </c>
      <c r="AI143" s="187">
        <f t="shared" si="72"/>
        <v>89.450630499999988</v>
      </c>
      <c r="AJ143" s="188">
        <f t="shared" si="73"/>
        <v>0</v>
      </c>
      <c r="AK143" s="189">
        <f t="shared" si="74"/>
        <v>0</v>
      </c>
      <c r="AL143" s="185">
        <f t="shared" si="75"/>
        <v>6.0038491147036179</v>
      </c>
      <c r="AM143" s="6" t="str">
        <f t="shared" si="81"/>
        <v>30% Off SL / Annual</v>
      </c>
      <c r="AN143" s="6" t="str">
        <f t="shared" si="82"/>
        <v>15% Off All SKUs</v>
      </c>
      <c r="AO143" s="6" t="str">
        <f t="shared" si="76"/>
        <v>Monthly: 100% Off Next Month</v>
      </c>
      <c r="AP143" s="6" t="str">
        <f t="shared" si="83"/>
        <v>50% Off SL / Annual</v>
      </c>
    </row>
    <row r="144" spans="2:42" ht="13">
      <c r="B144" s="199" t="s">
        <v>213</v>
      </c>
      <c r="C144" s="199" t="s">
        <v>96</v>
      </c>
      <c r="D144" s="6" t="s">
        <v>487</v>
      </c>
      <c r="E144" s="6" t="s">
        <v>481</v>
      </c>
      <c r="F144" s="11" t="str">
        <f>+VLOOKUP($B144,'[1]INT Web'!$B$5:$AS$247,'[1]INT Web'!$Q$1,FALSE)</f>
        <v>MXN</v>
      </c>
      <c r="G144" s="22">
        <f>+VLOOKUP($B144,'[1]INT Web'!$B$5:$AS$247,'[1]INT Web'!$U$1,FALSE)</f>
        <v>210</v>
      </c>
      <c r="H144" s="22">
        <f>+VLOOKUP($B144,'[1]INT Web'!$B$5:$AS$247,'[1]INT Web'!$S$1,FALSE)</f>
        <v>290</v>
      </c>
      <c r="I144" s="22">
        <f>+VLOOKUP($B144,'[1]INT Web'!$B$5:$AS$247,'[1]INT Web'!$T$1,FALSE)</f>
        <v>1470</v>
      </c>
      <c r="J144" s="22">
        <f>+VLOOKUP($B144,'[1]INT Web'!$B$5:$AS$247,'[1]INT Web'!$R$1,FALSE)</f>
        <v>1990</v>
      </c>
      <c r="K144" s="185">
        <f t="shared" si="58"/>
        <v>7</v>
      </c>
      <c r="L144" s="185">
        <f t="shared" si="58"/>
        <v>6.8620689655172411</v>
      </c>
      <c r="M144" s="185">
        <f t="shared" si="59"/>
        <v>1.3809523809523809</v>
      </c>
      <c r="N144" s="186">
        <v>5.7750057E-2</v>
      </c>
      <c r="O144" s="187">
        <f t="shared" si="60"/>
        <v>12.12751197</v>
      </c>
      <c r="P144" s="187">
        <f t="shared" si="60"/>
        <v>16.747516529999999</v>
      </c>
      <c r="Q144" s="187">
        <f t="shared" si="60"/>
        <v>84.892583790000003</v>
      </c>
      <c r="R144" s="187">
        <f t="shared" si="60"/>
        <v>114.92261343</v>
      </c>
      <c r="S144" s="132" t="s">
        <v>488</v>
      </c>
      <c r="T144" s="104">
        <f t="shared" si="77"/>
        <v>210</v>
      </c>
      <c r="U144" s="187">
        <f t="shared" si="61"/>
        <v>12.12751197</v>
      </c>
      <c r="V144" s="188">
        <f t="shared" si="62"/>
        <v>0</v>
      </c>
      <c r="W144" s="189">
        <f t="shared" si="63"/>
        <v>0</v>
      </c>
      <c r="X144" s="104">
        <f t="shared" si="78"/>
        <v>290</v>
      </c>
      <c r="Y144" s="187">
        <f t="shared" si="64"/>
        <v>16.747516529999999</v>
      </c>
      <c r="Z144" s="188">
        <f t="shared" si="65"/>
        <v>0</v>
      </c>
      <c r="AA144" s="189">
        <f t="shared" si="66"/>
        <v>0</v>
      </c>
      <c r="AB144" s="185">
        <f t="shared" si="67"/>
        <v>1.3809523809523809</v>
      </c>
      <c r="AC144" s="104">
        <f t="shared" si="79"/>
        <v>1470</v>
      </c>
      <c r="AD144" s="187">
        <f t="shared" si="68"/>
        <v>84.892583790000003</v>
      </c>
      <c r="AE144" s="188">
        <f t="shared" si="69"/>
        <v>0</v>
      </c>
      <c r="AF144" s="189">
        <f t="shared" si="70"/>
        <v>0</v>
      </c>
      <c r="AG144" s="185">
        <f t="shared" si="71"/>
        <v>7</v>
      </c>
      <c r="AH144" s="104">
        <f t="shared" si="80"/>
        <v>1990</v>
      </c>
      <c r="AI144" s="187">
        <f t="shared" si="72"/>
        <v>114.92261343</v>
      </c>
      <c r="AJ144" s="188">
        <f t="shared" si="73"/>
        <v>0</v>
      </c>
      <c r="AK144" s="189">
        <f t="shared" si="74"/>
        <v>0</v>
      </c>
      <c r="AL144" s="185">
        <f t="shared" si="75"/>
        <v>6.8620689655172411</v>
      </c>
      <c r="AM144" s="6" t="str">
        <f t="shared" si="81"/>
        <v>30% Off SL / Annual</v>
      </c>
      <c r="AN144" s="6" t="str">
        <f t="shared" si="82"/>
        <v>Messaging Only</v>
      </c>
      <c r="AO144" s="6" t="str">
        <f t="shared" si="76"/>
        <v>Messaging / Pause Flow</v>
      </c>
      <c r="AP144" s="6" t="str">
        <f t="shared" si="83"/>
        <v>50% Off LPP Only</v>
      </c>
    </row>
    <row r="145" spans="2:42" ht="13">
      <c r="B145" s="20" t="s">
        <v>214</v>
      </c>
      <c r="C145" s="20" t="s">
        <v>182</v>
      </c>
      <c r="D145" s="6"/>
      <c r="E145" s="6" t="str">
        <f>IF(VLOOKUP(B145,'[7]FY25 PRICING'!$B$5:$AL$246,'[7]FY25 PRICING'!$E$1,FALSE)=0,"","x")</f>
        <v/>
      </c>
      <c r="F145" s="11" t="str">
        <f>+VLOOKUP($B145,'[1]INT Web'!$B$5:$AS$247,'[1]INT Web'!$Q$1,FALSE)</f>
        <v>USD</v>
      </c>
      <c r="G145" s="22">
        <f>+VLOOKUP($B145,'[1]INT Web'!$B$5:$AS$247,'[1]INT Web'!$U$1,FALSE)</f>
        <v>13.99</v>
      </c>
      <c r="H145" s="22">
        <f>+VLOOKUP($B145,'[1]INT Web'!$B$5:$AS$247,'[1]INT Web'!$S$1,FALSE)</f>
        <v>18.989999999999998</v>
      </c>
      <c r="I145" s="22">
        <f>+VLOOKUP($B145,'[1]INT Web'!$B$5:$AS$247,'[1]INT Web'!$T$1,FALSE)</f>
        <v>83.99</v>
      </c>
      <c r="J145" s="22">
        <f>+VLOOKUP($B145,'[1]INT Web'!$B$5:$AS$247,'[1]INT Web'!$R$1,FALSE)</f>
        <v>129.99</v>
      </c>
      <c r="K145" s="185">
        <f t="shared" si="58"/>
        <v>6.003573981415296</v>
      </c>
      <c r="L145" s="185">
        <f t="shared" si="58"/>
        <v>6.8451816745655618</v>
      </c>
      <c r="M145" s="185">
        <f t="shared" si="59"/>
        <v>1.3573981415296639</v>
      </c>
      <c r="N145" s="186">
        <v>1</v>
      </c>
      <c r="O145" s="187">
        <f t="shared" si="60"/>
        <v>13.99</v>
      </c>
      <c r="P145" s="187">
        <f t="shared" si="60"/>
        <v>18.989999999999998</v>
      </c>
      <c r="Q145" s="187">
        <f t="shared" si="60"/>
        <v>83.99</v>
      </c>
      <c r="R145" s="187">
        <f t="shared" si="60"/>
        <v>129.99</v>
      </c>
      <c r="S145" s="6">
        <v>0</v>
      </c>
      <c r="T145" s="104">
        <f t="shared" si="77"/>
        <v>13.99</v>
      </c>
      <c r="U145" s="187">
        <f t="shared" si="61"/>
        <v>13.99</v>
      </c>
      <c r="V145" s="188">
        <f t="shared" si="62"/>
        <v>0</v>
      </c>
      <c r="W145" s="189">
        <f t="shared" si="63"/>
        <v>0</v>
      </c>
      <c r="X145" s="104">
        <f t="shared" si="78"/>
        <v>18.989999999999998</v>
      </c>
      <c r="Y145" s="187">
        <f t="shared" si="64"/>
        <v>18.989999999999998</v>
      </c>
      <c r="Z145" s="188">
        <f t="shared" si="65"/>
        <v>0</v>
      </c>
      <c r="AA145" s="189">
        <f t="shared" si="66"/>
        <v>0</v>
      </c>
      <c r="AB145" s="185">
        <f t="shared" si="67"/>
        <v>1.3573981415296639</v>
      </c>
      <c r="AC145" s="104">
        <f t="shared" si="79"/>
        <v>83.99</v>
      </c>
      <c r="AD145" s="187">
        <f t="shared" si="68"/>
        <v>83.99</v>
      </c>
      <c r="AE145" s="188">
        <f t="shared" si="69"/>
        <v>0</v>
      </c>
      <c r="AF145" s="189">
        <f t="shared" si="70"/>
        <v>0</v>
      </c>
      <c r="AG145" s="185">
        <f t="shared" si="71"/>
        <v>6.003573981415296</v>
      </c>
      <c r="AH145" s="104">
        <f t="shared" si="80"/>
        <v>129.99</v>
      </c>
      <c r="AI145" s="187">
        <f t="shared" si="72"/>
        <v>129.99</v>
      </c>
      <c r="AJ145" s="188">
        <f t="shared" si="73"/>
        <v>0</v>
      </c>
      <c r="AK145" s="189">
        <f t="shared" si="74"/>
        <v>0</v>
      </c>
      <c r="AL145" s="185">
        <f t="shared" si="75"/>
        <v>6.8451816745655618</v>
      </c>
      <c r="AM145" s="6" t="str">
        <f t="shared" si="81"/>
        <v>30% Off SL / Annual</v>
      </c>
      <c r="AN145" s="6" t="str">
        <f t="shared" si="82"/>
        <v>15% Off All SKUs</v>
      </c>
      <c r="AO145" s="6" t="str">
        <f t="shared" si="76"/>
        <v>Monthly: 100% Off Next Month</v>
      </c>
      <c r="AP145" s="6" t="str">
        <f t="shared" si="83"/>
        <v>50% Off SL / Annual</v>
      </c>
    </row>
    <row r="146" spans="2:42" ht="13">
      <c r="B146" s="20" t="s">
        <v>215</v>
      </c>
      <c r="C146" s="20" t="s">
        <v>100</v>
      </c>
      <c r="D146" s="6"/>
      <c r="E146" s="6" t="str">
        <f>IF(VLOOKUP(B146,'[7]FY25 PRICING'!$B$5:$AL$246,'[7]FY25 PRICING'!$E$1,FALSE)=0,"","x")</f>
        <v/>
      </c>
      <c r="F146" s="11" t="str">
        <f>+VLOOKUP($B146,'[1]INT Web'!$B$5:$AS$247,'[1]INT Web'!$Q$1,FALSE)</f>
        <v>MDL</v>
      </c>
      <c r="G146" s="22">
        <f>+VLOOKUP($B146,'[1]INT Web'!$B$5:$AS$247,'[1]INT Web'!$U$1,FALSE)</f>
        <v>184.99</v>
      </c>
      <c r="H146" s="22">
        <f>+VLOOKUP($B146,'[1]INT Web'!$B$5:$AS$247,'[1]INT Web'!$S$1,FALSE)</f>
        <v>249.99</v>
      </c>
      <c r="I146" s="22">
        <f>+VLOOKUP($B146,'[1]INT Web'!$B$5:$AS$247,'[1]INT Web'!$T$1,FALSE)</f>
        <v>1109.99</v>
      </c>
      <c r="J146" s="22">
        <f>+VLOOKUP($B146,'[1]INT Web'!$B$5:$AS$247,'[1]INT Web'!$R$1,FALSE)</f>
        <v>1499.99</v>
      </c>
      <c r="K146" s="185">
        <f t="shared" si="58"/>
        <v>6.0002702848802638</v>
      </c>
      <c r="L146" s="185">
        <f t="shared" si="58"/>
        <v>6.0002000080003199</v>
      </c>
      <c r="M146" s="185">
        <f t="shared" si="59"/>
        <v>1.3513703443429375</v>
      </c>
      <c r="N146" s="186">
        <v>5.6625143000000003E-2</v>
      </c>
      <c r="O146" s="187">
        <f t="shared" si="60"/>
        <v>10.475085203570002</v>
      </c>
      <c r="P146" s="187">
        <f t="shared" si="60"/>
        <v>14.155719498570001</v>
      </c>
      <c r="Q146" s="187">
        <f t="shared" si="60"/>
        <v>62.853342478570006</v>
      </c>
      <c r="R146" s="187">
        <f t="shared" si="60"/>
        <v>84.937148248570011</v>
      </c>
      <c r="S146" s="6">
        <v>0</v>
      </c>
      <c r="T146" s="104">
        <f t="shared" si="77"/>
        <v>184.99</v>
      </c>
      <c r="U146" s="187">
        <f t="shared" si="61"/>
        <v>10.475085203570002</v>
      </c>
      <c r="V146" s="188">
        <f t="shared" si="62"/>
        <v>0</v>
      </c>
      <c r="W146" s="189">
        <f t="shared" si="63"/>
        <v>0</v>
      </c>
      <c r="X146" s="104">
        <f t="shared" si="78"/>
        <v>249.99</v>
      </c>
      <c r="Y146" s="187">
        <f t="shared" si="64"/>
        <v>14.155719498570001</v>
      </c>
      <c r="Z146" s="188">
        <f t="shared" si="65"/>
        <v>0</v>
      </c>
      <c r="AA146" s="189">
        <f t="shared" si="66"/>
        <v>0</v>
      </c>
      <c r="AB146" s="185">
        <f t="shared" si="67"/>
        <v>1.3513703443429375</v>
      </c>
      <c r="AC146" s="104">
        <f t="shared" si="79"/>
        <v>1109.99</v>
      </c>
      <c r="AD146" s="187">
        <f t="shared" si="68"/>
        <v>62.853342478570006</v>
      </c>
      <c r="AE146" s="188">
        <f t="shared" si="69"/>
        <v>0</v>
      </c>
      <c r="AF146" s="189">
        <f t="shared" si="70"/>
        <v>0</v>
      </c>
      <c r="AG146" s="185">
        <f t="shared" si="71"/>
        <v>6.0002702848802638</v>
      </c>
      <c r="AH146" s="104">
        <f t="shared" si="80"/>
        <v>1499.99</v>
      </c>
      <c r="AI146" s="187">
        <f t="shared" si="72"/>
        <v>84.937148248570011</v>
      </c>
      <c r="AJ146" s="188">
        <f t="shared" si="73"/>
        <v>0</v>
      </c>
      <c r="AK146" s="189">
        <f t="shared" si="74"/>
        <v>0</v>
      </c>
      <c r="AL146" s="185">
        <f t="shared" si="75"/>
        <v>6.0002000080003199</v>
      </c>
      <c r="AM146" s="6" t="str">
        <f t="shared" si="81"/>
        <v>30% Off SL / Annual</v>
      </c>
      <c r="AN146" s="6" t="str">
        <f t="shared" si="82"/>
        <v>15% Off All SKUs</v>
      </c>
      <c r="AO146" s="6" t="str">
        <f t="shared" si="76"/>
        <v>Monthly: 100% Off Next Month</v>
      </c>
      <c r="AP146" s="6" t="str">
        <f t="shared" si="83"/>
        <v>50% Off SL / Annual</v>
      </c>
    </row>
    <row r="147" spans="2:42" ht="13">
      <c r="B147" s="20" t="s">
        <v>216</v>
      </c>
      <c r="C147" s="20" t="s">
        <v>100</v>
      </c>
      <c r="D147" s="6"/>
      <c r="E147" s="6" t="str">
        <f>IF(VLOOKUP(B147,'[7]FY25 PRICING'!$B$5:$AL$246,'[7]FY25 PRICING'!$E$1,FALSE)=0,"","x")</f>
        <v/>
      </c>
      <c r="F147" s="11" t="str">
        <f>+VLOOKUP($B147,'[1]INT Web'!$B$5:$AS$247,'[1]INT Web'!$Q$1,FALSE)</f>
        <v>EUR</v>
      </c>
      <c r="G147" s="22">
        <f>+VLOOKUP($B147,'[1]INT Web'!$B$5:$AS$247,'[1]INT Web'!$U$1,FALSE)</f>
        <v>14.99</v>
      </c>
      <c r="H147" s="22">
        <f>+VLOOKUP($B147,'[1]INT Web'!$B$5:$AS$247,'[1]INT Web'!$S$1,FALSE)</f>
        <v>19.989999999999998</v>
      </c>
      <c r="I147" s="22">
        <f>+VLOOKUP($B147,'[1]INT Web'!$B$5:$AS$247,'[1]INT Web'!$T$1,FALSE)</f>
        <v>89.99</v>
      </c>
      <c r="J147" s="22">
        <f>+VLOOKUP($B147,'[1]INT Web'!$B$5:$AS$247,'[1]INT Web'!$R$1,FALSE)</f>
        <v>119.99</v>
      </c>
      <c r="K147" s="185">
        <f t="shared" si="58"/>
        <v>6.0033355570380253</v>
      </c>
      <c r="L147" s="185">
        <f t="shared" si="58"/>
        <v>6.002501250625313</v>
      </c>
      <c r="M147" s="185">
        <f t="shared" si="59"/>
        <v>1.333555703802535</v>
      </c>
      <c r="N147" s="186">
        <v>1.1469499999999999</v>
      </c>
      <c r="O147" s="187">
        <f t="shared" si="60"/>
        <v>17.192780499999998</v>
      </c>
      <c r="P147" s="187">
        <f t="shared" si="60"/>
        <v>22.927530499999996</v>
      </c>
      <c r="Q147" s="187">
        <f t="shared" si="60"/>
        <v>103.21403049999999</v>
      </c>
      <c r="R147" s="187">
        <f t="shared" si="60"/>
        <v>137.62253049999998</v>
      </c>
      <c r="S147" s="6">
        <v>0</v>
      </c>
      <c r="T147" s="104">
        <f t="shared" si="77"/>
        <v>14.99</v>
      </c>
      <c r="U147" s="187">
        <f t="shared" si="61"/>
        <v>17.192780499999998</v>
      </c>
      <c r="V147" s="188">
        <f t="shared" si="62"/>
        <v>0</v>
      </c>
      <c r="W147" s="189">
        <f t="shared" si="63"/>
        <v>0</v>
      </c>
      <c r="X147" s="104">
        <f t="shared" si="78"/>
        <v>19.989999999999998</v>
      </c>
      <c r="Y147" s="187">
        <f t="shared" si="64"/>
        <v>22.927530499999996</v>
      </c>
      <c r="Z147" s="188">
        <f t="shared" si="65"/>
        <v>0</v>
      </c>
      <c r="AA147" s="189">
        <f t="shared" si="66"/>
        <v>0</v>
      </c>
      <c r="AB147" s="185">
        <f t="shared" si="67"/>
        <v>1.333555703802535</v>
      </c>
      <c r="AC147" s="104">
        <f t="shared" si="79"/>
        <v>89.99</v>
      </c>
      <c r="AD147" s="187">
        <f t="shared" si="68"/>
        <v>103.21403049999999</v>
      </c>
      <c r="AE147" s="188">
        <f t="shared" si="69"/>
        <v>0</v>
      </c>
      <c r="AF147" s="189">
        <f t="shared" si="70"/>
        <v>0</v>
      </c>
      <c r="AG147" s="185">
        <f t="shared" si="71"/>
        <v>6.0033355570380253</v>
      </c>
      <c r="AH147" s="104">
        <f t="shared" si="80"/>
        <v>119.99</v>
      </c>
      <c r="AI147" s="187">
        <f t="shared" si="72"/>
        <v>137.62253049999998</v>
      </c>
      <c r="AJ147" s="188">
        <f t="shared" si="73"/>
        <v>0</v>
      </c>
      <c r="AK147" s="189">
        <f t="shared" si="74"/>
        <v>0</v>
      </c>
      <c r="AL147" s="185">
        <f t="shared" si="75"/>
        <v>6.002501250625313</v>
      </c>
      <c r="AM147" s="6" t="str">
        <f t="shared" si="81"/>
        <v>30% Off SL / Annual</v>
      </c>
      <c r="AN147" s="6" t="str">
        <f t="shared" si="82"/>
        <v>15% Off All SKUs</v>
      </c>
      <c r="AO147" s="6" t="str">
        <f t="shared" si="76"/>
        <v>Monthly: 100% Off Next Month</v>
      </c>
      <c r="AP147" s="6" t="str">
        <f t="shared" si="83"/>
        <v>50% Off SL / Annual</v>
      </c>
    </row>
    <row r="148" spans="2:42" ht="13">
      <c r="B148" s="20" t="s">
        <v>217</v>
      </c>
      <c r="C148" s="20" t="s">
        <v>182</v>
      </c>
      <c r="D148" s="6"/>
      <c r="E148" s="6" t="str">
        <f>IF(VLOOKUP(B148,'[7]FY25 PRICING'!$B$5:$AL$246,'[7]FY25 PRICING'!$E$1,FALSE)=0,"","x")</f>
        <v/>
      </c>
      <c r="F148" s="11" t="str">
        <f>+VLOOKUP($B148,'[1]INT Web'!$B$5:$AS$247,'[1]INT Web'!$Q$1,FALSE)</f>
        <v>MNT</v>
      </c>
      <c r="G148" s="22">
        <f>+VLOOKUP($B148,'[1]INT Web'!$B$5:$AS$247,'[1]INT Web'!$U$1,FALSE)</f>
        <v>29200</v>
      </c>
      <c r="H148" s="22">
        <f>+VLOOKUP($B148,'[1]INT Web'!$B$5:$AS$247,'[1]INT Web'!$S$1,FALSE)</f>
        <v>40880</v>
      </c>
      <c r="I148" s="22">
        <f>+VLOOKUP($B148,'[1]INT Web'!$B$5:$AS$247,'[1]INT Web'!$T$1,FALSE)</f>
        <v>175200</v>
      </c>
      <c r="J148" s="22">
        <f>+VLOOKUP($B148,'[1]INT Web'!$B$5:$AS$247,'[1]INT Web'!$R$1,FALSE)</f>
        <v>245900</v>
      </c>
      <c r="K148" s="185">
        <f t="shared" si="58"/>
        <v>6</v>
      </c>
      <c r="L148" s="185">
        <f t="shared" si="58"/>
        <v>6.0151663405088058</v>
      </c>
      <c r="M148" s="185">
        <f t="shared" si="59"/>
        <v>1.4</v>
      </c>
      <c r="N148" s="186">
        <v>2.7894002000000001E-4</v>
      </c>
      <c r="O148" s="187">
        <f t="shared" si="60"/>
        <v>8.1450485839999995</v>
      </c>
      <c r="P148" s="187">
        <f t="shared" si="60"/>
        <v>11.403068017600001</v>
      </c>
      <c r="Q148" s="187">
        <f t="shared" si="60"/>
        <v>48.870291504000001</v>
      </c>
      <c r="R148" s="187">
        <f t="shared" si="60"/>
        <v>68.591350918000003</v>
      </c>
      <c r="S148" s="6" t="s">
        <v>485</v>
      </c>
      <c r="T148" s="104">
        <f t="shared" si="77"/>
        <v>29200</v>
      </c>
      <c r="U148" s="187">
        <f t="shared" si="61"/>
        <v>8.1450485839999995</v>
      </c>
      <c r="V148" s="188">
        <f t="shared" si="62"/>
        <v>0</v>
      </c>
      <c r="W148" s="189">
        <f t="shared" si="63"/>
        <v>0</v>
      </c>
      <c r="X148" s="104">
        <f t="shared" si="78"/>
        <v>40880</v>
      </c>
      <c r="Y148" s="187">
        <f t="shared" si="64"/>
        <v>11.403068017600001</v>
      </c>
      <c r="Z148" s="188">
        <f t="shared" si="65"/>
        <v>0</v>
      </c>
      <c r="AA148" s="189">
        <f t="shared" si="66"/>
        <v>0</v>
      </c>
      <c r="AB148" s="185">
        <f t="shared" si="67"/>
        <v>1.4</v>
      </c>
      <c r="AC148" s="104">
        <f t="shared" si="79"/>
        <v>175200</v>
      </c>
      <c r="AD148" s="187">
        <f t="shared" si="68"/>
        <v>48.870291504000001</v>
      </c>
      <c r="AE148" s="188">
        <f t="shared" si="69"/>
        <v>0</v>
      </c>
      <c r="AF148" s="189">
        <f t="shared" si="70"/>
        <v>0</v>
      </c>
      <c r="AG148" s="185">
        <f t="shared" si="71"/>
        <v>6</v>
      </c>
      <c r="AH148" s="104">
        <f t="shared" si="80"/>
        <v>245900</v>
      </c>
      <c r="AI148" s="187">
        <f t="shared" si="72"/>
        <v>68.591350918000003</v>
      </c>
      <c r="AJ148" s="188">
        <f t="shared" si="73"/>
        <v>0</v>
      </c>
      <c r="AK148" s="189">
        <f t="shared" si="74"/>
        <v>0</v>
      </c>
      <c r="AL148" s="185">
        <f t="shared" si="75"/>
        <v>6.0151663405088058</v>
      </c>
      <c r="AM148" s="6" t="str">
        <f t="shared" si="81"/>
        <v>30% Off SL / Annual</v>
      </c>
      <c r="AN148" s="6" t="str">
        <f t="shared" si="82"/>
        <v>Messaging Only</v>
      </c>
      <c r="AO148" s="6" t="str">
        <f t="shared" si="76"/>
        <v>Messaging / Pause Flow</v>
      </c>
      <c r="AP148" s="6" t="str">
        <f t="shared" si="83"/>
        <v>50% Off LPP Only</v>
      </c>
    </row>
    <row r="149" spans="2:42" ht="13">
      <c r="B149" s="20" t="s">
        <v>218</v>
      </c>
      <c r="C149" s="20" t="s">
        <v>100</v>
      </c>
      <c r="D149" s="6"/>
      <c r="E149" s="6" t="str">
        <f>IF(VLOOKUP(B149,'[7]FY25 PRICING'!$B$5:$AL$246,'[7]FY25 PRICING'!$E$1,FALSE)=0,"","x")</f>
        <v/>
      </c>
      <c r="F149" s="11" t="str">
        <f>+VLOOKUP($B149,'[1]INT Web'!$B$5:$AS$247,'[1]INT Web'!$Q$1,FALSE)</f>
        <v>EUR</v>
      </c>
      <c r="G149" s="22">
        <f>+VLOOKUP($B149,'[1]INT Web'!$B$5:$AS$247,'[1]INT Web'!$U$1,FALSE)</f>
        <v>9.99</v>
      </c>
      <c r="H149" s="22">
        <f>+VLOOKUP($B149,'[1]INT Web'!$B$5:$AS$247,'[1]INT Web'!$S$1,FALSE)</f>
        <v>12.99</v>
      </c>
      <c r="I149" s="22">
        <f>+VLOOKUP($B149,'[1]INT Web'!$B$5:$AS$247,'[1]INT Web'!$T$1,FALSE)</f>
        <v>59.99</v>
      </c>
      <c r="J149" s="22">
        <f>+VLOOKUP($B149,'[1]INT Web'!$B$5:$AS$247,'[1]INT Web'!$R$1,FALSE)</f>
        <v>79.989999999999995</v>
      </c>
      <c r="K149" s="185">
        <f t="shared" si="58"/>
        <v>6.005005005005005</v>
      </c>
      <c r="L149" s="185">
        <f t="shared" si="58"/>
        <v>6.157813702848344</v>
      </c>
      <c r="M149" s="185">
        <f t="shared" si="59"/>
        <v>1.3003003003003002</v>
      </c>
      <c r="N149" s="186">
        <v>1.1469499999999999</v>
      </c>
      <c r="O149" s="187">
        <f t="shared" si="60"/>
        <v>11.4580305</v>
      </c>
      <c r="P149" s="187">
        <f t="shared" si="60"/>
        <v>14.898880499999999</v>
      </c>
      <c r="Q149" s="187">
        <f t="shared" si="60"/>
        <v>68.805530500000003</v>
      </c>
      <c r="R149" s="187">
        <f t="shared" si="60"/>
        <v>91.744530499999982</v>
      </c>
      <c r="S149" s="6">
        <v>0</v>
      </c>
      <c r="T149" s="104">
        <f t="shared" si="77"/>
        <v>9.99</v>
      </c>
      <c r="U149" s="187">
        <f t="shared" si="61"/>
        <v>11.4580305</v>
      </c>
      <c r="V149" s="188">
        <f t="shared" si="62"/>
        <v>0</v>
      </c>
      <c r="W149" s="189">
        <f t="shared" si="63"/>
        <v>0</v>
      </c>
      <c r="X149" s="104">
        <f t="shared" si="78"/>
        <v>12.99</v>
      </c>
      <c r="Y149" s="187">
        <f t="shared" si="64"/>
        <v>14.898880499999999</v>
      </c>
      <c r="Z149" s="188">
        <f t="shared" si="65"/>
        <v>0</v>
      </c>
      <c r="AA149" s="189">
        <f t="shared" si="66"/>
        <v>0</v>
      </c>
      <c r="AB149" s="185">
        <f t="shared" si="67"/>
        <v>1.3003003003003002</v>
      </c>
      <c r="AC149" s="104">
        <f t="shared" si="79"/>
        <v>59.99</v>
      </c>
      <c r="AD149" s="187">
        <f t="shared" si="68"/>
        <v>68.805530500000003</v>
      </c>
      <c r="AE149" s="188">
        <f t="shared" si="69"/>
        <v>0</v>
      </c>
      <c r="AF149" s="189">
        <f t="shared" si="70"/>
        <v>0</v>
      </c>
      <c r="AG149" s="185">
        <f t="shared" si="71"/>
        <v>6.005005005005005</v>
      </c>
      <c r="AH149" s="104">
        <f t="shared" si="80"/>
        <v>79.989999999999995</v>
      </c>
      <c r="AI149" s="187">
        <f t="shared" si="72"/>
        <v>91.744530499999982</v>
      </c>
      <c r="AJ149" s="188">
        <f t="shared" si="73"/>
        <v>0</v>
      </c>
      <c r="AK149" s="189">
        <f t="shared" si="74"/>
        <v>0</v>
      </c>
      <c r="AL149" s="185">
        <f t="shared" si="75"/>
        <v>6.157813702848344</v>
      </c>
      <c r="AM149" s="6" t="str">
        <f t="shared" si="81"/>
        <v>30% Off SL / Annual</v>
      </c>
      <c r="AN149" s="6" t="str">
        <f t="shared" si="82"/>
        <v>15% Off All SKUs</v>
      </c>
      <c r="AO149" s="6" t="str">
        <f t="shared" si="76"/>
        <v>Monthly: 100% Off Next Month</v>
      </c>
      <c r="AP149" s="6" t="str">
        <f t="shared" si="83"/>
        <v>50% Off SL / Annual</v>
      </c>
    </row>
    <row r="150" spans="2:42" ht="13">
      <c r="B150" s="20" t="s">
        <v>219</v>
      </c>
      <c r="C150" s="20" t="s">
        <v>96</v>
      </c>
      <c r="D150" s="6"/>
      <c r="E150" s="6" t="str">
        <f>IF(VLOOKUP(B150,'[7]FY25 PRICING'!$B$5:$AL$246,'[7]FY25 PRICING'!$E$1,FALSE)=0,"","x")</f>
        <v/>
      </c>
      <c r="F150" s="11" t="str">
        <f>+VLOOKUP($B150,'[1]INT Web'!$B$5:$AS$247,'[1]INT Web'!$Q$1,FALSE)</f>
        <v>XCD</v>
      </c>
      <c r="G150" s="22">
        <f>+VLOOKUP($B150,'[1]INT Web'!$B$5:$AS$247,'[1]INT Web'!$U$1,FALSE)</f>
        <v>32.99</v>
      </c>
      <c r="H150" s="22">
        <f>+VLOOKUP($B150,'[1]INT Web'!$B$5:$AS$247,'[1]INT Web'!$S$1,FALSE)</f>
        <v>44.99</v>
      </c>
      <c r="I150" s="22">
        <f>+VLOOKUP($B150,'[1]INT Web'!$B$5:$AS$247,'[1]INT Web'!$T$1,FALSE)</f>
        <v>197.99</v>
      </c>
      <c r="J150" s="22">
        <f>+VLOOKUP($B150,'[1]INT Web'!$B$5:$AS$247,'[1]INT Web'!$R$1,FALSE)</f>
        <v>269.99</v>
      </c>
      <c r="K150" s="185">
        <f t="shared" si="58"/>
        <v>6.0015156107911487</v>
      </c>
      <c r="L150" s="185">
        <f t="shared" si="58"/>
        <v>6.001111358079573</v>
      </c>
      <c r="M150" s="185">
        <f t="shared" si="59"/>
        <v>1.36374658987572</v>
      </c>
      <c r="N150" s="186">
        <v>0.37037036000000001</v>
      </c>
      <c r="O150" s="187">
        <f t="shared" si="60"/>
        <v>12.218518176400002</v>
      </c>
      <c r="P150" s="187">
        <f t="shared" si="60"/>
        <v>16.662962496400002</v>
      </c>
      <c r="Q150" s="187">
        <f t="shared" si="60"/>
        <v>73.3296275764</v>
      </c>
      <c r="R150" s="187">
        <f t="shared" si="60"/>
        <v>99.9962934964</v>
      </c>
      <c r="S150" s="6">
        <v>0</v>
      </c>
      <c r="T150" s="104">
        <f t="shared" si="77"/>
        <v>32.99</v>
      </c>
      <c r="U150" s="187">
        <f t="shared" si="61"/>
        <v>12.218518176400002</v>
      </c>
      <c r="V150" s="188">
        <f t="shared" si="62"/>
        <v>0</v>
      </c>
      <c r="W150" s="189">
        <f t="shared" si="63"/>
        <v>0</v>
      </c>
      <c r="X150" s="104">
        <f t="shared" si="78"/>
        <v>44.99</v>
      </c>
      <c r="Y150" s="187">
        <f t="shared" si="64"/>
        <v>16.662962496400002</v>
      </c>
      <c r="Z150" s="188">
        <f t="shared" si="65"/>
        <v>0</v>
      </c>
      <c r="AA150" s="189">
        <f t="shared" si="66"/>
        <v>0</v>
      </c>
      <c r="AB150" s="185">
        <f t="shared" si="67"/>
        <v>1.36374658987572</v>
      </c>
      <c r="AC150" s="104">
        <f t="shared" si="79"/>
        <v>197.99</v>
      </c>
      <c r="AD150" s="187">
        <f t="shared" si="68"/>
        <v>73.3296275764</v>
      </c>
      <c r="AE150" s="188">
        <f t="shared" si="69"/>
        <v>0</v>
      </c>
      <c r="AF150" s="189">
        <f t="shared" si="70"/>
        <v>0</v>
      </c>
      <c r="AG150" s="185">
        <f t="shared" si="71"/>
        <v>6.0015156107911487</v>
      </c>
      <c r="AH150" s="104">
        <f t="shared" si="80"/>
        <v>269.99</v>
      </c>
      <c r="AI150" s="187">
        <f t="shared" si="72"/>
        <v>99.9962934964</v>
      </c>
      <c r="AJ150" s="188">
        <f t="shared" si="73"/>
        <v>0</v>
      </c>
      <c r="AK150" s="189">
        <f t="shared" si="74"/>
        <v>0</v>
      </c>
      <c r="AL150" s="185">
        <f t="shared" si="75"/>
        <v>6.001111358079573</v>
      </c>
      <c r="AM150" s="6" t="str">
        <f t="shared" si="81"/>
        <v>30% Off SL / Annual</v>
      </c>
      <c r="AN150" s="6" t="str">
        <f t="shared" si="82"/>
        <v>15% Off All SKUs</v>
      </c>
      <c r="AO150" s="6" t="str">
        <f t="shared" si="76"/>
        <v>Monthly: 100% Off Next Month</v>
      </c>
      <c r="AP150" s="6" t="str">
        <f t="shared" si="83"/>
        <v>50% Off SL / Annual</v>
      </c>
    </row>
    <row r="151" spans="2:42" ht="13">
      <c r="B151" s="20" t="s">
        <v>220</v>
      </c>
      <c r="C151" s="20" t="s">
        <v>270</v>
      </c>
      <c r="D151" s="6"/>
      <c r="E151" s="6" t="str">
        <f>IF(VLOOKUP(B151,'[7]FY25 PRICING'!$B$5:$AL$246,'[7]FY25 PRICING'!$E$1,FALSE)=0,"","x")</f>
        <v/>
      </c>
      <c r="F151" s="11" t="str">
        <f>+VLOOKUP($B151,'[1]INT Web'!$B$5:$AS$247,'[1]INT Web'!$Q$1,FALSE)</f>
        <v>MAD</v>
      </c>
      <c r="G151" s="22">
        <f>+VLOOKUP($B151,'[1]INT Web'!$B$5:$AS$247,'[1]INT Web'!$U$1,FALSE)</f>
        <v>90</v>
      </c>
      <c r="H151" s="22">
        <f>+VLOOKUP($B151,'[1]INT Web'!$B$5:$AS$247,'[1]INT Web'!$S$1,FALSE)</f>
        <v>120</v>
      </c>
      <c r="I151" s="22">
        <f>+VLOOKUP($B151,'[1]INT Web'!$B$5:$AS$247,'[1]INT Web'!$T$1,FALSE)</f>
        <v>540</v>
      </c>
      <c r="J151" s="22">
        <f>+VLOOKUP($B151,'[1]INT Web'!$B$5:$AS$247,'[1]INT Web'!$R$1,FALSE)</f>
        <v>720</v>
      </c>
      <c r="K151" s="185">
        <f t="shared" si="58"/>
        <v>6</v>
      </c>
      <c r="L151" s="185">
        <f t="shared" si="58"/>
        <v>6</v>
      </c>
      <c r="M151" s="185">
        <f t="shared" si="59"/>
        <v>1.3333333333333333</v>
      </c>
      <c r="N151" s="186">
        <v>0.10731859000000001</v>
      </c>
      <c r="O151" s="187">
        <f t="shared" si="60"/>
        <v>9.6586730999999997</v>
      </c>
      <c r="P151" s="187">
        <f t="shared" si="60"/>
        <v>12.878230800000001</v>
      </c>
      <c r="Q151" s="187">
        <f t="shared" si="60"/>
        <v>57.952038600000002</v>
      </c>
      <c r="R151" s="187">
        <f t="shared" si="60"/>
        <v>77.269384799999997</v>
      </c>
      <c r="S151" s="132" t="s">
        <v>486</v>
      </c>
      <c r="T151" s="104">
        <f t="shared" si="77"/>
        <v>90</v>
      </c>
      <c r="U151" s="187">
        <f t="shared" si="61"/>
        <v>9.6586730999999997</v>
      </c>
      <c r="V151" s="188">
        <f t="shared" si="62"/>
        <v>0</v>
      </c>
      <c r="W151" s="189">
        <f t="shared" si="63"/>
        <v>0</v>
      </c>
      <c r="X151" s="104">
        <f t="shared" si="78"/>
        <v>120</v>
      </c>
      <c r="Y151" s="187">
        <f t="shared" si="64"/>
        <v>12.878230800000001</v>
      </c>
      <c r="Z151" s="188">
        <f t="shared" si="65"/>
        <v>0</v>
      </c>
      <c r="AA151" s="189">
        <f t="shared" si="66"/>
        <v>0</v>
      </c>
      <c r="AB151" s="185">
        <f t="shared" si="67"/>
        <v>1.3333333333333333</v>
      </c>
      <c r="AC151" s="104">
        <f t="shared" si="79"/>
        <v>540</v>
      </c>
      <c r="AD151" s="187">
        <f t="shared" si="68"/>
        <v>57.952038600000002</v>
      </c>
      <c r="AE151" s="188">
        <f t="shared" si="69"/>
        <v>0</v>
      </c>
      <c r="AF151" s="189">
        <f t="shared" si="70"/>
        <v>0</v>
      </c>
      <c r="AG151" s="185">
        <f t="shared" si="71"/>
        <v>6</v>
      </c>
      <c r="AH151" s="104">
        <f t="shared" si="80"/>
        <v>720</v>
      </c>
      <c r="AI151" s="187">
        <f t="shared" si="72"/>
        <v>77.269384799999997</v>
      </c>
      <c r="AJ151" s="188">
        <f t="shared" si="73"/>
        <v>0</v>
      </c>
      <c r="AK151" s="189">
        <f t="shared" si="74"/>
        <v>0</v>
      </c>
      <c r="AL151" s="185">
        <f t="shared" si="75"/>
        <v>6</v>
      </c>
      <c r="AM151" s="6" t="str">
        <f t="shared" si="81"/>
        <v>30% Off SL / Annual</v>
      </c>
      <c r="AN151" s="6" t="str">
        <f t="shared" si="82"/>
        <v>Messaging Only</v>
      </c>
      <c r="AO151" s="6" t="str">
        <f t="shared" si="76"/>
        <v>Messaging / Pause Flow</v>
      </c>
      <c r="AP151" s="6" t="str">
        <f t="shared" si="83"/>
        <v>50% Off SL / Annual</v>
      </c>
    </row>
    <row r="152" spans="2:42" ht="13">
      <c r="B152" s="20" t="s">
        <v>221</v>
      </c>
      <c r="C152" s="20" t="s">
        <v>270</v>
      </c>
      <c r="D152" s="6"/>
      <c r="E152" s="6" t="str">
        <f>IF(VLOOKUP(B152,'[7]FY25 PRICING'!$B$5:$AL$246,'[7]FY25 PRICING'!$E$1,FALSE)=0,"","x")</f>
        <v/>
      </c>
      <c r="F152" s="11" t="str">
        <f>+VLOOKUP($B152,'[1]INT Web'!$B$5:$AS$247,'[1]INT Web'!$Q$1,FALSE)</f>
        <v>USD</v>
      </c>
      <c r="G152" s="22">
        <f>+VLOOKUP($B152,'[1]INT Web'!$B$5:$AS$247,'[1]INT Web'!$U$1,FALSE)</f>
        <v>8.99</v>
      </c>
      <c r="H152" s="22">
        <f>+VLOOKUP($B152,'[1]INT Web'!$B$5:$AS$247,'[1]INT Web'!$S$1,FALSE)</f>
        <v>11.99</v>
      </c>
      <c r="I152" s="22">
        <f>+VLOOKUP($B152,'[1]INT Web'!$B$5:$AS$247,'[1]INT Web'!$T$1,FALSE)</f>
        <v>53.99</v>
      </c>
      <c r="J152" s="22">
        <f>+VLOOKUP($B152,'[1]INT Web'!$B$5:$AS$247,'[1]INT Web'!$R$1,FALSE)</f>
        <v>71.989999999999995</v>
      </c>
      <c r="K152" s="185">
        <f t="shared" si="58"/>
        <v>6.0055617352614012</v>
      </c>
      <c r="L152" s="185">
        <f t="shared" si="58"/>
        <v>6.0041701417848206</v>
      </c>
      <c r="M152" s="185">
        <f t="shared" si="59"/>
        <v>1.3337041156840934</v>
      </c>
      <c r="N152" s="186">
        <v>1</v>
      </c>
      <c r="O152" s="187">
        <f t="shared" si="60"/>
        <v>8.99</v>
      </c>
      <c r="P152" s="187">
        <f t="shared" si="60"/>
        <v>11.99</v>
      </c>
      <c r="Q152" s="187">
        <f t="shared" si="60"/>
        <v>53.99</v>
      </c>
      <c r="R152" s="187">
        <f t="shared" si="60"/>
        <v>71.989999999999995</v>
      </c>
      <c r="S152" s="6">
        <v>0</v>
      </c>
      <c r="T152" s="104">
        <f t="shared" si="77"/>
        <v>8.99</v>
      </c>
      <c r="U152" s="187">
        <f t="shared" si="61"/>
        <v>8.99</v>
      </c>
      <c r="V152" s="188">
        <f t="shared" si="62"/>
        <v>0</v>
      </c>
      <c r="W152" s="189">
        <f t="shared" si="63"/>
        <v>0</v>
      </c>
      <c r="X152" s="104">
        <f t="shared" si="78"/>
        <v>11.99</v>
      </c>
      <c r="Y152" s="187">
        <f t="shared" si="64"/>
        <v>11.99</v>
      </c>
      <c r="Z152" s="188">
        <f t="shared" si="65"/>
        <v>0</v>
      </c>
      <c r="AA152" s="189">
        <f t="shared" si="66"/>
        <v>0</v>
      </c>
      <c r="AB152" s="185">
        <f t="shared" si="67"/>
        <v>1.3337041156840934</v>
      </c>
      <c r="AC152" s="104">
        <f t="shared" si="79"/>
        <v>53.99</v>
      </c>
      <c r="AD152" s="187">
        <f t="shared" si="68"/>
        <v>53.99</v>
      </c>
      <c r="AE152" s="188">
        <f t="shared" si="69"/>
        <v>0</v>
      </c>
      <c r="AF152" s="189">
        <f t="shared" si="70"/>
        <v>0</v>
      </c>
      <c r="AG152" s="185">
        <f t="shared" si="71"/>
        <v>6.0055617352614012</v>
      </c>
      <c r="AH152" s="104">
        <f t="shared" si="80"/>
        <v>71.989999999999995</v>
      </c>
      <c r="AI152" s="187">
        <f t="shared" si="72"/>
        <v>71.989999999999995</v>
      </c>
      <c r="AJ152" s="188">
        <f t="shared" si="73"/>
        <v>0</v>
      </c>
      <c r="AK152" s="189">
        <f t="shared" si="74"/>
        <v>0</v>
      </c>
      <c r="AL152" s="185">
        <f t="shared" si="75"/>
        <v>6.0041701417848206</v>
      </c>
      <c r="AM152" s="6" t="str">
        <f t="shared" si="81"/>
        <v>30% Off SL / Annual</v>
      </c>
      <c r="AN152" s="6" t="str">
        <f t="shared" si="82"/>
        <v>15% Off All SKUs</v>
      </c>
      <c r="AO152" s="6" t="str">
        <f t="shared" si="76"/>
        <v>Monthly: 100% Off Next Month</v>
      </c>
      <c r="AP152" s="6" t="str">
        <f t="shared" si="83"/>
        <v>50% Off SL / Annual</v>
      </c>
    </row>
    <row r="153" spans="2:42" ht="13">
      <c r="B153" s="20" t="s">
        <v>222</v>
      </c>
      <c r="C153" s="20" t="s">
        <v>182</v>
      </c>
      <c r="D153" s="6"/>
      <c r="E153" s="6" t="str">
        <f>IF(VLOOKUP(B153,'[7]FY25 PRICING'!$B$5:$AL$246,'[7]FY25 PRICING'!$E$1,FALSE)=0,"","x")</f>
        <v/>
      </c>
      <c r="F153" s="11" t="str">
        <f>+VLOOKUP($B153,'[1]INT Web'!$B$5:$AS$247,'[1]INT Web'!$Q$1,FALSE)</f>
        <v>MMK</v>
      </c>
      <c r="G153" s="22">
        <f>+VLOOKUP($B153,'[1]INT Web'!$B$5:$AS$247,'[1]INT Web'!$U$1,FALSE)</f>
        <v>16000</v>
      </c>
      <c r="H153" s="22">
        <f>+VLOOKUP($B153,'[1]INT Web'!$B$5:$AS$247,'[1]INT Web'!$S$1,FALSE)</f>
        <v>21600</v>
      </c>
      <c r="I153" s="22">
        <f>+VLOOKUP($B153,'[1]INT Web'!$B$5:$AS$247,'[1]INT Web'!$T$1,FALSE)</f>
        <v>96000</v>
      </c>
      <c r="J153" s="22">
        <f>+VLOOKUP($B153,'[1]INT Web'!$B$5:$AS$247,'[1]INT Web'!$R$1,FALSE)</f>
        <v>129600</v>
      </c>
      <c r="K153" s="185">
        <f t="shared" si="58"/>
        <v>6</v>
      </c>
      <c r="L153" s="185">
        <f t="shared" si="58"/>
        <v>6</v>
      </c>
      <c r="M153" s="185">
        <f t="shared" si="59"/>
        <v>1.35</v>
      </c>
      <c r="N153" s="186">
        <v>4.7681062E-4</v>
      </c>
      <c r="O153" s="187">
        <f t="shared" si="60"/>
        <v>7.6289699200000003</v>
      </c>
      <c r="P153" s="187">
        <f t="shared" si="60"/>
        <v>10.299109392</v>
      </c>
      <c r="Q153" s="187">
        <f t="shared" si="60"/>
        <v>45.773819519999996</v>
      </c>
      <c r="R153" s="187">
        <f t="shared" si="60"/>
        <v>61.794656351999997</v>
      </c>
      <c r="S153" s="6">
        <v>0</v>
      </c>
      <c r="T153" s="104">
        <f t="shared" si="77"/>
        <v>16000</v>
      </c>
      <c r="U153" s="187">
        <f t="shared" si="61"/>
        <v>7.6289699200000003</v>
      </c>
      <c r="V153" s="188">
        <f t="shared" si="62"/>
        <v>0</v>
      </c>
      <c r="W153" s="189">
        <f t="shared" si="63"/>
        <v>0</v>
      </c>
      <c r="X153" s="104">
        <f t="shared" si="78"/>
        <v>21600</v>
      </c>
      <c r="Y153" s="187">
        <f t="shared" si="64"/>
        <v>10.299109392</v>
      </c>
      <c r="Z153" s="188">
        <f t="shared" si="65"/>
        <v>0</v>
      </c>
      <c r="AA153" s="189">
        <f t="shared" si="66"/>
        <v>0</v>
      </c>
      <c r="AB153" s="185">
        <f t="shared" si="67"/>
        <v>1.35</v>
      </c>
      <c r="AC153" s="104">
        <f t="shared" si="79"/>
        <v>96000</v>
      </c>
      <c r="AD153" s="187">
        <f t="shared" si="68"/>
        <v>45.773819519999996</v>
      </c>
      <c r="AE153" s="188">
        <f t="shared" si="69"/>
        <v>0</v>
      </c>
      <c r="AF153" s="189">
        <f t="shared" si="70"/>
        <v>0</v>
      </c>
      <c r="AG153" s="185">
        <f t="shared" si="71"/>
        <v>6</v>
      </c>
      <c r="AH153" s="104">
        <f t="shared" si="80"/>
        <v>129600</v>
      </c>
      <c r="AI153" s="187">
        <f t="shared" si="72"/>
        <v>61.794656351999997</v>
      </c>
      <c r="AJ153" s="188">
        <f t="shared" si="73"/>
        <v>0</v>
      </c>
      <c r="AK153" s="189">
        <f t="shared" si="74"/>
        <v>0</v>
      </c>
      <c r="AL153" s="185">
        <f t="shared" si="75"/>
        <v>6</v>
      </c>
      <c r="AM153" s="6" t="str">
        <f t="shared" si="81"/>
        <v>30% Off SL / Annual</v>
      </c>
      <c r="AN153" s="6" t="str">
        <f t="shared" si="82"/>
        <v>15% Off All SKUs</v>
      </c>
      <c r="AO153" s="6" t="str">
        <f t="shared" si="76"/>
        <v>Monthly: 100% Off Next Month</v>
      </c>
      <c r="AP153" s="6" t="str">
        <f t="shared" si="83"/>
        <v>50% Off SL / Annual</v>
      </c>
    </row>
    <row r="154" spans="2:42" ht="13">
      <c r="B154" s="20" t="s">
        <v>223</v>
      </c>
      <c r="C154" s="20" t="s">
        <v>270</v>
      </c>
      <c r="D154" s="6"/>
      <c r="E154" s="6" t="str">
        <f>IF(VLOOKUP(B154,'[7]FY25 PRICING'!$B$5:$AL$246,'[7]FY25 PRICING'!$E$1,FALSE)=0,"","x")</f>
        <v/>
      </c>
      <c r="F154" s="11" t="str">
        <f>+VLOOKUP($B154,'[1]INT Web'!$B$5:$AS$247,'[1]INT Web'!$Q$1,FALSE)</f>
        <v>NAD</v>
      </c>
      <c r="G154" s="22">
        <f>+VLOOKUP($B154,'[1]INT Web'!$B$5:$AS$247,'[1]INT Web'!$U$1,FALSE)</f>
        <v>104.99</v>
      </c>
      <c r="H154" s="22">
        <f>+VLOOKUP($B154,'[1]INT Web'!$B$5:$AS$247,'[1]INT Web'!$S$1,FALSE)</f>
        <v>141.99</v>
      </c>
      <c r="I154" s="22">
        <f>+VLOOKUP($B154,'[1]INT Web'!$B$5:$AS$247,'[1]INT Web'!$T$1,FALSE)</f>
        <v>629.99</v>
      </c>
      <c r="J154" s="22">
        <f>+VLOOKUP($B154,'[1]INT Web'!$B$5:$AS$247,'[1]INT Web'!$R$1,FALSE)</f>
        <v>851.99</v>
      </c>
      <c r="K154" s="185">
        <f t="shared" si="58"/>
        <v>6.0004762358319841</v>
      </c>
      <c r="L154" s="185">
        <f t="shared" si="58"/>
        <v>6.0003521374744695</v>
      </c>
      <c r="M154" s="185">
        <f t="shared" si="59"/>
        <v>1.3524145156681591</v>
      </c>
      <c r="N154" s="186">
        <v>6.0781040000000001E-2</v>
      </c>
      <c r="O154" s="187">
        <f t="shared" si="60"/>
        <v>6.3814013895999997</v>
      </c>
      <c r="P154" s="187">
        <f t="shared" si="60"/>
        <v>8.6302998696</v>
      </c>
      <c r="Q154" s="187">
        <f t="shared" si="60"/>
        <v>38.291447389600002</v>
      </c>
      <c r="R154" s="187">
        <f t="shared" si="60"/>
        <v>51.784838269600002</v>
      </c>
      <c r="S154" s="6">
        <v>0</v>
      </c>
      <c r="T154" s="104">
        <f t="shared" si="77"/>
        <v>104.99</v>
      </c>
      <c r="U154" s="187">
        <f t="shared" si="61"/>
        <v>6.3814013895999997</v>
      </c>
      <c r="V154" s="188">
        <f t="shared" si="62"/>
        <v>0</v>
      </c>
      <c r="W154" s="189">
        <f t="shared" si="63"/>
        <v>0</v>
      </c>
      <c r="X154" s="104">
        <f t="shared" si="78"/>
        <v>141.99</v>
      </c>
      <c r="Y154" s="187">
        <f t="shared" si="64"/>
        <v>8.6302998696</v>
      </c>
      <c r="Z154" s="188">
        <f t="shared" si="65"/>
        <v>0</v>
      </c>
      <c r="AA154" s="189">
        <f t="shared" si="66"/>
        <v>0</v>
      </c>
      <c r="AB154" s="185">
        <f t="shared" si="67"/>
        <v>1.3524145156681591</v>
      </c>
      <c r="AC154" s="104">
        <f t="shared" si="79"/>
        <v>629.99</v>
      </c>
      <c r="AD154" s="187">
        <f t="shared" si="68"/>
        <v>38.291447389600002</v>
      </c>
      <c r="AE154" s="188">
        <f t="shared" si="69"/>
        <v>0</v>
      </c>
      <c r="AF154" s="189">
        <f t="shared" si="70"/>
        <v>0</v>
      </c>
      <c r="AG154" s="185">
        <f t="shared" si="71"/>
        <v>6.0004762358319841</v>
      </c>
      <c r="AH154" s="104">
        <f t="shared" si="80"/>
        <v>851.99</v>
      </c>
      <c r="AI154" s="187">
        <f t="shared" si="72"/>
        <v>51.784838269600002</v>
      </c>
      <c r="AJ154" s="188">
        <f t="shared" si="73"/>
        <v>0</v>
      </c>
      <c r="AK154" s="189">
        <f t="shared" si="74"/>
        <v>0</v>
      </c>
      <c r="AL154" s="185">
        <f t="shared" si="75"/>
        <v>6.0003521374744695</v>
      </c>
      <c r="AM154" s="6" t="str">
        <f t="shared" si="81"/>
        <v>30% Off SL / Annual</v>
      </c>
      <c r="AN154" s="6" t="str">
        <f t="shared" si="82"/>
        <v>15% Off All SKUs</v>
      </c>
      <c r="AO154" s="6" t="str">
        <f t="shared" si="76"/>
        <v>Monthly: 100% Off Next Month</v>
      </c>
      <c r="AP154" s="6" t="str">
        <f t="shared" si="83"/>
        <v>50% Off SL / Annual</v>
      </c>
    </row>
    <row r="155" spans="2:42" ht="13">
      <c r="B155" s="20" t="s">
        <v>224</v>
      </c>
      <c r="C155" s="20" t="s">
        <v>182</v>
      </c>
      <c r="D155" s="6"/>
      <c r="E155" s="6" t="str">
        <f>IF(VLOOKUP(B155,'[7]FY25 PRICING'!$B$5:$AL$246,'[7]FY25 PRICING'!$E$1,FALSE)=0,"","x")</f>
        <v/>
      </c>
      <c r="F155" s="11" t="str">
        <f>+VLOOKUP($B155,'[1]INT Web'!$B$5:$AS$247,'[1]INT Web'!$Q$1,FALSE)</f>
        <v>AUD</v>
      </c>
      <c r="G155" s="22">
        <f>+VLOOKUP($B155,'[1]INT Web'!$B$5:$AS$247,'[1]INT Web'!$U$1,FALSE)</f>
        <v>12.99</v>
      </c>
      <c r="H155" s="22">
        <f>+VLOOKUP($B155,'[1]INT Web'!$B$5:$AS$247,'[1]INT Web'!$S$1,FALSE)</f>
        <v>17.989999999999998</v>
      </c>
      <c r="I155" s="22">
        <f>+VLOOKUP($B155,'[1]INT Web'!$B$5:$AS$247,'[1]INT Web'!$T$1,FALSE)</f>
        <v>77.989999999999995</v>
      </c>
      <c r="J155" s="22">
        <f>+VLOOKUP($B155,'[1]INT Web'!$B$5:$AS$247,'[1]INT Web'!$R$1,FALSE)</f>
        <v>107.99</v>
      </c>
      <c r="K155" s="185">
        <f t="shared" si="58"/>
        <v>6.0038491147036179</v>
      </c>
      <c r="L155" s="185">
        <f t="shared" si="58"/>
        <v>6.0027793218454697</v>
      </c>
      <c r="M155" s="185">
        <f t="shared" si="59"/>
        <v>1.3849114703618166</v>
      </c>
      <c r="N155" s="186">
        <v>0.70125000000000004</v>
      </c>
      <c r="O155" s="187">
        <f t="shared" si="60"/>
        <v>9.1092375000000008</v>
      </c>
      <c r="P155" s="187">
        <f t="shared" si="60"/>
        <v>12.6154875</v>
      </c>
      <c r="Q155" s="187">
        <f t="shared" si="60"/>
        <v>54.690487499999996</v>
      </c>
      <c r="R155" s="187">
        <f t="shared" si="60"/>
        <v>75.727987499999998</v>
      </c>
      <c r="S155" s="6">
        <v>0</v>
      </c>
      <c r="T155" s="104">
        <f t="shared" si="77"/>
        <v>12.99</v>
      </c>
      <c r="U155" s="187">
        <f t="shared" si="61"/>
        <v>9.1092375000000008</v>
      </c>
      <c r="V155" s="188">
        <f t="shared" si="62"/>
        <v>0</v>
      </c>
      <c r="W155" s="189">
        <f t="shared" si="63"/>
        <v>0</v>
      </c>
      <c r="X155" s="104">
        <f t="shared" si="78"/>
        <v>17.989999999999998</v>
      </c>
      <c r="Y155" s="187">
        <f t="shared" si="64"/>
        <v>12.6154875</v>
      </c>
      <c r="Z155" s="188">
        <f t="shared" si="65"/>
        <v>0</v>
      </c>
      <c r="AA155" s="189">
        <f t="shared" si="66"/>
        <v>0</v>
      </c>
      <c r="AB155" s="185">
        <f t="shared" si="67"/>
        <v>1.3849114703618166</v>
      </c>
      <c r="AC155" s="104">
        <f t="shared" si="79"/>
        <v>77.989999999999995</v>
      </c>
      <c r="AD155" s="187">
        <f t="shared" si="68"/>
        <v>54.690487499999996</v>
      </c>
      <c r="AE155" s="188">
        <f t="shared" si="69"/>
        <v>0</v>
      </c>
      <c r="AF155" s="189">
        <f t="shared" si="70"/>
        <v>0</v>
      </c>
      <c r="AG155" s="185">
        <f t="shared" si="71"/>
        <v>6.0038491147036179</v>
      </c>
      <c r="AH155" s="104">
        <f t="shared" si="80"/>
        <v>107.99</v>
      </c>
      <c r="AI155" s="187">
        <f t="shared" si="72"/>
        <v>75.727987499999998</v>
      </c>
      <c r="AJ155" s="188">
        <f t="shared" si="73"/>
        <v>0</v>
      </c>
      <c r="AK155" s="189">
        <f t="shared" si="74"/>
        <v>0</v>
      </c>
      <c r="AL155" s="185">
        <f t="shared" si="75"/>
        <v>6.0027793218454697</v>
      </c>
      <c r="AM155" s="6" t="str">
        <f t="shared" si="81"/>
        <v>30% Off SL / Annual</v>
      </c>
      <c r="AN155" s="6" t="str">
        <f t="shared" si="82"/>
        <v>15% Off All SKUs</v>
      </c>
      <c r="AO155" s="6" t="str">
        <f t="shared" si="76"/>
        <v>Monthly: 100% Off Next Month</v>
      </c>
      <c r="AP155" s="6" t="str">
        <f t="shared" si="83"/>
        <v>50% Off SL / Annual</v>
      </c>
    </row>
    <row r="156" spans="2:42" ht="13">
      <c r="B156" s="20" t="s">
        <v>225</v>
      </c>
      <c r="C156" s="20" t="s">
        <v>182</v>
      </c>
      <c r="D156" s="6"/>
      <c r="E156" s="6" t="str">
        <f>IF(VLOOKUP(B156,'[7]FY25 PRICING'!$B$5:$AL$246,'[7]FY25 PRICING'!$E$1,FALSE)=0,"","x")</f>
        <v/>
      </c>
      <c r="F156" s="11" t="str">
        <f>+VLOOKUP($B156,'[1]INT Web'!$B$5:$AS$247,'[1]INT Web'!$Q$1,FALSE)</f>
        <v>NPR</v>
      </c>
      <c r="G156" s="22">
        <f>+VLOOKUP($B156,'[1]INT Web'!$B$5:$AS$247,'[1]INT Web'!$U$1,FALSE)</f>
        <v>1199.99</v>
      </c>
      <c r="H156" s="22">
        <f>+VLOOKUP($B156,'[1]INT Web'!$B$5:$AS$247,'[1]INT Web'!$S$1,FALSE)</f>
        <v>1619.99</v>
      </c>
      <c r="I156" s="22">
        <f>+VLOOKUP($B156,'[1]INT Web'!$B$5:$AS$247,'[1]INT Web'!$T$1,FALSE)</f>
        <v>7199.99</v>
      </c>
      <c r="J156" s="22">
        <f>+VLOOKUP($B156,'[1]INT Web'!$B$5:$AS$247,'[1]INT Web'!$R$1,FALSE)</f>
        <v>9719.99</v>
      </c>
      <c r="K156" s="185">
        <f t="shared" si="58"/>
        <v>6.0000416670138916</v>
      </c>
      <c r="L156" s="185">
        <f t="shared" si="58"/>
        <v>6.0000308643880516</v>
      </c>
      <c r="M156" s="185">
        <f t="shared" si="59"/>
        <v>1.3500029166909724</v>
      </c>
      <c r="N156" s="186">
        <v>6.6251490000000003E-3</v>
      </c>
      <c r="O156" s="187">
        <f t="shared" si="60"/>
        <v>7.9501125485100008</v>
      </c>
      <c r="P156" s="187">
        <f t="shared" si="60"/>
        <v>10.732675128510001</v>
      </c>
      <c r="Q156" s="187">
        <f t="shared" si="60"/>
        <v>47.701006548510001</v>
      </c>
      <c r="R156" s="187">
        <f t="shared" si="60"/>
        <v>64.396382028510004</v>
      </c>
      <c r="S156" s="6">
        <v>0</v>
      </c>
      <c r="T156" s="104">
        <f t="shared" si="77"/>
        <v>1199.99</v>
      </c>
      <c r="U156" s="187">
        <f t="shared" si="61"/>
        <v>7.9501125485100008</v>
      </c>
      <c r="V156" s="188">
        <f t="shared" si="62"/>
        <v>0</v>
      </c>
      <c r="W156" s="189">
        <f t="shared" si="63"/>
        <v>0</v>
      </c>
      <c r="X156" s="104">
        <f t="shared" si="78"/>
        <v>1619.99</v>
      </c>
      <c r="Y156" s="187">
        <f t="shared" si="64"/>
        <v>10.732675128510001</v>
      </c>
      <c r="Z156" s="188">
        <f t="shared" si="65"/>
        <v>0</v>
      </c>
      <c r="AA156" s="189">
        <f t="shared" si="66"/>
        <v>0</v>
      </c>
      <c r="AB156" s="185">
        <f t="shared" si="67"/>
        <v>1.3500029166909724</v>
      </c>
      <c r="AC156" s="104">
        <f t="shared" si="79"/>
        <v>7199.99</v>
      </c>
      <c r="AD156" s="187">
        <f t="shared" si="68"/>
        <v>47.701006548510001</v>
      </c>
      <c r="AE156" s="188">
        <f t="shared" si="69"/>
        <v>0</v>
      </c>
      <c r="AF156" s="189">
        <f t="shared" si="70"/>
        <v>0</v>
      </c>
      <c r="AG156" s="185">
        <f t="shared" si="71"/>
        <v>6.0000416670138916</v>
      </c>
      <c r="AH156" s="104">
        <f t="shared" si="80"/>
        <v>9719.99</v>
      </c>
      <c r="AI156" s="187">
        <f t="shared" si="72"/>
        <v>64.396382028510004</v>
      </c>
      <c r="AJ156" s="188">
        <f t="shared" si="73"/>
        <v>0</v>
      </c>
      <c r="AK156" s="189">
        <f t="shared" si="74"/>
        <v>0</v>
      </c>
      <c r="AL156" s="185">
        <f t="shared" si="75"/>
        <v>6.0000308643880516</v>
      </c>
      <c r="AM156" s="6" t="str">
        <f t="shared" si="81"/>
        <v>30% Off SL / Annual</v>
      </c>
      <c r="AN156" s="6" t="str">
        <f t="shared" si="82"/>
        <v>15% Off All SKUs</v>
      </c>
      <c r="AO156" s="6" t="str">
        <f t="shared" si="76"/>
        <v>Monthly: 100% Off Next Month</v>
      </c>
      <c r="AP156" s="6" t="str">
        <f t="shared" si="83"/>
        <v>50% Off SL / Annual</v>
      </c>
    </row>
    <row r="157" spans="2:42" ht="13">
      <c r="B157" s="199" t="s">
        <v>226</v>
      </c>
      <c r="C157" s="199" t="s">
        <v>100</v>
      </c>
      <c r="D157" s="6" t="s">
        <v>480</v>
      </c>
      <c r="E157" s="6" t="s">
        <v>483</v>
      </c>
      <c r="F157" s="11" t="str">
        <f>+VLOOKUP($B157,'[1]INT Web'!$B$5:$AS$247,'[1]INT Web'!$Q$1,FALSE)</f>
        <v>EUR</v>
      </c>
      <c r="G157" s="136">
        <f>+VLOOKUP($B157,'[1]INT Web'!$B$5:$AS$247,'[1]INT Web'!$U$1,FALSE)</f>
        <v>16.989999999999998</v>
      </c>
      <c r="H157" s="136">
        <f>+VLOOKUP($B157,'[1]INT Web'!$B$5:$AS$247,'[1]INT Web'!$S$1,FALSE)</f>
        <v>22.99</v>
      </c>
      <c r="I157" s="22">
        <f>+VLOOKUP($B157,'[1]INT Web'!$B$5:$AS$247,'[1]INT Web'!$T$1,FALSE)</f>
        <v>109.99</v>
      </c>
      <c r="J157" s="22">
        <f>+VLOOKUP($B157,'[1]INT Web'!$B$5:$AS$247,'[1]INT Web'!$R$1,FALSE)</f>
        <v>149.99</v>
      </c>
      <c r="K157" s="185">
        <f t="shared" si="58"/>
        <v>6.4738081224249564</v>
      </c>
      <c r="L157" s="185">
        <f t="shared" si="58"/>
        <v>6.5241409308394962</v>
      </c>
      <c r="M157" s="185">
        <f t="shared" si="59"/>
        <v>1.3531489111241908</v>
      </c>
      <c r="N157" s="186">
        <v>1.1469499999999999</v>
      </c>
      <c r="O157" s="187">
        <f t="shared" si="60"/>
        <v>19.486680499999999</v>
      </c>
      <c r="P157" s="187">
        <f t="shared" si="60"/>
        <v>26.368380499999997</v>
      </c>
      <c r="Q157" s="187">
        <f t="shared" si="60"/>
        <v>126.15303049999999</v>
      </c>
      <c r="R157" s="187">
        <f t="shared" si="60"/>
        <v>172.03103049999999</v>
      </c>
      <c r="S157" s="132" t="s">
        <v>484</v>
      </c>
      <c r="T157" s="104">
        <f t="shared" si="77"/>
        <v>16.989999999999998</v>
      </c>
      <c r="U157" s="187">
        <f t="shared" si="61"/>
        <v>19.486680499999999</v>
      </c>
      <c r="V157" s="188">
        <f t="shared" si="62"/>
        <v>0</v>
      </c>
      <c r="W157" s="189">
        <f t="shared" si="63"/>
        <v>0</v>
      </c>
      <c r="X157" s="104">
        <f t="shared" si="78"/>
        <v>22.99</v>
      </c>
      <c r="Y157" s="187">
        <f t="shared" si="64"/>
        <v>26.368380499999997</v>
      </c>
      <c r="Z157" s="188">
        <f t="shared" si="65"/>
        <v>0</v>
      </c>
      <c r="AA157" s="189">
        <f t="shared" si="66"/>
        <v>0</v>
      </c>
      <c r="AB157" s="185">
        <f t="shared" si="67"/>
        <v>1.3531489111241908</v>
      </c>
      <c r="AC157" s="104">
        <f t="shared" si="79"/>
        <v>109.99</v>
      </c>
      <c r="AD157" s="187">
        <f t="shared" si="68"/>
        <v>126.15303049999999</v>
      </c>
      <c r="AE157" s="188">
        <f t="shared" si="69"/>
        <v>0</v>
      </c>
      <c r="AF157" s="189">
        <f t="shared" si="70"/>
        <v>0</v>
      </c>
      <c r="AG157" s="185">
        <f t="shared" si="71"/>
        <v>6.4738081224249564</v>
      </c>
      <c r="AH157" s="104">
        <f t="shared" si="80"/>
        <v>149.99</v>
      </c>
      <c r="AI157" s="187">
        <f t="shared" si="72"/>
        <v>172.03103049999999</v>
      </c>
      <c r="AJ157" s="188">
        <f t="shared" si="73"/>
        <v>0</v>
      </c>
      <c r="AK157" s="189">
        <f t="shared" si="74"/>
        <v>0</v>
      </c>
      <c r="AL157" s="185">
        <f t="shared" si="75"/>
        <v>6.5241409308394962</v>
      </c>
      <c r="AM157" s="6" t="str">
        <f t="shared" si="81"/>
        <v>30% Off SL / Annual</v>
      </c>
      <c r="AN157" s="6" t="str">
        <f t="shared" si="82"/>
        <v>Messaging Only</v>
      </c>
      <c r="AO157" s="6" t="str">
        <f t="shared" si="76"/>
        <v>Messaging / Pause Flow</v>
      </c>
      <c r="AP157" s="6" t="str">
        <f t="shared" si="83"/>
        <v>50% Off LPP Only</v>
      </c>
    </row>
    <row r="158" spans="2:42" ht="13" hidden="1" outlineLevel="1">
      <c r="B158" s="191" t="s">
        <v>227</v>
      </c>
      <c r="C158" s="191" t="s">
        <v>96</v>
      </c>
      <c r="D158" s="27"/>
      <c r="E158" s="6" t="str">
        <f>IF(VLOOKUP(B158,'[7]FY25 PRICING'!$B$5:$AL$246,'[7]FY25 PRICING'!$E$1,FALSE)=0,"","x")</f>
        <v/>
      </c>
      <c r="F158" s="11" t="str">
        <f>+VLOOKUP($B158,'[1]INT Web'!$B$5:$AS$247,'[1]INT Web'!$Q$1,FALSE)</f>
        <v>ANG</v>
      </c>
      <c r="G158" s="27">
        <f>+VLOOKUP($B158,'[1]INT Web'!$B$5:$AS$247,'[1]INT Web'!$U$1,FALSE)</f>
        <v>0</v>
      </c>
      <c r="H158" s="27">
        <f>+VLOOKUP($B158,'[1]INT Web'!$B$5:$AS$247,'[1]INT Web'!$S$1,FALSE)</f>
        <v>0</v>
      </c>
      <c r="I158" s="195">
        <f>+VLOOKUP($B158,'[1]INT Web'!$B$5:$AS$247,'[1]INT Web'!$T$1,FALSE)</f>
        <v>0</v>
      </c>
      <c r="J158" s="192">
        <f>+VLOOKUP($B158,'[1]INT Web'!$B$5:$AS$247,'[1]INT Web'!$R$1,FALSE)</f>
        <v>0</v>
      </c>
      <c r="K158" s="192" t="e">
        <f t="shared" si="58"/>
        <v>#DIV/0!</v>
      </c>
      <c r="L158" s="192" t="e">
        <f t="shared" si="58"/>
        <v>#DIV/0!</v>
      </c>
      <c r="M158" s="192" t="e">
        <f t="shared" si="59"/>
        <v>#DIV/0!</v>
      </c>
      <c r="N158" s="186">
        <v>0.55865925999999999</v>
      </c>
      <c r="O158" s="187">
        <f t="shared" si="60"/>
        <v>0</v>
      </c>
      <c r="P158" s="187">
        <f t="shared" si="60"/>
        <v>0</v>
      </c>
      <c r="Q158" s="187">
        <f t="shared" si="60"/>
        <v>0</v>
      </c>
      <c r="R158" s="187">
        <f t="shared" si="60"/>
        <v>0</v>
      </c>
      <c r="S158" s="196"/>
      <c r="T158" s="104">
        <f t="shared" si="77"/>
        <v>0</v>
      </c>
      <c r="U158" s="187">
        <f t="shared" si="61"/>
        <v>0</v>
      </c>
      <c r="V158" s="188" t="str">
        <f t="shared" si="62"/>
        <v/>
      </c>
      <c r="W158" s="189" t="str">
        <f t="shared" si="63"/>
        <v/>
      </c>
      <c r="X158" s="104">
        <f t="shared" si="78"/>
        <v>0</v>
      </c>
      <c r="Y158" s="187">
        <f t="shared" si="64"/>
        <v>0</v>
      </c>
      <c r="Z158" s="188" t="str">
        <f t="shared" si="65"/>
        <v/>
      </c>
      <c r="AA158" s="189" t="str">
        <f t="shared" si="66"/>
        <v/>
      </c>
      <c r="AB158" s="185" t="str">
        <f t="shared" si="67"/>
        <v/>
      </c>
      <c r="AC158" s="104">
        <f t="shared" si="79"/>
        <v>0</v>
      </c>
      <c r="AD158" s="187">
        <f t="shared" si="68"/>
        <v>0</v>
      </c>
      <c r="AE158" s="188" t="str">
        <f t="shared" si="69"/>
        <v/>
      </c>
      <c r="AF158" s="189" t="str">
        <f t="shared" si="70"/>
        <v/>
      </c>
      <c r="AG158" s="185" t="str">
        <f t="shared" si="71"/>
        <v/>
      </c>
      <c r="AH158" s="104">
        <f t="shared" si="80"/>
        <v>0</v>
      </c>
      <c r="AI158" s="187">
        <f t="shared" si="72"/>
        <v>0</v>
      </c>
      <c r="AJ158" s="188" t="str">
        <f t="shared" si="73"/>
        <v/>
      </c>
      <c r="AK158" s="189" t="str">
        <f t="shared" si="74"/>
        <v/>
      </c>
      <c r="AL158" s="185" t="str">
        <f t="shared" si="75"/>
        <v/>
      </c>
      <c r="AM158" s="6" t="str">
        <f t="shared" si="81"/>
        <v>30% Off SL / Annual</v>
      </c>
      <c r="AN158" s="6" t="str">
        <f t="shared" si="82"/>
        <v>15% Off All SKUs</v>
      </c>
      <c r="AO158" s="6" t="str">
        <f t="shared" si="76"/>
        <v>Monthly: 100% Off Next Month</v>
      </c>
      <c r="AP158" s="6" t="str">
        <f t="shared" si="83"/>
        <v>50% Off SL / Annual</v>
      </c>
    </row>
    <row r="159" spans="2:42" ht="13" collapsed="1">
      <c r="B159" s="20" t="s">
        <v>228</v>
      </c>
      <c r="C159" s="20" t="s">
        <v>182</v>
      </c>
      <c r="D159" s="6"/>
      <c r="E159" s="6" t="str">
        <f>IF(VLOOKUP(B159,'[7]FY25 PRICING'!$B$5:$AL$246,'[7]FY25 PRICING'!$E$1,FALSE)=0,"","x")</f>
        <v/>
      </c>
      <c r="F159" s="11" t="str">
        <f>+VLOOKUP($B159,'[1]INT Web'!$B$5:$AS$247,'[1]INT Web'!$Q$1,FALSE)</f>
        <v>XPF</v>
      </c>
      <c r="G159" s="22">
        <f>+VLOOKUP($B159,'[1]INT Web'!$B$5:$AS$247,'[1]INT Web'!$U$1,FALSE)</f>
        <v>1000</v>
      </c>
      <c r="H159" s="22">
        <f>+VLOOKUP($B159,'[1]INT Web'!$B$5:$AS$247,'[1]INT Web'!$S$1,FALSE)</f>
        <v>1350</v>
      </c>
      <c r="I159" s="22">
        <f>+VLOOKUP($B159,'[1]INT Web'!$B$5:$AS$247,'[1]INT Web'!$T$1,FALSE)</f>
        <v>6000</v>
      </c>
      <c r="J159" s="22">
        <f>+VLOOKUP($B159,'[1]INT Web'!$B$5:$AS$247,'[1]INT Web'!$R$1,FALSE)</f>
        <v>8100</v>
      </c>
      <c r="K159" s="185">
        <f t="shared" si="58"/>
        <v>6</v>
      </c>
      <c r="L159" s="185">
        <f t="shared" si="58"/>
        <v>6</v>
      </c>
      <c r="M159" s="185">
        <f t="shared" si="59"/>
        <v>1.35</v>
      </c>
      <c r="N159" s="186">
        <v>9.6114470000000004E-3</v>
      </c>
      <c r="O159" s="187">
        <f t="shared" si="60"/>
        <v>9.6114470000000001</v>
      </c>
      <c r="P159" s="187">
        <f t="shared" si="60"/>
        <v>12.97545345</v>
      </c>
      <c r="Q159" s="187">
        <f t="shared" si="60"/>
        <v>57.668682000000004</v>
      </c>
      <c r="R159" s="187">
        <f t="shared" si="60"/>
        <v>77.852720700000006</v>
      </c>
      <c r="S159" s="6">
        <v>0</v>
      </c>
      <c r="T159" s="104">
        <f t="shared" si="77"/>
        <v>1000</v>
      </c>
      <c r="U159" s="187">
        <f t="shared" si="61"/>
        <v>9.6114470000000001</v>
      </c>
      <c r="V159" s="188">
        <f t="shared" si="62"/>
        <v>0</v>
      </c>
      <c r="W159" s="189">
        <f t="shared" si="63"/>
        <v>0</v>
      </c>
      <c r="X159" s="104">
        <f t="shared" si="78"/>
        <v>1350</v>
      </c>
      <c r="Y159" s="187">
        <f t="shared" si="64"/>
        <v>12.97545345</v>
      </c>
      <c r="Z159" s="188">
        <f t="shared" si="65"/>
        <v>0</v>
      </c>
      <c r="AA159" s="189">
        <f t="shared" si="66"/>
        <v>0</v>
      </c>
      <c r="AB159" s="185">
        <f t="shared" si="67"/>
        <v>1.35</v>
      </c>
      <c r="AC159" s="104">
        <f t="shared" si="79"/>
        <v>6000</v>
      </c>
      <c r="AD159" s="187">
        <f t="shared" si="68"/>
        <v>57.668682000000004</v>
      </c>
      <c r="AE159" s="188">
        <f t="shared" si="69"/>
        <v>0</v>
      </c>
      <c r="AF159" s="189">
        <f t="shared" si="70"/>
        <v>0</v>
      </c>
      <c r="AG159" s="185">
        <f t="shared" si="71"/>
        <v>6</v>
      </c>
      <c r="AH159" s="104">
        <f t="shared" si="80"/>
        <v>8100</v>
      </c>
      <c r="AI159" s="187">
        <f t="shared" si="72"/>
        <v>77.852720700000006</v>
      </c>
      <c r="AJ159" s="188">
        <f t="shared" si="73"/>
        <v>0</v>
      </c>
      <c r="AK159" s="189">
        <f t="shared" si="74"/>
        <v>0</v>
      </c>
      <c r="AL159" s="185">
        <f t="shared" si="75"/>
        <v>6</v>
      </c>
      <c r="AM159" s="6" t="str">
        <f t="shared" si="81"/>
        <v>30% Off SL / Annual</v>
      </c>
      <c r="AN159" s="6" t="str">
        <f t="shared" si="82"/>
        <v>15% Off All SKUs</v>
      </c>
      <c r="AO159" s="6" t="str">
        <f t="shared" si="76"/>
        <v>Monthly: 100% Off Next Month</v>
      </c>
      <c r="AP159" s="6" t="str">
        <f t="shared" si="83"/>
        <v>50% Off SL / Annual</v>
      </c>
    </row>
    <row r="160" spans="2:42" ht="13">
      <c r="B160" s="199" t="s">
        <v>229</v>
      </c>
      <c r="C160" s="199" t="s">
        <v>182</v>
      </c>
      <c r="D160" s="6" t="s">
        <v>480</v>
      </c>
      <c r="E160" s="6" t="s">
        <v>483</v>
      </c>
      <c r="F160" s="11" t="str">
        <f>+VLOOKUP($B160,'[1]INT Web'!$B$5:$AS$247,'[1]INT Web'!$Q$1,FALSE)</f>
        <v>NZD</v>
      </c>
      <c r="G160" s="22">
        <f>+VLOOKUP($B160,'[1]INT Web'!$B$5:$AS$247,'[1]INT Web'!$U$1,FALSE)</f>
        <v>24.99</v>
      </c>
      <c r="H160" s="22">
        <f>+VLOOKUP($B160,'[1]INT Web'!$B$5:$AS$247,'[1]INT Web'!$S$1,FALSE)</f>
        <v>33.99</v>
      </c>
      <c r="I160" s="22">
        <f>+VLOOKUP($B160,'[1]INT Web'!$B$5:$AS$247,'[1]INT Web'!$T$1,FALSE)</f>
        <v>159.99</v>
      </c>
      <c r="J160" s="22">
        <f>+VLOOKUP($B160,'[1]INT Web'!$B$5:$AS$247,'[1]INT Web'!$R$1,FALSE)</f>
        <v>219.99</v>
      </c>
      <c r="K160" s="185">
        <f t="shared" si="58"/>
        <v>6.4021608643457393</v>
      </c>
      <c r="L160" s="185">
        <f t="shared" si="58"/>
        <v>6.4721977052074138</v>
      </c>
      <c r="M160" s="185">
        <f t="shared" si="59"/>
        <v>1.3601440576230495</v>
      </c>
      <c r="N160" s="186">
        <v>0.57384999999999997</v>
      </c>
      <c r="O160" s="187">
        <f t="shared" si="60"/>
        <v>14.340511499999998</v>
      </c>
      <c r="P160" s="187">
        <f t="shared" si="60"/>
        <v>19.5051615</v>
      </c>
      <c r="Q160" s="187">
        <f t="shared" si="60"/>
        <v>91.810261499999996</v>
      </c>
      <c r="R160" s="187">
        <f t="shared" si="60"/>
        <v>126.24126149999999</v>
      </c>
      <c r="S160" s="132" t="s">
        <v>485</v>
      </c>
      <c r="T160" s="104">
        <f t="shared" si="77"/>
        <v>24.99</v>
      </c>
      <c r="U160" s="187">
        <f t="shared" si="61"/>
        <v>14.340511499999998</v>
      </c>
      <c r="V160" s="188">
        <f t="shared" si="62"/>
        <v>0</v>
      </c>
      <c r="W160" s="189">
        <f t="shared" si="63"/>
        <v>0</v>
      </c>
      <c r="X160" s="104">
        <f t="shared" si="78"/>
        <v>33.99</v>
      </c>
      <c r="Y160" s="187">
        <f t="shared" si="64"/>
        <v>19.5051615</v>
      </c>
      <c r="Z160" s="188">
        <f t="shared" si="65"/>
        <v>0</v>
      </c>
      <c r="AA160" s="189">
        <f t="shared" si="66"/>
        <v>0</v>
      </c>
      <c r="AB160" s="185">
        <f t="shared" si="67"/>
        <v>1.3601440576230495</v>
      </c>
      <c r="AC160" s="104">
        <f t="shared" si="79"/>
        <v>159.99</v>
      </c>
      <c r="AD160" s="187">
        <f t="shared" si="68"/>
        <v>91.810261499999996</v>
      </c>
      <c r="AE160" s="188">
        <f t="shared" si="69"/>
        <v>0</v>
      </c>
      <c r="AF160" s="189">
        <f t="shared" si="70"/>
        <v>0</v>
      </c>
      <c r="AG160" s="185">
        <f t="shared" si="71"/>
        <v>6.4021608643457393</v>
      </c>
      <c r="AH160" s="104">
        <f t="shared" si="80"/>
        <v>219.99</v>
      </c>
      <c r="AI160" s="187">
        <f t="shared" si="72"/>
        <v>126.24126149999999</v>
      </c>
      <c r="AJ160" s="188">
        <f t="shared" si="73"/>
        <v>0</v>
      </c>
      <c r="AK160" s="189">
        <f t="shared" si="74"/>
        <v>0</v>
      </c>
      <c r="AL160" s="185">
        <f t="shared" si="75"/>
        <v>6.4721977052074138</v>
      </c>
      <c r="AM160" s="6" t="str">
        <f t="shared" si="81"/>
        <v>30% Off SL / Annual</v>
      </c>
      <c r="AN160" s="6" t="str">
        <f t="shared" si="82"/>
        <v>Messaging Only</v>
      </c>
      <c r="AO160" s="6" t="str">
        <f t="shared" si="76"/>
        <v>Messaging / Pause Flow</v>
      </c>
      <c r="AP160" s="6" t="str">
        <f t="shared" si="83"/>
        <v>50% Off LPP Only</v>
      </c>
    </row>
    <row r="161" spans="2:42" ht="13">
      <c r="B161" s="20" t="s">
        <v>230</v>
      </c>
      <c r="C161" s="20" t="s">
        <v>96</v>
      </c>
      <c r="D161" s="6"/>
      <c r="E161" s="6" t="str">
        <f>IF(VLOOKUP(B161,'[7]FY25 PRICING'!$B$5:$AL$246,'[7]FY25 PRICING'!$E$1,FALSE)=0,"","x")</f>
        <v/>
      </c>
      <c r="F161" s="11" t="str">
        <f>+VLOOKUP($B161,'[1]INT Web'!$B$5:$AS$247,'[1]INT Web'!$Q$1,FALSE)</f>
        <v>NIO</v>
      </c>
      <c r="G161" s="136">
        <f>+VLOOKUP($B161,'[1]INT Web'!$B$5:$AS$247,'[1]INT Web'!$U$1,FALSE)</f>
        <v>369.99</v>
      </c>
      <c r="H161" s="136">
        <f>+VLOOKUP($B161,'[1]INT Web'!$B$5:$AS$247,'[1]INT Web'!$S$1,FALSE)</f>
        <v>498.99</v>
      </c>
      <c r="I161" s="22">
        <f>+VLOOKUP($B161,'[1]INT Web'!$B$5:$AS$247,'[1]INT Web'!$T$1,FALSE)</f>
        <v>2219.9899999999998</v>
      </c>
      <c r="J161" s="22">
        <f>+VLOOKUP($B161,'[1]INT Web'!$B$5:$AS$247,'[1]INT Web'!$R$1,FALSE)</f>
        <v>2993.99</v>
      </c>
      <c r="K161" s="185">
        <f t="shared" si="58"/>
        <v>6.0001351387875337</v>
      </c>
      <c r="L161" s="185">
        <f t="shared" si="58"/>
        <v>6.0001002024088654</v>
      </c>
      <c r="M161" s="185">
        <f t="shared" si="59"/>
        <v>1.3486580718397794</v>
      </c>
      <c r="N161" s="186">
        <v>2.7304276999999998E-2</v>
      </c>
      <c r="O161" s="187">
        <f t="shared" si="60"/>
        <v>10.102309447229999</v>
      </c>
      <c r="P161" s="187">
        <f t="shared" si="60"/>
        <v>13.62456118023</v>
      </c>
      <c r="Q161" s="187">
        <f t="shared" si="60"/>
        <v>60.615221897229993</v>
      </c>
      <c r="R161" s="187">
        <f t="shared" si="60"/>
        <v>81.748732295229985</v>
      </c>
      <c r="S161" s="6" t="s">
        <v>485</v>
      </c>
      <c r="T161" s="104">
        <f t="shared" si="77"/>
        <v>369.99</v>
      </c>
      <c r="U161" s="187">
        <f t="shared" si="61"/>
        <v>10.102309447229999</v>
      </c>
      <c r="V161" s="188">
        <f t="shared" si="62"/>
        <v>0</v>
      </c>
      <c r="W161" s="189">
        <f t="shared" si="63"/>
        <v>0</v>
      </c>
      <c r="X161" s="104">
        <f t="shared" si="78"/>
        <v>498.99</v>
      </c>
      <c r="Y161" s="187">
        <f t="shared" si="64"/>
        <v>13.62456118023</v>
      </c>
      <c r="Z161" s="188">
        <f t="shared" si="65"/>
        <v>0</v>
      </c>
      <c r="AA161" s="189">
        <f t="shared" si="66"/>
        <v>0</v>
      </c>
      <c r="AB161" s="185">
        <f t="shared" si="67"/>
        <v>1.3486580718397794</v>
      </c>
      <c r="AC161" s="104">
        <f t="shared" si="79"/>
        <v>2219.9899999999998</v>
      </c>
      <c r="AD161" s="187">
        <f t="shared" si="68"/>
        <v>60.615221897229993</v>
      </c>
      <c r="AE161" s="188">
        <f t="shared" si="69"/>
        <v>0</v>
      </c>
      <c r="AF161" s="189">
        <f t="shared" si="70"/>
        <v>0</v>
      </c>
      <c r="AG161" s="185">
        <f t="shared" si="71"/>
        <v>6.0001351387875337</v>
      </c>
      <c r="AH161" s="104">
        <f t="shared" si="80"/>
        <v>2993.99</v>
      </c>
      <c r="AI161" s="187">
        <f t="shared" si="72"/>
        <v>81.748732295229985</v>
      </c>
      <c r="AJ161" s="188">
        <f t="shared" si="73"/>
        <v>0</v>
      </c>
      <c r="AK161" s="189">
        <f t="shared" si="74"/>
        <v>0</v>
      </c>
      <c r="AL161" s="185">
        <f t="shared" si="75"/>
        <v>6.0001002024088654</v>
      </c>
      <c r="AM161" s="6" t="str">
        <f t="shared" si="81"/>
        <v>30% Off SL / Annual</v>
      </c>
      <c r="AN161" s="6" t="str">
        <f t="shared" si="82"/>
        <v>Messaging Only</v>
      </c>
      <c r="AO161" s="6" t="str">
        <f t="shared" si="76"/>
        <v>Messaging / Pause Flow</v>
      </c>
      <c r="AP161" s="6" t="str">
        <f t="shared" si="83"/>
        <v>50% Off LPP Only</v>
      </c>
    </row>
    <row r="162" spans="2:42" ht="13">
      <c r="B162" s="20" t="s">
        <v>231</v>
      </c>
      <c r="C162" s="20" t="s">
        <v>270</v>
      </c>
      <c r="D162" s="6"/>
      <c r="E162" s="6" t="str">
        <f>IF(VLOOKUP(B162,'[7]FY25 PRICING'!$B$5:$AL$246,'[7]FY25 PRICING'!$E$1,FALSE)=0,"","x")</f>
        <v/>
      </c>
      <c r="F162" s="11" t="str">
        <f>+VLOOKUP($B162,'[1]INT Web'!$B$5:$AS$247,'[1]INT Web'!$Q$1,FALSE)</f>
        <v>XOF</v>
      </c>
      <c r="G162" s="22">
        <f>+VLOOKUP($B162,'[1]INT Web'!$B$5:$AS$247,'[1]INT Web'!$U$1,FALSE)</f>
        <v>5400</v>
      </c>
      <c r="H162" s="22">
        <f>+VLOOKUP($B162,'[1]INT Web'!$B$5:$AS$247,'[1]INT Web'!$S$1,FALSE)</f>
        <v>7290</v>
      </c>
      <c r="I162" s="22">
        <f>+VLOOKUP($B162,'[1]INT Web'!$B$5:$AS$247,'[1]INT Web'!$T$1,FALSE)</f>
        <v>32400</v>
      </c>
      <c r="J162" s="22">
        <f>+VLOOKUP($B162,'[1]INT Web'!$B$5:$AS$247,'[1]INT Web'!$R$1,FALSE)</f>
        <v>43740</v>
      </c>
      <c r="K162" s="185">
        <f t="shared" si="58"/>
        <v>6</v>
      </c>
      <c r="L162" s="185">
        <f t="shared" si="58"/>
        <v>6</v>
      </c>
      <c r="M162" s="185">
        <f t="shared" si="59"/>
        <v>1.35</v>
      </c>
      <c r="N162" s="186">
        <v>1.7485141000000001E-3</v>
      </c>
      <c r="O162" s="187">
        <f t="shared" si="60"/>
        <v>9.4419761400000013</v>
      </c>
      <c r="P162" s="187">
        <f t="shared" si="60"/>
        <v>12.746667789</v>
      </c>
      <c r="Q162" s="187">
        <f t="shared" si="60"/>
        <v>56.651856840000001</v>
      </c>
      <c r="R162" s="187">
        <f t="shared" si="60"/>
        <v>76.480006734</v>
      </c>
      <c r="S162" s="6">
        <v>0</v>
      </c>
      <c r="T162" s="104">
        <f t="shared" si="77"/>
        <v>5400</v>
      </c>
      <c r="U162" s="187">
        <f t="shared" si="61"/>
        <v>9.4419761400000013</v>
      </c>
      <c r="V162" s="188">
        <f t="shared" si="62"/>
        <v>0</v>
      </c>
      <c r="W162" s="189">
        <f t="shared" si="63"/>
        <v>0</v>
      </c>
      <c r="X162" s="104">
        <f t="shared" si="78"/>
        <v>7290</v>
      </c>
      <c r="Y162" s="187">
        <f t="shared" si="64"/>
        <v>12.746667789</v>
      </c>
      <c r="Z162" s="188">
        <f t="shared" si="65"/>
        <v>0</v>
      </c>
      <c r="AA162" s="189">
        <f t="shared" si="66"/>
        <v>0</v>
      </c>
      <c r="AB162" s="185">
        <f t="shared" si="67"/>
        <v>1.35</v>
      </c>
      <c r="AC162" s="104">
        <f t="shared" si="79"/>
        <v>32400</v>
      </c>
      <c r="AD162" s="187">
        <f t="shared" si="68"/>
        <v>56.651856840000001</v>
      </c>
      <c r="AE162" s="188">
        <f t="shared" si="69"/>
        <v>0</v>
      </c>
      <c r="AF162" s="189">
        <f t="shared" si="70"/>
        <v>0</v>
      </c>
      <c r="AG162" s="185">
        <f t="shared" si="71"/>
        <v>6</v>
      </c>
      <c r="AH162" s="104">
        <f t="shared" si="80"/>
        <v>43740</v>
      </c>
      <c r="AI162" s="187">
        <f t="shared" si="72"/>
        <v>76.480006734</v>
      </c>
      <c r="AJ162" s="188">
        <f t="shared" si="73"/>
        <v>0</v>
      </c>
      <c r="AK162" s="189">
        <f t="shared" si="74"/>
        <v>0</v>
      </c>
      <c r="AL162" s="185">
        <f t="shared" si="75"/>
        <v>6</v>
      </c>
      <c r="AM162" s="6" t="str">
        <f t="shared" si="81"/>
        <v>30% Off SL / Annual</v>
      </c>
      <c r="AN162" s="6" t="str">
        <f t="shared" si="82"/>
        <v>15% Off All SKUs</v>
      </c>
      <c r="AO162" s="6" t="str">
        <f t="shared" si="76"/>
        <v>Monthly: 100% Off Next Month</v>
      </c>
      <c r="AP162" s="6" t="str">
        <f t="shared" si="83"/>
        <v>50% Off SL / Annual</v>
      </c>
    </row>
    <row r="163" spans="2:42" ht="13">
      <c r="B163" s="100" t="s">
        <v>232</v>
      </c>
      <c r="C163" s="100" t="s">
        <v>270</v>
      </c>
      <c r="D163" s="6"/>
      <c r="E163" s="6" t="str">
        <f>IF(VLOOKUP(B163,'[7]FY25 PRICING'!$B$5:$AL$246,'[7]FY25 PRICING'!$E$1,FALSE)=0,"","x")</f>
        <v/>
      </c>
      <c r="F163" s="11" t="str">
        <f>+VLOOKUP($B163,'[1]INT Web'!$B$5:$AS$247,'[1]INT Web'!$Q$1,FALSE)</f>
        <v>NGN</v>
      </c>
      <c r="G163" s="22">
        <f>+VLOOKUP($B163,'[1]INT Web'!$B$5:$AS$247,'[1]INT Web'!$U$1,FALSE)</f>
        <v>5900</v>
      </c>
      <c r="H163" s="22">
        <f>+VLOOKUP($B163,'[1]INT Web'!$B$5:$AS$247,'[1]INT Web'!$S$1,FALSE)</f>
        <v>7900</v>
      </c>
      <c r="I163" s="22">
        <f>+VLOOKUP($B163,'[1]INT Web'!$B$5:$AS$247,'[1]INT Web'!$T$1,FALSE)</f>
        <v>34900</v>
      </c>
      <c r="J163" s="22">
        <f>+VLOOKUP($B163,'[1]INT Web'!$B$5:$AS$247,'[1]INT Web'!$R$1,FALSE)</f>
        <v>46900</v>
      </c>
      <c r="K163" s="185">
        <f t="shared" si="58"/>
        <v>5.9152542372881358</v>
      </c>
      <c r="L163" s="185">
        <f t="shared" si="58"/>
        <v>5.9367088607594933</v>
      </c>
      <c r="M163" s="185">
        <f t="shared" si="59"/>
        <v>1.3389830508474576</v>
      </c>
      <c r="N163" s="186">
        <v>7.3204835999999998E-4</v>
      </c>
      <c r="O163" s="187">
        <f t="shared" si="60"/>
        <v>4.3190853239999996</v>
      </c>
      <c r="P163" s="187">
        <f t="shared" si="60"/>
        <v>5.7831820440000001</v>
      </c>
      <c r="Q163" s="187">
        <f t="shared" si="60"/>
        <v>25.548487764000001</v>
      </c>
      <c r="R163" s="187">
        <f t="shared" si="60"/>
        <v>34.333068083999997</v>
      </c>
      <c r="S163" s="132" t="s">
        <v>479</v>
      </c>
      <c r="T163" s="144">
        <f>+MROUND(G163*1.04,100)</f>
        <v>6100</v>
      </c>
      <c r="U163" s="187">
        <f t="shared" si="61"/>
        <v>4.4654949959999994</v>
      </c>
      <c r="V163" s="188">
        <f t="shared" si="62"/>
        <v>200</v>
      </c>
      <c r="W163" s="189">
        <f t="shared" si="63"/>
        <v>3.3898305084745672E-2</v>
      </c>
      <c r="X163" s="144">
        <f>+MROUND(H163*1.04,100)</f>
        <v>8200</v>
      </c>
      <c r="Y163" s="187">
        <f t="shared" si="64"/>
        <v>6.0027965519999995</v>
      </c>
      <c r="Z163" s="188">
        <f t="shared" si="65"/>
        <v>300</v>
      </c>
      <c r="AA163" s="189">
        <f t="shared" si="66"/>
        <v>3.7974683544303778E-2</v>
      </c>
      <c r="AB163" s="185">
        <f t="shared" si="67"/>
        <v>1.3442622950819672</v>
      </c>
      <c r="AC163" s="144">
        <f>+MROUND(I163*1.04,100)</f>
        <v>36300</v>
      </c>
      <c r="AD163" s="187">
        <f t="shared" si="68"/>
        <v>26.573355467999999</v>
      </c>
      <c r="AE163" s="188">
        <f t="shared" si="69"/>
        <v>1400</v>
      </c>
      <c r="AF163" s="189">
        <f t="shared" si="70"/>
        <v>4.0114613180515679E-2</v>
      </c>
      <c r="AG163" s="185">
        <f t="shared" si="71"/>
        <v>5.9508196721311473</v>
      </c>
      <c r="AH163" s="144">
        <f>+MROUND(J163*1.04,100)</f>
        <v>48800</v>
      </c>
      <c r="AI163" s="187">
        <f t="shared" si="72"/>
        <v>35.723959967999996</v>
      </c>
      <c r="AJ163" s="188">
        <f t="shared" si="73"/>
        <v>1900</v>
      </c>
      <c r="AK163" s="189">
        <f t="shared" si="74"/>
        <v>4.051172707889128E-2</v>
      </c>
      <c r="AL163" s="185">
        <f t="shared" si="75"/>
        <v>5.9512195121951219</v>
      </c>
      <c r="AM163" s="6" t="str">
        <f t="shared" si="81"/>
        <v>30% Off SL / Annual</v>
      </c>
      <c r="AN163" s="6" t="str">
        <f t="shared" si="82"/>
        <v>15% Off All SKUs</v>
      </c>
      <c r="AO163" s="6" t="str">
        <f t="shared" si="76"/>
        <v>Monthly: 100% Off Next Month</v>
      </c>
      <c r="AP163" s="6" t="str">
        <f t="shared" si="83"/>
        <v>50% Off SL / Annual</v>
      </c>
    </row>
    <row r="164" spans="2:42" ht="13">
      <c r="B164" s="20" t="s">
        <v>233</v>
      </c>
      <c r="C164" s="20" t="s">
        <v>182</v>
      </c>
      <c r="D164" s="6"/>
      <c r="E164" s="6" t="str">
        <f>IF(VLOOKUP(B164,'[7]FY25 PRICING'!$B$5:$AL$246,'[7]FY25 PRICING'!$E$1,FALSE)=0,"","x")</f>
        <v/>
      </c>
      <c r="F164" s="11" t="str">
        <f>+VLOOKUP($B164,'[1]INT Web'!$B$5:$AS$247,'[1]INT Web'!$Q$1,FALSE)</f>
        <v>NZD</v>
      </c>
      <c r="G164" s="22">
        <f>+VLOOKUP($B164,'[1]INT Web'!$B$5:$AS$247,'[1]INT Web'!$U$1,FALSE)</f>
        <v>24.99</v>
      </c>
      <c r="H164" s="22">
        <f>+VLOOKUP($B164,'[1]INT Web'!$B$5:$AS$247,'[1]INT Web'!$S$1,FALSE)</f>
        <v>33.99</v>
      </c>
      <c r="I164" s="22">
        <f>+VLOOKUP($B164,'[1]INT Web'!$B$5:$AS$247,'[1]INT Web'!$T$1,FALSE)</f>
        <v>149.99</v>
      </c>
      <c r="J164" s="22">
        <f>+VLOOKUP($B164,'[1]INT Web'!$B$5:$AS$247,'[1]INT Web'!$R$1,FALSE)</f>
        <v>203.99</v>
      </c>
      <c r="K164" s="185">
        <f t="shared" si="58"/>
        <v>6.0020008003201291</v>
      </c>
      <c r="L164" s="185">
        <f t="shared" si="58"/>
        <v>6.0014710208884967</v>
      </c>
      <c r="M164" s="185">
        <f t="shared" si="59"/>
        <v>1.3601440576230495</v>
      </c>
      <c r="N164" s="186">
        <v>0.57384999999999997</v>
      </c>
      <c r="O164" s="187">
        <f t="shared" si="60"/>
        <v>14.340511499999998</v>
      </c>
      <c r="P164" s="187">
        <f t="shared" si="60"/>
        <v>19.5051615</v>
      </c>
      <c r="Q164" s="187">
        <f t="shared" si="60"/>
        <v>86.071761499999994</v>
      </c>
      <c r="R164" s="187">
        <f t="shared" si="60"/>
        <v>117.0596615</v>
      </c>
      <c r="S164" s="6">
        <v>0</v>
      </c>
      <c r="T164" s="104">
        <f t="shared" si="77"/>
        <v>24.99</v>
      </c>
      <c r="U164" s="187">
        <f t="shared" si="61"/>
        <v>14.340511499999998</v>
      </c>
      <c r="V164" s="188">
        <f t="shared" si="62"/>
        <v>0</v>
      </c>
      <c r="W164" s="189">
        <f t="shared" si="63"/>
        <v>0</v>
      </c>
      <c r="X164" s="104">
        <f t="shared" si="78"/>
        <v>33.99</v>
      </c>
      <c r="Y164" s="187">
        <f t="shared" si="64"/>
        <v>19.5051615</v>
      </c>
      <c r="Z164" s="188">
        <f t="shared" si="65"/>
        <v>0</v>
      </c>
      <c r="AA164" s="189">
        <f t="shared" si="66"/>
        <v>0</v>
      </c>
      <c r="AB164" s="185">
        <f t="shared" si="67"/>
        <v>1.3601440576230495</v>
      </c>
      <c r="AC164" s="104">
        <f t="shared" si="79"/>
        <v>149.99</v>
      </c>
      <c r="AD164" s="187">
        <f t="shared" si="68"/>
        <v>86.071761499999994</v>
      </c>
      <c r="AE164" s="188">
        <f t="shared" si="69"/>
        <v>0</v>
      </c>
      <c r="AF164" s="189">
        <f t="shared" si="70"/>
        <v>0</v>
      </c>
      <c r="AG164" s="185">
        <f t="shared" si="71"/>
        <v>6.0020008003201291</v>
      </c>
      <c r="AH164" s="104">
        <f t="shared" si="80"/>
        <v>203.99</v>
      </c>
      <c r="AI164" s="187">
        <f t="shared" si="72"/>
        <v>117.0596615</v>
      </c>
      <c r="AJ164" s="188">
        <f t="shared" si="73"/>
        <v>0</v>
      </c>
      <c r="AK164" s="189">
        <f t="shared" si="74"/>
        <v>0</v>
      </c>
      <c r="AL164" s="185">
        <f t="shared" si="75"/>
        <v>6.0014710208884967</v>
      </c>
      <c r="AM164" s="6" t="str">
        <f t="shared" si="81"/>
        <v>30% Off SL / Annual</v>
      </c>
      <c r="AN164" s="6" t="str">
        <f t="shared" si="82"/>
        <v>15% Off All SKUs</v>
      </c>
      <c r="AO164" s="6" t="str">
        <f t="shared" si="76"/>
        <v>Monthly: 100% Off Next Month</v>
      </c>
      <c r="AP164" s="6" t="str">
        <f t="shared" si="83"/>
        <v>50% Off SL / Annual</v>
      </c>
    </row>
    <row r="165" spans="2:42" ht="13">
      <c r="B165" s="20" t="s">
        <v>234</v>
      </c>
      <c r="C165" s="20" t="s">
        <v>182</v>
      </c>
      <c r="D165" s="6"/>
      <c r="E165" s="6" t="str">
        <f>IF(VLOOKUP(B165,'[7]FY25 PRICING'!$B$5:$AL$246,'[7]FY25 PRICING'!$E$1,FALSE)=0,"","x")</f>
        <v/>
      </c>
      <c r="F165" s="11" t="str">
        <f>+VLOOKUP($B165,'[1]INT Web'!$B$5:$AS$247,'[1]INT Web'!$Q$1,FALSE)</f>
        <v>AUD</v>
      </c>
      <c r="G165" s="22">
        <f>+VLOOKUP($B165,'[1]INT Web'!$B$5:$AS$247,'[1]INT Web'!$U$1,FALSE)</f>
        <v>19.989999999999998</v>
      </c>
      <c r="H165" s="22">
        <f>+VLOOKUP($B165,'[1]INT Web'!$B$5:$AS$247,'[1]INT Web'!$S$1,FALSE)</f>
        <v>26.99</v>
      </c>
      <c r="I165" s="22">
        <f>+VLOOKUP($B165,'[1]INT Web'!$B$5:$AS$247,'[1]INT Web'!$T$1,FALSE)</f>
        <v>119.99</v>
      </c>
      <c r="J165" s="22">
        <f>+VLOOKUP($B165,'[1]INT Web'!$B$5:$AS$247,'[1]INT Web'!$R$1,FALSE)</f>
        <v>161.99</v>
      </c>
      <c r="K165" s="185">
        <f t="shared" si="58"/>
        <v>6.002501250625313</v>
      </c>
      <c r="L165" s="185">
        <f t="shared" si="58"/>
        <v>6.0018525379770296</v>
      </c>
      <c r="M165" s="185">
        <f t="shared" si="59"/>
        <v>1.3501750875437719</v>
      </c>
      <c r="N165" s="186">
        <v>0.70125000000000004</v>
      </c>
      <c r="O165" s="187">
        <f t="shared" si="60"/>
        <v>14.0179875</v>
      </c>
      <c r="P165" s="187">
        <f t="shared" si="60"/>
        <v>18.926737500000002</v>
      </c>
      <c r="Q165" s="187">
        <f t="shared" si="60"/>
        <v>84.142987500000004</v>
      </c>
      <c r="R165" s="187">
        <f t="shared" si="60"/>
        <v>113.59548750000002</v>
      </c>
      <c r="S165" s="6">
        <v>0</v>
      </c>
      <c r="T165" s="104">
        <f t="shared" si="77"/>
        <v>19.989999999999998</v>
      </c>
      <c r="U165" s="187">
        <f t="shared" si="61"/>
        <v>14.0179875</v>
      </c>
      <c r="V165" s="188">
        <f t="shared" si="62"/>
        <v>0</v>
      </c>
      <c r="W165" s="189">
        <f t="shared" si="63"/>
        <v>0</v>
      </c>
      <c r="X165" s="104">
        <f t="shared" si="78"/>
        <v>26.99</v>
      </c>
      <c r="Y165" s="187">
        <f t="shared" si="64"/>
        <v>18.926737500000002</v>
      </c>
      <c r="Z165" s="188">
        <f t="shared" si="65"/>
        <v>0</v>
      </c>
      <c r="AA165" s="189">
        <f t="shared" si="66"/>
        <v>0</v>
      </c>
      <c r="AB165" s="185">
        <f t="shared" si="67"/>
        <v>1.3501750875437719</v>
      </c>
      <c r="AC165" s="104">
        <f t="shared" si="79"/>
        <v>119.99</v>
      </c>
      <c r="AD165" s="187">
        <f t="shared" si="68"/>
        <v>84.142987500000004</v>
      </c>
      <c r="AE165" s="188">
        <f t="shared" si="69"/>
        <v>0</v>
      </c>
      <c r="AF165" s="189">
        <f t="shared" si="70"/>
        <v>0</v>
      </c>
      <c r="AG165" s="185">
        <f t="shared" si="71"/>
        <v>6.002501250625313</v>
      </c>
      <c r="AH165" s="104">
        <f t="shared" si="80"/>
        <v>161.99</v>
      </c>
      <c r="AI165" s="187">
        <f t="shared" si="72"/>
        <v>113.59548750000002</v>
      </c>
      <c r="AJ165" s="188">
        <f t="shared" si="73"/>
        <v>0</v>
      </c>
      <c r="AK165" s="189">
        <f t="shared" si="74"/>
        <v>0</v>
      </c>
      <c r="AL165" s="185">
        <f t="shared" si="75"/>
        <v>6.0018525379770296</v>
      </c>
      <c r="AM165" s="6" t="str">
        <f t="shared" si="81"/>
        <v>30% Off SL / Annual</v>
      </c>
      <c r="AN165" s="6" t="str">
        <f t="shared" si="82"/>
        <v>15% Off All SKUs</v>
      </c>
      <c r="AO165" s="6" t="str">
        <f t="shared" si="76"/>
        <v>Monthly: 100% Off Next Month</v>
      </c>
      <c r="AP165" s="6" t="str">
        <f t="shared" si="83"/>
        <v>50% Off SL / Annual</v>
      </c>
    </row>
    <row r="166" spans="2:42" ht="13" hidden="1" outlineLevel="1">
      <c r="B166" s="191" t="s">
        <v>236</v>
      </c>
      <c r="C166" s="27" t="s">
        <v>182</v>
      </c>
      <c r="D166" s="27"/>
      <c r="E166" s="6" t="e">
        <f>IF(VLOOKUP(B166,'[7]FY25 PRICING'!$B$5:$AL$246,'[7]FY25 PRICING'!$E$1,FALSE)=0,"","x")</f>
        <v>#N/A</v>
      </c>
      <c r="F166" s="11">
        <f>+VLOOKUP($B166,'[1]INT Web'!$B$5:$AS$247,'[1]INT Web'!$Q$1,FALSE)</f>
        <v>0</v>
      </c>
      <c r="G166" s="192">
        <f>+VLOOKUP($B166,'[1]INT Web'!$B$5:$AS$247,'[1]INT Web'!$U$1,FALSE)</f>
        <v>0</v>
      </c>
      <c r="H166" s="192">
        <f>+VLOOKUP($B166,'[1]INT Web'!$B$5:$AS$247,'[1]INT Web'!$S$1,FALSE)</f>
        <v>0</v>
      </c>
      <c r="I166" s="197">
        <f>+VLOOKUP($B166,'[1]INT Web'!$B$5:$AS$247,'[1]INT Web'!$T$1,FALSE)</f>
        <v>0</v>
      </c>
      <c r="J166" s="197">
        <f>+VLOOKUP($B166,'[1]INT Web'!$B$5:$AS$247,'[1]INT Web'!$R$1,FALSE)</f>
        <v>0</v>
      </c>
      <c r="K166" s="197" t="e">
        <f t="shared" si="58"/>
        <v>#DIV/0!</v>
      </c>
      <c r="L166" s="191" t="e">
        <f t="shared" si="58"/>
        <v>#DIV/0!</v>
      </c>
      <c r="M166" s="27" t="e">
        <f t="shared" si="59"/>
        <v>#DIV/0!</v>
      </c>
      <c r="N166" s="186" t="e">
        <v>#N/A</v>
      </c>
      <c r="O166" s="187" t="e">
        <f t="shared" si="60"/>
        <v>#N/A</v>
      </c>
      <c r="P166" s="187" t="e">
        <f t="shared" si="60"/>
        <v>#N/A</v>
      </c>
      <c r="Q166" s="187" t="e">
        <f t="shared" si="60"/>
        <v>#N/A</v>
      </c>
      <c r="R166" s="187" t="e">
        <f t="shared" si="60"/>
        <v>#N/A</v>
      </c>
      <c r="S166" s="196"/>
      <c r="T166" s="104">
        <f t="shared" si="77"/>
        <v>0</v>
      </c>
      <c r="U166" s="187" t="e">
        <f t="shared" si="61"/>
        <v>#N/A</v>
      </c>
      <c r="V166" s="188" t="str">
        <f t="shared" si="62"/>
        <v/>
      </c>
      <c r="W166" s="189" t="str">
        <f t="shared" si="63"/>
        <v/>
      </c>
      <c r="X166" s="104">
        <f t="shared" si="78"/>
        <v>0</v>
      </c>
      <c r="Y166" s="187" t="e">
        <f t="shared" si="64"/>
        <v>#N/A</v>
      </c>
      <c r="Z166" s="188" t="str">
        <f t="shared" si="65"/>
        <v/>
      </c>
      <c r="AA166" s="189" t="str">
        <f t="shared" si="66"/>
        <v/>
      </c>
      <c r="AB166" s="185" t="str">
        <f t="shared" si="67"/>
        <v/>
      </c>
      <c r="AC166" s="104">
        <f t="shared" si="79"/>
        <v>0</v>
      </c>
      <c r="AD166" s="187" t="e">
        <f t="shared" si="68"/>
        <v>#N/A</v>
      </c>
      <c r="AE166" s="188" t="str">
        <f t="shared" si="69"/>
        <v/>
      </c>
      <c r="AF166" s="189" t="str">
        <f t="shared" si="70"/>
        <v/>
      </c>
      <c r="AG166" s="185" t="str">
        <f t="shared" si="71"/>
        <v/>
      </c>
      <c r="AH166" s="104">
        <f t="shared" si="80"/>
        <v>0</v>
      </c>
      <c r="AI166" s="187" t="e">
        <f t="shared" si="72"/>
        <v>#N/A</v>
      </c>
      <c r="AJ166" s="188" t="str">
        <f t="shared" si="73"/>
        <v/>
      </c>
      <c r="AK166" s="189" t="str">
        <f t="shared" si="74"/>
        <v/>
      </c>
      <c r="AL166" s="185" t="str">
        <f t="shared" si="75"/>
        <v/>
      </c>
      <c r="AM166" s="6" t="str">
        <f t="shared" si="81"/>
        <v>30% Off SL / Annual</v>
      </c>
      <c r="AN166" s="6" t="str">
        <f t="shared" si="82"/>
        <v>15% Off All SKUs</v>
      </c>
      <c r="AO166" s="6" t="str">
        <f t="shared" si="76"/>
        <v>Monthly: 100% Off Next Month</v>
      </c>
      <c r="AP166" s="6" t="str">
        <f t="shared" si="83"/>
        <v>50% Off SL / Annual</v>
      </c>
    </row>
    <row r="167" spans="2:42" ht="13" collapsed="1">
      <c r="B167" s="20" t="s">
        <v>235</v>
      </c>
      <c r="C167" s="20" t="s">
        <v>182</v>
      </c>
      <c r="D167" s="6"/>
      <c r="E167" s="6" t="str">
        <f>IF(VLOOKUP(B167,'[7]FY25 PRICING'!$B$5:$AL$246,'[7]FY25 PRICING'!$E$1,FALSE)=0,"","x")</f>
        <v/>
      </c>
      <c r="F167" s="11" t="str">
        <f>+VLOOKUP($B167,'[1]INT Web'!$B$5:$AS$247,'[1]INT Web'!$Q$1,FALSE)</f>
        <v>USD</v>
      </c>
      <c r="G167" s="22">
        <f>+VLOOKUP($B167,'[1]INT Web'!$B$5:$AS$247,'[1]INT Web'!$U$1,FALSE)</f>
        <v>13.99</v>
      </c>
      <c r="H167" s="22">
        <f>+VLOOKUP($B167,'[1]INT Web'!$B$5:$AS$247,'[1]INT Web'!$S$1,FALSE)</f>
        <v>18.989999999999998</v>
      </c>
      <c r="I167" s="22">
        <f>+VLOOKUP($B167,'[1]INT Web'!$B$5:$AS$247,'[1]INT Web'!$T$1,FALSE)</f>
        <v>83.99</v>
      </c>
      <c r="J167" s="22">
        <f>+VLOOKUP($B167,'[1]INT Web'!$B$5:$AS$247,'[1]INT Web'!$R$1,FALSE)</f>
        <v>129.99</v>
      </c>
      <c r="K167" s="185">
        <f t="shared" si="58"/>
        <v>6.003573981415296</v>
      </c>
      <c r="L167" s="185">
        <f t="shared" si="58"/>
        <v>6.8451816745655618</v>
      </c>
      <c r="M167" s="185">
        <f t="shared" si="59"/>
        <v>1.3573981415296639</v>
      </c>
      <c r="N167" s="186">
        <v>1</v>
      </c>
      <c r="O167" s="187">
        <f t="shared" si="60"/>
        <v>13.99</v>
      </c>
      <c r="P167" s="187">
        <f t="shared" si="60"/>
        <v>18.989999999999998</v>
      </c>
      <c r="Q167" s="187">
        <f t="shared" si="60"/>
        <v>83.99</v>
      </c>
      <c r="R167" s="187">
        <f t="shared" si="60"/>
        <v>129.99</v>
      </c>
      <c r="S167" s="6">
        <v>0</v>
      </c>
      <c r="T167" s="104">
        <f t="shared" si="77"/>
        <v>13.99</v>
      </c>
      <c r="U167" s="187">
        <f t="shared" si="61"/>
        <v>13.99</v>
      </c>
      <c r="V167" s="188">
        <f t="shared" si="62"/>
        <v>0</v>
      </c>
      <c r="W167" s="189">
        <f t="shared" si="63"/>
        <v>0</v>
      </c>
      <c r="X167" s="104">
        <f t="shared" si="78"/>
        <v>18.989999999999998</v>
      </c>
      <c r="Y167" s="187">
        <f t="shared" si="64"/>
        <v>18.989999999999998</v>
      </c>
      <c r="Z167" s="188">
        <f t="shared" si="65"/>
        <v>0</v>
      </c>
      <c r="AA167" s="189">
        <f t="shared" si="66"/>
        <v>0</v>
      </c>
      <c r="AB167" s="185">
        <f t="shared" si="67"/>
        <v>1.3573981415296639</v>
      </c>
      <c r="AC167" s="104">
        <f t="shared" si="79"/>
        <v>83.99</v>
      </c>
      <c r="AD167" s="187">
        <f t="shared" si="68"/>
        <v>83.99</v>
      </c>
      <c r="AE167" s="188">
        <f t="shared" si="69"/>
        <v>0</v>
      </c>
      <c r="AF167" s="189">
        <f t="shared" si="70"/>
        <v>0</v>
      </c>
      <c r="AG167" s="185">
        <f t="shared" si="71"/>
        <v>6.003573981415296</v>
      </c>
      <c r="AH167" s="104">
        <f t="shared" si="80"/>
        <v>129.99</v>
      </c>
      <c r="AI167" s="187">
        <f t="shared" si="72"/>
        <v>129.99</v>
      </c>
      <c r="AJ167" s="188">
        <f t="shared" si="73"/>
        <v>0</v>
      </c>
      <c r="AK167" s="189">
        <f t="shared" si="74"/>
        <v>0</v>
      </c>
      <c r="AL167" s="185">
        <f t="shared" si="75"/>
        <v>6.8451816745655618</v>
      </c>
      <c r="AM167" s="6" t="str">
        <f t="shared" si="81"/>
        <v>30% Off SL / Annual</v>
      </c>
      <c r="AN167" s="6" t="str">
        <f t="shared" si="82"/>
        <v>15% Off All SKUs</v>
      </c>
      <c r="AO167" s="6" t="str">
        <f t="shared" si="76"/>
        <v>Monthly: 100% Off Next Month</v>
      </c>
      <c r="AP167" s="6" t="str">
        <f t="shared" si="83"/>
        <v>50% Off SL / Annual</v>
      </c>
    </row>
    <row r="168" spans="2:42" ht="13">
      <c r="B168" s="20" t="s">
        <v>237</v>
      </c>
      <c r="C168" s="20" t="s">
        <v>100</v>
      </c>
      <c r="D168" s="6" t="s">
        <v>478</v>
      </c>
      <c r="F168" s="11" t="str">
        <f>+VLOOKUP($B168,'[1]INT Web'!$B$5:$AS$247,'[1]INT Web'!$Q$1,FALSE)</f>
        <v>NOK</v>
      </c>
      <c r="G168" s="22">
        <f>+VLOOKUP($B168,'[1]INT Web'!$B$5:$AS$247,'[1]INT Web'!$U$1,FALSE)</f>
        <v>149.99</v>
      </c>
      <c r="H168" s="22">
        <f>+VLOOKUP($B168,'[1]INT Web'!$B$5:$AS$247,'[1]INT Web'!$S$1,FALSE)</f>
        <v>209.99</v>
      </c>
      <c r="I168" s="22">
        <f>+VLOOKUP($B168,'[1]INT Web'!$B$5:$AS$247,'[1]INT Web'!$T$1,FALSE)</f>
        <v>999.99</v>
      </c>
      <c r="J168" s="22">
        <f>+VLOOKUP($B168,'[1]INT Web'!$B$5:$AS$247,'[1]INT Web'!$R$1,FALSE)</f>
        <v>1399.99</v>
      </c>
      <c r="K168" s="185">
        <f t="shared" si="58"/>
        <v>6.6670444696313087</v>
      </c>
      <c r="L168" s="185">
        <f t="shared" si="58"/>
        <v>6.6669365207867042</v>
      </c>
      <c r="M168" s="185">
        <f t="shared" si="59"/>
        <v>1.400026668444563</v>
      </c>
      <c r="N168" s="186">
        <v>0.10330471400000001</v>
      </c>
      <c r="O168" s="187">
        <f t="shared" si="60"/>
        <v>15.494674052860002</v>
      </c>
      <c r="P168" s="187">
        <f t="shared" si="60"/>
        <v>21.692956892860003</v>
      </c>
      <c r="Q168" s="187">
        <f t="shared" si="60"/>
        <v>103.30368095286001</v>
      </c>
      <c r="R168" s="187">
        <f t="shared" si="60"/>
        <v>144.62556655286002</v>
      </c>
      <c r="S168" s="6" t="s">
        <v>485</v>
      </c>
      <c r="T168" s="104">
        <f t="shared" si="77"/>
        <v>149.99</v>
      </c>
      <c r="U168" s="187">
        <f t="shared" si="61"/>
        <v>15.494674052860002</v>
      </c>
      <c r="V168" s="188">
        <f t="shared" si="62"/>
        <v>0</v>
      </c>
      <c r="W168" s="189">
        <f t="shared" si="63"/>
        <v>0</v>
      </c>
      <c r="X168" s="104">
        <f t="shared" si="78"/>
        <v>209.99</v>
      </c>
      <c r="Y168" s="187">
        <f t="shared" si="64"/>
        <v>21.692956892860003</v>
      </c>
      <c r="Z168" s="188">
        <f t="shared" si="65"/>
        <v>0</v>
      </c>
      <c r="AA168" s="189">
        <f t="shared" si="66"/>
        <v>0</v>
      </c>
      <c r="AB168" s="185">
        <f t="shared" si="67"/>
        <v>1.400026668444563</v>
      </c>
      <c r="AC168" s="104">
        <f t="shared" si="79"/>
        <v>999.99</v>
      </c>
      <c r="AD168" s="187">
        <f t="shared" si="68"/>
        <v>103.30368095286001</v>
      </c>
      <c r="AE168" s="188">
        <f t="shared" si="69"/>
        <v>0</v>
      </c>
      <c r="AF168" s="189">
        <f t="shared" si="70"/>
        <v>0</v>
      </c>
      <c r="AG168" s="185">
        <f t="shared" si="71"/>
        <v>6.6670444696313087</v>
      </c>
      <c r="AH168" s="104">
        <f t="shared" si="80"/>
        <v>1399.99</v>
      </c>
      <c r="AI168" s="187">
        <f t="shared" si="72"/>
        <v>144.62556655286002</v>
      </c>
      <c r="AJ168" s="188">
        <f t="shared" si="73"/>
        <v>0</v>
      </c>
      <c r="AK168" s="189">
        <f t="shared" si="74"/>
        <v>0</v>
      </c>
      <c r="AL168" s="185">
        <f t="shared" si="75"/>
        <v>6.6669365207867042</v>
      </c>
      <c r="AM168" s="6" t="str">
        <f t="shared" si="81"/>
        <v>30% Off SL / Annual</v>
      </c>
      <c r="AN168" s="6" t="str">
        <f t="shared" si="82"/>
        <v>Messaging Only</v>
      </c>
      <c r="AO168" s="6" t="str">
        <f t="shared" si="76"/>
        <v>Messaging / Pause Flow</v>
      </c>
      <c r="AP168" s="6" t="str">
        <f t="shared" si="83"/>
        <v>50% Off LPP Only</v>
      </c>
    </row>
    <row r="169" spans="2:42" ht="13">
      <c r="B169" s="20" t="s">
        <v>238</v>
      </c>
      <c r="C169" s="20" t="s">
        <v>275</v>
      </c>
      <c r="D169" s="6"/>
      <c r="F169" s="11" t="str">
        <f>+VLOOKUP($B169,'[1]INT Web'!$B$5:$AS$247,'[1]INT Web'!$Q$1,FALSE)</f>
        <v>OMR</v>
      </c>
      <c r="G169" s="22">
        <f>+VLOOKUP($B169,'[1]INT Web'!$B$5:$AS$247,'[1]INT Web'!$U$1,FALSE)</f>
        <v>3.9990000000000001</v>
      </c>
      <c r="H169" s="22">
        <f>+VLOOKUP($B169,'[1]INT Web'!$B$5:$AS$247,'[1]INT Web'!$S$1,FALSE)</f>
        <v>4.9989999999999997</v>
      </c>
      <c r="I169" s="22">
        <f>+VLOOKUP($B169,'[1]INT Web'!$B$5:$AS$247,'[1]INT Web'!$T$1,FALSE)</f>
        <v>23.998999999999999</v>
      </c>
      <c r="J169" s="22">
        <f>+VLOOKUP($B169,'[1]INT Web'!$B$5:$AS$247,'[1]INT Web'!$R$1,FALSE)</f>
        <v>29.998999999999999</v>
      </c>
      <c r="K169" s="185">
        <f t="shared" si="58"/>
        <v>6.0012503125781445</v>
      </c>
      <c r="L169" s="185">
        <f t="shared" si="58"/>
        <v>6.001000200040008</v>
      </c>
      <c r="M169" s="185">
        <f t="shared" si="59"/>
        <v>1.2500625156289071</v>
      </c>
      <c r="N169" s="186">
        <v>2.5974026000000001</v>
      </c>
      <c r="O169" s="187">
        <f t="shared" si="60"/>
        <v>10.387012997400001</v>
      </c>
      <c r="P169" s="187">
        <f t="shared" si="60"/>
        <v>12.9844155974</v>
      </c>
      <c r="Q169" s="187">
        <f t="shared" si="60"/>
        <v>62.335064997399996</v>
      </c>
      <c r="R169" s="187">
        <f t="shared" si="60"/>
        <v>77.919480597399996</v>
      </c>
      <c r="S169" s="6">
        <v>0</v>
      </c>
      <c r="T169" s="104">
        <f t="shared" si="77"/>
        <v>3.9990000000000001</v>
      </c>
      <c r="U169" s="187">
        <f t="shared" si="61"/>
        <v>10.387012997400001</v>
      </c>
      <c r="V169" s="188">
        <f t="shared" si="62"/>
        <v>0</v>
      </c>
      <c r="W169" s="189">
        <f t="shared" si="63"/>
        <v>0</v>
      </c>
      <c r="X169" s="104">
        <f t="shared" si="78"/>
        <v>4.9989999999999997</v>
      </c>
      <c r="Y169" s="187">
        <f t="shared" si="64"/>
        <v>12.9844155974</v>
      </c>
      <c r="Z169" s="188">
        <f t="shared" si="65"/>
        <v>0</v>
      </c>
      <c r="AA169" s="189">
        <f t="shared" si="66"/>
        <v>0</v>
      </c>
      <c r="AB169" s="185">
        <f t="shared" si="67"/>
        <v>1.2500625156289071</v>
      </c>
      <c r="AC169" s="104">
        <f t="shared" si="79"/>
        <v>23.998999999999999</v>
      </c>
      <c r="AD169" s="187">
        <f t="shared" si="68"/>
        <v>62.335064997399996</v>
      </c>
      <c r="AE169" s="188">
        <f t="shared" si="69"/>
        <v>0</v>
      </c>
      <c r="AF169" s="189">
        <f t="shared" si="70"/>
        <v>0</v>
      </c>
      <c r="AG169" s="185">
        <f t="shared" si="71"/>
        <v>6.0012503125781445</v>
      </c>
      <c r="AH169" s="104">
        <f t="shared" si="80"/>
        <v>29.998999999999999</v>
      </c>
      <c r="AI169" s="187">
        <f t="shared" si="72"/>
        <v>77.919480597399996</v>
      </c>
      <c r="AJ169" s="188">
        <f t="shared" si="73"/>
        <v>0</v>
      </c>
      <c r="AK169" s="189">
        <f t="shared" si="74"/>
        <v>0</v>
      </c>
      <c r="AL169" s="185">
        <f t="shared" si="75"/>
        <v>6.001000200040008</v>
      </c>
      <c r="AM169" s="6" t="str">
        <f t="shared" si="81"/>
        <v>30% Off SL / Annual</v>
      </c>
      <c r="AN169" s="6" t="str">
        <f t="shared" si="82"/>
        <v>15% Off All SKUs</v>
      </c>
      <c r="AO169" s="6" t="str">
        <f t="shared" si="76"/>
        <v>Monthly: 100% Off Next Month</v>
      </c>
      <c r="AP169" s="6" t="str">
        <f t="shared" si="83"/>
        <v>50% Off SL / Annual</v>
      </c>
    </row>
    <row r="170" spans="2:42" ht="13">
      <c r="B170" s="20" t="s">
        <v>239</v>
      </c>
      <c r="C170" s="20" t="s">
        <v>182</v>
      </c>
      <c r="D170" s="6"/>
      <c r="F170" s="11" t="str">
        <f>+VLOOKUP($B170,'[1]INT Web'!$B$5:$AS$247,'[1]INT Web'!$Q$1,FALSE)</f>
        <v>PKR</v>
      </c>
      <c r="G170" s="22">
        <f>+VLOOKUP($B170,'[1]INT Web'!$B$5:$AS$247,'[1]INT Web'!$U$1,FALSE)</f>
        <v>1500</v>
      </c>
      <c r="H170" s="22">
        <f>+VLOOKUP($B170,'[1]INT Web'!$B$5:$AS$247,'[1]INT Web'!$S$1,FALSE)</f>
        <v>2030</v>
      </c>
      <c r="I170" s="22">
        <f>+VLOOKUP($B170,'[1]INT Web'!$B$5:$AS$247,'[1]INT Web'!$T$1,FALSE)</f>
        <v>9000</v>
      </c>
      <c r="J170" s="22">
        <f>+VLOOKUP($B170,'[1]INT Web'!$B$5:$AS$247,'[1]INT Web'!$R$1,FALSE)</f>
        <v>12180</v>
      </c>
      <c r="K170" s="185">
        <f t="shared" si="58"/>
        <v>6</v>
      </c>
      <c r="L170" s="185">
        <f t="shared" si="58"/>
        <v>6</v>
      </c>
      <c r="M170" s="185">
        <f t="shared" si="59"/>
        <v>1.3533333333333333</v>
      </c>
      <c r="N170" s="186">
        <v>3.5945360000000002E-3</v>
      </c>
      <c r="O170" s="187">
        <f t="shared" si="60"/>
        <v>5.3918040000000005</v>
      </c>
      <c r="P170" s="187">
        <f t="shared" si="60"/>
        <v>7.2969080800000006</v>
      </c>
      <c r="Q170" s="187">
        <f t="shared" si="60"/>
        <v>32.350824000000003</v>
      </c>
      <c r="R170" s="187">
        <f t="shared" si="60"/>
        <v>43.781448480000002</v>
      </c>
      <c r="S170" s="132" t="s">
        <v>477</v>
      </c>
      <c r="T170" s="104">
        <f t="shared" si="77"/>
        <v>1500</v>
      </c>
      <c r="U170" s="187">
        <f t="shared" si="61"/>
        <v>5.3918040000000005</v>
      </c>
      <c r="V170" s="188">
        <f t="shared" si="62"/>
        <v>0</v>
      </c>
      <c r="W170" s="189">
        <f t="shared" si="63"/>
        <v>0</v>
      </c>
      <c r="X170" s="104">
        <f t="shared" si="78"/>
        <v>2030</v>
      </c>
      <c r="Y170" s="187">
        <f t="shared" si="64"/>
        <v>7.2969080800000006</v>
      </c>
      <c r="Z170" s="188">
        <f t="shared" si="65"/>
        <v>0</v>
      </c>
      <c r="AA170" s="189">
        <f t="shared" si="66"/>
        <v>0</v>
      </c>
      <c r="AB170" s="185">
        <f t="shared" si="67"/>
        <v>1.3533333333333333</v>
      </c>
      <c r="AC170" s="104">
        <f t="shared" si="79"/>
        <v>9000</v>
      </c>
      <c r="AD170" s="187">
        <f t="shared" si="68"/>
        <v>32.350824000000003</v>
      </c>
      <c r="AE170" s="188">
        <f t="shared" si="69"/>
        <v>0</v>
      </c>
      <c r="AF170" s="189">
        <f t="shared" si="70"/>
        <v>0</v>
      </c>
      <c r="AG170" s="185">
        <f t="shared" si="71"/>
        <v>6</v>
      </c>
      <c r="AH170" s="104">
        <f t="shared" si="80"/>
        <v>12180</v>
      </c>
      <c r="AI170" s="187">
        <f t="shared" si="72"/>
        <v>43.781448480000002</v>
      </c>
      <c r="AJ170" s="188">
        <f t="shared" si="73"/>
        <v>0</v>
      </c>
      <c r="AK170" s="189">
        <f t="shared" si="74"/>
        <v>0</v>
      </c>
      <c r="AL170" s="185">
        <f t="shared" si="75"/>
        <v>6</v>
      </c>
      <c r="AM170" s="6" t="str">
        <f t="shared" si="81"/>
        <v>30% Off SL / Annual</v>
      </c>
      <c r="AN170" s="6" t="str">
        <f t="shared" si="82"/>
        <v>15% Off All SKUs</v>
      </c>
      <c r="AO170" s="6" t="str">
        <f t="shared" si="76"/>
        <v>Monthly: 100% Off Next Month</v>
      </c>
      <c r="AP170" s="6" t="str">
        <f t="shared" si="83"/>
        <v>50% Off SL / Annual</v>
      </c>
    </row>
    <row r="171" spans="2:42" ht="13">
      <c r="B171" s="20" t="s">
        <v>240</v>
      </c>
      <c r="C171" s="20" t="s">
        <v>182</v>
      </c>
      <c r="D171" s="6"/>
      <c r="F171" s="11" t="str">
        <f>+VLOOKUP($B171,'[1]INT Web'!$B$5:$AS$247,'[1]INT Web'!$Q$1,FALSE)</f>
        <v>USD</v>
      </c>
      <c r="G171" s="22">
        <f>+VLOOKUP($B171,'[1]INT Web'!$B$5:$AS$247,'[1]INT Web'!$U$1,FALSE)</f>
        <v>13.99</v>
      </c>
      <c r="H171" s="22">
        <f>+VLOOKUP($B171,'[1]INT Web'!$B$5:$AS$247,'[1]INT Web'!$S$1,FALSE)</f>
        <v>18.989999999999998</v>
      </c>
      <c r="I171" s="22">
        <f>+VLOOKUP($B171,'[1]INT Web'!$B$5:$AS$247,'[1]INT Web'!$T$1,FALSE)</f>
        <v>83.99</v>
      </c>
      <c r="J171" s="22">
        <f>+VLOOKUP($B171,'[1]INT Web'!$B$5:$AS$247,'[1]INT Web'!$R$1,FALSE)</f>
        <v>129.99</v>
      </c>
      <c r="K171" s="185">
        <f t="shared" si="58"/>
        <v>6.003573981415296</v>
      </c>
      <c r="L171" s="185">
        <f t="shared" si="58"/>
        <v>6.8451816745655618</v>
      </c>
      <c r="M171" s="185">
        <f t="shared" si="59"/>
        <v>1.3573981415296639</v>
      </c>
      <c r="N171" s="186">
        <v>1</v>
      </c>
      <c r="O171" s="187">
        <f t="shared" si="60"/>
        <v>13.99</v>
      </c>
      <c r="P171" s="187">
        <f t="shared" si="60"/>
        <v>18.989999999999998</v>
      </c>
      <c r="Q171" s="187">
        <f t="shared" si="60"/>
        <v>83.99</v>
      </c>
      <c r="R171" s="187">
        <f t="shared" si="60"/>
        <v>129.99</v>
      </c>
      <c r="S171" s="6">
        <v>0</v>
      </c>
      <c r="T171" s="104">
        <f t="shared" si="77"/>
        <v>13.99</v>
      </c>
      <c r="U171" s="187">
        <f t="shared" si="61"/>
        <v>13.99</v>
      </c>
      <c r="V171" s="188">
        <f t="shared" si="62"/>
        <v>0</v>
      </c>
      <c r="W171" s="189">
        <f t="shared" si="63"/>
        <v>0</v>
      </c>
      <c r="X171" s="104">
        <f t="shared" si="78"/>
        <v>18.989999999999998</v>
      </c>
      <c r="Y171" s="187">
        <f t="shared" si="64"/>
        <v>18.989999999999998</v>
      </c>
      <c r="Z171" s="188">
        <f t="shared" si="65"/>
        <v>0</v>
      </c>
      <c r="AA171" s="189">
        <f t="shared" si="66"/>
        <v>0</v>
      </c>
      <c r="AB171" s="185">
        <f t="shared" si="67"/>
        <v>1.3573981415296639</v>
      </c>
      <c r="AC171" s="104">
        <f t="shared" si="79"/>
        <v>83.99</v>
      </c>
      <c r="AD171" s="187">
        <f t="shared" si="68"/>
        <v>83.99</v>
      </c>
      <c r="AE171" s="188">
        <f t="shared" si="69"/>
        <v>0</v>
      </c>
      <c r="AF171" s="189">
        <f t="shared" si="70"/>
        <v>0</v>
      </c>
      <c r="AG171" s="185">
        <f t="shared" si="71"/>
        <v>6.003573981415296</v>
      </c>
      <c r="AH171" s="104">
        <f t="shared" si="80"/>
        <v>129.99</v>
      </c>
      <c r="AI171" s="187">
        <f t="shared" si="72"/>
        <v>129.99</v>
      </c>
      <c r="AJ171" s="188">
        <f t="shared" si="73"/>
        <v>0</v>
      </c>
      <c r="AK171" s="189">
        <f t="shared" si="74"/>
        <v>0</v>
      </c>
      <c r="AL171" s="185">
        <f t="shared" si="75"/>
        <v>6.8451816745655618</v>
      </c>
      <c r="AM171" s="6" t="str">
        <f t="shared" si="81"/>
        <v>30% Off SL / Annual</v>
      </c>
      <c r="AN171" s="6" t="str">
        <f t="shared" si="82"/>
        <v>15% Off All SKUs</v>
      </c>
      <c r="AO171" s="6" t="str">
        <f t="shared" si="76"/>
        <v>Monthly: 100% Off Next Month</v>
      </c>
      <c r="AP171" s="6" t="str">
        <f t="shared" si="83"/>
        <v>50% Off SL / Annual</v>
      </c>
    </row>
    <row r="172" spans="2:42" ht="13">
      <c r="B172" s="20" t="s">
        <v>241</v>
      </c>
      <c r="C172" s="20" t="s">
        <v>275</v>
      </c>
      <c r="D172" s="6"/>
      <c r="F172" s="11" t="str">
        <f>+VLOOKUP($B172,'[1]INT Web'!$B$5:$AS$247,'[1]INT Web'!$Q$1,FALSE)</f>
        <v>ILS</v>
      </c>
      <c r="G172" s="22">
        <f>+VLOOKUP($B172,'[1]INT Web'!$B$5:$AS$247,'[1]INT Web'!$U$1,FALSE)</f>
        <v>29.99</v>
      </c>
      <c r="H172" s="22">
        <f>+VLOOKUP($B172,'[1]INT Web'!$B$5:$AS$247,'[1]INT Web'!$S$1,FALSE)</f>
        <v>39.99</v>
      </c>
      <c r="I172" s="22">
        <f>+VLOOKUP($B172,'[1]INT Web'!$B$5:$AS$247,'[1]INT Web'!$T$1,FALSE)</f>
        <v>179.99</v>
      </c>
      <c r="J172" s="22">
        <f>+VLOOKUP($B172,'[1]INT Web'!$B$5:$AS$247,'[1]INT Web'!$R$1,FALSE)</f>
        <v>239.99</v>
      </c>
      <c r="K172" s="185">
        <f t="shared" si="58"/>
        <v>6.0016672224074696</v>
      </c>
      <c r="L172" s="185">
        <f t="shared" si="58"/>
        <v>6.0012503125781445</v>
      </c>
      <c r="M172" s="185">
        <f t="shared" si="59"/>
        <v>1.3334444814938313</v>
      </c>
      <c r="N172" s="186">
        <v>0.33808914000000001</v>
      </c>
      <c r="O172" s="187">
        <f t="shared" si="60"/>
        <v>10.139293308599999</v>
      </c>
      <c r="P172" s="187">
        <f t="shared" si="60"/>
        <v>13.5201847086</v>
      </c>
      <c r="Q172" s="187">
        <f t="shared" si="60"/>
        <v>60.852664308600005</v>
      </c>
      <c r="R172" s="187">
        <f t="shared" si="60"/>
        <v>81.138012708600002</v>
      </c>
      <c r="S172" s="6">
        <v>0</v>
      </c>
      <c r="T172" s="104">
        <f t="shared" si="77"/>
        <v>29.99</v>
      </c>
      <c r="U172" s="187">
        <f t="shared" si="61"/>
        <v>10.139293308599999</v>
      </c>
      <c r="V172" s="188">
        <f t="shared" si="62"/>
        <v>0</v>
      </c>
      <c r="W172" s="189">
        <f t="shared" si="63"/>
        <v>0</v>
      </c>
      <c r="X172" s="104">
        <f t="shared" si="78"/>
        <v>39.99</v>
      </c>
      <c r="Y172" s="187">
        <f t="shared" si="64"/>
        <v>13.5201847086</v>
      </c>
      <c r="Z172" s="188">
        <f t="shared" si="65"/>
        <v>0</v>
      </c>
      <c r="AA172" s="189">
        <f t="shared" si="66"/>
        <v>0</v>
      </c>
      <c r="AB172" s="185">
        <f t="shared" si="67"/>
        <v>1.3334444814938313</v>
      </c>
      <c r="AC172" s="104">
        <f t="shared" si="79"/>
        <v>179.99</v>
      </c>
      <c r="AD172" s="187">
        <f t="shared" si="68"/>
        <v>60.852664308600005</v>
      </c>
      <c r="AE172" s="188">
        <f t="shared" si="69"/>
        <v>0</v>
      </c>
      <c r="AF172" s="189">
        <f t="shared" si="70"/>
        <v>0</v>
      </c>
      <c r="AG172" s="185">
        <f t="shared" si="71"/>
        <v>6.0016672224074696</v>
      </c>
      <c r="AH172" s="104">
        <f t="shared" si="80"/>
        <v>239.99</v>
      </c>
      <c r="AI172" s="187">
        <f t="shared" si="72"/>
        <v>81.138012708600002</v>
      </c>
      <c r="AJ172" s="188">
        <f t="shared" si="73"/>
        <v>0</v>
      </c>
      <c r="AK172" s="189">
        <f t="shared" si="74"/>
        <v>0</v>
      </c>
      <c r="AL172" s="185">
        <f t="shared" si="75"/>
        <v>6.0012503125781445</v>
      </c>
      <c r="AM172" s="6" t="str">
        <f t="shared" si="81"/>
        <v>30% Off SL / Annual</v>
      </c>
      <c r="AN172" s="6" t="str">
        <f t="shared" si="82"/>
        <v>15% Off All SKUs</v>
      </c>
      <c r="AO172" s="6" t="str">
        <f t="shared" si="76"/>
        <v>Monthly: 100% Off Next Month</v>
      </c>
      <c r="AP172" s="6" t="str">
        <f t="shared" si="83"/>
        <v>50% Off SL / Annual</v>
      </c>
    </row>
    <row r="173" spans="2:42" ht="13">
      <c r="B173" s="20" t="s">
        <v>242</v>
      </c>
      <c r="C173" s="20" t="s">
        <v>96</v>
      </c>
      <c r="D173" s="6"/>
      <c r="F173" s="11" t="str">
        <f>+VLOOKUP($B173,'[1]INT Web'!$B$5:$AS$247,'[1]INT Web'!$Q$1,FALSE)</f>
        <v>USD</v>
      </c>
      <c r="G173" s="136">
        <f>+VLOOKUP($B173,'[1]INT Web'!$B$5:$AS$247,'[1]INT Web'!$U$1,FALSE)</f>
        <v>13.99</v>
      </c>
      <c r="H173" s="136">
        <f>+VLOOKUP($B173,'[1]INT Web'!$B$5:$AS$247,'[1]INT Web'!$S$1,FALSE)</f>
        <v>18.989999999999998</v>
      </c>
      <c r="I173" s="22">
        <f>+VLOOKUP($B173,'[1]INT Web'!$B$5:$AS$247,'[1]INT Web'!$T$1,FALSE)</f>
        <v>83.99</v>
      </c>
      <c r="J173" s="22">
        <f>+VLOOKUP($B173,'[1]INT Web'!$B$5:$AS$247,'[1]INT Web'!$R$1,FALSE)</f>
        <v>113.99</v>
      </c>
      <c r="K173" s="185">
        <f t="shared" si="58"/>
        <v>6.003573981415296</v>
      </c>
      <c r="L173" s="185">
        <f t="shared" si="58"/>
        <v>6.0026329647182726</v>
      </c>
      <c r="M173" s="185">
        <f t="shared" si="59"/>
        <v>1.3573981415296639</v>
      </c>
      <c r="N173" s="186">
        <v>1</v>
      </c>
      <c r="O173" s="187">
        <f t="shared" si="60"/>
        <v>13.99</v>
      </c>
      <c r="P173" s="187">
        <f t="shared" si="60"/>
        <v>18.989999999999998</v>
      </c>
      <c r="Q173" s="187">
        <f t="shared" si="60"/>
        <v>83.99</v>
      </c>
      <c r="R173" s="187">
        <f t="shared" si="60"/>
        <v>113.99</v>
      </c>
      <c r="S173" s="132" t="s">
        <v>484</v>
      </c>
      <c r="T173" s="104">
        <f t="shared" si="77"/>
        <v>13.99</v>
      </c>
      <c r="U173" s="187">
        <f t="shared" si="61"/>
        <v>13.99</v>
      </c>
      <c r="V173" s="188">
        <f t="shared" si="62"/>
        <v>0</v>
      </c>
      <c r="W173" s="189">
        <f t="shared" si="63"/>
        <v>0</v>
      </c>
      <c r="X173" s="104">
        <f t="shared" si="78"/>
        <v>18.989999999999998</v>
      </c>
      <c r="Y173" s="187">
        <f t="shared" si="64"/>
        <v>18.989999999999998</v>
      </c>
      <c r="Z173" s="188">
        <f t="shared" si="65"/>
        <v>0</v>
      </c>
      <c r="AA173" s="189">
        <f t="shared" si="66"/>
        <v>0</v>
      </c>
      <c r="AB173" s="185">
        <f t="shared" si="67"/>
        <v>1.3573981415296639</v>
      </c>
      <c r="AC173" s="104">
        <f t="shared" si="79"/>
        <v>83.99</v>
      </c>
      <c r="AD173" s="187">
        <f t="shared" si="68"/>
        <v>83.99</v>
      </c>
      <c r="AE173" s="188">
        <f t="shared" si="69"/>
        <v>0</v>
      </c>
      <c r="AF173" s="189">
        <f t="shared" si="70"/>
        <v>0</v>
      </c>
      <c r="AG173" s="185">
        <f t="shared" si="71"/>
        <v>6.003573981415296</v>
      </c>
      <c r="AH173" s="104">
        <f t="shared" si="80"/>
        <v>113.99</v>
      </c>
      <c r="AI173" s="187">
        <f t="shared" si="72"/>
        <v>113.99</v>
      </c>
      <c r="AJ173" s="188">
        <f t="shared" si="73"/>
        <v>0</v>
      </c>
      <c r="AK173" s="189">
        <f t="shared" si="74"/>
        <v>0</v>
      </c>
      <c r="AL173" s="185">
        <f t="shared" si="75"/>
        <v>6.0026329647182726</v>
      </c>
      <c r="AM173" s="6" t="str">
        <f t="shared" si="81"/>
        <v>30% Off SL / Annual</v>
      </c>
      <c r="AN173" s="6" t="str">
        <f t="shared" si="82"/>
        <v>Messaging Only</v>
      </c>
      <c r="AO173" s="6" t="str">
        <f t="shared" si="76"/>
        <v>Messaging / Pause Flow</v>
      </c>
      <c r="AP173" s="6" t="str">
        <f t="shared" si="83"/>
        <v>50% Off LPP Only</v>
      </c>
    </row>
    <row r="174" spans="2:42" ht="13">
      <c r="B174" s="20" t="s">
        <v>243</v>
      </c>
      <c r="C174" s="20" t="s">
        <v>182</v>
      </c>
      <c r="D174" s="6"/>
      <c r="F174" s="11" t="str">
        <f>+VLOOKUP($B174,'[1]INT Web'!$B$5:$AS$247,'[1]INT Web'!$Q$1,FALSE)</f>
        <v>PGK</v>
      </c>
      <c r="G174" s="22">
        <f>+VLOOKUP($B174,'[1]INT Web'!$B$5:$AS$247,'[1]INT Web'!$U$1,FALSE)</f>
        <v>29.99</v>
      </c>
      <c r="H174" s="22">
        <f>+VLOOKUP($B174,'[1]INT Web'!$B$5:$AS$247,'[1]INT Web'!$S$1,FALSE)</f>
        <v>39.99</v>
      </c>
      <c r="I174" s="22">
        <f>+VLOOKUP($B174,'[1]INT Web'!$B$5:$AS$247,'[1]INT Web'!$T$1,FALSE)</f>
        <v>179.99</v>
      </c>
      <c r="J174" s="22">
        <f>+VLOOKUP($B174,'[1]INT Web'!$B$5:$AS$247,'[1]INT Web'!$R$1,FALSE)</f>
        <v>239.99</v>
      </c>
      <c r="K174" s="185">
        <f t="shared" si="58"/>
        <v>6.0016672224074696</v>
      </c>
      <c r="L174" s="185">
        <f t="shared" si="58"/>
        <v>6.0012503125781445</v>
      </c>
      <c r="M174" s="185">
        <f t="shared" si="59"/>
        <v>1.3334444814938313</v>
      </c>
      <c r="N174" s="186">
        <v>0.22815424000000001</v>
      </c>
      <c r="O174" s="187">
        <f t="shared" si="60"/>
        <v>6.8423456576000001</v>
      </c>
      <c r="P174" s="187">
        <f t="shared" si="60"/>
        <v>9.1238880576000003</v>
      </c>
      <c r="Q174" s="187">
        <f t="shared" si="60"/>
        <v>41.065481657600003</v>
      </c>
      <c r="R174" s="187">
        <f t="shared" si="60"/>
        <v>54.754736057600006</v>
      </c>
      <c r="S174" s="6">
        <v>0</v>
      </c>
      <c r="T174" s="104">
        <f t="shared" si="77"/>
        <v>29.99</v>
      </c>
      <c r="U174" s="187">
        <f t="shared" si="61"/>
        <v>6.8423456576000001</v>
      </c>
      <c r="V174" s="188">
        <f t="shared" si="62"/>
        <v>0</v>
      </c>
      <c r="W174" s="189">
        <f t="shared" si="63"/>
        <v>0</v>
      </c>
      <c r="X174" s="104">
        <f t="shared" si="78"/>
        <v>39.99</v>
      </c>
      <c r="Y174" s="187">
        <f t="shared" si="64"/>
        <v>9.1238880576000003</v>
      </c>
      <c r="Z174" s="188">
        <f t="shared" si="65"/>
        <v>0</v>
      </c>
      <c r="AA174" s="189">
        <f t="shared" si="66"/>
        <v>0</v>
      </c>
      <c r="AB174" s="185">
        <f t="shared" si="67"/>
        <v>1.3334444814938313</v>
      </c>
      <c r="AC174" s="104">
        <f t="shared" si="79"/>
        <v>179.99</v>
      </c>
      <c r="AD174" s="187">
        <f t="shared" si="68"/>
        <v>41.065481657600003</v>
      </c>
      <c r="AE174" s="188">
        <f t="shared" si="69"/>
        <v>0</v>
      </c>
      <c r="AF174" s="189">
        <f t="shared" si="70"/>
        <v>0</v>
      </c>
      <c r="AG174" s="185">
        <f t="shared" si="71"/>
        <v>6.0016672224074696</v>
      </c>
      <c r="AH174" s="104">
        <f t="shared" si="80"/>
        <v>239.99</v>
      </c>
      <c r="AI174" s="187">
        <f t="shared" si="72"/>
        <v>54.754736057600006</v>
      </c>
      <c r="AJ174" s="188">
        <f t="shared" si="73"/>
        <v>0</v>
      </c>
      <c r="AK174" s="189">
        <f t="shared" si="74"/>
        <v>0</v>
      </c>
      <c r="AL174" s="185">
        <f t="shared" si="75"/>
        <v>6.0012503125781445</v>
      </c>
      <c r="AM174" s="6" t="str">
        <f t="shared" si="81"/>
        <v>30% Off SL / Annual</v>
      </c>
      <c r="AN174" s="6" t="str">
        <f t="shared" si="82"/>
        <v>15% Off All SKUs</v>
      </c>
      <c r="AO174" s="6" t="str">
        <f t="shared" si="76"/>
        <v>Monthly: 100% Off Next Month</v>
      </c>
      <c r="AP174" s="6" t="str">
        <f t="shared" si="83"/>
        <v>50% Off SL / Annual</v>
      </c>
    </row>
    <row r="175" spans="2:42" ht="13">
      <c r="B175" s="20" t="s">
        <v>244</v>
      </c>
      <c r="C175" s="20" t="s">
        <v>96</v>
      </c>
      <c r="D175" s="6" t="s">
        <v>478</v>
      </c>
      <c r="F175" s="11" t="str">
        <f>+VLOOKUP($B175,'[1]INT Web'!$B$5:$AS$247,'[1]INT Web'!$Q$1,FALSE)</f>
        <v>PYG</v>
      </c>
      <c r="G175" s="22">
        <f>+VLOOKUP($B175,'[1]INT Web'!$B$5:$AS$247,'[1]INT Web'!$U$1,FALSE)</f>
        <v>68800</v>
      </c>
      <c r="H175" s="22">
        <f>+VLOOKUP($B175,'[1]INT Web'!$B$5:$AS$247,'[1]INT Web'!$S$1,FALSE)</f>
        <v>92880</v>
      </c>
      <c r="I175" s="22">
        <f>+VLOOKUP($B175,'[1]INT Web'!$B$5:$AS$247,'[1]INT Web'!$T$1,FALSE)</f>
        <v>412800</v>
      </c>
      <c r="J175" s="22">
        <f>+VLOOKUP($B175,'[1]INT Web'!$B$5:$AS$247,'[1]INT Web'!$R$1,FALSE)</f>
        <v>557280</v>
      </c>
      <c r="K175" s="185">
        <f t="shared" si="58"/>
        <v>6</v>
      </c>
      <c r="L175" s="185">
        <f t="shared" si="58"/>
        <v>6</v>
      </c>
      <c r="M175" s="185">
        <f t="shared" si="59"/>
        <v>1.35</v>
      </c>
      <c r="N175" s="186">
        <v>1.6284192999999999E-4</v>
      </c>
      <c r="O175" s="187">
        <f t="shared" si="60"/>
        <v>11.203524783999999</v>
      </c>
      <c r="P175" s="187">
        <f t="shared" si="60"/>
        <v>15.124758458399999</v>
      </c>
      <c r="Q175" s="187">
        <f t="shared" si="60"/>
        <v>67.221148704000001</v>
      </c>
      <c r="R175" s="187">
        <f t="shared" si="60"/>
        <v>90.7485507504</v>
      </c>
      <c r="S175" s="6" t="s">
        <v>485</v>
      </c>
      <c r="T175" s="104">
        <f t="shared" si="77"/>
        <v>68800</v>
      </c>
      <c r="U175" s="187">
        <f t="shared" si="61"/>
        <v>11.203524783999999</v>
      </c>
      <c r="V175" s="188">
        <f t="shared" si="62"/>
        <v>0</v>
      </c>
      <c r="W175" s="189">
        <f t="shared" si="63"/>
        <v>0</v>
      </c>
      <c r="X175" s="104">
        <f t="shared" si="78"/>
        <v>92880</v>
      </c>
      <c r="Y175" s="187">
        <f t="shared" si="64"/>
        <v>15.124758458399999</v>
      </c>
      <c r="Z175" s="188">
        <f t="shared" si="65"/>
        <v>0</v>
      </c>
      <c r="AA175" s="189">
        <f t="shared" si="66"/>
        <v>0</v>
      </c>
      <c r="AB175" s="185">
        <f t="shared" si="67"/>
        <v>1.35</v>
      </c>
      <c r="AC175" s="104">
        <f t="shared" si="79"/>
        <v>412800</v>
      </c>
      <c r="AD175" s="187">
        <f t="shared" si="68"/>
        <v>67.221148704000001</v>
      </c>
      <c r="AE175" s="188">
        <f t="shared" si="69"/>
        <v>0</v>
      </c>
      <c r="AF175" s="189">
        <f t="shared" si="70"/>
        <v>0</v>
      </c>
      <c r="AG175" s="185">
        <f t="shared" si="71"/>
        <v>6</v>
      </c>
      <c r="AH175" s="104">
        <f t="shared" si="80"/>
        <v>557280</v>
      </c>
      <c r="AI175" s="187">
        <f t="shared" si="72"/>
        <v>90.7485507504</v>
      </c>
      <c r="AJ175" s="188">
        <f t="shared" si="73"/>
        <v>0</v>
      </c>
      <c r="AK175" s="189">
        <f t="shared" si="74"/>
        <v>0</v>
      </c>
      <c r="AL175" s="185">
        <f t="shared" si="75"/>
        <v>6</v>
      </c>
      <c r="AM175" s="6" t="str">
        <f t="shared" si="81"/>
        <v>30% Off SL / Annual</v>
      </c>
      <c r="AN175" s="6" t="str">
        <f t="shared" si="82"/>
        <v>Messaging Only</v>
      </c>
      <c r="AO175" s="6" t="str">
        <f t="shared" si="76"/>
        <v>Messaging / Pause Flow</v>
      </c>
      <c r="AP175" s="6" t="str">
        <f t="shared" si="83"/>
        <v>50% Off LPP Only</v>
      </c>
    </row>
    <row r="176" spans="2:42" ht="13">
      <c r="B176" s="20" t="s">
        <v>245</v>
      </c>
      <c r="C176" s="20" t="s">
        <v>96</v>
      </c>
      <c r="D176" s="6" t="s">
        <v>478</v>
      </c>
      <c r="F176" s="11" t="str">
        <f>+VLOOKUP($B176,'[1]INT Web'!$B$5:$AS$247,'[1]INT Web'!$Q$1,FALSE)</f>
        <v>PEN</v>
      </c>
      <c r="G176" s="22">
        <f>+VLOOKUP($B176,'[1]INT Web'!$B$5:$AS$247,'[1]INT Web'!$U$1,FALSE)</f>
        <v>46.99</v>
      </c>
      <c r="H176" s="22">
        <f>+VLOOKUP($B176,'[1]INT Web'!$B$5:$AS$247,'[1]INT Web'!$S$1,FALSE)</f>
        <v>62.99</v>
      </c>
      <c r="I176" s="22">
        <f>+VLOOKUP($B176,'[1]INT Web'!$B$5:$AS$247,'[1]INT Web'!$T$1,FALSE)</f>
        <v>281.99</v>
      </c>
      <c r="J176" s="22">
        <f>+VLOOKUP($B176,'[1]INT Web'!$B$5:$AS$247,'[1]INT Web'!$R$1,FALSE)</f>
        <v>377.99</v>
      </c>
      <c r="K176" s="185">
        <f t="shared" si="58"/>
        <v>6.001064056182166</v>
      </c>
      <c r="L176" s="185">
        <f t="shared" si="58"/>
        <v>6.0007937767899664</v>
      </c>
      <c r="M176" s="185">
        <f t="shared" si="59"/>
        <v>1.3404979782932538</v>
      </c>
      <c r="N176" s="186">
        <v>0.29590178</v>
      </c>
      <c r="O176" s="187">
        <f t="shared" si="60"/>
        <v>13.9044246422</v>
      </c>
      <c r="P176" s="187">
        <f t="shared" si="60"/>
        <v>18.6388531222</v>
      </c>
      <c r="Q176" s="187">
        <f t="shared" si="60"/>
        <v>83.441342942200009</v>
      </c>
      <c r="R176" s="187">
        <f t="shared" si="60"/>
        <v>111.8479138222</v>
      </c>
      <c r="S176" s="132" t="s">
        <v>484</v>
      </c>
      <c r="T176" s="104">
        <f t="shared" si="77"/>
        <v>46.99</v>
      </c>
      <c r="U176" s="187">
        <f t="shared" si="61"/>
        <v>13.9044246422</v>
      </c>
      <c r="V176" s="188">
        <f t="shared" si="62"/>
        <v>0</v>
      </c>
      <c r="W176" s="189">
        <f t="shared" si="63"/>
        <v>0</v>
      </c>
      <c r="X176" s="104">
        <f t="shared" si="78"/>
        <v>62.99</v>
      </c>
      <c r="Y176" s="187">
        <f t="shared" si="64"/>
        <v>18.6388531222</v>
      </c>
      <c r="Z176" s="188">
        <f t="shared" si="65"/>
        <v>0</v>
      </c>
      <c r="AA176" s="189">
        <f t="shared" si="66"/>
        <v>0</v>
      </c>
      <c r="AB176" s="185">
        <f t="shared" si="67"/>
        <v>1.3404979782932538</v>
      </c>
      <c r="AC176" s="104">
        <f t="shared" si="79"/>
        <v>281.99</v>
      </c>
      <c r="AD176" s="187">
        <f t="shared" si="68"/>
        <v>83.441342942200009</v>
      </c>
      <c r="AE176" s="188">
        <f t="shared" si="69"/>
        <v>0</v>
      </c>
      <c r="AF176" s="189">
        <f t="shared" si="70"/>
        <v>0</v>
      </c>
      <c r="AG176" s="185">
        <f t="shared" si="71"/>
        <v>6.001064056182166</v>
      </c>
      <c r="AH176" s="104">
        <f t="shared" si="80"/>
        <v>377.99</v>
      </c>
      <c r="AI176" s="187">
        <f t="shared" si="72"/>
        <v>111.8479138222</v>
      </c>
      <c r="AJ176" s="188">
        <f t="shared" si="73"/>
        <v>0</v>
      </c>
      <c r="AK176" s="189">
        <f t="shared" si="74"/>
        <v>0</v>
      </c>
      <c r="AL176" s="185">
        <f t="shared" si="75"/>
        <v>6.0007937767899664</v>
      </c>
      <c r="AM176" s="6" t="str">
        <f t="shared" si="81"/>
        <v>30% Off SL / Annual</v>
      </c>
      <c r="AN176" s="6" t="str">
        <f t="shared" si="82"/>
        <v>Messaging Only</v>
      </c>
      <c r="AO176" s="6" t="str">
        <f t="shared" si="76"/>
        <v>Messaging / Pause Flow</v>
      </c>
      <c r="AP176" s="6" t="str">
        <f t="shared" si="83"/>
        <v>50% Off LPP Only</v>
      </c>
    </row>
    <row r="177" spans="2:42" ht="13">
      <c r="B177" s="20" t="s">
        <v>246</v>
      </c>
      <c r="C177" s="20" t="s">
        <v>182</v>
      </c>
      <c r="D177" s="6" t="s">
        <v>492</v>
      </c>
      <c r="E177" s="6" t="s">
        <v>490</v>
      </c>
      <c r="F177" s="11" t="str">
        <f>+VLOOKUP($B177,'[1]INT Web'!$B$5:$AS$247,'[1]INT Web'!$Q$1,FALSE)</f>
        <v>PHP</v>
      </c>
      <c r="G177" s="22">
        <f>+VLOOKUP($B177,'[1]INT Web'!$B$5:$AS$247,'[1]INT Web'!$U$1,FALSE)</f>
        <v>559</v>
      </c>
      <c r="H177" s="22">
        <f>+VLOOKUP($B177,'[1]INT Web'!$B$5:$AS$247,'[1]INT Web'!$S$1,FALSE)</f>
        <v>839</v>
      </c>
      <c r="I177" s="22">
        <f>+VLOOKUP($B177,'[1]INT Web'!$B$5:$AS$247,'[1]INT Web'!$T$1,FALSE)</f>
        <v>3919</v>
      </c>
      <c r="J177" s="22">
        <f>+VLOOKUP($B177,'[1]INT Web'!$B$5:$AS$247,'[1]INT Web'!$R$1,FALSE)</f>
        <v>5039</v>
      </c>
      <c r="K177" s="185">
        <f t="shared" si="58"/>
        <v>7.010733452593918</v>
      </c>
      <c r="L177" s="185">
        <f t="shared" si="58"/>
        <v>6.0059594755661498</v>
      </c>
      <c r="M177" s="185">
        <f t="shared" si="59"/>
        <v>1.5008944543828264</v>
      </c>
      <c r="N177" s="186">
        <v>1.6447369E-2</v>
      </c>
      <c r="O177" s="187">
        <f t="shared" si="60"/>
        <v>9.1940792709999997</v>
      </c>
      <c r="P177" s="187">
        <f t="shared" si="60"/>
        <v>13.799342591</v>
      </c>
      <c r="Q177" s="187">
        <f t="shared" si="60"/>
        <v>64.457239110999993</v>
      </c>
      <c r="R177" s="187">
        <f t="shared" si="60"/>
        <v>82.878292391000002</v>
      </c>
      <c r="S177" s="132" t="s">
        <v>488</v>
      </c>
      <c r="T177" s="104">
        <f t="shared" si="77"/>
        <v>559</v>
      </c>
      <c r="U177" s="187">
        <f t="shared" si="61"/>
        <v>9.1940792709999997</v>
      </c>
      <c r="V177" s="188">
        <f t="shared" si="62"/>
        <v>0</v>
      </c>
      <c r="W177" s="189">
        <f t="shared" si="63"/>
        <v>0</v>
      </c>
      <c r="X177" s="104">
        <f t="shared" si="78"/>
        <v>839</v>
      </c>
      <c r="Y177" s="187">
        <f t="shared" si="64"/>
        <v>13.799342591</v>
      </c>
      <c r="Z177" s="188">
        <f t="shared" si="65"/>
        <v>0</v>
      </c>
      <c r="AA177" s="189">
        <f t="shared" si="66"/>
        <v>0</v>
      </c>
      <c r="AB177" s="185">
        <f t="shared" si="67"/>
        <v>1.5008944543828264</v>
      </c>
      <c r="AC177" s="104">
        <f t="shared" si="79"/>
        <v>3919</v>
      </c>
      <c r="AD177" s="187">
        <f t="shared" si="68"/>
        <v>64.457239110999993</v>
      </c>
      <c r="AE177" s="188">
        <f t="shared" si="69"/>
        <v>0</v>
      </c>
      <c r="AF177" s="189">
        <f t="shared" si="70"/>
        <v>0</v>
      </c>
      <c r="AG177" s="185">
        <f t="shared" si="71"/>
        <v>7.010733452593918</v>
      </c>
      <c r="AH177" s="104">
        <f t="shared" si="80"/>
        <v>5039</v>
      </c>
      <c r="AI177" s="187">
        <f t="shared" si="72"/>
        <v>82.878292391000002</v>
      </c>
      <c r="AJ177" s="188">
        <f t="shared" si="73"/>
        <v>0</v>
      </c>
      <c r="AK177" s="189">
        <f t="shared" si="74"/>
        <v>0</v>
      </c>
      <c r="AL177" s="185">
        <f t="shared" si="75"/>
        <v>6.0059594755661498</v>
      </c>
      <c r="AM177" s="6" t="str">
        <f t="shared" si="81"/>
        <v>30% Off SL / Annual</v>
      </c>
      <c r="AN177" s="6" t="str">
        <f t="shared" si="82"/>
        <v>Messaging Only</v>
      </c>
      <c r="AO177" s="6" t="str">
        <f t="shared" si="76"/>
        <v>Messaging / Pause Flow</v>
      </c>
      <c r="AP177" s="6" t="str">
        <f t="shared" si="83"/>
        <v>50% Off LPP Only</v>
      </c>
    </row>
    <row r="178" spans="2:42" ht="13">
      <c r="B178" s="20" t="s">
        <v>247</v>
      </c>
      <c r="C178" s="20" t="s">
        <v>182</v>
      </c>
      <c r="D178" s="6"/>
      <c r="E178" s="6" t="str">
        <f>IF(VLOOKUP(B178,'[7]FY25 PRICING'!$B$5:$AL$246,'[7]FY25 PRICING'!$E$1,FALSE)=0,"","x")</f>
        <v/>
      </c>
      <c r="F178" s="11" t="str">
        <f>+VLOOKUP($B178,'[1]INT Web'!$B$5:$AS$247,'[1]INT Web'!$Q$1,FALSE)</f>
        <v>NZD</v>
      </c>
      <c r="G178" s="22">
        <f>+VLOOKUP($B178,'[1]INT Web'!$B$5:$AS$247,'[1]INT Web'!$U$1,FALSE)</f>
        <v>13.99</v>
      </c>
      <c r="H178" s="22">
        <f>+VLOOKUP($B178,'[1]INT Web'!$B$5:$AS$247,'[1]INT Web'!$S$1,FALSE)</f>
        <v>18.989999999999998</v>
      </c>
      <c r="I178" s="22">
        <f>+VLOOKUP($B178,'[1]INT Web'!$B$5:$AS$247,'[1]INT Web'!$T$1,FALSE)</f>
        <v>83.99</v>
      </c>
      <c r="J178" s="22">
        <f>+VLOOKUP($B178,'[1]INT Web'!$B$5:$AS$247,'[1]INT Web'!$R$1,FALSE)</f>
        <v>113.99</v>
      </c>
      <c r="K178" s="185">
        <f t="shared" si="58"/>
        <v>6.003573981415296</v>
      </c>
      <c r="L178" s="185">
        <f t="shared" si="58"/>
        <v>6.0026329647182726</v>
      </c>
      <c r="M178" s="185">
        <f t="shared" si="59"/>
        <v>1.3573981415296639</v>
      </c>
      <c r="N178" s="186">
        <v>0.57384999999999997</v>
      </c>
      <c r="O178" s="187">
        <f t="shared" si="60"/>
        <v>8.0281614999999995</v>
      </c>
      <c r="P178" s="187">
        <f t="shared" si="60"/>
        <v>10.897411499999999</v>
      </c>
      <c r="Q178" s="187">
        <f t="shared" si="60"/>
        <v>48.197661499999995</v>
      </c>
      <c r="R178" s="187">
        <f t="shared" si="60"/>
        <v>65.413161499999987</v>
      </c>
      <c r="S178" s="6">
        <v>0</v>
      </c>
      <c r="T178" s="104">
        <f t="shared" si="77"/>
        <v>13.99</v>
      </c>
      <c r="U178" s="187">
        <f t="shared" si="61"/>
        <v>8.0281614999999995</v>
      </c>
      <c r="V178" s="188">
        <f t="shared" si="62"/>
        <v>0</v>
      </c>
      <c r="W178" s="189">
        <f t="shared" si="63"/>
        <v>0</v>
      </c>
      <c r="X178" s="104">
        <f t="shared" si="78"/>
        <v>18.989999999999998</v>
      </c>
      <c r="Y178" s="187">
        <f t="shared" si="64"/>
        <v>10.897411499999999</v>
      </c>
      <c r="Z178" s="188">
        <f t="shared" si="65"/>
        <v>0</v>
      </c>
      <c r="AA178" s="189">
        <f t="shared" si="66"/>
        <v>0</v>
      </c>
      <c r="AB178" s="185">
        <f t="shared" si="67"/>
        <v>1.3573981415296639</v>
      </c>
      <c r="AC178" s="104">
        <f t="shared" si="79"/>
        <v>83.99</v>
      </c>
      <c r="AD178" s="187">
        <f t="shared" si="68"/>
        <v>48.197661499999995</v>
      </c>
      <c r="AE178" s="188">
        <f t="shared" si="69"/>
        <v>0</v>
      </c>
      <c r="AF178" s="189">
        <f t="shared" si="70"/>
        <v>0</v>
      </c>
      <c r="AG178" s="185">
        <f t="shared" si="71"/>
        <v>6.003573981415296</v>
      </c>
      <c r="AH178" s="104">
        <f t="shared" si="80"/>
        <v>113.99</v>
      </c>
      <c r="AI178" s="187">
        <f t="shared" si="72"/>
        <v>65.413161499999987</v>
      </c>
      <c r="AJ178" s="188">
        <f t="shared" si="73"/>
        <v>0</v>
      </c>
      <c r="AK178" s="189">
        <f t="shared" si="74"/>
        <v>0</v>
      </c>
      <c r="AL178" s="185">
        <f t="shared" si="75"/>
        <v>6.0026329647182726</v>
      </c>
      <c r="AM178" s="6" t="str">
        <f t="shared" si="81"/>
        <v>30% Off SL / Annual</v>
      </c>
      <c r="AN178" s="6" t="str">
        <f t="shared" si="82"/>
        <v>15% Off All SKUs</v>
      </c>
      <c r="AO178" s="6" t="str">
        <f t="shared" si="76"/>
        <v>Monthly: 100% Off Next Month</v>
      </c>
      <c r="AP178" s="6" t="str">
        <f t="shared" si="83"/>
        <v>50% Off SL / Annual</v>
      </c>
    </row>
    <row r="179" spans="2:42" ht="13">
      <c r="B179" s="199" t="s">
        <v>248</v>
      </c>
      <c r="C179" s="199" t="s">
        <v>100</v>
      </c>
      <c r="D179" s="6" t="s">
        <v>480</v>
      </c>
      <c r="E179" s="6" t="s">
        <v>483</v>
      </c>
      <c r="F179" s="11" t="str">
        <f>+VLOOKUP($B179,'[1]INT Web'!$B$5:$AS$247,'[1]INT Web'!$Q$1,FALSE)</f>
        <v>PLN</v>
      </c>
      <c r="G179" s="22">
        <f>+VLOOKUP($B179,'[1]INT Web'!$B$5:$AS$247,'[1]INT Web'!$U$1,FALSE)</f>
        <v>61.99</v>
      </c>
      <c r="H179" s="22">
        <f>+VLOOKUP($B179,'[1]INT Web'!$B$5:$AS$247,'[1]INT Web'!$S$1,FALSE)</f>
        <v>82.99</v>
      </c>
      <c r="I179" s="22">
        <f>+VLOOKUP($B179,'[1]INT Web'!$B$5:$AS$247,'[1]INT Web'!$T$1,FALSE)</f>
        <v>399.99</v>
      </c>
      <c r="J179" s="22">
        <f>+VLOOKUP($B179,'[1]INT Web'!$B$5:$AS$247,'[1]INT Web'!$R$1,FALSE)</f>
        <v>539.99</v>
      </c>
      <c r="K179" s="185">
        <f t="shared" si="58"/>
        <v>6.4524923374737861</v>
      </c>
      <c r="L179" s="185">
        <f t="shared" si="58"/>
        <v>6.506687552717195</v>
      </c>
      <c r="M179" s="185">
        <f t="shared" si="59"/>
        <v>1.3387643168252943</v>
      </c>
      <c r="N179" s="186">
        <v>0.26942196000000002</v>
      </c>
      <c r="O179" s="187">
        <f t="shared" si="60"/>
        <v>16.701467300400001</v>
      </c>
      <c r="P179" s="187">
        <f t="shared" si="60"/>
        <v>22.3593284604</v>
      </c>
      <c r="Q179" s="187">
        <f t="shared" si="60"/>
        <v>107.76608978040001</v>
      </c>
      <c r="R179" s="187">
        <f t="shared" si="60"/>
        <v>145.48516418040001</v>
      </c>
      <c r="S179" s="6" t="s">
        <v>486</v>
      </c>
      <c r="T179" s="104">
        <f t="shared" si="77"/>
        <v>61.99</v>
      </c>
      <c r="U179" s="187">
        <f t="shared" si="61"/>
        <v>16.701467300400001</v>
      </c>
      <c r="V179" s="188">
        <f t="shared" si="62"/>
        <v>0</v>
      </c>
      <c r="W179" s="189">
        <f t="shared" si="63"/>
        <v>0</v>
      </c>
      <c r="X179" s="104">
        <f t="shared" si="78"/>
        <v>82.99</v>
      </c>
      <c r="Y179" s="187">
        <f t="shared" si="64"/>
        <v>22.3593284604</v>
      </c>
      <c r="Z179" s="188">
        <f t="shared" si="65"/>
        <v>0</v>
      </c>
      <c r="AA179" s="189">
        <f t="shared" si="66"/>
        <v>0</v>
      </c>
      <c r="AB179" s="185">
        <f t="shared" si="67"/>
        <v>1.3387643168252943</v>
      </c>
      <c r="AC179" s="104">
        <f t="shared" si="79"/>
        <v>399.99</v>
      </c>
      <c r="AD179" s="187">
        <f t="shared" si="68"/>
        <v>107.76608978040001</v>
      </c>
      <c r="AE179" s="188">
        <f t="shared" si="69"/>
        <v>0</v>
      </c>
      <c r="AF179" s="189">
        <f t="shared" si="70"/>
        <v>0</v>
      </c>
      <c r="AG179" s="185">
        <f t="shared" si="71"/>
        <v>6.4524923374737861</v>
      </c>
      <c r="AH179" s="104">
        <f t="shared" si="80"/>
        <v>539.99</v>
      </c>
      <c r="AI179" s="187">
        <f t="shared" si="72"/>
        <v>145.48516418040001</v>
      </c>
      <c r="AJ179" s="188">
        <f t="shared" si="73"/>
        <v>0</v>
      </c>
      <c r="AK179" s="189">
        <f t="shared" si="74"/>
        <v>0</v>
      </c>
      <c r="AL179" s="185">
        <f t="shared" si="75"/>
        <v>6.506687552717195</v>
      </c>
      <c r="AM179" s="6" t="str">
        <f t="shared" si="81"/>
        <v>30% Off SL / Annual</v>
      </c>
      <c r="AN179" s="6" t="str">
        <f t="shared" si="82"/>
        <v>Messaging Only</v>
      </c>
      <c r="AO179" s="6" t="str">
        <f t="shared" si="76"/>
        <v>Messaging / Pause Flow</v>
      </c>
      <c r="AP179" s="6" t="str">
        <f t="shared" si="83"/>
        <v>50% Off SL / Annual</v>
      </c>
    </row>
    <row r="180" spans="2:42" ht="13">
      <c r="B180" s="20" t="s">
        <v>249</v>
      </c>
      <c r="C180" s="20" t="s">
        <v>100</v>
      </c>
      <c r="D180" s="6" t="s">
        <v>478</v>
      </c>
      <c r="E180" s="6" t="str">
        <f>IF(VLOOKUP(B180,'[7]FY25 PRICING'!$B$5:$AL$246,'[7]FY25 PRICING'!$E$1,FALSE)=0,"","x")</f>
        <v/>
      </c>
      <c r="F180" s="11" t="str">
        <f>+VLOOKUP($B180,'[1]INT Web'!$B$5:$AS$247,'[1]INT Web'!$Q$1,FALSE)</f>
        <v>EUR</v>
      </c>
      <c r="G180" s="22">
        <f>+VLOOKUP($B180,'[1]INT Web'!$B$5:$AS$247,'[1]INT Web'!$U$1,FALSE)</f>
        <v>14.99</v>
      </c>
      <c r="H180" s="22">
        <f>+VLOOKUP($B180,'[1]INT Web'!$B$5:$AS$247,'[1]INT Web'!$S$1,FALSE)</f>
        <v>19.989999999999998</v>
      </c>
      <c r="I180" s="22">
        <f>+VLOOKUP($B180,'[1]INT Web'!$B$5:$AS$247,'[1]INT Web'!$T$1,FALSE)</f>
        <v>97.99</v>
      </c>
      <c r="J180" s="22">
        <f>+VLOOKUP($B180,'[1]INT Web'!$B$5:$AS$247,'[1]INT Web'!$R$1,FALSE)</f>
        <v>129.99</v>
      </c>
      <c r="K180" s="185">
        <f t="shared" si="58"/>
        <v>6.5370246831220813</v>
      </c>
      <c r="L180" s="185">
        <f t="shared" si="58"/>
        <v>6.5027513756878452</v>
      </c>
      <c r="M180" s="185">
        <f t="shared" si="59"/>
        <v>1.333555703802535</v>
      </c>
      <c r="N180" s="186">
        <v>1.1469499999999999</v>
      </c>
      <c r="O180" s="187">
        <f t="shared" si="60"/>
        <v>17.192780499999998</v>
      </c>
      <c r="P180" s="187">
        <f t="shared" si="60"/>
        <v>22.927530499999996</v>
      </c>
      <c r="Q180" s="187">
        <f t="shared" si="60"/>
        <v>112.38963049999998</v>
      </c>
      <c r="R180" s="187">
        <f t="shared" si="60"/>
        <v>149.09203049999999</v>
      </c>
      <c r="S180" s="132" t="s">
        <v>484</v>
      </c>
      <c r="T180" s="104">
        <f t="shared" si="77"/>
        <v>14.99</v>
      </c>
      <c r="U180" s="187">
        <f t="shared" si="61"/>
        <v>17.192780499999998</v>
      </c>
      <c r="V180" s="188">
        <f t="shared" si="62"/>
        <v>0</v>
      </c>
      <c r="W180" s="189">
        <f t="shared" si="63"/>
        <v>0</v>
      </c>
      <c r="X180" s="104">
        <f t="shared" si="78"/>
        <v>19.989999999999998</v>
      </c>
      <c r="Y180" s="187">
        <f t="shared" si="64"/>
        <v>22.927530499999996</v>
      </c>
      <c r="Z180" s="188">
        <f t="shared" si="65"/>
        <v>0</v>
      </c>
      <c r="AA180" s="189">
        <f t="shared" si="66"/>
        <v>0</v>
      </c>
      <c r="AB180" s="185">
        <f t="shared" si="67"/>
        <v>1.333555703802535</v>
      </c>
      <c r="AC180" s="104">
        <f t="shared" si="79"/>
        <v>97.99</v>
      </c>
      <c r="AD180" s="187">
        <f t="shared" si="68"/>
        <v>112.38963049999998</v>
      </c>
      <c r="AE180" s="188">
        <f t="shared" si="69"/>
        <v>0</v>
      </c>
      <c r="AF180" s="189">
        <f t="shared" si="70"/>
        <v>0</v>
      </c>
      <c r="AG180" s="185">
        <f t="shared" si="71"/>
        <v>6.5370246831220813</v>
      </c>
      <c r="AH180" s="104">
        <f t="shared" si="80"/>
        <v>129.99</v>
      </c>
      <c r="AI180" s="187">
        <f t="shared" si="72"/>
        <v>149.09203049999999</v>
      </c>
      <c r="AJ180" s="188">
        <f t="shared" si="73"/>
        <v>0</v>
      </c>
      <c r="AK180" s="189">
        <f t="shared" si="74"/>
        <v>0</v>
      </c>
      <c r="AL180" s="185">
        <f t="shared" si="75"/>
        <v>6.5027513756878452</v>
      </c>
      <c r="AM180" s="6" t="str">
        <f t="shared" si="81"/>
        <v>30% Off SL / Annual</v>
      </c>
      <c r="AN180" s="6" t="str">
        <f t="shared" si="82"/>
        <v>Messaging Only</v>
      </c>
      <c r="AO180" s="6" t="str">
        <f t="shared" si="76"/>
        <v>Messaging / Pause Flow</v>
      </c>
      <c r="AP180" s="6" t="str">
        <f t="shared" si="83"/>
        <v>50% Off LPP Only</v>
      </c>
    </row>
    <row r="181" spans="2:42" ht="13">
      <c r="B181" s="20" t="s">
        <v>250</v>
      </c>
      <c r="C181" s="20" t="s">
        <v>275</v>
      </c>
      <c r="D181" s="6"/>
      <c r="E181" s="6" t="str">
        <f>IF(VLOOKUP(B181,'[7]FY25 PRICING'!$B$5:$AL$246,'[7]FY25 PRICING'!$E$1,FALSE)=0,"","x")</f>
        <v/>
      </c>
      <c r="F181" s="11" t="str">
        <f>+VLOOKUP($B181,'[1]INT Web'!$B$5:$AS$247,'[1]INT Web'!$Q$1,FALSE)</f>
        <v>QAR</v>
      </c>
      <c r="G181" s="22">
        <f>+VLOOKUP($B181,'[1]INT Web'!$B$5:$AS$247,'[1]INT Web'!$U$1,FALSE)</f>
        <v>74.989999999999995</v>
      </c>
      <c r="H181" s="22">
        <f>+VLOOKUP($B181,'[1]INT Web'!$B$5:$AS$247,'[1]INT Web'!$S$1,FALSE)</f>
        <v>96.99</v>
      </c>
      <c r="I181" s="22">
        <f>+VLOOKUP($B181,'[1]INT Web'!$B$5:$AS$247,'[1]INT Web'!$T$1,FALSE)</f>
        <v>524.99</v>
      </c>
      <c r="J181" s="22">
        <f>+VLOOKUP($B181,'[1]INT Web'!$B$5:$AS$247,'[1]INT Web'!$R$1,FALSE)</f>
        <v>679.99</v>
      </c>
      <c r="K181" s="185">
        <f t="shared" si="58"/>
        <v>7.0008001066808916</v>
      </c>
      <c r="L181" s="185">
        <f t="shared" si="58"/>
        <v>7.0109289617486343</v>
      </c>
      <c r="M181" s="185">
        <f t="shared" si="59"/>
        <v>1.2933724496599546</v>
      </c>
      <c r="N181" s="186">
        <v>0.27464982999999998</v>
      </c>
      <c r="O181" s="187">
        <f t="shared" si="60"/>
        <v>20.595990751699997</v>
      </c>
      <c r="P181" s="187">
        <f t="shared" si="60"/>
        <v>26.638287011699997</v>
      </c>
      <c r="Q181" s="187">
        <f t="shared" si="60"/>
        <v>144.18841425169998</v>
      </c>
      <c r="R181" s="187">
        <f t="shared" si="60"/>
        <v>186.7591379017</v>
      </c>
      <c r="S181" s="6" t="s">
        <v>486</v>
      </c>
      <c r="T181" s="104">
        <f t="shared" si="77"/>
        <v>74.989999999999995</v>
      </c>
      <c r="U181" s="187">
        <f t="shared" si="61"/>
        <v>20.595990751699997</v>
      </c>
      <c r="V181" s="188">
        <f t="shared" si="62"/>
        <v>0</v>
      </c>
      <c r="W181" s="189">
        <f t="shared" si="63"/>
        <v>0</v>
      </c>
      <c r="X181" s="104">
        <f t="shared" si="78"/>
        <v>96.99</v>
      </c>
      <c r="Y181" s="187">
        <f t="shared" si="64"/>
        <v>26.638287011699997</v>
      </c>
      <c r="Z181" s="188">
        <f t="shared" si="65"/>
        <v>0</v>
      </c>
      <c r="AA181" s="189">
        <f t="shared" si="66"/>
        <v>0</v>
      </c>
      <c r="AB181" s="185">
        <f t="shared" si="67"/>
        <v>1.2933724496599546</v>
      </c>
      <c r="AC181" s="104">
        <f t="shared" si="79"/>
        <v>524.99</v>
      </c>
      <c r="AD181" s="187">
        <f t="shared" si="68"/>
        <v>144.18841425169998</v>
      </c>
      <c r="AE181" s="188">
        <f t="shared" si="69"/>
        <v>0</v>
      </c>
      <c r="AF181" s="189">
        <f t="shared" si="70"/>
        <v>0</v>
      </c>
      <c r="AG181" s="185">
        <f t="shared" si="71"/>
        <v>7.0008001066808916</v>
      </c>
      <c r="AH181" s="104">
        <f t="shared" si="80"/>
        <v>679.99</v>
      </c>
      <c r="AI181" s="187">
        <f t="shared" si="72"/>
        <v>186.7591379017</v>
      </c>
      <c r="AJ181" s="188">
        <f t="shared" si="73"/>
        <v>0</v>
      </c>
      <c r="AK181" s="189">
        <f t="shared" si="74"/>
        <v>0</v>
      </c>
      <c r="AL181" s="185">
        <f t="shared" si="75"/>
        <v>7.0109289617486343</v>
      </c>
      <c r="AM181" s="6" t="str">
        <f t="shared" si="81"/>
        <v>30% Off SL / Annual</v>
      </c>
      <c r="AN181" s="6" t="str">
        <f t="shared" si="82"/>
        <v>Messaging Only</v>
      </c>
      <c r="AO181" s="6" t="str">
        <f t="shared" si="76"/>
        <v>Messaging / Pause Flow</v>
      </c>
      <c r="AP181" s="6" t="str">
        <f t="shared" si="83"/>
        <v>50% Off SL / Annual</v>
      </c>
    </row>
    <row r="182" spans="2:42" ht="13">
      <c r="B182" s="20" t="s">
        <v>251</v>
      </c>
      <c r="C182" s="21" t="s">
        <v>100</v>
      </c>
      <c r="D182" s="6"/>
      <c r="E182" s="6" t="str">
        <f>IF(VLOOKUP(B182,'[7]FY25 PRICING'!$B$5:$AL$246,'[7]FY25 PRICING'!$E$1,FALSE)=0,"","x")</f>
        <v/>
      </c>
      <c r="F182" s="11" t="str">
        <f>+VLOOKUP($B182,'[1]INT Web'!$B$5:$AS$247,'[1]INT Web'!$Q$1,FALSE)</f>
        <v>EUR</v>
      </c>
      <c r="G182" s="136">
        <f>+VLOOKUP($B182,'[1]INT Web'!$B$5:$AS$247,'[1]INT Web'!$U$1,FALSE)</f>
        <v>9.99</v>
      </c>
      <c r="H182" s="136">
        <f>+VLOOKUP($B182,'[1]INT Web'!$B$5:$AS$247,'[1]INT Web'!$S$1,FALSE)</f>
        <v>12.99</v>
      </c>
      <c r="I182" s="22">
        <f>+VLOOKUP($B182,'[1]INT Web'!$B$5:$AS$247,'[1]INT Web'!$T$1,FALSE)</f>
        <v>59.99</v>
      </c>
      <c r="J182" s="22">
        <f>+VLOOKUP($B182,'[1]INT Web'!$B$5:$AS$247,'[1]INT Web'!$R$1,FALSE)</f>
        <v>77.989999999999995</v>
      </c>
      <c r="K182" s="185">
        <f t="shared" si="58"/>
        <v>6.005005005005005</v>
      </c>
      <c r="L182" s="185">
        <f t="shared" si="58"/>
        <v>6.0038491147036179</v>
      </c>
      <c r="M182" s="185">
        <f t="shared" si="59"/>
        <v>1.3003003003003002</v>
      </c>
      <c r="N182" s="186">
        <v>1.1469499999999999</v>
      </c>
      <c r="O182" s="187">
        <f t="shared" si="60"/>
        <v>11.4580305</v>
      </c>
      <c r="P182" s="187">
        <f t="shared" si="60"/>
        <v>14.898880499999999</v>
      </c>
      <c r="Q182" s="187">
        <f t="shared" si="60"/>
        <v>68.805530500000003</v>
      </c>
      <c r="R182" s="187">
        <f t="shared" si="60"/>
        <v>89.450630499999988</v>
      </c>
      <c r="S182" s="6">
        <v>0</v>
      </c>
      <c r="T182" s="104">
        <f t="shared" si="77"/>
        <v>9.99</v>
      </c>
      <c r="U182" s="187">
        <f t="shared" si="61"/>
        <v>11.4580305</v>
      </c>
      <c r="V182" s="188">
        <f t="shared" si="62"/>
        <v>0</v>
      </c>
      <c r="W182" s="189">
        <f t="shared" si="63"/>
        <v>0</v>
      </c>
      <c r="X182" s="104">
        <f t="shared" si="78"/>
        <v>12.99</v>
      </c>
      <c r="Y182" s="187">
        <f t="shared" si="64"/>
        <v>14.898880499999999</v>
      </c>
      <c r="Z182" s="188">
        <f t="shared" si="65"/>
        <v>0</v>
      </c>
      <c r="AA182" s="189">
        <f t="shared" si="66"/>
        <v>0</v>
      </c>
      <c r="AB182" s="185">
        <f t="shared" si="67"/>
        <v>1.3003003003003002</v>
      </c>
      <c r="AC182" s="104">
        <f t="shared" si="79"/>
        <v>59.99</v>
      </c>
      <c r="AD182" s="187">
        <f t="shared" si="68"/>
        <v>68.805530500000003</v>
      </c>
      <c r="AE182" s="188">
        <f t="shared" si="69"/>
        <v>0</v>
      </c>
      <c r="AF182" s="189">
        <f t="shared" si="70"/>
        <v>0</v>
      </c>
      <c r="AG182" s="185">
        <f t="shared" si="71"/>
        <v>6.005005005005005</v>
      </c>
      <c r="AH182" s="104">
        <f t="shared" si="80"/>
        <v>77.989999999999995</v>
      </c>
      <c r="AI182" s="187">
        <f t="shared" si="72"/>
        <v>89.450630499999988</v>
      </c>
      <c r="AJ182" s="188">
        <f t="shared" si="73"/>
        <v>0</v>
      </c>
      <c r="AK182" s="189">
        <f t="shared" si="74"/>
        <v>0</v>
      </c>
      <c r="AL182" s="185">
        <f t="shared" si="75"/>
        <v>6.0038491147036179</v>
      </c>
      <c r="AM182" s="6" t="str">
        <f t="shared" si="81"/>
        <v>30% Off SL / Annual</v>
      </c>
      <c r="AN182" s="6" t="str">
        <f t="shared" si="82"/>
        <v>15% Off All SKUs</v>
      </c>
      <c r="AO182" s="6" t="str">
        <f t="shared" si="76"/>
        <v>Monthly: 100% Off Next Month</v>
      </c>
      <c r="AP182" s="6" t="str">
        <f t="shared" si="83"/>
        <v>50% Off SL / Annual</v>
      </c>
    </row>
    <row r="183" spans="2:42" ht="13">
      <c r="B183" s="100" t="s">
        <v>252</v>
      </c>
      <c r="C183" s="100" t="s">
        <v>100</v>
      </c>
      <c r="D183" s="6" t="s">
        <v>478</v>
      </c>
      <c r="E183" s="6" t="str">
        <f>IF(VLOOKUP(B183,'[7]FY25 PRICING'!$B$5:$AL$246,'[7]FY25 PRICING'!$E$1,FALSE)=0,"","x")</f>
        <v/>
      </c>
      <c r="F183" s="11" t="str">
        <f>+VLOOKUP($B183,'[1]INT Web'!$B$5:$AS$247,'[1]INT Web'!$Q$1,FALSE)</f>
        <v>RON</v>
      </c>
      <c r="G183" s="22">
        <f>+VLOOKUP($B183,'[1]INT Web'!$B$5:$AS$247,'[1]INT Web'!$U$1,FALSE)</f>
        <v>58.99</v>
      </c>
      <c r="H183" s="22">
        <f>+VLOOKUP($B183,'[1]INT Web'!$B$5:$AS$247,'[1]INT Web'!$S$1,FALSE)</f>
        <v>81.99</v>
      </c>
      <c r="I183" s="22">
        <f>+VLOOKUP($B183,'[1]INT Web'!$B$5:$AS$247,'[1]INT Web'!$T$1,FALSE)</f>
        <v>394.99</v>
      </c>
      <c r="J183" s="22">
        <f>+VLOOKUP($B183,'[1]INT Web'!$B$5:$AS$247,'[1]INT Web'!$R$1,FALSE)</f>
        <v>549.99</v>
      </c>
      <c r="K183" s="185">
        <f t="shared" si="58"/>
        <v>6.6958806577385994</v>
      </c>
      <c r="L183" s="185">
        <f t="shared" si="58"/>
        <v>6.7080131723380907</v>
      </c>
      <c r="M183" s="185">
        <f t="shared" si="59"/>
        <v>1.3898965926428206</v>
      </c>
      <c r="N183" s="186">
        <v>0.21893097</v>
      </c>
      <c r="O183" s="187">
        <f t="shared" si="60"/>
        <v>12.9147379203</v>
      </c>
      <c r="P183" s="187">
        <f t="shared" si="60"/>
        <v>17.9501502303</v>
      </c>
      <c r="Q183" s="187">
        <f t="shared" si="60"/>
        <v>86.475543840300006</v>
      </c>
      <c r="R183" s="187">
        <f t="shared" si="60"/>
        <v>120.40984419030001</v>
      </c>
      <c r="S183" s="132" t="s">
        <v>479</v>
      </c>
      <c r="T183" s="144">
        <f>+MROUND(G183*1.13,1)-0.01</f>
        <v>66.989999999999995</v>
      </c>
      <c r="U183" s="187">
        <f t="shared" si="61"/>
        <v>14.6661856803</v>
      </c>
      <c r="V183" s="188">
        <f t="shared" si="62"/>
        <v>7.9999999999999929</v>
      </c>
      <c r="W183" s="189">
        <f t="shared" si="63"/>
        <v>0.13561620613663328</v>
      </c>
      <c r="X183" s="144">
        <f>+MROUND(H183*1.13,1)-0.01</f>
        <v>92.99</v>
      </c>
      <c r="Y183" s="187">
        <f t="shared" si="64"/>
        <v>20.358390900299998</v>
      </c>
      <c r="Z183" s="188">
        <f t="shared" si="65"/>
        <v>11</v>
      </c>
      <c r="AA183" s="189">
        <f t="shared" si="66"/>
        <v>0.13416270276863029</v>
      </c>
      <c r="AB183" s="185">
        <f t="shared" si="67"/>
        <v>1.38811762949694</v>
      </c>
      <c r="AC183" s="107">
        <v>444.99</v>
      </c>
      <c r="AD183" s="187">
        <f t="shared" si="68"/>
        <v>97.422092340299997</v>
      </c>
      <c r="AE183" s="188">
        <f t="shared" si="69"/>
        <v>50</v>
      </c>
      <c r="AF183" s="189">
        <f t="shared" si="70"/>
        <v>0.12658548317678919</v>
      </c>
      <c r="AG183" s="185">
        <f t="shared" si="71"/>
        <v>6.6426332288401264</v>
      </c>
      <c r="AH183" s="107">
        <v>619.99</v>
      </c>
      <c r="AI183" s="187">
        <f t="shared" si="72"/>
        <v>135.73501209030002</v>
      </c>
      <c r="AJ183" s="188">
        <f t="shared" si="73"/>
        <v>70</v>
      </c>
      <c r="AK183" s="189">
        <f t="shared" si="74"/>
        <v>0.12727504136438839</v>
      </c>
      <c r="AL183" s="185">
        <f t="shared" si="75"/>
        <v>6.6672760511883</v>
      </c>
      <c r="AM183" s="6" t="str">
        <f t="shared" si="81"/>
        <v>30% Off SL / Annual</v>
      </c>
      <c r="AN183" s="6" t="str">
        <f t="shared" si="82"/>
        <v>15% Off All SKUs</v>
      </c>
      <c r="AO183" s="6" t="str">
        <f t="shared" si="76"/>
        <v>Monthly: 100% Off Next Month</v>
      </c>
      <c r="AP183" s="6" t="str">
        <f t="shared" si="83"/>
        <v>50% Off SL / Annual</v>
      </c>
    </row>
    <row r="184" spans="2:42" ht="13" hidden="1" outlineLevel="1">
      <c r="B184" s="191" t="s">
        <v>253</v>
      </c>
      <c r="C184" s="191" t="s">
        <v>100</v>
      </c>
      <c r="D184" s="27"/>
      <c r="E184" s="6" t="str">
        <f>IF(VLOOKUP(B184,'[7]FY25 PRICING'!$B$5:$AL$246,'[7]FY25 PRICING'!$E$1,FALSE)=0,"","x")</f>
        <v/>
      </c>
      <c r="F184" s="11" t="str">
        <f>+VLOOKUP($B184,'[1]INT Web'!$B$5:$AS$247,'[1]INT Web'!$Q$1,FALSE)</f>
        <v>RUB</v>
      </c>
      <c r="G184" s="192">
        <f>+VLOOKUP($B184,'[1]INT Web'!$B$5:$AS$247,'[1]INT Web'!$U$1,FALSE)</f>
        <v>0</v>
      </c>
      <c r="H184" s="192">
        <f>+VLOOKUP($B184,'[1]INT Web'!$B$5:$AS$247,'[1]INT Web'!$S$1,FALSE)</f>
        <v>0</v>
      </c>
      <c r="I184" s="192">
        <f>+VLOOKUP($B184,'[1]INT Web'!$B$5:$AS$247,'[1]INT Web'!$T$1,FALSE)</f>
        <v>0</v>
      </c>
      <c r="J184" s="192">
        <f>+VLOOKUP($B184,'[1]INT Web'!$B$5:$AS$247,'[1]INT Web'!$R$1,FALSE)</f>
        <v>0</v>
      </c>
      <c r="K184" s="197" t="e">
        <f t="shared" si="58"/>
        <v>#DIV/0!</v>
      </c>
      <c r="L184" s="197" t="e">
        <f t="shared" si="58"/>
        <v>#DIV/0!</v>
      </c>
      <c r="M184" s="197" t="e">
        <f t="shared" si="59"/>
        <v>#DIV/0!</v>
      </c>
      <c r="N184" s="186">
        <v>1.3651877E-2</v>
      </c>
      <c r="O184" s="187">
        <f t="shared" si="60"/>
        <v>0</v>
      </c>
      <c r="P184" s="187">
        <f t="shared" si="60"/>
        <v>0</v>
      </c>
      <c r="Q184" s="187">
        <f t="shared" si="60"/>
        <v>0</v>
      </c>
      <c r="R184" s="187">
        <f t="shared" si="60"/>
        <v>0</v>
      </c>
      <c r="S184" s="196"/>
      <c r="T184" s="104">
        <f t="shared" si="77"/>
        <v>0</v>
      </c>
      <c r="U184" s="187">
        <f t="shared" si="61"/>
        <v>0</v>
      </c>
      <c r="V184" s="188" t="str">
        <f t="shared" si="62"/>
        <v/>
      </c>
      <c r="W184" s="189" t="str">
        <f t="shared" si="63"/>
        <v/>
      </c>
      <c r="X184" s="104">
        <f t="shared" si="78"/>
        <v>0</v>
      </c>
      <c r="Y184" s="187">
        <f t="shared" si="64"/>
        <v>0</v>
      </c>
      <c r="Z184" s="188" t="str">
        <f t="shared" si="65"/>
        <v/>
      </c>
      <c r="AA184" s="189" t="str">
        <f t="shared" si="66"/>
        <v/>
      </c>
      <c r="AB184" s="185" t="str">
        <f t="shared" si="67"/>
        <v/>
      </c>
      <c r="AC184" s="104">
        <f t="shared" si="79"/>
        <v>0</v>
      </c>
      <c r="AD184" s="187">
        <f t="shared" si="68"/>
        <v>0</v>
      </c>
      <c r="AE184" s="188" t="str">
        <f t="shared" si="69"/>
        <v/>
      </c>
      <c r="AF184" s="189" t="str">
        <f t="shared" si="70"/>
        <v/>
      </c>
      <c r="AG184" s="185" t="str">
        <f t="shared" si="71"/>
        <v/>
      </c>
      <c r="AH184" s="104">
        <f t="shared" si="80"/>
        <v>0</v>
      </c>
      <c r="AI184" s="187">
        <f t="shared" si="72"/>
        <v>0</v>
      </c>
      <c r="AJ184" s="188" t="str">
        <f t="shared" si="73"/>
        <v/>
      </c>
      <c r="AK184" s="189" t="str">
        <f t="shared" si="74"/>
        <v/>
      </c>
      <c r="AL184" s="185" t="str">
        <f t="shared" si="75"/>
        <v/>
      </c>
      <c r="AM184" s="6" t="str">
        <f t="shared" si="81"/>
        <v>30% Off SL / Annual</v>
      </c>
      <c r="AN184" s="6" t="str">
        <f t="shared" si="82"/>
        <v>15% Off All SKUs</v>
      </c>
      <c r="AO184" s="6" t="str">
        <f t="shared" si="76"/>
        <v>Monthly: 100% Off Next Month</v>
      </c>
      <c r="AP184" s="6" t="str">
        <f t="shared" si="83"/>
        <v>50% Off SL / Annual</v>
      </c>
    </row>
    <row r="185" spans="2:42" ht="13" collapsed="1">
      <c r="B185" s="20" t="s">
        <v>254</v>
      </c>
      <c r="C185" s="20" t="s">
        <v>270</v>
      </c>
      <c r="D185" s="6"/>
      <c r="E185" s="6" t="str">
        <f>IF(VLOOKUP(B185,'[7]FY25 PRICING'!$B$5:$AL$246,'[7]FY25 PRICING'!$E$1,FALSE)=0,"","x")</f>
        <v/>
      </c>
      <c r="F185" s="11" t="str">
        <f>+VLOOKUP($B185,'[1]INT Web'!$B$5:$AS$247,'[1]INT Web'!$Q$1,FALSE)</f>
        <v>RWF</v>
      </c>
      <c r="G185" s="22">
        <f>+VLOOKUP($B185,'[1]INT Web'!$B$5:$AS$247,'[1]INT Web'!$U$1,FALSE)</f>
        <v>10000</v>
      </c>
      <c r="H185" s="22">
        <f>+VLOOKUP($B185,'[1]INT Web'!$B$5:$AS$247,'[1]INT Web'!$S$1,FALSE)</f>
        <v>13500</v>
      </c>
      <c r="I185" s="22">
        <f>+VLOOKUP($B185,'[1]INT Web'!$B$5:$AS$247,'[1]INT Web'!$T$1,FALSE)</f>
        <v>60000</v>
      </c>
      <c r="J185" s="22">
        <f>+VLOOKUP($B185,'[1]INT Web'!$B$5:$AS$247,'[1]INT Web'!$R$1,FALSE)</f>
        <v>81000</v>
      </c>
      <c r="K185" s="185">
        <f t="shared" si="58"/>
        <v>6</v>
      </c>
      <c r="L185" s="185">
        <f t="shared" si="58"/>
        <v>6</v>
      </c>
      <c r="M185" s="185">
        <f t="shared" si="59"/>
        <v>1.35</v>
      </c>
      <c r="N185" s="186">
        <v>6.8282689999999997E-4</v>
      </c>
      <c r="O185" s="187">
        <f t="shared" si="60"/>
        <v>6.8282689999999997</v>
      </c>
      <c r="P185" s="187">
        <f t="shared" si="60"/>
        <v>9.2181631499999988</v>
      </c>
      <c r="Q185" s="187">
        <f t="shared" si="60"/>
        <v>40.969614</v>
      </c>
      <c r="R185" s="187">
        <f t="shared" si="60"/>
        <v>55.3089789</v>
      </c>
      <c r="S185" s="6">
        <v>0</v>
      </c>
      <c r="T185" s="104">
        <f t="shared" si="77"/>
        <v>10000</v>
      </c>
      <c r="U185" s="187">
        <f t="shared" si="61"/>
        <v>6.8282689999999997</v>
      </c>
      <c r="V185" s="188">
        <f t="shared" si="62"/>
        <v>0</v>
      </c>
      <c r="W185" s="189">
        <f t="shared" si="63"/>
        <v>0</v>
      </c>
      <c r="X185" s="104">
        <f t="shared" si="78"/>
        <v>13500</v>
      </c>
      <c r="Y185" s="187">
        <f t="shared" si="64"/>
        <v>9.2181631499999988</v>
      </c>
      <c r="Z185" s="188">
        <f t="shared" si="65"/>
        <v>0</v>
      </c>
      <c r="AA185" s="189">
        <f t="shared" si="66"/>
        <v>0</v>
      </c>
      <c r="AB185" s="185">
        <f t="shared" si="67"/>
        <v>1.35</v>
      </c>
      <c r="AC185" s="104">
        <f t="shared" si="79"/>
        <v>60000</v>
      </c>
      <c r="AD185" s="187">
        <f t="shared" si="68"/>
        <v>40.969614</v>
      </c>
      <c r="AE185" s="188">
        <f t="shared" si="69"/>
        <v>0</v>
      </c>
      <c r="AF185" s="189">
        <f t="shared" si="70"/>
        <v>0</v>
      </c>
      <c r="AG185" s="185">
        <f t="shared" si="71"/>
        <v>6</v>
      </c>
      <c r="AH185" s="104">
        <f t="shared" si="80"/>
        <v>81000</v>
      </c>
      <c r="AI185" s="187">
        <f t="shared" si="72"/>
        <v>55.3089789</v>
      </c>
      <c r="AJ185" s="188">
        <f t="shared" si="73"/>
        <v>0</v>
      </c>
      <c r="AK185" s="189">
        <f t="shared" si="74"/>
        <v>0</v>
      </c>
      <c r="AL185" s="185">
        <f t="shared" si="75"/>
        <v>6</v>
      </c>
      <c r="AM185" s="6" t="str">
        <f t="shared" si="81"/>
        <v>30% Off SL / Annual</v>
      </c>
      <c r="AN185" s="6" t="str">
        <f t="shared" si="82"/>
        <v>15% Off All SKUs</v>
      </c>
      <c r="AO185" s="6" t="str">
        <f t="shared" si="76"/>
        <v>Monthly: 100% Off Next Month</v>
      </c>
      <c r="AP185" s="6" t="str">
        <f t="shared" si="83"/>
        <v>50% Off SL / Annual</v>
      </c>
    </row>
    <row r="186" spans="2:42" ht="13">
      <c r="B186" s="20" t="s">
        <v>255</v>
      </c>
      <c r="C186" s="20" t="s">
        <v>96</v>
      </c>
      <c r="D186" s="6"/>
      <c r="E186" s="6" t="str">
        <f>IF(VLOOKUP(B186,'[7]FY25 PRICING'!$B$5:$AL$246,'[7]FY25 PRICING'!$E$1,FALSE)=0,"","x")</f>
        <v/>
      </c>
      <c r="F186" s="11" t="str">
        <f>+VLOOKUP($B186,'[1]INT Web'!$B$5:$AS$247,'[1]INT Web'!$Q$1,FALSE)</f>
        <v>EUR</v>
      </c>
      <c r="G186" s="22">
        <f>+VLOOKUP($B186,'[1]INT Web'!$B$5:$AS$247,'[1]INT Web'!$U$1,FALSE)</f>
        <v>10.99</v>
      </c>
      <c r="H186" s="22">
        <f>+VLOOKUP($B186,'[1]INT Web'!$B$5:$AS$247,'[1]INT Web'!$S$1,FALSE)</f>
        <v>14.99</v>
      </c>
      <c r="I186" s="22">
        <f>+VLOOKUP($B186,'[1]INT Web'!$B$5:$AS$247,'[1]INT Web'!$T$1,FALSE)</f>
        <v>65.989999999999995</v>
      </c>
      <c r="J186" s="22">
        <f>+VLOOKUP($B186,'[1]INT Web'!$B$5:$AS$247,'[1]INT Web'!$R$1,FALSE)</f>
        <v>89.99</v>
      </c>
      <c r="K186" s="185">
        <f t="shared" si="58"/>
        <v>6.0045495905368513</v>
      </c>
      <c r="L186" s="185">
        <f t="shared" si="58"/>
        <v>6.0033355570380253</v>
      </c>
      <c r="M186" s="185">
        <f t="shared" si="59"/>
        <v>1.3639672429481347</v>
      </c>
      <c r="N186" s="186">
        <v>1.1469499999999999</v>
      </c>
      <c r="O186" s="187">
        <f t="shared" si="60"/>
        <v>12.6049805</v>
      </c>
      <c r="P186" s="187">
        <f t="shared" si="60"/>
        <v>17.192780499999998</v>
      </c>
      <c r="Q186" s="187">
        <f t="shared" si="60"/>
        <v>75.687230499999984</v>
      </c>
      <c r="R186" s="187">
        <f t="shared" si="60"/>
        <v>103.21403049999999</v>
      </c>
      <c r="S186" s="6">
        <v>0</v>
      </c>
      <c r="T186" s="104">
        <f t="shared" si="77"/>
        <v>10.99</v>
      </c>
      <c r="U186" s="187">
        <f t="shared" si="61"/>
        <v>12.6049805</v>
      </c>
      <c r="V186" s="188">
        <f t="shared" si="62"/>
        <v>0</v>
      </c>
      <c r="W186" s="189">
        <f t="shared" si="63"/>
        <v>0</v>
      </c>
      <c r="X186" s="104">
        <f t="shared" si="78"/>
        <v>14.99</v>
      </c>
      <c r="Y186" s="187">
        <f t="shared" si="64"/>
        <v>17.192780499999998</v>
      </c>
      <c r="Z186" s="188">
        <f t="shared" si="65"/>
        <v>0</v>
      </c>
      <c r="AA186" s="189">
        <f t="shared" si="66"/>
        <v>0</v>
      </c>
      <c r="AB186" s="185">
        <f t="shared" si="67"/>
        <v>1.3639672429481347</v>
      </c>
      <c r="AC186" s="104">
        <f t="shared" si="79"/>
        <v>65.989999999999995</v>
      </c>
      <c r="AD186" s="187">
        <f t="shared" si="68"/>
        <v>75.687230499999984</v>
      </c>
      <c r="AE186" s="188">
        <f t="shared" si="69"/>
        <v>0</v>
      </c>
      <c r="AF186" s="189">
        <f t="shared" si="70"/>
        <v>0</v>
      </c>
      <c r="AG186" s="185">
        <f t="shared" si="71"/>
        <v>6.0045495905368513</v>
      </c>
      <c r="AH186" s="104">
        <f t="shared" si="80"/>
        <v>89.99</v>
      </c>
      <c r="AI186" s="187">
        <f t="shared" si="72"/>
        <v>103.21403049999999</v>
      </c>
      <c r="AJ186" s="188">
        <f t="shared" si="73"/>
        <v>0</v>
      </c>
      <c r="AK186" s="189">
        <f t="shared" si="74"/>
        <v>0</v>
      </c>
      <c r="AL186" s="185">
        <f t="shared" si="75"/>
        <v>6.0033355570380253</v>
      </c>
      <c r="AM186" s="6" t="str">
        <f t="shared" si="81"/>
        <v>30% Off SL / Annual</v>
      </c>
      <c r="AN186" s="6" t="str">
        <f t="shared" si="82"/>
        <v>15% Off All SKUs</v>
      </c>
      <c r="AO186" s="6" t="str">
        <f t="shared" si="76"/>
        <v>Monthly: 100% Off Next Month</v>
      </c>
      <c r="AP186" s="6" t="str">
        <f t="shared" si="83"/>
        <v>50% Off SL / Annual</v>
      </c>
    </row>
    <row r="187" spans="2:42" ht="13">
      <c r="B187" s="20" t="s">
        <v>256</v>
      </c>
      <c r="C187" s="20" t="s">
        <v>182</v>
      </c>
      <c r="D187" s="6"/>
      <c r="E187" s="6" t="str">
        <f>IF(VLOOKUP(B187,'[7]FY25 PRICING'!$B$5:$AL$246,'[7]FY25 PRICING'!$E$1,FALSE)=0,"","x")</f>
        <v/>
      </c>
      <c r="F187" s="11" t="str">
        <f>+VLOOKUP($B187,'[1]INT Web'!$B$5:$AS$247,'[1]INT Web'!$Q$1,FALSE)</f>
        <v>WST</v>
      </c>
      <c r="G187" s="22">
        <f>+VLOOKUP($B187,'[1]INT Web'!$B$5:$AS$247,'[1]INT Web'!$U$1,FALSE)</f>
        <v>19.989999999999998</v>
      </c>
      <c r="H187" s="22">
        <f>+VLOOKUP($B187,'[1]INT Web'!$B$5:$AS$247,'[1]INT Web'!$S$1,FALSE)</f>
        <v>26.99</v>
      </c>
      <c r="I187" s="22">
        <f>+VLOOKUP($B187,'[1]INT Web'!$B$5:$AS$247,'[1]INT Web'!$T$1,FALSE)</f>
        <v>119.99</v>
      </c>
      <c r="J187" s="22">
        <f>+VLOOKUP($B187,'[1]INT Web'!$B$5:$AS$247,'[1]INT Web'!$R$1,FALSE)</f>
        <v>161.99</v>
      </c>
      <c r="K187" s="185">
        <f t="shared" si="58"/>
        <v>6.002501250625313</v>
      </c>
      <c r="L187" s="185">
        <f t="shared" si="58"/>
        <v>6.0018525379770296</v>
      </c>
      <c r="M187" s="185">
        <f t="shared" si="59"/>
        <v>1.3501750875437719</v>
      </c>
      <c r="N187" s="186">
        <v>0.36430000000000001</v>
      </c>
      <c r="O187" s="187">
        <f t="shared" si="60"/>
        <v>7.2823569999999993</v>
      </c>
      <c r="P187" s="187">
        <f t="shared" si="60"/>
        <v>9.8324569999999998</v>
      </c>
      <c r="Q187" s="187">
        <f t="shared" si="60"/>
        <v>43.712356999999997</v>
      </c>
      <c r="R187" s="187">
        <f t="shared" si="60"/>
        <v>59.012957000000007</v>
      </c>
      <c r="S187" s="6">
        <v>0</v>
      </c>
      <c r="T187" s="104">
        <f t="shared" si="77"/>
        <v>19.989999999999998</v>
      </c>
      <c r="U187" s="187">
        <f t="shared" si="61"/>
        <v>7.2823569999999993</v>
      </c>
      <c r="V187" s="188">
        <f t="shared" si="62"/>
        <v>0</v>
      </c>
      <c r="W187" s="189">
        <f t="shared" si="63"/>
        <v>0</v>
      </c>
      <c r="X187" s="104">
        <f t="shared" si="78"/>
        <v>26.99</v>
      </c>
      <c r="Y187" s="187">
        <f t="shared" si="64"/>
        <v>9.8324569999999998</v>
      </c>
      <c r="Z187" s="188">
        <f t="shared" si="65"/>
        <v>0</v>
      </c>
      <c r="AA187" s="189">
        <f t="shared" si="66"/>
        <v>0</v>
      </c>
      <c r="AB187" s="185">
        <f t="shared" si="67"/>
        <v>1.3501750875437719</v>
      </c>
      <c r="AC187" s="104">
        <f t="shared" si="79"/>
        <v>119.99</v>
      </c>
      <c r="AD187" s="187">
        <f t="shared" si="68"/>
        <v>43.712356999999997</v>
      </c>
      <c r="AE187" s="188">
        <f t="shared" si="69"/>
        <v>0</v>
      </c>
      <c r="AF187" s="189">
        <f t="shared" si="70"/>
        <v>0</v>
      </c>
      <c r="AG187" s="185">
        <f t="shared" si="71"/>
        <v>6.002501250625313</v>
      </c>
      <c r="AH187" s="104">
        <f t="shared" si="80"/>
        <v>161.99</v>
      </c>
      <c r="AI187" s="187">
        <f t="shared" si="72"/>
        <v>59.012957000000007</v>
      </c>
      <c r="AJ187" s="188">
        <f t="shared" si="73"/>
        <v>0</v>
      </c>
      <c r="AK187" s="189">
        <f t="shared" si="74"/>
        <v>0</v>
      </c>
      <c r="AL187" s="185">
        <f t="shared" si="75"/>
        <v>6.0018525379770296</v>
      </c>
      <c r="AM187" s="6" t="str">
        <f t="shared" si="81"/>
        <v>30% Off SL / Annual</v>
      </c>
      <c r="AN187" s="6" t="str">
        <f t="shared" si="82"/>
        <v>15% Off All SKUs</v>
      </c>
      <c r="AO187" s="6" t="str">
        <f t="shared" si="76"/>
        <v>Monthly: 100% Off Next Month</v>
      </c>
      <c r="AP187" s="6" t="str">
        <f t="shared" si="83"/>
        <v>50% Off SL / Annual</v>
      </c>
    </row>
    <row r="188" spans="2:42" ht="13">
      <c r="B188" s="20" t="s">
        <v>257</v>
      </c>
      <c r="C188" s="20" t="s">
        <v>100</v>
      </c>
      <c r="D188" s="6"/>
      <c r="E188" s="6" t="str">
        <f>IF(VLOOKUP(B188,'[7]FY25 PRICING'!$B$5:$AL$246,'[7]FY25 PRICING'!$E$1,FALSE)=0,"","x")</f>
        <v/>
      </c>
      <c r="F188" s="11" t="str">
        <f>+VLOOKUP($B188,'[1]INT Web'!$B$5:$AS$247,'[1]INT Web'!$Q$1,FALSE)</f>
        <v>EUR</v>
      </c>
      <c r="G188" s="22">
        <f>+VLOOKUP($B188,'[1]INT Web'!$B$5:$AS$247,'[1]INT Web'!$U$1,FALSE)</f>
        <v>17.989999999999998</v>
      </c>
      <c r="H188" s="22">
        <f>+VLOOKUP($B188,'[1]INT Web'!$B$5:$AS$247,'[1]INT Web'!$S$1,FALSE)</f>
        <v>22.99</v>
      </c>
      <c r="I188" s="22">
        <f>+VLOOKUP($B188,'[1]INT Web'!$B$5:$AS$247,'[1]INT Web'!$T$1,FALSE)</f>
        <v>109.99</v>
      </c>
      <c r="J188" s="22">
        <f>+VLOOKUP($B188,'[1]INT Web'!$B$5:$AS$247,'[1]INT Web'!$R$1,FALSE)</f>
        <v>159.99</v>
      </c>
      <c r="K188" s="185">
        <f t="shared" si="58"/>
        <v>6.1139521956642584</v>
      </c>
      <c r="L188" s="185">
        <f t="shared" si="58"/>
        <v>6.9591126576772515</v>
      </c>
      <c r="M188" s="185">
        <f t="shared" si="59"/>
        <v>1.2779321845469707</v>
      </c>
      <c r="N188" s="186">
        <v>1.1469499999999999</v>
      </c>
      <c r="O188" s="187">
        <f t="shared" si="60"/>
        <v>20.633630499999995</v>
      </c>
      <c r="P188" s="187">
        <f t="shared" si="60"/>
        <v>26.368380499999997</v>
      </c>
      <c r="Q188" s="187">
        <f t="shared" si="60"/>
        <v>126.15303049999999</v>
      </c>
      <c r="R188" s="187">
        <f t="shared" si="60"/>
        <v>183.5005305</v>
      </c>
      <c r="S188" s="6">
        <v>0</v>
      </c>
      <c r="T188" s="104">
        <f t="shared" si="77"/>
        <v>17.989999999999998</v>
      </c>
      <c r="U188" s="187">
        <f t="shared" si="61"/>
        <v>20.633630499999995</v>
      </c>
      <c r="V188" s="188">
        <f t="shared" si="62"/>
        <v>0</v>
      </c>
      <c r="W188" s="189">
        <f t="shared" si="63"/>
        <v>0</v>
      </c>
      <c r="X188" s="104">
        <f t="shared" si="78"/>
        <v>22.99</v>
      </c>
      <c r="Y188" s="187">
        <f t="shared" si="64"/>
        <v>26.368380499999997</v>
      </c>
      <c r="Z188" s="188">
        <f t="shared" si="65"/>
        <v>0</v>
      </c>
      <c r="AA188" s="189">
        <f t="shared" si="66"/>
        <v>0</v>
      </c>
      <c r="AB188" s="185">
        <f t="shared" si="67"/>
        <v>1.2779321845469707</v>
      </c>
      <c r="AC188" s="104">
        <f t="shared" si="79"/>
        <v>109.99</v>
      </c>
      <c r="AD188" s="187">
        <f t="shared" si="68"/>
        <v>126.15303049999999</v>
      </c>
      <c r="AE188" s="188">
        <f t="shared" si="69"/>
        <v>0</v>
      </c>
      <c r="AF188" s="189">
        <f t="shared" si="70"/>
        <v>0</v>
      </c>
      <c r="AG188" s="185">
        <f t="shared" si="71"/>
        <v>6.1139521956642584</v>
      </c>
      <c r="AH188" s="104">
        <f t="shared" si="80"/>
        <v>159.99</v>
      </c>
      <c r="AI188" s="187">
        <f t="shared" si="72"/>
        <v>183.5005305</v>
      </c>
      <c r="AJ188" s="188">
        <f t="shared" si="73"/>
        <v>0</v>
      </c>
      <c r="AK188" s="189">
        <f t="shared" si="74"/>
        <v>0</v>
      </c>
      <c r="AL188" s="185">
        <f t="shared" si="75"/>
        <v>6.9591126576772515</v>
      </c>
      <c r="AM188" s="6" t="str">
        <f t="shared" si="81"/>
        <v>30% Off SL / Annual</v>
      </c>
      <c r="AN188" s="6" t="str">
        <f t="shared" si="82"/>
        <v>15% Off All SKUs</v>
      </c>
      <c r="AO188" s="6" t="str">
        <f t="shared" si="76"/>
        <v>Monthly: 100% Off Next Month</v>
      </c>
      <c r="AP188" s="6" t="str">
        <f t="shared" si="83"/>
        <v>50% Off SL / Annual</v>
      </c>
    </row>
    <row r="189" spans="2:42" ht="13">
      <c r="B189" s="20" t="s">
        <v>258</v>
      </c>
      <c r="C189" s="20" t="s">
        <v>270</v>
      </c>
      <c r="D189" s="6"/>
      <c r="E189" s="6" t="str">
        <f>IF(VLOOKUP(B189,'[7]FY25 PRICING'!$B$5:$AL$246,'[7]FY25 PRICING'!$E$1,FALSE)=0,"","x")</f>
        <v/>
      </c>
      <c r="F189" s="11" t="str">
        <f>+VLOOKUP($B189,'[1]INT Web'!$B$5:$AS$247,'[1]INT Web'!$Q$1,FALSE)</f>
        <v>USD</v>
      </c>
      <c r="G189" s="136">
        <f>+VLOOKUP($B189,'[1]INT Web'!$B$5:$AS$247,'[1]INT Web'!$U$1,FALSE)</f>
        <v>9.99</v>
      </c>
      <c r="H189" s="136">
        <f>+VLOOKUP($B189,'[1]INT Web'!$B$5:$AS$247,'[1]INT Web'!$S$1,FALSE)</f>
        <v>12.99</v>
      </c>
      <c r="I189" s="22">
        <f>+VLOOKUP($B189,'[1]INT Web'!$B$5:$AS$247,'[1]INT Web'!$T$1,FALSE)</f>
        <v>59.99</v>
      </c>
      <c r="J189" s="22">
        <f>+VLOOKUP($B189,'[1]INT Web'!$B$5:$AS$247,'[1]INT Web'!$R$1,FALSE)</f>
        <v>77.989999999999995</v>
      </c>
      <c r="K189" s="185">
        <f t="shared" si="58"/>
        <v>6.005005005005005</v>
      </c>
      <c r="L189" s="185">
        <f t="shared" si="58"/>
        <v>6.0038491147036179</v>
      </c>
      <c r="M189" s="185">
        <f t="shared" si="59"/>
        <v>1.3003003003003002</v>
      </c>
      <c r="N189" s="186">
        <v>1</v>
      </c>
      <c r="O189" s="187">
        <f t="shared" si="60"/>
        <v>9.99</v>
      </c>
      <c r="P189" s="187">
        <f t="shared" si="60"/>
        <v>12.99</v>
      </c>
      <c r="Q189" s="187">
        <f t="shared" si="60"/>
        <v>59.99</v>
      </c>
      <c r="R189" s="187">
        <f t="shared" si="60"/>
        <v>77.989999999999995</v>
      </c>
      <c r="S189" s="6">
        <v>0</v>
      </c>
      <c r="T189" s="104">
        <f t="shared" si="77"/>
        <v>9.99</v>
      </c>
      <c r="U189" s="187">
        <f t="shared" si="61"/>
        <v>9.99</v>
      </c>
      <c r="V189" s="188">
        <f t="shared" si="62"/>
        <v>0</v>
      </c>
      <c r="W189" s="189">
        <f t="shared" si="63"/>
        <v>0</v>
      </c>
      <c r="X189" s="104">
        <f t="shared" si="78"/>
        <v>12.99</v>
      </c>
      <c r="Y189" s="187">
        <f t="shared" si="64"/>
        <v>12.99</v>
      </c>
      <c r="Z189" s="188">
        <f t="shared" si="65"/>
        <v>0</v>
      </c>
      <c r="AA189" s="189">
        <f t="shared" si="66"/>
        <v>0</v>
      </c>
      <c r="AB189" s="185">
        <f t="shared" si="67"/>
        <v>1.3003003003003002</v>
      </c>
      <c r="AC189" s="104">
        <f t="shared" si="79"/>
        <v>59.99</v>
      </c>
      <c r="AD189" s="187">
        <f t="shared" si="68"/>
        <v>59.99</v>
      </c>
      <c r="AE189" s="188">
        <f t="shared" si="69"/>
        <v>0</v>
      </c>
      <c r="AF189" s="189">
        <f t="shared" si="70"/>
        <v>0</v>
      </c>
      <c r="AG189" s="185">
        <f t="shared" si="71"/>
        <v>6.005005005005005</v>
      </c>
      <c r="AH189" s="104">
        <f t="shared" si="80"/>
        <v>77.989999999999995</v>
      </c>
      <c r="AI189" s="187">
        <f t="shared" si="72"/>
        <v>77.989999999999995</v>
      </c>
      <c r="AJ189" s="188">
        <f t="shared" si="73"/>
        <v>0</v>
      </c>
      <c r="AK189" s="189">
        <f t="shared" si="74"/>
        <v>0</v>
      </c>
      <c r="AL189" s="185">
        <f t="shared" si="75"/>
        <v>6.0038491147036179</v>
      </c>
      <c r="AM189" s="6" t="str">
        <f t="shared" si="81"/>
        <v>30% Off SL / Annual</v>
      </c>
      <c r="AN189" s="6" t="str">
        <f t="shared" si="82"/>
        <v>15% Off All SKUs</v>
      </c>
      <c r="AO189" s="6" t="str">
        <f t="shared" si="76"/>
        <v>Monthly: 100% Off Next Month</v>
      </c>
      <c r="AP189" s="6" t="str">
        <f t="shared" si="83"/>
        <v>50% Off SL / Annual</v>
      </c>
    </row>
    <row r="190" spans="2:42" ht="13">
      <c r="B190" s="20" t="s">
        <v>259</v>
      </c>
      <c r="C190" s="20" t="s">
        <v>275</v>
      </c>
      <c r="D190" s="6" t="s">
        <v>495</v>
      </c>
      <c r="F190" s="11" t="str">
        <f>+VLOOKUP($B190,'[1]INT Web'!$B$5:$AS$247,'[1]INT Web'!$Q$1,FALSE)</f>
        <v>SAR</v>
      </c>
      <c r="G190" s="22">
        <f>+VLOOKUP($B190,'[1]INT Web'!$B$5:$AS$247,'[1]INT Web'!$U$1,FALSE)</f>
        <v>61.99</v>
      </c>
      <c r="H190" s="22">
        <f>+VLOOKUP($B190,'[1]INT Web'!$B$5:$AS$247,'[1]INT Web'!$S$1,FALSE)</f>
        <v>84.99</v>
      </c>
      <c r="I190" s="22">
        <f>+VLOOKUP($B190,'[1]INT Web'!$B$5:$AS$247,'[1]INT Web'!$T$1,FALSE)</f>
        <v>384.99</v>
      </c>
      <c r="J190" s="22">
        <f>+VLOOKUP($B190,'[1]INT Web'!$B$5:$AS$247,'[1]INT Web'!$R$1,FALSE)</f>
        <v>526.99</v>
      </c>
      <c r="K190" s="185">
        <f t="shared" si="58"/>
        <v>6.2105178254557183</v>
      </c>
      <c r="L190" s="185">
        <f t="shared" si="58"/>
        <v>6.2006118366866696</v>
      </c>
      <c r="M190" s="185">
        <f t="shared" si="59"/>
        <v>1.3710275850943698</v>
      </c>
      <c r="N190" s="186">
        <v>0.26641092</v>
      </c>
      <c r="O190" s="187">
        <f t="shared" si="60"/>
        <v>16.514812930800002</v>
      </c>
      <c r="P190" s="187">
        <f t="shared" si="60"/>
        <v>22.642264090799998</v>
      </c>
      <c r="Q190" s="187">
        <f t="shared" si="60"/>
        <v>102.5655400908</v>
      </c>
      <c r="R190" s="187">
        <f t="shared" si="60"/>
        <v>140.39589073080001</v>
      </c>
      <c r="S190" s="132" t="s">
        <v>484</v>
      </c>
      <c r="T190" s="104">
        <f t="shared" si="77"/>
        <v>61.99</v>
      </c>
      <c r="U190" s="187">
        <f t="shared" si="61"/>
        <v>16.514812930800002</v>
      </c>
      <c r="V190" s="188">
        <f t="shared" si="62"/>
        <v>0</v>
      </c>
      <c r="W190" s="189">
        <f t="shared" si="63"/>
        <v>0</v>
      </c>
      <c r="X190" s="104">
        <f t="shared" si="78"/>
        <v>84.99</v>
      </c>
      <c r="Y190" s="187">
        <f t="shared" si="64"/>
        <v>22.642264090799998</v>
      </c>
      <c r="Z190" s="188">
        <f t="shared" si="65"/>
        <v>0</v>
      </c>
      <c r="AA190" s="189">
        <f t="shared" si="66"/>
        <v>0</v>
      </c>
      <c r="AB190" s="185">
        <f t="shared" si="67"/>
        <v>1.3710275850943698</v>
      </c>
      <c r="AC190" s="104">
        <f t="shared" si="79"/>
        <v>384.99</v>
      </c>
      <c r="AD190" s="187">
        <f t="shared" si="68"/>
        <v>102.5655400908</v>
      </c>
      <c r="AE190" s="188">
        <f t="shared" si="69"/>
        <v>0</v>
      </c>
      <c r="AF190" s="189">
        <f t="shared" si="70"/>
        <v>0</v>
      </c>
      <c r="AG190" s="185">
        <f t="shared" si="71"/>
        <v>6.2105178254557183</v>
      </c>
      <c r="AH190" s="104">
        <f t="shared" si="80"/>
        <v>526.99</v>
      </c>
      <c r="AI190" s="187">
        <f t="shared" si="72"/>
        <v>140.39589073080001</v>
      </c>
      <c r="AJ190" s="188">
        <f t="shared" si="73"/>
        <v>0</v>
      </c>
      <c r="AK190" s="189">
        <f t="shared" si="74"/>
        <v>0</v>
      </c>
      <c r="AL190" s="185">
        <f t="shared" si="75"/>
        <v>6.2006118366866696</v>
      </c>
      <c r="AM190" s="6" t="str">
        <f t="shared" si="81"/>
        <v>30% Off SL / Annual</v>
      </c>
      <c r="AN190" s="6" t="str">
        <f t="shared" si="82"/>
        <v>Messaging Only</v>
      </c>
      <c r="AO190" s="6" t="str">
        <f t="shared" si="76"/>
        <v>Messaging / Pause Flow</v>
      </c>
      <c r="AP190" s="6" t="str">
        <f t="shared" si="83"/>
        <v>50% Off LPP Only</v>
      </c>
    </row>
    <row r="191" spans="2:42" ht="13">
      <c r="B191" s="20" t="s">
        <v>260</v>
      </c>
      <c r="C191" s="20" t="s">
        <v>270</v>
      </c>
      <c r="D191" s="6"/>
      <c r="E191" s="6" t="str">
        <f>IF(VLOOKUP(B191,'[7]FY25 PRICING'!$B$5:$AL$246,'[7]FY25 PRICING'!$E$1,FALSE)=0,"","x")</f>
        <v/>
      </c>
      <c r="F191" s="11" t="str">
        <f>+VLOOKUP($B191,'[1]INT Web'!$B$5:$AS$247,'[1]INT Web'!$Q$1,FALSE)</f>
        <v>XOF</v>
      </c>
      <c r="G191" s="22">
        <f>+VLOOKUP($B191,'[1]INT Web'!$B$5:$AS$247,'[1]INT Web'!$U$1,FALSE)</f>
        <v>5400</v>
      </c>
      <c r="H191" s="22">
        <f>+VLOOKUP($B191,'[1]INT Web'!$B$5:$AS$247,'[1]INT Web'!$S$1,FALSE)</f>
        <v>7290</v>
      </c>
      <c r="I191" s="22">
        <f>+VLOOKUP($B191,'[1]INT Web'!$B$5:$AS$247,'[1]INT Web'!$T$1,FALSE)</f>
        <v>32400</v>
      </c>
      <c r="J191" s="22">
        <f>+VLOOKUP($B191,'[1]INT Web'!$B$5:$AS$247,'[1]INT Web'!$R$1,FALSE)</f>
        <v>43740</v>
      </c>
      <c r="K191" s="185">
        <f t="shared" si="58"/>
        <v>6</v>
      </c>
      <c r="L191" s="185">
        <f t="shared" si="58"/>
        <v>6</v>
      </c>
      <c r="M191" s="185">
        <f t="shared" si="59"/>
        <v>1.35</v>
      </c>
      <c r="N191" s="186">
        <v>1.7485141000000001E-3</v>
      </c>
      <c r="O191" s="187">
        <f t="shared" si="60"/>
        <v>9.4419761400000013</v>
      </c>
      <c r="P191" s="187">
        <f t="shared" si="60"/>
        <v>12.746667789</v>
      </c>
      <c r="Q191" s="187">
        <f t="shared" si="60"/>
        <v>56.651856840000001</v>
      </c>
      <c r="R191" s="187">
        <f t="shared" si="60"/>
        <v>76.480006734</v>
      </c>
      <c r="S191" s="132" t="s">
        <v>477</v>
      </c>
      <c r="T191" s="104">
        <f t="shared" si="77"/>
        <v>5400</v>
      </c>
      <c r="U191" s="187">
        <f t="shared" si="61"/>
        <v>9.4419761400000013</v>
      </c>
      <c r="V191" s="188">
        <f t="shared" si="62"/>
        <v>0</v>
      </c>
      <c r="W191" s="189">
        <f t="shared" si="63"/>
        <v>0</v>
      </c>
      <c r="X191" s="104">
        <f t="shared" si="78"/>
        <v>7290</v>
      </c>
      <c r="Y191" s="187">
        <f t="shared" si="64"/>
        <v>12.746667789</v>
      </c>
      <c r="Z191" s="188">
        <f t="shared" si="65"/>
        <v>0</v>
      </c>
      <c r="AA191" s="189">
        <f t="shared" si="66"/>
        <v>0</v>
      </c>
      <c r="AB191" s="185">
        <f t="shared" si="67"/>
        <v>1.35</v>
      </c>
      <c r="AC191" s="104">
        <f t="shared" si="79"/>
        <v>32400</v>
      </c>
      <c r="AD191" s="187">
        <f t="shared" si="68"/>
        <v>56.651856840000001</v>
      </c>
      <c r="AE191" s="188">
        <f t="shared" si="69"/>
        <v>0</v>
      </c>
      <c r="AF191" s="189">
        <f t="shared" si="70"/>
        <v>0</v>
      </c>
      <c r="AG191" s="185">
        <f t="shared" si="71"/>
        <v>6</v>
      </c>
      <c r="AH191" s="104">
        <f t="shared" si="80"/>
        <v>43740</v>
      </c>
      <c r="AI191" s="187">
        <f t="shared" si="72"/>
        <v>76.480006734</v>
      </c>
      <c r="AJ191" s="188">
        <f t="shared" si="73"/>
        <v>0</v>
      </c>
      <c r="AK191" s="189">
        <f t="shared" si="74"/>
        <v>0</v>
      </c>
      <c r="AL191" s="185">
        <f t="shared" si="75"/>
        <v>6</v>
      </c>
      <c r="AM191" s="6" t="str">
        <f t="shared" si="81"/>
        <v>30% Off SL / Annual</v>
      </c>
      <c r="AN191" s="6" t="str">
        <f t="shared" si="82"/>
        <v>15% Off All SKUs</v>
      </c>
      <c r="AO191" s="6" t="str">
        <f t="shared" si="76"/>
        <v>Monthly: 100% Off Next Month</v>
      </c>
      <c r="AP191" s="6" t="str">
        <f t="shared" si="83"/>
        <v>50% Off SL / Annual</v>
      </c>
    </row>
    <row r="192" spans="2:42" ht="13">
      <c r="B192" s="20" t="s">
        <v>261</v>
      </c>
      <c r="C192" s="20" t="s">
        <v>100</v>
      </c>
      <c r="D192" s="6"/>
      <c r="E192" s="6" t="str">
        <f>IF(VLOOKUP(B192,'[7]FY25 PRICING'!$B$5:$AL$246,'[7]FY25 PRICING'!$E$1,FALSE)=0,"","x")</f>
        <v/>
      </c>
      <c r="F192" s="11" t="str">
        <f>+VLOOKUP($B192,'[1]INT Web'!$B$5:$AS$247,'[1]INT Web'!$Q$1,FALSE)</f>
        <v>RSD</v>
      </c>
      <c r="G192" s="22">
        <f>+VLOOKUP($B192,'[1]INT Web'!$B$5:$AS$247,'[1]INT Web'!$U$1,FALSE)</f>
        <v>1199.99</v>
      </c>
      <c r="H192" s="22">
        <f>+VLOOKUP($B192,'[1]INT Web'!$B$5:$AS$247,'[1]INT Web'!$S$1,FALSE)</f>
        <v>1649.99</v>
      </c>
      <c r="I192" s="22">
        <f>+VLOOKUP($B192,'[1]INT Web'!$B$5:$AS$247,'[1]INT Web'!$T$1,FALSE)</f>
        <v>7499.99</v>
      </c>
      <c r="J192" s="22">
        <f>+VLOOKUP($B192,'[1]INT Web'!$B$5:$AS$247,'[1]INT Web'!$R$1,FALSE)</f>
        <v>10309.99</v>
      </c>
      <c r="K192" s="185">
        <f t="shared" si="58"/>
        <v>6.2500437503645863</v>
      </c>
      <c r="L192" s="185">
        <f t="shared" si="58"/>
        <v>6.2485166576767126</v>
      </c>
      <c r="M192" s="185">
        <f t="shared" si="59"/>
        <v>1.3750031250260419</v>
      </c>
      <c r="N192" s="186">
        <v>9.7723050000000002E-3</v>
      </c>
      <c r="O192" s="187">
        <f t="shared" si="60"/>
        <v>11.726668276950001</v>
      </c>
      <c r="P192" s="187">
        <f t="shared" si="60"/>
        <v>16.12420552695</v>
      </c>
      <c r="Q192" s="187">
        <f t="shared" si="60"/>
        <v>73.292189776949996</v>
      </c>
      <c r="R192" s="187">
        <f t="shared" si="60"/>
        <v>100.75236682695</v>
      </c>
      <c r="S192" s="132" t="s">
        <v>477</v>
      </c>
      <c r="T192" s="104">
        <f t="shared" si="77"/>
        <v>1199.99</v>
      </c>
      <c r="U192" s="187">
        <f t="shared" si="61"/>
        <v>11.726668276950001</v>
      </c>
      <c r="V192" s="188">
        <f t="shared" si="62"/>
        <v>0</v>
      </c>
      <c r="W192" s="189">
        <f t="shared" si="63"/>
        <v>0</v>
      </c>
      <c r="X192" s="104">
        <f t="shared" si="78"/>
        <v>1649.99</v>
      </c>
      <c r="Y192" s="187">
        <f t="shared" si="64"/>
        <v>16.12420552695</v>
      </c>
      <c r="Z192" s="188">
        <f t="shared" si="65"/>
        <v>0</v>
      </c>
      <c r="AA192" s="189">
        <f t="shared" si="66"/>
        <v>0</v>
      </c>
      <c r="AB192" s="185">
        <f t="shared" si="67"/>
        <v>1.3750031250260419</v>
      </c>
      <c r="AC192" s="104">
        <f t="shared" si="79"/>
        <v>7499.99</v>
      </c>
      <c r="AD192" s="187">
        <f t="shared" si="68"/>
        <v>73.292189776949996</v>
      </c>
      <c r="AE192" s="188">
        <f t="shared" si="69"/>
        <v>0</v>
      </c>
      <c r="AF192" s="189">
        <f t="shared" si="70"/>
        <v>0</v>
      </c>
      <c r="AG192" s="185">
        <f t="shared" si="71"/>
        <v>6.2500437503645863</v>
      </c>
      <c r="AH192" s="104">
        <f t="shared" si="80"/>
        <v>10309.99</v>
      </c>
      <c r="AI192" s="187">
        <f t="shared" si="72"/>
        <v>100.75236682695</v>
      </c>
      <c r="AJ192" s="188">
        <f t="shared" si="73"/>
        <v>0</v>
      </c>
      <c r="AK192" s="189">
        <f t="shared" si="74"/>
        <v>0</v>
      </c>
      <c r="AL192" s="185">
        <f t="shared" si="75"/>
        <v>6.2485166576767126</v>
      </c>
      <c r="AM192" s="6" t="str">
        <f t="shared" si="81"/>
        <v>30% Off SL / Annual</v>
      </c>
      <c r="AN192" s="6" t="str">
        <f t="shared" si="82"/>
        <v>15% Off All SKUs</v>
      </c>
      <c r="AO192" s="6" t="str">
        <f t="shared" si="76"/>
        <v>Monthly: 100% Off Next Month</v>
      </c>
      <c r="AP192" s="6" t="str">
        <f t="shared" si="83"/>
        <v>50% Off SL / Annual</v>
      </c>
    </row>
    <row r="193" spans="2:42" ht="13">
      <c r="B193" s="20" t="s">
        <v>262</v>
      </c>
      <c r="C193" s="20" t="s">
        <v>270</v>
      </c>
      <c r="D193" s="6"/>
      <c r="E193" s="6" t="str">
        <f>IF(VLOOKUP(B193,'[7]FY25 PRICING'!$B$5:$AL$246,'[7]FY25 PRICING'!$E$1,FALSE)=0,"","x")</f>
        <v/>
      </c>
      <c r="F193" s="11" t="str">
        <f>+VLOOKUP($B193,'[1]INT Web'!$B$5:$AS$247,'[1]INT Web'!$Q$1,FALSE)</f>
        <v>SCR</v>
      </c>
      <c r="G193" s="22">
        <f>+VLOOKUP($B193,'[1]INT Web'!$B$5:$AS$247,'[1]INT Web'!$U$1,FALSE)</f>
        <v>99.99</v>
      </c>
      <c r="H193" s="22">
        <f>+VLOOKUP($B193,'[1]INT Web'!$B$5:$AS$247,'[1]INT Web'!$S$1,FALSE)</f>
        <v>134.99</v>
      </c>
      <c r="I193" s="22">
        <f>+VLOOKUP($B193,'[1]INT Web'!$B$5:$AS$247,'[1]INT Web'!$T$1,FALSE)</f>
        <v>599.99</v>
      </c>
      <c r="J193" s="22">
        <f>+VLOOKUP($B193,'[1]INT Web'!$B$5:$AS$247,'[1]INT Web'!$R$1,FALSE)</f>
        <v>809.99</v>
      </c>
      <c r="K193" s="185">
        <f t="shared" si="58"/>
        <v>6.0005000500050008</v>
      </c>
      <c r="L193" s="185">
        <f t="shared" si="58"/>
        <v>6.0003703978072442</v>
      </c>
      <c r="M193" s="185">
        <f t="shared" si="59"/>
        <v>1.3500350035003501</v>
      </c>
      <c r="N193" s="186">
        <v>6.7766750000000001E-2</v>
      </c>
      <c r="O193" s="187">
        <f t="shared" si="60"/>
        <v>6.7759973324999994</v>
      </c>
      <c r="P193" s="187">
        <f t="shared" si="60"/>
        <v>9.1478335825000006</v>
      </c>
      <c r="Q193" s="187">
        <f t="shared" si="60"/>
        <v>40.659372332499998</v>
      </c>
      <c r="R193" s="187">
        <f t="shared" si="60"/>
        <v>54.890389832499999</v>
      </c>
      <c r="S193" s="6">
        <v>0</v>
      </c>
      <c r="T193" s="104">
        <f t="shared" si="77"/>
        <v>99.99</v>
      </c>
      <c r="U193" s="187">
        <f t="shared" si="61"/>
        <v>6.7759973324999994</v>
      </c>
      <c r="V193" s="188">
        <f t="shared" si="62"/>
        <v>0</v>
      </c>
      <c r="W193" s="189">
        <f t="shared" si="63"/>
        <v>0</v>
      </c>
      <c r="X193" s="104">
        <f t="shared" si="78"/>
        <v>134.99</v>
      </c>
      <c r="Y193" s="187">
        <f t="shared" si="64"/>
        <v>9.1478335825000006</v>
      </c>
      <c r="Z193" s="188">
        <f t="shared" si="65"/>
        <v>0</v>
      </c>
      <c r="AA193" s="189">
        <f t="shared" si="66"/>
        <v>0</v>
      </c>
      <c r="AB193" s="185">
        <f t="shared" si="67"/>
        <v>1.3500350035003501</v>
      </c>
      <c r="AC193" s="104">
        <f t="shared" si="79"/>
        <v>599.99</v>
      </c>
      <c r="AD193" s="187">
        <f t="shared" si="68"/>
        <v>40.659372332499998</v>
      </c>
      <c r="AE193" s="188">
        <f t="shared" si="69"/>
        <v>0</v>
      </c>
      <c r="AF193" s="189">
        <f t="shared" si="70"/>
        <v>0</v>
      </c>
      <c r="AG193" s="185">
        <f t="shared" si="71"/>
        <v>6.0005000500050008</v>
      </c>
      <c r="AH193" s="104">
        <f t="shared" si="80"/>
        <v>809.99</v>
      </c>
      <c r="AI193" s="187">
        <f t="shared" si="72"/>
        <v>54.890389832499999</v>
      </c>
      <c r="AJ193" s="188">
        <f t="shared" si="73"/>
        <v>0</v>
      </c>
      <c r="AK193" s="189">
        <f t="shared" si="74"/>
        <v>0</v>
      </c>
      <c r="AL193" s="185">
        <f t="shared" si="75"/>
        <v>6.0003703978072442</v>
      </c>
      <c r="AM193" s="6" t="str">
        <f t="shared" si="81"/>
        <v>30% Off SL / Annual</v>
      </c>
      <c r="AN193" s="6" t="str">
        <f t="shared" si="82"/>
        <v>15% Off All SKUs</v>
      </c>
      <c r="AO193" s="6" t="str">
        <f t="shared" si="76"/>
        <v>Monthly: 100% Off Next Month</v>
      </c>
      <c r="AP193" s="6" t="str">
        <f t="shared" si="83"/>
        <v>50% Off SL / Annual</v>
      </c>
    </row>
    <row r="194" spans="2:42" ht="13">
      <c r="B194" s="20" t="s">
        <v>263</v>
      </c>
      <c r="C194" s="20" t="s">
        <v>270</v>
      </c>
      <c r="D194" s="6"/>
      <c r="E194" s="6" t="str">
        <f>IF(VLOOKUP(B194,'[7]FY25 PRICING'!$B$5:$AL$246,'[7]FY25 PRICING'!$E$1,FALSE)=0,"","x")</f>
        <v/>
      </c>
      <c r="F194" s="11" t="str">
        <f>+VLOOKUP($B194,'[1]INT Web'!$B$5:$AS$247,'[1]INT Web'!$Q$1,FALSE)</f>
        <v>SLL</v>
      </c>
      <c r="G194" s="22">
        <f>+VLOOKUP($B194,'[1]INT Web'!$B$5:$AS$247,'[1]INT Web'!$U$1,FALSE)</f>
        <v>97800</v>
      </c>
      <c r="H194" s="22">
        <f>+VLOOKUP($B194,'[1]INT Web'!$B$5:$AS$247,'[1]INT Web'!$S$1,FALSE)</f>
        <v>132030</v>
      </c>
      <c r="I194" s="22">
        <f>+VLOOKUP($B194,'[1]INT Web'!$B$5:$AS$247,'[1]INT Web'!$T$1,FALSE)</f>
        <v>586800</v>
      </c>
      <c r="J194" s="22">
        <f>+VLOOKUP($B194,'[1]INT Web'!$B$5:$AS$247,'[1]INT Web'!$R$1,FALSE)</f>
        <v>792180</v>
      </c>
      <c r="K194" s="185">
        <f t="shared" si="58"/>
        <v>6</v>
      </c>
      <c r="L194" s="185">
        <f t="shared" si="58"/>
        <v>6</v>
      </c>
      <c r="M194" s="185">
        <f t="shared" si="59"/>
        <v>1.35</v>
      </c>
      <c r="N194" s="186">
        <v>4.0404039999999997E-5</v>
      </c>
      <c r="O194" s="187">
        <f t="shared" si="60"/>
        <v>3.9515151119999996</v>
      </c>
      <c r="P194" s="187">
        <f t="shared" si="60"/>
        <v>5.3345454011999998</v>
      </c>
      <c r="Q194" s="187">
        <f t="shared" si="60"/>
        <v>23.709090671999999</v>
      </c>
      <c r="R194" s="187">
        <f t="shared" si="60"/>
        <v>32.007272407199999</v>
      </c>
      <c r="S194" s="6">
        <v>0</v>
      </c>
      <c r="T194" s="104">
        <f t="shared" si="77"/>
        <v>97800</v>
      </c>
      <c r="U194" s="187">
        <f t="shared" si="61"/>
        <v>3.9515151119999996</v>
      </c>
      <c r="V194" s="188">
        <f t="shared" si="62"/>
        <v>0</v>
      </c>
      <c r="W194" s="189">
        <f t="shared" si="63"/>
        <v>0</v>
      </c>
      <c r="X194" s="104">
        <f t="shared" si="78"/>
        <v>132030</v>
      </c>
      <c r="Y194" s="187">
        <f t="shared" si="64"/>
        <v>5.3345454011999998</v>
      </c>
      <c r="Z194" s="188">
        <f t="shared" si="65"/>
        <v>0</v>
      </c>
      <c r="AA194" s="189">
        <f t="shared" si="66"/>
        <v>0</v>
      </c>
      <c r="AB194" s="185">
        <f t="shared" si="67"/>
        <v>1.35</v>
      </c>
      <c r="AC194" s="104">
        <f t="shared" si="79"/>
        <v>586800</v>
      </c>
      <c r="AD194" s="187">
        <f t="shared" si="68"/>
        <v>23.709090671999999</v>
      </c>
      <c r="AE194" s="188">
        <f t="shared" si="69"/>
        <v>0</v>
      </c>
      <c r="AF194" s="189">
        <f t="shared" si="70"/>
        <v>0</v>
      </c>
      <c r="AG194" s="185">
        <f t="shared" si="71"/>
        <v>6</v>
      </c>
      <c r="AH194" s="104">
        <f t="shared" si="80"/>
        <v>792180</v>
      </c>
      <c r="AI194" s="187">
        <f t="shared" si="72"/>
        <v>32.007272407199999</v>
      </c>
      <c r="AJ194" s="188">
        <f t="shared" si="73"/>
        <v>0</v>
      </c>
      <c r="AK194" s="189">
        <f t="shared" si="74"/>
        <v>0</v>
      </c>
      <c r="AL194" s="185">
        <f t="shared" si="75"/>
        <v>6</v>
      </c>
      <c r="AM194" s="6" t="str">
        <f t="shared" si="81"/>
        <v>30% Off SL / Annual</v>
      </c>
      <c r="AN194" s="6" t="str">
        <f t="shared" si="82"/>
        <v>15% Off All SKUs</v>
      </c>
      <c r="AO194" s="6" t="str">
        <f t="shared" si="76"/>
        <v>Monthly: 100% Off Next Month</v>
      </c>
      <c r="AP194" s="6" t="str">
        <f t="shared" si="83"/>
        <v>50% Off SL / Annual</v>
      </c>
    </row>
    <row r="195" spans="2:42" ht="13">
      <c r="B195" s="20" t="s">
        <v>264</v>
      </c>
      <c r="C195" s="20" t="s">
        <v>182</v>
      </c>
      <c r="D195" s="6" t="s">
        <v>492</v>
      </c>
      <c r="E195" s="6" t="str">
        <f>IF(VLOOKUP(B195,'[7]FY25 PRICING'!$B$5:$AL$246,'[7]FY25 PRICING'!$E$1,FALSE)=0,"","x")</f>
        <v/>
      </c>
      <c r="F195" s="11" t="str">
        <f>+VLOOKUP($B195,'[1]INT Web'!$B$5:$AS$247,'[1]INT Web'!$Q$1,FALSE)</f>
        <v>SGD</v>
      </c>
      <c r="G195" s="22">
        <f>+VLOOKUP($B195,'[1]INT Web'!$B$5:$AS$247,'[1]INT Web'!$U$1,FALSE)</f>
        <v>17.989999999999998</v>
      </c>
      <c r="H195" s="22">
        <f>+VLOOKUP($B195,'[1]INT Web'!$B$5:$AS$247,'[1]INT Web'!$S$1,FALSE)</f>
        <v>26.984999999999999</v>
      </c>
      <c r="I195" s="22">
        <f>+VLOOKUP($B195,'[1]INT Web'!$B$5:$AS$247,'[1]INT Web'!$T$1,FALSE)</f>
        <v>124.99</v>
      </c>
      <c r="J195" s="22">
        <f>+VLOOKUP($B195,'[1]INT Web'!$B$5:$AS$247,'[1]INT Web'!$R$1,FALSE)</f>
        <v>184.99</v>
      </c>
      <c r="K195" s="185">
        <f t="shared" si="58"/>
        <v>6.9477487493051697</v>
      </c>
      <c r="L195" s="185">
        <f t="shared" si="58"/>
        <v>6.8552899759125445</v>
      </c>
      <c r="M195" s="185">
        <f t="shared" si="59"/>
        <v>1.5</v>
      </c>
      <c r="N195" s="186">
        <v>0.77405369999999996</v>
      </c>
      <c r="O195" s="187">
        <f t="shared" si="60"/>
        <v>13.925226062999998</v>
      </c>
      <c r="P195" s="187">
        <f t="shared" si="60"/>
        <v>20.887839094499999</v>
      </c>
      <c r="Q195" s="187">
        <f t="shared" si="60"/>
        <v>96.748971962999988</v>
      </c>
      <c r="R195" s="187">
        <f t="shared" si="60"/>
        <v>143.19219396299999</v>
      </c>
      <c r="S195" s="6" t="s">
        <v>485</v>
      </c>
      <c r="T195" s="104">
        <f t="shared" si="77"/>
        <v>17.989999999999998</v>
      </c>
      <c r="U195" s="187">
        <f t="shared" si="61"/>
        <v>13.925226062999998</v>
      </c>
      <c r="V195" s="188">
        <f t="shared" si="62"/>
        <v>0</v>
      </c>
      <c r="W195" s="189">
        <f t="shared" si="63"/>
        <v>0</v>
      </c>
      <c r="X195" s="104">
        <f t="shared" si="78"/>
        <v>26.984999999999999</v>
      </c>
      <c r="Y195" s="187">
        <f t="shared" si="64"/>
        <v>20.887839094499999</v>
      </c>
      <c r="Z195" s="188">
        <f t="shared" si="65"/>
        <v>0</v>
      </c>
      <c r="AA195" s="189">
        <f t="shared" si="66"/>
        <v>0</v>
      </c>
      <c r="AB195" s="185">
        <f t="shared" si="67"/>
        <v>1.5</v>
      </c>
      <c r="AC195" s="104">
        <f t="shared" si="79"/>
        <v>124.99</v>
      </c>
      <c r="AD195" s="187">
        <f t="shared" si="68"/>
        <v>96.748971962999988</v>
      </c>
      <c r="AE195" s="188">
        <f t="shared" si="69"/>
        <v>0</v>
      </c>
      <c r="AF195" s="189">
        <f t="shared" si="70"/>
        <v>0</v>
      </c>
      <c r="AG195" s="185">
        <f t="shared" si="71"/>
        <v>6.9477487493051697</v>
      </c>
      <c r="AH195" s="104">
        <f t="shared" si="80"/>
        <v>184.99</v>
      </c>
      <c r="AI195" s="187">
        <f t="shared" si="72"/>
        <v>143.19219396299999</v>
      </c>
      <c r="AJ195" s="188">
        <f t="shared" si="73"/>
        <v>0</v>
      </c>
      <c r="AK195" s="189">
        <f t="shared" si="74"/>
        <v>0</v>
      </c>
      <c r="AL195" s="185">
        <f t="shared" si="75"/>
        <v>6.8552899759125445</v>
      </c>
      <c r="AM195" s="6" t="str">
        <f t="shared" si="81"/>
        <v>30% Off SL / Annual</v>
      </c>
      <c r="AN195" s="6" t="str">
        <f t="shared" si="82"/>
        <v>Messaging Only</v>
      </c>
      <c r="AO195" s="6" t="str">
        <f t="shared" si="76"/>
        <v>Messaging / Pause Flow</v>
      </c>
      <c r="AP195" s="6" t="str">
        <f t="shared" si="83"/>
        <v>50% Off LPP Only</v>
      </c>
    </row>
    <row r="196" spans="2:42" ht="13">
      <c r="B196" s="20" t="s">
        <v>265</v>
      </c>
      <c r="C196" s="20" t="s">
        <v>96</v>
      </c>
      <c r="D196" s="6"/>
      <c r="E196" s="6" t="str">
        <f>IF(VLOOKUP(B196,'[7]FY25 PRICING'!$B$5:$AL$246,'[7]FY25 PRICING'!$E$1,FALSE)=0,"","x")</f>
        <v/>
      </c>
      <c r="F196" s="11" t="str">
        <f>+VLOOKUP($B196,'[1]INT Web'!$B$5:$AS$247,'[1]INT Web'!$Q$1,FALSE)</f>
        <v>ANG</v>
      </c>
      <c r="G196" s="22">
        <f>+VLOOKUP($B196,'[1]INT Web'!$B$5:$AS$247,'[1]INT Web'!$U$1,FALSE)</f>
        <v>19.989999999999998</v>
      </c>
      <c r="H196" s="22">
        <f>+VLOOKUP($B196,'[1]INT Web'!$B$5:$AS$247,'[1]INT Web'!$S$1,FALSE)</f>
        <v>24.99</v>
      </c>
      <c r="I196" s="22">
        <f>+VLOOKUP($B196,'[1]INT Web'!$B$5:$AS$247,'[1]INT Web'!$T$1,FALSE)</f>
        <v>124.99</v>
      </c>
      <c r="J196" s="22">
        <f>+VLOOKUP($B196,'[1]INT Web'!$B$5:$AS$247,'[1]INT Web'!$R$1,FALSE)</f>
        <v>169.99</v>
      </c>
      <c r="K196" s="185">
        <f t="shared" si="58"/>
        <v>6.2526263131565782</v>
      </c>
      <c r="L196" s="185">
        <f t="shared" si="58"/>
        <v>6.8023209283713495</v>
      </c>
      <c r="M196" s="185">
        <f t="shared" si="59"/>
        <v>1.2501250625312657</v>
      </c>
      <c r="N196" s="186">
        <v>0.55865925999999999</v>
      </c>
      <c r="O196" s="187">
        <f t="shared" si="60"/>
        <v>11.167598607399999</v>
      </c>
      <c r="P196" s="187">
        <f t="shared" si="60"/>
        <v>13.960894907399998</v>
      </c>
      <c r="Q196" s="187">
        <f t="shared" si="60"/>
        <v>69.826820907399991</v>
      </c>
      <c r="R196" s="187">
        <f t="shared" ref="R196:R248" si="84">+J196*$N196</f>
        <v>94.966487607399998</v>
      </c>
      <c r="S196" s="6">
        <v>0</v>
      </c>
      <c r="T196" s="104">
        <f t="shared" si="77"/>
        <v>19.989999999999998</v>
      </c>
      <c r="U196" s="187">
        <f t="shared" si="61"/>
        <v>11.167598607399999</v>
      </c>
      <c r="V196" s="188">
        <f t="shared" si="62"/>
        <v>0</v>
      </c>
      <c r="W196" s="189">
        <f t="shared" si="63"/>
        <v>0</v>
      </c>
      <c r="X196" s="104">
        <f t="shared" si="78"/>
        <v>24.99</v>
      </c>
      <c r="Y196" s="187">
        <f t="shared" si="64"/>
        <v>13.960894907399998</v>
      </c>
      <c r="Z196" s="188">
        <f t="shared" si="65"/>
        <v>0</v>
      </c>
      <c r="AA196" s="189">
        <f t="shared" si="66"/>
        <v>0</v>
      </c>
      <c r="AB196" s="185">
        <f t="shared" si="67"/>
        <v>1.2501250625312657</v>
      </c>
      <c r="AC196" s="104">
        <f t="shared" si="79"/>
        <v>124.99</v>
      </c>
      <c r="AD196" s="187">
        <f t="shared" si="68"/>
        <v>69.826820907399991</v>
      </c>
      <c r="AE196" s="188">
        <f t="shared" si="69"/>
        <v>0</v>
      </c>
      <c r="AF196" s="189">
        <f t="shared" si="70"/>
        <v>0</v>
      </c>
      <c r="AG196" s="185">
        <f t="shared" si="71"/>
        <v>6.2526263131565782</v>
      </c>
      <c r="AH196" s="104">
        <f t="shared" si="80"/>
        <v>169.99</v>
      </c>
      <c r="AI196" s="187">
        <f t="shared" si="72"/>
        <v>94.966487607399998</v>
      </c>
      <c r="AJ196" s="188">
        <f t="shared" si="73"/>
        <v>0</v>
      </c>
      <c r="AK196" s="189">
        <f t="shared" si="74"/>
        <v>0</v>
      </c>
      <c r="AL196" s="185">
        <f t="shared" si="75"/>
        <v>6.8023209283713495</v>
      </c>
      <c r="AM196" s="6" t="str">
        <f t="shared" si="81"/>
        <v>30% Off SL / Annual</v>
      </c>
      <c r="AN196" s="6" t="str">
        <f t="shared" si="82"/>
        <v>15% Off All SKUs</v>
      </c>
      <c r="AO196" s="6" t="str">
        <f t="shared" si="76"/>
        <v>Monthly: 100% Off Next Month</v>
      </c>
      <c r="AP196" s="6" t="str">
        <f t="shared" si="83"/>
        <v>50% Off SL / Annual</v>
      </c>
    </row>
    <row r="197" spans="2:42" ht="13">
      <c r="B197" s="20" t="s">
        <v>266</v>
      </c>
      <c r="C197" s="20" t="s">
        <v>100</v>
      </c>
      <c r="D197" s="6" t="s">
        <v>478</v>
      </c>
      <c r="E197" s="6" t="str">
        <f>IF(VLOOKUP(B197,'[7]FY25 PRICING'!$B$5:$AL$246,'[7]FY25 PRICING'!$E$1,FALSE)=0,"","x")</f>
        <v/>
      </c>
      <c r="F197" s="11" t="str">
        <f>+VLOOKUP($B197,'[1]INT Web'!$B$5:$AS$247,'[1]INT Web'!$Q$1,FALSE)</f>
        <v>EUR</v>
      </c>
      <c r="G197" s="22">
        <f>+VLOOKUP($B197,'[1]INT Web'!$B$5:$AS$247,'[1]INT Web'!$U$1,FALSE)</f>
        <v>10.99</v>
      </c>
      <c r="H197" s="22">
        <f>+VLOOKUP($B197,'[1]INT Web'!$B$5:$AS$247,'[1]INT Web'!$S$1,FALSE)</f>
        <v>14.99</v>
      </c>
      <c r="I197" s="22">
        <f>+VLOOKUP($B197,'[1]INT Web'!$B$5:$AS$247,'[1]INT Web'!$T$1,FALSE)</f>
        <v>69.989999999999995</v>
      </c>
      <c r="J197" s="22">
        <f>+VLOOKUP($B197,'[1]INT Web'!$B$5:$AS$247,'[1]INT Web'!$R$1,FALSE)</f>
        <v>94.99</v>
      </c>
      <c r="K197" s="185">
        <f t="shared" ref="K197:L248" si="85">+I197/G197</f>
        <v>6.3685168334849855</v>
      </c>
      <c r="L197" s="185">
        <f t="shared" si="85"/>
        <v>6.3368912608405603</v>
      </c>
      <c r="M197" s="185">
        <f t="shared" ref="M197:M247" si="86">+H197/G197</f>
        <v>1.3639672429481347</v>
      </c>
      <c r="N197" s="186">
        <v>1.1469499999999999</v>
      </c>
      <c r="O197" s="187">
        <f t="shared" ref="O197:Q248" si="87">+G197*$N197</f>
        <v>12.6049805</v>
      </c>
      <c r="P197" s="187">
        <f t="shared" si="87"/>
        <v>17.192780499999998</v>
      </c>
      <c r="Q197" s="187">
        <f t="shared" si="87"/>
        <v>80.275030499999986</v>
      </c>
      <c r="R197" s="187">
        <f t="shared" si="84"/>
        <v>108.94878049999998</v>
      </c>
      <c r="S197" s="6" t="s">
        <v>485</v>
      </c>
      <c r="T197" s="104">
        <f t="shared" si="77"/>
        <v>10.99</v>
      </c>
      <c r="U197" s="187">
        <f t="shared" ref="U197:U248" si="88">+T197*$N197</f>
        <v>12.6049805</v>
      </c>
      <c r="V197" s="188">
        <f t="shared" ref="V197:V248" si="89">+IF(T197=0,"",T197-G197)</f>
        <v>0</v>
      </c>
      <c r="W197" s="189">
        <f t="shared" ref="W197:W248" si="90">+IF(T197=0,"",T197/G197-1)</f>
        <v>0</v>
      </c>
      <c r="X197" s="104">
        <f t="shared" si="78"/>
        <v>14.99</v>
      </c>
      <c r="Y197" s="187">
        <f t="shared" ref="Y197:Y248" si="91">+X197*$N197</f>
        <v>17.192780499999998</v>
      </c>
      <c r="Z197" s="188">
        <f t="shared" ref="Z197:Z248" si="92">+IF(X197=0,"",X197-H197)</f>
        <v>0</v>
      </c>
      <c r="AA197" s="189">
        <f t="shared" ref="AA197:AA248" si="93">+IF(X197=0,"",X197/H197-1)</f>
        <v>0</v>
      </c>
      <c r="AB197" s="185">
        <f t="shared" ref="AB197:AB248" si="94">+IFERROR(X197/T197,"")</f>
        <v>1.3639672429481347</v>
      </c>
      <c r="AC197" s="104">
        <f t="shared" si="79"/>
        <v>69.989999999999995</v>
      </c>
      <c r="AD197" s="187">
        <f t="shared" ref="AD197:AD248" si="95">+AC197*$N197</f>
        <v>80.275030499999986</v>
      </c>
      <c r="AE197" s="188">
        <f t="shared" ref="AE197:AE248" si="96">+IF(AC197=0,"",AC197-I197)</f>
        <v>0</v>
      </c>
      <c r="AF197" s="189">
        <f t="shared" ref="AF197:AF248" si="97">+IF(AC197=0,"",AC197/I197-1)</f>
        <v>0</v>
      </c>
      <c r="AG197" s="185">
        <f t="shared" ref="AG197:AG248" si="98">+IFERROR(AC197/T197,"")</f>
        <v>6.3685168334849855</v>
      </c>
      <c r="AH197" s="104">
        <f t="shared" si="80"/>
        <v>94.99</v>
      </c>
      <c r="AI197" s="187">
        <f t="shared" ref="AI197:AI248" si="99">+AH197*$N197</f>
        <v>108.94878049999998</v>
      </c>
      <c r="AJ197" s="188">
        <f t="shared" ref="AJ197:AJ248" si="100">+IF(AH197=0,"",AH197-J197)</f>
        <v>0</v>
      </c>
      <c r="AK197" s="189">
        <f t="shared" ref="AK197:AK248" si="101">+IF(AH197=0,"",AH197/J197-1)</f>
        <v>0</v>
      </c>
      <c r="AL197" s="185">
        <f t="shared" ref="AL197:AL248" si="102">+IFERROR(AH197/X197,"")</f>
        <v>6.3368912608405603</v>
      </c>
      <c r="AM197" s="6" t="str">
        <f t="shared" si="81"/>
        <v>30% Off SL / Annual</v>
      </c>
      <c r="AN197" s="6" t="str">
        <f t="shared" si="82"/>
        <v>Messaging Only</v>
      </c>
      <c r="AO197" s="6" t="str">
        <f t="shared" ref="AO197:AO248" si="103">+IF(AN197="15% Off All SKUs", "Monthly: 100% Off Next Month","Messaging / Pause Flow")</f>
        <v>Messaging / Pause Flow</v>
      </c>
      <c r="AP197" s="6" t="str">
        <f t="shared" si="83"/>
        <v>50% Off LPP Only</v>
      </c>
    </row>
    <row r="198" spans="2:42" ht="13">
      <c r="B198" s="20" t="s">
        <v>267</v>
      </c>
      <c r="C198" s="20" t="s">
        <v>100</v>
      </c>
      <c r="D198" s="6"/>
      <c r="E198" s="6" t="str">
        <f>IF(VLOOKUP(B198,'[7]FY25 PRICING'!$B$5:$AL$246,'[7]FY25 PRICING'!$E$1,FALSE)=0,"","x")</f>
        <v/>
      </c>
      <c r="F198" s="11" t="str">
        <f>+VLOOKUP($B198,'[1]INT Web'!$B$5:$AS$247,'[1]INT Web'!$Q$1,FALSE)</f>
        <v>EUR</v>
      </c>
      <c r="G198" s="22">
        <f>+VLOOKUP($B198,'[1]INT Web'!$B$5:$AS$247,'[1]INT Web'!$U$1,FALSE)</f>
        <v>13.99</v>
      </c>
      <c r="H198" s="22">
        <f>+VLOOKUP($B198,'[1]INT Web'!$B$5:$AS$247,'[1]INT Web'!$S$1,FALSE)</f>
        <v>18.989999999999998</v>
      </c>
      <c r="I198" s="22">
        <f>+VLOOKUP($B198,'[1]INT Web'!$B$5:$AS$247,'[1]INT Web'!$T$1,FALSE)</f>
        <v>89.99</v>
      </c>
      <c r="J198" s="22">
        <f>+VLOOKUP($B198,'[1]INT Web'!$B$5:$AS$247,'[1]INT Web'!$R$1,FALSE)</f>
        <v>121.99</v>
      </c>
      <c r="K198" s="185">
        <f t="shared" si="85"/>
        <v>6.432451751250893</v>
      </c>
      <c r="L198" s="185">
        <f t="shared" si="85"/>
        <v>6.4239073196419172</v>
      </c>
      <c r="M198" s="185">
        <f t="shared" si="86"/>
        <v>1.3573981415296639</v>
      </c>
      <c r="N198" s="186">
        <v>1.1469499999999999</v>
      </c>
      <c r="O198" s="187">
        <f t="shared" si="87"/>
        <v>16.045830499999997</v>
      </c>
      <c r="P198" s="187">
        <f t="shared" si="87"/>
        <v>21.780580499999996</v>
      </c>
      <c r="Q198" s="187">
        <f t="shared" si="87"/>
        <v>103.21403049999999</v>
      </c>
      <c r="R198" s="187">
        <f t="shared" si="84"/>
        <v>139.91643049999999</v>
      </c>
      <c r="S198" s="132" t="s">
        <v>486</v>
      </c>
      <c r="T198" s="104">
        <f t="shared" ref="T198:T248" si="104">+IF(AND($S198&lt;&gt;"PML",$S198&lt;&gt;"EVP"),G198,"EVALUATE")</f>
        <v>13.99</v>
      </c>
      <c r="U198" s="187">
        <f t="shared" si="88"/>
        <v>16.045830499999997</v>
      </c>
      <c r="V198" s="188">
        <f t="shared" si="89"/>
        <v>0</v>
      </c>
      <c r="W198" s="189">
        <f t="shared" si="90"/>
        <v>0</v>
      </c>
      <c r="X198" s="104">
        <f t="shared" ref="X198:X248" si="105">+IF(AND($S198&lt;&gt;"PML",$S198&lt;&gt;"EVP"),H198,"EVALUATE")</f>
        <v>18.989999999999998</v>
      </c>
      <c r="Y198" s="187">
        <f t="shared" si="91"/>
        <v>21.780580499999996</v>
      </c>
      <c r="Z198" s="188">
        <f t="shared" si="92"/>
        <v>0</v>
      </c>
      <c r="AA198" s="189">
        <f t="shared" si="93"/>
        <v>0</v>
      </c>
      <c r="AB198" s="185">
        <f t="shared" si="94"/>
        <v>1.3573981415296639</v>
      </c>
      <c r="AC198" s="104">
        <f t="shared" ref="AC198:AC248" si="106">+IF(AND($S198&lt;&gt;"PML",$S198&lt;&gt;"EVP"),I198,"EVALUATE")</f>
        <v>89.99</v>
      </c>
      <c r="AD198" s="187">
        <f t="shared" si="95"/>
        <v>103.21403049999999</v>
      </c>
      <c r="AE198" s="188">
        <f t="shared" si="96"/>
        <v>0</v>
      </c>
      <c r="AF198" s="189">
        <f t="shared" si="97"/>
        <v>0</v>
      </c>
      <c r="AG198" s="185">
        <f t="shared" si="98"/>
        <v>6.432451751250893</v>
      </c>
      <c r="AH198" s="104">
        <f t="shared" ref="AH198:AH248" si="107">+IF(AND($S198&lt;&gt;"PML",$S198&lt;&gt;"EVP"),J198,"EVALUATE")</f>
        <v>121.99</v>
      </c>
      <c r="AI198" s="187">
        <f t="shared" si="99"/>
        <v>139.91643049999999</v>
      </c>
      <c r="AJ198" s="188">
        <f t="shared" si="100"/>
        <v>0</v>
      </c>
      <c r="AK198" s="189">
        <f t="shared" si="101"/>
        <v>0</v>
      </c>
      <c r="AL198" s="185">
        <f t="shared" si="102"/>
        <v>6.4239073196419172</v>
      </c>
      <c r="AM198" s="6" t="str">
        <f t="shared" ref="AM198:AM248" si="108">+IF($S198="PML","No Intro Offer","30% Off SL / Annual")</f>
        <v>30% Off SL / Annual</v>
      </c>
      <c r="AN198" s="6" t="str">
        <f t="shared" ref="AN198:AN217" si="109">+IF(OR($S198="EVP",$S198="SA",$S198=0),"15% Off All SKUs","Messaging Only")</f>
        <v>Messaging Only</v>
      </c>
      <c r="AO198" s="6" t="str">
        <f t="shared" si="103"/>
        <v>Messaging / Pause Flow</v>
      </c>
      <c r="AP198" s="6" t="str">
        <f t="shared" ref="AP198:AP248" si="110">+IF(OR($S198="SVO",$S198="EVP",$S198="SA",$S198=0),"50% Off SL / Annual","50% Off LPP Only")</f>
        <v>50% Off SL / Annual</v>
      </c>
    </row>
    <row r="199" spans="2:42" ht="13">
      <c r="B199" s="20" t="s">
        <v>268</v>
      </c>
      <c r="C199" s="20" t="s">
        <v>182</v>
      </c>
      <c r="D199" s="6"/>
      <c r="E199" s="6" t="str">
        <f>IF(VLOOKUP(B199,'[7]FY25 PRICING'!$B$5:$AL$246,'[7]FY25 PRICING'!$E$1,FALSE)=0,"","x")</f>
        <v/>
      </c>
      <c r="F199" s="11" t="str">
        <f>+VLOOKUP($B199,'[1]INT Web'!$B$5:$AS$247,'[1]INT Web'!$Q$1,FALSE)</f>
        <v>SBD</v>
      </c>
      <c r="G199" s="22">
        <f>+VLOOKUP($B199,'[1]INT Web'!$B$5:$AS$247,'[1]INT Web'!$U$1,FALSE)</f>
        <v>69.989999999999995</v>
      </c>
      <c r="H199" s="22">
        <f>+VLOOKUP($B199,'[1]INT Web'!$B$5:$AS$247,'[1]INT Web'!$S$1,FALSE)</f>
        <v>93.99</v>
      </c>
      <c r="I199" s="22">
        <f>+VLOOKUP($B199,'[1]INT Web'!$B$5:$AS$247,'[1]INT Web'!$T$1,FALSE)</f>
        <v>419.99</v>
      </c>
      <c r="J199" s="22">
        <f>+VLOOKUP($B199,'[1]INT Web'!$B$5:$AS$247,'[1]INT Web'!$R$1,FALSE)</f>
        <v>563.99</v>
      </c>
      <c r="K199" s="185">
        <f t="shared" si="85"/>
        <v>6.0007143877696816</v>
      </c>
      <c r="L199" s="185">
        <f t="shared" si="85"/>
        <v>6.0005319714863283</v>
      </c>
      <c r="M199" s="185">
        <f t="shared" si="86"/>
        <v>1.3429061294470639</v>
      </c>
      <c r="N199" s="186">
        <v>0.12390000399999999</v>
      </c>
      <c r="O199" s="187">
        <f t="shared" si="87"/>
        <v>8.6717612799599983</v>
      </c>
      <c r="P199" s="187">
        <f t="shared" si="87"/>
        <v>11.645361375959999</v>
      </c>
      <c r="Q199" s="187">
        <f t="shared" si="87"/>
        <v>52.036762679959999</v>
      </c>
      <c r="R199" s="187">
        <f t="shared" si="84"/>
        <v>69.878363255959997</v>
      </c>
      <c r="S199" s="6">
        <v>0</v>
      </c>
      <c r="T199" s="104">
        <f t="shared" si="104"/>
        <v>69.989999999999995</v>
      </c>
      <c r="U199" s="187">
        <f t="shared" si="88"/>
        <v>8.6717612799599983</v>
      </c>
      <c r="V199" s="188">
        <f t="shared" si="89"/>
        <v>0</v>
      </c>
      <c r="W199" s="189">
        <f t="shared" si="90"/>
        <v>0</v>
      </c>
      <c r="X199" s="104">
        <f t="shared" si="105"/>
        <v>93.99</v>
      </c>
      <c r="Y199" s="187">
        <f t="shared" si="91"/>
        <v>11.645361375959999</v>
      </c>
      <c r="Z199" s="188">
        <f t="shared" si="92"/>
        <v>0</v>
      </c>
      <c r="AA199" s="189">
        <f t="shared" si="93"/>
        <v>0</v>
      </c>
      <c r="AB199" s="185">
        <f t="shared" si="94"/>
        <v>1.3429061294470639</v>
      </c>
      <c r="AC199" s="104">
        <f t="shared" si="106"/>
        <v>419.99</v>
      </c>
      <c r="AD199" s="187">
        <f t="shared" si="95"/>
        <v>52.036762679959999</v>
      </c>
      <c r="AE199" s="188">
        <f t="shared" si="96"/>
        <v>0</v>
      </c>
      <c r="AF199" s="189">
        <f t="shared" si="97"/>
        <v>0</v>
      </c>
      <c r="AG199" s="185">
        <f t="shared" si="98"/>
        <v>6.0007143877696816</v>
      </c>
      <c r="AH199" s="104">
        <f t="shared" si="107"/>
        <v>563.99</v>
      </c>
      <c r="AI199" s="187">
        <f t="shared" si="99"/>
        <v>69.878363255959997</v>
      </c>
      <c r="AJ199" s="188">
        <f t="shared" si="100"/>
        <v>0</v>
      </c>
      <c r="AK199" s="189">
        <f t="shared" si="101"/>
        <v>0</v>
      </c>
      <c r="AL199" s="185">
        <f t="shared" si="102"/>
        <v>6.0005319714863283</v>
      </c>
      <c r="AM199" s="6" t="str">
        <f t="shared" si="108"/>
        <v>30% Off SL / Annual</v>
      </c>
      <c r="AN199" s="6" t="str">
        <f t="shared" si="109"/>
        <v>15% Off All SKUs</v>
      </c>
      <c r="AO199" s="6" t="str">
        <f t="shared" si="103"/>
        <v>Monthly: 100% Off Next Month</v>
      </c>
      <c r="AP199" s="6" t="str">
        <f t="shared" si="110"/>
        <v>50% Off SL / Annual</v>
      </c>
    </row>
    <row r="200" spans="2:42" ht="13">
      <c r="B200" s="20" t="s">
        <v>269</v>
      </c>
      <c r="C200" s="20" t="s">
        <v>270</v>
      </c>
      <c r="D200" s="6"/>
      <c r="E200" s="6" t="str">
        <f>IF(VLOOKUP(B200,'[7]FY25 PRICING'!$B$5:$AL$246,'[7]FY25 PRICING'!$E$1,FALSE)=0,"","x")</f>
        <v/>
      </c>
      <c r="F200" s="11" t="str">
        <f>+VLOOKUP($B200,'[1]INT Web'!$B$5:$AS$247,'[1]INT Web'!$Q$1,FALSE)</f>
        <v>SOS</v>
      </c>
      <c r="G200" s="22">
        <f>+VLOOKUP($B200,'[1]INT Web'!$B$5:$AS$247,'[1]INT Web'!$U$1,FALSE)</f>
        <v>4174.99</v>
      </c>
      <c r="H200" s="22">
        <f>+VLOOKUP($B200,'[1]INT Web'!$B$5:$AS$247,'[1]INT Web'!$S$1,FALSE)</f>
        <v>5649.99</v>
      </c>
      <c r="I200" s="22">
        <f>+VLOOKUP($B200,'[1]INT Web'!$B$5:$AS$247,'[1]INT Web'!$T$1,FALSE)</f>
        <v>25039.99</v>
      </c>
      <c r="J200" s="22">
        <f>+VLOOKUP($B200,'[1]INT Web'!$B$5:$AS$247,'[1]INT Web'!$R$1,FALSE)</f>
        <v>33889.99</v>
      </c>
      <c r="K200" s="185">
        <f t="shared" si="85"/>
        <v>5.9976167607587092</v>
      </c>
      <c r="L200" s="185">
        <f t="shared" si="85"/>
        <v>5.9982389349361682</v>
      </c>
      <c r="M200" s="185">
        <f t="shared" si="86"/>
        <v>1.3532942593874477</v>
      </c>
      <c r="N200" s="186">
        <v>1.7510285999999999E-3</v>
      </c>
      <c r="O200" s="187">
        <f t="shared" si="87"/>
        <v>7.3105268947139992</v>
      </c>
      <c r="P200" s="187">
        <f t="shared" si="87"/>
        <v>9.8932940797139999</v>
      </c>
      <c r="Q200" s="187">
        <f t="shared" si="87"/>
        <v>43.845738633713999</v>
      </c>
      <c r="R200" s="187">
        <f t="shared" si="84"/>
        <v>59.342341743713995</v>
      </c>
      <c r="S200" s="6">
        <v>0</v>
      </c>
      <c r="T200" s="104">
        <f t="shared" si="104"/>
        <v>4174.99</v>
      </c>
      <c r="U200" s="187">
        <f t="shared" si="88"/>
        <v>7.3105268947139992</v>
      </c>
      <c r="V200" s="188">
        <f t="shared" si="89"/>
        <v>0</v>
      </c>
      <c r="W200" s="189">
        <f t="shared" si="90"/>
        <v>0</v>
      </c>
      <c r="X200" s="104">
        <f t="shared" si="105"/>
        <v>5649.99</v>
      </c>
      <c r="Y200" s="187">
        <f t="shared" si="91"/>
        <v>9.8932940797139999</v>
      </c>
      <c r="Z200" s="188">
        <f t="shared" si="92"/>
        <v>0</v>
      </c>
      <c r="AA200" s="189">
        <f t="shared" si="93"/>
        <v>0</v>
      </c>
      <c r="AB200" s="185">
        <f t="shared" si="94"/>
        <v>1.3532942593874477</v>
      </c>
      <c r="AC200" s="104">
        <f t="shared" si="106"/>
        <v>25039.99</v>
      </c>
      <c r="AD200" s="187">
        <f t="shared" si="95"/>
        <v>43.845738633713999</v>
      </c>
      <c r="AE200" s="188">
        <f t="shared" si="96"/>
        <v>0</v>
      </c>
      <c r="AF200" s="189">
        <f t="shared" si="97"/>
        <v>0</v>
      </c>
      <c r="AG200" s="185">
        <f t="shared" si="98"/>
        <v>5.9976167607587092</v>
      </c>
      <c r="AH200" s="104">
        <f t="shared" si="107"/>
        <v>33889.99</v>
      </c>
      <c r="AI200" s="187">
        <f t="shared" si="99"/>
        <v>59.342341743713995</v>
      </c>
      <c r="AJ200" s="188">
        <f t="shared" si="100"/>
        <v>0</v>
      </c>
      <c r="AK200" s="189">
        <f t="shared" si="101"/>
        <v>0</v>
      </c>
      <c r="AL200" s="185">
        <f t="shared" si="102"/>
        <v>5.9982389349361682</v>
      </c>
      <c r="AM200" s="6" t="str">
        <f t="shared" si="108"/>
        <v>30% Off SL / Annual</v>
      </c>
      <c r="AN200" s="6" t="str">
        <f t="shared" si="109"/>
        <v>15% Off All SKUs</v>
      </c>
      <c r="AO200" s="6" t="str">
        <f t="shared" si="103"/>
        <v>Monthly: 100% Off Next Month</v>
      </c>
      <c r="AP200" s="6" t="str">
        <f t="shared" si="110"/>
        <v>50% Off SL / Annual</v>
      </c>
    </row>
    <row r="201" spans="2:42" ht="13">
      <c r="B201" s="20" t="s">
        <v>271</v>
      </c>
      <c r="C201" s="20" t="s">
        <v>270</v>
      </c>
      <c r="D201" s="6" t="s">
        <v>491</v>
      </c>
      <c r="E201" s="6" t="str">
        <f>IF(VLOOKUP(B201,'[7]FY25 PRICING'!$B$5:$AL$246,'[7]FY25 PRICING'!$E$1,FALSE)=0,"","x")</f>
        <v/>
      </c>
      <c r="F201" s="11" t="str">
        <f>+VLOOKUP($B201,'[1]INT Web'!$B$5:$AS$247,'[1]INT Web'!$Q$1,FALSE)</f>
        <v>ZAR</v>
      </c>
      <c r="G201" s="136">
        <f>+VLOOKUP($B201,'[1]INT Web'!$B$5:$AS$247,'[1]INT Web'!$U$1,FALSE)</f>
        <v>139.99</v>
      </c>
      <c r="H201" s="136">
        <f>+VLOOKUP($B201,'[1]INT Web'!$B$5:$AS$247,'[1]INT Web'!$S$1,FALSE)</f>
        <v>188.99</v>
      </c>
      <c r="I201" s="22">
        <f>+VLOOKUP($B201,'[1]INT Web'!$B$5:$AS$247,'[1]INT Web'!$T$1,FALSE)</f>
        <v>839.99</v>
      </c>
      <c r="J201" s="22">
        <f>+VLOOKUP($B201,'[1]INT Web'!$B$5:$AS$247,'[1]INT Web'!$R$1,FALSE)</f>
        <v>1133.99</v>
      </c>
      <c r="K201" s="185">
        <f t="shared" si="85"/>
        <v>6.0003571683691685</v>
      </c>
      <c r="L201" s="185">
        <f t="shared" si="85"/>
        <v>6.0002645642626593</v>
      </c>
      <c r="M201" s="185">
        <f t="shared" si="86"/>
        <v>1.3500250017858417</v>
      </c>
      <c r="N201" s="186">
        <v>6.0781040000000001E-2</v>
      </c>
      <c r="O201" s="187">
        <f t="shared" si="87"/>
        <v>8.5087377896000014</v>
      </c>
      <c r="P201" s="187">
        <f t="shared" si="87"/>
        <v>11.487008749600001</v>
      </c>
      <c r="Q201" s="187">
        <f t="shared" si="87"/>
        <v>51.055465789599999</v>
      </c>
      <c r="R201" s="187">
        <f t="shared" si="84"/>
        <v>68.925091549599998</v>
      </c>
      <c r="S201" s="132" t="s">
        <v>477</v>
      </c>
      <c r="T201" s="104">
        <f t="shared" si="104"/>
        <v>139.99</v>
      </c>
      <c r="U201" s="187">
        <f t="shared" si="88"/>
        <v>8.5087377896000014</v>
      </c>
      <c r="V201" s="188">
        <f t="shared" si="89"/>
        <v>0</v>
      </c>
      <c r="W201" s="189">
        <f t="shared" si="90"/>
        <v>0</v>
      </c>
      <c r="X201" s="104">
        <f t="shared" si="105"/>
        <v>188.99</v>
      </c>
      <c r="Y201" s="187">
        <f t="shared" si="91"/>
        <v>11.487008749600001</v>
      </c>
      <c r="Z201" s="188">
        <f t="shared" si="92"/>
        <v>0</v>
      </c>
      <c r="AA201" s="189">
        <f t="shared" si="93"/>
        <v>0</v>
      </c>
      <c r="AB201" s="185">
        <f t="shared" si="94"/>
        <v>1.3500250017858417</v>
      </c>
      <c r="AC201" s="104">
        <f t="shared" si="106"/>
        <v>839.99</v>
      </c>
      <c r="AD201" s="187">
        <f t="shared" si="95"/>
        <v>51.055465789599999</v>
      </c>
      <c r="AE201" s="188">
        <f t="shared" si="96"/>
        <v>0</v>
      </c>
      <c r="AF201" s="189">
        <f t="shared" si="97"/>
        <v>0</v>
      </c>
      <c r="AG201" s="185">
        <f t="shared" si="98"/>
        <v>6.0003571683691685</v>
      </c>
      <c r="AH201" s="104">
        <f t="shared" si="107"/>
        <v>1133.99</v>
      </c>
      <c r="AI201" s="187">
        <f t="shared" si="99"/>
        <v>68.925091549599998</v>
      </c>
      <c r="AJ201" s="188">
        <f t="shared" si="100"/>
        <v>0</v>
      </c>
      <c r="AK201" s="189">
        <f t="shared" si="101"/>
        <v>0</v>
      </c>
      <c r="AL201" s="185">
        <f t="shared" si="102"/>
        <v>6.0002645642626593</v>
      </c>
      <c r="AM201" s="6" t="str">
        <f t="shared" si="108"/>
        <v>30% Off SL / Annual</v>
      </c>
      <c r="AN201" s="6" t="str">
        <f t="shared" si="109"/>
        <v>15% Off All SKUs</v>
      </c>
      <c r="AO201" s="6" t="str">
        <f t="shared" si="103"/>
        <v>Monthly: 100% Off Next Month</v>
      </c>
      <c r="AP201" s="6" t="str">
        <f t="shared" si="110"/>
        <v>50% Off SL / Annual</v>
      </c>
    </row>
    <row r="202" spans="2:42" ht="13">
      <c r="B202" s="20" t="s">
        <v>272</v>
      </c>
      <c r="C202" s="20" t="s">
        <v>100</v>
      </c>
      <c r="D202" s="6"/>
      <c r="E202" s="6" t="str">
        <f>IF(VLOOKUP(B202,'[7]FY25 PRICING'!$B$5:$AL$246,'[7]FY25 PRICING'!$E$1,FALSE)=0,"","x")</f>
        <v/>
      </c>
      <c r="F202" s="11" t="str">
        <f>+VLOOKUP($B202,'[1]INT Web'!$B$5:$AS$247,'[1]INT Web'!$Q$1,FALSE)</f>
        <v>GBP</v>
      </c>
      <c r="G202" s="22">
        <f>+VLOOKUP($B202,'[1]INT Web'!$B$5:$AS$247,'[1]INT Web'!$U$1,FALSE)</f>
        <v>9.99</v>
      </c>
      <c r="H202" s="22">
        <f>+VLOOKUP($B202,'[1]INT Web'!$B$5:$AS$247,'[1]INT Web'!$S$1,FALSE)</f>
        <v>12.99</v>
      </c>
      <c r="I202" s="22">
        <f>+VLOOKUP($B202,'[1]INT Web'!$B$5:$AS$247,'[1]INT Web'!$T$1,FALSE)</f>
        <v>69.989999999999995</v>
      </c>
      <c r="J202" s="22">
        <f>+VLOOKUP($B202,'[1]INT Web'!$B$5:$AS$247,'[1]INT Web'!$R$1,FALSE)</f>
        <v>89.99</v>
      </c>
      <c r="K202" s="185">
        <f t="shared" si="85"/>
        <v>7.0060060060060056</v>
      </c>
      <c r="L202" s="185">
        <f t="shared" si="85"/>
        <v>6.9276366435719776</v>
      </c>
      <c r="M202" s="185">
        <f t="shared" si="86"/>
        <v>1.3003003003003002</v>
      </c>
      <c r="N202" s="186">
        <v>1.3230500000000001</v>
      </c>
      <c r="O202" s="187">
        <f t="shared" si="87"/>
        <v>13.2172695</v>
      </c>
      <c r="P202" s="187">
        <f t="shared" si="87"/>
        <v>17.1864195</v>
      </c>
      <c r="Q202" s="187">
        <f t="shared" si="87"/>
        <v>92.600269499999996</v>
      </c>
      <c r="R202" s="187">
        <f t="shared" si="84"/>
        <v>119.06126949999999</v>
      </c>
      <c r="S202" s="6">
        <v>0</v>
      </c>
      <c r="T202" s="104">
        <f t="shared" si="104"/>
        <v>9.99</v>
      </c>
      <c r="U202" s="187">
        <f t="shared" si="88"/>
        <v>13.2172695</v>
      </c>
      <c r="V202" s="188">
        <f t="shared" si="89"/>
        <v>0</v>
      </c>
      <c r="W202" s="189">
        <f t="shared" si="90"/>
        <v>0</v>
      </c>
      <c r="X202" s="104">
        <f t="shared" si="105"/>
        <v>12.99</v>
      </c>
      <c r="Y202" s="187">
        <f t="shared" si="91"/>
        <v>17.1864195</v>
      </c>
      <c r="Z202" s="188">
        <f t="shared" si="92"/>
        <v>0</v>
      </c>
      <c r="AA202" s="189">
        <f t="shared" si="93"/>
        <v>0</v>
      </c>
      <c r="AB202" s="185">
        <f t="shared" si="94"/>
        <v>1.3003003003003002</v>
      </c>
      <c r="AC202" s="104">
        <f t="shared" si="106"/>
        <v>69.989999999999995</v>
      </c>
      <c r="AD202" s="187">
        <f t="shared" si="95"/>
        <v>92.600269499999996</v>
      </c>
      <c r="AE202" s="188">
        <f t="shared" si="96"/>
        <v>0</v>
      </c>
      <c r="AF202" s="189">
        <f t="shared" si="97"/>
        <v>0</v>
      </c>
      <c r="AG202" s="185">
        <f t="shared" si="98"/>
        <v>7.0060060060060056</v>
      </c>
      <c r="AH202" s="104">
        <f t="shared" si="107"/>
        <v>89.99</v>
      </c>
      <c r="AI202" s="187">
        <f t="shared" si="99"/>
        <v>119.06126949999999</v>
      </c>
      <c r="AJ202" s="188">
        <f t="shared" si="100"/>
        <v>0</v>
      </c>
      <c r="AK202" s="189">
        <f t="shared" si="101"/>
        <v>0</v>
      </c>
      <c r="AL202" s="185">
        <f t="shared" si="102"/>
        <v>6.9276366435719776</v>
      </c>
      <c r="AM202" s="6" t="str">
        <f t="shared" si="108"/>
        <v>30% Off SL / Annual</v>
      </c>
      <c r="AN202" s="6" t="str">
        <f t="shared" si="109"/>
        <v>15% Off All SKUs</v>
      </c>
      <c r="AO202" s="6" t="str">
        <f t="shared" si="103"/>
        <v>Monthly: 100% Off Next Month</v>
      </c>
      <c r="AP202" s="6" t="str">
        <f t="shared" si="110"/>
        <v>50% Off SL / Annual</v>
      </c>
    </row>
    <row r="203" spans="2:42" ht="13">
      <c r="B203" s="20" t="s">
        <v>273</v>
      </c>
      <c r="C203" s="20" t="s">
        <v>182</v>
      </c>
      <c r="D203" s="6"/>
      <c r="E203" s="6" t="s">
        <v>490</v>
      </c>
      <c r="F203" s="11" t="str">
        <f>+VLOOKUP($B203,'[1]INT Web'!$B$5:$AS$247,'[1]INT Web'!$Q$1,FALSE)</f>
        <v>KRW</v>
      </c>
      <c r="G203" s="22">
        <f>+VLOOKUP($B203,'[1]INT Web'!$B$5:$AS$247,'[1]INT Web'!$U$1,FALSE)</f>
        <v>20000</v>
      </c>
      <c r="H203" s="22">
        <f>+VLOOKUP($B203,'[1]INT Web'!$B$5:$AS$247,'[1]INT Web'!$S$1,FALSE)</f>
        <v>29990</v>
      </c>
      <c r="I203" s="22">
        <f>+VLOOKUP($B203,'[1]INT Web'!$B$5:$AS$247,'[1]INT Web'!$T$1,FALSE)</f>
        <v>129990</v>
      </c>
      <c r="J203" s="22">
        <f>+VLOOKUP($B203,'[1]INT Web'!$B$5:$AS$247,'[1]INT Web'!$R$1,FALSE)</f>
        <v>189990</v>
      </c>
      <c r="K203" s="185">
        <f t="shared" si="85"/>
        <v>6.4995000000000003</v>
      </c>
      <c r="L203" s="185">
        <f t="shared" si="85"/>
        <v>6.3351117039013003</v>
      </c>
      <c r="M203" s="185">
        <f t="shared" si="86"/>
        <v>1.4995000000000001</v>
      </c>
      <c r="N203" s="186">
        <v>6.5457880000000001E-4</v>
      </c>
      <c r="O203" s="187">
        <f t="shared" si="87"/>
        <v>13.091576</v>
      </c>
      <c r="P203" s="187">
        <f t="shared" si="87"/>
        <v>19.630818212000001</v>
      </c>
      <c r="Q203" s="187">
        <f t="shared" si="87"/>
        <v>85.088698211999997</v>
      </c>
      <c r="R203" s="187">
        <f t="shared" si="84"/>
        <v>124.36342621200001</v>
      </c>
      <c r="S203" s="132" t="s">
        <v>486</v>
      </c>
      <c r="T203" s="104">
        <f t="shared" si="104"/>
        <v>20000</v>
      </c>
      <c r="U203" s="187">
        <f t="shared" si="88"/>
        <v>13.091576</v>
      </c>
      <c r="V203" s="188">
        <f t="shared" si="89"/>
        <v>0</v>
      </c>
      <c r="W203" s="189">
        <f t="shared" si="90"/>
        <v>0</v>
      </c>
      <c r="X203" s="104">
        <f t="shared" si="105"/>
        <v>29990</v>
      </c>
      <c r="Y203" s="187">
        <f t="shared" si="91"/>
        <v>19.630818212000001</v>
      </c>
      <c r="Z203" s="188">
        <f t="shared" si="92"/>
        <v>0</v>
      </c>
      <c r="AA203" s="189">
        <f t="shared" si="93"/>
        <v>0</v>
      </c>
      <c r="AB203" s="185">
        <f t="shared" si="94"/>
        <v>1.4995000000000001</v>
      </c>
      <c r="AC203" s="104">
        <f t="shared" si="106"/>
        <v>129990</v>
      </c>
      <c r="AD203" s="187">
        <f t="shared" si="95"/>
        <v>85.088698211999997</v>
      </c>
      <c r="AE203" s="188">
        <f t="shared" si="96"/>
        <v>0</v>
      </c>
      <c r="AF203" s="189">
        <f t="shared" si="97"/>
        <v>0</v>
      </c>
      <c r="AG203" s="185">
        <f t="shared" si="98"/>
        <v>6.4995000000000003</v>
      </c>
      <c r="AH203" s="104">
        <f t="shared" si="107"/>
        <v>189990</v>
      </c>
      <c r="AI203" s="187">
        <f t="shared" si="99"/>
        <v>124.36342621200001</v>
      </c>
      <c r="AJ203" s="188">
        <f t="shared" si="100"/>
        <v>0</v>
      </c>
      <c r="AK203" s="189">
        <f t="shared" si="101"/>
        <v>0</v>
      </c>
      <c r="AL203" s="185">
        <f t="shared" si="102"/>
        <v>6.3351117039013003</v>
      </c>
      <c r="AM203" s="6" t="str">
        <f t="shared" si="108"/>
        <v>30% Off SL / Annual</v>
      </c>
      <c r="AN203" s="6" t="str">
        <f t="shared" si="109"/>
        <v>Messaging Only</v>
      </c>
      <c r="AO203" s="6" t="str">
        <f t="shared" si="103"/>
        <v>Messaging / Pause Flow</v>
      </c>
      <c r="AP203" s="6" t="str">
        <f t="shared" si="110"/>
        <v>50% Off SL / Annual</v>
      </c>
    </row>
    <row r="204" spans="2:42" ht="13">
      <c r="B204" s="20" t="s">
        <v>274</v>
      </c>
      <c r="C204" s="20" t="s">
        <v>275</v>
      </c>
      <c r="D204" s="6"/>
      <c r="E204" s="6" t="str">
        <f>IF(VLOOKUP(B204,'[7]FY25 PRICING'!$B$5:$AL$246,'[7]FY25 PRICING'!$E$1,FALSE)=0,"","x")</f>
        <v/>
      </c>
      <c r="F204" s="11" t="str">
        <f>+VLOOKUP($B204,'[1]INT Web'!$B$5:$AS$247,'[1]INT Web'!$Q$1,FALSE)</f>
        <v>USD</v>
      </c>
      <c r="G204" s="22">
        <f>+VLOOKUP($B204,'[1]INT Web'!$B$5:$AS$247,'[1]INT Web'!$U$1,FALSE)</f>
        <v>8.99</v>
      </c>
      <c r="H204" s="22">
        <f>+VLOOKUP($B204,'[1]INT Web'!$B$5:$AS$247,'[1]INT Web'!$S$1,FALSE)</f>
        <v>11.99</v>
      </c>
      <c r="I204" s="22">
        <f>+VLOOKUP($B204,'[1]INT Web'!$B$5:$AS$247,'[1]INT Web'!$T$1,FALSE)</f>
        <v>53.99</v>
      </c>
      <c r="J204" s="22">
        <f>+VLOOKUP($B204,'[1]INT Web'!$B$5:$AS$247,'[1]INT Web'!$R$1,FALSE)</f>
        <v>71.989999999999995</v>
      </c>
      <c r="K204" s="185">
        <f t="shared" si="85"/>
        <v>6.0055617352614012</v>
      </c>
      <c r="L204" s="185">
        <f t="shared" si="85"/>
        <v>6.0041701417848206</v>
      </c>
      <c r="M204" s="185">
        <f t="shared" si="86"/>
        <v>1.3337041156840934</v>
      </c>
      <c r="N204" s="186">
        <v>1</v>
      </c>
      <c r="O204" s="187">
        <f t="shared" si="87"/>
        <v>8.99</v>
      </c>
      <c r="P204" s="187">
        <f t="shared" si="87"/>
        <v>11.99</v>
      </c>
      <c r="Q204" s="187">
        <f t="shared" si="87"/>
        <v>53.99</v>
      </c>
      <c r="R204" s="187">
        <f t="shared" si="84"/>
        <v>71.989999999999995</v>
      </c>
      <c r="S204" s="6">
        <v>0</v>
      </c>
      <c r="T204" s="104">
        <f t="shared" si="104"/>
        <v>8.99</v>
      </c>
      <c r="U204" s="187">
        <f t="shared" si="88"/>
        <v>8.99</v>
      </c>
      <c r="V204" s="188">
        <f t="shared" si="89"/>
        <v>0</v>
      </c>
      <c r="W204" s="189">
        <f t="shared" si="90"/>
        <v>0</v>
      </c>
      <c r="X204" s="104">
        <f t="shared" si="105"/>
        <v>11.99</v>
      </c>
      <c r="Y204" s="187">
        <f t="shared" si="91"/>
        <v>11.99</v>
      </c>
      <c r="Z204" s="188">
        <f t="shared" si="92"/>
        <v>0</v>
      </c>
      <c r="AA204" s="189">
        <f t="shared" si="93"/>
        <v>0</v>
      </c>
      <c r="AB204" s="185">
        <f t="shared" si="94"/>
        <v>1.3337041156840934</v>
      </c>
      <c r="AC204" s="104">
        <f t="shared" si="106"/>
        <v>53.99</v>
      </c>
      <c r="AD204" s="187">
        <f t="shared" si="95"/>
        <v>53.99</v>
      </c>
      <c r="AE204" s="188">
        <f t="shared" si="96"/>
        <v>0</v>
      </c>
      <c r="AF204" s="189">
        <f t="shared" si="97"/>
        <v>0</v>
      </c>
      <c r="AG204" s="185">
        <f t="shared" si="98"/>
        <v>6.0055617352614012</v>
      </c>
      <c r="AH204" s="104">
        <f t="shared" si="107"/>
        <v>71.989999999999995</v>
      </c>
      <c r="AI204" s="187">
        <f t="shared" si="99"/>
        <v>71.989999999999995</v>
      </c>
      <c r="AJ204" s="188">
        <f t="shared" si="100"/>
        <v>0</v>
      </c>
      <c r="AK204" s="189">
        <f t="shared" si="101"/>
        <v>0</v>
      </c>
      <c r="AL204" s="185">
        <f t="shared" si="102"/>
        <v>6.0041701417848206</v>
      </c>
      <c r="AM204" s="6" t="str">
        <f t="shared" si="108"/>
        <v>30% Off SL / Annual</v>
      </c>
      <c r="AN204" s="6" t="str">
        <f t="shared" si="109"/>
        <v>15% Off All SKUs</v>
      </c>
      <c r="AO204" s="6" t="str">
        <f t="shared" si="103"/>
        <v>Monthly: 100% Off Next Month</v>
      </c>
      <c r="AP204" s="6" t="str">
        <f t="shared" si="110"/>
        <v>50% Off SL / Annual</v>
      </c>
    </row>
    <row r="205" spans="2:42" ht="13">
      <c r="B205" s="199" t="s">
        <v>276</v>
      </c>
      <c r="C205" s="199" t="s">
        <v>100</v>
      </c>
      <c r="D205" s="6" t="s">
        <v>480</v>
      </c>
      <c r="E205" s="6" t="s">
        <v>481</v>
      </c>
      <c r="F205" s="11" t="str">
        <f>+VLOOKUP($B205,'[1]INT Web'!$B$5:$AS$247,'[1]INT Web'!$Q$1,FALSE)</f>
        <v>EUR</v>
      </c>
      <c r="G205" s="22">
        <f>+VLOOKUP($B205,'[1]INT Web'!$B$5:$AS$247,'[1]INT Web'!$U$1,FALSE)</f>
        <v>15.99</v>
      </c>
      <c r="H205" s="22">
        <f>+VLOOKUP($B205,'[1]INT Web'!$B$5:$AS$247,'[1]INT Web'!$S$1,FALSE)</f>
        <v>19.989999999999998</v>
      </c>
      <c r="I205" s="22">
        <f>+VLOOKUP($B205,'[1]INT Web'!$B$5:$AS$247,'[1]INT Web'!$T$1,FALSE)</f>
        <v>109.99</v>
      </c>
      <c r="J205" s="22">
        <f>+VLOOKUP($B205,'[1]INT Web'!$B$5:$AS$247,'[1]INT Web'!$R$1,FALSE)</f>
        <v>139.99</v>
      </c>
      <c r="K205" s="185">
        <f t="shared" si="85"/>
        <v>6.8786741713570976</v>
      </c>
      <c r="L205" s="185">
        <f t="shared" si="85"/>
        <v>7.0030015007503765</v>
      </c>
      <c r="M205" s="185">
        <f t="shared" si="86"/>
        <v>1.2501563477173232</v>
      </c>
      <c r="N205" s="186">
        <v>1.1469499999999999</v>
      </c>
      <c r="O205" s="187">
        <f t="shared" si="87"/>
        <v>18.339730499999998</v>
      </c>
      <c r="P205" s="187">
        <f t="shared" si="87"/>
        <v>22.927530499999996</v>
      </c>
      <c r="Q205" s="187">
        <f t="shared" si="87"/>
        <v>126.15303049999999</v>
      </c>
      <c r="R205" s="187">
        <f t="shared" si="84"/>
        <v>160.5615305</v>
      </c>
      <c r="S205" s="132" t="s">
        <v>486</v>
      </c>
      <c r="T205" s="104">
        <f t="shared" si="104"/>
        <v>15.99</v>
      </c>
      <c r="U205" s="187">
        <f t="shared" si="88"/>
        <v>18.339730499999998</v>
      </c>
      <c r="V205" s="188">
        <f t="shared" si="89"/>
        <v>0</v>
      </c>
      <c r="W205" s="189">
        <f t="shared" si="90"/>
        <v>0</v>
      </c>
      <c r="X205" s="104">
        <f t="shared" si="105"/>
        <v>19.989999999999998</v>
      </c>
      <c r="Y205" s="187">
        <f t="shared" si="91"/>
        <v>22.927530499999996</v>
      </c>
      <c r="Z205" s="188">
        <f t="shared" si="92"/>
        <v>0</v>
      </c>
      <c r="AA205" s="189">
        <f t="shared" si="93"/>
        <v>0</v>
      </c>
      <c r="AB205" s="185">
        <f t="shared" si="94"/>
        <v>1.2501563477173232</v>
      </c>
      <c r="AC205" s="104">
        <f t="shared" si="106"/>
        <v>109.99</v>
      </c>
      <c r="AD205" s="187">
        <f t="shared" si="95"/>
        <v>126.15303049999999</v>
      </c>
      <c r="AE205" s="188">
        <f t="shared" si="96"/>
        <v>0</v>
      </c>
      <c r="AF205" s="189">
        <f t="shared" si="97"/>
        <v>0</v>
      </c>
      <c r="AG205" s="185">
        <f t="shared" si="98"/>
        <v>6.8786741713570976</v>
      </c>
      <c r="AH205" s="104">
        <f t="shared" si="107"/>
        <v>139.99</v>
      </c>
      <c r="AI205" s="187">
        <f t="shared" si="99"/>
        <v>160.5615305</v>
      </c>
      <c r="AJ205" s="188">
        <f t="shared" si="100"/>
        <v>0</v>
      </c>
      <c r="AK205" s="189">
        <f t="shared" si="101"/>
        <v>0</v>
      </c>
      <c r="AL205" s="185">
        <f t="shared" si="102"/>
        <v>7.0030015007503765</v>
      </c>
      <c r="AM205" s="6" t="str">
        <f t="shared" si="108"/>
        <v>30% Off SL / Annual</v>
      </c>
      <c r="AN205" s="6" t="str">
        <f t="shared" si="109"/>
        <v>Messaging Only</v>
      </c>
      <c r="AO205" s="6" t="str">
        <f t="shared" si="103"/>
        <v>Messaging / Pause Flow</v>
      </c>
      <c r="AP205" s="6" t="str">
        <f t="shared" si="110"/>
        <v>50% Off SL / Annual</v>
      </c>
    </row>
    <row r="206" spans="2:42" ht="13">
      <c r="B206" s="20" t="s">
        <v>277</v>
      </c>
      <c r="C206" s="20" t="s">
        <v>182</v>
      </c>
      <c r="D206" s="6"/>
      <c r="E206" s="6" t="str">
        <f>IF(VLOOKUP(B206,'[7]FY25 PRICING'!$B$5:$AL$246,'[7]FY25 PRICING'!$E$1,FALSE)=0,"","x")</f>
        <v/>
      </c>
      <c r="F206" s="11" t="str">
        <f>+VLOOKUP($B206,'[1]INT Web'!$B$5:$AS$247,'[1]INT Web'!$Q$1,FALSE)</f>
        <v>LKR</v>
      </c>
      <c r="G206" s="22">
        <f>+VLOOKUP($B206,'[1]INT Web'!$B$5:$AS$247,'[1]INT Web'!$U$1,FALSE)</f>
        <v>1900</v>
      </c>
      <c r="H206" s="22">
        <f>+VLOOKUP($B206,'[1]INT Web'!$B$5:$AS$247,'[1]INT Web'!$S$1,FALSE)</f>
        <v>2570</v>
      </c>
      <c r="I206" s="22">
        <f>+VLOOKUP($B206,'[1]INT Web'!$B$5:$AS$247,'[1]INT Web'!$T$1,FALSE)</f>
        <v>11400</v>
      </c>
      <c r="J206" s="22">
        <f>+VLOOKUP($B206,'[1]INT Web'!$B$5:$AS$247,'[1]INT Web'!$R$1,FALSE)</f>
        <v>15420</v>
      </c>
      <c r="K206" s="185">
        <f t="shared" si="85"/>
        <v>6</v>
      </c>
      <c r="L206" s="185">
        <f t="shared" si="85"/>
        <v>6</v>
      </c>
      <c r="M206" s="185">
        <f t="shared" si="86"/>
        <v>1.3526315789473684</v>
      </c>
      <c r="N206" s="186">
        <v>2.9996250000000001E-3</v>
      </c>
      <c r="O206" s="187">
        <f t="shared" si="87"/>
        <v>5.6992875000000005</v>
      </c>
      <c r="P206" s="187">
        <f t="shared" si="87"/>
        <v>7.7090362500000005</v>
      </c>
      <c r="Q206" s="187">
        <f t="shared" si="87"/>
        <v>34.195725000000003</v>
      </c>
      <c r="R206" s="187">
        <f t="shared" si="84"/>
        <v>46.254217500000003</v>
      </c>
      <c r="S206" s="6" t="s">
        <v>485</v>
      </c>
      <c r="T206" s="104">
        <f t="shared" si="104"/>
        <v>1900</v>
      </c>
      <c r="U206" s="187">
        <f t="shared" si="88"/>
        <v>5.6992875000000005</v>
      </c>
      <c r="V206" s="188">
        <f t="shared" si="89"/>
        <v>0</v>
      </c>
      <c r="W206" s="189">
        <f t="shared" si="90"/>
        <v>0</v>
      </c>
      <c r="X206" s="104">
        <f t="shared" si="105"/>
        <v>2570</v>
      </c>
      <c r="Y206" s="187">
        <f t="shared" si="91"/>
        <v>7.7090362500000005</v>
      </c>
      <c r="Z206" s="188">
        <f t="shared" si="92"/>
        <v>0</v>
      </c>
      <c r="AA206" s="189">
        <f t="shared" si="93"/>
        <v>0</v>
      </c>
      <c r="AB206" s="185">
        <f t="shared" si="94"/>
        <v>1.3526315789473684</v>
      </c>
      <c r="AC206" s="104">
        <f t="shared" si="106"/>
        <v>11400</v>
      </c>
      <c r="AD206" s="187">
        <f t="shared" si="95"/>
        <v>34.195725000000003</v>
      </c>
      <c r="AE206" s="188">
        <f t="shared" si="96"/>
        <v>0</v>
      </c>
      <c r="AF206" s="189">
        <f t="shared" si="97"/>
        <v>0</v>
      </c>
      <c r="AG206" s="185">
        <f t="shared" si="98"/>
        <v>6</v>
      </c>
      <c r="AH206" s="104">
        <f t="shared" si="107"/>
        <v>15420</v>
      </c>
      <c r="AI206" s="187">
        <f t="shared" si="99"/>
        <v>46.254217500000003</v>
      </c>
      <c r="AJ206" s="188">
        <f t="shared" si="100"/>
        <v>0</v>
      </c>
      <c r="AK206" s="189">
        <f t="shared" si="101"/>
        <v>0</v>
      </c>
      <c r="AL206" s="185">
        <f t="shared" si="102"/>
        <v>6</v>
      </c>
      <c r="AM206" s="6" t="str">
        <f t="shared" si="108"/>
        <v>30% Off SL / Annual</v>
      </c>
      <c r="AN206" s="6" t="str">
        <f t="shared" si="109"/>
        <v>Messaging Only</v>
      </c>
      <c r="AO206" s="6" t="str">
        <f t="shared" si="103"/>
        <v>Messaging / Pause Flow</v>
      </c>
      <c r="AP206" s="6" t="str">
        <f t="shared" si="110"/>
        <v>50% Off LPP Only</v>
      </c>
    </row>
    <row r="207" spans="2:42" ht="13">
      <c r="B207" s="20" t="s">
        <v>278</v>
      </c>
      <c r="C207" s="20" t="s">
        <v>96</v>
      </c>
      <c r="D207" s="6"/>
      <c r="E207" s="6" t="str">
        <f>IF(VLOOKUP(B207,'[7]FY25 PRICING'!$B$5:$AL$246,'[7]FY25 PRICING'!$E$1,FALSE)=0,"","x")</f>
        <v/>
      </c>
      <c r="F207" s="11" t="str">
        <f>+VLOOKUP($B207,'[1]INT Web'!$B$5:$AS$247,'[1]INT Web'!$Q$1,FALSE)</f>
        <v>EUR</v>
      </c>
      <c r="G207" s="22">
        <f>+VLOOKUP($B207,'[1]INT Web'!$B$5:$AS$247,'[1]INT Web'!$U$1,FALSE)</f>
        <v>9.99</v>
      </c>
      <c r="H207" s="22">
        <f>+VLOOKUP($B207,'[1]INT Web'!$B$5:$AS$247,'[1]INT Web'!$S$1,FALSE)</f>
        <v>12.99</v>
      </c>
      <c r="I207" s="22">
        <f>+VLOOKUP($B207,'[1]INT Web'!$B$5:$AS$247,'[1]INT Web'!$T$1,FALSE)</f>
        <v>59.99</v>
      </c>
      <c r="J207" s="22">
        <f>+VLOOKUP($B207,'[1]INT Web'!$B$5:$AS$247,'[1]INT Web'!$R$1,FALSE)</f>
        <v>77.989999999999995</v>
      </c>
      <c r="K207" s="185">
        <f t="shared" si="85"/>
        <v>6.005005005005005</v>
      </c>
      <c r="L207" s="185">
        <f t="shared" si="85"/>
        <v>6.0038491147036179</v>
      </c>
      <c r="M207" s="185">
        <f t="shared" si="86"/>
        <v>1.3003003003003002</v>
      </c>
      <c r="N207" s="186">
        <v>1.1469499999999999</v>
      </c>
      <c r="O207" s="187">
        <f t="shared" si="87"/>
        <v>11.4580305</v>
      </c>
      <c r="P207" s="187">
        <f t="shared" si="87"/>
        <v>14.898880499999999</v>
      </c>
      <c r="Q207" s="187">
        <f t="shared" si="87"/>
        <v>68.805530500000003</v>
      </c>
      <c r="R207" s="187">
        <f t="shared" si="84"/>
        <v>89.450630499999988</v>
      </c>
      <c r="S207" s="6">
        <v>0</v>
      </c>
      <c r="T207" s="104">
        <f t="shared" si="104"/>
        <v>9.99</v>
      </c>
      <c r="U207" s="187">
        <f t="shared" si="88"/>
        <v>11.4580305</v>
      </c>
      <c r="V207" s="188">
        <f t="shared" si="89"/>
        <v>0</v>
      </c>
      <c r="W207" s="189">
        <f t="shared" si="90"/>
        <v>0</v>
      </c>
      <c r="X207" s="104">
        <f t="shared" si="105"/>
        <v>12.99</v>
      </c>
      <c r="Y207" s="187">
        <f t="shared" si="91"/>
        <v>14.898880499999999</v>
      </c>
      <c r="Z207" s="188">
        <f t="shared" si="92"/>
        <v>0</v>
      </c>
      <c r="AA207" s="189">
        <f t="shared" si="93"/>
        <v>0</v>
      </c>
      <c r="AB207" s="185">
        <f t="shared" si="94"/>
        <v>1.3003003003003002</v>
      </c>
      <c r="AC207" s="104">
        <f t="shared" si="106"/>
        <v>59.99</v>
      </c>
      <c r="AD207" s="187">
        <f t="shared" si="95"/>
        <v>68.805530500000003</v>
      </c>
      <c r="AE207" s="188">
        <f t="shared" si="96"/>
        <v>0</v>
      </c>
      <c r="AF207" s="189">
        <f t="shared" si="97"/>
        <v>0</v>
      </c>
      <c r="AG207" s="185">
        <f t="shared" si="98"/>
        <v>6.005005005005005</v>
      </c>
      <c r="AH207" s="104">
        <f t="shared" si="107"/>
        <v>77.989999999999995</v>
      </c>
      <c r="AI207" s="187">
        <f t="shared" si="99"/>
        <v>89.450630499999988</v>
      </c>
      <c r="AJ207" s="188">
        <f t="shared" si="100"/>
        <v>0</v>
      </c>
      <c r="AK207" s="189">
        <f t="shared" si="101"/>
        <v>0</v>
      </c>
      <c r="AL207" s="185">
        <f t="shared" si="102"/>
        <v>6.0038491147036179</v>
      </c>
      <c r="AM207" s="6" t="str">
        <f t="shared" si="108"/>
        <v>30% Off SL / Annual</v>
      </c>
      <c r="AN207" s="6" t="str">
        <f t="shared" si="109"/>
        <v>15% Off All SKUs</v>
      </c>
      <c r="AO207" s="6" t="str">
        <f t="shared" si="103"/>
        <v>Monthly: 100% Off Next Month</v>
      </c>
      <c r="AP207" s="6" t="str">
        <f t="shared" si="110"/>
        <v>50% Off SL / Annual</v>
      </c>
    </row>
    <row r="208" spans="2:42" ht="13">
      <c r="B208" s="20" t="s">
        <v>279</v>
      </c>
      <c r="C208" s="20" t="s">
        <v>270</v>
      </c>
      <c r="D208" s="6"/>
      <c r="E208" s="6" t="str">
        <f>IF(VLOOKUP(B208,'[7]FY25 PRICING'!$B$5:$AL$246,'[7]FY25 PRICING'!$E$1,FALSE)=0,"","x")</f>
        <v/>
      </c>
      <c r="F208" s="11" t="str">
        <f>+VLOOKUP($B208,'[1]INT Web'!$B$5:$AS$247,'[1]INT Web'!$Q$1,FALSE)</f>
        <v>SHP</v>
      </c>
      <c r="G208" s="22">
        <f>+VLOOKUP($B208,'[1]INT Web'!$B$5:$AS$247,'[1]INT Web'!$U$1,FALSE)</f>
        <v>6.99</v>
      </c>
      <c r="H208" s="22">
        <f>+VLOOKUP($B208,'[1]INT Web'!$B$5:$AS$247,'[1]INT Web'!$S$1,FALSE)</f>
        <v>8.99</v>
      </c>
      <c r="I208" s="22">
        <f>+VLOOKUP($B208,'[1]INT Web'!$B$5:$AS$247,'[1]INT Web'!$T$1,FALSE)</f>
        <v>41.99</v>
      </c>
      <c r="J208" s="22">
        <f>+VLOOKUP($B208,'[1]INT Web'!$B$5:$AS$247,'[1]INT Web'!$R$1,FALSE)</f>
        <v>53.99</v>
      </c>
      <c r="K208" s="185">
        <f t="shared" si="85"/>
        <v>6.0071530758226039</v>
      </c>
      <c r="L208" s="185">
        <f t="shared" si="85"/>
        <v>6.0055617352614012</v>
      </c>
      <c r="M208" s="185">
        <f t="shared" si="86"/>
        <v>1.2861230329041489</v>
      </c>
      <c r="N208" s="186">
        <v>1.32355</v>
      </c>
      <c r="O208" s="187">
        <f t="shared" si="87"/>
        <v>9.2516145000000005</v>
      </c>
      <c r="P208" s="187">
        <f t="shared" si="87"/>
        <v>11.898714500000001</v>
      </c>
      <c r="Q208" s="187">
        <f t="shared" si="87"/>
        <v>55.575864500000002</v>
      </c>
      <c r="R208" s="187">
        <f t="shared" si="84"/>
        <v>71.458464500000005</v>
      </c>
      <c r="S208" s="6">
        <v>0</v>
      </c>
      <c r="T208" s="104">
        <f t="shared" si="104"/>
        <v>6.99</v>
      </c>
      <c r="U208" s="187">
        <f t="shared" si="88"/>
        <v>9.2516145000000005</v>
      </c>
      <c r="V208" s="188">
        <f t="shared" si="89"/>
        <v>0</v>
      </c>
      <c r="W208" s="189">
        <f t="shared" si="90"/>
        <v>0</v>
      </c>
      <c r="X208" s="104">
        <f t="shared" si="105"/>
        <v>8.99</v>
      </c>
      <c r="Y208" s="187">
        <f t="shared" si="91"/>
        <v>11.898714500000001</v>
      </c>
      <c r="Z208" s="188">
        <f t="shared" si="92"/>
        <v>0</v>
      </c>
      <c r="AA208" s="189">
        <f t="shared" si="93"/>
        <v>0</v>
      </c>
      <c r="AB208" s="185">
        <f t="shared" si="94"/>
        <v>1.2861230329041489</v>
      </c>
      <c r="AC208" s="104">
        <f t="shared" si="106"/>
        <v>41.99</v>
      </c>
      <c r="AD208" s="187">
        <f t="shared" si="95"/>
        <v>55.575864500000002</v>
      </c>
      <c r="AE208" s="188">
        <f t="shared" si="96"/>
        <v>0</v>
      </c>
      <c r="AF208" s="189">
        <f t="shared" si="97"/>
        <v>0</v>
      </c>
      <c r="AG208" s="185">
        <f t="shared" si="98"/>
        <v>6.0071530758226039</v>
      </c>
      <c r="AH208" s="104">
        <f t="shared" si="107"/>
        <v>53.99</v>
      </c>
      <c r="AI208" s="187">
        <f t="shared" si="99"/>
        <v>71.458464500000005</v>
      </c>
      <c r="AJ208" s="188">
        <f t="shared" si="100"/>
        <v>0</v>
      </c>
      <c r="AK208" s="189">
        <f t="shared" si="101"/>
        <v>0</v>
      </c>
      <c r="AL208" s="185">
        <f t="shared" si="102"/>
        <v>6.0055617352614012</v>
      </c>
      <c r="AM208" s="6" t="str">
        <f t="shared" si="108"/>
        <v>30% Off SL / Annual</v>
      </c>
      <c r="AN208" s="6" t="str">
        <f t="shared" si="109"/>
        <v>15% Off All SKUs</v>
      </c>
      <c r="AO208" s="6" t="str">
        <f t="shared" si="103"/>
        <v>Monthly: 100% Off Next Month</v>
      </c>
      <c r="AP208" s="6" t="str">
        <f t="shared" si="110"/>
        <v>50% Off SL / Annual</v>
      </c>
    </row>
    <row r="209" spans="2:42" ht="13">
      <c r="B209" s="20" t="s">
        <v>280</v>
      </c>
      <c r="C209" s="20" t="s">
        <v>96</v>
      </c>
      <c r="D209" s="6"/>
      <c r="E209" s="6" t="str">
        <f>IF(VLOOKUP(B209,'[7]FY25 PRICING'!$B$5:$AL$246,'[7]FY25 PRICING'!$E$1,FALSE)=0,"","x")</f>
        <v/>
      </c>
      <c r="F209" s="11" t="str">
        <f>+VLOOKUP($B209,'[1]INT Web'!$B$5:$AS$247,'[1]INT Web'!$Q$1,FALSE)</f>
        <v>XCD</v>
      </c>
      <c r="G209" s="22">
        <f>+VLOOKUP($B209,'[1]INT Web'!$B$5:$AS$247,'[1]INT Web'!$U$1,FALSE)</f>
        <v>32.99</v>
      </c>
      <c r="H209" s="22">
        <f>+VLOOKUP($B209,'[1]INT Web'!$B$5:$AS$247,'[1]INT Web'!$S$1,FALSE)</f>
        <v>44.99</v>
      </c>
      <c r="I209" s="22">
        <f>+VLOOKUP($B209,'[1]INT Web'!$B$5:$AS$247,'[1]INT Web'!$T$1,FALSE)</f>
        <v>197.99</v>
      </c>
      <c r="J209" s="22">
        <f>+VLOOKUP($B209,'[1]INT Web'!$B$5:$AS$247,'[1]INT Web'!$R$1,FALSE)</f>
        <v>269.99</v>
      </c>
      <c r="K209" s="185">
        <f t="shared" si="85"/>
        <v>6.0015156107911487</v>
      </c>
      <c r="L209" s="185">
        <f t="shared" si="85"/>
        <v>6.001111358079573</v>
      </c>
      <c r="M209" s="185">
        <f t="shared" si="86"/>
        <v>1.36374658987572</v>
      </c>
      <c r="N209" s="186">
        <v>0.37037036000000001</v>
      </c>
      <c r="O209" s="187">
        <f t="shared" si="87"/>
        <v>12.218518176400002</v>
      </c>
      <c r="P209" s="187">
        <f t="shared" si="87"/>
        <v>16.662962496400002</v>
      </c>
      <c r="Q209" s="187">
        <f t="shared" si="87"/>
        <v>73.3296275764</v>
      </c>
      <c r="R209" s="187">
        <f t="shared" si="84"/>
        <v>99.9962934964</v>
      </c>
      <c r="S209" s="6">
        <v>0</v>
      </c>
      <c r="T209" s="104">
        <f t="shared" si="104"/>
        <v>32.99</v>
      </c>
      <c r="U209" s="187">
        <f t="shared" si="88"/>
        <v>12.218518176400002</v>
      </c>
      <c r="V209" s="188">
        <f t="shared" si="89"/>
        <v>0</v>
      </c>
      <c r="W209" s="189">
        <f t="shared" si="90"/>
        <v>0</v>
      </c>
      <c r="X209" s="104">
        <f t="shared" si="105"/>
        <v>44.99</v>
      </c>
      <c r="Y209" s="187">
        <f t="shared" si="91"/>
        <v>16.662962496400002</v>
      </c>
      <c r="Z209" s="188">
        <f t="shared" si="92"/>
        <v>0</v>
      </c>
      <c r="AA209" s="189">
        <f t="shared" si="93"/>
        <v>0</v>
      </c>
      <c r="AB209" s="185">
        <f t="shared" si="94"/>
        <v>1.36374658987572</v>
      </c>
      <c r="AC209" s="104">
        <f t="shared" si="106"/>
        <v>197.99</v>
      </c>
      <c r="AD209" s="187">
        <f t="shared" si="95"/>
        <v>73.3296275764</v>
      </c>
      <c r="AE209" s="188">
        <f t="shared" si="96"/>
        <v>0</v>
      </c>
      <c r="AF209" s="189">
        <f t="shared" si="97"/>
        <v>0</v>
      </c>
      <c r="AG209" s="185">
        <f t="shared" si="98"/>
        <v>6.0015156107911487</v>
      </c>
      <c r="AH209" s="104">
        <f t="shared" si="107"/>
        <v>269.99</v>
      </c>
      <c r="AI209" s="187">
        <f t="shared" si="99"/>
        <v>99.9962934964</v>
      </c>
      <c r="AJ209" s="188">
        <f t="shared" si="100"/>
        <v>0</v>
      </c>
      <c r="AK209" s="189">
        <f t="shared" si="101"/>
        <v>0</v>
      </c>
      <c r="AL209" s="185">
        <f t="shared" si="102"/>
        <v>6.001111358079573</v>
      </c>
      <c r="AM209" s="6" t="str">
        <f t="shared" si="108"/>
        <v>30% Off SL / Annual</v>
      </c>
      <c r="AN209" s="6" t="str">
        <f t="shared" si="109"/>
        <v>15% Off All SKUs</v>
      </c>
      <c r="AO209" s="6" t="str">
        <f t="shared" si="103"/>
        <v>Monthly: 100% Off Next Month</v>
      </c>
      <c r="AP209" s="6" t="str">
        <f t="shared" si="110"/>
        <v>50% Off SL / Annual</v>
      </c>
    </row>
    <row r="210" spans="2:42" ht="13.4" customHeight="1">
      <c r="B210" s="20" t="s">
        <v>281</v>
      </c>
      <c r="C210" s="20" t="s">
        <v>96</v>
      </c>
      <c r="D210" s="6"/>
      <c r="E210" s="6" t="str">
        <f>IF(VLOOKUP(B210,'[7]FY25 PRICING'!$B$5:$AL$246,'[7]FY25 PRICING'!$E$1,FALSE)=0,"","x")</f>
        <v/>
      </c>
      <c r="F210" s="11" t="str">
        <f>+VLOOKUP($B210,'[1]INT Web'!$B$5:$AS$247,'[1]INT Web'!$Q$1,FALSE)</f>
        <v>XCD</v>
      </c>
      <c r="G210" s="22">
        <f>+VLOOKUP($B210,'[1]INT Web'!$B$5:$AS$247,'[1]INT Web'!$U$1,FALSE)</f>
        <v>29.99</v>
      </c>
      <c r="H210" s="22">
        <f>+VLOOKUP($B210,'[1]INT Web'!$B$5:$AS$247,'[1]INT Web'!$S$1,FALSE)</f>
        <v>39.99</v>
      </c>
      <c r="I210" s="22">
        <f>+VLOOKUP($B210,'[1]INT Web'!$B$5:$AS$247,'[1]INT Web'!$T$1,FALSE)</f>
        <v>179.99</v>
      </c>
      <c r="J210" s="22">
        <f>+VLOOKUP($B210,'[1]INT Web'!$B$5:$AS$247,'[1]INT Web'!$R$1,FALSE)</f>
        <v>239.99</v>
      </c>
      <c r="K210" s="185">
        <f t="shared" si="85"/>
        <v>6.0016672224074696</v>
      </c>
      <c r="L210" s="185">
        <f t="shared" si="85"/>
        <v>6.0012503125781445</v>
      </c>
      <c r="M210" s="185">
        <f t="shared" si="86"/>
        <v>1.3334444814938313</v>
      </c>
      <c r="N210" s="186">
        <v>0.37037036000000001</v>
      </c>
      <c r="O210" s="187">
        <f t="shared" si="87"/>
        <v>11.107407096399999</v>
      </c>
      <c r="P210" s="187">
        <f t="shared" si="87"/>
        <v>14.811110696400002</v>
      </c>
      <c r="Q210" s="187">
        <f t="shared" si="87"/>
        <v>66.662961096400011</v>
      </c>
      <c r="R210" s="187">
        <f t="shared" si="84"/>
        <v>88.885182696400008</v>
      </c>
      <c r="S210" s="6">
        <v>0</v>
      </c>
      <c r="T210" s="104">
        <f t="shared" si="104"/>
        <v>29.99</v>
      </c>
      <c r="U210" s="187">
        <f t="shared" si="88"/>
        <v>11.107407096399999</v>
      </c>
      <c r="V210" s="188">
        <f t="shared" si="89"/>
        <v>0</v>
      </c>
      <c r="W210" s="189">
        <f t="shared" si="90"/>
        <v>0</v>
      </c>
      <c r="X210" s="104">
        <f t="shared" si="105"/>
        <v>39.99</v>
      </c>
      <c r="Y210" s="187">
        <f t="shared" si="91"/>
        <v>14.811110696400002</v>
      </c>
      <c r="Z210" s="188">
        <f t="shared" si="92"/>
        <v>0</v>
      </c>
      <c r="AA210" s="189">
        <f t="shared" si="93"/>
        <v>0</v>
      </c>
      <c r="AB210" s="185">
        <f t="shared" si="94"/>
        <v>1.3334444814938313</v>
      </c>
      <c r="AC210" s="104">
        <f t="shared" si="106"/>
        <v>179.99</v>
      </c>
      <c r="AD210" s="187">
        <f t="shared" si="95"/>
        <v>66.662961096400011</v>
      </c>
      <c r="AE210" s="188">
        <f t="shared" si="96"/>
        <v>0</v>
      </c>
      <c r="AF210" s="189">
        <f t="shared" si="97"/>
        <v>0</v>
      </c>
      <c r="AG210" s="185">
        <f t="shared" si="98"/>
        <v>6.0016672224074696</v>
      </c>
      <c r="AH210" s="104">
        <f t="shared" si="107"/>
        <v>239.99</v>
      </c>
      <c r="AI210" s="187">
        <f t="shared" si="99"/>
        <v>88.885182696400008</v>
      </c>
      <c r="AJ210" s="188">
        <f t="shared" si="100"/>
        <v>0</v>
      </c>
      <c r="AK210" s="189">
        <f t="shared" si="101"/>
        <v>0</v>
      </c>
      <c r="AL210" s="185">
        <f t="shared" si="102"/>
        <v>6.0012503125781445</v>
      </c>
      <c r="AM210" s="6" t="str">
        <f t="shared" si="108"/>
        <v>30% Off SL / Annual</v>
      </c>
      <c r="AN210" s="6" t="str">
        <f t="shared" si="109"/>
        <v>15% Off All SKUs</v>
      </c>
      <c r="AO210" s="6" t="str">
        <f t="shared" si="103"/>
        <v>Monthly: 100% Off Next Month</v>
      </c>
      <c r="AP210" s="6" t="str">
        <f t="shared" si="110"/>
        <v>50% Off SL / Annual</v>
      </c>
    </row>
    <row r="211" spans="2:42" ht="13">
      <c r="B211" s="20" t="s">
        <v>282</v>
      </c>
      <c r="C211" s="20" t="s">
        <v>96</v>
      </c>
      <c r="D211" s="6"/>
      <c r="E211" s="6" t="str">
        <f>IF(VLOOKUP(B211,'[7]FY25 PRICING'!$B$5:$AL$246,'[7]FY25 PRICING'!$E$1,FALSE)=0,"","x")</f>
        <v/>
      </c>
      <c r="F211" s="11" t="str">
        <f>+VLOOKUP($B211,'[1]INT Web'!$B$5:$AS$247,'[1]INT Web'!$Q$1,FALSE)</f>
        <v>EUR</v>
      </c>
      <c r="G211" s="22">
        <f>+VLOOKUP($B211,'[1]INT Web'!$B$5:$AS$247,'[1]INT Web'!$U$1,FALSE)</f>
        <v>9.99</v>
      </c>
      <c r="H211" s="22">
        <f>+VLOOKUP($B211,'[1]INT Web'!$B$5:$AS$247,'[1]INT Web'!$S$1,FALSE)</f>
        <v>12.99</v>
      </c>
      <c r="I211" s="22">
        <f>+VLOOKUP($B211,'[1]INT Web'!$B$5:$AS$247,'[1]INT Web'!$T$1,FALSE)</f>
        <v>59.99</v>
      </c>
      <c r="J211" s="22">
        <f>+VLOOKUP($B211,'[1]INT Web'!$B$5:$AS$247,'[1]INT Web'!$R$1,FALSE)</f>
        <v>77.989999999999995</v>
      </c>
      <c r="K211" s="185">
        <f t="shared" si="85"/>
        <v>6.005005005005005</v>
      </c>
      <c r="L211" s="185">
        <f t="shared" si="85"/>
        <v>6.0038491147036179</v>
      </c>
      <c r="M211" s="185">
        <f t="shared" si="86"/>
        <v>1.3003003003003002</v>
      </c>
      <c r="N211" s="186">
        <v>1.1469499999999999</v>
      </c>
      <c r="O211" s="187">
        <f t="shared" si="87"/>
        <v>11.4580305</v>
      </c>
      <c r="P211" s="187">
        <f t="shared" si="87"/>
        <v>14.898880499999999</v>
      </c>
      <c r="Q211" s="187">
        <f t="shared" si="87"/>
        <v>68.805530500000003</v>
      </c>
      <c r="R211" s="187">
        <f t="shared" si="84"/>
        <v>89.450630499999988</v>
      </c>
      <c r="S211" s="6">
        <v>0</v>
      </c>
      <c r="T211" s="104">
        <f t="shared" si="104"/>
        <v>9.99</v>
      </c>
      <c r="U211" s="187">
        <f t="shared" si="88"/>
        <v>11.4580305</v>
      </c>
      <c r="V211" s="188">
        <f t="shared" si="89"/>
        <v>0</v>
      </c>
      <c r="W211" s="189">
        <f t="shared" si="90"/>
        <v>0</v>
      </c>
      <c r="X211" s="104">
        <f t="shared" si="105"/>
        <v>12.99</v>
      </c>
      <c r="Y211" s="187">
        <f t="shared" si="91"/>
        <v>14.898880499999999</v>
      </c>
      <c r="Z211" s="188">
        <f t="shared" si="92"/>
        <v>0</v>
      </c>
      <c r="AA211" s="189">
        <f t="shared" si="93"/>
        <v>0</v>
      </c>
      <c r="AB211" s="185">
        <f t="shared" si="94"/>
        <v>1.3003003003003002</v>
      </c>
      <c r="AC211" s="104">
        <f t="shared" si="106"/>
        <v>59.99</v>
      </c>
      <c r="AD211" s="187">
        <f t="shared" si="95"/>
        <v>68.805530500000003</v>
      </c>
      <c r="AE211" s="188">
        <f t="shared" si="96"/>
        <v>0</v>
      </c>
      <c r="AF211" s="189">
        <f t="shared" si="97"/>
        <v>0</v>
      </c>
      <c r="AG211" s="185">
        <f t="shared" si="98"/>
        <v>6.005005005005005</v>
      </c>
      <c r="AH211" s="104">
        <f t="shared" si="107"/>
        <v>77.989999999999995</v>
      </c>
      <c r="AI211" s="187">
        <f t="shared" si="99"/>
        <v>89.450630499999988</v>
      </c>
      <c r="AJ211" s="188">
        <f t="shared" si="100"/>
        <v>0</v>
      </c>
      <c r="AK211" s="189">
        <f t="shared" si="101"/>
        <v>0</v>
      </c>
      <c r="AL211" s="185">
        <f t="shared" si="102"/>
        <v>6.0038491147036179</v>
      </c>
      <c r="AM211" s="6" t="str">
        <f t="shared" si="108"/>
        <v>30% Off SL / Annual</v>
      </c>
      <c r="AN211" s="6" t="str">
        <f t="shared" si="109"/>
        <v>15% Off All SKUs</v>
      </c>
      <c r="AO211" s="6" t="str">
        <f t="shared" si="103"/>
        <v>Monthly: 100% Off Next Month</v>
      </c>
      <c r="AP211" s="6" t="str">
        <f t="shared" si="110"/>
        <v>50% Off SL / Annual</v>
      </c>
    </row>
    <row r="212" spans="2:42" ht="13">
      <c r="B212" s="20" t="s">
        <v>283</v>
      </c>
      <c r="C212" s="20" t="s">
        <v>96</v>
      </c>
      <c r="D212" s="6"/>
      <c r="E212" s="6" t="str">
        <f>IF(VLOOKUP(B212,'[7]FY25 PRICING'!$B$5:$AL$246,'[7]FY25 PRICING'!$E$1,FALSE)=0,"","x")</f>
        <v/>
      </c>
      <c r="F212" s="11" t="str">
        <f>+VLOOKUP($B212,'[1]INT Web'!$B$5:$AS$247,'[1]INT Web'!$Q$1,FALSE)</f>
        <v>XCD</v>
      </c>
      <c r="G212" s="22">
        <f>+VLOOKUP($B212,'[1]INT Web'!$B$5:$AS$247,'[1]INT Web'!$U$1,FALSE)</f>
        <v>29.99</v>
      </c>
      <c r="H212" s="22">
        <f>+VLOOKUP($B212,'[1]INT Web'!$B$5:$AS$247,'[1]INT Web'!$S$1,FALSE)</f>
        <v>39.99</v>
      </c>
      <c r="I212" s="22">
        <f>+VLOOKUP($B212,'[1]INT Web'!$B$5:$AS$247,'[1]INT Web'!$T$1,FALSE)</f>
        <v>179.99</v>
      </c>
      <c r="J212" s="22">
        <f>+VLOOKUP($B212,'[1]INT Web'!$B$5:$AS$247,'[1]INT Web'!$R$1,FALSE)</f>
        <v>239.99</v>
      </c>
      <c r="K212" s="185">
        <f t="shared" si="85"/>
        <v>6.0016672224074696</v>
      </c>
      <c r="L212" s="185">
        <f t="shared" si="85"/>
        <v>6.0012503125781445</v>
      </c>
      <c r="M212" s="185">
        <f t="shared" si="86"/>
        <v>1.3334444814938313</v>
      </c>
      <c r="N212" s="186">
        <v>0.37037036000000001</v>
      </c>
      <c r="O212" s="187">
        <f t="shared" si="87"/>
        <v>11.107407096399999</v>
      </c>
      <c r="P212" s="187">
        <f t="shared" si="87"/>
        <v>14.811110696400002</v>
      </c>
      <c r="Q212" s="187">
        <f t="shared" si="87"/>
        <v>66.662961096400011</v>
      </c>
      <c r="R212" s="187">
        <f t="shared" si="84"/>
        <v>88.885182696400008</v>
      </c>
      <c r="S212" s="6">
        <v>0</v>
      </c>
      <c r="T212" s="104">
        <f t="shared" si="104"/>
        <v>29.99</v>
      </c>
      <c r="U212" s="187">
        <f t="shared" si="88"/>
        <v>11.107407096399999</v>
      </c>
      <c r="V212" s="188">
        <f t="shared" si="89"/>
        <v>0</v>
      </c>
      <c r="W212" s="189">
        <f t="shared" si="90"/>
        <v>0</v>
      </c>
      <c r="X212" s="104">
        <f t="shared" si="105"/>
        <v>39.99</v>
      </c>
      <c r="Y212" s="187">
        <f t="shared" si="91"/>
        <v>14.811110696400002</v>
      </c>
      <c r="Z212" s="188">
        <f t="shared" si="92"/>
        <v>0</v>
      </c>
      <c r="AA212" s="189">
        <f t="shared" si="93"/>
        <v>0</v>
      </c>
      <c r="AB212" s="185">
        <f t="shared" si="94"/>
        <v>1.3334444814938313</v>
      </c>
      <c r="AC212" s="104">
        <f t="shared" si="106"/>
        <v>179.99</v>
      </c>
      <c r="AD212" s="187">
        <f t="shared" si="95"/>
        <v>66.662961096400011</v>
      </c>
      <c r="AE212" s="188">
        <f t="shared" si="96"/>
        <v>0</v>
      </c>
      <c r="AF212" s="189">
        <f t="shared" si="97"/>
        <v>0</v>
      </c>
      <c r="AG212" s="185">
        <f t="shared" si="98"/>
        <v>6.0016672224074696</v>
      </c>
      <c r="AH212" s="104">
        <f t="shared" si="107"/>
        <v>239.99</v>
      </c>
      <c r="AI212" s="187">
        <f t="shared" si="99"/>
        <v>88.885182696400008</v>
      </c>
      <c r="AJ212" s="188">
        <f t="shared" si="100"/>
        <v>0</v>
      </c>
      <c r="AK212" s="189">
        <f t="shared" si="101"/>
        <v>0</v>
      </c>
      <c r="AL212" s="185">
        <f t="shared" si="102"/>
        <v>6.0012503125781445</v>
      </c>
      <c r="AM212" s="6" t="str">
        <f t="shared" si="108"/>
        <v>30% Off SL / Annual</v>
      </c>
      <c r="AN212" s="6" t="str">
        <f t="shared" si="109"/>
        <v>15% Off All SKUs</v>
      </c>
      <c r="AO212" s="6" t="str">
        <f t="shared" si="103"/>
        <v>Monthly: 100% Off Next Month</v>
      </c>
      <c r="AP212" s="6" t="str">
        <f t="shared" si="110"/>
        <v>50% Off SL / Annual</v>
      </c>
    </row>
    <row r="213" spans="2:42" ht="13">
      <c r="B213" s="20" t="s">
        <v>284</v>
      </c>
      <c r="C213" s="20" t="s">
        <v>270</v>
      </c>
      <c r="D213" s="6"/>
      <c r="E213" s="6" t="str">
        <f>IF(VLOOKUP(B213,'[7]FY25 PRICING'!$B$5:$AL$246,'[7]FY25 PRICING'!$E$1,FALSE)=0,"","x")</f>
        <v/>
      </c>
      <c r="F213" s="11" t="str">
        <f>+VLOOKUP($B213,'[1]INT Web'!$B$5:$AS$247,'[1]INT Web'!$Q$1,FALSE)</f>
        <v>USD</v>
      </c>
      <c r="G213" s="22">
        <f>+VLOOKUP($B213,'[1]INT Web'!$B$5:$AS$247,'[1]INT Web'!$U$1,FALSE)</f>
        <v>9.99</v>
      </c>
      <c r="H213" s="22">
        <f>+VLOOKUP($B213,'[1]INT Web'!$B$5:$AS$247,'[1]INT Web'!$S$1,FALSE)</f>
        <v>13.99</v>
      </c>
      <c r="I213" s="22">
        <f>+VLOOKUP($B213,'[1]INT Web'!$B$5:$AS$247,'[1]INT Web'!$T$1,FALSE)</f>
        <v>59.99</v>
      </c>
      <c r="J213" s="22">
        <f>+VLOOKUP($B213,'[1]INT Web'!$B$5:$AS$247,'[1]INT Web'!$R$1,FALSE)</f>
        <v>84.99</v>
      </c>
      <c r="K213" s="185">
        <f t="shared" si="85"/>
        <v>6.005005005005005</v>
      </c>
      <c r="L213" s="185">
        <f t="shared" si="85"/>
        <v>6.0750536097212287</v>
      </c>
      <c r="M213" s="185">
        <f t="shared" si="86"/>
        <v>1.4004004004004005</v>
      </c>
      <c r="N213" s="186">
        <v>1</v>
      </c>
      <c r="O213" s="187">
        <f t="shared" si="87"/>
        <v>9.99</v>
      </c>
      <c r="P213" s="187">
        <f t="shared" si="87"/>
        <v>13.99</v>
      </c>
      <c r="Q213" s="187">
        <f t="shared" si="87"/>
        <v>59.99</v>
      </c>
      <c r="R213" s="187">
        <f t="shared" si="84"/>
        <v>84.99</v>
      </c>
      <c r="S213" s="6">
        <v>0</v>
      </c>
      <c r="T213" s="104">
        <f t="shared" si="104"/>
        <v>9.99</v>
      </c>
      <c r="U213" s="187">
        <f t="shared" si="88"/>
        <v>9.99</v>
      </c>
      <c r="V213" s="188">
        <f t="shared" si="89"/>
        <v>0</v>
      </c>
      <c r="W213" s="189">
        <f t="shared" si="90"/>
        <v>0</v>
      </c>
      <c r="X213" s="104">
        <f t="shared" si="105"/>
        <v>13.99</v>
      </c>
      <c r="Y213" s="187">
        <f t="shared" si="91"/>
        <v>13.99</v>
      </c>
      <c r="Z213" s="188">
        <f t="shared" si="92"/>
        <v>0</v>
      </c>
      <c r="AA213" s="189">
        <f t="shared" si="93"/>
        <v>0</v>
      </c>
      <c r="AB213" s="185">
        <f t="shared" si="94"/>
        <v>1.4004004004004005</v>
      </c>
      <c r="AC213" s="104">
        <f t="shared" si="106"/>
        <v>59.99</v>
      </c>
      <c r="AD213" s="187">
        <f t="shared" si="95"/>
        <v>59.99</v>
      </c>
      <c r="AE213" s="188">
        <f t="shared" si="96"/>
        <v>0</v>
      </c>
      <c r="AF213" s="189">
        <f t="shared" si="97"/>
        <v>0</v>
      </c>
      <c r="AG213" s="185">
        <f t="shared" si="98"/>
        <v>6.005005005005005</v>
      </c>
      <c r="AH213" s="104">
        <f t="shared" si="107"/>
        <v>84.99</v>
      </c>
      <c r="AI213" s="187">
        <f t="shared" si="99"/>
        <v>84.99</v>
      </c>
      <c r="AJ213" s="188">
        <f t="shared" si="100"/>
        <v>0</v>
      </c>
      <c r="AK213" s="189">
        <f t="shared" si="101"/>
        <v>0</v>
      </c>
      <c r="AL213" s="185">
        <f t="shared" si="102"/>
        <v>6.0750536097212287</v>
      </c>
      <c r="AM213" s="6" t="str">
        <f t="shared" si="108"/>
        <v>30% Off SL / Annual</v>
      </c>
      <c r="AN213" s="6" t="str">
        <f t="shared" si="109"/>
        <v>15% Off All SKUs</v>
      </c>
      <c r="AO213" s="6" t="str">
        <f t="shared" si="103"/>
        <v>Monthly: 100% Off Next Month</v>
      </c>
      <c r="AP213" s="6" t="str">
        <f t="shared" si="110"/>
        <v>50% Off SL / Annual</v>
      </c>
    </row>
    <row r="214" spans="2:42" ht="13">
      <c r="B214" s="20" t="s">
        <v>285</v>
      </c>
      <c r="C214" s="20" t="s">
        <v>96</v>
      </c>
      <c r="D214" s="6"/>
      <c r="E214" s="6" t="str">
        <f>IF(VLOOKUP(B214,'[7]FY25 PRICING'!$B$5:$AL$246,'[7]FY25 PRICING'!$E$1,FALSE)=0,"","x")</f>
        <v/>
      </c>
      <c r="F214" s="11" t="str">
        <f>+VLOOKUP($B214,'[1]INT Web'!$B$5:$AS$247,'[1]INT Web'!$Q$1,FALSE)</f>
        <v>SRD</v>
      </c>
      <c r="G214" s="22">
        <f>+VLOOKUP($B214,'[1]INT Web'!$B$5:$AS$247,'[1]INT Web'!$U$1,FALSE)</f>
        <v>227</v>
      </c>
      <c r="H214" s="22">
        <f>+VLOOKUP($B214,'[1]INT Web'!$B$5:$AS$247,'[1]INT Web'!$S$1,FALSE)</f>
        <v>310</v>
      </c>
      <c r="I214" s="22">
        <f>+VLOOKUP($B214,'[1]INT Web'!$B$5:$AS$247,'[1]INT Web'!$T$1,FALSE)</f>
        <v>1360</v>
      </c>
      <c r="J214" s="22">
        <f>+VLOOKUP($B214,'[1]INT Web'!$B$5:$AS$247,'[1]INT Web'!$R$1,FALSE)</f>
        <v>1860</v>
      </c>
      <c r="K214" s="185">
        <f t="shared" si="85"/>
        <v>5.9911894273127757</v>
      </c>
      <c r="L214" s="185">
        <f t="shared" si="85"/>
        <v>6</v>
      </c>
      <c r="M214" s="185">
        <f t="shared" si="86"/>
        <v>1.3656387665198237</v>
      </c>
      <c r="N214" s="186">
        <v>2.6691934E-2</v>
      </c>
      <c r="O214" s="187">
        <f t="shared" si="87"/>
        <v>6.0590690179999998</v>
      </c>
      <c r="P214" s="187">
        <f t="shared" si="87"/>
        <v>8.2744995400000008</v>
      </c>
      <c r="Q214" s="187">
        <f t="shared" si="87"/>
        <v>36.301030240000003</v>
      </c>
      <c r="R214" s="187">
        <f t="shared" si="84"/>
        <v>49.646997239999997</v>
      </c>
      <c r="S214" s="6">
        <v>0</v>
      </c>
      <c r="T214" s="104">
        <f t="shared" si="104"/>
        <v>227</v>
      </c>
      <c r="U214" s="187">
        <f t="shared" si="88"/>
        <v>6.0590690179999998</v>
      </c>
      <c r="V214" s="188">
        <f t="shared" si="89"/>
        <v>0</v>
      </c>
      <c r="W214" s="189">
        <f t="shared" si="90"/>
        <v>0</v>
      </c>
      <c r="X214" s="104">
        <f t="shared" si="105"/>
        <v>310</v>
      </c>
      <c r="Y214" s="187">
        <f t="shared" si="91"/>
        <v>8.2744995400000008</v>
      </c>
      <c r="Z214" s="188">
        <f t="shared" si="92"/>
        <v>0</v>
      </c>
      <c r="AA214" s="189">
        <f t="shared" si="93"/>
        <v>0</v>
      </c>
      <c r="AB214" s="185">
        <f t="shared" si="94"/>
        <v>1.3656387665198237</v>
      </c>
      <c r="AC214" s="104">
        <f t="shared" si="106"/>
        <v>1360</v>
      </c>
      <c r="AD214" s="187">
        <f t="shared" si="95"/>
        <v>36.301030240000003</v>
      </c>
      <c r="AE214" s="188">
        <f t="shared" si="96"/>
        <v>0</v>
      </c>
      <c r="AF214" s="189">
        <f t="shared" si="97"/>
        <v>0</v>
      </c>
      <c r="AG214" s="185">
        <f t="shared" si="98"/>
        <v>5.9911894273127757</v>
      </c>
      <c r="AH214" s="104">
        <f t="shared" si="107"/>
        <v>1860</v>
      </c>
      <c r="AI214" s="187">
        <f t="shared" si="99"/>
        <v>49.646997239999997</v>
      </c>
      <c r="AJ214" s="188">
        <f t="shared" si="100"/>
        <v>0</v>
      </c>
      <c r="AK214" s="189">
        <f t="shared" si="101"/>
        <v>0</v>
      </c>
      <c r="AL214" s="185">
        <f t="shared" si="102"/>
        <v>6</v>
      </c>
      <c r="AM214" s="6" t="str">
        <f t="shared" si="108"/>
        <v>30% Off SL / Annual</v>
      </c>
      <c r="AN214" s="6" t="str">
        <f t="shared" si="109"/>
        <v>15% Off All SKUs</v>
      </c>
      <c r="AO214" s="6" t="str">
        <f t="shared" si="103"/>
        <v>Monthly: 100% Off Next Month</v>
      </c>
      <c r="AP214" s="6" t="str">
        <f t="shared" si="110"/>
        <v>50% Off SL / Annual</v>
      </c>
    </row>
    <row r="215" spans="2:42" ht="13">
      <c r="B215" s="20" t="s">
        <v>286</v>
      </c>
      <c r="C215" s="20" t="s">
        <v>100</v>
      </c>
      <c r="D215" s="6"/>
      <c r="E215" s="6" t="str">
        <f>IF(VLOOKUP(B215,'[7]FY25 PRICING'!$B$5:$AL$246,'[7]FY25 PRICING'!$E$1,FALSE)=0,"","x")</f>
        <v/>
      </c>
      <c r="F215" s="11" t="str">
        <f>+VLOOKUP($B215,'[1]INT Web'!$B$5:$AS$247,'[1]INT Web'!$Q$1,FALSE)</f>
        <v>NOK</v>
      </c>
      <c r="G215" s="22">
        <f>+VLOOKUP($B215,'[1]INT Web'!$B$5:$AS$247,'[1]INT Web'!$U$1,FALSE)</f>
        <v>149.99</v>
      </c>
      <c r="H215" s="22">
        <f>+VLOOKUP($B215,'[1]INT Web'!$B$5:$AS$247,'[1]INT Web'!$S$1,FALSE)</f>
        <v>199.99</v>
      </c>
      <c r="I215" s="22">
        <f>+VLOOKUP($B215,'[1]INT Web'!$B$5:$AS$247,'[1]INT Web'!$T$1,FALSE)</f>
        <v>899.99</v>
      </c>
      <c r="J215" s="22">
        <f>+VLOOKUP($B215,'[1]INT Web'!$B$5:$AS$247,'[1]INT Web'!$R$1,FALSE)</f>
        <v>1399.99</v>
      </c>
      <c r="K215" s="185">
        <f t="shared" si="85"/>
        <v>6.0003333555570366</v>
      </c>
      <c r="L215" s="185">
        <f t="shared" si="85"/>
        <v>7.0003000150007502</v>
      </c>
      <c r="M215" s="185">
        <f t="shared" si="86"/>
        <v>1.3333555570371358</v>
      </c>
      <c r="N215" s="186">
        <v>0.10330471400000001</v>
      </c>
      <c r="O215" s="187">
        <f t="shared" si="87"/>
        <v>15.494674052860002</v>
      </c>
      <c r="P215" s="187">
        <f t="shared" si="87"/>
        <v>20.659909752860003</v>
      </c>
      <c r="Q215" s="187">
        <f t="shared" si="87"/>
        <v>92.973209552860013</v>
      </c>
      <c r="R215" s="187">
        <f t="shared" si="84"/>
        <v>144.62556655286002</v>
      </c>
      <c r="S215" s="6">
        <v>0</v>
      </c>
      <c r="T215" s="104">
        <f t="shared" si="104"/>
        <v>149.99</v>
      </c>
      <c r="U215" s="187">
        <f t="shared" si="88"/>
        <v>15.494674052860002</v>
      </c>
      <c r="V215" s="188">
        <f t="shared" si="89"/>
        <v>0</v>
      </c>
      <c r="W215" s="189">
        <f t="shared" si="90"/>
        <v>0</v>
      </c>
      <c r="X215" s="104">
        <f t="shared" si="105"/>
        <v>199.99</v>
      </c>
      <c r="Y215" s="187">
        <f t="shared" si="91"/>
        <v>20.659909752860003</v>
      </c>
      <c r="Z215" s="188">
        <f t="shared" si="92"/>
        <v>0</v>
      </c>
      <c r="AA215" s="189">
        <f t="shared" si="93"/>
        <v>0</v>
      </c>
      <c r="AB215" s="185">
        <f t="shared" si="94"/>
        <v>1.3333555570371358</v>
      </c>
      <c r="AC215" s="104">
        <f t="shared" si="106"/>
        <v>899.99</v>
      </c>
      <c r="AD215" s="187">
        <f t="shared" si="95"/>
        <v>92.973209552860013</v>
      </c>
      <c r="AE215" s="188">
        <f t="shared" si="96"/>
        <v>0</v>
      </c>
      <c r="AF215" s="189">
        <f t="shared" si="97"/>
        <v>0</v>
      </c>
      <c r="AG215" s="185">
        <f t="shared" si="98"/>
        <v>6.0003333555570366</v>
      </c>
      <c r="AH215" s="104">
        <f t="shared" si="107"/>
        <v>1399.99</v>
      </c>
      <c r="AI215" s="187">
        <f t="shared" si="99"/>
        <v>144.62556655286002</v>
      </c>
      <c r="AJ215" s="188">
        <f t="shared" si="100"/>
        <v>0</v>
      </c>
      <c r="AK215" s="189">
        <f t="shared" si="101"/>
        <v>0</v>
      </c>
      <c r="AL215" s="185">
        <f t="shared" si="102"/>
        <v>7.0003000150007502</v>
      </c>
      <c r="AM215" s="6" t="str">
        <f t="shared" si="108"/>
        <v>30% Off SL / Annual</v>
      </c>
      <c r="AN215" s="6" t="str">
        <f t="shared" si="109"/>
        <v>15% Off All SKUs</v>
      </c>
      <c r="AO215" s="6" t="str">
        <f t="shared" si="103"/>
        <v>Monthly: 100% Off Next Month</v>
      </c>
      <c r="AP215" s="6" t="str">
        <f t="shared" si="110"/>
        <v>50% Off SL / Annual</v>
      </c>
    </row>
    <row r="216" spans="2:42" ht="13">
      <c r="B216" s="199" t="s">
        <v>287</v>
      </c>
      <c r="C216" s="199" t="s">
        <v>100</v>
      </c>
      <c r="D216" s="6" t="s">
        <v>480</v>
      </c>
      <c r="E216" s="6" t="s">
        <v>483</v>
      </c>
      <c r="F216" s="11" t="str">
        <f>+VLOOKUP($B216,'[1]INT Web'!$B$5:$AS$247,'[1]INT Web'!$Q$1,FALSE)</f>
        <v>SEK</v>
      </c>
      <c r="G216" s="22">
        <f>+VLOOKUP($B216,'[1]INT Web'!$B$5:$AS$247,'[1]INT Web'!$U$1,FALSE)</f>
        <v>159.99</v>
      </c>
      <c r="H216" s="22">
        <f>+VLOOKUP($B216,'[1]INT Web'!$B$5:$AS$247,'[1]INT Web'!$S$1,FALSE)</f>
        <v>219.99</v>
      </c>
      <c r="I216" s="22">
        <f>+VLOOKUP($B216,'[1]INT Web'!$B$5:$AS$247,'[1]INT Web'!$T$1,FALSE)</f>
        <v>1069.99</v>
      </c>
      <c r="J216" s="22">
        <f>+VLOOKUP($B216,'[1]INT Web'!$B$5:$AS$247,'[1]INT Web'!$R$1,FALSE)</f>
        <v>1469.99</v>
      </c>
      <c r="K216" s="185">
        <f t="shared" si="85"/>
        <v>6.6878554909681851</v>
      </c>
      <c r="L216" s="185">
        <f t="shared" si="85"/>
        <v>6.682076458020819</v>
      </c>
      <c r="M216" s="185">
        <f t="shared" si="86"/>
        <v>1.3750234389649354</v>
      </c>
      <c r="N216" s="186">
        <v>0.10441083499999999</v>
      </c>
      <c r="O216" s="187">
        <f t="shared" si="87"/>
        <v>16.704689491650001</v>
      </c>
      <c r="P216" s="187">
        <f t="shared" si="87"/>
        <v>22.969339591649998</v>
      </c>
      <c r="Q216" s="187">
        <f t="shared" si="87"/>
        <v>111.71854934164999</v>
      </c>
      <c r="R216" s="187">
        <f t="shared" si="84"/>
        <v>153.48288334164999</v>
      </c>
      <c r="S216" s="6" t="s">
        <v>485</v>
      </c>
      <c r="T216" s="104">
        <f t="shared" si="104"/>
        <v>159.99</v>
      </c>
      <c r="U216" s="187">
        <f t="shared" si="88"/>
        <v>16.704689491650001</v>
      </c>
      <c r="V216" s="188">
        <f t="shared" si="89"/>
        <v>0</v>
      </c>
      <c r="W216" s="189">
        <f t="shared" si="90"/>
        <v>0</v>
      </c>
      <c r="X216" s="104">
        <f t="shared" si="105"/>
        <v>219.99</v>
      </c>
      <c r="Y216" s="187">
        <f t="shared" si="91"/>
        <v>22.969339591649998</v>
      </c>
      <c r="Z216" s="188">
        <f t="shared" si="92"/>
        <v>0</v>
      </c>
      <c r="AA216" s="189">
        <f t="shared" si="93"/>
        <v>0</v>
      </c>
      <c r="AB216" s="185">
        <f t="shared" si="94"/>
        <v>1.3750234389649354</v>
      </c>
      <c r="AC216" s="104">
        <f t="shared" si="106"/>
        <v>1069.99</v>
      </c>
      <c r="AD216" s="187">
        <f t="shared" si="95"/>
        <v>111.71854934164999</v>
      </c>
      <c r="AE216" s="188">
        <f t="shared" si="96"/>
        <v>0</v>
      </c>
      <c r="AF216" s="189">
        <f t="shared" si="97"/>
        <v>0</v>
      </c>
      <c r="AG216" s="185">
        <f t="shared" si="98"/>
        <v>6.6878554909681851</v>
      </c>
      <c r="AH216" s="104">
        <f t="shared" si="107"/>
        <v>1469.99</v>
      </c>
      <c r="AI216" s="187">
        <f t="shared" si="99"/>
        <v>153.48288334164999</v>
      </c>
      <c r="AJ216" s="188">
        <f t="shared" si="100"/>
        <v>0</v>
      </c>
      <c r="AK216" s="189">
        <f t="shared" si="101"/>
        <v>0</v>
      </c>
      <c r="AL216" s="185">
        <f t="shared" si="102"/>
        <v>6.682076458020819</v>
      </c>
      <c r="AM216" s="6" t="str">
        <f t="shared" si="108"/>
        <v>30% Off SL / Annual</v>
      </c>
      <c r="AN216" s="6" t="str">
        <f t="shared" si="109"/>
        <v>Messaging Only</v>
      </c>
      <c r="AO216" s="6" t="str">
        <f t="shared" si="103"/>
        <v>Messaging / Pause Flow</v>
      </c>
      <c r="AP216" s="6" t="str">
        <f t="shared" si="110"/>
        <v>50% Off LPP Only</v>
      </c>
    </row>
    <row r="217" spans="2:42" ht="13">
      <c r="B217" s="20" t="s">
        <v>288</v>
      </c>
      <c r="C217" s="20" t="s">
        <v>100</v>
      </c>
      <c r="D217" s="6" t="s">
        <v>478</v>
      </c>
      <c r="E217" s="6" t="s">
        <v>490</v>
      </c>
      <c r="F217" s="11" t="str">
        <f>+VLOOKUP($B217,'[1]INT Web'!$B$5:$AS$247,'[1]INT Web'!$Q$1,FALSE)</f>
        <v>CHF</v>
      </c>
      <c r="G217" s="22">
        <f>+VLOOKUP($B217,'[1]INT Web'!$B$5:$AS$247,'[1]INT Web'!$U$1,FALSE)</f>
        <v>24.99</v>
      </c>
      <c r="H217" s="22">
        <f>+VLOOKUP($B217,'[1]INT Web'!$B$5:$AS$247,'[1]INT Web'!$S$1,FALSE)</f>
        <v>33.99</v>
      </c>
      <c r="I217" s="22">
        <f>+VLOOKUP($B217,'[1]INT Web'!$B$5:$AS$247,'[1]INT Web'!$T$1,FALSE)</f>
        <v>159.99</v>
      </c>
      <c r="J217" s="22">
        <f>+VLOOKUP($B217,'[1]INT Web'!$B$5:$AS$247,'[1]INT Web'!$R$1,FALSE)</f>
        <v>219.99</v>
      </c>
      <c r="K217" s="185">
        <f t="shared" si="85"/>
        <v>6.4021608643457393</v>
      </c>
      <c r="L217" s="185">
        <f t="shared" si="85"/>
        <v>6.4721977052074138</v>
      </c>
      <c r="M217" s="185">
        <f t="shared" si="86"/>
        <v>1.3601440576230495</v>
      </c>
      <c r="N217" s="186">
        <v>1.2380068</v>
      </c>
      <c r="O217" s="187">
        <f t="shared" si="87"/>
        <v>30.937789931999998</v>
      </c>
      <c r="P217" s="187">
        <f t="shared" si="87"/>
        <v>42.079851132000002</v>
      </c>
      <c r="Q217" s="187">
        <f t="shared" si="87"/>
        <v>198.068707932</v>
      </c>
      <c r="R217" s="187">
        <f t="shared" si="84"/>
        <v>272.34911593200002</v>
      </c>
      <c r="S217" s="6" t="s">
        <v>485</v>
      </c>
      <c r="T217" s="104">
        <f t="shared" si="104"/>
        <v>24.99</v>
      </c>
      <c r="U217" s="187">
        <f t="shared" si="88"/>
        <v>30.937789931999998</v>
      </c>
      <c r="V217" s="188">
        <f t="shared" si="89"/>
        <v>0</v>
      </c>
      <c r="W217" s="189">
        <f t="shared" si="90"/>
        <v>0</v>
      </c>
      <c r="X217" s="104">
        <f t="shared" si="105"/>
        <v>33.99</v>
      </c>
      <c r="Y217" s="187">
        <f t="shared" si="91"/>
        <v>42.079851132000002</v>
      </c>
      <c r="Z217" s="188">
        <f t="shared" si="92"/>
        <v>0</v>
      </c>
      <c r="AA217" s="189">
        <f t="shared" si="93"/>
        <v>0</v>
      </c>
      <c r="AB217" s="185">
        <f t="shared" si="94"/>
        <v>1.3601440576230495</v>
      </c>
      <c r="AC217" s="104">
        <f t="shared" si="106"/>
        <v>159.99</v>
      </c>
      <c r="AD217" s="187">
        <f t="shared" si="95"/>
        <v>198.068707932</v>
      </c>
      <c r="AE217" s="188">
        <f t="shared" si="96"/>
        <v>0</v>
      </c>
      <c r="AF217" s="189">
        <f t="shared" si="97"/>
        <v>0</v>
      </c>
      <c r="AG217" s="185">
        <f t="shared" si="98"/>
        <v>6.4021608643457393</v>
      </c>
      <c r="AH217" s="104">
        <f t="shared" si="107"/>
        <v>219.99</v>
      </c>
      <c r="AI217" s="187">
        <f t="shared" si="99"/>
        <v>272.34911593200002</v>
      </c>
      <c r="AJ217" s="188">
        <f t="shared" si="100"/>
        <v>0</v>
      </c>
      <c r="AK217" s="189">
        <f t="shared" si="101"/>
        <v>0</v>
      </c>
      <c r="AL217" s="185">
        <f t="shared" si="102"/>
        <v>6.4721977052074138</v>
      </c>
      <c r="AM217" s="6" t="str">
        <f t="shared" si="108"/>
        <v>30% Off SL / Annual</v>
      </c>
      <c r="AN217" s="6" t="str">
        <f t="shared" si="109"/>
        <v>Messaging Only</v>
      </c>
      <c r="AO217" s="6" t="str">
        <f t="shared" si="103"/>
        <v>Messaging / Pause Flow</v>
      </c>
      <c r="AP217" s="6" t="str">
        <f t="shared" si="110"/>
        <v>50% Off LPP Only</v>
      </c>
    </row>
    <row r="218" spans="2:42" ht="13" hidden="1" outlineLevel="1">
      <c r="B218" s="191" t="s">
        <v>289</v>
      </c>
      <c r="C218" s="191" t="s">
        <v>275</v>
      </c>
      <c r="D218" s="27"/>
      <c r="E218" s="6" t="str">
        <f>IF(VLOOKUP(B218,'[7]FY25 PRICING'!$B$5:$AL$246,'[7]FY25 PRICING'!$E$1,FALSE)=0,"","x")</f>
        <v/>
      </c>
      <c r="F218" s="11">
        <f>+VLOOKUP($B218,'[1]INT Web'!$B$5:$AS$247,'[1]INT Web'!$Q$1,FALSE)</f>
        <v>0</v>
      </c>
      <c r="G218" s="192">
        <f>+VLOOKUP($B218,'[1]INT Web'!$B$5:$AS$247,'[1]INT Web'!$U$1,FALSE)</f>
        <v>0</v>
      </c>
      <c r="H218" s="192">
        <f>+VLOOKUP($B218,'[1]INT Web'!$B$5:$AS$247,'[1]INT Web'!$S$1,FALSE)</f>
        <v>0</v>
      </c>
      <c r="I218" s="192">
        <f>+VLOOKUP($B218,'[1]INT Web'!$B$5:$AS$247,'[1]INT Web'!$T$1,FALSE)</f>
        <v>0</v>
      </c>
      <c r="J218" s="192">
        <f>+VLOOKUP($B218,'[1]INT Web'!$B$5:$AS$247,'[1]INT Web'!$R$1,FALSE)</f>
        <v>0</v>
      </c>
      <c r="K218" s="197" t="e">
        <f t="shared" si="85"/>
        <v>#DIV/0!</v>
      </c>
      <c r="L218" s="197" t="e">
        <f t="shared" si="85"/>
        <v>#DIV/0!</v>
      </c>
      <c r="M218" s="197" t="e">
        <f t="shared" si="86"/>
        <v>#DIV/0!</v>
      </c>
      <c r="N218" s="186" t="e">
        <v>#N/A</v>
      </c>
      <c r="O218" s="187" t="e">
        <f t="shared" si="87"/>
        <v>#N/A</v>
      </c>
      <c r="P218" s="187" t="e">
        <f t="shared" si="87"/>
        <v>#N/A</v>
      </c>
      <c r="Q218" s="187" t="e">
        <f t="shared" si="87"/>
        <v>#N/A</v>
      </c>
      <c r="R218" s="187" t="e">
        <f t="shared" si="84"/>
        <v>#N/A</v>
      </c>
      <c r="S218" s="196"/>
      <c r="T218" s="104">
        <f t="shared" si="104"/>
        <v>0</v>
      </c>
      <c r="U218" s="187" t="e">
        <f t="shared" si="88"/>
        <v>#N/A</v>
      </c>
      <c r="V218" s="188" t="str">
        <f t="shared" si="89"/>
        <v/>
      </c>
      <c r="W218" s="189" t="str">
        <f t="shared" si="90"/>
        <v/>
      </c>
      <c r="X218" s="104">
        <f t="shared" si="105"/>
        <v>0</v>
      </c>
      <c r="Y218" s="187" t="e">
        <f t="shared" si="91"/>
        <v>#N/A</v>
      </c>
      <c r="Z218" s="188" t="str">
        <f t="shared" si="92"/>
        <v/>
      </c>
      <c r="AA218" s="189" t="str">
        <f t="shared" si="93"/>
        <v/>
      </c>
      <c r="AB218" s="185" t="str">
        <f t="shared" si="94"/>
        <v/>
      </c>
      <c r="AC218" s="104">
        <f t="shared" si="106"/>
        <v>0</v>
      </c>
      <c r="AD218" s="187" t="e">
        <f t="shared" si="95"/>
        <v>#N/A</v>
      </c>
      <c r="AE218" s="188" t="str">
        <f t="shared" si="96"/>
        <v/>
      </c>
      <c r="AF218" s="189" t="str">
        <f t="shared" si="97"/>
        <v/>
      </c>
      <c r="AG218" s="185" t="str">
        <f t="shared" si="98"/>
        <v/>
      </c>
      <c r="AH218" s="104">
        <f t="shared" si="107"/>
        <v>0</v>
      </c>
      <c r="AI218" s="187" t="e">
        <f t="shared" si="99"/>
        <v>#N/A</v>
      </c>
      <c r="AJ218" s="188" t="str">
        <f t="shared" si="100"/>
        <v/>
      </c>
      <c r="AK218" s="189" t="str">
        <f t="shared" si="101"/>
        <v/>
      </c>
      <c r="AL218" s="185" t="str">
        <f t="shared" si="102"/>
        <v/>
      </c>
      <c r="AM218" s="6" t="str">
        <f t="shared" si="108"/>
        <v>30% Off SL / Annual</v>
      </c>
      <c r="AN218" s="6" t="str">
        <f t="shared" ref="AN218" si="111">+IF($S218="EVP","15% Off All SKUs","Messaging Only")</f>
        <v>Messaging Only</v>
      </c>
      <c r="AO218" s="6" t="str">
        <f t="shared" si="103"/>
        <v>Messaging / Pause Flow</v>
      </c>
      <c r="AP218" s="6" t="str">
        <f t="shared" si="110"/>
        <v>50% Off SL / Annual</v>
      </c>
    </row>
    <row r="219" spans="2:42" ht="13" collapsed="1">
      <c r="B219" s="20" t="s">
        <v>290</v>
      </c>
      <c r="C219" s="20" t="s">
        <v>351</v>
      </c>
      <c r="D219" s="6" t="s">
        <v>491</v>
      </c>
      <c r="E219" s="6" t="s">
        <v>490</v>
      </c>
      <c r="F219" s="11" t="str">
        <f>+VLOOKUP($B219,'[1]INT Web'!$B$5:$AS$247,'[1]INT Web'!$Q$1,FALSE)</f>
        <v>TWD</v>
      </c>
      <c r="G219" s="22">
        <f>+VLOOKUP($B219,'[1]INT Web'!$B$5:$AS$247,'[1]INT Web'!$U$1,FALSE)</f>
        <v>390</v>
      </c>
      <c r="H219" s="22">
        <f>+VLOOKUP($B219,'[1]INT Web'!$B$5:$AS$247,'[1]INT Web'!$S$1,FALSE)</f>
        <v>540</v>
      </c>
      <c r="I219" s="22">
        <f>+VLOOKUP($B219,'[1]INT Web'!$B$5:$AS$247,'[1]INT Web'!$T$1,FALSE)</f>
        <v>2720</v>
      </c>
      <c r="J219" s="22">
        <f>+VLOOKUP($B219,'[1]INT Web'!$B$5:$AS$247,'[1]INT Web'!$R$1,FALSE)</f>
        <v>3590</v>
      </c>
      <c r="K219" s="185">
        <f t="shared" si="85"/>
        <v>6.9743589743589745</v>
      </c>
      <c r="L219" s="185">
        <f t="shared" si="85"/>
        <v>6.6481481481481479</v>
      </c>
      <c r="M219" s="185">
        <f t="shared" si="86"/>
        <v>1.3846153846153846</v>
      </c>
      <c r="N219" s="186">
        <v>3.169773E-2</v>
      </c>
      <c r="O219" s="187">
        <f t="shared" si="87"/>
        <v>12.362114699999999</v>
      </c>
      <c r="P219" s="187">
        <f t="shared" si="87"/>
        <v>17.116774200000002</v>
      </c>
      <c r="Q219" s="187">
        <f t="shared" si="87"/>
        <v>86.217825599999998</v>
      </c>
      <c r="R219" s="187">
        <f t="shared" si="84"/>
        <v>113.7948507</v>
      </c>
      <c r="S219" s="132" t="s">
        <v>486</v>
      </c>
      <c r="T219" s="104">
        <f t="shared" si="104"/>
        <v>390</v>
      </c>
      <c r="U219" s="187">
        <f t="shared" si="88"/>
        <v>12.362114699999999</v>
      </c>
      <c r="V219" s="188">
        <f t="shared" si="89"/>
        <v>0</v>
      </c>
      <c r="W219" s="189">
        <f t="shared" si="90"/>
        <v>0</v>
      </c>
      <c r="X219" s="104">
        <f t="shared" si="105"/>
        <v>540</v>
      </c>
      <c r="Y219" s="187">
        <f t="shared" si="91"/>
        <v>17.116774200000002</v>
      </c>
      <c r="Z219" s="188">
        <f t="shared" si="92"/>
        <v>0</v>
      </c>
      <c r="AA219" s="189">
        <f t="shared" si="93"/>
        <v>0</v>
      </c>
      <c r="AB219" s="185">
        <f t="shared" si="94"/>
        <v>1.3846153846153846</v>
      </c>
      <c r="AC219" s="104">
        <f t="shared" si="106"/>
        <v>2720</v>
      </c>
      <c r="AD219" s="187">
        <f t="shared" si="95"/>
        <v>86.217825599999998</v>
      </c>
      <c r="AE219" s="188">
        <f t="shared" si="96"/>
        <v>0</v>
      </c>
      <c r="AF219" s="189">
        <f t="shared" si="97"/>
        <v>0</v>
      </c>
      <c r="AG219" s="185">
        <f t="shared" si="98"/>
        <v>6.9743589743589745</v>
      </c>
      <c r="AH219" s="104">
        <f t="shared" si="107"/>
        <v>3590</v>
      </c>
      <c r="AI219" s="187">
        <f t="shared" si="99"/>
        <v>113.7948507</v>
      </c>
      <c r="AJ219" s="188">
        <f t="shared" si="100"/>
        <v>0</v>
      </c>
      <c r="AK219" s="189">
        <f t="shared" si="101"/>
        <v>0</v>
      </c>
      <c r="AL219" s="185">
        <f t="shared" si="102"/>
        <v>6.6481481481481479</v>
      </c>
      <c r="AM219" s="6" t="str">
        <f t="shared" si="108"/>
        <v>30% Off SL / Annual</v>
      </c>
      <c r="AN219" s="146" t="s">
        <v>493</v>
      </c>
      <c r="AO219" s="6" t="str">
        <f t="shared" si="103"/>
        <v>Monthly: 100% Off Next Month</v>
      </c>
      <c r="AP219" s="6" t="str">
        <f t="shared" si="110"/>
        <v>50% Off SL / Annual</v>
      </c>
    </row>
    <row r="220" spans="2:42" ht="13">
      <c r="B220" s="20" t="s">
        <v>291</v>
      </c>
      <c r="C220" s="20" t="s">
        <v>182</v>
      </c>
      <c r="D220" s="6"/>
      <c r="E220" s="6" t="str">
        <f>IF(VLOOKUP(B220,'[7]FY25 PRICING'!$B$5:$AL$246,'[7]FY25 PRICING'!$E$1,FALSE)=0,"","x")</f>
        <v/>
      </c>
      <c r="F220" s="11" t="str">
        <f>+VLOOKUP($B220,'[1]INT Web'!$B$5:$AS$247,'[1]INT Web'!$Q$1,FALSE)</f>
        <v>USD</v>
      </c>
      <c r="G220" s="22">
        <f>+VLOOKUP($B220,'[1]INT Web'!$B$5:$AS$247,'[1]INT Web'!$U$1,FALSE)</f>
        <v>8.99</v>
      </c>
      <c r="H220" s="22">
        <f>+VLOOKUP($B220,'[1]INT Web'!$B$5:$AS$247,'[1]INT Web'!$S$1,FALSE)</f>
        <v>11.99</v>
      </c>
      <c r="I220" s="22">
        <f>+VLOOKUP($B220,'[1]INT Web'!$B$5:$AS$247,'[1]INT Web'!$T$1,FALSE)</f>
        <v>53.99</v>
      </c>
      <c r="J220" s="22">
        <f>+VLOOKUP($B220,'[1]INT Web'!$B$5:$AS$247,'[1]INT Web'!$R$1,FALSE)</f>
        <v>71.989999999999995</v>
      </c>
      <c r="K220" s="185">
        <f t="shared" si="85"/>
        <v>6.0055617352614012</v>
      </c>
      <c r="L220" s="185">
        <f t="shared" si="85"/>
        <v>6.0041701417848206</v>
      </c>
      <c r="M220" s="185">
        <f t="shared" si="86"/>
        <v>1.3337041156840934</v>
      </c>
      <c r="N220" s="186">
        <v>1</v>
      </c>
      <c r="O220" s="187">
        <f t="shared" si="87"/>
        <v>8.99</v>
      </c>
      <c r="P220" s="187">
        <f t="shared" si="87"/>
        <v>11.99</v>
      </c>
      <c r="Q220" s="187">
        <f t="shared" si="87"/>
        <v>53.99</v>
      </c>
      <c r="R220" s="187">
        <f t="shared" si="84"/>
        <v>71.989999999999995</v>
      </c>
      <c r="S220" s="6">
        <v>0</v>
      </c>
      <c r="T220" s="104">
        <f t="shared" si="104"/>
        <v>8.99</v>
      </c>
      <c r="U220" s="187">
        <f t="shared" si="88"/>
        <v>8.99</v>
      </c>
      <c r="V220" s="188">
        <f t="shared" si="89"/>
        <v>0</v>
      </c>
      <c r="W220" s="189">
        <f t="shared" si="90"/>
        <v>0</v>
      </c>
      <c r="X220" s="104">
        <f t="shared" si="105"/>
        <v>11.99</v>
      </c>
      <c r="Y220" s="187">
        <f t="shared" si="91"/>
        <v>11.99</v>
      </c>
      <c r="Z220" s="188">
        <f t="shared" si="92"/>
        <v>0</v>
      </c>
      <c r="AA220" s="189">
        <f t="shared" si="93"/>
        <v>0</v>
      </c>
      <c r="AB220" s="185">
        <f t="shared" si="94"/>
        <v>1.3337041156840934</v>
      </c>
      <c r="AC220" s="104">
        <f t="shared" si="106"/>
        <v>53.99</v>
      </c>
      <c r="AD220" s="187">
        <f t="shared" si="95"/>
        <v>53.99</v>
      </c>
      <c r="AE220" s="188">
        <f t="shared" si="96"/>
        <v>0</v>
      </c>
      <c r="AF220" s="189">
        <f t="shared" si="97"/>
        <v>0</v>
      </c>
      <c r="AG220" s="185">
        <f t="shared" si="98"/>
        <v>6.0055617352614012</v>
      </c>
      <c r="AH220" s="104">
        <f t="shared" si="107"/>
        <v>71.989999999999995</v>
      </c>
      <c r="AI220" s="187">
        <f t="shared" si="99"/>
        <v>71.989999999999995</v>
      </c>
      <c r="AJ220" s="188">
        <f t="shared" si="100"/>
        <v>0</v>
      </c>
      <c r="AK220" s="189">
        <f t="shared" si="101"/>
        <v>0</v>
      </c>
      <c r="AL220" s="185">
        <f t="shared" si="102"/>
        <v>6.0041701417848206</v>
      </c>
      <c r="AM220" s="6" t="str">
        <f t="shared" si="108"/>
        <v>30% Off SL / Annual</v>
      </c>
      <c r="AN220" s="6" t="str">
        <f t="shared" ref="AN220:AN248" si="112">+IF(OR($S220="EVP",$S220="SA",$S220=0),"15% Off All SKUs","Messaging Only")</f>
        <v>15% Off All SKUs</v>
      </c>
      <c r="AO220" s="6" t="str">
        <f t="shared" si="103"/>
        <v>Monthly: 100% Off Next Month</v>
      </c>
      <c r="AP220" s="6" t="str">
        <f t="shared" si="110"/>
        <v>50% Off SL / Annual</v>
      </c>
    </row>
    <row r="221" spans="2:42" ht="13">
      <c r="B221" s="20" t="s">
        <v>292</v>
      </c>
      <c r="C221" s="20" t="s">
        <v>270</v>
      </c>
      <c r="D221" s="6"/>
      <c r="E221" s="6" t="str">
        <f>IF(VLOOKUP(B221,'[7]FY25 PRICING'!$B$5:$AL$246,'[7]FY25 PRICING'!$E$1,FALSE)=0,"","x")</f>
        <v/>
      </c>
      <c r="F221" s="11" t="str">
        <f>+VLOOKUP($B221,'[1]INT Web'!$B$5:$AS$247,'[1]INT Web'!$Q$1,FALSE)</f>
        <v>TZS</v>
      </c>
      <c r="G221" s="22">
        <f>+VLOOKUP($B221,'[1]INT Web'!$B$5:$AS$247,'[1]INT Web'!$U$1,FALSE)</f>
        <v>20900</v>
      </c>
      <c r="H221" s="22">
        <f>+VLOOKUP($B221,'[1]INT Web'!$B$5:$AS$247,'[1]INT Web'!$S$1,FALSE)</f>
        <v>28220</v>
      </c>
      <c r="I221" s="22">
        <f>+VLOOKUP($B221,'[1]INT Web'!$B$5:$AS$247,'[1]INT Web'!$T$1,FALSE)</f>
        <v>125400</v>
      </c>
      <c r="J221" s="22">
        <f>+VLOOKUP($B221,'[1]INT Web'!$B$5:$AS$247,'[1]INT Web'!$R$1,FALSE)</f>
        <v>169320</v>
      </c>
      <c r="K221" s="185">
        <f t="shared" si="85"/>
        <v>6</v>
      </c>
      <c r="L221" s="185">
        <f t="shared" si="85"/>
        <v>6</v>
      </c>
      <c r="M221" s="185">
        <f t="shared" si="86"/>
        <v>1.3502392344497607</v>
      </c>
      <c r="N221" s="186">
        <v>3.8008363E-4</v>
      </c>
      <c r="O221" s="187">
        <f t="shared" si="87"/>
        <v>7.9437478669999999</v>
      </c>
      <c r="P221" s="187">
        <f t="shared" si="87"/>
        <v>10.7259600386</v>
      </c>
      <c r="Q221" s="187">
        <f t="shared" si="87"/>
        <v>47.662487202000001</v>
      </c>
      <c r="R221" s="187">
        <f t="shared" si="84"/>
        <v>64.355760231600001</v>
      </c>
      <c r="S221" s="132" t="s">
        <v>477</v>
      </c>
      <c r="T221" s="104">
        <f t="shared" si="104"/>
        <v>20900</v>
      </c>
      <c r="U221" s="187">
        <f t="shared" si="88"/>
        <v>7.9437478669999999</v>
      </c>
      <c r="V221" s="188">
        <f t="shared" si="89"/>
        <v>0</v>
      </c>
      <c r="W221" s="189">
        <f t="shared" si="90"/>
        <v>0</v>
      </c>
      <c r="X221" s="104">
        <f t="shared" si="105"/>
        <v>28220</v>
      </c>
      <c r="Y221" s="187">
        <f t="shared" si="91"/>
        <v>10.7259600386</v>
      </c>
      <c r="Z221" s="188">
        <f t="shared" si="92"/>
        <v>0</v>
      </c>
      <c r="AA221" s="189">
        <f t="shared" si="93"/>
        <v>0</v>
      </c>
      <c r="AB221" s="185">
        <f t="shared" si="94"/>
        <v>1.3502392344497607</v>
      </c>
      <c r="AC221" s="104">
        <f t="shared" si="106"/>
        <v>125400</v>
      </c>
      <c r="AD221" s="187">
        <f t="shared" si="95"/>
        <v>47.662487202000001</v>
      </c>
      <c r="AE221" s="188">
        <f t="shared" si="96"/>
        <v>0</v>
      </c>
      <c r="AF221" s="189">
        <f t="shared" si="97"/>
        <v>0</v>
      </c>
      <c r="AG221" s="185">
        <f t="shared" si="98"/>
        <v>6</v>
      </c>
      <c r="AH221" s="104">
        <f t="shared" si="107"/>
        <v>169320</v>
      </c>
      <c r="AI221" s="187">
        <f t="shared" si="99"/>
        <v>64.355760231600001</v>
      </c>
      <c r="AJ221" s="188">
        <f t="shared" si="100"/>
        <v>0</v>
      </c>
      <c r="AK221" s="189">
        <f t="shared" si="101"/>
        <v>0</v>
      </c>
      <c r="AL221" s="185">
        <f t="shared" si="102"/>
        <v>6</v>
      </c>
      <c r="AM221" s="6" t="str">
        <f t="shared" si="108"/>
        <v>30% Off SL / Annual</v>
      </c>
      <c r="AN221" s="6" t="str">
        <f t="shared" si="112"/>
        <v>15% Off All SKUs</v>
      </c>
      <c r="AO221" s="6" t="str">
        <f t="shared" si="103"/>
        <v>Monthly: 100% Off Next Month</v>
      </c>
      <c r="AP221" s="6" t="str">
        <f t="shared" si="110"/>
        <v>50% Off SL / Annual</v>
      </c>
    </row>
    <row r="222" spans="2:42" ht="13">
      <c r="B222" s="20" t="s">
        <v>293</v>
      </c>
      <c r="C222" s="20" t="s">
        <v>182</v>
      </c>
      <c r="D222" s="6" t="s">
        <v>492</v>
      </c>
      <c r="E222" s="6" t="str">
        <f>IF(VLOOKUP(B222,'[7]FY25 PRICING'!$B$5:$AL$246,'[7]FY25 PRICING'!$E$1,FALSE)=0,"","x")</f>
        <v/>
      </c>
      <c r="F222" s="11" t="str">
        <f>+VLOOKUP($B222,'[1]INT Web'!$B$5:$AS$247,'[1]INT Web'!$Q$1,FALSE)</f>
        <v>THB</v>
      </c>
      <c r="G222" s="136">
        <f>+VLOOKUP($B222,'[1]INT Web'!$B$5:$AS$247,'[1]INT Web'!$U$1,FALSE)</f>
        <v>300</v>
      </c>
      <c r="H222" s="136">
        <f>+VLOOKUP($B222,'[1]INT Web'!$B$5:$AS$247,'[1]INT Web'!$S$1,FALSE)</f>
        <v>449</v>
      </c>
      <c r="I222" s="22">
        <f>+VLOOKUP($B222,'[1]INT Web'!$B$5:$AS$247,'[1]INT Web'!$T$1,FALSE)</f>
        <v>2100</v>
      </c>
      <c r="J222" s="22">
        <f>+VLOOKUP($B222,'[1]INT Web'!$B$5:$AS$247,'[1]INT Web'!$R$1,FALSE)</f>
        <v>2919</v>
      </c>
      <c r="K222" s="185">
        <f t="shared" si="85"/>
        <v>7</v>
      </c>
      <c r="L222" s="185">
        <f t="shared" si="85"/>
        <v>6.5011135857461024</v>
      </c>
      <c r="M222" s="185">
        <f t="shared" si="86"/>
        <v>1.4966666666666666</v>
      </c>
      <c r="N222" s="186">
        <v>3.0448353000000001E-2</v>
      </c>
      <c r="O222" s="187">
        <f t="shared" si="87"/>
        <v>9.1345059000000006</v>
      </c>
      <c r="P222" s="187">
        <f t="shared" si="87"/>
        <v>13.671310497</v>
      </c>
      <c r="Q222" s="187">
        <f t="shared" si="87"/>
        <v>63.941541300000004</v>
      </c>
      <c r="R222" s="187">
        <f t="shared" si="84"/>
        <v>88.878742407000004</v>
      </c>
      <c r="S222" s="132" t="s">
        <v>484</v>
      </c>
      <c r="T222" s="104">
        <f t="shared" si="104"/>
        <v>300</v>
      </c>
      <c r="U222" s="187">
        <f t="shared" si="88"/>
        <v>9.1345059000000006</v>
      </c>
      <c r="V222" s="188">
        <f t="shared" si="89"/>
        <v>0</v>
      </c>
      <c r="W222" s="189">
        <f t="shared" si="90"/>
        <v>0</v>
      </c>
      <c r="X222" s="104">
        <f t="shared" si="105"/>
        <v>449</v>
      </c>
      <c r="Y222" s="187">
        <f t="shared" si="91"/>
        <v>13.671310497</v>
      </c>
      <c r="Z222" s="188">
        <f t="shared" si="92"/>
        <v>0</v>
      </c>
      <c r="AA222" s="189">
        <f t="shared" si="93"/>
        <v>0</v>
      </c>
      <c r="AB222" s="185">
        <f t="shared" si="94"/>
        <v>1.4966666666666666</v>
      </c>
      <c r="AC222" s="104">
        <f t="shared" si="106"/>
        <v>2100</v>
      </c>
      <c r="AD222" s="187">
        <f t="shared" si="95"/>
        <v>63.941541300000004</v>
      </c>
      <c r="AE222" s="188">
        <f t="shared" si="96"/>
        <v>0</v>
      </c>
      <c r="AF222" s="189">
        <f t="shared" si="97"/>
        <v>0</v>
      </c>
      <c r="AG222" s="185">
        <f t="shared" si="98"/>
        <v>7</v>
      </c>
      <c r="AH222" s="104">
        <f t="shared" si="107"/>
        <v>2919</v>
      </c>
      <c r="AI222" s="187">
        <f t="shared" si="99"/>
        <v>88.878742407000004</v>
      </c>
      <c r="AJ222" s="188">
        <f t="shared" si="100"/>
        <v>0</v>
      </c>
      <c r="AK222" s="189">
        <f t="shared" si="101"/>
        <v>0</v>
      </c>
      <c r="AL222" s="185">
        <f t="shared" si="102"/>
        <v>6.5011135857461024</v>
      </c>
      <c r="AM222" s="6" t="str">
        <f t="shared" si="108"/>
        <v>30% Off SL / Annual</v>
      </c>
      <c r="AN222" s="6" t="str">
        <f t="shared" si="112"/>
        <v>Messaging Only</v>
      </c>
      <c r="AO222" s="6" t="str">
        <f t="shared" si="103"/>
        <v>Messaging / Pause Flow</v>
      </c>
      <c r="AP222" s="6" t="str">
        <f t="shared" si="110"/>
        <v>50% Off LPP Only</v>
      </c>
    </row>
    <row r="223" spans="2:42" ht="13">
      <c r="B223" s="20" t="s">
        <v>294</v>
      </c>
      <c r="C223" s="20" t="s">
        <v>182</v>
      </c>
      <c r="D223" s="6"/>
      <c r="E223" s="6" t="str">
        <f>IF(VLOOKUP(B223,'[7]FY25 PRICING'!$B$5:$AL$246,'[7]FY25 PRICING'!$E$1,FALSE)=0,"","x")</f>
        <v/>
      </c>
      <c r="F223" s="11" t="str">
        <f>+VLOOKUP($B223,'[1]INT Web'!$B$5:$AS$247,'[1]INT Web'!$Q$1,FALSE)</f>
        <v>USD</v>
      </c>
      <c r="G223" s="22">
        <f>+VLOOKUP($B223,'[1]INT Web'!$B$5:$AS$247,'[1]INT Web'!$U$1,FALSE)</f>
        <v>8.99</v>
      </c>
      <c r="H223" s="22">
        <f>+VLOOKUP($B223,'[1]INT Web'!$B$5:$AS$247,'[1]INT Web'!$S$1,FALSE)</f>
        <v>11.99</v>
      </c>
      <c r="I223" s="22">
        <f>+VLOOKUP($B223,'[1]INT Web'!$B$5:$AS$247,'[1]INT Web'!$T$1,FALSE)</f>
        <v>53.99</v>
      </c>
      <c r="J223" s="22">
        <f>+VLOOKUP($B223,'[1]INT Web'!$B$5:$AS$247,'[1]INT Web'!$R$1,FALSE)</f>
        <v>71.989999999999995</v>
      </c>
      <c r="K223" s="185">
        <f t="shared" si="85"/>
        <v>6.0055617352614012</v>
      </c>
      <c r="L223" s="185">
        <f t="shared" si="85"/>
        <v>6.0041701417848206</v>
      </c>
      <c r="M223" s="185">
        <f t="shared" si="86"/>
        <v>1.3337041156840934</v>
      </c>
      <c r="N223" s="186">
        <v>1</v>
      </c>
      <c r="O223" s="187">
        <f t="shared" si="87"/>
        <v>8.99</v>
      </c>
      <c r="P223" s="187">
        <f t="shared" si="87"/>
        <v>11.99</v>
      </c>
      <c r="Q223" s="187">
        <f t="shared" si="87"/>
        <v>53.99</v>
      </c>
      <c r="R223" s="187">
        <f t="shared" si="84"/>
        <v>71.989999999999995</v>
      </c>
      <c r="S223" s="6">
        <v>0</v>
      </c>
      <c r="T223" s="104">
        <f t="shared" si="104"/>
        <v>8.99</v>
      </c>
      <c r="U223" s="187">
        <f t="shared" si="88"/>
        <v>8.99</v>
      </c>
      <c r="V223" s="188">
        <f t="shared" si="89"/>
        <v>0</v>
      </c>
      <c r="W223" s="189">
        <f t="shared" si="90"/>
        <v>0</v>
      </c>
      <c r="X223" s="104">
        <f t="shared" si="105"/>
        <v>11.99</v>
      </c>
      <c r="Y223" s="187">
        <f t="shared" si="91"/>
        <v>11.99</v>
      </c>
      <c r="Z223" s="188">
        <f t="shared" si="92"/>
        <v>0</v>
      </c>
      <c r="AA223" s="189">
        <f t="shared" si="93"/>
        <v>0</v>
      </c>
      <c r="AB223" s="185">
        <f t="shared" si="94"/>
        <v>1.3337041156840934</v>
      </c>
      <c r="AC223" s="104">
        <f t="shared" si="106"/>
        <v>53.99</v>
      </c>
      <c r="AD223" s="187">
        <f t="shared" si="95"/>
        <v>53.99</v>
      </c>
      <c r="AE223" s="188">
        <f t="shared" si="96"/>
        <v>0</v>
      </c>
      <c r="AF223" s="189">
        <f t="shared" si="97"/>
        <v>0</v>
      </c>
      <c r="AG223" s="185">
        <f t="shared" si="98"/>
        <v>6.0055617352614012</v>
      </c>
      <c r="AH223" s="104">
        <f t="shared" si="107"/>
        <v>71.989999999999995</v>
      </c>
      <c r="AI223" s="187">
        <f t="shared" si="99"/>
        <v>71.989999999999995</v>
      </c>
      <c r="AJ223" s="188">
        <f t="shared" si="100"/>
        <v>0</v>
      </c>
      <c r="AK223" s="189">
        <f t="shared" si="101"/>
        <v>0</v>
      </c>
      <c r="AL223" s="185">
        <f t="shared" si="102"/>
        <v>6.0041701417848206</v>
      </c>
      <c r="AM223" s="6" t="str">
        <f t="shared" si="108"/>
        <v>30% Off SL / Annual</v>
      </c>
      <c r="AN223" s="6" t="str">
        <f t="shared" si="112"/>
        <v>15% Off All SKUs</v>
      </c>
      <c r="AO223" s="6" t="str">
        <f t="shared" si="103"/>
        <v>Monthly: 100% Off Next Month</v>
      </c>
      <c r="AP223" s="6" t="str">
        <f t="shared" si="110"/>
        <v>50% Off SL / Annual</v>
      </c>
    </row>
    <row r="224" spans="2:42" ht="13">
      <c r="B224" s="20" t="s">
        <v>295</v>
      </c>
      <c r="C224" s="20" t="s">
        <v>270</v>
      </c>
      <c r="D224" s="6"/>
      <c r="E224" s="6" t="str">
        <f>IF(VLOOKUP(B224,'[7]FY25 PRICING'!$B$5:$AL$246,'[7]FY25 PRICING'!$E$1,FALSE)=0,"","x")</f>
        <v/>
      </c>
      <c r="F224" s="11" t="str">
        <f>+VLOOKUP($B224,'[1]INT Web'!$B$5:$AS$247,'[1]INT Web'!$Q$1,FALSE)</f>
        <v>XOF</v>
      </c>
      <c r="G224" s="22">
        <f>+VLOOKUP($B224,'[1]INT Web'!$B$5:$AS$247,'[1]INT Web'!$U$1,FALSE)</f>
        <v>5400</v>
      </c>
      <c r="H224" s="22">
        <f>+VLOOKUP($B224,'[1]INT Web'!$B$5:$AS$247,'[1]INT Web'!$S$1,FALSE)</f>
        <v>7290</v>
      </c>
      <c r="I224" s="22">
        <f>+VLOOKUP($B224,'[1]INT Web'!$B$5:$AS$247,'[1]INT Web'!$T$1,FALSE)</f>
        <v>32400</v>
      </c>
      <c r="J224" s="22">
        <f>+VLOOKUP($B224,'[1]INT Web'!$B$5:$AS$247,'[1]INT Web'!$R$1,FALSE)</f>
        <v>43740</v>
      </c>
      <c r="K224" s="185">
        <f t="shared" si="85"/>
        <v>6</v>
      </c>
      <c r="L224" s="185">
        <f t="shared" si="85"/>
        <v>6</v>
      </c>
      <c r="M224" s="185">
        <f t="shared" si="86"/>
        <v>1.35</v>
      </c>
      <c r="N224" s="186">
        <v>1.7485141000000001E-3</v>
      </c>
      <c r="O224" s="187">
        <f t="shared" si="87"/>
        <v>9.4419761400000013</v>
      </c>
      <c r="P224" s="187">
        <f t="shared" si="87"/>
        <v>12.746667789</v>
      </c>
      <c r="Q224" s="187">
        <f t="shared" si="87"/>
        <v>56.651856840000001</v>
      </c>
      <c r="R224" s="187">
        <f t="shared" si="84"/>
        <v>76.480006734</v>
      </c>
      <c r="S224" s="6">
        <v>0</v>
      </c>
      <c r="T224" s="104">
        <f t="shared" si="104"/>
        <v>5400</v>
      </c>
      <c r="U224" s="187">
        <f t="shared" si="88"/>
        <v>9.4419761400000013</v>
      </c>
      <c r="V224" s="188">
        <f t="shared" si="89"/>
        <v>0</v>
      </c>
      <c r="W224" s="189">
        <f t="shared" si="90"/>
        <v>0</v>
      </c>
      <c r="X224" s="104">
        <f t="shared" si="105"/>
        <v>7290</v>
      </c>
      <c r="Y224" s="187">
        <f t="shared" si="91"/>
        <v>12.746667789</v>
      </c>
      <c r="Z224" s="188">
        <f t="shared" si="92"/>
        <v>0</v>
      </c>
      <c r="AA224" s="189">
        <f t="shared" si="93"/>
        <v>0</v>
      </c>
      <c r="AB224" s="185">
        <f t="shared" si="94"/>
        <v>1.35</v>
      </c>
      <c r="AC224" s="104">
        <f t="shared" si="106"/>
        <v>32400</v>
      </c>
      <c r="AD224" s="187">
        <f t="shared" si="95"/>
        <v>56.651856840000001</v>
      </c>
      <c r="AE224" s="188">
        <f t="shared" si="96"/>
        <v>0</v>
      </c>
      <c r="AF224" s="189">
        <f t="shared" si="97"/>
        <v>0</v>
      </c>
      <c r="AG224" s="185">
        <f t="shared" si="98"/>
        <v>6</v>
      </c>
      <c r="AH224" s="104">
        <f t="shared" si="107"/>
        <v>43740</v>
      </c>
      <c r="AI224" s="187">
        <f t="shared" si="99"/>
        <v>76.480006734</v>
      </c>
      <c r="AJ224" s="188">
        <f t="shared" si="100"/>
        <v>0</v>
      </c>
      <c r="AK224" s="189">
        <f t="shared" si="101"/>
        <v>0</v>
      </c>
      <c r="AL224" s="185">
        <f t="shared" si="102"/>
        <v>6</v>
      </c>
      <c r="AM224" s="6" t="str">
        <f t="shared" si="108"/>
        <v>30% Off SL / Annual</v>
      </c>
      <c r="AN224" s="6" t="str">
        <f t="shared" si="112"/>
        <v>15% Off All SKUs</v>
      </c>
      <c r="AO224" s="6" t="str">
        <f t="shared" si="103"/>
        <v>Monthly: 100% Off Next Month</v>
      </c>
      <c r="AP224" s="6" t="str">
        <f t="shared" si="110"/>
        <v>50% Off SL / Annual</v>
      </c>
    </row>
    <row r="225" spans="2:42" ht="13">
      <c r="B225" s="20" t="s">
        <v>296</v>
      </c>
      <c r="C225" s="20" t="s">
        <v>182</v>
      </c>
      <c r="D225" s="6"/>
      <c r="E225" s="6" t="str">
        <f>IF(VLOOKUP(B225,'[7]FY25 PRICING'!$B$5:$AL$246,'[7]FY25 PRICING'!$E$1,FALSE)=0,"","x")</f>
        <v/>
      </c>
      <c r="F225" s="11" t="str">
        <f>+VLOOKUP($B225,'[1]INT Web'!$B$5:$AS$247,'[1]INT Web'!$Q$1,FALSE)</f>
        <v>NZD</v>
      </c>
      <c r="G225" s="22">
        <f>+VLOOKUP($B225,'[1]INT Web'!$B$5:$AS$247,'[1]INT Web'!$U$1,FALSE)</f>
        <v>24.99</v>
      </c>
      <c r="H225" s="22">
        <f>+VLOOKUP($B225,'[1]INT Web'!$B$5:$AS$247,'[1]INT Web'!$S$1,FALSE)</f>
        <v>33.99</v>
      </c>
      <c r="I225" s="22">
        <f>+VLOOKUP($B225,'[1]INT Web'!$B$5:$AS$247,'[1]INT Web'!$T$1,FALSE)</f>
        <v>149.99</v>
      </c>
      <c r="J225" s="22">
        <f>+VLOOKUP($B225,'[1]INT Web'!$B$5:$AS$247,'[1]INT Web'!$R$1,FALSE)</f>
        <v>203.99</v>
      </c>
      <c r="K225" s="185">
        <f t="shared" si="85"/>
        <v>6.0020008003201291</v>
      </c>
      <c r="L225" s="185">
        <f t="shared" si="85"/>
        <v>6.0014710208884967</v>
      </c>
      <c r="M225" s="185">
        <f t="shared" si="86"/>
        <v>1.3601440576230495</v>
      </c>
      <c r="N225" s="186">
        <v>0.57384999999999997</v>
      </c>
      <c r="O225" s="187">
        <f t="shared" si="87"/>
        <v>14.340511499999998</v>
      </c>
      <c r="P225" s="187">
        <f t="shared" si="87"/>
        <v>19.5051615</v>
      </c>
      <c r="Q225" s="187">
        <f t="shared" si="87"/>
        <v>86.071761499999994</v>
      </c>
      <c r="R225" s="187">
        <f t="shared" si="84"/>
        <v>117.0596615</v>
      </c>
      <c r="S225" s="6">
        <v>0</v>
      </c>
      <c r="T225" s="104">
        <f t="shared" si="104"/>
        <v>24.99</v>
      </c>
      <c r="U225" s="187">
        <f t="shared" si="88"/>
        <v>14.340511499999998</v>
      </c>
      <c r="V225" s="188">
        <f t="shared" si="89"/>
        <v>0</v>
      </c>
      <c r="W225" s="189">
        <f t="shared" si="90"/>
        <v>0</v>
      </c>
      <c r="X225" s="104">
        <f t="shared" si="105"/>
        <v>33.99</v>
      </c>
      <c r="Y225" s="187">
        <f t="shared" si="91"/>
        <v>19.5051615</v>
      </c>
      <c r="Z225" s="188">
        <f t="shared" si="92"/>
        <v>0</v>
      </c>
      <c r="AA225" s="189">
        <f t="shared" si="93"/>
        <v>0</v>
      </c>
      <c r="AB225" s="185">
        <f t="shared" si="94"/>
        <v>1.3601440576230495</v>
      </c>
      <c r="AC225" s="104">
        <f t="shared" si="106"/>
        <v>149.99</v>
      </c>
      <c r="AD225" s="187">
        <f t="shared" si="95"/>
        <v>86.071761499999994</v>
      </c>
      <c r="AE225" s="188">
        <f t="shared" si="96"/>
        <v>0</v>
      </c>
      <c r="AF225" s="189">
        <f t="shared" si="97"/>
        <v>0</v>
      </c>
      <c r="AG225" s="185">
        <f t="shared" si="98"/>
        <v>6.0020008003201291</v>
      </c>
      <c r="AH225" s="104">
        <f t="shared" si="107"/>
        <v>203.99</v>
      </c>
      <c r="AI225" s="187">
        <f t="shared" si="99"/>
        <v>117.0596615</v>
      </c>
      <c r="AJ225" s="188">
        <f t="shared" si="100"/>
        <v>0</v>
      </c>
      <c r="AK225" s="189">
        <f t="shared" si="101"/>
        <v>0</v>
      </c>
      <c r="AL225" s="185">
        <f t="shared" si="102"/>
        <v>6.0014710208884967</v>
      </c>
      <c r="AM225" s="6" t="str">
        <f t="shared" si="108"/>
        <v>30% Off SL / Annual</v>
      </c>
      <c r="AN225" s="6" t="str">
        <f t="shared" si="112"/>
        <v>15% Off All SKUs</v>
      </c>
      <c r="AO225" s="6" t="str">
        <f t="shared" si="103"/>
        <v>Monthly: 100% Off Next Month</v>
      </c>
      <c r="AP225" s="6" t="str">
        <f t="shared" si="110"/>
        <v>50% Off SL / Annual</v>
      </c>
    </row>
    <row r="226" spans="2:42" ht="13">
      <c r="B226" s="20" t="s">
        <v>297</v>
      </c>
      <c r="C226" s="20" t="s">
        <v>182</v>
      </c>
      <c r="D226" s="6"/>
      <c r="E226" s="6" t="str">
        <f>IF(VLOOKUP(B226,'[7]FY25 PRICING'!$B$5:$AL$246,'[7]FY25 PRICING'!$E$1,FALSE)=0,"","x")</f>
        <v/>
      </c>
      <c r="F226" s="11" t="str">
        <f>+VLOOKUP($B226,'[1]INT Web'!$B$5:$AS$247,'[1]INT Web'!$Q$1,FALSE)</f>
        <v>TOP</v>
      </c>
      <c r="G226" s="190">
        <f>+VLOOKUP($B226,'[1]INT Web'!$B$5:$AS$247,'[1]INT Web'!$U$1,FALSE)</f>
        <v>22.99</v>
      </c>
      <c r="H226" s="190">
        <f>+VLOOKUP($B226,'[1]INT Web'!$B$5:$AS$247,'[1]INT Web'!$S$1,FALSE)</f>
        <v>30.99</v>
      </c>
      <c r="I226" s="22">
        <f>+VLOOKUP($B226,'[1]INT Web'!$B$5:$AS$247,'[1]INT Web'!$T$1,FALSE)</f>
        <v>137.99</v>
      </c>
      <c r="J226" s="22">
        <f>+VLOOKUP($B226,'[1]INT Web'!$B$5:$AS$247,'[1]INT Web'!$R$1,FALSE)</f>
        <v>185.99</v>
      </c>
      <c r="K226" s="185">
        <f t="shared" si="85"/>
        <v>6.0021748586341896</v>
      </c>
      <c r="L226" s="185">
        <f t="shared" si="85"/>
        <v>6.0016134236850602</v>
      </c>
      <c r="M226" s="185">
        <f t="shared" si="86"/>
        <v>1.3479773814702045</v>
      </c>
      <c r="N226" s="186">
        <v>0.41899999999999998</v>
      </c>
      <c r="O226" s="187">
        <f t="shared" si="87"/>
        <v>9.6328099999999992</v>
      </c>
      <c r="P226" s="187">
        <f t="shared" si="87"/>
        <v>12.98481</v>
      </c>
      <c r="Q226" s="187">
        <f t="shared" si="87"/>
        <v>57.817810000000001</v>
      </c>
      <c r="R226" s="187">
        <f t="shared" si="84"/>
        <v>77.929810000000003</v>
      </c>
      <c r="S226" s="6">
        <v>0</v>
      </c>
      <c r="T226" s="104">
        <f t="shared" si="104"/>
        <v>22.99</v>
      </c>
      <c r="U226" s="187">
        <f t="shared" si="88"/>
        <v>9.6328099999999992</v>
      </c>
      <c r="V226" s="188">
        <f t="shared" si="89"/>
        <v>0</v>
      </c>
      <c r="W226" s="189">
        <f t="shared" si="90"/>
        <v>0</v>
      </c>
      <c r="X226" s="104">
        <f t="shared" si="105"/>
        <v>30.99</v>
      </c>
      <c r="Y226" s="187">
        <f t="shared" si="91"/>
        <v>12.98481</v>
      </c>
      <c r="Z226" s="188">
        <f t="shared" si="92"/>
        <v>0</v>
      </c>
      <c r="AA226" s="189">
        <f t="shared" si="93"/>
        <v>0</v>
      </c>
      <c r="AB226" s="185">
        <f t="shared" si="94"/>
        <v>1.3479773814702045</v>
      </c>
      <c r="AC226" s="104">
        <f t="shared" si="106"/>
        <v>137.99</v>
      </c>
      <c r="AD226" s="187">
        <f t="shared" si="95"/>
        <v>57.817810000000001</v>
      </c>
      <c r="AE226" s="188">
        <f t="shared" si="96"/>
        <v>0</v>
      </c>
      <c r="AF226" s="189">
        <f t="shared" si="97"/>
        <v>0</v>
      </c>
      <c r="AG226" s="185">
        <f t="shared" si="98"/>
        <v>6.0021748586341896</v>
      </c>
      <c r="AH226" s="104">
        <f t="shared" si="107"/>
        <v>185.99</v>
      </c>
      <c r="AI226" s="187">
        <f t="shared" si="99"/>
        <v>77.929810000000003</v>
      </c>
      <c r="AJ226" s="188">
        <f t="shared" si="100"/>
        <v>0</v>
      </c>
      <c r="AK226" s="189">
        <f t="shared" si="101"/>
        <v>0</v>
      </c>
      <c r="AL226" s="185">
        <f t="shared" si="102"/>
        <v>6.0016134236850602</v>
      </c>
      <c r="AM226" s="6" t="str">
        <f t="shared" si="108"/>
        <v>30% Off SL / Annual</v>
      </c>
      <c r="AN226" s="6" t="str">
        <f t="shared" si="112"/>
        <v>15% Off All SKUs</v>
      </c>
      <c r="AO226" s="6" t="str">
        <f t="shared" si="103"/>
        <v>Monthly: 100% Off Next Month</v>
      </c>
      <c r="AP226" s="6" t="str">
        <f t="shared" si="110"/>
        <v>50% Off SL / Annual</v>
      </c>
    </row>
    <row r="227" spans="2:42" ht="13">
      <c r="B227" s="20" t="s">
        <v>298</v>
      </c>
      <c r="C227" s="20" t="s">
        <v>96</v>
      </c>
      <c r="D227" s="6"/>
      <c r="E227" s="6" t="str">
        <f>IF(VLOOKUP(B227,'[7]FY25 PRICING'!$B$5:$AL$246,'[7]FY25 PRICING'!$E$1,FALSE)=0,"","x")</f>
        <v/>
      </c>
      <c r="F227" s="11" t="str">
        <f>+VLOOKUP($B227,'[1]INT Web'!$B$5:$AS$247,'[1]INT Web'!$Q$1,FALSE)</f>
        <v>TTD</v>
      </c>
      <c r="G227" s="22">
        <f>+VLOOKUP($B227,'[1]INT Web'!$B$5:$AS$247,'[1]INT Web'!$U$1,FALSE)</f>
        <v>80.989999999999995</v>
      </c>
      <c r="H227" s="22">
        <f>+VLOOKUP($B227,'[1]INT Web'!$B$5:$AS$247,'[1]INT Web'!$S$1,FALSE)</f>
        <v>114.99</v>
      </c>
      <c r="I227" s="22">
        <f>+VLOOKUP($B227,'[1]INT Web'!$B$5:$AS$247,'[1]INT Web'!$T$1,FALSE)</f>
        <v>485.99</v>
      </c>
      <c r="J227" s="22">
        <f>+VLOOKUP($B227,'[1]INT Web'!$B$5:$AS$247,'[1]INT Web'!$R$1,FALSE)</f>
        <v>689.99</v>
      </c>
      <c r="K227" s="185">
        <f t="shared" si="85"/>
        <v>6.0006173601679222</v>
      </c>
      <c r="L227" s="185">
        <f t="shared" si="85"/>
        <v>6.0004348204191675</v>
      </c>
      <c r="M227" s="185">
        <f t="shared" si="86"/>
        <v>1.4198049141869367</v>
      </c>
      <c r="N227" s="186">
        <v>0.14805821999999999</v>
      </c>
      <c r="O227" s="187">
        <f t="shared" si="87"/>
        <v>11.991235237799998</v>
      </c>
      <c r="P227" s="187">
        <f t="shared" si="87"/>
        <v>17.025214717799997</v>
      </c>
      <c r="Q227" s="187">
        <f t="shared" si="87"/>
        <v>71.954814337800002</v>
      </c>
      <c r="R227" s="187">
        <f t="shared" si="84"/>
        <v>102.1586912178</v>
      </c>
      <c r="S227" s="132" t="s">
        <v>486</v>
      </c>
      <c r="T227" s="104">
        <f t="shared" si="104"/>
        <v>80.989999999999995</v>
      </c>
      <c r="U227" s="187">
        <f t="shared" si="88"/>
        <v>11.991235237799998</v>
      </c>
      <c r="V227" s="188">
        <f t="shared" si="89"/>
        <v>0</v>
      </c>
      <c r="W227" s="189">
        <f t="shared" si="90"/>
        <v>0</v>
      </c>
      <c r="X227" s="104">
        <f t="shared" si="105"/>
        <v>114.99</v>
      </c>
      <c r="Y227" s="187">
        <f t="shared" si="91"/>
        <v>17.025214717799997</v>
      </c>
      <c r="Z227" s="188">
        <f t="shared" si="92"/>
        <v>0</v>
      </c>
      <c r="AA227" s="189">
        <f t="shared" si="93"/>
        <v>0</v>
      </c>
      <c r="AB227" s="185">
        <f t="shared" si="94"/>
        <v>1.4198049141869367</v>
      </c>
      <c r="AC227" s="104">
        <f t="shared" si="106"/>
        <v>485.99</v>
      </c>
      <c r="AD227" s="187">
        <f t="shared" si="95"/>
        <v>71.954814337800002</v>
      </c>
      <c r="AE227" s="188">
        <f t="shared" si="96"/>
        <v>0</v>
      </c>
      <c r="AF227" s="189">
        <f t="shared" si="97"/>
        <v>0</v>
      </c>
      <c r="AG227" s="185">
        <f t="shared" si="98"/>
        <v>6.0006173601679222</v>
      </c>
      <c r="AH227" s="104">
        <f t="shared" si="107"/>
        <v>689.99</v>
      </c>
      <c r="AI227" s="187">
        <f t="shared" si="99"/>
        <v>102.1586912178</v>
      </c>
      <c r="AJ227" s="188">
        <f t="shared" si="100"/>
        <v>0</v>
      </c>
      <c r="AK227" s="189">
        <f t="shared" si="101"/>
        <v>0</v>
      </c>
      <c r="AL227" s="185">
        <f t="shared" si="102"/>
        <v>6.0004348204191675</v>
      </c>
      <c r="AM227" s="6" t="str">
        <f t="shared" si="108"/>
        <v>30% Off SL / Annual</v>
      </c>
      <c r="AN227" s="6" t="str">
        <f t="shared" si="112"/>
        <v>Messaging Only</v>
      </c>
      <c r="AO227" s="6" t="str">
        <f t="shared" si="103"/>
        <v>Messaging / Pause Flow</v>
      </c>
      <c r="AP227" s="6" t="str">
        <f t="shared" si="110"/>
        <v>50% Off SL / Annual</v>
      </c>
    </row>
    <row r="228" spans="2:42" ht="13">
      <c r="B228" s="20" t="s">
        <v>299</v>
      </c>
      <c r="C228" s="20" t="s">
        <v>270</v>
      </c>
      <c r="D228" s="6"/>
      <c r="E228" s="6" t="str">
        <f>IF(VLOOKUP(B228,'[7]FY25 PRICING'!$B$5:$AL$246,'[7]FY25 PRICING'!$E$1,FALSE)=0,"","x")</f>
        <v/>
      </c>
      <c r="F228" s="11" t="str">
        <f>+VLOOKUP($B228,'[1]INT Web'!$B$5:$AS$247,'[1]INT Web'!$Q$1,FALSE)</f>
        <v>TND</v>
      </c>
      <c r="G228" s="22">
        <f>+VLOOKUP($B228,'[1]INT Web'!$B$5:$AS$247,'[1]INT Web'!$U$1,FALSE)</f>
        <v>26.998999999999999</v>
      </c>
      <c r="H228" s="22">
        <f>+VLOOKUP($B228,'[1]INT Web'!$B$5:$AS$247,'[1]INT Web'!$S$1,FALSE)</f>
        <v>35.999000000000002</v>
      </c>
      <c r="I228" s="22">
        <f>+VLOOKUP($B228,'[1]INT Web'!$B$5:$AS$247,'[1]INT Web'!$T$1,FALSE)</f>
        <v>161.999</v>
      </c>
      <c r="J228" s="22">
        <f>+VLOOKUP($B228,'[1]INT Web'!$B$5:$AS$247,'[1]INT Web'!$R$1,FALSE)</f>
        <v>215.999</v>
      </c>
      <c r="K228" s="185">
        <f t="shared" si="85"/>
        <v>6.0001851920441496</v>
      </c>
      <c r="L228" s="185">
        <f t="shared" si="85"/>
        <v>6.0001388927470201</v>
      </c>
      <c r="M228" s="185">
        <f t="shared" si="86"/>
        <v>1.3333456794696101</v>
      </c>
      <c r="N228" s="186">
        <v>0.33952975000000002</v>
      </c>
      <c r="O228" s="187">
        <f t="shared" si="87"/>
        <v>9.1669637202500009</v>
      </c>
      <c r="P228" s="187">
        <f t="shared" si="87"/>
        <v>12.222731470250002</v>
      </c>
      <c r="Q228" s="187">
        <f t="shared" si="87"/>
        <v>55.003479970249998</v>
      </c>
      <c r="R228" s="187">
        <f t="shared" si="84"/>
        <v>73.338086470250005</v>
      </c>
      <c r="S228" s="6">
        <v>0</v>
      </c>
      <c r="T228" s="104">
        <f t="shared" si="104"/>
        <v>26.998999999999999</v>
      </c>
      <c r="U228" s="187">
        <f t="shared" si="88"/>
        <v>9.1669637202500009</v>
      </c>
      <c r="V228" s="188">
        <f t="shared" si="89"/>
        <v>0</v>
      </c>
      <c r="W228" s="189">
        <f t="shared" si="90"/>
        <v>0</v>
      </c>
      <c r="X228" s="104">
        <f t="shared" si="105"/>
        <v>35.999000000000002</v>
      </c>
      <c r="Y228" s="187">
        <f t="shared" si="91"/>
        <v>12.222731470250002</v>
      </c>
      <c r="Z228" s="188">
        <f t="shared" si="92"/>
        <v>0</v>
      </c>
      <c r="AA228" s="189">
        <f t="shared" si="93"/>
        <v>0</v>
      </c>
      <c r="AB228" s="185">
        <f t="shared" si="94"/>
        <v>1.3333456794696101</v>
      </c>
      <c r="AC228" s="104">
        <f t="shared" si="106"/>
        <v>161.999</v>
      </c>
      <c r="AD228" s="187">
        <f t="shared" si="95"/>
        <v>55.003479970249998</v>
      </c>
      <c r="AE228" s="188">
        <f t="shared" si="96"/>
        <v>0</v>
      </c>
      <c r="AF228" s="189">
        <f t="shared" si="97"/>
        <v>0</v>
      </c>
      <c r="AG228" s="185">
        <f t="shared" si="98"/>
        <v>6.0001851920441496</v>
      </c>
      <c r="AH228" s="104">
        <f t="shared" si="107"/>
        <v>215.999</v>
      </c>
      <c r="AI228" s="187">
        <f t="shared" si="99"/>
        <v>73.338086470250005</v>
      </c>
      <c r="AJ228" s="188">
        <f t="shared" si="100"/>
        <v>0</v>
      </c>
      <c r="AK228" s="189">
        <f t="shared" si="101"/>
        <v>0</v>
      </c>
      <c r="AL228" s="185">
        <f t="shared" si="102"/>
        <v>6.0001388927470201</v>
      </c>
      <c r="AM228" s="6" t="str">
        <f t="shared" si="108"/>
        <v>30% Off SL / Annual</v>
      </c>
      <c r="AN228" s="6" t="str">
        <f t="shared" si="112"/>
        <v>15% Off All SKUs</v>
      </c>
      <c r="AO228" s="6" t="str">
        <f t="shared" si="103"/>
        <v>Monthly: 100% Off Next Month</v>
      </c>
      <c r="AP228" s="6" t="str">
        <f t="shared" si="110"/>
        <v>50% Off SL / Annual</v>
      </c>
    </row>
    <row r="229" spans="2:42" ht="13">
      <c r="B229" s="100" t="s">
        <v>300</v>
      </c>
      <c r="C229" s="100" t="s">
        <v>100</v>
      </c>
      <c r="D229" s="6" t="s">
        <v>478</v>
      </c>
      <c r="E229" s="6" t="str">
        <f>IF(VLOOKUP(B229,'[7]FY25 PRICING'!$B$5:$AL$246,'[7]FY25 PRICING'!$E$1,FALSE)=0,"","x")</f>
        <v/>
      </c>
      <c r="F229" s="11" t="str">
        <f>+VLOOKUP($B229,'[1]INT Web'!$B$5:$AS$247,'[1]INT Web'!$Q$1,FALSE)</f>
        <v>TRY</v>
      </c>
      <c r="G229" s="22">
        <f>+VLOOKUP($B229,'[1]INT Web'!$B$5:$AS$247,'[1]INT Web'!$U$1,FALSE)</f>
        <v>202.99</v>
      </c>
      <c r="H229" s="22">
        <f>+VLOOKUP($B229,'[1]INT Web'!$B$5:$AS$247,'[1]INT Web'!$S$1,FALSE)</f>
        <v>274.99</v>
      </c>
      <c r="I229" s="22">
        <f>+VLOOKUP($B229,'[1]INT Web'!$B$5:$AS$247,'[1]INT Web'!$T$1,FALSE)</f>
        <v>1319.99</v>
      </c>
      <c r="J229" s="22">
        <f>+VLOOKUP($B229,'[1]INT Web'!$B$5:$AS$247,'[1]INT Web'!$R$1,FALSE)</f>
        <v>1784.99</v>
      </c>
      <c r="K229" s="185">
        <f t="shared" si="85"/>
        <v>6.5027341248337356</v>
      </c>
      <c r="L229" s="185">
        <f t="shared" si="85"/>
        <v>6.4911087675915482</v>
      </c>
      <c r="M229" s="185">
        <f t="shared" si="86"/>
        <v>1.3546972757278684</v>
      </c>
      <c r="N229" s="186">
        <v>2.1530842000000001E-2</v>
      </c>
      <c r="O229" s="187">
        <f t="shared" si="87"/>
        <v>4.3705456175800004</v>
      </c>
      <c r="P229" s="187">
        <f t="shared" si="87"/>
        <v>5.9207662415800009</v>
      </c>
      <c r="Q229" s="187">
        <f t="shared" si="87"/>
        <v>28.420496131580002</v>
      </c>
      <c r="R229" s="187">
        <f t="shared" si="84"/>
        <v>38.43233766158</v>
      </c>
      <c r="S229" s="132" t="s">
        <v>479</v>
      </c>
      <c r="T229" s="144">
        <f>+MROUND(G229,5)-0.01</f>
        <v>204.99</v>
      </c>
      <c r="U229" s="187">
        <f t="shared" si="88"/>
        <v>4.4136073015800008</v>
      </c>
      <c r="V229" s="188">
        <f t="shared" si="89"/>
        <v>2</v>
      </c>
      <c r="W229" s="189">
        <f t="shared" si="90"/>
        <v>9.8527021035519358E-3</v>
      </c>
      <c r="X229" s="144">
        <f>+MROUND(H229,5)-0.01</f>
        <v>274.99</v>
      </c>
      <c r="Y229" s="187">
        <f t="shared" si="91"/>
        <v>5.9207662415800009</v>
      </c>
      <c r="Z229" s="188">
        <f t="shared" si="92"/>
        <v>0</v>
      </c>
      <c r="AA229" s="189">
        <f t="shared" si="93"/>
        <v>0</v>
      </c>
      <c r="AB229" s="185">
        <f t="shared" si="94"/>
        <v>1.3414800721986437</v>
      </c>
      <c r="AC229" s="144">
        <f>+MROUND(T229*6.5,5)-0.01</f>
        <v>1329.99</v>
      </c>
      <c r="AD229" s="187">
        <f t="shared" si="95"/>
        <v>28.635804551580001</v>
      </c>
      <c r="AE229" s="188">
        <f t="shared" si="96"/>
        <v>10</v>
      </c>
      <c r="AF229" s="189">
        <f t="shared" si="97"/>
        <v>7.5758149682951803E-3</v>
      </c>
      <c r="AG229" s="185">
        <f t="shared" si="98"/>
        <v>6.4880725889067756</v>
      </c>
      <c r="AH229" s="144">
        <f>+MROUND(X229*6.5,5)-0.01</f>
        <v>1784.99</v>
      </c>
      <c r="AI229" s="187">
        <f t="shared" si="99"/>
        <v>38.43233766158</v>
      </c>
      <c r="AJ229" s="188">
        <f t="shared" si="100"/>
        <v>0</v>
      </c>
      <c r="AK229" s="189">
        <f t="shared" si="101"/>
        <v>0</v>
      </c>
      <c r="AL229" s="185">
        <f t="shared" si="102"/>
        <v>6.4911087675915482</v>
      </c>
      <c r="AM229" s="6" t="str">
        <f t="shared" si="108"/>
        <v>30% Off SL / Annual</v>
      </c>
      <c r="AN229" s="6" t="str">
        <f t="shared" si="112"/>
        <v>15% Off All SKUs</v>
      </c>
      <c r="AO229" s="6" t="str">
        <f t="shared" si="103"/>
        <v>Monthly: 100% Off Next Month</v>
      </c>
      <c r="AP229" s="6" t="str">
        <f t="shared" si="110"/>
        <v>50% Off SL / Annual</v>
      </c>
    </row>
    <row r="230" spans="2:42" ht="13">
      <c r="B230" s="20" t="s">
        <v>301</v>
      </c>
      <c r="C230" s="20" t="s">
        <v>182</v>
      </c>
      <c r="D230" s="6"/>
      <c r="E230" s="6" t="str">
        <f>IF(VLOOKUP(B230,'[7]FY25 PRICING'!$B$5:$AL$246,'[7]FY25 PRICING'!$E$1,FALSE)=0,"","x")</f>
        <v/>
      </c>
      <c r="F230" s="11" t="str">
        <f>+VLOOKUP($B230,'[1]INT Web'!$B$5:$AS$247,'[1]INT Web'!$Q$1,FALSE)</f>
        <v>USD</v>
      </c>
      <c r="G230" s="22">
        <f>+VLOOKUP($B230,'[1]INT Web'!$B$5:$AS$247,'[1]INT Web'!$U$1,FALSE)</f>
        <v>10.99</v>
      </c>
      <c r="H230" s="22">
        <f>+VLOOKUP($B230,'[1]INT Web'!$B$5:$AS$247,'[1]INT Web'!$S$1,FALSE)</f>
        <v>14.99</v>
      </c>
      <c r="I230" s="22">
        <f>+VLOOKUP($B230,'[1]INT Web'!$B$5:$AS$247,'[1]INT Web'!$T$1,FALSE)</f>
        <v>65.989999999999995</v>
      </c>
      <c r="J230" s="22">
        <f>+VLOOKUP($B230,'[1]INT Web'!$B$5:$AS$247,'[1]INT Web'!$R$1,FALSE)</f>
        <v>89.99</v>
      </c>
      <c r="K230" s="185">
        <f t="shared" si="85"/>
        <v>6.0045495905368513</v>
      </c>
      <c r="L230" s="185">
        <f t="shared" si="85"/>
        <v>6.0033355570380253</v>
      </c>
      <c r="M230" s="185">
        <f t="shared" si="86"/>
        <v>1.3639672429481347</v>
      </c>
      <c r="N230" s="186">
        <v>1</v>
      </c>
      <c r="O230" s="187">
        <f t="shared" si="87"/>
        <v>10.99</v>
      </c>
      <c r="P230" s="187">
        <f t="shared" si="87"/>
        <v>14.99</v>
      </c>
      <c r="Q230" s="187">
        <f t="shared" si="87"/>
        <v>65.989999999999995</v>
      </c>
      <c r="R230" s="187">
        <f t="shared" si="84"/>
        <v>89.99</v>
      </c>
      <c r="S230" s="6">
        <v>0</v>
      </c>
      <c r="T230" s="104">
        <f t="shared" si="104"/>
        <v>10.99</v>
      </c>
      <c r="U230" s="187">
        <f t="shared" si="88"/>
        <v>10.99</v>
      </c>
      <c r="V230" s="188">
        <f t="shared" si="89"/>
        <v>0</v>
      </c>
      <c r="W230" s="189">
        <f t="shared" si="90"/>
        <v>0</v>
      </c>
      <c r="X230" s="104">
        <f t="shared" si="105"/>
        <v>14.99</v>
      </c>
      <c r="Y230" s="187">
        <f t="shared" si="91"/>
        <v>14.99</v>
      </c>
      <c r="Z230" s="188">
        <f t="shared" si="92"/>
        <v>0</v>
      </c>
      <c r="AA230" s="189">
        <f t="shared" si="93"/>
        <v>0</v>
      </c>
      <c r="AB230" s="185">
        <f t="shared" si="94"/>
        <v>1.3639672429481347</v>
      </c>
      <c r="AC230" s="104">
        <f t="shared" si="106"/>
        <v>65.989999999999995</v>
      </c>
      <c r="AD230" s="187">
        <f t="shared" si="95"/>
        <v>65.989999999999995</v>
      </c>
      <c r="AE230" s="188">
        <f t="shared" si="96"/>
        <v>0</v>
      </c>
      <c r="AF230" s="189">
        <f t="shared" si="97"/>
        <v>0</v>
      </c>
      <c r="AG230" s="185">
        <f t="shared" si="98"/>
        <v>6.0045495905368513</v>
      </c>
      <c r="AH230" s="104">
        <f t="shared" si="107"/>
        <v>89.99</v>
      </c>
      <c r="AI230" s="187">
        <f t="shared" si="99"/>
        <v>89.99</v>
      </c>
      <c r="AJ230" s="188">
        <f t="shared" si="100"/>
        <v>0</v>
      </c>
      <c r="AK230" s="189">
        <f t="shared" si="101"/>
        <v>0</v>
      </c>
      <c r="AL230" s="185">
        <f t="shared" si="102"/>
        <v>6.0033355570380253</v>
      </c>
      <c r="AM230" s="6" t="str">
        <f t="shared" si="108"/>
        <v>30% Off SL / Annual</v>
      </c>
      <c r="AN230" s="6" t="str">
        <f t="shared" si="112"/>
        <v>15% Off All SKUs</v>
      </c>
      <c r="AO230" s="6" t="str">
        <f t="shared" si="103"/>
        <v>Monthly: 100% Off Next Month</v>
      </c>
      <c r="AP230" s="6" t="str">
        <f t="shared" si="110"/>
        <v>50% Off SL / Annual</v>
      </c>
    </row>
    <row r="231" spans="2:42" ht="13">
      <c r="B231" s="20" t="s">
        <v>302</v>
      </c>
      <c r="C231" s="20" t="s">
        <v>96</v>
      </c>
      <c r="D231" s="6"/>
      <c r="E231" s="6" t="str">
        <f>IF(VLOOKUP(B231,'[7]FY25 PRICING'!$B$5:$AL$246,'[7]FY25 PRICING'!$E$1,FALSE)=0,"","x")</f>
        <v/>
      </c>
      <c r="F231" s="11" t="str">
        <f>+VLOOKUP($B231,'[1]INT Web'!$B$5:$AS$247,'[1]INT Web'!$Q$1,FALSE)</f>
        <v>USD</v>
      </c>
      <c r="G231" s="22">
        <f>+VLOOKUP($B231,'[1]INT Web'!$B$5:$AS$247,'[1]INT Web'!$U$1,FALSE)</f>
        <v>11.99</v>
      </c>
      <c r="H231" s="22">
        <f>+VLOOKUP($B231,'[1]INT Web'!$B$5:$AS$247,'[1]INT Web'!$S$1,FALSE)</f>
        <v>16.989999999999998</v>
      </c>
      <c r="I231" s="22">
        <f>+VLOOKUP($B231,'[1]INT Web'!$B$5:$AS$247,'[1]INT Web'!$T$1,FALSE)</f>
        <v>71.989999999999995</v>
      </c>
      <c r="J231" s="22">
        <f>+VLOOKUP($B231,'[1]INT Web'!$B$5:$AS$247,'[1]INT Web'!$R$1,FALSE)</f>
        <v>102.99</v>
      </c>
      <c r="K231" s="185">
        <f t="shared" si="85"/>
        <v>6.0041701417848206</v>
      </c>
      <c r="L231" s="185">
        <f t="shared" si="85"/>
        <v>6.0618010594467338</v>
      </c>
      <c r="M231" s="185">
        <f t="shared" si="86"/>
        <v>1.4170141784820682</v>
      </c>
      <c r="N231" s="186">
        <v>1</v>
      </c>
      <c r="O231" s="187">
        <f t="shared" si="87"/>
        <v>11.99</v>
      </c>
      <c r="P231" s="187">
        <f t="shared" si="87"/>
        <v>16.989999999999998</v>
      </c>
      <c r="Q231" s="187">
        <f t="shared" si="87"/>
        <v>71.989999999999995</v>
      </c>
      <c r="R231" s="187">
        <f t="shared" si="84"/>
        <v>102.99</v>
      </c>
      <c r="S231" s="6">
        <v>0</v>
      </c>
      <c r="T231" s="104">
        <f t="shared" si="104"/>
        <v>11.99</v>
      </c>
      <c r="U231" s="187">
        <f t="shared" si="88"/>
        <v>11.99</v>
      </c>
      <c r="V231" s="188">
        <f t="shared" si="89"/>
        <v>0</v>
      </c>
      <c r="W231" s="189">
        <f t="shared" si="90"/>
        <v>0</v>
      </c>
      <c r="X231" s="104">
        <f t="shared" si="105"/>
        <v>16.989999999999998</v>
      </c>
      <c r="Y231" s="187">
        <f t="shared" si="91"/>
        <v>16.989999999999998</v>
      </c>
      <c r="Z231" s="188">
        <f t="shared" si="92"/>
        <v>0</v>
      </c>
      <c r="AA231" s="189">
        <f t="shared" si="93"/>
        <v>0</v>
      </c>
      <c r="AB231" s="185">
        <f t="shared" si="94"/>
        <v>1.4170141784820682</v>
      </c>
      <c r="AC231" s="104">
        <f t="shared" si="106"/>
        <v>71.989999999999995</v>
      </c>
      <c r="AD231" s="187">
        <f t="shared" si="95"/>
        <v>71.989999999999995</v>
      </c>
      <c r="AE231" s="188">
        <f t="shared" si="96"/>
        <v>0</v>
      </c>
      <c r="AF231" s="189">
        <f t="shared" si="97"/>
        <v>0</v>
      </c>
      <c r="AG231" s="185">
        <f t="shared" si="98"/>
        <v>6.0041701417848206</v>
      </c>
      <c r="AH231" s="104">
        <f t="shared" si="107"/>
        <v>102.99</v>
      </c>
      <c r="AI231" s="187">
        <f t="shared" si="99"/>
        <v>102.99</v>
      </c>
      <c r="AJ231" s="188">
        <f t="shared" si="100"/>
        <v>0</v>
      </c>
      <c r="AK231" s="189">
        <f t="shared" si="101"/>
        <v>0</v>
      </c>
      <c r="AL231" s="185">
        <f t="shared" si="102"/>
        <v>6.0618010594467338</v>
      </c>
      <c r="AM231" s="6" t="str">
        <f t="shared" si="108"/>
        <v>30% Off SL / Annual</v>
      </c>
      <c r="AN231" s="6" t="str">
        <f t="shared" si="112"/>
        <v>15% Off All SKUs</v>
      </c>
      <c r="AO231" s="6" t="str">
        <f t="shared" si="103"/>
        <v>Monthly: 100% Off Next Month</v>
      </c>
      <c r="AP231" s="6" t="str">
        <f t="shared" si="110"/>
        <v>50% Off SL / Annual</v>
      </c>
    </row>
    <row r="232" spans="2:42" ht="13">
      <c r="B232" s="20" t="s">
        <v>303</v>
      </c>
      <c r="C232" s="20" t="s">
        <v>182</v>
      </c>
      <c r="D232" s="6"/>
      <c r="E232" s="6" t="str">
        <f>IF(VLOOKUP(B232,'[7]FY25 PRICING'!$B$5:$AL$246,'[7]FY25 PRICING'!$E$1,FALSE)=0,"","x")</f>
        <v/>
      </c>
      <c r="F232" s="11" t="str">
        <f>+VLOOKUP($B232,'[1]INT Web'!$B$5:$AS$247,'[1]INT Web'!$Q$1,FALSE)</f>
        <v>AUD</v>
      </c>
      <c r="G232" s="22">
        <f>+VLOOKUP($B232,'[1]INT Web'!$B$5:$AS$247,'[1]INT Web'!$U$1,FALSE)</f>
        <v>13.99</v>
      </c>
      <c r="H232" s="22">
        <f>+VLOOKUP($B232,'[1]INT Web'!$B$5:$AS$247,'[1]INT Web'!$S$1,FALSE)</f>
        <v>18.989999999999998</v>
      </c>
      <c r="I232" s="22">
        <f>+VLOOKUP($B232,'[1]INT Web'!$B$5:$AS$247,'[1]INT Web'!$T$1,FALSE)</f>
        <v>83.99</v>
      </c>
      <c r="J232" s="22">
        <f>+VLOOKUP($B232,'[1]INT Web'!$B$5:$AS$247,'[1]INT Web'!$R$1,FALSE)</f>
        <v>113.99</v>
      </c>
      <c r="K232" s="185">
        <f t="shared" si="85"/>
        <v>6.003573981415296</v>
      </c>
      <c r="L232" s="185">
        <f t="shared" si="85"/>
        <v>6.0026329647182726</v>
      </c>
      <c r="M232" s="185">
        <f t="shared" si="86"/>
        <v>1.3573981415296639</v>
      </c>
      <c r="N232" s="186">
        <v>0.70125000000000004</v>
      </c>
      <c r="O232" s="187">
        <f t="shared" si="87"/>
        <v>9.8104875000000007</v>
      </c>
      <c r="P232" s="187">
        <f t="shared" si="87"/>
        <v>13.3167375</v>
      </c>
      <c r="Q232" s="187">
        <f t="shared" si="87"/>
        <v>58.897987499999999</v>
      </c>
      <c r="R232" s="187">
        <f t="shared" si="84"/>
        <v>79.935487500000008</v>
      </c>
      <c r="S232" s="6">
        <v>0</v>
      </c>
      <c r="T232" s="104">
        <f t="shared" si="104"/>
        <v>13.99</v>
      </c>
      <c r="U232" s="187">
        <f t="shared" si="88"/>
        <v>9.8104875000000007</v>
      </c>
      <c r="V232" s="188">
        <f t="shared" si="89"/>
        <v>0</v>
      </c>
      <c r="W232" s="189">
        <f t="shared" si="90"/>
        <v>0</v>
      </c>
      <c r="X232" s="104">
        <f t="shared" si="105"/>
        <v>18.989999999999998</v>
      </c>
      <c r="Y232" s="187">
        <f t="shared" si="91"/>
        <v>13.3167375</v>
      </c>
      <c r="Z232" s="188">
        <f t="shared" si="92"/>
        <v>0</v>
      </c>
      <c r="AA232" s="189">
        <f t="shared" si="93"/>
        <v>0</v>
      </c>
      <c r="AB232" s="185">
        <f t="shared" si="94"/>
        <v>1.3573981415296639</v>
      </c>
      <c r="AC232" s="104">
        <f t="shared" si="106"/>
        <v>83.99</v>
      </c>
      <c r="AD232" s="187">
        <f t="shared" si="95"/>
        <v>58.897987499999999</v>
      </c>
      <c r="AE232" s="188">
        <f t="shared" si="96"/>
        <v>0</v>
      </c>
      <c r="AF232" s="189">
        <f t="shared" si="97"/>
        <v>0</v>
      </c>
      <c r="AG232" s="185">
        <f t="shared" si="98"/>
        <v>6.003573981415296</v>
      </c>
      <c r="AH232" s="104">
        <f t="shared" si="107"/>
        <v>113.99</v>
      </c>
      <c r="AI232" s="187">
        <f t="shared" si="99"/>
        <v>79.935487500000008</v>
      </c>
      <c r="AJ232" s="188">
        <f t="shared" si="100"/>
        <v>0</v>
      </c>
      <c r="AK232" s="189">
        <f t="shared" si="101"/>
        <v>0</v>
      </c>
      <c r="AL232" s="185">
        <f t="shared" si="102"/>
        <v>6.0026329647182726</v>
      </c>
      <c r="AM232" s="6" t="str">
        <f t="shared" si="108"/>
        <v>30% Off SL / Annual</v>
      </c>
      <c r="AN232" s="6" t="str">
        <f t="shared" si="112"/>
        <v>15% Off All SKUs</v>
      </c>
      <c r="AO232" s="6" t="str">
        <f t="shared" si="103"/>
        <v>Monthly: 100% Off Next Month</v>
      </c>
      <c r="AP232" s="6" t="str">
        <f t="shared" si="110"/>
        <v>50% Off SL / Annual</v>
      </c>
    </row>
    <row r="233" spans="2:42" ht="13">
      <c r="B233" s="20" t="s">
        <v>304</v>
      </c>
      <c r="C233" s="20" t="s">
        <v>270</v>
      </c>
      <c r="D233" s="6"/>
      <c r="E233" s="6" t="str">
        <f>IF(VLOOKUP(B233,'[7]FY25 PRICING'!$B$5:$AL$246,'[7]FY25 PRICING'!$E$1,FALSE)=0,"","x")</f>
        <v/>
      </c>
      <c r="F233" s="11" t="str">
        <f>+VLOOKUP($B233,'[1]INT Web'!$B$5:$AS$247,'[1]INT Web'!$Q$1,FALSE)</f>
        <v>UGX</v>
      </c>
      <c r="G233" s="22">
        <f>+VLOOKUP($B233,'[1]INT Web'!$B$5:$AS$247,'[1]INT Web'!$U$1,FALSE)</f>
        <v>32300</v>
      </c>
      <c r="H233" s="22">
        <f>+VLOOKUP($B233,'[1]INT Web'!$B$5:$AS$247,'[1]INT Web'!$S$1,FALSE)</f>
        <v>43610</v>
      </c>
      <c r="I233" s="22">
        <f>+VLOOKUP($B233,'[1]INT Web'!$B$5:$AS$247,'[1]INT Web'!$T$1,FALSE)</f>
        <v>193800</v>
      </c>
      <c r="J233" s="22">
        <f>+VLOOKUP($B233,'[1]INT Web'!$B$5:$AS$247,'[1]INT Web'!$R$1,FALSE)</f>
        <v>261660</v>
      </c>
      <c r="K233" s="185">
        <f t="shared" si="85"/>
        <v>6</v>
      </c>
      <c r="L233" s="185">
        <f t="shared" si="85"/>
        <v>6</v>
      </c>
      <c r="M233" s="185">
        <f t="shared" si="86"/>
        <v>1.3501547987616098</v>
      </c>
      <c r="N233" s="186">
        <v>2.7472530000000002E-4</v>
      </c>
      <c r="O233" s="187">
        <f t="shared" si="87"/>
        <v>8.8736271900000006</v>
      </c>
      <c r="P233" s="187">
        <f t="shared" si="87"/>
        <v>11.980770333000001</v>
      </c>
      <c r="Q233" s="187">
        <f t="shared" si="87"/>
        <v>53.241763140000003</v>
      </c>
      <c r="R233" s="187">
        <f t="shared" si="84"/>
        <v>71.884621998</v>
      </c>
      <c r="S233" s="132" t="s">
        <v>477</v>
      </c>
      <c r="T233" s="104">
        <f t="shared" si="104"/>
        <v>32300</v>
      </c>
      <c r="U233" s="187">
        <f t="shared" si="88"/>
        <v>8.8736271900000006</v>
      </c>
      <c r="V233" s="188">
        <f t="shared" si="89"/>
        <v>0</v>
      </c>
      <c r="W233" s="189">
        <f t="shared" si="90"/>
        <v>0</v>
      </c>
      <c r="X233" s="104">
        <f t="shared" si="105"/>
        <v>43610</v>
      </c>
      <c r="Y233" s="187">
        <f t="shared" si="91"/>
        <v>11.980770333000001</v>
      </c>
      <c r="Z233" s="188">
        <f t="shared" si="92"/>
        <v>0</v>
      </c>
      <c r="AA233" s="189">
        <f t="shared" si="93"/>
        <v>0</v>
      </c>
      <c r="AB233" s="185">
        <f t="shared" si="94"/>
        <v>1.3501547987616098</v>
      </c>
      <c r="AC233" s="104">
        <f t="shared" si="106"/>
        <v>193800</v>
      </c>
      <c r="AD233" s="187">
        <f t="shared" si="95"/>
        <v>53.241763140000003</v>
      </c>
      <c r="AE233" s="188">
        <f t="shared" si="96"/>
        <v>0</v>
      </c>
      <c r="AF233" s="189">
        <f t="shared" si="97"/>
        <v>0</v>
      </c>
      <c r="AG233" s="185">
        <f t="shared" si="98"/>
        <v>6</v>
      </c>
      <c r="AH233" s="104">
        <f t="shared" si="107"/>
        <v>261660</v>
      </c>
      <c r="AI233" s="187">
        <f t="shared" si="99"/>
        <v>71.884621998</v>
      </c>
      <c r="AJ233" s="188">
        <f t="shared" si="100"/>
        <v>0</v>
      </c>
      <c r="AK233" s="189">
        <f t="shared" si="101"/>
        <v>0</v>
      </c>
      <c r="AL233" s="185">
        <f t="shared" si="102"/>
        <v>6</v>
      </c>
      <c r="AM233" s="6" t="str">
        <f t="shared" si="108"/>
        <v>30% Off SL / Annual</v>
      </c>
      <c r="AN233" s="6" t="str">
        <f t="shared" si="112"/>
        <v>15% Off All SKUs</v>
      </c>
      <c r="AO233" s="6" t="str">
        <f t="shared" si="103"/>
        <v>Monthly: 100% Off Next Month</v>
      </c>
      <c r="AP233" s="6" t="str">
        <f t="shared" si="110"/>
        <v>50% Off SL / Annual</v>
      </c>
    </row>
    <row r="234" spans="2:42" ht="13">
      <c r="B234" s="20" t="s">
        <v>305</v>
      </c>
      <c r="C234" s="20" t="s">
        <v>100</v>
      </c>
      <c r="D234" s="6"/>
      <c r="E234" s="6" t="str">
        <f>IF(VLOOKUP(B234,'[7]FY25 PRICING'!$B$5:$AL$246,'[7]FY25 PRICING'!$E$1,FALSE)=0,"","x")</f>
        <v/>
      </c>
      <c r="F234" s="11" t="str">
        <f>+VLOOKUP($B234,'[1]INT Web'!$B$5:$AS$247,'[1]INT Web'!$Q$1,FALSE)</f>
        <v>UAH</v>
      </c>
      <c r="G234" s="22">
        <f>+VLOOKUP($B234,'[1]INT Web'!$B$5:$AS$247,'[1]INT Web'!$U$1,FALSE)</f>
        <v>209.99</v>
      </c>
      <c r="H234" s="22">
        <f>+VLOOKUP($B234,'[1]INT Web'!$B$5:$AS$247,'[1]INT Web'!$S$1,FALSE)</f>
        <v>282.99</v>
      </c>
      <c r="I234" s="22">
        <f>+VLOOKUP($B234,'[1]INT Web'!$B$5:$AS$247,'[1]INT Web'!$T$1,FALSE)</f>
        <v>1259.99</v>
      </c>
      <c r="J234" s="22">
        <f>+VLOOKUP($B234,'[1]INT Web'!$B$5:$AS$247,'[1]INT Web'!$R$1,FALSE)</f>
        <v>1699.99</v>
      </c>
      <c r="K234" s="185">
        <f t="shared" si="85"/>
        <v>6.0002381065765036</v>
      </c>
      <c r="L234" s="185">
        <f t="shared" si="85"/>
        <v>6.0072440722287004</v>
      </c>
      <c r="M234" s="185">
        <f t="shared" si="86"/>
        <v>1.3476356016953188</v>
      </c>
      <c r="N234" s="186">
        <v>2.2300819999999999E-2</v>
      </c>
      <c r="O234" s="187">
        <f t="shared" si="87"/>
        <v>4.6829491917999997</v>
      </c>
      <c r="P234" s="187">
        <f t="shared" si="87"/>
        <v>6.3109090517999995</v>
      </c>
      <c r="Q234" s="187">
        <f t="shared" si="87"/>
        <v>28.098810191799998</v>
      </c>
      <c r="R234" s="187">
        <f t="shared" si="84"/>
        <v>37.911170991799999</v>
      </c>
      <c r="S234" s="132" t="s">
        <v>485</v>
      </c>
      <c r="T234" s="104">
        <f t="shared" si="104"/>
        <v>209.99</v>
      </c>
      <c r="U234" s="187">
        <f t="shared" si="88"/>
        <v>4.6829491917999997</v>
      </c>
      <c r="V234" s="188">
        <f t="shared" si="89"/>
        <v>0</v>
      </c>
      <c r="W234" s="189">
        <f t="shared" si="90"/>
        <v>0</v>
      </c>
      <c r="X234" s="104">
        <f t="shared" si="105"/>
        <v>282.99</v>
      </c>
      <c r="Y234" s="187">
        <f t="shared" si="91"/>
        <v>6.3109090517999995</v>
      </c>
      <c r="Z234" s="188">
        <f t="shared" si="92"/>
        <v>0</v>
      </c>
      <c r="AA234" s="189">
        <f t="shared" si="93"/>
        <v>0</v>
      </c>
      <c r="AB234" s="185">
        <f t="shared" si="94"/>
        <v>1.3476356016953188</v>
      </c>
      <c r="AC234" s="104">
        <f t="shared" si="106"/>
        <v>1259.99</v>
      </c>
      <c r="AD234" s="187">
        <f t="shared" si="95"/>
        <v>28.098810191799998</v>
      </c>
      <c r="AE234" s="188">
        <f t="shared" si="96"/>
        <v>0</v>
      </c>
      <c r="AF234" s="189">
        <f t="shared" si="97"/>
        <v>0</v>
      </c>
      <c r="AG234" s="185">
        <f t="shared" si="98"/>
        <v>6.0002381065765036</v>
      </c>
      <c r="AH234" s="104">
        <f t="shared" si="107"/>
        <v>1699.99</v>
      </c>
      <c r="AI234" s="187">
        <f t="shared" si="99"/>
        <v>37.911170991799999</v>
      </c>
      <c r="AJ234" s="188">
        <f t="shared" si="100"/>
        <v>0</v>
      </c>
      <c r="AK234" s="189">
        <f t="shared" si="101"/>
        <v>0</v>
      </c>
      <c r="AL234" s="185">
        <f t="shared" si="102"/>
        <v>6.0072440722287004</v>
      </c>
      <c r="AM234" s="6" t="str">
        <f t="shared" si="108"/>
        <v>30% Off SL / Annual</v>
      </c>
      <c r="AN234" s="6" t="str">
        <f t="shared" si="112"/>
        <v>Messaging Only</v>
      </c>
      <c r="AO234" s="6" t="str">
        <f t="shared" si="103"/>
        <v>Messaging / Pause Flow</v>
      </c>
      <c r="AP234" s="6" t="str">
        <f t="shared" si="110"/>
        <v>50% Off LPP Only</v>
      </c>
    </row>
    <row r="235" spans="2:42" ht="13">
      <c r="B235" s="20" t="s">
        <v>306</v>
      </c>
      <c r="C235" s="20" t="s">
        <v>275</v>
      </c>
      <c r="D235" s="6" t="s">
        <v>495</v>
      </c>
      <c r="F235" s="11" t="str">
        <f>+VLOOKUP($B235,'[1]INT Web'!$B$5:$AS$247,'[1]INT Web'!$Q$1,FALSE)</f>
        <v>AED</v>
      </c>
      <c r="G235" s="22">
        <f>+VLOOKUP($B235,'[1]INT Web'!$B$5:$AS$247,'[1]INT Web'!$U$1,FALSE)</f>
        <v>61.99</v>
      </c>
      <c r="H235" s="22">
        <f>+VLOOKUP($B235,'[1]INT Web'!$B$5:$AS$247,'[1]INT Web'!$S$1,FALSE)</f>
        <v>86.99</v>
      </c>
      <c r="I235" s="22">
        <f>+VLOOKUP($B235,'[1]INT Web'!$B$5:$AS$247,'[1]INT Web'!$T$1,FALSE)</f>
        <v>399.99</v>
      </c>
      <c r="J235" s="22">
        <f>+VLOOKUP($B235,'[1]INT Web'!$B$5:$AS$247,'[1]INT Web'!$R$1,FALSE)</f>
        <v>559.99</v>
      </c>
      <c r="K235" s="185">
        <f t="shared" si="85"/>
        <v>6.4524923374737861</v>
      </c>
      <c r="L235" s="185">
        <f t="shared" si="85"/>
        <v>6.4374065984595932</v>
      </c>
      <c r="M235" s="185">
        <f t="shared" si="86"/>
        <v>1.4032908533634456</v>
      </c>
      <c r="N235" s="186">
        <v>0.27226814999999999</v>
      </c>
      <c r="O235" s="187">
        <f t="shared" si="87"/>
        <v>16.877902618499999</v>
      </c>
      <c r="P235" s="187">
        <f t="shared" si="87"/>
        <v>23.684606368499999</v>
      </c>
      <c r="Q235" s="187">
        <f t="shared" si="87"/>
        <v>108.90453731849999</v>
      </c>
      <c r="R235" s="187">
        <f t="shared" si="84"/>
        <v>152.46744131849999</v>
      </c>
      <c r="S235" s="132" t="s">
        <v>486</v>
      </c>
      <c r="T235" s="104">
        <f t="shared" si="104"/>
        <v>61.99</v>
      </c>
      <c r="U235" s="187">
        <f t="shared" si="88"/>
        <v>16.877902618499999</v>
      </c>
      <c r="V235" s="188">
        <f t="shared" si="89"/>
        <v>0</v>
      </c>
      <c r="W235" s="189">
        <f t="shared" si="90"/>
        <v>0</v>
      </c>
      <c r="X235" s="104">
        <f t="shared" si="105"/>
        <v>86.99</v>
      </c>
      <c r="Y235" s="187">
        <f t="shared" si="91"/>
        <v>23.684606368499999</v>
      </c>
      <c r="Z235" s="188">
        <f t="shared" si="92"/>
        <v>0</v>
      </c>
      <c r="AA235" s="189">
        <f t="shared" si="93"/>
        <v>0</v>
      </c>
      <c r="AB235" s="185">
        <f t="shared" si="94"/>
        <v>1.4032908533634456</v>
      </c>
      <c r="AC235" s="104">
        <f t="shared" si="106"/>
        <v>399.99</v>
      </c>
      <c r="AD235" s="187">
        <f t="shared" si="95"/>
        <v>108.90453731849999</v>
      </c>
      <c r="AE235" s="188">
        <f t="shared" si="96"/>
        <v>0</v>
      </c>
      <c r="AF235" s="189">
        <f t="shared" si="97"/>
        <v>0</v>
      </c>
      <c r="AG235" s="185">
        <f t="shared" si="98"/>
        <v>6.4524923374737861</v>
      </c>
      <c r="AH235" s="104">
        <f t="shared" si="107"/>
        <v>559.99</v>
      </c>
      <c r="AI235" s="187">
        <f t="shared" si="99"/>
        <v>152.46744131849999</v>
      </c>
      <c r="AJ235" s="188">
        <f t="shared" si="100"/>
        <v>0</v>
      </c>
      <c r="AK235" s="189">
        <f t="shared" si="101"/>
        <v>0</v>
      </c>
      <c r="AL235" s="185">
        <f t="shared" si="102"/>
        <v>6.4374065984595932</v>
      </c>
      <c r="AM235" s="6" t="str">
        <f t="shared" si="108"/>
        <v>30% Off SL / Annual</v>
      </c>
      <c r="AN235" s="6" t="str">
        <f t="shared" si="112"/>
        <v>Messaging Only</v>
      </c>
      <c r="AO235" s="6" t="str">
        <f t="shared" si="103"/>
        <v>Messaging / Pause Flow</v>
      </c>
      <c r="AP235" s="6" t="str">
        <f t="shared" si="110"/>
        <v>50% Off SL / Annual</v>
      </c>
    </row>
    <row r="236" spans="2:42" ht="13">
      <c r="B236" s="199" t="s">
        <v>307</v>
      </c>
      <c r="C236" s="199" t="s">
        <v>100</v>
      </c>
      <c r="D236" s="6" t="s">
        <v>480</v>
      </c>
      <c r="E236" s="6" t="s">
        <v>481</v>
      </c>
      <c r="F236" s="11" t="str">
        <f>+VLOOKUP($B236,'[1]INT Web'!$B$5:$AS$247,'[1]INT Web'!$Q$1,FALSE)</f>
        <v>GBP</v>
      </c>
      <c r="G236" s="22">
        <f>+VLOOKUP($B236,'[1]INT Web'!$B$5:$AS$247,'[1]INT Web'!$U$1,FALSE)</f>
        <v>16.989999999999998</v>
      </c>
      <c r="H236" s="22">
        <f>+VLOOKUP($B236,'[1]INT Web'!$B$5:$AS$247,'[1]INT Web'!$S$1,FALSE)</f>
        <v>22.99</v>
      </c>
      <c r="I236" s="22">
        <f>+VLOOKUP($B236,'[1]INT Web'!$B$5:$AS$247,'[1]INT Web'!$T$1,FALSE)</f>
        <v>114.99</v>
      </c>
      <c r="J236" s="22">
        <f>+VLOOKUP($B236,'[1]INT Web'!$B$5:$AS$247,'[1]INT Web'!$R$1,FALSE)</f>
        <v>149.99</v>
      </c>
      <c r="K236" s="185">
        <f t="shared" si="85"/>
        <v>6.7680988816951153</v>
      </c>
      <c r="L236" s="185">
        <f t="shared" si="85"/>
        <v>6.5241409308394962</v>
      </c>
      <c r="M236" s="185">
        <f t="shared" si="86"/>
        <v>1.3531489111241908</v>
      </c>
      <c r="N236" s="186">
        <v>1.3230500000000001</v>
      </c>
      <c r="O236" s="187">
        <f t="shared" si="87"/>
        <v>22.478619500000001</v>
      </c>
      <c r="P236" s="187">
        <f t="shared" si="87"/>
        <v>30.416919499999999</v>
      </c>
      <c r="Q236" s="187">
        <f t="shared" si="87"/>
        <v>152.1375195</v>
      </c>
      <c r="R236" s="187">
        <f t="shared" si="84"/>
        <v>198.44426950000002</v>
      </c>
      <c r="S236" s="132" t="s">
        <v>484</v>
      </c>
      <c r="T236" s="104">
        <f t="shared" si="104"/>
        <v>16.989999999999998</v>
      </c>
      <c r="U236" s="187">
        <f t="shared" si="88"/>
        <v>22.478619500000001</v>
      </c>
      <c r="V236" s="188">
        <f t="shared" si="89"/>
        <v>0</v>
      </c>
      <c r="W236" s="189">
        <f t="shared" si="90"/>
        <v>0</v>
      </c>
      <c r="X236" s="104">
        <f t="shared" si="105"/>
        <v>22.99</v>
      </c>
      <c r="Y236" s="187">
        <f t="shared" si="91"/>
        <v>30.416919499999999</v>
      </c>
      <c r="Z236" s="188">
        <f t="shared" si="92"/>
        <v>0</v>
      </c>
      <c r="AA236" s="189">
        <f t="shared" si="93"/>
        <v>0</v>
      </c>
      <c r="AB236" s="185">
        <f t="shared" si="94"/>
        <v>1.3531489111241908</v>
      </c>
      <c r="AC236" s="104">
        <f t="shared" si="106"/>
        <v>114.99</v>
      </c>
      <c r="AD236" s="187">
        <f t="shared" si="95"/>
        <v>152.1375195</v>
      </c>
      <c r="AE236" s="188">
        <f t="shared" si="96"/>
        <v>0</v>
      </c>
      <c r="AF236" s="189">
        <f t="shared" si="97"/>
        <v>0</v>
      </c>
      <c r="AG236" s="185">
        <f t="shared" si="98"/>
        <v>6.7680988816951153</v>
      </c>
      <c r="AH236" s="104">
        <f t="shared" si="107"/>
        <v>149.99</v>
      </c>
      <c r="AI236" s="187">
        <f t="shared" si="99"/>
        <v>198.44426950000002</v>
      </c>
      <c r="AJ236" s="188">
        <f t="shared" si="100"/>
        <v>0</v>
      </c>
      <c r="AK236" s="189">
        <f t="shared" si="101"/>
        <v>0</v>
      </c>
      <c r="AL236" s="185">
        <f t="shared" si="102"/>
        <v>6.5241409308394962</v>
      </c>
      <c r="AM236" s="6" t="str">
        <f t="shared" si="108"/>
        <v>30% Off SL / Annual</v>
      </c>
      <c r="AN236" s="6" t="str">
        <f t="shared" si="112"/>
        <v>Messaging Only</v>
      </c>
      <c r="AO236" s="6" t="str">
        <f t="shared" si="103"/>
        <v>Messaging / Pause Flow</v>
      </c>
      <c r="AP236" s="6" t="str">
        <f t="shared" si="110"/>
        <v>50% Off LPP Only</v>
      </c>
    </row>
    <row r="237" spans="2:42" ht="13">
      <c r="B237" s="199" t="s">
        <v>46</v>
      </c>
      <c r="C237" s="199" t="s">
        <v>47</v>
      </c>
      <c r="D237" s="6" t="s">
        <v>487</v>
      </c>
      <c r="E237" s="6" t="s">
        <v>481</v>
      </c>
      <c r="F237" s="99" t="s">
        <v>346</v>
      </c>
      <c r="G237" s="22">
        <f>'[1]DOM Web'!$G$3</f>
        <v>16.989999999999998</v>
      </c>
      <c r="H237" s="22">
        <f>'[1]DOM Web'!$E$3</f>
        <v>24.99</v>
      </c>
      <c r="I237" s="22">
        <f>'[1]DOM Web'!$F$3</f>
        <v>109.99</v>
      </c>
      <c r="J237" s="22">
        <f>'[1]DOM Web'!$D$3</f>
        <v>159.99</v>
      </c>
      <c r="K237" s="185">
        <f t="shared" si="85"/>
        <v>6.4738081224249564</v>
      </c>
      <c r="L237" s="185">
        <f t="shared" si="85"/>
        <v>6.4021608643457393</v>
      </c>
      <c r="M237" s="185">
        <f t="shared" si="86"/>
        <v>1.4708652148322543</v>
      </c>
      <c r="N237" s="186">
        <v>1</v>
      </c>
      <c r="O237" s="187">
        <f t="shared" si="87"/>
        <v>16.989999999999998</v>
      </c>
      <c r="P237" s="187">
        <f t="shared" si="87"/>
        <v>24.99</v>
      </c>
      <c r="Q237" s="187">
        <f t="shared" si="87"/>
        <v>109.99</v>
      </c>
      <c r="R237" s="187">
        <f t="shared" si="84"/>
        <v>159.99</v>
      </c>
      <c r="S237" s="132" t="s">
        <v>482</v>
      </c>
      <c r="T237" s="104">
        <f>+G237</f>
        <v>16.989999999999998</v>
      </c>
      <c r="U237" s="187">
        <f t="shared" si="88"/>
        <v>16.989999999999998</v>
      </c>
      <c r="V237" s="188">
        <f t="shared" si="89"/>
        <v>0</v>
      </c>
      <c r="W237" s="189">
        <f t="shared" si="90"/>
        <v>0</v>
      </c>
      <c r="X237" s="104">
        <f>+H237</f>
        <v>24.99</v>
      </c>
      <c r="Y237" s="187">
        <f t="shared" si="91"/>
        <v>24.99</v>
      </c>
      <c r="Z237" s="188">
        <f t="shared" si="92"/>
        <v>0</v>
      </c>
      <c r="AA237" s="189">
        <f t="shared" si="93"/>
        <v>0</v>
      </c>
      <c r="AB237" s="185">
        <f t="shared" si="94"/>
        <v>1.4708652148322543</v>
      </c>
      <c r="AC237" s="104">
        <f>+I237</f>
        <v>109.99</v>
      </c>
      <c r="AD237" s="187">
        <f t="shared" si="95"/>
        <v>109.99</v>
      </c>
      <c r="AE237" s="188">
        <f t="shared" si="96"/>
        <v>0</v>
      </c>
      <c r="AF237" s="189">
        <f t="shared" si="97"/>
        <v>0</v>
      </c>
      <c r="AG237" s="185">
        <f t="shared" si="98"/>
        <v>6.4738081224249564</v>
      </c>
      <c r="AH237" s="104">
        <f>+J237</f>
        <v>159.99</v>
      </c>
      <c r="AI237" s="187">
        <f t="shared" si="99"/>
        <v>159.99</v>
      </c>
      <c r="AJ237" s="188">
        <f t="shared" si="100"/>
        <v>0</v>
      </c>
      <c r="AK237" s="189">
        <f t="shared" si="101"/>
        <v>0</v>
      </c>
      <c r="AL237" s="185">
        <f t="shared" si="102"/>
        <v>6.4021608643457393</v>
      </c>
      <c r="AM237" s="6" t="str">
        <f t="shared" si="108"/>
        <v>No Intro Offer</v>
      </c>
      <c r="AN237" s="6" t="str">
        <f t="shared" si="112"/>
        <v>Messaging Only</v>
      </c>
      <c r="AO237" s="6" t="str">
        <f t="shared" si="103"/>
        <v>Messaging / Pause Flow</v>
      </c>
      <c r="AP237" s="6" t="str">
        <f t="shared" si="110"/>
        <v>50% Off LPP Only</v>
      </c>
    </row>
    <row r="238" spans="2:42" ht="13">
      <c r="B238" s="20" t="s">
        <v>308</v>
      </c>
      <c r="C238" s="20" t="s">
        <v>96</v>
      </c>
      <c r="D238" s="6"/>
      <c r="E238" s="6" t="str">
        <f>IF(VLOOKUP(B238,'[7]FY25 PRICING'!$B$5:$AL$246,'[7]FY25 PRICING'!$E$1,FALSE)=0,"","x")</f>
        <v/>
      </c>
      <c r="F238" s="11" t="str">
        <f>+VLOOKUP($B238,'[1]INT Web'!$B$5:$AS$247,'[1]INT Web'!$Q$1,FALSE)</f>
        <v>UYU</v>
      </c>
      <c r="G238" s="22">
        <f>+VLOOKUP($B238,'[1]INT Web'!$B$5:$AS$247,'[1]INT Web'!$U$1,FALSE)</f>
        <v>489.99</v>
      </c>
      <c r="H238" s="22">
        <f>+VLOOKUP($B238,'[1]INT Web'!$B$5:$AS$247,'[1]INT Web'!$S$1,FALSE)</f>
        <v>660.99</v>
      </c>
      <c r="I238" s="22">
        <f>+VLOOKUP($B238,'[1]INT Web'!$B$5:$AS$247,'[1]INT Web'!$T$1,FALSE)</f>
        <v>2939.99</v>
      </c>
      <c r="J238" s="22">
        <f>+VLOOKUP($B238,'[1]INT Web'!$B$5:$AS$247,'[1]INT Web'!$R$1,FALSE)</f>
        <v>3965.99</v>
      </c>
      <c r="K238" s="185">
        <f t="shared" si="85"/>
        <v>6.0001020428988339</v>
      </c>
      <c r="L238" s="185">
        <f t="shared" si="85"/>
        <v>6.000075644109593</v>
      </c>
      <c r="M238" s="185">
        <f t="shared" si="86"/>
        <v>1.3489867140145717</v>
      </c>
      <c r="N238" s="186">
        <v>2.5009379000000002E-2</v>
      </c>
      <c r="O238" s="187">
        <f t="shared" si="87"/>
        <v>12.254345616210001</v>
      </c>
      <c r="P238" s="187">
        <f t="shared" si="87"/>
        <v>16.53094942521</v>
      </c>
      <c r="Q238" s="187">
        <f t="shared" si="87"/>
        <v>73.527324166209993</v>
      </c>
      <c r="R238" s="187">
        <f t="shared" si="84"/>
        <v>99.186947020209999</v>
      </c>
      <c r="S238" s="132" t="s">
        <v>486</v>
      </c>
      <c r="T238" s="104">
        <f t="shared" si="104"/>
        <v>489.99</v>
      </c>
      <c r="U238" s="187">
        <f t="shared" si="88"/>
        <v>12.254345616210001</v>
      </c>
      <c r="V238" s="188">
        <f t="shared" si="89"/>
        <v>0</v>
      </c>
      <c r="W238" s="189">
        <f t="shared" si="90"/>
        <v>0</v>
      </c>
      <c r="X238" s="104">
        <f t="shared" si="105"/>
        <v>660.99</v>
      </c>
      <c r="Y238" s="187">
        <f t="shared" si="91"/>
        <v>16.53094942521</v>
      </c>
      <c r="Z238" s="188">
        <f t="shared" si="92"/>
        <v>0</v>
      </c>
      <c r="AA238" s="189">
        <f t="shared" si="93"/>
        <v>0</v>
      </c>
      <c r="AB238" s="185">
        <f t="shared" si="94"/>
        <v>1.3489867140145717</v>
      </c>
      <c r="AC238" s="104">
        <f t="shared" si="106"/>
        <v>2939.99</v>
      </c>
      <c r="AD238" s="187">
        <f t="shared" si="95"/>
        <v>73.527324166209993</v>
      </c>
      <c r="AE238" s="188">
        <f t="shared" si="96"/>
        <v>0</v>
      </c>
      <c r="AF238" s="189">
        <f t="shared" si="97"/>
        <v>0</v>
      </c>
      <c r="AG238" s="185">
        <f t="shared" si="98"/>
        <v>6.0001020428988339</v>
      </c>
      <c r="AH238" s="104">
        <f t="shared" si="107"/>
        <v>3965.99</v>
      </c>
      <c r="AI238" s="187">
        <f t="shared" si="99"/>
        <v>99.186947020209999</v>
      </c>
      <c r="AJ238" s="188">
        <f t="shared" si="100"/>
        <v>0</v>
      </c>
      <c r="AK238" s="189">
        <f t="shared" si="101"/>
        <v>0</v>
      </c>
      <c r="AL238" s="185">
        <f t="shared" si="102"/>
        <v>6.000075644109593</v>
      </c>
      <c r="AM238" s="6" t="str">
        <f t="shared" si="108"/>
        <v>30% Off SL / Annual</v>
      </c>
      <c r="AN238" s="6" t="str">
        <f t="shared" si="112"/>
        <v>Messaging Only</v>
      </c>
      <c r="AO238" s="6" t="str">
        <f t="shared" si="103"/>
        <v>Messaging / Pause Flow</v>
      </c>
      <c r="AP238" s="6" t="str">
        <f t="shared" si="110"/>
        <v>50% Off SL / Annual</v>
      </c>
    </row>
    <row r="239" spans="2:42" ht="13">
      <c r="B239" s="20" t="s">
        <v>309</v>
      </c>
      <c r="C239" s="20" t="s">
        <v>182</v>
      </c>
      <c r="D239" s="6"/>
      <c r="E239" s="6" t="str">
        <f>IF(VLOOKUP(B239,'[7]FY25 PRICING'!$B$5:$AL$246,'[7]FY25 PRICING'!$E$1,FALSE)=0,"","x")</f>
        <v/>
      </c>
      <c r="F239" s="11" t="str">
        <f>+VLOOKUP($B239,'[1]INT Web'!$B$5:$AS$247,'[1]INT Web'!$Q$1,FALSE)</f>
        <v>UZS</v>
      </c>
      <c r="G239" s="136">
        <f>+VLOOKUP($B239,'[1]INT Web'!$B$5:$AS$247,'[1]INT Web'!$U$1,FALSE)</f>
        <v>113900</v>
      </c>
      <c r="H239" s="136">
        <f>+VLOOKUP($B239,'[1]INT Web'!$B$5:$AS$247,'[1]INT Web'!$S$1,FALSE)</f>
        <v>153900</v>
      </c>
      <c r="I239" s="22">
        <f>+VLOOKUP($B239,'[1]INT Web'!$B$5:$AS$247,'[1]INT Web'!$T$1,FALSE)</f>
        <v>683400</v>
      </c>
      <c r="J239" s="22">
        <f>+VLOOKUP($B239,'[1]INT Web'!$B$5:$AS$247,'[1]INT Web'!$R$1,FALSE)</f>
        <v>923400</v>
      </c>
      <c r="K239" s="185">
        <f t="shared" si="85"/>
        <v>6</v>
      </c>
      <c r="L239" s="185">
        <f t="shared" si="85"/>
        <v>6</v>
      </c>
      <c r="M239" s="185">
        <f t="shared" si="86"/>
        <v>1.3511852502194908</v>
      </c>
      <c r="N239" s="186">
        <v>8.2929390000000005E-5</v>
      </c>
      <c r="O239" s="187">
        <f t="shared" si="87"/>
        <v>9.4456575210000011</v>
      </c>
      <c r="P239" s="187">
        <f t="shared" si="87"/>
        <v>12.762833121000002</v>
      </c>
      <c r="Q239" s="187">
        <f t="shared" si="87"/>
        <v>56.673945126000007</v>
      </c>
      <c r="R239" s="187">
        <f t="shared" si="84"/>
        <v>76.576998725999999</v>
      </c>
      <c r="S239" s="6">
        <v>0</v>
      </c>
      <c r="T239" s="104">
        <f t="shared" si="104"/>
        <v>113900</v>
      </c>
      <c r="U239" s="187">
        <f t="shared" si="88"/>
        <v>9.4456575210000011</v>
      </c>
      <c r="V239" s="188">
        <f t="shared" si="89"/>
        <v>0</v>
      </c>
      <c r="W239" s="189">
        <f t="shared" si="90"/>
        <v>0</v>
      </c>
      <c r="X239" s="104">
        <f t="shared" si="105"/>
        <v>153900</v>
      </c>
      <c r="Y239" s="187">
        <f t="shared" si="91"/>
        <v>12.762833121000002</v>
      </c>
      <c r="Z239" s="188">
        <f t="shared" si="92"/>
        <v>0</v>
      </c>
      <c r="AA239" s="189">
        <f t="shared" si="93"/>
        <v>0</v>
      </c>
      <c r="AB239" s="185">
        <f t="shared" si="94"/>
        <v>1.3511852502194908</v>
      </c>
      <c r="AC239" s="104">
        <f t="shared" si="106"/>
        <v>683400</v>
      </c>
      <c r="AD239" s="187">
        <f t="shared" si="95"/>
        <v>56.673945126000007</v>
      </c>
      <c r="AE239" s="188">
        <f t="shared" si="96"/>
        <v>0</v>
      </c>
      <c r="AF239" s="189">
        <f t="shared" si="97"/>
        <v>0</v>
      </c>
      <c r="AG239" s="185">
        <f t="shared" si="98"/>
        <v>6</v>
      </c>
      <c r="AH239" s="104">
        <f t="shared" si="107"/>
        <v>923400</v>
      </c>
      <c r="AI239" s="187">
        <f t="shared" si="99"/>
        <v>76.576998725999999</v>
      </c>
      <c r="AJ239" s="188">
        <f t="shared" si="100"/>
        <v>0</v>
      </c>
      <c r="AK239" s="189">
        <f t="shared" si="101"/>
        <v>0</v>
      </c>
      <c r="AL239" s="185">
        <f t="shared" si="102"/>
        <v>6</v>
      </c>
      <c r="AM239" s="6" t="str">
        <f t="shared" si="108"/>
        <v>30% Off SL / Annual</v>
      </c>
      <c r="AN239" s="6" t="str">
        <f t="shared" si="112"/>
        <v>15% Off All SKUs</v>
      </c>
      <c r="AO239" s="6" t="str">
        <f t="shared" si="103"/>
        <v>Monthly: 100% Off Next Month</v>
      </c>
      <c r="AP239" s="6" t="str">
        <f t="shared" si="110"/>
        <v>50% Off SL / Annual</v>
      </c>
    </row>
    <row r="240" spans="2:42" ht="13">
      <c r="B240" s="20" t="s">
        <v>310</v>
      </c>
      <c r="C240" s="20" t="s">
        <v>182</v>
      </c>
      <c r="D240" s="6"/>
      <c r="E240" s="6" t="str">
        <f>IF(VLOOKUP(B240,'[7]FY25 PRICING'!$B$5:$AL$246,'[7]FY25 PRICING'!$E$1,FALSE)=0,"","x")</f>
        <v/>
      </c>
      <c r="F240" s="11" t="str">
        <f>+VLOOKUP($B240,'[1]INT Web'!$B$5:$AS$247,'[1]INT Web'!$Q$1,FALSE)</f>
        <v>VUV</v>
      </c>
      <c r="G240" s="22">
        <f>+VLOOKUP($B240,'[1]INT Web'!$B$5:$AS$247,'[1]INT Web'!$U$1,FALSE)</f>
        <v>900</v>
      </c>
      <c r="H240" s="22">
        <f>+VLOOKUP($B240,'[1]INT Web'!$B$5:$AS$247,'[1]INT Web'!$S$1,FALSE)</f>
        <v>1220</v>
      </c>
      <c r="I240" s="22">
        <f>+VLOOKUP($B240,'[1]INT Web'!$B$5:$AS$247,'[1]INT Web'!$T$1,FALSE)</f>
        <v>5400</v>
      </c>
      <c r="J240" s="22">
        <f>+VLOOKUP($B240,'[1]INT Web'!$B$5:$AS$247,'[1]INT Web'!$R$1,FALSE)</f>
        <v>7320</v>
      </c>
      <c r="K240" s="185">
        <f t="shared" si="85"/>
        <v>6</v>
      </c>
      <c r="L240" s="185">
        <f t="shared" si="85"/>
        <v>6</v>
      </c>
      <c r="M240" s="185">
        <f t="shared" si="86"/>
        <v>1.3555555555555556</v>
      </c>
      <c r="N240" s="186">
        <v>8.4405999999999995E-3</v>
      </c>
      <c r="O240" s="187">
        <f t="shared" si="87"/>
        <v>7.5965399999999992</v>
      </c>
      <c r="P240" s="187">
        <f t="shared" si="87"/>
        <v>10.297531999999999</v>
      </c>
      <c r="Q240" s="187">
        <f t="shared" si="87"/>
        <v>45.579239999999999</v>
      </c>
      <c r="R240" s="187">
        <f t="shared" si="84"/>
        <v>61.785191999999995</v>
      </c>
      <c r="S240" s="6">
        <v>0</v>
      </c>
      <c r="T240" s="104">
        <f t="shared" si="104"/>
        <v>900</v>
      </c>
      <c r="U240" s="187">
        <f t="shared" si="88"/>
        <v>7.5965399999999992</v>
      </c>
      <c r="V240" s="188">
        <f t="shared" si="89"/>
        <v>0</v>
      </c>
      <c r="W240" s="189">
        <f t="shared" si="90"/>
        <v>0</v>
      </c>
      <c r="X240" s="104">
        <f t="shared" si="105"/>
        <v>1220</v>
      </c>
      <c r="Y240" s="187">
        <f t="shared" si="91"/>
        <v>10.297531999999999</v>
      </c>
      <c r="Z240" s="188">
        <f t="shared" si="92"/>
        <v>0</v>
      </c>
      <c r="AA240" s="189">
        <f t="shared" si="93"/>
        <v>0</v>
      </c>
      <c r="AB240" s="185">
        <f t="shared" si="94"/>
        <v>1.3555555555555556</v>
      </c>
      <c r="AC240" s="104">
        <f t="shared" si="106"/>
        <v>5400</v>
      </c>
      <c r="AD240" s="187">
        <f t="shared" si="95"/>
        <v>45.579239999999999</v>
      </c>
      <c r="AE240" s="188">
        <f t="shared" si="96"/>
        <v>0</v>
      </c>
      <c r="AF240" s="189">
        <f t="shared" si="97"/>
        <v>0</v>
      </c>
      <c r="AG240" s="185">
        <f t="shared" si="98"/>
        <v>6</v>
      </c>
      <c r="AH240" s="104">
        <f t="shared" si="107"/>
        <v>7320</v>
      </c>
      <c r="AI240" s="187">
        <f t="shared" si="99"/>
        <v>61.785191999999995</v>
      </c>
      <c r="AJ240" s="188">
        <f t="shared" si="100"/>
        <v>0</v>
      </c>
      <c r="AK240" s="189">
        <f t="shared" si="101"/>
        <v>0</v>
      </c>
      <c r="AL240" s="185">
        <f t="shared" si="102"/>
        <v>6</v>
      </c>
      <c r="AM240" s="6" t="str">
        <f t="shared" si="108"/>
        <v>30% Off SL / Annual</v>
      </c>
      <c r="AN240" s="6" t="str">
        <f t="shared" si="112"/>
        <v>15% Off All SKUs</v>
      </c>
      <c r="AO240" s="6" t="str">
        <f t="shared" si="103"/>
        <v>Monthly: 100% Off Next Month</v>
      </c>
      <c r="AP240" s="6" t="str">
        <f t="shared" si="110"/>
        <v>50% Off SL / Annual</v>
      </c>
    </row>
    <row r="241" spans="2:42" ht="13">
      <c r="B241" s="20" t="s">
        <v>311</v>
      </c>
      <c r="C241" s="20" t="s">
        <v>100</v>
      </c>
      <c r="D241" s="6"/>
      <c r="E241" s="6" t="str">
        <f>IF(VLOOKUP(B241,'[7]FY25 PRICING'!$B$5:$AL$246,'[7]FY25 PRICING'!$E$1,FALSE)=0,"","x")</f>
        <v/>
      </c>
      <c r="F241" s="11" t="str">
        <f>+VLOOKUP($B241,'[1]INT Web'!$B$5:$AS$247,'[1]INT Web'!$Q$1,FALSE)</f>
        <v>EUR</v>
      </c>
      <c r="G241" s="22">
        <f>+VLOOKUP($B241,'[1]INT Web'!$B$5:$AS$247,'[1]INT Web'!$U$1,FALSE)</f>
        <v>14.99</v>
      </c>
      <c r="H241" s="22">
        <f>+VLOOKUP($B241,'[1]INT Web'!$B$5:$AS$247,'[1]INT Web'!$S$1,FALSE)</f>
        <v>18.989999999999998</v>
      </c>
      <c r="I241" s="22">
        <f>+VLOOKUP($B241,'[1]INT Web'!$B$5:$AS$247,'[1]INT Web'!$T$1,FALSE)</f>
        <v>89.99</v>
      </c>
      <c r="J241" s="22">
        <f>+VLOOKUP($B241,'[1]INT Web'!$B$5:$AS$247,'[1]INT Web'!$R$1,FALSE)</f>
        <v>129.99</v>
      </c>
      <c r="K241" s="185">
        <f t="shared" si="85"/>
        <v>6.0033355570380253</v>
      </c>
      <c r="L241" s="185">
        <f t="shared" si="85"/>
        <v>6.8451816745655618</v>
      </c>
      <c r="M241" s="185">
        <f t="shared" si="86"/>
        <v>1.266844563042028</v>
      </c>
      <c r="N241" s="186">
        <v>1.1469499999999999</v>
      </c>
      <c r="O241" s="187">
        <f t="shared" si="87"/>
        <v>17.192780499999998</v>
      </c>
      <c r="P241" s="187">
        <f t="shared" si="87"/>
        <v>21.780580499999996</v>
      </c>
      <c r="Q241" s="187">
        <f t="shared" si="87"/>
        <v>103.21403049999999</v>
      </c>
      <c r="R241" s="187">
        <f t="shared" si="84"/>
        <v>149.09203049999999</v>
      </c>
      <c r="S241" s="6">
        <v>0</v>
      </c>
      <c r="T241" s="104">
        <f t="shared" si="104"/>
        <v>14.99</v>
      </c>
      <c r="U241" s="187">
        <f t="shared" si="88"/>
        <v>17.192780499999998</v>
      </c>
      <c r="V241" s="188">
        <f t="shared" si="89"/>
        <v>0</v>
      </c>
      <c r="W241" s="189">
        <f t="shared" si="90"/>
        <v>0</v>
      </c>
      <c r="X241" s="104">
        <f t="shared" si="105"/>
        <v>18.989999999999998</v>
      </c>
      <c r="Y241" s="187">
        <f t="shared" si="91"/>
        <v>21.780580499999996</v>
      </c>
      <c r="Z241" s="188">
        <f t="shared" si="92"/>
        <v>0</v>
      </c>
      <c r="AA241" s="189">
        <f t="shared" si="93"/>
        <v>0</v>
      </c>
      <c r="AB241" s="185">
        <f t="shared" si="94"/>
        <v>1.266844563042028</v>
      </c>
      <c r="AC241" s="104">
        <f t="shared" si="106"/>
        <v>89.99</v>
      </c>
      <c r="AD241" s="187">
        <f t="shared" si="95"/>
        <v>103.21403049999999</v>
      </c>
      <c r="AE241" s="188">
        <f t="shared" si="96"/>
        <v>0</v>
      </c>
      <c r="AF241" s="189">
        <f t="shared" si="97"/>
        <v>0</v>
      </c>
      <c r="AG241" s="185">
        <f t="shared" si="98"/>
        <v>6.0033355570380253</v>
      </c>
      <c r="AH241" s="104">
        <f t="shared" si="107"/>
        <v>129.99</v>
      </c>
      <c r="AI241" s="187">
        <f t="shared" si="99"/>
        <v>149.09203049999999</v>
      </c>
      <c r="AJ241" s="188">
        <f t="shared" si="100"/>
        <v>0</v>
      </c>
      <c r="AK241" s="189">
        <f t="shared" si="101"/>
        <v>0</v>
      </c>
      <c r="AL241" s="185">
        <f t="shared" si="102"/>
        <v>6.8451816745655618</v>
      </c>
      <c r="AM241" s="6" t="str">
        <f t="shared" si="108"/>
        <v>30% Off SL / Annual</v>
      </c>
      <c r="AN241" s="6" t="str">
        <f t="shared" si="112"/>
        <v>15% Off All SKUs</v>
      </c>
      <c r="AO241" s="6" t="str">
        <f t="shared" si="103"/>
        <v>Monthly: 100% Off Next Month</v>
      </c>
      <c r="AP241" s="6" t="str">
        <f t="shared" si="110"/>
        <v>50% Off SL / Annual</v>
      </c>
    </row>
    <row r="242" spans="2:42" ht="13">
      <c r="B242" s="20" t="s">
        <v>312</v>
      </c>
      <c r="C242" s="20" t="s">
        <v>96</v>
      </c>
      <c r="D242" s="6"/>
      <c r="E242" s="6" t="str">
        <f>IF(VLOOKUP(B242,'[7]FY25 PRICING'!$B$5:$AL$246,'[7]FY25 PRICING'!$E$1,FALSE)=0,"","x")</f>
        <v/>
      </c>
      <c r="F242" s="11" t="str">
        <f>+VLOOKUP($B242,'[1]INT Web'!$B$5:$AS$247,'[1]INT Web'!$Q$1,FALSE)</f>
        <v>USD</v>
      </c>
      <c r="G242" s="22">
        <f>+VLOOKUP($B242,'[1]INT Web'!$B$5:$AS$247,'[1]INT Web'!$U$1,FALSE)</f>
        <v>11.99</v>
      </c>
      <c r="H242" s="22">
        <f>+VLOOKUP($B242,'[1]INT Web'!$B$5:$AS$247,'[1]INT Web'!$S$1,FALSE)</f>
        <v>15.99</v>
      </c>
      <c r="I242" s="22">
        <f>+VLOOKUP($B242,'[1]INT Web'!$B$5:$AS$247,'[1]INT Web'!$T$1,FALSE)</f>
        <v>71.989999999999995</v>
      </c>
      <c r="J242" s="22">
        <f>+VLOOKUP($B242,'[1]INT Web'!$B$5:$AS$247,'[1]INT Web'!$R$1,FALSE)</f>
        <v>95.99</v>
      </c>
      <c r="K242" s="185">
        <f t="shared" si="85"/>
        <v>6.0041701417848206</v>
      </c>
      <c r="L242" s="185">
        <f t="shared" si="85"/>
        <v>6.0031269543464658</v>
      </c>
      <c r="M242" s="185">
        <f t="shared" si="86"/>
        <v>1.3336113427856546</v>
      </c>
      <c r="N242" s="186">
        <v>1</v>
      </c>
      <c r="O242" s="187">
        <f t="shared" si="87"/>
        <v>11.99</v>
      </c>
      <c r="P242" s="187">
        <f t="shared" si="87"/>
        <v>15.99</v>
      </c>
      <c r="Q242" s="187">
        <f t="shared" si="87"/>
        <v>71.989999999999995</v>
      </c>
      <c r="R242" s="187">
        <f t="shared" si="84"/>
        <v>95.99</v>
      </c>
      <c r="S242" s="132" t="s">
        <v>477</v>
      </c>
      <c r="T242" s="104">
        <f t="shared" si="104"/>
        <v>11.99</v>
      </c>
      <c r="U242" s="187">
        <f t="shared" si="88"/>
        <v>11.99</v>
      </c>
      <c r="V242" s="188">
        <f t="shared" si="89"/>
        <v>0</v>
      </c>
      <c r="W242" s="189">
        <f t="shared" si="90"/>
        <v>0</v>
      </c>
      <c r="X242" s="104">
        <f t="shared" si="105"/>
        <v>15.99</v>
      </c>
      <c r="Y242" s="187">
        <f t="shared" si="91"/>
        <v>15.99</v>
      </c>
      <c r="Z242" s="188">
        <f t="shared" si="92"/>
        <v>0</v>
      </c>
      <c r="AA242" s="189">
        <f t="shared" si="93"/>
        <v>0</v>
      </c>
      <c r="AB242" s="185">
        <f t="shared" si="94"/>
        <v>1.3336113427856546</v>
      </c>
      <c r="AC242" s="104">
        <f t="shared" si="106"/>
        <v>71.989999999999995</v>
      </c>
      <c r="AD242" s="187">
        <f t="shared" si="95"/>
        <v>71.989999999999995</v>
      </c>
      <c r="AE242" s="188">
        <f t="shared" si="96"/>
        <v>0</v>
      </c>
      <c r="AF242" s="189">
        <f t="shared" si="97"/>
        <v>0</v>
      </c>
      <c r="AG242" s="185">
        <f t="shared" si="98"/>
        <v>6.0041701417848206</v>
      </c>
      <c r="AH242" s="104">
        <f t="shared" si="107"/>
        <v>95.99</v>
      </c>
      <c r="AI242" s="187">
        <f t="shared" si="99"/>
        <v>95.99</v>
      </c>
      <c r="AJ242" s="188">
        <f t="shared" si="100"/>
        <v>0</v>
      </c>
      <c r="AK242" s="189">
        <f t="shared" si="101"/>
        <v>0</v>
      </c>
      <c r="AL242" s="185">
        <f t="shared" si="102"/>
        <v>6.0031269543464658</v>
      </c>
      <c r="AM242" s="6" t="str">
        <f t="shared" si="108"/>
        <v>30% Off SL / Annual</v>
      </c>
      <c r="AN242" s="6" t="str">
        <f t="shared" si="112"/>
        <v>15% Off All SKUs</v>
      </c>
      <c r="AO242" s="6" t="str">
        <f t="shared" si="103"/>
        <v>Monthly: 100% Off Next Month</v>
      </c>
      <c r="AP242" s="6" t="str">
        <f t="shared" si="110"/>
        <v>50% Off SL / Annual</v>
      </c>
    </row>
    <row r="243" spans="2:42" ht="13">
      <c r="B243" s="20" t="s">
        <v>313</v>
      </c>
      <c r="C243" s="20" t="s">
        <v>182</v>
      </c>
      <c r="D243" s="6"/>
      <c r="E243" s="6" t="str">
        <f>IF(VLOOKUP(B243,'[7]FY25 PRICING'!$B$5:$AL$246,'[7]FY25 PRICING'!$E$1,FALSE)=0,"","x")</f>
        <v/>
      </c>
      <c r="F243" s="11" t="str">
        <f>+VLOOKUP($B243,'[1]INT Web'!$B$5:$AS$247,'[1]INT Web'!$Q$1,FALSE)</f>
        <v>VND</v>
      </c>
      <c r="G243" s="136">
        <f>+VLOOKUP($B243,'[1]INT Web'!$B$5:$AS$247,'[1]INT Web'!$U$1,FALSE)</f>
        <v>220000</v>
      </c>
      <c r="H243" s="136">
        <f>+VLOOKUP($B243,'[1]INT Web'!$B$5:$AS$247,'[1]INT Web'!$S$1,FALSE)</f>
        <v>309000</v>
      </c>
      <c r="I243" s="22">
        <f>+VLOOKUP($B243,'[1]INT Web'!$B$5:$AS$247,'[1]INT Web'!$T$1,FALSE)</f>
        <v>1539000</v>
      </c>
      <c r="J243" s="22">
        <f>+VLOOKUP($B243,'[1]INT Web'!$B$5:$AS$247,'[1]INT Web'!$R$1,FALSE)</f>
        <v>1999900</v>
      </c>
      <c r="K243" s="185">
        <f t="shared" si="85"/>
        <v>6.9954545454545451</v>
      </c>
      <c r="L243" s="185">
        <f t="shared" si="85"/>
        <v>6.4721682847896442</v>
      </c>
      <c r="M243" s="185">
        <f t="shared" si="86"/>
        <v>1.4045454545454545</v>
      </c>
      <c r="N243" s="186">
        <v>3.7978049999999998E-5</v>
      </c>
      <c r="O243" s="187">
        <f t="shared" si="87"/>
        <v>8.3551710000000003</v>
      </c>
      <c r="P243" s="187">
        <f t="shared" si="87"/>
        <v>11.735217449999999</v>
      </c>
      <c r="Q243" s="187">
        <f t="shared" si="87"/>
        <v>58.448218949999998</v>
      </c>
      <c r="R243" s="187">
        <f t="shared" si="84"/>
        <v>75.952302195000001</v>
      </c>
      <c r="S243" s="132" t="s">
        <v>486</v>
      </c>
      <c r="T243" s="104">
        <f t="shared" si="104"/>
        <v>220000</v>
      </c>
      <c r="U243" s="187">
        <f t="shared" si="88"/>
        <v>8.3551710000000003</v>
      </c>
      <c r="V243" s="188">
        <f t="shared" si="89"/>
        <v>0</v>
      </c>
      <c r="W243" s="189">
        <f t="shared" si="90"/>
        <v>0</v>
      </c>
      <c r="X243" s="104">
        <f t="shared" si="105"/>
        <v>309000</v>
      </c>
      <c r="Y243" s="187">
        <f t="shared" si="91"/>
        <v>11.735217449999999</v>
      </c>
      <c r="Z243" s="188">
        <f t="shared" si="92"/>
        <v>0</v>
      </c>
      <c r="AA243" s="189">
        <f t="shared" si="93"/>
        <v>0</v>
      </c>
      <c r="AB243" s="185">
        <f t="shared" si="94"/>
        <v>1.4045454545454545</v>
      </c>
      <c r="AC243" s="104">
        <f t="shared" si="106"/>
        <v>1539000</v>
      </c>
      <c r="AD243" s="187">
        <f t="shared" si="95"/>
        <v>58.448218949999998</v>
      </c>
      <c r="AE243" s="188">
        <f t="shared" si="96"/>
        <v>0</v>
      </c>
      <c r="AF243" s="189">
        <f t="shared" si="97"/>
        <v>0</v>
      </c>
      <c r="AG243" s="185">
        <f t="shared" si="98"/>
        <v>6.9954545454545451</v>
      </c>
      <c r="AH243" s="104">
        <f t="shared" si="107"/>
        <v>1999900</v>
      </c>
      <c r="AI243" s="187">
        <f t="shared" si="99"/>
        <v>75.952302195000001</v>
      </c>
      <c r="AJ243" s="188">
        <f t="shared" si="100"/>
        <v>0</v>
      </c>
      <c r="AK243" s="189">
        <f t="shared" si="101"/>
        <v>0</v>
      </c>
      <c r="AL243" s="185">
        <f t="shared" si="102"/>
        <v>6.4721682847896442</v>
      </c>
      <c r="AM243" s="6" t="str">
        <f t="shared" si="108"/>
        <v>30% Off SL / Annual</v>
      </c>
      <c r="AN243" s="6" t="str">
        <f t="shared" si="112"/>
        <v>Messaging Only</v>
      </c>
      <c r="AO243" s="6" t="str">
        <f t="shared" si="103"/>
        <v>Messaging / Pause Flow</v>
      </c>
      <c r="AP243" s="6" t="str">
        <f t="shared" si="110"/>
        <v>50% Off SL / Annual</v>
      </c>
    </row>
    <row r="244" spans="2:42" ht="13">
      <c r="B244" s="20" t="s">
        <v>314</v>
      </c>
      <c r="C244" s="20" t="s">
        <v>182</v>
      </c>
      <c r="D244" s="6"/>
      <c r="E244" s="6" t="str">
        <f>IF(VLOOKUP(B244,'[7]FY25 PRICING'!$B$5:$AL$246,'[7]FY25 PRICING'!$E$1,FALSE)=0,"","x")</f>
        <v/>
      </c>
      <c r="F244" s="11" t="str">
        <f>+VLOOKUP($B244,'[1]INT Web'!$B$5:$AS$247,'[1]INT Web'!$Q$1,FALSE)</f>
        <v>XPF</v>
      </c>
      <c r="G244" s="22">
        <f>+VLOOKUP($B244,'[1]INT Web'!$B$5:$AS$247,'[1]INT Web'!$U$1,FALSE)</f>
        <v>1000</v>
      </c>
      <c r="H244" s="22">
        <f>+VLOOKUP($B244,'[1]INT Web'!$B$5:$AS$247,'[1]INT Web'!$S$1,FALSE)</f>
        <v>1350</v>
      </c>
      <c r="I244" s="22">
        <f>+VLOOKUP($B244,'[1]INT Web'!$B$5:$AS$247,'[1]INT Web'!$T$1,FALSE)</f>
        <v>6000</v>
      </c>
      <c r="J244" s="22">
        <f>+VLOOKUP($B244,'[1]INT Web'!$B$5:$AS$247,'[1]INT Web'!$R$1,FALSE)</f>
        <v>8100</v>
      </c>
      <c r="K244" s="185">
        <f t="shared" si="85"/>
        <v>6</v>
      </c>
      <c r="L244" s="185">
        <f t="shared" si="85"/>
        <v>6</v>
      </c>
      <c r="M244" s="185">
        <f t="shared" si="86"/>
        <v>1.35</v>
      </c>
      <c r="N244" s="186">
        <v>9.6114470000000004E-3</v>
      </c>
      <c r="O244" s="187">
        <f t="shared" si="87"/>
        <v>9.6114470000000001</v>
      </c>
      <c r="P244" s="187">
        <f t="shared" si="87"/>
        <v>12.97545345</v>
      </c>
      <c r="Q244" s="187">
        <f t="shared" si="87"/>
        <v>57.668682000000004</v>
      </c>
      <c r="R244" s="187">
        <f t="shared" si="84"/>
        <v>77.852720700000006</v>
      </c>
      <c r="S244" s="6">
        <v>0</v>
      </c>
      <c r="T244" s="104">
        <f t="shared" si="104"/>
        <v>1000</v>
      </c>
      <c r="U244" s="187">
        <f t="shared" si="88"/>
        <v>9.6114470000000001</v>
      </c>
      <c r="V244" s="188">
        <f t="shared" si="89"/>
        <v>0</v>
      </c>
      <c r="W244" s="189">
        <f t="shared" si="90"/>
        <v>0</v>
      </c>
      <c r="X244" s="104">
        <f t="shared" si="105"/>
        <v>1350</v>
      </c>
      <c r="Y244" s="187">
        <f t="shared" si="91"/>
        <v>12.97545345</v>
      </c>
      <c r="Z244" s="188">
        <f t="shared" si="92"/>
        <v>0</v>
      </c>
      <c r="AA244" s="189">
        <f t="shared" si="93"/>
        <v>0</v>
      </c>
      <c r="AB244" s="185">
        <f t="shared" si="94"/>
        <v>1.35</v>
      </c>
      <c r="AC244" s="104">
        <f t="shared" si="106"/>
        <v>6000</v>
      </c>
      <c r="AD244" s="187">
        <f t="shared" si="95"/>
        <v>57.668682000000004</v>
      </c>
      <c r="AE244" s="188">
        <f t="shared" si="96"/>
        <v>0</v>
      </c>
      <c r="AF244" s="189">
        <f t="shared" si="97"/>
        <v>0</v>
      </c>
      <c r="AG244" s="185">
        <f t="shared" si="98"/>
        <v>6</v>
      </c>
      <c r="AH244" s="104">
        <f t="shared" si="107"/>
        <v>8100</v>
      </c>
      <c r="AI244" s="187">
        <f t="shared" si="99"/>
        <v>77.852720700000006</v>
      </c>
      <c r="AJ244" s="188">
        <f t="shared" si="100"/>
        <v>0</v>
      </c>
      <c r="AK244" s="189">
        <f t="shared" si="101"/>
        <v>0</v>
      </c>
      <c r="AL244" s="185">
        <f t="shared" si="102"/>
        <v>6</v>
      </c>
      <c r="AM244" s="6" t="str">
        <f t="shared" si="108"/>
        <v>30% Off SL / Annual</v>
      </c>
      <c r="AN244" s="6" t="str">
        <f t="shared" si="112"/>
        <v>15% Off All SKUs</v>
      </c>
      <c r="AO244" s="6" t="str">
        <f t="shared" si="103"/>
        <v>Monthly: 100% Off Next Month</v>
      </c>
      <c r="AP244" s="6" t="str">
        <f t="shared" si="110"/>
        <v>50% Off SL / Annual</v>
      </c>
    </row>
    <row r="245" spans="2:42" ht="13">
      <c r="B245" s="20" t="s">
        <v>315</v>
      </c>
      <c r="C245" s="20" t="s">
        <v>270</v>
      </c>
      <c r="D245" s="6"/>
      <c r="E245" s="6" t="str">
        <f>IF(VLOOKUP(B245,'[7]FY25 PRICING'!$B$5:$AL$246,'[7]FY25 PRICING'!$E$1,FALSE)=0,"","x")</f>
        <v/>
      </c>
      <c r="F245" s="11" t="str">
        <f>+VLOOKUP($B245,'[1]INT Web'!$B$5:$AS$247,'[1]INT Web'!$Q$1,FALSE)</f>
        <v>MAD</v>
      </c>
      <c r="G245" s="22">
        <f>+VLOOKUP($B245,'[1]INT Web'!$B$5:$AS$247,'[1]INT Web'!$U$1,FALSE)</f>
        <v>90</v>
      </c>
      <c r="H245" s="22">
        <f>+VLOOKUP($B245,'[1]INT Web'!$B$5:$AS$247,'[1]INT Web'!$S$1,FALSE)</f>
        <v>120</v>
      </c>
      <c r="I245" s="22">
        <f>+VLOOKUP($B245,'[1]INT Web'!$B$5:$AS$247,'[1]INT Web'!$T$1,FALSE)</f>
        <v>540</v>
      </c>
      <c r="J245" s="22">
        <f>+VLOOKUP($B245,'[1]INT Web'!$B$5:$AS$247,'[1]INT Web'!$R$1,FALSE)</f>
        <v>720</v>
      </c>
      <c r="K245" s="185">
        <f t="shared" si="85"/>
        <v>6</v>
      </c>
      <c r="L245" s="185">
        <f t="shared" si="85"/>
        <v>6</v>
      </c>
      <c r="M245" s="185">
        <f t="shared" si="86"/>
        <v>1.3333333333333333</v>
      </c>
      <c r="N245" s="186">
        <v>0.10731859000000001</v>
      </c>
      <c r="O245" s="187">
        <f t="shared" si="87"/>
        <v>9.6586730999999997</v>
      </c>
      <c r="P245" s="187">
        <f t="shared" si="87"/>
        <v>12.878230800000001</v>
      </c>
      <c r="Q245" s="187">
        <f t="shared" si="87"/>
        <v>57.952038600000002</v>
      </c>
      <c r="R245" s="187">
        <f t="shared" si="84"/>
        <v>77.269384799999997</v>
      </c>
      <c r="S245" s="6">
        <v>0</v>
      </c>
      <c r="T245" s="104">
        <f t="shared" si="104"/>
        <v>90</v>
      </c>
      <c r="U245" s="187">
        <f t="shared" si="88"/>
        <v>9.6586730999999997</v>
      </c>
      <c r="V245" s="188">
        <f t="shared" si="89"/>
        <v>0</v>
      </c>
      <c r="W245" s="189">
        <f t="shared" si="90"/>
        <v>0</v>
      </c>
      <c r="X245" s="104">
        <f t="shared" si="105"/>
        <v>120</v>
      </c>
      <c r="Y245" s="187">
        <f t="shared" si="91"/>
        <v>12.878230800000001</v>
      </c>
      <c r="Z245" s="188">
        <f t="shared" si="92"/>
        <v>0</v>
      </c>
      <c r="AA245" s="189">
        <f t="shared" si="93"/>
        <v>0</v>
      </c>
      <c r="AB245" s="185">
        <f t="shared" si="94"/>
        <v>1.3333333333333333</v>
      </c>
      <c r="AC245" s="104">
        <f t="shared" si="106"/>
        <v>540</v>
      </c>
      <c r="AD245" s="187">
        <f t="shared" si="95"/>
        <v>57.952038600000002</v>
      </c>
      <c r="AE245" s="188">
        <f t="shared" si="96"/>
        <v>0</v>
      </c>
      <c r="AF245" s="189">
        <f t="shared" si="97"/>
        <v>0</v>
      </c>
      <c r="AG245" s="185">
        <f t="shared" si="98"/>
        <v>6</v>
      </c>
      <c r="AH245" s="104">
        <f t="shared" si="107"/>
        <v>720</v>
      </c>
      <c r="AI245" s="187">
        <f t="shared" si="99"/>
        <v>77.269384799999997</v>
      </c>
      <c r="AJ245" s="188">
        <f t="shared" si="100"/>
        <v>0</v>
      </c>
      <c r="AK245" s="189">
        <f t="shared" si="101"/>
        <v>0</v>
      </c>
      <c r="AL245" s="185">
        <f t="shared" si="102"/>
        <v>6</v>
      </c>
      <c r="AM245" s="6" t="str">
        <f t="shared" si="108"/>
        <v>30% Off SL / Annual</v>
      </c>
      <c r="AN245" s="6" t="str">
        <f t="shared" si="112"/>
        <v>15% Off All SKUs</v>
      </c>
      <c r="AO245" s="6" t="str">
        <f t="shared" si="103"/>
        <v>Monthly: 100% Off Next Month</v>
      </c>
      <c r="AP245" s="6" t="str">
        <f t="shared" si="110"/>
        <v>50% Off SL / Annual</v>
      </c>
    </row>
    <row r="246" spans="2:42" ht="13">
      <c r="B246" s="20" t="s">
        <v>316</v>
      </c>
      <c r="C246" s="20" t="s">
        <v>275</v>
      </c>
      <c r="D246" s="6"/>
      <c r="E246" s="6" t="str">
        <f>IF(VLOOKUP(B246,'[7]FY25 PRICING'!$B$5:$AL$246,'[7]FY25 PRICING'!$E$1,FALSE)=0,"","x")</f>
        <v/>
      </c>
      <c r="F246" s="99" t="s">
        <v>346</v>
      </c>
      <c r="G246" s="9">
        <v>9.99</v>
      </c>
      <c r="H246" s="9">
        <v>13.99</v>
      </c>
      <c r="I246" s="9">
        <v>59.99</v>
      </c>
      <c r="J246" s="9">
        <v>81.99</v>
      </c>
      <c r="K246" s="185">
        <f t="shared" si="85"/>
        <v>6.005005005005005</v>
      </c>
      <c r="L246" s="185">
        <f t="shared" si="85"/>
        <v>5.8606147248034306</v>
      </c>
      <c r="M246" s="185">
        <f t="shared" si="86"/>
        <v>1.4004004004004005</v>
      </c>
      <c r="N246" s="186">
        <v>1</v>
      </c>
      <c r="O246" s="187">
        <f t="shared" si="87"/>
        <v>9.99</v>
      </c>
      <c r="P246" s="187">
        <f t="shared" si="87"/>
        <v>13.99</v>
      </c>
      <c r="Q246" s="187">
        <f t="shared" si="87"/>
        <v>59.99</v>
      </c>
      <c r="R246" s="187">
        <f t="shared" si="84"/>
        <v>81.99</v>
      </c>
      <c r="S246" s="6">
        <v>0</v>
      </c>
      <c r="T246" s="203">
        <f t="shared" si="104"/>
        <v>9.99</v>
      </c>
      <c r="U246" s="187">
        <f t="shared" si="88"/>
        <v>9.99</v>
      </c>
      <c r="V246" s="188">
        <f t="shared" si="89"/>
        <v>0</v>
      </c>
      <c r="W246" s="189">
        <f t="shared" si="90"/>
        <v>0</v>
      </c>
      <c r="X246" s="203">
        <f t="shared" si="105"/>
        <v>13.99</v>
      </c>
      <c r="Y246" s="187">
        <f t="shared" si="91"/>
        <v>13.99</v>
      </c>
      <c r="Z246" s="188">
        <f t="shared" si="92"/>
        <v>0</v>
      </c>
      <c r="AA246" s="189">
        <f t="shared" si="93"/>
        <v>0</v>
      </c>
      <c r="AB246" s="185">
        <f t="shared" si="94"/>
        <v>1.4004004004004005</v>
      </c>
      <c r="AC246" s="203">
        <f t="shared" si="106"/>
        <v>59.99</v>
      </c>
      <c r="AD246" s="187">
        <f t="shared" si="95"/>
        <v>59.99</v>
      </c>
      <c r="AE246" s="188">
        <f t="shared" si="96"/>
        <v>0</v>
      </c>
      <c r="AF246" s="189">
        <f t="shared" si="97"/>
        <v>0</v>
      </c>
      <c r="AG246" s="185">
        <f t="shared" si="98"/>
        <v>6.005005005005005</v>
      </c>
      <c r="AH246" s="203">
        <f t="shared" si="107"/>
        <v>81.99</v>
      </c>
      <c r="AI246" s="187">
        <f t="shared" si="99"/>
        <v>81.99</v>
      </c>
      <c r="AJ246" s="188">
        <f t="shared" si="100"/>
        <v>0</v>
      </c>
      <c r="AK246" s="189">
        <f t="shared" si="101"/>
        <v>0</v>
      </c>
      <c r="AL246" s="185">
        <f t="shared" si="102"/>
        <v>5.8606147248034306</v>
      </c>
      <c r="AM246" s="6" t="str">
        <f t="shared" si="108"/>
        <v>30% Off SL / Annual</v>
      </c>
      <c r="AN246" s="6" t="str">
        <f t="shared" si="112"/>
        <v>15% Off All SKUs</v>
      </c>
      <c r="AO246" s="6" t="str">
        <f t="shared" si="103"/>
        <v>Monthly: 100% Off Next Month</v>
      </c>
      <c r="AP246" s="6" t="str">
        <f t="shared" si="110"/>
        <v>50% Off SL / Annual</v>
      </c>
    </row>
    <row r="247" spans="2:42" ht="13">
      <c r="B247" s="20" t="s">
        <v>317</v>
      </c>
      <c r="C247" s="20" t="s">
        <v>270</v>
      </c>
      <c r="D247" s="6"/>
      <c r="E247" s="6" t="str">
        <f>IF(VLOOKUP(B247,'[7]FY25 PRICING'!$B$5:$AL$246,'[7]FY25 PRICING'!$E$1,FALSE)=0,"","x")</f>
        <v/>
      </c>
      <c r="F247" s="11" t="str">
        <f>+VLOOKUP($B247,'[1]INT Web'!$B$5:$AS$247,'[1]INT Web'!$Q$1,FALSE)</f>
        <v>ZMW</v>
      </c>
      <c r="G247" s="22">
        <f>+VLOOKUP($B247,'[1]INT Web'!$B$5:$AS$247,'[1]INT Web'!$U$1,FALSE)</f>
        <v>240</v>
      </c>
      <c r="H247" s="22">
        <f>+VLOOKUP($B247,'[1]INT Web'!$B$5:$AS$247,'[1]INT Web'!$S$1,FALSE)</f>
        <v>330</v>
      </c>
      <c r="I247" s="22">
        <f>+VLOOKUP($B247,'[1]INT Web'!$B$5:$AS$247,'[1]INT Web'!$T$1,FALSE)</f>
        <v>1440</v>
      </c>
      <c r="J247" s="22">
        <f>+VLOOKUP($B247,'[1]INT Web'!$B$5:$AS$247,'[1]INT Web'!$R$1,FALSE)</f>
        <v>1980</v>
      </c>
      <c r="K247" s="185">
        <f t="shared" si="85"/>
        <v>6</v>
      </c>
      <c r="L247" s="185">
        <f t="shared" si="85"/>
        <v>6</v>
      </c>
      <c r="M247" s="185">
        <f t="shared" si="86"/>
        <v>1.375</v>
      </c>
      <c r="N247" s="186">
        <v>5.5805750000000001E-2</v>
      </c>
      <c r="O247" s="187">
        <f t="shared" si="87"/>
        <v>13.393380000000001</v>
      </c>
      <c r="P247" s="187">
        <f t="shared" si="87"/>
        <v>18.4158975</v>
      </c>
      <c r="Q247" s="187">
        <f t="shared" si="87"/>
        <v>80.360280000000003</v>
      </c>
      <c r="R247" s="187">
        <f t="shared" si="84"/>
        <v>110.495385</v>
      </c>
      <c r="S247" s="6">
        <v>0</v>
      </c>
      <c r="T247" s="104">
        <f t="shared" si="104"/>
        <v>240</v>
      </c>
      <c r="U247" s="187">
        <f t="shared" si="88"/>
        <v>13.393380000000001</v>
      </c>
      <c r="V247" s="188">
        <f t="shared" si="89"/>
        <v>0</v>
      </c>
      <c r="W247" s="189">
        <f t="shared" si="90"/>
        <v>0</v>
      </c>
      <c r="X247" s="104">
        <f t="shared" si="105"/>
        <v>330</v>
      </c>
      <c r="Y247" s="187">
        <f t="shared" si="91"/>
        <v>18.4158975</v>
      </c>
      <c r="Z247" s="188">
        <f t="shared" si="92"/>
        <v>0</v>
      </c>
      <c r="AA247" s="189">
        <f t="shared" si="93"/>
        <v>0</v>
      </c>
      <c r="AB247" s="185">
        <f t="shared" si="94"/>
        <v>1.375</v>
      </c>
      <c r="AC247" s="104">
        <f t="shared" si="106"/>
        <v>1440</v>
      </c>
      <c r="AD247" s="187">
        <f t="shared" si="95"/>
        <v>80.360280000000003</v>
      </c>
      <c r="AE247" s="188">
        <f t="shared" si="96"/>
        <v>0</v>
      </c>
      <c r="AF247" s="189">
        <f t="shared" si="97"/>
        <v>0</v>
      </c>
      <c r="AG247" s="185">
        <f t="shared" si="98"/>
        <v>6</v>
      </c>
      <c r="AH247" s="104">
        <f t="shared" si="107"/>
        <v>1980</v>
      </c>
      <c r="AI247" s="187">
        <f t="shared" si="99"/>
        <v>110.495385</v>
      </c>
      <c r="AJ247" s="188">
        <f t="shared" si="100"/>
        <v>0</v>
      </c>
      <c r="AK247" s="189">
        <f t="shared" si="101"/>
        <v>0</v>
      </c>
      <c r="AL247" s="185">
        <f t="shared" si="102"/>
        <v>6</v>
      </c>
      <c r="AM247" s="6" t="str">
        <f t="shared" si="108"/>
        <v>30% Off SL / Annual</v>
      </c>
      <c r="AN247" s="6" t="str">
        <f t="shared" si="112"/>
        <v>15% Off All SKUs</v>
      </c>
      <c r="AO247" s="6" t="str">
        <f t="shared" si="103"/>
        <v>Monthly: 100% Off Next Month</v>
      </c>
      <c r="AP247" s="6" t="str">
        <f t="shared" si="110"/>
        <v>50% Off SL / Annual</v>
      </c>
    </row>
    <row r="248" spans="2:42" ht="13">
      <c r="B248" s="20" t="s">
        <v>318</v>
      </c>
      <c r="C248" s="20" t="s">
        <v>270</v>
      </c>
      <c r="D248" s="6"/>
      <c r="E248" s="6" t="str">
        <f>IF(VLOOKUP(B248,'[7]FY25 PRICING'!$B$5:$AL$246,'[7]FY25 PRICING'!$E$1,FALSE)=0,"","x")</f>
        <v/>
      </c>
      <c r="F248" s="11" t="str">
        <f>+VLOOKUP($B248,'[1]INT Web'!$B$5:$AS$247,'[1]INT Web'!$Q$1,FALSE)</f>
        <v>USD</v>
      </c>
      <c r="G248" s="22">
        <f>+VLOOKUP($B248,'[1]INT Web'!$B$5:$AS$247,'[1]INT Web'!$U$1,FALSE)</f>
        <v>8.99</v>
      </c>
      <c r="H248" s="31">
        <f>+VLOOKUP($B248,'[1]INT Web'!$B$5:$AS$247,'[1]INT Web'!$S$1,FALSE)</f>
        <v>11.99</v>
      </c>
      <c r="I248" s="31">
        <f>+VLOOKUP($B248,'[1]INT Web'!$B$5:$AS$247,'[1]INT Web'!$T$1,FALSE)</f>
        <v>53.99</v>
      </c>
      <c r="J248" s="31">
        <f>+VLOOKUP($B248,'[1]INT Web'!$B$5:$AS$247,'[1]INT Web'!$R$1,FALSE)</f>
        <v>71.989999999999995</v>
      </c>
      <c r="K248" s="185">
        <f t="shared" si="85"/>
        <v>6.0055617352614012</v>
      </c>
      <c r="L248" s="185">
        <f t="shared" si="85"/>
        <v>6.0041701417848206</v>
      </c>
      <c r="M248" s="185">
        <f>+K248/I248</f>
        <v>0.11123470522803114</v>
      </c>
      <c r="N248" s="186">
        <v>1</v>
      </c>
      <c r="O248" s="187">
        <f t="shared" si="87"/>
        <v>8.99</v>
      </c>
      <c r="P248" s="187">
        <f t="shared" si="87"/>
        <v>11.99</v>
      </c>
      <c r="Q248" s="187">
        <f t="shared" si="87"/>
        <v>53.99</v>
      </c>
      <c r="R248" s="187">
        <f t="shared" si="84"/>
        <v>71.989999999999995</v>
      </c>
      <c r="S248" s="6">
        <v>0</v>
      </c>
      <c r="T248" s="104">
        <f t="shared" si="104"/>
        <v>8.99</v>
      </c>
      <c r="U248" s="187">
        <f t="shared" si="88"/>
        <v>8.99</v>
      </c>
      <c r="V248" s="188">
        <f t="shared" si="89"/>
        <v>0</v>
      </c>
      <c r="W248" s="189">
        <f t="shared" si="90"/>
        <v>0</v>
      </c>
      <c r="X248" s="104">
        <f t="shared" si="105"/>
        <v>11.99</v>
      </c>
      <c r="Y248" s="187">
        <f t="shared" si="91"/>
        <v>11.99</v>
      </c>
      <c r="Z248" s="188">
        <f t="shared" si="92"/>
        <v>0</v>
      </c>
      <c r="AA248" s="189">
        <f t="shared" si="93"/>
        <v>0</v>
      </c>
      <c r="AB248" s="185">
        <f t="shared" si="94"/>
        <v>1.3337041156840934</v>
      </c>
      <c r="AC248" s="104">
        <f t="shared" si="106"/>
        <v>53.99</v>
      </c>
      <c r="AD248" s="187">
        <f t="shared" si="95"/>
        <v>53.99</v>
      </c>
      <c r="AE248" s="188">
        <f t="shared" si="96"/>
        <v>0</v>
      </c>
      <c r="AF248" s="189">
        <f t="shared" si="97"/>
        <v>0</v>
      </c>
      <c r="AG248" s="185">
        <f t="shared" si="98"/>
        <v>6.0055617352614012</v>
      </c>
      <c r="AH248" s="104">
        <f t="shared" si="107"/>
        <v>71.989999999999995</v>
      </c>
      <c r="AI248" s="187">
        <f t="shared" si="99"/>
        <v>71.989999999999995</v>
      </c>
      <c r="AJ248" s="188">
        <f t="shared" si="100"/>
        <v>0</v>
      </c>
      <c r="AK248" s="189">
        <f t="shared" si="101"/>
        <v>0</v>
      </c>
      <c r="AL248" s="185">
        <f t="shared" si="102"/>
        <v>6.0041701417848206</v>
      </c>
      <c r="AM248" s="6" t="str">
        <f t="shared" si="108"/>
        <v>30% Off SL / Annual</v>
      </c>
      <c r="AN248" s="6" t="str">
        <f t="shared" si="112"/>
        <v>15% Off All SKUs</v>
      </c>
      <c r="AO248" s="6" t="str">
        <f t="shared" si="103"/>
        <v>Monthly: 100% Off Next Month</v>
      </c>
      <c r="AP248" s="6" t="str">
        <f t="shared" si="110"/>
        <v>50% Off SL / Annual</v>
      </c>
    </row>
  </sheetData>
  <autoFilter ref="B4:AB248" xr:uid="{0A3D6967-8089-4AE1-B075-4B19C225F79A}"/>
  <conditionalFormatting sqref="S54:S101 S5:S49 S51:S52">
    <cfRule type="cellIs" dxfId="39" priority="57" operator="equal">
      <formula>"?"</formula>
    </cfRule>
  </conditionalFormatting>
  <conditionalFormatting sqref="S64">
    <cfRule type="colorScale" priority="59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67">
    <cfRule type="colorScale" priority="58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73">
    <cfRule type="colorScale" priority="45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79">
    <cfRule type="colorScale" priority="56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103:S104">
    <cfRule type="cellIs" dxfId="38" priority="55" operator="equal">
      <formula>"?"</formula>
    </cfRule>
  </conditionalFormatting>
  <conditionalFormatting sqref="S106:S109">
    <cfRule type="cellIs" dxfId="37" priority="43" operator="equal">
      <formula>"?"</formula>
    </cfRule>
  </conditionalFormatting>
  <conditionalFormatting sqref="S114:S116">
    <cfRule type="cellIs" dxfId="36" priority="42" operator="equal">
      <formula>"?"</formula>
    </cfRule>
  </conditionalFormatting>
  <conditionalFormatting sqref="S118:S120">
    <cfRule type="cellIs" dxfId="35" priority="40" operator="equal">
      <formula>"?"</formula>
    </cfRule>
  </conditionalFormatting>
  <conditionalFormatting sqref="S120">
    <cfRule type="colorScale" priority="39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121:S123">
    <cfRule type="cellIs" dxfId="34" priority="37" operator="equal">
      <formula>"?"</formula>
    </cfRule>
  </conditionalFormatting>
  <conditionalFormatting sqref="S123">
    <cfRule type="colorScale" priority="36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125:S128">
    <cfRule type="cellIs" dxfId="33" priority="35" operator="equal">
      <formula>"?"</formula>
    </cfRule>
  </conditionalFormatting>
  <conditionalFormatting sqref="S132">
    <cfRule type="cellIs" dxfId="32" priority="34" operator="equal">
      <formula>"?"</formula>
    </cfRule>
    <cfRule type="colorScale" priority="33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133:S143">
    <cfRule type="cellIs" dxfId="31" priority="31" operator="equal">
      <formula>"?"</formula>
    </cfRule>
  </conditionalFormatting>
  <conditionalFormatting sqref="S145:S148">
    <cfRule type="cellIs" dxfId="30" priority="29" operator="equal">
      <formula>"?"</formula>
    </cfRule>
  </conditionalFormatting>
  <conditionalFormatting sqref="S148">
    <cfRule type="colorScale" priority="28">
      <colorScale>
        <cfvo type="num" val="1"/>
        <cfvo type="percentile" val="50"/>
        <cfvo type="num" val="5"/>
        <color rgb="FFF8696B"/>
        <color rgb="FFFFEB84"/>
        <color rgb="FF63BE7B"/>
      </colorScale>
    </cfRule>
  </conditionalFormatting>
  <conditionalFormatting sqref="S149:S150">
    <cfRule type="cellIs" dxfId="29" priority="27" operator="equal">
      <formula>"?"</formula>
    </cfRule>
  </conditionalFormatting>
  <conditionalFormatting sqref="S152:S156">
    <cfRule type="cellIs" dxfId="28" priority="26" operator="equal">
      <formula>"?"</formula>
    </cfRule>
  </conditionalFormatting>
  <conditionalFormatting sqref="S159">
    <cfRule type="cellIs" dxfId="27" priority="25" operator="equal">
      <formula>"?"</formula>
    </cfRule>
  </conditionalFormatting>
  <conditionalFormatting sqref="S161:S162">
    <cfRule type="cellIs" dxfId="26" priority="23" operator="equal">
      <formula>"?"</formula>
    </cfRule>
  </conditionalFormatting>
  <conditionalFormatting sqref="S164:S165">
    <cfRule type="cellIs" dxfId="25" priority="22" operator="equal">
      <formula>"?"</formula>
    </cfRule>
  </conditionalFormatting>
  <conditionalFormatting sqref="S167:S169">
    <cfRule type="cellIs" dxfId="24" priority="20" operator="equal">
      <formula>"?"</formula>
    </cfRule>
  </conditionalFormatting>
  <conditionalFormatting sqref="S171:S172">
    <cfRule type="cellIs" dxfId="23" priority="19" operator="equal">
      <formula>"?"</formula>
    </cfRule>
  </conditionalFormatting>
  <conditionalFormatting sqref="S174:S175">
    <cfRule type="cellIs" dxfId="22" priority="18" operator="equal">
      <formula>"?"</formula>
    </cfRule>
  </conditionalFormatting>
  <conditionalFormatting sqref="S178:S179">
    <cfRule type="cellIs" dxfId="21" priority="17" operator="equal">
      <formula>"?"</formula>
    </cfRule>
  </conditionalFormatting>
  <conditionalFormatting sqref="S181:S182">
    <cfRule type="cellIs" dxfId="20" priority="15" operator="equal">
      <formula>"?"</formula>
    </cfRule>
  </conditionalFormatting>
  <conditionalFormatting sqref="S185:S189">
    <cfRule type="cellIs" dxfId="19" priority="14" operator="equal">
      <formula>"?"</formula>
    </cfRule>
  </conditionalFormatting>
  <conditionalFormatting sqref="S193:S197">
    <cfRule type="cellIs" dxfId="18" priority="12" operator="equal">
      <formula>"?"</formula>
    </cfRule>
  </conditionalFormatting>
  <conditionalFormatting sqref="S199:S200">
    <cfRule type="cellIs" dxfId="17" priority="11" operator="equal">
      <formula>"?"</formula>
    </cfRule>
  </conditionalFormatting>
  <conditionalFormatting sqref="S202">
    <cfRule type="cellIs" dxfId="16" priority="10" operator="equal">
      <formula>"?"</formula>
    </cfRule>
  </conditionalFormatting>
  <conditionalFormatting sqref="S204">
    <cfRule type="cellIs" dxfId="15" priority="9" operator="equal">
      <formula>"?"</formula>
    </cfRule>
  </conditionalFormatting>
  <conditionalFormatting sqref="S206:S217">
    <cfRule type="cellIs" dxfId="14" priority="7" operator="equal">
      <formula>"?"</formula>
    </cfRule>
  </conditionalFormatting>
  <conditionalFormatting sqref="S220">
    <cfRule type="cellIs" dxfId="13" priority="6" operator="equal">
      <formula>"?"</formula>
    </cfRule>
  </conditionalFormatting>
  <conditionalFormatting sqref="S223:S226">
    <cfRule type="cellIs" dxfId="12" priority="5" operator="equal">
      <formula>"?"</formula>
    </cfRule>
  </conditionalFormatting>
  <conditionalFormatting sqref="S228">
    <cfRule type="cellIs" dxfId="11" priority="4" operator="equal">
      <formula>"?"</formula>
    </cfRule>
  </conditionalFormatting>
  <conditionalFormatting sqref="S230:S232">
    <cfRule type="cellIs" dxfId="10" priority="3" operator="equal">
      <formula>"?"</formula>
    </cfRule>
  </conditionalFormatting>
  <conditionalFormatting sqref="S239:S241">
    <cfRule type="cellIs" dxfId="9" priority="2" operator="equal">
      <formula>"?"</formula>
    </cfRule>
  </conditionalFormatting>
  <conditionalFormatting sqref="S244:S248">
    <cfRule type="cellIs" dxfId="8" priority="1" operator="equal">
      <formula>"?"</formula>
    </cfRule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31DF-2FC9-41C4-B71B-B5A9E7E75C90}">
  <sheetPr>
    <tabColor theme="5" tint="0.79998168889431442"/>
  </sheetPr>
  <dimension ref="B1:H247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E5" sqref="E5"/>
    </sheetView>
  </sheetViews>
  <sheetFormatPr defaultColWidth="8.6328125" defaultRowHeight="12.5" outlineLevelRow="1"/>
  <cols>
    <col min="1" max="1" width="1.453125" customWidth="1"/>
    <col min="2" max="2" width="27.453125" bestFit="1" customWidth="1"/>
    <col min="3" max="3" width="12.36328125" bestFit="1" customWidth="1"/>
    <col min="4" max="4" width="14" style="6" bestFit="1" customWidth="1"/>
    <col min="5" max="5" width="45.54296875" style="7" bestFit="1" customWidth="1"/>
    <col min="6" max="8" width="13.6328125" bestFit="1" customWidth="1"/>
  </cols>
  <sheetData>
    <row r="1" spans="2:8">
      <c r="B1">
        <v>1</v>
      </c>
      <c r="C1">
        <f>+B1+1</f>
        <v>2</v>
      </c>
      <c r="D1">
        <f t="shared" ref="D1" si="0">+C1+1</f>
        <v>3</v>
      </c>
      <c r="E1">
        <f t="shared" ref="E1" si="1">+D1+1</f>
        <v>4</v>
      </c>
      <c r="F1">
        <f t="shared" ref="F1" si="2">+E1+1</f>
        <v>5</v>
      </c>
      <c r="G1">
        <f t="shared" ref="G1" si="3">+F1+1</f>
        <v>6</v>
      </c>
    </row>
    <row r="2" spans="2:8">
      <c r="D2"/>
      <c r="E2"/>
    </row>
    <row r="3" spans="2:8" ht="13">
      <c r="B3" s="6"/>
      <c r="C3" s="6"/>
      <c r="D3" s="5" t="s">
        <v>354</v>
      </c>
      <c r="E3" s="17" t="s">
        <v>324</v>
      </c>
      <c r="F3" s="155" t="s">
        <v>496</v>
      </c>
      <c r="G3" s="155" t="s">
        <v>497</v>
      </c>
      <c r="H3" s="155" t="s">
        <v>498</v>
      </c>
    </row>
    <row r="4" spans="2:8" ht="13">
      <c r="B4" s="5" t="s">
        <v>31</v>
      </c>
      <c r="C4" s="5" t="s">
        <v>32</v>
      </c>
      <c r="D4" s="5" t="s">
        <v>330</v>
      </c>
      <c r="E4" s="4" t="s">
        <v>331</v>
      </c>
      <c r="F4" s="3" t="s">
        <v>499</v>
      </c>
      <c r="G4" s="3" t="s">
        <v>499</v>
      </c>
      <c r="H4" s="3" t="s">
        <v>499</v>
      </c>
    </row>
    <row r="5" spans="2:8">
      <c r="B5" s="20" t="s">
        <v>70</v>
      </c>
      <c r="C5" s="20" t="s">
        <v>182</v>
      </c>
      <c r="E5" s="11" t="str">
        <f>+VLOOKUP(B5,'INT Web'!$B$5:$Q$247,'INT Web'!$Q$1,FALSE)</f>
        <v>USD</v>
      </c>
      <c r="F5" s="156"/>
      <c r="G5" s="160"/>
      <c r="H5" s="160"/>
    </row>
    <row r="6" spans="2:8">
      <c r="B6" s="20" t="s">
        <v>71</v>
      </c>
      <c r="C6" s="20" t="s">
        <v>100</v>
      </c>
      <c r="E6" s="13" t="str">
        <f>+VLOOKUP(B6,'INT Web'!$B$5:$Q$247,'INT Web'!$Q$1,FALSE)</f>
        <v>EUR</v>
      </c>
      <c r="F6" s="156"/>
      <c r="G6" s="160"/>
      <c r="H6" s="160"/>
    </row>
    <row r="7" spans="2:8">
      <c r="B7" s="20" t="s">
        <v>73</v>
      </c>
      <c r="C7" s="20" t="s">
        <v>100</v>
      </c>
      <c r="E7" s="13" t="str">
        <f>+VLOOKUP(B7,'INT Web'!$B$5:$Q$247,'INT Web'!$Q$1,FALSE)</f>
        <v>ALL</v>
      </c>
      <c r="F7" s="156"/>
      <c r="G7" s="160"/>
      <c r="H7" s="160"/>
    </row>
    <row r="8" spans="2:8">
      <c r="B8" s="20" t="s">
        <v>74</v>
      </c>
      <c r="C8" s="20" t="s">
        <v>270</v>
      </c>
      <c r="E8" s="13" t="str">
        <f>+VLOOKUP(B8,'INT Web'!$B$5:$Q$247,'INT Web'!$Q$1,FALSE)</f>
        <v>DZD</v>
      </c>
      <c r="F8" s="156"/>
      <c r="G8" s="160"/>
      <c r="H8" s="160"/>
    </row>
    <row r="9" spans="2:8">
      <c r="B9" s="20" t="s">
        <v>75</v>
      </c>
      <c r="C9" s="20" t="s">
        <v>182</v>
      </c>
      <c r="E9" s="13" t="str">
        <f>+VLOOKUP(B9,'INT Web'!$B$5:$Q$247,'INT Web'!$Q$1,FALSE)</f>
        <v>USD</v>
      </c>
      <c r="F9" s="156"/>
      <c r="G9" s="160"/>
      <c r="H9" s="160"/>
    </row>
    <row r="10" spans="2:8">
      <c r="B10" s="20" t="s">
        <v>76</v>
      </c>
      <c r="C10" s="20" t="s">
        <v>100</v>
      </c>
      <c r="E10" s="13" t="str">
        <f>+VLOOKUP(B10,'INT Web'!$B$5:$Q$247,'INT Web'!$Q$1,FALSE)</f>
        <v>EUR</v>
      </c>
      <c r="F10" s="156"/>
      <c r="G10" s="160"/>
      <c r="H10" s="160"/>
    </row>
    <row r="11" spans="2:8">
      <c r="B11" s="20" t="s">
        <v>77</v>
      </c>
      <c r="C11" s="20" t="s">
        <v>270</v>
      </c>
      <c r="E11" s="13" t="str">
        <f>+VLOOKUP(B11,'INT Web'!$B$5:$Q$247,'INT Web'!$Q$1,FALSE)</f>
        <v>USD</v>
      </c>
      <c r="F11" s="156"/>
      <c r="G11" s="160"/>
      <c r="H11" s="160"/>
    </row>
    <row r="12" spans="2:8">
      <c r="B12" s="20" t="s">
        <v>78</v>
      </c>
      <c r="C12" s="20" t="s">
        <v>96</v>
      </c>
      <c r="E12" s="13" t="str">
        <f>+VLOOKUP(B12,'INT Web'!$B$5:$Q$247,'INT Web'!$Q$1,FALSE)</f>
        <v>XCD</v>
      </c>
      <c r="F12" s="156"/>
      <c r="G12" s="160"/>
      <c r="H12" s="160"/>
    </row>
    <row r="13" spans="2:8">
      <c r="B13" s="20" t="s">
        <v>79</v>
      </c>
      <c r="C13" s="20" t="s">
        <v>100</v>
      </c>
      <c r="E13" s="13" t="str">
        <f>+VLOOKUP(B13,'INT Web'!$B$5:$Q$247,'INT Web'!$Q$1,FALSE)</f>
        <v>USD</v>
      </c>
      <c r="F13" s="156"/>
      <c r="G13" s="160"/>
      <c r="H13" s="160"/>
    </row>
    <row r="14" spans="2:8">
      <c r="B14" s="20" t="s">
        <v>80</v>
      </c>
      <c r="C14" s="20" t="s">
        <v>96</v>
      </c>
      <c r="E14" s="13" t="str">
        <f>+VLOOKUP(B14,'INT Web'!$B$5:$Q$247,'INT Web'!$Q$1,FALSE)</f>
        <v>XCD</v>
      </c>
      <c r="F14" s="156"/>
      <c r="G14" s="160"/>
      <c r="H14" s="160"/>
    </row>
    <row r="15" spans="2:8">
      <c r="B15" s="100" t="s">
        <v>81</v>
      </c>
      <c r="C15" s="100" t="s">
        <v>96</v>
      </c>
      <c r="D15" s="6" t="s">
        <v>345</v>
      </c>
      <c r="E15" s="13" t="str">
        <f>+VLOOKUP(B15,'INT Web'!$B$5:$Q$247,'INT Web'!$Q$1,FALSE)</f>
        <v>USD</v>
      </c>
      <c r="F15" s="156"/>
      <c r="G15" s="160"/>
      <c r="H15" s="160"/>
    </row>
    <row r="16" spans="2:8">
      <c r="B16" s="20" t="s">
        <v>82</v>
      </c>
      <c r="C16" s="20" t="s">
        <v>275</v>
      </c>
      <c r="E16" s="13" t="str">
        <f>+VLOOKUP(B16,'INT Web'!$B$5:$Q$247,'INT Web'!$Q$1,FALSE)</f>
        <v>AMD</v>
      </c>
      <c r="F16" s="156"/>
      <c r="G16" s="160"/>
      <c r="H16" s="160"/>
    </row>
    <row r="17" spans="2:8">
      <c r="B17" s="20" t="s">
        <v>83</v>
      </c>
      <c r="C17" s="20" t="s">
        <v>96</v>
      </c>
      <c r="E17" s="13" t="str">
        <f>+VLOOKUP(B17,'INT Web'!$B$5:$Q$247,'INT Web'!$Q$1,FALSE)</f>
        <v>AWG</v>
      </c>
      <c r="F17" s="156"/>
      <c r="G17" s="160"/>
      <c r="H17" s="160"/>
    </row>
    <row r="18" spans="2:8">
      <c r="B18" s="20" t="s">
        <v>84</v>
      </c>
      <c r="C18" s="20" t="s">
        <v>182</v>
      </c>
      <c r="D18" s="6" t="s">
        <v>347</v>
      </c>
      <c r="E18" s="13" t="str">
        <f>+VLOOKUP(B18,'INT Web'!$B$5:$Q$247,'INT Web'!$Q$1,FALSE)</f>
        <v>AUD</v>
      </c>
      <c r="F18" s="160">
        <v>0.1</v>
      </c>
      <c r="G18" s="160">
        <f t="shared" ref="G18:H19" si="4">+F18</f>
        <v>0.1</v>
      </c>
      <c r="H18" s="160">
        <f t="shared" si="4"/>
        <v>0.1</v>
      </c>
    </row>
    <row r="19" spans="2:8">
      <c r="B19" s="20" t="s">
        <v>85</v>
      </c>
      <c r="C19" s="20" t="s">
        <v>100</v>
      </c>
      <c r="E19" s="13" t="str">
        <f>+VLOOKUP(B19,'INT Web'!$B$5:$Q$247,'INT Web'!$Q$1,FALSE)</f>
        <v>EUR</v>
      </c>
      <c r="F19" s="160">
        <v>0.2</v>
      </c>
      <c r="G19" s="160">
        <f t="shared" si="4"/>
        <v>0.2</v>
      </c>
      <c r="H19" s="160">
        <f t="shared" si="4"/>
        <v>0.2</v>
      </c>
    </row>
    <row r="20" spans="2:8">
      <c r="B20" s="20" t="s">
        <v>86</v>
      </c>
      <c r="C20" s="20" t="s">
        <v>275</v>
      </c>
      <c r="E20" s="13" t="str">
        <f>+VLOOKUP(B20,'INT Web'!$B$5:$Q$247,'INT Web'!$Q$1,FALSE)</f>
        <v>AZN</v>
      </c>
      <c r="F20" s="113"/>
      <c r="G20" s="160"/>
      <c r="H20" s="160"/>
    </row>
    <row r="21" spans="2:8">
      <c r="B21" s="20" t="s">
        <v>87</v>
      </c>
      <c r="C21" s="20" t="s">
        <v>96</v>
      </c>
      <c r="E21" s="13" t="str">
        <f>+VLOOKUP(B21,'INT Web'!$B$5:$Q$247,'INT Web'!$Q$1,FALSE)</f>
        <v>BSD</v>
      </c>
      <c r="F21" s="160">
        <v>0.1</v>
      </c>
      <c r="G21" s="160">
        <f t="shared" ref="G21:H21" si="5">+F21</f>
        <v>0.1</v>
      </c>
      <c r="H21" s="160">
        <f t="shared" si="5"/>
        <v>0.1</v>
      </c>
    </row>
    <row r="22" spans="2:8">
      <c r="B22" s="20" t="s">
        <v>88</v>
      </c>
      <c r="C22" s="20" t="s">
        <v>275</v>
      </c>
      <c r="E22" s="151" t="str">
        <f>+VLOOKUP(B22,'INT Web'!$B$5:$Q$247,'INT Web'!$Q$1,FALSE)</f>
        <v>BHD</v>
      </c>
      <c r="F22" s="113"/>
      <c r="G22" s="160"/>
      <c r="H22" s="280">
        <v>0.1</v>
      </c>
    </row>
    <row r="23" spans="2:8">
      <c r="B23" s="20" t="s">
        <v>89</v>
      </c>
      <c r="C23" s="20" t="s">
        <v>182</v>
      </c>
      <c r="E23" s="13" t="str">
        <f>+VLOOKUP(B23,'INT Web'!$B$5:$Q$247,'INT Web'!$Q$1,FALSE)</f>
        <v>BDT</v>
      </c>
      <c r="F23" s="113"/>
      <c r="G23" s="160"/>
      <c r="H23" s="160"/>
    </row>
    <row r="24" spans="2:8">
      <c r="B24" s="20" t="s">
        <v>90</v>
      </c>
      <c r="C24" s="20" t="s">
        <v>96</v>
      </c>
      <c r="E24" s="13" t="str">
        <f>+VLOOKUP(B24,'INT Web'!$B$5:$Q$247,'INT Web'!$Q$1,FALSE)</f>
        <v>BBD</v>
      </c>
      <c r="F24" s="113"/>
      <c r="G24" s="160"/>
      <c r="H24" s="282">
        <v>0.17499999999999999</v>
      </c>
    </row>
    <row r="25" spans="2:8" hidden="1" outlineLevel="1">
      <c r="B25" s="20" t="s">
        <v>91</v>
      </c>
      <c r="C25" s="20" t="s">
        <v>100</v>
      </c>
      <c r="D25" s="27"/>
      <c r="E25" s="152" t="str">
        <f>+VLOOKUP(B25,'INT Web'!$B$5:$Q$247,'INT Web'!$Q$1,FALSE)</f>
        <v>BYN</v>
      </c>
      <c r="F25" s="113"/>
      <c r="G25" s="160"/>
      <c r="H25" s="160"/>
    </row>
    <row r="26" spans="2:8" collapsed="1">
      <c r="B26" s="20" t="s">
        <v>92</v>
      </c>
      <c r="C26" s="20" t="s">
        <v>100</v>
      </c>
      <c r="D26" s="6" t="s">
        <v>348</v>
      </c>
      <c r="E26" s="13" t="str">
        <f>+VLOOKUP(B26,'INT Web'!$B$5:$Q$247,'INT Web'!$Q$1,FALSE)</f>
        <v>EUR</v>
      </c>
      <c r="F26" s="160">
        <v>0.21</v>
      </c>
      <c r="G26" s="160">
        <f t="shared" ref="G26:H26" si="6">+F26</f>
        <v>0.21</v>
      </c>
      <c r="H26" s="160">
        <f t="shared" si="6"/>
        <v>0.21</v>
      </c>
    </row>
    <row r="27" spans="2:8">
      <c r="B27" s="20" t="s">
        <v>93</v>
      </c>
      <c r="C27" s="20" t="s">
        <v>96</v>
      </c>
      <c r="E27" s="13" t="str">
        <f>+VLOOKUP(B27,'INT Web'!$B$5:$Q$247,'INT Web'!$Q$1,FALSE)</f>
        <v>BZD</v>
      </c>
      <c r="F27" s="113"/>
      <c r="G27" s="160"/>
      <c r="H27" s="160"/>
    </row>
    <row r="28" spans="2:8">
      <c r="B28" s="20" t="s">
        <v>94</v>
      </c>
      <c r="C28" s="20" t="s">
        <v>270</v>
      </c>
      <c r="E28" s="153" t="str">
        <f>+VLOOKUP(B28,'INT Web'!$B$5:$Q$247,'INT Web'!$Q$1,FALSE)</f>
        <v>XOF</v>
      </c>
      <c r="F28" s="113"/>
      <c r="G28" s="160"/>
      <c r="H28" s="160"/>
    </row>
    <row r="29" spans="2:8">
      <c r="B29" s="20" t="s">
        <v>95</v>
      </c>
      <c r="C29" s="20" t="s">
        <v>96</v>
      </c>
      <c r="E29" s="13" t="str">
        <f>+VLOOKUP(B29,'INT Web'!$B$5:$Q$247,'INT Web'!$Q$1,FALSE)</f>
        <v>BMD</v>
      </c>
      <c r="F29" s="113"/>
      <c r="G29" s="160"/>
      <c r="H29" s="160"/>
    </row>
    <row r="30" spans="2:8">
      <c r="B30" s="20" t="s">
        <v>97</v>
      </c>
      <c r="C30" s="20" t="s">
        <v>182</v>
      </c>
      <c r="E30" s="13" t="str">
        <f>+VLOOKUP(B30,'INT Web'!$B$5:$Q$247,'INT Web'!$Q$1,FALSE)</f>
        <v>USD</v>
      </c>
      <c r="F30" s="113"/>
      <c r="G30" s="160"/>
      <c r="H30" s="160"/>
    </row>
    <row r="31" spans="2:8">
      <c r="B31" s="20" t="s">
        <v>98</v>
      </c>
      <c r="C31" s="20" t="s">
        <v>100</v>
      </c>
      <c r="E31" s="13" t="str">
        <f>+VLOOKUP(B31,'INT Web'!$B$5:$Q$247,'INT Web'!$Q$1,FALSE)</f>
        <v>BOB</v>
      </c>
      <c r="F31" s="113"/>
      <c r="G31" s="160"/>
      <c r="H31" s="160"/>
    </row>
    <row r="32" spans="2:8">
      <c r="B32" s="20" t="s">
        <v>99</v>
      </c>
      <c r="C32" s="20" t="s">
        <v>100</v>
      </c>
      <c r="E32" s="13" t="str">
        <f>+VLOOKUP(B32,'INT Web'!$B$5:$Q$247,'INT Web'!$Q$1,FALSE)</f>
        <v>USD</v>
      </c>
      <c r="F32" s="113"/>
      <c r="G32" s="160"/>
      <c r="H32" s="160"/>
    </row>
    <row r="33" spans="2:8">
      <c r="B33" s="20" t="s">
        <v>101</v>
      </c>
      <c r="C33" s="20" t="s">
        <v>100</v>
      </c>
      <c r="E33" s="13" t="str">
        <f>+VLOOKUP(B33,'INT Web'!$B$5:$Q$247,'INT Web'!$Q$1,FALSE)</f>
        <v>BAM</v>
      </c>
      <c r="F33" s="113"/>
      <c r="G33" s="160"/>
      <c r="H33" s="160"/>
    </row>
    <row r="34" spans="2:8">
      <c r="B34" s="20" t="s">
        <v>102</v>
      </c>
      <c r="C34" s="20" t="s">
        <v>270</v>
      </c>
      <c r="E34" s="13" t="str">
        <f>+VLOOKUP(B34,'INT Web'!$B$5:$Q$247,'INT Web'!$Q$1,FALSE)</f>
        <v>BWP</v>
      </c>
      <c r="F34" s="113"/>
      <c r="G34" s="160"/>
      <c r="H34" s="160"/>
    </row>
    <row r="35" spans="2:8">
      <c r="B35" s="20" t="s">
        <v>103</v>
      </c>
      <c r="C35" s="20" t="s">
        <v>100</v>
      </c>
      <c r="E35" s="13" t="str">
        <f>+VLOOKUP(B35,'INT Web'!$B$5:$Q$247,'INT Web'!$Q$1,FALSE)</f>
        <v>NOK</v>
      </c>
      <c r="F35" s="113"/>
      <c r="G35" s="160"/>
      <c r="H35" s="160"/>
    </row>
    <row r="36" spans="2:8">
      <c r="B36" s="20" t="s">
        <v>104</v>
      </c>
      <c r="C36" s="20" t="s">
        <v>96</v>
      </c>
      <c r="D36" s="6" t="s">
        <v>345</v>
      </c>
      <c r="E36" s="13" t="str">
        <f>+VLOOKUP(B36,'INT Web'!$B$5:$Q$247,'INT Web'!$Q$1,FALSE)</f>
        <v>BRL</v>
      </c>
      <c r="F36" s="113"/>
      <c r="G36" s="160"/>
      <c r="H36" s="160"/>
    </row>
    <row r="37" spans="2:8">
      <c r="B37" s="20" t="s">
        <v>105</v>
      </c>
      <c r="C37" s="20" t="s">
        <v>182</v>
      </c>
      <c r="E37" s="13" t="str">
        <f>+VLOOKUP(B37,'INT Web'!$B$5:$Q$247,'INT Web'!$Q$1,FALSE)</f>
        <v>USD</v>
      </c>
      <c r="F37" s="113"/>
      <c r="G37" s="160"/>
      <c r="H37" s="160"/>
    </row>
    <row r="38" spans="2:8">
      <c r="B38" s="20" t="s">
        <v>106</v>
      </c>
      <c r="C38" s="20" t="s">
        <v>96</v>
      </c>
      <c r="E38" s="13" t="str">
        <f>+VLOOKUP(B38,'INT Web'!$B$5:$Q$247,'INT Web'!$Q$1,FALSE)</f>
        <v>USD</v>
      </c>
      <c r="F38" s="113"/>
      <c r="G38" s="160"/>
      <c r="H38" s="160"/>
    </row>
    <row r="39" spans="2:8">
      <c r="B39" s="20" t="s">
        <v>107</v>
      </c>
      <c r="C39" s="20" t="s">
        <v>182</v>
      </c>
      <c r="E39" s="13" t="str">
        <f>+VLOOKUP(B39,'INT Web'!$B$5:$Q$247,'INT Web'!$Q$1,FALSE)</f>
        <v>BND</v>
      </c>
      <c r="F39" s="113"/>
      <c r="G39" s="160"/>
      <c r="H39" s="160"/>
    </row>
    <row r="40" spans="2:8" ht="13.4" customHeight="1">
      <c r="B40" s="20" t="s">
        <v>108</v>
      </c>
      <c r="C40" s="20" t="s">
        <v>100</v>
      </c>
      <c r="E40" s="13" t="str">
        <f>+VLOOKUP(B40,'INT Web'!$B$5:$Q$247,'INT Web'!$Q$1,FALSE)</f>
        <v>EUR</v>
      </c>
      <c r="F40" s="160">
        <v>0.2</v>
      </c>
      <c r="G40" s="160">
        <f t="shared" ref="G40:H40" si="7">+F40</f>
        <v>0.2</v>
      </c>
      <c r="H40" s="160">
        <f t="shared" si="7"/>
        <v>0.2</v>
      </c>
    </row>
    <row r="41" spans="2:8">
      <c r="B41" s="20" t="s">
        <v>109</v>
      </c>
      <c r="C41" s="20" t="s">
        <v>270</v>
      </c>
      <c r="E41" s="153" t="str">
        <f>+VLOOKUP(B41,'INT Web'!$B$5:$Q$247,'INT Web'!$Q$1,FALSE)</f>
        <v>XOF</v>
      </c>
      <c r="F41" s="156"/>
      <c r="G41" s="160"/>
      <c r="H41" s="160"/>
    </row>
    <row r="42" spans="2:8">
      <c r="B42" s="20" t="s">
        <v>110</v>
      </c>
      <c r="C42" s="20" t="s">
        <v>270</v>
      </c>
      <c r="E42" s="13" t="str">
        <f>+VLOOKUP(B42,'INT Web'!$B$5:$Q$247,'INT Web'!$Q$1,FALSE)</f>
        <v>USD</v>
      </c>
      <c r="F42" s="156"/>
      <c r="G42" s="160"/>
      <c r="H42" s="160"/>
    </row>
    <row r="43" spans="2:8">
      <c r="B43" s="20" t="s">
        <v>111</v>
      </c>
      <c r="C43" s="20" t="s">
        <v>182</v>
      </c>
      <c r="E43" s="13" t="str">
        <f>+VLOOKUP(B43,'INT Web'!$B$5:$Q$247,'INT Web'!$Q$1,FALSE)</f>
        <v>KHR</v>
      </c>
      <c r="F43" s="156"/>
      <c r="G43" s="160"/>
      <c r="H43" s="160"/>
    </row>
    <row r="44" spans="2:8" ht="13.4" customHeight="1">
      <c r="B44" s="20" t="s">
        <v>112</v>
      </c>
      <c r="C44" s="20" t="s">
        <v>270</v>
      </c>
      <c r="E44" s="153" t="str">
        <f>+VLOOKUP(B44,'INT Web'!$B$5:$Q$247,'INT Web'!$Q$1,FALSE)</f>
        <v>XAF</v>
      </c>
      <c r="F44" s="156"/>
      <c r="G44" s="160"/>
      <c r="H44" s="160"/>
    </row>
    <row r="45" spans="2:8">
      <c r="B45" s="20" t="s">
        <v>113</v>
      </c>
      <c r="C45" s="20" t="s">
        <v>113</v>
      </c>
      <c r="D45" s="6" t="s">
        <v>349</v>
      </c>
      <c r="E45" s="13" t="str">
        <f>+VLOOKUP(B45,'INT Web'!$B$5:$Q$247,'INT Web'!$Q$1,FALSE)</f>
        <v>CAD</v>
      </c>
      <c r="F45" s="281" t="s">
        <v>500</v>
      </c>
      <c r="G45" s="161" t="str">
        <f t="shared" ref="G45:H45" si="8">+F45</f>
        <v>5% - 15%</v>
      </c>
      <c r="H45" s="161" t="str">
        <f t="shared" si="8"/>
        <v>5% - 15%</v>
      </c>
    </row>
    <row r="46" spans="2:8" ht="13.4" customHeight="1">
      <c r="B46" s="20" t="s">
        <v>114</v>
      </c>
      <c r="C46" s="20" t="s">
        <v>270</v>
      </c>
      <c r="E46" s="153" t="str">
        <f>+VLOOKUP(B46,'INT Web'!$B$5:$Q$247,'INT Web'!$Q$1,FALSE)</f>
        <v>CVE</v>
      </c>
      <c r="F46" s="156"/>
      <c r="G46" s="160"/>
      <c r="H46" s="160"/>
    </row>
    <row r="47" spans="2:8" ht="13.4" customHeight="1">
      <c r="B47" s="20" t="s">
        <v>115</v>
      </c>
      <c r="C47" s="20" t="s">
        <v>96</v>
      </c>
      <c r="E47" s="13" t="str">
        <f>+VLOOKUP(B47,'INT Web'!$B$5:$Q$247,'INT Web'!$Q$1,FALSE)</f>
        <v>USD</v>
      </c>
      <c r="F47" s="156"/>
      <c r="G47" s="160"/>
      <c r="H47" s="160"/>
    </row>
    <row r="48" spans="2:8" ht="13.4" customHeight="1">
      <c r="B48" s="20" t="s">
        <v>116</v>
      </c>
      <c r="C48" s="20" t="s">
        <v>270</v>
      </c>
      <c r="E48" s="153" t="str">
        <f>+VLOOKUP(B48,'INT Web'!$B$5:$Q$247,'INT Web'!$Q$1,FALSE)</f>
        <v>XAF</v>
      </c>
      <c r="F48" s="156"/>
      <c r="G48" s="160"/>
      <c r="H48" s="160"/>
    </row>
    <row r="49" spans="2:8" ht="13.4" customHeight="1">
      <c r="B49" s="20" t="s">
        <v>117</v>
      </c>
      <c r="C49" s="20" t="s">
        <v>270</v>
      </c>
      <c r="E49" s="153" t="str">
        <f>+VLOOKUP(B49,'INT Web'!$B$5:$Q$247,'INT Web'!$Q$1,FALSE)</f>
        <v>XAF</v>
      </c>
      <c r="F49" s="156"/>
      <c r="G49" s="160"/>
      <c r="H49" s="160"/>
    </row>
    <row r="50" spans="2:8">
      <c r="B50" s="20" t="s">
        <v>118</v>
      </c>
      <c r="C50" s="20" t="s">
        <v>96</v>
      </c>
      <c r="D50" s="6" t="s">
        <v>348</v>
      </c>
      <c r="E50" s="13" t="str">
        <f>+VLOOKUP(B50,'INT Web'!$B$5:$Q$247,'INT Web'!$Q$1,FALSE)</f>
        <v>CLP</v>
      </c>
      <c r="F50" s="160">
        <v>0.19</v>
      </c>
      <c r="G50" s="160">
        <f t="shared" ref="G50:H50" si="9">+F50</f>
        <v>0.19</v>
      </c>
      <c r="H50" s="160">
        <f t="shared" si="9"/>
        <v>0.19</v>
      </c>
    </row>
    <row r="51" spans="2:8">
      <c r="B51" s="20" t="s">
        <v>119</v>
      </c>
      <c r="C51" s="20" t="s">
        <v>182</v>
      </c>
      <c r="E51" s="13" t="str">
        <f>+VLOOKUP(B51,'INT Web'!$B$5:$Q$247,'INT Web'!$Q$1,FALSE)</f>
        <v>AUD</v>
      </c>
      <c r="F51" s="160"/>
      <c r="G51" s="160"/>
      <c r="H51" s="160"/>
    </row>
    <row r="52" spans="2:8">
      <c r="B52" s="20" t="s">
        <v>120</v>
      </c>
      <c r="C52" s="20" t="s">
        <v>182</v>
      </c>
      <c r="E52" s="13" t="str">
        <f>+VLOOKUP(B52,'INT Web'!$B$5:$Q$247,'INT Web'!$Q$1,FALSE)</f>
        <v>AUD</v>
      </c>
      <c r="F52" s="160"/>
      <c r="G52" s="160"/>
      <c r="H52" s="160"/>
    </row>
    <row r="53" spans="2:8">
      <c r="B53" s="20" t="s">
        <v>121</v>
      </c>
      <c r="C53" s="20" t="s">
        <v>96</v>
      </c>
      <c r="E53" s="13" t="str">
        <f>+VLOOKUP(B53,'INT Web'!$B$5:$Q$247,'INT Web'!$Q$1,FALSE)</f>
        <v>COP</v>
      </c>
      <c r="F53" s="160">
        <v>0.19</v>
      </c>
      <c r="G53" s="160">
        <f t="shared" ref="G53:H53" si="10">+F53</f>
        <v>0.19</v>
      </c>
      <c r="H53" s="160">
        <f t="shared" si="10"/>
        <v>0.19</v>
      </c>
    </row>
    <row r="54" spans="2:8">
      <c r="B54" s="20" t="s">
        <v>122</v>
      </c>
      <c r="C54" s="20" t="s">
        <v>270</v>
      </c>
      <c r="E54" s="153" t="str">
        <f>+VLOOKUP(B54,'INT Web'!$B$5:$Q$247,'INT Web'!$Q$1,FALSE)</f>
        <v>KMF</v>
      </c>
      <c r="F54" s="160"/>
      <c r="G54" s="160"/>
      <c r="H54" s="160"/>
    </row>
    <row r="55" spans="2:8">
      <c r="B55" s="20" t="s">
        <v>123</v>
      </c>
      <c r="C55" s="20" t="s">
        <v>270</v>
      </c>
      <c r="E55" s="153" t="str">
        <f>+VLOOKUP(B55,'INT Web'!$B$5:$Q$247,'INT Web'!$Q$1,FALSE)</f>
        <v>XAF</v>
      </c>
      <c r="F55" s="160"/>
      <c r="G55" s="160"/>
      <c r="H55" s="160"/>
    </row>
    <row r="56" spans="2:8">
      <c r="B56" s="20" t="s">
        <v>124</v>
      </c>
      <c r="C56" s="20" t="s">
        <v>182</v>
      </c>
      <c r="E56" s="13" t="str">
        <f>+VLOOKUP(B56,'INT Web'!$B$5:$Q$247,'INT Web'!$Q$1,FALSE)</f>
        <v>NZD</v>
      </c>
      <c r="F56" s="160"/>
      <c r="G56" s="160"/>
      <c r="H56" s="160"/>
    </row>
    <row r="57" spans="2:8">
      <c r="B57" s="20" t="s">
        <v>125</v>
      </c>
      <c r="C57" s="20" t="s">
        <v>96</v>
      </c>
      <c r="E57" s="13" t="str">
        <f>+VLOOKUP(B57,'INT Web'!$B$5:$Q$247,'INT Web'!$Q$1,FALSE)</f>
        <v>CRC</v>
      </c>
      <c r="F57" s="160"/>
      <c r="G57" s="160"/>
      <c r="H57" s="160"/>
    </row>
    <row r="58" spans="2:8">
      <c r="B58" s="20" t="s">
        <v>126</v>
      </c>
      <c r="C58" s="20" t="s">
        <v>270</v>
      </c>
      <c r="E58" s="153" t="str">
        <f>+VLOOKUP(B58,'INT Web'!$B$5:$Q$247,'INT Web'!$Q$1,FALSE)</f>
        <v>XOF</v>
      </c>
      <c r="F58" s="160"/>
      <c r="G58" s="160"/>
      <c r="H58" s="160"/>
    </row>
    <row r="59" spans="2:8">
      <c r="B59" s="20" t="s">
        <v>127</v>
      </c>
      <c r="C59" s="20" t="s">
        <v>100</v>
      </c>
      <c r="E59" s="13" t="str">
        <f>+VLOOKUP(B59,'INT Web'!$B$5:$Q$247,'INT Web'!$Q$1,FALSE)</f>
        <v>EUR</v>
      </c>
      <c r="F59" s="160">
        <v>0.25</v>
      </c>
      <c r="G59" s="160">
        <f t="shared" ref="G59:H59" si="11">+F59</f>
        <v>0.25</v>
      </c>
      <c r="H59" s="160">
        <f t="shared" si="11"/>
        <v>0.25</v>
      </c>
    </row>
    <row r="60" spans="2:8">
      <c r="B60" s="20" t="s">
        <v>128</v>
      </c>
      <c r="C60" s="20" t="s">
        <v>96</v>
      </c>
      <c r="E60" s="13" t="str">
        <f>+VLOOKUP(B60,'INT Web'!$B$5:$Q$247,'INT Web'!$Q$1,FALSE)</f>
        <v>ANG</v>
      </c>
      <c r="F60" s="160"/>
      <c r="G60" s="160"/>
      <c r="H60" s="160"/>
    </row>
    <row r="61" spans="2:8">
      <c r="B61" s="20" t="s">
        <v>129</v>
      </c>
      <c r="C61" s="20" t="s">
        <v>100</v>
      </c>
      <c r="E61" s="13" t="str">
        <f>+VLOOKUP(B61,'INT Web'!$B$5:$Q$247,'INT Web'!$Q$1,FALSE)</f>
        <v>EUR</v>
      </c>
      <c r="F61" s="160">
        <v>0.19</v>
      </c>
      <c r="G61" s="160">
        <f t="shared" ref="G61:H62" si="12">+F61</f>
        <v>0.19</v>
      </c>
      <c r="H61" s="160">
        <f t="shared" si="12"/>
        <v>0.19</v>
      </c>
    </row>
    <row r="62" spans="2:8">
      <c r="B62" s="20" t="s">
        <v>130</v>
      </c>
      <c r="C62" s="20" t="s">
        <v>100</v>
      </c>
      <c r="E62" s="13" t="str">
        <f>+VLOOKUP(B62,'INT Web'!$B$5:$Q$247,'INT Web'!$Q$1,FALSE)</f>
        <v>CZK</v>
      </c>
      <c r="F62" s="160">
        <v>0.21</v>
      </c>
      <c r="G62" s="160">
        <f t="shared" si="12"/>
        <v>0.21</v>
      </c>
      <c r="H62" s="160">
        <f t="shared" si="12"/>
        <v>0.21</v>
      </c>
    </row>
    <row r="63" spans="2:8">
      <c r="B63" s="20" t="s">
        <v>131</v>
      </c>
      <c r="C63" s="20" t="s">
        <v>270</v>
      </c>
      <c r="E63" s="13" t="str">
        <f>+VLOOKUP(B63,'INT Web'!$B$5:$Q$247,'INT Web'!$Q$1,FALSE)</f>
        <v>USD</v>
      </c>
      <c r="F63" s="160"/>
      <c r="G63" s="160"/>
      <c r="H63" s="160"/>
    </row>
    <row r="64" spans="2:8">
      <c r="B64" s="20" t="s">
        <v>132</v>
      </c>
      <c r="C64" s="20" t="s">
        <v>100</v>
      </c>
      <c r="E64" s="13" t="str">
        <f>+VLOOKUP(B64,'INT Web'!$B$5:$Q$247,'INT Web'!$Q$1,FALSE)</f>
        <v>DKK</v>
      </c>
      <c r="F64" s="160">
        <v>0.25</v>
      </c>
      <c r="G64" s="160">
        <f t="shared" ref="G64:H64" si="13">+F64</f>
        <v>0.25</v>
      </c>
      <c r="H64" s="160">
        <f t="shared" si="13"/>
        <v>0.25</v>
      </c>
    </row>
    <row r="65" spans="2:8" ht="13.4" customHeight="1">
      <c r="B65" s="20" t="s">
        <v>133</v>
      </c>
      <c r="C65" s="20" t="s">
        <v>270</v>
      </c>
      <c r="E65" s="153" t="str">
        <f>+VLOOKUP(B65,'INT Web'!$B$5:$Q$247,'INT Web'!$Q$1,FALSE)</f>
        <v>DJF</v>
      </c>
      <c r="F65" s="160"/>
      <c r="G65" s="160"/>
      <c r="H65" s="160"/>
    </row>
    <row r="66" spans="2:8" ht="13.4" customHeight="1">
      <c r="B66" s="20" t="s">
        <v>134</v>
      </c>
      <c r="C66" s="20" t="s">
        <v>96</v>
      </c>
      <c r="E66" s="13" t="str">
        <f>+VLOOKUP(B66,'INT Web'!$B$5:$Q$247,'INT Web'!$Q$1,FALSE)</f>
        <v>XCD</v>
      </c>
      <c r="F66" s="160"/>
      <c r="G66" s="160"/>
      <c r="H66" s="160"/>
    </row>
    <row r="67" spans="2:8">
      <c r="B67" s="20" t="s">
        <v>135</v>
      </c>
      <c r="C67" s="20" t="s">
        <v>96</v>
      </c>
      <c r="D67" s="6" t="s">
        <v>350</v>
      </c>
      <c r="E67" s="13" t="str">
        <f>+VLOOKUP(B67,'INT Web'!$B$5:$Q$247,'INT Web'!$Q$1,FALSE)</f>
        <v>DOP</v>
      </c>
      <c r="F67" s="160"/>
      <c r="G67" s="160"/>
      <c r="H67" s="160"/>
    </row>
    <row r="68" spans="2:8">
      <c r="B68" s="20" t="s">
        <v>136</v>
      </c>
      <c r="C68" s="20" t="s">
        <v>96</v>
      </c>
      <c r="E68" s="13" t="str">
        <f>+VLOOKUP(B68,'INT Web'!$B$5:$Q$247,'INT Web'!$Q$1,FALSE)</f>
        <v>USD</v>
      </c>
      <c r="F68" s="160"/>
      <c r="G68" s="160"/>
      <c r="H68" s="160"/>
    </row>
    <row r="69" spans="2:8">
      <c r="B69" s="100" t="s">
        <v>137</v>
      </c>
      <c r="C69" s="100" t="s">
        <v>270</v>
      </c>
      <c r="E69" s="13" t="str">
        <f>+VLOOKUP(B69,'INT Web'!$B$5:$Q$247,'INT Web'!$Q$1,FALSE)</f>
        <v>EGP</v>
      </c>
      <c r="F69" s="160"/>
      <c r="G69" s="160"/>
      <c r="H69" s="160"/>
    </row>
    <row r="70" spans="2:8">
      <c r="B70" s="20" t="s">
        <v>138</v>
      </c>
      <c r="C70" s="20" t="s">
        <v>96</v>
      </c>
      <c r="E70" s="13" t="str">
        <f>+VLOOKUP(B70,'INT Web'!$B$5:$Q$247,'INT Web'!$Q$1,FALSE)</f>
        <v>USD</v>
      </c>
      <c r="F70" s="160"/>
      <c r="G70" s="160"/>
      <c r="H70" s="160"/>
    </row>
    <row r="71" spans="2:8">
      <c r="B71" s="20" t="s">
        <v>139</v>
      </c>
      <c r="C71" s="20" t="s">
        <v>270</v>
      </c>
      <c r="E71" s="153" t="str">
        <f>+VLOOKUP(B71,'INT Web'!$B$5:$Q$247,'INT Web'!$Q$1,FALSE)</f>
        <v>XAF</v>
      </c>
      <c r="F71" s="160"/>
      <c r="G71" s="160"/>
      <c r="H71" s="160"/>
    </row>
    <row r="72" spans="2:8">
      <c r="B72" s="20" t="s">
        <v>140</v>
      </c>
      <c r="C72" s="20" t="s">
        <v>270</v>
      </c>
      <c r="E72" s="13" t="str">
        <f>+VLOOKUP(B72,'INT Web'!$B$5:$Q$247,'INT Web'!$Q$1,FALSE)</f>
        <v>USD</v>
      </c>
      <c r="F72" s="160"/>
      <c r="G72" s="160"/>
      <c r="H72" s="160"/>
    </row>
    <row r="73" spans="2:8">
      <c r="B73" s="20" t="s">
        <v>141</v>
      </c>
      <c r="C73" s="20" t="s">
        <v>100</v>
      </c>
      <c r="E73" s="13" t="str">
        <f>+VLOOKUP(B73,'INT Web'!$B$5:$Q$247,'INT Web'!$Q$1,FALSE)</f>
        <v>EUR</v>
      </c>
      <c r="F73" s="160">
        <v>0.22</v>
      </c>
      <c r="G73" s="160">
        <v>0.24</v>
      </c>
      <c r="H73" s="160">
        <v>0.24</v>
      </c>
    </row>
    <row r="74" spans="2:8">
      <c r="B74" s="20" t="s">
        <v>142</v>
      </c>
      <c r="C74" s="20" t="s">
        <v>270</v>
      </c>
      <c r="E74" s="13" t="str">
        <f>+VLOOKUP(B74,'INT Web'!$B$5:$Q$247,'INT Web'!$Q$1,FALSE)</f>
        <v>SZL</v>
      </c>
      <c r="F74" s="156"/>
      <c r="G74" s="160"/>
      <c r="H74" s="160"/>
    </row>
    <row r="75" spans="2:8">
      <c r="B75" s="20" t="s">
        <v>143</v>
      </c>
      <c r="C75" s="20" t="s">
        <v>270</v>
      </c>
      <c r="E75" s="13" t="str">
        <f>+VLOOKUP(B75,'INT Web'!$B$5:$Q$247,'INT Web'!$Q$1,FALSE)</f>
        <v>ETB</v>
      </c>
      <c r="F75" s="156"/>
      <c r="G75" s="160"/>
      <c r="H75" s="160"/>
    </row>
    <row r="76" spans="2:8" ht="13.4" customHeight="1">
      <c r="B76" s="20" t="s">
        <v>144</v>
      </c>
      <c r="C76" s="20" t="s">
        <v>96</v>
      </c>
      <c r="E76" s="13" t="str">
        <f>+VLOOKUP(B76,'INT Web'!$B$5:$Q$247,'INT Web'!$Q$1,FALSE)</f>
        <v>FKP</v>
      </c>
      <c r="F76" s="156"/>
      <c r="G76" s="160"/>
      <c r="H76" s="160"/>
    </row>
    <row r="77" spans="2:8">
      <c r="B77" s="20" t="s">
        <v>145</v>
      </c>
      <c r="C77" s="20" t="s">
        <v>100</v>
      </c>
      <c r="E77" s="13" t="str">
        <f>+VLOOKUP(B77,'INT Web'!$B$5:$Q$247,'INT Web'!$Q$1,FALSE)</f>
        <v>DKK</v>
      </c>
      <c r="F77" s="156"/>
      <c r="G77" s="160"/>
      <c r="H77" s="160"/>
    </row>
    <row r="78" spans="2:8">
      <c r="B78" s="20" t="s">
        <v>146</v>
      </c>
      <c r="C78" s="20" t="s">
        <v>182</v>
      </c>
      <c r="E78" s="13" t="str">
        <f>+VLOOKUP(B78,'INT Web'!$B$5:$Q$247,'INT Web'!$Q$1,FALSE)</f>
        <v>FJD</v>
      </c>
      <c r="F78" s="156"/>
      <c r="G78" s="160"/>
      <c r="H78" s="160"/>
    </row>
    <row r="79" spans="2:8">
      <c r="B79" s="20" t="s">
        <v>147</v>
      </c>
      <c r="C79" s="20" t="s">
        <v>100</v>
      </c>
      <c r="E79" s="13" t="str">
        <f>+VLOOKUP(B79,'INT Web'!$B$5:$Q$247,'INT Web'!$Q$1,FALSE)</f>
        <v>EUR</v>
      </c>
      <c r="F79" s="159">
        <v>0.255</v>
      </c>
      <c r="G79" s="160">
        <f t="shared" ref="G79:H79" si="14">+F79</f>
        <v>0.255</v>
      </c>
      <c r="H79" s="160">
        <f t="shared" si="14"/>
        <v>0.255</v>
      </c>
    </row>
    <row r="80" spans="2:8">
      <c r="B80" s="20" t="s">
        <v>148</v>
      </c>
      <c r="C80" s="20" t="s">
        <v>100</v>
      </c>
      <c r="D80" s="6" t="s">
        <v>347</v>
      </c>
      <c r="E80" s="13" t="str">
        <f>+VLOOKUP(B80,'INT Web'!$B$5:$Q$247,'INT Web'!$Q$1,FALSE)</f>
        <v>EUR</v>
      </c>
      <c r="F80" s="160">
        <v>0.2</v>
      </c>
      <c r="G80" s="160">
        <f t="shared" ref="G80:H80" si="15">+F80</f>
        <v>0.2</v>
      </c>
      <c r="H80" s="160">
        <f t="shared" si="15"/>
        <v>0.2</v>
      </c>
    </row>
    <row r="81" spans="2:8" ht="13.4" customHeight="1">
      <c r="B81" s="20" t="s">
        <v>149</v>
      </c>
      <c r="C81" s="21" t="s">
        <v>100</v>
      </c>
      <c r="E81" s="13" t="str">
        <f>+VLOOKUP(B81,'INT Web'!$B$5:$Q$247,'INT Web'!$Q$1,FALSE)</f>
        <v>EUR</v>
      </c>
      <c r="F81" s="160"/>
      <c r="G81" s="160"/>
      <c r="H81" s="160"/>
    </row>
    <row r="82" spans="2:8">
      <c r="B82" s="20" t="s">
        <v>150</v>
      </c>
      <c r="C82" s="20" t="s">
        <v>182</v>
      </c>
      <c r="E82" s="153" t="str">
        <f>+VLOOKUP(B82,'INT Web'!$B$5:$Q$247,'INT Web'!$Q$1,FALSE)</f>
        <v>XPF</v>
      </c>
      <c r="F82" s="160"/>
      <c r="G82" s="160"/>
      <c r="H82" s="160"/>
    </row>
    <row r="83" spans="2:8">
      <c r="B83" s="20" t="s">
        <v>151</v>
      </c>
      <c r="C83" s="20" t="s">
        <v>100</v>
      </c>
      <c r="E83" s="13" t="str">
        <f>+VLOOKUP(B83,'INT Web'!$B$5:$Q$247,'INT Web'!$Q$1,FALSE)</f>
        <v>EUR</v>
      </c>
      <c r="F83" s="160"/>
      <c r="G83" s="160"/>
      <c r="H83" s="160"/>
    </row>
    <row r="84" spans="2:8">
      <c r="B84" s="20" t="s">
        <v>152</v>
      </c>
      <c r="C84" s="20" t="s">
        <v>270</v>
      </c>
      <c r="E84" s="153" t="str">
        <f>+VLOOKUP(B84,'INT Web'!$B$5:$Q$247,'INT Web'!$Q$1,FALSE)</f>
        <v>XAF</v>
      </c>
      <c r="F84" s="160"/>
      <c r="G84" s="160"/>
      <c r="H84" s="160"/>
    </row>
    <row r="85" spans="2:8">
      <c r="B85" s="20" t="s">
        <v>153</v>
      </c>
      <c r="C85" s="20" t="s">
        <v>270</v>
      </c>
      <c r="E85" s="13" t="str">
        <f>+VLOOKUP(B85,'INT Web'!$B$5:$Q$247,'INT Web'!$Q$1,FALSE)</f>
        <v>GMD</v>
      </c>
      <c r="F85" s="160"/>
      <c r="G85" s="160"/>
      <c r="H85" s="160"/>
    </row>
    <row r="86" spans="2:8">
      <c r="B86" s="20" t="s">
        <v>154</v>
      </c>
      <c r="C86" s="20" t="s">
        <v>275</v>
      </c>
      <c r="E86" s="13" t="str">
        <f>+VLOOKUP(B86,'INT Web'!$B$5:$Q$247,'INT Web'!$Q$1,FALSE)</f>
        <v>GEL</v>
      </c>
      <c r="F86" s="160"/>
      <c r="G86" s="160"/>
      <c r="H86" s="280">
        <v>0.18</v>
      </c>
    </row>
    <row r="87" spans="2:8">
      <c r="B87" s="20" t="s">
        <v>155</v>
      </c>
      <c r="C87" s="20" t="s">
        <v>100</v>
      </c>
      <c r="D87" s="6" t="s">
        <v>347</v>
      </c>
      <c r="E87" s="13" t="str">
        <f>+VLOOKUP(B87,'INT Web'!$B$5:$Q$247,'INT Web'!$Q$1,FALSE)</f>
        <v>EUR</v>
      </c>
      <c r="F87" s="160">
        <v>0.19</v>
      </c>
      <c r="G87" s="160">
        <f t="shared" ref="G87:H87" si="16">+F87</f>
        <v>0.19</v>
      </c>
      <c r="H87" s="160">
        <f t="shared" si="16"/>
        <v>0.19</v>
      </c>
    </row>
    <row r="88" spans="2:8">
      <c r="B88" s="100" t="s">
        <v>156</v>
      </c>
      <c r="C88" s="100" t="s">
        <v>270</v>
      </c>
      <c r="E88" s="13" t="str">
        <f>+VLOOKUP(B88,'INT Web'!$B$5:$Q$247,'INT Web'!$Q$1,FALSE)</f>
        <v>GHS</v>
      </c>
      <c r="F88" s="160"/>
      <c r="G88" s="160"/>
      <c r="H88" s="160"/>
    </row>
    <row r="89" spans="2:8">
      <c r="B89" s="20" t="s">
        <v>157</v>
      </c>
      <c r="C89" s="20" t="s">
        <v>100</v>
      </c>
      <c r="E89" s="13" t="str">
        <f>+VLOOKUP(B89,'INT Web'!$B$5:$Q$247,'INT Web'!$Q$1,FALSE)</f>
        <v>GIP</v>
      </c>
      <c r="F89" s="160"/>
      <c r="G89" s="160"/>
      <c r="H89" s="160"/>
    </row>
    <row r="90" spans="2:8">
      <c r="B90" s="20" t="s">
        <v>158</v>
      </c>
      <c r="C90" s="20" t="s">
        <v>100</v>
      </c>
      <c r="D90" s="6" t="s">
        <v>348</v>
      </c>
      <c r="E90" s="13" t="str">
        <f>+VLOOKUP(B90,'INT Web'!$B$5:$Q$247,'INT Web'!$Q$1,FALSE)</f>
        <v>EUR</v>
      </c>
      <c r="F90" s="160">
        <v>0.24</v>
      </c>
      <c r="G90" s="160">
        <f t="shared" ref="G90:H90" si="17">+F90</f>
        <v>0.24</v>
      </c>
      <c r="H90" s="160">
        <f t="shared" si="17"/>
        <v>0.24</v>
      </c>
    </row>
    <row r="91" spans="2:8">
      <c r="B91" s="20" t="s">
        <v>159</v>
      </c>
      <c r="C91" s="20" t="s">
        <v>100</v>
      </c>
      <c r="E91" s="13" t="str">
        <f>+VLOOKUP(B91,'INT Web'!$B$5:$Q$247,'INT Web'!$Q$1,FALSE)</f>
        <v>DKK</v>
      </c>
      <c r="F91" s="160"/>
      <c r="G91" s="160"/>
      <c r="H91" s="160"/>
    </row>
    <row r="92" spans="2:8">
      <c r="B92" s="20" t="s">
        <v>160</v>
      </c>
      <c r="C92" s="20" t="s">
        <v>96</v>
      </c>
      <c r="E92" s="13" t="str">
        <f>+VLOOKUP(B92,'INT Web'!$B$5:$Q$247,'INT Web'!$Q$1,FALSE)</f>
        <v>XCD</v>
      </c>
      <c r="F92" s="160"/>
      <c r="G92" s="160"/>
      <c r="H92" s="160"/>
    </row>
    <row r="93" spans="2:8">
      <c r="B93" s="20" t="s">
        <v>161</v>
      </c>
      <c r="C93" s="21" t="s">
        <v>100</v>
      </c>
      <c r="E93" s="13" t="str">
        <f>+VLOOKUP(B93,'INT Web'!$B$5:$Q$247,'INT Web'!$Q$1,FALSE)</f>
        <v>EUR</v>
      </c>
      <c r="F93" s="160"/>
      <c r="G93" s="160"/>
      <c r="H93" s="282">
        <v>8.5000000000000006E-2</v>
      </c>
    </row>
    <row r="94" spans="2:8">
      <c r="B94" s="20" t="s">
        <v>162</v>
      </c>
      <c r="C94" s="20" t="s">
        <v>96</v>
      </c>
      <c r="E94" s="13" t="str">
        <f>+VLOOKUP(B94,'INT Web'!$B$5:$Q$247,'INT Web'!$Q$1,FALSE)</f>
        <v>GTQ</v>
      </c>
      <c r="F94" s="160"/>
      <c r="G94" s="160"/>
      <c r="H94" s="160"/>
    </row>
    <row r="95" spans="2:8">
      <c r="B95" s="20" t="s">
        <v>163</v>
      </c>
      <c r="C95" s="20" t="s">
        <v>100</v>
      </c>
      <c r="E95" s="13" t="str">
        <f>+VLOOKUP(B95,'INT Web'!$B$5:$Q$247,'INT Web'!$Q$1,FALSE)</f>
        <v>GBP</v>
      </c>
      <c r="F95" s="160"/>
      <c r="G95" s="160"/>
      <c r="H95" s="160"/>
    </row>
    <row r="96" spans="2:8">
      <c r="B96" s="20" t="s">
        <v>164</v>
      </c>
      <c r="C96" s="20" t="s">
        <v>270</v>
      </c>
      <c r="E96" s="153" t="str">
        <f>+VLOOKUP(B96,'INT Web'!$B$5:$Q$247,'INT Web'!$Q$1,FALSE)</f>
        <v>GNF</v>
      </c>
      <c r="F96" s="160"/>
      <c r="G96" s="160"/>
      <c r="H96" s="160"/>
    </row>
    <row r="97" spans="2:8">
      <c r="B97" s="20" t="s">
        <v>165</v>
      </c>
      <c r="C97" s="20" t="s">
        <v>270</v>
      </c>
      <c r="E97" s="153" t="str">
        <f>+VLOOKUP(B97,'INT Web'!$B$5:$Q$247,'INT Web'!$Q$1,FALSE)</f>
        <v>XOF</v>
      </c>
      <c r="F97" s="160"/>
      <c r="G97" s="160"/>
      <c r="H97" s="160"/>
    </row>
    <row r="98" spans="2:8">
      <c r="B98" s="20" t="s">
        <v>166</v>
      </c>
      <c r="C98" s="20" t="s">
        <v>96</v>
      </c>
      <c r="E98" s="13" t="str">
        <f>+VLOOKUP(B98,'INT Web'!$B$5:$Q$247,'INT Web'!$Q$1,FALSE)</f>
        <v>GYD</v>
      </c>
      <c r="F98" s="160"/>
      <c r="G98" s="160"/>
      <c r="H98" s="160"/>
    </row>
    <row r="99" spans="2:8">
      <c r="B99" s="20" t="s">
        <v>167</v>
      </c>
      <c r="C99" s="20" t="s">
        <v>96</v>
      </c>
      <c r="E99" s="13" t="str">
        <f>+VLOOKUP(B99,'INT Web'!$B$5:$Q$247,'INT Web'!$Q$1,FALSE)</f>
        <v>HTG</v>
      </c>
      <c r="F99" s="160"/>
      <c r="G99" s="160"/>
      <c r="H99" s="160"/>
    </row>
    <row r="100" spans="2:8">
      <c r="B100" s="20" t="s">
        <v>168</v>
      </c>
      <c r="C100" s="20" t="s">
        <v>173</v>
      </c>
      <c r="E100" s="13" t="str">
        <f>+VLOOKUP(B100,'INT Web'!$B$5:$Q$247,'INT Web'!$Q$1,FALSE)</f>
        <v>AUD</v>
      </c>
      <c r="F100" s="160"/>
      <c r="G100" s="160"/>
      <c r="H100" s="160"/>
    </row>
    <row r="101" spans="2:8">
      <c r="B101" s="20" t="s">
        <v>169</v>
      </c>
      <c r="C101" s="20" t="s">
        <v>96</v>
      </c>
      <c r="E101" s="13" t="str">
        <f>+VLOOKUP(B101,'INT Web'!$B$5:$Q$247,'INT Web'!$Q$1,FALSE)</f>
        <v>HNL</v>
      </c>
      <c r="F101" s="160"/>
      <c r="G101" s="160"/>
      <c r="H101" s="160"/>
    </row>
    <row r="102" spans="2:8">
      <c r="B102" s="20" t="s">
        <v>170</v>
      </c>
      <c r="C102" s="20" t="s">
        <v>351</v>
      </c>
      <c r="D102" s="6" t="s">
        <v>347</v>
      </c>
      <c r="E102" s="13" t="str">
        <f>+VLOOKUP(B102,'INT Web'!$B$5:$Q$247,'INT Web'!$Q$1,FALSE)</f>
        <v>HKD</v>
      </c>
      <c r="F102" s="160"/>
      <c r="G102" s="160"/>
      <c r="H102" s="160"/>
    </row>
    <row r="103" spans="2:8">
      <c r="B103" s="20" t="s">
        <v>171</v>
      </c>
      <c r="C103" s="20" t="s">
        <v>100</v>
      </c>
      <c r="E103" s="153" t="str">
        <f>+VLOOKUP(B103,'INT Web'!$B$5:$Q$247,'INT Web'!$Q$1,FALSE)</f>
        <v>HUF</v>
      </c>
      <c r="F103" s="160">
        <v>0.27</v>
      </c>
      <c r="G103" s="160">
        <f t="shared" ref="G103:H106" si="18">+F103</f>
        <v>0.27</v>
      </c>
      <c r="H103" s="160">
        <f t="shared" si="18"/>
        <v>0.27</v>
      </c>
    </row>
    <row r="104" spans="2:8">
      <c r="B104" s="20" t="s">
        <v>172</v>
      </c>
      <c r="C104" s="20" t="s">
        <v>100</v>
      </c>
      <c r="E104" s="13" t="str">
        <f>+VLOOKUP(B104,'INT Web'!$B$5:$Q$247,'INT Web'!$Q$1,FALSE)</f>
        <v>ISK</v>
      </c>
      <c r="F104" s="160">
        <v>0.24</v>
      </c>
      <c r="G104" s="160">
        <f t="shared" si="18"/>
        <v>0.24</v>
      </c>
      <c r="H104" s="160">
        <f t="shared" si="18"/>
        <v>0.24</v>
      </c>
    </row>
    <row r="105" spans="2:8">
      <c r="B105" s="21" t="s">
        <v>173</v>
      </c>
      <c r="C105" s="21" t="s">
        <v>173</v>
      </c>
      <c r="D105" s="6" t="s">
        <v>350</v>
      </c>
      <c r="E105" s="13" t="str">
        <f>+VLOOKUP(B105,'INT Web'!$B$5:$Q$247,'INT Web'!$Q$1,FALSE)</f>
        <v>INR</v>
      </c>
      <c r="F105" s="160">
        <v>0.18</v>
      </c>
      <c r="G105" s="160">
        <f t="shared" si="18"/>
        <v>0.18</v>
      </c>
      <c r="H105" s="160">
        <f t="shared" si="18"/>
        <v>0.18</v>
      </c>
    </row>
    <row r="106" spans="2:8">
      <c r="B106" s="20" t="s">
        <v>174</v>
      </c>
      <c r="C106" s="20" t="s">
        <v>182</v>
      </c>
      <c r="D106" s="6" t="s">
        <v>348</v>
      </c>
      <c r="E106" s="153" t="str">
        <f>+VLOOKUP(B106,'INT Web'!$B$5:$Q$247,'INT Web'!$Q$1,FALSE)</f>
        <v>IDR</v>
      </c>
      <c r="F106" s="160">
        <v>0.11</v>
      </c>
      <c r="G106" s="160">
        <f t="shared" si="18"/>
        <v>0.11</v>
      </c>
      <c r="H106" s="160">
        <f t="shared" si="18"/>
        <v>0.11</v>
      </c>
    </row>
    <row r="107" spans="2:8">
      <c r="B107" s="20" t="s">
        <v>175</v>
      </c>
      <c r="C107" s="20" t="s">
        <v>275</v>
      </c>
      <c r="E107" s="13" t="str">
        <f>+VLOOKUP(B107,'INT Web'!$B$5:$Q$247,'INT Web'!$Q$1,FALSE)</f>
        <v>USD</v>
      </c>
      <c r="F107" s="160"/>
      <c r="G107" s="160"/>
      <c r="H107" s="160"/>
    </row>
    <row r="108" spans="2:8">
      <c r="B108" s="20" t="s">
        <v>176</v>
      </c>
      <c r="C108" s="20" t="s">
        <v>100</v>
      </c>
      <c r="E108" s="13" t="str">
        <f>+VLOOKUP(B108,'INT Web'!$B$5:$Q$247,'INT Web'!$Q$1,FALSE)</f>
        <v>EUR</v>
      </c>
      <c r="F108" s="160">
        <v>0.23</v>
      </c>
      <c r="G108" s="160">
        <f t="shared" ref="G108:H108" si="19">+F108</f>
        <v>0.23</v>
      </c>
      <c r="H108" s="160">
        <f t="shared" si="19"/>
        <v>0.23</v>
      </c>
    </row>
    <row r="109" spans="2:8">
      <c r="B109" s="20" t="s">
        <v>177</v>
      </c>
      <c r="C109" s="20" t="s">
        <v>100</v>
      </c>
      <c r="E109" s="13" t="str">
        <f>+VLOOKUP(B109,'INT Web'!$B$5:$Q$247,'INT Web'!$Q$1,FALSE)</f>
        <v>USD</v>
      </c>
      <c r="F109" s="160"/>
      <c r="G109" s="160"/>
      <c r="H109" s="160"/>
    </row>
    <row r="110" spans="2:8">
      <c r="B110" s="20" t="s">
        <v>178</v>
      </c>
      <c r="C110" s="20" t="s">
        <v>100</v>
      </c>
      <c r="D110" s="6" t="s">
        <v>348</v>
      </c>
      <c r="E110" s="13" t="str">
        <f>+VLOOKUP(B110,'INT Web'!$B$5:$Q$247,'INT Web'!$Q$1,FALSE)</f>
        <v>ILS</v>
      </c>
      <c r="F110" s="160"/>
      <c r="G110" s="160"/>
      <c r="H110" s="160"/>
    </row>
    <row r="111" spans="2:8">
      <c r="B111" s="20" t="s">
        <v>179</v>
      </c>
      <c r="C111" s="20" t="s">
        <v>100</v>
      </c>
      <c r="D111" s="6" t="s">
        <v>347</v>
      </c>
      <c r="E111" s="13" t="str">
        <f>+VLOOKUP(B111,'INT Web'!$B$5:$Q$247,'INT Web'!$Q$1,FALSE)</f>
        <v>EUR</v>
      </c>
      <c r="F111" s="160">
        <v>0.22</v>
      </c>
      <c r="G111" s="160">
        <f t="shared" ref="G111:H111" si="20">+F111</f>
        <v>0.22</v>
      </c>
      <c r="H111" s="160">
        <f t="shared" si="20"/>
        <v>0.22</v>
      </c>
    </row>
    <row r="112" spans="2:8" ht="13.4" customHeight="1">
      <c r="B112" s="20" t="s">
        <v>180</v>
      </c>
      <c r="C112" s="20" t="s">
        <v>96</v>
      </c>
      <c r="E112" s="13" t="str">
        <f>+VLOOKUP(B112,'INT Web'!$B$5:$Q$247,'INT Web'!$Q$1,FALSE)</f>
        <v>JMD</v>
      </c>
      <c r="F112" s="156"/>
      <c r="G112" s="160"/>
      <c r="H112" s="160"/>
    </row>
    <row r="113" spans="2:8" ht="13.4" customHeight="1">
      <c r="B113" s="21" t="s">
        <v>181</v>
      </c>
      <c r="C113" s="21" t="s">
        <v>182</v>
      </c>
      <c r="E113" s="154" t="str">
        <f>+VLOOKUP(B113,'INT Web'!$B$5:$Q$247,'INT Web'!$Q$1,FALSE)</f>
        <v>JPY</v>
      </c>
      <c r="F113" s="157"/>
      <c r="G113" s="160">
        <v>0.1</v>
      </c>
      <c r="H113" s="160">
        <v>0.1</v>
      </c>
    </row>
    <row r="114" spans="2:8">
      <c r="B114" s="20" t="s">
        <v>183</v>
      </c>
      <c r="C114" s="20" t="s">
        <v>100</v>
      </c>
      <c r="E114" s="13" t="str">
        <f>+VLOOKUP(B114,'INT Web'!$B$5:$Q$247,'INT Web'!$Q$1,FALSE)</f>
        <v>USD</v>
      </c>
      <c r="F114" s="156"/>
      <c r="G114" s="160"/>
      <c r="H114" s="160"/>
    </row>
    <row r="115" spans="2:8">
      <c r="B115" s="20" t="s">
        <v>184</v>
      </c>
      <c r="C115" s="20" t="s">
        <v>275</v>
      </c>
      <c r="E115" s="151" t="str">
        <f>+VLOOKUP(B115,'INT Web'!$B$5:$Q$247,'INT Web'!$Q$1,FALSE)</f>
        <v>JOD</v>
      </c>
      <c r="F115" s="156"/>
      <c r="G115" s="160"/>
      <c r="H115" s="160"/>
    </row>
    <row r="116" spans="2:8">
      <c r="B116" s="20" t="s">
        <v>185</v>
      </c>
      <c r="C116" s="20" t="s">
        <v>182</v>
      </c>
      <c r="E116" s="13" t="str">
        <f>+VLOOKUP(B116,'INT Web'!$B$5:$Q$247,'INT Web'!$Q$1,FALSE)</f>
        <v>KZT</v>
      </c>
      <c r="F116" s="156"/>
      <c r="G116" s="160"/>
      <c r="H116" s="160"/>
    </row>
    <row r="117" spans="2:8">
      <c r="B117" s="20" t="s">
        <v>186</v>
      </c>
      <c r="C117" s="20" t="s">
        <v>270</v>
      </c>
      <c r="E117" s="13" t="str">
        <f>+VLOOKUP(B117,'INT Web'!$B$5:$Q$247,'INT Web'!$Q$1,FALSE)</f>
        <v>KES</v>
      </c>
      <c r="F117" s="160">
        <v>0.16</v>
      </c>
      <c r="G117" s="160">
        <f t="shared" ref="G117:H117" si="21">+F117</f>
        <v>0.16</v>
      </c>
      <c r="H117" s="160">
        <f t="shared" si="21"/>
        <v>0.16</v>
      </c>
    </row>
    <row r="118" spans="2:8">
      <c r="B118" s="20" t="s">
        <v>187</v>
      </c>
      <c r="C118" s="20" t="s">
        <v>182</v>
      </c>
      <c r="E118" s="13" t="str">
        <f>+VLOOKUP(B118,'INT Web'!$B$5:$Q$247,'INT Web'!$Q$1,FALSE)</f>
        <v>AUD</v>
      </c>
      <c r="F118" s="160"/>
      <c r="G118" s="160"/>
      <c r="H118" s="160"/>
    </row>
    <row r="119" spans="2:8">
      <c r="B119" s="20" t="s">
        <v>188</v>
      </c>
      <c r="C119" s="20" t="s">
        <v>100</v>
      </c>
      <c r="E119" s="13" t="str">
        <f>+VLOOKUP(B119,'INT Web'!$B$5:$Q$247,'INT Web'!$Q$1,FALSE)</f>
        <v>EUR</v>
      </c>
      <c r="F119" s="160"/>
      <c r="G119" s="160"/>
      <c r="H119" s="160"/>
    </row>
    <row r="120" spans="2:8">
      <c r="B120" s="20" t="s">
        <v>189</v>
      </c>
      <c r="C120" s="20" t="s">
        <v>275</v>
      </c>
      <c r="E120" s="151" t="str">
        <f>+VLOOKUP(B120,'INT Web'!$B$5:$Q$247,'INT Web'!$Q$1,FALSE)</f>
        <v>KWD</v>
      </c>
      <c r="F120" s="160"/>
      <c r="G120" s="160"/>
      <c r="H120" s="160"/>
    </row>
    <row r="121" spans="2:8">
      <c r="B121" s="20" t="s">
        <v>190</v>
      </c>
      <c r="C121" s="20" t="s">
        <v>182</v>
      </c>
      <c r="E121" s="13" t="str">
        <f>+VLOOKUP(B121,'INT Web'!$B$5:$Q$247,'INT Web'!$Q$1,FALSE)</f>
        <v>KGS</v>
      </c>
      <c r="F121" s="160"/>
      <c r="G121" s="160"/>
      <c r="H121" s="160"/>
    </row>
    <row r="122" spans="2:8">
      <c r="B122" s="20" t="s">
        <v>191</v>
      </c>
      <c r="C122" s="20" t="s">
        <v>182</v>
      </c>
      <c r="E122" s="13" t="str">
        <f>+VLOOKUP(B122,'INT Web'!$B$5:$Q$247,'INT Web'!$Q$1,FALSE)</f>
        <v>LAK</v>
      </c>
      <c r="F122" s="160"/>
      <c r="G122" s="160"/>
      <c r="H122" s="160"/>
    </row>
    <row r="123" spans="2:8">
      <c r="B123" s="20" t="s">
        <v>192</v>
      </c>
      <c r="C123" s="20" t="s">
        <v>100</v>
      </c>
      <c r="E123" s="13" t="str">
        <f>+VLOOKUP(B123,'INT Web'!$B$5:$Q$247,'INT Web'!$Q$1,FALSE)</f>
        <v>EUR</v>
      </c>
      <c r="F123" s="160">
        <v>0.21</v>
      </c>
      <c r="G123" s="160">
        <f t="shared" ref="G123:H123" si="22">+F123</f>
        <v>0.21</v>
      </c>
      <c r="H123" s="160">
        <f t="shared" si="22"/>
        <v>0.21</v>
      </c>
    </row>
    <row r="124" spans="2:8">
      <c r="B124" s="20" t="s">
        <v>193</v>
      </c>
      <c r="C124" s="20" t="s">
        <v>275</v>
      </c>
      <c r="E124" s="13" t="str">
        <f>+VLOOKUP(B124,'INT Web'!$B$5:$Q$247,'INT Web'!$Q$1,FALSE)</f>
        <v>USD</v>
      </c>
      <c r="F124" s="160"/>
      <c r="G124" s="160"/>
      <c r="H124" s="160"/>
    </row>
    <row r="125" spans="2:8">
      <c r="B125" s="20" t="s">
        <v>194</v>
      </c>
      <c r="C125" s="20" t="s">
        <v>270</v>
      </c>
      <c r="E125" s="13" t="str">
        <f>+VLOOKUP(B125,'INT Web'!$B$5:$Q$247,'INT Web'!$Q$1,FALSE)</f>
        <v>USD</v>
      </c>
      <c r="F125" s="160"/>
      <c r="G125" s="160"/>
      <c r="H125" s="160"/>
    </row>
    <row r="126" spans="2:8">
      <c r="B126" s="20" t="s">
        <v>195</v>
      </c>
      <c r="C126" s="20" t="s">
        <v>270</v>
      </c>
      <c r="E126" s="13" t="str">
        <f>+VLOOKUP(B126,'INT Web'!$B$5:$Q$247,'INT Web'!$Q$1,FALSE)</f>
        <v>USD</v>
      </c>
      <c r="F126" s="160"/>
      <c r="G126" s="160"/>
      <c r="H126" s="160"/>
    </row>
    <row r="127" spans="2:8">
      <c r="B127" s="20" t="s">
        <v>196</v>
      </c>
      <c r="C127" s="20" t="s">
        <v>270</v>
      </c>
      <c r="E127" s="13" t="str">
        <f>+VLOOKUP(B127,'INT Web'!$B$5:$Q$247,'INT Web'!$Q$1,FALSE)</f>
        <v>USD</v>
      </c>
      <c r="F127" s="160"/>
      <c r="G127" s="160"/>
      <c r="H127" s="160"/>
    </row>
    <row r="128" spans="2:8">
      <c r="B128" s="20" t="s">
        <v>197</v>
      </c>
      <c r="C128" s="20" t="s">
        <v>100</v>
      </c>
      <c r="E128" s="13" t="str">
        <f>+VLOOKUP(B128,'INT Web'!$B$5:$Q$247,'INT Web'!$Q$1,FALSE)</f>
        <v>CHF</v>
      </c>
      <c r="F128" s="160"/>
      <c r="G128" s="160"/>
      <c r="H128" s="160"/>
    </row>
    <row r="129" spans="2:8">
      <c r="B129" s="20" t="s">
        <v>198</v>
      </c>
      <c r="C129" s="20" t="s">
        <v>100</v>
      </c>
      <c r="E129" s="13" t="str">
        <f>+VLOOKUP(B129,'INT Web'!$B$5:$Q$247,'INT Web'!$Q$1,FALSE)</f>
        <v>EUR</v>
      </c>
      <c r="F129" s="160">
        <v>0.21</v>
      </c>
      <c r="G129" s="160">
        <f t="shared" ref="G129:H130" si="23">+F129</f>
        <v>0.21</v>
      </c>
      <c r="H129" s="160">
        <f t="shared" si="23"/>
        <v>0.21</v>
      </c>
    </row>
    <row r="130" spans="2:8">
      <c r="B130" s="20" t="s">
        <v>199</v>
      </c>
      <c r="C130" s="20" t="s">
        <v>100</v>
      </c>
      <c r="E130" s="13" t="str">
        <f>+VLOOKUP(B130,'INT Web'!$B$5:$Q$247,'INT Web'!$Q$1,FALSE)</f>
        <v>EUR</v>
      </c>
      <c r="F130" s="160">
        <v>0.16</v>
      </c>
      <c r="G130" s="160">
        <f t="shared" si="23"/>
        <v>0.16</v>
      </c>
      <c r="H130" s="160">
        <v>0.17</v>
      </c>
    </row>
    <row r="131" spans="2:8">
      <c r="B131" s="20" t="s">
        <v>200</v>
      </c>
      <c r="C131" s="20" t="s">
        <v>351</v>
      </c>
      <c r="E131" s="13" t="str">
        <f>+VLOOKUP(B131,'INT Web'!$B$5:$Q$247,'INT Web'!$Q$1,FALSE)</f>
        <v>MOP</v>
      </c>
      <c r="F131" s="160"/>
      <c r="G131" s="160"/>
      <c r="H131" s="160"/>
    </row>
    <row r="132" spans="2:8">
      <c r="B132" s="20" t="s">
        <v>201</v>
      </c>
      <c r="C132" s="20" t="s">
        <v>100</v>
      </c>
      <c r="E132" s="13" t="str">
        <f>+VLOOKUP(B132,'INT Web'!$B$5:$Q$247,'INT Web'!$Q$1,FALSE)</f>
        <v>MKD</v>
      </c>
      <c r="F132" s="160"/>
      <c r="G132" s="160"/>
      <c r="H132" s="160"/>
    </row>
    <row r="133" spans="2:8">
      <c r="B133" s="20" t="s">
        <v>202</v>
      </c>
      <c r="C133" s="20" t="s">
        <v>270</v>
      </c>
      <c r="E133" s="13" t="str">
        <f>+VLOOKUP(B133,'INT Web'!$B$5:$Q$247,'INT Web'!$Q$1,FALSE)</f>
        <v>USD</v>
      </c>
      <c r="F133" s="160"/>
      <c r="G133" s="160"/>
      <c r="H133" s="160"/>
    </row>
    <row r="134" spans="2:8">
      <c r="B134" s="20" t="s">
        <v>203</v>
      </c>
      <c r="C134" s="20" t="s">
        <v>270</v>
      </c>
      <c r="E134" s="13" t="str">
        <f>+VLOOKUP(B134,'INT Web'!$B$5:$Q$247,'INT Web'!$Q$1,FALSE)</f>
        <v>MWK</v>
      </c>
      <c r="F134" s="160"/>
      <c r="G134" s="160"/>
      <c r="H134" s="160"/>
    </row>
    <row r="135" spans="2:8">
      <c r="B135" s="20" t="s">
        <v>204</v>
      </c>
      <c r="C135" s="20" t="s">
        <v>182</v>
      </c>
      <c r="E135" s="13" t="str">
        <f>+VLOOKUP(B135,'INT Web'!$B$5:$Q$247,'INT Web'!$Q$1,FALSE)</f>
        <v>MYR</v>
      </c>
      <c r="F135" s="160"/>
      <c r="G135" s="160"/>
      <c r="H135" s="160"/>
    </row>
    <row r="136" spans="2:8">
      <c r="B136" s="20" t="s">
        <v>205</v>
      </c>
      <c r="C136" s="20" t="s">
        <v>182</v>
      </c>
      <c r="E136" s="13" t="str">
        <f>+VLOOKUP(B136,'INT Web'!$B$5:$Q$247,'INT Web'!$Q$1,FALSE)</f>
        <v>MVR</v>
      </c>
      <c r="F136" s="160"/>
      <c r="G136" s="160"/>
      <c r="H136" s="160"/>
    </row>
    <row r="137" spans="2:8">
      <c r="B137" s="20" t="s">
        <v>206</v>
      </c>
      <c r="C137" s="20" t="s">
        <v>270</v>
      </c>
      <c r="E137" s="153" t="str">
        <f>+VLOOKUP(B137,'INT Web'!$B$5:$Q$247,'INT Web'!$Q$1,FALSE)</f>
        <v>XOF</v>
      </c>
      <c r="F137" s="160"/>
      <c r="G137" s="160"/>
      <c r="H137" s="160"/>
    </row>
    <row r="138" spans="2:8">
      <c r="B138" s="20" t="s">
        <v>207</v>
      </c>
      <c r="C138" s="20" t="s">
        <v>100</v>
      </c>
      <c r="E138" s="13" t="str">
        <f>+VLOOKUP(B138,'INT Web'!$B$5:$Q$247,'INT Web'!$Q$1,FALSE)</f>
        <v>EUR</v>
      </c>
      <c r="F138" s="160">
        <v>0.18</v>
      </c>
      <c r="G138" s="160">
        <f t="shared" ref="G138:H138" si="24">+F138</f>
        <v>0.18</v>
      </c>
      <c r="H138" s="160">
        <f t="shared" si="24"/>
        <v>0.18</v>
      </c>
    </row>
    <row r="139" spans="2:8">
      <c r="B139" s="20" t="s">
        <v>208</v>
      </c>
      <c r="C139" s="20" t="s">
        <v>182</v>
      </c>
      <c r="E139" s="13" t="str">
        <f>+VLOOKUP(B139,'INT Web'!$B$5:$Q$247,'INT Web'!$Q$1,FALSE)</f>
        <v>USD</v>
      </c>
      <c r="F139" s="160"/>
      <c r="G139" s="160"/>
      <c r="H139" s="160"/>
    </row>
    <row r="140" spans="2:8">
      <c r="B140" s="20" t="s">
        <v>209</v>
      </c>
      <c r="C140" s="21" t="s">
        <v>100</v>
      </c>
      <c r="E140" s="13" t="str">
        <f>+VLOOKUP(B140,'INT Web'!$B$5:$Q$247,'INT Web'!$Q$1,FALSE)</f>
        <v>EUR</v>
      </c>
      <c r="F140" s="160"/>
      <c r="G140" s="160"/>
      <c r="H140" s="282">
        <v>8.5000000000000006E-2</v>
      </c>
    </row>
    <row r="141" spans="2:8">
      <c r="B141" s="20" t="s">
        <v>210</v>
      </c>
      <c r="C141" s="20" t="s">
        <v>270</v>
      </c>
      <c r="E141" s="13" t="str">
        <f>+VLOOKUP(B141,'INT Web'!$B$5:$Q$247,'INT Web'!$Q$1,FALSE)</f>
        <v>USD</v>
      </c>
      <c r="F141" s="160"/>
      <c r="G141" s="160"/>
      <c r="H141" s="160"/>
    </row>
    <row r="142" spans="2:8">
      <c r="B142" s="20" t="s">
        <v>211</v>
      </c>
      <c r="C142" s="20" t="s">
        <v>270</v>
      </c>
      <c r="E142" s="13" t="str">
        <f>+VLOOKUP(B142,'INT Web'!$B$5:$Q$247,'INT Web'!$Q$1,FALSE)</f>
        <v>MUR</v>
      </c>
      <c r="F142" s="160"/>
      <c r="G142" s="160"/>
      <c r="H142" s="160"/>
    </row>
    <row r="143" spans="2:8">
      <c r="B143" s="20" t="s">
        <v>212</v>
      </c>
      <c r="C143" s="21" t="s">
        <v>100</v>
      </c>
      <c r="E143" s="13" t="str">
        <f>+VLOOKUP(B143,'INT Web'!$B$5:$Q$247,'INT Web'!$Q$1,FALSE)</f>
        <v>EUR</v>
      </c>
      <c r="F143" s="160"/>
      <c r="G143" s="160"/>
      <c r="H143" s="160"/>
    </row>
    <row r="144" spans="2:8">
      <c r="B144" s="20" t="s">
        <v>213</v>
      </c>
      <c r="C144" s="20" t="s">
        <v>96</v>
      </c>
      <c r="D144" s="6" t="s">
        <v>345</v>
      </c>
      <c r="E144" s="13" t="str">
        <f>+VLOOKUP(B144,'INT Web'!$B$5:$Q$247,'INT Web'!$Q$1,FALSE)</f>
        <v>MXN</v>
      </c>
      <c r="F144" s="160">
        <v>0.16</v>
      </c>
      <c r="G144" s="160">
        <f t="shared" ref="G144:H144" si="25">+F144</f>
        <v>0.16</v>
      </c>
      <c r="H144" s="160">
        <f t="shared" si="25"/>
        <v>0.16</v>
      </c>
    </row>
    <row r="145" spans="2:8">
      <c r="B145" s="20" t="s">
        <v>214</v>
      </c>
      <c r="C145" s="20" t="s">
        <v>182</v>
      </c>
      <c r="E145" s="13" t="str">
        <f>+VLOOKUP(B145,'INT Web'!$B$5:$Q$247,'INT Web'!$Q$1,FALSE)</f>
        <v>USD</v>
      </c>
      <c r="F145" s="160"/>
      <c r="G145" s="160"/>
      <c r="H145" s="160"/>
    </row>
    <row r="146" spans="2:8">
      <c r="B146" s="20" t="s">
        <v>215</v>
      </c>
      <c r="C146" s="20" t="s">
        <v>100</v>
      </c>
      <c r="E146" s="13" t="str">
        <f>+VLOOKUP(B146,'INT Web'!$B$5:$Q$247,'INT Web'!$Q$1,FALSE)</f>
        <v>MDL</v>
      </c>
      <c r="F146" s="160"/>
      <c r="G146" s="160"/>
      <c r="H146" s="160"/>
    </row>
    <row r="147" spans="2:8">
      <c r="B147" s="20" t="s">
        <v>216</v>
      </c>
      <c r="C147" s="20" t="s">
        <v>100</v>
      </c>
      <c r="E147" s="13" t="str">
        <f>+VLOOKUP(B147,'INT Web'!$B$5:$Q$247,'INT Web'!$Q$1,FALSE)</f>
        <v>EUR</v>
      </c>
      <c r="F147" s="160"/>
      <c r="G147" s="160"/>
      <c r="H147" s="160"/>
    </row>
    <row r="148" spans="2:8">
      <c r="B148" s="20" t="s">
        <v>217</v>
      </c>
      <c r="C148" s="20" t="s">
        <v>182</v>
      </c>
      <c r="E148" s="13" t="str">
        <f>+VLOOKUP(B148,'INT Web'!$B$5:$Q$247,'INT Web'!$Q$1,FALSE)</f>
        <v>MNT</v>
      </c>
      <c r="F148" s="160"/>
      <c r="G148" s="160"/>
      <c r="H148" s="160"/>
    </row>
    <row r="149" spans="2:8">
      <c r="B149" s="20" t="s">
        <v>218</v>
      </c>
      <c r="C149" s="20" t="s">
        <v>100</v>
      </c>
      <c r="E149" s="13" t="str">
        <f>+VLOOKUP(B149,'INT Web'!$B$5:$Q$247,'INT Web'!$Q$1,FALSE)</f>
        <v>EUR</v>
      </c>
      <c r="F149" s="160"/>
      <c r="G149" s="160"/>
      <c r="H149" s="160"/>
    </row>
    <row r="150" spans="2:8">
      <c r="B150" s="20" t="s">
        <v>219</v>
      </c>
      <c r="C150" s="20" t="s">
        <v>96</v>
      </c>
      <c r="E150" s="13" t="str">
        <f>+VLOOKUP(B150,'INT Web'!$B$5:$Q$247,'INT Web'!$Q$1,FALSE)</f>
        <v>XCD</v>
      </c>
      <c r="F150" s="160"/>
      <c r="G150" s="160"/>
      <c r="H150" s="160"/>
    </row>
    <row r="151" spans="2:8">
      <c r="B151" s="20" t="s">
        <v>220</v>
      </c>
      <c r="C151" s="20" t="s">
        <v>270</v>
      </c>
      <c r="E151" s="13" t="str">
        <f>+VLOOKUP(B151,'INT Web'!$B$5:$Q$247,'INT Web'!$Q$1,FALSE)</f>
        <v>MAD</v>
      </c>
      <c r="F151" s="160"/>
      <c r="G151" s="160"/>
      <c r="H151" s="160"/>
    </row>
    <row r="152" spans="2:8">
      <c r="B152" s="20" t="s">
        <v>221</v>
      </c>
      <c r="C152" s="20" t="s">
        <v>270</v>
      </c>
      <c r="E152" s="13" t="str">
        <f>+VLOOKUP(B152,'INT Web'!$B$5:$Q$247,'INT Web'!$Q$1,FALSE)</f>
        <v>USD</v>
      </c>
      <c r="F152" s="160"/>
      <c r="G152" s="160"/>
      <c r="H152" s="160"/>
    </row>
    <row r="153" spans="2:8">
      <c r="B153" s="20" t="s">
        <v>222</v>
      </c>
      <c r="C153" s="20" t="s">
        <v>182</v>
      </c>
      <c r="E153" s="13" t="str">
        <f>+VLOOKUP(B153,'INT Web'!$B$5:$Q$247,'INT Web'!$Q$1,FALSE)</f>
        <v>MMK</v>
      </c>
      <c r="F153" s="160"/>
      <c r="G153" s="160"/>
      <c r="H153" s="160"/>
    </row>
    <row r="154" spans="2:8">
      <c r="B154" s="20" t="s">
        <v>223</v>
      </c>
      <c r="C154" s="20" t="s">
        <v>270</v>
      </c>
      <c r="E154" s="13" t="str">
        <f>+VLOOKUP(B154,'INT Web'!$B$5:$Q$247,'INT Web'!$Q$1,FALSE)</f>
        <v>NAD</v>
      </c>
      <c r="F154" s="160"/>
      <c r="G154" s="160"/>
      <c r="H154" s="160"/>
    </row>
    <row r="155" spans="2:8">
      <c r="B155" s="20" t="s">
        <v>224</v>
      </c>
      <c r="C155" s="20" t="s">
        <v>182</v>
      </c>
      <c r="E155" s="13" t="str">
        <f>+VLOOKUP(B155,'INT Web'!$B$5:$Q$247,'INT Web'!$Q$1,FALSE)</f>
        <v>AUD</v>
      </c>
      <c r="F155" s="160"/>
      <c r="G155" s="160"/>
      <c r="H155" s="160"/>
    </row>
    <row r="156" spans="2:8">
      <c r="B156" s="20" t="s">
        <v>225</v>
      </c>
      <c r="C156" s="20" t="s">
        <v>182</v>
      </c>
      <c r="E156" s="13" t="str">
        <f>+VLOOKUP(B156,'INT Web'!$B$5:$Q$247,'INT Web'!$Q$1,FALSE)</f>
        <v>NPR</v>
      </c>
      <c r="F156" s="160"/>
      <c r="G156" s="160"/>
      <c r="H156" s="160"/>
    </row>
    <row r="157" spans="2:8">
      <c r="B157" s="20" t="s">
        <v>226</v>
      </c>
      <c r="C157" s="20" t="s">
        <v>100</v>
      </c>
      <c r="D157" s="6" t="s">
        <v>348</v>
      </c>
      <c r="E157" s="13" t="str">
        <f>+VLOOKUP(B157,'INT Web'!$B$5:$Q$247,'INT Web'!$Q$1,FALSE)</f>
        <v>EUR</v>
      </c>
      <c r="F157" s="160">
        <v>0.21</v>
      </c>
      <c r="G157" s="160">
        <f t="shared" ref="G157:H157" si="26">+F157</f>
        <v>0.21</v>
      </c>
      <c r="H157" s="160">
        <f t="shared" si="26"/>
        <v>0.21</v>
      </c>
    </row>
    <row r="158" spans="2:8" hidden="1" outlineLevel="1">
      <c r="B158" s="20" t="s">
        <v>227</v>
      </c>
      <c r="C158" s="20" t="s">
        <v>96</v>
      </c>
      <c r="D158" s="27"/>
      <c r="E158" s="152" t="str">
        <f>+VLOOKUP(B158,'INT Web'!$B$5:$Q$247,'INT Web'!$Q$1,FALSE)</f>
        <v>ANG</v>
      </c>
      <c r="F158" s="160"/>
      <c r="G158" s="160"/>
      <c r="H158" s="160"/>
    </row>
    <row r="159" spans="2:8" collapsed="1">
      <c r="B159" s="20" t="s">
        <v>228</v>
      </c>
      <c r="C159" s="20" t="s">
        <v>182</v>
      </c>
      <c r="E159" s="153" t="str">
        <f>+VLOOKUP(B159,'INT Web'!$B$5:$Q$247,'INT Web'!$Q$1,FALSE)</f>
        <v>XPF</v>
      </c>
      <c r="F159" s="160"/>
      <c r="G159" s="160"/>
      <c r="H159" s="160"/>
    </row>
    <row r="160" spans="2:8">
      <c r="B160" s="20" t="s">
        <v>229</v>
      </c>
      <c r="C160" s="20" t="s">
        <v>182</v>
      </c>
      <c r="D160" s="6" t="s">
        <v>347</v>
      </c>
      <c r="E160" s="13" t="str">
        <f>+VLOOKUP(B160,'INT Web'!$B$5:$Q$247,'INT Web'!$Q$1,FALSE)</f>
        <v>NZD</v>
      </c>
      <c r="F160" s="160">
        <v>0.15</v>
      </c>
      <c r="G160" s="160">
        <f t="shared" ref="G160:H160" si="27">+F160</f>
        <v>0.15</v>
      </c>
      <c r="H160" s="160">
        <f t="shared" si="27"/>
        <v>0.15</v>
      </c>
    </row>
    <row r="161" spans="2:8">
      <c r="B161" s="20" t="s">
        <v>230</v>
      </c>
      <c r="C161" s="20" t="s">
        <v>96</v>
      </c>
      <c r="E161" s="13" t="str">
        <f>+VLOOKUP(B161,'INT Web'!$B$5:$Q$247,'INT Web'!$Q$1,FALSE)</f>
        <v>NIO</v>
      </c>
      <c r="F161" s="160"/>
      <c r="G161" s="160"/>
      <c r="H161" s="160"/>
    </row>
    <row r="162" spans="2:8">
      <c r="B162" s="20" t="s">
        <v>231</v>
      </c>
      <c r="C162" s="20" t="s">
        <v>270</v>
      </c>
      <c r="E162" s="153" t="str">
        <f>+VLOOKUP(B162,'INT Web'!$B$5:$Q$247,'INT Web'!$Q$1,FALSE)</f>
        <v>XOF</v>
      </c>
      <c r="F162" s="159"/>
      <c r="G162" s="160"/>
      <c r="H162" s="160"/>
    </row>
    <row r="163" spans="2:8" ht="13.4" customHeight="1">
      <c r="B163" s="100" t="s">
        <v>232</v>
      </c>
      <c r="C163" s="100" t="s">
        <v>270</v>
      </c>
      <c r="E163" s="13" t="str">
        <f>+VLOOKUP(B163,'INT Web'!$B$5:$Q$247,'INT Web'!$Q$1,FALSE)</f>
        <v>NGN</v>
      </c>
      <c r="F163" s="159">
        <v>7.4999999999999997E-2</v>
      </c>
      <c r="G163" s="159">
        <f t="shared" ref="G163:H163" si="28">+F163</f>
        <v>7.4999999999999997E-2</v>
      </c>
      <c r="H163" s="159">
        <f t="shared" si="28"/>
        <v>7.4999999999999997E-2</v>
      </c>
    </row>
    <row r="164" spans="2:8">
      <c r="B164" s="20" t="s">
        <v>233</v>
      </c>
      <c r="C164" s="20" t="s">
        <v>182</v>
      </c>
      <c r="E164" s="13" t="str">
        <f>+VLOOKUP(B164,'INT Web'!$B$5:$Q$247,'INT Web'!$Q$1,FALSE)</f>
        <v>NZD</v>
      </c>
      <c r="F164" s="160"/>
      <c r="G164" s="160"/>
      <c r="H164" s="160"/>
    </row>
    <row r="165" spans="2:8">
      <c r="B165" s="20" t="s">
        <v>234</v>
      </c>
      <c r="C165" s="20" t="s">
        <v>182</v>
      </c>
      <c r="E165" s="13" t="str">
        <f>+VLOOKUP(B165,'INT Web'!$B$5:$Q$247,'INT Web'!$Q$1,FALSE)</f>
        <v>AUD</v>
      </c>
      <c r="F165" s="160"/>
      <c r="G165" s="160"/>
      <c r="H165" s="160"/>
    </row>
    <row r="166" spans="2:8">
      <c r="B166" s="20" t="s">
        <v>235</v>
      </c>
      <c r="C166" s="20" t="s">
        <v>182</v>
      </c>
      <c r="E166" s="13" t="str">
        <f>+VLOOKUP(B166,'INT Web'!$B$5:$Q$247,'INT Web'!$Q$1,FALSE)</f>
        <v>USD</v>
      </c>
      <c r="F166" s="160"/>
      <c r="G166" s="160"/>
      <c r="H166" s="160"/>
    </row>
    <row r="167" spans="2:8" hidden="1" outlineLevel="1">
      <c r="B167" s="20" t="s">
        <v>236</v>
      </c>
      <c r="C167" s="20" t="s">
        <v>182</v>
      </c>
      <c r="D167" s="27"/>
      <c r="E167" s="152">
        <f>+VLOOKUP(B167,'INT Web'!$B$5:$Q$247,'INT Web'!$Q$1,FALSE)</f>
        <v>0</v>
      </c>
      <c r="F167" s="160"/>
      <c r="G167" s="160"/>
      <c r="H167" s="160"/>
    </row>
    <row r="168" spans="2:8" collapsed="1">
      <c r="B168" s="20" t="s">
        <v>237</v>
      </c>
      <c r="C168" s="20" t="s">
        <v>100</v>
      </c>
      <c r="E168" s="13" t="str">
        <f>+VLOOKUP(B168,'INT Web'!$B$5:$Q$247,'INT Web'!$Q$1,FALSE)</f>
        <v>NOK</v>
      </c>
      <c r="F168" s="160">
        <v>0.25</v>
      </c>
      <c r="G168" s="160">
        <f t="shared" ref="G168:H168" si="29">+F168</f>
        <v>0.25</v>
      </c>
      <c r="H168" s="160">
        <f t="shared" si="29"/>
        <v>0.25</v>
      </c>
    </row>
    <row r="169" spans="2:8" ht="13.4" customHeight="1">
      <c r="B169" s="20" t="s">
        <v>238</v>
      </c>
      <c r="C169" s="20" t="s">
        <v>275</v>
      </c>
      <c r="E169" s="151" t="str">
        <f>+VLOOKUP(B169,'INT Web'!$B$5:$Q$247,'INT Web'!$Q$1,FALSE)</f>
        <v>OMR</v>
      </c>
      <c r="F169" s="160"/>
      <c r="G169" s="160"/>
      <c r="H169" s="160"/>
    </row>
    <row r="170" spans="2:8">
      <c r="B170" s="20" t="s">
        <v>239</v>
      </c>
      <c r="C170" s="20" t="s">
        <v>182</v>
      </c>
      <c r="E170" s="13" t="str">
        <f>+VLOOKUP(B170,'INT Web'!$B$5:$Q$247,'INT Web'!$Q$1,FALSE)</f>
        <v>PKR</v>
      </c>
      <c r="F170" s="160"/>
      <c r="G170" s="160"/>
      <c r="H170" s="160"/>
    </row>
    <row r="171" spans="2:8">
      <c r="B171" s="20" t="s">
        <v>240</v>
      </c>
      <c r="C171" s="20" t="s">
        <v>182</v>
      </c>
      <c r="E171" s="13" t="str">
        <f>+VLOOKUP(B171,'INT Web'!$B$5:$Q$247,'INT Web'!$Q$1,FALSE)</f>
        <v>USD</v>
      </c>
      <c r="F171" s="160"/>
      <c r="G171" s="160"/>
      <c r="H171" s="160"/>
    </row>
    <row r="172" spans="2:8">
      <c r="B172" s="20" t="s">
        <v>241</v>
      </c>
      <c r="C172" s="20" t="s">
        <v>275</v>
      </c>
      <c r="E172" s="13" t="str">
        <f>+VLOOKUP(B172,'INT Web'!$B$5:$Q$247,'INT Web'!$Q$1,FALSE)</f>
        <v>ILS</v>
      </c>
      <c r="F172" s="160"/>
      <c r="G172" s="160"/>
      <c r="H172" s="160"/>
    </row>
    <row r="173" spans="2:8">
      <c r="B173" s="20" t="s">
        <v>242</v>
      </c>
      <c r="C173" s="20" t="s">
        <v>96</v>
      </c>
      <c r="E173" s="13" t="str">
        <f>+VLOOKUP(B173,'INT Web'!$B$5:$Q$247,'INT Web'!$Q$1,FALSE)</f>
        <v>USD</v>
      </c>
      <c r="F173" s="160"/>
      <c r="G173" s="160"/>
      <c r="H173" s="160"/>
    </row>
    <row r="174" spans="2:8">
      <c r="B174" s="20" t="s">
        <v>243</v>
      </c>
      <c r="C174" s="20" t="s">
        <v>182</v>
      </c>
      <c r="E174" s="13" t="str">
        <f>+VLOOKUP(B174,'INT Web'!$B$5:$Q$247,'INT Web'!$Q$1,FALSE)</f>
        <v>PGK</v>
      </c>
      <c r="F174" s="160"/>
      <c r="G174" s="160"/>
      <c r="H174" s="160"/>
    </row>
    <row r="175" spans="2:8">
      <c r="B175" s="20" t="s">
        <v>244</v>
      </c>
      <c r="C175" s="20" t="s">
        <v>96</v>
      </c>
      <c r="E175" s="153" t="str">
        <f>+VLOOKUP(B175,'INT Web'!$B$5:$Q$247,'INT Web'!$Q$1,FALSE)</f>
        <v>PYG</v>
      </c>
      <c r="F175" s="160"/>
      <c r="G175" s="160"/>
      <c r="H175" s="160"/>
    </row>
    <row r="176" spans="2:8">
      <c r="B176" s="20" t="s">
        <v>245</v>
      </c>
      <c r="C176" s="20" t="s">
        <v>96</v>
      </c>
      <c r="E176" s="13" t="str">
        <f>+VLOOKUP(B176,'INT Web'!$B$5:$Q$247,'INT Web'!$Q$1,FALSE)</f>
        <v>PEN</v>
      </c>
      <c r="F176" s="160">
        <v>0.18</v>
      </c>
      <c r="G176" s="160">
        <f t="shared" ref="G176:H177" si="30">+F176</f>
        <v>0.18</v>
      </c>
      <c r="H176" s="160">
        <f t="shared" si="30"/>
        <v>0.18</v>
      </c>
    </row>
    <row r="177" spans="2:8">
      <c r="B177" s="145" t="s">
        <v>246</v>
      </c>
      <c r="C177" s="145" t="s">
        <v>182</v>
      </c>
      <c r="D177" s="6" t="s">
        <v>345</v>
      </c>
      <c r="E177" s="13" t="str">
        <f>+VLOOKUP(B177,'INT Web'!$B$5:$Q$247,'INT Web'!$Q$1,FALSE)</f>
        <v>PHP</v>
      </c>
      <c r="F177" s="161">
        <v>0.12</v>
      </c>
      <c r="G177" s="160">
        <f t="shared" si="30"/>
        <v>0.12</v>
      </c>
      <c r="H177" s="160">
        <f t="shared" si="30"/>
        <v>0.12</v>
      </c>
    </row>
    <row r="178" spans="2:8">
      <c r="B178" s="20" t="s">
        <v>247</v>
      </c>
      <c r="C178" s="20" t="s">
        <v>182</v>
      </c>
      <c r="E178" s="13" t="str">
        <f>+VLOOKUP(B178,'INT Web'!$B$5:$Q$247,'INT Web'!$Q$1,FALSE)</f>
        <v>NZD</v>
      </c>
      <c r="F178" s="160"/>
      <c r="G178" s="160"/>
      <c r="H178" s="160"/>
    </row>
    <row r="179" spans="2:8">
      <c r="B179" s="20" t="s">
        <v>248</v>
      </c>
      <c r="C179" s="20" t="s">
        <v>100</v>
      </c>
      <c r="D179" s="6" t="s">
        <v>348</v>
      </c>
      <c r="E179" s="13" t="str">
        <f>+VLOOKUP(B179,'INT Web'!$B$5:$Q$247,'INT Web'!$Q$1,FALSE)</f>
        <v>PLN</v>
      </c>
      <c r="F179" s="160">
        <v>0.23</v>
      </c>
      <c r="G179" s="160">
        <f t="shared" ref="G179:H180" si="31">+F179</f>
        <v>0.23</v>
      </c>
      <c r="H179" s="160">
        <f t="shared" si="31"/>
        <v>0.23</v>
      </c>
    </row>
    <row r="180" spans="2:8">
      <c r="B180" s="20" t="s">
        <v>249</v>
      </c>
      <c r="C180" s="20" t="s">
        <v>100</v>
      </c>
      <c r="E180" s="13" t="str">
        <f>+VLOOKUP(B180,'INT Web'!$B$5:$Q$247,'INT Web'!$Q$1,FALSE)</f>
        <v>EUR</v>
      </c>
      <c r="F180" s="160">
        <v>0.23</v>
      </c>
      <c r="G180" s="160">
        <f t="shared" si="31"/>
        <v>0.23</v>
      </c>
      <c r="H180" s="160">
        <f t="shared" si="31"/>
        <v>0.23</v>
      </c>
    </row>
    <row r="181" spans="2:8">
      <c r="B181" s="20" t="s">
        <v>250</v>
      </c>
      <c r="C181" s="20" t="s">
        <v>275</v>
      </c>
      <c r="E181" s="13" t="str">
        <f>+VLOOKUP(B181,'INT Web'!$B$5:$Q$247,'INT Web'!$Q$1,FALSE)</f>
        <v>QAR</v>
      </c>
      <c r="F181" s="160"/>
      <c r="G181" s="160"/>
      <c r="H181" s="160"/>
    </row>
    <row r="182" spans="2:8">
      <c r="B182" s="20" t="s">
        <v>251</v>
      </c>
      <c r="C182" s="21" t="s">
        <v>100</v>
      </c>
      <c r="E182" s="13" t="str">
        <f>+VLOOKUP(B182,'INT Web'!$B$5:$Q$247,'INT Web'!$Q$1,FALSE)</f>
        <v>EUR</v>
      </c>
      <c r="F182" s="160"/>
      <c r="G182" s="160"/>
      <c r="H182" s="282">
        <v>8.5000000000000006E-2</v>
      </c>
    </row>
    <row r="183" spans="2:8">
      <c r="B183" s="20" t="s">
        <v>252</v>
      </c>
      <c r="C183" s="20" t="s">
        <v>100</v>
      </c>
      <c r="E183" s="13" t="str">
        <f>+VLOOKUP(B183,'INT Web'!$B$5:$Q$247,'INT Web'!$Q$1,FALSE)</f>
        <v>RON</v>
      </c>
      <c r="F183" s="160">
        <v>0.19</v>
      </c>
      <c r="G183" s="160">
        <v>0.21</v>
      </c>
      <c r="H183" s="160">
        <v>0.21</v>
      </c>
    </row>
    <row r="184" spans="2:8" hidden="1" outlineLevel="1">
      <c r="B184" s="20" t="s">
        <v>253</v>
      </c>
      <c r="C184" s="20" t="s">
        <v>100</v>
      </c>
      <c r="D184" s="27"/>
      <c r="E184" s="152" t="str">
        <f>+VLOOKUP(B184,'INT Web'!$B$5:$Q$247,'INT Web'!$Q$1,FALSE)</f>
        <v>RUB</v>
      </c>
      <c r="F184" s="160"/>
      <c r="G184" s="160"/>
      <c r="H184" s="160"/>
    </row>
    <row r="185" spans="2:8" collapsed="1">
      <c r="B185" s="20" t="s">
        <v>254</v>
      </c>
      <c r="C185" s="20" t="s">
        <v>270</v>
      </c>
      <c r="E185" s="153" t="str">
        <f>+VLOOKUP(B185,'INT Web'!$B$5:$Q$247,'INT Web'!$Q$1,FALSE)</f>
        <v>RWF</v>
      </c>
      <c r="F185" s="160"/>
      <c r="G185" s="160"/>
      <c r="H185" s="160"/>
    </row>
    <row r="186" spans="2:8">
      <c r="B186" s="20" t="s">
        <v>255</v>
      </c>
      <c r="C186" s="20" t="s">
        <v>96</v>
      </c>
      <c r="E186" s="13" t="str">
        <f>+VLOOKUP(B186,'INT Web'!$B$5:$Q$247,'INT Web'!$Q$1,FALSE)</f>
        <v>EUR</v>
      </c>
      <c r="F186" s="160"/>
      <c r="G186" s="160"/>
      <c r="H186" s="160"/>
    </row>
    <row r="187" spans="2:8">
      <c r="B187" s="20" t="s">
        <v>256</v>
      </c>
      <c r="C187" s="20" t="s">
        <v>182</v>
      </c>
      <c r="E187" s="13" t="str">
        <f>+VLOOKUP(B187,'INT Web'!$B$5:$Q$247,'INT Web'!$Q$1,FALSE)</f>
        <v>WST</v>
      </c>
      <c r="F187" s="160"/>
      <c r="G187" s="160"/>
      <c r="H187" s="160"/>
    </row>
    <row r="188" spans="2:8">
      <c r="B188" s="20" t="s">
        <v>257</v>
      </c>
      <c r="C188" s="20" t="s">
        <v>100</v>
      </c>
      <c r="E188" s="13" t="str">
        <f>+VLOOKUP(B188,'INT Web'!$B$5:$Q$247,'INT Web'!$Q$1,FALSE)</f>
        <v>EUR</v>
      </c>
      <c r="F188" s="160"/>
      <c r="G188" s="160"/>
      <c r="H188" s="160"/>
    </row>
    <row r="189" spans="2:8">
      <c r="B189" s="20" t="s">
        <v>258</v>
      </c>
      <c r="C189" s="20" t="s">
        <v>270</v>
      </c>
      <c r="E189" s="13" t="str">
        <f>+VLOOKUP(B189,'INT Web'!$B$5:$Q$247,'INT Web'!$Q$1,FALSE)</f>
        <v>USD</v>
      </c>
      <c r="F189" s="160"/>
      <c r="G189" s="160"/>
      <c r="H189" s="160"/>
    </row>
    <row r="190" spans="2:8">
      <c r="B190" s="20" t="s">
        <v>259</v>
      </c>
      <c r="C190" s="20" t="s">
        <v>275</v>
      </c>
      <c r="E190" s="13" t="str">
        <f>+VLOOKUP(B190,'INT Web'!$B$5:$Q$247,'INT Web'!$Q$1,FALSE)</f>
        <v>SAR</v>
      </c>
      <c r="F190" s="160">
        <v>0.15</v>
      </c>
      <c r="G190" s="160">
        <f t="shared" ref="G190:H190" si="32">+F190</f>
        <v>0.15</v>
      </c>
      <c r="H190" s="160">
        <f t="shared" si="32"/>
        <v>0.15</v>
      </c>
    </row>
    <row r="191" spans="2:8">
      <c r="B191" s="20" t="s">
        <v>260</v>
      </c>
      <c r="C191" s="20" t="s">
        <v>270</v>
      </c>
      <c r="E191" s="153" t="str">
        <f>+VLOOKUP(B191,'INT Web'!$B$5:$Q$247,'INT Web'!$Q$1,FALSE)</f>
        <v>XOF</v>
      </c>
      <c r="F191" s="160"/>
      <c r="G191" s="160"/>
      <c r="H191" s="160"/>
    </row>
    <row r="192" spans="2:8">
      <c r="B192" s="20" t="s">
        <v>261</v>
      </c>
      <c r="C192" s="20" t="s">
        <v>100</v>
      </c>
      <c r="E192" s="13" t="str">
        <f>+VLOOKUP(B192,'INT Web'!$B$5:$Q$247,'INT Web'!$Q$1,FALSE)</f>
        <v>RSD</v>
      </c>
      <c r="F192" s="160">
        <v>0.2</v>
      </c>
      <c r="G192" s="160">
        <f t="shared" ref="G192:H192" si="33">+F192</f>
        <v>0.2</v>
      </c>
      <c r="H192" s="160">
        <f t="shared" si="33"/>
        <v>0.2</v>
      </c>
    </row>
    <row r="193" spans="2:8">
      <c r="B193" s="20" t="s">
        <v>262</v>
      </c>
      <c r="C193" s="20" t="s">
        <v>270</v>
      </c>
      <c r="E193" s="13" t="str">
        <f>+VLOOKUP(B193,'INT Web'!$B$5:$Q$247,'INT Web'!$Q$1,FALSE)</f>
        <v>SCR</v>
      </c>
      <c r="F193" s="160"/>
      <c r="G193" s="160"/>
      <c r="H193" s="160"/>
    </row>
    <row r="194" spans="2:8">
      <c r="B194" s="20" t="s">
        <v>263</v>
      </c>
      <c r="C194" s="20" t="s">
        <v>270</v>
      </c>
      <c r="E194" s="13" t="str">
        <f>+VLOOKUP(B194,'INT Web'!$B$5:$Q$247,'INT Web'!$Q$1,FALSE)</f>
        <v>SLL</v>
      </c>
      <c r="F194" s="160"/>
      <c r="G194" s="160"/>
      <c r="H194" s="160"/>
    </row>
    <row r="195" spans="2:8">
      <c r="B195" s="20" t="s">
        <v>264</v>
      </c>
      <c r="C195" s="20" t="s">
        <v>182</v>
      </c>
      <c r="D195" s="6" t="s">
        <v>348</v>
      </c>
      <c r="E195" s="13" t="str">
        <f>+VLOOKUP(B195,'INT Web'!$B$5:$Q$247,'INT Web'!$Q$1,FALSE)</f>
        <v>SGD</v>
      </c>
      <c r="F195" s="160">
        <v>0.09</v>
      </c>
      <c r="G195" s="160">
        <f t="shared" ref="G195:H195" si="34">+F195</f>
        <v>0.09</v>
      </c>
      <c r="H195" s="160">
        <f t="shared" si="34"/>
        <v>0.09</v>
      </c>
    </row>
    <row r="196" spans="2:8">
      <c r="B196" s="20" t="s">
        <v>265</v>
      </c>
      <c r="C196" s="20" t="s">
        <v>96</v>
      </c>
      <c r="E196" s="13" t="str">
        <f>+VLOOKUP(B196,'INT Web'!$B$5:$Q$247,'INT Web'!$Q$1,FALSE)</f>
        <v>ANG</v>
      </c>
      <c r="F196" s="160"/>
      <c r="G196" s="160"/>
      <c r="H196" s="160"/>
    </row>
    <row r="197" spans="2:8">
      <c r="B197" s="20" t="s">
        <v>266</v>
      </c>
      <c r="C197" s="20" t="s">
        <v>100</v>
      </c>
      <c r="E197" s="13" t="str">
        <f>+VLOOKUP(B197,'INT Web'!$B$5:$Q$247,'INT Web'!$Q$1,FALSE)</f>
        <v>EUR</v>
      </c>
      <c r="F197" s="160">
        <v>0.23</v>
      </c>
      <c r="G197" s="160">
        <f t="shared" ref="G197:H198" si="35">+F197</f>
        <v>0.23</v>
      </c>
      <c r="H197" s="160">
        <f t="shared" si="35"/>
        <v>0.23</v>
      </c>
    </row>
    <row r="198" spans="2:8">
      <c r="B198" s="20" t="s">
        <v>267</v>
      </c>
      <c r="C198" s="20" t="s">
        <v>100</v>
      </c>
      <c r="E198" s="13" t="str">
        <f>+VLOOKUP(B198,'INT Web'!$B$5:$Q$247,'INT Web'!$Q$1,FALSE)</f>
        <v>EUR</v>
      </c>
      <c r="F198" s="160">
        <v>0.22</v>
      </c>
      <c r="G198" s="160">
        <f t="shared" si="35"/>
        <v>0.22</v>
      </c>
      <c r="H198" s="160">
        <f t="shared" si="35"/>
        <v>0.22</v>
      </c>
    </row>
    <row r="199" spans="2:8">
      <c r="B199" s="20" t="s">
        <v>268</v>
      </c>
      <c r="C199" s="20" t="s">
        <v>182</v>
      </c>
      <c r="E199" s="13" t="str">
        <f>+VLOOKUP(B199,'INT Web'!$B$5:$Q$247,'INT Web'!$Q$1,FALSE)</f>
        <v>SBD</v>
      </c>
      <c r="F199" s="160"/>
      <c r="G199" s="160"/>
      <c r="H199" s="160"/>
    </row>
    <row r="200" spans="2:8">
      <c r="B200" s="20" t="s">
        <v>269</v>
      </c>
      <c r="C200" s="20" t="s">
        <v>270</v>
      </c>
      <c r="E200" s="13" t="str">
        <f>+VLOOKUP(B200,'INT Web'!$B$5:$Q$247,'INT Web'!$Q$1,FALSE)</f>
        <v>SOS</v>
      </c>
      <c r="F200" s="160"/>
      <c r="G200" s="160"/>
      <c r="H200" s="160"/>
    </row>
    <row r="201" spans="2:8">
      <c r="B201" s="20" t="s">
        <v>271</v>
      </c>
      <c r="C201" s="20" t="s">
        <v>270</v>
      </c>
      <c r="D201" s="6" t="s">
        <v>350</v>
      </c>
      <c r="E201" s="13" t="str">
        <f>+VLOOKUP(B201,'INT Web'!$B$5:$Q$247,'INT Web'!$Q$1,FALSE)</f>
        <v>ZAR</v>
      </c>
      <c r="F201" s="160">
        <v>0.15</v>
      </c>
      <c r="G201" s="160">
        <f t="shared" ref="G201:H201" si="36">+F201</f>
        <v>0.15</v>
      </c>
      <c r="H201" s="160">
        <f t="shared" si="36"/>
        <v>0.15</v>
      </c>
    </row>
    <row r="202" spans="2:8">
      <c r="B202" s="20" t="s">
        <v>272</v>
      </c>
      <c r="C202" s="20" t="s">
        <v>100</v>
      </c>
      <c r="E202" s="13" t="str">
        <f>+VLOOKUP(B202,'INT Web'!$B$5:$Q$247,'INT Web'!$Q$1,FALSE)</f>
        <v>GBP</v>
      </c>
      <c r="F202" s="160"/>
      <c r="G202" s="160"/>
      <c r="H202" s="160"/>
    </row>
    <row r="203" spans="2:8">
      <c r="B203" s="20" t="s">
        <v>273</v>
      </c>
      <c r="C203" s="20" t="s">
        <v>182</v>
      </c>
      <c r="D203" s="6" t="s">
        <v>348</v>
      </c>
      <c r="E203" s="153" t="str">
        <f>+VLOOKUP(B203,'INT Web'!$B$5:$Q$247,'INT Web'!$Q$1,FALSE)</f>
        <v>KRW</v>
      </c>
      <c r="F203" s="160">
        <v>0.1</v>
      </c>
      <c r="G203" s="160">
        <f t="shared" ref="G203:H203" si="37">+F203</f>
        <v>0.1</v>
      </c>
      <c r="H203" s="160">
        <f t="shared" si="37"/>
        <v>0.1</v>
      </c>
    </row>
    <row r="204" spans="2:8">
      <c r="B204" s="20" t="s">
        <v>274</v>
      </c>
      <c r="C204" s="20" t="s">
        <v>275</v>
      </c>
      <c r="E204" s="13" t="str">
        <f>+VLOOKUP(B204,'INT Web'!$B$5:$Q$247,'INT Web'!$Q$1,FALSE)</f>
        <v>USD</v>
      </c>
      <c r="F204" s="160"/>
      <c r="G204" s="160"/>
      <c r="H204" s="160"/>
    </row>
    <row r="205" spans="2:8">
      <c r="B205" s="20" t="s">
        <v>276</v>
      </c>
      <c r="C205" s="20" t="s">
        <v>100</v>
      </c>
      <c r="D205" s="6" t="s">
        <v>347</v>
      </c>
      <c r="E205" s="13" t="str">
        <f>+VLOOKUP(B205,'INT Web'!$B$5:$Q$247,'INT Web'!$Q$1,FALSE)</f>
        <v>EUR</v>
      </c>
      <c r="F205" s="160">
        <v>0.21</v>
      </c>
      <c r="G205" s="160">
        <f t="shared" ref="G205:H205" si="38">+F205</f>
        <v>0.21</v>
      </c>
      <c r="H205" s="280">
        <f t="shared" si="38"/>
        <v>0.21</v>
      </c>
    </row>
    <row r="206" spans="2:8">
      <c r="B206" s="20" t="s">
        <v>277</v>
      </c>
      <c r="C206" s="20" t="s">
        <v>182</v>
      </c>
      <c r="E206" s="13" t="str">
        <f>+VLOOKUP(B206,'INT Web'!$B$5:$Q$247,'INT Web'!$Q$1,FALSE)</f>
        <v>LKR</v>
      </c>
      <c r="F206" s="160"/>
      <c r="G206" s="160"/>
      <c r="H206" s="160"/>
    </row>
    <row r="207" spans="2:8">
      <c r="B207" s="20" t="s">
        <v>278</v>
      </c>
      <c r="C207" s="20" t="s">
        <v>96</v>
      </c>
      <c r="E207" s="13" t="str">
        <f>+VLOOKUP(B207,'INT Web'!$B$5:$Q$247,'INT Web'!$Q$1,FALSE)</f>
        <v>EUR</v>
      </c>
      <c r="F207" s="160"/>
      <c r="G207" s="160"/>
      <c r="H207" s="160"/>
    </row>
    <row r="208" spans="2:8">
      <c r="B208" s="20" t="s">
        <v>279</v>
      </c>
      <c r="C208" s="20" t="s">
        <v>270</v>
      </c>
      <c r="E208" s="13" t="str">
        <f>+VLOOKUP(B208,'INT Web'!$B$5:$Q$247,'INT Web'!$Q$1,FALSE)</f>
        <v>SHP</v>
      </c>
      <c r="F208" s="160"/>
      <c r="G208" s="160"/>
      <c r="H208" s="160"/>
    </row>
    <row r="209" spans="2:8">
      <c r="B209" s="20" t="s">
        <v>280</v>
      </c>
      <c r="C209" s="20" t="s">
        <v>96</v>
      </c>
      <c r="E209" s="13" t="str">
        <f>+VLOOKUP(B209,'INT Web'!$B$5:$Q$247,'INT Web'!$Q$1,FALSE)</f>
        <v>XCD</v>
      </c>
      <c r="F209" s="160"/>
      <c r="G209" s="160"/>
      <c r="H209" s="160"/>
    </row>
    <row r="210" spans="2:8">
      <c r="B210" s="20" t="s">
        <v>281</v>
      </c>
      <c r="C210" s="20" t="s">
        <v>270</v>
      </c>
      <c r="E210" s="13" t="str">
        <f>+VLOOKUP(B210,'INT Web'!$B$5:$Q$247,'INT Web'!$Q$1,FALSE)</f>
        <v>XCD</v>
      </c>
      <c r="F210" s="160"/>
      <c r="G210" s="160"/>
      <c r="H210" s="160"/>
    </row>
    <row r="211" spans="2:8">
      <c r="B211" s="20" t="s">
        <v>282</v>
      </c>
      <c r="C211" s="20" t="s">
        <v>96</v>
      </c>
      <c r="E211" s="13" t="str">
        <f>+VLOOKUP(B211,'INT Web'!$B$5:$Q$247,'INT Web'!$Q$1,FALSE)</f>
        <v>EUR</v>
      </c>
      <c r="F211" s="160"/>
      <c r="G211" s="160"/>
      <c r="H211" s="160"/>
    </row>
    <row r="212" spans="2:8">
      <c r="B212" s="20" t="s">
        <v>283</v>
      </c>
      <c r="C212" s="20" t="s">
        <v>96</v>
      </c>
      <c r="E212" s="13" t="str">
        <f>+VLOOKUP(B212,'INT Web'!$B$5:$Q$247,'INT Web'!$Q$1,FALSE)</f>
        <v>XCD</v>
      </c>
      <c r="F212" s="160"/>
      <c r="G212" s="160"/>
      <c r="H212" s="160"/>
    </row>
    <row r="213" spans="2:8">
      <c r="B213" s="20" t="s">
        <v>284</v>
      </c>
      <c r="C213" s="20" t="s">
        <v>270</v>
      </c>
      <c r="E213" s="13" t="str">
        <f>+VLOOKUP(B213,'INT Web'!$B$5:$Q$247,'INT Web'!$Q$1,FALSE)</f>
        <v>USD</v>
      </c>
      <c r="F213" s="160"/>
      <c r="G213" s="160"/>
      <c r="H213" s="160"/>
    </row>
    <row r="214" spans="2:8">
      <c r="B214" s="20" t="s">
        <v>285</v>
      </c>
      <c r="C214" s="20" t="s">
        <v>96</v>
      </c>
      <c r="E214" s="13" t="str">
        <f>+VLOOKUP(B214,'INT Web'!$B$5:$Q$247,'INT Web'!$Q$1,FALSE)</f>
        <v>SRD</v>
      </c>
      <c r="F214" s="160"/>
      <c r="G214" s="160"/>
      <c r="H214" s="160"/>
    </row>
    <row r="215" spans="2:8">
      <c r="B215" s="20" t="s">
        <v>286</v>
      </c>
      <c r="C215" s="20" t="s">
        <v>100</v>
      </c>
      <c r="E215" s="13" t="str">
        <f>+VLOOKUP(B215,'INT Web'!$B$5:$Q$247,'INT Web'!$Q$1,FALSE)</f>
        <v>NOK</v>
      </c>
      <c r="F215" s="160"/>
      <c r="G215" s="160"/>
      <c r="H215" s="160"/>
    </row>
    <row r="216" spans="2:8">
      <c r="B216" s="20" t="s">
        <v>287</v>
      </c>
      <c r="C216" s="20" t="s">
        <v>100</v>
      </c>
      <c r="D216" s="6" t="s">
        <v>348</v>
      </c>
      <c r="E216" s="13" t="str">
        <f>+VLOOKUP(B216,'INT Web'!$B$5:$Q$247,'INT Web'!$Q$1,FALSE)</f>
        <v>SEK</v>
      </c>
      <c r="F216" s="160">
        <v>0.25</v>
      </c>
      <c r="G216" s="160">
        <f t="shared" ref="G216:H219" si="39">+F216</f>
        <v>0.25</v>
      </c>
      <c r="H216" s="160">
        <f t="shared" si="39"/>
        <v>0.25</v>
      </c>
    </row>
    <row r="217" spans="2:8">
      <c r="B217" s="20" t="s">
        <v>288</v>
      </c>
      <c r="C217" s="20" t="s">
        <v>100</v>
      </c>
      <c r="D217" s="6" t="s">
        <v>348</v>
      </c>
      <c r="E217" s="13" t="str">
        <f>+VLOOKUP(B217,'INT Web'!$B$5:$Q$247,'INT Web'!$Q$1,FALSE)</f>
        <v>CHF</v>
      </c>
      <c r="F217" s="159">
        <v>8.1000000000000003E-2</v>
      </c>
      <c r="G217" s="160">
        <f t="shared" si="39"/>
        <v>8.1000000000000003E-2</v>
      </c>
      <c r="H217" s="160">
        <f t="shared" si="39"/>
        <v>8.1000000000000003E-2</v>
      </c>
    </row>
    <row r="218" spans="2:8" hidden="1" outlineLevel="1">
      <c r="B218" s="20" t="s">
        <v>289</v>
      </c>
      <c r="C218" s="20" t="s">
        <v>275</v>
      </c>
      <c r="D218" s="27"/>
      <c r="E218" s="152">
        <f>+VLOOKUP(B218,'INT Web'!$B$5:$Q$247,'INT Web'!$Q$1,FALSE)</f>
        <v>0</v>
      </c>
      <c r="F218" s="159"/>
      <c r="G218" s="160">
        <f t="shared" si="39"/>
        <v>0</v>
      </c>
      <c r="H218" s="160">
        <f t="shared" si="39"/>
        <v>0</v>
      </c>
    </row>
    <row r="219" spans="2:8" collapsed="1">
      <c r="B219" s="20" t="s">
        <v>290</v>
      </c>
      <c r="C219" s="20" t="s">
        <v>351</v>
      </c>
      <c r="D219" s="6" t="s">
        <v>347</v>
      </c>
      <c r="E219" s="13" t="str">
        <f>+VLOOKUP(B219,'INT Web'!$B$5:$Q$247,'INT Web'!$Q$1,FALSE)</f>
        <v>TWD</v>
      </c>
      <c r="F219" s="160">
        <v>0.05</v>
      </c>
      <c r="G219" s="160">
        <f t="shared" si="39"/>
        <v>0.05</v>
      </c>
      <c r="H219" s="160">
        <f t="shared" si="39"/>
        <v>0.05</v>
      </c>
    </row>
    <row r="220" spans="2:8">
      <c r="B220" s="20" t="s">
        <v>291</v>
      </c>
      <c r="C220" s="20" t="s">
        <v>182</v>
      </c>
      <c r="E220" s="13" t="str">
        <f>+VLOOKUP(B220,'INT Web'!$B$5:$Q$247,'INT Web'!$Q$1,FALSE)</f>
        <v>USD</v>
      </c>
      <c r="F220" s="156"/>
      <c r="G220" s="160"/>
      <c r="H220" s="160"/>
    </row>
    <row r="221" spans="2:8">
      <c r="B221" s="20" t="s">
        <v>292</v>
      </c>
      <c r="C221" s="20" t="s">
        <v>270</v>
      </c>
      <c r="E221" s="13" t="str">
        <f>+VLOOKUP(B221,'INT Web'!$B$5:$Q$247,'INT Web'!$Q$1,FALSE)</f>
        <v>TZS</v>
      </c>
      <c r="F221" s="156"/>
      <c r="G221" s="160"/>
      <c r="H221" s="160"/>
    </row>
    <row r="222" spans="2:8">
      <c r="B222" s="20" t="s">
        <v>293</v>
      </c>
      <c r="C222" s="20" t="s">
        <v>182</v>
      </c>
      <c r="D222" s="6" t="s">
        <v>348</v>
      </c>
      <c r="E222" s="13" t="str">
        <f>+VLOOKUP(B222,'INT Web'!$B$5:$Q$247,'INT Web'!$Q$1,FALSE)</f>
        <v>THB</v>
      </c>
      <c r="F222" s="160">
        <v>7.0000000000000007E-2</v>
      </c>
      <c r="G222" s="160">
        <f t="shared" ref="G222:H222" si="40">+F222</f>
        <v>7.0000000000000007E-2</v>
      </c>
      <c r="H222" s="160">
        <f t="shared" si="40"/>
        <v>7.0000000000000007E-2</v>
      </c>
    </row>
    <row r="223" spans="2:8">
      <c r="B223" s="20" t="s">
        <v>294</v>
      </c>
      <c r="C223" s="20" t="s">
        <v>182</v>
      </c>
      <c r="E223" s="13" t="str">
        <f>+VLOOKUP(B223,'INT Web'!$B$5:$Q$247,'INT Web'!$Q$1,FALSE)</f>
        <v>USD</v>
      </c>
      <c r="F223" s="160"/>
      <c r="G223" s="160"/>
      <c r="H223" s="160"/>
    </row>
    <row r="224" spans="2:8">
      <c r="B224" s="20" t="s">
        <v>295</v>
      </c>
      <c r="C224" s="20" t="s">
        <v>270</v>
      </c>
      <c r="E224" s="153" t="str">
        <f>+VLOOKUP(B224,'INT Web'!$B$5:$Q$247,'INT Web'!$Q$1,FALSE)</f>
        <v>XOF</v>
      </c>
      <c r="F224" s="160"/>
      <c r="G224" s="160"/>
      <c r="H224" s="160"/>
    </row>
    <row r="225" spans="2:8">
      <c r="B225" s="20" t="s">
        <v>296</v>
      </c>
      <c r="C225" s="20" t="s">
        <v>182</v>
      </c>
      <c r="E225" s="13" t="str">
        <f>+VLOOKUP(B225,'INT Web'!$B$5:$Q$247,'INT Web'!$Q$1,FALSE)</f>
        <v>NZD</v>
      </c>
      <c r="F225" s="160"/>
      <c r="G225" s="160"/>
      <c r="H225" s="160"/>
    </row>
    <row r="226" spans="2:8">
      <c r="B226" s="20" t="s">
        <v>297</v>
      </c>
      <c r="C226" s="20" t="s">
        <v>182</v>
      </c>
      <c r="E226" s="13" t="str">
        <f>+VLOOKUP(B226,'INT Web'!$B$5:$Q$247,'INT Web'!$Q$1,FALSE)</f>
        <v>TOP</v>
      </c>
      <c r="F226" s="160"/>
      <c r="G226" s="160"/>
      <c r="H226" s="160"/>
    </row>
    <row r="227" spans="2:8">
      <c r="B227" s="20" t="s">
        <v>298</v>
      </c>
      <c r="C227" s="20" t="s">
        <v>96</v>
      </c>
      <c r="E227" s="13" t="str">
        <f>+VLOOKUP(B227,'INT Web'!$B$5:$Q$247,'INT Web'!$Q$1,FALSE)</f>
        <v>TTD</v>
      </c>
      <c r="F227" s="160"/>
      <c r="G227" s="160"/>
      <c r="H227" s="160"/>
    </row>
    <row r="228" spans="2:8">
      <c r="B228" s="20" t="s">
        <v>299</v>
      </c>
      <c r="C228" s="20" t="s">
        <v>270</v>
      </c>
      <c r="E228" s="151" t="str">
        <f>+VLOOKUP(B228,'INT Web'!$B$5:$Q$247,'INT Web'!$Q$1,FALSE)</f>
        <v>TND</v>
      </c>
      <c r="F228" s="160"/>
      <c r="G228" s="160"/>
      <c r="H228" s="160"/>
    </row>
    <row r="229" spans="2:8">
      <c r="B229" s="100" t="s">
        <v>300</v>
      </c>
      <c r="C229" s="100" t="s">
        <v>100</v>
      </c>
      <c r="D229" s="6" t="s">
        <v>350</v>
      </c>
      <c r="E229" s="13" t="str">
        <f>+VLOOKUP(B229,'INT Web'!$B$5:$Q$247,'INT Web'!$Q$1,FALSE)</f>
        <v>TRY</v>
      </c>
      <c r="F229" s="160">
        <v>0.2</v>
      </c>
      <c r="G229" s="160">
        <f t="shared" ref="G229:H229" si="41">+F229</f>
        <v>0.2</v>
      </c>
      <c r="H229" s="160">
        <f t="shared" si="41"/>
        <v>0.2</v>
      </c>
    </row>
    <row r="230" spans="2:8">
      <c r="B230" s="20" t="s">
        <v>301</v>
      </c>
      <c r="C230" s="20" t="s">
        <v>182</v>
      </c>
      <c r="E230" s="13" t="str">
        <f>+VLOOKUP(B230,'INT Web'!$B$5:$Q$247,'INT Web'!$Q$1,FALSE)</f>
        <v>USD</v>
      </c>
      <c r="F230" s="160"/>
      <c r="G230" s="160"/>
      <c r="H230" s="160"/>
    </row>
    <row r="231" spans="2:8">
      <c r="B231" s="20" t="s">
        <v>302</v>
      </c>
      <c r="C231" s="20" t="s">
        <v>96</v>
      </c>
      <c r="E231" s="13" t="str">
        <f>+VLOOKUP(B231,'INT Web'!$B$5:$Q$247,'INT Web'!$Q$1,FALSE)</f>
        <v>USD</v>
      </c>
      <c r="F231" s="160"/>
      <c r="G231" s="160"/>
      <c r="H231" s="160"/>
    </row>
    <row r="232" spans="2:8">
      <c r="B232" s="20" t="s">
        <v>303</v>
      </c>
      <c r="C232" s="20" t="s">
        <v>182</v>
      </c>
      <c r="E232" s="13" t="str">
        <f>+VLOOKUP(B232,'INT Web'!$B$5:$Q$247,'INT Web'!$Q$1,FALSE)</f>
        <v>AUD</v>
      </c>
      <c r="F232" s="160"/>
      <c r="G232" s="160"/>
      <c r="H232" s="160"/>
    </row>
    <row r="233" spans="2:8">
      <c r="B233" s="20" t="s">
        <v>304</v>
      </c>
      <c r="C233" s="20" t="s">
        <v>270</v>
      </c>
      <c r="E233" s="153" t="str">
        <f>+VLOOKUP(B233,'INT Web'!$B$5:$Q$247,'INT Web'!$Q$1,FALSE)</f>
        <v>UGX</v>
      </c>
      <c r="F233" s="160"/>
      <c r="G233" s="160"/>
      <c r="H233" s="160"/>
    </row>
    <row r="234" spans="2:8">
      <c r="B234" s="20" t="s">
        <v>305</v>
      </c>
      <c r="C234" s="20" t="s">
        <v>100</v>
      </c>
      <c r="E234" s="13" t="str">
        <f>+VLOOKUP(B234,'INT Web'!$B$5:$Q$247,'INT Web'!$Q$1,FALSE)</f>
        <v>UAH</v>
      </c>
      <c r="F234" s="160"/>
      <c r="G234" s="160"/>
      <c r="H234" s="160"/>
    </row>
    <row r="235" spans="2:8">
      <c r="B235" s="20" t="s">
        <v>306</v>
      </c>
      <c r="C235" s="20" t="s">
        <v>275</v>
      </c>
      <c r="E235" s="13" t="str">
        <f>+VLOOKUP(B235,'INT Web'!$B$5:$Q$247,'INT Web'!$Q$1,FALSE)</f>
        <v>AED</v>
      </c>
      <c r="F235" s="160">
        <v>0.05</v>
      </c>
      <c r="G235" s="160">
        <f t="shared" ref="G235:H236" si="42">+F235</f>
        <v>0.05</v>
      </c>
      <c r="H235" s="160">
        <f t="shared" si="42"/>
        <v>0.05</v>
      </c>
    </row>
    <row r="236" spans="2:8">
      <c r="B236" s="20" t="s">
        <v>307</v>
      </c>
      <c r="C236" s="20" t="s">
        <v>100</v>
      </c>
      <c r="D236" s="6" t="s">
        <v>347</v>
      </c>
      <c r="E236" s="13" t="str">
        <f>+VLOOKUP(B236,'INT Web'!$B$5:$Q$247,'INT Web'!$Q$1,FALSE)</f>
        <v>GBP</v>
      </c>
      <c r="F236" s="160">
        <v>0.2</v>
      </c>
      <c r="G236" s="160">
        <f t="shared" si="42"/>
        <v>0.2</v>
      </c>
      <c r="H236" s="160">
        <f t="shared" si="42"/>
        <v>0.2</v>
      </c>
    </row>
    <row r="237" spans="2:8">
      <c r="B237" s="20" t="s">
        <v>308</v>
      </c>
      <c r="C237" s="20" t="s">
        <v>96</v>
      </c>
      <c r="E237" s="13" t="str">
        <f>+VLOOKUP(B237,'INT Web'!$B$5:$Q$247,'INT Web'!$Q$1,FALSE)</f>
        <v>UYU</v>
      </c>
      <c r="F237" s="160">
        <v>0.22</v>
      </c>
      <c r="G237" s="160">
        <f>+F237</f>
        <v>0.22</v>
      </c>
      <c r="H237" s="160">
        <f>+G237</f>
        <v>0.22</v>
      </c>
    </row>
    <row r="238" spans="2:8">
      <c r="B238" s="20" t="s">
        <v>309</v>
      </c>
      <c r="C238" s="20" t="s">
        <v>182</v>
      </c>
      <c r="E238" s="13" t="str">
        <f>+VLOOKUP(B238,'INT Web'!$B$5:$Q$247,'INT Web'!$Q$1,FALSE)</f>
        <v>UZS</v>
      </c>
      <c r="F238" s="160"/>
      <c r="G238" s="160"/>
      <c r="H238" s="160"/>
    </row>
    <row r="239" spans="2:8">
      <c r="B239" s="20" t="s">
        <v>310</v>
      </c>
      <c r="C239" s="20" t="s">
        <v>182</v>
      </c>
      <c r="E239" s="153" t="str">
        <f>+VLOOKUP(B239,'INT Web'!$B$5:$Q$247,'INT Web'!$Q$1,FALSE)</f>
        <v>VUV</v>
      </c>
      <c r="F239" s="160"/>
      <c r="G239" s="156"/>
      <c r="H239" s="156"/>
    </row>
    <row r="240" spans="2:8">
      <c r="B240" s="20" t="s">
        <v>311</v>
      </c>
      <c r="C240" s="20" t="s">
        <v>100</v>
      </c>
      <c r="E240" s="13" t="str">
        <f>+VLOOKUP(B240,'INT Web'!$B$5:$Q$247,'INT Web'!$Q$1,FALSE)</f>
        <v>EUR</v>
      </c>
      <c r="F240" s="160"/>
      <c r="G240" s="156"/>
      <c r="H240" s="156"/>
    </row>
    <row r="241" spans="2:8">
      <c r="B241" s="20" t="s">
        <v>312</v>
      </c>
      <c r="C241" s="20" t="s">
        <v>96</v>
      </c>
      <c r="E241" s="13" t="str">
        <f>+VLOOKUP(B241,'INT Web'!$B$5:$Q$247,'INT Web'!$Q$1,FALSE)</f>
        <v>USD</v>
      </c>
      <c r="F241" s="160"/>
      <c r="G241" s="156"/>
      <c r="H241" s="156"/>
    </row>
    <row r="242" spans="2:8">
      <c r="B242" s="20" t="s">
        <v>313</v>
      </c>
      <c r="C242" s="20" t="s">
        <v>182</v>
      </c>
      <c r="E242" s="153" t="str">
        <f>+VLOOKUP(B242,'INT Web'!$B$5:$Q$247,'INT Web'!$Q$1,FALSE)</f>
        <v>VND</v>
      </c>
      <c r="F242" s="160">
        <v>0.05</v>
      </c>
      <c r="G242" s="160">
        <v>0.1</v>
      </c>
      <c r="H242" s="160">
        <v>0.1</v>
      </c>
    </row>
    <row r="243" spans="2:8">
      <c r="B243" s="20" t="s">
        <v>314</v>
      </c>
      <c r="C243" s="20" t="s">
        <v>182</v>
      </c>
      <c r="E243" s="153" t="str">
        <f>+VLOOKUP(B243,'INT Web'!$B$5:$Q$247,'INT Web'!$Q$1,FALSE)</f>
        <v>XPF</v>
      </c>
      <c r="F243" s="156"/>
      <c r="G243" s="156"/>
      <c r="H243" s="156"/>
    </row>
    <row r="244" spans="2:8">
      <c r="B244" s="20" t="s">
        <v>315</v>
      </c>
      <c r="C244" s="20" t="s">
        <v>270</v>
      </c>
      <c r="E244" s="13" t="str">
        <f>+VLOOKUP(B244,'INT Web'!$B$5:$Q$247,'INT Web'!$Q$1,FALSE)</f>
        <v>MAD</v>
      </c>
      <c r="F244" s="156"/>
      <c r="G244" s="156"/>
      <c r="H244" s="156"/>
    </row>
    <row r="245" spans="2:8">
      <c r="B245" s="20" t="s">
        <v>316</v>
      </c>
      <c r="C245" s="20" t="s">
        <v>275</v>
      </c>
      <c r="E245" s="13" t="str">
        <f>+VLOOKUP(B245,'INT Web'!$B$5:$Q$247,'INT Web'!$Q$1,FALSE)</f>
        <v>USD</v>
      </c>
      <c r="F245" s="156"/>
      <c r="G245" s="156"/>
      <c r="H245" s="156"/>
    </row>
    <row r="246" spans="2:8">
      <c r="B246" s="20" t="s">
        <v>317</v>
      </c>
      <c r="C246" s="20" t="s">
        <v>270</v>
      </c>
      <c r="E246" s="13" t="str">
        <f>+VLOOKUP(B246,'INT Web'!$B$5:$Q$247,'INT Web'!$Q$1,FALSE)</f>
        <v>ZMW</v>
      </c>
      <c r="F246" s="156"/>
      <c r="G246" s="156"/>
      <c r="H246" s="156"/>
    </row>
    <row r="247" spans="2:8">
      <c r="B247" s="20" t="s">
        <v>318</v>
      </c>
      <c r="C247" s="20" t="s">
        <v>270</v>
      </c>
      <c r="E247" s="13" t="str">
        <f>+VLOOKUP(B247,'INT Web'!$B$5:$Q$247,'INT Web'!$Q$1,FALSE)</f>
        <v>USD</v>
      </c>
      <c r="F247" s="156"/>
      <c r="G247" s="156"/>
      <c r="H247" s="156"/>
    </row>
  </sheetData>
  <autoFilter ref="B4:H4" xr:uid="{766231DF-2FC9-41C4-B71B-B5A9E7E75C90}"/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AFC4-B2C5-47C2-9E91-878BE149E1D5}">
  <sheetPr>
    <tabColor rgb="FFFFFF00"/>
  </sheetPr>
  <dimension ref="B1:R249"/>
  <sheetViews>
    <sheetView workbookViewId="0">
      <pane xSplit="4" ySplit="4" topLeftCell="E5" activePane="bottomRight" state="frozen"/>
      <selection pane="topRight" activeCell="E198" sqref="E198"/>
      <selection pane="bottomLeft" activeCell="E198" sqref="E198"/>
      <selection pane="bottomRight" activeCell="E5" sqref="E5"/>
    </sheetView>
  </sheetViews>
  <sheetFormatPr defaultColWidth="8.6328125" defaultRowHeight="12.5" outlineLevelRow="1"/>
  <cols>
    <col min="1" max="1" width="1.453125" customWidth="1"/>
    <col min="2" max="2" width="28.36328125" bestFit="1" customWidth="1"/>
    <col min="3" max="3" width="12.453125" bestFit="1" customWidth="1"/>
    <col min="4" max="4" width="13.6328125" style="6" bestFit="1" customWidth="1"/>
    <col min="5" max="5" width="13.6328125" style="7" bestFit="1" customWidth="1"/>
    <col min="6" max="6" width="11.36328125" style="7" bestFit="1" customWidth="1"/>
    <col min="7" max="7" width="13.6328125" style="7" bestFit="1" customWidth="1"/>
    <col min="8" max="8" width="11.36328125" style="7" bestFit="1" customWidth="1"/>
    <col min="9" max="9" width="13.6328125" bestFit="1" customWidth="1"/>
    <col min="10" max="10" width="11.36328125" bestFit="1" customWidth="1"/>
    <col min="11" max="11" width="13.6328125" bestFit="1" customWidth="1"/>
    <col min="12" max="12" width="11.36328125" bestFit="1" customWidth="1"/>
    <col min="13" max="13" width="13.6328125" bestFit="1" customWidth="1"/>
    <col min="14" max="14" width="11.36328125" bestFit="1" customWidth="1"/>
    <col min="15" max="15" width="13.6328125" bestFit="1" customWidth="1"/>
    <col min="16" max="16" width="11.36328125" bestFit="1" customWidth="1"/>
    <col min="17" max="17" width="13.6328125" bestFit="1" customWidth="1"/>
    <col min="18" max="18" width="11.36328125" bestFit="1" customWidth="1"/>
  </cols>
  <sheetData>
    <row r="1" spans="2:18">
      <c r="B1">
        <v>1</v>
      </c>
      <c r="C1">
        <f>+B1+1</f>
        <v>2</v>
      </c>
      <c r="D1">
        <f t="shared" ref="D1:F1" si="0">+C1+1</f>
        <v>3</v>
      </c>
      <c r="E1">
        <f t="shared" si="0"/>
        <v>4</v>
      </c>
      <c r="F1">
        <f t="shared" si="0"/>
        <v>5</v>
      </c>
      <c r="G1">
        <f t="shared" ref="G1" si="1">+F1+1</f>
        <v>6</v>
      </c>
      <c r="H1">
        <f>+G1+1</f>
        <v>7</v>
      </c>
      <c r="I1">
        <f>+H1+1</f>
        <v>8</v>
      </c>
      <c r="J1">
        <f>+I1+1</f>
        <v>9</v>
      </c>
      <c r="K1">
        <f t="shared" ref="K1:R1" si="2">+J1+1</f>
        <v>10</v>
      </c>
      <c r="L1">
        <f t="shared" si="2"/>
        <v>11</v>
      </c>
      <c r="M1">
        <f t="shared" si="2"/>
        <v>12</v>
      </c>
      <c r="N1">
        <f t="shared" si="2"/>
        <v>13</v>
      </c>
      <c r="O1">
        <f t="shared" si="2"/>
        <v>14</v>
      </c>
      <c r="P1">
        <f t="shared" si="2"/>
        <v>15</v>
      </c>
      <c r="Q1">
        <f t="shared" si="2"/>
        <v>16</v>
      </c>
      <c r="R1">
        <f t="shared" si="2"/>
        <v>17</v>
      </c>
    </row>
    <row r="2" spans="2:18">
      <c r="D2"/>
      <c r="E2"/>
      <c r="F2"/>
      <c r="G2"/>
      <c r="H2"/>
    </row>
    <row r="3" spans="2:18" ht="13">
      <c r="B3" s="6"/>
      <c r="C3" s="6"/>
      <c r="D3" s="5" t="s">
        <v>354</v>
      </c>
      <c r="E3" s="14" t="s">
        <v>501</v>
      </c>
      <c r="F3" s="14"/>
      <c r="G3" s="15" t="s">
        <v>502</v>
      </c>
      <c r="H3" s="16"/>
      <c r="I3" s="18" t="s">
        <v>503</v>
      </c>
      <c r="J3" s="19"/>
      <c r="K3" s="284" t="s">
        <v>504</v>
      </c>
      <c r="L3" s="284"/>
      <c r="M3" s="285" t="s">
        <v>505</v>
      </c>
      <c r="N3" s="285"/>
      <c r="O3" s="286" t="s">
        <v>506</v>
      </c>
      <c r="P3" s="286"/>
      <c r="Q3" s="287" t="s">
        <v>507</v>
      </c>
      <c r="R3" s="287"/>
    </row>
    <row r="4" spans="2:18" ht="13">
      <c r="B4" s="5" t="s">
        <v>31</v>
      </c>
      <c r="C4" s="5" t="s">
        <v>32</v>
      </c>
      <c r="D4" s="5" t="s">
        <v>330</v>
      </c>
      <c r="E4" s="2" t="s">
        <v>331</v>
      </c>
      <c r="F4" s="2" t="s">
        <v>508</v>
      </c>
      <c r="G4" s="3" t="s">
        <v>331</v>
      </c>
      <c r="H4" s="3" t="s">
        <v>508</v>
      </c>
      <c r="I4" s="1" t="s">
        <v>331</v>
      </c>
      <c r="J4" s="1" t="s">
        <v>508</v>
      </c>
      <c r="K4" s="4" t="s">
        <v>331</v>
      </c>
      <c r="L4" s="4" t="s">
        <v>508</v>
      </c>
      <c r="M4" s="134" t="s">
        <v>331</v>
      </c>
      <c r="N4" s="134" t="s">
        <v>508</v>
      </c>
      <c r="O4" s="2" t="s">
        <v>331</v>
      </c>
      <c r="P4" s="2" t="s">
        <v>508</v>
      </c>
      <c r="Q4" s="262" t="s">
        <v>331</v>
      </c>
      <c r="R4" s="262" t="s">
        <v>508</v>
      </c>
    </row>
    <row r="5" spans="2:18">
      <c r="B5" s="20" t="s">
        <v>46</v>
      </c>
      <c r="C5" s="20" t="s">
        <v>47</v>
      </c>
      <c r="E5" s="99" t="s">
        <v>346</v>
      </c>
      <c r="F5" s="99" t="s">
        <v>481</v>
      </c>
      <c r="G5" s="99" t="s">
        <v>346</v>
      </c>
      <c r="H5" s="99" t="s">
        <v>481</v>
      </c>
      <c r="I5" s="99" t="s">
        <v>346</v>
      </c>
      <c r="J5" s="99" t="s">
        <v>481</v>
      </c>
      <c r="K5" s="99" t="s">
        <v>346</v>
      </c>
      <c r="L5" s="99" t="s">
        <v>481</v>
      </c>
      <c r="Q5" s="102" t="s">
        <v>346</v>
      </c>
      <c r="R5" s="102" t="s">
        <v>481</v>
      </c>
    </row>
    <row r="6" spans="2:18" ht="13">
      <c r="B6" s="24"/>
      <c r="C6" s="24"/>
      <c r="D6" s="24"/>
      <c r="E6" s="261"/>
      <c r="F6" s="261"/>
      <c r="G6" s="261"/>
      <c r="H6" s="261"/>
      <c r="I6" s="261"/>
      <c r="J6" s="261"/>
    </row>
    <row r="7" spans="2:18" ht="13">
      <c r="B7" s="20" t="s">
        <v>70</v>
      </c>
      <c r="C7" s="20" t="s">
        <v>182</v>
      </c>
      <c r="D7" s="24"/>
      <c r="E7" s="99"/>
      <c r="F7" s="99"/>
      <c r="G7" s="99" t="s">
        <v>346</v>
      </c>
      <c r="H7" s="99" t="s">
        <v>481</v>
      </c>
      <c r="I7" s="261"/>
      <c r="J7" s="261"/>
    </row>
    <row r="8" spans="2:18">
      <c r="B8" s="20" t="s">
        <v>71</v>
      </c>
      <c r="C8" s="20" t="s">
        <v>100</v>
      </c>
      <c r="E8" s="99" t="s">
        <v>368</v>
      </c>
      <c r="F8" s="99" t="s">
        <v>481</v>
      </c>
      <c r="G8" s="99" t="s">
        <v>368</v>
      </c>
      <c r="H8" s="99" t="s">
        <v>481</v>
      </c>
      <c r="I8" s="99" t="s">
        <v>509</v>
      </c>
      <c r="J8" s="99" t="s">
        <v>509</v>
      </c>
    </row>
    <row r="9" spans="2:18">
      <c r="B9" s="21" t="s">
        <v>73</v>
      </c>
      <c r="C9" s="21" t="s">
        <v>100</v>
      </c>
      <c r="D9" s="8"/>
      <c r="E9" s="102" t="s">
        <v>510</v>
      </c>
      <c r="F9" s="102" t="s">
        <v>511</v>
      </c>
      <c r="G9" s="99" t="s">
        <v>510</v>
      </c>
      <c r="H9" s="99" t="s">
        <v>481</v>
      </c>
      <c r="I9" s="99" t="s">
        <v>509</v>
      </c>
      <c r="J9" s="99" t="s">
        <v>509</v>
      </c>
    </row>
    <row r="10" spans="2:18">
      <c r="B10" s="20" t="s">
        <v>74</v>
      </c>
      <c r="C10" s="20" t="s">
        <v>270</v>
      </c>
      <c r="E10" s="99" t="s">
        <v>509</v>
      </c>
      <c r="F10" s="99" t="s">
        <v>509</v>
      </c>
      <c r="G10" s="99" t="s">
        <v>412</v>
      </c>
      <c r="H10" s="99" t="s">
        <v>481</v>
      </c>
      <c r="I10" s="99" t="s">
        <v>509</v>
      </c>
      <c r="J10" s="99" t="s">
        <v>509</v>
      </c>
    </row>
    <row r="11" spans="2:18">
      <c r="B11" s="20" t="s">
        <v>75</v>
      </c>
      <c r="C11" s="20" t="s">
        <v>182</v>
      </c>
      <c r="E11" s="99" t="s">
        <v>346</v>
      </c>
      <c r="F11" s="99" t="s">
        <v>481</v>
      </c>
      <c r="G11" s="99" t="s">
        <v>346</v>
      </c>
      <c r="H11" s="99" t="s">
        <v>481</v>
      </c>
      <c r="I11" s="99" t="s">
        <v>346</v>
      </c>
      <c r="J11" s="99" t="s">
        <v>481</v>
      </c>
    </row>
    <row r="12" spans="2:18">
      <c r="B12" s="20" t="s">
        <v>76</v>
      </c>
      <c r="C12" s="20" t="s">
        <v>100</v>
      </c>
      <c r="E12" s="99" t="s">
        <v>368</v>
      </c>
      <c r="F12" s="99" t="s">
        <v>481</v>
      </c>
      <c r="G12" s="99" t="s">
        <v>368</v>
      </c>
      <c r="H12" s="99" t="s">
        <v>481</v>
      </c>
      <c r="I12" s="99" t="s">
        <v>368</v>
      </c>
      <c r="J12" s="99" t="s">
        <v>481</v>
      </c>
    </row>
    <row r="13" spans="2:18">
      <c r="B13" s="20" t="s">
        <v>77</v>
      </c>
      <c r="C13" s="20" t="s">
        <v>270</v>
      </c>
      <c r="E13" s="99" t="s">
        <v>346</v>
      </c>
      <c r="F13" s="99" t="s">
        <v>481</v>
      </c>
      <c r="G13" s="99" t="s">
        <v>346</v>
      </c>
      <c r="H13" s="99" t="s">
        <v>481</v>
      </c>
      <c r="I13" s="99" t="s">
        <v>346</v>
      </c>
      <c r="J13" s="99" t="s">
        <v>481</v>
      </c>
    </row>
    <row r="14" spans="2:18">
      <c r="B14" s="20" t="s">
        <v>78</v>
      </c>
      <c r="C14" s="20" t="s">
        <v>96</v>
      </c>
      <c r="E14" s="99" t="s">
        <v>509</v>
      </c>
      <c r="F14" s="99" t="s">
        <v>509</v>
      </c>
      <c r="G14" s="99" t="s">
        <v>512</v>
      </c>
      <c r="H14" s="99" t="s">
        <v>481</v>
      </c>
      <c r="I14" s="99" t="s">
        <v>509</v>
      </c>
      <c r="J14" s="99" t="s">
        <v>509</v>
      </c>
    </row>
    <row r="15" spans="2:18">
      <c r="B15" s="20" t="s">
        <v>79</v>
      </c>
      <c r="C15" s="20" t="s">
        <v>100</v>
      </c>
      <c r="E15" s="99" t="s">
        <v>346</v>
      </c>
      <c r="F15" s="99" t="s">
        <v>481</v>
      </c>
      <c r="G15" s="99" t="s">
        <v>346</v>
      </c>
      <c r="H15" s="99" t="s">
        <v>481</v>
      </c>
      <c r="I15" s="99" t="s">
        <v>346</v>
      </c>
      <c r="J15" s="99" t="s">
        <v>481</v>
      </c>
    </row>
    <row r="16" spans="2:18">
      <c r="B16" s="20" t="s">
        <v>80</v>
      </c>
      <c r="C16" s="20" t="s">
        <v>96</v>
      </c>
      <c r="E16" s="99" t="s">
        <v>509</v>
      </c>
      <c r="F16" s="99" t="s">
        <v>509</v>
      </c>
      <c r="G16" s="99" t="s">
        <v>512</v>
      </c>
      <c r="H16" s="99" t="s">
        <v>481</v>
      </c>
      <c r="I16" s="99" t="s">
        <v>509</v>
      </c>
      <c r="J16" s="99" t="s">
        <v>509</v>
      </c>
    </row>
    <row r="17" spans="2:16">
      <c r="B17" s="20" t="s">
        <v>81</v>
      </c>
      <c r="C17" s="20" t="s">
        <v>96</v>
      </c>
      <c r="D17" s="6" t="s">
        <v>345</v>
      </c>
      <c r="E17" s="99" t="s">
        <v>513</v>
      </c>
      <c r="F17" s="99" t="s">
        <v>481</v>
      </c>
      <c r="G17" s="99" t="s">
        <v>513</v>
      </c>
      <c r="H17" s="99" t="s">
        <v>481</v>
      </c>
      <c r="I17" s="99" t="s">
        <v>509</v>
      </c>
      <c r="J17" s="99" t="s">
        <v>509</v>
      </c>
    </row>
    <row r="18" spans="2:16">
      <c r="B18" s="20" t="s">
        <v>82</v>
      </c>
      <c r="C18" s="20" t="s">
        <v>275</v>
      </c>
      <c r="E18" s="99" t="s">
        <v>514</v>
      </c>
      <c r="F18" s="99" t="s">
        <v>481</v>
      </c>
      <c r="G18" s="99" t="s">
        <v>514</v>
      </c>
      <c r="H18" s="99" t="s">
        <v>481</v>
      </c>
      <c r="I18" s="99" t="s">
        <v>509</v>
      </c>
      <c r="J18" s="99" t="s">
        <v>509</v>
      </c>
    </row>
    <row r="19" spans="2:16">
      <c r="B19" s="20" t="s">
        <v>83</v>
      </c>
      <c r="C19" s="20" t="s">
        <v>96</v>
      </c>
      <c r="E19" s="99" t="s">
        <v>509</v>
      </c>
      <c r="F19" s="99" t="s">
        <v>509</v>
      </c>
      <c r="G19" s="99" t="s">
        <v>515</v>
      </c>
      <c r="H19" s="99" t="s">
        <v>481</v>
      </c>
      <c r="I19" s="99" t="s">
        <v>509</v>
      </c>
      <c r="J19" s="99" t="s">
        <v>509</v>
      </c>
    </row>
    <row r="20" spans="2:16">
      <c r="B20" s="20" t="s">
        <v>84</v>
      </c>
      <c r="C20" s="20" t="s">
        <v>182</v>
      </c>
      <c r="D20" s="6" t="s">
        <v>347</v>
      </c>
      <c r="E20" s="99" t="s">
        <v>367</v>
      </c>
      <c r="F20" s="99" t="s">
        <v>481</v>
      </c>
      <c r="G20" s="99" t="s">
        <v>367</v>
      </c>
      <c r="H20" s="99" t="s">
        <v>481</v>
      </c>
      <c r="I20" s="99" t="s">
        <v>367</v>
      </c>
      <c r="J20" s="99" t="s">
        <v>481</v>
      </c>
    </row>
    <row r="21" spans="2:16">
      <c r="B21" s="20" t="s">
        <v>85</v>
      </c>
      <c r="C21" s="20" t="s">
        <v>100</v>
      </c>
      <c r="E21" s="99" t="s">
        <v>368</v>
      </c>
      <c r="F21" s="99" t="s">
        <v>481</v>
      </c>
      <c r="G21" s="99" t="s">
        <v>368</v>
      </c>
      <c r="H21" s="99" t="s">
        <v>481</v>
      </c>
      <c r="I21" s="99" t="s">
        <v>368</v>
      </c>
      <c r="J21" s="99" t="s">
        <v>481</v>
      </c>
      <c r="O21" s="99" t="s">
        <v>368</v>
      </c>
      <c r="P21" s="99" t="s">
        <v>481</v>
      </c>
    </row>
    <row r="22" spans="2:16">
      <c r="B22" s="20" t="s">
        <v>86</v>
      </c>
      <c r="C22" s="20" t="s">
        <v>275</v>
      </c>
      <c r="E22" s="99" t="s">
        <v>516</v>
      </c>
      <c r="F22" s="99" t="s">
        <v>481</v>
      </c>
      <c r="G22" s="99" t="s">
        <v>516</v>
      </c>
      <c r="H22" s="99" t="s">
        <v>481</v>
      </c>
      <c r="I22" s="99" t="s">
        <v>509</v>
      </c>
      <c r="J22" s="99" t="s">
        <v>509</v>
      </c>
    </row>
    <row r="23" spans="2:16">
      <c r="B23" s="20" t="s">
        <v>87</v>
      </c>
      <c r="C23" s="20" t="s">
        <v>96</v>
      </c>
      <c r="E23" s="99" t="s">
        <v>517</v>
      </c>
      <c r="F23" s="99" t="s">
        <v>481</v>
      </c>
      <c r="G23" s="99" t="s">
        <v>517</v>
      </c>
      <c r="H23" s="99" t="s">
        <v>481</v>
      </c>
      <c r="I23" s="99" t="s">
        <v>509</v>
      </c>
      <c r="J23" s="99" t="s">
        <v>509</v>
      </c>
    </row>
    <row r="24" spans="2:16">
      <c r="B24" s="20" t="s">
        <v>88</v>
      </c>
      <c r="C24" s="20" t="s">
        <v>275</v>
      </c>
      <c r="E24" s="99" t="s">
        <v>434</v>
      </c>
      <c r="F24" s="99" t="s">
        <v>481</v>
      </c>
      <c r="G24" s="99" t="s">
        <v>434</v>
      </c>
      <c r="H24" s="99" t="s">
        <v>481</v>
      </c>
      <c r="I24" s="99" t="s">
        <v>509</v>
      </c>
      <c r="J24" s="99" t="s">
        <v>509</v>
      </c>
    </row>
    <row r="25" spans="2:16">
      <c r="B25" s="20" t="s">
        <v>89</v>
      </c>
      <c r="C25" s="20" t="s">
        <v>182</v>
      </c>
      <c r="E25" s="99" t="s">
        <v>509</v>
      </c>
      <c r="F25" s="99" t="s">
        <v>509</v>
      </c>
      <c r="G25" s="99" t="s">
        <v>413</v>
      </c>
      <c r="H25" s="99" t="s">
        <v>481</v>
      </c>
      <c r="I25" s="99" t="s">
        <v>509</v>
      </c>
      <c r="J25" s="99" t="s">
        <v>509</v>
      </c>
    </row>
    <row r="26" spans="2:16">
      <c r="B26" s="20" t="s">
        <v>90</v>
      </c>
      <c r="C26" s="20" t="s">
        <v>96</v>
      </c>
      <c r="E26" s="99" t="s">
        <v>509</v>
      </c>
      <c r="F26" s="99" t="s">
        <v>509</v>
      </c>
      <c r="G26" s="99" t="s">
        <v>518</v>
      </c>
      <c r="H26" s="99" t="s">
        <v>481</v>
      </c>
      <c r="I26" s="99" t="s">
        <v>509</v>
      </c>
      <c r="J26" s="99" t="s">
        <v>509</v>
      </c>
    </row>
    <row r="27" spans="2:16" outlineLevel="1">
      <c r="B27" s="20" t="s">
        <v>91</v>
      </c>
      <c r="C27" s="20" t="s">
        <v>100</v>
      </c>
      <c r="E27" s="99" t="s">
        <v>509</v>
      </c>
      <c r="F27" s="99" t="s">
        <v>509</v>
      </c>
      <c r="G27" s="99" t="s">
        <v>509</v>
      </c>
      <c r="H27" s="99" t="s">
        <v>509</v>
      </c>
      <c r="I27" s="99" t="s">
        <v>509</v>
      </c>
      <c r="J27" s="99" t="s">
        <v>509</v>
      </c>
    </row>
    <row r="28" spans="2:16">
      <c r="B28" s="20" t="s">
        <v>92</v>
      </c>
      <c r="C28" s="20" t="s">
        <v>100</v>
      </c>
      <c r="D28" s="6" t="s">
        <v>348</v>
      </c>
      <c r="E28" s="99" t="s">
        <v>368</v>
      </c>
      <c r="F28" s="99" t="s">
        <v>481</v>
      </c>
      <c r="G28" s="99" t="s">
        <v>368</v>
      </c>
      <c r="H28" s="99" t="s">
        <v>481</v>
      </c>
      <c r="I28" s="99" t="s">
        <v>368</v>
      </c>
      <c r="J28" s="99" t="s">
        <v>481</v>
      </c>
      <c r="O28" s="99" t="s">
        <v>368</v>
      </c>
      <c r="P28" s="99" t="s">
        <v>481</v>
      </c>
    </row>
    <row r="29" spans="2:16">
      <c r="B29" s="20" t="s">
        <v>93</v>
      </c>
      <c r="C29" s="20" t="s">
        <v>96</v>
      </c>
      <c r="E29" s="99" t="s">
        <v>509</v>
      </c>
      <c r="F29" s="99" t="s">
        <v>509</v>
      </c>
      <c r="G29" s="99" t="s">
        <v>519</v>
      </c>
      <c r="H29" s="99" t="s">
        <v>481</v>
      </c>
      <c r="I29" s="99" t="s">
        <v>509</v>
      </c>
      <c r="J29" s="99" t="s">
        <v>509</v>
      </c>
    </row>
    <row r="30" spans="2:16">
      <c r="B30" s="20" t="s">
        <v>94</v>
      </c>
      <c r="C30" s="20" t="s">
        <v>270</v>
      </c>
      <c r="E30" s="99" t="s">
        <v>509</v>
      </c>
      <c r="F30" s="99" t="s">
        <v>509</v>
      </c>
      <c r="G30" s="99" t="s">
        <v>418</v>
      </c>
      <c r="H30" s="99" t="s">
        <v>481</v>
      </c>
      <c r="I30" s="99" t="s">
        <v>509</v>
      </c>
      <c r="J30" s="99" t="s">
        <v>509</v>
      </c>
    </row>
    <row r="31" spans="2:16">
      <c r="B31" s="20" t="s">
        <v>95</v>
      </c>
      <c r="C31" s="20" t="s">
        <v>47</v>
      </c>
      <c r="E31" s="99" t="s">
        <v>509</v>
      </c>
      <c r="F31" s="99" t="s">
        <v>509</v>
      </c>
      <c r="G31" s="99" t="s">
        <v>520</v>
      </c>
      <c r="H31" s="99" t="s">
        <v>481</v>
      </c>
      <c r="I31" s="99" t="s">
        <v>509</v>
      </c>
      <c r="J31" s="99" t="s">
        <v>509</v>
      </c>
    </row>
    <row r="32" spans="2:16">
      <c r="B32" s="20" t="s">
        <v>97</v>
      </c>
      <c r="C32" s="20" t="s">
        <v>182</v>
      </c>
      <c r="E32" s="99" t="s">
        <v>346</v>
      </c>
      <c r="F32" s="99" t="s">
        <v>481</v>
      </c>
      <c r="G32" s="99" t="s">
        <v>346</v>
      </c>
      <c r="H32" s="99" t="s">
        <v>481</v>
      </c>
      <c r="I32" s="99" t="s">
        <v>346</v>
      </c>
      <c r="J32" s="99" t="s">
        <v>481</v>
      </c>
    </row>
    <row r="33" spans="2:10">
      <c r="B33" s="20" t="s">
        <v>98</v>
      </c>
      <c r="C33" s="20" t="s">
        <v>96</v>
      </c>
      <c r="E33" s="99" t="s">
        <v>509</v>
      </c>
      <c r="F33" s="99" t="s">
        <v>509</v>
      </c>
      <c r="G33" s="99" t="s">
        <v>414</v>
      </c>
      <c r="H33" s="99" t="s">
        <v>481</v>
      </c>
      <c r="I33" s="99" t="s">
        <v>509</v>
      </c>
      <c r="J33" s="99" t="s">
        <v>509</v>
      </c>
    </row>
    <row r="34" spans="2:10">
      <c r="B34" s="20" t="s">
        <v>99</v>
      </c>
      <c r="C34" s="20" t="s">
        <v>100</v>
      </c>
      <c r="E34" s="99" t="s">
        <v>346</v>
      </c>
      <c r="F34" s="99" t="s">
        <v>481</v>
      </c>
      <c r="G34" s="99" t="s">
        <v>346</v>
      </c>
      <c r="H34" s="99" t="s">
        <v>481</v>
      </c>
      <c r="I34" s="99" t="s">
        <v>346</v>
      </c>
      <c r="J34" s="99" t="s">
        <v>481</v>
      </c>
    </row>
    <row r="35" spans="2:10">
      <c r="B35" s="20" t="s">
        <v>101</v>
      </c>
      <c r="C35" s="20" t="s">
        <v>100</v>
      </c>
      <c r="E35" s="99" t="s">
        <v>509</v>
      </c>
      <c r="F35" s="99" t="s">
        <v>509</v>
      </c>
      <c r="G35" s="99" t="s">
        <v>521</v>
      </c>
      <c r="H35" s="99" t="s">
        <v>481</v>
      </c>
      <c r="I35" s="99" t="s">
        <v>509</v>
      </c>
      <c r="J35" s="99" t="s">
        <v>509</v>
      </c>
    </row>
    <row r="36" spans="2:10">
      <c r="B36" s="20" t="s">
        <v>102</v>
      </c>
      <c r="C36" s="20" t="s">
        <v>270</v>
      </c>
      <c r="E36" s="99" t="s">
        <v>509</v>
      </c>
      <c r="F36" s="99" t="s">
        <v>509</v>
      </c>
      <c r="G36" s="99" t="s">
        <v>522</v>
      </c>
      <c r="H36" s="99" t="s">
        <v>481</v>
      </c>
      <c r="I36" s="99" t="s">
        <v>509</v>
      </c>
      <c r="J36" s="99" t="s">
        <v>509</v>
      </c>
    </row>
    <row r="37" spans="2:10">
      <c r="B37" s="20" t="s">
        <v>103</v>
      </c>
      <c r="C37" s="20" t="s">
        <v>100</v>
      </c>
      <c r="E37" s="99" t="s">
        <v>387</v>
      </c>
      <c r="F37" s="99" t="s">
        <v>481</v>
      </c>
      <c r="G37" s="99" t="s">
        <v>387</v>
      </c>
      <c r="H37" s="99" t="s">
        <v>481</v>
      </c>
      <c r="I37" s="99" t="s">
        <v>387</v>
      </c>
      <c r="J37" s="99" t="s">
        <v>481</v>
      </c>
    </row>
    <row r="38" spans="2:10">
      <c r="B38" s="20" t="s">
        <v>104</v>
      </c>
      <c r="C38" s="20" t="s">
        <v>96</v>
      </c>
      <c r="D38" s="6" t="s">
        <v>345</v>
      </c>
      <c r="E38" s="99" t="s">
        <v>369</v>
      </c>
      <c r="F38" s="99" t="s">
        <v>481</v>
      </c>
      <c r="G38" s="99" t="s">
        <v>369</v>
      </c>
      <c r="H38" s="99" t="s">
        <v>481</v>
      </c>
      <c r="I38" s="99" t="s">
        <v>369</v>
      </c>
      <c r="J38" s="99" t="s">
        <v>481</v>
      </c>
    </row>
    <row r="39" spans="2:10">
      <c r="B39" s="20" t="s">
        <v>105</v>
      </c>
      <c r="C39" s="20" t="s">
        <v>182</v>
      </c>
      <c r="E39" s="99" t="s">
        <v>346</v>
      </c>
      <c r="F39" s="99" t="s">
        <v>481</v>
      </c>
      <c r="G39" s="99" t="s">
        <v>346</v>
      </c>
      <c r="H39" s="99" t="s">
        <v>481</v>
      </c>
      <c r="I39" s="99" t="s">
        <v>346</v>
      </c>
      <c r="J39" s="99" t="s">
        <v>481</v>
      </c>
    </row>
    <row r="40" spans="2:10">
      <c r="B40" s="20" t="s">
        <v>106</v>
      </c>
      <c r="C40" s="20" t="s">
        <v>96</v>
      </c>
      <c r="E40" s="99" t="s">
        <v>346</v>
      </c>
      <c r="F40" s="99" t="s">
        <v>481</v>
      </c>
      <c r="G40" s="99" t="s">
        <v>346</v>
      </c>
      <c r="H40" s="99" t="s">
        <v>481</v>
      </c>
      <c r="I40" s="99" t="s">
        <v>346</v>
      </c>
      <c r="J40" s="99" t="s">
        <v>481</v>
      </c>
    </row>
    <row r="41" spans="2:10">
      <c r="B41" s="20" t="s">
        <v>107</v>
      </c>
      <c r="C41" s="20" t="s">
        <v>182</v>
      </c>
      <c r="E41" s="99" t="s">
        <v>509</v>
      </c>
      <c r="F41" s="99" t="s">
        <v>509</v>
      </c>
      <c r="G41" s="99" t="s">
        <v>523</v>
      </c>
      <c r="H41" s="99" t="s">
        <v>481</v>
      </c>
      <c r="I41" s="99" t="s">
        <v>509</v>
      </c>
      <c r="J41" s="99" t="s">
        <v>509</v>
      </c>
    </row>
    <row r="42" spans="2:10">
      <c r="B42" s="20" t="s">
        <v>108</v>
      </c>
      <c r="C42" s="20" t="s">
        <v>100</v>
      </c>
      <c r="E42" s="99" t="s">
        <v>415</v>
      </c>
      <c r="F42" s="99" t="s">
        <v>481</v>
      </c>
      <c r="G42" s="99" t="s">
        <v>415</v>
      </c>
      <c r="H42" s="99" t="s">
        <v>481</v>
      </c>
      <c r="I42" s="99" t="s">
        <v>509</v>
      </c>
      <c r="J42" s="99" t="s">
        <v>509</v>
      </c>
    </row>
    <row r="43" spans="2:10">
      <c r="B43" s="20" t="s">
        <v>109</v>
      </c>
      <c r="C43" s="20" t="s">
        <v>270</v>
      </c>
      <c r="E43" s="99" t="s">
        <v>509</v>
      </c>
      <c r="F43" s="99" t="s">
        <v>509</v>
      </c>
      <c r="G43" s="99" t="s">
        <v>418</v>
      </c>
      <c r="H43" s="99" t="s">
        <v>481</v>
      </c>
      <c r="I43" s="99" t="s">
        <v>509</v>
      </c>
      <c r="J43" s="99" t="s">
        <v>509</v>
      </c>
    </row>
    <row r="44" spans="2:10">
      <c r="B44" s="20" t="s">
        <v>110</v>
      </c>
      <c r="C44" s="20" t="s">
        <v>270</v>
      </c>
      <c r="E44" s="99" t="s">
        <v>346</v>
      </c>
      <c r="F44" s="99" t="s">
        <v>481</v>
      </c>
      <c r="G44" s="99" t="s">
        <v>346</v>
      </c>
      <c r="H44" s="99" t="s">
        <v>481</v>
      </c>
      <c r="I44" s="99" t="s">
        <v>346</v>
      </c>
      <c r="J44" s="99" t="s">
        <v>481</v>
      </c>
    </row>
    <row r="45" spans="2:10">
      <c r="B45" s="20" t="s">
        <v>111</v>
      </c>
      <c r="C45" s="20" t="s">
        <v>182</v>
      </c>
      <c r="E45" s="99" t="s">
        <v>509</v>
      </c>
      <c r="F45" s="99" t="s">
        <v>509</v>
      </c>
      <c r="G45" s="99" t="s">
        <v>524</v>
      </c>
      <c r="H45" s="99" t="s">
        <v>481</v>
      </c>
      <c r="I45" s="99" t="s">
        <v>509</v>
      </c>
      <c r="J45" s="99" t="s">
        <v>509</v>
      </c>
    </row>
    <row r="46" spans="2:10">
      <c r="B46" s="20" t="s">
        <v>112</v>
      </c>
      <c r="C46" s="20" t="s">
        <v>270</v>
      </c>
      <c r="E46" s="99" t="s">
        <v>509</v>
      </c>
      <c r="F46" s="99" t="s">
        <v>509</v>
      </c>
      <c r="G46" s="99" t="s">
        <v>416</v>
      </c>
      <c r="H46" s="99" t="s">
        <v>481</v>
      </c>
      <c r="I46" s="99" t="s">
        <v>509</v>
      </c>
      <c r="J46" s="99" t="s">
        <v>509</v>
      </c>
    </row>
    <row r="47" spans="2:10" ht="13.4" customHeight="1">
      <c r="B47" s="20" t="s">
        <v>113</v>
      </c>
      <c r="C47" s="20" t="s">
        <v>113</v>
      </c>
      <c r="D47" s="6" t="s">
        <v>349</v>
      </c>
      <c r="E47" s="99" t="s">
        <v>370</v>
      </c>
      <c r="F47" s="99" t="s">
        <v>481</v>
      </c>
      <c r="G47" s="99" t="s">
        <v>370</v>
      </c>
      <c r="H47" s="99" t="s">
        <v>481</v>
      </c>
      <c r="I47" s="99" t="s">
        <v>370</v>
      </c>
      <c r="J47" s="99" t="s">
        <v>481</v>
      </c>
    </row>
    <row r="48" spans="2:10">
      <c r="B48" s="20" t="s">
        <v>114</v>
      </c>
      <c r="C48" s="20" t="s">
        <v>270</v>
      </c>
      <c r="E48" s="99" t="s">
        <v>509</v>
      </c>
      <c r="F48" s="99" t="s">
        <v>509</v>
      </c>
      <c r="G48" s="99" t="s">
        <v>525</v>
      </c>
      <c r="H48" s="99" t="s">
        <v>481</v>
      </c>
      <c r="I48" s="99" t="s">
        <v>509</v>
      </c>
      <c r="J48" s="99" t="s">
        <v>509</v>
      </c>
    </row>
    <row r="49" spans="2:10">
      <c r="B49" s="20" t="s">
        <v>115</v>
      </c>
      <c r="C49" s="20" t="s">
        <v>96</v>
      </c>
      <c r="E49" s="99" t="s">
        <v>346</v>
      </c>
      <c r="F49" s="99" t="s">
        <v>481</v>
      </c>
      <c r="G49" s="99" t="s">
        <v>346</v>
      </c>
      <c r="H49" s="99" t="s">
        <v>481</v>
      </c>
      <c r="I49" s="99" t="s">
        <v>346</v>
      </c>
      <c r="J49" s="99" t="s">
        <v>481</v>
      </c>
    </row>
    <row r="50" spans="2:10">
      <c r="B50" s="20" t="s">
        <v>116</v>
      </c>
      <c r="C50" s="20" t="s">
        <v>270</v>
      </c>
      <c r="E50" s="99" t="s">
        <v>509</v>
      </c>
      <c r="F50" s="99" t="s">
        <v>509</v>
      </c>
      <c r="G50" s="99" t="s">
        <v>416</v>
      </c>
      <c r="H50" s="99" t="s">
        <v>481</v>
      </c>
      <c r="I50" s="99" t="s">
        <v>509</v>
      </c>
      <c r="J50" s="99" t="s">
        <v>509</v>
      </c>
    </row>
    <row r="51" spans="2:10">
      <c r="B51" s="20" t="s">
        <v>117</v>
      </c>
      <c r="C51" s="20" t="s">
        <v>270</v>
      </c>
      <c r="E51" s="99" t="s">
        <v>509</v>
      </c>
      <c r="F51" s="99" t="s">
        <v>509</v>
      </c>
      <c r="G51" s="99" t="s">
        <v>416</v>
      </c>
      <c r="H51" s="99" t="s">
        <v>481</v>
      </c>
      <c r="I51" s="99" t="s">
        <v>509</v>
      </c>
      <c r="J51" s="99" t="s">
        <v>509</v>
      </c>
    </row>
    <row r="52" spans="2:10">
      <c r="B52" s="20" t="s">
        <v>118</v>
      </c>
      <c r="C52" s="20" t="s">
        <v>96</v>
      </c>
      <c r="D52" s="6" t="s">
        <v>348</v>
      </c>
      <c r="E52" s="99" t="s">
        <v>371</v>
      </c>
      <c r="F52" s="99" t="s">
        <v>481</v>
      </c>
      <c r="G52" s="99" t="s">
        <v>371</v>
      </c>
      <c r="H52" s="99" t="s">
        <v>481</v>
      </c>
      <c r="I52" s="99" t="s">
        <v>509</v>
      </c>
      <c r="J52" s="99" t="s">
        <v>509</v>
      </c>
    </row>
    <row r="53" spans="2:10">
      <c r="B53" s="20" t="s">
        <v>119</v>
      </c>
      <c r="C53" s="20" t="s">
        <v>182</v>
      </c>
      <c r="E53" s="99" t="s">
        <v>367</v>
      </c>
      <c r="F53" s="99" t="s">
        <v>481</v>
      </c>
      <c r="G53" s="99" t="s">
        <v>367</v>
      </c>
      <c r="H53" s="99" t="s">
        <v>481</v>
      </c>
      <c r="I53" s="99" t="s">
        <v>367</v>
      </c>
      <c r="J53" s="99" t="s">
        <v>481</v>
      </c>
    </row>
    <row r="54" spans="2:10">
      <c r="B54" s="20" t="s">
        <v>120</v>
      </c>
      <c r="C54" s="20" t="s">
        <v>182</v>
      </c>
      <c r="E54" s="99" t="s">
        <v>367</v>
      </c>
      <c r="F54" s="99" t="s">
        <v>481</v>
      </c>
      <c r="G54" s="99" t="s">
        <v>367</v>
      </c>
      <c r="H54" s="99" t="s">
        <v>481</v>
      </c>
      <c r="I54" s="99" t="s">
        <v>367</v>
      </c>
      <c r="J54" s="99" t="s">
        <v>481</v>
      </c>
    </row>
    <row r="55" spans="2:10">
      <c r="B55" s="20" t="s">
        <v>121</v>
      </c>
      <c r="C55" s="20" t="s">
        <v>96</v>
      </c>
      <c r="E55" s="99" t="s">
        <v>372</v>
      </c>
      <c r="F55" s="99" t="s">
        <v>481</v>
      </c>
      <c r="G55" s="99" t="s">
        <v>372</v>
      </c>
      <c r="H55" s="99" t="s">
        <v>481</v>
      </c>
      <c r="I55" s="99" t="s">
        <v>509</v>
      </c>
      <c r="J55" s="99" t="s">
        <v>509</v>
      </c>
    </row>
    <row r="56" spans="2:10">
      <c r="B56" s="20" t="s">
        <v>122</v>
      </c>
      <c r="C56" s="20" t="s">
        <v>270</v>
      </c>
      <c r="E56" s="99" t="s">
        <v>509</v>
      </c>
      <c r="F56" s="99" t="s">
        <v>509</v>
      </c>
      <c r="G56" s="99" t="s">
        <v>526</v>
      </c>
      <c r="H56" s="99" t="s">
        <v>481</v>
      </c>
      <c r="I56" s="99" t="s">
        <v>509</v>
      </c>
      <c r="J56" s="99" t="s">
        <v>509</v>
      </c>
    </row>
    <row r="57" spans="2:10">
      <c r="B57" s="20" t="s">
        <v>123</v>
      </c>
      <c r="C57" s="20" t="s">
        <v>270</v>
      </c>
      <c r="E57" s="99" t="s">
        <v>509</v>
      </c>
      <c r="F57" s="99" t="s">
        <v>509</v>
      </c>
      <c r="G57" s="99" t="s">
        <v>416</v>
      </c>
      <c r="H57" s="99" t="s">
        <v>481</v>
      </c>
      <c r="I57" s="99" t="s">
        <v>509</v>
      </c>
      <c r="J57" s="99" t="s">
        <v>509</v>
      </c>
    </row>
    <row r="58" spans="2:10">
      <c r="B58" s="20" t="s">
        <v>124</v>
      </c>
      <c r="C58" s="20" t="s">
        <v>182</v>
      </c>
      <c r="E58" s="99" t="s">
        <v>527</v>
      </c>
      <c r="F58" s="99" t="s">
        <v>481</v>
      </c>
      <c r="G58" s="99" t="s">
        <v>385</v>
      </c>
      <c r="H58" s="99" t="s">
        <v>481</v>
      </c>
      <c r="I58" s="99" t="s">
        <v>385</v>
      </c>
      <c r="J58" s="99" t="s">
        <v>481</v>
      </c>
    </row>
    <row r="59" spans="2:10">
      <c r="B59" s="20" t="s">
        <v>125</v>
      </c>
      <c r="C59" s="20" t="s">
        <v>96</v>
      </c>
      <c r="E59" s="99" t="s">
        <v>417</v>
      </c>
      <c r="F59" s="99" t="s">
        <v>481</v>
      </c>
      <c r="G59" s="99" t="s">
        <v>417</v>
      </c>
      <c r="H59" s="99" t="s">
        <v>481</v>
      </c>
      <c r="I59" s="99" t="s">
        <v>509</v>
      </c>
      <c r="J59" s="99" t="s">
        <v>509</v>
      </c>
    </row>
    <row r="60" spans="2:10">
      <c r="B60" s="20" t="s">
        <v>126</v>
      </c>
      <c r="C60" s="20" t="s">
        <v>270</v>
      </c>
      <c r="E60" s="99" t="s">
        <v>509</v>
      </c>
      <c r="F60" s="99" t="s">
        <v>509</v>
      </c>
      <c r="G60" s="99" t="s">
        <v>418</v>
      </c>
      <c r="H60" s="99" t="s">
        <v>481</v>
      </c>
      <c r="I60" s="99" t="s">
        <v>509</v>
      </c>
      <c r="J60" s="99" t="s">
        <v>509</v>
      </c>
    </row>
    <row r="61" spans="2:10">
      <c r="B61" s="20" t="s">
        <v>127</v>
      </c>
      <c r="C61" s="20" t="s">
        <v>100</v>
      </c>
      <c r="E61" s="99" t="s">
        <v>368</v>
      </c>
      <c r="F61" s="99" t="s">
        <v>481</v>
      </c>
      <c r="G61" s="99" t="s">
        <v>368</v>
      </c>
      <c r="H61" s="99" t="s">
        <v>481</v>
      </c>
      <c r="I61" s="99" t="s">
        <v>509</v>
      </c>
      <c r="J61" s="99" t="s">
        <v>509</v>
      </c>
    </row>
    <row r="62" spans="2:10">
      <c r="B62" s="20" t="s">
        <v>128</v>
      </c>
      <c r="C62" s="20" t="s">
        <v>96</v>
      </c>
      <c r="E62" s="99" t="s">
        <v>509</v>
      </c>
      <c r="F62" s="99" t="s">
        <v>509</v>
      </c>
      <c r="G62" s="99" t="s">
        <v>528</v>
      </c>
      <c r="H62" s="99" t="s">
        <v>481</v>
      </c>
      <c r="I62" s="99" t="s">
        <v>509</v>
      </c>
      <c r="J62" s="99" t="s">
        <v>509</v>
      </c>
    </row>
    <row r="63" spans="2:10">
      <c r="B63" s="20" t="s">
        <v>129</v>
      </c>
      <c r="C63" s="20" t="s">
        <v>100</v>
      </c>
      <c r="E63" s="99" t="s">
        <v>368</v>
      </c>
      <c r="F63" s="99" t="s">
        <v>481</v>
      </c>
      <c r="G63" s="99" t="s">
        <v>368</v>
      </c>
      <c r="H63" s="99" t="s">
        <v>481</v>
      </c>
      <c r="I63" s="99" t="s">
        <v>368</v>
      </c>
      <c r="J63" s="99" t="s">
        <v>481</v>
      </c>
    </row>
    <row r="64" spans="2:10">
      <c r="B64" s="20" t="s">
        <v>130</v>
      </c>
      <c r="C64" s="20" t="s">
        <v>100</v>
      </c>
      <c r="E64" s="99" t="s">
        <v>373</v>
      </c>
      <c r="F64" s="99" t="s">
        <v>481</v>
      </c>
      <c r="G64" s="99" t="s">
        <v>373</v>
      </c>
      <c r="H64" s="99" t="s">
        <v>481</v>
      </c>
      <c r="I64" s="99" t="s">
        <v>373</v>
      </c>
      <c r="J64" s="99" t="s">
        <v>481</v>
      </c>
    </row>
    <row r="65" spans="2:10">
      <c r="B65" s="20" t="s">
        <v>131</v>
      </c>
      <c r="C65" s="20" t="s">
        <v>270</v>
      </c>
      <c r="E65" s="99" t="s">
        <v>346</v>
      </c>
      <c r="F65" s="99" t="s">
        <v>481</v>
      </c>
      <c r="G65" s="99" t="s">
        <v>346</v>
      </c>
      <c r="H65" s="99" t="s">
        <v>481</v>
      </c>
      <c r="I65" s="99" t="s">
        <v>509</v>
      </c>
      <c r="J65" s="99" t="s">
        <v>509</v>
      </c>
    </row>
    <row r="66" spans="2:10">
      <c r="B66" s="20" t="s">
        <v>132</v>
      </c>
      <c r="C66" s="20" t="s">
        <v>100</v>
      </c>
      <c r="E66" s="99" t="s">
        <v>374</v>
      </c>
      <c r="F66" s="99" t="s">
        <v>481</v>
      </c>
      <c r="G66" s="99" t="s">
        <v>374</v>
      </c>
      <c r="H66" s="99" t="s">
        <v>481</v>
      </c>
      <c r="I66" s="99" t="s">
        <v>374</v>
      </c>
      <c r="J66" s="99" t="s">
        <v>481</v>
      </c>
    </row>
    <row r="67" spans="2:10">
      <c r="B67" s="20" t="s">
        <v>133</v>
      </c>
      <c r="C67" s="20" t="s">
        <v>270</v>
      </c>
      <c r="E67" s="99" t="s">
        <v>509</v>
      </c>
      <c r="F67" s="99" t="s">
        <v>509</v>
      </c>
      <c r="G67" s="99" t="s">
        <v>529</v>
      </c>
      <c r="H67" s="99" t="s">
        <v>481</v>
      </c>
      <c r="I67" s="99" t="s">
        <v>509</v>
      </c>
      <c r="J67" s="99" t="s">
        <v>509</v>
      </c>
    </row>
    <row r="68" spans="2:10">
      <c r="B68" s="20" t="s">
        <v>134</v>
      </c>
      <c r="C68" s="20" t="s">
        <v>96</v>
      </c>
      <c r="E68" s="99" t="s">
        <v>509</v>
      </c>
      <c r="F68" s="99" t="s">
        <v>509</v>
      </c>
      <c r="G68" s="99" t="s">
        <v>512</v>
      </c>
      <c r="H68" s="99" t="s">
        <v>481</v>
      </c>
      <c r="I68" s="99" t="s">
        <v>509</v>
      </c>
      <c r="J68" s="99" t="s">
        <v>509</v>
      </c>
    </row>
    <row r="69" spans="2:10">
      <c r="B69" s="20" t="s">
        <v>135</v>
      </c>
      <c r="C69" s="20" t="s">
        <v>96</v>
      </c>
      <c r="D69" s="6" t="s">
        <v>350</v>
      </c>
      <c r="E69" s="99" t="s">
        <v>530</v>
      </c>
      <c r="F69" s="99" t="s">
        <v>481</v>
      </c>
      <c r="G69" s="99" t="s">
        <v>530</v>
      </c>
      <c r="H69" s="99" t="s">
        <v>481</v>
      </c>
      <c r="I69" s="99" t="s">
        <v>509</v>
      </c>
      <c r="J69" s="99" t="s">
        <v>509</v>
      </c>
    </row>
    <row r="70" spans="2:10">
      <c r="B70" s="20" t="s">
        <v>136</v>
      </c>
      <c r="C70" s="20" t="s">
        <v>96</v>
      </c>
      <c r="E70" s="99" t="s">
        <v>346</v>
      </c>
      <c r="F70" s="99" t="s">
        <v>481</v>
      </c>
      <c r="G70" s="99" t="s">
        <v>346</v>
      </c>
      <c r="H70" s="99" t="s">
        <v>481</v>
      </c>
      <c r="I70" s="99" t="s">
        <v>346</v>
      </c>
      <c r="J70" s="99" t="s">
        <v>481</v>
      </c>
    </row>
    <row r="71" spans="2:10">
      <c r="B71" s="20" t="s">
        <v>137</v>
      </c>
      <c r="C71" s="20" t="s">
        <v>270</v>
      </c>
      <c r="E71" s="99" t="s">
        <v>375</v>
      </c>
      <c r="F71" s="99" t="s">
        <v>481</v>
      </c>
      <c r="G71" s="99" t="s">
        <v>375</v>
      </c>
      <c r="H71" s="99" t="s">
        <v>481</v>
      </c>
      <c r="I71" s="99" t="s">
        <v>509</v>
      </c>
      <c r="J71" s="99" t="s">
        <v>509</v>
      </c>
    </row>
    <row r="72" spans="2:10">
      <c r="B72" s="20" t="s">
        <v>138</v>
      </c>
      <c r="C72" s="20" t="s">
        <v>96</v>
      </c>
      <c r="E72" s="99" t="s">
        <v>346</v>
      </c>
      <c r="F72" s="99" t="s">
        <v>481</v>
      </c>
      <c r="G72" s="99" t="s">
        <v>346</v>
      </c>
      <c r="H72" s="99" t="s">
        <v>481</v>
      </c>
      <c r="I72" s="99" t="s">
        <v>346</v>
      </c>
      <c r="J72" s="99" t="s">
        <v>481</v>
      </c>
    </row>
    <row r="73" spans="2:10">
      <c r="B73" s="20" t="s">
        <v>139</v>
      </c>
      <c r="C73" s="20" t="s">
        <v>270</v>
      </c>
      <c r="E73" s="99" t="s">
        <v>509</v>
      </c>
      <c r="F73" s="99" t="s">
        <v>509</v>
      </c>
      <c r="G73" s="99" t="s">
        <v>416</v>
      </c>
      <c r="H73" s="99" t="s">
        <v>481</v>
      </c>
      <c r="I73" s="99" t="s">
        <v>509</v>
      </c>
      <c r="J73" s="99" t="s">
        <v>509</v>
      </c>
    </row>
    <row r="74" spans="2:10">
      <c r="B74" s="20" t="s">
        <v>140</v>
      </c>
      <c r="C74" s="20" t="s">
        <v>270</v>
      </c>
      <c r="E74" s="99" t="s">
        <v>346</v>
      </c>
      <c r="F74" s="99" t="s">
        <v>481</v>
      </c>
      <c r="G74" s="99" t="s">
        <v>346</v>
      </c>
      <c r="H74" s="99" t="s">
        <v>481</v>
      </c>
      <c r="I74" s="99" t="s">
        <v>346</v>
      </c>
      <c r="J74" s="99" t="s">
        <v>481</v>
      </c>
    </row>
    <row r="75" spans="2:10">
      <c r="B75" s="20" t="s">
        <v>141</v>
      </c>
      <c r="C75" s="20" t="s">
        <v>100</v>
      </c>
      <c r="E75" s="99" t="s">
        <v>368</v>
      </c>
      <c r="F75" s="99" t="s">
        <v>481</v>
      </c>
      <c r="G75" s="99" t="s">
        <v>368</v>
      </c>
      <c r="H75" s="99" t="s">
        <v>481</v>
      </c>
      <c r="I75" s="99" t="s">
        <v>368</v>
      </c>
      <c r="J75" s="99" t="s">
        <v>481</v>
      </c>
    </row>
    <row r="76" spans="2:10">
      <c r="B76" s="20" t="s">
        <v>142</v>
      </c>
      <c r="C76" s="20" t="s">
        <v>270</v>
      </c>
      <c r="E76" s="99" t="s">
        <v>509</v>
      </c>
      <c r="F76" s="99" t="s">
        <v>509</v>
      </c>
      <c r="G76" s="99" t="s">
        <v>531</v>
      </c>
      <c r="H76" s="99" t="s">
        <v>481</v>
      </c>
      <c r="I76" s="99" t="s">
        <v>509</v>
      </c>
      <c r="J76" s="99" t="s">
        <v>509</v>
      </c>
    </row>
    <row r="77" spans="2:10">
      <c r="B77" s="20" t="s">
        <v>143</v>
      </c>
      <c r="C77" s="20" t="s">
        <v>270</v>
      </c>
      <c r="E77" s="99" t="s">
        <v>509</v>
      </c>
      <c r="F77" s="99" t="s">
        <v>509</v>
      </c>
      <c r="G77" s="99" t="s">
        <v>532</v>
      </c>
      <c r="H77" s="99" t="s">
        <v>481</v>
      </c>
      <c r="I77" s="99" t="s">
        <v>509</v>
      </c>
      <c r="J77" s="99" t="s">
        <v>509</v>
      </c>
    </row>
    <row r="78" spans="2:10">
      <c r="B78" s="20" t="s">
        <v>144</v>
      </c>
      <c r="C78" s="20" t="s">
        <v>96</v>
      </c>
      <c r="E78" s="99" t="s">
        <v>509</v>
      </c>
      <c r="F78" s="99" t="s">
        <v>509</v>
      </c>
      <c r="G78" s="99" t="s">
        <v>533</v>
      </c>
      <c r="H78" s="99" t="s">
        <v>481</v>
      </c>
      <c r="I78" s="99" t="s">
        <v>509</v>
      </c>
      <c r="J78" s="99" t="s">
        <v>509</v>
      </c>
    </row>
    <row r="79" spans="2:10" ht="13.4" customHeight="1">
      <c r="B79" s="20" t="s">
        <v>145</v>
      </c>
      <c r="C79" s="20" t="s">
        <v>100</v>
      </c>
      <c r="E79" s="99" t="s">
        <v>534</v>
      </c>
      <c r="F79" s="99" t="s">
        <v>481</v>
      </c>
      <c r="G79" s="99" t="s">
        <v>374</v>
      </c>
      <c r="H79" s="99" t="s">
        <v>481</v>
      </c>
      <c r="I79" s="99" t="s">
        <v>509</v>
      </c>
      <c r="J79" s="99" t="s">
        <v>509</v>
      </c>
    </row>
    <row r="80" spans="2:10">
      <c r="B80" s="20" t="s">
        <v>146</v>
      </c>
      <c r="C80" s="20" t="s">
        <v>182</v>
      </c>
      <c r="E80" s="99" t="s">
        <v>509</v>
      </c>
      <c r="F80" s="99" t="s">
        <v>509</v>
      </c>
      <c r="G80" s="99" t="s">
        <v>535</v>
      </c>
      <c r="H80" s="99" t="s">
        <v>481</v>
      </c>
      <c r="I80" s="99" t="s">
        <v>509</v>
      </c>
      <c r="J80" s="99" t="s">
        <v>509</v>
      </c>
    </row>
    <row r="81" spans="2:16">
      <c r="B81" s="20" t="s">
        <v>147</v>
      </c>
      <c r="C81" s="20" t="s">
        <v>100</v>
      </c>
      <c r="E81" s="99" t="s">
        <v>368</v>
      </c>
      <c r="F81" s="99" t="s">
        <v>481</v>
      </c>
      <c r="G81" s="99" t="s">
        <v>368</v>
      </c>
      <c r="H81" s="99" t="s">
        <v>481</v>
      </c>
      <c r="I81" s="99" t="s">
        <v>368</v>
      </c>
      <c r="J81" s="99" t="s">
        <v>481</v>
      </c>
      <c r="O81" s="102" t="s">
        <v>368</v>
      </c>
      <c r="P81" s="102" t="s">
        <v>481</v>
      </c>
    </row>
    <row r="82" spans="2:16">
      <c r="B82" s="20" t="s">
        <v>148</v>
      </c>
      <c r="C82" s="20" t="s">
        <v>100</v>
      </c>
      <c r="D82" s="6" t="s">
        <v>347</v>
      </c>
      <c r="E82" s="99" t="s">
        <v>368</v>
      </c>
      <c r="F82" s="99" t="s">
        <v>481</v>
      </c>
      <c r="G82" s="99" t="s">
        <v>368</v>
      </c>
      <c r="H82" s="99" t="s">
        <v>481</v>
      </c>
      <c r="I82" s="99" t="s">
        <v>368</v>
      </c>
      <c r="J82" s="99" t="s">
        <v>481</v>
      </c>
    </row>
    <row r="83" spans="2:16">
      <c r="B83" s="20" t="s">
        <v>149</v>
      </c>
      <c r="C83" s="21" t="s">
        <v>100</v>
      </c>
      <c r="E83" s="99" t="s">
        <v>368</v>
      </c>
      <c r="F83" s="99" t="s">
        <v>481</v>
      </c>
      <c r="G83" s="99" t="s">
        <v>368</v>
      </c>
      <c r="H83" s="99" t="s">
        <v>481</v>
      </c>
      <c r="I83" s="99" t="s">
        <v>368</v>
      </c>
      <c r="J83" s="99" t="s">
        <v>481</v>
      </c>
    </row>
    <row r="84" spans="2:16">
      <c r="B84" s="20" t="s">
        <v>150</v>
      </c>
      <c r="C84" s="20" t="s">
        <v>182</v>
      </c>
      <c r="E84" s="99" t="s">
        <v>509</v>
      </c>
      <c r="F84" s="99" t="s">
        <v>509</v>
      </c>
      <c r="G84" s="99" t="s">
        <v>536</v>
      </c>
      <c r="H84" s="99" t="s">
        <v>481</v>
      </c>
      <c r="I84" s="99" t="s">
        <v>509</v>
      </c>
      <c r="J84" s="99" t="s">
        <v>509</v>
      </c>
    </row>
    <row r="85" spans="2:16">
      <c r="B85" s="20" t="s">
        <v>151</v>
      </c>
      <c r="C85" s="20" t="s">
        <v>100</v>
      </c>
      <c r="E85" s="99" t="s">
        <v>368</v>
      </c>
      <c r="F85" s="99" t="s">
        <v>481</v>
      </c>
      <c r="G85" s="99" t="s">
        <v>368</v>
      </c>
      <c r="H85" s="99" t="s">
        <v>481</v>
      </c>
      <c r="I85" s="99" t="s">
        <v>368</v>
      </c>
      <c r="J85" s="99" t="s">
        <v>481</v>
      </c>
    </row>
    <row r="86" spans="2:16">
      <c r="B86" s="20" t="s">
        <v>152</v>
      </c>
      <c r="C86" s="20" t="s">
        <v>270</v>
      </c>
      <c r="E86" s="99" t="s">
        <v>509</v>
      </c>
      <c r="F86" s="99" t="s">
        <v>509</v>
      </c>
      <c r="G86" s="99" t="s">
        <v>416</v>
      </c>
      <c r="H86" s="99" t="s">
        <v>481</v>
      </c>
      <c r="I86" s="99" t="s">
        <v>509</v>
      </c>
      <c r="J86" s="99" t="s">
        <v>509</v>
      </c>
    </row>
    <row r="87" spans="2:16">
      <c r="B87" s="20" t="s">
        <v>153</v>
      </c>
      <c r="C87" s="20" t="s">
        <v>270</v>
      </c>
      <c r="E87" s="99" t="s">
        <v>509</v>
      </c>
      <c r="F87" s="99" t="s">
        <v>509</v>
      </c>
      <c r="G87" s="99" t="s">
        <v>537</v>
      </c>
      <c r="H87" s="99" t="s">
        <v>481</v>
      </c>
      <c r="I87" s="99" t="s">
        <v>509</v>
      </c>
      <c r="J87" s="99" t="s">
        <v>509</v>
      </c>
    </row>
    <row r="88" spans="2:16">
      <c r="B88" s="20" t="s">
        <v>154</v>
      </c>
      <c r="C88" s="20" t="s">
        <v>275</v>
      </c>
      <c r="E88" s="99" t="s">
        <v>538</v>
      </c>
      <c r="F88" s="99" t="s">
        <v>481</v>
      </c>
      <c r="G88" s="99" t="s">
        <v>419</v>
      </c>
      <c r="H88" s="99" t="s">
        <v>481</v>
      </c>
      <c r="I88" s="99" t="s">
        <v>509</v>
      </c>
      <c r="J88" s="99" t="s">
        <v>509</v>
      </c>
    </row>
    <row r="89" spans="2:16">
      <c r="B89" s="20" t="s">
        <v>155</v>
      </c>
      <c r="C89" s="20" t="s">
        <v>100</v>
      </c>
      <c r="D89" s="6" t="s">
        <v>347</v>
      </c>
      <c r="E89" s="99" t="s">
        <v>368</v>
      </c>
      <c r="F89" s="99" t="s">
        <v>481</v>
      </c>
      <c r="G89" s="99" t="s">
        <v>368</v>
      </c>
      <c r="H89" s="99" t="s">
        <v>481</v>
      </c>
      <c r="I89" s="99" t="s">
        <v>368</v>
      </c>
      <c r="J89" s="99" t="s">
        <v>481</v>
      </c>
      <c r="O89" s="99" t="s">
        <v>368</v>
      </c>
      <c r="P89" s="99" t="s">
        <v>481</v>
      </c>
    </row>
    <row r="90" spans="2:16">
      <c r="B90" s="20" t="s">
        <v>156</v>
      </c>
      <c r="C90" s="20" t="s">
        <v>270</v>
      </c>
      <c r="E90" s="99" t="s">
        <v>509</v>
      </c>
      <c r="F90" s="99" t="s">
        <v>509</v>
      </c>
      <c r="G90" s="99" t="s">
        <v>420</v>
      </c>
      <c r="H90" s="99" t="s">
        <v>481</v>
      </c>
      <c r="I90" s="99" t="s">
        <v>509</v>
      </c>
      <c r="J90" s="99" t="s">
        <v>509</v>
      </c>
    </row>
    <row r="91" spans="2:16">
      <c r="B91" s="20" t="s">
        <v>157</v>
      </c>
      <c r="C91" s="20" t="s">
        <v>100</v>
      </c>
      <c r="E91" s="99" t="s">
        <v>509</v>
      </c>
      <c r="F91" s="99" t="s">
        <v>509</v>
      </c>
      <c r="G91" s="99" t="s">
        <v>539</v>
      </c>
      <c r="H91" s="99" t="s">
        <v>481</v>
      </c>
      <c r="I91" s="99" t="s">
        <v>509</v>
      </c>
      <c r="J91" s="99" t="s">
        <v>509</v>
      </c>
    </row>
    <row r="92" spans="2:16">
      <c r="B92" s="20" t="s">
        <v>158</v>
      </c>
      <c r="C92" s="20" t="s">
        <v>100</v>
      </c>
      <c r="D92" s="6" t="s">
        <v>348</v>
      </c>
      <c r="E92" s="99" t="s">
        <v>368</v>
      </c>
      <c r="F92" s="99" t="s">
        <v>481</v>
      </c>
      <c r="G92" s="99" t="s">
        <v>368</v>
      </c>
      <c r="H92" s="99" t="s">
        <v>481</v>
      </c>
      <c r="I92" s="99" t="s">
        <v>368</v>
      </c>
      <c r="J92" s="99" t="s">
        <v>481</v>
      </c>
    </row>
    <row r="93" spans="2:16">
      <c r="B93" s="20" t="s">
        <v>159</v>
      </c>
      <c r="C93" s="20" t="s">
        <v>100</v>
      </c>
      <c r="E93" s="99" t="s">
        <v>534</v>
      </c>
      <c r="F93" s="99" t="s">
        <v>481</v>
      </c>
      <c r="G93" s="99" t="s">
        <v>374</v>
      </c>
      <c r="H93" s="99" t="s">
        <v>481</v>
      </c>
      <c r="I93" s="99" t="s">
        <v>374</v>
      </c>
      <c r="J93" s="99" t="s">
        <v>481</v>
      </c>
    </row>
    <row r="94" spans="2:16">
      <c r="B94" s="20" t="s">
        <v>160</v>
      </c>
      <c r="C94" s="20" t="s">
        <v>96</v>
      </c>
      <c r="E94" s="99" t="s">
        <v>509</v>
      </c>
      <c r="F94" s="99" t="s">
        <v>509</v>
      </c>
      <c r="G94" s="99" t="s">
        <v>512</v>
      </c>
      <c r="H94" s="99" t="s">
        <v>481</v>
      </c>
      <c r="I94" s="99" t="s">
        <v>509</v>
      </c>
      <c r="J94" s="99" t="s">
        <v>509</v>
      </c>
    </row>
    <row r="95" spans="2:16">
      <c r="B95" s="20" t="s">
        <v>161</v>
      </c>
      <c r="C95" s="21" t="s">
        <v>100</v>
      </c>
      <c r="E95" s="99" t="s">
        <v>368</v>
      </c>
      <c r="F95" s="99" t="s">
        <v>481</v>
      </c>
      <c r="G95" s="99" t="s">
        <v>368</v>
      </c>
      <c r="H95" s="99" t="s">
        <v>481</v>
      </c>
      <c r="I95" s="99" t="s">
        <v>368</v>
      </c>
      <c r="J95" s="99" t="s">
        <v>481</v>
      </c>
    </row>
    <row r="96" spans="2:16">
      <c r="B96" s="20" t="s">
        <v>162</v>
      </c>
      <c r="C96" s="20" t="s">
        <v>96</v>
      </c>
      <c r="E96" s="99" t="s">
        <v>435</v>
      </c>
      <c r="F96" s="99" t="s">
        <v>481</v>
      </c>
      <c r="G96" s="99" t="s">
        <v>435</v>
      </c>
      <c r="H96" s="99" t="s">
        <v>481</v>
      </c>
      <c r="I96" s="99" t="s">
        <v>509</v>
      </c>
      <c r="J96" s="99" t="s">
        <v>509</v>
      </c>
    </row>
    <row r="97" spans="2:10">
      <c r="B97" s="20" t="s">
        <v>163</v>
      </c>
      <c r="C97" s="20" t="s">
        <v>100</v>
      </c>
      <c r="E97" s="99" t="s">
        <v>409</v>
      </c>
      <c r="F97" s="99" t="s">
        <v>481</v>
      </c>
      <c r="G97" s="99" t="s">
        <v>409</v>
      </c>
      <c r="H97" s="99" t="s">
        <v>481</v>
      </c>
      <c r="I97" s="99" t="s">
        <v>509</v>
      </c>
      <c r="J97" s="99" t="s">
        <v>509</v>
      </c>
    </row>
    <row r="98" spans="2:10">
      <c r="B98" s="20" t="s">
        <v>164</v>
      </c>
      <c r="C98" s="20" t="s">
        <v>270</v>
      </c>
      <c r="E98" s="99" t="s">
        <v>509</v>
      </c>
      <c r="F98" s="99" t="s">
        <v>509</v>
      </c>
      <c r="G98" s="99" t="s">
        <v>540</v>
      </c>
      <c r="H98" s="99" t="s">
        <v>481</v>
      </c>
      <c r="I98" s="99" t="s">
        <v>509</v>
      </c>
      <c r="J98" s="99" t="s">
        <v>509</v>
      </c>
    </row>
    <row r="99" spans="2:10">
      <c r="B99" s="20" t="s">
        <v>165</v>
      </c>
      <c r="C99" s="20" t="s">
        <v>270</v>
      </c>
      <c r="E99" s="99" t="s">
        <v>509</v>
      </c>
      <c r="F99" s="99" t="s">
        <v>509</v>
      </c>
      <c r="G99" s="99" t="s">
        <v>418</v>
      </c>
      <c r="H99" s="99" t="s">
        <v>481</v>
      </c>
      <c r="I99" s="99" t="s">
        <v>509</v>
      </c>
      <c r="J99" s="99" t="s">
        <v>509</v>
      </c>
    </row>
    <row r="100" spans="2:10">
      <c r="B100" s="20" t="s">
        <v>166</v>
      </c>
      <c r="C100" s="20" t="s">
        <v>96</v>
      </c>
      <c r="E100" s="99" t="s">
        <v>509</v>
      </c>
      <c r="F100" s="99" t="s">
        <v>509</v>
      </c>
      <c r="G100" s="99" t="s">
        <v>541</v>
      </c>
      <c r="H100" s="99" t="s">
        <v>481</v>
      </c>
      <c r="I100" s="99" t="s">
        <v>509</v>
      </c>
      <c r="J100" s="99" t="s">
        <v>509</v>
      </c>
    </row>
    <row r="101" spans="2:10">
      <c r="B101" s="20" t="s">
        <v>167</v>
      </c>
      <c r="C101" s="20" t="s">
        <v>96</v>
      </c>
      <c r="E101" s="99" t="s">
        <v>509</v>
      </c>
      <c r="F101" s="99" t="s">
        <v>509</v>
      </c>
      <c r="G101" s="99" t="s">
        <v>542</v>
      </c>
      <c r="H101" s="99" t="s">
        <v>481</v>
      </c>
      <c r="I101" s="99" t="s">
        <v>509</v>
      </c>
      <c r="J101" s="99" t="s">
        <v>509</v>
      </c>
    </row>
    <row r="102" spans="2:10">
      <c r="B102" s="20" t="s">
        <v>168</v>
      </c>
      <c r="C102" s="20" t="s">
        <v>100</v>
      </c>
      <c r="E102" s="99" t="s">
        <v>367</v>
      </c>
      <c r="F102" s="99" t="s">
        <v>481</v>
      </c>
      <c r="G102" s="99" t="s">
        <v>367</v>
      </c>
      <c r="H102" s="99" t="s">
        <v>481</v>
      </c>
      <c r="I102" s="99" t="s">
        <v>367</v>
      </c>
      <c r="J102" s="99" t="s">
        <v>481</v>
      </c>
    </row>
    <row r="103" spans="2:10">
      <c r="B103" s="20" t="s">
        <v>169</v>
      </c>
      <c r="C103" s="20" t="s">
        <v>96</v>
      </c>
      <c r="E103" s="99" t="s">
        <v>543</v>
      </c>
      <c r="F103" s="99" t="s">
        <v>481</v>
      </c>
      <c r="G103" s="99" t="s">
        <v>543</v>
      </c>
      <c r="H103" s="99" t="s">
        <v>481</v>
      </c>
      <c r="I103" s="99" t="s">
        <v>509</v>
      </c>
      <c r="J103" s="99" t="s">
        <v>509</v>
      </c>
    </row>
    <row r="104" spans="2:10">
      <c r="B104" s="20" t="s">
        <v>170</v>
      </c>
      <c r="C104" s="20" t="s">
        <v>351</v>
      </c>
      <c r="D104" s="6" t="s">
        <v>347</v>
      </c>
      <c r="E104" s="99" t="s">
        <v>376</v>
      </c>
      <c r="F104" s="99" t="s">
        <v>481</v>
      </c>
      <c r="G104" s="99" t="s">
        <v>376</v>
      </c>
      <c r="H104" s="99" t="s">
        <v>481</v>
      </c>
      <c r="I104" s="99" t="s">
        <v>376</v>
      </c>
      <c r="J104" s="99" t="s">
        <v>481</v>
      </c>
    </row>
    <row r="105" spans="2:10">
      <c r="B105" s="20" t="s">
        <v>171</v>
      </c>
      <c r="C105" s="20" t="s">
        <v>100</v>
      </c>
      <c r="E105" s="99" t="s">
        <v>377</v>
      </c>
      <c r="F105" s="99" t="s">
        <v>481</v>
      </c>
      <c r="G105" s="99" t="s">
        <v>377</v>
      </c>
      <c r="H105" s="99" t="s">
        <v>481</v>
      </c>
      <c r="I105" s="99" t="s">
        <v>377</v>
      </c>
      <c r="J105" s="99" t="s">
        <v>481</v>
      </c>
    </row>
    <row r="106" spans="2:10">
      <c r="B106" s="20" t="s">
        <v>172</v>
      </c>
      <c r="C106" s="20" t="s">
        <v>100</v>
      </c>
      <c r="E106" s="99" t="s">
        <v>544</v>
      </c>
      <c r="F106" s="99" t="s">
        <v>481</v>
      </c>
      <c r="G106" s="99" t="s">
        <v>544</v>
      </c>
      <c r="H106" s="99" t="s">
        <v>481</v>
      </c>
      <c r="I106" s="99" t="s">
        <v>509</v>
      </c>
      <c r="J106" s="99" t="s">
        <v>509</v>
      </c>
    </row>
    <row r="107" spans="2:10">
      <c r="B107" s="20" t="s">
        <v>173</v>
      </c>
      <c r="C107" s="20" t="s">
        <v>173</v>
      </c>
      <c r="D107" s="6" t="s">
        <v>350</v>
      </c>
      <c r="E107" s="99" t="s">
        <v>509</v>
      </c>
      <c r="F107" s="99" t="s">
        <v>509</v>
      </c>
      <c r="G107" s="99" t="s">
        <v>378</v>
      </c>
      <c r="H107" s="99" t="s">
        <v>481</v>
      </c>
      <c r="I107" s="99" t="s">
        <v>509</v>
      </c>
      <c r="J107" s="99" t="s">
        <v>509</v>
      </c>
    </row>
    <row r="108" spans="2:10">
      <c r="B108" s="20" t="s">
        <v>174</v>
      </c>
      <c r="C108" s="20" t="s">
        <v>182</v>
      </c>
      <c r="D108" s="6" t="s">
        <v>348</v>
      </c>
      <c r="E108" s="99" t="s">
        <v>509</v>
      </c>
      <c r="F108" s="99" t="s">
        <v>509</v>
      </c>
      <c r="G108" s="99" t="s">
        <v>379</v>
      </c>
      <c r="H108" s="99" t="s">
        <v>481</v>
      </c>
      <c r="I108" s="99" t="s">
        <v>509</v>
      </c>
      <c r="J108" s="99" t="s">
        <v>509</v>
      </c>
    </row>
    <row r="109" spans="2:10">
      <c r="B109" s="20" t="s">
        <v>175</v>
      </c>
      <c r="C109" s="20" t="s">
        <v>275</v>
      </c>
      <c r="E109" s="99" t="s">
        <v>346</v>
      </c>
      <c r="F109" s="99" t="s">
        <v>481</v>
      </c>
      <c r="G109" s="99" t="s">
        <v>346</v>
      </c>
      <c r="H109" s="99" t="s">
        <v>481</v>
      </c>
      <c r="I109" s="99" t="s">
        <v>509</v>
      </c>
      <c r="J109" s="99" t="s">
        <v>509</v>
      </c>
    </row>
    <row r="110" spans="2:10">
      <c r="B110" s="20" t="s">
        <v>176</v>
      </c>
      <c r="C110" s="20" t="s">
        <v>100</v>
      </c>
      <c r="E110" s="99" t="s">
        <v>368</v>
      </c>
      <c r="F110" s="99" t="s">
        <v>481</v>
      </c>
      <c r="G110" s="99" t="s">
        <v>368</v>
      </c>
      <c r="H110" s="99" t="s">
        <v>481</v>
      </c>
      <c r="I110" s="99" t="s">
        <v>368</v>
      </c>
      <c r="J110" s="99" t="s">
        <v>481</v>
      </c>
    </row>
    <row r="111" spans="2:10">
      <c r="B111" s="20" t="s">
        <v>177</v>
      </c>
      <c r="C111" s="20" t="s">
        <v>100</v>
      </c>
      <c r="E111" s="99" t="s">
        <v>346</v>
      </c>
      <c r="F111" s="99" t="s">
        <v>481</v>
      </c>
      <c r="G111" s="99" t="s">
        <v>346</v>
      </c>
      <c r="H111" s="99" t="s">
        <v>481</v>
      </c>
      <c r="I111" s="99" t="s">
        <v>346</v>
      </c>
      <c r="J111" s="99" t="s">
        <v>481</v>
      </c>
    </row>
    <row r="112" spans="2:10">
      <c r="B112" s="20" t="s">
        <v>178</v>
      </c>
      <c r="C112" s="20" t="s">
        <v>100</v>
      </c>
      <c r="D112" s="6" t="s">
        <v>348</v>
      </c>
      <c r="E112" s="99" t="s">
        <v>380</v>
      </c>
      <c r="F112" s="99" t="s">
        <v>481</v>
      </c>
      <c r="G112" s="99" t="s">
        <v>380</v>
      </c>
      <c r="H112" s="99" t="s">
        <v>481</v>
      </c>
      <c r="I112" s="99" t="s">
        <v>380</v>
      </c>
      <c r="J112" s="99" t="s">
        <v>481</v>
      </c>
    </row>
    <row r="113" spans="2:10">
      <c r="B113" s="20" t="s">
        <v>179</v>
      </c>
      <c r="C113" s="20" t="s">
        <v>100</v>
      </c>
      <c r="D113" s="6" t="s">
        <v>347</v>
      </c>
      <c r="E113" s="99" t="s">
        <v>368</v>
      </c>
      <c r="F113" s="99" t="s">
        <v>481</v>
      </c>
      <c r="G113" s="99" t="s">
        <v>368</v>
      </c>
      <c r="H113" s="99" t="s">
        <v>481</v>
      </c>
      <c r="I113" s="99" t="s">
        <v>368</v>
      </c>
      <c r="J113" s="99" t="s">
        <v>481</v>
      </c>
    </row>
    <row r="114" spans="2:10">
      <c r="B114" s="20" t="s">
        <v>180</v>
      </c>
      <c r="C114" s="20" t="s">
        <v>96</v>
      </c>
      <c r="E114" s="99" t="s">
        <v>509</v>
      </c>
      <c r="F114" s="99" t="s">
        <v>509</v>
      </c>
      <c r="G114" s="99" t="s">
        <v>545</v>
      </c>
      <c r="H114" s="99" t="s">
        <v>481</v>
      </c>
      <c r="I114" s="99" t="s">
        <v>509</v>
      </c>
      <c r="J114" s="99" t="s">
        <v>509</v>
      </c>
    </row>
    <row r="115" spans="2:10">
      <c r="B115" s="20" t="s">
        <v>181</v>
      </c>
      <c r="C115" s="20" t="s">
        <v>182</v>
      </c>
      <c r="E115" s="99" t="s">
        <v>352</v>
      </c>
      <c r="F115" s="99" t="s">
        <v>481</v>
      </c>
      <c r="G115" s="99" t="s">
        <v>352</v>
      </c>
      <c r="H115" s="99" t="s">
        <v>481</v>
      </c>
      <c r="I115" s="99" t="s">
        <v>352</v>
      </c>
      <c r="J115" s="99" t="s">
        <v>481</v>
      </c>
    </row>
    <row r="116" spans="2:10">
      <c r="B116" s="20" t="s">
        <v>183</v>
      </c>
      <c r="C116" s="20" t="s">
        <v>100</v>
      </c>
      <c r="E116" s="99" t="s">
        <v>346</v>
      </c>
      <c r="F116" s="99" t="s">
        <v>481</v>
      </c>
      <c r="G116" s="99" t="s">
        <v>346</v>
      </c>
      <c r="H116" s="99" t="s">
        <v>481</v>
      </c>
      <c r="I116" s="99" t="s">
        <v>346</v>
      </c>
      <c r="J116" s="99" t="s">
        <v>481</v>
      </c>
    </row>
    <row r="117" spans="2:10">
      <c r="B117" s="20" t="s">
        <v>184</v>
      </c>
      <c r="C117" s="20" t="s">
        <v>275</v>
      </c>
      <c r="E117" s="99" t="s">
        <v>422</v>
      </c>
      <c r="F117" s="99" t="s">
        <v>481</v>
      </c>
      <c r="G117" s="99" t="s">
        <v>422</v>
      </c>
      <c r="H117" s="99" t="s">
        <v>481</v>
      </c>
      <c r="I117" s="99" t="s">
        <v>509</v>
      </c>
      <c r="J117" s="99" t="s">
        <v>509</v>
      </c>
    </row>
    <row r="118" spans="2:10">
      <c r="B118" s="20" t="s">
        <v>185</v>
      </c>
      <c r="C118" s="20" t="s">
        <v>182</v>
      </c>
      <c r="E118" s="99" t="s">
        <v>381</v>
      </c>
      <c r="F118" s="99" t="s">
        <v>481</v>
      </c>
      <c r="G118" s="99" t="s">
        <v>381</v>
      </c>
      <c r="H118" s="99" t="s">
        <v>481</v>
      </c>
      <c r="I118" s="99" t="s">
        <v>509</v>
      </c>
      <c r="J118" s="99" t="s">
        <v>509</v>
      </c>
    </row>
    <row r="119" spans="2:10">
      <c r="B119" s="20" t="s">
        <v>186</v>
      </c>
      <c r="C119" s="20" t="s">
        <v>270</v>
      </c>
      <c r="E119" s="99" t="s">
        <v>509</v>
      </c>
      <c r="F119" s="99" t="s">
        <v>509</v>
      </c>
      <c r="G119" s="99" t="s">
        <v>423</v>
      </c>
      <c r="H119" s="99" t="s">
        <v>481</v>
      </c>
      <c r="I119" s="99" t="s">
        <v>509</v>
      </c>
      <c r="J119" s="99" t="s">
        <v>509</v>
      </c>
    </row>
    <row r="120" spans="2:10">
      <c r="B120" s="20" t="s">
        <v>187</v>
      </c>
      <c r="C120" s="20" t="s">
        <v>182</v>
      </c>
      <c r="E120" s="99" t="s">
        <v>367</v>
      </c>
      <c r="F120" s="99" t="s">
        <v>481</v>
      </c>
      <c r="G120" s="99" t="s">
        <v>367</v>
      </c>
      <c r="H120" s="99" t="s">
        <v>481</v>
      </c>
      <c r="I120" s="99" t="s">
        <v>367</v>
      </c>
      <c r="J120" s="99" t="s">
        <v>481</v>
      </c>
    </row>
    <row r="121" spans="2:10">
      <c r="B121" s="20" t="s">
        <v>188</v>
      </c>
      <c r="C121" s="20" t="s">
        <v>100</v>
      </c>
      <c r="E121" s="99" t="s">
        <v>368</v>
      </c>
      <c r="F121" s="99" t="s">
        <v>481</v>
      </c>
      <c r="G121" s="99" t="s">
        <v>368</v>
      </c>
      <c r="H121" s="99" t="s">
        <v>481</v>
      </c>
      <c r="I121" s="99" t="s">
        <v>368</v>
      </c>
      <c r="J121" s="99" t="s">
        <v>481</v>
      </c>
    </row>
    <row r="122" spans="2:10">
      <c r="B122" s="20" t="s">
        <v>189</v>
      </c>
      <c r="C122" s="20" t="s">
        <v>275</v>
      </c>
      <c r="E122" s="99" t="s">
        <v>546</v>
      </c>
      <c r="F122" s="99" t="s">
        <v>481</v>
      </c>
      <c r="G122" s="99" t="s">
        <v>437</v>
      </c>
      <c r="H122" s="99" t="s">
        <v>481</v>
      </c>
      <c r="I122" s="99" t="s">
        <v>509</v>
      </c>
      <c r="J122" s="99" t="s">
        <v>509</v>
      </c>
    </row>
    <row r="123" spans="2:10">
      <c r="B123" s="20" t="s">
        <v>190</v>
      </c>
      <c r="C123" s="20" t="s">
        <v>182</v>
      </c>
      <c r="E123" s="99" t="s">
        <v>509</v>
      </c>
      <c r="F123" s="99" t="s">
        <v>509</v>
      </c>
      <c r="G123" s="99" t="s">
        <v>547</v>
      </c>
      <c r="H123" s="99" t="s">
        <v>481</v>
      </c>
      <c r="I123" s="99" t="s">
        <v>509</v>
      </c>
      <c r="J123" s="99" t="s">
        <v>509</v>
      </c>
    </row>
    <row r="124" spans="2:10">
      <c r="B124" s="20" t="s">
        <v>191</v>
      </c>
      <c r="C124" s="20" t="s">
        <v>182</v>
      </c>
      <c r="E124" s="99" t="s">
        <v>509</v>
      </c>
      <c r="F124" s="99" t="s">
        <v>509</v>
      </c>
      <c r="G124" s="99" t="s">
        <v>548</v>
      </c>
      <c r="H124" s="99" t="s">
        <v>481</v>
      </c>
      <c r="I124" s="99" t="s">
        <v>509</v>
      </c>
      <c r="J124" s="99" t="s">
        <v>509</v>
      </c>
    </row>
    <row r="125" spans="2:10">
      <c r="B125" s="20" t="s">
        <v>192</v>
      </c>
      <c r="C125" s="20" t="s">
        <v>100</v>
      </c>
      <c r="E125" s="99" t="s">
        <v>368</v>
      </c>
      <c r="F125" s="99" t="s">
        <v>481</v>
      </c>
      <c r="G125" s="99" t="s">
        <v>368</v>
      </c>
      <c r="H125" s="99" t="s">
        <v>481</v>
      </c>
      <c r="I125" s="99" t="s">
        <v>368</v>
      </c>
      <c r="J125" s="99" t="s">
        <v>481</v>
      </c>
    </row>
    <row r="126" spans="2:10">
      <c r="B126" s="20" t="s">
        <v>193</v>
      </c>
      <c r="C126" s="20" t="s">
        <v>275</v>
      </c>
      <c r="E126" s="99" t="s">
        <v>509</v>
      </c>
      <c r="F126" s="99" t="s">
        <v>509</v>
      </c>
      <c r="G126" s="99" t="s">
        <v>438</v>
      </c>
      <c r="H126" s="99" t="s">
        <v>481</v>
      </c>
      <c r="I126" s="99" t="s">
        <v>509</v>
      </c>
      <c r="J126" s="99" t="s">
        <v>509</v>
      </c>
    </row>
    <row r="127" spans="2:10">
      <c r="B127" s="20" t="s">
        <v>194</v>
      </c>
      <c r="C127" s="20" t="s">
        <v>270</v>
      </c>
      <c r="E127" s="99" t="s">
        <v>346</v>
      </c>
      <c r="F127" s="99" t="s">
        <v>481</v>
      </c>
      <c r="G127" s="99" t="s">
        <v>346</v>
      </c>
      <c r="H127" s="99" t="s">
        <v>481</v>
      </c>
      <c r="I127" s="99" t="s">
        <v>346</v>
      </c>
      <c r="J127" s="99" t="s">
        <v>481</v>
      </c>
    </row>
    <row r="128" spans="2:10">
      <c r="B128" s="20" t="s">
        <v>195</v>
      </c>
      <c r="C128" s="20" t="s">
        <v>270</v>
      </c>
      <c r="E128" s="99" t="s">
        <v>346</v>
      </c>
      <c r="F128" s="99" t="s">
        <v>481</v>
      </c>
      <c r="G128" s="99" t="s">
        <v>346</v>
      </c>
      <c r="H128" s="99" t="s">
        <v>481</v>
      </c>
      <c r="I128" s="99" t="s">
        <v>509</v>
      </c>
      <c r="J128" s="99" t="s">
        <v>509</v>
      </c>
    </row>
    <row r="129" spans="2:10">
      <c r="B129" s="20" t="s">
        <v>196</v>
      </c>
      <c r="C129" s="20" t="s">
        <v>270</v>
      </c>
      <c r="E129" s="99" t="s">
        <v>346</v>
      </c>
      <c r="F129" s="99" t="s">
        <v>481</v>
      </c>
      <c r="G129" s="99" t="s">
        <v>346</v>
      </c>
      <c r="H129" s="99" t="s">
        <v>481</v>
      </c>
      <c r="I129" s="99" t="s">
        <v>509</v>
      </c>
      <c r="J129" s="99" t="s">
        <v>509</v>
      </c>
    </row>
    <row r="130" spans="2:10">
      <c r="B130" s="20" t="s">
        <v>197</v>
      </c>
      <c r="C130" s="20" t="s">
        <v>100</v>
      </c>
      <c r="E130" s="99" t="s">
        <v>401</v>
      </c>
      <c r="F130" s="99" t="s">
        <v>481</v>
      </c>
      <c r="G130" s="99" t="s">
        <v>401</v>
      </c>
      <c r="H130" s="99" t="s">
        <v>481</v>
      </c>
      <c r="I130" s="99" t="s">
        <v>401</v>
      </c>
      <c r="J130" s="99" t="s">
        <v>481</v>
      </c>
    </row>
    <row r="131" spans="2:10">
      <c r="B131" s="20" t="s">
        <v>198</v>
      </c>
      <c r="C131" s="20" t="s">
        <v>100</v>
      </c>
      <c r="E131" s="99" t="s">
        <v>368</v>
      </c>
      <c r="F131" s="99" t="s">
        <v>481</v>
      </c>
      <c r="G131" s="99" t="s">
        <v>368</v>
      </c>
      <c r="H131" s="99" t="s">
        <v>481</v>
      </c>
      <c r="I131" s="99" t="s">
        <v>368</v>
      </c>
      <c r="J131" s="99" t="s">
        <v>481</v>
      </c>
    </row>
    <row r="132" spans="2:10">
      <c r="B132" s="20" t="s">
        <v>199</v>
      </c>
      <c r="C132" s="20" t="s">
        <v>100</v>
      </c>
      <c r="E132" s="99" t="s">
        <v>368</v>
      </c>
      <c r="F132" s="99" t="s">
        <v>481</v>
      </c>
      <c r="G132" s="99" t="s">
        <v>368</v>
      </c>
      <c r="H132" s="99" t="s">
        <v>481</v>
      </c>
      <c r="I132" s="99" t="s">
        <v>368</v>
      </c>
      <c r="J132" s="99" t="s">
        <v>481</v>
      </c>
    </row>
    <row r="133" spans="2:10">
      <c r="B133" s="20" t="s">
        <v>200</v>
      </c>
      <c r="C133" s="20" t="s">
        <v>351</v>
      </c>
      <c r="E133" s="99" t="s">
        <v>424</v>
      </c>
      <c r="F133" s="99" t="s">
        <v>481</v>
      </c>
      <c r="G133" s="99" t="s">
        <v>424</v>
      </c>
      <c r="H133" s="99" t="s">
        <v>481</v>
      </c>
      <c r="I133" s="99" t="s">
        <v>509</v>
      </c>
      <c r="J133" s="99" t="s">
        <v>509</v>
      </c>
    </row>
    <row r="134" spans="2:10">
      <c r="B134" s="20" t="s">
        <v>201</v>
      </c>
      <c r="C134" s="20" t="s">
        <v>100</v>
      </c>
      <c r="E134" s="99" t="s">
        <v>509</v>
      </c>
      <c r="F134" s="99" t="s">
        <v>509</v>
      </c>
      <c r="G134" s="99" t="s">
        <v>549</v>
      </c>
      <c r="H134" s="99" t="s">
        <v>481</v>
      </c>
      <c r="I134" s="99" t="s">
        <v>509</v>
      </c>
      <c r="J134" s="99" t="s">
        <v>509</v>
      </c>
    </row>
    <row r="135" spans="2:10">
      <c r="B135" s="20" t="s">
        <v>202</v>
      </c>
      <c r="C135" s="20" t="s">
        <v>270</v>
      </c>
      <c r="E135" s="99" t="s">
        <v>346</v>
      </c>
      <c r="F135" s="99" t="s">
        <v>481</v>
      </c>
      <c r="G135" s="99" t="s">
        <v>346</v>
      </c>
      <c r="H135" s="99" t="s">
        <v>481</v>
      </c>
      <c r="I135" s="99" t="s">
        <v>346</v>
      </c>
      <c r="J135" s="99" t="s">
        <v>481</v>
      </c>
    </row>
    <row r="136" spans="2:10">
      <c r="B136" s="20" t="s">
        <v>203</v>
      </c>
      <c r="C136" s="20" t="s">
        <v>270</v>
      </c>
      <c r="E136" s="99" t="s">
        <v>509</v>
      </c>
      <c r="F136" s="99" t="s">
        <v>509</v>
      </c>
      <c r="G136" s="99" t="s">
        <v>550</v>
      </c>
      <c r="H136" s="99" t="s">
        <v>481</v>
      </c>
      <c r="I136" s="99" t="s">
        <v>509</v>
      </c>
      <c r="J136" s="99" t="s">
        <v>509</v>
      </c>
    </row>
    <row r="137" spans="2:10">
      <c r="B137" s="20" t="s">
        <v>204</v>
      </c>
      <c r="C137" s="20" t="s">
        <v>182</v>
      </c>
      <c r="E137" s="99" t="s">
        <v>383</v>
      </c>
      <c r="F137" s="99" t="s">
        <v>481</v>
      </c>
      <c r="G137" s="99" t="s">
        <v>383</v>
      </c>
      <c r="H137" s="99" t="s">
        <v>481</v>
      </c>
      <c r="I137" s="99" t="s">
        <v>383</v>
      </c>
      <c r="J137" s="99" t="s">
        <v>481</v>
      </c>
    </row>
    <row r="138" spans="2:10">
      <c r="B138" s="20" t="s">
        <v>205</v>
      </c>
      <c r="C138" s="20" t="s">
        <v>182</v>
      </c>
      <c r="E138" s="99" t="s">
        <v>509</v>
      </c>
      <c r="F138" s="99" t="s">
        <v>509</v>
      </c>
      <c r="G138" s="99" t="s">
        <v>551</v>
      </c>
      <c r="H138" s="99" t="s">
        <v>481</v>
      </c>
      <c r="I138" s="99" t="s">
        <v>509</v>
      </c>
      <c r="J138" s="99" t="s">
        <v>509</v>
      </c>
    </row>
    <row r="139" spans="2:10">
      <c r="B139" s="20" t="s">
        <v>206</v>
      </c>
      <c r="C139" s="20" t="s">
        <v>270</v>
      </c>
      <c r="E139" s="99" t="s">
        <v>509</v>
      </c>
      <c r="F139" s="99" t="s">
        <v>509</v>
      </c>
      <c r="G139" s="99" t="s">
        <v>418</v>
      </c>
      <c r="H139" s="99" t="s">
        <v>481</v>
      </c>
      <c r="I139" s="99" t="s">
        <v>509</v>
      </c>
      <c r="J139" s="99" t="s">
        <v>509</v>
      </c>
    </row>
    <row r="140" spans="2:10">
      <c r="B140" s="20" t="s">
        <v>207</v>
      </c>
      <c r="C140" s="20" t="s">
        <v>100</v>
      </c>
      <c r="E140" s="99" t="s">
        <v>368</v>
      </c>
      <c r="F140" s="99" t="s">
        <v>481</v>
      </c>
      <c r="G140" s="99" t="s">
        <v>368</v>
      </c>
      <c r="H140" s="99" t="s">
        <v>481</v>
      </c>
      <c r="I140" s="99" t="s">
        <v>368</v>
      </c>
      <c r="J140" s="99" t="s">
        <v>481</v>
      </c>
    </row>
    <row r="141" spans="2:10">
      <c r="B141" s="20" t="s">
        <v>208</v>
      </c>
      <c r="C141" s="20" t="s">
        <v>182</v>
      </c>
      <c r="E141" s="99" t="s">
        <v>346</v>
      </c>
      <c r="F141" s="99" t="s">
        <v>481</v>
      </c>
      <c r="G141" s="99" t="s">
        <v>346</v>
      </c>
      <c r="H141" s="99" t="s">
        <v>481</v>
      </c>
      <c r="I141" s="99" t="s">
        <v>346</v>
      </c>
      <c r="J141" s="99" t="s">
        <v>481</v>
      </c>
    </row>
    <row r="142" spans="2:10">
      <c r="B142" s="20" t="s">
        <v>209</v>
      </c>
      <c r="C142" s="21" t="s">
        <v>100</v>
      </c>
      <c r="E142" s="99" t="s">
        <v>368</v>
      </c>
      <c r="F142" s="99" t="s">
        <v>481</v>
      </c>
      <c r="G142" s="99" t="s">
        <v>368</v>
      </c>
      <c r="H142" s="99" t="s">
        <v>481</v>
      </c>
      <c r="I142" s="99" t="s">
        <v>368</v>
      </c>
      <c r="J142" s="99" t="s">
        <v>481</v>
      </c>
    </row>
    <row r="143" spans="2:10">
      <c r="B143" s="20" t="s">
        <v>210</v>
      </c>
      <c r="C143" s="20" t="s">
        <v>270</v>
      </c>
      <c r="E143" s="99" t="s">
        <v>346</v>
      </c>
      <c r="F143" s="99" t="s">
        <v>481</v>
      </c>
      <c r="G143" s="99" t="s">
        <v>346</v>
      </c>
      <c r="H143" s="99" t="s">
        <v>481</v>
      </c>
      <c r="I143" s="99" t="s">
        <v>346</v>
      </c>
      <c r="J143" s="99" t="s">
        <v>481</v>
      </c>
    </row>
    <row r="144" spans="2:10">
      <c r="B144" s="21" t="s">
        <v>211</v>
      </c>
      <c r="C144" s="21" t="s">
        <v>270</v>
      </c>
      <c r="D144" s="8"/>
      <c r="E144" s="102" t="s">
        <v>552</v>
      </c>
      <c r="F144" s="102" t="s">
        <v>511</v>
      </c>
      <c r="G144" s="99" t="s">
        <v>552</v>
      </c>
      <c r="H144" s="99" t="s">
        <v>481</v>
      </c>
      <c r="I144" s="99" t="s">
        <v>509</v>
      </c>
      <c r="J144" s="99" t="s">
        <v>509</v>
      </c>
    </row>
    <row r="145" spans="2:16">
      <c r="B145" s="20" t="s">
        <v>212</v>
      </c>
      <c r="C145" s="21" t="s">
        <v>100</v>
      </c>
      <c r="E145" s="99" t="s">
        <v>368</v>
      </c>
      <c r="F145" s="99" t="s">
        <v>481</v>
      </c>
      <c r="G145" s="99" t="s">
        <v>368</v>
      </c>
      <c r="H145" s="99" t="s">
        <v>481</v>
      </c>
      <c r="I145" s="99" t="s">
        <v>368</v>
      </c>
      <c r="J145" s="99" t="s">
        <v>481</v>
      </c>
    </row>
    <row r="146" spans="2:16">
      <c r="B146" s="20" t="s">
        <v>213</v>
      </c>
      <c r="C146" s="20" t="s">
        <v>96</v>
      </c>
      <c r="D146" s="6" t="s">
        <v>345</v>
      </c>
      <c r="E146" s="99" t="s">
        <v>384</v>
      </c>
      <c r="F146" s="99" t="s">
        <v>481</v>
      </c>
      <c r="G146" s="99" t="s">
        <v>384</v>
      </c>
      <c r="H146" s="99" t="s">
        <v>481</v>
      </c>
      <c r="I146" s="99" t="s">
        <v>384</v>
      </c>
      <c r="J146" s="99" t="s">
        <v>481</v>
      </c>
    </row>
    <row r="147" spans="2:16">
      <c r="B147" s="20" t="s">
        <v>214</v>
      </c>
      <c r="C147" s="20" t="s">
        <v>182</v>
      </c>
      <c r="E147" s="99" t="s">
        <v>346</v>
      </c>
      <c r="F147" s="99" t="s">
        <v>481</v>
      </c>
      <c r="G147" s="99" t="s">
        <v>346</v>
      </c>
      <c r="H147" s="99" t="s">
        <v>481</v>
      </c>
      <c r="I147" s="99" t="s">
        <v>346</v>
      </c>
      <c r="J147" s="99" t="s">
        <v>481</v>
      </c>
    </row>
    <row r="148" spans="2:16">
      <c r="B148" s="20" t="s">
        <v>215</v>
      </c>
      <c r="C148" s="20" t="s">
        <v>100</v>
      </c>
      <c r="E148" s="99" t="s">
        <v>553</v>
      </c>
      <c r="F148" s="99" t="s">
        <v>481</v>
      </c>
      <c r="G148" s="99" t="s">
        <v>554</v>
      </c>
      <c r="H148" s="99" t="s">
        <v>481</v>
      </c>
      <c r="I148" s="99" t="s">
        <v>509</v>
      </c>
      <c r="J148" s="99" t="s">
        <v>509</v>
      </c>
    </row>
    <row r="149" spans="2:16">
      <c r="B149" s="20" t="s">
        <v>216</v>
      </c>
      <c r="C149" s="20" t="s">
        <v>100</v>
      </c>
      <c r="E149" s="99" t="s">
        <v>368</v>
      </c>
      <c r="F149" s="99" t="s">
        <v>481</v>
      </c>
      <c r="G149" s="99" t="s">
        <v>368</v>
      </c>
      <c r="H149" s="99" t="s">
        <v>481</v>
      </c>
      <c r="I149" s="99" t="s">
        <v>368</v>
      </c>
      <c r="J149" s="99" t="s">
        <v>481</v>
      </c>
    </row>
    <row r="150" spans="2:16">
      <c r="B150" s="20" t="s">
        <v>217</v>
      </c>
      <c r="C150" s="20" t="s">
        <v>182</v>
      </c>
      <c r="E150" s="99" t="s">
        <v>555</v>
      </c>
      <c r="F150" s="99" t="s">
        <v>481</v>
      </c>
      <c r="G150" s="99" t="s">
        <v>555</v>
      </c>
      <c r="H150" s="99" t="s">
        <v>481</v>
      </c>
      <c r="I150" s="99" t="s">
        <v>509</v>
      </c>
      <c r="J150" s="99" t="s">
        <v>509</v>
      </c>
    </row>
    <row r="151" spans="2:16">
      <c r="B151" s="20" t="s">
        <v>218</v>
      </c>
      <c r="C151" s="20" t="s">
        <v>100</v>
      </c>
      <c r="E151" s="99" t="s">
        <v>368</v>
      </c>
      <c r="F151" s="99" t="s">
        <v>481</v>
      </c>
      <c r="G151" s="99" t="s">
        <v>368</v>
      </c>
      <c r="H151" s="99" t="s">
        <v>481</v>
      </c>
      <c r="I151" s="99" t="s">
        <v>368</v>
      </c>
      <c r="J151" s="99" t="s">
        <v>481</v>
      </c>
    </row>
    <row r="152" spans="2:16">
      <c r="B152" s="20" t="s">
        <v>219</v>
      </c>
      <c r="C152" s="20" t="s">
        <v>96</v>
      </c>
      <c r="E152" s="99" t="s">
        <v>509</v>
      </c>
      <c r="F152" s="99" t="s">
        <v>509</v>
      </c>
      <c r="G152" s="99" t="s">
        <v>512</v>
      </c>
      <c r="H152" s="99" t="s">
        <v>481</v>
      </c>
      <c r="I152" s="99" t="s">
        <v>509</v>
      </c>
      <c r="J152" s="99" t="s">
        <v>509</v>
      </c>
    </row>
    <row r="153" spans="2:16">
      <c r="B153" s="20" t="s">
        <v>220</v>
      </c>
      <c r="C153" s="20" t="s">
        <v>270</v>
      </c>
      <c r="E153" s="99" t="s">
        <v>425</v>
      </c>
      <c r="F153" s="99" t="s">
        <v>481</v>
      </c>
      <c r="G153" s="99" t="s">
        <v>425</v>
      </c>
      <c r="H153" s="99" t="s">
        <v>481</v>
      </c>
      <c r="I153" s="99" t="s">
        <v>509</v>
      </c>
      <c r="J153" s="99" t="s">
        <v>509</v>
      </c>
    </row>
    <row r="154" spans="2:16">
      <c r="B154" s="20" t="s">
        <v>221</v>
      </c>
      <c r="C154" s="20" t="s">
        <v>270</v>
      </c>
      <c r="E154" s="99" t="s">
        <v>346</v>
      </c>
      <c r="F154" s="99" t="s">
        <v>481</v>
      </c>
      <c r="G154" s="99" t="s">
        <v>346</v>
      </c>
      <c r="H154" s="99" t="s">
        <v>481</v>
      </c>
      <c r="I154" s="99" t="s">
        <v>346</v>
      </c>
      <c r="J154" s="99" t="s">
        <v>481</v>
      </c>
    </row>
    <row r="155" spans="2:16">
      <c r="B155" s="20" t="s">
        <v>222</v>
      </c>
      <c r="C155" s="20" t="s">
        <v>182</v>
      </c>
      <c r="E155" s="99" t="s">
        <v>509</v>
      </c>
      <c r="F155" s="99" t="s">
        <v>509</v>
      </c>
      <c r="G155" s="99" t="s">
        <v>426</v>
      </c>
      <c r="H155" s="99" t="s">
        <v>481</v>
      </c>
      <c r="I155" s="99" t="s">
        <v>509</v>
      </c>
      <c r="J155" s="99" t="s">
        <v>509</v>
      </c>
    </row>
    <row r="156" spans="2:16">
      <c r="B156" s="20" t="s">
        <v>223</v>
      </c>
      <c r="C156" s="20" t="s">
        <v>270</v>
      </c>
      <c r="E156" s="99" t="s">
        <v>509</v>
      </c>
      <c r="F156" s="99" t="s">
        <v>509</v>
      </c>
      <c r="G156" s="99" t="s">
        <v>556</v>
      </c>
      <c r="H156" s="99" t="s">
        <v>481</v>
      </c>
      <c r="I156" s="99" t="s">
        <v>509</v>
      </c>
      <c r="J156" s="99" t="s">
        <v>509</v>
      </c>
    </row>
    <row r="157" spans="2:16">
      <c r="B157" s="20" t="s">
        <v>224</v>
      </c>
      <c r="C157" s="20" t="s">
        <v>182</v>
      </c>
      <c r="E157" s="99" t="s">
        <v>367</v>
      </c>
      <c r="F157" s="99" t="s">
        <v>481</v>
      </c>
      <c r="G157" s="99" t="s">
        <v>367</v>
      </c>
      <c r="H157" s="99" t="s">
        <v>481</v>
      </c>
      <c r="I157" s="99" t="s">
        <v>367</v>
      </c>
      <c r="J157" s="99" t="s">
        <v>481</v>
      </c>
    </row>
    <row r="158" spans="2:16">
      <c r="B158" s="20" t="s">
        <v>225</v>
      </c>
      <c r="C158" s="20" t="s">
        <v>182</v>
      </c>
      <c r="E158" s="99" t="s">
        <v>509</v>
      </c>
      <c r="F158" s="99" t="s">
        <v>509</v>
      </c>
      <c r="G158" s="99" t="s">
        <v>557</v>
      </c>
      <c r="H158" s="99" t="s">
        <v>481</v>
      </c>
      <c r="I158" s="99" t="s">
        <v>509</v>
      </c>
      <c r="J158" s="99" t="s">
        <v>509</v>
      </c>
    </row>
    <row r="159" spans="2:16">
      <c r="B159" s="20" t="s">
        <v>226</v>
      </c>
      <c r="C159" s="20" t="s">
        <v>100</v>
      </c>
      <c r="D159" s="6" t="s">
        <v>348</v>
      </c>
      <c r="E159" s="99" t="s">
        <v>368</v>
      </c>
      <c r="F159" s="99" t="s">
        <v>481</v>
      </c>
      <c r="G159" s="99" t="s">
        <v>368</v>
      </c>
      <c r="H159" s="99" t="s">
        <v>481</v>
      </c>
      <c r="I159" s="99" t="s">
        <v>368</v>
      </c>
      <c r="J159" s="99" t="s">
        <v>481</v>
      </c>
      <c r="O159" s="99" t="s">
        <v>368</v>
      </c>
      <c r="P159" s="99" t="s">
        <v>481</v>
      </c>
    </row>
    <row r="160" spans="2:16" outlineLevel="1">
      <c r="B160" s="20" t="s">
        <v>227</v>
      </c>
      <c r="C160" s="20" t="s">
        <v>96</v>
      </c>
      <c r="E160" s="99" t="s">
        <v>509</v>
      </c>
      <c r="F160" s="99" t="s">
        <v>509</v>
      </c>
      <c r="G160" s="99" t="s">
        <v>509</v>
      </c>
      <c r="H160" s="99" t="s">
        <v>509</v>
      </c>
      <c r="I160" s="99" t="s">
        <v>509</v>
      </c>
      <c r="J160" s="99" t="s">
        <v>509</v>
      </c>
    </row>
    <row r="161" spans="2:10">
      <c r="B161" s="20" t="s">
        <v>228</v>
      </c>
      <c r="C161" s="20" t="s">
        <v>182</v>
      </c>
      <c r="E161" s="99" t="s">
        <v>509</v>
      </c>
      <c r="F161" s="99" t="s">
        <v>509</v>
      </c>
      <c r="G161" s="99" t="s">
        <v>536</v>
      </c>
      <c r="H161" s="99" t="s">
        <v>481</v>
      </c>
      <c r="I161" s="99" t="s">
        <v>509</v>
      </c>
      <c r="J161" s="99" t="s">
        <v>509</v>
      </c>
    </row>
    <row r="162" spans="2:10">
      <c r="B162" s="20" t="s">
        <v>229</v>
      </c>
      <c r="C162" s="20" t="s">
        <v>182</v>
      </c>
      <c r="D162" s="6" t="s">
        <v>347</v>
      </c>
      <c r="E162" s="99" t="s">
        <v>385</v>
      </c>
      <c r="F162" s="99" t="s">
        <v>481</v>
      </c>
      <c r="G162" s="99" t="s">
        <v>385</v>
      </c>
      <c r="H162" s="99" t="s">
        <v>481</v>
      </c>
      <c r="I162" s="99" t="s">
        <v>385</v>
      </c>
      <c r="J162" s="99" t="s">
        <v>481</v>
      </c>
    </row>
    <row r="163" spans="2:10">
      <c r="B163" s="20" t="s">
        <v>230</v>
      </c>
      <c r="C163" s="20" t="s">
        <v>96</v>
      </c>
      <c r="E163" s="99" t="s">
        <v>509</v>
      </c>
      <c r="F163" s="99" t="s">
        <v>509</v>
      </c>
      <c r="G163" s="99" t="s">
        <v>558</v>
      </c>
      <c r="H163" s="99" t="s">
        <v>481</v>
      </c>
      <c r="I163" s="99" t="s">
        <v>509</v>
      </c>
      <c r="J163" s="99" t="s">
        <v>509</v>
      </c>
    </row>
    <row r="164" spans="2:10">
      <c r="B164" s="20" t="s">
        <v>231</v>
      </c>
      <c r="C164" s="20" t="s">
        <v>270</v>
      </c>
      <c r="E164" s="99" t="s">
        <v>509</v>
      </c>
      <c r="F164" s="99" t="s">
        <v>509</v>
      </c>
      <c r="G164" s="99" t="s">
        <v>418</v>
      </c>
      <c r="H164" s="99" t="s">
        <v>481</v>
      </c>
      <c r="I164" s="99" t="s">
        <v>509</v>
      </c>
      <c r="J164" s="99" t="s">
        <v>509</v>
      </c>
    </row>
    <row r="165" spans="2:10">
      <c r="B165" s="20" t="s">
        <v>232</v>
      </c>
      <c r="C165" s="20" t="s">
        <v>270</v>
      </c>
      <c r="E165" s="99" t="s">
        <v>509</v>
      </c>
      <c r="F165" s="99" t="s">
        <v>509</v>
      </c>
      <c r="G165" s="99" t="s">
        <v>386</v>
      </c>
      <c r="H165" s="99" t="s">
        <v>481</v>
      </c>
      <c r="I165" s="99" t="s">
        <v>509</v>
      </c>
      <c r="J165" s="99" t="s">
        <v>509</v>
      </c>
    </row>
    <row r="166" spans="2:10">
      <c r="B166" s="20" t="s">
        <v>233</v>
      </c>
      <c r="C166" s="20" t="s">
        <v>182</v>
      </c>
      <c r="E166" s="99" t="s">
        <v>385</v>
      </c>
      <c r="F166" s="99" t="s">
        <v>481</v>
      </c>
      <c r="G166" s="99" t="s">
        <v>385</v>
      </c>
      <c r="H166" s="99" t="s">
        <v>481</v>
      </c>
      <c r="I166" s="99" t="s">
        <v>385</v>
      </c>
      <c r="J166" s="99" t="s">
        <v>481</v>
      </c>
    </row>
    <row r="167" spans="2:10">
      <c r="B167" s="20" t="s">
        <v>234</v>
      </c>
      <c r="C167" s="20" t="s">
        <v>182</v>
      </c>
      <c r="E167" s="99" t="s">
        <v>367</v>
      </c>
      <c r="F167" s="99" t="s">
        <v>481</v>
      </c>
      <c r="G167" s="99" t="s">
        <v>367</v>
      </c>
      <c r="H167" s="99" t="s">
        <v>481</v>
      </c>
      <c r="I167" s="99" t="s">
        <v>367</v>
      </c>
      <c r="J167" s="99" t="s">
        <v>481</v>
      </c>
    </row>
    <row r="168" spans="2:10" outlineLevel="1">
      <c r="B168" s="20" t="s">
        <v>236</v>
      </c>
      <c r="C168" s="20" t="s">
        <v>182</v>
      </c>
      <c r="E168" s="99" t="s">
        <v>509</v>
      </c>
      <c r="F168" s="99" t="s">
        <v>509</v>
      </c>
      <c r="G168" s="99" t="s">
        <v>509</v>
      </c>
      <c r="H168" s="99" t="s">
        <v>509</v>
      </c>
      <c r="I168" s="99" t="s">
        <v>509</v>
      </c>
      <c r="J168" s="99" t="s">
        <v>509</v>
      </c>
    </row>
    <row r="169" spans="2:10">
      <c r="B169" s="20" t="s">
        <v>235</v>
      </c>
      <c r="C169" s="20" t="s">
        <v>182</v>
      </c>
      <c r="E169" s="99" t="s">
        <v>346</v>
      </c>
      <c r="F169" s="99" t="s">
        <v>481</v>
      </c>
      <c r="G169" s="99" t="s">
        <v>346</v>
      </c>
      <c r="H169" s="99" t="s">
        <v>481</v>
      </c>
      <c r="I169" s="99" t="s">
        <v>346</v>
      </c>
      <c r="J169" s="99" t="s">
        <v>481</v>
      </c>
    </row>
    <row r="170" spans="2:10">
      <c r="B170" s="20" t="s">
        <v>237</v>
      </c>
      <c r="C170" s="20" t="s">
        <v>100</v>
      </c>
      <c r="E170" s="99" t="s">
        <v>387</v>
      </c>
      <c r="F170" s="99" t="s">
        <v>481</v>
      </c>
      <c r="G170" s="99" t="s">
        <v>387</v>
      </c>
      <c r="H170" s="99" t="s">
        <v>481</v>
      </c>
      <c r="I170" s="99" t="s">
        <v>387</v>
      </c>
      <c r="J170" s="99" t="s">
        <v>481</v>
      </c>
    </row>
    <row r="171" spans="2:10">
      <c r="B171" s="21" t="s">
        <v>238</v>
      </c>
      <c r="C171" s="21" t="s">
        <v>275</v>
      </c>
      <c r="D171" s="8"/>
      <c r="E171" s="102" t="s">
        <v>440</v>
      </c>
      <c r="F171" s="102" t="s">
        <v>511</v>
      </c>
      <c r="G171" s="99" t="s">
        <v>440</v>
      </c>
      <c r="H171" s="99" t="s">
        <v>481</v>
      </c>
      <c r="I171" s="99" t="s">
        <v>509</v>
      </c>
      <c r="J171" s="99" t="s">
        <v>509</v>
      </c>
    </row>
    <row r="172" spans="2:10">
      <c r="B172" s="20" t="s">
        <v>239</v>
      </c>
      <c r="C172" s="20" t="s">
        <v>182</v>
      </c>
      <c r="E172" s="99" t="s">
        <v>509</v>
      </c>
      <c r="F172" s="99" t="s">
        <v>509</v>
      </c>
      <c r="G172" s="99" t="s">
        <v>388</v>
      </c>
      <c r="H172" s="99" t="s">
        <v>481</v>
      </c>
      <c r="I172" s="99" t="s">
        <v>509</v>
      </c>
      <c r="J172" s="99" t="s">
        <v>509</v>
      </c>
    </row>
    <row r="173" spans="2:10">
      <c r="B173" s="20" t="s">
        <v>240</v>
      </c>
      <c r="C173" s="20" t="s">
        <v>182</v>
      </c>
      <c r="E173" s="99" t="s">
        <v>346</v>
      </c>
      <c r="F173" s="99" t="s">
        <v>481</v>
      </c>
      <c r="G173" s="99" t="s">
        <v>346</v>
      </c>
      <c r="H173" s="99" t="s">
        <v>481</v>
      </c>
      <c r="I173" s="99" t="s">
        <v>346</v>
      </c>
      <c r="J173" s="99" t="s">
        <v>481</v>
      </c>
    </row>
    <row r="174" spans="2:10">
      <c r="B174" s="20" t="s">
        <v>241</v>
      </c>
      <c r="C174" s="20" t="s">
        <v>275</v>
      </c>
      <c r="E174" s="99" t="s">
        <v>380</v>
      </c>
      <c r="F174" s="99" t="s">
        <v>481</v>
      </c>
      <c r="G174" s="99" t="s">
        <v>380</v>
      </c>
      <c r="H174" s="99" t="s">
        <v>481</v>
      </c>
      <c r="I174" s="99" t="s">
        <v>380</v>
      </c>
      <c r="J174" s="99" t="s">
        <v>481</v>
      </c>
    </row>
    <row r="175" spans="2:10">
      <c r="B175" s="20" t="s">
        <v>242</v>
      </c>
      <c r="C175" s="20" t="s">
        <v>96</v>
      </c>
      <c r="E175" s="99" t="s">
        <v>346</v>
      </c>
      <c r="F175" s="99" t="s">
        <v>481</v>
      </c>
      <c r="G175" s="99" t="s">
        <v>346</v>
      </c>
      <c r="H175" s="99" t="s">
        <v>481</v>
      </c>
      <c r="I175" s="99" t="s">
        <v>346</v>
      </c>
      <c r="J175" s="99" t="s">
        <v>481</v>
      </c>
    </row>
    <row r="176" spans="2:10">
      <c r="B176" s="20" t="s">
        <v>243</v>
      </c>
      <c r="C176" s="20" t="s">
        <v>182</v>
      </c>
      <c r="E176" s="99" t="s">
        <v>509</v>
      </c>
      <c r="F176" s="99" t="s">
        <v>509</v>
      </c>
      <c r="G176" s="99" t="s">
        <v>559</v>
      </c>
      <c r="H176" s="99" t="s">
        <v>481</v>
      </c>
      <c r="I176" s="99" t="s">
        <v>509</v>
      </c>
      <c r="J176" s="99" t="s">
        <v>509</v>
      </c>
    </row>
    <row r="177" spans="2:10">
      <c r="B177" s="20" t="s">
        <v>244</v>
      </c>
      <c r="C177" s="20" t="s">
        <v>96</v>
      </c>
      <c r="E177" s="99" t="s">
        <v>427</v>
      </c>
      <c r="F177" s="99" t="s">
        <v>481</v>
      </c>
      <c r="G177" s="99" t="s">
        <v>427</v>
      </c>
      <c r="H177" s="99" t="s">
        <v>481</v>
      </c>
      <c r="I177" s="99" t="s">
        <v>509</v>
      </c>
      <c r="J177" s="99" t="s">
        <v>509</v>
      </c>
    </row>
    <row r="178" spans="2:10">
      <c r="B178" s="20" t="s">
        <v>245</v>
      </c>
      <c r="C178" s="20" t="s">
        <v>96</v>
      </c>
      <c r="E178" s="99" t="s">
        <v>389</v>
      </c>
      <c r="F178" s="99" t="s">
        <v>481</v>
      </c>
      <c r="G178" s="99" t="s">
        <v>389</v>
      </c>
      <c r="H178" s="99" t="s">
        <v>481</v>
      </c>
      <c r="I178" s="99" t="s">
        <v>509</v>
      </c>
      <c r="J178" s="99" t="s">
        <v>509</v>
      </c>
    </row>
    <row r="179" spans="2:10">
      <c r="B179" s="20" t="s">
        <v>246</v>
      </c>
      <c r="C179" s="20" t="s">
        <v>182</v>
      </c>
      <c r="D179" s="6" t="s">
        <v>345</v>
      </c>
      <c r="E179" s="99" t="s">
        <v>509</v>
      </c>
      <c r="F179" s="99" t="s">
        <v>509</v>
      </c>
      <c r="G179" s="99" t="s">
        <v>390</v>
      </c>
      <c r="H179" s="99" t="s">
        <v>481</v>
      </c>
      <c r="I179" s="99" t="s">
        <v>390</v>
      </c>
      <c r="J179" s="99" t="s">
        <v>481</v>
      </c>
    </row>
    <row r="180" spans="2:10">
      <c r="B180" s="20" t="s">
        <v>247</v>
      </c>
      <c r="C180" s="20" t="s">
        <v>182</v>
      </c>
      <c r="E180" s="99" t="s">
        <v>385</v>
      </c>
      <c r="F180" s="99" t="s">
        <v>481</v>
      </c>
      <c r="G180" s="99" t="s">
        <v>385</v>
      </c>
      <c r="H180" s="99" t="s">
        <v>481</v>
      </c>
      <c r="I180" s="99" t="s">
        <v>385</v>
      </c>
      <c r="J180" s="99" t="s">
        <v>481</v>
      </c>
    </row>
    <row r="181" spans="2:10">
      <c r="B181" s="20" t="s">
        <v>248</v>
      </c>
      <c r="C181" s="20" t="s">
        <v>100</v>
      </c>
      <c r="D181" s="6" t="s">
        <v>348</v>
      </c>
      <c r="E181" s="99" t="s">
        <v>391</v>
      </c>
      <c r="F181" s="99" t="s">
        <v>481</v>
      </c>
      <c r="G181" s="99" t="s">
        <v>391</v>
      </c>
      <c r="H181" s="99" t="s">
        <v>481</v>
      </c>
      <c r="I181" s="99" t="s">
        <v>391</v>
      </c>
      <c r="J181" s="99" t="s">
        <v>481</v>
      </c>
    </row>
    <row r="182" spans="2:10">
      <c r="B182" s="20" t="s">
        <v>249</v>
      </c>
      <c r="C182" s="20" t="s">
        <v>100</v>
      </c>
      <c r="E182" s="99" t="s">
        <v>368</v>
      </c>
      <c r="F182" s="99" t="s">
        <v>481</v>
      </c>
      <c r="G182" s="99" t="s">
        <v>368</v>
      </c>
      <c r="H182" s="99" t="s">
        <v>481</v>
      </c>
      <c r="I182" s="99" t="s">
        <v>368</v>
      </c>
      <c r="J182" s="99" t="s">
        <v>481</v>
      </c>
    </row>
    <row r="183" spans="2:10">
      <c r="B183" s="20" t="s">
        <v>250</v>
      </c>
      <c r="C183" s="20" t="s">
        <v>275</v>
      </c>
      <c r="E183" s="99" t="s">
        <v>392</v>
      </c>
      <c r="F183" s="99" t="s">
        <v>481</v>
      </c>
      <c r="G183" s="99" t="s">
        <v>392</v>
      </c>
      <c r="H183" s="99" t="s">
        <v>481</v>
      </c>
      <c r="I183" s="99" t="s">
        <v>509</v>
      </c>
      <c r="J183" s="99" t="s">
        <v>509</v>
      </c>
    </row>
    <row r="184" spans="2:10">
      <c r="B184" s="20" t="s">
        <v>251</v>
      </c>
      <c r="C184" s="21" t="s">
        <v>100</v>
      </c>
      <c r="E184" s="99" t="s">
        <v>368</v>
      </c>
      <c r="F184" s="99" t="s">
        <v>481</v>
      </c>
      <c r="G184" s="99" t="s">
        <v>368</v>
      </c>
      <c r="H184" s="99" t="s">
        <v>481</v>
      </c>
      <c r="I184" s="99" t="s">
        <v>368</v>
      </c>
      <c r="J184" s="99" t="s">
        <v>481</v>
      </c>
    </row>
    <row r="185" spans="2:10">
      <c r="B185" s="20" t="s">
        <v>252</v>
      </c>
      <c r="C185" s="20" t="s">
        <v>100</v>
      </c>
      <c r="E185" s="99" t="s">
        <v>393</v>
      </c>
      <c r="F185" s="99" t="s">
        <v>481</v>
      </c>
      <c r="G185" s="99" t="s">
        <v>393</v>
      </c>
      <c r="H185" s="99" t="s">
        <v>481</v>
      </c>
      <c r="I185" s="99" t="s">
        <v>509</v>
      </c>
      <c r="J185" s="99" t="s">
        <v>509</v>
      </c>
    </row>
    <row r="186" spans="2:10" outlineLevel="1">
      <c r="B186" s="20" t="s">
        <v>253</v>
      </c>
      <c r="C186" s="20" t="s">
        <v>100</v>
      </c>
      <c r="E186" s="99" t="s">
        <v>509</v>
      </c>
      <c r="F186" s="99" t="s">
        <v>509</v>
      </c>
      <c r="G186" s="99" t="s">
        <v>509</v>
      </c>
      <c r="H186" s="99" t="s">
        <v>509</v>
      </c>
      <c r="I186" s="99" t="s">
        <v>394</v>
      </c>
      <c r="J186" s="99" t="s">
        <v>481</v>
      </c>
    </row>
    <row r="187" spans="2:10">
      <c r="B187" s="20" t="s">
        <v>254</v>
      </c>
      <c r="C187" s="20" t="s">
        <v>270</v>
      </c>
      <c r="E187" s="99" t="s">
        <v>509</v>
      </c>
      <c r="F187" s="99" t="s">
        <v>509</v>
      </c>
      <c r="G187" s="99" t="s">
        <v>560</v>
      </c>
      <c r="H187" s="99" t="s">
        <v>481</v>
      </c>
      <c r="I187" s="99" t="s">
        <v>509</v>
      </c>
      <c r="J187" s="99" t="s">
        <v>509</v>
      </c>
    </row>
    <row r="188" spans="2:10">
      <c r="B188" s="20" t="s">
        <v>255</v>
      </c>
      <c r="C188" s="20" t="s">
        <v>96</v>
      </c>
      <c r="E188" s="99" t="s">
        <v>368</v>
      </c>
      <c r="F188" s="99" t="s">
        <v>481</v>
      </c>
      <c r="G188" s="99" t="s">
        <v>368</v>
      </c>
      <c r="H188" s="99" t="s">
        <v>481</v>
      </c>
      <c r="I188" s="99" t="s">
        <v>368</v>
      </c>
      <c r="J188" s="99" t="s">
        <v>481</v>
      </c>
    </row>
    <row r="189" spans="2:10">
      <c r="B189" s="20" t="s">
        <v>256</v>
      </c>
      <c r="C189" s="20" t="s">
        <v>182</v>
      </c>
      <c r="E189" s="99" t="s">
        <v>509</v>
      </c>
      <c r="F189" s="99" t="s">
        <v>509</v>
      </c>
      <c r="G189" s="99" t="s">
        <v>561</v>
      </c>
      <c r="H189" s="99" t="s">
        <v>481</v>
      </c>
      <c r="I189" s="99" t="s">
        <v>509</v>
      </c>
      <c r="J189" s="99" t="s">
        <v>509</v>
      </c>
    </row>
    <row r="190" spans="2:10">
      <c r="B190" s="20" t="s">
        <v>257</v>
      </c>
      <c r="C190" s="20" t="s">
        <v>100</v>
      </c>
      <c r="E190" s="99" t="s">
        <v>368</v>
      </c>
      <c r="F190" s="99" t="s">
        <v>481</v>
      </c>
      <c r="G190" s="99" t="s">
        <v>368</v>
      </c>
      <c r="H190" s="99" t="s">
        <v>481</v>
      </c>
      <c r="I190" s="99" t="s">
        <v>368</v>
      </c>
      <c r="J190" s="99" t="s">
        <v>481</v>
      </c>
    </row>
    <row r="191" spans="2:10">
      <c r="B191" s="20" t="s">
        <v>258</v>
      </c>
      <c r="C191" s="20" t="s">
        <v>270</v>
      </c>
      <c r="E191" s="99" t="s">
        <v>346</v>
      </c>
      <c r="F191" s="99" t="s">
        <v>481</v>
      </c>
      <c r="G191" s="99" t="s">
        <v>346</v>
      </c>
      <c r="H191" s="99" t="s">
        <v>481</v>
      </c>
      <c r="I191" s="99" t="s">
        <v>346</v>
      </c>
      <c r="J191" s="99" t="s">
        <v>481</v>
      </c>
    </row>
    <row r="192" spans="2:10">
      <c r="B192" s="20" t="s">
        <v>259</v>
      </c>
      <c r="C192" s="20" t="s">
        <v>275</v>
      </c>
      <c r="E192" s="99" t="s">
        <v>395</v>
      </c>
      <c r="F192" s="99" t="s">
        <v>481</v>
      </c>
      <c r="G192" s="99" t="s">
        <v>395</v>
      </c>
      <c r="H192" s="99" t="s">
        <v>481</v>
      </c>
      <c r="I192" s="99" t="s">
        <v>509</v>
      </c>
      <c r="J192" s="99" t="s">
        <v>509</v>
      </c>
    </row>
    <row r="193" spans="2:10">
      <c r="B193" s="20" t="s">
        <v>260</v>
      </c>
      <c r="C193" s="20" t="s">
        <v>270</v>
      </c>
      <c r="E193" s="99" t="s">
        <v>509</v>
      </c>
      <c r="F193" s="99" t="s">
        <v>509</v>
      </c>
      <c r="G193" s="99" t="s">
        <v>418</v>
      </c>
      <c r="H193" s="99" t="s">
        <v>481</v>
      </c>
      <c r="I193" s="99" t="s">
        <v>509</v>
      </c>
      <c r="J193" s="99" t="s">
        <v>509</v>
      </c>
    </row>
    <row r="194" spans="2:10">
      <c r="B194" s="20" t="s">
        <v>261</v>
      </c>
      <c r="C194" s="20" t="s">
        <v>100</v>
      </c>
      <c r="E194" s="99" t="s">
        <v>428</v>
      </c>
      <c r="F194" s="99" t="s">
        <v>481</v>
      </c>
      <c r="G194" s="99" t="s">
        <v>428</v>
      </c>
      <c r="H194" s="99" t="s">
        <v>481</v>
      </c>
      <c r="I194" s="99" t="s">
        <v>509</v>
      </c>
      <c r="J194" s="99" t="s">
        <v>509</v>
      </c>
    </row>
    <row r="195" spans="2:10">
      <c r="B195" s="20" t="s">
        <v>262</v>
      </c>
      <c r="C195" s="20" t="s">
        <v>270</v>
      </c>
      <c r="E195" s="99" t="s">
        <v>509</v>
      </c>
      <c r="F195" s="99" t="s">
        <v>509</v>
      </c>
      <c r="G195" s="99" t="s">
        <v>562</v>
      </c>
      <c r="H195" s="99" t="s">
        <v>481</v>
      </c>
      <c r="I195" s="99" t="s">
        <v>509</v>
      </c>
      <c r="J195" s="99" t="s">
        <v>509</v>
      </c>
    </row>
    <row r="196" spans="2:10">
      <c r="B196" s="20" t="s">
        <v>263</v>
      </c>
      <c r="C196" s="20" t="s">
        <v>270</v>
      </c>
      <c r="E196" s="99" t="s">
        <v>509</v>
      </c>
      <c r="F196" s="99" t="s">
        <v>509</v>
      </c>
      <c r="G196" s="99" t="s">
        <v>563</v>
      </c>
      <c r="H196" s="99" t="s">
        <v>481</v>
      </c>
      <c r="I196" s="99" t="s">
        <v>509</v>
      </c>
      <c r="J196" s="99" t="s">
        <v>509</v>
      </c>
    </row>
    <row r="197" spans="2:10">
      <c r="B197" s="20" t="s">
        <v>264</v>
      </c>
      <c r="C197" s="20" t="s">
        <v>182</v>
      </c>
      <c r="D197" s="6" t="s">
        <v>348</v>
      </c>
      <c r="E197" s="99" t="s">
        <v>396</v>
      </c>
      <c r="F197" s="99" t="s">
        <v>481</v>
      </c>
      <c r="G197" s="99" t="s">
        <v>396</v>
      </c>
      <c r="H197" s="99" t="s">
        <v>481</v>
      </c>
      <c r="I197" s="99" t="s">
        <v>396</v>
      </c>
      <c r="J197" s="99" t="s">
        <v>481</v>
      </c>
    </row>
    <row r="198" spans="2:10">
      <c r="B198" s="20" t="s">
        <v>265</v>
      </c>
      <c r="C198" s="20" t="s">
        <v>96</v>
      </c>
      <c r="E198" s="99" t="s">
        <v>509</v>
      </c>
      <c r="F198" s="99" t="s">
        <v>509</v>
      </c>
      <c r="G198" s="99" t="s">
        <v>528</v>
      </c>
      <c r="H198" s="99" t="s">
        <v>481</v>
      </c>
      <c r="I198" s="99" t="s">
        <v>509</v>
      </c>
      <c r="J198" s="99" t="s">
        <v>509</v>
      </c>
    </row>
    <row r="199" spans="2:10">
      <c r="B199" s="20" t="s">
        <v>266</v>
      </c>
      <c r="C199" s="20" t="s">
        <v>100</v>
      </c>
      <c r="E199" s="99" t="s">
        <v>368</v>
      </c>
      <c r="F199" s="99" t="s">
        <v>481</v>
      </c>
      <c r="G199" s="99" t="s">
        <v>368</v>
      </c>
      <c r="H199" s="99" t="s">
        <v>481</v>
      </c>
      <c r="I199" s="99" t="s">
        <v>368</v>
      </c>
      <c r="J199" s="99" t="s">
        <v>481</v>
      </c>
    </row>
    <row r="200" spans="2:10">
      <c r="B200" s="20" t="s">
        <v>267</v>
      </c>
      <c r="C200" s="20" t="s">
        <v>100</v>
      </c>
      <c r="E200" s="99" t="s">
        <v>368</v>
      </c>
      <c r="F200" s="99" t="s">
        <v>481</v>
      </c>
      <c r="G200" s="99" t="s">
        <v>368</v>
      </c>
      <c r="H200" s="99" t="s">
        <v>481</v>
      </c>
      <c r="I200" s="99" t="s">
        <v>368</v>
      </c>
      <c r="J200" s="99" t="s">
        <v>481</v>
      </c>
    </row>
    <row r="201" spans="2:10">
      <c r="B201" s="20" t="s">
        <v>268</v>
      </c>
      <c r="C201" s="20" t="s">
        <v>182</v>
      </c>
      <c r="E201" s="99" t="s">
        <v>509</v>
      </c>
      <c r="F201" s="99" t="s">
        <v>509</v>
      </c>
      <c r="G201" s="99" t="s">
        <v>564</v>
      </c>
      <c r="H201" s="99" t="s">
        <v>481</v>
      </c>
      <c r="I201" s="99" t="s">
        <v>509</v>
      </c>
      <c r="J201" s="99" t="s">
        <v>509</v>
      </c>
    </row>
    <row r="202" spans="2:10">
      <c r="B202" s="20" t="s">
        <v>269</v>
      </c>
      <c r="C202" s="20" t="s">
        <v>270</v>
      </c>
      <c r="E202" s="99" t="s">
        <v>509</v>
      </c>
      <c r="F202" s="99" t="s">
        <v>509</v>
      </c>
      <c r="G202" s="99" t="s">
        <v>565</v>
      </c>
      <c r="H202" s="99" t="s">
        <v>481</v>
      </c>
      <c r="I202" s="99" t="s">
        <v>509</v>
      </c>
      <c r="J202" s="99" t="s">
        <v>509</v>
      </c>
    </row>
    <row r="203" spans="2:10">
      <c r="B203" s="20" t="s">
        <v>271</v>
      </c>
      <c r="C203" s="20" t="s">
        <v>270</v>
      </c>
      <c r="D203" s="6" t="s">
        <v>350</v>
      </c>
      <c r="E203" s="99" t="s">
        <v>397</v>
      </c>
      <c r="F203" s="99" t="s">
        <v>481</v>
      </c>
      <c r="G203" s="99" t="s">
        <v>397</v>
      </c>
      <c r="H203" s="99" t="s">
        <v>481</v>
      </c>
      <c r="I203" s="99" t="s">
        <v>509</v>
      </c>
      <c r="J203" s="99" t="s">
        <v>509</v>
      </c>
    </row>
    <row r="204" spans="2:10">
      <c r="B204" s="20" t="s">
        <v>272</v>
      </c>
      <c r="C204" s="20" t="s">
        <v>100</v>
      </c>
      <c r="E204" s="99" t="s">
        <v>409</v>
      </c>
      <c r="F204" s="99" t="s">
        <v>481</v>
      </c>
      <c r="G204" s="99" t="s">
        <v>409</v>
      </c>
      <c r="H204" s="99" t="s">
        <v>481</v>
      </c>
      <c r="I204" s="99" t="s">
        <v>409</v>
      </c>
      <c r="J204" s="99" t="s">
        <v>481</v>
      </c>
    </row>
    <row r="205" spans="2:10">
      <c r="B205" s="20" t="s">
        <v>273</v>
      </c>
      <c r="C205" s="20" t="s">
        <v>182</v>
      </c>
      <c r="D205" s="6" t="s">
        <v>348</v>
      </c>
      <c r="E205" s="99" t="s">
        <v>382</v>
      </c>
      <c r="F205" s="99" t="s">
        <v>481</v>
      </c>
      <c r="G205" s="99" t="s">
        <v>382</v>
      </c>
      <c r="H205" s="99" t="s">
        <v>481</v>
      </c>
      <c r="I205" s="99" t="s">
        <v>509</v>
      </c>
      <c r="J205" s="99" t="s">
        <v>509</v>
      </c>
    </row>
    <row r="206" spans="2:10">
      <c r="B206" s="20" t="s">
        <v>274</v>
      </c>
      <c r="C206" s="20" t="s">
        <v>270</v>
      </c>
      <c r="E206" s="99" t="s">
        <v>346</v>
      </c>
      <c r="F206" s="99" t="s">
        <v>481</v>
      </c>
      <c r="G206" s="99" t="s">
        <v>346</v>
      </c>
      <c r="H206" s="99" t="s">
        <v>481</v>
      </c>
      <c r="I206" s="99" t="s">
        <v>509</v>
      </c>
      <c r="J206" s="99" t="s">
        <v>509</v>
      </c>
    </row>
    <row r="207" spans="2:10">
      <c r="B207" s="20" t="s">
        <v>276</v>
      </c>
      <c r="C207" s="20" t="s">
        <v>100</v>
      </c>
      <c r="D207" s="6" t="s">
        <v>347</v>
      </c>
      <c r="E207" s="99" t="s">
        <v>368</v>
      </c>
      <c r="F207" s="99" t="s">
        <v>481</v>
      </c>
      <c r="G207" s="99" t="s">
        <v>368</v>
      </c>
      <c r="H207" s="99" t="s">
        <v>481</v>
      </c>
      <c r="I207" s="99" t="s">
        <v>368</v>
      </c>
      <c r="J207" s="99" t="s">
        <v>481</v>
      </c>
    </row>
    <row r="208" spans="2:10">
      <c r="B208" s="20" t="s">
        <v>277</v>
      </c>
      <c r="C208" s="20" t="s">
        <v>182</v>
      </c>
      <c r="E208" s="99" t="s">
        <v>509</v>
      </c>
      <c r="F208" s="99" t="s">
        <v>509</v>
      </c>
      <c r="G208" s="99" t="s">
        <v>429</v>
      </c>
      <c r="H208" s="99" t="s">
        <v>481</v>
      </c>
      <c r="I208" s="99" t="s">
        <v>509</v>
      </c>
      <c r="J208" s="99" t="s">
        <v>509</v>
      </c>
    </row>
    <row r="209" spans="2:16">
      <c r="B209" s="20" t="s">
        <v>278</v>
      </c>
      <c r="C209" s="20" t="s">
        <v>96</v>
      </c>
      <c r="E209" s="99" t="s">
        <v>368</v>
      </c>
      <c r="F209" s="99" t="s">
        <v>481</v>
      </c>
      <c r="G209" s="99" t="s">
        <v>368</v>
      </c>
      <c r="H209" s="99" t="s">
        <v>481</v>
      </c>
      <c r="I209" s="99" t="s">
        <v>509</v>
      </c>
      <c r="J209" s="99" t="s">
        <v>509</v>
      </c>
    </row>
    <row r="210" spans="2:16">
      <c r="B210" s="20" t="s">
        <v>279</v>
      </c>
      <c r="C210" s="20" t="s">
        <v>270</v>
      </c>
      <c r="E210" s="99" t="s">
        <v>509</v>
      </c>
      <c r="F210" s="99" t="s">
        <v>509</v>
      </c>
      <c r="G210" s="99" t="s">
        <v>566</v>
      </c>
      <c r="H210" s="99" t="s">
        <v>481</v>
      </c>
      <c r="I210" s="99" t="s">
        <v>509</v>
      </c>
      <c r="J210" s="99" t="s">
        <v>509</v>
      </c>
    </row>
    <row r="211" spans="2:16">
      <c r="B211" s="20" t="s">
        <v>280</v>
      </c>
      <c r="C211" s="20" t="s">
        <v>96</v>
      </c>
      <c r="E211" s="99" t="s">
        <v>509</v>
      </c>
      <c r="F211" s="99" t="s">
        <v>509</v>
      </c>
      <c r="G211" s="99" t="s">
        <v>512</v>
      </c>
      <c r="H211" s="99" t="s">
        <v>481</v>
      </c>
      <c r="I211" s="99" t="s">
        <v>509</v>
      </c>
      <c r="J211" s="99" t="s">
        <v>509</v>
      </c>
    </row>
    <row r="212" spans="2:16">
      <c r="B212" s="20" t="s">
        <v>281</v>
      </c>
      <c r="C212" s="20" t="s">
        <v>96</v>
      </c>
      <c r="E212" s="99" t="s">
        <v>509</v>
      </c>
      <c r="F212" s="99" t="s">
        <v>509</v>
      </c>
      <c r="G212" s="99" t="s">
        <v>512</v>
      </c>
      <c r="H212" s="99" t="s">
        <v>481</v>
      </c>
      <c r="I212" s="99" t="s">
        <v>509</v>
      </c>
      <c r="J212" s="99" t="s">
        <v>509</v>
      </c>
    </row>
    <row r="213" spans="2:16">
      <c r="B213" s="20" t="s">
        <v>282</v>
      </c>
      <c r="C213" s="20" t="s">
        <v>96</v>
      </c>
      <c r="E213" s="99" t="s">
        <v>368</v>
      </c>
      <c r="F213" s="99" t="s">
        <v>481</v>
      </c>
      <c r="G213" s="99" t="s">
        <v>368</v>
      </c>
      <c r="H213" s="99" t="s">
        <v>481</v>
      </c>
      <c r="I213" s="99" t="s">
        <v>368</v>
      </c>
      <c r="J213" s="99" t="s">
        <v>481</v>
      </c>
    </row>
    <row r="214" spans="2:16">
      <c r="B214" s="20" t="s">
        <v>283</v>
      </c>
      <c r="C214" s="20" t="s">
        <v>96</v>
      </c>
      <c r="E214" s="99" t="s">
        <v>509</v>
      </c>
      <c r="F214" s="99" t="s">
        <v>509</v>
      </c>
      <c r="G214" s="99" t="s">
        <v>512</v>
      </c>
      <c r="H214" s="99" t="s">
        <v>481</v>
      </c>
      <c r="I214" s="99" t="s">
        <v>509</v>
      </c>
      <c r="J214" s="99" t="s">
        <v>509</v>
      </c>
    </row>
    <row r="215" spans="2:16">
      <c r="B215" s="20" t="s">
        <v>284</v>
      </c>
      <c r="C215" s="20" t="s">
        <v>270</v>
      </c>
      <c r="E215" s="99" t="s">
        <v>346</v>
      </c>
      <c r="F215" s="99" t="s">
        <v>481</v>
      </c>
      <c r="G215" s="99" t="s">
        <v>346</v>
      </c>
      <c r="H215" s="99" t="s">
        <v>481</v>
      </c>
      <c r="I215" s="99" t="s">
        <v>509</v>
      </c>
      <c r="J215" s="99" t="s">
        <v>509</v>
      </c>
    </row>
    <row r="216" spans="2:16">
      <c r="B216" s="20" t="s">
        <v>285</v>
      </c>
      <c r="C216" s="20" t="s">
        <v>96</v>
      </c>
      <c r="E216" s="99"/>
      <c r="F216" s="99" t="s">
        <v>509</v>
      </c>
      <c r="G216" s="99" t="s">
        <v>567</v>
      </c>
      <c r="H216" s="99" t="s">
        <v>481</v>
      </c>
      <c r="I216" s="99" t="s">
        <v>509</v>
      </c>
      <c r="J216" s="99" t="s">
        <v>509</v>
      </c>
    </row>
    <row r="217" spans="2:16">
      <c r="B217" s="20" t="s">
        <v>286</v>
      </c>
      <c r="C217" s="20" t="s">
        <v>100</v>
      </c>
      <c r="E217" s="99" t="s">
        <v>387</v>
      </c>
      <c r="F217" s="99" t="s">
        <v>481</v>
      </c>
      <c r="G217" s="99" t="s">
        <v>387</v>
      </c>
      <c r="H217" s="99" t="s">
        <v>481</v>
      </c>
      <c r="I217" s="99" t="s">
        <v>387</v>
      </c>
      <c r="J217" s="99" t="s">
        <v>481</v>
      </c>
    </row>
    <row r="218" spans="2:16">
      <c r="B218" s="20" t="s">
        <v>287</v>
      </c>
      <c r="C218" s="20" t="s">
        <v>100</v>
      </c>
      <c r="D218" s="6" t="s">
        <v>348</v>
      </c>
      <c r="E218" s="99" t="s">
        <v>400</v>
      </c>
      <c r="F218" s="99" t="s">
        <v>481</v>
      </c>
      <c r="G218" s="99" t="s">
        <v>400</v>
      </c>
      <c r="H218" s="99" t="s">
        <v>481</v>
      </c>
      <c r="I218" s="99" t="s">
        <v>400</v>
      </c>
      <c r="J218" s="99" t="s">
        <v>481</v>
      </c>
      <c r="O218" s="99" t="s">
        <v>400</v>
      </c>
      <c r="P218" s="99" t="s">
        <v>481</v>
      </c>
    </row>
    <row r="219" spans="2:16">
      <c r="B219" s="20" t="s">
        <v>288</v>
      </c>
      <c r="C219" s="20" t="s">
        <v>100</v>
      </c>
      <c r="D219" s="6" t="s">
        <v>348</v>
      </c>
      <c r="E219" s="99" t="s">
        <v>401</v>
      </c>
      <c r="F219" s="99" t="s">
        <v>481</v>
      </c>
      <c r="G219" s="99" t="s">
        <v>401</v>
      </c>
      <c r="H219" s="99" t="s">
        <v>481</v>
      </c>
      <c r="I219" s="99" t="s">
        <v>401</v>
      </c>
      <c r="J219" s="99" t="s">
        <v>481</v>
      </c>
      <c r="O219" s="99" t="s">
        <v>401</v>
      </c>
      <c r="P219" s="99" t="s">
        <v>481</v>
      </c>
    </row>
    <row r="220" spans="2:16" outlineLevel="1">
      <c r="B220" s="20" t="s">
        <v>289</v>
      </c>
      <c r="C220" s="20" t="s">
        <v>275</v>
      </c>
      <c r="E220" s="99" t="s">
        <v>509</v>
      </c>
      <c r="F220" s="99" t="s">
        <v>509</v>
      </c>
      <c r="G220" s="99" t="s">
        <v>509</v>
      </c>
      <c r="H220" s="99" t="s">
        <v>509</v>
      </c>
      <c r="I220" s="99" t="s">
        <v>509</v>
      </c>
      <c r="J220" s="99" t="s">
        <v>509</v>
      </c>
    </row>
    <row r="221" spans="2:16">
      <c r="B221" s="20" t="s">
        <v>290</v>
      </c>
      <c r="C221" s="20" t="s">
        <v>351</v>
      </c>
      <c r="D221" s="6" t="s">
        <v>347</v>
      </c>
      <c r="E221" s="99" t="s">
        <v>402</v>
      </c>
      <c r="F221" s="99" t="s">
        <v>481</v>
      </c>
      <c r="G221" s="99" t="s">
        <v>402</v>
      </c>
      <c r="H221" s="99" t="s">
        <v>481</v>
      </c>
      <c r="I221" s="99" t="s">
        <v>402</v>
      </c>
      <c r="J221" s="99" t="s">
        <v>481</v>
      </c>
    </row>
    <row r="222" spans="2:16">
      <c r="B222" s="20" t="s">
        <v>291</v>
      </c>
      <c r="C222" s="20" t="s">
        <v>182</v>
      </c>
      <c r="E222" s="99" t="s">
        <v>346</v>
      </c>
      <c r="F222" s="99" t="s">
        <v>481</v>
      </c>
      <c r="G222" s="99" t="s">
        <v>346</v>
      </c>
      <c r="H222" s="99" t="s">
        <v>481</v>
      </c>
      <c r="I222" s="99" t="s">
        <v>509</v>
      </c>
      <c r="J222" s="99" t="s">
        <v>509</v>
      </c>
    </row>
    <row r="223" spans="2:16">
      <c r="B223" s="20" t="s">
        <v>292</v>
      </c>
      <c r="C223" s="20" t="s">
        <v>270</v>
      </c>
      <c r="E223" s="99" t="s">
        <v>509</v>
      </c>
      <c r="F223" s="99" t="s">
        <v>509</v>
      </c>
      <c r="G223" s="99" t="s">
        <v>403</v>
      </c>
      <c r="H223" s="99" t="s">
        <v>481</v>
      </c>
      <c r="I223" s="99" t="s">
        <v>509</v>
      </c>
      <c r="J223" s="99" t="s">
        <v>509</v>
      </c>
    </row>
    <row r="224" spans="2:16">
      <c r="B224" s="20" t="s">
        <v>293</v>
      </c>
      <c r="C224" s="20" t="s">
        <v>182</v>
      </c>
      <c r="D224" s="6" t="s">
        <v>348</v>
      </c>
      <c r="E224" s="99" t="s">
        <v>509</v>
      </c>
      <c r="F224" s="99" t="s">
        <v>509</v>
      </c>
      <c r="G224" s="99" t="s">
        <v>404</v>
      </c>
      <c r="H224" s="99" t="s">
        <v>481</v>
      </c>
      <c r="I224" s="99" t="s">
        <v>404</v>
      </c>
      <c r="J224" s="99" t="s">
        <v>481</v>
      </c>
    </row>
    <row r="225" spans="2:16">
      <c r="B225" s="20" t="s">
        <v>294</v>
      </c>
      <c r="C225" s="20" t="s">
        <v>182</v>
      </c>
      <c r="E225" s="99" t="s">
        <v>346</v>
      </c>
      <c r="F225" s="99" t="s">
        <v>481</v>
      </c>
      <c r="G225" s="99" t="s">
        <v>346</v>
      </c>
      <c r="H225" s="99" t="s">
        <v>481</v>
      </c>
      <c r="I225" s="99" t="s">
        <v>346</v>
      </c>
      <c r="J225" s="99" t="s">
        <v>481</v>
      </c>
    </row>
    <row r="226" spans="2:16">
      <c r="B226" s="20" t="s">
        <v>295</v>
      </c>
      <c r="C226" s="20" t="s">
        <v>270</v>
      </c>
      <c r="E226" s="99" t="s">
        <v>509</v>
      </c>
      <c r="F226" s="99" t="s">
        <v>509</v>
      </c>
      <c r="G226" s="99" t="s">
        <v>418</v>
      </c>
      <c r="H226" s="99" t="s">
        <v>481</v>
      </c>
      <c r="I226" s="99" t="s">
        <v>509</v>
      </c>
      <c r="J226" s="99" t="s">
        <v>509</v>
      </c>
    </row>
    <row r="227" spans="2:16">
      <c r="B227" s="20" t="s">
        <v>296</v>
      </c>
      <c r="C227" s="20" t="s">
        <v>182</v>
      </c>
      <c r="E227" s="99" t="s">
        <v>385</v>
      </c>
      <c r="F227" s="99" t="s">
        <v>481</v>
      </c>
      <c r="G227" s="99" t="s">
        <v>385</v>
      </c>
      <c r="H227" s="99" t="s">
        <v>481</v>
      </c>
      <c r="I227" s="99" t="s">
        <v>385</v>
      </c>
      <c r="J227" s="99" t="s">
        <v>481</v>
      </c>
    </row>
    <row r="228" spans="2:16">
      <c r="B228" s="20" t="s">
        <v>297</v>
      </c>
      <c r="C228" s="20" t="s">
        <v>182</v>
      </c>
      <c r="E228" s="99" t="s">
        <v>509</v>
      </c>
      <c r="F228" s="99" t="s">
        <v>509</v>
      </c>
      <c r="G228" s="99" t="s">
        <v>568</v>
      </c>
      <c r="H228" s="99" t="s">
        <v>481</v>
      </c>
      <c r="I228" s="99" t="s">
        <v>509</v>
      </c>
      <c r="J228" s="99" t="s">
        <v>509</v>
      </c>
    </row>
    <row r="229" spans="2:16">
      <c r="B229" s="20" t="s">
        <v>298</v>
      </c>
      <c r="C229" s="20" t="s">
        <v>96</v>
      </c>
      <c r="E229" s="99" t="s">
        <v>509</v>
      </c>
      <c r="F229" s="99" t="s">
        <v>509</v>
      </c>
      <c r="G229" s="99" t="s">
        <v>569</v>
      </c>
      <c r="H229" s="99" t="s">
        <v>481</v>
      </c>
      <c r="I229" s="99" t="s">
        <v>509</v>
      </c>
      <c r="J229" s="99" t="s">
        <v>509</v>
      </c>
    </row>
    <row r="230" spans="2:16">
      <c r="B230" s="20" t="s">
        <v>299</v>
      </c>
      <c r="C230" s="20" t="s">
        <v>270</v>
      </c>
      <c r="E230" s="99" t="s">
        <v>509</v>
      </c>
      <c r="F230" s="99" t="s">
        <v>509</v>
      </c>
      <c r="G230" s="99" t="s">
        <v>441</v>
      </c>
      <c r="H230" s="99" t="s">
        <v>481</v>
      </c>
      <c r="I230" s="99" t="s">
        <v>509</v>
      </c>
      <c r="J230" s="99" t="s">
        <v>509</v>
      </c>
    </row>
    <row r="231" spans="2:16">
      <c r="B231" s="20" t="s">
        <v>300</v>
      </c>
      <c r="C231" s="20" t="s">
        <v>100</v>
      </c>
      <c r="D231" s="6" t="s">
        <v>350</v>
      </c>
      <c r="E231" s="99" t="s">
        <v>509</v>
      </c>
      <c r="F231" s="99" t="s">
        <v>509</v>
      </c>
      <c r="G231" s="99" t="s">
        <v>406</v>
      </c>
      <c r="H231" s="99" t="s">
        <v>481</v>
      </c>
      <c r="I231" s="99" t="s">
        <v>509</v>
      </c>
      <c r="J231" s="99" t="s">
        <v>509</v>
      </c>
    </row>
    <row r="232" spans="2:16">
      <c r="B232" s="20" t="s">
        <v>301</v>
      </c>
      <c r="C232" s="20" t="s">
        <v>182</v>
      </c>
      <c r="E232" s="99" t="s">
        <v>346</v>
      </c>
      <c r="F232" s="99" t="s">
        <v>481</v>
      </c>
      <c r="G232" s="99" t="s">
        <v>346</v>
      </c>
      <c r="H232" s="99" t="s">
        <v>481</v>
      </c>
      <c r="I232" s="99" t="s">
        <v>346</v>
      </c>
      <c r="J232" s="99" t="s">
        <v>481</v>
      </c>
    </row>
    <row r="233" spans="2:16">
      <c r="B233" s="20" t="s">
        <v>302</v>
      </c>
      <c r="C233" s="20" t="s">
        <v>96</v>
      </c>
      <c r="E233" s="99" t="s">
        <v>346</v>
      </c>
      <c r="F233" s="99" t="s">
        <v>481</v>
      </c>
      <c r="G233" s="99" t="s">
        <v>346</v>
      </c>
      <c r="H233" s="99" t="s">
        <v>481</v>
      </c>
      <c r="I233" s="99" t="s">
        <v>346</v>
      </c>
      <c r="J233" s="99" t="s">
        <v>481</v>
      </c>
    </row>
    <row r="234" spans="2:16">
      <c r="B234" s="20" t="s">
        <v>303</v>
      </c>
      <c r="C234" s="20" t="s">
        <v>182</v>
      </c>
      <c r="E234" s="99" t="s">
        <v>367</v>
      </c>
      <c r="F234" s="99" t="s">
        <v>481</v>
      </c>
      <c r="G234" s="99" t="s">
        <v>367</v>
      </c>
      <c r="H234" s="99" t="s">
        <v>481</v>
      </c>
      <c r="I234" s="99" t="s">
        <v>367</v>
      </c>
      <c r="J234" s="99" t="s">
        <v>481</v>
      </c>
    </row>
    <row r="235" spans="2:16">
      <c r="B235" s="20" t="s">
        <v>304</v>
      </c>
      <c r="C235" s="20" t="s">
        <v>270</v>
      </c>
      <c r="E235" s="99" t="s">
        <v>509</v>
      </c>
      <c r="F235" s="99" t="s">
        <v>509</v>
      </c>
      <c r="G235" s="99" t="s">
        <v>570</v>
      </c>
      <c r="H235" s="99" t="s">
        <v>481</v>
      </c>
      <c r="I235" s="99" t="s">
        <v>509</v>
      </c>
      <c r="J235" s="99" t="s">
        <v>509</v>
      </c>
    </row>
    <row r="236" spans="2:16">
      <c r="B236" s="20" t="s">
        <v>305</v>
      </c>
      <c r="C236" s="20" t="s">
        <v>100</v>
      </c>
      <c r="E236" s="99" t="s">
        <v>430</v>
      </c>
      <c r="F236" s="99" t="s">
        <v>481</v>
      </c>
      <c r="G236" s="99" t="s">
        <v>430</v>
      </c>
      <c r="H236" s="99" t="s">
        <v>481</v>
      </c>
      <c r="I236" s="99" t="s">
        <v>509</v>
      </c>
      <c r="J236" s="99" t="s">
        <v>509</v>
      </c>
    </row>
    <row r="237" spans="2:16">
      <c r="B237" s="20" t="s">
        <v>306</v>
      </c>
      <c r="C237" s="20" t="s">
        <v>275</v>
      </c>
      <c r="E237" s="99" t="s">
        <v>408</v>
      </c>
      <c r="F237" s="99" t="s">
        <v>481</v>
      </c>
      <c r="G237" s="99" t="s">
        <v>408</v>
      </c>
      <c r="H237" s="99" t="s">
        <v>481</v>
      </c>
      <c r="I237" s="99" t="s">
        <v>509</v>
      </c>
      <c r="J237" s="99" t="s">
        <v>509</v>
      </c>
    </row>
    <row r="238" spans="2:16">
      <c r="B238" s="20" t="s">
        <v>307</v>
      </c>
      <c r="C238" s="20" t="s">
        <v>100</v>
      </c>
      <c r="D238" s="6" t="s">
        <v>347</v>
      </c>
      <c r="E238" s="99" t="s">
        <v>409</v>
      </c>
      <c r="F238" s="99" t="s">
        <v>481</v>
      </c>
      <c r="G238" s="99" t="s">
        <v>409</v>
      </c>
      <c r="H238" s="99" t="s">
        <v>481</v>
      </c>
      <c r="I238" s="99" t="s">
        <v>409</v>
      </c>
      <c r="J238" s="99" t="s">
        <v>481</v>
      </c>
      <c r="M238" s="99" t="s">
        <v>409</v>
      </c>
      <c r="N238" s="99" t="s">
        <v>481</v>
      </c>
      <c r="O238" s="102" t="s">
        <v>409</v>
      </c>
      <c r="P238" s="102" t="s">
        <v>481</v>
      </c>
    </row>
    <row r="239" spans="2:16">
      <c r="B239" s="20" t="s">
        <v>308</v>
      </c>
      <c r="C239" s="20" t="s">
        <v>96</v>
      </c>
      <c r="E239" s="99" t="s">
        <v>571</v>
      </c>
      <c r="F239" s="99" t="s">
        <v>481</v>
      </c>
      <c r="G239" s="99" t="s">
        <v>571</v>
      </c>
      <c r="H239" s="99" t="s">
        <v>481</v>
      </c>
      <c r="I239" s="99"/>
      <c r="J239" s="99"/>
    </row>
    <row r="240" spans="2:16">
      <c r="B240" s="20" t="s">
        <v>309</v>
      </c>
      <c r="C240" s="20" t="s">
        <v>182</v>
      </c>
      <c r="E240" s="99" t="s">
        <v>509</v>
      </c>
      <c r="F240" s="99" t="s">
        <v>509</v>
      </c>
      <c r="G240" s="99" t="s">
        <v>572</v>
      </c>
      <c r="H240" s="99" t="s">
        <v>481</v>
      </c>
      <c r="I240" s="99" t="s">
        <v>509</v>
      </c>
      <c r="J240" s="99" t="s">
        <v>509</v>
      </c>
    </row>
    <row r="241" spans="2:10">
      <c r="B241" s="20" t="s">
        <v>310</v>
      </c>
      <c r="C241" s="20" t="s">
        <v>182</v>
      </c>
      <c r="E241" s="99" t="s">
        <v>509</v>
      </c>
      <c r="F241" s="99" t="s">
        <v>509</v>
      </c>
      <c r="G241" s="99" t="s">
        <v>573</v>
      </c>
      <c r="H241" s="99" t="s">
        <v>481</v>
      </c>
      <c r="I241" s="99" t="s">
        <v>509</v>
      </c>
      <c r="J241" s="99" t="s">
        <v>509</v>
      </c>
    </row>
    <row r="242" spans="2:10">
      <c r="B242" s="20" t="s">
        <v>311</v>
      </c>
      <c r="C242" s="20" t="s">
        <v>100</v>
      </c>
      <c r="E242" s="99" t="s">
        <v>368</v>
      </c>
      <c r="F242" s="99" t="s">
        <v>481</v>
      </c>
      <c r="G242" s="99" t="s">
        <v>368</v>
      </c>
      <c r="H242" s="99" t="s">
        <v>481</v>
      </c>
      <c r="I242" s="99" t="s">
        <v>368</v>
      </c>
      <c r="J242" s="99" t="s">
        <v>481</v>
      </c>
    </row>
    <row r="243" spans="2:10">
      <c r="B243" s="20" t="s">
        <v>312</v>
      </c>
      <c r="C243" s="20" t="s">
        <v>96</v>
      </c>
      <c r="E243" s="99" t="s">
        <v>346</v>
      </c>
      <c r="F243" s="99" t="s">
        <v>481</v>
      </c>
      <c r="G243" s="99" t="s">
        <v>346</v>
      </c>
      <c r="H243" s="99" t="s">
        <v>481</v>
      </c>
      <c r="I243" s="99" t="s">
        <v>346</v>
      </c>
      <c r="J243" s="99" t="s">
        <v>481</v>
      </c>
    </row>
    <row r="244" spans="2:10">
      <c r="B244" s="20" t="s">
        <v>313</v>
      </c>
      <c r="C244" s="20" t="s">
        <v>182</v>
      </c>
      <c r="E244" s="99" t="s">
        <v>410</v>
      </c>
      <c r="F244" s="99" t="s">
        <v>481</v>
      </c>
      <c r="G244" s="99" t="s">
        <v>410</v>
      </c>
      <c r="H244" s="99" t="s">
        <v>481</v>
      </c>
      <c r="I244" s="99" t="s">
        <v>509</v>
      </c>
      <c r="J244" s="99" t="s">
        <v>509</v>
      </c>
    </row>
    <row r="245" spans="2:10">
      <c r="B245" s="20" t="s">
        <v>314</v>
      </c>
      <c r="C245" s="20" t="s">
        <v>182</v>
      </c>
      <c r="E245" s="99" t="s">
        <v>509</v>
      </c>
      <c r="F245" s="99" t="s">
        <v>509</v>
      </c>
      <c r="G245" s="99" t="s">
        <v>536</v>
      </c>
      <c r="H245" s="99" t="s">
        <v>481</v>
      </c>
      <c r="I245" s="99" t="s">
        <v>509</v>
      </c>
      <c r="J245" s="99" t="s">
        <v>509</v>
      </c>
    </row>
    <row r="246" spans="2:10">
      <c r="B246" s="20" t="s">
        <v>315</v>
      </c>
      <c r="C246" s="20" t="s">
        <v>270</v>
      </c>
      <c r="E246" s="99" t="s">
        <v>425</v>
      </c>
      <c r="F246" s="99" t="s">
        <v>481</v>
      </c>
      <c r="G246" s="99" t="s">
        <v>425</v>
      </c>
      <c r="H246" s="99" t="s">
        <v>481</v>
      </c>
      <c r="I246" s="99" t="s">
        <v>509</v>
      </c>
      <c r="J246" s="99" t="s">
        <v>509</v>
      </c>
    </row>
    <row r="247" spans="2:10">
      <c r="B247" s="20" t="s">
        <v>316</v>
      </c>
      <c r="C247" s="20" t="s">
        <v>275</v>
      </c>
      <c r="E247" s="99" t="s">
        <v>509</v>
      </c>
      <c r="F247" s="99" t="s">
        <v>509</v>
      </c>
      <c r="G247" s="99" t="s">
        <v>442</v>
      </c>
      <c r="H247" s="99" t="s">
        <v>481</v>
      </c>
      <c r="I247" s="99" t="s">
        <v>509</v>
      </c>
      <c r="J247" s="99" t="s">
        <v>509</v>
      </c>
    </row>
    <row r="248" spans="2:10">
      <c r="B248" s="20" t="s">
        <v>317</v>
      </c>
      <c r="C248" s="20" t="s">
        <v>270</v>
      </c>
      <c r="E248" s="99" t="s">
        <v>509</v>
      </c>
      <c r="F248" s="99" t="s">
        <v>509</v>
      </c>
      <c r="G248" s="99" t="s">
        <v>574</v>
      </c>
      <c r="H248" s="99" t="s">
        <v>481</v>
      </c>
      <c r="I248" s="99" t="s">
        <v>509</v>
      </c>
      <c r="J248" s="99" t="s">
        <v>509</v>
      </c>
    </row>
    <row r="249" spans="2:10">
      <c r="B249" s="20" t="s">
        <v>318</v>
      </c>
      <c r="C249" s="20" t="s">
        <v>270</v>
      </c>
      <c r="E249" s="99" t="s">
        <v>346</v>
      </c>
      <c r="F249" s="99" t="s">
        <v>481</v>
      </c>
      <c r="G249" s="99" t="s">
        <v>346</v>
      </c>
      <c r="H249" s="99" t="s">
        <v>481</v>
      </c>
      <c r="I249" s="99" t="s">
        <v>346</v>
      </c>
      <c r="J249" s="99" t="s">
        <v>481</v>
      </c>
    </row>
  </sheetData>
  <autoFilter ref="B4:R4" xr:uid="{9A8FAFC4-B2C5-47C2-9E91-878BE149E1D5}"/>
  <mergeCells count="4">
    <mergeCell ref="K3:L3"/>
    <mergeCell ref="M3:N3"/>
    <mergeCell ref="O3:P3"/>
    <mergeCell ref="Q3:R3"/>
  </mergeCells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2683F-AF87-4EC0-B6C0-8655A74D3B21}">
  <sheetPr>
    <tabColor rgb="FFFFFF00"/>
  </sheetPr>
  <dimension ref="B1:N337"/>
  <sheetViews>
    <sheetView zoomScale="85" zoomScaleNormal="85" workbookViewId="0"/>
  </sheetViews>
  <sheetFormatPr defaultColWidth="8.6328125" defaultRowHeight="12.5"/>
  <cols>
    <col min="1" max="1" width="1.6328125" customWidth="1"/>
    <col min="2" max="2" width="28" bestFit="1" customWidth="1"/>
    <col min="3" max="3" width="19.453125" bestFit="1" customWidth="1"/>
    <col min="4" max="4" width="19.6328125" bestFit="1" customWidth="1"/>
    <col min="5" max="5" width="18.6328125" bestFit="1" customWidth="1"/>
    <col min="6" max="6" width="18" bestFit="1" customWidth="1"/>
    <col min="7" max="7" width="11" bestFit="1" customWidth="1"/>
    <col min="8" max="8" width="11.36328125" bestFit="1" customWidth="1"/>
    <col min="9" max="10" width="22.36328125" bestFit="1" customWidth="1"/>
    <col min="11" max="11" width="20.36328125" customWidth="1"/>
    <col min="12" max="12" width="20.36328125" bestFit="1" customWidth="1"/>
    <col min="13" max="13" width="1.6328125" customWidth="1"/>
    <col min="14" max="14" width="26.54296875" customWidth="1"/>
    <col min="15" max="15" width="12.6328125" customWidth="1"/>
    <col min="16" max="16" width="13.36328125" customWidth="1"/>
    <col min="17" max="17" width="12.36328125" customWidth="1"/>
    <col min="18" max="18" width="11.453125" customWidth="1"/>
    <col min="19" max="20" width="8.6328125" customWidth="1"/>
    <col min="21" max="22" width="15.6328125" bestFit="1" customWidth="1"/>
    <col min="23" max="24" width="14.36328125" bestFit="1" customWidth="1"/>
  </cols>
  <sheetData>
    <row r="1" spans="2:14" ht="13">
      <c r="K1" s="279">
        <v>10</v>
      </c>
      <c r="L1" s="279">
        <v>11</v>
      </c>
      <c r="M1" s="112"/>
    </row>
    <row r="2" spans="2:14" ht="13">
      <c r="B2" s="120" t="s">
        <v>575</v>
      </c>
      <c r="C2" s="73"/>
      <c r="D2" s="73"/>
      <c r="E2" s="260"/>
    </row>
    <row r="3" spans="2:14" ht="13">
      <c r="B3" s="24" t="s">
        <v>31</v>
      </c>
      <c r="C3" s="24" t="s">
        <v>359</v>
      </c>
      <c r="D3" s="24" t="s">
        <v>360</v>
      </c>
      <c r="E3" s="24" t="s">
        <v>576</v>
      </c>
      <c r="F3" s="24" t="s">
        <v>577</v>
      </c>
      <c r="G3" s="24" t="s">
        <v>55</v>
      </c>
      <c r="H3" s="24" t="s">
        <v>57</v>
      </c>
      <c r="I3" s="24" t="s">
        <v>578</v>
      </c>
      <c r="J3" s="24" t="s">
        <v>579</v>
      </c>
      <c r="K3" s="130" t="s">
        <v>580</v>
      </c>
      <c r="L3" s="130" t="s">
        <v>581</v>
      </c>
      <c r="N3" s="24" t="s">
        <v>582</v>
      </c>
    </row>
    <row r="4" spans="2:14" ht="12.75" customHeight="1">
      <c r="B4" s="25" t="s">
        <v>70</v>
      </c>
      <c r="C4" t="str">
        <f>VLOOKUP($B4,Apple!$B$3:$E$176,Apple!C$1,FALSE)</f>
        <v>AF</v>
      </c>
      <c r="D4" t="str">
        <f>VLOOKUP($B4,Apple!$B$3:$E$176,Apple!D$1,FALSE)</f>
        <v>USD</v>
      </c>
      <c r="E4" t="str">
        <f>VLOOKUP($B4,Apple!$B$3:$E$176,Apple!E$1,FALSE)</f>
        <v>USD</v>
      </c>
      <c r="F4" t="s">
        <v>68</v>
      </c>
      <c r="G4" s="128">
        <f>VLOOKUP($B4,Apple!$B$3:$H$176,Apple!F$1,FALSE)</f>
        <v>71.989999999999995</v>
      </c>
      <c r="H4" s="128">
        <f>VLOOKUP($B4,Apple!$B$3:$H$176,Apple!H$1,FALSE)</f>
        <v>53.99</v>
      </c>
      <c r="I4" s="73">
        <f>+MROUND(G4*0.7,1)-0.01</f>
        <v>49.99</v>
      </c>
      <c r="J4" s="73">
        <f>+MROUND(H4*0.7,1)-0.01</f>
        <v>37.99</v>
      </c>
      <c r="K4" s="111">
        <f>I4/G4-1</f>
        <v>-0.3055979997221836</v>
      </c>
      <c r="L4" s="111">
        <f>J4/H4-1</f>
        <v>-0.2963511761437303</v>
      </c>
      <c r="N4" s="31" t="str">
        <f>+VLOOKUP(C4,'Country &amp; Code Abbreviation'!$C$3:$D$245,2,FALSE)</f>
        <v>AFG</v>
      </c>
    </row>
    <row r="5" spans="2:14" ht="12.75" customHeight="1">
      <c r="B5" s="25" t="s">
        <v>73</v>
      </c>
      <c r="C5" t="str">
        <f>VLOOKUP($B5,Apple!$B$3:$E$176,Apple!C$1,FALSE)</f>
        <v>AL</v>
      </c>
      <c r="D5" t="str">
        <f>VLOOKUP($B5,Apple!$B$3:$E$176,Apple!D$1,FALSE)</f>
        <v>ALL</v>
      </c>
      <c r="E5" t="str">
        <f>VLOOKUP($B5,Apple!$B$3:$E$176,Apple!E$1,FALSE)</f>
        <v>USD</v>
      </c>
      <c r="F5" t="s">
        <v>68</v>
      </c>
      <c r="G5" s="128">
        <f>VLOOKUP($B5,Apple!$B$3:$H$176,Apple!F$1,FALSE)</f>
        <v>104.99</v>
      </c>
      <c r="H5" s="128">
        <f>VLOOKUP($B5,Apple!$B$3:$H$176,Apple!H$1,FALSE)</f>
        <v>77.989999999999995</v>
      </c>
      <c r="I5" s="73">
        <f t="shared" ref="I5:I68" si="0">+MROUND(G5*0.7,1)-0.01</f>
        <v>72.989999999999995</v>
      </c>
      <c r="J5" s="73">
        <f t="shared" ref="J5:J68" si="1">+MROUND(H5*0.7,1)-0.01</f>
        <v>54.99</v>
      </c>
      <c r="K5" s="111">
        <f t="shared" ref="K5:K68" si="2">I5/G5-1</f>
        <v>-0.30479093246975908</v>
      </c>
      <c r="L5" s="111">
        <f t="shared" ref="L5:L68" si="3">J5/H5-1</f>
        <v>-0.29490960379535835</v>
      </c>
      <c r="N5" s="31" t="str">
        <f>+VLOOKUP(C5,'Country &amp; Code Abbreviation'!$C$3:$D$245,2,FALSE)</f>
        <v>ALB</v>
      </c>
    </row>
    <row r="6" spans="2:14" ht="12.75" customHeight="1">
      <c r="B6" s="25" t="s">
        <v>73</v>
      </c>
      <c r="C6" t="str">
        <f>VLOOKUP($B6,Google!$B$3:$E$176,Google!C$1,FALSE)</f>
        <v>AL</v>
      </c>
      <c r="D6" t="str">
        <f>VLOOKUP($B6,Google!$B$3:$E$176,Google!D$1,FALSE)</f>
        <v>ALL</v>
      </c>
      <c r="E6" t="str">
        <f>VLOOKUP($B6,Google!$B$3:$E$176,Google!E$1,FALSE)</f>
        <v>USD</v>
      </c>
      <c r="F6" t="s">
        <v>69</v>
      </c>
      <c r="G6" s="128">
        <f>VLOOKUP($B6,Google!$B$3:$H$176,Google!F$1,FALSE)</f>
        <v>104.99</v>
      </c>
      <c r="H6" s="128">
        <f>VLOOKUP($B6,Google!$B$3:$H$176,Google!H$1,FALSE)</f>
        <v>77.989999999999995</v>
      </c>
      <c r="I6" s="73">
        <f t="shared" si="0"/>
        <v>72.989999999999995</v>
      </c>
      <c r="J6" s="73">
        <f t="shared" si="1"/>
        <v>54.99</v>
      </c>
      <c r="K6" s="111">
        <f t="shared" si="2"/>
        <v>-0.30479093246975908</v>
      </c>
      <c r="L6" s="111">
        <f t="shared" si="3"/>
        <v>-0.29490960379535835</v>
      </c>
      <c r="N6" s="31" t="str">
        <f>+VLOOKUP(C6,'Country &amp; Code Abbreviation'!$C$3:$D$245,2,FALSE)</f>
        <v>ALB</v>
      </c>
    </row>
    <row r="7" spans="2:14" ht="12.75" customHeight="1">
      <c r="B7" s="25" t="s">
        <v>74</v>
      </c>
      <c r="C7" t="str">
        <f>VLOOKUP($B7,Apple!$B$3:$E$176,Apple!C$1,FALSE)</f>
        <v>DZ</v>
      </c>
      <c r="D7" t="str">
        <f>VLOOKUP($B7,Apple!$B$3:$E$176,Apple!D$1,FALSE)</f>
        <v>DZD</v>
      </c>
      <c r="E7" t="str">
        <f>VLOOKUP($B7,Apple!$B$3:$E$176,Apple!E$1,FALSE)</f>
        <v>USD</v>
      </c>
      <c r="F7" t="s">
        <v>68</v>
      </c>
      <c r="G7" s="128">
        <f>VLOOKUP($B7,Apple!$B$3:$H$176,Apple!F$1,FALSE)</f>
        <v>59.99</v>
      </c>
      <c r="H7" s="128">
        <f>VLOOKUP($B7,Apple!$B$3:$H$176,Apple!H$1,FALSE)</f>
        <v>44.99</v>
      </c>
      <c r="I7" s="73">
        <f t="shared" si="0"/>
        <v>41.99</v>
      </c>
      <c r="J7" s="251">
        <v>29.99</v>
      </c>
      <c r="K7" s="111">
        <f t="shared" si="2"/>
        <v>-0.3000500083347224</v>
      </c>
      <c r="L7" s="111">
        <f t="shared" si="3"/>
        <v>-0.33340742387197164</v>
      </c>
      <c r="N7" s="31" t="str">
        <f>+VLOOKUP(C7,'Country &amp; Code Abbreviation'!$C$3:$D$245,2,FALSE)</f>
        <v>DZA</v>
      </c>
    </row>
    <row r="8" spans="2:14" ht="12.75" customHeight="1">
      <c r="B8" s="25" t="s">
        <v>74</v>
      </c>
      <c r="C8" t="str">
        <f>VLOOKUP($B8,Google!$B$3:$E$176,Google!C$1,FALSE)</f>
        <v>DZ</v>
      </c>
      <c r="D8" t="str">
        <f>VLOOKUP($B8,Google!$B$3:$E$176,Google!D$1,FALSE)</f>
        <v>DZD</v>
      </c>
      <c r="E8" t="str">
        <f>VLOOKUP($B8,Google!$B$3:$E$176,Google!E$1,FALSE)</f>
        <v>DZD</v>
      </c>
      <c r="F8" t="s">
        <v>69</v>
      </c>
      <c r="G8" s="128">
        <f>VLOOKUP($B8,Google!$B$3:$H$176,Google!F$1,FALSE)</f>
        <v>8099.99</v>
      </c>
      <c r="H8" s="128">
        <f>VLOOKUP($B8,Google!$B$3:$H$176,Google!H$1,FALSE)</f>
        <v>5999.99</v>
      </c>
      <c r="I8" s="252">
        <f t="shared" si="0"/>
        <v>5669.99</v>
      </c>
      <c r="J8" s="252">
        <f t="shared" si="1"/>
        <v>4199.99</v>
      </c>
      <c r="K8" s="111">
        <f t="shared" si="2"/>
        <v>-0.30000037037082761</v>
      </c>
      <c r="L8" s="111">
        <f t="shared" si="3"/>
        <v>-0.30000050000083334</v>
      </c>
      <c r="N8" s="31" t="str">
        <f>+VLOOKUP(C8,'Country &amp; Code Abbreviation'!$C$3:$D$245,2,FALSE)</f>
        <v>DZA</v>
      </c>
    </row>
    <row r="9" spans="2:14" ht="12.75" customHeight="1">
      <c r="B9" s="25" t="s">
        <v>77</v>
      </c>
      <c r="C9" t="str">
        <f>VLOOKUP($B9,Apple!$B$3:$E$176,Apple!C$1,FALSE)</f>
        <v>AO</v>
      </c>
      <c r="D9" t="str">
        <f>VLOOKUP($B9,Apple!$B$3:$E$176,Apple!D$1,FALSE)</f>
        <v>USD</v>
      </c>
      <c r="E9" t="str">
        <f>VLOOKUP($B9,Apple!$B$3:$E$176,Apple!E$1,FALSE)</f>
        <v>USD</v>
      </c>
      <c r="F9" t="s">
        <v>68</v>
      </c>
      <c r="G9" s="128">
        <f>VLOOKUP($B9,Apple!$B$3:$H$176,Apple!F$1,FALSE)</f>
        <v>71.989999999999995</v>
      </c>
      <c r="H9" s="128">
        <f>VLOOKUP($B9,Apple!$B$3:$H$176,Apple!H$1,FALSE)</f>
        <v>53.99</v>
      </c>
      <c r="I9" s="73">
        <f t="shared" si="0"/>
        <v>49.99</v>
      </c>
      <c r="J9" s="73">
        <f t="shared" si="1"/>
        <v>37.99</v>
      </c>
      <c r="K9" s="111">
        <f t="shared" si="2"/>
        <v>-0.3055979997221836</v>
      </c>
      <c r="L9" s="111">
        <f t="shared" si="3"/>
        <v>-0.2963511761437303</v>
      </c>
      <c r="N9" s="31" t="str">
        <f>+VLOOKUP(C9,'Country &amp; Code Abbreviation'!$C$3:$D$245,2,FALSE)</f>
        <v>AGO</v>
      </c>
    </row>
    <row r="10" spans="2:14" ht="12.75" customHeight="1">
      <c r="B10" s="25" t="s">
        <v>77</v>
      </c>
      <c r="C10" t="str">
        <f>VLOOKUP($B10,Google!$B$3:$E$176,Google!C$1,FALSE)</f>
        <v>AO</v>
      </c>
      <c r="D10" t="str">
        <f>VLOOKUP($B10,Google!$B$3:$E$176,Google!D$1,FALSE)</f>
        <v>USD</v>
      </c>
      <c r="E10" t="str">
        <f>VLOOKUP($B10,Google!$B$3:$E$176,Google!E$1,FALSE)</f>
        <v>USD</v>
      </c>
      <c r="F10" t="s">
        <v>69</v>
      </c>
      <c r="G10" s="128">
        <f>VLOOKUP($B10,Google!$B$3:$H$176,Google!F$1,FALSE)</f>
        <v>71.989999999999995</v>
      </c>
      <c r="H10" s="128">
        <f>VLOOKUP($B10,Google!$B$3:$H$176,Google!H$1,FALSE)</f>
        <v>53.99</v>
      </c>
      <c r="I10" s="73">
        <f t="shared" si="0"/>
        <v>49.99</v>
      </c>
      <c r="J10" s="73">
        <f t="shared" si="1"/>
        <v>37.99</v>
      </c>
      <c r="K10" s="111">
        <f t="shared" si="2"/>
        <v>-0.3055979997221836</v>
      </c>
      <c r="L10" s="111">
        <f t="shared" si="3"/>
        <v>-0.2963511761437303</v>
      </c>
      <c r="N10" s="31" t="str">
        <f>+VLOOKUP(C10,'Country &amp; Code Abbreviation'!$C$3:$D$245,2,FALSE)</f>
        <v>AGO</v>
      </c>
    </row>
    <row r="11" spans="2:14" ht="12.75" customHeight="1">
      <c r="B11" s="25" t="s">
        <v>78</v>
      </c>
      <c r="C11" t="str">
        <f>VLOOKUP($B11,Apple!$B$3:$E$176,Apple!C$1,FALSE)</f>
        <v>AI</v>
      </c>
      <c r="D11" t="str">
        <f>VLOOKUP($B11,Apple!$B$3:$E$176,Apple!D$1,FALSE)</f>
        <v>XCD</v>
      </c>
      <c r="E11" t="str">
        <f>VLOOKUP($B11,Apple!$B$3:$E$176,Apple!E$1,FALSE)</f>
        <v>USD</v>
      </c>
      <c r="F11" t="s">
        <v>68</v>
      </c>
      <c r="G11" s="128">
        <f>VLOOKUP($B11,Apple!$B$3:$H$176,Apple!F$1,FALSE)</f>
        <v>99.99</v>
      </c>
      <c r="H11" s="128">
        <f>VLOOKUP($B11,Apple!$B$3:$H$176,Apple!H$1,FALSE)</f>
        <v>72.989999999999995</v>
      </c>
      <c r="I11" s="73">
        <f t="shared" si="0"/>
        <v>69.989999999999995</v>
      </c>
      <c r="J11" s="73">
        <f t="shared" si="1"/>
        <v>50.99</v>
      </c>
      <c r="K11" s="111">
        <f t="shared" si="2"/>
        <v>-0.30003000300030003</v>
      </c>
      <c r="L11" s="111">
        <f t="shared" si="3"/>
        <v>-0.30141115221263182</v>
      </c>
      <c r="N11" s="31" t="str">
        <f>+VLOOKUP(C11,'Country &amp; Code Abbreviation'!$C$3:$D$245,2,FALSE)</f>
        <v>AIA</v>
      </c>
    </row>
    <row r="12" spans="2:14" ht="12.75" customHeight="1">
      <c r="B12" s="25" t="s">
        <v>365</v>
      </c>
      <c r="C12" t="str">
        <f>VLOOKUP($B12,Apple!$B$3:$E$176,Apple!C$1,FALSE)</f>
        <v>AG</v>
      </c>
      <c r="D12" t="str">
        <f>VLOOKUP($B12,Apple!$B$3:$E$176,Apple!D$1,FALSE)</f>
        <v>XCD</v>
      </c>
      <c r="E12" t="str">
        <f>VLOOKUP($B12,Apple!$B$3:$E$176,Apple!E$1,FALSE)</f>
        <v>USD</v>
      </c>
      <c r="F12" t="s">
        <v>68</v>
      </c>
      <c r="G12" s="128">
        <f>VLOOKUP($B12,Apple!$B$3:$H$176,Apple!F$1,FALSE)</f>
        <v>112.99</v>
      </c>
      <c r="H12" s="128">
        <f>VLOOKUP($B12,Apple!$B$3:$H$176,Apple!H$1,FALSE)</f>
        <v>83.99</v>
      </c>
      <c r="I12" s="73">
        <f t="shared" si="0"/>
        <v>78.989999999999995</v>
      </c>
      <c r="J12" s="73">
        <f t="shared" si="1"/>
        <v>58.99</v>
      </c>
      <c r="K12" s="111">
        <f t="shared" si="2"/>
        <v>-0.30091158509602622</v>
      </c>
      <c r="L12" s="111">
        <f t="shared" si="3"/>
        <v>-0.29765448267650907</v>
      </c>
      <c r="N12" s="31" t="str">
        <f>+VLOOKUP(C12,'Country &amp; Code Abbreviation'!$C$3:$D$245,2,FALSE)</f>
        <v>ATG</v>
      </c>
    </row>
    <row r="13" spans="2:14" ht="12.75" customHeight="1">
      <c r="B13" s="25" t="s">
        <v>80</v>
      </c>
      <c r="C13" t="str">
        <f>VLOOKUP($B13,Google!$B$3:$E$176,Google!C$1,FALSE)</f>
        <v>AG</v>
      </c>
      <c r="D13" t="str">
        <f>VLOOKUP($B13,Google!$B$3:$E$176,Google!D$1,FALSE)</f>
        <v>XCD</v>
      </c>
      <c r="E13" t="str">
        <f>VLOOKUP($B13,Google!$B$3:$E$176,Google!E$1,FALSE)</f>
        <v>USD</v>
      </c>
      <c r="F13" t="s">
        <v>69</v>
      </c>
      <c r="G13" s="128">
        <f>VLOOKUP($B13,Google!$B$3:$H$176,Google!F$1,FALSE)</f>
        <v>112.99</v>
      </c>
      <c r="H13" s="128">
        <f>VLOOKUP($B13,Google!$B$3:$H$176,Google!H$1,FALSE)</f>
        <v>83.99</v>
      </c>
      <c r="I13" s="73">
        <f t="shared" si="0"/>
        <v>78.989999999999995</v>
      </c>
      <c r="J13" s="73">
        <f t="shared" si="1"/>
        <v>58.99</v>
      </c>
      <c r="K13" s="111">
        <f t="shared" si="2"/>
        <v>-0.30091158509602622</v>
      </c>
      <c r="L13" s="111">
        <f t="shared" si="3"/>
        <v>-0.29765448267650907</v>
      </c>
      <c r="N13" s="31" t="str">
        <f>+VLOOKUP(C13,'Country &amp; Code Abbreviation'!$C$3:$D$245,2,FALSE)</f>
        <v>ATG</v>
      </c>
    </row>
    <row r="14" spans="2:14" ht="12.75" customHeight="1">
      <c r="B14" s="25" t="s">
        <v>81</v>
      </c>
      <c r="C14" t="str">
        <f>VLOOKUP($B14,Apple!$B$3:$E$176,Apple!C$1,FALSE)</f>
        <v>AR</v>
      </c>
      <c r="D14" t="str">
        <f>VLOOKUP($B14,Apple!$B$3:$E$176,Apple!D$1,FALSE)</f>
        <v>USD</v>
      </c>
      <c r="E14" t="str">
        <f>VLOOKUP($B14,Apple!$B$3:$E$176,Apple!E$1,FALSE)</f>
        <v>USD</v>
      </c>
      <c r="F14" t="s">
        <v>68</v>
      </c>
      <c r="G14" s="128">
        <f>VLOOKUP($B14,Apple!$B$3:$H$176,Apple!F$1,FALSE)</f>
        <v>79.989999999999995</v>
      </c>
      <c r="H14" s="128">
        <f>VLOOKUP($B14,Apple!$B$3:$H$176,Apple!H$1,FALSE)</f>
        <v>59.99</v>
      </c>
      <c r="I14" s="73">
        <f t="shared" si="0"/>
        <v>55.99</v>
      </c>
      <c r="J14" s="73">
        <f t="shared" si="1"/>
        <v>41.99</v>
      </c>
      <c r="K14" s="111">
        <f t="shared" si="2"/>
        <v>-0.30003750468808599</v>
      </c>
      <c r="L14" s="111">
        <f t="shared" si="3"/>
        <v>-0.3000500083347224</v>
      </c>
      <c r="N14" s="31" t="str">
        <f>+VLOOKUP(C14,'Country &amp; Code Abbreviation'!$C$3:$D$245,2,FALSE)</f>
        <v>ARG</v>
      </c>
    </row>
    <row r="15" spans="2:14" ht="12.75" customHeight="1">
      <c r="B15" s="25" t="s">
        <v>81</v>
      </c>
      <c r="C15" t="str">
        <f>VLOOKUP($B15,Google!$B$3:$E$176,Google!C$1,FALSE)</f>
        <v>AR</v>
      </c>
      <c r="D15" t="str">
        <f>VLOOKUP($B15,Google!$B$3:$E$176,Google!D$1,FALSE)</f>
        <v>USD</v>
      </c>
      <c r="E15" t="str">
        <f>VLOOKUP($B15,Google!$B$3:$E$176,Google!E$1,FALSE)</f>
        <v>USD</v>
      </c>
      <c r="F15" t="s">
        <v>69</v>
      </c>
      <c r="G15" s="128">
        <f>VLOOKUP($B15,Google!$B$3:$H$176,Google!F$1,FALSE)</f>
        <v>79.989999999999995</v>
      </c>
      <c r="H15" s="128">
        <f>VLOOKUP($B15,Google!$B$3:$H$176,Google!H$1,FALSE)</f>
        <v>59.99</v>
      </c>
      <c r="I15" s="73">
        <f t="shared" si="0"/>
        <v>55.99</v>
      </c>
      <c r="J15" s="73">
        <f t="shared" si="1"/>
        <v>41.99</v>
      </c>
      <c r="K15" s="111">
        <f t="shared" si="2"/>
        <v>-0.30003750468808599</v>
      </c>
      <c r="L15" s="111">
        <f t="shared" si="3"/>
        <v>-0.3000500083347224</v>
      </c>
      <c r="N15" s="31" t="str">
        <f>+VLOOKUP(C15,'Country &amp; Code Abbreviation'!$C$3:$D$245,2,FALSE)</f>
        <v>ARG</v>
      </c>
    </row>
    <row r="16" spans="2:14" ht="12.75" customHeight="1">
      <c r="B16" s="25" t="s">
        <v>82</v>
      </c>
      <c r="C16" t="str">
        <f>VLOOKUP($B16,Apple!$B$3:$E$176,Apple!C$1,FALSE)</f>
        <v>AM</v>
      </c>
      <c r="D16" t="str">
        <f>VLOOKUP($B16,Apple!$B$3:$E$176,Apple!D$1,FALSE)</f>
        <v>AMD</v>
      </c>
      <c r="E16" t="str">
        <f>VLOOKUP($B16,Apple!$B$3:$E$176,Apple!E$1,FALSE)</f>
        <v>USD</v>
      </c>
      <c r="F16" t="s">
        <v>68</v>
      </c>
      <c r="G16" s="128">
        <f>VLOOKUP($B16,Apple!$B$3:$H$176,Apple!F$1,FALSE)</f>
        <v>139.99</v>
      </c>
      <c r="H16" s="128">
        <f>VLOOKUP($B16,Apple!$B$3:$H$176,Apple!H$1,FALSE)</f>
        <v>103.99</v>
      </c>
      <c r="I16" s="73">
        <f t="shared" si="0"/>
        <v>97.99</v>
      </c>
      <c r="J16" s="73">
        <f t="shared" si="1"/>
        <v>72.989999999999995</v>
      </c>
      <c r="K16" s="111">
        <f t="shared" si="2"/>
        <v>-0.30002143010215021</v>
      </c>
      <c r="L16" s="111">
        <f t="shared" si="3"/>
        <v>-0.29810558707568036</v>
      </c>
      <c r="N16" s="31" t="str">
        <f>+VLOOKUP(C16,'Country &amp; Code Abbreviation'!$C$3:$D$245,2,FALSE)</f>
        <v>ARM</v>
      </c>
    </row>
    <row r="17" spans="2:14" ht="12.75" customHeight="1">
      <c r="B17" s="25" t="s">
        <v>82</v>
      </c>
      <c r="C17" t="str">
        <f>VLOOKUP($B17,Google!$B$3:$E$176,Google!C$1,FALSE)</f>
        <v>AM</v>
      </c>
      <c r="D17" t="str">
        <f>VLOOKUP($B17,Google!$B$3:$E$176,Google!D$1,FALSE)</f>
        <v>AMD</v>
      </c>
      <c r="E17" t="str">
        <f>VLOOKUP($B17,Google!$B$3:$E$176,Google!E$1,FALSE)</f>
        <v>USD</v>
      </c>
      <c r="F17" t="s">
        <v>69</v>
      </c>
      <c r="G17" s="128">
        <f>VLOOKUP($B17,Google!$B$3:$H$176,Google!F$1,FALSE)</f>
        <v>139.99</v>
      </c>
      <c r="H17" s="128">
        <f>VLOOKUP($B17,Google!$B$3:$H$176,Google!H$1,FALSE)</f>
        <v>103.99</v>
      </c>
      <c r="I17" s="73">
        <f t="shared" si="0"/>
        <v>97.99</v>
      </c>
      <c r="J17" s="73">
        <f t="shared" si="1"/>
        <v>72.989999999999995</v>
      </c>
      <c r="K17" s="111">
        <f t="shared" si="2"/>
        <v>-0.30002143010215021</v>
      </c>
      <c r="L17" s="111">
        <f t="shared" si="3"/>
        <v>-0.29810558707568036</v>
      </c>
      <c r="N17" s="31" t="str">
        <f>+VLOOKUP(C17,'Country &amp; Code Abbreviation'!$C$3:$D$245,2,FALSE)</f>
        <v>ARM</v>
      </c>
    </row>
    <row r="18" spans="2:14" ht="12.75" customHeight="1">
      <c r="B18" s="25" t="s">
        <v>83</v>
      </c>
      <c r="C18" t="str">
        <f>VLOOKUP($B18,Google!$B$3:$E$176,Google!C$1,FALSE)</f>
        <v>AW</v>
      </c>
      <c r="D18" t="str">
        <f>VLOOKUP($B18,Google!$B$3:$E$176,Google!D$1,FALSE)</f>
        <v>AWG</v>
      </c>
      <c r="E18" t="str">
        <f>VLOOKUP($B18,Google!$B$3:$E$176,Google!E$1,FALSE)</f>
        <v>USD</v>
      </c>
      <c r="F18" t="s">
        <v>69</v>
      </c>
      <c r="G18" s="128">
        <f>VLOOKUP($B18,Google!$B$3:$H$176,Google!F$1,FALSE)</f>
        <v>99.99</v>
      </c>
      <c r="H18" s="128">
        <f>VLOOKUP($B18,Google!$B$3:$H$176,Google!H$1,FALSE)</f>
        <v>74.989999999999995</v>
      </c>
      <c r="I18" s="73">
        <f t="shared" si="0"/>
        <v>69.989999999999995</v>
      </c>
      <c r="J18" s="73">
        <f t="shared" si="1"/>
        <v>51.99</v>
      </c>
      <c r="K18" s="111">
        <f t="shared" si="2"/>
        <v>-0.30003000300030003</v>
      </c>
      <c r="L18" s="111">
        <f t="shared" si="3"/>
        <v>-0.30670756100813434</v>
      </c>
      <c r="N18" s="31" t="str">
        <f>+VLOOKUP(C18,'Country &amp; Code Abbreviation'!$C$3:$D$245,2,FALSE)</f>
        <v>ABW</v>
      </c>
    </row>
    <row r="19" spans="2:14" ht="12.75" customHeight="1">
      <c r="B19" s="25" t="s">
        <v>85</v>
      </c>
      <c r="C19" t="str">
        <f>VLOOKUP($B19,Apple!$B$3:$E$176,Apple!C$1,FALSE)</f>
        <v>AT</v>
      </c>
      <c r="D19" t="str">
        <f>VLOOKUP($B19,Apple!$B$3:$E$176,Apple!D$1,FALSE)</f>
        <v>EUR</v>
      </c>
      <c r="E19" t="str">
        <f>VLOOKUP($B19,Apple!$B$3:$E$176,Apple!E$1,FALSE)</f>
        <v>EUR</v>
      </c>
      <c r="F19" t="s">
        <v>68</v>
      </c>
      <c r="G19" s="128">
        <f>VLOOKUP($B19,Apple!$B$3:$H$176,Apple!F$1,FALSE)</f>
        <v>159.99</v>
      </c>
      <c r="H19" s="128">
        <f>VLOOKUP($B19,Apple!$B$3:$H$176,Apple!H$1,FALSE)</f>
        <v>116.99</v>
      </c>
      <c r="I19" s="73">
        <f t="shared" si="0"/>
        <v>111.99</v>
      </c>
      <c r="J19" s="73">
        <f t="shared" si="1"/>
        <v>81.99</v>
      </c>
      <c r="K19" s="111">
        <f t="shared" si="2"/>
        <v>-0.30001875117194832</v>
      </c>
      <c r="L19" s="111">
        <f t="shared" si="3"/>
        <v>-0.29917086930506886</v>
      </c>
      <c r="N19" s="31" t="str">
        <f>+VLOOKUP(C19,'Country &amp; Code Abbreviation'!$C$3:$D$245,2,FALSE)</f>
        <v>AUT</v>
      </c>
    </row>
    <row r="20" spans="2:14" ht="12.75" customHeight="1">
      <c r="B20" s="25" t="s">
        <v>85</v>
      </c>
      <c r="C20" t="str">
        <f>VLOOKUP($B20,Google!$B$3:$E$176,Google!C$1,FALSE)</f>
        <v>AT</v>
      </c>
      <c r="D20" t="str">
        <f>VLOOKUP($B20,Google!$B$3:$E$176,Google!D$1,FALSE)</f>
        <v>EUR</v>
      </c>
      <c r="E20" t="str">
        <f>VLOOKUP($B20,Google!$B$3:$E$176,Google!E$1,FALSE)</f>
        <v>EUR</v>
      </c>
      <c r="F20" t="s">
        <v>69</v>
      </c>
      <c r="G20" s="128">
        <f>VLOOKUP($B20,Google!$B$3:$H$176,Google!F$1,FALSE)</f>
        <v>159.99</v>
      </c>
      <c r="H20" s="128">
        <f>VLOOKUP($B20,Google!$B$3:$H$176,Google!H$1,FALSE)</f>
        <v>116.99</v>
      </c>
      <c r="I20" s="73">
        <f t="shared" si="0"/>
        <v>111.99</v>
      </c>
      <c r="J20" s="73">
        <f t="shared" si="1"/>
        <v>81.99</v>
      </c>
      <c r="K20" s="111">
        <f t="shared" si="2"/>
        <v>-0.30001875117194832</v>
      </c>
      <c r="L20" s="111">
        <f t="shared" si="3"/>
        <v>-0.29917086930506886</v>
      </c>
      <c r="N20" s="31" t="str">
        <f>+VLOOKUP(C20,'Country &amp; Code Abbreviation'!$C$3:$D$245,2,FALSE)</f>
        <v>AUT</v>
      </c>
    </row>
    <row r="21" spans="2:14" ht="12.75" customHeight="1">
      <c r="B21" s="25" t="s">
        <v>86</v>
      </c>
      <c r="C21" t="str">
        <f>VLOOKUP($B21,Apple!$B$3:$E$176,Apple!C$1,FALSE)</f>
        <v>AZ</v>
      </c>
      <c r="D21" t="str">
        <f>VLOOKUP($B21,Apple!$B$3:$E$176,Apple!D$1,FALSE)</f>
        <v>AZN</v>
      </c>
      <c r="E21" t="str">
        <f>VLOOKUP($B21,Apple!$B$3:$E$176,Apple!E$1,FALSE)</f>
        <v>USD</v>
      </c>
      <c r="F21" t="s">
        <v>68</v>
      </c>
      <c r="G21" s="128">
        <f>VLOOKUP($B21,Apple!$B$3:$H$176,Apple!F$1,FALSE)</f>
        <v>105.99</v>
      </c>
      <c r="H21" s="128">
        <f>VLOOKUP($B21,Apple!$B$3:$H$176,Apple!H$1,FALSE)</f>
        <v>76.989999999999995</v>
      </c>
      <c r="I21" s="73">
        <f t="shared" si="0"/>
        <v>73.989999999999995</v>
      </c>
      <c r="J21" s="73">
        <f t="shared" si="1"/>
        <v>53.99</v>
      </c>
      <c r="K21" s="111">
        <f t="shared" si="2"/>
        <v>-0.30191527502594584</v>
      </c>
      <c r="L21" s="111">
        <f t="shared" si="3"/>
        <v>-0.29874009611637864</v>
      </c>
      <c r="N21" s="31" t="str">
        <f>+VLOOKUP(C21,'Country &amp; Code Abbreviation'!$C$3:$D$245,2,FALSE)</f>
        <v>AZE</v>
      </c>
    </row>
    <row r="22" spans="2:14" ht="12.75" customHeight="1">
      <c r="B22" s="25" t="s">
        <v>86</v>
      </c>
      <c r="C22" t="str">
        <f>VLOOKUP($B22,Google!$B$3:$E$176,Google!C$1,FALSE)</f>
        <v>AZ</v>
      </c>
      <c r="D22" t="str">
        <f>VLOOKUP($B22,Google!$B$3:$E$176,Google!D$1,FALSE)</f>
        <v>AZN</v>
      </c>
      <c r="E22" t="str">
        <f>VLOOKUP($B22,Google!$B$3:$E$176,Google!E$1,FALSE)</f>
        <v>USD</v>
      </c>
      <c r="F22" t="s">
        <v>69</v>
      </c>
      <c r="G22" s="128">
        <f>VLOOKUP($B22,Google!$B$3:$H$176,Google!F$1,FALSE)</f>
        <v>105.99</v>
      </c>
      <c r="H22" s="128">
        <f>VLOOKUP($B22,Google!$B$3:$H$176,Google!H$1,FALSE)</f>
        <v>76.989999999999995</v>
      </c>
      <c r="I22" s="73">
        <f t="shared" si="0"/>
        <v>73.989999999999995</v>
      </c>
      <c r="J22" s="73">
        <f t="shared" si="1"/>
        <v>53.99</v>
      </c>
      <c r="K22" s="111">
        <f t="shared" si="2"/>
        <v>-0.30191527502594584</v>
      </c>
      <c r="L22" s="111">
        <f t="shared" si="3"/>
        <v>-0.29874009611637864</v>
      </c>
      <c r="N22" s="31" t="str">
        <f>+VLOOKUP(C22,'Country &amp; Code Abbreviation'!$C$3:$D$245,2,FALSE)</f>
        <v>AZE</v>
      </c>
    </row>
    <row r="23" spans="2:14" ht="12.75" customHeight="1">
      <c r="B23" s="25" t="s">
        <v>87</v>
      </c>
      <c r="C23" t="str">
        <f>VLOOKUP($B23,Apple!$B$3:$E$176,Apple!C$1,FALSE)</f>
        <v>BS</v>
      </c>
      <c r="D23" t="str">
        <f>VLOOKUP($B23,Apple!$B$3:$E$176,Apple!D$1,FALSE)</f>
        <v>BSD</v>
      </c>
      <c r="E23" t="str">
        <f>VLOOKUP($B23,Apple!$B$3:$E$176,Apple!E$1,FALSE)</f>
        <v>USD</v>
      </c>
      <c r="F23" t="s">
        <v>68</v>
      </c>
      <c r="G23" s="128">
        <f>VLOOKUP($B23,Apple!$B$3:$H$176,Apple!F$1,FALSE)</f>
        <v>95.99</v>
      </c>
      <c r="H23" s="128">
        <f>VLOOKUP($B23,Apple!$B$3:$H$176,Apple!H$1,FALSE)</f>
        <v>71.989999999999995</v>
      </c>
      <c r="I23" s="73">
        <f t="shared" si="0"/>
        <v>66.989999999999995</v>
      </c>
      <c r="J23" s="73">
        <f t="shared" si="1"/>
        <v>49.99</v>
      </c>
      <c r="K23" s="111">
        <f t="shared" si="2"/>
        <v>-0.30211480362537768</v>
      </c>
      <c r="L23" s="111">
        <f t="shared" si="3"/>
        <v>-0.3055979997221836</v>
      </c>
      <c r="N23" s="31" t="str">
        <f>+VLOOKUP(C23,'Country &amp; Code Abbreviation'!$C$3:$D$245,2,FALSE)</f>
        <v>BHS</v>
      </c>
    </row>
    <row r="24" spans="2:14" ht="12.75" customHeight="1">
      <c r="B24" s="25" t="s">
        <v>87</v>
      </c>
      <c r="C24" t="str">
        <f>VLOOKUP($B24,Google!$B$3:$E$176,Google!C$1,FALSE)</f>
        <v>BS</v>
      </c>
      <c r="D24" t="str">
        <f>VLOOKUP($B24,Google!$B$3:$E$176,Google!D$1,FALSE)</f>
        <v>BSD</v>
      </c>
      <c r="E24" t="str">
        <f>VLOOKUP($B24,Google!$B$3:$E$176,Google!E$1,FALSE)</f>
        <v>USD</v>
      </c>
      <c r="F24" t="s">
        <v>69</v>
      </c>
      <c r="G24" s="128">
        <f>VLOOKUP($B24,Google!$B$3:$H$176,Google!F$1,FALSE)</f>
        <v>95.99</v>
      </c>
      <c r="H24" s="128">
        <f>VLOOKUP($B24,Google!$B$3:$H$176,Google!H$1,FALSE)</f>
        <v>71.989999999999995</v>
      </c>
      <c r="I24" s="73">
        <f t="shared" si="0"/>
        <v>66.989999999999995</v>
      </c>
      <c r="J24" s="73">
        <f t="shared" si="1"/>
        <v>49.99</v>
      </c>
      <c r="K24" s="111">
        <f t="shared" si="2"/>
        <v>-0.30211480362537768</v>
      </c>
      <c r="L24" s="111">
        <f t="shared" si="3"/>
        <v>-0.3055979997221836</v>
      </c>
      <c r="N24" s="31" t="str">
        <f>+VLOOKUP(C24,'Country &amp; Code Abbreviation'!$C$3:$D$245,2,FALSE)</f>
        <v>BHS</v>
      </c>
    </row>
    <row r="25" spans="2:14" ht="12.75" customHeight="1">
      <c r="B25" s="25" t="s">
        <v>88</v>
      </c>
      <c r="C25" t="str">
        <f>VLOOKUP($B25,Apple!$B$3:$E$176,Apple!C$1,FALSE)</f>
        <v>BH</v>
      </c>
      <c r="D25" t="str">
        <f>VLOOKUP($B25,Apple!$B$3:$E$176,Apple!D$1,FALSE)</f>
        <v>BHD</v>
      </c>
      <c r="E25" t="str">
        <f>VLOOKUP($B25,Apple!$B$3:$E$176,Apple!E$1,FALSE)</f>
        <v>USD</v>
      </c>
      <c r="F25" t="s">
        <v>68</v>
      </c>
      <c r="G25" s="128">
        <f>VLOOKUP($B25,Apple!$B$3:$H$176,Apple!F$1,FALSE)</f>
        <v>159.99</v>
      </c>
      <c r="H25" s="128">
        <f>VLOOKUP($B25,Apple!$B$3:$H$176,Apple!H$1,FALSE)</f>
        <v>132.99</v>
      </c>
      <c r="I25" s="73">
        <f t="shared" si="0"/>
        <v>111.99</v>
      </c>
      <c r="J25" s="73">
        <f t="shared" si="1"/>
        <v>92.99</v>
      </c>
      <c r="K25" s="111">
        <f t="shared" si="2"/>
        <v>-0.30001875117194832</v>
      </c>
      <c r="L25" s="111">
        <f t="shared" si="3"/>
        <v>-0.3007744943228815</v>
      </c>
      <c r="N25" s="31" t="str">
        <f>+VLOOKUP(C25,'Country &amp; Code Abbreviation'!$C$3:$D$245,2,FALSE)</f>
        <v>BHR</v>
      </c>
    </row>
    <row r="26" spans="2:14" ht="12.75" customHeight="1">
      <c r="B26" s="25" t="s">
        <v>88</v>
      </c>
      <c r="C26" t="str">
        <f>VLOOKUP($B26,Google!$B$3:$E$176,Google!C$1,FALSE)</f>
        <v>BH</v>
      </c>
      <c r="D26" t="str">
        <f>VLOOKUP($B26,Google!$B$3:$E$176,Google!D$1,FALSE)</f>
        <v>BHD</v>
      </c>
      <c r="E26" t="str">
        <f>VLOOKUP($B26,Google!$B$3:$E$176,Google!E$1,FALSE)</f>
        <v>USD</v>
      </c>
      <c r="F26" t="s">
        <v>69</v>
      </c>
      <c r="G26" s="128">
        <f>VLOOKUP($B26,Google!$B$3:$H$176,Google!F$1,FALSE)</f>
        <v>159.99</v>
      </c>
      <c r="H26" s="128">
        <f>VLOOKUP($B26,Google!$B$3:$H$176,Google!H$1,FALSE)</f>
        <v>132.99</v>
      </c>
      <c r="I26" s="73">
        <f t="shared" si="0"/>
        <v>111.99</v>
      </c>
      <c r="J26" s="73">
        <f t="shared" si="1"/>
        <v>92.99</v>
      </c>
      <c r="K26" s="111">
        <f t="shared" si="2"/>
        <v>-0.30001875117194832</v>
      </c>
      <c r="L26" s="111">
        <f t="shared" si="3"/>
        <v>-0.3007744943228815</v>
      </c>
      <c r="N26" s="31" t="str">
        <f>+VLOOKUP(C26,'Country &amp; Code Abbreviation'!$C$3:$D$245,2,FALSE)</f>
        <v>BHR</v>
      </c>
    </row>
    <row r="27" spans="2:14" ht="12.75" customHeight="1">
      <c r="B27" s="25" t="s">
        <v>89</v>
      </c>
      <c r="C27" t="str">
        <f>VLOOKUP($B27,Google!$B$3:$E$176,Google!C$1,FALSE)</f>
        <v>BD</v>
      </c>
      <c r="D27" t="str">
        <f>VLOOKUP($B27,Google!$B$3:$E$176,Google!D$1,FALSE)</f>
        <v>BDT</v>
      </c>
      <c r="E27" t="str">
        <f>VLOOKUP($B27,Google!$B$3:$E$176,Google!E$1,FALSE)</f>
        <v>BDT</v>
      </c>
      <c r="F27" t="s">
        <v>69</v>
      </c>
      <c r="G27" s="128">
        <f>VLOOKUP($B27,Google!$B$3:$H$176,Google!F$1,FALSE)</f>
        <v>6071.99</v>
      </c>
      <c r="H27" s="128">
        <f>VLOOKUP($B27,Google!$B$3:$H$176,Google!H$1,FALSE)</f>
        <v>4499.99</v>
      </c>
      <c r="I27" s="252">
        <f t="shared" si="0"/>
        <v>4249.99</v>
      </c>
      <c r="J27" s="252">
        <f t="shared" si="1"/>
        <v>3149.99</v>
      </c>
      <c r="K27" s="111">
        <f t="shared" si="2"/>
        <v>-0.30006637033328454</v>
      </c>
      <c r="L27" s="111">
        <f t="shared" si="3"/>
        <v>-0.30000066666814817</v>
      </c>
      <c r="N27" s="31" t="str">
        <f>+VLOOKUP(C27,'Country &amp; Code Abbreviation'!$C$3:$D$245,2,FALSE)</f>
        <v>BGD</v>
      </c>
    </row>
    <row r="28" spans="2:14" ht="12.75" customHeight="1">
      <c r="B28" s="25" t="s">
        <v>90</v>
      </c>
      <c r="C28" t="str">
        <f>VLOOKUP($B28,Apple!$B$3:$E$176,Apple!C$1,FALSE)</f>
        <v>BB</v>
      </c>
      <c r="D28" t="str">
        <f>VLOOKUP($B28,Apple!$B$3:$E$176,Apple!D$1,FALSE)</f>
        <v>BBD</v>
      </c>
      <c r="E28" t="str">
        <f>VLOOKUP($B28,Apple!$B$3:$E$176,Apple!E$1,FALSE)</f>
        <v>USD</v>
      </c>
      <c r="F28" t="s">
        <v>68</v>
      </c>
      <c r="G28" s="128">
        <f>VLOOKUP($B28,Apple!$B$3:$H$176,Apple!F$1,FALSE)</f>
        <v>104.99</v>
      </c>
      <c r="H28" s="128">
        <f>VLOOKUP($B28,Apple!$B$3:$H$176,Apple!H$1,FALSE)</f>
        <v>77.989999999999995</v>
      </c>
      <c r="I28" s="73">
        <f t="shared" si="0"/>
        <v>72.989999999999995</v>
      </c>
      <c r="J28" s="73">
        <f t="shared" si="1"/>
        <v>54.99</v>
      </c>
      <c r="K28" s="111">
        <f t="shared" si="2"/>
        <v>-0.30479093246975908</v>
      </c>
      <c r="L28" s="111">
        <f t="shared" si="3"/>
        <v>-0.29490960379535835</v>
      </c>
      <c r="N28" s="31" t="str">
        <f>+VLOOKUP(C28,'Country &amp; Code Abbreviation'!$C$3:$D$245,2,FALSE)</f>
        <v>BRB</v>
      </c>
    </row>
    <row r="29" spans="2:14" ht="12.75" customHeight="1">
      <c r="B29" s="25" t="s">
        <v>92</v>
      </c>
      <c r="C29" t="str">
        <f>VLOOKUP($B29,Apple!$B$3:$E$176,Apple!C$1,FALSE)</f>
        <v>BE</v>
      </c>
      <c r="D29" t="str">
        <f>VLOOKUP($B29,Apple!$B$3:$E$176,Apple!D$1,FALSE)</f>
        <v>EUR</v>
      </c>
      <c r="E29" t="str">
        <f>VLOOKUP($B29,Apple!$B$3:$E$176,Apple!E$1,FALSE)</f>
        <v>EUR</v>
      </c>
      <c r="F29" t="s">
        <v>68</v>
      </c>
      <c r="G29" s="128">
        <f>VLOOKUP($B29,Apple!$B$3:$H$176,Apple!F$1,FALSE)</f>
        <v>169.99</v>
      </c>
      <c r="H29" s="128">
        <f>VLOOKUP($B29,Apple!$B$3:$H$176,Apple!H$1,FALSE)</f>
        <v>124.99</v>
      </c>
      <c r="I29" s="73">
        <f t="shared" si="0"/>
        <v>118.99</v>
      </c>
      <c r="J29" s="73">
        <f t="shared" si="1"/>
        <v>86.99</v>
      </c>
      <c r="K29" s="111">
        <f t="shared" si="2"/>
        <v>-0.30001764809694698</v>
      </c>
      <c r="L29" s="111">
        <f t="shared" si="3"/>
        <v>-0.30402432194575568</v>
      </c>
      <c r="N29" s="31" t="str">
        <f>+VLOOKUP(C29,'Country &amp; Code Abbreviation'!$C$3:$D$245,2,FALSE)</f>
        <v>BEL</v>
      </c>
    </row>
    <row r="30" spans="2:14" ht="12.75" customHeight="1">
      <c r="B30" s="25" t="s">
        <v>92</v>
      </c>
      <c r="C30" t="str">
        <f>VLOOKUP($B30,Google!$B$3:$E$176,Google!C$1,FALSE)</f>
        <v>BE</v>
      </c>
      <c r="D30" t="str">
        <f>VLOOKUP($B30,Google!$B$3:$E$176,Google!D$1,FALSE)</f>
        <v>EUR</v>
      </c>
      <c r="E30" t="str">
        <f>VLOOKUP($B30,Google!$B$3:$E$176,Google!E$1,FALSE)</f>
        <v>EUR</v>
      </c>
      <c r="F30" t="s">
        <v>69</v>
      </c>
      <c r="G30" s="128">
        <f>VLOOKUP($B30,Google!$B$3:$H$176,Google!F$1,FALSE)</f>
        <v>169.99</v>
      </c>
      <c r="H30" s="128">
        <f>VLOOKUP($B30,Google!$B$3:$H$176,Google!H$1,FALSE)</f>
        <v>124.99</v>
      </c>
      <c r="I30" s="73">
        <f t="shared" si="0"/>
        <v>118.99</v>
      </c>
      <c r="J30" s="73">
        <f t="shared" si="1"/>
        <v>86.99</v>
      </c>
      <c r="K30" s="111">
        <f t="shared" si="2"/>
        <v>-0.30001764809694698</v>
      </c>
      <c r="L30" s="111">
        <f t="shared" si="3"/>
        <v>-0.30402432194575568</v>
      </c>
      <c r="N30" s="31" t="str">
        <f>+VLOOKUP(C30,'Country &amp; Code Abbreviation'!$C$3:$D$245,2,FALSE)</f>
        <v>BEL</v>
      </c>
    </row>
    <row r="31" spans="2:14" ht="12.75" customHeight="1">
      <c r="B31" s="25" t="s">
        <v>93</v>
      </c>
      <c r="C31" t="str">
        <f>VLOOKUP($B31,Apple!$B$3:$E$176,Apple!C$1,FALSE)</f>
        <v>BZ</v>
      </c>
      <c r="D31" t="str">
        <f>VLOOKUP($B31,Apple!$B$3:$E$176,Apple!D$1,FALSE)</f>
        <v>BZD</v>
      </c>
      <c r="E31" t="str">
        <f>VLOOKUP($B31,Apple!$B$3:$E$176,Apple!E$1,FALSE)</f>
        <v>USD</v>
      </c>
      <c r="F31" t="s">
        <v>68</v>
      </c>
      <c r="G31" s="128">
        <f>VLOOKUP($B31,Apple!$B$3:$H$176,Apple!F$1,FALSE)</f>
        <v>74.989999999999995</v>
      </c>
      <c r="H31" s="128">
        <f>VLOOKUP($B31,Apple!$B$3:$H$176,Apple!H$1,FALSE)</f>
        <v>53.99</v>
      </c>
      <c r="I31" s="73">
        <f t="shared" si="0"/>
        <v>51.99</v>
      </c>
      <c r="J31" s="73">
        <f t="shared" si="1"/>
        <v>37.99</v>
      </c>
      <c r="K31" s="111">
        <f t="shared" si="2"/>
        <v>-0.30670756100813434</v>
      </c>
      <c r="L31" s="111">
        <f t="shared" si="3"/>
        <v>-0.2963511761437303</v>
      </c>
      <c r="N31" s="31" t="str">
        <f>+VLOOKUP(C31,'Country &amp; Code Abbreviation'!$C$3:$D$245,2,FALSE)</f>
        <v>BLZ</v>
      </c>
    </row>
    <row r="32" spans="2:14" ht="12.75" customHeight="1">
      <c r="B32" s="25" t="s">
        <v>93</v>
      </c>
      <c r="C32" t="str">
        <f>VLOOKUP($B32,Google!$B$3:$E$176,Google!C$1,FALSE)</f>
        <v>BZ</v>
      </c>
      <c r="D32" t="str">
        <f>VLOOKUP($B32,Google!$B$3:$E$176,Google!D$1,FALSE)</f>
        <v>BZD</v>
      </c>
      <c r="E32" t="str">
        <f>VLOOKUP($B32,Google!$B$3:$E$176,Google!E$1,FALSE)</f>
        <v>USD</v>
      </c>
      <c r="F32" t="s">
        <v>69</v>
      </c>
      <c r="G32" s="128">
        <f>VLOOKUP($B32,Google!$B$3:$H$176,Google!F$1,FALSE)</f>
        <v>74.989999999999995</v>
      </c>
      <c r="H32" s="128">
        <f>VLOOKUP($B32,Google!$B$3:$H$176,Google!H$1,FALSE)</f>
        <v>53.99</v>
      </c>
      <c r="I32" s="73">
        <f t="shared" si="0"/>
        <v>51.99</v>
      </c>
      <c r="J32" s="73">
        <f t="shared" si="1"/>
        <v>37.99</v>
      </c>
      <c r="K32" s="111">
        <f t="shared" si="2"/>
        <v>-0.30670756100813434</v>
      </c>
      <c r="L32" s="111">
        <f t="shared" si="3"/>
        <v>-0.2963511761437303</v>
      </c>
      <c r="N32" s="31" t="str">
        <f>+VLOOKUP(C32,'Country &amp; Code Abbreviation'!$C$3:$D$245,2,FALSE)</f>
        <v>BLZ</v>
      </c>
    </row>
    <row r="33" spans="2:14" ht="12.75" customHeight="1">
      <c r="B33" s="25" t="s">
        <v>94</v>
      </c>
      <c r="C33" t="str">
        <f>VLOOKUP($B33,Apple!$B$3:$E$176,Apple!C$1,FALSE)</f>
        <v>BJ</v>
      </c>
      <c r="D33" t="str">
        <f>VLOOKUP($B33,Apple!$B$3:$E$176,Apple!D$1,FALSE)</f>
        <v>XOF</v>
      </c>
      <c r="E33" t="str">
        <f>VLOOKUP($B33,Apple!$B$3:$E$176,Apple!E$1,FALSE)</f>
        <v>USD</v>
      </c>
      <c r="F33" t="s">
        <v>68</v>
      </c>
      <c r="G33" s="128">
        <f>VLOOKUP($B33,Apple!$B$3:$H$176,Apple!F$1,FALSE)</f>
        <v>72.989999999999995</v>
      </c>
      <c r="H33" s="128">
        <f>VLOOKUP($B33,Apple!$B$3:$H$176,Apple!H$1,FALSE)</f>
        <v>54.99</v>
      </c>
      <c r="I33" s="73">
        <f t="shared" si="0"/>
        <v>50.99</v>
      </c>
      <c r="J33" s="73">
        <f t="shared" si="1"/>
        <v>37.99</v>
      </c>
      <c r="K33" s="111">
        <f t="shared" si="2"/>
        <v>-0.30141115221263182</v>
      </c>
      <c r="L33" s="111">
        <f t="shared" si="3"/>
        <v>-0.30914711765775593</v>
      </c>
      <c r="N33" s="31" t="str">
        <f>+VLOOKUP(C33,'Country &amp; Code Abbreviation'!$C$3:$D$245,2,FALSE)</f>
        <v>BEN</v>
      </c>
    </row>
    <row r="34" spans="2:14" ht="12.75" customHeight="1">
      <c r="B34" s="225" t="s">
        <v>94</v>
      </c>
      <c r="C34" t="str">
        <f>VLOOKUP($B34,Google!$B$3:$E$176,Google!C$1,FALSE)</f>
        <v>BJ</v>
      </c>
      <c r="D34" t="str">
        <f>VLOOKUP($B34,Google!$B$3:$E$176,Google!D$1,FALSE)</f>
        <v>XOF</v>
      </c>
      <c r="E34" t="str">
        <f>VLOOKUP($B34,Google!$B$3:$E$176,Google!E$1,FALSE)</f>
        <v>EUR</v>
      </c>
      <c r="F34" t="s">
        <v>69</v>
      </c>
      <c r="G34" s="128">
        <f>VLOOKUP($B34,Google!$B$3:$H$176,Google!F$1,FALSE)</f>
        <v>66.989999999999995</v>
      </c>
      <c r="H34" s="128">
        <f>VLOOKUP($B34,Google!$B$3:$H$176,Google!H$1,FALSE)</f>
        <v>48.99</v>
      </c>
      <c r="I34" s="73">
        <f t="shared" si="0"/>
        <v>46.99</v>
      </c>
      <c r="J34" s="73">
        <f t="shared" si="1"/>
        <v>33.99</v>
      </c>
      <c r="K34" s="111">
        <f t="shared" si="2"/>
        <v>-0.29855202268995362</v>
      </c>
      <c r="L34" s="111">
        <f t="shared" si="3"/>
        <v>-0.30618493570116345</v>
      </c>
      <c r="N34" s="31" t="str">
        <f>+VLOOKUP(C34,'Country &amp; Code Abbreviation'!$C$3:$D$245,2,FALSE)</f>
        <v>BEN</v>
      </c>
    </row>
    <row r="35" spans="2:14" ht="12.75" customHeight="1">
      <c r="B35" s="25" t="s">
        <v>95</v>
      </c>
      <c r="C35" t="str">
        <f>VLOOKUP($B35,Apple!$B$3:$E$176,Apple!C$1,FALSE)</f>
        <v>BM</v>
      </c>
      <c r="D35" t="str">
        <f>VLOOKUP($B35,Apple!$B$3:$E$176,Apple!D$1,FALSE)</f>
        <v>BMD</v>
      </c>
      <c r="E35" t="str">
        <f>VLOOKUP($B35,Apple!$B$3:$E$176,Apple!E$1,FALSE)</f>
        <v>USD</v>
      </c>
      <c r="F35" t="s">
        <v>68</v>
      </c>
      <c r="G35" s="128">
        <f>VLOOKUP($B35,Apple!$B$3:$H$176,Apple!F$1,FALSE)</f>
        <v>95.99</v>
      </c>
      <c r="H35" s="128">
        <f>VLOOKUP($B35,Apple!$B$3:$H$176,Apple!H$1,FALSE)</f>
        <v>71.989999999999995</v>
      </c>
      <c r="I35" s="73">
        <f t="shared" si="0"/>
        <v>66.989999999999995</v>
      </c>
      <c r="J35" s="73">
        <f t="shared" si="1"/>
        <v>49.99</v>
      </c>
      <c r="K35" s="111">
        <f t="shared" si="2"/>
        <v>-0.30211480362537768</v>
      </c>
      <c r="L35" s="111">
        <f t="shared" si="3"/>
        <v>-0.3055979997221836</v>
      </c>
      <c r="N35" s="31" t="str">
        <f>+VLOOKUP(C35,'Country &amp; Code Abbreviation'!$C$3:$D$245,2,FALSE)</f>
        <v>BMU</v>
      </c>
    </row>
    <row r="36" spans="2:14" ht="12.75" customHeight="1">
      <c r="B36" s="25" t="s">
        <v>95</v>
      </c>
      <c r="C36" t="str">
        <f>VLOOKUP($B36,Google!$B$3:$E$176,Google!C$1,FALSE)</f>
        <v>BM</v>
      </c>
      <c r="D36" t="str">
        <f>VLOOKUP($B36,Google!$B$3:$E$176,Google!D$1,FALSE)</f>
        <v>BMD</v>
      </c>
      <c r="E36" t="str">
        <f>VLOOKUP($B36,Google!$B$3:$E$176,Google!E$1,FALSE)</f>
        <v>USD</v>
      </c>
      <c r="F36" t="s">
        <v>69</v>
      </c>
      <c r="G36" s="128">
        <f>VLOOKUP($B36,Google!$B$3:$H$176,Google!F$1,FALSE)</f>
        <v>95.99</v>
      </c>
      <c r="H36" s="128">
        <f>VLOOKUP($B36,Google!$B$3:$H$176,Google!H$1,FALSE)</f>
        <v>71.989999999999995</v>
      </c>
      <c r="I36" s="73">
        <f t="shared" si="0"/>
        <v>66.989999999999995</v>
      </c>
      <c r="J36" s="73">
        <f t="shared" si="1"/>
        <v>49.99</v>
      </c>
      <c r="K36" s="111">
        <f t="shared" si="2"/>
        <v>-0.30211480362537768</v>
      </c>
      <c r="L36" s="111">
        <f t="shared" si="3"/>
        <v>-0.3055979997221836</v>
      </c>
      <c r="N36" s="31" t="str">
        <f>+VLOOKUP(C36,'Country &amp; Code Abbreviation'!$C$3:$D$245,2,FALSE)</f>
        <v>BMU</v>
      </c>
    </row>
    <row r="37" spans="2:14" ht="12.75" customHeight="1">
      <c r="B37" s="25" t="s">
        <v>97</v>
      </c>
      <c r="C37" t="str">
        <f>VLOOKUP($B37,Apple!$B$3:$E$176,Apple!C$1,FALSE)</f>
        <v>BT</v>
      </c>
      <c r="D37" t="str">
        <f>VLOOKUP($B37,Apple!$B$3:$E$176,Apple!D$1,FALSE)</f>
        <v>USD</v>
      </c>
      <c r="E37" t="str">
        <f>VLOOKUP($B37,Apple!$B$3:$E$176,Apple!E$1,FALSE)</f>
        <v>USD</v>
      </c>
      <c r="F37" t="s">
        <v>68</v>
      </c>
      <c r="G37" s="128">
        <f>VLOOKUP($B37,Apple!$B$3:$H$176,Apple!F$1,FALSE)</f>
        <v>71.989999999999995</v>
      </c>
      <c r="H37" s="128">
        <f>VLOOKUP($B37,Apple!$B$3:$H$176,Apple!H$1,FALSE)</f>
        <v>53.99</v>
      </c>
      <c r="I37" s="73">
        <f t="shared" si="0"/>
        <v>49.99</v>
      </c>
      <c r="J37" s="73">
        <f t="shared" si="1"/>
        <v>37.99</v>
      </c>
      <c r="K37" s="111">
        <f t="shared" si="2"/>
        <v>-0.3055979997221836</v>
      </c>
      <c r="L37" s="111">
        <f t="shared" si="3"/>
        <v>-0.2963511761437303</v>
      </c>
      <c r="N37" s="31" t="str">
        <f>+VLOOKUP(C37,'Country &amp; Code Abbreviation'!$C$3:$D$245,2,FALSE)</f>
        <v>BTN</v>
      </c>
    </row>
    <row r="38" spans="2:14" ht="12.75" customHeight="1">
      <c r="B38" s="25" t="s">
        <v>98</v>
      </c>
      <c r="C38" t="str">
        <f>VLOOKUP($B38,Apple!$B$3:$E$176,Apple!C$1,FALSE)</f>
        <v>BO</v>
      </c>
      <c r="D38" t="str">
        <f>VLOOKUP($B38,Apple!$B$3:$E$176,Apple!D$1,FALSE)</f>
        <v>BOB</v>
      </c>
      <c r="E38" t="str">
        <f>VLOOKUP($B38,Apple!$B$3:$E$176,Apple!E$1,FALSE)</f>
        <v>USD</v>
      </c>
      <c r="F38" t="s">
        <v>68</v>
      </c>
      <c r="G38" s="128">
        <f>VLOOKUP($B38,Apple!$B$3:$H$176,Apple!F$1,FALSE)</f>
        <v>80.989999999999995</v>
      </c>
      <c r="H38" s="128">
        <f>VLOOKUP($B38,Apple!$B$3:$H$176,Apple!H$1,FALSE)</f>
        <v>59.99</v>
      </c>
      <c r="I38" s="73">
        <f t="shared" si="0"/>
        <v>56.99</v>
      </c>
      <c r="J38" s="73">
        <f t="shared" si="1"/>
        <v>41.99</v>
      </c>
      <c r="K38" s="111">
        <f t="shared" si="2"/>
        <v>-0.29633288060254348</v>
      </c>
      <c r="L38" s="111">
        <f t="shared" si="3"/>
        <v>-0.3000500083347224</v>
      </c>
      <c r="N38" s="31" t="str">
        <f>+VLOOKUP(C38,'Country &amp; Code Abbreviation'!$C$3:$D$245,2,FALSE)</f>
        <v>BOL</v>
      </c>
    </row>
    <row r="39" spans="2:14" ht="12.75" customHeight="1">
      <c r="B39" s="25" t="s">
        <v>98</v>
      </c>
      <c r="C39" t="str">
        <f>VLOOKUP($B39,Google!$B$3:$E$176,Google!C$1,FALSE)</f>
        <v>BO</v>
      </c>
      <c r="D39" t="str">
        <f>VLOOKUP($B39,Google!$B$3:$E$176,Google!D$1,FALSE)</f>
        <v>BOB</v>
      </c>
      <c r="E39" t="str">
        <f>VLOOKUP($B39,Google!$B$3:$E$176,Google!E$1,FALSE)</f>
        <v>BOB</v>
      </c>
      <c r="F39" t="s">
        <v>69</v>
      </c>
      <c r="G39" s="128">
        <f>VLOOKUP($B39,Google!$B$3:$H$176,Google!F$1,FALSE)</f>
        <v>559.99</v>
      </c>
      <c r="H39" s="128">
        <f>VLOOKUP($B39,Google!$B$3:$H$176,Google!H$1,FALSE)</f>
        <v>409.99</v>
      </c>
      <c r="I39" s="73">
        <f>+MROUND(G39*0.7,10)-0.01</f>
        <v>389.99</v>
      </c>
      <c r="J39" s="73">
        <f>+MROUND(H39*0.7,10)-0.01</f>
        <v>289.99</v>
      </c>
      <c r="K39" s="111">
        <f t="shared" si="2"/>
        <v>-0.30357684958659981</v>
      </c>
      <c r="L39" s="111">
        <f t="shared" si="3"/>
        <v>-0.29269006561135635</v>
      </c>
      <c r="N39" s="31" t="str">
        <f>+VLOOKUP(C39,'Country &amp; Code Abbreviation'!$C$3:$D$245,2,FALSE)</f>
        <v>BOL</v>
      </c>
    </row>
    <row r="40" spans="2:14" ht="12.75" customHeight="1">
      <c r="B40" s="225" t="s">
        <v>101</v>
      </c>
      <c r="C40" t="str">
        <f>VLOOKUP($B40,Apple!$B$3:$E$176,Apple!C$1,FALSE)</f>
        <v>BA</v>
      </c>
      <c r="D40" t="str">
        <f>VLOOKUP($B40,Apple!$B$3:$E$176,Apple!D$1,FALSE)</f>
        <v>BAM</v>
      </c>
      <c r="E40" t="str">
        <f>VLOOKUP($B40,Apple!$B$3:$E$176,Apple!E$1,FALSE)</f>
        <v>EUR</v>
      </c>
      <c r="F40" t="s">
        <v>68</v>
      </c>
      <c r="G40" s="128">
        <f>VLOOKUP($B40,Apple!$B$3:$H$176,Apple!F$1,FALSE)</f>
        <v>76.989999999999995</v>
      </c>
      <c r="H40" s="128">
        <f>VLOOKUP($B40,Apple!$B$3:$H$176,Apple!H$1,FALSE)</f>
        <v>54.99</v>
      </c>
      <c r="I40" s="73">
        <f t="shared" si="0"/>
        <v>53.99</v>
      </c>
      <c r="J40" s="73">
        <f t="shared" si="1"/>
        <v>37.99</v>
      </c>
      <c r="K40" s="111">
        <f t="shared" si="2"/>
        <v>-0.29874009611637864</v>
      </c>
      <c r="L40" s="111">
        <f t="shared" si="3"/>
        <v>-0.30914711765775593</v>
      </c>
      <c r="N40" s="31" t="str">
        <f>+VLOOKUP(C40,'Country &amp; Code Abbreviation'!$C$3:$D$245,2,FALSE)</f>
        <v>BIH</v>
      </c>
    </row>
    <row r="41" spans="2:14" ht="12.75" customHeight="1">
      <c r="B41" s="25" t="s">
        <v>101</v>
      </c>
      <c r="C41" t="str">
        <f>VLOOKUP($B41,Google!$B$3:$E$176,Google!C$1,FALSE)</f>
        <v>BA</v>
      </c>
      <c r="D41" t="str">
        <f>VLOOKUP($B41,Google!$B$3:$E$176,Google!D$1,FALSE)</f>
        <v>BAM</v>
      </c>
      <c r="E41" t="str">
        <f>VLOOKUP($B41,Google!$B$3:$E$176,Google!E$1,FALSE)</f>
        <v>USD</v>
      </c>
      <c r="F41" t="s">
        <v>69</v>
      </c>
      <c r="G41" s="128">
        <f>VLOOKUP($B41,Google!$B$3:$H$176,Google!F$1,FALSE)</f>
        <v>82.99</v>
      </c>
      <c r="H41" s="128">
        <f>VLOOKUP($B41,Google!$B$3:$H$176,Google!H$1,FALSE)</f>
        <v>59.99</v>
      </c>
      <c r="I41" s="73">
        <f t="shared" si="0"/>
        <v>57.99</v>
      </c>
      <c r="J41" s="73">
        <f t="shared" si="1"/>
        <v>41.99</v>
      </c>
      <c r="K41" s="111">
        <f t="shared" si="2"/>
        <v>-0.30124111338715498</v>
      </c>
      <c r="L41" s="111">
        <f t="shared" si="3"/>
        <v>-0.3000500083347224</v>
      </c>
      <c r="N41" s="31" t="str">
        <f>+VLOOKUP(C41,'Country &amp; Code Abbreviation'!$C$3:$D$245,2,FALSE)</f>
        <v>BIH</v>
      </c>
    </row>
    <row r="42" spans="2:14" ht="12.75" customHeight="1">
      <c r="B42" s="25" t="s">
        <v>102</v>
      </c>
      <c r="C42" t="str">
        <f>VLOOKUP($B42,Apple!$B$3:$E$176,Apple!C$1,FALSE)</f>
        <v>BW</v>
      </c>
      <c r="D42" t="str">
        <f>VLOOKUP($B42,Apple!$B$3:$E$176,Apple!D$1,FALSE)</f>
        <v>BWP</v>
      </c>
      <c r="E42" t="str">
        <f>VLOOKUP($B42,Apple!$B$3:$E$176,Apple!E$1,FALSE)</f>
        <v>USD</v>
      </c>
      <c r="F42" t="s">
        <v>68</v>
      </c>
      <c r="G42" s="128">
        <f>VLOOKUP($B42,Apple!$B$3:$H$176,Apple!F$1,FALSE)</f>
        <v>53.99</v>
      </c>
      <c r="H42" s="128">
        <f>VLOOKUP($B42,Apple!$B$3:$H$176,Apple!H$1,FALSE)</f>
        <v>39.99</v>
      </c>
      <c r="I42" s="73">
        <f t="shared" si="0"/>
        <v>37.99</v>
      </c>
      <c r="J42" s="73">
        <f t="shared" si="1"/>
        <v>27.99</v>
      </c>
      <c r="K42" s="111">
        <f t="shared" si="2"/>
        <v>-0.2963511761437303</v>
      </c>
      <c r="L42" s="111">
        <f t="shared" si="3"/>
        <v>-0.30007501875468878</v>
      </c>
      <c r="N42" s="31" t="str">
        <f>+VLOOKUP(C42,'Country &amp; Code Abbreviation'!$C$3:$D$245,2,FALSE)</f>
        <v>BWA</v>
      </c>
    </row>
    <row r="43" spans="2:14" ht="12.75" customHeight="1">
      <c r="B43" s="25" t="s">
        <v>102</v>
      </c>
      <c r="C43" t="str">
        <f>VLOOKUP($B43,Google!$B$3:$E$176,Google!C$1,FALSE)</f>
        <v>BW</v>
      </c>
      <c r="D43" t="str">
        <f>VLOOKUP($B43,Google!$B$3:$E$176,Google!D$1,FALSE)</f>
        <v>BWP</v>
      </c>
      <c r="E43" t="str">
        <f>VLOOKUP($B43,Google!$B$3:$E$176,Google!E$1,FALSE)</f>
        <v>USD</v>
      </c>
      <c r="F43" t="s">
        <v>69</v>
      </c>
      <c r="G43" s="128">
        <f>VLOOKUP($B43,Google!$B$3:$H$176,Google!F$1,FALSE)</f>
        <v>53.99</v>
      </c>
      <c r="H43" s="128">
        <f>VLOOKUP($B43,Google!$B$3:$H$176,Google!H$1,FALSE)</f>
        <v>39.99</v>
      </c>
      <c r="I43" s="73">
        <f t="shared" si="0"/>
        <v>37.99</v>
      </c>
      <c r="J43" s="73">
        <f t="shared" si="1"/>
        <v>27.99</v>
      </c>
      <c r="K43" s="111">
        <f t="shared" si="2"/>
        <v>-0.2963511761437303</v>
      </c>
      <c r="L43" s="111">
        <f t="shared" si="3"/>
        <v>-0.30007501875468878</v>
      </c>
      <c r="N43" s="31" t="str">
        <f>+VLOOKUP(C43,'Country &amp; Code Abbreviation'!$C$3:$D$245,2,FALSE)</f>
        <v>BWA</v>
      </c>
    </row>
    <row r="44" spans="2:14" ht="12.75" customHeight="1">
      <c r="B44" s="163" t="s">
        <v>104</v>
      </c>
      <c r="C44" t="str">
        <f>VLOOKUP($B44,Apple!$B$3:$E$176,Apple!C$1,FALSE)</f>
        <v>BR</v>
      </c>
      <c r="D44" t="str">
        <f>VLOOKUP($B44,Apple!$B$3:$E$176,Apple!D$1,FALSE)</f>
        <v>BRL</v>
      </c>
      <c r="E44" t="str">
        <f>VLOOKUP($B44,Apple!$B$3:$E$176,Apple!E$1,FALSE)</f>
        <v>BRL</v>
      </c>
      <c r="F44" t="s">
        <v>68</v>
      </c>
      <c r="G44" s="128">
        <f>VLOOKUP($B44,Apple!$B$3:$H$176,Apple!F$1,FALSE)</f>
        <v>489.9</v>
      </c>
      <c r="H44" s="128">
        <f>VLOOKUP($B44,Apple!$B$3:$H$176,Apple!H$1,FALSE)</f>
        <v>384.9</v>
      </c>
      <c r="I44" s="73">
        <f>+MROUND(G44*0.7,5)-0.1</f>
        <v>344.9</v>
      </c>
      <c r="J44" s="73">
        <f>+MROUND(H44*0.7,5)-0.1</f>
        <v>269.89999999999998</v>
      </c>
      <c r="K44" s="111">
        <f t="shared" si="2"/>
        <v>-0.29597877117779137</v>
      </c>
      <c r="L44" s="111">
        <f t="shared" si="3"/>
        <v>-0.29877890361132764</v>
      </c>
      <c r="N44" s="31" t="str">
        <f>+VLOOKUP(C44,'Country &amp; Code Abbreviation'!$C$3:$D$245,2,FALSE)</f>
        <v>BRA</v>
      </c>
    </row>
    <row r="45" spans="2:14" ht="12.75" customHeight="1">
      <c r="B45" s="25" t="s">
        <v>104</v>
      </c>
      <c r="C45" t="str">
        <f>VLOOKUP($B45,Google!$B$3:$E$176,Google!C$1,FALSE)</f>
        <v>BR</v>
      </c>
      <c r="D45" t="str">
        <f>VLOOKUP($B45,Google!$B$3:$E$176,Google!D$1,FALSE)</f>
        <v>BRL</v>
      </c>
      <c r="E45" t="str">
        <f>VLOOKUP($B45,Google!$B$3:$E$176,Google!E$1,FALSE)</f>
        <v>BRL</v>
      </c>
      <c r="F45" t="s">
        <v>69</v>
      </c>
      <c r="G45" s="128">
        <f>VLOOKUP($B45,Google!$B$3:$H$176,Google!F$1,FALSE)</f>
        <v>489.9</v>
      </c>
      <c r="H45" s="128">
        <f>VLOOKUP($B45,Google!$B$3:$H$176,Google!H$1,FALSE)</f>
        <v>384.9</v>
      </c>
      <c r="I45" s="73">
        <f>+MROUND(G45*0.7,5)-0.1</f>
        <v>344.9</v>
      </c>
      <c r="J45" s="73">
        <f>+MROUND(H45*0.7,5)-0.1</f>
        <v>269.89999999999998</v>
      </c>
      <c r="K45" s="111">
        <f t="shared" si="2"/>
        <v>-0.29597877117779137</v>
      </c>
      <c r="L45" s="111">
        <f t="shared" si="3"/>
        <v>-0.29877890361132764</v>
      </c>
      <c r="N45" s="31" t="str">
        <f>+VLOOKUP(C45,'Country &amp; Code Abbreviation'!$C$3:$D$245,2,FALSE)</f>
        <v>BRA</v>
      </c>
    </row>
    <row r="46" spans="2:14" ht="12.75" customHeight="1">
      <c r="B46" s="25" t="s">
        <v>106</v>
      </c>
      <c r="C46" t="str">
        <f>VLOOKUP($B46,Apple!$B$3:$E$176,Apple!C$1,FALSE)</f>
        <v>VG</v>
      </c>
      <c r="D46" t="str">
        <f>VLOOKUP($B46,Apple!$B$3:$E$176,Apple!D$1,FALSE)</f>
        <v>USD</v>
      </c>
      <c r="E46" t="str">
        <f>VLOOKUP($B46,Apple!$B$3:$E$176,Apple!E$1,FALSE)</f>
        <v>USD</v>
      </c>
      <c r="F46" t="s">
        <v>68</v>
      </c>
      <c r="G46" s="128">
        <f>VLOOKUP($B46,Apple!$B$3:$H$176,Apple!F$1,FALSE)</f>
        <v>102.99</v>
      </c>
      <c r="H46" s="128">
        <f>VLOOKUP($B46,Apple!$B$3:$H$176,Apple!H$1,FALSE)</f>
        <v>71.989999999999995</v>
      </c>
      <c r="I46" s="73">
        <f t="shared" si="0"/>
        <v>71.989999999999995</v>
      </c>
      <c r="J46" s="73">
        <f t="shared" si="1"/>
        <v>49.99</v>
      </c>
      <c r="K46" s="111">
        <f t="shared" si="2"/>
        <v>-0.30100009709680553</v>
      </c>
      <c r="L46" s="111">
        <f t="shared" si="3"/>
        <v>-0.3055979997221836</v>
      </c>
      <c r="N46" s="31" t="str">
        <f>+VLOOKUP(C46,'Country &amp; Code Abbreviation'!$C$3:$D$245,2,FALSE)</f>
        <v>VGB</v>
      </c>
    </row>
    <row r="47" spans="2:14" ht="12.75" customHeight="1">
      <c r="B47" s="25" t="s">
        <v>106</v>
      </c>
      <c r="C47" t="str">
        <f>VLOOKUP($B47,Google!$B$3:$E$176,Google!C$1,FALSE)</f>
        <v>VG</v>
      </c>
      <c r="D47" t="str">
        <f>VLOOKUP($B47,Google!$B$3:$E$176,Google!D$1,FALSE)</f>
        <v>USD</v>
      </c>
      <c r="E47" t="str">
        <f>VLOOKUP($B47,Google!$B$3:$E$176,Google!E$1,FALSE)</f>
        <v>USD</v>
      </c>
      <c r="F47" t="s">
        <v>69</v>
      </c>
      <c r="G47" s="128">
        <f>VLOOKUP($B47,Google!$B$3:$H$176,Google!F$1,FALSE)</f>
        <v>102.99</v>
      </c>
      <c r="H47" s="128">
        <f>VLOOKUP($B47,Google!$B$3:$H$176,Google!H$1,FALSE)</f>
        <v>71.989999999999995</v>
      </c>
      <c r="I47" s="73">
        <f t="shared" si="0"/>
        <v>71.989999999999995</v>
      </c>
      <c r="J47" s="73">
        <f t="shared" si="1"/>
        <v>49.99</v>
      </c>
      <c r="K47" s="111">
        <f t="shared" si="2"/>
        <v>-0.30100009709680553</v>
      </c>
      <c r="L47" s="111">
        <f t="shared" si="3"/>
        <v>-0.3055979997221836</v>
      </c>
      <c r="N47" s="31" t="str">
        <f>+VLOOKUP(C47,'Country &amp; Code Abbreviation'!$C$3:$D$245,2,FALSE)</f>
        <v>VGB</v>
      </c>
    </row>
    <row r="48" spans="2:14" ht="12.75" customHeight="1">
      <c r="B48" s="25" t="s">
        <v>107</v>
      </c>
      <c r="C48" t="str">
        <f>VLOOKUP($B48,Apple!$B$3:$E$176,Apple!C$1,FALSE)</f>
        <v>BN</v>
      </c>
      <c r="D48" t="str">
        <f>VLOOKUP($B48,Apple!$B$3:$E$176,Apple!D$1,FALSE)</f>
        <v>BND</v>
      </c>
      <c r="E48" t="str">
        <f>VLOOKUP($B48,Apple!$B$3:$E$176,Apple!E$1,FALSE)</f>
        <v>USD</v>
      </c>
      <c r="F48" t="s">
        <v>68</v>
      </c>
      <c r="G48" s="128">
        <f>VLOOKUP($B48,Apple!$B$3:$H$176,Apple!F$1,FALSE)</f>
        <v>79.989999999999995</v>
      </c>
      <c r="H48" s="128">
        <f>VLOOKUP($B48,Apple!$B$3:$H$176,Apple!H$1,FALSE)</f>
        <v>57.99</v>
      </c>
      <c r="I48" s="73">
        <f t="shared" si="0"/>
        <v>55.99</v>
      </c>
      <c r="J48" s="251">
        <v>39.99</v>
      </c>
      <c r="K48" s="111">
        <f t="shared" si="2"/>
        <v>-0.30003750468808599</v>
      </c>
      <c r="L48" s="111">
        <f t="shared" si="3"/>
        <v>-0.31039834454216242</v>
      </c>
      <c r="N48" s="31" t="str">
        <f>+VLOOKUP(C48,'Country &amp; Code Abbreviation'!$C$3:$D$245,2,FALSE)</f>
        <v>BRN</v>
      </c>
    </row>
    <row r="49" spans="2:14" ht="12.75" customHeight="1">
      <c r="B49" s="25" t="s">
        <v>108</v>
      </c>
      <c r="C49" t="str">
        <f>VLOOKUP($B49,Apple!$B$3:$E$176,Apple!C$1,FALSE)</f>
        <v>BG</v>
      </c>
      <c r="D49" t="str">
        <f>VLOOKUP($B49,Apple!$B$3:$E$176,Apple!D$1,FALSE)</f>
        <v>EUR</v>
      </c>
      <c r="E49" t="str">
        <f>VLOOKUP($B49,Apple!$B$3:$E$176,Apple!E$1,FALSE)</f>
        <v>EUR</v>
      </c>
      <c r="F49" t="s">
        <v>68</v>
      </c>
      <c r="G49" s="128">
        <f>VLOOKUP($B49,Apple!$B$3:$H$176,Apple!F$1,FALSE)</f>
        <v>92.99</v>
      </c>
      <c r="H49" s="128">
        <f>VLOOKUP($B49,Apple!$B$3:$H$176,Apple!H$1,FALSE)</f>
        <v>68.989999999999995</v>
      </c>
      <c r="I49" s="73">
        <f t="shared" si="0"/>
        <v>64.989999999999995</v>
      </c>
      <c r="J49" s="73">
        <f t="shared" si="1"/>
        <v>47.99</v>
      </c>
      <c r="K49" s="111">
        <f t="shared" si="2"/>
        <v>-0.30110764598343909</v>
      </c>
      <c r="L49" s="111">
        <f t="shared" si="3"/>
        <v>-0.3043919408609943</v>
      </c>
      <c r="N49" s="31" t="str">
        <f>+VLOOKUP(C49,'Country &amp; Code Abbreviation'!$C$3:$D$245,2,FALSE)</f>
        <v>BGR</v>
      </c>
    </row>
    <row r="50" spans="2:14" ht="12.75" customHeight="1">
      <c r="B50" s="25" t="s">
        <v>108</v>
      </c>
      <c r="C50" t="str">
        <f>VLOOKUP($B50,Google!$B$3:$E$176,Google!C$1,FALSE)</f>
        <v>BG</v>
      </c>
      <c r="D50" t="str">
        <f>VLOOKUP($B50,Google!$B$3:$E$176,Google!D$1,FALSE)</f>
        <v>EUR</v>
      </c>
      <c r="E50" t="str">
        <f>VLOOKUP($B50,Google!$B$3:$E$176,Google!E$1,FALSE)</f>
        <v>BGN</v>
      </c>
      <c r="F50" t="s">
        <v>69</v>
      </c>
      <c r="G50" s="128">
        <f>VLOOKUP($B50,Google!$B$3:$H$176,Google!F$1,FALSE)</f>
        <v>92.99</v>
      </c>
      <c r="H50" s="128">
        <f>VLOOKUP($B50,Google!$B$3:$H$176,Google!H$1,FALSE)</f>
        <v>68.989999999999995</v>
      </c>
      <c r="I50" s="73">
        <f t="shared" si="0"/>
        <v>64.989999999999995</v>
      </c>
      <c r="J50" s="73">
        <f t="shared" si="1"/>
        <v>47.99</v>
      </c>
      <c r="K50" s="111">
        <f t="shared" si="2"/>
        <v>-0.30110764598343909</v>
      </c>
      <c r="L50" s="111">
        <f t="shared" si="3"/>
        <v>-0.3043919408609943</v>
      </c>
      <c r="N50" s="31" t="str">
        <f>+VLOOKUP(C50,'Country &amp; Code Abbreviation'!$C$3:$D$245,2,FALSE)</f>
        <v>BGR</v>
      </c>
    </row>
    <row r="51" spans="2:14" ht="12.75" customHeight="1">
      <c r="B51" s="25" t="s">
        <v>109</v>
      </c>
      <c r="C51" t="str">
        <f>VLOOKUP($B51,Apple!$B$3:$E$176,Apple!C$1,FALSE)</f>
        <v>BF</v>
      </c>
      <c r="D51" t="str">
        <f>VLOOKUP($B51,Apple!$B$3:$E$176,Apple!D$1,FALSE)</f>
        <v>XOF</v>
      </c>
      <c r="E51" t="str">
        <f>VLOOKUP($B51,Apple!$B$3:$E$176,Apple!E$1,FALSE)</f>
        <v>USD</v>
      </c>
      <c r="F51" t="s">
        <v>68</v>
      </c>
      <c r="G51" s="128">
        <f>VLOOKUP($B51,Apple!$B$3:$H$176,Apple!F$1,FALSE)</f>
        <v>72.989999999999995</v>
      </c>
      <c r="H51" s="128">
        <f>VLOOKUP($B51,Apple!$B$3:$H$176,Apple!H$1,FALSE)</f>
        <v>54.99</v>
      </c>
      <c r="I51" s="73">
        <f t="shared" si="0"/>
        <v>50.99</v>
      </c>
      <c r="J51" s="73">
        <f t="shared" si="1"/>
        <v>37.99</v>
      </c>
      <c r="K51" s="111">
        <f t="shared" si="2"/>
        <v>-0.30141115221263182</v>
      </c>
      <c r="L51" s="111">
        <f t="shared" si="3"/>
        <v>-0.30914711765775593</v>
      </c>
      <c r="N51" s="31" t="str">
        <f>+VLOOKUP(C51,'Country &amp; Code Abbreviation'!$C$3:$D$245,2,FALSE)</f>
        <v>BFA</v>
      </c>
    </row>
    <row r="52" spans="2:14" ht="12.75" customHeight="1">
      <c r="B52" s="225" t="s">
        <v>109</v>
      </c>
      <c r="C52" t="str">
        <f>VLOOKUP($B52,Google!$B$3:$E$176,Google!C$1,FALSE)</f>
        <v>BF</v>
      </c>
      <c r="D52" t="str">
        <f>VLOOKUP($B52,Google!$B$3:$E$176,Google!D$1,FALSE)</f>
        <v>XOF</v>
      </c>
      <c r="E52" t="str">
        <f>VLOOKUP($B52,Google!$B$3:$E$176,Google!E$1,FALSE)</f>
        <v>EUR</v>
      </c>
      <c r="F52" t="s">
        <v>69</v>
      </c>
      <c r="G52" s="128">
        <f>VLOOKUP($B52,Google!$B$3:$H$176,Google!F$1,FALSE)</f>
        <v>66.989999999999995</v>
      </c>
      <c r="H52" s="128">
        <f>VLOOKUP($B52,Google!$B$3:$H$176,Google!H$1,FALSE)</f>
        <v>48.99</v>
      </c>
      <c r="I52" s="73">
        <f t="shared" si="0"/>
        <v>46.99</v>
      </c>
      <c r="J52" s="73">
        <f t="shared" si="1"/>
        <v>33.99</v>
      </c>
      <c r="K52" s="111">
        <f t="shared" si="2"/>
        <v>-0.29855202268995362</v>
      </c>
      <c r="L52" s="111">
        <f t="shared" si="3"/>
        <v>-0.30618493570116345</v>
      </c>
      <c r="N52" s="31" t="str">
        <f>+VLOOKUP(C52,'Country &amp; Code Abbreviation'!$C$3:$D$245,2,FALSE)</f>
        <v>BFA</v>
      </c>
    </row>
    <row r="53" spans="2:14" ht="12.75" customHeight="1">
      <c r="B53" s="25" t="s">
        <v>111</v>
      </c>
      <c r="C53" t="str">
        <f>VLOOKUP($B53,Apple!$B$3:$E$176,Apple!C$1,FALSE)</f>
        <v>KH</v>
      </c>
      <c r="D53" t="str">
        <f>VLOOKUP($B53,Apple!$B$3:$E$176,Apple!D$1,FALSE)</f>
        <v>KHR</v>
      </c>
      <c r="E53" t="str">
        <f>VLOOKUP($B53,Apple!$B$3:$E$176,Apple!E$1,FALSE)</f>
        <v>USD</v>
      </c>
      <c r="F53" t="s">
        <v>68</v>
      </c>
      <c r="G53" s="128">
        <f>VLOOKUP($B53,Apple!$B$3:$H$176,Apple!F$1,FALSE)</f>
        <v>71.989999999999995</v>
      </c>
      <c r="H53" s="128">
        <f>VLOOKUP($B53,Apple!$B$3:$H$176,Apple!H$1,FALSE)</f>
        <v>53.99</v>
      </c>
      <c r="I53" s="73">
        <f t="shared" si="0"/>
        <v>49.99</v>
      </c>
      <c r="J53" s="73">
        <f t="shared" si="1"/>
        <v>37.99</v>
      </c>
      <c r="K53" s="111">
        <f t="shared" si="2"/>
        <v>-0.3055979997221836</v>
      </c>
      <c r="L53" s="111">
        <f t="shared" si="3"/>
        <v>-0.2963511761437303</v>
      </c>
      <c r="N53" s="31" t="str">
        <f>+VLOOKUP(C53,'Country &amp; Code Abbreviation'!$C$3:$D$245,2,FALSE)</f>
        <v>KHM</v>
      </c>
    </row>
    <row r="54" spans="2:14" ht="12.75" customHeight="1">
      <c r="B54" s="25" t="s">
        <v>111</v>
      </c>
      <c r="C54" t="str">
        <f>VLOOKUP($B54,Google!$B$3:$E$176,Google!C$1,FALSE)</f>
        <v>KH</v>
      </c>
      <c r="D54" t="str">
        <f>VLOOKUP($B54,Google!$B$3:$E$176,Google!D$1,FALSE)</f>
        <v>KHR</v>
      </c>
      <c r="E54" t="str">
        <f>VLOOKUP($B54,Google!$B$3:$E$176,Google!E$1,FALSE)</f>
        <v>USD</v>
      </c>
      <c r="F54" t="s">
        <v>69</v>
      </c>
      <c r="G54" s="128">
        <f>VLOOKUP($B54,Google!$B$3:$H$176,Google!F$1,FALSE)</f>
        <v>71.989999999999995</v>
      </c>
      <c r="H54" s="128">
        <f>VLOOKUP($B54,Google!$B$3:$H$176,Google!H$1,FALSE)</f>
        <v>53.99</v>
      </c>
      <c r="I54" s="73">
        <f t="shared" si="0"/>
        <v>49.99</v>
      </c>
      <c r="J54" s="73">
        <f t="shared" si="1"/>
        <v>37.99</v>
      </c>
      <c r="K54" s="111">
        <f t="shared" si="2"/>
        <v>-0.3055979997221836</v>
      </c>
      <c r="L54" s="111">
        <f t="shared" si="3"/>
        <v>-0.2963511761437303</v>
      </c>
      <c r="N54" s="31" t="str">
        <f>+VLOOKUP(C54,'Country &amp; Code Abbreviation'!$C$3:$D$245,2,FALSE)</f>
        <v>KHM</v>
      </c>
    </row>
    <row r="55" spans="2:14" ht="12.75" customHeight="1">
      <c r="B55" s="25" t="s">
        <v>112</v>
      </c>
      <c r="C55" t="str">
        <f>VLOOKUP($B55,Apple!$B$3:$E$176,Apple!C$1,FALSE)</f>
        <v>CM</v>
      </c>
      <c r="D55" t="str">
        <f>VLOOKUP($B55,Apple!$B$3:$E$176,Apple!D$1,FALSE)</f>
        <v>XAF</v>
      </c>
      <c r="E55" t="str">
        <f>VLOOKUP($B55,Apple!$B$3:$E$176,Apple!E$1,FALSE)</f>
        <v>USD</v>
      </c>
      <c r="F55" t="s">
        <v>68</v>
      </c>
      <c r="G55" s="128">
        <f>VLOOKUP($B55,Apple!$B$3:$H$176,Apple!F$1,FALSE)</f>
        <v>71.989999999999995</v>
      </c>
      <c r="H55" s="128">
        <f>VLOOKUP($B55,Apple!$B$3:$H$176,Apple!H$1,FALSE)</f>
        <v>53.99</v>
      </c>
      <c r="I55" s="73">
        <f t="shared" si="0"/>
        <v>49.99</v>
      </c>
      <c r="J55" s="73">
        <f t="shared" si="1"/>
        <v>37.99</v>
      </c>
      <c r="K55" s="111">
        <f t="shared" si="2"/>
        <v>-0.3055979997221836</v>
      </c>
      <c r="L55" s="111">
        <f t="shared" si="3"/>
        <v>-0.2963511761437303</v>
      </c>
      <c r="N55" s="31" t="str">
        <f>+VLOOKUP(C55,'Country &amp; Code Abbreviation'!$C$3:$D$245,2,FALSE)</f>
        <v>CMR</v>
      </c>
    </row>
    <row r="56" spans="2:14" ht="12.75" customHeight="1">
      <c r="B56" s="163" t="s">
        <v>112</v>
      </c>
      <c r="C56" t="str">
        <f>VLOOKUP($B56,Google!$B$3:$E$176,Google!C$1,FALSE)</f>
        <v>CM</v>
      </c>
      <c r="D56" t="str">
        <f>VLOOKUP($B56,Google!$B$3:$E$176,Google!D$1,FALSE)</f>
        <v>XAF</v>
      </c>
      <c r="E56" t="str">
        <f>VLOOKUP($B56,Google!$B$3:$E$176,Google!E$1,FALSE)</f>
        <v>XAF</v>
      </c>
      <c r="F56" t="s">
        <v>69</v>
      </c>
      <c r="G56" s="128">
        <f>VLOOKUP($B56,Google!$B$3:$H$176,Google!F$1,FALSE)</f>
        <v>20410</v>
      </c>
      <c r="H56" s="128">
        <f>VLOOKUP($B56,Google!$B$3:$H$176,Google!H$1,FALSE)</f>
        <v>15120</v>
      </c>
      <c r="I56" s="253">
        <f>+MROUND(G56*0.7,10)</f>
        <v>14290</v>
      </c>
      <c r="J56" s="253">
        <f>+MROUND(H56*0.7,10)</f>
        <v>10580</v>
      </c>
      <c r="K56" s="111">
        <f t="shared" si="2"/>
        <v>-0.29985301322880942</v>
      </c>
      <c r="L56" s="111">
        <f t="shared" si="3"/>
        <v>-0.30026455026455023</v>
      </c>
      <c r="N56" s="31" t="str">
        <f>+VLOOKUP(C56,'Country &amp; Code Abbreviation'!$C$3:$D$245,2,FALSE)</f>
        <v>CMR</v>
      </c>
    </row>
    <row r="57" spans="2:14" ht="12.75" customHeight="1">
      <c r="B57" s="25" t="s">
        <v>114</v>
      </c>
      <c r="C57" t="str">
        <f>VLOOKUP($B57,Apple!$B$3:$E$176,Apple!C$1,FALSE)</f>
        <v>CV</v>
      </c>
      <c r="D57" t="str">
        <f>VLOOKUP($B57,Apple!$B$3:$E$176,Apple!D$1,FALSE)</f>
        <v>CVE</v>
      </c>
      <c r="E57" t="str">
        <f>VLOOKUP($B57,Apple!$B$3:$E$176,Apple!E$1,FALSE)</f>
        <v>USD</v>
      </c>
      <c r="F57" t="s">
        <v>68</v>
      </c>
      <c r="G57" s="128">
        <f>VLOOKUP($B57,Apple!$B$3:$H$176,Apple!F$1,FALSE)</f>
        <v>72.989999999999995</v>
      </c>
      <c r="H57" s="128">
        <f>VLOOKUP($B57,Apple!$B$3:$H$176,Apple!H$1,FALSE)</f>
        <v>53.99</v>
      </c>
      <c r="I57" s="73">
        <f t="shared" si="0"/>
        <v>50.99</v>
      </c>
      <c r="J57" s="73">
        <f t="shared" si="1"/>
        <v>37.99</v>
      </c>
      <c r="K57" s="111">
        <f t="shared" si="2"/>
        <v>-0.30141115221263182</v>
      </c>
      <c r="L57" s="111">
        <f t="shared" si="3"/>
        <v>-0.2963511761437303</v>
      </c>
      <c r="N57" s="31" t="str">
        <f>+VLOOKUP(C57,'Country &amp; Code Abbreviation'!$C$3:$D$245,2,FALSE)</f>
        <v>CPV</v>
      </c>
    </row>
    <row r="58" spans="2:14" ht="12.75" customHeight="1">
      <c r="B58" s="25" t="s">
        <v>114</v>
      </c>
      <c r="C58" t="str">
        <f>VLOOKUP($B58,Google!$B$3:$E$176,Google!C$1,FALSE)</f>
        <v>CV</v>
      </c>
      <c r="D58" t="str">
        <f>VLOOKUP($B58,Google!$B$3:$E$176,Google!D$1,FALSE)</f>
        <v>CVE</v>
      </c>
      <c r="E58" t="str">
        <f>VLOOKUP($B58,Google!$B$3:$E$176,Google!E$1,FALSE)</f>
        <v>USD</v>
      </c>
      <c r="F58" t="s">
        <v>69</v>
      </c>
      <c r="G58" s="128">
        <f>VLOOKUP($B58,Google!$B$3:$H$176,Google!F$1,FALSE)</f>
        <v>72.989999999999995</v>
      </c>
      <c r="H58" s="128">
        <f>VLOOKUP($B58,Google!$B$3:$H$176,Google!H$1,FALSE)</f>
        <v>53.99</v>
      </c>
      <c r="I58" s="73">
        <f t="shared" si="0"/>
        <v>50.99</v>
      </c>
      <c r="J58" s="73">
        <f t="shared" si="1"/>
        <v>37.99</v>
      </c>
      <c r="K58" s="111">
        <f t="shared" si="2"/>
        <v>-0.30141115221263182</v>
      </c>
      <c r="L58" s="111">
        <f t="shared" si="3"/>
        <v>-0.2963511761437303</v>
      </c>
      <c r="N58" s="31" t="str">
        <f>+VLOOKUP(C58,'Country &amp; Code Abbreviation'!$C$3:$D$245,2,FALSE)</f>
        <v>CPV</v>
      </c>
    </row>
    <row r="59" spans="2:14" ht="12.75" customHeight="1">
      <c r="B59" s="25" t="s">
        <v>115</v>
      </c>
      <c r="C59" t="str">
        <f>VLOOKUP($B59,Apple!$B$3:$E$176,Apple!C$1,FALSE)</f>
        <v>KY</v>
      </c>
      <c r="D59" t="str">
        <f>VLOOKUP($B59,Apple!$B$3:$E$176,Apple!D$1,FALSE)</f>
        <v>USD</v>
      </c>
      <c r="E59" t="str">
        <f>VLOOKUP($B59,Apple!$B$3:$E$176,Apple!E$1,FALSE)</f>
        <v>USD</v>
      </c>
      <c r="F59" t="s">
        <v>68</v>
      </c>
      <c r="G59" s="128">
        <f>VLOOKUP($B59,Apple!$B$3:$H$176,Apple!F$1,FALSE)</f>
        <v>102.99</v>
      </c>
      <c r="H59" s="128">
        <f>VLOOKUP($B59,Apple!$B$3:$H$176,Apple!H$1,FALSE)</f>
        <v>71.989999999999995</v>
      </c>
      <c r="I59" s="73">
        <f t="shared" si="0"/>
        <v>71.989999999999995</v>
      </c>
      <c r="J59" s="73">
        <f t="shared" si="1"/>
        <v>49.99</v>
      </c>
      <c r="K59" s="111">
        <f t="shared" si="2"/>
        <v>-0.30100009709680553</v>
      </c>
      <c r="L59" s="111">
        <f t="shared" si="3"/>
        <v>-0.3055979997221836</v>
      </c>
      <c r="N59" s="31" t="str">
        <f>+VLOOKUP(C59,'Country &amp; Code Abbreviation'!$C$3:$D$245,2,FALSE)</f>
        <v>CYM</v>
      </c>
    </row>
    <row r="60" spans="2:14" ht="12.75" customHeight="1">
      <c r="B60" s="25" t="s">
        <v>115</v>
      </c>
      <c r="C60" t="str">
        <f>VLOOKUP($B60,Google!$B$3:$E$176,Google!C$1,FALSE)</f>
        <v>KY</v>
      </c>
      <c r="D60" t="str">
        <f>VLOOKUP($B60,Google!$B$3:$E$176,Google!D$1,FALSE)</f>
        <v>USD</v>
      </c>
      <c r="E60" t="str">
        <f>VLOOKUP($B60,Google!$B$3:$E$176,Google!E$1,FALSE)</f>
        <v>USD</v>
      </c>
      <c r="F60" t="s">
        <v>69</v>
      </c>
      <c r="G60" s="128">
        <f>VLOOKUP($B60,Google!$B$3:$H$176,Google!F$1,FALSE)</f>
        <v>102.99</v>
      </c>
      <c r="H60" s="128">
        <f>VLOOKUP($B60,Google!$B$3:$H$176,Google!H$1,FALSE)</f>
        <v>71.989999999999995</v>
      </c>
      <c r="I60" s="73">
        <f t="shared" si="0"/>
        <v>71.989999999999995</v>
      </c>
      <c r="J60" s="73">
        <f t="shared" si="1"/>
        <v>49.99</v>
      </c>
      <c r="K60" s="111">
        <f t="shared" si="2"/>
        <v>-0.30100009709680553</v>
      </c>
      <c r="L60" s="111">
        <f t="shared" si="3"/>
        <v>-0.3055979997221836</v>
      </c>
      <c r="N60" s="31" t="str">
        <f>+VLOOKUP(C60,'Country &amp; Code Abbreviation'!$C$3:$D$245,2,FALSE)</f>
        <v>CYM</v>
      </c>
    </row>
    <row r="61" spans="2:14" ht="12.75" customHeight="1">
      <c r="B61" s="225" t="s">
        <v>116</v>
      </c>
      <c r="C61" t="str">
        <f>VLOOKUP($B61,Google!$B$3:$E$176,Google!C$1,FALSE)</f>
        <v>CF</v>
      </c>
      <c r="D61" t="str">
        <f>VLOOKUP($B61,Google!$B$3:$E$176,Google!D$1,FALSE)</f>
        <v>XAF</v>
      </c>
      <c r="E61" t="str">
        <f>VLOOKUP($B61,Google!$B$3:$E$176,Google!E$1,FALSE)</f>
        <v>EUR</v>
      </c>
      <c r="F61" t="s">
        <v>69</v>
      </c>
      <c r="G61" s="128">
        <f>VLOOKUP($B61,Google!$B$3:$H$176,Google!F$1,FALSE)</f>
        <v>67.989999999999995</v>
      </c>
      <c r="H61" s="128">
        <f>VLOOKUP($B61,Google!$B$3:$H$176,Google!H$1,FALSE)</f>
        <v>49.99</v>
      </c>
      <c r="I61" s="73">
        <f t="shared" si="0"/>
        <v>47.99</v>
      </c>
      <c r="J61" s="73">
        <f t="shared" si="1"/>
        <v>34.99</v>
      </c>
      <c r="K61" s="111">
        <f t="shared" si="2"/>
        <v>-0.29416090601559042</v>
      </c>
      <c r="L61" s="111">
        <f t="shared" si="3"/>
        <v>-0.30006001200240051</v>
      </c>
      <c r="N61" s="31" t="str">
        <f>+VLOOKUP(C61,'Country &amp; Code Abbreviation'!$C$3:$D$245,2,FALSE)</f>
        <v>CAF</v>
      </c>
    </row>
    <row r="62" spans="2:14" ht="12.75" customHeight="1">
      <c r="B62" s="25" t="s">
        <v>117</v>
      </c>
      <c r="C62" t="str">
        <f>VLOOKUP($B62,Apple!$B$3:$E$176,Apple!C$1,FALSE)</f>
        <v>TD</v>
      </c>
      <c r="D62" t="str">
        <f>VLOOKUP($B62,Apple!$B$3:$E$176,Apple!D$1,FALSE)</f>
        <v>XAF</v>
      </c>
      <c r="E62" t="str">
        <f>VLOOKUP($B62,Apple!$B$3:$E$176,Apple!E$1,FALSE)</f>
        <v>USD</v>
      </c>
      <c r="F62" t="s">
        <v>68</v>
      </c>
      <c r="G62" s="128">
        <f>VLOOKUP($B62,Apple!$B$3:$H$176,Apple!F$1,FALSE)</f>
        <v>72.989999999999995</v>
      </c>
      <c r="H62" s="128">
        <f>VLOOKUP($B62,Apple!$B$3:$H$176,Apple!H$1,FALSE)</f>
        <v>53.99</v>
      </c>
      <c r="I62" s="251">
        <v>49.99</v>
      </c>
      <c r="J62" s="73">
        <f t="shared" si="1"/>
        <v>37.99</v>
      </c>
      <c r="K62" s="111">
        <f t="shared" si="2"/>
        <v>-0.31511165913138783</v>
      </c>
      <c r="L62" s="111">
        <f t="shared" si="3"/>
        <v>-0.2963511761437303</v>
      </c>
      <c r="N62" s="31" t="str">
        <f>+VLOOKUP(C62,'Country &amp; Code Abbreviation'!$C$3:$D$245,2,FALSE)</f>
        <v>TCD</v>
      </c>
    </row>
    <row r="63" spans="2:14" ht="12.75" customHeight="1">
      <c r="B63" s="25" t="s">
        <v>117</v>
      </c>
      <c r="C63" t="str">
        <f>VLOOKUP($B63,Google!$B$3:$E$176,Google!C$1,FALSE)</f>
        <v>TD</v>
      </c>
      <c r="D63" t="str">
        <f>VLOOKUP($B63,Google!$B$3:$E$176,Google!D$1,FALSE)</f>
        <v>XAF</v>
      </c>
      <c r="E63" t="str">
        <f>VLOOKUP($B63,Google!$B$3:$E$176,Google!E$1,FALSE)</f>
        <v>USD</v>
      </c>
      <c r="F63" t="s">
        <v>69</v>
      </c>
      <c r="G63" s="128">
        <f>VLOOKUP($B63,Google!$B$3:$H$176,Google!F$1,FALSE)</f>
        <v>72.989999999999995</v>
      </c>
      <c r="H63" s="128">
        <f>VLOOKUP($B63,Google!$B$3:$H$176,Google!H$1,FALSE)</f>
        <v>53.99</v>
      </c>
      <c r="I63" s="251">
        <v>49.99</v>
      </c>
      <c r="J63" s="73">
        <f t="shared" si="1"/>
        <v>37.99</v>
      </c>
      <c r="K63" s="111">
        <f t="shared" si="2"/>
        <v>-0.31511165913138783</v>
      </c>
      <c r="L63" s="111">
        <f t="shared" si="3"/>
        <v>-0.2963511761437303</v>
      </c>
      <c r="N63" s="31" t="str">
        <f>+VLOOKUP(C63,'Country &amp; Code Abbreviation'!$C$3:$D$245,2,FALSE)</f>
        <v>TCD</v>
      </c>
    </row>
    <row r="64" spans="2:14" ht="12.75" customHeight="1">
      <c r="B64" s="25" t="s">
        <v>118</v>
      </c>
      <c r="C64" t="str">
        <f>VLOOKUP($B64,Apple!$B$3:$E$176,Apple!C$1,FALSE)</f>
        <v>CL</v>
      </c>
      <c r="D64" t="str">
        <f>VLOOKUP($B64,Apple!$B$3:$E$176,Apple!D$1,FALSE)</f>
        <v>CLP</v>
      </c>
      <c r="E64" t="str">
        <f>VLOOKUP($B64,Apple!$B$3:$E$176,Apple!E$1,FALSE)</f>
        <v>CLP</v>
      </c>
      <c r="F64" t="s">
        <v>68</v>
      </c>
      <c r="G64" s="128">
        <f>VLOOKUP($B64,Apple!$B$3:$H$176,Apple!F$1,FALSE)</f>
        <v>137990</v>
      </c>
      <c r="H64" s="128">
        <f>VLOOKUP($B64,Apple!$B$3:$H$176,Apple!H$1,FALSE)</f>
        <v>96990</v>
      </c>
      <c r="I64" s="254">
        <f>+MROUND(G64*0.7,100)-10</f>
        <v>96590</v>
      </c>
      <c r="J64" s="254">
        <f>+MROUND(H64*0.7,100)-10</f>
        <v>67890</v>
      </c>
      <c r="K64" s="111">
        <f t="shared" si="2"/>
        <v>-0.30002174070584819</v>
      </c>
      <c r="L64" s="111">
        <f t="shared" si="3"/>
        <v>-0.30003093102381684</v>
      </c>
      <c r="N64" s="31" t="str">
        <f>+VLOOKUP(C64,'Country &amp; Code Abbreviation'!$C$3:$D$245,2,FALSE)</f>
        <v>CHL</v>
      </c>
    </row>
    <row r="65" spans="2:14" ht="12.75" customHeight="1">
      <c r="B65" s="25" t="s">
        <v>118</v>
      </c>
      <c r="C65" t="str">
        <f>VLOOKUP($B65,Google!$B$3:$E$176,Google!C$1,FALSE)</f>
        <v>CL</v>
      </c>
      <c r="D65" t="str">
        <f>VLOOKUP($B65,Google!$B$3:$E$176,Google!D$1,FALSE)</f>
        <v>CLP</v>
      </c>
      <c r="E65" t="str">
        <f>VLOOKUP($B65,Google!$B$3:$E$176,Google!E$1,FALSE)</f>
        <v>CLP</v>
      </c>
      <c r="F65" t="s">
        <v>69</v>
      </c>
      <c r="G65" s="128">
        <f>VLOOKUP($B65,Google!$B$3:$H$176,Google!F$1,FALSE)</f>
        <v>137990</v>
      </c>
      <c r="H65" s="128">
        <f>VLOOKUP($B65,Google!$B$3:$H$176,Google!H$1,FALSE)</f>
        <v>96990</v>
      </c>
      <c r="I65" s="254">
        <f>+MROUND(G65*0.7,100)-10</f>
        <v>96590</v>
      </c>
      <c r="J65" s="254">
        <f>+MROUND(H65*0.7,100)-10</f>
        <v>67890</v>
      </c>
      <c r="K65" s="111">
        <f t="shared" si="2"/>
        <v>-0.30002174070584819</v>
      </c>
      <c r="L65" s="111">
        <f t="shared" si="3"/>
        <v>-0.30003093102381684</v>
      </c>
      <c r="N65" s="31" t="str">
        <f>+VLOOKUP(C65,'Country &amp; Code Abbreviation'!$C$3:$D$245,2,FALSE)</f>
        <v>CHL</v>
      </c>
    </row>
    <row r="66" spans="2:14" ht="12.75" customHeight="1">
      <c r="B66" s="25" t="s">
        <v>121</v>
      </c>
      <c r="C66" t="str">
        <f>VLOOKUP($B66,Apple!$B$3:$E$176,Apple!C$1,FALSE)</f>
        <v>CO</v>
      </c>
      <c r="D66" t="str">
        <f>VLOOKUP($B66,Apple!$B$3:$E$176,Apple!D$1,FALSE)</f>
        <v>COP</v>
      </c>
      <c r="E66" t="str">
        <f>VLOOKUP($B66,Apple!$B$3:$E$176,Apple!E$1,FALSE)</f>
        <v>COP</v>
      </c>
      <c r="F66" t="s">
        <v>68</v>
      </c>
      <c r="G66" s="128">
        <f>VLOOKUP($B66,Apple!$B$3:$H$176,Apple!F$1,FALSE)</f>
        <v>334900</v>
      </c>
      <c r="H66" s="128">
        <f>VLOOKUP($B66,Apple!$B$3:$H$176,Apple!H$1,FALSE)</f>
        <v>249000</v>
      </c>
      <c r="I66" s="253">
        <f>+MROUND(G66*0.7,10)</f>
        <v>234430</v>
      </c>
      <c r="J66" s="253">
        <f>+MROUND(H66*0.7,10)</f>
        <v>174300</v>
      </c>
      <c r="K66" s="111">
        <f t="shared" si="2"/>
        <v>-0.30000000000000004</v>
      </c>
      <c r="L66" s="111">
        <f t="shared" si="3"/>
        <v>-0.30000000000000004</v>
      </c>
      <c r="N66" s="31" t="str">
        <f>+VLOOKUP(C66,'Country &amp; Code Abbreviation'!$C$3:$D$245,2,FALSE)</f>
        <v>COL</v>
      </c>
    </row>
    <row r="67" spans="2:14" ht="12.75" customHeight="1">
      <c r="B67" s="25" t="s">
        <v>121</v>
      </c>
      <c r="C67" t="str">
        <f>VLOOKUP($B67,Google!$B$3:$E$176,Google!C$1,FALSE)</f>
        <v>CO</v>
      </c>
      <c r="D67" t="str">
        <f>VLOOKUP($B67,Google!$B$3:$E$176,Google!D$1,FALSE)</f>
        <v>COP</v>
      </c>
      <c r="E67" t="str">
        <f>VLOOKUP($B67,Google!$B$3:$E$176,Google!E$1,FALSE)</f>
        <v>COP</v>
      </c>
      <c r="F67" t="s">
        <v>69</v>
      </c>
      <c r="G67" s="128">
        <f>VLOOKUP($B67,Google!$B$3:$H$176,Google!F$1,FALSE)</f>
        <v>334900</v>
      </c>
      <c r="H67" s="128">
        <f>VLOOKUP($B67,Google!$B$3:$H$176,Google!H$1,FALSE)</f>
        <v>248900</v>
      </c>
      <c r="I67" s="253">
        <f>+MROUND(G67*0.7,10)</f>
        <v>234430</v>
      </c>
      <c r="J67" s="253">
        <f>+MROUND(H67*0.7,10)</f>
        <v>174230</v>
      </c>
      <c r="K67" s="111">
        <f t="shared" si="2"/>
        <v>-0.30000000000000004</v>
      </c>
      <c r="L67" s="111">
        <f t="shared" si="3"/>
        <v>-0.30000000000000004</v>
      </c>
      <c r="N67" s="31" t="str">
        <f>+VLOOKUP(C67,'Country &amp; Code Abbreviation'!$C$3:$D$245,2,FALSE)</f>
        <v>COL</v>
      </c>
    </row>
    <row r="68" spans="2:14" ht="12.75" customHeight="1">
      <c r="B68" s="25" t="s">
        <v>122</v>
      </c>
      <c r="C68" t="str">
        <f>VLOOKUP($B68,Google!$B$3:$E$176,Google!C$1,FALSE)</f>
        <v>KM</v>
      </c>
      <c r="D68" t="str">
        <f>VLOOKUP($B68,Google!$B$3:$E$176,Google!D$1,FALSE)</f>
        <v>KMF</v>
      </c>
      <c r="E68" t="str">
        <f>VLOOKUP($B68,Google!$B$3:$E$176,Google!E$1,FALSE)</f>
        <v>USD</v>
      </c>
      <c r="F68" t="s">
        <v>69</v>
      </c>
      <c r="G68" s="128">
        <f>VLOOKUP($B68,Google!$B$3:$H$176,Google!F$1,FALSE)</f>
        <v>73.989999999999995</v>
      </c>
      <c r="H68" s="128">
        <f>VLOOKUP($B68,Google!$B$3:$H$176,Google!H$1,FALSE)</f>
        <v>54.99</v>
      </c>
      <c r="I68" s="73">
        <f t="shared" si="0"/>
        <v>51.99</v>
      </c>
      <c r="J68" s="73">
        <f t="shared" si="1"/>
        <v>37.99</v>
      </c>
      <c r="K68" s="111">
        <f t="shared" si="2"/>
        <v>-0.2973374780375726</v>
      </c>
      <c r="L68" s="111">
        <f t="shared" si="3"/>
        <v>-0.30914711765775593</v>
      </c>
      <c r="N68" s="31" t="str">
        <f>+VLOOKUP(C68,'Country &amp; Code Abbreviation'!$C$3:$D$245,2,FALSE)</f>
        <v>COM</v>
      </c>
    </row>
    <row r="69" spans="2:14" ht="12.75" customHeight="1">
      <c r="B69" s="25" t="s">
        <v>123</v>
      </c>
      <c r="C69" t="str">
        <f>VLOOKUP($B69,Apple!$B$3:$E$176,Apple!C$1,FALSE)</f>
        <v>CG</v>
      </c>
      <c r="D69" t="str">
        <f>VLOOKUP($B69,Apple!$B$3:$E$176,Apple!D$1,FALSE)</f>
        <v>XAF</v>
      </c>
      <c r="E69" t="str">
        <f>VLOOKUP($B69,Apple!$B$3:$E$176,Apple!E$1,FALSE)</f>
        <v>USD</v>
      </c>
      <c r="F69" t="s">
        <v>68</v>
      </c>
      <c r="G69" s="128">
        <f>VLOOKUP($B69,Apple!$B$3:$H$176,Apple!F$1,FALSE)</f>
        <v>72.989999999999995</v>
      </c>
      <c r="H69" s="128">
        <f>VLOOKUP($B69,Apple!$B$3:$H$176,Apple!H$1,FALSE)</f>
        <v>53.99</v>
      </c>
      <c r="I69" s="73">
        <f t="shared" ref="I69:I132" si="4">+MROUND(G69*0.7,1)-0.01</f>
        <v>50.99</v>
      </c>
      <c r="J69" s="73">
        <f t="shared" ref="J69:J132" si="5">+MROUND(H69*0.7,1)-0.01</f>
        <v>37.99</v>
      </c>
      <c r="K69" s="111">
        <f t="shared" ref="K69:K132" si="6">I69/G69-1</f>
        <v>-0.30141115221263182</v>
      </c>
      <c r="L69" s="111">
        <f t="shared" ref="L69:L132" si="7">J69/H69-1</f>
        <v>-0.2963511761437303</v>
      </c>
      <c r="N69" s="31" t="str">
        <f>+VLOOKUP(C69,'Country &amp; Code Abbreviation'!$C$3:$D$245,2,FALSE)</f>
        <v>COG</v>
      </c>
    </row>
    <row r="70" spans="2:14" ht="12.75" customHeight="1">
      <c r="B70" s="25" t="s">
        <v>123</v>
      </c>
      <c r="C70" t="str">
        <f>VLOOKUP($B70,Google!$B$3:$E$176,Google!C$1,FALSE)</f>
        <v>CG</v>
      </c>
      <c r="D70" t="str">
        <f>VLOOKUP($B70,Google!$B$3:$E$176,Google!D$1,FALSE)</f>
        <v>XAF</v>
      </c>
      <c r="E70" t="str">
        <f>VLOOKUP($B70,Google!$B$3:$E$176,Google!E$1,FALSE)</f>
        <v>USD</v>
      </c>
      <c r="F70" t="s">
        <v>69</v>
      </c>
      <c r="G70" s="128">
        <f>VLOOKUP($B70,Google!$B$3:$H$176,Google!F$1,FALSE)</f>
        <v>72.989999999999995</v>
      </c>
      <c r="H70" s="128">
        <f>VLOOKUP($B70,Google!$B$3:$H$176,Google!H$1,FALSE)</f>
        <v>53.99</v>
      </c>
      <c r="I70" s="73">
        <f t="shared" si="4"/>
        <v>50.99</v>
      </c>
      <c r="J70" s="73">
        <f t="shared" si="5"/>
        <v>37.99</v>
      </c>
      <c r="K70" s="111">
        <f t="shared" si="6"/>
        <v>-0.30141115221263182</v>
      </c>
      <c r="L70" s="111">
        <f t="shared" si="7"/>
        <v>-0.2963511761437303</v>
      </c>
      <c r="N70" s="31" t="str">
        <f>+VLOOKUP(C70,'Country &amp; Code Abbreviation'!$C$3:$D$245,2,FALSE)</f>
        <v>COG</v>
      </c>
    </row>
    <row r="71" spans="2:14" ht="12.75" customHeight="1">
      <c r="B71" s="25" t="s">
        <v>125</v>
      </c>
      <c r="C71" t="str">
        <f>VLOOKUP($B71,Apple!$B$3:$E$176,Apple!C$1,FALSE)</f>
        <v>CR</v>
      </c>
      <c r="D71" t="str">
        <f>VLOOKUP($B71,Apple!$B$3:$E$176,Apple!D$1,FALSE)</f>
        <v>CRC</v>
      </c>
      <c r="E71" t="str">
        <f>VLOOKUP($B71,Apple!$B$3:$E$176,Apple!E$1,FALSE)</f>
        <v>USD</v>
      </c>
      <c r="F71" t="s">
        <v>68</v>
      </c>
      <c r="G71" s="128">
        <f>VLOOKUP($B71,Apple!$B$3:$H$176,Apple!F$1,FALSE)</f>
        <v>147.99</v>
      </c>
      <c r="H71" s="128">
        <f>VLOOKUP($B71,Apple!$B$3:$H$176,Apple!H$1,FALSE)</f>
        <v>113.99</v>
      </c>
      <c r="I71" s="73">
        <f t="shared" si="4"/>
        <v>103.99</v>
      </c>
      <c r="J71" s="73">
        <f t="shared" si="5"/>
        <v>79.989999999999995</v>
      </c>
      <c r="K71" s="111">
        <f t="shared" si="6"/>
        <v>-0.29731738630988591</v>
      </c>
      <c r="L71" s="111">
        <f t="shared" si="7"/>
        <v>-0.29827177822616024</v>
      </c>
      <c r="N71" s="31" t="str">
        <f>+VLOOKUP(C71,'Country &amp; Code Abbreviation'!$C$3:$D$245,2,FALSE)</f>
        <v>CRI</v>
      </c>
    </row>
    <row r="72" spans="2:14" ht="12.75" customHeight="1">
      <c r="B72" s="25" t="s">
        <v>125</v>
      </c>
      <c r="C72" t="str">
        <f>VLOOKUP($B72,Google!$B$3:$E$176,Google!C$1,FALSE)</f>
        <v>CR</v>
      </c>
      <c r="D72" t="str">
        <f>VLOOKUP($B72,Google!$B$3:$E$176,Google!D$1,FALSE)</f>
        <v>CRC</v>
      </c>
      <c r="E72" t="str">
        <f>VLOOKUP($B72,Google!$B$3:$E$176,Google!E$1,FALSE)</f>
        <v>CRC</v>
      </c>
      <c r="F72" t="s">
        <v>69</v>
      </c>
      <c r="G72" s="128">
        <f>VLOOKUP($B72,Google!$B$3:$H$176,Google!F$1,FALSE)</f>
        <v>78000</v>
      </c>
      <c r="H72" s="128">
        <f>VLOOKUP($B72,Google!$B$3:$H$176,Google!H$1,FALSE)</f>
        <v>60000</v>
      </c>
      <c r="I72" s="253">
        <f>+MROUND(G72*0.7,1000)</f>
        <v>55000</v>
      </c>
      <c r="J72" s="253">
        <f>+MROUND(H72*0.7,1000)</f>
        <v>42000</v>
      </c>
      <c r="K72" s="111">
        <f t="shared" si="6"/>
        <v>-0.29487179487179482</v>
      </c>
      <c r="L72" s="111">
        <f t="shared" si="7"/>
        <v>-0.30000000000000004</v>
      </c>
      <c r="N72" s="31" t="str">
        <f>+VLOOKUP(C72,'Country &amp; Code Abbreviation'!$C$3:$D$245,2,FALSE)</f>
        <v>CRI</v>
      </c>
    </row>
    <row r="73" spans="2:14" ht="12.75" customHeight="1">
      <c r="B73" s="25" t="s">
        <v>126</v>
      </c>
      <c r="C73" t="str">
        <f>VLOOKUP($B73,Apple!$B$3:$E$176,Apple!C$1,FALSE)</f>
        <v>CI</v>
      </c>
      <c r="D73" t="str">
        <f>VLOOKUP($B73,Apple!$B$3:$E$176,Apple!D$1,FALSE)</f>
        <v>XOF</v>
      </c>
      <c r="E73" t="str">
        <f>VLOOKUP($B73,Apple!$B$3:$E$176,Apple!E$1,FALSE)</f>
        <v>USD</v>
      </c>
      <c r="F73" t="s">
        <v>68</v>
      </c>
      <c r="G73" s="128">
        <f>VLOOKUP($B73,Apple!$B$3:$H$176,Apple!F$1,FALSE)</f>
        <v>73.989999999999995</v>
      </c>
      <c r="H73" s="128">
        <f>VLOOKUP($B73,Apple!$B$3:$H$176,Apple!H$1,FALSE)</f>
        <v>54.99</v>
      </c>
      <c r="I73" s="73">
        <f t="shared" si="4"/>
        <v>51.99</v>
      </c>
      <c r="J73" s="73">
        <f t="shared" si="5"/>
        <v>37.99</v>
      </c>
      <c r="K73" s="111">
        <f t="shared" si="6"/>
        <v>-0.2973374780375726</v>
      </c>
      <c r="L73" s="111">
        <f t="shared" si="7"/>
        <v>-0.30914711765775593</v>
      </c>
      <c r="N73" s="31" t="str">
        <f>+VLOOKUP(C73,'Country &amp; Code Abbreviation'!$C$3:$D$245,2,FALSE)</f>
        <v>CIV</v>
      </c>
    </row>
    <row r="74" spans="2:14" ht="12.75" customHeight="1">
      <c r="B74" s="163" t="s">
        <v>126</v>
      </c>
      <c r="C74" t="str">
        <f>VLOOKUP($B74,Google!$B$3:$E$176,Google!C$1,FALSE)</f>
        <v>CI</v>
      </c>
      <c r="D74" t="str">
        <f>VLOOKUP($B74,Google!$B$3:$E$176,Google!D$1,FALSE)</f>
        <v>XOF</v>
      </c>
      <c r="E74" t="str">
        <f>VLOOKUP($B74,Google!$B$3:$E$176,Google!E$1,FALSE)</f>
        <v>XOF</v>
      </c>
      <c r="F74" t="s">
        <v>69</v>
      </c>
      <c r="G74" s="128">
        <f>VLOOKUP($B74,Google!$B$3:$H$176,Google!F$1,FALSE)</f>
        <v>20800</v>
      </c>
      <c r="H74" s="128">
        <f>VLOOKUP($B74,Google!$B$3:$H$176,Google!H$1,FALSE)</f>
        <v>15400</v>
      </c>
      <c r="I74" s="253">
        <f>+MROUND(G74*0.7,10)</f>
        <v>14560</v>
      </c>
      <c r="J74" s="253">
        <f>+MROUND(H74*0.7,10)</f>
        <v>10780</v>
      </c>
      <c r="K74" s="111">
        <f t="shared" si="6"/>
        <v>-0.30000000000000004</v>
      </c>
      <c r="L74" s="111">
        <f t="shared" si="7"/>
        <v>-0.30000000000000004</v>
      </c>
      <c r="N74" s="31" t="str">
        <f>+VLOOKUP(C74,'Country &amp; Code Abbreviation'!$C$3:$D$245,2,FALSE)</f>
        <v>CIV</v>
      </c>
    </row>
    <row r="75" spans="2:14" ht="12.75" customHeight="1">
      <c r="B75" s="25" t="s">
        <v>127</v>
      </c>
      <c r="C75" t="str">
        <f>VLOOKUP($B75,Apple!$B$3:$E$176,Apple!C$1,FALSE)</f>
        <v>HR</v>
      </c>
      <c r="D75" t="str">
        <f>VLOOKUP($B75,Apple!$B$3:$E$176,Apple!D$1,FALSE)</f>
        <v>EUR</v>
      </c>
      <c r="E75" t="str">
        <f>VLOOKUP($B75,Apple!$B$3:$E$176,Apple!E$1,FALSE)</f>
        <v>EUR</v>
      </c>
      <c r="F75" t="s">
        <v>68</v>
      </c>
      <c r="G75" s="128">
        <f>VLOOKUP($B75,Apple!$B$3:$H$176,Apple!F$1,FALSE)</f>
        <v>107.99</v>
      </c>
      <c r="H75" s="128">
        <f>VLOOKUP($B75,Apple!$B$3:$H$176,Apple!H$1,FALSE)</f>
        <v>71.989999999999995</v>
      </c>
      <c r="I75" s="73">
        <f t="shared" si="4"/>
        <v>75.989999999999995</v>
      </c>
      <c r="J75" s="73">
        <f t="shared" si="5"/>
        <v>49.99</v>
      </c>
      <c r="K75" s="111">
        <f t="shared" si="6"/>
        <v>-0.29632373367904441</v>
      </c>
      <c r="L75" s="111">
        <f t="shared" si="7"/>
        <v>-0.3055979997221836</v>
      </c>
      <c r="N75" s="31" t="str">
        <f>+VLOOKUP(C75,'Country &amp; Code Abbreviation'!$C$3:$D$245,2,FALSE)</f>
        <v>HRV</v>
      </c>
    </row>
    <row r="76" spans="2:14" ht="12.75" customHeight="1">
      <c r="B76" s="25" t="s">
        <v>127</v>
      </c>
      <c r="C76" t="str">
        <f>VLOOKUP($B76,Google!$B$3:$E$176,Google!C$1,FALSE)</f>
        <v>HR</v>
      </c>
      <c r="D76" t="str">
        <f>VLOOKUP($B76,Google!$B$3:$E$176,Google!D$1,FALSE)</f>
        <v>EUR</v>
      </c>
      <c r="E76" t="str">
        <f>VLOOKUP($B76,Google!$B$3:$E$176,Google!E$1,FALSE)</f>
        <v>EUR</v>
      </c>
      <c r="F76" t="s">
        <v>69</v>
      </c>
      <c r="G76" s="128">
        <f>VLOOKUP($B76,Google!$B$3:$H$176,Google!F$1,FALSE)</f>
        <v>107.99</v>
      </c>
      <c r="H76" s="128">
        <f>VLOOKUP($B76,Google!$B$3:$H$176,Google!H$1,FALSE)</f>
        <v>71.989999999999995</v>
      </c>
      <c r="I76" s="73">
        <f t="shared" si="4"/>
        <v>75.989999999999995</v>
      </c>
      <c r="J76" s="73">
        <f t="shared" si="5"/>
        <v>49.99</v>
      </c>
      <c r="K76" s="111">
        <f t="shared" si="6"/>
        <v>-0.29632373367904441</v>
      </c>
      <c r="L76" s="111">
        <f t="shared" si="7"/>
        <v>-0.3055979997221836</v>
      </c>
      <c r="N76" s="31" t="str">
        <f>+VLOOKUP(C76,'Country &amp; Code Abbreviation'!$C$3:$D$245,2,FALSE)</f>
        <v>HRV</v>
      </c>
    </row>
    <row r="77" spans="2:14" ht="12.75" customHeight="1">
      <c r="B77" s="25" t="s">
        <v>129</v>
      </c>
      <c r="C77" t="str">
        <f>VLOOKUP($B77,Apple!$B$3:$E$176,Apple!C$1,FALSE)</f>
        <v>CY</v>
      </c>
      <c r="D77" t="str">
        <f>VLOOKUP($B77,Apple!$B$3:$E$176,Apple!D$1,FALSE)</f>
        <v>EUR</v>
      </c>
      <c r="E77" t="str">
        <f>VLOOKUP($B77,Apple!$B$3:$E$176,Apple!E$1,FALSE)</f>
        <v>EUR</v>
      </c>
      <c r="F77" t="s">
        <v>68</v>
      </c>
      <c r="G77" s="128">
        <f>VLOOKUP($B77,Apple!$B$3:$H$176,Apple!F$1,FALSE)</f>
        <v>89.99</v>
      </c>
      <c r="H77" s="128">
        <f>VLOOKUP($B77,Apple!$B$3:$H$176,Apple!H$1,FALSE)</f>
        <v>69.989999999999995</v>
      </c>
      <c r="I77" s="73">
        <f t="shared" si="4"/>
        <v>62.99</v>
      </c>
      <c r="J77" s="73">
        <f t="shared" si="5"/>
        <v>48.99</v>
      </c>
      <c r="K77" s="111">
        <f t="shared" si="6"/>
        <v>-0.3000333370374485</v>
      </c>
      <c r="L77" s="111">
        <f t="shared" si="7"/>
        <v>-0.30004286326618079</v>
      </c>
      <c r="N77" s="31" t="str">
        <f>+VLOOKUP(C77,'Country &amp; Code Abbreviation'!$C$3:$D$245,2,FALSE)</f>
        <v>CYP</v>
      </c>
    </row>
    <row r="78" spans="2:14" ht="12.75" customHeight="1">
      <c r="B78" s="25" t="s">
        <v>129</v>
      </c>
      <c r="C78" t="str">
        <f>VLOOKUP($B78,Google!$B$3:$E$176,Google!C$1,FALSE)</f>
        <v>CY</v>
      </c>
      <c r="D78" t="str">
        <f>VLOOKUP($B78,Google!$B$3:$E$176,Google!D$1,FALSE)</f>
        <v>EUR</v>
      </c>
      <c r="E78" t="str">
        <f>VLOOKUP($B78,Google!$B$3:$E$176,Google!E$1,FALSE)</f>
        <v>EUR</v>
      </c>
      <c r="F78" t="s">
        <v>69</v>
      </c>
      <c r="G78" s="128">
        <f>VLOOKUP($B78,Google!$B$3:$H$176,Google!F$1,FALSE)</f>
        <v>89.99</v>
      </c>
      <c r="H78" s="128">
        <f>VLOOKUP($B78,Google!$B$3:$H$176,Google!H$1,FALSE)</f>
        <v>69.989999999999995</v>
      </c>
      <c r="I78" s="73">
        <f t="shared" si="4"/>
        <v>62.99</v>
      </c>
      <c r="J78" s="73">
        <f t="shared" si="5"/>
        <v>48.99</v>
      </c>
      <c r="K78" s="111">
        <f t="shared" si="6"/>
        <v>-0.3000333370374485</v>
      </c>
      <c r="L78" s="111">
        <f t="shared" si="7"/>
        <v>-0.30004286326618079</v>
      </c>
      <c r="N78" s="31" t="str">
        <f>+VLOOKUP(C78,'Country &amp; Code Abbreviation'!$C$3:$D$245,2,FALSE)</f>
        <v>CYP</v>
      </c>
    </row>
    <row r="79" spans="2:14" ht="12.75" customHeight="1">
      <c r="B79" s="25" t="s">
        <v>130</v>
      </c>
      <c r="C79" t="str">
        <f>VLOOKUP($B79,Apple!$B$3:$E$176,Apple!C$1,FALSE)</f>
        <v>CZ</v>
      </c>
      <c r="D79" t="str">
        <f>VLOOKUP($B79,Apple!$B$3:$E$176,Apple!D$1,FALSE)</f>
        <v>CZK</v>
      </c>
      <c r="E79" t="str">
        <f>VLOOKUP($B79,Apple!$B$3:$E$176,Apple!E$1,FALSE)</f>
        <v>CZK</v>
      </c>
      <c r="F79" t="s">
        <v>68</v>
      </c>
      <c r="G79" s="128">
        <f>VLOOKUP($B79,Apple!$B$3:$H$176,Apple!F$1,FALSE)</f>
        <v>3599</v>
      </c>
      <c r="H79" s="128">
        <f>VLOOKUP($B79,Apple!$B$3:$H$176,Apple!H$1,FALSE)</f>
        <v>2400</v>
      </c>
      <c r="I79" s="253">
        <f>+MROUND(G79*0.7,100)-1</f>
        <v>2499</v>
      </c>
      <c r="J79" s="253">
        <f>+MROUND(H79*0.7,100)-1</f>
        <v>1699</v>
      </c>
      <c r="K79" s="111">
        <f t="shared" si="6"/>
        <v>-0.30564045568213394</v>
      </c>
      <c r="L79" s="111">
        <f t="shared" si="7"/>
        <v>-0.29208333333333336</v>
      </c>
      <c r="N79" s="31" t="str">
        <f>+VLOOKUP(C79,'Country &amp; Code Abbreviation'!$C$3:$D$245,2,FALSE)</f>
        <v>CZE</v>
      </c>
    </row>
    <row r="80" spans="2:14" ht="12.75" customHeight="1">
      <c r="B80" s="25" t="s">
        <v>130</v>
      </c>
      <c r="C80" t="str">
        <f>VLOOKUP($B80,Google!$B$3:$E$176,Google!C$1,FALSE)</f>
        <v>CZ</v>
      </c>
      <c r="D80" t="str">
        <f>VLOOKUP($B80,Google!$B$3:$E$176,Google!D$1,FALSE)</f>
        <v>CZK</v>
      </c>
      <c r="E80" t="str">
        <f>VLOOKUP($B80,Google!$B$3:$E$176,Google!E$1,FALSE)</f>
        <v>CZK</v>
      </c>
      <c r="F80" t="s">
        <v>69</v>
      </c>
      <c r="G80" s="128">
        <f>VLOOKUP($B80,Google!$B$3:$H$176,Google!F$1,FALSE)</f>
        <v>3599</v>
      </c>
      <c r="H80" s="128">
        <f>VLOOKUP($B80,Google!$B$3:$H$176,Google!H$1,FALSE)</f>
        <v>2400</v>
      </c>
      <c r="I80" s="253">
        <f>+MROUND(G80*0.7,100)-1</f>
        <v>2499</v>
      </c>
      <c r="J80" s="253">
        <f>+MROUND(H80*0.7,100)-1</f>
        <v>1699</v>
      </c>
      <c r="K80" s="111">
        <f t="shared" si="6"/>
        <v>-0.30564045568213394</v>
      </c>
      <c r="L80" s="111">
        <f t="shared" si="7"/>
        <v>-0.29208333333333336</v>
      </c>
      <c r="N80" s="31" t="str">
        <f>+VLOOKUP(C80,'Country &amp; Code Abbreviation'!$C$3:$D$245,2,FALSE)</f>
        <v>CZE</v>
      </c>
    </row>
    <row r="81" spans="2:14" ht="12.75" customHeight="1">
      <c r="B81" s="25" t="s">
        <v>131</v>
      </c>
      <c r="C81" t="str">
        <f>VLOOKUP($B81,Apple!$B$3:$E$176,Apple!C$1,FALSE)</f>
        <v>CD</v>
      </c>
      <c r="D81" t="str">
        <f>VLOOKUP($B81,Apple!$B$3:$E$176,Apple!D$1,FALSE)</f>
        <v>USD</v>
      </c>
      <c r="E81" t="str">
        <f>VLOOKUP($B81,Apple!$B$3:$E$176,Apple!E$1,FALSE)</f>
        <v>USD</v>
      </c>
      <c r="F81" t="s">
        <v>68</v>
      </c>
      <c r="G81" s="128">
        <f>VLOOKUP($B81,Apple!$B$3:$H$176,Apple!F$1,FALSE)</f>
        <v>71.989999999999995</v>
      </c>
      <c r="H81" s="128">
        <f>VLOOKUP($B81,Apple!$B$3:$H$176,Apple!H$1,FALSE)</f>
        <v>53.99</v>
      </c>
      <c r="I81" s="73">
        <f t="shared" si="4"/>
        <v>49.99</v>
      </c>
      <c r="J81" s="73">
        <f t="shared" si="5"/>
        <v>37.99</v>
      </c>
      <c r="K81" s="111">
        <f t="shared" si="6"/>
        <v>-0.3055979997221836</v>
      </c>
      <c r="L81" s="111">
        <f t="shared" si="7"/>
        <v>-0.2963511761437303</v>
      </c>
      <c r="N81" s="31" t="str">
        <f>+VLOOKUP(C81,'Country &amp; Code Abbreviation'!$C$3:$D$245,2,FALSE)</f>
        <v>COD</v>
      </c>
    </row>
    <row r="82" spans="2:14" ht="12.75" customHeight="1">
      <c r="B82" s="25" t="s">
        <v>131</v>
      </c>
      <c r="C82" t="str">
        <f>VLOOKUP($B82,Google!$B$3:$E$176,Google!C$1,FALSE)</f>
        <v>CD</v>
      </c>
      <c r="D82" t="str">
        <f>VLOOKUP($B82,Google!$B$3:$E$176,Google!D$1,FALSE)</f>
        <v>USD</v>
      </c>
      <c r="E82" t="str">
        <f>VLOOKUP($B82,Google!$B$3:$E$176,Google!E$1,FALSE)</f>
        <v>USD</v>
      </c>
      <c r="F82" t="s">
        <v>69</v>
      </c>
      <c r="G82" s="128">
        <f>VLOOKUP($B82,Google!$B$3:$H$176,Google!F$1,FALSE)</f>
        <v>71.989999999999995</v>
      </c>
      <c r="H82" s="128">
        <f>VLOOKUP($B82,Google!$B$3:$H$176,Google!H$1,FALSE)</f>
        <v>53.99</v>
      </c>
      <c r="I82" s="73">
        <f t="shared" si="4"/>
        <v>49.99</v>
      </c>
      <c r="J82" s="73">
        <f t="shared" si="5"/>
        <v>37.99</v>
      </c>
      <c r="K82" s="111">
        <f t="shared" si="6"/>
        <v>-0.3055979997221836</v>
      </c>
      <c r="L82" s="111">
        <f t="shared" si="7"/>
        <v>-0.2963511761437303</v>
      </c>
      <c r="N82" s="31" t="str">
        <f>+VLOOKUP(C82,'Country &amp; Code Abbreviation'!$C$3:$D$245,2,FALSE)</f>
        <v>COD</v>
      </c>
    </row>
    <row r="83" spans="2:14" ht="12.75" customHeight="1">
      <c r="B83" s="25" t="s">
        <v>132</v>
      </c>
      <c r="C83" t="str">
        <f>VLOOKUP($B83,Apple!$B$3:$E$176,Apple!C$1,FALSE)</f>
        <v>DK</v>
      </c>
      <c r="D83" t="str">
        <f>VLOOKUP($B83,Apple!$B$3:$E$176,Apple!D$1,FALSE)</f>
        <v>DKK</v>
      </c>
      <c r="E83" t="str">
        <f>VLOOKUP($B83,Apple!$B$3:$E$176,Apple!E$1,FALSE)</f>
        <v>DKK</v>
      </c>
      <c r="F83" t="s">
        <v>68</v>
      </c>
      <c r="G83" s="128">
        <f>VLOOKUP($B83,Apple!$B$3:$H$176,Apple!F$1,FALSE)</f>
        <v>1300</v>
      </c>
      <c r="H83" s="128">
        <f>VLOOKUP($B83,Apple!$B$3:$H$176,Apple!H$1,FALSE)</f>
        <v>900</v>
      </c>
      <c r="I83" s="255">
        <f>+MROUND(G83*0.7,1)-0.01</f>
        <v>909.99</v>
      </c>
      <c r="J83" s="255">
        <f>+MROUND(H83*0.7,1)-0.01</f>
        <v>629.99</v>
      </c>
      <c r="K83" s="111">
        <f t="shared" si="6"/>
        <v>-0.30000769230769231</v>
      </c>
      <c r="L83" s="111">
        <f t="shared" si="7"/>
        <v>-0.30001111111111112</v>
      </c>
      <c r="N83" s="31" t="str">
        <f>+VLOOKUP(C83,'Country &amp; Code Abbreviation'!$C$3:$D$245,2,FALSE)</f>
        <v>DNK</v>
      </c>
    </row>
    <row r="84" spans="2:14" ht="12.75" customHeight="1">
      <c r="B84" s="25" t="s">
        <v>132</v>
      </c>
      <c r="C84" t="str">
        <f>VLOOKUP($B84,Google!$B$3:$E$176,Google!C$1,FALSE)</f>
        <v>DK</v>
      </c>
      <c r="D84" t="str">
        <f>VLOOKUP($B84,Google!$B$3:$E$176,Google!D$1,FALSE)</f>
        <v>DKK</v>
      </c>
      <c r="E84" t="str">
        <f>VLOOKUP($B84,Google!$B$3:$E$176,Google!E$1,FALSE)</f>
        <v>DKK</v>
      </c>
      <c r="F84" t="s">
        <v>69</v>
      </c>
      <c r="G84" s="128">
        <f>VLOOKUP($B84,Google!$B$3:$H$176,Google!F$1,FALSE)</f>
        <v>1300</v>
      </c>
      <c r="H84" s="128">
        <f>VLOOKUP($B84,Google!$B$3:$H$176,Google!H$1,FALSE)</f>
        <v>900</v>
      </c>
      <c r="I84" s="255">
        <f>+MROUND(G84*0.7,1)-0.01</f>
        <v>909.99</v>
      </c>
      <c r="J84" s="255">
        <f>+MROUND(H84*0.7,1)-0.01</f>
        <v>629.99</v>
      </c>
      <c r="K84" s="111">
        <f t="shared" si="6"/>
        <v>-0.30000769230769231</v>
      </c>
      <c r="L84" s="111">
        <f t="shared" si="7"/>
        <v>-0.30001111111111112</v>
      </c>
      <c r="N84" s="31" t="str">
        <f>+VLOOKUP(C84,'Country &amp; Code Abbreviation'!$C$3:$D$245,2,FALSE)</f>
        <v>DNK</v>
      </c>
    </row>
    <row r="85" spans="2:14" ht="12.75" customHeight="1">
      <c r="B85" s="25" t="s">
        <v>133</v>
      </c>
      <c r="C85" t="str">
        <f>VLOOKUP($B85,Google!$B$3:$E$176,Google!C$1,FALSE)</f>
        <v>DJ</v>
      </c>
      <c r="D85" t="str">
        <f>VLOOKUP($B85,Google!$B$3:$E$176,Google!D$1,FALSE)</f>
        <v>DJF</v>
      </c>
      <c r="E85" t="str">
        <f>VLOOKUP($B85,Google!$B$3:$E$176,Google!E$1,FALSE)</f>
        <v>USD</v>
      </c>
      <c r="F85" t="s">
        <v>69</v>
      </c>
      <c r="G85" s="128">
        <f>VLOOKUP($B85,Google!$B$3:$H$176,Google!F$1,FALSE)</f>
        <v>59.99</v>
      </c>
      <c r="H85" s="128">
        <f>VLOOKUP($B85,Google!$B$3:$H$176,Google!H$1,FALSE)</f>
        <v>43.99</v>
      </c>
      <c r="I85" s="73">
        <f t="shared" si="4"/>
        <v>41.99</v>
      </c>
      <c r="J85" s="73">
        <f t="shared" si="5"/>
        <v>30.99</v>
      </c>
      <c r="K85" s="111">
        <f t="shared" si="6"/>
        <v>-0.3000500083347224</v>
      </c>
      <c r="L85" s="111">
        <f t="shared" si="7"/>
        <v>-0.29552170947942724</v>
      </c>
      <c r="N85" s="31" t="str">
        <f>+VLOOKUP(C85,'Country &amp; Code Abbreviation'!$C$3:$D$245,2,FALSE)</f>
        <v>DJI</v>
      </c>
    </row>
    <row r="86" spans="2:14" ht="12.75" customHeight="1">
      <c r="B86" s="25" t="s">
        <v>134</v>
      </c>
      <c r="C86" t="str">
        <f>VLOOKUP($B86,Apple!$B$3:$E$176,Apple!C$1,FALSE)</f>
        <v>DM</v>
      </c>
      <c r="D86" t="str">
        <f>VLOOKUP($B86,Apple!$B$3:$E$176,Apple!D$1,FALSE)</f>
        <v>XCD</v>
      </c>
      <c r="E86" t="str">
        <f>VLOOKUP($B86,Apple!$B$3:$E$176,Apple!E$1,FALSE)</f>
        <v>USD</v>
      </c>
      <c r="F86" t="s">
        <v>68</v>
      </c>
      <c r="G86" s="128">
        <f>VLOOKUP($B86,Apple!$B$3:$H$176,Apple!F$1,FALSE)</f>
        <v>112.99</v>
      </c>
      <c r="H86" s="128">
        <f>VLOOKUP($B86,Apple!$B$3:$H$176,Apple!H$1,FALSE)</f>
        <v>83.99</v>
      </c>
      <c r="I86" s="73">
        <f t="shared" si="4"/>
        <v>78.989999999999995</v>
      </c>
      <c r="J86" s="73">
        <f t="shared" si="5"/>
        <v>58.99</v>
      </c>
      <c r="K86" s="111">
        <f t="shared" si="6"/>
        <v>-0.30091158509602622</v>
      </c>
      <c r="L86" s="111">
        <f t="shared" si="7"/>
        <v>-0.29765448267650907</v>
      </c>
      <c r="N86" s="31" t="str">
        <f>+VLOOKUP(C86,'Country &amp; Code Abbreviation'!$C$3:$D$245,2,FALSE)</f>
        <v>DMA</v>
      </c>
    </row>
    <row r="87" spans="2:14" ht="12.75" customHeight="1">
      <c r="B87" s="25" t="s">
        <v>134</v>
      </c>
      <c r="C87" t="str">
        <f>VLOOKUP($B87,Google!$B$3:$E$176,Google!C$1,FALSE)</f>
        <v>DM</v>
      </c>
      <c r="D87" t="str">
        <f>VLOOKUP($B87,Google!$B$3:$E$176,Google!D$1,FALSE)</f>
        <v>XCD</v>
      </c>
      <c r="E87" t="str">
        <f>VLOOKUP($B87,Google!$B$3:$E$176,Google!E$1,FALSE)</f>
        <v>USD</v>
      </c>
      <c r="F87" t="s">
        <v>69</v>
      </c>
      <c r="G87" s="128">
        <f>VLOOKUP($B87,Google!$B$3:$H$176,Google!F$1,FALSE)</f>
        <v>112.99</v>
      </c>
      <c r="H87" s="128">
        <f>VLOOKUP($B87,Google!$B$3:$H$176,Google!H$1,FALSE)</f>
        <v>83.99</v>
      </c>
      <c r="I87" s="73">
        <f t="shared" si="4"/>
        <v>78.989999999999995</v>
      </c>
      <c r="J87" s="73">
        <f t="shared" si="5"/>
        <v>58.99</v>
      </c>
      <c r="K87" s="111">
        <f t="shared" si="6"/>
        <v>-0.30091158509602622</v>
      </c>
      <c r="L87" s="111">
        <f t="shared" si="7"/>
        <v>-0.29765448267650907</v>
      </c>
      <c r="N87" s="31" t="str">
        <f>+VLOOKUP(C87,'Country &amp; Code Abbreviation'!$C$3:$D$245,2,FALSE)</f>
        <v>DMA</v>
      </c>
    </row>
    <row r="88" spans="2:14" ht="12.75" customHeight="1">
      <c r="B88" s="25" t="s">
        <v>135</v>
      </c>
      <c r="C88" t="str">
        <f>VLOOKUP($B88,Apple!$B$3:$E$176,Apple!C$1,FALSE)</f>
        <v>DO</v>
      </c>
      <c r="D88" t="str">
        <f>VLOOKUP($B88,Apple!$B$3:$E$176,Apple!D$1,FALSE)</f>
        <v>DOP</v>
      </c>
      <c r="E88" t="str">
        <f>VLOOKUP($B88,Apple!$B$3:$E$176,Apple!E$1,FALSE)</f>
        <v>USD</v>
      </c>
      <c r="F88" t="s">
        <v>68</v>
      </c>
      <c r="G88" s="128">
        <f>VLOOKUP($B88,Apple!$B$3:$H$176,Apple!F$1,FALSE)</f>
        <v>126.99</v>
      </c>
      <c r="H88" s="128">
        <f>VLOOKUP($B88,Apple!$B$3:$H$176,Apple!H$1,FALSE)</f>
        <v>94.99</v>
      </c>
      <c r="I88" s="73">
        <f t="shared" si="4"/>
        <v>88.99</v>
      </c>
      <c r="J88" s="73">
        <f t="shared" si="5"/>
        <v>65.989999999999995</v>
      </c>
      <c r="K88" s="111">
        <f t="shared" si="6"/>
        <v>-0.29923616032758482</v>
      </c>
      <c r="L88" s="111">
        <f t="shared" si="7"/>
        <v>-0.30529529424149915</v>
      </c>
      <c r="N88" s="31" t="str">
        <f>+VLOOKUP(C88,'Country &amp; Code Abbreviation'!$C$3:$D$245,2,FALSE)</f>
        <v>DOM</v>
      </c>
    </row>
    <row r="89" spans="2:14" ht="12.75" customHeight="1">
      <c r="B89" s="25" t="s">
        <v>135</v>
      </c>
      <c r="C89" t="str">
        <f>VLOOKUP($B89,Google!$B$3:$E$176,Google!C$1,FALSE)</f>
        <v>DO</v>
      </c>
      <c r="D89" t="str">
        <f>VLOOKUP($B89,Google!$B$3:$E$176,Google!D$1,FALSE)</f>
        <v>DOP</v>
      </c>
      <c r="E89" t="str">
        <f>VLOOKUP($B89,Google!$B$3:$E$176,Google!E$1,FALSE)</f>
        <v>USD</v>
      </c>
      <c r="F89" t="s">
        <v>69</v>
      </c>
      <c r="G89" s="128">
        <f>VLOOKUP($B89,Google!$B$3:$H$176,Google!F$1,FALSE)</f>
        <v>126.99</v>
      </c>
      <c r="H89" s="128">
        <f>VLOOKUP($B89,Google!$B$3:$H$176,Google!H$1,FALSE)</f>
        <v>94.99</v>
      </c>
      <c r="I89" s="73">
        <f t="shared" si="4"/>
        <v>88.99</v>
      </c>
      <c r="J89" s="73">
        <f t="shared" si="5"/>
        <v>65.989999999999995</v>
      </c>
      <c r="K89" s="111">
        <f t="shared" si="6"/>
        <v>-0.29923616032758482</v>
      </c>
      <c r="L89" s="111">
        <f t="shared" si="7"/>
        <v>-0.30529529424149915</v>
      </c>
      <c r="N89" s="31" t="str">
        <f>+VLOOKUP(C89,'Country &amp; Code Abbreviation'!$C$3:$D$245,2,FALSE)</f>
        <v>DOM</v>
      </c>
    </row>
    <row r="90" spans="2:14" ht="12.75" customHeight="1">
      <c r="B90" s="25" t="s">
        <v>136</v>
      </c>
      <c r="C90" t="str">
        <f>VLOOKUP($B90,Apple!$B$3:$E$176,Apple!C$1,FALSE)</f>
        <v>EC</v>
      </c>
      <c r="D90" t="str">
        <f>VLOOKUP($B90,Apple!$B$3:$E$176,Apple!D$1,FALSE)</f>
        <v>USD</v>
      </c>
      <c r="E90" t="str">
        <f>VLOOKUP($B90,Apple!$B$3:$E$176,Apple!E$1,FALSE)</f>
        <v>USD</v>
      </c>
      <c r="F90" t="s">
        <v>68</v>
      </c>
      <c r="G90" s="128">
        <f>VLOOKUP($B90,Apple!$B$3:$H$176,Apple!F$1,FALSE)</f>
        <v>102.99</v>
      </c>
      <c r="H90" s="128">
        <f>VLOOKUP($B90,Apple!$B$3:$H$176,Apple!H$1,FALSE)</f>
        <v>71.989999999999995</v>
      </c>
      <c r="I90" s="73">
        <f t="shared" si="4"/>
        <v>71.989999999999995</v>
      </c>
      <c r="J90" s="73">
        <f t="shared" si="5"/>
        <v>49.99</v>
      </c>
      <c r="K90" s="111">
        <f t="shared" si="6"/>
        <v>-0.30100009709680553</v>
      </c>
      <c r="L90" s="111">
        <f t="shared" si="7"/>
        <v>-0.3055979997221836</v>
      </c>
      <c r="N90" s="31" t="str">
        <f>+VLOOKUP(C90,'Country &amp; Code Abbreviation'!$C$3:$D$245,2,FALSE)</f>
        <v>ECU</v>
      </c>
    </row>
    <row r="91" spans="2:14" ht="12.75" customHeight="1">
      <c r="B91" s="25" t="s">
        <v>136</v>
      </c>
      <c r="C91" t="str">
        <f>VLOOKUP($B91,Google!$B$3:$E$176,Google!C$1,FALSE)</f>
        <v>EC</v>
      </c>
      <c r="D91" t="str">
        <f>VLOOKUP($B91,Google!$B$3:$E$176,Google!D$1,FALSE)</f>
        <v>USD</v>
      </c>
      <c r="E91" t="str">
        <f>VLOOKUP($B91,Google!$B$3:$E$176,Google!E$1,FALSE)</f>
        <v>USD</v>
      </c>
      <c r="F91" t="s">
        <v>69</v>
      </c>
      <c r="G91" s="128">
        <f>VLOOKUP($B91,Google!$B$3:$H$176,Google!F$1,FALSE)</f>
        <v>102.99</v>
      </c>
      <c r="H91" s="128">
        <f>VLOOKUP($B91,Google!$B$3:$H$176,Google!H$1,FALSE)</f>
        <v>71.989999999999995</v>
      </c>
      <c r="I91" s="73">
        <f t="shared" si="4"/>
        <v>71.989999999999995</v>
      </c>
      <c r="J91" s="73">
        <f t="shared" si="5"/>
        <v>49.99</v>
      </c>
      <c r="K91" s="111">
        <f t="shared" si="6"/>
        <v>-0.30100009709680553</v>
      </c>
      <c r="L91" s="111">
        <f t="shared" si="7"/>
        <v>-0.3055979997221836</v>
      </c>
      <c r="N91" s="31" t="str">
        <f>+VLOOKUP(C91,'Country &amp; Code Abbreviation'!$C$3:$D$245,2,FALSE)</f>
        <v>ECU</v>
      </c>
    </row>
    <row r="92" spans="2:14" ht="12.75" customHeight="1">
      <c r="B92" s="25" t="s">
        <v>137</v>
      </c>
      <c r="C92" t="str">
        <f>VLOOKUP($B92,Apple!$B$3:$E$176,Apple!C$1,FALSE)</f>
        <v>EG</v>
      </c>
      <c r="D92" t="str">
        <f>VLOOKUP($B92,Apple!$B$3:$E$176,Apple!D$1,FALSE)</f>
        <v>EGP</v>
      </c>
      <c r="E92" t="str">
        <f>VLOOKUP($B92,Apple!$B$3:$E$176,Apple!E$1,FALSE)</f>
        <v>EGP</v>
      </c>
      <c r="F92" t="s">
        <v>68</v>
      </c>
      <c r="G92" s="128">
        <f>VLOOKUP($B92,Apple!$B$3:$H$176,Apple!F$1,FALSE)</f>
        <v>2349.9899999999998</v>
      </c>
      <c r="H92" s="128">
        <f>VLOOKUP($B92,Apple!$B$3:$H$176,Apple!H$1,FALSE)</f>
        <v>1569.99</v>
      </c>
      <c r="I92" s="252">
        <f>+MROUND(G92*0.7,10)-0.01</f>
        <v>1639.99</v>
      </c>
      <c r="J92" s="252">
        <f>+MROUND(H92*0.7,10)-0.01</f>
        <v>1099.99</v>
      </c>
      <c r="K92" s="111">
        <f t="shared" si="6"/>
        <v>-0.30212894522955414</v>
      </c>
      <c r="L92" s="111">
        <f t="shared" si="7"/>
        <v>-0.29936496410805169</v>
      </c>
      <c r="N92" s="31" t="str">
        <f>+VLOOKUP(C92,'Country &amp; Code Abbreviation'!$C$3:$D$245,2,FALSE)</f>
        <v>EGY</v>
      </c>
    </row>
    <row r="93" spans="2:14" ht="12.75" customHeight="1">
      <c r="B93" s="25" t="s">
        <v>137</v>
      </c>
      <c r="C93" t="str">
        <f>VLOOKUP($B93,Google!$B$3:$E$176,Google!C$1,FALSE)</f>
        <v>EG</v>
      </c>
      <c r="D93" t="str">
        <f>VLOOKUP($B93,Google!$B$3:$E$176,Google!D$1,FALSE)</f>
        <v>EGP</v>
      </c>
      <c r="E93" t="str">
        <f>VLOOKUP($B93,Google!$B$3:$E$176,Google!E$1,FALSE)</f>
        <v>EGP</v>
      </c>
      <c r="F93" t="s">
        <v>69</v>
      </c>
      <c r="G93" s="128">
        <f>VLOOKUP($B93,Google!$B$3:$H$176,Google!F$1,FALSE)</f>
        <v>2349</v>
      </c>
      <c r="H93" s="128">
        <f>VLOOKUP($B93,Google!$B$3:$H$176,Google!H$1,FALSE)</f>
        <v>1569</v>
      </c>
      <c r="I93" s="253">
        <f>+MROUND(G93*0.7,5)-1</f>
        <v>1644</v>
      </c>
      <c r="J93" s="253">
        <f>+MROUND(H93*0.7,5)-1</f>
        <v>1099</v>
      </c>
      <c r="K93" s="111">
        <f t="shared" si="6"/>
        <v>-0.30012771392081738</v>
      </c>
      <c r="L93" s="111">
        <f t="shared" si="7"/>
        <v>-0.29955385595920969</v>
      </c>
      <c r="N93" s="31" t="str">
        <f>+VLOOKUP(C93,'Country &amp; Code Abbreviation'!$C$3:$D$245,2,FALSE)</f>
        <v>EGY</v>
      </c>
    </row>
    <row r="94" spans="2:14" ht="12.75" customHeight="1">
      <c r="B94" s="25" t="s">
        <v>138</v>
      </c>
      <c r="C94" t="str">
        <f>VLOOKUP($B94,Apple!$B$3:$E$176,Apple!C$1,FALSE)</f>
        <v>SV</v>
      </c>
      <c r="D94" t="str">
        <f>VLOOKUP($B94,Apple!$B$3:$E$176,Apple!D$1,FALSE)</f>
        <v>USD</v>
      </c>
      <c r="E94" t="str">
        <f>VLOOKUP($B94,Apple!$B$3:$E$176,Apple!E$1,FALSE)</f>
        <v>USD</v>
      </c>
      <c r="F94" t="s">
        <v>68</v>
      </c>
      <c r="G94" s="128">
        <f>VLOOKUP($B94,Apple!$B$3:$H$176,Apple!F$1,FALSE)</f>
        <v>96.99</v>
      </c>
      <c r="H94" s="128">
        <f>VLOOKUP($B94,Apple!$B$3:$H$176,Apple!H$1,FALSE)</f>
        <v>65.989999999999995</v>
      </c>
      <c r="I94" s="73">
        <f t="shared" si="4"/>
        <v>67.989999999999995</v>
      </c>
      <c r="J94" s="73">
        <f t="shared" si="5"/>
        <v>45.99</v>
      </c>
      <c r="K94" s="111">
        <f t="shared" si="6"/>
        <v>-0.29899989689658735</v>
      </c>
      <c r="L94" s="111">
        <f t="shared" si="7"/>
        <v>-0.303076223670253</v>
      </c>
      <c r="N94" s="31" t="str">
        <f>+VLOOKUP(C94,'Country &amp; Code Abbreviation'!$C$3:$D$245,2,FALSE)</f>
        <v>SLV</v>
      </c>
    </row>
    <row r="95" spans="2:14" ht="12.75" customHeight="1">
      <c r="B95" s="25" t="s">
        <v>138</v>
      </c>
      <c r="C95" t="str">
        <f>VLOOKUP($B95,Google!$B$3:$E$176,Google!C$1,FALSE)</f>
        <v>SV</v>
      </c>
      <c r="D95" t="str">
        <f>VLOOKUP($B95,Google!$B$3:$E$176,Google!D$1,FALSE)</f>
        <v>USD</v>
      </c>
      <c r="E95" t="str">
        <f>VLOOKUP($B95,Google!$B$3:$E$176,Google!E$1,FALSE)</f>
        <v>USD</v>
      </c>
      <c r="F95" t="s">
        <v>69</v>
      </c>
      <c r="G95" s="128">
        <f>VLOOKUP($B95,Google!$B$3:$H$176,Google!F$1,FALSE)</f>
        <v>96.99</v>
      </c>
      <c r="H95" s="128">
        <f>VLOOKUP($B95,Google!$B$3:$H$176,Google!H$1,FALSE)</f>
        <v>65.989999999999995</v>
      </c>
      <c r="I95" s="73">
        <f t="shared" si="4"/>
        <v>67.989999999999995</v>
      </c>
      <c r="J95" s="73">
        <f t="shared" si="5"/>
        <v>45.99</v>
      </c>
      <c r="K95" s="111">
        <f t="shared" si="6"/>
        <v>-0.29899989689658735</v>
      </c>
      <c r="L95" s="111">
        <f t="shared" si="7"/>
        <v>-0.303076223670253</v>
      </c>
      <c r="N95" s="31" t="str">
        <f>+VLOOKUP(C95,'Country &amp; Code Abbreviation'!$C$3:$D$245,2,FALSE)</f>
        <v>SLV</v>
      </c>
    </row>
    <row r="96" spans="2:14" ht="12.75" customHeight="1">
      <c r="B96" s="25" t="s">
        <v>140</v>
      </c>
      <c r="C96" t="str">
        <f>VLOOKUP($B96,Google!$B$3:$E$176,Google!C$1,FALSE)</f>
        <v>ER</v>
      </c>
      <c r="D96" t="str">
        <f>VLOOKUP($B96,Google!$B$3:$E$176,Google!D$1,FALSE)</f>
        <v>USD</v>
      </c>
      <c r="E96" t="str">
        <f>VLOOKUP($B96,Google!$B$3:$E$176,Google!E$1,FALSE)</f>
        <v>USD</v>
      </c>
      <c r="F96" t="s">
        <v>69</v>
      </c>
      <c r="G96" s="128">
        <f>VLOOKUP($B96,Google!$B$3:$H$176,Google!F$1,FALSE)</f>
        <v>71.989999999999995</v>
      </c>
      <c r="H96" s="128">
        <f>VLOOKUP($B96,Google!$B$3:$H$176,Google!H$1,FALSE)</f>
        <v>53.99</v>
      </c>
      <c r="I96" s="73">
        <f t="shared" si="4"/>
        <v>49.99</v>
      </c>
      <c r="J96" s="73">
        <f t="shared" si="5"/>
        <v>37.99</v>
      </c>
      <c r="K96" s="111">
        <f t="shared" si="6"/>
        <v>-0.3055979997221836</v>
      </c>
      <c r="L96" s="111">
        <f t="shared" si="7"/>
        <v>-0.2963511761437303</v>
      </c>
      <c r="N96" s="31" t="str">
        <f>+VLOOKUP(C96,'Country &amp; Code Abbreviation'!$C$3:$D$245,2,FALSE)</f>
        <v>ERI</v>
      </c>
    </row>
    <row r="97" spans="2:14" ht="12.75" customHeight="1">
      <c r="B97" s="25" t="s">
        <v>141</v>
      </c>
      <c r="C97" t="str">
        <f>VLOOKUP($B97,Apple!$B$3:$E$176,Apple!C$1,FALSE)</f>
        <v>EE</v>
      </c>
      <c r="D97" t="str">
        <f>VLOOKUP($B97,Apple!$B$3:$E$176,Apple!D$1,FALSE)</f>
        <v>EUR</v>
      </c>
      <c r="E97" t="str">
        <f>VLOOKUP($B97,Apple!$B$3:$E$176,Apple!E$1,FALSE)</f>
        <v>EUR</v>
      </c>
      <c r="F97" t="s">
        <v>68</v>
      </c>
      <c r="G97" s="128">
        <f>VLOOKUP($B97,Apple!$B$3:$H$176,Apple!F$1,FALSE)</f>
        <v>99.99</v>
      </c>
      <c r="H97" s="128">
        <f>VLOOKUP($B97,Apple!$B$3:$H$176,Apple!H$1,FALSE)</f>
        <v>74.989999999999995</v>
      </c>
      <c r="I97" s="73">
        <f t="shared" si="4"/>
        <v>69.989999999999995</v>
      </c>
      <c r="J97" s="73">
        <f t="shared" si="5"/>
        <v>51.99</v>
      </c>
      <c r="K97" s="111">
        <f t="shared" si="6"/>
        <v>-0.30003000300030003</v>
      </c>
      <c r="L97" s="111">
        <f t="shared" si="7"/>
        <v>-0.30670756100813434</v>
      </c>
      <c r="N97" s="31" t="str">
        <f>+VLOOKUP(C97,'Country &amp; Code Abbreviation'!$C$3:$D$245,2,FALSE)</f>
        <v>EST</v>
      </c>
    </row>
    <row r="98" spans="2:14" ht="12.75" customHeight="1">
      <c r="B98" s="25" t="s">
        <v>141</v>
      </c>
      <c r="C98" t="str">
        <f>VLOOKUP($B98,Google!$B$3:$E$176,Google!C$1,FALSE)</f>
        <v>EE</v>
      </c>
      <c r="D98" t="str">
        <f>VLOOKUP($B98,Google!$B$3:$E$176,Google!D$1,FALSE)</f>
        <v>EUR</v>
      </c>
      <c r="E98" t="str">
        <f>VLOOKUP($B98,Google!$B$3:$E$176,Google!E$1,FALSE)</f>
        <v>EUR</v>
      </c>
      <c r="F98" t="s">
        <v>69</v>
      </c>
      <c r="G98" s="128">
        <f>VLOOKUP($B98,Google!$B$3:$H$176,Google!F$1,FALSE)</f>
        <v>99.99</v>
      </c>
      <c r="H98" s="128">
        <f>VLOOKUP($B98,Google!$B$3:$H$176,Google!H$1,FALSE)</f>
        <v>74.989999999999995</v>
      </c>
      <c r="I98" s="73">
        <f t="shared" si="4"/>
        <v>69.989999999999995</v>
      </c>
      <c r="J98" s="73">
        <f t="shared" si="5"/>
        <v>51.99</v>
      </c>
      <c r="K98" s="111">
        <f t="shared" si="6"/>
        <v>-0.30003000300030003</v>
      </c>
      <c r="L98" s="111">
        <f t="shared" si="7"/>
        <v>-0.30670756100813434</v>
      </c>
      <c r="N98" s="31" t="str">
        <f>+VLOOKUP(C98,'Country &amp; Code Abbreviation'!$C$3:$D$245,2,FALSE)</f>
        <v>EST</v>
      </c>
    </row>
    <row r="99" spans="2:14" ht="12.75" customHeight="1">
      <c r="B99" s="25" t="s">
        <v>142</v>
      </c>
      <c r="C99" t="str">
        <f>VLOOKUP($B99,Apple!$B$3:$E$176,Apple!C$1,FALSE)</f>
        <v>SZ</v>
      </c>
      <c r="D99" t="str">
        <f>VLOOKUP($B99,Apple!$B$3:$E$176,Apple!D$1,FALSE)</f>
        <v>SZL</v>
      </c>
      <c r="E99" t="str">
        <f>VLOOKUP($B99,Apple!$B$3:$E$176,Apple!E$1,FALSE)</f>
        <v>USD</v>
      </c>
      <c r="F99" t="s">
        <v>68</v>
      </c>
      <c r="G99" s="128">
        <f>VLOOKUP($B99,Apple!$B$3:$H$176,Apple!F$1,FALSE)</f>
        <v>71.989999999999995</v>
      </c>
      <c r="H99" s="128">
        <f>VLOOKUP($B99,Apple!$B$3:$H$176,Apple!H$1,FALSE)</f>
        <v>52.99</v>
      </c>
      <c r="I99" s="73">
        <f t="shared" si="4"/>
        <v>49.99</v>
      </c>
      <c r="J99" s="73">
        <f t="shared" si="5"/>
        <v>36.99</v>
      </c>
      <c r="K99" s="111">
        <f t="shared" si="6"/>
        <v>-0.3055979997221836</v>
      </c>
      <c r="L99" s="111">
        <f t="shared" si="7"/>
        <v>-0.30194376297414605</v>
      </c>
      <c r="N99" s="31" t="str">
        <f>+VLOOKUP(C99,'Country &amp; Code Abbreviation'!$C$3:$D$245,2,FALSE)</f>
        <v>SWZ</v>
      </c>
    </row>
    <row r="100" spans="2:14" ht="12.75" customHeight="1">
      <c r="B100" s="25" t="s">
        <v>146</v>
      </c>
      <c r="C100" t="str">
        <f>VLOOKUP($B100,Apple!$B$3:$E$176,Apple!C$1,FALSE)</f>
        <v>FJ</v>
      </c>
      <c r="D100" t="str">
        <f>VLOOKUP($B100,Apple!$B$3:$E$176,Apple!D$1,FALSE)</f>
        <v>FJD</v>
      </c>
      <c r="E100" t="str">
        <f>VLOOKUP($B100,Apple!$B$3:$E$176,Apple!E$1,FALSE)</f>
        <v>USD</v>
      </c>
      <c r="F100" t="s">
        <v>68</v>
      </c>
      <c r="G100" s="128">
        <f>VLOOKUP($B100,Apple!$B$3:$H$176,Apple!F$1,FALSE)</f>
        <v>81.99</v>
      </c>
      <c r="H100" s="128">
        <f>VLOOKUP($B100,Apple!$B$3:$H$176,Apple!H$1,FALSE)</f>
        <v>59.99</v>
      </c>
      <c r="I100" s="73">
        <f t="shared" si="4"/>
        <v>56.99</v>
      </c>
      <c r="J100" s="73">
        <f t="shared" si="5"/>
        <v>41.99</v>
      </c>
      <c r="K100" s="111">
        <f t="shared" si="6"/>
        <v>-0.30491523356506889</v>
      </c>
      <c r="L100" s="111">
        <f t="shared" si="7"/>
        <v>-0.3000500083347224</v>
      </c>
      <c r="N100" s="31" t="str">
        <f>+VLOOKUP(C100,'Country &amp; Code Abbreviation'!$C$3:$D$245,2,FALSE)</f>
        <v>FJI</v>
      </c>
    </row>
    <row r="101" spans="2:14" ht="12.75" customHeight="1">
      <c r="B101" s="25" t="s">
        <v>146</v>
      </c>
      <c r="C101" t="str">
        <f>VLOOKUP($B101,Google!$B$3:$E$176,Google!C$1,FALSE)</f>
        <v>FJ</v>
      </c>
      <c r="D101" t="str">
        <f>VLOOKUP($B101,Google!$B$3:$E$176,Google!D$1,FALSE)</f>
        <v>FJD</v>
      </c>
      <c r="E101" t="str">
        <f>VLOOKUP($B101,Google!$B$3:$E$176,Google!E$1,FALSE)</f>
        <v>USD</v>
      </c>
      <c r="F101" t="s">
        <v>69</v>
      </c>
      <c r="G101" s="128">
        <f>VLOOKUP($B101,Google!$B$3:$H$176,Google!F$1,FALSE)</f>
        <v>81.99</v>
      </c>
      <c r="H101" s="128">
        <f>VLOOKUP($B101,Google!$B$3:$H$176,Google!H$1,FALSE)</f>
        <v>59.99</v>
      </c>
      <c r="I101" s="73">
        <f t="shared" si="4"/>
        <v>56.99</v>
      </c>
      <c r="J101" s="73">
        <f t="shared" si="5"/>
        <v>41.99</v>
      </c>
      <c r="K101" s="111">
        <f t="shared" si="6"/>
        <v>-0.30491523356506889</v>
      </c>
      <c r="L101" s="111">
        <f t="shared" si="7"/>
        <v>-0.3000500083347224</v>
      </c>
      <c r="N101" s="31" t="str">
        <f>+VLOOKUP(C101,'Country &amp; Code Abbreviation'!$C$3:$D$245,2,FALSE)</f>
        <v>FJI</v>
      </c>
    </row>
    <row r="102" spans="2:14" ht="12.75" customHeight="1">
      <c r="B102" s="25" t="s">
        <v>147</v>
      </c>
      <c r="C102" t="str">
        <f>VLOOKUP($B102,Apple!$B$3:$E$176,Apple!C$1,FALSE)</f>
        <v>FI</v>
      </c>
      <c r="D102" t="str">
        <f>VLOOKUP($B102,Apple!$B$3:$E$176,Apple!D$1,FALSE)</f>
        <v>EUR</v>
      </c>
      <c r="E102" t="str">
        <f>VLOOKUP($B102,Apple!$B$3:$E$176,Apple!E$1,FALSE)</f>
        <v>EUR</v>
      </c>
      <c r="F102" t="s">
        <v>68</v>
      </c>
      <c r="G102" s="128">
        <f>VLOOKUP($B102,Apple!$B$3:$H$176,Apple!F$1,FALSE)</f>
        <v>129.99</v>
      </c>
      <c r="H102" s="128">
        <f>VLOOKUP($B102,Apple!$B$3:$H$176,Apple!H$1,FALSE)</f>
        <v>99.99</v>
      </c>
      <c r="I102" s="251">
        <v>89.99</v>
      </c>
      <c r="J102" s="73">
        <f t="shared" si="5"/>
        <v>69.989999999999995</v>
      </c>
      <c r="K102" s="111">
        <f t="shared" si="6"/>
        <v>-0.30771597815216567</v>
      </c>
      <c r="L102" s="111">
        <f t="shared" si="7"/>
        <v>-0.30003000300030003</v>
      </c>
      <c r="N102" s="31" t="str">
        <f>+VLOOKUP(C102,'Country &amp; Code Abbreviation'!$C$3:$D$245,2,FALSE)</f>
        <v>FIN</v>
      </c>
    </row>
    <row r="103" spans="2:14" ht="12.75" customHeight="1">
      <c r="B103" s="25" t="s">
        <v>147</v>
      </c>
      <c r="C103" t="str">
        <f>VLOOKUP($B103,Google!$B$3:$E$176,Google!C$1,FALSE)</f>
        <v>FI</v>
      </c>
      <c r="D103" t="str">
        <f>VLOOKUP($B103,Google!$B$3:$E$176,Google!D$1,FALSE)</f>
        <v>EUR</v>
      </c>
      <c r="E103" t="str">
        <f>VLOOKUP($B103,Google!$B$3:$E$176,Google!E$1,FALSE)</f>
        <v>EUR</v>
      </c>
      <c r="F103" t="s">
        <v>69</v>
      </c>
      <c r="G103" s="128">
        <f>VLOOKUP($B103,Google!$B$3:$H$176,Google!F$1,FALSE)</f>
        <v>129.99</v>
      </c>
      <c r="H103" s="128">
        <f>VLOOKUP($B103,Google!$B$3:$H$176,Google!H$1,FALSE)</f>
        <v>99.99</v>
      </c>
      <c r="I103" s="251">
        <v>89.99</v>
      </c>
      <c r="J103" s="73">
        <f t="shared" si="5"/>
        <v>69.989999999999995</v>
      </c>
      <c r="K103" s="111">
        <f t="shared" si="6"/>
        <v>-0.30771597815216567</v>
      </c>
      <c r="L103" s="111">
        <f t="shared" si="7"/>
        <v>-0.30003000300030003</v>
      </c>
      <c r="N103" s="31" t="str">
        <f>+VLOOKUP(C103,'Country &amp; Code Abbreviation'!$C$3:$D$245,2,FALSE)</f>
        <v>FIN</v>
      </c>
    </row>
    <row r="104" spans="2:14" ht="12.75" customHeight="1">
      <c r="B104" s="25" t="s">
        <v>148</v>
      </c>
      <c r="C104" t="str">
        <f>VLOOKUP($B104,Apple!$B$3:$E$176,Apple!C$1,FALSE)</f>
        <v>FR</v>
      </c>
      <c r="D104" t="str">
        <f>VLOOKUP($B104,Apple!$B$3:$E$176,Apple!D$1,FALSE)</f>
        <v>EUR</v>
      </c>
      <c r="E104" t="str">
        <f>VLOOKUP($B104,Apple!$B$3:$E$176,Apple!E$1,FALSE)</f>
        <v>EUR</v>
      </c>
      <c r="F104" t="s">
        <v>68</v>
      </c>
      <c r="G104" s="128">
        <f>VLOOKUP($B104,Apple!$B$3:$H$176,Apple!F$1,FALSE)</f>
        <v>199.99</v>
      </c>
      <c r="H104" s="128">
        <f>VLOOKUP($B104,Apple!$B$3:$H$176,Apple!H$1,FALSE)</f>
        <v>146.99</v>
      </c>
      <c r="I104" s="73">
        <f t="shared" si="4"/>
        <v>139.99</v>
      </c>
      <c r="J104" s="73">
        <f t="shared" si="5"/>
        <v>102.99</v>
      </c>
      <c r="K104" s="111">
        <f t="shared" si="6"/>
        <v>-0.30001500075003751</v>
      </c>
      <c r="L104" s="111">
        <f t="shared" si="7"/>
        <v>-0.29934009116266425</v>
      </c>
      <c r="N104" s="31" t="str">
        <f>+VLOOKUP(C104,'Country &amp; Code Abbreviation'!$C$3:$D$245,2,FALSE)</f>
        <v>FRA</v>
      </c>
    </row>
    <row r="105" spans="2:14" ht="12.75" customHeight="1">
      <c r="B105" s="25" t="s">
        <v>148</v>
      </c>
      <c r="C105" t="str">
        <f>VLOOKUP($B105,Google!$B$3:$E$176,Google!C$1,FALSE)</f>
        <v>FR</v>
      </c>
      <c r="D105" t="str">
        <f>VLOOKUP($B105,Google!$B$3:$E$176,Google!D$1,FALSE)</f>
        <v>EUR</v>
      </c>
      <c r="E105" t="str">
        <f>VLOOKUP($B105,Google!$B$3:$E$176,Google!E$1,FALSE)</f>
        <v>EUR</v>
      </c>
      <c r="F105" t="s">
        <v>69</v>
      </c>
      <c r="G105" s="128">
        <f>VLOOKUP($B105,Google!$B$3:$H$176,Google!F$1,FALSE)</f>
        <v>199.99</v>
      </c>
      <c r="H105" s="128">
        <f>VLOOKUP($B105,Google!$B$3:$H$176,Google!H$1,FALSE)</f>
        <v>146.99</v>
      </c>
      <c r="I105" s="73">
        <f t="shared" si="4"/>
        <v>139.99</v>
      </c>
      <c r="J105" s="73">
        <f t="shared" si="5"/>
        <v>102.99</v>
      </c>
      <c r="K105" s="111">
        <f t="shared" si="6"/>
        <v>-0.30001500075003751</v>
      </c>
      <c r="L105" s="111">
        <f t="shared" si="7"/>
        <v>-0.29934009116266425</v>
      </c>
      <c r="N105" s="31" t="str">
        <f>+VLOOKUP(C105,'Country &amp; Code Abbreviation'!$C$3:$D$245,2,FALSE)</f>
        <v>FRA</v>
      </c>
    </row>
    <row r="106" spans="2:14" ht="12.75" customHeight="1">
      <c r="B106" s="25" t="s">
        <v>152</v>
      </c>
      <c r="C106" t="str">
        <f>VLOOKUP($B106,Apple!$B$3:$E$176,Apple!C$1,FALSE)</f>
        <v>GA</v>
      </c>
      <c r="D106" t="str">
        <f>VLOOKUP($B106,Apple!$B$3:$E$176,Apple!D$1,FALSE)</f>
        <v>XAF</v>
      </c>
      <c r="E106" t="str">
        <f>VLOOKUP($B106,Apple!$B$3:$E$176,Apple!E$1,FALSE)</f>
        <v>USD</v>
      </c>
      <c r="F106" t="s">
        <v>68</v>
      </c>
      <c r="G106" s="128">
        <f>VLOOKUP($B106,Apple!$B$3:$H$176,Apple!F$1,FALSE)</f>
        <v>54.99</v>
      </c>
      <c r="H106" s="128">
        <f>VLOOKUP($B106,Apple!$B$3:$H$176,Apple!H$1,FALSE)</f>
        <v>41.99</v>
      </c>
      <c r="I106" s="73">
        <f t="shared" si="4"/>
        <v>37.99</v>
      </c>
      <c r="J106" s="73">
        <f t="shared" si="5"/>
        <v>28.99</v>
      </c>
      <c r="K106" s="111">
        <f t="shared" si="6"/>
        <v>-0.30914711765775593</v>
      </c>
      <c r="L106" s="111">
        <f t="shared" si="7"/>
        <v>-0.30959752321981426</v>
      </c>
      <c r="N106" s="31" t="str">
        <f>+VLOOKUP(C106,'Country &amp; Code Abbreviation'!$C$3:$D$245,2,FALSE)</f>
        <v>GAB</v>
      </c>
    </row>
    <row r="107" spans="2:14" ht="12.75" customHeight="1">
      <c r="B107" s="225" t="s">
        <v>152</v>
      </c>
      <c r="C107" t="str">
        <f>VLOOKUP($B107,Google!$B$3:$E$176,Google!C$1,FALSE)</f>
        <v>GA</v>
      </c>
      <c r="D107" t="str">
        <f>VLOOKUP($B107,Google!$B$3:$E$176,Google!D$1,FALSE)</f>
        <v>XAF</v>
      </c>
      <c r="E107" t="str">
        <f>VLOOKUP($B107,Google!$B$3:$E$176,Google!E$1,FALSE)</f>
        <v>EUR</v>
      </c>
      <c r="F107" t="s">
        <v>69</v>
      </c>
      <c r="G107" s="128">
        <f>VLOOKUP($B107,Google!$B$3:$H$176,Google!F$1,FALSE)</f>
        <v>51.99</v>
      </c>
      <c r="H107" s="128">
        <f>VLOOKUP($B107,Google!$B$3:$H$176,Google!H$1,FALSE)</f>
        <v>37.99</v>
      </c>
      <c r="I107" s="73">
        <f t="shared" si="4"/>
        <v>35.99</v>
      </c>
      <c r="J107" s="73">
        <f t="shared" si="5"/>
        <v>26.99</v>
      </c>
      <c r="K107" s="111">
        <f t="shared" si="6"/>
        <v>-0.30775149067128293</v>
      </c>
      <c r="L107" s="111">
        <f t="shared" si="7"/>
        <v>-0.28954988154777583</v>
      </c>
      <c r="N107" s="31" t="str">
        <f>+VLOOKUP(C107,'Country &amp; Code Abbreviation'!$C$3:$D$245,2,FALSE)</f>
        <v>GAB</v>
      </c>
    </row>
    <row r="108" spans="2:14" ht="12.75" customHeight="1">
      <c r="B108" s="25" t="s">
        <v>153</v>
      </c>
      <c r="C108" t="str">
        <f>VLOOKUP($B108,Apple!$B$3:$E$176,Apple!C$1,FALSE)</f>
        <v>GM</v>
      </c>
      <c r="D108" t="str">
        <f>VLOOKUP($B108,Apple!$B$3:$E$176,Apple!D$1,FALSE)</f>
        <v>GMD</v>
      </c>
      <c r="E108" t="str">
        <f>VLOOKUP($B108,Apple!$B$3:$E$176,Apple!E$1,FALSE)</f>
        <v>USD</v>
      </c>
      <c r="F108" t="s">
        <v>68</v>
      </c>
      <c r="G108" s="128">
        <f>VLOOKUP($B108,Apple!$B$3:$H$176,Apple!F$1,FALSE)</f>
        <v>74.989999999999995</v>
      </c>
      <c r="H108" s="128">
        <f>VLOOKUP($B108,Apple!$B$3:$H$176,Apple!H$1,FALSE)</f>
        <v>59.99</v>
      </c>
      <c r="I108" s="73">
        <f t="shared" si="4"/>
        <v>51.99</v>
      </c>
      <c r="J108" s="73">
        <f t="shared" si="5"/>
        <v>41.99</v>
      </c>
      <c r="K108" s="111">
        <f t="shared" si="6"/>
        <v>-0.30670756100813434</v>
      </c>
      <c r="L108" s="111">
        <f t="shared" si="7"/>
        <v>-0.3000500083347224</v>
      </c>
      <c r="N108" s="31" t="str">
        <f>+VLOOKUP(C108,'Country &amp; Code Abbreviation'!$C$3:$D$245,2,FALSE)</f>
        <v>GMB</v>
      </c>
    </row>
    <row r="109" spans="2:14" ht="12.75" customHeight="1">
      <c r="B109" s="25" t="s">
        <v>153</v>
      </c>
      <c r="C109" t="str">
        <f>VLOOKUP($B109,Google!$B$3:$E$176,Google!C$1,FALSE)</f>
        <v>GM</v>
      </c>
      <c r="D109" t="str">
        <f>VLOOKUP($B109,Google!$B$3:$E$176,Google!D$1,FALSE)</f>
        <v>GMD</v>
      </c>
      <c r="E109" t="str">
        <f>VLOOKUP($B109,Google!$B$3:$E$176,Google!E$1,FALSE)</f>
        <v>USD</v>
      </c>
      <c r="F109" t="s">
        <v>69</v>
      </c>
      <c r="G109" s="128">
        <f>VLOOKUP($B109,Google!$B$3:$H$176,Google!F$1,FALSE)</f>
        <v>74.989999999999995</v>
      </c>
      <c r="H109" s="128">
        <f>VLOOKUP($B109,Google!$B$3:$H$176,Google!H$1,FALSE)</f>
        <v>59.99</v>
      </c>
      <c r="I109" s="73">
        <f t="shared" si="4"/>
        <v>51.99</v>
      </c>
      <c r="J109" s="73">
        <f t="shared" si="5"/>
        <v>41.99</v>
      </c>
      <c r="K109" s="111">
        <f t="shared" si="6"/>
        <v>-0.30670756100813434</v>
      </c>
      <c r="L109" s="111">
        <f t="shared" si="7"/>
        <v>-0.3000500083347224</v>
      </c>
      <c r="N109" s="31" t="str">
        <f>+VLOOKUP(C109,'Country &amp; Code Abbreviation'!$C$3:$D$245,2,FALSE)</f>
        <v>GMB</v>
      </c>
    </row>
    <row r="110" spans="2:14" ht="12.75" customHeight="1">
      <c r="B110" s="25" t="s">
        <v>154</v>
      </c>
      <c r="C110" t="str">
        <f>VLOOKUP($B110,Apple!$B$3:$E$176,Apple!C$1,FALSE)</f>
        <v>GE</v>
      </c>
      <c r="D110" t="str">
        <f>VLOOKUP($B110,Apple!$B$3:$E$176,Apple!D$1,FALSE)</f>
        <v>GEL</v>
      </c>
      <c r="E110" t="str">
        <f>VLOOKUP($B110,Apple!$B$3:$E$176,Apple!E$1,FALSE)</f>
        <v>USD</v>
      </c>
      <c r="F110" t="s">
        <v>68</v>
      </c>
      <c r="G110" s="128">
        <f>VLOOKUP($B110,Apple!$B$3:$H$176,Apple!F$1,FALSE)</f>
        <v>113.99</v>
      </c>
      <c r="H110" s="128">
        <f>VLOOKUP($B110,Apple!$B$3:$H$176,Apple!H$1,FALSE)</f>
        <v>87.99</v>
      </c>
      <c r="I110" s="73">
        <f t="shared" si="4"/>
        <v>79.989999999999995</v>
      </c>
      <c r="J110" s="73">
        <f t="shared" si="5"/>
        <v>61.99</v>
      </c>
      <c r="K110" s="111">
        <f t="shared" si="6"/>
        <v>-0.29827177822616024</v>
      </c>
      <c r="L110" s="111">
        <f t="shared" si="7"/>
        <v>-0.29548812365041477</v>
      </c>
      <c r="N110" s="31" t="str">
        <f>+VLOOKUP(C110,'Country &amp; Code Abbreviation'!$C$3:$D$245,2,FALSE)</f>
        <v>GEO</v>
      </c>
    </row>
    <row r="111" spans="2:14" ht="12.75" customHeight="1">
      <c r="B111" s="25" t="s">
        <v>154</v>
      </c>
      <c r="C111" t="str">
        <f>VLOOKUP($B111,Google!$B$3:$E$176,Google!C$1,FALSE)</f>
        <v>GE</v>
      </c>
      <c r="D111" t="str">
        <f>VLOOKUP($B111,Google!$B$3:$E$176,Google!D$1,FALSE)</f>
        <v>GEL</v>
      </c>
      <c r="E111" t="str">
        <f>VLOOKUP($B111,Google!$B$3:$E$176,Google!E$1,FALSE)</f>
        <v>GEL</v>
      </c>
      <c r="F111" t="s">
        <v>69</v>
      </c>
      <c r="G111" s="128">
        <f>VLOOKUP($B111,Google!$B$3:$H$176,Google!F$1,FALSE)</f>
        <v>299.99</v>
      </c>
      <c r="H111" s="128">
        <f>VLOOKUP($B111,Google!$B$3:$H$176,Google!H$1,FALSE)</f>
        <v>229.99</v>
      </c>
      <c r="I111" s="73">
        <f t="shared" si="4"/>
        <v>209.99</v>
      </c>
      <c r="J111" s="251">
        <v>159.99</v>
      </c>
      <c r="K111" s="111">
        <f t="shared" si="6"/>
        <v>-0.30001000033334446</v>
      </c>
      <c r="L111" s="111">
        <f t="shared" si="7"/>
        <v>-0.30436105917648593</v>
      </c>
      <c r="N111" s="31" t="str">
        <f>+VLOOKUP(C111,'Country &amp; Code Abbreviation'!$C$3:$D$245,2,FALSE)</f>
        <v>GEO</v>
      </c>
    </row>
    <row r="112" spans="2:14" ht="12.75" customHeight="1">
      <c r="B112" s="25" t="s">
        <v>155</v>
      </c>
      <c r="C112" t="str">
        <f>VLOOKUP($B112,Apple!$B$3:$E$176,Apple!C$1,FALSE)</f>
        <v>DE</v>
      </c>
      <c r="D112" t="str">
        <f>VLOOKUP($B112,Apple!$B$3:$E$176,Apple!D$1,FALSE)</f>
        <v>EUR</v>
      </c>
      <c r="E112" t="str">
        <f>VLOOKUP($B112,Apple!$B$3:$E$176,Apple!E$1,FALSE)</f>
        <v>EUR</v>
      </c>
      <c r="F112" t="s">
        <v>68</v>
      </c>
      <c r="G112" s="128">
        <f>VLOOKUP($B112,Apple!$B$3:$H$176,Apple!F$1,FALSE)</f>
        <v>189.99</v>
      </c>
      <c r="H112" s="128">
        <f>VLOOKUP($B112,Apple!$B$3:$H$176,Apple!H$1,FALSE)</f>
        <v>139.99</v>
      </c>
      <c r="I112" s="73">
        <f t="shared" si="4"/>
        <v>132.99</v>
      </c>
      <c r="J112" s="73">
        <f t="shared" si="5"/>
        <v>97.99</v>
      </c>
      <c r="K112" s="111">
        <f t="shared" si="6"/>
        <v>-0.30001579030475289</v>
      </c>
      <c r="L112" s="111">
        <f t="shared" si="7"/>
        <v>-0.30002143010215021</v>
      </c>
      <c r="N112" s="31" t="str">
        <f>+VLOOKUP(C112,'Country &amp; Code Abbreviation'!$C$3:$D$245,2,FALSE)</f>
        <v>DEU</v>
      </c>
    </row>
    <row r="113" spans="2:14" ht="12.75" customHeight="1">
      <c r="B113" s="25" t="s">
        <v>155</v>
      </c>
      <c r="C113" t="str">
        <f>VLOOKUP($B113,Google!$B$3:$E$176,Google!C$1,FALSE)</f>
        <v>DE</v>
      </c>
      <c r="D113" t="str">
        <f>VLOOKUP($B113,Google!$B$3:$E$176,Google!D$1,FALSE)</f>
        <v>EUR</v>
      </c>
      <c r="E113" t="str">
        <f>VLOOKUP($B113,Google!$B$3:$E$176,Google!E$1,FALSE)</f>
        <v>EUR</v>
      </c>
      <c r="F113" t="s">
        <v>69</v>
      </c>
      <c r="G113" s="128">
        <f>VLOOKUP($B113,Google!$B$3:$H$176,Google!F$1,FALSE)</f>
        <v>189.99</v>
      </c>
      <c r="H113" s="128">
        <f>VLOOKUP($B113,Google!$B$3:$H$176,Google!H$1,FALSE)</f>
        <v>139.99</v>
      </c>
      <c r="I113" s="73">
        <f t="shared" si="4"/>
        <v>132.99</v>
      </c>
      <c r="J113" s="73">
        <f t="shared" si="5"/>
        <v>97.99</v>
      </c>
      <c r="K113" s="111">
        <f t="shared" si="6"/>
        <v>-0.30001579030475289</v>
      </c>
      <c r="L113" s="111">
        <f t="shared" si="7"/>
        <v>-0.30002143010215021</v>
      </c>
      <c r="N113" s="31" t="str">
        <f>+VLOOKUP(C113,'Country &amp; Code Abbreviation'!$C$3:$D$245,2,FALSE)</f>
        <v>DEU</v>
      </c>
    </row>
    <row r="114" spans="2:14" ht="12.75" customHeight="1">
      <c r="B114" s="25" t="s">
        <v>156</v>
      </c>
      <c r="C114" t="str">
        <f>VLOOKUP($B114,Apple!$B$3:$E$176,Apple!C$1,FALSE)</f>
        <v>GH</v>
      </c>
      <c r="D114" t="str">
        <f>VLOOKUP($B114,Apple!$B$3:$E$176,Apple!D$1,FALSE)</f>
        <v>GHS</v>
      </c>
      <c r="E114" t="str">
        <f>VLOOKUP($B114,Apple!$B$3:$E$176,Apple!E$1,FALSE)</f>
        <v>USD</v>
      </c>
      <c r="F114" t="s">
        <v>68</v>
      </c>
      <c r="G114" s="128">
        <f>VLOOKUP($B114,Apple!$B$3:$H$176,Apple!F$1,FALSE)</f>
        <v>49.99</v>
      </c>
      <c r="H114" s="128">
        <f>VLOOKUP($B114,Apple!$B$3:$H$176,Apple!H$1,FALSE)</f>
        <v>34.99</v>
      </c>
      <c r="I114" s="73">
        <f t="shared" si="4"/>
        <v>34.99</v>
      </c>
      <c r="J114" s="73">
        <f t="shared" si="5"/>
        <v>23.99</v>
      </c>
      <c r="K114" s="111">
        <f t="shared" si="6"/>
        <v>-0.30006001200240051</v>
      </c>
      <c r="L114" s="111">
        <f t="shared" si="7"/>
        <v>-0.31437553586739075</v>
      </c>
      <c r="N114" s="31" t="str">
        <f>+VLOOKUP(C114,'Country &amp; Code Abbreviation'!$C$3:$D$245,2,FALSE)</f>
        <v>GHA</v>
      </c>
    </row>
    <row r="115" spans="2:14" ht="12.75" customHeight="1">
      <c r="B115" s="25" t="s">
        <v>156</v>
      </c>
      <c r="C115" t="str">
        <f>VLOOKUP($B115,Google!$B$3:$E$176,Google!C$1,FALSE)</f>
        <v>GH</v>
      </c>
      <c r="D115" t="str">
        <f>VLOOKUP($B115,Google!$B$3:$E$176,Google!D$1,FALSE)</f>
        <v>GHS</v>
      </c>
      <c r="E115" t="str">
        <f>VLOOKUP($B115,Google!$B$3:$E$176,Google!E$1,FALSE)</f>
        <v>GHS</v>
      </c>
      <c r="F115" t="s">
        <v>69</v>
      </c>
      <c r="G115" s="128">
        <f>VLOOKUP($B115,Google!$B$3:$H$176,Google!F$1,FALSE)</f>
        <v>679</v>
      </c>
      <c r="H115" s="128">
        <f>VLOOKUP($B115,Google!$B$3:$H$176,Google!H$1,FALSE)</f>
        <v>479</v>
      </c>
      <c r="I115" s="255">
        <f>+MROUND(G115*0.7,10)-1</f>
        <v>479</v>
      </c>
      <c r="J115" s="255">
        <f>+MROUND(H115*0.7,10)-1</f>
        <v>339</v>
      </c>
      <c r="K115" s="111">
        <f t="shared" si="6"/>
        <v>-0.29455081001472749</v>
      </c>
      <c r="L115" s="111">
        <f t="shared" si="7"/>
        <v>-0.29227557411273486</v>
      </c>
      <c r="N115" s="31" t="str">
        <f>+VLOOKUP(C115,'Country &amp; Code Abbreviation'!$C$3:$D$245,2,FALSE)</f>
        <v>GHA</v>
      </c>
    </row>
    <row r="116" spans="2:14" ht="12.75" customHeight="1">
      <c r="B116" s="225" t="s">
        <v>157</v>
      </c>
      <c r="C116" t="str">
        <f>VLOOKUP($B116,Google!$B$3:$E$176,Google!C$1,FALSE)</f>
        <v>GI</v>
      </c>
      <c r="D116" t="str">
        <f>VLOOKUP($B116,Google!$B$3:$E$176,Google!D$1,FALSE)</f>
        <v>GIP</v>
      </c>
      <c r="E116" t="str">
        <f>VLOOKUP($B116,Google!$B$3:$E$176,Google!E$1,FALSE)</f>
        <v>GBP</v>
      </c>
      <c r="F116" t="s">
        <v>69</v>
      </c>
      <c r="G116" s="128">
        <f>VLOOKUP($B116,Google!$B$3:$H$176,Google!F$1,FALSE)</f>
        <v>124.99</v>
      </c>
      <c r="H116" s="128">
        <f>VLOOKUP($B116,Google!$B$3:$H$176,Google!H$1,FALSE)</f>
        <v>79.989999999999995</v>
      </c>
      <c r="I116" s="73">
        <f t="shared" si="4"/>
        <v>86.99</v>
      </c>
      <c r="J116" s="251">
        <v>54.99</v>
      </c>
      <c r="K116" s="111">
        <f t="shared" si="6"/>
        <v>-0.30402432194575568</v>
      </c>
      <c r="L116" s="111">
        <f t="shared" si="7"/>
        <v>-0.31253906738342285</v>
      </c>
      <c r="N116" s="31" t="str">
        <f>+VLOOKUP(C116,'Country &amp; Code Abbreviation'!$C$3:$D$245,2,FALSE)</f>
        <v>GIB</v>
      </c>
    </row>
    <row r="117" spans="2:14" ht="12.75" customHeight="1">
      <c r="B117" s="25" t="s">
        <v>158</v>
      </c>
      <c r="C117" t="str">
        <f>VLOOKUP($B117,Apple!$B$3:$E$176,Apple!C$1,FALSE)</f>
        <v>GR</v>
      </c>
      <c r="D117" t="str">
        <f>VLOOKUP($B117,Apple!$B$3:$E$176,Apple!D$1,FALSE)</f>
        <v>EUR</v>
      </c>
      <c r="E117" t="str">
        <f>VLOOKUP($B117,Apple!$B$3:$E$176,Apple!E$1,FALSE)</f>
        <v>EUR</v>
      </c>
      <c r="F117" t="s">
        <v>68</v>
      </c>
      <c r="G117" s="128">
        <f>VLOOKUP($B117,Apple!$B$3:$H$176,Apple!F$1,FALSE)</f>
        <v>117.99</v>
      </c>
      <c r="H117" s="128">
        <f>VLOOKUP($B117,Apple!$B$3:$H$176,Apple!H$1,FALSE)</f>
        <v>89.99</v>
      </c>
      <c r="I117" s="73">
        <f t="shared" si="4"/>
        <v>82.99</v>
      </c>
      <c r="J117" s="73">
        <f t="shared" si="5"/>
        <v>62.99</v>
      </c>
      <c r="K117" s="111">
        <f t="shared" si="6"/>
        <v>-0.29663530807695571</v>
      </c>
      <c r="L117" s="111">
        <f t="shared" si="7"/>
        <v>-0.3000333370374485</v>
      </c>
      <c r="N117" s="31" t="str">
        <f>+VLOOKUP(C117,'Country &amp; Code Abbreviation'!$C$3:$D$245,2,FALSE)</f>
        <v>GRC</v>
      </c>
    </row>
    <row r="118" spans="2:14" ht="12.75" customHeight="1">
      <c r="B118" s="25" t="s">
        <v>158</v>
      </c>
      <c r="C118" t="str">
        <f>VLOOKUP($B118,Google!$B$3:$E$176,Google!C$1,FALSE)</f>
        <v>GR</v>
      </c>
      <c r="D118" t="str">
        <f>VLOOKUP($B118,Google!$B$3:$E$176,Google!D$1,FALSE)</f>
        <v>EUR</v>
      </c>
      <c r="E118" t="str">
        <f>VLOOKUP($B118,Google!$B$3:$E$176,Google!E$1,FALSE)</f>
        <v>EUR</v>
      </c>
      <c r="F118" t="s">
        <v>69</v>
      </c>
      <c r="G118" s="128">
        <f>VLOOKUP($B118,Google!$B$3:$H$176,Google!F$1,FALSE)</f>
        <v>117.99</v>
      </c>
      <c r="H118" s="128">
        <f>VLOOKUP($B118,Google!$B$3:$H$176,Google!H$1,FALSE)</f>
        <v>89.99</v>
      </c>
      <c r="I118" s="73">
        <f t="shared" si="4"/>
        <v>82.99</v>
      </c>
      <c r="J118" s="73">
        <f t="shared" si="5"/>
        <v>62.99</v>
      </c>
      <c r="K118" s="111">
        <f t="shared" si="6"/>
        <v>-0.29663530807695571</v>
      </c>
      <c r="L118" s="111">
        <f t="shared" si="7"/>
        <v>-0.3000333370374485</v>
      </c>
      <c r="N118" s="31" t="str">
        <f>+VLOOKUP(C118,'Country &amp; Code Abbreviation'!$C$3:$D$245,2,FALSE)</f>
        <v>GRC</v>
      </c>
    </row>
    <row r="119" spans="2:14" ht="12.75" customHeight="1">
      <c r="B119" s="25" t="s">
        <v>160</v>
      </c>
      <c r="C119" t="str">
        <f>VLOOKUP($B119,Apple!$B$3:$E$176,Apple!C$1,FALSE)</f>
        <v>GD</v>
      </c>
      <c r="D119" t="str">
        <f>VLOOKUP($B119,Apple!$B$3:$E$176,Apple!D$1,FALSE)</f>
        <v>XCD</v>
      </c>
      <c r="E119" t="str">
        <f>VLOOKUP($B119,Apple!$B$3:$E$176,Apple!E$1,FALSE)</f>
        <v>USD</v>
      </c>
      <c r="F119" t="s">
        <v>68</v>
      </c>
      <c r="G119" s="128">
        <f>VLOOKUP($B119,Apple!$B$3:$H$176,Apple!F$1,FALSE)</f>
        <v>112.99</v>
      </c>
      <c r="H119" s="128">
        <f>VLOOKUP($B119,Apple!$B$3:$H$176,Apple!H$1,FALSE)</f>
        <v>83.99</v>
      </c>
      <c r="I119" s="73">
        <f t="shared" si="4"/>
        <v>78.989999999999995</v>
      </c>
      <c r="J119" s="73">
        <f t="shared" si="5"/>
        <v>58.99</v>
      </c>
      <c r="K119" s="111">
        <f t="shared" si="6"/>
        <v>-0.30091158509602622</v>
      </c>
      <c r="L119" s="111">
        <f t="shared" si="7"/>
        <v>-0.29765448267650907</v>
      </c>
      <c r="N119" s="31" t="str">
        <f>+VLOOKUP(C119,'Country &amp; Code Abbreviation'!$C$3:$D$245,2,FALSE)</f>
        <v>GRD</v>
      </c>
    </row>
    <row r="120" spans="2:14" ht="12.75" customHeight="1">
      <c r="B120" s="25" t="s">
        <v>160</v>
      </c>
      <c r="C120" t="str">
        <f>VLOOKUP($B120,Google!$B$3:$E$176,Google!C$1,FALSE)</f>
        <v>GD</v>
      </c>
      <c r="D120" t="str">
        <f>VLOOKUP($B120,Google!$B$3:$E$176,Google!D$1,FALSE)</f>
        <v>XCD</v>
      </c>
      <c r="E120" t="str">
        <f>VLOOKUP($B120,Google!$B$3:$E$176,Google!E$1,FALSE)</f>
        <v>USD</v>
      </c>
      <c r="F120" t="s">
        <v>69</v>
      </c>
      <c r="G120" s="128">
        <f>VLOOKUP($B120,Google!$B$3:$H$176,Google!F$1,FALSE)</f>
        <v>112.99</v>
      </c>
      <c r="H120" s="128">
        <f>VLOOKUP($B120,Google!$B$3:$H$176,Google!H$1,FALSE)</f>
        <v>83.99</v>
      </c>
      <c r="I120" s="73">
        <f t="shared" si="4"/>
        <v>78.989999999999995</v>
      </c>
      <c r="J120" s="73">
        <f t="shared" si="5"/>
        <v>58.99</v>
      </c>
      <c r="K120" s="111">
        <f t="shared" si="6"/>
        <v>-0.30091158509602622</v>
      </c>
      <c r="L120" s="111">
        <f t="shared" si="7"/>
        <v>-0.29765448267650907</v>
      </c>
      <c r="N120" s="31" t="str">
        <f>+VLOOKUP(C120,'Country &amp; Code Abbreviation'!$C$3:$D$245,2,FALSE)</f>
        <v>GRD</v>
      </c>
    </row>
    <row r="121" spans="2:14" ht="12.75" customHeight="1">
      <c r="B121" s="25" t="s">
        <v>162</v>
      </c>
      <c r="C121" t="str">
        <f>VLOOKUP($B121,Apple!$B$3:$E$176,Apple!C$1,FALSE)</f>
        <v>GT</v>
      </c>
      <c r="D121" t="str">
        <f>VLOOKUP($B121,Apple!$B$3:$E$176,Apple!D$1,FALSE)</f>
        <v>GTQ</v>
      </c>
      <c r="E121" t="str">
        <f>VLOOKUP($B121,Apple!$B$3:$E$176,Apple!E$1,FALSE)</f>
        <v>USD</v>
      </c>
      <c r="F121" t="s">
        <v>68</v>
      </c>
      <c r="G121" s="128">
        <f>VLOOKUP($B121,Apple!$B$3:$H$176,Apple!F$1,FALSE)</f>
        <v>96.99</v>
      </c>
      <c r="H121" s="128">
        <f>VLOOKUP($B121,Apple!$B$3:$H$176,Apple!H$1,FALSE)</f>
        <v>66.989999999999995</v>
      </c>
      <c r="I121" s="73">
        <f t="shared" si="4"/>
        <v>67.989999999999995</v>
      </c>
      <c r="J121" s="73">
        <f t="shared" si="5"/>
        <v>46.99</v>
      </c>
      <c r="K121" s="111">
        <f t="shared" si="6"/>
        <v>-0.29899989689658735</v>
      </c>
      <c r="L121" s="111">
        <f t="shared" si="7"/>
        <v>-0.29855202268995362</v>
      </c>
      <c r="N121" s="31" t="str">
        <f>+VLOOKUP(C121,'Country &amp; Code Abbreviation'!$C$3:$D$245,2,FALSE)</f>
        <v>GTM</v>
      </c>
    </row>
    <row r="122" spans="2:14" ht="12.75" customHeight="1">
      <c r="B122" s="25" t="s">
        <v>162</v>
      </c>
      <c r="C122" t="str">
        <f>VLOOKUP($B122,Google!$B$3:$E$176,Google!C$1,FALSE)</f>
        <v>GT</v>
      </c>
      <c r="D122" t="str">
        <f>VLOOKUP($B122,Google!$B$3:$E$176,Google!D$1,FALSE)</f>
        <v>GTQ</v>
      </c>
      <c r="E122" t="str">
        <f>VLOOKUP($B122,Google!$B$3:$E$176,Google!E$1,FALSE)</f>
        <v>USD</v>
      </c>
      <c r="F122" t="s">
        <v>69</v>
      </c>
      <c r="G122" s="128">
        <f>VLOOKUP($B122,Google!$B$3:$H$176,Google!F$1,FALSE)</f>
        <v>96.99</v>
      </c>
      <c r="H122" s="128">
        <f>VLOOKUP($B122,Google!$B$3:$H$176,Google!H$1,FALSE)</f>
        <v>66.989999999999995</v>
      </c>
      <c r="I122" s="73">
        <f t="shared" si="4"/>
        <v>67.989999999999995</v>
      </c>
      <c r="J122" s="73">
        <f t="shared" si="5"/>
        <v>46.99</v>
      </c>
      <c r="K122" s="111">
        <f t="shared" si="6"/>
        <v>-0.29899989689658735</v>
      </c>
      <c r="L122" s="111">
        <f t="shared" si="7"/>
        <v>-0.29855202268995362</v>
      </c>
      <c r="N122" s="31" t="str">
        <f>+VLOOKUP(C122,'Country &amp; Code Abbreviation'!$C$3:$D$245,2,FALSE)</f>
        <v>GTM</v>
      </c>
    </row>
    <row r="123" spans="2:14" ht="12.75" customHeight="1">
      <c r="B123" s="25" t="s">
        <v>164</v>
      </c>
      <c r="C123" t="str">
        <f>VLOOKUP($B123,Google!$B$3:$E$176,Google!C$1,FALSE)</f>
        <v>GN</v>
      </c>
      <c r="D123" t="str">
        <f>VLOOKUP($B123,Google!$B$3:$E$176,Google!D$1,FALSE)</f>
        <v>GNF</v>
      </c>
      <c r="E123" t="str">
        <f>VLOOKUP($B123,Google!$B$3:$E$176,Google!E$1,FALSE)</f>
        <v>USD</v>
      </c>
      <c r="F123" t="s">
        <v>69</v>
      </c>
      <c r="G123" s="128">
        <f>VLOOKUP($B123,Google!$B$3:$H$176,Google!F$1,FALSE)</f>
        <v>74.989999999999995</v>
      </c>
      <c r="H123" s="128">
        <f>VLOOKUP($B123,Google!$B$3:$H$176,Google!H$1,FALSE)</f>
        <v>55.99</v>
      </c>
      <c r="I123" s="73">
        <f t="shared" si="4"/>
        <v>51.99</v>
      </c>
      <c r="J123" s="73">
        <f t="shared" si="5"/>
        <v>38.99</v>
      </c>
      <c r="K123" s="111">
        <f t="shared" si="6"/>
        <v>-0.30670756100813434</v>
      </c>
      <c r="L123" s="111">
        <f t="shared" si="7"/>
        <v>-0.30362564743704235</v>
      </c>
      <c r="N123" s="31" t="str">
        <f>+VLOOKUP(C123,'Country &amp; Code Abbreviation'!$C$3:$D$245,2,FALSE)</f>
        <v>GIN</v>
      </c>
    </row>
    <row r="124" spans="2:14" ht="12.75" customHeight="1">
      <c r="B124" s="25" t="s">
        <v>165</v>
      </c>
      <c r="C124" t="str">
        <f>VLOOKUP($B124,Apple!$B$3:$E$176,Apple!C$1,FALSE)</f>
        <v>GW</v>
      </c>
      <c r="D124" t="str">
        <f>VLOOKUP($B124,Apple!$B$3:$E$176,Apple!D$1,FALSE)</f>
        <v>XOF</v>
      </c>
      <c r="E124" t="str">
        <f>VLOOKUP($B124,Apple!$B$3:$E$176,Apple!E$1,FALSE)</f>
        <v>USD</v>
      </c>
      <c r="F124" t="s">
        <v>68</v>
      </c>
      <c r="G124" s="128">
        <f>VLOOKUP($B124,Apple!$B$3:$H$176,Apple!F$1,FALSE)</f>
        <v>72.989999999999995</v>
      </c>
      <c r="H124" s="128">
        <f>VLOOKUP($B124,Apple!$B$3:$H$176,Apple!H$1,FALSE)</f>
        <v>54.99</v>
      </c>
      <c r="I124" s="73">
        <f t="shared" si="4"/>
        <v>50.99</v>
      </c>
      <c r="J124" s="73">
        <f t="shared" si="5"/>
        <v>37.99</v>
      </c>
      <c r="K124" s="111">
        <f t="shared" si="6"/>
        <v>-0.30141115221263182</v>
      </c>
      <c r="L124" s="111">
        <f t="shared" si="7"/>
        <v>-0.30914711765775593</v>
      </c>
      <c r="N124" s="31" t="str">
        <f>+VLOOKUP(C124,'Country &amp; Code Abbreviation'!$C$3:$D$245,2,FALSE)</f>
        <v>GNB</v>
      </c>
    </row>
    <row r="125" spans="2:14" ht="12.75" customHeight="1">
      <c r="B125" s="225" t="s">
        <v>165</v>
      </c>
      <c r="C125" t="str">
        <f>VLOOKUP($B125,Google!$B$3:$E$176,Google!C$1,FALSE)</f>
        <v>GW</v>
      </c>
      <c r="D125" t="str">
        <f>VLOOKUP($B125,Google!$B$3:$E$176,Google!D$1,FALSE)</f>
        <v>XOF</v>
      </c>
      <c r="E125" t="str">
        <f>VLOOKUP($B125,Google!$B$3:$E$176,Google!E$1,FALSE)</f>
        <v>EUR</v>
      </c>
      <c r="F125" t="s">
        <v>69</v>
      </c>
      <c r="G125" s="128">
        <f>VLOOKUP($B125,Google!$B$3:$H$176,Google!F$1,FALSE)</f>
        <v>66.989999999999995</v>
      </c>
      <c r="H125" s="128">
        <f>VLOOKUP($B125,Google!$B$3:$H$176,Google!H$1,FALSE)</f>
        <v>48.99</v>
      </c>
      <c r="I125" s="73">
        <f t="shared" si="4"/>
        <v>46.99</v>
      </c>
      <c r="J125" s="73">
        <f t="shared" si="5"/>
        <v>33.99</v>
      </c>
      <c r="K125" s="111">
        <f t="shared" si="6"/>
        <v>-0.29855202268995362</v>
      </c>
      <c r="L125" s="111">
        <f t="shared" si="7"/>
        <v>-0.30618493570116345</v>
      </c>
      <c r="N125" s="31" t="str">
        <f>+VLOOKUP(C125,'Country &amp; Code Abbreviation'!$C$3:$D$245,2,FALSE)</f>
        <v>GNB</v>
      </c>
    </row>
    <row r="126" spans="2:14" ht="12.75" customHeight="1">
      <c r="B126" s="25" t="s">
        <v>166</v>
      </c>
      <c r="C126" t="str">
        <f>VLOOKUP($B126,Apple!$B$3:$E$176,Apple!C$1,FALSE)</f>
        <v>GY</v>
      </c>
      <c r="D126" t="str">
        <f>VLOOKUP($B126,Apple!$B$3:$E$176,Apple!D$1,FALSE)</f>
        <v>GYD</v>
      </c>
      <c r="E126" t="str">
        <f>VLOOKUP($B126,Apple!$B$3:$E$176,Apple!E$1,FALSE)</f>
        <v>USD</v>
      </c>
      <c r="F126" t="s">
        <v>68</v>
      </c>
      <c r="G126" s="128">
        <f>VLOOKUP($B126,Apple!$B$3:$H$176,Apple!F$1,FALSE)</f>
        <v>119.99</v>
      </c>
      <c r="H126" s="128">
        <f>VLOOKUP($B126,Apple!$B$3:$H$176,Apple!H$1,FALSE)</f>
        <v>82.99</v>
      </c>
      <c r="I126" s="73">
        <f t="shared" si="4"/>
        <v>83.99</v>
      </c>
      <c r="J126" s="73">
        <f t="shared" si="5"/>
        <v>57.99</v>
      </c>
      <c r="K126" s="111">
        <f t="shared" si="6"/>
        <v>-0.30002500208350702</v>
      </c>
      <c r="L126" s="111">
        <f t="shared" si="7"/>
        <v>-0.30124111338715498</v>
      </c>
      <c r="N126" s="31" t="str">
        <f>+VLOOKUP(C126,'Country &amp; Code Abbreviation'!$C$3:$D$245,2,FALSE)</f>
        <v>GUY</v>
      </c>
    </row>
    <row r="127" spans="2:14" ht="12.75" customHeight="1">
      <c r="B127" s="25" t="s">
        <v>167</v>
      </c>
      <c r="C127" t="str">
        <f>VLOOKUP($B127,Google!$B$3:$E$176,Google!C$1,FALSE)</f>
        <v>HT</v>
      </c>
      <c r="D127" t="str">
        <f>VLOOKUP($B127,Google!$B$3:$E$176,Google!D$1,FALSE)</f>
        <v>HTG</v>
      </c>
      <c r="E127" t="str">
        <f>VLOOKUP($B127,Google!$B$3:$E$176,Google!E$1,FALSE)</f>
        <v>USD</v>
      </c>
      <c r="F127" t="s">
        <v>69</v>
      </c>
      <c r="G127" s="128">
        <f>VLOOKUP($B127,Google!$B$3:$H$176,Google!F$1,FALSE)</f>
        <v>96.99</v>
      </c>
      <c r="H127" s="128">
        <f>VLOOKUP($B127,Google!$B$3:$H$176,Google!H$1,FALSE)</f>
        <v>71.989999999999995</v>
      </c>
      <c r="I127" s="73">
        <f t="shared" si="4"/>
        <v>67.989999999999995</v>
      </c>
      <c r="J127" s="73">
        <f t="shared" si="5"/>
        <v>49.99</v>
      </c>
      <c r="K127" s="111">
        <f t="shared" si="6"/>
        <v>-0.29899989689658735</v>
      </c>
      <c r="L127" s="111">
        <f t="shared" si="7"/>
        <v>-0.3055979997221836</v>
      </c>
      <c r="N127" s="31" t="str">
        <f>+VLOOKUP(C127,'Country &amp; Code Abbreviation'!$C$3:$D$245,2,FALSE)</f>
        <v>HTI</v>
      </c>
    </row>
    <row r="128" spans="2:14" ht="12.75" customHeight="1">
      <c r="B128" s="25" t="s">
        <v>169</v>
      </c>
      <c r="C128" t="str">
        <f>VLOOKUP($B128,Apple!$B$3:$E$176,Apple!C$1,FALSE)</f>
        <v>HN</v>
      </c>
      <c r="D128" t="str">
        <f>VLOOKUP($B128,Apple!$B$3:$E$176,Apple!D$1,FALSE)</f>
        <v>HNL</v>
      </c>
      <c r="E128" t="str">
        <f>VLOOKUP($B128,Apple!$B$3:$E$176,Apple!E$1,FALSE)</f>
        <v>USD</v>
      </c>
      <c r="F128" t="s">
        <v>68</v>
      </c>
      <c r="G128" s="128">
        <f>VLOOKUP($B128,Apple!$B$3:$H$176,Apple!F$1,FALSE)</f>
        <v>76.989999999999995</v>
      </c>
      <c r="H128" s="128">
        <f>VLOOKUP($B128,Apple!$B$3:$H$176,Apple!H$1,FALSE)</f>
        <v>53.99</v>
      </c>
      <c r="I128" s="73">
        <f t="shared" si="4"/>
        <v>53.99</v>
      </c>
      <c r="J128" s="73">
        <f t="shared" si="5"/>
        <v>37.99</v>
      </c>
      <c r="K128" s="111">
        <f t="shared" si="6"/>
        <v>-0.29874009611637864</v>
      </c>
      <c r="L128" s="111">
        <f t="shared" si="7"/>
        <v>-0.2963511761437303</v>
      </c>
      <c r="N128" s="31" t="str">
        <f>+VLOOKUP(C128,'Country &amp; Code Abbreviation'!$C$3:$D$245,2,FALSE)</f>
        <v>HND</v>
      </c>
    </row>
    <row r="129" spans="2:14" ht="12.75" customHeight="1">
      <c r="B129" s="25" t="s">
        <v>169</v>
      </c>
      <c r="C129" t="str">
        <f>VLOOKUP($B129,Google!$B$3:$E$176,Google!C$1,FALSE)</f>
        <v>HN</v>
      </c>
      <c r="D129" t="str">
        <f>VLOOKUP($B129,Google!$B$3:$E$176,Google!D$1,FALSE)</f>
        <v>HNL</v>
      </c>
      <c r="E129" t="str">
        <f>VLOOKUP($B129,Google!$B$3:$E$176,Google!E$1,FALSE)</f>
        <v>USD</v>
      </c>
      <c r="F129" t="s">
        <v>69</v>
      </c>
      <c r="G129" s="128">
        <f>VLOOKUP($B129,Google!$B$3:$H$176,Google!F$1,FALSE)</f>
        <v>76.989999999999995</v>
      </c>
      <c r="H129" s="128">
        <f>VLOOKUP($B129,Google!$B$3:$H$176,Google!H$1,FALSE)</f>
        <v>53.99</v>
      </c>
      <c r="I129" s="73">
        <f t="shared" si="4"/>
        <v>53.99</v>
      </c>
      <c r="J129" s="73">
        <f t="shared" si="5"/>
        <v>37.99</v>
      </c>
      <c r="K129" s="111">
        <f t="shared" si="6"/>
        <v>-0.29874009611637864</v>
      </c>
      <c r="L129" s="111">
        <f t="shared" si="7"/>
        <v>-0.2963511761437303</v>
      </c>
      <c r="N129" s="31" t="str">
        <f>+VLOOKUP(C129,'Country &amp; Code Abbreviation'!$C$3:$D$245,2,FALSE)</f>
        <v>HND</v>
      </c>
    </row>
    <row r="130" spans="2:14" ht="12.75" customHeight="1">
      <c r="B130" s="25" t="s">
        <v>170</v>
      </c>
      <c r="C130" t="str">
        <f>VLOOKUP($B130,Apple!$B$3:$E$176,Apple!C$1,FALSE)</f>
        <v>HK</v>
      </c>
      <c r="D130" t="str">
        <f>VLOOKUP($B130,Apple!$B$3:$E$176,Apple!D$1,FALSE)</f>
        <v>HKD</v>
      </c>
      <c r="E130" t="str">
        <f>VLOOKUP($B130,Apple!$B$3:$E$176,Apple!E$1,FALSE)</f>
        <v>HKD</v>
      </c>
      <c r="F130" t="s">
        <v>68</v>
      </c>
      <c r="G130" s="128">
        <f>VLOOKUP($B130,Apple!$B$3:$H$176,Apple!F$1,FALSE)</f>
        <v>1149</v>
      </c>
      <c r="H130" s="128">
        <f>VLOOKUP($B130,Apple!$B$3:$H$176,Apple!H$1,FALSE)</f>
        <v>759</v>
      </c>
      <c r="I130" s="255">
        <f>+MROUND(G130*0.7,5)-1</f>
        <v>804</v>
      </c>
      <c r="J130" s="255">
        <f>+MROUND(H130*0.7,5)-1</f>
        <v>529</v>
      </c>
      <c r="K130" s="111">
        <f t="shared" si="6"/>
        <v>-0.30026109660574407</v>
      </c>
      <c r="L130" s="111">
        <f t="shared" si="7"/>
        <v>-0.30303030303030298</v>
      </c>
      <c r="N130" s="31" t="str">
        <f>+VLOOKUP(C130,'Country &amp; Code Abbreviation'!$C$3:$D$245,2,FALSE)</f>
        <v>HKG</v>
      </c>
    </row>
    <row r="131" spans="2:14" ht="12.75" customHeight="1">
      <c r="B131" s="25" t="s">
        <v>170</v>
      </c>
      <c r="C131" t="str">
        <f>VLOOKUP($B131,Google!$B$3:$E$176,Google!C$1,FALSE)</f>
        <v>HK</v>
      </c>
      <c r="D131" t="str">
        <f>VLOOKUP($B131,Google!$B$3:$E$176,Google!D$1,FALSE)</f>
        <v>HKD</v>
      </c>
      <c r="E131" t="str">
        <f>VLOOKUP($B131,Google!$B$3:$E$176,Google!E$1,FALSE)</f>
        <v>HKD</v>
      </c>
      <c r="F131" t="s">
        <v>69</v>
      </c>
      <c r="G131" s="128">
        <f>VLOOKUP($B131,Google!$B$3:$H$176,Google!F$1,FALSE)</f>
        <v>1149</v>
      </c>
      <c r="H131" s="128">
        <f>VLOOKUP($B131,Google!$B$3:$H$176,Google!H$1,FALSE)</f>
        <v>759</v>
      </c>
      <c r="I131" s="255">
        <f>+MROUND(G131*0.7,5)-1</f>
        <v>804</v>
      </c>
      <c r="J131" s="255">
        <f>+MROUND(H131*0.7,5)-1</f>
        <v>529</v>
      </c>
      <c r="K131" s="111">
        <f t="shared" si="6"/>
        <v>-0.30026109660574407</v>
      </c>
      <c r="L131" s="111">
        <f t="shared" si="7"/>
        <v>-0.30303030303030298</v>
      </c>
      <c r="N131" s="31" t="str">
        <f>+VLOOKUP(C131,'Country &amp; Code Abbreviation'!$C$3:$D$245,2,FALSE)</f>
        <v>HKG</v>
      </c>
    </row>
    <row r="132" spans="2:14" ht="12.75" customHeight="1">
      <c r="B132" s="25" t="s">
        <v>171</v>
      </c>
      <c r="C132" t="str">
        <f>VLOOKUP($B132,Apple!$B$3:$E$176,Apple!C$1,FALSE)</f>
        <v>HU</v>
      </c>
      <c r="D132" t="str">
        <f>VLOOKUP($B132,Apple!$B$3:$E$176,Apple!D$1,FALSE)</f>
        <v>HUF</v>
      </c>
      <c r="E132" t="str">
        <f>VLOOKUP($B132,Apple!$B$3:$E$176,Apple!E$1,FALSE)</f>
        <v>HUF</v>
      </c>
      <c r="F132" t="s">
        <v>68</v>
      </c>
      <c r="G132" s="128">
        <f>VLOOKUP($B132,Apple!$B$3:$H$176,Apple!F$1,FALSE)</f>
        <v>33999</v>
      </c>
      <c r="H132" s="128">
        <f>VLOOKUP($B132,Apple!$B$3:$H$176,Apple!H$1,FALSE)</f>
        <v>25999</v>
      </c>
      <c r="I132" s="253">
        <f t="shared" si="4"/>
        <v>23798.99</v>
      </c>
      <c r="J132" s="253">
        <f t="shared" si="5"/>
        <v>18198.990000000002</v>
      </c>
      <c r="K132" s="111">
        <f t="shared" si="6"/>
        <v>-0.30000911791523277</v>
      </c>
      <c r="L132" s="111">
        <f t="shared" si="7"/>
        <v>-0.30001192353552053</v>
      </c>
      <c r="N132" s="31" t="str">
        <f>+VLOOKUP(C132,'Country &amp; Code Abbreviation'!$C$3:$D$245,2,FALSE)</f>
        <v>HUN</v>
      </c>
    </row>
    <row r="133" spans="2:14" ht="12.75" customHeight="1">
      <c r="B133" s="25" t="s">
        <v>171</v>
      </c>
      <c r="C133" t="str">
        <f>VLOOKUP($B133,Google!$B$3:$E$176,Google!C$1,FALSE)</f>
        <v>HU</v>
      </c>
      <c r="D133" t="str">
        <f>VLOOKUP($B133,Google!$B$3:$E$176,Google!D$1,FALSE)</f>
        <v>HUF</v>
      </c>
      <c r="E133" t="str">
        <f>VLOOKUP($B133,Google!$B$3:$E$176,Google!E$1,FALSE)</f>
        <v>HUF</v>
      </c>
      <c r="F133" t="s">
        <v>69</v>
      </c>
      <c r="G133" s="128">
        <f>VLOOKUP($B133,Google!$B$3:$H$176,Google!F$1,FALSE)</f>
        <v>33999</v>
      </c>
      <c r="H133" s="128">
        <f>VLOOKUP($B133,Google!$B$3:$H$176,Google!H$1,FALSE)</f>
        <v>25999</v>
      </c>
      <c r="I133" s="253">
        <f t="shared" ref="I133:I194" si="8">+MROUND(G133*0.7,1)-0.01</f>
        <v>23798.99</v>
      </c>
      <c r="J133" s="253">
        <f t="shared" ref="J133:J194" si="9">+MROUND(H133*0.7,1)-0.01</f>
        <v>18198.990000000002</v>
      </c>
      <c r="K133" s="111">
        <f t="shared" ref="K133:K196" si="10">I133/G133-1</f>
        <v>-0.30000911791523277</v>
      </c>
      <c r="L133" s="111">
        <f t="shared" ref="L133:L196" si="11">J133/H133-1</f>
        <v>-0.30001192353552053</v>
      </c>
      <c r="N133" s="31" t="str">
        <f>+VLOOKUP(C133,'Country &amp; Code Abbreviation'!$C$3:$D$245,2,FALSE)</f>
        <v>HUN</v>
      </c>
    </row>
    <row r="134" spans="2:14" ht="12.75" customHeight="1">
      <c r="B134" s="25" t="s">
        <v>172</v>
      </c>
      <c r="C134" t="str">
        <f>VLOOKUP($B134,Apple!$B$3:$E$176,Apple!C$1,FALSE)</f>
        <v>IS</v>
      </c>
      <c r="D134" t="str">
        <f>VLOOKUP($B134,Apple!$B$3:$E$176,Apple!D$1,FALSE)</f>
        <v>ISK</v>
      </c>
      <c r="E134" t="str">
        <f>VLOOKUP($B134,Apple!$B$3:$E$176,Apple!E$1,FALSE)</f>
        <v>USD</v>
      </c>
      <c r="F134" t="s">
        <v>68</v>
      </c>
      <c r="G134" s="128">
        <f>VLOOKUP($B134,Apple!$B$3:$H$176,Apple!F$1,FALSE)</f>
        <v>239.99</v>
      </c>
      <c r="H134" s="128">
        <f>VLOOKUP($B134,Apple!$B$3:$H$176,Apple!H$1,FALSE)</f>
        <v>174.99</v>
      </c>
      <c r="I134" s="73">
        <f>+MROUND(G134*0.7,5)-0.01</f>
        <v>169.99</v>
      </c>
      <c r="J134" s="73">
        <f>+MROUND(H134*0.7,5)-0.01</f>
        <v>119.99</v>
      </c>
      <c r="K134" s="111">
        <f t="shared" si="10"/>
        <v>-0.29167881995083123</v>
      </c>
      <c r="L134" s="111">
        <f t="shared" si="11"/>
        <v>-0.31430367449568553</v>
      </c>
      <c r="N134" s="31" t="str">
        <f>+VLOOKUP(C134,'Country &amp; Code Abbreviation'!$C$3:$D$245,2,FALSE)</f>
        <v>ISL</v>
      </c>
    </row>
    <row r="135" spans="2:14" ht="12.75" customHeight="1">
      <c r="B135" s="225" t="s">
        <v>172</v>
      </c>
      <c r="C135" t="str">
        <f>VLOOKUP($B135,Google!$B$3:$E$176,Google!C$1,FALSE)</f>
        <v>IS</v>
      </c>
      <c r="D135" t="str">
        <f>VLOOKUP($B135,Google!$B$3:$E$176,Google!D$1,FALSE)</f>
        <v>ISK</v>
      </c>
      <c r="E135" t="str">
        <f>VLOOKUP($B135,Google!$B$3:$E$176,Google!E$1,FALSE)</f>
        <v>EUR</v>
      </c>
      <c r="F135" t="s">
        <v>69</v>
      </c>
      <c r="G135" s="128">
        <f>VLOOKUP($B135,Google!$B$3:$H$176,Google!F$1,FALSE)</f>
        <v>231.99</v>
      </c>
      <c r="H135" s="128">
        <f>VLOOKUP($B135,Google!$B$3:$H$176,Google!H$1,FALSE)</f>
        <v>168.99</v>
      </c>
      <c r="I135" s="73">
        <f>+MROUND(G135*0.7,5)-0.01</f>
        <v>159.99</v>
      </c>
      <c r="J135" s="73">
        <f>+MROUND(H135*0.7,5)-0.01</f>
        <v>119.99</v>
      </c>
      <c r="K135" s="111">
        <f t="shared" si="10"/>
        <v>-0.31035820509504719</v>
      </c>
      <c r="L135" s="111">
        <f t="shared" si="11"/>
        <v>-0.28995798567962605</v>
      </c>
      <c r="N135" s="31" t="str">
        <f>+VLOOKUP(C135,'Country &amp; Code Abbreviation'!$C$3:$D$245,2,FALSE)</f>
        <v>ISL</v>
      </c>
    </row>
    <row r="136" spans="2:14" ht="12.75" customHeight="1">
      <c r="B136" s="25" t="s">
        <v>173</v>
      </c>
      <c r="C136" t="str">
        <f>VLOOKUP($B136,Apple!$B$3:$E$176,Apple!C$1,FALSE)</f>
        <v>IN</v>
      </c>
      <c r="D136" t="str">
        <f>VLOOKUP($B136,Apple!$B$3:$E$176,Apple!D$1,FALSE)</f>
        <v>INR</v>
      </c>
      <c r="E136" t="str">
        <f>VLOOKUP($B136,Apple!$B$3:$E$176,Apple!E$1,FALSE)</f>
        <v>INR</v>
      </c>
      <c r="F136" t="s">
        <v>68</v>
      </c>
      <c r="G136" s="128">
        <f>VLOOKUP($B136,Apple!$B$3:$H$176,Apple!F$1,FALSE)</f>
        <v>2099</v>
      </c>
      <c r="H136" s="128">
        <f>VLOOKUP($B136,Apple!$B$3:$H$176,Apple!H$1,FALSE)</f>
        <v>1499</v>
      </c>
      <c r="I136" s="253">
        <f t="shared" si="8"/>
        <v>1468.99</v>
      </c>
      <c r="J136" s="253">
        <f t="shared" si="9"/>
        <v>1048.99</v>
      </c>
      <c r="K136" s="111">
        <f t="shared" si="10"/>
        <v>-0.30014768937589331</v>
      </c>
      <c r="L136" s="111">
        <f t="shared" si="11"/>
        <v>-0.30020680453635762</v>
      </c>
      <c r="N136" s="31" t="str">
        <f>+VLOOKUP(C136,'Country &amp; Code Abbreviation'!$C$3:$D$245,2,FALSE)</f>
        <v>IND</v>
      </c>
    </row>
    <row r="137" spans="2:14" ht="12.75" customHeight="1">
      <c r="B137" s="25" t="s">
        <v>173</v>
      </c>
      <c r="C137" t="str">
        <f>VLOOKUP($B137,Google!$B$3:$E$176,Google!C$1,FALSE)</f>
        <v>IN</v>
      </c>
      <c r="D137" t="str">
        <f>VLOOKUP($B137,Google!$B$3:$E$176,Google!D$1,FALSE)</f>
        <v>INR</v>
      </c>
      <c r="E137" t="str">
        <f>VLOOKUP($B137,Google!$B$3:$E$176,Google!E$1,FALSE)</f>
        <v>INR</v>
      </c>
      <c r="F137" t="s">
        <v>69</v>
      </c>
      <c r="G137" s="128">
        <f>VLOOKUP($B137,Google!$B$3:$H$176,Google!F$1,FALSE)</f>
        <v>2099</v>
      </c>
      <c r="H137" s="128">
        <f>VLOOKUP($B137,Google!$B$3:$H$176,Google!H$1,FALSE)</f>
        <v>1499</v>
      </c>
      <c r="I137" s="253">
        <f t="shared" si="8"/>
        <v>1468.99</v>
      </c>
      <c r="J137" s="253">
        <f t="shared" si="9"/>
        <v>1048.99</v>
      </c>
      <c r="K137" s="111">
        <f t="shared" si="10"/>
        <v>-0.30014768937589331</v>
      </c>
      <c r="L137" s="111">
        <f t="shared" si="11"/>
        <v>-0.30020680453635762</v>
      </c>
      <c r="N137" s="31" t="str">
        <f>+VLOOKUP(C137,'Country &amp; Code Abbreviation'!$C$3:$D$245,2,FALSE)</f>
        <v>IND</v>
      </c>
    </row>
    <row r="138" spans="2:14" ht="12.75" customHeight="1">
      <c r="B138" s="25" t="s">
        <v>174</v>
      </c>
      <c r="C138" t="str">
        <f>VLOOKUP($B138,Apple!$B$3:$E$176,Apple!C$1,FALSE)</f>
        <v>ID</v>
      </c>
      <c r="D138" t="str">
        <f>VLOOKUP($B138,Apple!$B$3:$E$176,Apple!D$1,FALSE)</f>
        <v>IDR</v>
      </c>
      <c r="E138" t="str">
        <f>VLOOKUP($B138,Apple!$B$3:$E$176,Apple!E$1,FALSE)</f>
        <v>IDR</v>
      </c>
      <c r="F138" t="s">
        <v>68</v>
      </c>
      <c r="G138" s="128">
        <f>VLOOKUP($B138,Apple!$B$3:$H$176,Apple!F$1,FALSE)</f>
        <v>1119000</v>
      </c>
      <c r="H138" s="128">
        <f>VLOOKUP($B138,Apple!$B$3:$H$176,Apple!H$1,FALSE)</f>
        <v>945000</v>
      </c>
      <c r="I138" s="253">
        <f>+MROUND(G138*0.7,1000)</f>
        <v>783000</v>
      </c>
      <c r="J138" s="253">
        <f>+MROUND(H138*0.7,1000)</f>
        <v>662000</v>
      </c>
      <c r="K138" s="111">
        <f t="shared" si="10"/>
        <v>-0.30026809651474529</v>
      </c>
      <c r="L138" s="111">
        <f t="shared" si="11"/>
        <v>-0.29947089947089944</v>
      </c>
      <c r="N138" s="31" t="str">
        <f>+VLOOKUP(C138,'Country &amp; Code Abbreviation'!$C$3:$D$245,2,FALSE)</f>
        <v>IDN</v>
      </c>
    </row>
    <row r="139" spans="2:14" ht="12.75" customHeight="1">
      <c r="B139" s="25" t="s">
        <v>174</v>
      </c>
      <c r="C139" t="str">
        <f>VLOOKUP($B139,Google!$B$3:$E$176,Google!C$1,FALSE)</f>
        <v>ID</v>
      </c>
      <c r="D139" t="str">
        <f>VLOOKUP($B139,Google!$B$3:$E$176,Google!D$1,FALSE)</f>
        <v>IDR</v>
      </c>
      <c r="E139" t="str">
        <f>VLOOKUP($B139,Google!$B$3:$E$176,Google!E$1,FALSE)</f>
        <v>IDR</v>
      </c>
      <c r="F139" t="s">
        <v>69</v>
      </c>
      <c r="G139" s="128">
        <f>VLOOKUP($B139,Google!$B$3:$H$176,Google!F$1,FALSE)</f>
        <v>1200000</v>
      </c>
      <c r="H139" s="128">
        <f>VLOOKUP($B139,Google!$B$3:$H$176,Google!H$1,FALSE)</f>
        <v>945000</v>
      </c>
      <c r="I139" s="253">
        <f>+MROUND(G139*0.7,1000)</f>
        <v>840000</v>
      </c>
      <c r="J139" s="253">
        <f>+MROUND(H139*0.7,1000)</f>
        <v>662000</v>
      </c>
      <c r="K139" s="111">
        <f t="shared" si="10"/>
        <v>-0.30000000000000004</v>
      </c>
      <c r="L139" s="111">
        <f t="shared" si="11"/>
        <v>-0.29947089947089944</v>
      </c>
      <c r="N139" s="31" t="str">
        <f>+VLOOKUP(C139,'Country &amp; Code Abbreviation'!$C$3:$D$245,2,FALSE)</f>
        <v>IDN</v>
      </c>
    </row>
    <row r="140" spans="2:14" ht="12.75" customHeight="1">
      <c r="B140" s="25" t="s">
        <v>175</v>
      </c>
      <c r="C140" t="str">
        <f>VLOOKUP($B140,Apple!$B$3:$E$176,Apple!C$1,FALSE)</f>
        <v>IQ</v>
      </c>
      <c r="D140" t="str">
        <f>VLOOKUP($B140,Apple!$B$3:$E$176,Apple!D$1,FALSE)</f>
        <v>USD</v>
      </c>
      <c r="E140" t="str">
        <f>VLOOKUP($B140,Apple!$B$3:$E$176,Apple!E$1,FALSE)</f>
        <v>USD</v>
      </c>
      <c r="F140" t="s">
        <v>68</v>
      </c>
      <c r="G140" s="128">
        <f>VLOOKUP($B140,Apple!$B$3:$H$176,Apple!F$1,FALSE)</f>
        <v>99.99</v>
      </c>
      <c r="H140" s="128">
        <f>VLOOKUP($B140,Apple!$B$3:$H$176,Apple!H$1,FALSE)</f>
        <v>74.989999999999995</v>
      </c>
      <c r="I140" s="73">
        <f t="shared" si="8"/>
        <v>69.989999999999995</v>
      </c>
      <c r="J140" s="73">
        <f t="shared" si="9"/>
        <v>51.99</v>
      </c>
      <c r="K140" s="111">
        <f t="shared" si="10"/>
        <v>-0.30003000300030003</v>
      </c>
      <c r="L140" s="111">
        <f t="shared" si="11"/>
        <v>-0.30670756100813434</v>
      </c>
      <c r="N140" s="31" t="str">
        <f>+VLOOKUP(C140,'Country &amp; Code Abbreviation'!$C$3:$D$245,2,FALSE)</f>
        <v>IRQ</v>
      </c>
    </row>
    <row r="141" spans="2:14" ht="12.75" customHeight="1">
      <c r="B141" s="25" t="s">
        <v>175</v>
      </c>
      <c r="C141" t="str">
        <f>VLOOKUP($B141,Google!$B$3:$E$176,Google!C$1,FALSE)</f>
        <v>IQ</v>
      </c>
      <c r="D141" t="str">
        <f>VLOOKUP($B141,Google!$B$3:$E$176,Google!D$1,FALSE)</f>
        <v>USD</v>
      </c>
      <c r="E141" t="str">
        <f>VLOOKUP($B141,Google!$B$3:$E$176,Google!E$1,FALSE)</f>
        <v>IQD</v>
      </c>
      <c r="F141" t="s">
        <v>69</v>
      </c>
      <c r="G141" s="128">
        <f>VLOOKUP($B141,Google!$B$3:$H$176,Google!F$1,FALSE)</f>
        <v>145660</v>
      </c>
      <c r="H141" s="128">
        <f>VLOOKUP($B141,Google!$B$3:$H$176,Google!H$1,FALSE)</f>
        <v>109240</v>
      </c>
      <c r="I141" s="253">
        <f>+MROUND(G141*0.7,10)</f>
        <v>101960</v>
      </c>
      <c r="J141" s="253">
        <f>+MROUND(H141*0.7,10)</f>
        <v>76470</v>
      </c>
      <c r="K141" s="111">
        <f t="shared" si="10"/>
        <v>-0.30001373060551972</v>
      </c>
      <c r="L141" s="111">
        <f t="shared" si="11"/>
        <v>-0.29998169168802635</v>
      </c>
      <c r="N141" s="31" t="str">
        <f>+VLOOKUP(C141,'Country &amp; Code Abbreviation'!$C$3:$D$245,2,FALSE)</f>
        <v>IRQ</v>
      </c>
    </row>
    <row r="142" spans="2:14" ht="12.75" customHeight="1">
      <c r="B142" s="25" t="s">
        <v>176</v>
      </c>
      <c r="C142" t="str">
        <f>VLOOKUP($B142,Apple!$B$3:$E$176,Apple!C$1,FALSE)</f>
        <v>IE</v>
      </c>
      <c r="D142" t="str">
        <f>VLOOKUP($B142,Apple!$B$3:$E$176,Apple!D$1,FALSE)</f>
        <v>EUR</v>
      </c>
      <c r="E142" t="str">
        <f>VLOOKUP($B142,Apple!$B$3:$E$176,Apple!E$1,FALSE)</f>
        <v>EUR</v>
      </c>
      <c r="F142" t="s">
        <v>68</v>
      </c>
      <c r="G142" s="128">
        <f>VLOOKUP($B142,Apple!$B$3:$H$176,Apple!F$1,FALSE)</f>
        <v>159.99</v>
      </c>
      <c r="H142" s="128">
        <f>VLOOKUP($B142,Apple!$B$3:$H$176,Apple!H$1,FALSE)</f>
        <v>121.99</v>
      </c>
      <c r="I142" s="73">
        <f t="shared" si="8"/>
        <v>111.99</v>
      </c>
      <c r="J142" s="73">
        <f t="shared" si="9"/>
        <v>84.99</v>
      </c>
      <c r="K142" s="111">
        <f t="shared" si="10"/>
        <v>-0.30001875117194832</v>
      </c>
      <c r="L142" s="111">
        <f t="shared" si="11"/>
        <v>-0.30330354947126814</v>
      </c>
      <c r="N142" s="31" t="str">
        <f>+VLOOKUP(C142,'Country &amp; Code Abbreviation'!$C$3:$D$245,2,FALSE)</f>
        <v>IRL</v>
      </c>
    </row>
    <row r="143" spans="2:14" ht="12.75" customHeight="1">
      <c r="B143" s="25" t="s">
        <v>176</v>
      </c>
      <c r="C143" t="str">
        <f>VLOOKUP($B143,Google!$B$3:$E$176,Google!C$1,FALSE)</f>
        <v>IE</v>
      </c>
      <c r="D143" t="str">
        <f>VLOOKUP($B143,Google!$B$3:$E$176,Google!D$1,FALSE)</f>
        <v>EUR</v>
      </c>
      <c r="E143" t="str">
        <f>VLOOKUP($B143,Google!$B$3:$E$176,Google!E$1,FALSE)</f>
        <v>EUR</v>
      </c>
      <c r="F143" t="s">
        <v>69</v>
      </c>
      <c r="G143" s="128">
        <f>VLOOKUP($B143,Google!$B$3:$H$176,Google!F$1,FALSE)</f>
        <v>159.99</v>
      </c>
      <c r="H143" s="128">
        <f>VLOOKUP($B143,Google!$B$3:$H$176,Google!H$1,FALSE)</f>
        <v>121.99</v>
      </c>
      <c r="I143" s="73">
        <f t="shared" si="8"/>
        <v>111.99</v>
      </c>
      <c r="J143" s="73">
        <f t="shared" si="9"/>
        <v>84.99</v>
      </c>
      <c r="K143" s="111">
        <f t="shared" si="10"/>
        <v>-0.30001875117194832</v>
      </c>
      <c r="L143" s="111">
        <f t="shared" si="11"/>
        <v>-0.30330354947126814</v>
      </c>
      <c r="N143" s="31" t="str">
        <f>+VLOOKUP(C143,'Country &amp; Code Abbreviation'!$C$3:$D$245,2,FALSE)</f>
        <v>IRL</v>
      </c>
    </row>
    <row r="144" spans="2:14" ht="12.75" customHeight="1">
      <c r="B144" s="25" t="s">
        <v>178</v>
      </c>
      <c r="C144" t="str">
        <f>VLOOKUP($B144,Apple!$B$3:$E$176,Apple!C$1,FALSE)</f>
        <v>IL</v>
      </c>
      <c r="D144" t="str">
        <f>VLOOKUP($B144,Apple!$B$3:$E$176,Apple!D$1,FALSE)</f>
        <v>ILS</v>
      </c>
      <c r="E144" t="str">
        <f>VLOOKUP($B144,Apple!$B$3:$E$176,Apple!E$1,FALSE)</f>
        <v>ILS</v>
      </c>
      <c r="F144" t="s">
        <v>68</v>
      </c>
      <c r="G144" s="128">
        <f>VLOOKUP($B144,Apple!$B$3:$H$176,Apple!F$1,FALSE)</f>
        <v>569.9</v>
      </c>
      <c r="H144" s="128">
        <f>VLOOKUP($B144,Apple!$B$3:$H$176,Apple!H$1,FALSE)</f>
        <v>419.9</v>
      </c>
      <c r="I144" s="73">
        <f>+MROUND(G144*0.7,10)-0.1</f>
        <v>399.9</v>
      </c>
      <c r="J144" s="73">
        <f>+MROUND(H144*0.7,10)-0.1</f>
        <v>289.89999999999998</v>
      </c>
      <c r="K144" s="111">
        <f t="shared" si="10"/>
        <v>-0.29829794700824708</v>
      </c>
      <c r="L144" s="111">
        <f t="shared" si="11"/>
        <v>-0.30959752321981426</v>
      </c>
      <c r="N144" s="31" t="str">
        <f>+VLOOKUP(C144,'Country &amp; Code Abbreviation'!$C$3:$D$245,2,FALSE)</f>
        <v>ISR</v>
      </c>
    </row>
    <row r="145" spans="2:14" ht="12.75" customHeight="1">
      <c r="B145" s="25" t="s">
        <v>178</v>
      </c>
      <c r="C145" t="str">
        <f>VLOOKUP($B145,Google!$B$3:$E$176,Google!C$1,FALSE)</f>
        <v>IL</v>
      </c>
      <c r="D145" t="str">
        <f>VLOOKUP($B145,Google!$B$3:$E$176,Google!D$1,FALSE)</f>
        <v>ILS</v>
      </c>
      <c r="E145" t="str">
        <f>VLOOKUP($B145,Google!$B$3:$E$176,Google!E$1,FALSE)</f>
        <v>ILS</v>
      </c>
      <c r="F145" t="s">
        <v>69</v>
      </c>
      <c r="G145" s="128">
        <f>VLOOKUP($B145,Google!$B$3:$H$176,Google!F$1,FALSE)</f>
        <v>569.9</v>
      </c>
      <c r="H145" s="128">
        <f>VLOOKUP($B145,Google!$B$3:$H$176,Google!H$1,FALSE)</f>
        <v>419.9</v>
      </c>
      <c r="I145" s="73">
        <f>+MROUND(G145*0.7,10)-0.1</f>
        <v>399.9</v>
      </c>
      <c r="J145" s="73">
        <f>+MROUND(H145*0.7,10)-0.1</f>
        <v>289.89999999999998</v>
      </c>
      <c r="K145" s="111">
        <f t="shared" si="10"/>
        <v>-0.29829794700824708</v>
      </c>
      <c r="L145" s="111">
        <f t="shared" si="11"/>
        <v>-0.30959752321981426</v>
      </c>
      <c r="N145" s="31" t="str">
        <f>+VLOOKUP(C145,'Country &amp; Code Abbreviation'!$C$3:$D$245,2,FALSE)</f>
        <v>ISR</v>
      </c>
    </row>
    <row r="146" spans="2:14" ht="12.75" customHeight="1">
      <c r="B146" s="25" t="s">
        <v>179</v>
      </c>
      <c r="C146" t="str">
        <f>VLOOKUP($B146,Apple!$B$3:$E$176,Apple!C$1,FALSE)</f>
        <v>IT</v>
      </c>
      <c r="D146" t="str">
        <f>VLOOKUP($B146,Apple!$B$3:$E$176,Apple!D$1,FALSE)</f>
        <v>EUR</v>
      </c>
      <c r="E146" t="str">
        <f>VLOOKUP($B146,Apple!$B$3:$E$176,Apple!E$1,FALSE)</f>
        <v>EUR</v>
      </c>
      <c r="F146" t="s">
        <v>68</v>
      </c>
      <c r="G146" s="128">
        <f>VLOOKUP($B146,Apple!$B$3:$H$176,Apple!F$1,FALSE)</f>
        <v>149.99</v>
      </c>
      <c r="H146" s="128">
        <f>VLOOKUP($B146,Apple!$B$3:$H$176,Apple!H$1,FALSE)</f>
        <v>109.99</v>
      </c>
      <c r="I146" s="73">
        <f t="shared" si="8"/>
        <v>104.99</v>
      </c>
      <c r="J146" s="73">
        <f t="shared" si="9"/>
        <v>76.989999999999995</v>
      </c>
      <c r="K146" s="111">
        <f t="shared" si="10"/>
        <v>-0.30002000133342233</v>
      </c>
      <c r="L146" s="111">
        <f t="shared" si="11"/>
        <v>-0.30002727520683703</v>
      </c>
      <c r="N146" s="31" t="str">
        <f>+VLOOKUP(C146,'Country &amp; Code Abbreviation'!$C$3:$D$245,2,FALSE)</f>
        <v>ITA</v>
      </c>
    </row>
    <row r="147" spans="2:14" ht="12.75" customHeight="1">
      <c r="B147" s="25" t="s">
        <v>179</v>
      </c>
      <c r="C147" t="str">
        <f>VLOOKUP($B147,Google!$B$3:$E$176,Google!C$1,FALSE)</f>
        <v>IT</v>
      </c>
      <c r="D147" t="str">
        <f>VLOOKUP($B147,Google!$B$3:$E$176,Google!D$1,FALSE)</f>
        <v>EUR</v>
      </c>
      <c r="E147" t="str">
        <f>VLOOKUP($B147,Google!$B$3:$E$176,Google!E$1,FALSE)</f>
        <v>EUR</v>
      </c>
      <c r="F147" t="s">
        <v>69</v>
      </c>
      <c r="G147" s="128">
        <f>VLOOKUP($B147,Google!$B$3:$H$176,Google!F$1,FALSE)</f>
        <v>149.99</v>
      </c>
      <c r="H147" s="128">
        <f>VLOOKUP($B147,Google!$B$3:$H$176,Google!H$1,FALSE)</f>
        <v>109.99</v>
      </c>
      <c r="I147" s="73">
        <f t="shared" si="8"/>
        <v>104.99</v>
      </c>
      <c r="J147" s="73">
        <f t="shared" si="9"/>
        <v>76.989999999999995</v>
      </c>
      <c r="K147" s="111">
        <f t="shared" si="10"/>
        <v>-0.30002000133342233</v>
      </c>
      <c r="L147" s="111">
        <f t="shared" si="11"/>
        <v>-0.30002727520683703</v>
      </c>
      <c r="N147" s="31" t="str">
        <f>+VLOOKUP(C147,'Country &amp; Code Abbreviation'!$C$3:$D$245,2,FALSE)</f>
        <v>ITA</v>
      </c>
    </row>
    <row r="148" spans="2:14" ht="12.75" customHeight="1">
      <c r="B148" s="25" t="s">
        <v>180</v>
      </c>
      <c r="C148" t="str">
        <f>VLOOKUP($B148,Apple!$B$3:$E$176,Apple!C$1,FALSE)</f>
        <v>JM</v>
      </c>
      <c r="D148" t="str">
        <f>VLOOKUP($B148,Apple!$B$3:$E$176,Apple!D$1,FALSE)</f>
        <v>JMD</v>
      </c>
      <c r="E148" t="str">
        <f>VLOOKUP($B148,Apple!$B$3:$E$176,Apple!E$1,FALSE)</f>
        <v>USD</v>
      </c>
      <c r="F148" t="s">
        <v>68</v>
      </c>
      <c r="G148" s="128">
        <f>VLOOKUP($B148,Apple!$B$3:$H$176,Apple!F$1,FALSE)</f>
        <v>91.99</v>
      </c>
      <c r="H148" s="128">
        <f>VLOOKUP($B148,Apple!$B$3:$H$176,Apple!H$1,FALSE)</f>
        <v>64.989999999999995</v>
      </c>
      <c r="I148" s="73">
        <f t="shared" si="8"/>
        <v>63.99</v>
      </c>
      <c r="J148" s="73">
        <f t="shared" si="9"/>
        <v>44.99</v>
      </c>
      <c r="K148" s="111">
        <f t="shared" si="10"/>
        <v>-0.30438091096858344</v>
      </c>
      <c r="L148" s="111">
        <f t="shared" si="11"/>
        <v>-0.30773965225419286</v>
      </c>
      <c r="N148" s="31" t="str">
        <f>+VLOOKUP(C148,'Country &amp; Code Abbreviation'!$C$3:$D$245,2,FALSE)</f>
        <v>JAM</v>
      </c>
    </row>
    <row r="149" spans="2:14" ht="12.75" customHeight="1">
      <c r="B149" s="25" t="s">
        <v>180</v>
      </c>
      <c r="C149" t="str">
        <f>VLOOKUP($B149,Google!$B$3:$E$176,Google!C$1,FALSE)</f>
        <v>JM</v>
      </c>
      <c r="D149" t="str">
        <f>VLOOKUP($B149,Google!$B$3:$E$176,Google!D$1,FALSE)</f>
        <v>JMD</v>
      </c>
      <c r="E149" t="str">
        <f>VLOOKUP($B149,Google!$B$3:$E$176,Google!E$1,FALSE)</f>
        <v>USD</v>
      </c>
      <c r="F149" t="s">
        <v>69</v>
      </c>
      <c r="G149" s="128">
        <f>VLOOKUP($B149,Google!$B$3:$H$176,Google!F$1,FALSE)</f>
        <v>91.99</v>
      </c>
      <c r="H149" s="128">
        <f>VLOOKUP($B149,Google!$B$3:$H$176,Google!H$1,FALSE)</f>
        <v>64.989999999999995</v>
      </c>
      <c r="I149" s="73">
        <f t="shared" si="8"/>
        <v>63.99</v>
      </c>
      <c r="J149" s="73">
        <f t="shared" si="9"/>
        <v>44.99</v>
      </c>
      <c r="K149" s="111">
        <f t="shared" si="10"/>
        <v>-0.30438091096858344</v>
      </c>
      <c r="L149" s="111">
        <f t="shared" si="11"/>
        <v>-0.30773965225419286</v>
      </c>
      <c r="N149" s="31" t="str">
        <f>+VLOOKUP(C149,'Country &amp; Code Abbreviation'!$C$3:$D$245,2,FALSE)</f>
        <v>JAM</v>
      </c>
    </row>
    <row r="150" spans="2:14" ht="12.75" customHeight="1">
      <c r="B150" s="25" t="s">
        <v>181</v>
      </c>
      <c r="C150" t="str">
        <f>VLOOKUP($B150,Apple!$B$3:$E$176,Apple!C$1,FALSE)</f>
        <v>JP</v>
      </c>
      <c r="D150" t="str">
        <f>VLOOKUP($B150,Apple!$B$3:$E$176,Apple!D$1,FALSE)</f>
        <v>JPY</v>
      </c>
      <c r="E150" t="str">
        <f>VLOOKUP($B150,Apple!$B$3:$E$176,Apple!E$1,FALSE)</f>
        <v>JPY</v>
      </c>
      <c r="F150" t="s">
        <v>68</v>
      </c>
      <c r="G150" s="128">
        <f>VLOOKUP($B150,Apple!$B$3:$H$176,Apple!F$1,FALSE)</f>
        <v>25000</v>
      </c>
      <c r="H150" s="128">
        <f>VLOOKUP($B150,Apple!$B$3:$H$176,Apple!H$1,FALSE)</f>
        <v>19000</v>
      </c>
      <c r="I150" s="253">
        <f>+MROUND(G150*0.7,100)</f>
        <v>17500</v>
      </c>
      <c r="J150" s="253">
        <f>+MROUND(H150*0.7,100)</f>
        <v>13300</v>
      </c>
      <c r="K150" s="111">
        <f t="shared" si="10"/>
        <v>-0.30000000000000004</v>
      </c>
      <c r="L150" s="111">
        <f t="shared" si="11"/>
        <v>-0.30000000000000004</v>
      </c>
      <c r="N150" s="31" t="str">
        <f>+VLOOKUP(C150,'Country &amp; Code Abbreviation'!$C$3:$D$245,2,FALSE)</f>
        <v>JPN</v>
      </c>
    </row>
    <row r="151" spans="2:14" ht="12.75" customHeight="1">
      <c r="B151" s="25" t="s">
        <v>181</v>
      </c>
      <c r="C151" t="str">
        <f>VLOOKUP($B151,Google!$B$3:$E$176,Google!C$1,FALSE)</f>
        <v>JP</v>
      </c>
      <c r="D151" t="str">
        <f>VLOOKUP($B151,Google!$B$3:$E$176,Google!D$1,FALSE)</f>
        <v>JPY</v>
      </c>
      <c r="E151" t="str">
        <f>VLOOKUP($B151,Google!$B$3:$E$176,Google!E$1,FALSE)</f>
        <v>JPY</v>
      </c>
      <c r="F151" t="s">
        <v>69</v>
      </c>
      <c r="G151" s="128">
        <f>VLOOKUP($B151,Google!$B$3:$H$176,Google!F$1,FALSE)</f>
        <v>25000</v>
      </c>
      <c r="H151" s="128">
        <f>VLOOKUP($B151,Google!$B$3:$H$176,Google!H$1,FALSE)</f>
        <v>19000</v>
      </c>
      <c r="I151" s="253">
        <f>+MROUND(G151*0.7,100)</f>
        <v>17500</v>
      </c>
      <c r="J151" s="253">
        <f>+MROUND(H151*0.7,100)</f>
        <v>13300</v>
      </c>
      <c r="K151" s="111">
        <f t="shared" si="10"/>
        <v>-0.30000000000000004</v>
      </c>
      <c r="L151" s="111">
        <f t="shared" si="11"/>
        <v>-0.30000000000000004</v>
      </c>
      <c r="N151" s="31" t="str">
        <f>+VLOOKUP(C151,'Country &amp; Code Abbreviation'!$C$3:$D$245,2,FALSE)</f>
        <v>JPN</v>
      </c>
    </row>
    <row r="152" spans="2:14" ht="12.75" customHeight="1">
      <c r="B152" s="25" t="s">
        <v>184</v>
      </c>
      <c r="C152" t="str">
        <f>VLOOKUP($B152,Apple!$B$3:$E$176,Apple!C$1,FALSE)</f>
        <v>JO</v>
      </c>
      <c r="D152" t="str">
        <f>VLOOKUP($B152,Apple!$B$3:$E$176,Apple!D$1,FALSE)</f>
        <v>JOD</v>
      </c>
      <c r="E152" t="str">
        <f>VLOOKUP($B152,Apple!$B$3:$E$176,Apple!E$1,FALSE)</f>
        <v>USD</v>
      </c>
      <c r="F152" t="s">
        <v>68</v>
      </c>
      <c r="G152" s="128">
        <f>VLOOKUP($B152,Apple!$B$3:$H$176,Apple!F$1,FALSE)</f>
        <v>112.99</v>
      </c>
      <c r="H152" s="128">
        <f>VLOOKUP($B152,Apple!$B$3:$H$176,Apple!H$1,FALSE)</f>
        <v>84.99</v>
      </c>
      <c r="I152" s="73">
        <f t="shared" si="8"/>
        <v>78.989999999999995</v>
      </c>
      <c r="J152" s="73">
        <f t="shared" si="9"/>
        <v>58.99</v>
      </c>
      <c r="K152" s="111">
        <f t="shared" si="10"/>
        <v>-0.30091158509602622</v>
      </c>
      <c r="L152" s="111">
        <f t="shared" si="11"/>
        <v>-0.30591834333450985</v>
      </c>
      <c r="N152" s="31" t="str">
        <f>+VLOOKUP(C152,'Country &amp; Code Abbreviation'!$C$3:$D$245,2,FALSE)</f>
        <v>JOR</v>
      </c>
    </row>
    <row r="153" spans="2:14" ht="12.75" customHeight="1">
      <c r="B153" s="25" t="s">
        <v>184</v>
      </c>
      <c r="C153" t="str">
        <f>VLOOKUP($B153,Google!$B$3:$E$176,Google!C$1,FALSE)</f>
        <v>JO</v>
      </c>
      <c r="D153" t="str">
        <f>VLOOKUP($B153,Google!$B$3:$E$176,Google!D$1,FALSE)</f>
        <v>JOD</v>
      </c>
      <c r="E153" t="str">
        <f>VLOOKUP($B153,Google!$B$3:$E$176,Google!E$1,FALSE)</f>
        <v>JOD</v>
      </c>
      <c r="F153" t="s">
        <v>69</v>
      </c>
      <c r="G153" s="158">
        <f>VLOOKUP($B153,Google!$B$3:$H$176,Google!F$1,FALSE)</f>
        <v>79.998999999999995</v>
      </c>
      <c r="H153" s="158">
        <f>VLOOKUP($B153,Google!$B$3:$H$176,Google!H$1,FALSE)</f>
        <v>59.999000000000002</v>
      </c>
      <c r="I153" s="256">
        <v>55</v>
      </c>
      <c r="J153" s="256">
        <v>40</v>
      </c>
      <c r="K153" s="111">
        <f t="shared" si="10"/>
        <v>-0.31249140614257676</v>
      </c>
      <c r="L153" s="111">
        <f t="shared" si="11"/>
        <v>-0.33332222203703399</v>
      </c>
      <c r="N153" s="31" t="str">
        <f>+VLOOKUP(C153,'Country &amp; Code Abbreviation'!$C$3:$D$245,2,FALSE)</f>
        <v>JOR</v>
      </c>
    </row>
    <row r="154" spans="2:14" ht="12.75" customHeight="1">
      <c r="B154" s="25" t="s">
        <v>185</v>
      </c>
      <c r="C154" t="str">
        <f>VLOOKUP($B154,Apple!$B$3:$E$176,Apple!C$1,FALSE)</f>
        <v>KZ</v>
      </c>
      <c r="D154" t="str">
        <f>VLOOKUP($B154,Apple!$B$3:$E$176,Apple!D$1,FALSE)</f>
        <v>KZT</v>
      </c>
      <c r="E154" t="str">
        <f>VLOOKUP($B154,Apple!$B$3:$E$176,Apple!E$1,FALSE)</f>
        <v>KZT</v>
      </c>
      <c r="F154" t="s">
        <v>68</v>
      </c>
      <c r="G154" s="128">
        <f>VLOOKUP($B154,Apple!$B$3:$H$176,Apple!F$1,FALSE)</f>
        <v>37490</v>
      </c>
      <c r="H154" s="128">
        <f>VLOOKUP($B154,Apple!$B$3:$H$176,Apple!H$1,FALSE)</f>
        <v>27490</v>
      </c>
      <c r="I154" s="253">
        <f>+MROUND(G154*0.7,100)-10</f>
        <v>26190</v>
      </c>
      <c r="J154" s="253">
        <f>+MROUND(H154*0.7,100)-10</f>
        <v>19190</v>
      </c>
      <c r="K154" s="111">
        <f t="shared" si="10"/>
        <v>-0.30141371032275277</v>
      </c>
      <c r="L154" s="111">
        <f t="shared" si="11"/>
        <v>-0.30192797380865766</v>
      </c>
      <c r="N154" s="31" t="str">
        <f>+VLOOKUP(C154,'Country &amp; Code Abbreviation'!$C$3:$D$245,2,FALSE)</f>
        <v>KAZ</v>
      </c>
    </row>
    <row r="155" spans="2:14" ht="12.75" customHeight="1">
      <c r="B155" s="25" t="s">
        <v>185</v>
      </c>
      <c r="C155" t="str">
        <f>VLOOKUP($B155,Google!$B$3:$E$176,Google!C$1,FALSE)</f>
        <v>KZ</v>
      </c>
      <c r="D155" t="str">
        <f>VLOOKUP($B155,Google!$B$3:$E$176,Google!D$1,FALSE)</f>
        <v>KZT</v>
      </c>
      <c r="E155" t="str">
        <f>VLOOKUP($B155,Google!$B$3:$E$176,Google!E$1,FALSE)</f>
        <v>KZT</v>
      </c>
      <c r="F155" t="s">
        <v>69</v>
      </c>
      <c r="G155" s="128">
        <f>VLOOKUP($B155,Google!$B$3:$H$176,Google!F$1,FALSE)</f>
        <v>37490</v>
      </c>
      <c r="H155" s="128">
        <f>VLOOKUP($B155,Google!$B$3:$H$176,Google!H$1,FALSE)</f>
        <v>27490</v>
      </c>
      <c r="I155" s="253">
        <f>+MROUND(G155*0.7,100)-10</f>
        <v>26190</v>
      </c>
      <c r="J155" s="253">
        <f>+MROUND(H155*0.7,100)-10</f>
        <v>19190</v>
      </c>
      <c r="K155" s="111">
        <f t="shared" si="10"/>
        <v>-0.30141371032275277</v>
      </c>
      <c r="L155" s="111">
        <f t="shared" si="11"/>
        <v>-0.30192797380865766</v>
      </c>
      <c r="N155" s="31" t="str">
        <f>+VLOOKUP(C155,'Country &amp; Code Abbreviation'!$C$3:$D$245,2,FALSE)</f>
        <v>KAZ</v>
      </c>
    </row>
    <row r="156" spans="2:14" ht="12.75" customHeight="1">
      <c r="B156" s="25" t="s">
        <v>186</v>
      </c>
      <c r="C156" t="str">
        <f>VLOOKUP($B156,Apple!$B$3:$E$176,Apple!C$1,FALSE)</f>
        <v>KE</v>
      </c>
      <c r="D156" t="str">
        <f>VLOOKUP($B156,Apple!$B$3:$E$176,Apple!D$1,FALSE)</f>
        <v>KES</v>
      </c>
      <c r="E156" t="str">
        <f>VLOOKUP($B156,Apple!$B$3:$E$176,Apple!E$1,FALSE)</f>
        <v>USD</v>
      </c>
      <c r="F156" t="s">
        <v>68</v>
      </c>
      <c r="G156" s="128">
        <f>VLOOKUP($B156,Apple!$B$3:$H$176,Apple!F$1,FALSE)</f>
        <v>74.989999999999995</v>
      </c>
      <c r="H156" s="128">
        <f>VLOOKUP($B156,Apple!$B$3:$H$176,Apple!H$1,FALSE)</f>
        <v>54.99</v>
      </c>
      <c r="I156" s="73">
        <f t="shared" si="8"/>
        <v>51.99</v>
      </c>
      <c r="J156" s="73">
        <f t="shared" si="9"/>
        <v>37.99</v>
      </c>
      <c r="K156" s="111">
        <f t="shared" si="10"/>
        <v>-0.30670756100813434</v>
      </c>
      <c r="L156" s="111">
        <f t="shared" si="11"/>
        <v>-0.30914711765775593</v>
      </c>
      <c r="N156" s="31" t="str">
        <f>+VLOOKUP(C156,'Country &amp; Code Abbreviation'!$C$3:$D$245,2,FALSE)</f>
        <v>KEN</v>
      </c>
    </row>
    <row r="157" spans="2:14" ht="12.75" customHeight="1">
      <c r="B157" s="25" t="s">
        <v>186</v>
      </c>
      <c r="C157" t="str">
        <f>VLOOKUP($B157,Google!$B$3:$E$176,Google!C$1,FALSE)</f>
        <v>KE</v>
      </c>
      <c r="D157" t="str">
        <f>VLOOKUP($B157,Google!$B$3:$E$176,Google!D$1,FALSE)</f>
        <v>KES</v>
      </c>
      <c r="E157" t="str">
        <f>VLOOKUP($B157,Google!$B$3:$E$176,Google!E$1,FALSE)</f>
        <v>KES</v>
      </c>
      <c r="F157" t="s">
        <v>69</v>
      </c>
      <c r="G157" s="128">
        <f>VLOOKUP($B157,Google!$B$3:$H$176,Google!F$1,FALSE)</f>
        <v>8940</v>
      </c>
      <c r="H157" s="128">
        <f>VLOOKUP($B157,Google!$B$3:$H$176,Google!H$1,FALSE)</f>
        <v>6600</v>
      </c>
      <c r="I157" s="253">
        <f>+MROUND(G157*0.7,10)</f>
        <v>6260</v>
      </c>
      <c r="J157" s="253">
        <f>+MROUND(H157*0.7,10)</f>
        <v>4620</v>
      </c>
      <c r="K157" s="111">
        <f t="shared" si="10"/>
        <v>-0.29977628635346754</v>
      </c>
      <c r="L157" s="111">
        <f t="shared" si="11"/>
        <v>-0.30000000000000004</v>
      </c>
      <c r="N157" s="31" t="str">
        <f>+VLOOKUP(C157,'Country &amp; Code Abbreviation'!$C$3:$D$245,2,FALSE)</f>
        <v>KEN</v>
      </c>
    </row>
    <row r="158" spans="2:14" ht="12.75" customHeight="1">
      <c r="B158" s="25" t="s">
        <v>188</v>
      </c>
      <c r="C158" t="str">
        <f>VLOOKUP($B158,Apple!$B$3:$E$176,Apple!C$1,FALSE)</f>
        <v>XK</v>
      </c>
      <c r="D158" t="str">
        <f>VLOOKUP($B158,Apple!$B$3:$E$176,Apple!D$1,FALSE)</f>
        <v>EUR</v>
      </c>
      <c r="E158" t="str">
        <f>VLOOKUP($B158,Apple!$B$3:$E$176,Apple!E$1,FALSE)</f>
        <v>EUR</v>
      </c>
      <c r="F158" t="s">
        <v>68</v>
      </c>
      <c r="G158" s="128">
        <f>VLOOKUP($B158,Apple!$B$3:$H$176,Apple!F$1,FALSE)</f>
        <v>47.99</v>
      </c>
      <c r="H158" s="128">
        <f>VLOOKUP($B158,Apple!$B$3:$H$176,Apple!H$1,FALSE)</f>
        <v>35.99</v>
      </c>
      <c r="I158" s="73">
        <f t="shared" si="8"/>
        <v>33.99</v>
      </c>
      <c r="J158" s="73">
        <f t="shared" si="9"/>
        <v>24.99</v>
      </c>
      <c r="K158" s="111">
        <f t="shared" si="10"/>
        <v>-0.2917274432173369</v>
      </c>
      <c r="L158" s="111">
        <f t="shared" si="11"/>
        <v>-0.30564045568213405</v>
      </c>
      <c r="N158" s="31" t="e">
        <f>+VLOOKUP(C158,'Country &amp; Code Abbreviation'!$C$3:$D$245,2,FALSE)</f>
        <v>#N/A</v>
      </c>
    </row>
    <row r="159" spans="2:14" ht="12.75" customHeight="1">
      <c r="B159" s="25" t="s">
        <v>189</v>
      </c>
      <c r="C159" t="str">
        <f>VLOOKUP($B159,Apple!$B$3:$E$176,Apple!C$1,FALSE)</f>
        <v>KW</v>
      </c>
      <c r="D159" t="str">
        <f>VLOOKUP($B159,Apple!$B$3:$E$176,Apple!D$1,FALSE)</f>
        <v>KWD</v>
      </c>
      <c r="E159" t="str">
        <f>VLOOKUP($B159,Apple!$B$3:$E$176,Apple!E$1,FALSE)</f>
        <v>USD</v>
      </c>
      <c r="F159" t="s">
        <v>68</v>
      </c>
      <c r="G159" s="128">
        <f>VLOOKUP($B159,Apple!$B$3:$H$176,Apple!F$1,FALSE)</f>
        <v>214.99</v>
      </c>
      <c r="H159" s="128">
        <f>VLOOKUP($B159,Apple!$B$3:$H$176,Apple!H$1,FALSE)</f>
        <v>162.99</v>
      </c>
      <c r="I159" s="73">
        <f t="shared" si="8"/>
        <v>149.99</v>
      </c>
      <c r="J159" s="73">
        <f t="shared" si="9"/>
        <v>113.99</v>
      </c>
      <c r="K159" s="111">
        <f t="shared" si="10"/>
        <v>-0.30233964370435829</v>
      </c>
      <c r="L159" s="111">
        <f t="shared" si="11"/>
        <v>-0.30063194060985343</v>
      </c>
      <c r="N159" s="31" t="str">
        <f>+VLOOKUP(C159,'Country &amp; Code Abbreviation'!$C$3:$D$245,2,FALSE)</f>
        <v>KWT</v>
      </c>
    </row>
    <row r="160" spans="2:14" ht="12.75" customHeight="1">
      <c r="B160" s="25" t="s">
        <v>189</v>
      </c>
      <c r="C160" t="str">
        <f>VLOOKUP($B160,Google!$B$3:$E$176,Google!C$1,FALSE)</f>
        <v>KW</v>
      </c>
      <c r="D160" t="str">
        <f>VLOOKUP($B160,Google!$B$3:$E$176,Google!D$1,FALSE)</f>
        <v>KWD</v>
      </c>
      <c r="E160" t="str">
        <f>VLOOKUP($B160,Google!$B$3:$E$176,Google!E$1,FALSE)</f>
        <v>USD</v>
      </c>
      <c r="F160" t="s">
        <v>69</v>
      </c>
      <c r="G160" s="128">
        <f>VLOOKUP($B160,Google!$B$3:$H$176,Google!F$1,FALSE)</f>
        <v>214.99</v>
      </c>
      <c r="H160" s="128">
        <f>VLOOKUP($B160,Google!$B$3:$H$176,Google!H$1,FALSE)</f>
        <v>162.99</v>
      </c>
      <c r="I160" s="73">
        <f t="shared" si="8"/>
        <v>149.99</v>
      </c>
      <c r="J160" s="73">
        <f t="shared" si="9"/>
        <v>113.99</v>
      </c>
      <c r="K160" s="111">
        <f t="shared" si="10"/>
        <v>-0.30233964370435829</v>
      </c>
      <c r="L160" s="111">
        <f t="shared" si="11"/>
        <v>-0.30063194060985343</v>
      </c>
      <c r="N160" s="31" t="str">
        <f>+VLOOKUP(C160,'Country &amp; Code Abbreviation'!$C$3:$D$245,2,FALSE)</f>
        <v>KWT</v>
      </c>
    </row>
    <row r="161" spans="2:14" ht="12.75" customHeight="1">
      <c r="B161" s="25" t="s">
        <v>190</v>
      </c>
      <c r="C161" t="str">
        <f>VLOOKUP($B161,Apple!$B$3:$E$176,Apple!C$1,FALSE)</f>
        <v>KG</v>
      </c>
      <c r="D161" t="str">
        <f>VLOOKUP($B161,Apple!$B$3:$E$176,Apple!D$1,FALSE)</f>
        <v>KGS</v>
      </c>
      <c r="E161" t="str">
        <f>VLOOKUP($B161,Apple!$B$3:$E$176,Apple!E$1,FALSE)</f>
        <v>USD</v>
      </c>
      <c r="F161" t="s">
        <v>68</v>
      </c>
      <c r="G161" s="128">
        <f>VLOOKUP($B161,Apple!$B$3:$H$176,Apple!F$1,FALSE)</f>
        <v>96.99</v>
      </c>
      <c r="H161" s="128">
        <f>VLOOKUP($B161,Apple!$B$3:$H$176,Apple!H$1,FALSE)</f>
        <v>71.989999999999995</v>
      </c>
      <c r="I161" s="73">
        <f t="shared" si="8"/>
        <v>67.989999999999995</v>
      </c>
      <c r="J161" s="73">
        <f t="shared" si="9"/>
        <v>49.99</v>
      </c>
      <c r="K161" s="111">
        <f t="shared" si="10"/>
        <v>-0.29899989689658735</v>
      </c>
      <c r="L161" s="111">
        <f t="shared" si="11"/>
        <v>-0.3055979997221836</v>
      </c>
      <c r="N161" s="31" t="str">
        <f>+VLOOKUP(C161,'Country &amp; Code Abbreviation'!$C$3:$D$245,2,FALSE)</f>
        <v>KGZ</v>
      </c>
    </row>
    <row r="162" spans="2:14" ht="12.75" customHeight="1">
      <c r="B162" s="25" t="s">
        <v>190</v>
      </c>
      <c r="C162" t="str">
        <f>VLOOKUP($B162,Google!$B$3:$E$176,Google!C$1,FALSE)</f>
        <v>KG</v>
      </c>
      <c r="D162" t="str">
        <f>VLOOKUP($B162,Google!$B$3:$E$176,Google!D$1,FALSE)</f>
        <v>KGS</v>
      </c>
      <c r="E162" t="str">
        <f>VLOOKUP($B162,Google!$B$3:$E$176,Google!E$1,FALSE)</f>
        <v>USD</v>
      </c>
      <c r="F162" t="s">
        <v>69</v>
      </c>
      <c r="G162" s="128">
        <f>VLOOKUP($B162,Google!$B$3:$H$176,Google!F$1,FALSE)</f>
        <v>96.99</v>
      </c>
      <c r="H162" s="128">
        <f>VLOOKUP($B162,Google!$B$3:$H$176,Google!H$1,FALSE)</f>
        <v>71.989999999999995</v>
      </c>
      <c r="I162" s="73">
        <f t="shared" si="8"/>
        <v>67.989999999999995</v>
      </c>
      <c r="J162" s="73">
        <f t="shared" si="9"/>
        <v>49.99</v>
      </c>
      <c r="K162" s="111">
        <f t="shared" si="10"/>
        <v>-0.29899989689658735</v>
      </c>
      <c r="L162" s="111">
        <f t="shared" si="11"/>
        <v>-0.3055979997221836</v>
      </c>
      <c r="N162" s="31" t="str">
        <f>+VLOOKUP(C162,'Country &amp; Code Abbreviation'!$C$3:$D$245,2,FALSE)</f>
        <v>KGZ</v>
      </c>
    </row>
    <row r="163" spans="2:14" ht="12.75" customHeight="1">
      <c r="B163" s="25" t="s">
        <v>191</v>
      </c>
      <c r="C163" t="str">
        <f>VLOOKUP($B163,Apple!$B$3:$E$176,Apple!C$1,FALSE)</f>
        <v>LA</v>
      </c>
      <c r="D163" t="str">
        <f>VLOOKUP($B163,Apple!$B$3:$E$176,Apple!D$1,FALSE)</f>
        <v>LAK</v>
      </c>
      <c r="E163" t="str">
        <f>VLOOKUP($B163,Apple!$B$3:$E$176,Apple!E$1,FALSE)</f>
        <v>USD</v>
      </c>
      <c r="F163" t="s">
        <v>68</v>
      </c>
      <c r="G163" s="128">
        <f>VLOOKUP($B163,Apple!$B$3:$H$176,Apple!F$1,FALSE)</f>
        <v>59.99</v>
      </c>
      <c r="H163" s="128">
        <f>VLOOKUP($B163,Apple!$B$3:$H$176,Apple!H$1,FALSE)</f>
        <v>44.99</v>
      </c>
      <c r="I163" s="73">
        <f t="shared" si="8"/>
        <v>41.99</v>
      </c>
      <c r="J163" s="251">
        <v>29.99</v>
      </c>
      <c r="K163" s="111">
        <f t="shared" si="10"/>
        <v>-0.3000500083347224</v>
      </c>
      <c r="L163" s="111">
        <f t="shared" si="11"/>
        <v>-0.33340742387197164</v>
      </c>
      <c r="N163" s="31" t="str">
        <f>+VLOOKUP(C163,'Country &amp; Code Abbreviation'!$C$3:$D$245,2,FALSE)</f>
        <v>LAO</v>
      </c>
    </row>
    <row r="164" spans="2:14" ht="12.75" customHeight="1">
      <c r="B164" s="25" t="s">
        <v>191</v>
      </c>
      <c r="C164" t="str">
        <f>VLOOKUP($B164,Google!$B$3:$E$176,Google!C$1,FALSE)</f>
        <v>LA</v>
      </c>
      <c r="D164" t="str">
        <f>VLOOKUP($B164,Google!$B$3:$E$176,Google!D$1,FALSE)</f>
        <v>LAK</v>
      </c>
      <c r="E164" t="str">
        <f>VLOOKUP($B164,Google!$B$3:$E$176,Google!E$1,FALSE)</f>
        <v>USD</v>
      </c>
      <c r="F164" t="s">
        <v>69</v>
      </c>
      <c r="G164" s="128">
        <f>VLOOKUP($B164,Google!$B$3:$H$176,Google!F$1,FALSE)</f>
        <v>59.99</v>
      </c>
      <c r="H164" s="128">
        <f>VLOOKUP($B164,Google!$B$3:$H$176,Google!H$1,FALSE)</f>
        <v>44.99</v>
      </c>
      <c r="I164" s="73">
        <f t="shared" si="8"/>
        <v>41.99</v>
      </c>
      <c r="J164" s="251">
        <v>29.99</v>
      </c>
      <c r="K164" s="111">
        <f t="shared" si="10"/>
        <v>-0.3000500083347224</v>
      </c>
      <c r="L164" s="111">
        <f t="shared" si="11"/>
        <v>-0.33340742387197164</v>
      </c>
      <c r="N164" s="31" t="str">
        <f>+VLOOKUP(C164,'Country &amp; Code Abbreviation'!$C$3:$D$245,2,FALSE)</f>
        <v>LAO</v>
      </c>
    </row>
    <row r="165" spans="2:14" ht="12.75" customHeight="1">
      <c r="B165" s="25" t="s">
        <v>192</v>
      </c>
      <c r="C165" t="str">
        <f>VLOOKUP($B165,Apple!$B$3:$E$176,Apple!C$1,FALSE)</f>
        <v>LV</v>
      </c>
      <c r="D165" t="str">
        <f>VLOOKUP($B165,Apple!$B$3:$E$176,Apple!D$1,FALSE)</f>
        <v>EUR</v>
      </c>
      <c r="E165" t="str">
        <f>VLOOKUP($B165,Apple!$B$3:$E$176,Apple!E$1,FALSE)</f>
        <v>EUR</v>
      </c>
      <c r="F165" t="s">
        <v>68</v>
      </c>
      <c r="G165" s="128">
        <f>VLOOKUP($B165,Apple!$B$3:$H$176,Apple!F$1,FALSE)</f>
        <v>91.99</v>
      </c>
      <c r="H165" s="128">
        <f>VLOOKUP($B165,Apple!$B$3:$H$176,Apple!H$1,FALSE)</f>
        <v>67.989999999999995</v>
      </c>
      <c r="I165" s="73">
        <f t="shared" si="8"/>
        <v>63.99</v>
      </c>
      <c r="J165" s="73">
        <f t="shared" si="9"/>
        <v>47.99</v>
      </c>
      <c r="K165" s="111">
        <f t="shared" si="10"/>
        <v>-0.30438091096858344</v>
      </c>
      <c r="L165" s="111">
        <f t="shared" si="11"/>
        <v>-0.29416090601559042</v>
      </c>
      <c r="N165" s="31" t="str">
        <f>+VLOOKUP(C165,'Country &amp; Code Abbreviation'!$C$3:$D$245,2,FALSE)</f>
        <v>LVA</v>
      </c>
    </row>
    <row r="166" spans="2:14" ht="12.75" customHeight="1">
      <c r="B166" s="25" t="s">
        <v>192</v>
      </c>
      <c r="C166" t="str">
        <f>VLOOKUP($B166,Google!$B$3:$E$176,Google!C$1,FALSE)</f>
        <v>LV</v>
      </c>
      <c r="D166" t="str">
        <f>VLOOKUP($B166,Google!$B$3:$E$176,Google!D$1,FALSE)</f>
        <v>EUR</v>
      </c>
      <c r="E166" t="str">
        <f>VLOOKUP($B166,Google!$B$3:$E$176,Google!E$1,FALSE)</f>
        <v>EUR</v>
      </c>
      <c r="F166" t="s">
        <v>69</v>
      </c>
      <c r="G166" s="128">
        <f>VLOOKUP($B166,Google!$B$3:$H$176,Google!F$1,FALSE)</f>
        <v>91.99</v>
      </c>
      <c r="H166" s="128">
        <f>VLOOKUP($B166,Google!$B$3:$H$176,Google!H$1,FALSE)</f>
        <v>67.989999999999995</v>
      </c>
      <c r="I166" s="73">
        <f t="shared" si="8"/>
        <v>63.99</v>
      </c>
      <c r="J166" s="73">
        <f t="shared" si="9"/>
        <v>47.99</v>
      </c>
      <c r="K166" s="111">
        <f t="shared" si="10"/>
        <v>-0.30438091096858344</v>
      </c>
      <c r="L166" s="111">
        <f t="shared" si="11"/>
        <v>-0.29416090601559042</v>
      </c>
      <c r="N166" s="31" t="str">
        <f>+VLOOKUP(C166,'Country &amp; Code Abbreviation'!$C$3:$D$245,2,FALSE)</f>
        <v>LVA</v>
      </c>
    </row>
    <row r="167" spans="2:14" ht="12.75" customHeight="1">
      <c r="B167" s="25" t="s">
        <v>193</v>
      </c>
      <c r="C167" t="str">
        <f>VLOOKUP($B167,Apple!$B$3:$E$176,Apple!C$1,FALSE)</f>
        <v>LB</v>
      </c>
      <c r="D167" t="str">
        <f>VLOOKUP($B167,Apple!$B$3:$E$176,Apple!D$1,FALSE)</f>
        <v>USD</v>
      </c>
      <c r="E167" t="str">
        <f>VLOOKUP($B167,Apple!$B$3:$E$176,Apple!E$1,FALSE)</f>
        <v>USD</v>
      </c>
      <c r="F167" t="s">
        <v>68</v>
      </c>
      <c r="G167" s="128">
        <f>VLOOKUP($B167,Apple!$B$3:$H$176,Apple!F$1,FALSE)</f>
        <v>34.99</v>
      </c>
      <c r="H167" s="128">
        <f>VLOOKUP($B167,Apple!$B$3:$H$176,Apple!H$1,FALSE)</f>
        <v>27.99</v>
      </c>
      <c r="I167" s="73">
        <f t="shared" si="8"/>
        <v>23.99</v>
      </c>
      <c r="J167" s="73">
        <f t="shared" si="9"/>
        <v>19.989999999999998</v>
      </c>
      <c r="K167" s="111">
        <f t="shared" si="10"/>
        <v>-0.31437553586739075</v>
      </c>
      <c r="L167" s="111">
        <f t="shared" si="11"/>
        <v>-0.28581636298678104</v>
      </c>
      <c r="N167" s="31" t="str">
        <f>+VLOOKUP(C167,'Country &amp; Code Abbreviation'!$C$3:$D$245,2,FALSE)</f>
        <v>LBN</v>
      </c>
    </row>
    <row r="168" spans="2:14" ht="12.75" customHeight="1">
      <c r="B168" s="25" t="s">
        <v>193</v>
      </c>
      <c r="C168" t="str">
        <f>VLOOKUP($B168,Google!$B$3:$E$176,Google!C$1,FALSE)</f>
        <v>LB</v>
      </c>
      <c r="D168" t="str">
        <f>VLOOKUP($B168,Google!$B$3:$E$176,Google!D$1,FALSE)</f>
        <v>USD</v>
      </c>
      <c r="E168" t="str">
        <f>VLOOKUP($B168,Google!$B$3:$E$176,Google!E$1,FALSE)</f>
        <v>USD</v>
      </c>
      <c r="F168" t="s">
        <v>69</v>
      </c>
      <c r="G168" s="128">
        <f>VLOOKUP($B168,Google!$B$3:$H$176,Google!F$1,FALSE)</f>
        <v>34.99</v>
      </c>
      <c r="H168" s="128">
        <f>VLOOKUP($B168,Google!$B$3:$H$176,Google!H$1,FALSE)</f>
        <v>27.99</v>
      </c>
      <c r="I168" s="73">
        <f t="shared" si="8"/>
        <v>23.99</v>
      </c>
      <c r="J168" s="73">
        <f t="shared" si="9"/>
        <v>19.989999999999998</v>
      </c>
      <c r="K168" s="111">
        <f t="shared" si="10"/>
        <v>-0.31437553586739075</v>
      </c>
      <c r="L168" s="111">
        <f t="shared" si="11"/>
        <v>-0.28581636298678104</v>
      </c>
      <c r="N168" s="31" t="str">
        <f>+VLOOKUP(C168,'Country &amp; Code Abbreviation'!$C$3:$D$245,2,FALSE)</f>
        <v>LBN</v>
      </c>
    </row>
    <row r="169" spans="2:14" ht="12.75" customHeight="1">
      <c r="B169" s="25" t="s">
        <v>195</v>
      </c>
      <c r="C169" t="str">
        <f>VLOOKUP($B169,Apple!$B$3:$E$176,Apple!C$1,FALSE)</f>
        <v>LR</v>
      </c>
      <c r="D169" t="str">
        <f>VLOOKUP($B169,Apple!$B$3:$E$176,Apple!D$1,FALSE)</f>
        <v>USD</v>
      </c>
      <c r="E169" t="str">
        <f>VLOOKUP($B169,Apple!$B$3:$E$176,Apple!E$1,FALSE)</f>
        <v>USD</v>
      </c>
      <c r="F169" t="s">
        <v>68</v>
      </c>
      <c r="G169" s="128">
        <f>VLOOKUP($B169,Apple!$B$3:$H$176,Apple!F$1,FALSE)</f>
        <v>71.989999999999995</v>
      </c>
      <c r="H169" s="128">
        <f>VLOOKUP($B169,Apple!$B$3:$H$176,Apple!H$1,FALSE)</f>
        <v>53.99</v>
      </c>
      <c r="I169" s="73">
        <f t="shared" si="8"/>
        <v>49.99</v>
      </c>
      <c r="J169" s="73">
        <f t="shared" si="9"/>
        <v>37.99</v>
      </c>
      <c r="K169" s="111">
        <f t="shared" si="10"/>
        <v>-0.3055979997221836</v>
      </c>
      <c r="L169" s="111">
        <f t="shared" si="11"/>
        <v>-0.2963511761437303</v>
      </c>
      <c r="N169" s="31" t="str">
        <f>+VLOOKUP(C169,'Country &amp; Code Abbreviation'!$C$3:$D$245,2,FALSE)</f>
        <v>LBR</v>
      </c>
    </row>
    <row r="170" spans="2:14" ht="12.75" customHeight="1">
      <c r="B170" s="25" t="s">
        <v>195</v>
      </c>
      <c r="C170" t="str">
        <f>VLOOKUP($B170,Google!$B$3:$E$176,Google!C$1,FALSE)</f>
        <v>LR</v>
      </c>
      <c r="D170" t="str">
        <f>VLOOKUP($B170,Google!$B$3:$E$176,Google!D$1,FALSE)</f>
        <v>USD</v>
      </c>
      <c r="E170" t="str">
        <f>VLOOKUP($B170,Google!$B$3:$E$176,Google!E$1,FALSE)</f>
        <v>USD</v>
      </c>
      <c r="F170" t="s">
        <v>69</v>
      </c>
      <c r="G170" s="128">
        <f>VLOOKUP($B170,Google!$B$3:$H$176,Google!F$1,FALSE)</f>
        <v>71.989999999999995</v>
      </c>
      <c r="H170" s="128">
        <f>VLOOKUP($B170,Google!$B$3:$H$176,Google!H$1,FALSE)</f>
        <v>53.99</v>
      </c>
      <c r="I170" s="73">
        <f t="shared" si="8"/>
        <v>49.99</v>
      </c>
      <c r="J170" s="73">
        <f t="shared" si="9"/>
        <v>37.99</v>
      </c>
      <c r="K170" s="111">
        <f t="shared" si="10"/>
        <v>-0.3055979997221836</v>
      </c>
      <c r="L170" s="111">
        <f t="shared" si="11"/>
        <v>-0.2963511761437303</v>
      </c>
      <c r="N170" s="31" t="str">
        <f>+VLOOKUP(C170,'Country &amp; Code Abbreviation'!$C$3:$D$245,2,FALSE)</f>
        <v>LBR</v>
      </c>
    </row>
    <row r="171" spans="2:14" ht="12.75" customHeight="1">
      <c r="B171" s="25" t="s">
        <v>196</v>
      </c>
      <c r="C171" t="str">
        <f>VLOOKUP($B171,Apple!$B$3:$E$176,Apple!C$1,FALSE)</f>
        <v>LY</v>
      </c>
      <c r="D171" t="str">
        <f>VLOOKUP($B171,Apple!$B$3:$E$176,Apple!D$1,FALSE)</f>
        <v>USD</v>
      </c>
      <c r="E171" t="str">
        <f>VLOOKUP($B171,Apple!$B$3:$E$176,Apple!E$1,FALSE)</f>
        <v>USD</v>
      </c>
      <c r="F171" t="s">
        <v>68</v>
      </c>
      <c r="G171" s="128">
        <f>VLOOKUP($B171,Apple!$B$3:$H$176,Apple!F$1,FALSE)</f>
        <v>79.989999999999995</v>
      </c>
      <c r="H171" s="128">
        <f>VLOOKUP($B171,Apple!$B$3:$H$176,Apple!H$1,FALSE)</f>
        <v>59.99</v>
      </c>
      <c r="I171" s="73">
        <f t="shared" si="8"/>
        <v>55.99</v>
      </c>
      <c r="J171" s="73">
        <f t="shared" si="9"/>
        <v>41.99</v>
      </c>
      <c r="K171" s="111">
        <f t="shared" si="10"/>
        <v>-0.30003750468808599</v>
      </c>
      <c r="L171" s="111">
        <f t="shared" si="11"/>
        <v>-0.3000500083347224</v>
      </c>
      <c r="N171" s="31" t="str">
        <f>+VLOOKUP(C171,'Country &amp; Code Abbreviation'!$C$3:$D$245,2,FALSE)</f>
        <v>LBY</v>
      </c>
    </row>
    <row r="172" spans="2:14" ht="12.75" customHeight="1">
      <c r="B172" s="25" t="s">
        <v>196</v>
      </c>
      <c r="C172" t="str">
        <f>VLOOKUP($B172,Google!$B$3:$E$176,Google!C$1,FALSE)</f>
        <v>LY</v>
      </c>
      <c r="D172" t="str">
        <f>VLOOKUP($B172,Google!$B$3:$E$176,Google!D$1,FALSE)</f>
        <v>USD</v>
      </c>
      <c r="E172" t="str">
        <f>VLOOKUP($B172,Google!$B$3:$E$176,Google!E$1,FALSE)</f>
        <v>USD</v>
      </c>
      <c r="F172" t="s">
        <v>69</v>
      </c>
      <c r="G172" s="128">
        <f>VLOOKUP($B172,Google!$B$3:$H$176,Google!F$1,FALSE)</f>
        <v>79.989999999999995</v>
      </c>
      <c r="H172" s="128">
        <f>VLOOKUP($B172,Google!$B$3:$H$176,Google!H$1,FALSE)</f>
        <v>59.99</v>
      </c>
      <c r="I172" s="73">
        <f t="shared" si="8"/>
        <v>55.99</v>
      </c>
      <c r="J172" s="73">
        <f t="shared" si="9"/>
        <v>41.99</v>
      </c>
      <c r="K172" s="111">
        <f t="shared" si="10"/>
        <v>-0.30003750468808599</v>
      </c>
      <c r="L172" s="111">
        <f t="shared" si="11"/>
        <v>-0.3000500083347224</v>
      </c>
      <c r="N172" s="31" t="str">
        <f>+VLOOKUP(C172,'Country &amp; Code Abbreviation'!$C$3:$D$245,2,FALSE)</f>
        <v>LBY</v>
      </c>
    </row>
    <row r="173" spans="2:14" ht="12.75" customHeight="1">
      <c r="B173" s="25" t="s">
        <v>197</v>
      </c>
      <c r="C173" t="str">
        <f>VLOOKUP($B173,Google!$B$3:$E$176,Google!C$1,FALSE)</f>
        <v>LI</v>
      </c>
      <c r="D173" t="str">
        <f>VLOOKUP($B173,Google!$B$3:$E$176,Google!D$1,FALSE)</f>
        <v>CHF</v>
      </c>
      <c r="E173" t="str">
        <f>VLOOKUP($B173,Google!$B$3:$E$176,Google!E$1,FALSE)</f>
        <v>CHF</v>
      </c>
      <c r="F173" t="s">
        <v>69</v>
      </c>
      <c r="G173" s="128">
        <f>VLOOKUP($B173,Google!$B$3:$H$176,Google!F$1,FALSE)</f>
        <v>189.99</v>
      </c>
      <c r="H173" s="128">
        <f>VLOOKUP($B173,Google!$B$3:$H$176,Google!H$1,FALSE)</f>
        <v>149.99</v>
      </c>
      <c r="I173" s="73">
        <f t="shared" si="8"/>
        <v>132.99</v>
      </c>
      <c r="J173" s="73">
        <f t="shared" si="9"/>
        <v>104.99</v>
      </c>
      <c r="K173" s="111">
        <f t="shared" si="10"/>
        <v>-0.30001579030475289</v>
      </c>
      <c r="L173" s="111">
        <f t="shared" si="11"/>
        <v>-0.30002000133342233</v>
      </c>
      <c r="N173" s="31" t="str">
        <f>+VLOOKUP(C173,'Country &amp; Code Abbreviation'!$C$3:$D$245,2,FALSE)</f>
        <v>LIE</v>
      </c>
    </row>
    <row r="174" spans="2:14" ht="12.75" customHeight="1">
      <c r="B174" s="25" t="s">
        <v>198</v>
      </c>
      <c r="C174" t="str">
        <f>VLOOKUP($B174,Apple!$B$3:$E$176,Apple!C$1,FALSE)</f>
        <v>LT</v>
      </c>
      <c r="D174" t="str">
        <f>VLOOKUP($B174,Apple!$B$3:$E$176,Apple!D$1,FALSE)</f>
        <v>EUR</v>
      </c>
      <c r="E174" t="str">
        <f>VLOOKUP($B174,Apple!$B$3:$E$176,Apple!E$1,FALSE)</f>
        <v>EUR</v>
      </c>
      <c r="F174" t="s">
        <v>68</v>
      </c>
      <c r="G174" s="128">
        <f>VLOOKUP($B174,Apple!$B$3:$H$176,Apple!F$1,FALSE)</f>
        <v>94.99</v>
      </c>
      <c r="H174" s="128">
        <f>VLOOKUP($B174,Apple!$B$3:$H$176,Apple!H$1,FALSE)</f>
        <v>69.989999999999995</v>
      </c>
      <c r="I174" s="73">
        <f t="shared" si="8"/>
        <v>65.989999999999995</v>
      </c>
      <c r="J174" s="73">
        <f t="shared" si="9"/>
        <v>48.99</v>
      </c>
      <c r="K174" s="111">
        <f t="shared" si="10"/>
        <v>-0.30529529424149915</v>
      </c>
      <c r="L174" s="111">
        <f t="shared" si="11"/>
        <v>-0.30004286326618079</v>
      </c>
      <c r="N174" s="31" t="str">
        <f>+VLOOKUP(C174,'Country &amp; Code Abbreviation'!$C$3:$D$245,2,FALSE)</f>
        <v>LTU</v>
      </c>
    </row>
    <row r="175" spans="2:14" ht="12.75" customHeight="1">
      <c r="B175" s="25" t="s">
        <v>198</v>
      </c>
      <c r="C175" t="str">
        <f>VLOOKUP($B175,Google!$B$3:$E$176,Google!C$1,FALSE)</f>
        <v>LT</v>
      </c>
      <c r="D175" t="str">
        <f>VLOOKUP($B175,Google!$B$3:$E$176,Google!D$1,FALSE)</f>
        <v>EUR</v>
      </c>
      <c r="E175" t="str">
        <f>VLOOKUP($B175,Google!$B$3:$E$176,Google!E$1,FALSE)</f>
        <v>EUR</v>
      </c>
      <c r="F175" t="s">
        <v>69</v>
      </c>
      <c r="G175" s="128">
        <f>VLOOKUP($B175,Google!$B$3:$H$176,Google!F$1,FALSE)</f>
        <v>94.99</v>
      </c>
      <c r="H175" s="128">
        <f>VLOOKUP($B175,Google!$B$3:$H$176,Google!H$1,FALSE)</f>
        <v>69.989999999999995</v>
      </c>
      <c r="I175" s="73">
        <f t="shared" si="8"/>
        <v>65.989999999999995</v>
      </c>
      <c r="J175" s="73">
        <f t="shared" si="9"/>
        <v>48.99</v>
      </c>
      <c r="K175" s="111">
        <f t="shared" si="10"/>
        <v>-0.30529529424149915</v>
      </c>
      <c r="L175" s="111">
        <f t="shared" si="11"/>
        <v>-0.30004286326618079</v>
      </c>
      <c r="N175" s="31" t="str">
        <f>+VLOOKUP(C175,'Country &amp; Code Abbreviation'!$C$3:$D$245,2,FALSE)</f>
        <v>LTU</v>
      </c>
    </row>
    <row r="176" spans="2:14" ht="12.75" customHeight="1">
      <c r="B176" s="25" t="s">
        <v>199</v>
      </c>
      <c r="C176" t="str">
        <f>VLOOKUP($B176,Apple!$B$3:$E$176,Apple!C$1,FALSE)</f>
        <v>LU</v>
      </c>
      <c r="D176" t="str">
        <f>VLOOKUP($B176,Apple!$B$3:$E$176,Apple!D$1,FALSE)</f>
        <v>EUR</v>
      </c>
      <c r="E176" t="str">
        <f>VLOOKUP($B176,Apple!$B$3:$E$176,Apple!E$1,FALSE)</f>
        <v>EUR</v>
      </c>
      <c r="F176" t="s">
        <v>68</v>
      </c>
      <c r="G176" s="128">
        <f>VLOOKUP($B176,Apple!$B$3:$H$176,Apple!F$1,FALSE)</f>
        <v>194.99</v>
      </c>
      <c r="H176" s="128">
        <f>VLOOKUP($B176,Apple!$B$3:$H$176,Apple!H$1,FALSE)</f>
        <v>149.99</v>
      </c>
      <c r="I176" s="73">
        <f t="shared" si="8"/>
        <v>135.99</v>
      </c>
      <c r="J176" s="73">
        <f t="shared" si="9"/>
        <v>104.99</v>
      </c>
      <c r="K176" s="111">
        <f t="shared" si="10"/>
        <v>-0.30257961946766498</v>
      </c>
      <c r="L176" s="111">
        <f t="shared" si="11"/>
        <v>-0.30002000133342233</v>
      </c>
      <c r="N176" s="31" t="str">
        <f>+VLOOKUP(C176,'Country &amp; Code Abbreviation'!$C$3:$D$245,2,FALSE)</f>
        <v>LUX</v>
      </c>
    </row>
    <row r="177" spans="2:14" ht="12.75" customHeight="1">
      <c r="B177" s="25" t="s">
        <v>199</v>
      </c>
      <c r="C177" t="str">
        <f>VLOOKUP($B177,Google!$B$3:$E$176,Google!C$1,FALSE)</f>
        <v>LU</v>
      </c>
      <c r="D177" t="str">
        <f>VLOOKUP($B177,Google!$B$3:$E$176,Google!D$1,FALSE)</f>
        <v>EUR</v>
      </c>
      <c r="E177" t="str">
        <f>VLOOKUP($B177,Google!$B$3:$E$176,Google!E$1,FALSE)</f>
        <v>EUR</v>
      </c>
      <c r="F177" t="s">
        <v>69</v>
      </c>
      <c r="G177" s="128">
        <f>VLOOKUP($B177,Google!$B$3:$H$176,Google!F$1,FALSE)</f>
        <v>194.99</v>
      </c>
      <c r="H177" s="128">
        <f>VLOOKUP($B177,Google!$B$3:$H$176,Google!H$1,FALSE)</f>
        <v>149.99</v>
      </c>
      <c r="I177" s="73">
        <f t="shared" si="8"/>
        <v>135.99</v>
      </c>
      <c r="J177" s="73">
        <f t="shared" si="9"/>
        <v>104.99</v>
      </c>
      <c r="K177" s="111">
        <f t="shared" si="10"/>
        <v>-0.30257961946766498</v>
      </c>
      <c r="L177" s="111">
        <f t="shared" si="11"/>
        <v>-0.30002000133342233</v>
      </c>
      <c r="N177" s="31" t="str">
        <f>+VLOOKUP(C177,'Country &amp; Code Abbreviation'!$C$3:$D$245,2,FALSE)</f>
        <v>LUX</v>
      </c>
    </row>
    <row r="178" spans="2:14" ht="12.75" customHeight="1">
      <c r="B178" s="25" t="s">
        <v>200</v>
      </c>
      <c r="C178" t="str">
        <f>VLOOKUP($B178,Apple!$B$3:$E$176,Apple!C$1,FALSE)</f>
        <v>MO</v>
      </c>
      <c r="D178" t="str">
        <f>VLOOKUP($B178,Apple!$B$3:$E$176,Apple!D$1,FALSE)</f>
        <v>MOP</v>
      </c>
      <c r="E178" t="str">
        <f>VLOOKUP($B178,Apple!$B$3:$E$176,Apple!E$1,FALSE)</f>
        <v>USD</v>
      </c>
      <c r="F178" t="s">
        <v>68</v>
      </c>
      <c r="G178" s="128">
        <f>VLOOKUP($B178,Apple!$B$3:$H$176,Apple!F$1,FALSE)</f>
        <v>107.99</v>
      </c>
      <c r="H178" s="128">
        <f>VLOOKUP($B178,Apple!$B$3:$H$176,Apple!H$1,FALSE)</f>
        <v>77.989999999999995</v>
      </c>
      <c r="I178" s="73">
        <f t="shared" si="8"/>
        <v>75.989999999999995</v>
      </c>
      <c r="J178" s="73">
        <f t="shared" si="9"/>
        <v>54.99</v>
      </c>
      <c r="K178" s="111">
        <f t="shared" si="10"/>
        <v>-0.29632373367904441</v>
      </c>
      <c r="L178" s="111">
        <f t="shared" si="11"/>
        <v>-0.29490960379535835</v>
      </c>
      <c r="N178" s="31" t="str">
        <f>+VLOOKUP(C178,'Country &amp; Code Abbreviation'!$C$3:$D$245,2,FALSE)</f>
        <v>MAC</v>
      </c>
    </row>
    <row r="179" spans="2:14" ht="12.75" customHeight="1">
      <c r="B179" s="25" t="s">
        <v>200</v>
      </c>
      <c r="C179" t="str">
        <f>VLOOKUP($B179,Google!$B$3:$E$176,Google!C$1,FALSE)</f>
        <v>MO</v>
      </c>
      <c r="D179" t="str">
        <f>VLOOKUP($B179,Google!$B$3:$E$176,Google!D$1,FALSE)</f>
        <v>MOP</v>
      </c>
      <c r="E179" t="str">
        <f>VLOOKUP($B179,Google!$B$3:$E$176,Google!E$1,FALSE)</f>
        <v>MOP</v>
      </c>
      <c r="F179" t="s">
        <v>69</v>
      </c>
      <c r="G179" s="128">
        <f>VLOOKUP($B179,Google!$B$3:$H$176,Google!F$1,FALSE)</f>
        <v>869.99</v>
      </c>
      <c r="H179" s="128">
        <f>VLOOKUP($B179,Google!$B$3:$H$176,Google!H$1,FALSE)</f>
        <v>629.99</v>
      </c>
      <c r="I179" s="73">
        <f t="shared" si="8"/>
        <v>608.99</v>
      </c>
      <c r="J179" s="73">
        <f t="shared" si="9"/>
        <v>440.99</v>
      </c>
      <c r="K179" s="111">
        <f t="shared" si="10"/>
        <v>-0.30000344831549786</v>
      </c>
      <c r="L179" s="111">
        <f t="shared" si="11"/>
        <v>-0.30000476198034887</v>
      </c>
      <c r="N179" s="31" t="str">
        <f>+VLOOKUP(C179,'Country &amp; Code Abbreviation'!$C$3:$D$245,2,FALSE)</f>
        <v>MAC</v>
      </c>
    </row>
    <row r="180" spans="2:14" ht="12.75" customHeight="1">
      <c r="B180" s="25" t="s">
        <v>201</v>
      </c>
      <c r="C180" t="str">
        <f>VLOOKUP($B180,Apple!$B$3:$E$176,Apple!C$1,FALSE)</f>
        <v>MK</v>
      </c>
      <c r="D180" t="str">
        <f>VLOOKUP($B180,Apple!$B$3:$E$176,Apple!D$1,FALSE)</f>
        <v>MKD</v>
      </c>
      <c r="E180" t="str">
        <f>VLOOKUP($B180,Apple!$B$3:$E$176,Apple!E$1,FALSE)</f>
        <v>USD</v>
      </c>
      <c r="F180" t="s">
        <v>68</v>
      </c>
      <c r="G180" s="128">
        <f>VLOOKUP($B180,Apple!$B$3:$H$176,Apple!F$1,FALSE)</f>
        <v>96.99</v>
      </c>
      <c r="H180" s="128">
        <f>VLOOKUP($B180,Apple!$B$3:$H$176,Apple!H$1,FALSE)</f>
        <v>69.989999999999995</v>
      </c>
      <c r="I180" s="73">
        <f t="shared" si="8"/>
        <v>67.989999999999995</v>
      </c>
      <c r="J180" s="73">
        <f t="shared" si="9"/>
        <v>48.99</v>
      </c>
      <c r="K180" s="111">
        <f t="shared" si="10"/>
        <v>-0.29899989689658735</v>
      </c>
      <c r="L180" s="111">
        <f t="shared" si="11"/>
        <v>-0.30004286326618079</v>
      </c>
      <c r="N180" s="31" t="str">
        <f>+VLOOKUP(C180,'Country &amp; Code Abbreviation'!$C$3:$D$245,2,FALSE)</f>
        <v>MKD</v>
      </c>
    </row>
    <row r="181" spans="2:14" ht="12.75" customHeight="1">
      <c r="B181" s="25" t="s">
        <v>201</v>
      </c>
      <c r="C181" t="str">
        <f>VLOOKUP($B181,Google!$B$3:$E$176,Google!C$1,FALSE)</f>
        <v>MK</v>
      </c>
      <c r="D181" t="str">
        <f>VLOOKUP($B181,Google!$B$3:$E$176,Google!D$1,FALSE)</f>
        <v>MKD</v>
      </c>
      <c r="E181" t="str">
        <f>VLOOKUP($B181,Google!$B$3:$E$176,Google!E$1,FALSE)</f>
        <v>USD</v>
      </c>
      <c r="F181" t="s">
        <v>69</v>
      </c>
      <c r="G181" s="128">
        <f>VLOOKUP($B181,Google!$B$3:$H$176,Google!F$1,FALSE)</f>
        <v>96.99</v>
      </c>
      <c r="H181" s="128">
        <f>VLOOKUP($B181,Google!$B$3:$H$176,Google!H$1,FALSE)</f>
        <v>69.989999999999995</v>
      </c>
      <c r="I181" s="73">
        <f t="shared" si="8"/>
        <v>67.989999999999995</v>
      </c>
      <c r="J181" s="73">
        <f t="shared" si="9"/>
        <v>48.99</v>
      </c>
      <c r="K181" s="111">
        <f t="shared" si="10"/>
        <v>-0.29899989689658735</v>
      </c>
      <c r="L181" s="111">
        <f t="shared" si="11"/>
        <v>-0.30004286326618079</v>
      </c>
      <c r="N181" s="31" t="str">
        <f>+VLOOKUP(C181,'Country &amp; Code Abbreviation'!$C$3:$D$245,2,FALSE)</f>
        <v>MKD</v>
      </c>
    </row>
    <row r="182" spans="2:14" ht="12.75" customHeight="1">
      <c r="B182" s="25" t="s">
        <v>202</v>
      </c>
      <c r="C182" t="str">
        <f>VLOOKUP($B182,Apple!$B$3:$E$176,Apple!C$1,FALSE)</f>
        <v>MG</v>
      </c>
      <c r="D182" t="str">
        <f>VLOOKUP($B182,Apple!$B$3:$E$176,Apple!D$1,FALSE)</f>
        <v>USD</v>
      </c>
      <c r="E182" t="str">
        <f>VLOOKUP($B182,Apple!$B$3:$E$176,Apple!E$1,FALSE)</f>
        <v>USD</v>
      </c>
      <c r="F182" t="s">
        <v>68</v>
      </c>
      <c r="G182" s="128">
        <f>VLOOKUP($B182,Apple!$B$3:$H$176,Apple!F$1,FALSE)</f>
        <v>71.989999999999995</v>
      </c>
      <c r="H182" s="128">
        <f>VLOOKUP($B182,Apple!$B$3:$H$176,Apple!H$1,FALSE)</f>
        <v>53.99</v>
      </c>
      <c r="I182" s="73">
        <f t="shared" si="8"/>
        <v>49.99</v>
      </c>
      <c r="J182" s="73">
        <f t="shared" si="9"/>
        <v>37.99</v>
      </c>
      <c r="K182" s="111">
        <f t="shared" si="10"/>
        <v>-0.3055979997221836</v>
      </c>
      <c r="L182" s="111">
        <f t="shared" si="11"/>
        <v>-0.2963511761437303</v>
      </c>
      <c r="N182" s="31" t="str">
        <f>+VLOOKUP(C182,'Country &amp; Code Abbreviation'!$C$3:$D$245,2,FALSE)</f>
        <v>MDG</v>
      </c>
    </row>
    <row r="183" spans="2:14" ht="12.75" customHeight="1">
      <c r="B183" s="25" t="s">
        <v>203</v>
      </c>
      <c r="C183" t="str">
        <f>VLOOKUP($B183,Apple!$B$3:$E$176,Apple!C$1,FALSE)</f>
        <v>MW</v>
      </c>
      <c r="D183" t="str">
        <f>VLOOKUP($B183,Apple!$B$3:$E$176,Apple!D$1,FALSE)</f>
        <v>MWK</v>
      </c>
      <c r="E183" t="str">
        <f>VLOOKUP($B183,Apple!$B$3:$E$176,Apple!E$1,FALSE)</f>
        <v>USD</v>
      </c>
      <c r="F183" t="s">
        <v>68</v>
      </c>
      <c r="G183" s="128">
        <f>VLOOKUP($B183,Apple!$B$3:$H$176,Apple!F$1,FALSE)</f>
        <v>33.99</v>
      </c>
      <c r="H183" s="128">
        <f>VLOOKUP($B183,Apple!$B$3:$H$176,Apple!H$1,FALSE)</f>
        <v>24.99</v>
      </c>
      <c r="I183" s="73">
        <f t="shared" si="8"/>
        <v>23.99</v>
      </c>
      <c r="J183" s="73">
        <f t="shared" si="9"/>
        <v>16.989999999999998</v>
      </c>
      <c r="K183" s="111">
        <f t="shared" si="10"/>
        <v>-0.29420417769932339</v>
      </c>
      <c r="L183" s="111">
        <f t="shared" si="11"/>
        <v>-0.32012805122048826</v>
      </c>
      <c r="N183" s="31" t="str">
        <f>+VLOOKUP(C183,'Country &amp; Code Abbreviation'!$C$3:$D$245,2,FALSE)</f>
        <v>MWI</v>
      </c>
    </row>
    <row r="184" spans="2:14" ht="12.75" customHeight="1">
      <c r="B184" s="25" t="s">
        <v>204</v>
      </c>
      <c r="C184" t="str">
        <f>VLOOKUP($B184,Apple!$B$3:$E$176,Apple!C$1,FALSE)</f>
        <v>MY</v>
      </c>
      <c r="D184" t="str">
        <f>VLOOKUP($B184,Apple!$B$3:$E$176,Apple!D$1,FALSE)</f>
        <v>MYR</v>
      </c>
      <c r="E184" t="str">
        <f>VLOOKUP($B184,Apple!$B$3:$E$176,Apple!E$1,FALSE)</f>
        <v>MYR</v>
      </c>
      <c r="F184" t="s">
        <v>68</v>
      </c>
      <c r="G184" s="128">
        <f>VLOOKUP($B184,Apple!$B$3:$H$176,Apple!F$1,FALSE)</f>
        <v>389.9</v>
      </c>
      <c r="H184" s="128">
        <f>VLOOKUP($B184,Apple!$B$3:$H$176,Apple!H$1,FALSE)</f>
        <v>319.89999999999998</v>
      </c>
      <c r="I184" s="73">
        <f>+MROUND(G184*0.7,10)-0.1</f>
        <v>269.89999999999998</v>
      </c>
      <c r="J184" s="73">
        <f>+MROUND(H184*0.7,10)-0.1</f>
        <v>219.9</v>
      </c>
      <c r="K184" s="111">
        <f t="shared" si="10"/>
        <v>-0.30777122339061302</v>
      </c>
      <c r="L184" s="111">
        <f t="shared" si="11"/>
        <v>-0.31259768677711774</v>
      </c>
      <c r="N184" s="31" t="str">
        <f>+VLOOKUP(C184,'Country &amp; Code Abbreviation'!$C$3:$D$245,2,FALSE)</f>
        <v>MYS</v>
      </c>
    </row>
    <row r="185" spans="2:14" ht="12.75" customHeight="1">
      <c r="B185" s="25" t="s">
        <v>204</v>
      </c>
      <c r="C185" t="str">
        <f>VLOOKUP($B185,Google!$B$3:$E$176,Google!C$1,FALSE)</f>
        <v>MY</v>
      </c>
      <c r="D185" t="str">
        <f>VLOOKUP($B185,Google!$B$3:$E$176,Google!D$1,FALSE)</f>
        <v>MYR</v>
      </c>
      <c r="E185" t="str">
        <f>VLOOKUP($B185,Google!$B$3:$E$176,Google!E$1,FALSE)</f>
        <v>MYR</v>
      </c>
      <c r="F185" t="s">
        <v>69</v>
      </c>
      <c r="G185" s="128">
        <f>VLOOKUP($B185,Google!$B$3:$H$176,Google!F$1,FALSE)</f>
        <v>389.9</v>
      </c>
      <c r="H185" s="128">
        <f>VLOOKUP($B185,Google!$B$3:$H$176,Google!H$1,FALSE)</f>
        <v>319.89999999999998</v>
      </c>
      <c r="I185" s="73">
        <f>+MROUND(G185*0.7,10)-0.1</f>
        <v>269.89999999999998</v>
      </c>
      <c r="J185" s="73">
        <f>+MROUND(H185*0.7,10)-0.1</f>
        <v>219.9</v>
      </c>
      <c r="K185" s="111">
        <f t="shared" si="10"/>
        <v>-0.30777122339061302</v>
      </c>
      <c r="L185" s="111">
        <f t="shared" si="11"/>
        <v>-0.31259768677711774</v>
      </c>
      <c r="N185" s="31" t="str">
        <f>+VLOOKUP(C185,'Country &amp; Code Abbreviation'!$C$3:$D$245,2,FALSE)</f>
        <v>MYS</v>
      </c>
    </row>
    <row r="186" spans="2:14" ht="12.75" customHeight="1">
      <c r="B186" s="25" t="s">
        <v>205</v>
      </c>
      <c r="C186" t="str">
        <f>VLOOKUP($B186,Apple!$B$3:$E$176,Apple!C$1,FALSE)</f>
        <v>MV</v>
      </c>
      <c r="D186" t="str">
        <f>VLOOKUP($B186,Apple!$B$3:$E$176,Apple!D$1,FALSE)</f>
        <v>MVR</v>
      </c>
      <c r="E186" t="str">
        <f>VLOOKUP($B186,Apple!$B$3:$E$176,Apple!E$1,FALSE)</f>
        <v>USD</v>
      </c>
      <c r="F186" t="s">
        <v>68</v>
      </c>
      <c r="G186" s="128">
        <f>VLOOKUP($B186,Apple!$B$3:$H$176,Apple!F$1,FALSE)</f>
        <v>70.989999999999995</v>
      </c>
      <c r="H186" s="128">
        <f>VLOOKUP($B186,Apple!$B$3:$H$176,Apple!H$1,FALSE)</f>
        <v>52.99</v>
      </c>
      <c r="I186" s="257">
        <f>+MROUND(G186*0.7,1)-0.1</f>
        <v>49.9</v>
      </c>
      <c r="J186" s="257">
        <f>+MROUND(H186*0.7,1)-0.01</f>
        <v>36.99</v>
      </c>
      <c r="K186" s="111">
        <f t="shared" si="10"/>
        <v>-0.29708409635159883</v>
      </c>
      <c r="L186" s="111">
        <f t="shared" si="11"/>
        <v>-0.30194376297414605</v>
      </c>
      <c r="N186" s="31" t="str">
        <f>+VLOOKUP(C186,'Country &amp; Code Abbreviation'!$C$3:$D$245,2,FALSE)</f>
        <v>MDV</v>
      </c>
    </row>
    <row r="187" spans="2:14" ht="12.75" customHeight="1">
      <c r="B187" s="25" t="s">
        <v>205</v>
      </c>
      <c r="C187" t="str">
        <f>VLOOKUP($B187,Google!$B$3:$E$176,Google!C$1,FALSE)</f>
        <v>MV</v>
      </c>
      <c r="D187" t="str">
        <f>VLOOKUP($B187,Google!$B$3:$E$176,Google!D$1,FALSE)</f>
        <v>MVR</v>
      </c>
      <c r="E187" t="str">
        <f>VLOOKUP($B187,Google!$B$3:$E$176,Google!E$1,FALSE)</f>
        <v>USD</v>
      </c>
      <c r="F187" t="s">
        <v>69</v>
      </c>
      <c r="G187" s="128">
        <f>VLOOKUP($B187,Google!$B$3:$H$176,Google!F$1,FALSE)</f>
        <v>70.989999999999995</v>
      </c>
      <c r="H187" s="128">
        <f>VLOOKUP($B187,Google!$B$3:$H$176,Google!H$1,FALSE)</f>
        <v>52.99</v>
      </c>
      <c r="I187" s="73">
        <f t="shared" si="8"/>
        <v>49.99</v>
      </c>
      <c r="J187" s="73">
        <f t="shared" si="9"/>
        <v>36.99</v>
      </c>
      <c r="K187" s="111">
        <f t="shared" si="10"/>
        <v>-0.29581631215664173</v>
      </c>
      <c r="L187" s="111">
        <f t="shared" si="11"/>
        <v>-0.30194376297414605</v>
      </c>
      <c r="N187" s="31" t="str">
        <f>+VLOOKUP(C187,'Country &amp; Code Abbreviation'!$C$3:$D$245,2,FALSE)</f>
        <v>MDV</v>
      </c>
    </row>
    <row r="188" spans="2:14" ht="12.75" customHeight="1">
      <c r="B188" s="25" t="s">
        <v>206</v>
      </c>
      <c r="C188" t="str">
        <f>VLOOKUP($B188,Apple!$B$3:$E$176,Apple!C$1,FALSE)</f>
        <v>ML</v>
      </c>
      <c r="D188" t="str">
        <f>VLOOKUP($B188,Apple!$B$3:$E$176,Apple!D$1,FALSE)</f>
        <v>XOF</v>
      </c>
      <c r="E188" t="str">
        <f>VLOOKUP($B188,Apple!$B$3:$E$176,Apple!E$1,FALSE)</f>
        <v>USD</v>
      </c>
      <c r="F188" t="s">
        <v>68</v>
      </c>
      <c r="G188" s="128">
        <f>VLOOKUP($B188,Apple!$B$3:$H$176,Apple!F$1,FALSE)</f>
        <v>72.989999999999995</v>
      </c>
      <c r="H188" s="128">
        <f>VLOOKUP($B188,Apple!$B$3:$H$176,Apple!H$1,FALSE)</f>
        <v>54.99</v>
      </c>
      <c r="I188" s="73">
        <f t="shared" si="8"/>
        <v>50.99</v>
      </c>
      <c r="J188" s="73">
        <f t="shared" si="9"/>
        <v>37.99</v>
      </c>
      <c r="K188" s="111">
        <f t="shared" si="10"/>
        <v>-0.30141115221263182</v>
      </c>
      <c r="L188" s="111">
        <f t="shared" si="11"/>
        <v>-0.30914711765775593</v>
      </c>
      <c r="N188" s="31" t="str">
        <f>+VLOOKUP(C188,'Country &amp; Code Abbreviation'!$C$3:$D$245,2,FALSE)</f>
        <v>MLI</v>
      </c>
    </row>
    <row r="189" spans="2:14" ht="12.75" customHeight="1">
      <c r="B189" s="225" t="s">
        <v>206</v>
      </c>
      <c r="C189" t="str">
        <f>VLOOKUP($B189,Google!$B$3:$E$176,Google!C$1,FALSE)</f>
        <v>ML</v>
      </c>
      <c r="D189" t="str">
        <f>VLOOKUP($B189,Google!$B$3:$E$176,Google!D$1,FALSE)</f>
        <v>XOF</v>
      </c>
      <c r="E189" t="str">
        <f>VLOOKUP($B189,Google!$B$3:$E$176,Google!E$1,FALSE)</f>
        <v>EUR</v>
      </c>
      <c r="F189" t="s">
        <v>69</v>
      </c>
      <c r="G189" s="128">
        <f>VLOOKUP($B189,Google!$B$3:$H$176,Google!F$1,FALSE)</f>
        <v>66.989999999999995</v>
      </c>
      <c r="H189" s="128">
        <f>VLOOKUP($B189,Google!$B$3:$H$176,Google!H$1,FALSE)</f>
        <v>48.99</v>
      </c>
      <c r="I189" s="73">
        <f t="shared" si="8"/>
        <v>46.99</v>
      </c>
      <c r="J189" s="73">
        <f t="shared" si="9"/>
        <v>33.99</v>
      </c>
      <c r="K189" s="111">
        <f t="shared" si="10"/>
        <v>-0.29855202268995362</v>
      </c>
      <c r="L189" s="111">
        <f t="shared" si="11"/>
        <v>-0.30618493570116345</v>
      </c>
      <c r="N189" s="31" t="str">
        <f>+VLOOKUP(C189,'Country &amp; Code Abbreviation'!$C$3:$D$245,2,FALSE)</f>
        <v>MLI</v>
      </c>
    </row>
    <row r="190" spans="2:14" ht="12.75" customHeight="1">
      <c r="B190" s="25" t="s">
        <v>207</v>
      </c>
      <c r="C190" t="str">
        <f>VLOOKUP($B190,Apple!$B$3:$E$176,Apple!C$1,FALSE)</f>
        <v>MT</v>
      </c>
      <c r="D190" t="str">
        <f>VLOOKUP($B190,Apple!$B$3:$E$176,Apple!D$1,FALSE)</f>
        <v>EUR</v>
      </c>
      <c r="E190" t="str">
        <f>VLOOKUP($B190,Apple!$B$3:$E$176,Apple!E$1,FALSE)</f>
        <v>EUR</v>
      </c>
      <c r="F190" t="s">
        <v>68</v>
      </c>
      <c r="G190" s="128">
        <f>VLOOKUP($B190,Apple!$B$3:$H$176,Apple!F$1,FALSE)</f>
        <v>129.99</v>
      </c>
      <c r="H190" s="128">
        <f>VLOOKUP($B190,Apple!$B$3:$H$176,Apple!H$1,FALSE)</f>
        <v>99.99</v>
      </c>
      <c r="I190" s="251">
        <v>89.99</v>
      </c>
      <c r="J190" s="73">
        <f t="shared" si="9"/>
        <v>69.989999999999995</v>
      </c>
      <c r="K190" s="111">
        <f t="shared" si="10"/>
        <v>-0.30771597815216567</v>
      </c>
      <c r="L190" s="111">
        <f t="shared" si="11"/>
        <v>-0.30003000300030003</v>
      </c>
      <c r="N190" s="31" t="str">
        <f>+VLOOKUP(C190,'Country &amp; Code Abbreviation'!$C$3:$D$245,2,FALSE)</f>
        <v>MLT</v>
      </c>
    </row>
    <row r="191" spans="2:14" ht="12.75" customHeight="1">
      <c r="B191" s="25" t="s">
        <v>207</v>
      </c>
      <c r="C191" t="str">
        <f>VLOOKUP($B191,Google!$B$3:$E$176,Google!C$1,FALSE)</f>
        <v>MT</v>
      </c>
      <c r="D191" t="str">
        <f>VLOOKUP($B191,Google!$B$3:$E$176,Google!D$1,FALSE)</f>
        <v>EUR</v>
      </c>
      <c r="E191" t="str">
        <f>VLOOKUP($B191,Google!$B$3:$E$176,Google!E$1,FALSE)</f>
        <v>EUR</v>
      </c>
      <c r="F191" t="s">
        <v>69</v>
      </c>
      <c r="G191" s="128">
        <f>VLOOKUP($B191,Google!$B$3:$H$176,Google!F$1,FALSE)</f>
        <v>129.99</v>
      </c>
      <c r="H191" s="128">
        <f>VLOOKUP($B191,Google!$B$3:$H$176,Google!H$1,FALSE)</f>
        <v>99.99</v>
      </c>
      <c r="I191" s="251">
        <v>89.99</v>
      </c>
      <c r="J191" s="73">
        <f t="shared" si="9"/>
        <v>69.989999999999995</v>
      </c>
      <c r="K191" s="111">
        <f t="shared" si="10"/>
        <v>-0.30771597815216567</v>
      </c>
      <c r="L191" s="111">
        <f t="shared" si="11"/>
        <v>-0.30003000300030003</v>
      </c>
      <c r="N191" s="31" t="str">
        <f>+VLOOKUP(C191,'Country &amp; Code Abbreviation'!$C$3:$D$245,2,FALSE)</f>
        <v>MLT</v>
      </c>
    </row>
    <row r="192" spans="2:14" ht="12.75" customHeight="1">
      <c r="B192" s="25" t="s">
        <v>210</v>
      </c>
      <c r="C192" t="str">
        <f>VLOOKUP($B192,Apple!$B$3:$E$176,Apple!C$1,FALSE)</f>
        <v>MR</v>
      </c>
      <c r="D192" t="str">
        <f>VLOOKUP($B192,Apple!$B$3:$E$176,Apple!D$1,FALSE)</f>
        <v>USD</v>
      </c>
      <c r="E192" t="str">
        <f>VLOOKUP($B192,Apple!$B$3:$E$176,Apple!E$1,FALSE)</f>
        <v>USD</v>
      </c>
      <c r="F192" t="s">
        <v>68</v>
      </c>
      <c r="G192" s="128">
        <f>VLOOKUP($B192,Apple!$B$3:$H$176,Apple!F$1,FALSE)</f>
        <v>71.989999999999995</v>
      </c>
      <c r="H192" s="128">
        <f>VLOOKUP($B192,Apple!$B$3:$H$176,Apple!H$1,FALSE)</f>
        <v>53.99</v>
      </c>
      <c r="I192" s="73">
        <f t="shared" si="8"/>
        <v>49.99</v>
      </c>
      <c r="J192" s="73">
        <f t="shared" si="9"/>
        <v>37.99</v>
      </c>
      <c r="K192" s="111">
        <f t="shared" si="10"/>
        <v>-0.3055979997221836</v>
      </c>
      <c r="L192" s="111">
        <f t="shared" si="11"/>
        <v>-0.2963511761437303</v>
      </c>
      <c r="N192" s="31" t="str">
        <f>+VLOOKUP(C192,'Country &amp; Code Abbreviation'!$C$3:$D$245,2,FALSE)</f>
        <v>MRT</v>
      </c>
    </row>
    <row r="193" spans="2:14" ht="12.75" customHeight="1">
      <c r="B193" s="25" t="s">
        <v>211</v>
      </c>
      <c r="C193" t="str">
        <f>VLOOKUP($B193,Apple!$B$3:$E$176,Apple!C$1,FALSE)</f>
        <v>MU</v>
      </c>
      <c r="D193" t="str">
        <f>VLOOKUP($B193,Apple!$B$3:$E$176,Apple!D$1,FALSE)</f>
        <v>MUR</v>
      </c>
      <c r="E193" t="str">
        <f>VLOOKUP($B193,Apple!$B$3:$E$176,Apple!E$1,FALSE)</f>
        <v>USD</v>
      </c>
      <c r="F193" t="s">
        <v>68</v>
      </c>
      <c r="G193" s="128">
        <f>VLOOKUP($B193,Apple!$B$3:$H$176,Apple!F$1,FALSE)</f>
        <v>59.99</v>
      </c>
      <c r="H193" s="128">
        <f>VLOOKUP($B193,Apple!$B$3:$H$176,Apple!H$1,FALSE)</f>
        <v>43.99</v>
      </c>
      <c r="I193" s="73">
        <f t="shared" si="8"/>
        <v>41.99</v>
      </c>
      <c r="J193" s="73">
        <f t="shared" si="9"/>
        <v>30.99</v>
      </c>
      <c r="K193" s="111">
        <f t="shared" si="10"/>
        <v>-0.3000500083347224</v>
      </c>
      <c r="L193" s="111">
        <f t="shared" si="11"/>
        <v>-0.29552170947942724</v>
      </c>
      <c r="N193" s="31" t="str">
        <f>+VLOOKUP(C193,'Country &amp; Code Abbreviation'!$C$3:$D$245,2,FALSE)</f>
        <v>MUS</v>
      </c>
    </row>
    <row r="194" spans="2:14" ht="12.75" customHeight="1">
      <c r="B194" s="25" t="s">
        <v>211</v>
      </c>
      <c r="C194" t="str">
        <f>VLOOKUP($B194,Google!$B$3:$E$176,Google!C$1,FALSE)</f>
        <v>MU</v>
      </c>
      <c r="D194" t="str">
        <f>VLOOKUP($B194,Google!$B$3:$E$176,Google!D$1,FALSE)</f>
        <v>MUR</v>
      </c>
      <c r="E194" t="str">
        <f>VLOOKUP($B194,Google!$B$3:$E$176,Google!E$1,FALSE)</f>
        <v>USD</v>
      </c>
      <c r="F194" t="s">
        <v>69</v>
      </c>
      <c r="G194" s="128">
        <f>VLOOKUP($B194,Google!$B$3:$H$176,Google!F$1,FALSE)</f>
        <v>59.99</v>
      </c>
      <c r="H194" s="128">
        <f>VLOOKUP($B194,Google!$B$3:$H$176,Google!H$1,FALSE)</f>
        <v>43.99</v>
      </c>
      <c r="I194" s="73">
        <f t="shared" si="8"/>
        <v>41.99</v>
      </c>
      <c r="J194" s="73">
        <f t="shared" si="9"/>
        <v>30.99</v>
      </c>
      <c r="K194" s="111">
        <f t="shared" si="10"/>
        <v>-0.3000500083347224</v>
      </c>
      <c r="L194" s="111">
        <f t="shared" si="11"/>
        <v>-0.29552170947942724</v>
      </c>
      <c r="N194" s="31" t="str">
        <f>+VLOOKUP(C194,'Country &amp; Code Abbreviation'!$C$3:$D$245,2,FALSE)</f>
        <v>MUS</v>
      </c>
    </row>
    <row r="195" spans="2:14" ht="12.75" customHeight="1">
      <c r="B195" s="25" t="s">
        <v>213</v>
      </c>
      <c r="C195" t="str">
        <f>VLOOKUP($B195,Apple!$B$3:$E$176,Apple!C$1,FALSE)</f>
        <v>MX</v>
      </c>
      <c r="D195" t="str">
        <f>VLOOKUP($B195,Apple!$B$3:$E$176,Apple!D$1,FALSE)</f>
        <v>MXN</v>
      </c>
      <c r="E195" t="str">
        <f>VLOOKUP($B195,Apple!$B$3:$E$176,Apple!E$1,FALSE)</f>
        <v>MXN</v>
      </c>
      <c r="F195" t="s">
        <v>68</v>
      </c>
      <c r="G195" s="128">
        <f>VLOOKUP($B195,Apple!$B$3:$H$176,Apple!F$1,FALSE)</f>
        <v>1990</v>
      </c>
      <c r="H195" s="128">
        <f>VLOOKUP($B195,Apple!$B$3:$H$176,Apple!H$1,FALSE)</f>
        <v>1470</v>
      </c>
      <c r="I195" s="253">
        <f>+MROUND(G195*0.7,10)</f>
        <v>1390</v>
      </c>
      <c r="J195" s="253">
        <f>+MROUND(H195*0.7,10)</f>
        <v>1030</v>
      </c>
      <c r="K195" s="111">
        <f t="shared" si="10"/>
        <v>-0.30150753768844218</v>
      </c>
      <c r="L195" s="111">
        <f t="shared" si="11"/>
        <v>-0.29931972789115646</v>
      </c>
      <c r="N195" s="31" t="str">
        <f>+VLOOKUP(C195,'Country &amp; Code Abbreviation'!$C$3:$D$245,2,FALSE)</f>
        <v>MEX</v>
      </c>
    </row>
    <row r="196" spans="2:14" ht="12.75" customHeight="1">
      <c r="B196" s="25" t="s">
        <v>213</v>
      </c>
      <c r="C196" t="str">
        <f>VLOOKUP($B196,Google!$B$3:$E$176,Google!C$1,FALSE)</f>
        <v>MX</v>
      </c>
      <c r="D196" t="str">
        <f>VLOOKUP($B196,Google!$B$3:$E$176,Google!D$1,FALSE)</f>
        <v>MXN</v>
      </c>
      <c r="E196" t="str">
        <f>VLOOKUP($B196,Google!$B$3:$E$176,Google!E$1,FALSE)</f>
        <v>MXN</v>
      </c>
      <c r="F196" t="s">
        <v>69</v>
      </c>
      <c r="G196" s="128">
        <f>VLOOKUP($B196,Google!$B$3:$H$176,Google!F$1,FALSE)</f>
        <v>1990</v>
      </c>
      <c r="H196" s="128">
        <f>VLOOKUP($B196,Google!$B$3:$H$176,Google!H$1,FALSE)</f>
        <v>1470</v>
      </c>
      <c r="I196" s="253">
        <f>+MROUND(G196*0.7,10)</f>
        <v>1390</v>
      </c>
      <c r="J196" s="253">
        <f>+MROUND(H196*0.7,10)</f>
        <v>1030</v>
      </c>
      <c r="K196" s="111">
        <f t="shared" si="10"/>
        <v>-0.30150753768844218</v>
      </c>
      <c r="L196" s="111">
        <f t="shared" si="11"/>
        <v>-0.29931972789115646</v>
      </c>
      <c r="N196" s="31" t="str">
        <f>+VLOOKUP(C196,'Country &amp; Code Abbreviation'!$C$3:$D$245,2,FALSE)</f>
        <v>MEX</v>
      </c>
    </row>
    <row r="197" spans="2:14" ht="12.75" customHeight="1">
      <c r="B197" s="25" t="s">
        <v>214</v>
      </c>
      <c r="C197" t="str">
        <f>VLOOKUP($B197,Apple!$B$3:$E$176,Apple!C$1,FALSE)</f>
        <v>FM</v>
      </c>
      <c r="D197" t="str">
        <f>VLOOKUP($B197,Apple!$B$3:$E$176,Apple!D$1,FALSE)</f>
        <v>USD</v>
      </c>
      <c r="E197" t="str">
        <f>VLOOKUP($B197,Apple!$B$3:$E$176,Apple!E$1,FALSE)</f>
        <v>USD</v>
      </c>
      <c r="F197" t="s">
        <v>68</v>
      </c>
      <c r="G197" s="128">
        <f>VLOOKUP($B197,Apple!$B$3:$H$176,Apple!F$1,FALSE)</f>
        <v>129.99</v>
      </c>
      <c r="H197" s="128">
        <f>VLOOKUP($B197,Apple!$B$3:$H$176,Apple!H$1,FALSE)</f>
        <v>83.99</v>
      </c>
      <c r="I197" s="251">
        <v>89.99</v>
      </c>
      <c r="J197" s="73">
        <f t="shared" ref="J197:J260" si="12">+MROUND(H197*0.7,1)-0.01</f>
        <v>58.99</v>
      </c>
      <c r="K197" s="111">
        <f t="shared" ref="K197:K260" si="13">I197/G197-1</f>
        <v>-0.30771597815216567</v>
      </c>
      <c r="L197" s="111">
        <f t="shared" ref="L197:L260" si="14">J197/H197-1</f>
        <v>-0.29765448267650907</v>
      </c>
      <c r="N197" s="31" t="str">
        <f>+VLOOKUP(C197,'Country &amp; Code Abbreviation'!$C$3:$D$245,2,FALSE)</f>
        <v>FSM</v>
      </c>
    </row>
    <row r="198" spans="2:14" ht="12.75" customHeight="1">
      <c r="B198" s="25" t="s">
        <v>214</v>
      </c>
      <c r="C198" t="str">
        <f>VLOOKUP($B198,Google!$B$3:$E$176,Google!C$1,FALSE)</f>
        <v>FM</v>
      </c>
      <c r="D198" t="str">
        <f>VLOOKUP($B198,Google!$B$3:$E$176,Google!D$1,FALSE)</f>
        <v>USD</v>
      </c>
      <c r="E198" t="str">
        <f>VLOOKUP($B198,Google!$B$3:$E$176,Google!E$1,FALSE)</f>
        <v>USD</v>
      </c>
      <c r="F198" t="s">
        <v>69</v>
      </c>
      <c r="G198" s="128">
        <f>VLOOKUP($B198,Google!$B$3:$H$176,Google!F$1,FALSE)</f>
        <v>129.99</v>
      </c>
      <c r="H198" s="128">
        <f>VLOOKUP($B198,Google!$B$3:$H$176,Google!H$1,FALSE)</f>
        <v>83.99</v>
      </c>
      <c r="I198" s="251">
        <v>89.99</v>
      </c>
      <c r="J198" s="73">
        <f t="shared" si="12"/>
        <v>58.99</v>
      </c>
      <c r="K198" s="111">
        <f t="shared" si="13"/>
        <v>-0.30771597815216567</v>
      </c>
      <c r="L198" s="111">
        <f t="shared" si="14"/>
        <v>-0.29765448267650907</v>
      </c>
      <c r="N198" s="31" t="str">
        <f>+VLOOKUP(C198,'Country &amp; Code Abbreviation'!$C$3:$D$245,2,FALSE)</f>
        <v>FSM</v>
      </c>
    </row>
    <row r="199" spans="2:14" ht="12.75" customHeight="1">
      <c r="B199" s="25" t="s">
        <v>215</v>
      </c>
      <c r="C199" t="str">
        <f>VLOOKUP($B199,Apple!$B$3:$E$176,Apple!C$1,FALSE)</f>
        <v>MD</v>
      </c>
      <c r="D199" t="str">
        <f>VLOOKUP($B199,Apple!$B$3:$E$176,Apple!D$1,FALSE)</f>
        <v>MDL</v>
      </c>
      <c r="E199" t="str">
        <f>VLOOKUP($B199,Apple!$B$3:$E$176,Apple!E$1,FALSE)</f>
        <v>USD</v>
      </c>
      <c r="F199" t="s">
        <v>68</v>
      </c>
      <c r="G199" s="128">
        <f>VLOOKUP($B199,Apple!$B$3:$H$176,Apple!F$1,FALSE)</f>
        <v>84.99</v>
      </c>
      <c r="H199" s="128">
        <f>VLOOKUP($B199,Apple!$B$3:$H$176,Apple!H$1,FALSE)</f>
        <v>62.99</v>
      </c>
      <c r="I199" s="73">
        <f t="shared" ref="I199:I260" si="15">+MROUND(G199*0.7,1)-0.01</f>
        <v>58.99</v>
      </c>
      <c r="J199" s="73">
        <f t="shared" si="12"/>
        <v>43.99</v>
      </c>
      <c r="K199" s="111">
        <f t="shared" si="13"/>
        <v>-0.30591834333450985</v>
      </c>
      <c r="L199" s="111">
        <f t="shared" si="14"/>
        <v>-0.30163518018733126</v>
      </c>
      <c r="N199" s="31" t="str">
        <f>+VLOOKUP(C199,'Country &amp; Code Abbreviation'!$C$3:$D$245,2,FALSE)</f>
        <v>MDA</v>
      </c>
    </row>
    <row r="200" spans="2:14" ht="12.75" customHeight="1">
      <c r="B200" s="25" t="s">
        <v>215</v>
      </c>
      <c r="C200" t="str">
        <f>VLOOKUP($B200,Google!$B$3:$E$176,Google!C$1,FALSE)</f>
        <v>MD</v>
      </c>
      <c r="D200" t="str">
        <f>VLOOKUP($B200,Google!$B$3:$E$176,Google!D$1,FALSE)</f>
        <v>MDL</v>
      </c>
      <c r="E200" t="str">
        <f>VLOOKUP($B200,Google!$B$3:$E$176,Google!E$1,FALSE)</f>
        <v>USD</v>
      </c>
      <c r="F200" t="s">
        <v>69</v>
      </c>
      <c r="G200" s="128">
        <f>VLOOKUP($B200,Google!$B$3:$H$176,Google!F$1,FALSE)</f>
        <v>84.99</v>
      </c>
      <c r="H200" s="128">
        <f>VLOOKUP($B200,Google!$B$3:$H$176,Google!H$1,FALSE)</f>
        <v>62.99</v>
      </c>
      <c r="I200" s="73">
        <f t="shared" si="15"/>
        <v>58.99</v>
      </c>
      <c r="J200" s="73">
        <f t="shared" si="12"/>
        <v>43.99</v>
      </c>
      <c r="K200" s="111">
        <f t="shared" si="13"/>
        <v>-0.30591834333450985</v>
      </c>
      <c r="L200" s="111">
        <f t="shared" si="14"/>
        <v>-0.30163518018733126</v>
      </c>
      <c r="N200" s="31" t="str">
        <f>+VLOOKUP(C200,'Country &amp; Code Abbreviation'!$C$3:$D$245,2,FALSE)</f>
        <v>MDA</v>
      </c>
    </row>
    <row r="201" spans="2:14" ht="12.75" customHeight="1">
      <c r="B201" s="25" t="s">
        <v>216</v>
      </c>
      <c r="C201" t="str">
        <f>VLOOKUP($B201,Google!$B$3:$E$176,Google!C$1,FALSE)</f>
        <v>MC</v>
      </c>
      <c r="D201" t="str">
        <f>VLOOKUP($B201,Google!$B$3:$E$176,Google!D$1,FALSE)</f>
        <v>EUR</v>
      </c>
      <c r="E201" t="str">
        <f>VLOOKUP($B201,Google!$B$3:$E$176,Google!E$1,FALSE)</f>
        <v>EUR</v>
      </c>
      <c r="F201" t="s">
        <v>69</v>
      </c>
      <c r="G201" s="128">
        <f>VLOOKUP($B201,Google!$B$3:$H$176,Google!F$1,FALSE)</f>
        <v>119.99</v>
      </c>
      <c r="H201" s="128">
        <f>VLOOKUP($B201,Google!$B$3:$H$176,Google!H$1,FALSE)</f>
        <v>89.99</v>
      </c>
      <c r="I201" s="73">
        <f t="shared" si="15"/>
        <v>83.99</v>
      </c>
      <c r="J201" s="73">
        <f t="shared" si="12"/>
        <v>62.99</v>
      </c>
      <c r="K201" s="111">
        <f t="shared" si="13"/>
        <v>-0.30002500208350702</v>
      </c>
      <c r="L201" s="111">
        <f t="shared" si="14"/>
        <v>-0.3000333370374485</v>
      </c>
      <c r="N201" s="31" t="str">
        <f>+VLOOKUP(C201,'Country &amp; Code Abbreviation'!$C$3:$D$245,2,FALSE)</f>
        <v>MCO</v>
      </c>
    </row>
    <row r="202" spans="2:14" ht="12.75" customHeight="1">
      <c r="B202" s="25" t="s">
        <v>217</v>
      </c>
      <c r="C202" t="str">
        <f>VLOOKUP($B202,Apple!$B$3:$E$176,Apple!C$1,FALSE)</f>
        <v>MN</v>
      </c>
      <c r="D202" t="str">
        <f>VLOOKUP($B202,Apple!$B$3:$E$176,Apple!D$1,FALSE)</f>
        <v>MNT</v>
      </c>
      <c r="E202" t="str">
        <f>VLOOKUP($B202,Apple!$B$3:$E$176,Apple!E$1,FALSE)</f>
        <v>USD</v>
      </c>
      <c r="F202" t="s">
        <v>68</v>
      </c>
      <c r="G202" s="128">
        <f>VLOOKUP($B202,Apple!$B$3:$H$176,Apple!F$1,FALSE)</f>
        <v>74.989999999999995</v>
      </c>
      <c r="H202" s="128">
        <f>VLOOKUP($B202,Apple!$B$3:$H$176,Apple!H$1,FALSE)</f>
        <v>54.99</v>
      </c>
      <c r="I202" s="73">
        <f t="shared" si="15"/>
        <v>51.99</v>
      </c>
      <c r="J202" s="73">
        <f t="shared" si="12"/>
        <v>37.99</v>
      </c>
      <c r="K202" s="111">
        <f t="shared" si="13"/>
        <v>-0.30670756100813434</v>
      </c>
      <c r="L202" s="111">
        <f t="shared" si="14"/>
        <v>-0.30914711765775593</v>
      </c>
      <c r="N202" s="31" t="str">
        <f>+VLOOKUP(C202,'Country &amp; Code Abbreviation'!$C$3:$D$245,2,FALSE)</f>
        <v>MNG</v>
      </c>
    </row>
    <row r="203" spans="2:14" ht="12.75" customHeight="1">
      <c r="B203" s="25" t="s">
        <v>218</v>
      </c>
      <c r="C203" t="str">
        <f>VLOOKUP($B203,Apple!$B$3:$E$176,Apple!C$1,FALSE)</f>
        <v>ME</v>
      </c>
      <c r="D203" t="str">
        <f>VLOOKUP($B203,Apple!$B$3:$E$176,Apple!D$1,FALSE)</f>
        <v>EUR</v>
      </c>
      <c r="E203" t="str">
        <f>VLOOKUP($B203,Apple!$B$3:$E$176,Apple!E$1,FALSE)</f>
        <v>EUR</v>
      </c>
      <c r="F203" t="s">
        <v>68</v>
      </c>
      <c r="G203" s="128">
        <f>VLOOKUP($B203,Apple!$B$3:$H$176,Apple!F$1,FALSE)</f>
        <v>79.989999999999995</v>
      </c>
      <c r="H203" s="128">
        <f>VLOOKUP($B203,Apple!$B$3:$H$176,Apple!H$1,FALSE)</f>
        <v>59.99</v>
      </c>
      <c r="I203" s="73">
        <f t="shared" si="15"/>
        <v>55.99</v>
      </c>
      <c r="J203" s="73">
        <f t="shared" si="12"/>
        <v>41.99</v>
      </c>
      <c r="K203" s="111">
        <f t="shared" si="13"/>
        <v>-0.30003750468808599</v>
      </c>
      <c r="L203" s="111">
        <f t="shared" si="14"/>
        <v>-0.3000500083347224</v>
      </c>
      <c r="N203" s="31" t="str">
        <f>+VLOOKUP(C203,'Country &amp; Code Abbreviation'!$C$3:$D$245,2,FALSE)</f>
        <v>MNE</v>
      </c>
    </row>
    <row r="204" spans="2:14" ht="12.75" customHeight="1">
      <c r="B204" s="25" t="s">
        <v>219</v>
      </c>
      <c r="C204" t="str">
        <f>VLOOKUP($B204,Apple!$B$3:$E$176,Apple!C$1,FALSE)</f>
        <v>MS</v>
      </c>
      <c r="D204" t="str">
        <f>VLOOKUP($B204,Apple!$B$3:$E$176,Apple!D$1,FALSE)</f>
        <v>XCD</v>
      </c>
      <c r="E204" t="str">
        <f>VLOOKUP($B204,Apple!$B$3:$E$176,Apple!E$1,FALSE)</f>
        <v>USD</v>
      </c>
      <c r="F204" t="s">
        <v>68</v>
      </c>
      <c r="G204" s="128">
        <f>VLOOKUP($B204,Apple!$B$3:$H$176,Apple!F$1,FALSE)</f>
        <v>99.99</v>
      </c>
      <c r="H204" s="128">
        <f>VLOOKUP($B204,Apple!$B$3:$H$176,Apple!H$1,FALSE)</f>
        <v>72.989999999999995</v>
      </c>
      <c r="I204" s="73">
        <f t="shared" si="15"/>
        <v>69.989999999999995</v>
      </c>
      <c r="J204" s="251">
        <v>49.99</v>
      </c>
      <c r="K204" s="111">
        <f t="shared" si="13"/>
        <v>-0.30003000300030003</v>
      </c>
      <c r="L204" s="111">
        <f t="shared" si="14"/>
        <v>-0.31511165913138783</v>
      </c>
      <c r="N204" s="31" t="str">
        <f>+VLOOKUP(C204,'Country &amp; Code Abbreviation'!$C$3:$D$245,2,FALSE)</f>
        <v>MSR</v>
      </c>
    </row>
    <row r="205" spans="2:14" ht="12.75" customHeight="1">
      <c r="B205" s="25" t="s">
        <v>220</v>
      </c>
      <c r="C205" t="str">
        <f>VLOOKUP($B205,Apple!$B$3:$E$176,Apple!C$1,FALSE)</f>
        <v>MA</v>
      </c>
      <c r="D205" t="str">
        <f>VLOOKUP($B205,Apple!$B$3:$E$176,Apple!D$1,FALSE)</f>
        <v>MAD</v>
      </c>
      <c r="E205" t="str">
        <f>VLOOKUP($B205,Apple!$B$3:$E$176,Apple!E$1,FALSE)</f>
        <v>USD</v>
      </c>
      <c r="F205" t="s">
        <v>68</v>
      </c>
      <c r="G205" s="128">
        <f>VLOOKUP($B205,Apple!$B$3:$H$176,Apple!F$1,FALSE)</f>
        <v>72.989999999999995</v>
      </c>
      <c r="H205" s="128">
        <f>VLOOKUP($B205,Apple!$B$3:$H$176,Apple!H$1,FALSE)</f>
        <v>54.99</v>
      </c>
      <c r="I205" s="251">
        <v>49.99</v>
      </c>
      <c r="J205" s="73">
        <f t="shared" si="12"/>
        <v>37.99</v>
      </c>
      <c r="K205" s="111">
        <f t="shared" si="13"/>
        <v>-0.31511165913138783</v>
      </c>
      <c r="L205" s="111">
        <f t="shared" si="14"/>
        <v>-0.30914711765775593</v>
      </c>
      <c r="N205" s="31" t="str">
        <f>+VLOOKUP(C205,'Country &amp; Code Abbreviation'!$C$3:$D$245,2,FALSE)</f>
        <v>MAR</v>
      </c>
    </row>
    <row r="206" spans="2:14" ht="12.75" customHeight="1">
      <c r="B206" s="25" t="s">
        <v>220</v>
      </c>
      <c r="C206" t="str">
        <f>VLOOKUP($B206,Google!$B$3:$E$176,Google!C$1,FALSE)</f>
        <v>MA</v>
      </c>
      <c r="D206" t="str">
        <f>VLOOKUP($B206,Google!$B$3:$E$176,Google!D$1,FALSE)</f>
        <v>MAD</v>
      </c>
      <c r="E206" t="str">
        <f>VLOOKUP($B206,Google!$B$3:$E$176,Google!E$1,FALSE)</f>
        <v>MAD</v>
      </c>
      <c r="F206" t="s">
        <v>69</v>
      </c>
      <c r="G206" s="128">
        <f>VLOOKUP($B206,Google!$B$3:$H$176,Google!F$1,FALSE)</f>
        <v>720</v>
      </c>
      <c r="H206" s="128">
        <f>VLOOKUP($B206,Google!$B$3:$H$176,Google!H$1,FALSE)</f>
        <v>540</v>
      </c>
      <c r="I206" s="255">
        <f>+MROUND(G206*0.7,10)</f>
        <v>500</v>
      </c>
      <c r="J206" s="255">
        <f>+MROUND(H206*0.7,10)</f>
        <v>380</v>
      </c>
      <c r="K206" s="111">
        <f t="shared" si="13"/>
        <v>-0.30555555555555558</v>
      </c>
      <c r="L206" s="111">
        <f t="shared" si="14"/>
        <v>-0.29629629629629628</v>
      </c>
      <c r="N206" s="31" t="str">
        <f>+VLOOKUP(C206,'Country &amp; Code Abbreviation'!$C$3:$D$245,2,FALSE)</f>
        <v>MAR</v>
      </c>
    </row>
    <row r="207" spans="2:14" ht="12.75" customHeight="1">
      <c r="B207" s="25" t="s">
        <v>221</v>
      </c>
      <c r="C207" t="str">
        <f>VLOOKUP($B207,Apple!$B$3:$E$176,Apple!C$1,FALSE)</f>
        <v>MZ</v>
      </c>
      <c r="D207" t="str">
        <f>VLOOKUP($B207,Apple!$B$3:$E$176,Apple!D$1,FALSE)</f>
        <v>USD</v>
      </c>
      <c r="E207" t="str">
        <f>VLOOKUP($B207,Apple!$B$3:$E$176,Apple!E$1,FALSE)</f>
        <v>USD</v>
      </c>
      <c r="F207" t="s">
        <v>68</v>
      </c>
      <c r="G207" s="128">
        <f>VLOOKUP($B207,Apple!$B$3:$H$176,Apple!F$1,FALSE)</f>
        <v>71.989999999999995</v>
      </c>
      <c r="H207" s="128">
        <f>VLOOKUP($B207,Apple!$B$3:$H$176,Apple!H$1,FALSE)</f>
        <v>53.99</v>
      </c>
      <c r="I207" s="73">
        <f t="shared" si="15"/>
        <v>49.99</v>
      </c>
      <c r="J207" s="73">
        <f t="shared" si="12"/>
        <v>37.99</v>
      </c>
      <c r="K207" s="111">
        <f t="shared" si="13"/>
        <v>-0.3055979997221836</v>
      </c>
      <c r="L207" s="111">
        <f t="shared" si="14"/>
        <v>-0.2963511761437303</v>
      </c>
      <c r="N207" s="31" t="str">
        <f>+VLOOKUP(C207,'Country &amp; Code Abbreviation'!$C$3:$D$245,2,FALSE)</f>
        <v>MOZ</v>
      </c>
    </row>
    <row r="208" spans="2:14" ht="12.75" customHeight="1">
      <c r="B208" s="25" t="s">
        <v>221</v>
      </c>
      <c r="C208" t="str">
        <f>VLOOKUP($B208,Google!$B$3:$E$176,Google!C$1,FALSE)</f>
        <v>MZ</v>
      </c>
      <c r="D208" t="str">
        <f>VLOOKUP($B208,Google!$B$3:$E$176,Google!D$1,FALSE)</f>
        <v>USD</v>
      </c>
      <c r="E208" t="str">
        <f>VLOOKUP($B208,Google!$B$3:$E$176,Google!E$1,FALSE)</f>
        <v>USD</v>
      </c>
      <c r="F208" t="s">
        <v>69</v>
      </c>
      <c r="G208" s="128">
        <f>VLOOKUP($B208,Google!$B$3:$H$176,Google!F$1,FALSE)</f>
        <v>71.989999999999995</v>
      </c>
      <c r="H208" s="128">
        <f>VLOOKUP($B208,Google!$B$3:$H$176,Google!H$1,FALSE)</f>
        <v>53.99</v>
      </c>
      <c r="I208" s="73">
        <f t="shared" si="15"/>
        <v>49.99</v>
      </c>
      <c r="J208" s="73">
        <f t="shared" si="12"/>
        <v>37.99</v>
      </c>
      <c r="K208" s="111">
        <f t="shared" si="13"/>
        <v>-0.3055979997221836</v>
      </c>
      <c r="L208" s="111">
        <f t="shared" si="14"/>
        <v>-0.2963511761437303</v>
      </c>
      <c r="N208" s="31" t="str">
        <f>+VLOOKUP(C208,'Country &amp; Code Abbreviation'!$C$3:$D$245,2,FALSE)</f>
        <v>MOZ</v>
      </c>
    </row>
    <row r="209" spans="2:14" ht="12.75" customHeight="1">
      <c r="B209" s="25" t="s">
        <v>222</v>
      </c>
      <c r="C209" t="str">
        <f>VLOOKUP($B209,Apple!$B$3:$E$176,Apple!C$1,FALSE)</f>
        <v>MM</v>
      </c>
      <c r="D209" t="str">
        <f>VLOOKUP($B209,Apple!$B$3:$E$176,Apple!D$1,FALSE)</f>
        <v>MMK</v>
      </c>
      <c r="E209" t="str">
        <f>VLOOKUP($B209,Apple!$B$3:$E$176,Apple!E$1,FALSE)</f>
        <v>USD</v>
      </c>
      <c r="F209" t="s">
        <v>68</v>
      </c>
      <c r="G209" s="128">
        <f>VLOOKUP($B209,Apple!$B$3:$H$176,Apple!F$1,FALSE)</f>
        <v>64.989999999999995</v>
      </c>
      <c r="H209" s="128">
        <f>VLOOKUP($B209,Apple!$B$3:$H$176,Apple!H$1,FALSE)</f>
        <v>49.99</v>
      </c>
      <c r="I209" s="73">
        <f t="shared" si="15"/>
        <v>44.99</v>
      </c>
      <c r="J209" s="73">
        <f t="shared" si="12"/>
        <v>34.99</v>
      </c>
      <c r="K209" s="111">
        <f t="shared" si="13"/>
        <v>-0.30773965225419286</v>
      </c>
      <c r="L209" s="111">
        <f t="shared" si="14"/>
        <v>-0.30006001200240051</v>
      </c>
      <c r="N209" s="31" t="str">
        <f>+VLOOKUP(C209,'Country &amp; Code Abbreviation'!$C$3:$D$245,2,FALSE)</f>
        <v>MMR</v>
      </c>
    </row>
    <row r="210" spans="2:14" ht="12.75" customHeight="1">
      <c r="B210" s="25" t="s">
        <v>222</v>
      </c>
      <c r="C210" t="str">
        <f>VLOOKUP($B210,Google!$B$3:$E$176,Google!C$1,FALSE)</f>
        <v>MM</v>
      </c>
      <c r="D210" t="str">
        <f>VLOOKUP($B210,Google!$B$3:$E$176,Google!D$1,FALSE)</f>
        <v>MMK</v>
      </c>
      <c r="E210" t="str">
        <f>VLOOKUP($B210,Google!$B$3:$E$176,Google!E$1,FALSE)</f>
        <v>MMK</v>
      </c>
      <c r="F210" t="s">
        <v>69</v>
      </c>
      <c r="G210" s="128">
        <f>VLOOKUP($B210,Google!$B$3:$H$176,Google!F$1,FALSE)</f>
        <v>129600</v>
      </c>
      <c r="H210" s="128">
        <f>VLOOKUP($B210,Google!$B$3:$H$176,Google!H$1,FALSE)</f>
        <v>96000</v>
      </c>
      <c r="I210" s="253">
        <f>+MROUND(G210*0.7,100)</f>
        <v>90700</v>
      </c>
      <c r="J210" s="253">
        <f>+MROUND(H210*0.7,100)</f>
        <v>67200</v>
      </c>
      <c r="K210" s="111">
        <f t="shared" si="13"/>
        <v>-0.30015432098765427</v>
      </c>
      <c r="L210" s="111">
        <f t="shared" si="14"/>
        <v>-0.30000000000000004</v>
      </c>
      <c r="N210" s="31" t="str">
        <f>+VLOOKUP(C210,'Country &amp; Code Abbreviation'!$C$3:$D$245,2,FALSE)</f>
        <v>MMR</v>
      </c>
    </row>
    <row r="211" spans="2:14" ht="12.75" customHeight="1">
      <c r="B211" s="25" t="s">
        <v>223</v>
      </c>
      <c r="C211" t="str">
        <f>VLOOKUP($B211,Apple!$B$3:$E$176,Apple!C$1,FALSE)</f>
        <v>NA</v>
      </c>
      <c r="D211" t="str">
        <f>VLOOKUP($B211,Apple!$B$3:$E$176,Apple!D$1,FALSE)</f>
        <v>NAD</v>
      </c>
      <c r="E211" t="str">
        <f>VLOOKUP($B211,Apple!$B$3:$E$176,Apple!E$1,FALSE)</f>
        <v>USD</v>
      </c>
      <c r="F211" t="s">
        <v>68</v>
      </c>
      <c r="G211" s="128">
        <f>VLOOKUP($B211,Apple!$B$3:$H$176,Apple!F$1,FALSE)</f>
        <v>52.99</v>
      </c>
      <c r="H211" s="128">
        <f>VLOOKUP($B211,Apple!$B$3:$H$176,Apple!H$1,FALSE)</f>
        <v>38.99</v>
      </c>
      <c r="I211" s="73">
        <f t="shared" si="15"/>
        <v>36.99</v>
      </c>
      <c r="J211" s="73">
        <f t="shared" si="12"/>
        <v>26.99</v>
      </c>
      <c r="K211" s="111">
        <f t="shared" si="13"/>
        <v>-0.30194376297414605</v>
      </c>
      <c r="L211" s="111">
        <f t="shared" si="14"/>
        <v>-0.30777122339061302</v>
      </c>
      <c r="N211" s="31" t="str">
        <f>+VLOOKUP(C211,'Country &amp; Code Abbreviation'!$C$3:$D$245,2,FALSE)</f>
        <v>NAM</v>
      </c>
    </row>
    <row r="212" spans="2:14" ht="12.75" customHeight="1">
      <c r="B212" s="25" t="s">
        <v>223</v>
      </c>
      <c r="C212" t="str">
        <f>VLOOKUP($B212,Google!$B$3:$E$176,Google!C$1,FALSE)</f>
        <v>NA</v>
      </c>
      <c r="D212" t="str">
        <f>VLOOKUP($B212,Google!$B$3:$E$176,Google!D$1,FALSE)</f>
        <v>NAD</v>
      </c>
      <c r="E212" t="str">
        <f>VLOOKUP($B212,Google!$B$3:$E$176,Google!E$1,FALSE)</f>
        <v>USD</v>
      </c>
      <c r="F212" t="s">
        <v>69</v>
      </c>
      <c r="G212" s="128">
        <f>VLOOKUP($B212,Google!$B$3:$H$176,Google!F$1,FALSE)</f>
        <v>52.99</v>
      </c>
      <c r="H212" s="128">
        <f>VLOOKUP($B212,Google!$B$3:$H$176,Google!H$1,FALSE)</f>
        <v>38.99</v>
      </c>
      <c r="I212" s="73">
        <f t="shared" si="15"/>
        <v>36.99</v>
      </c>
      <c r="J212" s="73">
        <f t="shared" si="12"/>
        <v>26.99</v>
      </c>
      <c r="K212" s="111">
        <f t="shared" si="13"/>
        <v>-0.30194376297414605</v>
      </c>
      <c r="L212" s="111">
        <f t="shared" si="14"/>
        <v>-0.30777122339061302</v>
      </c>
      <c r="N212" s="31" t="str">
        <f>+VLOOKUP(C212,'Country &amp; Code Abbreviation'!$C$3:$D$245,2,FALSE)</f>
        <v>NAM</v>
      </c>
    </row>
    <row r="213" spans="2:14" ht="12.75" customHeight="1">
      <c r="B213" s="25" t="s">
        <v>224</v>
      </c>
      <c r="C213" t="str">
        <f>VLOOKUP($B213,Apple!$B$3:$E$176,Apple!C$1,FALSE)</f>
        <v>NR</v>
      </c>
      <c r="D213" t="str">
        <f>VLOOKUP($B213,Apple!$B$3:$E$176,Apple!D$1,FALSE)</f>
        <v>AUD</v>
      </c>
      <c r="E213" t="str">
        <f>VLOOKUP($B213,Apple!$B$3:$E$176,Apple!E$1,FALSE)</f>
        <v>USD</v>
      </c>
      <c r="F213" t="s">
        <v>68</v>
      </c>
      <c r="G213" s="128">
        <f>VLOOKUP($B213,Apple!$B$3:$H$176,Apple!F$1,FALSE)</f>
        <v>74.989999999999995</v>
      </c>
      <c r="H213" s="128">
        <f>VLOOKUP($B213,Apple!$B$3:$H$176,Apple!H$1,FALSE)</f>
        <v>52.99</v>
      </c>
      <c r="I213" s="73">
        <f t="shared" si="15"/>
        <v>51.99</v>
      </c>
      <c r="J213" s="73">
        <f t="shared" si="12"/>
        <v>36.99</v>
      </c>
      <c r="K213" s="111">
        <f t="shared" si="13"/>
        <v>-0.30670756100813434</v>
      </c>
      <c r="L213" s="111">
        <f t="shared" si="14"/>
        <v>-0.30194376297414605</v>
      </c>
      <c r="N213" s="31" t="str">
        <f>+VLOOKUP(C213,'Country &amp; Code Abbreviation'!$C$3:$D$245,2,FALSE)</f>
        <v>NRU</v>
      </c>
    </row>
    <row r="214" spans="2:14" ht="12.75" customHeight="1">
      <c r="B214" s="25" t="s">
        <v>225</v>
      </c>
      <c r="C214" t="str">
        <f>VLOOKUP($B214,Apple!$B$3:$E$176,Apple!C$1,FALSE)</f>
        <v>NP</v>
      </c>
      <c r="D214" t="str">
        <f>VLOOKUP($B214,Apple!$B$3:$E$176,Apple!D$1,FALSE)</f>
        <v>NPR</v>
      </c>
      <c r="E214" t="str">
        <f>VLOOKUP($B214,Apple!$B$3:$E$176,Apple!E$1,FALSE)</f>
        <v>USD</v>
      </c>
      <c r="F214" t="s">
        <v>68</v>
      </c>
      <c r="G214" s="128">
        <f>VLOOKUP($B214,Apple!$B$3:$H$176,Apple!F$1,FALSE)</f>
        <v>78.989999999999995</v>
      </c>
      <c r="H214" s="128">
        <f>VLOOKUP($B214,Apple!$B$3:$H$176,Apple!H$1,FALSE)</f>
        <v>57.99</v>
      </c>
      <c r="I214" s="73">
        <f t="shared" si="15"/>
        <v>54.99</v>
      </c>
      <c r="J214" s="251">
        <v>39.99</v>
      </c>
      <c r="K214" s="111">
        <f t="shared" si="13"/>
        <v>-0.30383592859855668</v>
      </c>
      <c r="L214" s="111">
        <f t="shared" si="14"/>
        <v>-0.31039834454216242</v>
      </c>
      <c r="N214" s="31" t="str">
        <f>+VLOOKUP(C214,'Country &amp; Code Abbreviation'!$C$3:$D$245,2,FALSE)</f>
        <v>NPL</v>
      </c>
    </row>
    <row r="215" spans="2:14" ht="12.75" customHeight="1">
      <c r="B215" s="25" t="s">
        <v>225</v>
      </c>
      <c r="C215" t="str">
        <f>VLOOKUP($B215,Google!$B$3:$E$176,Google!C$1,FALSE)</f>
        <v>NP</v>
      </c>
      <c r="D215" t="str">
        <f>VLOOKUP($B215,Google!$B$3:$E$176,Google!D$1,FALSE)</f>
        <v>NPR</v>
      </c>
      <c r="E215" t="str">
        <f>VLOOKUP($B215,Google!$B$3:$E$176,Google!E$1,FALSE)</f>
        <v>USD</v>
      </c>
      <c r="F215" t="s">
        <v>69</v>
      </c>
      <c r="G215" s="128">
        <f>VLOOKUP($B215,Google!$B$3:$H$176,Google!F$1,FALSE)</f>
        <v>78.989999999999995</v>
      </c>
      <c r="H215" s="128">
        <f>VLOOKUP($B215,Google!$B$3:$H$176,Google!H$1,FALSE)</f>
        <v>57.99</v>
      </c>
      <c r="I215" s="73">
        <f t="shared" si="15"/>
        <v>54.99</v>
      </c>
      <c r="J215" s="251">
        <v>39.99</v>
      </c>
      <c r="K215" s="111">
        <f t="shared" si="13"/>
        <v>-0.30383592859855668</v>
      </c>
      <c r="L215" s="111">
        <f t="shared" si="14"/>
        <v>-0.31039834454216242</v>
      </c>
      <c r="N215" s="31" t="str">
        <f>+VLOOKUP(C215,'Country &amp; Code Abbreviation'!$C$3:$D$245,2,FALSE)</f>
        <v>NPL</v>
      </c>
    </row>
    <row r="216" spans="2:14" ht="12.75" customHeight="1">
      <c r="B216" s="25" t="s">
        <v>226</v>
      </c>
      <c r="C216" t="str">
        <f>VLOOKUP($B216,Apple!$B$3:$E$176,Apple!C$1,FALSE)</f>
        <v>NL</v>
      </c>
      <c r="D216" t="str">
        <f>VLOOKUP($B216,Apple!$B$3:$E$176,Apple!D$1,FALSE)</f>
        <v>EUR</v>
      </c>
      <c r="E216" t="str">
        <f>VLOOKUP($B216,Apple!$B$3:$E$176,Apple!E$1,FALSE)</f>
        <v>EUR</v>
      </c>
      <c r="F216" t="s">
        <v>68</v>
      </c>
      <c r="G216" s="128">
        <f>VLOOKUP($B216,Apple!$B$3:$H$176,Apple!F$1,FALSE)</f>
        <v>149.99</v>
      </c>
      <c r="H216" s="128">
        <f>VLOOKUP($B216,Apple!$B$3:$H$176,Apple!H$1,FALSE)</f>
        <v>109.99</v>
      </c>
      <c r="I216" s="73">
        <f t="shared" si="15"/>
        <v>104.99</v>
      </c>
      <c r="J216" s="73">
        <f t="shared" si="12"/>
        <v>76.989999999999995</v>
      </c>
      <c r="K216" s="111">
        <f t="shared" si="13"/>
        <v>-0.30002000133342233</v>
      </c>
      <c r="L216" s="111">
        <f t="shared" si="14"/>
        <v>-0.30002727520683703</v>
      </c>
      <c r="N216" s="31" t="str">
        <f>+VLOOKUP(C216,'Country &amp; Code Abbreviation'!$C$3:$D$245,2,FALSE)</f>
        <v>NLD</v>
      </c>
    </row>
    <row r="217" spans="2:14" ht="12.75" customHeight="1">
      <c r="B217" s="25" t="s">
        <v>226</v>
      </c>
      <c r="C217" t="str">
        <f>VLOOKUP($B217,Google!$B$3:$E$176,Google!C$1,FALSE)</f>
        <v>NL</v>
      </c>
      <c r="D217" t="str">
        <f>VLOOKUP($B217,Google!$B$3:$E$176,Google!D$1,FALSE)</f>
        <v>EUR</v>
      </c>
      <c r="E217" t="str">
        <f>VLOOKUP($B217,Google!$B$3:$E$176,Google!E$1,FALSE)</f>
        <v>EUR</v>
      </c>
      <c r="F217" t="s">
        <v>69</v>
      </c>
      <c r="G217" s="128">
        <f>VLOOKUP($B217,Google!$B$3:$H$176,Google!F$1,FALSE)</f>
        <v>149.99</v>
      </c>
      <c r="H217" s="128">
        <f>VLOOKUP($B217,Google!$B$3:$H$176,Google!H$1,FALSE)</f>
        <v>109.99</v>
      </c>
      <c r="I217" s="73">
        <f t="shared" si="15"/>
        <v>104.99</v>
      </c>
      <c r="J217" s="73">
        <f t="shared" si="12"/>
        <v>76.989999999999995</v>
      </c>
      <c r="K217" s="111">
        <f t="shared" si="13"/>
        <v>-0.30002000133342233</v>
      </c>
      <c r="L217" s="111">
        <f t="shared" si="14"/>
        <v>-0.30002727520683703</v>
      </c>
      <c r="N217" s="31" t="str">
        <f>+VLOOKUP(C217,'Country &amp; Code Abbreviation'!$C$3:$D$245,2,FALSE)</f>
        <v>NLD</v>
      </c>
    </row>
    <row r="218" spans="2:14" ht="12.75" customHeight="1">
      <c r="B218" s="25" t="s">
        <v>229</v>
      </c>
      <c r="C218" t="str">
        <f>VLOOKUP($B218,Apple!$B$3:$E$176,Apple!C$1,FALSE)</f>
        <v>NZ</v>
      </c>
      <c r="D218" t="str">
        <f>VLOOKUP($B218,Apple!$B$3:$E$176,Apple!D$1,FALSE)</f>
        <v>NZD</v>
      </c>
      <c r="E218" t="str">
        <f>VLOOKUP($B218,Apple!$B$3:$E$176,Apple!E$1,FALSE)</f>
        <v>NZD</v>
      </c>
      <c r="F218" t="s">
        <v>68</v>
      </c>
      <c r="G218" s="128">
        <f>VLOOKUP($B218,Apple!$B$3:$H$176,Apple!F$1,FALSE)</f>
        <v>219.99</v>
      </c>
      <c r="H218" s="128">
        <f>VLOOKUP($B218,Apple!$B$3:$H$176,Apple!H$1,FALSE)</f>
        <v>159.99</v>
      </c>
      <c r="I218" s="73">
        <f t="shared" si="15"/>
        <v>153.99</v>
      </c>
      <c r="J218" s="73">
        <f t="shared" si="12"/>
        <v>111.99</v>
      </c>
      <c r="K218" s="111">
        <f t="shared" si="13"/>
        <v>-0.30001363698349925</v>
      </c>
      <c r="L218" s="111">
        <f t="shared" si="14"/>
        <v>-0.30001875117194832</v>
      </c>
      <c r="N218" s="31" t="str">
        <f>+VLOOKUP(C218,'Country &amp; Code Abbreviation'!$C$3:$D$245,2,FALSE)</f>
        <v>NZL</v>
      </c>
    </row>
    <row r="219" spans="2:14" ht="12.75" customHeight="1">
      <c r="B219" s="25" t="s">
        <v>229</v>
      </c>
      <c r="C219" t="str">
        <f>VLOOKUP($B219,Google!$B$3:$E$176,Google!C$1,FALSE)</f>
        <v>NZ</v>
      </c>
      <c r="D219" t="str">
        <f>VLOOKUP($B219,Google!$B$3:$E$176,Google!D$1,FALSE)</f>
        <v>NZD</v>
      </c>
      <c r="E219" t="str">
        <f>VLOOKUP($B219,Google!$B$3:$E$176,Google!E$1,FALSE)</f>
        <v>NZD</v>
      </c>
      <c r="F219" t="s">
        <v>69</v>
      </c>
      <c r="G219" s="128">
        <f>VLOOKUP($B219,Google!$B$3:$H$176,Google!F$1,FALSE)</f>
        <v>219.99</v>
      </c>
      <c r="H219" s="128">
        <f>VLOOKUP($B219,Google!$B$3:$H$176,Google!H$1,FALSE)</f>
        <v>159.99</v>
      </c>
      <c r="I219" s="73">
        <f t="shared" si="15"/>
        <v>153.99</v>
      </c>
      <c r="J219" s="73">
        <f t="shared" si="12"/>
        <v>111.99</v>
      </c>
      <c r="K219" s="111">
        <f t="shared" si="13"/>
        <v>-0.30001363698349925</v>
      </c>
      <c r="L219" s="111">
        <f t="shared" si="14"/>
        <v>-0.30001875117194832</v>
      </c>
      <c r="N219" s="31" t="str">
        <f>+VLOOKUP(C219,'Country &amp; Code Abbreviation'!$C$3:$D$245,2,FALSE)</f>
        <v>NZL</v>
      </c>
    </row>
    <row r="220" spans="2:14" ht="12.75" customHeight="1">
      <c r="B220" s="25" t="s">
        <v>230</v>
      </c>
      <c r="C220" t="str">
        <f>VLOOKUP($B220,Apple!$B$3:$E$176,Apple!C$1,FALSE)</f>
        <v>NI</v>
      </c>
      <c r="D220" t="str">
        <f>VLOOKUP($B220,Apple!$B$3:$E$176,Apple!D$1,FALSE)</f>
        <v>NIO</v>
      </c>
      <c r="E220" t="str">
        <f>VLOOKUP($B220,Apple!$B$3:$E$176,Apple!E$1,FALSE)</f>
        <v>USD</v>
      </c>
      <c r="F220" t="s">
        <v>68</v>
      </c>
      <c r="G220" s="128">
        <f>VLOOKUP($B220,Apple!$B$3:$H$176,Apple!F$1,FALSE)</f>
        <v>81.99</v>
      </c>
      <c r="H220" s="128">
        <f>VLOOKUP($B220,Apple!$B$3:$H$176,Apple!H$1,FALSE)</f>
        <v>59.99</v>
      </c>
      <c r="I220" s="73">
        <f t="shared" si="15"/>
        <v>56.99</v>
      </c>
      <c r="J220" s="73">
        <f t="shared" si="12"/>
        <v>41.99</v>
      </c>
      <c r="K220" s="111">
        <f t="shared" si="13"/>
        <v>-0.30491523356506889</v>
      </c>
      <c r="L220" s="111">
        <f t="shared" si="14"/>
        <v>-0.3000500083347224</v>
      </c>
      <c r="N220" s="31" t="str">
        <f>+VLOOKUP(C220,'Country &amp; Code Abbreviation'!$C$3:$D$245,2,FALSE)</f>
        <v>NIC</v>
      </c>
    </row>
    <row r="221" spans="2:14" ht="12.75" customHeight="1">
      <c r="B221" s="25" t="s">
        <v>230</v>
      </c>
      <c r="C221" t="str">
        <f>VLOOKUP($B221,Google!$B$3:$E$176,Google!C$1,FALSE)</f>
        <v>NI</v>
      </c>
      <c r="D221" t="str">
        <f>VLOOKUP($B221,Google!$B$3:$E$176,Google!D$1,FALSE)</f>
        <v>NIO</v>
      </c>
      <c r="E221" t="str">
        <f>VLOOKUP($B221,Google!$B$3:$E$176,Google!E$1,FALSE)</f>
        <v>USD</v>
      </c>
      <c r="F221" t="s">
        <v>69</v>
      </c>
      <c r="G221" s="128">
        <f>VLOOKUP($B221,Google!$B$3:$H$176,Google!F$1,FALSE)</f>
        <v>81.99</v>
      </c>
      <c r="H221" s="128">
        <f>VLOOKUP($B221,Google!$B$3:$H$176,Google!H$1,FALSE)</f>
        <v>59.99</v>
      </c>
      <c r="I221" s="73">
        <f t="shared" si="15"/>
        <v>56.99</v>
      </c>
      <c r="J221" s="73">
        <f t="shared" si="12"/>
        <v>41.99</v>
      </c>
      <c r="K221" s="111">
        <f t="shared" si="13"/>
        <v>-0.30491523356506889</v>
      </c>
      <c r="L221" s="111">
        <f t="shared" si="14"/>
        <v>-0.3000500083347224</v>
      </c>
      <c r="N221" s="31" t="str">
        <f>+VLOOKUP(C221,'Country &amp; Code Abbreviation'!$C$3:$D$245,2,FALSE)</f>
        <v>NIC</v>
      </c>
    </row>
    <row r="222" spans="2:14" ht="12.75" customHeight="1">
      <c r="B222" s="25" t="s">
        <v>231</v>
      </c>
      <c r="C222" t="str">
        <f>VLOOKUP($B222,Apple!$B$3:$E$176,Apple!C$1,FALSE)</f>
        <v>NE</v>
      </c>
      <c r="D222" t="str">
        <f>VLOOKUP($B222,Apple!$B$3:$E$176,Apple!D$1,FALSE)</f>
        <v>XOF</v>
      </c>
      <c r="E222" t="str">
        <f>VLOOKUP($B222,Apple!$B$3:$E$176,Apple!E$1,FALSE)</f>
        <v>USD</v>
      </c>
      <c r="F222" t="s">
        <v>68</v>
      </c>
      <c r="G222" s="128">
        <f>VLOOKUP($B222,Apple!$B$3:$H$176,Apple!F$1,FALSE)</f>
        <v>72.989999999999995</v>
      </c>
      <c r="H222" s="128">
        <f>VLOOKUP($B222,Apple!$B$3:$H$176,Apple!H$1,FALSE)</f>
        <v>54.99</v>
      </c>
      <c r="I222" s="251">
        <v>49.99</v>
      </c>
      <c r="J222" s="73">
        <f t="shared" si="12"/>
        <v>37.99</v>
      </c>
      <c r="K222" s="111">
        <f t="shared" si="13"/>
        <v>-0.31511165913138783</v>
      </c>
      <c r="L222" s="111">
        <f t="shared" si="14"/>
        <v>-0.30914711765775593</v>
      </c>
      <c r="N222" s="31" t="str">
        <f>+VLOOKUP(C222,'Country &amp; Code Abbreviation'!$C$3:$D$245,2,FALSE)</f>
        <v>NER</v>
      </c>
    </row>
    <row r="223" spans="2:14" ht="12.75" customHeight="1">
      <c r="B223" s="225" t="s">
        <v>231</v>
      </c>
      <c r="C223" t="str">
        <f>VLOOKUP($B223,Google!$B$3:$E$176,Google!C$1,FALSE)</f>
        <v>NE</v>
      </c>
      <c r="D223" t="str">
        <f>VLOOKUP($B223,Google!$B$3:$E$176,Google!D$1,FALSE)</f>
        <v>XOF</v>
      </c>
      <c r="E223" t="str">
        <f>VLOOKUP($B223,Google!$B$3:$E$176,Google!E$1,FALSE)</f>
        <v>EUR</v>
      </c>
      <c r="F223" t="s">
        <v>69</v>
      </c>
      <c r="G223" s="128">
        <f>VLOOKUP($B223,Google!$B$3:$H$176,Google!F$1,FALSE)</f>
        <v>66.989999999999995</v>
      </c>
      <c r="H223" s="128">
        <f>VLOOKUP($B223,Google!$B$3:$H$176,Google!H$1,FALSE)</f>
        <v>48.99</v>
      </c>
      <c r="I223" s="73">
        <f t="shared" si="15"/>
        <v>46.99</v>
      </c>
      <c r="J223" s="73">
        <f t="shared" si="12"/>
        <v>33.99</v>
      </c>
      <c r="K223" s="111">
        <f t="shared" si="13"/>
        <v>-0.29855202268995362</v>
      </c>
      <c r="L223" s="111">
        <f t="shared" si="14"/>
        <v>-0.30618493570116345</v>
      </c>
      <c r="N223" s="31" t="str">
        <f>+VLOOKUP(C223,'Country &amp; Code Abbreviation'!$C$3:$D$245,2,FALSE)</f>
        <v>NER</v>
      </c>
    </row>
    <row r="224" spans="2:14" ht="12.75" customHeight="1">
      <c r="B224" s="226" t="s">
        <v>232</v>
      </c>
      <c r="C224" t="str">
        <f>VLOOKUP($B224,Apple!$B$3:$E$176,Apple!C$1,FALSE)</f>
        <v>NG</v>
      </c>
      <c r="D224" t="str">
        <f>VLOOKUP($B224,Apple!$B$3:$E$176,Apple!D$1,FALSE)</f>
        <v>NGN</v>
      </c>
      <c r="E224" t="str">
        <f>VLOOKUP($B224,Apple!$B$3:$E$176,Apple!E$1,FALSE)</f>
        <v>NGN</v>
      </c>
      <c r="F224" t="s">
        <v>68</v>
      </c>
      <c r="G224" s="128">
        <f>VLOOKUP($B224,Apple!$B$3:$H$176,Apple!F$1,FALSE)</f>
        <v>48900</v>
      </c>
      <c r="H224" s="128">
        <f>VLOOKUP($B224,Apple!$B$3:$H$176,Apple!H$1,FALSE)</f>
        <v>36500</v>
      </c>
      <c r="I224" s="253">
        <f>+MROUND(G224*0.7,100)</f>
        <v>34200</v>
      </c>
      <c r="J224" s="253">
        <f>+MROUND(H224*0.7,100)</f>
        <v>25600</v>
      </c>
      <c r="K224" s="111">
        <f t="shared" si="13"/>
        <v>-0.30061349693251538</v>
      </c>
      <c r="L224" s="111">
        <f t="shared" si="14"/>
        <v>-0.29863013698630136</v>
      </c>
      <c r="N224" s="31" t="str">
        <f>+VLOOKUP(C224,'Country &amp; Code Abbreviation'!$C$3:$D$245,2,FALSE)</f>
        <v>NGA</v>
      </c>
    </row>
    <row r="225" spans="2:14" ht="12.75" customHeight="1">
      <c r="B225" s="226" t="s">
        <v>232</v>
      </c>
      <c r="C225" t="str">
        <f>VLOOKUP($B225,Google!$B$3:$E$176,Google!C$1,FALSE)</f>
        <v>NG</v>
      </c>
      <c r="D225" t="str">
        <f>VLOOKUP($B225,Google!$B$3:$E$176,Google!D$1,FALSE)</f>
        <v>NGN</v>
      </c>
      <c r="E225" t="str">
        <f>VLOOKUP($B225,Google!$B$3:$E$176,Google!E$1,FALSE)</f>
        <v>NGN</v>
      </c>
      <c r="F225" t="s">
        <v>69</v>
      </c>
      <c r="G225" s="128">
        <f>VLOOKUP($B225,Google!$B$3:$H$176,Google!F$1,FALSE)</f>
        <v>48900</v>
      </c>
      <c r="H225" s="128">
        <f>VLOOKUP($B225,Google!$B$3:$H$176,Google!H$1,FALSE)</f>
        <v>36500</v>
      </c>
      <c r="I225" s="253">
        <f>+MROUND(G225*0.7,100)</f>
        <v>34200</v>
      </c>
      <c r="J225" s="253">
        <f>+MROUND(H225*0.7,100)</f>
        <v>25600</v>
      </c>
      <c r="K225" s="111">
        <f t="shared" si="13"/>
        <v>-0.30061349693251538</v>
      </c>
      <c r="L225" s="111">
        <f t="shared" si="14"/>
        <v>-0.29863013698630136</v>
      </c>
      <c r="N225" s="31" t="str">
        <f>+VLOOKUP(C225,'Country &amp; Code Abbreviation'!$C$3:$D$245,2,FALSE)</f>
        <v>NGA</v>
      </c>
    </row>
    <row r="226" spans="2:14" ht="12.75" customHeight="1">
      <c r="B226" s="25" t="s">
        <v>237</v>
      </c>
      <c r="C226" t="str">
        <f>VLOOKUP($B226,Apple!$B$3:$E$176,Apple!C$1,FALSE)</f>
        <v>NO</v>
      </c>
      <c r="D226" t="str">
        <f>VLOOKUP($B226,Apple!$B$3:$E$176,Apple!D$1,FALSE)</f>
        <v>NOK</v>
      </c>
      <c r="E226" t="str">
        <f>VLOOKUP($B226,Apple!$B$3:$E$176,Apple!E$1,FALSE)</f>
        <v>NOK</v>
      </c>
      <c r="F226" t="s">
        <v>68</v>
      </c>
      <c r="G226" s="128">
        <f>VLOOKUP($B226,Apple!$B$3:$H$176,Apple!F$1,FALSE)</f>
        <v>1399</v>
      </c>
      <c r="H226" s="128">
        <f>VLOOKUP($B226,Apple!$B$3:$H$176,Apple!H$1,FALSE)</f>
        <v>1000</v>
      </c>
      <c r="I226" s="255">
        <f t="shared" si="15"/>
        <v>978.99</v>
      </c>
      <c r="J226" s="255">
        <f t="shared" si="12"/>
        <v>699.99</v>
      </c>
      <c r="K226" s="111">
        <f t="shared" si="13"/>
        <v>-0.30022158684774836</v>
      </c>
      <c r="L226" s="111">
        <f t="shared" si="14"/>
        <v>-0.30001</v>
      </c>
      <c r="N226" s="31" t="str">
        <f>+VLOOKUP(C226,'Country &amp; Code Abbreviation'!$C$3:$D$245,2,FALSE)</f>
        <v>NOR</v>
      </c>
    </row>
    <row r="227" spans="2:14" ht="12.75" customHeight="1">
      <c r="B227" s="25" t="s">
        <v>237</v>
      </c>
      <c r="C227" t="str">
        <f>VLOOKUP($B227,Google!$B$3:$E$176,Google!C$1,FALSE)</f>
        <v>NO</v>
      </c>
      <c r="D227" t="str">
        <f>VLOOKUP($B227,Google!$B$3:$E$176,Google!D$1,FALSE)</f>
        <v>NOK</v>
      </c>
      <c r="E227" t="str">
        <f>VLOOKUP($B227,Google!$B$3:$E$176,Google!E$1,FALSE)</f>
        <v>NOK</v>
      </c>
      <c r="F227" t="s">
        <v>69</v>
      </c>
      <c r="G227" s="128">
        <f>VLOOKUP($B227,Google!$B$3:$H$176,Google!F$1,FALSE)</f>
        <v>1399</v>
      </c>
      <c r="H227" s="128">
        <f>VLOOKUP($B227,Google!$B$3:$H$176,Google!H$1,FALSE)</f>
        <v>1000</v>
      </c>
      <c r="I227" s="255">
        <f t="shared" si="15"/>
        <v>978.99</v>
      </c>
      <c r="J227" s="255">
        <f t="shared" si="12"/>
        <v>699.99</v>
      </c>
      <c r="K227" s="111">
        <f t="shared" si="13"/>
        <v>-0.30022158684774836</v>
      </c>
      <c r="L227" s="111">
        <f t="shared" si="14"/>
        <v>-0.30001</v>
      </c>
      <c r="N227" s="31" t="str">
        <f>+VLOOKUP(C227,'Country &amp; Code Abbreviation'!$C$3:$D$245,2,FALSE)</f>
        <v>NOR</v>
      </c>
    </row>
    <row r="228" spans="2:14" ht="12.75" customHeight="1">
      <c r="B228" s="25" t="s">
        <v>238</v>
      </c>
      <c r="C228" t="str">
        <f>VLOOKUP($B228,Apple!$B$3:$E$176,Apple!C$1,FALSE)</f>
        <v>OM</v>
      </c>
      <c r="D228" t="str">
        <f>VLOOKUP($B228,Apple!$B$3:$E$176,Apple!D$1,FALSE)</f>
        <v>OMR</v>
      </c>
      <c r="E228" t="str">
        <f>VLOOKUP($B228,Apple!$B$3:$E$176,Apple!E$1,FALSE)</f>
        <v>USD</v>
      </c>
      <c r="F228" t="s">
        <v>68</v>
      </c>
      <c r="G228" s="128">
        <f>VLOOKUP($B228,Apple!$B$3:$H$176,Apple!F$1,FALSE)</f>
        <v>77.989999999999995</v>
      </c>
      <c r="H228" s="128">
        <f>VLOOKUP($B228,Apple!$B$3:$H$176,Apple!H$1,FALSE)</f>
        <v>61.99</v>
      </c>
      <c r="I228" s="73">
        <f t="shared" si="15"/>
        <v>54.99</v>
      </c>
      <c r="J228" s="73">
        <f t="shared" si="12"/>
        <v>42.99</v>
      </c>
      <c r="K228" s="111">
        <f t="shared" si="13"/>
        <v>-0.29490960379535835</v>
      </c>
      <c r="L228" s="111">
        <f t="shared" si="14"/>
        <v>-0.30650104855621874</v>
      </c>
      <c r="N228" s="31" t="str">
        <f>+VLOOKUP(C228,'Country &amp; Code Abbreviation'!$C$3:$D$245,2,FALSE)</f>
        <v>OMN</v>
      </c>
    </row>
    <row r="229" spans="2:14" ht="12.75" customHeight="1">
      <c r="B229" s="25" t="s">
        <v>238</v>
      </c>
      <c r="C229" t="str">
        <f>VLOOKUP($B229,Google!$B$3:$E$176,Google!C$1,FALSE)</f>
        <v>OM</v>
      </c>
      <c r="D229" t="str">
        <f>VLOOKUP($B229,Google!$B$3:$E$176,Google!D$1,FALSE)</f>
        <v>OMR</v>
      </c>
      <c r="E229" t="str">
        <f>VLOOKUP($B229,Google!$B$3:$E$176,Google!E$1,FALSE)</f>
        <v>USD</v>
      </c>
      <c r="F229" t="s">
        <v>69</v>
      </c>
      <c r="G229" s="128">
        <f>VLOOKUP($B229,Google!$B$3:$H$176,Google!F$1,FALSE)</f>
        <v>77.989999999999995</v>
      </c>
      <c r="H229" s="128">
        <f>VLOOKUP($B229,Google!$B$3:$H$176,Google!H$1,FALSE)</f>
        <v>61.99</v>
      </c>
      <c r="I229" s="73">
        <f t="shared" si="15"/>
        <v>54.99</v>
      </c>
      <c r="J229" s="73">
        <f t="shared" si="12"/>
        <v>42.99</v>
      </c>
      <c r="K229" s="111">
        <f t="shared" si="13"/>
        <v>-0.29490960379535835</v>
      </c>
      <c r="L229" s="111">
        <f t="shared" si="14"/>
        <v>-0.30650104855621874</v>
      </c>
      <c r="N229" s="31" t="str">
        <f>+VLOOKUP(C229,'Country &amp; Code Abbreviation'!$C$3:$D$245,2,FALSE)</f>
        <v>OMN</v>
      </c>
    </row>
    <row r="230" spans="2:14" ht="12.75" customHeight="1">
      <c r="B230" s="25" t="s">
        <v>239</v>
      </c>
      <c r="C230" t="str">
        <f>VLOOKUP($B230,Apple!$B$3:$E$176,Apple!C$1,FALSE)</f>
        <v>PK</v>
      </c>
      <c r="D230" t="str">
        <f>VLOOKUP($B230,Apple!$B$3:$E$176,Apple!D$1,FALSE)</f>
        <v>PKR</v>
      </c>
      <c r="E230" t="str">
        <f>VLOOKUP($B230,Apple!$B$3:$E$176,Apple!E$1,FALSE)</f>
        <v>PKR</v>
      </c>
      <c r="F230" t="s">
        <v>68</v>
      </c>
      <c r="G230" s="128">
        <f>VLOOKUP($B230,Apple!$B$3:$H$176,Apple!F$1,FALSE)</f>
        <v>12200</v>
      </c>
      <c r="H230" s="128">
        <f>VLOOKUP($B230,Apple!$B$3:$H$176,Apple!H$1,FALSE)</f>
        <v>9000</v>
      </c>
      <c r="I230" s="253">
        <f>+MROUND(G230*0.7,100)</f>
        <v>8500</v>
      </c>
      <c r="J230" s="253">
        <f>+MROUND(H230*0.7,100)</f>
        <v>6300</v>
      </c>
      <c r="K230" s="111">
        <f t="shared" si="13"/>
        <v>-0.30327868852459017</v>
      </c>
      <c r="L230" s="111">
        <f t="shared" si="14"/>
        <v>-0.30000000000000004</v>
      </c>
      <c r="N230" s="31" t="str">
        <f>+VLOOKUP(C230,'Country &amp; Code Abbreviation'!$C$3:$D$245,2,FALSE)</f>
        <v>PAK</v>
      </c>
    </row>
    <row r="231" spans="2:14" ht="12.75" customHeight="1">
      <c r="B231" s="25" t="s">
        <v>239</v>
      </c>
      <c r="C231" t="str">
        <f>VLOOKUP($B231,Google!$B$3:$E$176,Google!C$1,FALSE)</f>
        <v>PK</v>
      </c>
      <c r="D231" t="str">
        <f>VLOOKUP($B231,Google!$B$3:$E$176,Google!D$1,FALSE)</f>
        <v>PKR</v>
      </c>
      <c r="E231" t="str">
        <f>VLOOKUP($B231,Google!$B$3:$E$176,Google!E$1,FALSE)</f>
        <v>PKR</v>
      </c>
      <c r="F231" t="s">
        <v>69</v>
      </c>
      <c r="G231" s="128">
        <f>VLOOKUP($B231,Google!$B$3:$H$176,Google!F$1,FALSE)</f>
        <v>12200</v>
      </c>
      <c r="H231" s="128">
        <f>VLOOKUP($B231,Google!$B$3:$H$176,Google!H$1,FALSE)</f>
        <v>9000</v>
      </c>
      <c r="I231" s="253">
        <f>+MROUND(G231*0.7,100)</f>
        <v>8500</v>
      </c>
      <c r="J231" s="253">
        <f>+MROUND(H231*0.7,100)</f>
        <v>6300</v>
      </c>
      <c r="K231" s="111">
        <f t="shared" si="13"/>
        <v>-0.30327868852459017</v>
      </c>
      <c r="L231" s="111">
        <f t="shared" si="14"/>
        <v>-0.30000000000000004</v>
      </c>
      <c r="N231" s="31" t="str">
        <f>+VLOOKUP(C231,'Country &amp; Code Abbreviation'!$C$3:$D$245,2,FALSE)</f>
        <v>PAK</v>
      </c>
    </row>
    <row r="232" spans="2:14" ht="12.75" customHeight="1">
      <c r="B232" s="25" t="s">
        <v>240</v>
      </c>
      <c r="C232" t="str">
        <f>VLOOKUP($B232,Apple!$B$3:$E$176,Apple!C$1,FALSE)</f>
        <v>PW</v>
      </c>
      <c r="D232" t="str">
        <f>VLOOKUP($B232,Apple!$B$3:$E$176,Apple!D$1,FALSE)</f>
        <v>USD</v>
      </c>
      <c r="E232" t="str">
        <f>VLOOKUP($B232,Apple!$B$3:$E$176,Apple!E$1,FALSE)</f>
        <v>USD</v>
      </c>
      <c r="F232" t="s">
        <v>68</v>
      </c>
      <c r="G232" s="128">
        <f>VLOOKUP($B232,Apple!$B$3:$H$176,Apple!F$1,FALSE)</f>
        <v>129.99</v>
      </c>
      <c r="H232" s="128">
        <f>VLOOKUP($B232,Apple!$B$3:$H$176,Apple!H$1,FALSE)</f>
        <v>83.99</v>
      </c>
      <c r="I232" s="251">
        <v>79.989999999999995</v>
      </c>
      <c r="J232" s="73">
        <f t="shared" si="12"/>
        <v>58.99</v>
      </c>
      <c r="K232" s="111">
        <f t="shared" si="13"/>
        <v>-0.38464497269020703</v>
      </c>
      <c r="L232" s="111">
        <f t="shared" si="14"/>
        <v>-0.29765448267650907</v>
      </c>
      <c r="N232" s="31" t="str">
        <f>+VLOOKUP(C232,'Country &amp; Code Abbreviation'!$C$3:$D$245,2,FALSE)</f>
        <v>PLW</v>
      </c>
    </row>
    <row r="233" spans="2:14" ht="12.75" customHeight="1">
      <c r="B233" s="25" t="s">
        <v>242</v>
      </c>
      <c r="C233" t="str">
        <f>VLOOKUP($B233,Apple!$B$3:$E$176,Apple!C$1,FALSE)</f>
        <v>PA</v>
      </c>
      <c r="D233" t="str">
        <f>VLOOKUP($B233,Apple!$B$3:$E$176,Apple!D$1,FALSE)</f>
        <v>USD</v>
      </c>
      <c r="E233" t="str">
        <f>VLOOKUP($B233,Apple!$B$3:$E$176,Apple!E$1,FALSE)</f>
        <v>USD</v>
      </c>
      <c r="F233" t="s">
        <v>68</v>
      </c>
      <c r="G233" s="128">
        <f>VLOOKUP($B233,Apple!$B$3:$H$176,Apple!F$1,FALSE)</f>
        <v>113.99</v>
      </c>
      <c r="H233" s="128">
        <f>VLOOKUP($B233,Apple!$B$3:$H$176,Apple!H$1,FALSE)</f>
        <v>83.99</v>
      </c>
      <c r="I233" s="73">
        <f t="shared" si="15"/>
        <v>79.989999999999995</v>
      </c>
      <c r="J233" s="73">
        <f t="shared" si="12"/>
        <v>58.99</v>
      </c>
      <c r="K233" s="111">
        <f t="shared" si="13"/>
        <v>-0.29827177822616024</v>
      </c>
      <c r="L233" s="111">
        <f t="shared" si="14"/>
        <v>-0.29765448267650907</v>
      </c>
      <c r="N233" s="31" t="str">
        <f>+VLOOKUP(C233,'Country &amp; Code Abbreviation'!$C$3:$D$245,2,FALSE)</f>
        <v>PAN</v>
      </c>
    </row>
    <row r="234" spans="2:14" ht="12.75" customHeight="1">
      <c r="B234" s="25" t="s">
        <v>242</v>
      </c>
      <c r="C234" t="str">
        <f>VLOOKUP($B234,Google!$B$3:$E$176,Google!C$1,FALSE)</f>
        <v>PA</v>
      </c>
      <c r="D234" t="str">
        <f>VLOOKUP($B234,Google!$B$3:$E$176,Google!D$1,FALSE)</f>
        <v>USD</v>
      </c>
      <c r="E234" t="str">
        <f>VLOOKUP($B234,Google!$B$3:$E$176,Google!E$1,FALSE)</f>
        <v>USD</v>
      </c>
      <c r="F234" t="s">
        <v>69</v>
      </c>
      <c r="G234" s="128">
        <f>VLOOKUP($B234,Google!$B$3:$H$176,Google!F$1,FALSE)</f>
        <v>113.99</v>
      </c>
      <c r="H234" s="128">
        <f>VLOOKUP($B234,Google!$B$3:$H$176,Google!H$1,FALSE)</f>
        <v>83.99</v>
      </c>
      <c r="I234" s="73">
        <f t="shared" si="15"/>
        <v>79.989999999999995</v>
      </c>
      <c r="J234" s="73">
        <f t="shared" si="12"/>
        <v>58.99</v>
      </c>
      <c r="K234" s="111">
        <f t="shared" si="13"/>
        <v>-0.29827177822616024</v>
      </c>
      <c r="L234" s="111">
        <f t="shared" si="14"/>
        <v>-0.29765448267650907</v>
      </c>
      <c r="N234" s="31" t="str">
        <f>+VLOOKUP(C234,'Country &amp; Code Abbreviation'!$C$3:$D$245,2,FALSE)</f>
        <v>PAN</v>
      </c>
    </row>
    <row r="235" spans="2:14" ht="12.75" customHeight="1">
      <c r="B235" s="25" t="s">
        <v>243</v>
      </c>
      <c r="C235" t="str">
        <f>VLOOKUP($B235,Apple!$B$3:$E$176,Apple!C$1,FALSE)</f>
        <v>PG</v>
      </c>
      <c r="D235" t="str">
        <f>VLOOKUP($B235,Apple!$B$3:$E$176,Apple!D$1,FALSE)</f>
        <v>PGK</v>
      </c>
      <c r="E235" t="str">
        <f>VLOOKUP($B235,Apple!$B$3:$E$176,Apple!E$1,FALSE)</f>
        <v>USD</v>
      </c>
      <c r="F235" t="s">
        <v>68</v>
      </c>
      <c r="G235" s="128">
        <f>VLOOKUP($B235,Apple!$B$3:$H$176,Apple!F$1,FALSE)</f>
        <v>67.989999999999995</v>
      </c>
      <c r="H235" s="128">
        <f>VLOOKUP($B235,Apple!$B$3:$H$176,Apple!H$1,FALSE)</f>
        <v>50.99</v>
      </c>
      <c r="I235" s="73">
        <f t="shared" si="15"/>
        <v>47.99</v>
      </c>
      <c r="J235" s="251">
        <v>34.99</v>
      </c>
      <c r="K235" s="111">
        <f t="shared" si="13"/>
        <v>-0.29416090601559042</v>
      </c>
      <c r="L235" s="111">
        <f t="shared" si="14"/>
        <v>-0.31378701706216905</v>
      </c>
      <c r="N235" s="31" t="str">
        <f>+VLOOKUP(C235,'Country &amp; Code Abbreviation'!$C$3:$D$245,2,FALSE)</f>
        <v>PNG</v>
      </c>
    </row>
    <row r="236" spans="2:14" ht="12.75" customHeight="1">
      <c r="B236" s="25" t="s">
        <v>243</v>
      </c>
      <c r="C236" t="str">
        <f>VLOOKUP($B236,Google!$B$3:$E$176,Google!C$1,FALSE)</f>
        <v>PG</v>
      </c>
      <c r="D236" t="str">
        <f>VLOOKUP($B236,Google!$B$3:$E$176,Google!D$1,FALSE)</f>
        <v>PGK</v>
      </c>
      <c r="E236" t="str">
        <f>VLOOKUP($B236,Google!$B$3:$E$176,Google!E$1,FALSE)</f>
        <v>USD</v>
      </c>
      <c r="F236" t="s">
        <v>69</v>
      </c>
      <c r="G236" s="128">
        <f>VLOOKUP($B236,Google!$B$3:$H$176,Google!F$1,FALSE)</f>
        <v>67.989999999999995</v>
      </c>
      <c r="H236" s="128">
        <f>VLOOKUP($B236,Google!$B$3:$H$176,Google!H$1,FALSE)</f>
        <v>50.99</v>
      </c>
      <c r="I236" s="73">
        <f t="shared" si="15"/>
        <v>47.99</v>
      </c>
      <c r="J236" s="251">
        <v>34.99</v>
      </c>
      <c r="K236" s="111">
        <f t="shared" si="13"/>
        <v>-0.29416090601559042</v>
      </c>
      <c r="L236" s="111">
        <f t="shared" si="14"/>
        <v>-0.31378701706216905</v>
      </c>
      <c r="N236" s="31" t="str">
        <f>+VLOOKUP(C236,'Country &amp; Code Abbreviation'!$C$3:$D$245,2,FALSE)</f>
        <v>PNG</v>
      </c>
    </row>
    <row r="237" spans="2:14" ht="12.75" customHeight="1">
      <c r="B237" s="25" t="s">
        <v>244</v>
      </c>
      <c r="C237" t="str">
        <f>VLOOKUP($B237,Apple!$B$3:$E$176,Apple!C$1,FALSE)</f>
        <v>PY</v>
      </c>
      <c r="D237" t="str">
        <f>VLOOKUP($B237,Apple!$B$3:$E$176,Apple!D$1,FALSE)</f>
        <v>PYG</v>
      </c>
      <c r="E237" t="str">
        <f>VLOOKUP($B237,Apple!$B$3:$E$176,Apple!E$1,FALSE)</f>
        <v>USD</v>
      </c>
      <c r="F237" t="s">
        <v>68</v>
      </c>
      <c r="G237" s="128">
        <f>VLOOKUP($B237,Apple!$B$3:$H$176,Apple!F$1,FALSE)</f>
        <v>79.989999999999995</v>
      </c>
      <c r="H237" s="128">
        <f>VLOOKUP($B237,Apple!$B$3:$H$176,Apple!H$1,FALSE)</f>
        <v>59.99</v>
      </c>
      <c r="I237" s="251">
        <v>54.99</v>
      </c>
      <c r="J237" s="73">
        <f t="shared" si="12"/>
        <v>41.99</v>
      </c>
      <c r="K237" s="111">
        <f t="shared" si="13"/>
        <v>-0.31253906738342285</v>
      </c>
      <c r="L237" s="111">
        <f t="shared" si="14"/>
        <v>-0.3000500083347224</v>
      </c>
      <c r="N237" s="31" t="str">
        <f>+VLOOKUP(C237,'Country &amp; Code Abbreviation'!$C$3:$D$245,2,FALSE)</f>
        <v>PRY</v>
      </c>
    </row>
    <row r="238" spans="2:14" ht="12.75" customHeight="1">
      <c r="B238" s="25" t="s">
        <v>244</v>
      </c>
      <c r="C238" t="str">
        <f>VLOOKUP($B238,Google!$B$3:$E$176,Google!C$1,FALSE)</f>
        <v>PY</v>
      </c>
      <c r="D238" t="str">
        <f>VLOOKUP($B238,Google!$B$3:$E$176,Google!D$1,FALSE)</f>
        <v>PYG</v>
      </c>
      <c r="E238" t="str">
        <f>VLOOKUP($B238,Google!$B$3:$E$176,Google!E$1,FALSE)</f>
        <v>PYG</v>
      </c>
      <c r="F238" t="s">
        <v>69</v>
      </c>
      <c r="G238" s="128">
        <f>VLOOKUP($B238,Google!$B$3:$H$176,Google!F$1,FALSE)</f>
        <v>557280</v>
      </c>
      <c r="H238" s="128">
        <f>VLOOKUP($B238,Google!$B$3:$H$176,Google!H$1,FALSE)</f>
        <v>412800</v>
      </c>
      <c r="I238" s="253">
        <f>+MROUND(G238*0.7,10)</f>
        <v>390100</v>
      </c>
      <c r="J238" s="253">
        <f>+MROUND(H238*0.7,10)</f>
        <v>288960</v>
      </c>
      <c r="K238" s="111">
        <f t="shared" si="13"/>
        <v>-0.29999282227964397</v>
      </c>
      <c r="L238" s="111">
        <f t="shared" si="14"/>
        <v>-0.30000000000000004</v>
      </c>
      <c r="N238" s="31" t="str">
        <f>+VLOOKUP(C238,'Country &amp; Code Abbreviation'!$C$3:$D$245,2,FALSE)</f>
        <v>PRY</v>
      </c>
    </row>
    <row r="239" spans="2:14" ht="12.75" customHeight="1">
      <c r="B239" s="25" t="s">
        <v>245</v>
      </c>
      <c r="C239" t="str">
        <f>VLOOKUP($B239,Apple!$B$3:$E$176,Apple!C$1,FALSE)</f>
        <v>PE</v>
      </c>
      <c r="D239" t="str">
        <f>VLOOKUP($B239,Apple!$B$3:$E$176,Apple!D$1,FALSE)</f>
        <v>PEN</v>
      </c>
      <c r="E239" t="str">
        <f>VLOOKUP($B239,Apple!$B$3:$E$176,Apple!E$1,FALSE)</f>
        <v>PEN</v>
      </c>
      <c r="F239" t="s">
        <v>68</v>
      </c>
      <c r="G239" s="128">
        <f>VLOOKUP($B239,Apple!$B$3:$H$176,Apple!F$1,FALSE)</f>
        <v>379</v>
      </c>
      <c r="H239" s="128">
        <f>VLOOKUP($B239,Apple!$B$3:$H$176,Apple!H$1,FALSE)</f>
        <v>279.89999999999998</v>
      </c>
      <c r="I239" s="258">
        <v>264</v>
      </c>
      <c r="J239" s="259">
        <v>194.9</v>
      </c>
      <c r="K239" s="111">
        <f t="shared" si="13"/>
        <v>-0.30343007915567277</v>
      </c>
      <c r="L239" s="111">
        <f t="shared" si="14"/>
        <v>-0.30367988567345472</v>
      </c>
      <c r="N239" s="31" t="str">
        <f>+VLOOKUP(C239,'Country &amp; Code Abbreviation'!$C$3:$D$245,2,FALSE)</f>
        <v>PER</v>
      </c>
    </row>
    <row r="240" spans="2:14" ht="12.75" customHeight="1">
      <c r="B240" s="25" t="s">
        <v>245</v>
      </c>
      <c r="C240" t="str">
        <f>VLOOKUP($B240,Google!$B$3:$E$176,Google!C$1,FALSE)</f>
        <v>PE</v>
      </c>
      <c r="D240" t="str">
        <f>VLOOKUP($B240,Google!$B$3:$E$176,Google!D$1,FALSE)</f>
        <v>PEN</v>
      </c>
      <c r="E240" t="str">
        <f>VLOOKUP($B240,Google!$B$3:$E$176,Google!E$1,FALSE)</f>
        <v>PEN</v>
      </c>
      <c r="F240" t="s">
        <v>69</v>
      </c>
      <c r="G240" s="128">
        <f>VLOOKUP($B240,Google!$B$3:$H$176,Google!F$1,FALSE)</f>
        <v>379</v>
      </c>
      <c r="H240" s="128">
        <f>VLOOKUP($B240,Google!$B$3:$H$176,Google!H$1,FALSE)</f>
        <v>279.99</v>
      </c>
      <c r="I240" s="258">
        <v>264</v>
      </c>
      <c r="J240" s="251">
        <v>194.99</v>
      </c>
      <c r="K240" s="111">
        <f t="shared" si="13"/>
        <v>-0.30343007915567277</v>
      </c>
      <c r="L240" s="111">
        <f t="shared" si="14"/>
        <v>-0.30358227079538558</v>
      </c>
      <c r="N240" s="31" t="str">
        <f>+VLOOKUP(C240,'Country &amp; Code Abbreviation'!$C$3:$D$245,2,FALSE)</f>
        <v>PER</v>
      </c>
    </row>
    <row r="241" spans="2:14" ht="12.75" customHeight="1">
      <c r="B241" s="25" t="s">
        <v>246</v>
      </c>
      <c r="C241" t="str">
        <f>VLOOKUP($B241,Apple!$B$3:$E$176,Apple!C$1,FALSE)</f>
        <v>PH</v>
      </c>
      <c r="D241" t="str">
        <f>VLOOKUP($B241,Apple!$B$3:$E$176,Apple!D$1,FALSE)</f>
        <v>PHP</v>
      </c>
      <c r="E241" t="str">
        <f>VLOOKUP($B241,Apple!$B$3:$E$176,Apple!E$1,FALSE)</f>
        <v>PHP</v>
      </c>
      <c r="F241" t="s">
        <v>68</v>
      </c>
      <c r="G241" s="128">
        <f>VLOOKUP($B241,Apple!$B$3:$H$176,Apple!F$1,FALSE)</f>
        <v>5050</v>
      </c>
      <c r="H241" s="128">
        <f>VLOOKUP($B241,Apple!$B$3:$H$176,Apple!H$1,FALSE)</f>
        <v>3900</v>
      </c>
      <c r="I241" s="253">
        <f>+MROUND(G241*0.7,10)</f>
        <v>3540</v>
      </c>
      <c r="J241" s="253">
        <f>+MROUND(H241*0.7,10)</f>
        <v>2730</v>
      </c>
      <c r="K241" s="111">
        <f t="shared" si="13"/>
        <v>-0.29900990099009905</v>
      </c>
      <c r="L241" s="111">
        <f t="shared" si="14"/>
        <v>-0.30000000000000004</v>
      </c>
      <c r="N241" s="31" t="str">
        <f>+VLOOKUP(C241,'Country &amp; Code Abbreviation'!$C$3:$D$245,2,FALSE)</f>
        <v>PHL</v>
      </c>
    </row>
    <row r="242" spans="2:14" ht="12.75" customHeight="1">
      <c r="B242" s="25" t="s">
        <v>246</v>
      </c>
      <c r="C242" t="str">
        <f>VLOOKUP($B242,Google!$B$3:$E$176,Google!C$1,FALSE)</f>
        <v>PH</v>
      </c>
      <c r="D242" t="str">
        <f>VLOOKUP($B242,Google!$B$3:$E$176,Google!D$1,FALSE)</f>
        <v>PHP</v>
      </c>
      <c r="E242" t="str">
        <f>VLOOKUP($B242,Google!$B$3:$E$176,Google!E$1,FALSE)</f>
        <v>PHP</v>
      </c>
      <c r="F242" t="s">
        <v>69</v>
      </c>
      <c r="G242" s="128">
        <f>VLOOKUP($B242,Google!$B$3:$H$176,Google!F$1,FALSE)</f>
        <v>5050</v>
      </c>
      <c r="H242" s="128">
        <f>VLOOKUP($B242,Google!$B$3:$H$176,Google!H$1,FALSE)</f>
        <v>3900</v>
      </c>
      <c r="I242" s="253">
        <f>+MROUND(G242*0.7,10)</f>
        <v>3540</v>
      </c>
      <c r="J242" s="253">
        <f>+MROUND(H242*0.7,10)</f>
        <v>2730</v>
      </c>
      <c r="K242" s="111">
        <f t="shared" si="13"/>
        <v>-0.29900990099009905</v>
      </c>
      <c r="L242" s="111">
        <f t="shared" si="14"/>
        <v>-0.30000000000000004</v>
      </c>
      <c r="N242" s="31" t="str">
        <f>+VLOOKUP(C242,'Country &amp; Code Abbreviation'!$C$3:$D$245,2,FALSE)</f>
        <v>PHL</v>
      </c>
    </row>
    <row r="243" spans="2:14" ht="12.75" customHeight="1">
      <c r="B243" s="25" t="s">
        <v>248</v>
      </c>
      <c r="C243" t="str">
        <f>VLOOKUP($B243,Apple!$B$3:$E$176,Apple!C$1,FALSE)</f>
        <v>PL</v>
      </c>
      <c r="D243" t="str">
        <f>VLOOKUP($B243,Apple!$B$3:$E$176,Apple!D$1,FALSE)</f>
        <v>PLN</v>
      </c>
      <c r="E243" t="str">
        <f>VLOOKUP($B243,Apple!$B$3:$E$176,Apple!E$1,FALSE)</f>
        <v>PLN</v>
      </c>
      <c r="F243" t="s">
        <v>68</v>
      </c>
      <c r="G243" s="128">
        <f>VLOOKUP($B243,Apple!$B$3:$H$176,Apple!F$1,FALSE)</f>
        <v>539.99</v>
      </c>
      <c r="H243" s="128">
        <f>VLOOKUP($B243,Apple!$B$3:$H$176,Apple!H$1,FALSE)</f>
        <v>399.99</v>
      </c>
      <c r="I243" s="73">
        <f t="shared" si="15"/>
        <v>377.99</v>
      </c>
      <c r="J243" s="73">
        <f t="shared" si="12"/>
        <v>279.99</v>
      </c>
      <c r="K243" s="111">
        <f t="shared" si="13"/>
        <v>-0.30000555565843812</v>
      </c>
      <c r="L243" s="111">
        <f t="shared" si="14"/>
        <v>-0.30000750018750466</v>
      </c>
      <c r="N243" s="31" t="str">
        <f>+VLOOKUP(C243,'Country &amp; Code Abbreviation'!$C$3:$D$245,2,FALSE)</f>
        <v>POL</v>
      </c>
    </row>
    <row r="244" spans="2:14" ht="12.75" customHeight="1">
      <c r="B244" s="227" t="s">
        <v>248</v>
      </c>
      <c r="C244" t="str">
        <f>VLOOKUP($B244,Google!$B$3:$E$176,Google!C$1,FALSE)</f>
        <v>PL</v>
      </c>
      <c r="D244" t="str">
        <f>VLOOKUP($B244,Google!$B$3:$E$176,Google!D$1,FALSE)</f>
        <v>PLN</v>
      </c>
      <c r="E244" t="str">
        <f>VLOOKUP($B244,Google!$B$3:$E$176,Google!E$1,FALSE)</f>
        <v>PLN</v>
      </c>
      <c r="F244" t="s">
        <v>69</v>
      </c>
      <c r="G244" s="128">
        <f>VLOOKUP($B244,Google!$B$3:$H$176,Google!F$1,FALSE)</f>
        <v>539.99</v>
      </c>
      <c r="H244" s="128">
        <f>VLOOKUP($B244,Google!$B$3:$H$176,Google!H$1,FALSE)</f>
        <v>399.99</v>
      </c>
      <c r="I244" s="73">
        <f t="shared" si="15"/>
        <v>377.99</v>
      </c>
      <c r="J244" s="73">
        <f t="shared" si="12"/>
        <v>279.99</v>
      </c>
      <c r="K244" s="111">
        <f t="shared" si="13"/>
        <v>-0.30000555565843812</v>
      </c>
      <c r="L244" s="111">
        <f t="shared" si="14"/>
        <v>-0.30000750018750466</v>
      </c>
      <c r="N244" s="31" t="str">
        <f>+VLOOKUP(C244,'Country &amp; Code Abbreviation'!$C$3:$D$245,2,FALSE)</f>
        <v>POL</v>
      </c>
    </row>
    <row r="245" spans="2:14" ht="12.75" customHeight="1">
      <c r="B245" s="25" t="s">
        <v>249</v>
      </c>
      <c r="C245" t="str">
        <f>VLOOKUP($B245,Apple!$B$3:$E$176,Apple!C$1,FALSE)</f>
        <v>PT</v>
      </c>
      <c r="D245" t="str">
        <f>VLOOKUP($B245,Apple!$B$3:$E$176,Apple!D$1,FALSE)</f>
        <v>EUR</v>
      </c>
      <c r="E245" t="str">
        <f>VLOOKUP($B245,Apple!$B$3:$E$176,Apple!E$1,FALSE)</f>
        <v>EUR</v>
      </c>
      <c r="F245" t="s">
        <v>68</v>
      </c>
      <c r="G245" s="128">
        <f>VLOOKUP($B245,Apple!$B$3:$H$176,Apple!F$1,FALSE)</f>
        <v>129.99</v>
      </c>
      <c r="H245" s="128">
        <f>VLOOKUP($B245,Apple!$B$3:$H$176,Apple!H$1,FALSE)</f>
        <v>97.99</v>
      </c>
      <c r="I245" s="251">
        <v>89.99</v>
      </c>
      <c r="J245" s="73">
        <f t="shared" si="12"/>
        <v>68.989999999999995</v>
      </c>
      <c r="K245" s="111">
        <f t="shared" si="13"/>
        <v>-0.30771597815216567</v>
      </c>
      <c r="L245" s="111">
        <f t="shared" si="14"/>
        <v>-0.29594856618022247</v>
      </c>
      <c r="N245" s="31" t="str">
        <f>+VLOOKUP(C245,'Country &amp; Code Abbreviation'!$C$3:$D$245,2,FALSE)</f>
        <v>PRT</v>
      </c>
    </row>
    <row r="246" spans="2:14" ht="12.75" customHeight="1">
      <c r="B246" s="227" t="s">
        <v>249</v>
      </c>
      <c r="C246" t="str">
        <f>VLOOKUP($B246,Google!$B$3:$E$176,Google!C$1,FALSE)</f>
        <v>PT</v>
      </c>
      <c r="D246" t="str">
        <f>VLOOKUP($B246,Google!$B$3:$E$176,Google!D$1,FALSE)</f>
        <v>EUR</v>
      </c>
      <c r="E246" t="str">
        <f>VLOOKUP($B246,Google!$B$3:$E$176,Google!E$1,FALSE)</f>
        <v>EUR</v>
      </c>
      <c r="F246" t="s">
        <v>69</v>
      </c>
      <c r="G246" s="128">
        <f>VLOOKUP($B246,Google!$B$3:$H$176,Google!F$1,FALSE)</f>
        <v>129.99</v>
      </c>
      <c r="H246" s="128">
        <f>VLOOKUP($B246,Google!$B$3:$H$176,Google!H$1,FALSE)</f>
        <v>97.99</v>
      </c>
      <c r="I246" s="251">
        <v>89.99</v>
      </c>
      <c r="J246" s="73">
        <f t="shared" si="12"/>
        <v>68.989999999999995</v>
      </c>
      <c r="K246" s="111">
        <f t="shared" si="13"/>
        <v>-0.30771597815216567</v>
      </c>
      <c r="L246" s="111">
        <f t="shared" si="14"/>
        <v>-0.29594856618022247</v>
      </c>
      <c r="N246" s="31" t="str">
        <f>+VLOOKUP(C246,'Country &amp; Code Abbreviation'!$C$3:$D$245,2,FALSE)</f>
        <v>PRT</v>
      </c>
    </row>
    <row r="247" spans="2:14" ht="12.75" customHeight="1">
      <c r="B247" s="25" t="s">
        <v>250</v>
      </c>
      <c r="C247" t="str">
        <f>VLOOKUP($B247,Apple!$B$3:$E$176,Apple!C$1,FALSE)</f>
        <v>QA</v>
      </c>
      <c r="D247" t="str">
        <f>VLOOKUP($B247,Apple!$B$3:$E$176,Apple!D$1,FALSE)</f>
        <v>QAR</v>
      </c>
      <c r="E247" t="str">
        <f>VLOOKUP($B247,Apple!$B$3:$E$176,Apple!E$1,FALSE)</f>
        <v>QAR</v>
      </c>
      <c r="F247" t="s">
        <v>68</v>
      </c>
      <c r="G247" s="128">
        <f>VLOOKUP($B247,Apple!$B$3:$H$176,Apple!F$1,FALSE)</f>
        <v>679.99</v>
      </c>
      <c r="H247" s="128">
        <f>VLOOKUP($B247,Apple!$B$3:$H$176,Apple!H$1,FALSE)</f>
        <v>529.99</v>
      </c>
      <c r="I247" s="73">
        <f t="shared" si="15"/>
        <v>475.99</v>
      </c>
      <c r="J247" s="73">
        <f t="shared" si="12"/>
        <v>370.99</v>
      </c>
      <c r="K247" s="111">
        <f t="shared" si="13"/>
        <v>-0.3000044118295857</v>
      </c>
      <c r="L247" s="111">
        <f t="shared" si="14"/>
        <v>-0.30000566048416011</v>
      </c>
      <c r="N247" s="31" t="str">
        <f>+VLOOKUP(C247,'Country &amp; Code Abbreviation'!$C$3:$D$245,2,FALSE)</f>
        <v>QAT</v>
      </c>
    </row>
    <row r="248" spans="2:14" ht="12.75" customHeight="1">
      <c r="B248" s="25" t="s">
        <v>250</v>
      </c>
      <c r="C248" t="str">
        <f>VLOOKUP($B248,Google!$B$3:$E$176,Google!C$1,FALSE)</f>
        <v>QA</v>
      </c>
      <c r="D248" t="str">
        <f>VLOOKUP($B248,Google!$B$3:$E$176,Google!D$1,FALSE)</f>
        <v>QAR</v>
      </c>
      <c r="E248" t="str">
        <f>VLOOKUP($B248,Google!$B$3:$E$176,Google!E$1,FALSE)</f>
        <v>QAR</v>
      </c>
      <c r="F248" t="s">
        <v>69</v>
      </c>
      <c r="G248" s="128">
        <f>VLOOKUP($B248,Google!$B$3:$H$176,Google!F$1,FALSE)</f>
        <v>679.99</v>
      </c>
      <c r="H248" s="128">
        <f>VLOOKUP($B248,Google!$B$3:$H$176,Google!H$1,FALSE)</f>
        <v>529.99</v>
      </c>
      <c r="I248" s="73">
        <f t="shared" si="15"/>
        <v>475.99</v>
      </c>
      <c r="J248" s="73">
        <f t="shared" si="12"/>
        <v>370.99</v>
      </c>
      <c r="K248" s="111">
        <f t="shared" si="13"/>
        <v>-0.3000044118295857</v>
      </c>
      <c r="L248" s="111">
        <f t="shared" si="14"/>
        <v>-0.30000566048416011</v>
      </c>
      <c r="N248" s="31" t="str">
        <f>+VLOOKUP(C248,'Country &amp; Code Abbreviation'!$C$3:$D$245,2,FALSE)</f>
        <v>QAT</v>
      </c>
    </row>
    <row r="249" spans="2:14" ht="12.75" customHeight="1">
      <c r="B249" s="226" t="s">
        <v>252</v>
      </c>
      <c r="C249" t="str">
        <f>VLOOKUP($B249,Apple!$B$3:$E$176,Apple!C$1,FALSE)</f>
        <v>RO</v>
      </c>
      <c r="D249" t="str">
        <f>VLOOKUP($B249,Apple!$B$3:$E$176,Apple!D$1,FALSE)</f>
        <v>RON</v>
      </c>
      <c r="E249" t="str">
        <f>VLOOKUP($B249,Apple!$B$3:$E$176,Apple!E$1,FALSE)</f>
        <v>RON</v>
      </c>
      <c r="F249" t="s">
        <v>68</v>
      </c>
      <c r="G249" s="128">
        <f>VLOOKUP($B249,Apple!$B$3:$H$176,Apple!F$1,FALSE)</f>
        <v>619.99</v>
      </c>
      <c r="H249" s="128">
        <f>VLOOKUP($B249,Apple!$B$3:$H$176,Apple!H$1,FALSE)</f>
        <v>444.99</v>
      </c>
      <c r="I249" s="73">
        <f t="shared" si="15"/>
        <v>433.99</v>
      </c>
      <c r="J249" s="73">
        <f t="shared" si="12"/>
        <v>310.99</v>
      </c>
      <c r="K249" s="111">
        <f t="shared" si="13"/>
        <v>-0.30000483878772233</v>
      </c>
      <c r="L249" s="111">
        <f t="shared" si="14"/>
        <v>-0.30113036248005576</v>
      </c>
      <c r="N249" s="31" t="str">
        <f>+VLOOKUP(C249,'Country &amp; Code Abbreviation'!$C$3:$D$245,2,FALSE)</f>
        <v>ROU</v>
      </c>
    </row>
    <row r="250" spans="2:14" ht="12.75" customHeight="1">
      <c r="B250" s="226" t="s">
        <v>252</v>
      </c>
      <c r="C250" t="str">
        <f>VLOOKUP($B250,Google!$B$3:$E$176,Google!C$1,FALSE)</f>
        <v>RO</v>
      </c>
      <c r="D250" t="str">
        <f>VLOOKUP($B250,Google!$B$3:$E$176,Google!D$1,FALSE)</f>
        <v>RON</v>
      </c>
      <c r="E250" t="str">
        <f>VLOOKUP($B250,Google!$B$3:$E$176,Google!E$1,FALSE)</f>
        <v>RON</v>
      </c>
      <c r="F250" t="s">
        <v>69</v>
      </c>
      <c r="G250" s="128">
        <f>VLOOKUP($B250,Google!$B$3:$H$176,Google!F$1,FALSE)</f>
        <v>619.99</v>
      </c>
      <c r="H250" s="128">
        <f>VLOOKUP($B250,Google!$B$3:$H$176,Google!H$1,FALSE)</f>
        <v>444.99</v>
      </c>
      <c r="I250" s="73">
        <f t="shared" si="15"/>
        <v>433.99</v>
      </c>
      <c r="J250" s="73">
        <f t="shared" si="12"/>
        <v>310.99</v>
      </c>
      <c r="K250" s="111">
        <f t="shared" si="13"/>
        <v>-0.30000483878772233</v>
      </c>
      <c r="L250" s="111">
        <f t="shared" si="14"/>
        <v>-0.30113036248005576</v>
      </c>
      <c r="N250" s="31" t="str">
        <f>+VLOOKUP(C250,'Country &amp; Code Abbreviation'!$C$3:$D$245,2,FALSE)</f>
        <v>ROU</v>
      </c>
    </row>
    <row r="251" spans="2:14" ht="12.75" customHeight="1">
      <c r="B251" s="25" t="s">
        <v>254</v>
      </c>
      <c r="C251" t="str">
        <f>VLOOKUP($B251,Apple!$B$3:$E$176,Apple!C$1,FALSE)</f>
        <v>RW</v>
      </c>
      <c r="D251" t="str">
        <f>VLOOKUP($B251,Apple!$B$3:$E$176,Apple!D$1,FALSE)</f>
        <v>RWF</v>
      </c>
      <c r="E251" t="str">
        <f>VLOOKUP($B251,Apple!$B$3:$E$176,Apple!E$1,FALSE)</f>
        <v>USD</v>
      </c>
      <c r="F251" t="s">
        <v>68</v>
      </c>
      <c r="G251" s="128">
        <f>VLOOKUP($B251,Apple!$B$3:$H$176,Apple!F$1,FALSE)</f>
        <v>78.989999999999995</v>
      </c>
      <c r="H251" s="128">
        <f>VLOOKUP($B251,Apple!$B$3:$H$176,Apple!H$1,FALSE)</f>
        <v>58.99</v>
      </c>
      <c r="I251" s="73">
        <f t="shared" si="15"/>
        <v>54.99</v>
      </c>
      <c r="J251" s="251">
        <v>39.99</v>
      </c>
      <c r="K251" s="111">
        <f t="shared" si="13"/>
        <v>-0.30383592859855668</v>
      </c>
      <c r="L251" s="111">
        <f t="shared" si="14"/>
        <v>-0.32208848957450409</v>
      </c>
      <c r="N251" s="31" t="str">
        <f>+VLOOKUP(C251,'Country &amp; Code Abbreviation'!$C$3:$D$245,2,FALSE)</f>
        <v>RWA</v>
      </c>
    </row>
    <row r="252" spans="2:14" ht="12.75" customHeight="1">
      <c r="B252" s="25" t="s">
        <v>254</v>
      </c>
      <c r="C252" t="str">
        <f>VLOOKUP($B252,Google!$B$3:$E$176,Google!C$1,FALSE)</f>
        <v>RW</v>
      </c>
      <c r="D252" t="str">
        <f>VLOOKUP($B252,Google!$B$3:$E$176,Google!D$1,FALSE)</f>
        <v>RWF</v>
      </c>
      <c r="E252" t="str">
        <f>VLOOKUP($B252,Google!$B$3:$E$176,Google!E$1,FALSE)</f>
        <v>USD</v>
      </c>
      <c r="F252" t="s">
        <v>69</v>
      </c>
      <c r="G252" s="128">
        <f>VLOOKUP($B252,Google!$B$3:$H$176,Google!F$1,FALSE)</f>
        <v>78.989999999999995</v>
      </c>
      <c r="H252" s="128">
        <f>VLOOKUP($B252,Google!$B$3:$H$176,Google!H$1,FALSE)</f>
        <v>58.99</v>
      </c>
      <c r="I252" s="73">
        <f t="shared" si="15"/>
        <v>54.99</v>
      </c>
      <c r="J252" s="251">
        <v>39.99</v>
      </c>
      <c r="K252" s="111">
        <f t="shared" si="13"/>
        <v>-0.30383592859855668</v>
      </c>
      <c r="L252" s="111">
        <f t="shared" si="14"/>
        <v>-0.32208848957450409</v>
      </c>
      <c r="N252" s="31" t="str">
        <f>+VLOOKUP(C252,'Country &amp; Code Abbreviation'!$C$3:$D$245,2,FALSE)</f>
        <v>RWA</v>
      </c>
    </row>
    <row r="253" spans="2:14" ht="12.75" customHeight="1">
      <c r="B253" s="25" t="s">
        <v>256</v>
      </c>
      <c r="C253" t="str">
        <f>VLOOKUP($B253,Google!$B$3:$E$176,Google!C$1,FALSE)</f>
        <v>WS</v>
      </c>
      <c r="D253" t="str">
        <f>VLOOKUP($B253,Google!$B$3:$E$176,Google!D$1,FALSE)</f>
        <v>WST</v>
      </c>
      <c r="E253" t="str">
        <f>VLOOKUP($B253,Google!$B$3:$E$176,Google!E$1,FALSE)</f>
        <v>USD</v>
      </c>
      <c r="F253" t="s">
        <v>69</v>
      </c>
      <c r="G253" s="128">
        <f>VLOOKUP($B253,Google!$B$3:$H$176,Google!F$1,FALSE)</f>
        <v>59.99</v>
      </c>
      <c r="H253" s="128">
        <f>VLOOKUP($B253,Google!$B$3:$H$176,Google!H$1,FALSE)</f>
        <v>43.99</v>
      </c>
      <c r="I253" s="73">
        <f t="shared" si="15"/>
        <v>41.99</v>
      </c>
      <c r="J253" s="251">
        <v>29.99</v>
      </c>
      <c r="K253" s="111">
        <f t="shared" si="13"/>
        <v>-0.3000500083347224</v>
      </c>
      <c r="L253" s="111">
        <f t="shared" si="14"/>
        <v>-0.31825414867015234</v>
      </c>
      <c r="N253" s="31" t="str">
        <f>+VLOOKUP(C253,'Country &amp; Code Abbreviation'!$C$3:$D$245,2,FALSE)</f>
        <v>WSM</v>
      </c>
    </row>
    <row r="254" spans="2:14" ht="12.75" customHeight="1">
      <c r="B254" s="25" t="s">
        <v>257</v>
      </c>
      <c r="C254" t="str">
        <f>VLOOKUP($B254,Google!$B$3:$E$176,Google!C$1,FALSE)</f>
        <v>SM</v>
      </c>
      <c r="D254" t="str">
        <f>VLOOKUP($B254,Google!$B$3:$E$176,Google!D$1,FALSE)</f>
        <v>EUR</v>
      </c>
      <c r="E254" t="str">
        <f>VLOOKUP($B254,Google!$B$3:$E$176,Google!E$1,FALSE)</f>
        <v>EUR</v>
      </c>
      <c r="F254" t="s">
        <v>69</v>
      </c>
      <c r="G254" s="128">
        <f>VLOOKUP($B254,Google!$B$3:$H$176,Google!F$1,FALSE)</f>
        <v>159.99</v>
      </c>
      <c r="H254" s="128">
        <f>VLOOKUP($B254,Google!$B$3:$H$176,Google!H$1,FALSE)</f>
        <v>109.99</v>
      </c>
      <c r="I254" s="73">
        <f t="shared" si="15"/>
        <v>111.99</v>
      </c>
      <c r="J254" s="73">
        <f t="shared" si="12"/>
        <v>76.989999999999995</v>
      </c>
      <c r="K254" s="111">
        <f t="shared" si="13"/>
        <v>-0.30001875117194832</v>
      </c>
      <c r="L254" s="111">
        <f t="shared" si="14"/>
        <v>-0.30002727520683703</v>
      </c>
      <c r="N254" s="31" t="str">
        <f>+VLOOKUP(C254,'Country &amp; Code Abbreviation'!$C$3:$D$245,2,FALSE)</f>
        <v>SMR</v>
      </c>
    </row>
    <row r="255" spans="2:14" ht="12.75" customHeight="1">
      <c r="B255" s="25" t="s">
        <v>258</v>
      </c>
      <c r="C255" t="str">
        <f>VLOOKUP($B255,Apple!$B$3:$E$176,Apple!C$1,FALSE)</f>
        <v>ST</v>
      </c>
      <c r="D255" t="str">
        <f>VLOOKUP($B255,Apple!$B$3:$E$176,Apple!D$1,FALSE)</f>
        <v>USD</v>
      </c>
      <c r="E255" t="str">
        <f>VLOOKUP($B255,Apple!$B$3:$E$176,Apple!E$1,FALSE)</f>
        <v>USD</v>
      </c>
      <c r="F255" t="s">
        <v>68</v>
      </c>
      <c r="G255" s="128">
        <f>VLOOKUP($B255,Apple!$B$3:$H$176,Apple!F$1,FALSE)</f>
        <v>77.989999999999995</v>
      </c>
      <c r="H255" s="128">
        <f>VLOOKUP($B255,Apple!$B$3:$H$176,Apple!H$1,FALSE)</f>
        <v>59.99</v>
      </c>
      <c r="I255" s="73">
        <f t="shared" si="15"/>
        <v>54.99</v>
      </c>
      <c r="J255" s="73">
        <f t="shared" si="12"/>
        <v>41.99</v>
      </c>
      <c r="K255" s="111">
        <f t="shared" si="13"/>
        <v>-0.29490960379535835</v>
      </c>
      <c r="L255" s="111">
        <f t="shared" si="14"/>
        <v>-0.3000500083347224</v>
      </c>
      <c r="N255" s="31" t="str">
        <f>+VLOOKUP(C255,'Country &amp; Code Abbreviation'!$C$3:$D$245,2,FALSE)</f>
        <v>STP</v>
      </c>
    </row>
    <row r="256" spans="2:14" ht="12.75" customHeight="1">
      <c r="B256" s="25" t="s">
        <v>259</v>
      </c>
      <c r="C256" t="str">
        <f>VLOOKUP($B256,Apple!$B$3:$E$176,Apple!C$1,FALSE)</f>
        <v>SA</v>
      </c>
      <c r="D256" t="str">
        <f>VLOOKUP($B256,Apple!$B$3:$E$176,Apple!D$1,FALSE)</f>
        <v>SAR</v>
      </c>
      <c r="E256" t="str">
        <f>VLOOKUP($B256,Apple!$B$3:$E$176,Apple!E$1,FALSE)</f>
        <v>SAR</v>
      </c>
      <c r="F256" t="s">
        <v>68</v>
      </c>
      <c r="G256" s="128">
        <f>VLOOKUP($B256,Apple!$B$3:$H$176,Apple!F$1,FALSE)</f>
        <v>529.99</v>
      </c>
      <c r="H256" s="128">
        <f>VLOOKUP($B256,Apple!$B$3:$H$176,Apple!H$1,FALSE)</f>
        <v>384.99</v>
      </c>
      <c r="I256" s="251">
        <v>369.99</v>
      </c>
      <c r="J256" s="73">
        <f t="shared" si="12"/>
        <v>268.99</v>
      </c>
      <c r="K256" s="111">
        <f t="shared" si="13"/>
        <v>-0.3018924885375196</v>
      </c>
      <c r="L256" s="111">
        <f t="shared" si="14"/>
        <v>-0.30130652744227127</v>
      </c>
      <c r="N256" s="31" t="str">
        <f>+VLOOKUP(C256,'Country &amp; Code Abbreviation'!$C$3:$D$245,2,FALSE)</f>
        <v>SAU</v>
      </c>
    </row>
    <row r="257" spans="2:14" ht="12.75" customHeight="1">
      <c r="B257" s="25" t="s">
        <v>259</v>
      </c>
      <c r="C257" t="str">
        <f>VLOOKUP($B257,Google!$B$3:$E$176,Google!C$1,FALSE)</f>
        <v>SA</v>
      </c>
      <c r="D257" t="str">
        <f>VLOOKUP($B257,Google!$B$3:$E$176,Google!D$1,FALSE)</f>
        <v>SAR</v>
      </c>
      <c r="E257" t="str">
        <f>VLOOKUP($B257,Google!$B$3:$E$176,Google!E$1,FALSE)</f>
        <v>SAR</v>
      </c>
      <c r="F257" t="s">
        <v>69</v>
      </c>
      <c r="G257" s="128">
        <f>VLOOKUP($B257,Google!$B$3:$H$176,Google!F$1,FALSE)</f>
        <v>529.99</v>
      </c>
      <c r="H257" s="128">
        <f>VLOOKUP($B257,Google!$B$3:$H$176,Google!H$1,FALSE)</f>
        <v>384.99</v>
      </c>
      <c r="I257" s="251">
        <v>369.99</v>
      </c>
      <c r="J257" s="73">
        <f t="shared" si="12"/>
        <v>268.99</v>
      </c>
      <c r="K257" s="111">
        <f t="shared" si="13"/>
        <v>-0.3018924885375196</v>
      </c>
      <c r="L257" s="111">
        <f t="shared" si="14"/>
        <v>-0.30130652744227127</v>
      </c>
      <c r="N257" s="31" t="str">
        <f>+VLOOKUP(C257,'Country &amp; Code Abbreviation'!$C$3:$D$245,2,FALSE)</f>
        <v>SAU</v>
      </c>
    </row>
    <row r="258" spans="2:14" ht="12.75" customHeight="1">
      <c r="B258" s="25" t="s">
        <v>260</v>
      </c>
      <c r="C258" t="str">
        <f>VLOOKUP($B258,Apple!$B$3:$E$176,Apple!C$1,FALSE)</f>
        <v>SN</v>
      </c>
      <c r="D258" t="str">
        <f>VLOOKUP($B258,Apple!$B$3:$E$176,Apple!D$1,FALSE)</f>
        <v>XOF</v>
      </c>
      <c r="E258" t="str">
        <f>VLOOKUP($B258,Apple!$B$3:$E$176,Apple!E$1,FALSE)</f>
        <v>USD</v>
      </c>
      <c r="F258" t="s">
        <v>68</v>
      </c>
      <c r="G258" s="128">
        <f>VLOOKUP($B258,Apple!$B$3:$H$176,Apple!F$1,FALSE)</f>
        <v>72.989999999999995</v>
      </c>
      <c r="H258" s="128">
        <f>VLOOKUP($B258,Apple!$B$3:$H$176,Apple!H$1,FALSE)</f>
        <v>53.99</v>
      </c>
      <c r="I258" s="73">
        <f t="shared" si="15"/>
        <v>50.99</v>
      </c>
      <c r="J258" s="73">
        <f t="shared" si="12"/>
        <v>37.99</v>
      </c>
      <c r="K258" s="111">
        <f t="shared" si="13"/>
        <v>-0.30141115221263182</v>
      </c>
      <c r="L258" s="111">
        <f t="shared" si="14"/>
        <v>-0.2963511761437303</v>
      </c>
      <c r="N258" s="31" t="str">
        <f>+VLOOKUP(C258,'Country &amp; Code Abbreviation'!$C$3:$D$245,2,FALSE)</f>
        <v>SEN</v>
      </c>
    </row>
    <row r="259" spans="2:14" ht="12.75" customHeight="1">
      <c r="B259" s="163" t="s">
        <v>260</v>
      </c>
      <c r="C259" t="str">
        <f>VLOOKUP($B259,Google!$B$3:$E$176,Google!C$1,FALSE)</f>
        <v>SN</v>
      </c>
      <c r="D259" t="str">
        <f>VLOOKUP($B259,Google!$B$3:$E$176,Google!D$1,FALSE)</f>
        <v>XOF</v>
      </c>
      <c r="E259" t="str">
        <f>VLOOKUP($B259,Google!$B$3:$E$176,Google!E$1,FALSE)</f>
        <v>XOF</v>
      </c>
      <c r="F259" t="s">
        <v>69</v>
      </c>
      <c r="G259" s="128">
        <f>VLOOKUP($B259,Google!$B$3:$H$176,Google!F$1,FALSE)</f>
        <v>20410</v>
      </c>
      <c r="H259" s="128">
        <f>VLOOKUP($B259,Google!$B$3:$H$176,Google!H$1,FALSE)</f>
        <v>15120</v>
      </c>
      <c r="I259" s="253">
        <f>+MROUND(G259*0.7,10)</f>
        <v>14290</v>
      </c>
      <c r="J259" s="253">
        <f>+MROUND(H259*0.7,10)</f>
        <v>10580</v>
      </c>
      <c r="K259" s="111">
        <f t="shared" si="13"/>
        <v>-0.29985301322880942</v>
      </c>
      <c r="L259" s="111">
        <f t="shared" si="14"/>
        <v>-0.30026455026455023</v>
      </c>
      <c r="N259" s="31" t="str">
        <f>+VLOOKUP(C259,'Country &amp; Code Abbreviation'!$C$3:$D$245,2,FALSE)</f>
        <v>SEN</v>
      </c>
    </row>
    <row r="260" spans="2:14" ht="12.75" customHeight="1">
      <c r="B260" s="225" t="s">
        <v>261</v>
      </c>
      <c r="C260" t="str">
        <f>VLOOKUP($B260,Apple!$B$3:$E$176,Apple!C$1,FALSE)</f>
        <v>RS</v>
      </c>
      <c r="D260" t="str">
        <f>VLOOKUP($B260,Apple!$B$3:$E$176,Apple!D$1,FALSE)</f>
        <v>RSD</v>
      </c>
      <c r="E260" t="str">
        <f>VLOOKUP($B260,Apple!$B$3:$E$176,Apple!E$1,FALSE)</f>
        <v>EUR</v>
      </c>
      <c r="F260" t="s">
        <v>68</v>
      </c>
      <c r="G260" s="128">
        <f>VLOOKUP($B260,Apple!$B$3:$H$176,Apple!F$1,FALSE)</f>
        <v>87.99</v>
      </c>
      <c r="H260" s="128">
        <f>VLOOKUP($B260,Apple!$B$3:$H$176,Apple!H$1,FALSE)</f>
        <v>63.99</v>
      </c>
      <c r="I260" s="73">
        <f t="shared" si="15"/>
        <v>61.99</v>
      </c>
      <c r="J260" s="73">
        <f t="shared" si="12"/>
        <v>44.99</v>
      </c>
      <c r="K260" s="111">
        <f t="shared" si="13"/>
        <v>-0.29548812365041477</v>
      </c>
      <c r="L260" s="111">
        <f t="shared" si="14"/>
        <v>-0.29692139396780748</v>
      </c>
      <c r="N260" s="31" t="str">
        <f>+VLOOKUP(C260,'Country &amp; Code Abbreviation'!$C$3:$D$245,2,FALSE)</f>
        <v>SRB</v>
      </c>
    </row>
    <row r="261" spans="2:14" ht="12.75" customHeight="1">
      <c r="B261" s="25" t="s">
        <v>261</v>
      </c>
      <c r="C261" t="str">
        <f>VLOOKUP($B261,Google!$B$3:$E$176,Google!C$1,FALSE)</f>
        <v>RS</v>
      </c>
      <c r="D261" t="str">
        <f>VLOOKUP($B261,Google!$B$3:$E$176,Google!D$1,FALSE)</f>
        <v>RSD</v>
      </c>
      <c r="E261" t="str">
        <f>VLOOKUP($B261,Google!$B$3:$E$176,Google!E$1,FALSE)</f>
        <v>RSD</v>
      </c>
      <c r="F261" t="s">
        <v>69</v>
      </c>
      <c r="G261" s="128">
        <f>VLOOKUP($B261,Google!$B$3:$H$176,Google!F$1,FALSE)</f>
        <v>10309.99</v>
      </c>
      <c r="H261" s="128">
        <f>VLOOKUP($B261,Google!$B$3:$H$176,Google!H$1,FALSE)</f>
        <v>7499.99</v>
      </c>
      <c r="I261" s="252">
        <f>+MROUND(G261*0.7,10)-0.01</f>
        <v>7219.99</v>
      </c>
      <c r="J261" s="252">
        <f>+MROUND(H261*0.7,10)-0.01</f>
        <v>5249.99</v>
      </c>
      <c r="K261" s="111">
        <f t="shared" ref="K261:K324" si="16">I261/G261-1</f>
        <v>-0.29970931106625709</v>
      </c>
      <c r="L261" s="111">
        <f t="shared" ref="L261:L324" si="17">J261/H261-1</f>
        <v>-0.3000004000005333</v>
      </c>
      <c r="N261" s="31" t="str">
        <f>+VLOOKUP(C261,'Country &amp; Code Abbreviation'!$C$3:$D$245,2,FALSE)</f>
        <v>SRB</v>
      </c>
    </row>
    <row r="262" spans="2:14" ht="12.75" customHeight="1">
      <c r="B262" s="25" t="s">
        <v>262</v>
      </c>
      <c r="C262" t="str">
        <f>VLOOKUP($B262,Apple!$B$3:$E$176,Apple!C$1,FALSE)</f>
        <v>SC</v>
      </c>
      <c r="D262" t="str">
        <f>VLOOKUP($B262,Apple!$B$3:$E$176,Apple!D$1,FALSE)</f>
        <v>SCR</v>
      </c>
      <c r="E262" t="str">
        <f>VLOOKUP($B262,Apple!$B$3:$E$176,Apple!E$1,FALSE)</f>
        <v>USD</v>
      </c>
      <c r="F262" t="s">
        <v>68</v>
      </c>
      <c r="G262" s="128">
        <f>VLOOKUP($B262,Apple!$B$3:$H$176,Apple!F$1,FALSE)</f>
        <v>57.99</v>
      </c>
      <c r="H262" s="128">
        <f>VLOOKUP($B262,Apple!$B$3:$H$176,Apple!H$1,FALSE)</f>
        <v>42.99</v>
      </c>
      <c r="I262" s="251">
        <v>39.99</v>
      </c>
      <c r="J262" s="73">
        <f t="shared" ref="J262:J321" si="18">+MROUND(H262*0.7,1)-0.01</f>
        <v>29.99</v>
      </c>
      <c r="K262" s="111">
        <f t="shared" si="16"/>
        <v>-0.31039834454216242</v>
      </c>
      <c r="L262" s="111">
        <f t="shared" si="17"/>
        <v>-0.30239590602465694</v>
      </c>
      <c r="N262" s="31" t="str">
        <f>+VLOOKUP(C262,'Country &amp; Code Abbreviation'!$C$3:$D$245,2,FALSE)</f>
        <v>SYC</v>
      </c>
    </row>
    <row r="263" spans="2:14" ht="12.75" customHeight="1">
      <c r="B263" s="25" t="s">
        <v>262</v>
      </c>
      <c r="C263" t="str">
        <f>VLOOKUP($B263,Google!$B$3:$E$176,Google!C$1,FALSE)</f>
        <v>SC</v>
      </c>
      <c r="D263" t="str">
        <f>VLOOKUP($B263,Google!$B$3:$E$176,Google!D$1,FALSE)</f>
        <v>SCR</v>
      </c>
      <c r="E263" t="str">
        <f>VLOOKUP($B263,Google!$B$3:$E$176,Google!E$1,FALSE)</f>
        <v>USD</v>
      </c>
      <c r="F263" t="s">
        <v>69</v>
      </c>
      <c r="G263" s="128">
        <f>VLOOKUP($B263,Google!$B$3:$H$176,Google!F$1,FALSE)</f>
        <v>57.99</v>
      </c>
      <c r="H263" s="128">
        <f>VLOOKUP($B263,Google!$B$3:$H$176,Google!H$1,FALSE)</f>
        <v>42.99</v>
      </c>
      <c r="I263" s="251">
        <v>39.99</v>
      </c>
      <c r="J263" s="73">
        <f t="shared" si="18"/>
        <v>29.99</v>
      </c>
      <c r="K263" s="111">
        <f t="shared" si="16"/>
        <v>-0.31039834454216242</v>
      </c>
      <c r="L263" s="111">
        <f t="shared" si="17"/>
        <v>-0.30239590602465694</v>
      </c>
      <c r="N263" s="31" t="str">
        <f>+VLOOKUP(C263,'Country &amp; Code Abbreviation'!$C$3:$D$245,2,FALSE)</f>
        <v>SYC</v>
      </c>
    </row>
    <row r="264" spans="2:14" ht="12.75" customHeight="1">
      <c r="B264" s="25" t="s">
        <v>263</v>
      </c>
      <c r="C264" t="str">
        <f>VLOOKUP($B264,Apple!$B$3:$E$176,Apple!C$1,FALSE)</f>
        <v>SL</v>
      </c>
      <c r="D264" t="str">
        <f>VLOOKUP($B264,Apple!$B$3:$E$176,Apple!D$1,FALSE)</f>
        <v>SLL</v>
      </c>
      <c r="E264" t="str">
        <f>VLOOKUP($B264,Apple!$B$3:$E$176,Apple!E$1,FALSE)</f>
        <v>USD</v>
      </c>
      <c r="F264" t="s">
        <v>68</v>
      </c>
      <c r="G264" s="128">
        <f>VLOOKUP($B264,Apple!$B$3:$H$176,Apple!F$1,FALSE)</f>
        <v>59.99</v>
      </c>
      <c r="H264" s="128">
        <f>VLOOKUP($B264,Apple!$B$3:$H$176,Apple!H$1,FALSE)</f>
        <v>44.99</v>
      </c>
      <c r="I264" s="73">
        <f t="shared" ref="I264:I322" si="19">+MROUND(G264*0.7,1)-0.01</f>
        <v>41.99</v>
      </c>
      <c r="J264" s="73">
        <f t="shared" si="18"/>
        <v>30.99</v>
      </c>
      <c r="K264" s="111">
        <f t="shared" si="16"/>
        <v>-0.3000500083347224</v>
      </c>
      <c r="L264" s="111">
        <f t="shared" si="17"/>
        <v>-0.31118026228050688</v>
      </c>
      <c r="N264" s="31" t="str">
        <f>+VLOOKUP(C264,'Country &amp; Code Abbreviation'!$C$3:$D$245,2,FALSE)</f>
        <v>SLE</v>
      </c>
    </row>
    <row r="265" spans="2:14" ht="12.75" customHeight="1">
      <c r="B265" s="25" t="s">
        <v>263</v>
      </c>
      <c r="C265" t="str">
        <f>VLOOKUP($B265,Google!$B$3:$E$176,Google!C$1,FALSE)</f>
        <v>SL</v>
      </c>
      <c r="D265" t="str">
        <f>VLOOKUP($B265,Google!$B$3:$E$176,Google!D$1,FALSE)</f>
        <v>SLL</v>
      </c>
      <c r="E265" t="str">
        <f>VLOOKUP($B265,Google!$B$3:$E$176,Google!E$1,FALSE)</f>
        <v>USD</v>
      </c>
      <c r="F265" t="s">
        <v>69</v>
      </c>
      <c r="G265" s="128">
        <f>VLOOKUP($B265,Google!$B$3:$H$176,Google!F$1,FALSE)</f>
        <v>59.99</v>
      </c>
      <c r="H265" s="128">
        <f>VLOOKUP($B265,Google!$B$3:$H$176,Google!H$1,FALSE)</f>
        <v>44.99</v>
      </c>
      <c r="I265" s="73">
        <f t="shared" si="19"/>
        <v>41.99</v>
      </c>
      <c r="J265" s="73">
        <f t="shared" si="18"/>
        <v>30.99</v>
      </c>
      <c r="K265" s="111">
        <f t="shared" si="16"/>
        <v>-0.3000500083347224</v>
      </c>
      <c r="L265" s="111">
        <f t="shared" si="17"/>
        <v>-0.31118026228050688</v>
      </c>
      <c r="N265" s="31" t="str">
        <f>+VLOOKUP(C265,'Country &amp; Code Abbreviation'!$C$3:$D$245,2,FALSE)</f>
        <v>SLE</v>
      </c>
    </row>
    <row r="266" spans="2:14" ht="12.75" customHeight="1">
      <c r="B266" s="25" t="s">
        <v>264</v>
      </c>
      <c r="C266" t="str">
        <f>VLOOKUP($B266,Apple!$B$3:$E$176,Apple!C$1,FALSE)</f>
        <v>SG</v>
      </c>
      <c r="D266" t="str">
        <f>VLOOKUP($B266,Apple!$B$3:$E$176,Apple!D$1,FALSE)</f>
        <v>SGD</v>
      </c>
      <c r="E266" t="str">
        <f>VLOOKUP($B266,Apple!$B$3:$E$176,Apple!E$1,FALSE)</f>
        <v>SGD</v>
      </c>
      <c r="F266" t="s">
        <v>68</v>
      </c>
      <c r="G266" s="128">
        <f>VLOOKUP($B266,Apple!$B$3:$H$176,Apple!F$1,FALSE)</f>
        <v>184.98</v>
      </c>
      <c r="H266" s="128">
        <f>VLOOKUP($B266,Apple!$B$3:$H$176,Apple!H$1,FALSE)</f>
        <v>124.98</v>
      </c>
      <c r="I266" s="251">
        <v>129.97999999999999</v>
      </c>
      <c r="J266" s="73">
        <f>+MROUND(H266*0.7,1)-0.02</f>
        <v>86.98</v>
      </c>
      <c r="K266" s="111">
        <f t="shared" si="16"/>
        <v>-0.29732944102065095</v>
      </c>
      <c r="L266" s="111">
        <f t="shared" si="17"/>
        <v>-0.30404864778364538</v>
      </c>
      <c r="N266" s="31" t="str">
        <f>+VLOOKUP(C266,'Country &amp; Code Abbreviation'!$C$3:$D$245,2,FALSE)</f>
        <v>SGP</v>
      </c>
    </row>
    <row r="267" spans="2:14" ht="12.75" customHeight="1">
      <c r="B267" s="25" t="s">
        <v>264</v>
      </c>
      <c r="C267" t="str">
        <f>VLOOKUP($B267,Google!$B$3:$E$176,Google!C$1,FALSE)</f>
        <v>SG</v>
      </c>
      <c r="D267" t="str">
        <f>VLOOKUP($B267,Google!$B$3:$E$176,Google!D$1,FALSE)</f>
        <v>SGD</v>
      </c>
      <c r="E267" t="str">
        <f>VLOOKUP($B267,Google!$B$3:$E$176,Google!E$1,FALSE)</f>
        <v>SGD</v>
      </c>
      <c r="F267" t="s">
        <v>69</v>
      </c>
      <c r="G267" s="128">
        <f>VLOOKUP($B267,Google!$B$3:$H$176,Google!F$1,FALSE)</f>
        <v>184.98</v>
      </c>
      <c r="H267" s="128">
        <f>VLOOKUP($B267,Google!$B$3:$H$176,Google!H$1,FALSE)</f>
        <v>124.98</v>
      </c>
      <c r="I267" s="251">
        <v>129.97999999999999</v>
      </c>
      <c r="J267" s="73">
        <f>+MROUND(H267*0.7,1)-0.02</f>
        <v>86.98</v>
      </c>
      <c r="K267" s="111">
        <f t="shared" si="16"/>
        <v>-0.29732944102065095</v>
      </c>
      <c r="L267" s="111">
        <f t="shared" si="17"/>
        <v>-0.30404864778364538</v>
      </c>
      <c r="N267" s="31" t="str">
        <f>+VLOOKUP(C267,'Country &amp; Code Abbreviation'!$C$3:$D$245,2,FALSE)</f>
        <v>SGP</v>
      </c>
    </row>
    <row r="268" spans="2:14" ht="12.75" customHeight="1">
      <c r="B268" s="25" t="s">
        <v>266</v>
      </c>
      <c r="C268" t="str">
        <f>VLOOKUP($B268,Apple!$B$3:$E$176,Apple!C$1,FALSE)</f>
        <v>SK</v>
      </c>
      <c r="D268" t="str">
        <f>VLOOKUP($B268,Apple!$B$3:$E$176,Apple!D$1,FALSE)</f>
        <v>EUR</v>
      </c>
      <c r="E268" t="str">
        <f>VLOOKUP($B268,Apple!$B$3:$E$176,Apple!E$1,FALSE)</f>
        <v>EUR</v>
      </c>
      <c r="F268" t="s">
        <v>68</v>
      </c>
      <c r="G268" s="128">
        <f>VLOOKUP($B268,Apple!$B$3:$H$176,Apple!F$1,FALSE)</f>
        <v>94.99</v>
      </c>
      <c r="H268" s="128">
        <f>VLOOKUP($B268,Apple!$B$3:$H$176,Apple!H$1,FALSE)</f>
        <v>69.989999999999995</v>
      </c>
      <c r="I268" s="251">
        <v>64.989999999999995</v>
      </c>
      <c r="J268" s="73">
        <f t="shared" si="18"/>
        <v>48.99</v>
      </c>
      <c r="K268" s="111">
        <f t="shared" si="16"/>
        <v>-0.31582271818086116</v>
      </c>
      <c r="L268" s="111">
        <f t="shared" si="17"/>
        <v>-0.30004286326618079</v>
      </c>
      <c r="N268" s="31" t="str">
        <f>+VLOOKUP(C268,'Country &amp; Code Abbreviation'!$C$3:$D$245,2,FALSE)</f>
        <v>SVK</v>
      </c>
    </row>
    <row r="269" spans="2:14" ht="12.75" customHeight="1">
      <c r="B269" s="25" t="s">
        <v>266</v>
      </c>
      <c r="C269" t="str">
        <f>VLOOKUP($B269,Google!$B$3:$E$176,Google!C$1,FALSE)</f>
        <v>SK</v>
      </c>
      <c r="D269" t="str">
        <f>VLOOKUP($B269,Google!$B$3:$E$176,Google!D$1,FALSE)</f>
        <v>EUR</v>
      </c>
      <c r="E269" t="str">
        <f>VLOOKUP($B269,Google!$B$3:$E$176,Google!E$1,FALSE)</f>
        <v>EUR</v>
      </c>
      <c r="F269" t="s">
        <v>69</v>
      </c>
      <c r="G269" s="128">
        <f>VLOOKUP($B269,Google!$B$3:$H$176,Google!F$1,FALSE)</f>
        <v>94.99</v>
      </c>
      <c r="H269" s="128">
        <f>VLOOKUP($B269,Google!$B$3:$H$176,Google!H$1,FALSE)</f>
        <v>69.989999999999995</v>
      </c>
      <c r="I269" s="251">
        <v>64.989999999999995</v>
      </c>
      <c r="J269" s="73">
        <f t="shared" si="18"/>
        <v>48.99</v>
      </c>
      <c r="K269" s="111">
        <f t="shared" si="16"/>
        <v>-0.31582271818086116</v>
      </c>
      <c r="L269" s="111">
        <f t="shared" si="17"/>
        <v>-0.30004286326618079</v>
      </c>
      <c r="N269" s="31" t="str">
        <f>+VLOOKUP(C269,'Country &amp; Code Abbreviation'!$C$3:$D$245,2,FALSE)</f>
        <v>SVK</v>
      </c>
    </row>
    <row r="270" spans="2:14" ht="12.75" customHeight="1">
      <c r="B270" s="25" t="s">
        <v>267</v>
      </c>
      <c r="C270" t="str">
        <f>VLOOKUP($B270,Apple!$B$3:$E$176,Apple!C$1,FALSE)</f>
        <v>SI</v>
      </c>
      <c r="D270" t="str">
        <f>VLOOKUP($B270,Apple!$B$3:$E$176,Apple!D$1,FALSE)</f>
        <v>EUR</v>
      </c>
      <c r="E270" t="str">
        <f>VLOOKUP($B270,Apple!$B$3:$E$176,Apple!E$1,FALSE)</f>
        <v>EUR</v>
      </c>
      <c r="F270" t="s">
        <v>68</v>
      </c>
      <c r="G270" s="128">
        <f>VLOOKUP($B270,Apple!$B$3:$H$176,Apple!F$1,FALSE)</f>
        <v>121.99</v>
      </c>
      <c r="H270" s="128">
        <f>VLOOKUP($B270,Apple!$B$3:$H$176,Apple!H$1,FALSE)</f>
        <v>89.99</v>
      </c>
      <c r="I270" s="73">
        <f t="shared" si="19"/>
        <v>84.99</v>
      </c>
      <c r="J270" s="73">
        <f t="shared" si="18"/>
        <v>62.99</v>
      </c>
      <c r="K270" s="111">
        <f t="shared" si="16"/>
        <v>-0.30330354947126814</v>
      </c>
      <c r="L270" s="111">
        <f t="shared" si="17"/>
        <v>-0.3000333370374485</v>
      </c>
      <c r="N270" s="31" t="str">
        <f>+VLOOKUP(C270,'Country &amp; Code Abbreviation'!$C$3:$D$245,2,FALSE)</f>
        <v>SVN</v>
      </c>
    </row>
    <row r="271" spans="2:14" ht="12.75" customHeight="1">
      <c r="B271" s="227" t="s">
        <v>267</v>
      </c>
      <c r="C271" t="str">
        <f>VLOOKUP($B271,Google!$B$3:$E$176,Google!C$1,FALSE)</f>
        <v>SI</v>
      </c>
      <c r="D271" t="str">
        <f>VLOOKUP($B271,Google!$B$3:$E$176,Google!D$1,FALSE)</f>
        <v>EUR</v>
      </c>
      <c r="E271" t="str">
        <f>VLOOKUP($B271,Google!$B$3:$E$176,Google!E$1,FALSE)</f>
        <v>EUR</v>
      </c>
      <c r="F271" t="s">
        <v>69</v>
      </c>
      <c r="G271" s="128">
        <f>VLOOKUP($B271,Google!$B$3:$H$176,Google!F$1,FALSE)</f>
        <v>121.99</v>
      </c>
      <c r="H271" s="128">
        <f>VLOOKUP($B271,Google!$B$3:$H$176,Google!H$1,FALSE)</f>
        <v>89.99</v>
      </c>
      <c r="I271" s="73">
        <f t="shared" si="19"/>
        <v>84.99</v>
      </c>
      <c r="J271" s="73">
        <f t="shared" si="18"/>
        <v>62.99</v>
      </c>
      <c r="K271" s="111">
        <f t="shared" si="16"/>
        <v>-0.30330354947126814</v>
      </c>
      <c r="L271" s="111">
        <f t="shared" si="17"/>
        <v>-0.3000333370374485</v>
      </c>
      <c r="N271" s="31" t="str">
        <f>+VLOOKUP(C271,'Country &amp; Code Abbreviation'!$C$3:$D$245,2,FALSE)</f>
        <v>SVN</v>
      </c>
    </row>
    <row r="272" spans="2:14" ht="12.75" customHeight="1">
      <c r="B272" s="25" t="s">
        <v>268</v>
      </c>
      <c r="C272" t="str">
        <f>VLOOKUP($B272,Apple!$B$3:$E$176,Apple!C$1,FALSE)</f>
        <v>SB</v>
      </c>
      <c r="D272" t="str">
        <f>VLOOKUP($B272,Apple!$B$3:$E$176,Apple!D$1,FALSE)</f>
        <v>SBD</v>
      </c>
      <c r="E272" t="str">
        <f>VLOOKUP($B272,Apple!$B$3:$E$176,Apple!E$1,FALSE)</f>
        <v>USD</v>
      </c>
      <c r="F272" t="s">
        <v>68</v>
      </c>
      <c r="G272" s="128">
        <f>VLOOKUP($B272,Apple!$B$3:$H$176,Apple!F$1,FALSE)</f>
        <v>69.989999999999995</v>
      </c>
      <c r="H272" s="128">
        <f>VLOOKUP($B272,Apple!$B$3:$H$176,Apple!H$1,FALSE)</f>
        <v>51.99</v>
      </c>
      <c r="I272" s="73">
        <f t="shared" si="19"/>
        <v>48.99</v>
      </c>
      <c r="J272" s="73">
        <f t="shared" si="18"/>
        <v>35.99</v>
      </c>
      <c r="K272" s="111">
        <f t="shared" si="16"/>
        <v>-0.30004286326618079</v>
      </c>
      <c r="L272" s="111">
        <f t="shared" si="17"/>
        <v>-0.30775149067128293</v>
      </c>
      <c r="N272" s="31" t="str">
        <f>+VLOOKUP(C272,'Country &amp; Code Abbreviation'!$C$3:$D$245,2,FALSE)</f>
        <v>SLB</v>
      </c>
    </row>
    <row r="273" spans="2:14" ht="12.75" customHeight="1">
      <c r="B273" s="25" t="s">
        <v>268</v>
      </c>
      <c r="C273" t="str">
        <f>VLOOKUP($B273,Google!$B$3:$E$176,Google!C$1,FALSE)</f>
        <v>SB</v>
      </c>
      <c r="D273" t="str">
        <f>VLOOKUP($B273,Google!$B$3:$E$176,Google!D$1,FALSE)</f>
        <v>SBD</v>
      </c>
      <c r="E273" t="str">
        <f>VLOOKUP($B273,Google!$B$3:$E$176,Google!E$1,FALSE)</f>
        <v>USD</v>
      </c>
      <c r="F273" t="s">
        <v>69</v>
      </c>
      <c r="G273" s="128">
        <f>VLOOKUP($B273,Google!$B$3:$H$176,Google!F$1,FALSE)</f>
        <v>69.989999999999995</v>
      </c>
      <c r="H273" s="128">
        <f>VLOOKUP($B273,Google!$B$3:$H$176,Google!H$1,FALSE)</f>
        <v>51.99</v>
      </c>
      <c r="I273" s="73">
        <f t="shared" si="19"/>
        <v>48.99</v>
      </c>
      <c r="J273" s="73">
        <f t="shared" si="18"/>
        <v>35.99</v>
      </c>
      <c r="K273" s="111">
        <f t="shared" si="16"/>
        <v>-0.30004286326618079</v>
      </c>
      <c r="L273" s="111">
        <f t="shared" si="17"/>
        <v>-0.30775149067128293</v>
      </c>
      <c r="N273" s="31" t="str">
        <f>+VLOOKUP(C273,'Country &amp; Code Abbreviation'!$C$3:$D$245,2,FALSE)</f>
        <v>SLB</v>
      </c>
    </row>
    <row r="274" spans="2:14" ht="12.75" customHeight="1">
      <c r="B274" s="25" t="s">
        <v>269</v>
      </c>
      <c r="C274" t="str">
        <f>VLOOKUP($B274,Google!$B$3:$E$176,Google!C$1,FALSE)</f>
        <v>SO</v>
      </c>
      <c r="D274" t="str">
        <f>VLOOKUP($B274,Google!$B$3:$E$176,Google!D$1,FALSE)</f>
        <v>SOS</v>
      </c>
      <c r="E274" t="str">
        <f>VLOOKUP($B274,Google!$B$3:$E$176,Google!E$1,FALSE)</f>
        <v>USD</v>
      </c>
      <c r="F274" t="s">
        <v>69</v>
      </c>
      <c r="G274" s="128">
        <f>VLOOKUP($B274,Google!$B$3:$H$176,Google!F$1,FALSE)</f>
        <v>59.99</v>
      </c>
      <c r="H274" s="128">
        <f>VLOOKUP($B274,Google!$B$3:$H$176,Google!H$1,FALSE)</f>
        <v>44.99</v>
      </c>
      <c r="I274" s="73">
        <f t="shared" si="19"/>
        <v>41.99</v>
      </c>
      <c r="J274" s="73">
        <f t="shared" si="18"/>
        <v>30.99</v>
      </c>
      <c r="K274" s="111">
        <f t="shared" si="16"/>
        <v>-0.3000500083347224</v>
      </c>
      <c r="L274" s="111">
        <f t="shared" si="17"/>
        <v>-0.31118026228050688</v>
      </c>
      <c r="N274" s="31" t="str">
        <f>+VLOOKUP(C274,'Country &amp; Code Abbreviation'!$C$3:$D$245,2,FALSE)</f>
        <v>SOM</v>
      </c>
    </row>
    <row r="275" spans="2:14" ht="12.75" customHeight="1">
      <c r="B275" s="25" t="s">
        <v>271</v>
      </c>
      <c r="C275" t="str">
        <f>VLOOKUP($B275,Apple!$B$3:$E$176,Apple!C$1,FALSE)</f>
        <v>ZA</v>
      </c>
      <c r="D275" t="str">
        <f>VLOOKUP($B275,Apple!$B$3:$E$176,Apple!D$1,FALSE)</f>
        <v>ZAR</v>
      </c>
      <c r="E275" t="str">
        <f>VLOOKUP($B275,Apple!$B$3:$E$176,Apple!E$1,FALSE)</f>
        <v>ZAR</v>
      </c>
      <c r="F275" t="s">
        <v>68</v>
      </c>
      <c r="G275" s="128">
        <f>VLOOKUP($B275,Apple!$B$3:$H$176,Apple!F$1,FALSE)</f>
        <v>1129.99</v>
      </c>
      <c r="H275" s="128">
        <f>VLOOKUP($B275,Apple!$B$3:$H$176,Apple!H$1,FALSE)</f>
        <v>839.99</v>
      </c>
      <c r="I275" s="251">
        <v>789.99</v>
      </c>
      <c r="J275" s="251">
        <v>589.99</v>
      </c>
      <c r="K275" s="111">
        <f t="shared" si="16"/>
        <v>-0.30088761847449974</v>
      </c>
      <c r="L275" s="111">
        <f t="shared" si="17"/>
        <v>-0.29762259074512787</v>
      </c>
      <c r="N275" s="31" t="str">
        <f>+VLOOKUP(C275,'Country &amp; Code Abbreviation'!$C$3:$D$245,2,FALSE)</f>
        <v>ZAF</v>
      </c>
    </row>
    <row r="276" spans="2:14" ht="12.75" customHeight="1">
      <c r="B276" s="25" t="s">
        <v>271</v>
      </c>
      <c r="C276" t="str">
        <f>VLOOKUP($B276,Google!$B$3:$E$176,Google!C$1,FALSE)</f>
        <v>ZA</v>
      </c>
      <c r="D276" t="str">
        <f>VLOOKUP($B276,Google!$B$3:$E$176,Google!D$1,FALSE)</f>
        <v>ZAR</v>
      </c>
      <c r="E276" t="str">
        <f>VLOOKUP($B276,Google!$B$3:$E$176,Google!E$1,FALSE)</f>
        <v>ZAR</v>
      </c>
      <c r="F276" t="s">
        <v>69</v>
      </c>
      <c r="G276" s="128">
        <f>VLOOKUP($B276,Google!$B$3:$H$176,Google!F$1,FALSE)</f>
        <v>1129.99</v>
      </c>
      <c r="H276" s="128">
        <f>VLOOKUP($B276,Google!$B$3:$H$176,Google!H$1,FALSE)</f>
        <v>839.99</v>
      </c>
      <c r="I276" s="251">
        <v>789.99</v>
      </c>
      <c r="J276" s="251">
        <v>589.99</v>
      </c>
      <c r="K276" s="111">
        <f t="shared" si="16"/>
        <v>-0.30088761847449974</v>
      </c>
      <c r="L276" s="111">
        <f t="shared" si="17"/>
        <v>-0.29762259074512787</v>
      </c>
      <c r="N276" s="31" t="str">
        <f>+VLOOKUP(C276,'Country &amp; Code Abbreviation'!$C$3:$D$245,2,FALSE)</f>
        <v>ZAF</v>
      </c>
    </row>
    <row r="277" spans="2:14" ht="12.75" customHeight="1">
      <c r="B277" s="25" t="s">
        <v>273</v>
      </c>
      <c r="C277" t="str">
        <f>VLOOKUP($B277,Apple!$B$3:$E$176,Apple!C$1,FALSE)</f>
        <v>KR</v>
      </c>
      <c r="D277" t="str">
        <f>VLOOKUP($B277,Apple!$B$3:$E$176,Apple!D$1,FALSE)</f>
        <v>KRW</v>
      </c>
      <c r="E277" t="str">
        <f>VLOOKUP($B277,Apple!$B$3:$E$176,Apple!E$1,FALSE)</f>
        <v>KRW</v>
      </c>
      <c r="F277" t="s">
        <v>68</v>
      </c>
      <c r="G277" s="128">
        <f>VLOOKUP($B277,Apple!$B$3:$H$176,Apple!F$1,FALSE)</f>
        <v>190000</v>
      </c>
      <c r="H277" s="128">
        <f>VLOOKUP($B277,Apple!$B$3:$H$176,Apple!H$1,FALSE)</f>
        <v>130000</v>
      </c>
      <c r="I277" s="253">
        <f t="shared" si="19"/>
        <v>132999.99</v>
      </c>
      <c r="J277" s="253">
        <f t="shared" si="18"/>
        <v>90999.99</v>
      </c>
      <c r="K277" s="111">
        <f t="shared" si="16"/>
        <v>-0.30000005263157903</v>
      </c>
      <c r="L277" s="111">
        <f t="shared" si="17"/>
        <v>-0.30000007692307684</v>
      </c>
      <c r="N277" s="31" t="str">
        <f>+VLOOKUP(C277,'Country &amp; Code Abbreviation'!$C$3:$D$245,2,FALSE)</f>
        <v>KOR</v>
      </c>
    </row>
    <row r="278" spans="2:14" ht="12.75" customHeight="1">
      <c r="B278" s="25" t="s">
        <v>273</v>
      </c>
      <c r="C278" t="str">
        <f>VLOOKUP($B278,Google!$B$3:$E$176,Google!C$1,FALSE)</f>
        <v>KR</v>
      </c>
      <c r="D278" t="str">
        <f>VLOOKUP($B278,Google!$B$3:$E$176,Google!D$1,FALSE)</f>
        <v>KRW</v>
      </c>
      <c r="E278" t="str">
        <f>VLOOKUP($B278,Google!$B$3:$E$176,Google!E$1,FALSE)</f>
        <v>KRW</v>
      </c>
      <c r="F278" t="s">
        <v>69</v>
      </c>
      <c r="G278" s="128">
        <f>VLOOKUP($B278,Google!$B$3:$H$176,Google!F$1,FALSE)</f>
        <v>190000</v>
      </c>
      <c r="H278" s="128">
        <f>VLOOKUP($B278,Google!$B$3:$H$176,Google!H$1,FALSE)</f>
        <v>130000</v>
      </c>
      <c r="I278" s="253">
        <f t="shared" si="19"/>
        <v>132999.99</v>
      </c>
      <c r="J278" s="253">
        <f t="shared" si="18"/>
        <v>90999.99</v>
      </c>
      <c r="K278" s="111">
        <f t="shared" si="16"/>
        <v>-0.30000005263157903</v>
      </c>
      <c r="L278" s="111">
        <f t="shared" si="17"/>
        <v>-0.30000007692307684</v>
      </c>
      <c r="N278" s="31" t="str">
        <f>+VLOOKUP(C278,'Country &amp; Code Abbreviation'!$C$3:$D$245,2,FALSE)</f>
        <v>KOR</v>
      </c>
    </row>
    <row r="279" spans="2:14" ht="12.75" customHeight="1">
      <c r="B279" s="25" t="s">
        <v>276</v>
      </c>
      <c r="C279" t="str">
        <f>VLOOKUP($B279,Apple!$B$3:$E$176,Apple!C$1,FALSE)</f>
        <v>ES</v>
      </c>
      <c r="D279" t="str">
        <f>VLOOKUP($B279,Apple!$B$3:$E$176,Apple!D$1,FALSE)</f>
        <v>EUR</v>
      </c>
      <c r="E279" t="str">
        <f>VLOOKUP($B279,Apple!$B$3:$E$176,Apple!E$1,FALSE)</f>
        <v>EUR</v>
      </c>
      <c r="F279" t="s">
        <v>68</v>
      </c>
      <c r="G279" s="128">
        <f>VLOOKUP($B279,Apple!$B$3:$H$176,Apple!F$1,FALSE)</f>
        <v>139.99</v>
      </c>
      <c r="H279" s="128">
        <f>VLOOKUP($B279,Apple!$B$3:$H$176,Apple!H$1,FALSE)</f>
        <v>109.99</v>
      </c>
      <c r="I279" s="73">
        <f t="shared" si="19"/>
        <v>97.99</v>
      </c>
      <c r="J279" s="73">
        <f t="shared" si="18"/>
        <v>76.989999999999995</v>
      </c>
      <c r="K279" s="111">
        <f t="shared" si="16"/>
        <v>-0.30002143010215021</v>
      </c>
      <c r="L279" s="111">
        <f t="shared" si="17"/>
        <v>-0.30002727520683703</v>
      </c>
      <c r="N279" s="31" t="str">
        <f>+VLOOKUP(C279,'Country &amp; Code Abbreviation'!$C$3:$D$245,2,FALSE)</f>
        <v>ESP</v>
      </c>
    </row>
    <row r="280" spans="2:14" ht="12.75" customHeight="1">
      <c r="B280" s="227" t="s">
        <v>276</v>
      </c>
      <c r="C280" t="str">
        <f>VLOOKUP($B280,Google!$B$3:$E$176,Google!C$1,FALSE)</f>
        <v>ES</v>
      </c>
      <c r="D280" t="str">
        <f>VLOOKUP($B280,Google!$B$3:$E$176,Google!D$1,FALSE)</f>
        <v>EUR</v>
      </c>
      <c r="E280" t="str">
        <f>VLOOKUP($B280,Google!$B$3:$E$176,Google!E$1,FALSE)</f>
        <v>EUR</v>
      </c>
      <c r="F280" t="s">
        <v>69</v>
      </c>
      <c r="G280" s="128">
        <f>VLOOKUP($B280,Google!$B$3:$H$176,Google!F$1,FALSE)</f>
        <v>139.99</v>
      </c>
      <c r="H280" s="128">
        <f>VLOOKUP($B280,Google!$B$3:$H$176,Google!H$1,FALSE)</f>
        <v>109.99</v>
      </c>
      <c r="I280" s="73">
        <f t="shared" si="19"/>
        <v>97.99</v>
      </c>
      <c r="J280" s="73">
        <f t="shared" si="18"/>
        <v>76.989999999999995</v>
      </c>
      <c r="K280" s="111">
        <f t="shared" si="16"/>
        <v>-0.30002143010215021</v>
      </c>
      <c r="L280" s="111">
        <f t="shared" si="17"/>
        <v>-0.30002727520683703</v>
      </c>
      <c r="N280" s="31" t="str">
        <f>+VLOOKUP(C280,'Country &amp; Code Abbreviation'!$C$3:$D$245,2,FALSE)</f>
        <v>ESP</v>
      </c>
    </row>
    <row r="281" spans="2:14" ht="12.75" customHeight="1">
      <c r="B281" s="25" t="s">
        <v>277</v>
      </c>
      <c r="C281" t="str">
        <f>VLOOKUP($B281,Apple!$B$3:$E$176,Apple!C$1,FALSE)</f>
        <v>LK</v>
      </c>
      <c r="D281" t="str">
        <f>VLOOKUP($B281,Apple!$B$3:$E$176,Apple!D$1,FALSE)</f>
        <v>LKR</v>
      </c>
      <c r="E281" t="str">
        <f>VLOOKUP($B281,Apple!$B$3:$E$176,Apple!E$1,FALSE)</f>
        <v>USD</v>
      </c>
      <c r="F281" t="s">
        <v>68</v>
      </c>
      <c r="G281" s="128">
        <f>VLOOKUP($B281,Apple!$B$3:$H$176,Apple!F$1,FALSE)</f>
        <v>49.99</v>
      </c>
      <c r="H281" s="128">
        <f>VLOOKUP($B281,Apple!$B$3:$H$176,Apple!H$1,FALSE)</f>
        <v>37.99</v>
      </c>
      <c r="I281" s="73">
        <f t="shared" si="19"/>
        <v>34.99</v>
      </c>
      <c r="J281" s="73">
        <f t="shared" si="18"/>
        <v>26.99</v>
      </c>
      <c r="K281" s="111">
        <f t="shared" si="16"/>
        <v>-0.30006001200240051</v>
      </c>
      <c r="L281" s="111">
        <f t="shared" si="17"/>
        <v>-0.28954988154777583</v>
      </c>
      <c r="N281" s="31" t="str">
        <f>+VLOOKUP(C281,'Country &amp; Code Abbreviation'!$C$3:$D$245,2,FALSE)</f>
        <v>LKA</v>
      </c>
    </row>
    <row r="282" spans="2:14" ht="12.75" customHeight="1">
      <c r="B282" s="25" t="s">
        <v>277</v>
      </c>
      <c r="C282" t="str">
        <f>VLOOKUP($B282,Google!$B$3:$E$176,Google!C$1,FALSE)</f>
        <v>LK</v>
      </c>
      <c r="D282" t="str">
        <f>VLOOKUP($B282,Google!$B$3:$E$176,Google!D$1,FALSE)</f>
        <v>LKR</v>
      </c>
      <c r="E282" t="str">
        <f>VLOOKUP($B282,Google!$B$3:$E$176,Google!E$1,FALSE)</f>
        <v>LKR</v>
      </c>
      <c r="F282" t="s">
        <v>69</v>
      </c>
      <c r="G282" s="128">
        <f>VLOOKUP($B282,Google!$B$3:$H$176,Google!F$1,FALSE)</f>
        <v>15420</v>
      </c>
      <c r="H282" s="128">
        <f>VLOOKUP($B282,Google!$B$3:$H$176,Google!H$1,FALSE)</f>
        <v>11400</v>
      </c>
      <c r="I282" s="253">
        <f>+MROUND(G282*0.7,10)</f>
        <v>10790</v>
      </c>
      <c r="J282" s="253">
        <f>+MROUND(H282*0.7,10)</f>
        <v>7980</v>
      </c>
      <c r="K282" s="111">
        <f t="shared" si="16"/>
        <v>-0.30025940337224388</v>
      </c>
      <c r="L282" s="111">
        <f t="shared" si="17"/>
        <v>-0.30000000000000004</v>
      </c>
      <c r="N282" s="31" t="str">
        <f>+VLOOKUP(C282,'Country &amp; Code Abbreviation'!$C$3:$D$245,2,FALSE)</f>
        <v>LKA</v>
      </c>
    </row>
    <row r="283" spans="2:14" ht="12.75" customHeight="1">
      <c r="B283" s="25" t="s">
        <v>398</v>
      </c>
      <c r="C283" t="str">
        <f>VLOOKUP($B283,Apple!$B$3:$E$176,Apple!C$1,FALSE)</f>
        <v>KN</v>
      </c>
      <c r="D283" t="str">
        <f>VLOOKUP($B283,Apple!$B$3:$E$176,Apple!D$1,FALSE)</f>
        <v>XCD</v>
      </c>
      <c r="E283" t="str">
        <f>VLOOKUP($B283,Apple!$B$3:$E$176,Apple!E$1,FALSE)</f>
        <v>USD</v>
      </c>
      <c r="F283" t="s">
        <v>68</v>
      </c>
      <c r="G283" s="128">
        <f>VLOOKUP($B283,Apple!$B$3:$H$176,Apple!F$1,FALSE)</f>
        <v>99.99</v>
      </c>
      <c r="H283" s="128">
        <f>VLOOKUP($B283,Apple!$B$3:$H$176,Apple!H$1,FALSE)</f>
        <v>72.989999999999995</v>
      </c>
      <c r="I283" s="73">
        <f t="shared" si="19"/>
        <v>69.989999999999995</v>
      </c>
      <c r="J283" s="251">
        <v>49.99</v>
      </c>
      <c r="K283" s="111">
        <f t="shared" si="16"/>
        <v>-0.30003000300030003</v>
      </c>
      <c r="L283" s="111">
        <f t="shared" si="17"/>
        <v>-0.31511165913138783</v>
      </c>
      <c r="N283" s="31" t="str">
        <f>+VLOOKUP(C283,'Country &amp; Code Abbreviation'!$C$3:$D$245,2,FALSE)</f>
        <v>KNA</v>
      </c>
    </row>
    <row r="284" spans="2:14" ht="12.75" customHeight="1">
      <c r="B284" s="25" t="s">
        <v>280</v>
      </c>
      <c r="C284" t="str">
        <f>VLOOKUP($B284,Google!$B$3:$E$176,Google!C$1,FALSE)</f>
        <v>KN</v>
      </c>
      <c r="D284" t="str">
        <f>VLOOKUP($B284,Google!$B$3:$E$176,Google!D$1,FALSE)</f>
        <v>XCD</v>
      </c>
      <c r="E284" t="str">
        <f>VLOOKUP($B284,Google!$B$3:$E$176,Google!E$1,FALSE)</f>
        <v>USD</v>
      </c>
      <c r="F284" t="s">
        <v>69</v>
      </c>
      <c r="G284" s="128">
        <f>VLOOKUP($B284,Google!$B$3:$H$176,Google!F$1,FALSE)</f>
        <v>99.99</v>
      </c>
      <c r="H284" s="128">
        <f>VLOOKUP($B284,Google!$B$3:$H$176,Google!H$1,FALSE)</f>
        <v>72.989999999999995</v>
      </c>
      <c r="I284" s="73">
        <f t="shared" si="19"/>
        <v>69.989999999999995</v>
      </c>
      <c r="J284" s="251">
        <v>49.99</v>
      </c>
      <c r="K284" s="111">
        <f t="shared" si="16"/>
        <v>-0.30003000300030003</v>
      </c>
      <c r="L284" s="111">
        <f t="shared" si="17"/>
        <v>-0.31511165913138783</v>
      </c>
      <c r="N284" s="31" t="str">
        <f>+VLOOKUP(C284,'Country &amp; Code Abbreviation'!$C$3:$D$245,2,FALSE)</f>
        <v>KNA</v>
      </c>
    </row>
    <row r="285" spans="2:14" ht="12.75" customHeight="1">
      <c r="B285" s="25" t="s">
        <v>281</v>
      </c>
      <c r="C285" t="str">
        <f>VLOOKUP($B285,Apple!$B$3:$E$176,Apple!C$1,FALSE)</f>
        <v>LC</v>
      </c>
      <c r="D285" t="str">
        <f>VLOOKUP($B285,Apple!$B$3:$E$176,Apple!D$1,FALSE)</f>
        <v>XCD</v>
      </c>
      <c r="E285" t="str">
        <f>VLOOKUP($B285,Apple!$B$3:$E$176,Apple!E$1,FALSE)</f>
        <v>USD</v>
      </c>
      <c r="F285" t="s">
        <v>68</v>
      </c>
      <c r="G285" s="128">
        <f>VLOOKUP($B285,Apple!$B$3:$H$176,Apple!F$1,FALSE)</f>
        <v>88.99</v>
      </c>
      <c r="H285" s="128">
        <f>VLOOKUP($B285,Apple!$B$3:$H$176,Apple!H$1,FALSE)</f>
        <v>66.989999999999995</v>
      </c>
      <c r="I285" s="73">
        <f t="shared" si="19"/>
        <v>61.99</v>
      </c>
      <c r="J285" s="73">
        <f t="shared" si="18"/>
        <v>46.99</v>
      </c>
      <c r="K285" s="111">
        <f t="shared" si="16"/>
        <v>-0.30340487695246654</v>
      </c>
      <c r="L285" s="111">
        <f t="shared" si="17"/>
        <v>-0.29855202268995362</v>
      </c>
      <c r="N285" s="31" t="str">
        <f>+VLOOKUP(C285,'Country &amp; Code Abbreviation'!$C$3:$D$245,2,FALSE)</f>
        <v>LCA</v>
      </c>
    </row>
    <row r="286" spans="2:14" ht="12.75" customHeight="1">
      <c r="B286" s="25" t="s">
        <v>281</v>
      </c>
      <c r="C286" t="str">
        <f>VLOOKUP($B286,Google!$B$3:$E$176,Google!C$1,FALSE)</f>
        <v>LC</v>
      </c>
      <c r="D286" t="str">
        <f>VLOOKUP($B286,Google!$B$3:$E$176,Google!D$1,FALSE)</f>
        <v>XCD</v>
      </c>
      <c r="E286" t="str">
        <f>VLOOKUP($B286,Google!$B$3:$E$176,Google!E$1,FALSE)</f>
        <v>USD</v>
      </c>
      <c r="F286" t="s">
        <v>69</v>
      </c>
      <c r="G286" s="128">
        <f>VLOOKUP($B286,Google!$B$3:$H$176,Google!F$1,FALSE)</f>
        <v>88.99</v>
      </c>
      <c r="H286" s="128">
        <f>VLOOKUP($B286,Google!$B$3:$H$176,Google!H$1,FALSE)</f>
        <v>66.989999999999995</v>
      </c>
      <c r="I286" s="73">
        <f t="shared" si="19"/>
        <v>61.99</v>
      </c>
      <c r="J286" s="73">
        <f t="shared" si="18"/>
        <v>46.99</v>
      </c>
      <c r="K286" s="111">
        <f t="shared" si="16"/>
        <v>-0.30340487695246654</v>
      </c>
      <c r="L286" s="111">
        <f t="shared" si="17"/>
        <v>-0.29855202268995362</v>
      </c>
      <c r="N286" s="31" t="str">
        <f>+VLOOKUP(C286,'Country &amp; Code Abbreviation'!$C$3:$D$245,2,FALSE)</f>
        <v>LCA</v>
      </c>
    </row>
    <row r="287" spans="2:14" ht="12.75" customHeight="1">
      <c r="B287" s="25" t="s">
        <v>399</v>
      </c>
      <c r="C287" t="str">
        <f>VLOOKUP($B287,Apple!$B$3:$E$176,Apple!C$1,FALSE)</f>
        <v>VC</v>
      </c>
      <c r="D287" t="str">
        <f>VLOOKUP($B287,Apple!$B$3:$E$176,Apple!D$1,FALSE)</f>
        <v>XCD</v>
      </c>
      <c r="E287" t="str">
        <f>VLOOKUP($B287,Apple!$B$3:$E$176,Apple!E$1,FALSE)</f>
        <v>USD</v>
      </c>
      <c r="F287" t="s">
        <v>68</v>
      </c>
      <c r="G287" s="128">
        <f>VLOOKUP($B287,Apple!$B$3:$H$176,Apple!F$1,FALSE)</f>
        <v>89.99</v>
      </c>
      <c r="H287" s="128">
        <f>VLOOKUP($B287,Apple!$B$3:$H$176,Apple!H$1,FALSE)</f>
        <v>66.989999999999995</v>
      </c>
      <c r="I287" s="73">
        <f t="shared" si="19"/>
        <v>62.99</v>
      </c>
      <c r="J287" s="73">
        <f t="shared" si="18"/>
        <v>46.99</v>
      </c>
      <c r="K287" s="111">
        <f t="shared" si="16"/>
        <v>-0.3000333370374485</v>
      </c>
      <c r="L287" s="111">
        <f t="shared" si="17"/>
        <v>-0.29855202268995362</v>
      </c>
      <c r="N287" s="31" t="str">
        <f>+VLOOKUP(C287,'Country &amp; Code Abbreviation'!$C$3:$D$245,2,FALSE)</f>
        <v>VCT</v>
      </c>
    </row>
    <row r="288" spans="2:14" ht="12.75" customHeight="1">
      <c r="B288" s="25" t="s">
        <v>285</v>
      </c>
      <c r="C288" t="str">
        <f>VLOOKUP($B288,Apple!$B$3:$E$176,Apple!C$1,FALSE)</f>
        <v>SR</v>
      </c>
      <c r="D288" t="str">
        <f>VLOOKUP($B288,Apple!$B$3:$E$176,Apple!D$1,FALSE)</f>
        <v>SRD</v>
      </c>
      <c r="E288" t="str">
        <f>VLOOKUP($B288,Apple!$B$3:$E$176,Apple!E$1,FALSE)</f>
        <v>USD</v>
      </c>
      <c r="F288" t="s">
        <v>68</v>
      </c>
      <c r="G288" s="128">
        <f>VLOOKUP($B288,Apple!$B$3:$H$176,Apple!F$1,FALSE)</f>
        <v>69.989999999999995</v>
      </c>
      <c r="H288" s="128">
        <f>VLOOKUP($B288,Apple!$B$3:$H$176,Apple!H$1,FALSE)</f>
        <v>62.99</v>
      </c>
      <c r="I288" s="73">
        <f t="shared" si="19"/>
        <v>48.99</v>
      </c>
      <c r="J288" s="73">
        <f t="shared" si="18"/>
        <v>43.99</v>
      </c>
      <c r="K288" s="111">
        <f t="shared" si="16"/>
        <v>-0.30004286326618079</v>
      </c>
      <c r="L288" s="111">
        <f t="shared" si="17"/>
        <v>-0.30163518018733126</v>
      </c>
      <c r="N288" s="31" t="str">
        <f>+VLOOKUP(C288,'Country &amp; Code Abbreviation'!$C$3:$D$245,2,FALSE)</f>
        <v>SUR</v>
      </c>
    </row>
    <row r="289" spans="2:14" ht="12.75" customHeight="1">
      <c r="B289" s="25" t="s">
        <v>285</v>
      </c>
      <c r="C289" t="str">
        <f>VLOOKUP($B289,Google!$B$3:$E$176,Google!C$1,FALSE)</f>
        <v>SR</v>
      </c>
      <c r="D289" t="str">
        <f>VLOOKUP($B289,Google!$B$3:$E$176,Google!D$1,FALSE)</f>
        <v>SRD</v>
      </c>
      <c r="E289" t="str">
        <f>VLOOKUP($B289,Google!$B$3:$E$176,Google!E$1,FALSE)</f>
        <v>USD</v>
      </c>
      <c r="F289" t="s">
        <v>69</v>
      </c>
      <c r="G289" s="128">
        <f>VLOOKUP($B289,Google!$B$3:$H$176,Google!F$1,FALSE)</f>
        <v>69.989999999999995</v>
      </c>
      <c r="H289" s="128">
        <f>VLOOKUP($B289,Google!$B$3:$H$176,Google!H$1,FALSE)</f>
        <v>62.99</v>
      </c>
      <c r="I289" s="73">
        <f t="shared" si="19"/>
        <v>48.99</v>
      </c>
      <c r="J289" s="73">
        <f t="shared" si="18"/>
        <v>43.99</v>
      </c>
      <c r="K289" s="111">
        <f t="shared" si="16"/>
        <v>-0.30004286326618079</v>
      </c>
      <c r="L289" s="111">
        <f t="shared" si="17"/>
        <v>-0.30163518018733126</v>
      </c>
      <c r="N289" s="31" t="str">
        <f>+VLOOKUP(C289,'Country &amp; Code Abbreviation'!$C$3:$D$245,2,FALSE)</f>
        <v>SUR</v>
      </c>
    </row>
    <row r="290" spans="2:14" ht="12.75" customHeight="1">
      <c r="B290" s="25" t="s">
        <v>287</v>
      </c>
      <c r="C290" t="str">
        <f>VLOOKUP($B290,Apple!$B$3:$E$176,Apple!C$1,FALSE)</f>
        <v>SE</v>
      </c>
      <c r="D290" t="str">
        <f>VLOOKUP($B290,Apple!$B$3:$E$176,Apple!D$1,FALSE)</f>
        <v>SEK</v>
      </c>
      <c r="E290" t="str">
        <f>VLOOKUP($B290,Apple!$B$3:$E$176,Apple!E$1,FALSE)</f>
        <v>SEK</v>
      </c>
      <c r="F290" t="s">
        <v>68</v>
      </c>
      <c r="G290" s="128">
        <f>VLOOKUP($B290,Apple!$B$3:$H$176,Apple!F$1,FALSE)</f>
        <v>1470</v>
      </c>
      <c r="H290" s="128">
        <f>VLOOKUP($B290,Apple!$B$3:$H$176,Apple!H$1,FALSE)</f>
        <v>1070</v>
      </c>
      <c r="I290" s="253">
        <f t="shared" ref="I290:J293" si="20">+MROUND(G290*0.7,10)</f>
        <v>1030</v>
      </c>
      <c r="J290" s="253">
        <f t="shared" si="20"/>
        <v>750</v>
      </c>
      <c r="K290" s="111">
        <f t="shared" si="16"/>
        <v>-0.29931972789115646</v>
      </c>
      <c r="L290" s="111">
        <f t="shared" si="17"/>
        <v>-0.2990654205607477</v>
      </c>
      <c r="N290" s="31" t="str">
        <f>+VLOOKUP(C290,'Country &amp; Code Abbreviation'!$C$3:$D$245,2,FALSE)</f>
        <v>SWE</v>
      </c>
    </row>
    <row r="291" spans="2:14" ht="12.75" customHeight="1">
      <c r="B291" s="25" t="s">
        <v>287</v>
      </c>
      <c r="C291" t="str">
        <f>VLOOKUP($B291,Google!$B$3:$E$176,Google!C$1,FALSE)</f>
        <v>SE</v>
      </c>
      <c r="D291" t="str">
        <f>VLOOKUP($B291,Google!$B$3:$E$176,Google!D$1,FALSE)</f>
        <v>SEK</v>
      </c>
      <c r="E291" t="str">
        <f>VLOOKUP($B291,Google!$B$3:$E$176,Google!E$1,FALSE)</f>
        <v>SEK</v>
      </c>
      <c r="F291" t="s">
        <v>69</v>
      </c>
      <c r="G291" s="128">
        <f>VLOOKUP($B291,Google!$B$3:$H$176,Google!F$1,FALSE)</f>
        <v>1470</v>
      </c>
      <c r="H291" s="128">
        <f>VLOOKUP($B291,Google!$B$3:$H$176,Google!H$1,FALSE)</f>
        <v>1070</v>
      </c>
      <c r="I291" s="253">
        <f t="shared" si="20"/>
        <v>1030</v>
      </c>
      <c r="J291" s="253">
        <f t="shared" si="20"/>
        <v>750</v>
      </c>
      <c r="K291" s="111">
        <f t="shared" si="16"/>
        <v>-0.29931972789115646</v>
      </c>
      <c r="L291" s="111">
        <f t="shared" si="17"/>
        <v>-0.2990654205607477</v>
      </c>
      <c r="N291" s="31" t="str">
        <f>+VLOOKUP(C291,'Country &amp; Code Abbreviation'!$C$3:$D$245,2,FALSE)</f>
        <v>SWE</v>
      </c>
    </row>
    <row r="292" spans="2:14" ht="12.75" customHeight="1">
      <c r="B292" s="25" t="s">
        <v>288</v>
      </c>
      <c r="C292" t="str">
        <f>VLOOKUP($B292,Apple!$B$3:$E$176,Apple!C$1,FALSE)</f>
        <v>CH</v>
      </c>
      <c r="D292" t="str">
        <f>VLOOKUP($B292,Apple!$B$3:$E$176,Apple!D$1,FALSE)</f>
        <v>CHF</v>
      </c>
      <c r="E292" t="str">
        <f>VLOOKUP($B292,Apple!$B$3:$E$176,Apple!E$1,FALSE)</f>
        <v>CHF</v>
      </c>
      <c r="F292" t="s">
        <v>68</v>
      </c>
      <c r="G292" s="128">
        <f>VLOOKUP($B292,Apple!$B$3:$H$176,Apple!F$1,FALSE)</f>
        <v>220</v>
      </c>
      <c r="H292" s="128">
        <f>VLOOKUP($B292,Apple!$B$3:$H$176,Apple!H$1,FALSE)</f>
        <v>160</v>
      </c>
      <c r="I292" s="255">
        <f t="shared" si="20"/>
        <v>150</v>
      </c>
      <c r="J292" s="255">
        <f t="shared" si="20"/>
        <v>110</v>
      </c>
      <c r="K292" s="111">
        <f t="shared" si="16"/>
        <v>-0.31818181818181823</v>
      </c>
      <c r="L292" s="111">
        <f t="shared" si="17"/>
        <v>-0.3125</v>
      </c>
      <c r="N292" s="31" t="str">
        <f>+VLOOKUP(C292,'Country &amp; Code Abbreviation'!$C$3:$D$245,2,FALSE)</f>
        <v>CHE</v>
      </c>
    </row>
    <row r="293" spans="2:14" ht="12.75" customHeight="1">
      <c r="B293" s="227" t="s">
        <v>288</v>
      </c>
      <c r="C293" t="str">
        <f>VLOOKUP($B293,Google!$B$3:$E$176,Google!C$1,FALSE)</f>
        <v>CH</v>
      </c>
      <c r="D293" t="str">
        <f>VLOOKUP($B293,Google!$B$3:$E$176,Google!D$1,FALSE)</f>
        <v>CHF</v>
      </c>
      <c r="E293" t="str">
        <f>VLOOKUP($B293,Google!$B$3:$E$176,Google!E$1,FALSE)</f>
        <v>CHF</v>
      </c>
      <c r="F293" t="s">
        <v>69</v>
      </c>
      <c r="G293" s="128">
        <f>VLOOKUP($B293,Google!$B$3:$H$176,Google!F$1,FALSE)</f>
        <v>220</v>
      </c>
      <c r="H293" s="128">
        <f>VLOOKUP($B293,Google!$B$3:$H$176,Google!H$1,FALSE)</f>
        <v>160</v>
      </c>
      <c r="I293" s="73">
        <f t="shared" si="20"/>
        <v>150</v>
      </c>
      <c r="J293" s="73">
        <f t="shared" si="20"/>
        <v>110</v>
      </c>
      <c r="K293" s="111">
        <f t="shared" si="16"/>
        <v>-0.31818181818181823</v>
      </c>
      <c r="L293" s="111">
        <f t="shared" si="17"/>
        <v>-0.3125</v>
      </c>
      <c r="N293" s="31" t="str">
        <f>+VLOOKUP(C293,'Country &amp; Code Abbreviation'!$C$3:$D$245,2,FALSE)</f>
        <v>CHE</v>
      </c>
    </row>
    <row r="294" spans="2:14" ht="12.75" customHeight="1">
      <c r="B294" s="25" t="s">
        <v>290</v>
      </c>
      <c r="C294" t="str">
        <f>VLOOKUP($B294,Apple!$B$3:$E$176,Apple!C$1,FALSE)</f>
        <v>TW</v>
      </c>
      <c r="D294" t="str">
        <f>VLOOKUP($B294,Apple!$B$3:$E$176,Apple!D$1,FALSE)</f>
        <v>TWD</v>
      </c>
      <c r="E294" t="str">
        <f>VLOOKUP($B294,Apple!$B$3:$E$176,Apple!E$1,FALSE)</f>
        <v>TWD</v>
      </c>
      <c r="F294" t="s">
        <v>68</v>
      </c>
      <c r="G294" s="128">
        <f>VLOOKUP($B294,Apple!$B$3:$H$176,Apple!F$1,FALSE)</f>
        <v>3590</v>
      </c>
      <c r="H294" s="128">
        <f>VLOOKUP($B294,Apple!$B$3:$H$176,Apple!H$1,FALSE)</f>
        <v>2700</v>
      </c>
      <c r="I294" s="253">
        <f>+MROUND(G294*0.7,100)-10</f>
        <v>2490</v>
      </c>
      <c r="J294" s="253">
        <f>+MROUND(H294*0.7,100)-10</f>
        <v>1890</v>
      </c>
      <c r="K294" s="111">
        <f t="shared" si="16"/>
        <v>-0.30640668523676884</v>
      </c>
      <c r="L294" s="111">
        <f t="shared" si="17"/>
        <v>-0.30000000000000004</v>
      </c>
      <c r="N294" s="31" t="str">
        <f>+VLOOKUP(C294,'Country &amp; Code Abbreviation'!$C$3:$D$245,2,FALSE)</f>
        <v>TWN</v>
      </c>
    </row>
    <row r="295" spans="2:14" ht="12.75" customHeight="1">
      <c r="B295" s="25" t="s">
        <v>290</v>
      </c>
      <c r="C295" t="str">
        <f>VLOOKUP($B295,Google!$B$3:$E$176,Google!C$1,FALSE)</f>
        <v>TW</v>
      </c>
      <c r="D295" t="str">
        <f>VLOOKUP($B295,Google!$B$3:$E$176,Google!D$1,FALSE)</f>
        <v>TWD</v>
      </c>
      <c r="E295" t="str">
        <f>VLOOKUP($B295,Google!$B$3:$E$176,Google!E$1,FALSE)</f>
        <v>TWD</v>
      </c>
      <c r="F295" t="s">
        <v>69</v>
      </c>
      <c r="G295" s="128">
        <f>VLOOKUP($B295,Google!$B$3:$H$176,Google!F$1,FALSE)</f>
        <v>3590</v>
      </c>
      <c r="H295" s="128">
        <f>VLOOKUP($B295,Google!$B$3:$H$176,Google!H$1,FALSE)</f>
        <v>2700</v>
      </c>
      <c r="I295" s="253">
        <f t="shared" ref="I295:J295" si="21">+MROUND(G295*0.7,100)-10</f>
        <v>2490</v>
      </c>
      <c r="J295" s="253">
        <f t="shared" si="21"/>
        <v>1890</v>
      </c>
      <c r="K295" s="111">
        <f t="shared" si="16"/>
        <v>-0.30640668523676884</v>
      </c>
      <c r="L295" s="111">
        <f t="shared" si="17"/>
        <v>-0.30000000000000004</v>
      </c>
      <c r="N295" s="31" t="str">
        <f>+VLOOKUP(C295,'Country &amp; Code Abbreviation'!$C$3:$D$245,2,FALSE)</f>
        <v>TWN</v>
      </c>
    </row>
    <row r="296" spans="2:14" ht="12.75" customHeight="1">
      <c r="B296" s="25" t="s">
        <v>291</v>
      </c>
      <c r="C296" t="str">
        <f>VLOOKUP($B296,Apple!$B$3:$E$176,Apple!C$1,FALSE)</f>
        <v>TJ</v>
      </c>
      <c r="D296" t="str">
        <f>VLOOKUP($B296,Apple!$B$3:$E$176,Apple!D$1,FALSE)</f>
        <v>USD</v>
      </c>
      <c r="E296" t="str">
        <f>VLOOKUP($B296,Apple!$B$3:$E$176,Apple!E$1,FALSE)</f>
        <v>USD</v>
      </c>
      <c r="F296" t="s">
        <v>68</v>
      </c>
      <c r="G296" s="128">
        <f>VLOOKUP($B296,Apple!$B$3:$H$176,Apple!F$1,FALSE)</f>
        <v>71.989999999999995</v>
      </c>
      <c r="H296" s="128">
        <f>VLOOKUP($B296,Apple!$B$3:$H$176,Apple!H$1,FALSE)</f>
        <v>53.99</v>
      </c>
      <c r="I296" s="73">
        <f t="shared" si="19"/>
        <v>49.99</v>
      </c>
      <c r="J296" s="73">
        <f t="shared" si="18"/>
        <v>37.99</v>
      </c>
      <c r="K296" s="111">
        <f t="shared" si="16"/>
        <v>-0.3055979997221836</v>
      </c>
      <c r="L296" s="111">
        <f t="shared" si="17"/>
        <v>-0.2963511761437303</v>
      </c>
      <c r="N296" s="31" t="str">
        <f>+VLOOKUP(C296,'Country &amp; Code Abbreviation'!$C$3:$D$245,2,FALSE)</f>
        <v>TJK</v>
      </c>
    </row>
    <row r="297" spans="2:14" ht="12.75" customHeight="1">
      <c r="B297" s="25" t="s">
        <v>291</v>
      </c>
      <c r="C297" t="str">
        <f>VLOOKUP($B297,Google!$B$3:$E$176,Google!C$1,FALSE)</f>
        <v>TJ</v>
      </c>
      <c r="D297" t="str">
        <f>VLOOKUP($B297,Google!$B$3:$E$176,Google!D$1,FALSE)</f>
        <v>USD</v>
      </c>
      <c r="E297" t="str">
        <f>VLOOKUP($B297,Google!$B$3:$E$176,Google!E$1,FALSE)</f>
        <v>USD</v>
      </c>
      <c r="F297" t="s">
        <v>69</v>
      </c>
      <c r="G297" s="128">
        <f>VLOOKUP($B297,Google!$B$3:$H$176,Google!F$1,FALSE)</f>
        <v>71.989999999999995</v>
      </c>
      <c r="H297" s="128">
        <f>VLOOKUP($B297,Google!$B$3:$H$176,Google!H$1,FALSE)</f>
        <v>53.99</v>
      </c>
      <c r="I297" s="73">
        <f t="shared" si="19"/>
        <v>49.99</v>
      </c>
      <c r="J297" s="73">
        <f t="shared" si="18"/>
        <v>37.99</v>
      </c>
      <c r="K297" s="111">
        <f t="shared" si="16"/>
        <v>-0.3055979997221836</v>
      </c>
      <c r="L297" s="111">
        <f t="shared" si="17"/>
        <v>-0.2963511761437303</v>
      </c>
      <c r="N297" s="31" t="str">
        <f>+VLOOKUP(C297,'Country &amp; Code Abbreviation'!$C$3:$D$245,2,FALSE)</f>
        <v>TJK</v>
      </c>
    </row>
    <row r="298" spans="2:14" ht="12.75" customHeight="1">
      <c r="B298" s="25" t="s">
        <v>292</v>
      </c>
      <c r="C298" t="str">
        <f>VLOOKUP($B298,Apple!$B$3:$E$176,Apple!C$1,FALSE)</f>
        <v>TZ</v>
      </c>
      <c r="D298" t="str">
        <f>VLOOKUP($B298,Apple!$B$3:$E$176,Apple!D$1,FALSE)</f>
        <v>TZS</v>
      </c>
      <c r="E298" t="str">
        <f>VLOOKUP($B298,Apple!$B$3:$E$176,Apple!E$1,FALSE)</f>
        <v>TZS</v>
      </c>
      <c r="F298" t="s">
        <v>68</v>
      </c>
      <c r="G298" s="128">
        <f>VLOOKUP($B298,Apple!$B$3:$H$176,Apple!F$1,FALSE)</f>
        <v>169000</v>
      </c>
      <c r="H298" s="128">
        <f>VLOOKUP($B298,Apple!$B$3:$H$176,Apple!H$1,FALSE)</f>
        <v>125900</v>
      </c>
      <c r="I298" s="253">
        <f>+MROUND(G298*0.7,1000)</f>
        <v>118000</v>
      </c>
      <c r="J298" s="253">
        <f>+MROUND(H298*0.7,1000)</f>
        <v>88000</v>
      </c>
      <c r="K298" s="111">
        <f t="shared" si="16"/>
        <v>-0.30177514792899407</v>
      </c>
      <c r="L298" s="111">
        <f t="shared" si="17"/>
        <v>-0.30103256552819702</v>
      </c>
      <c r="N298" s="31" t="str">
        <f>+VLOOKUP(C298,'Country &amp; Code Abbreviation'!$C$3:$D$245,2,FALSE)</f>
        <v>TZA</v>
      </c>
    </row>
    <row r="299" spans="2:14" ht="12.75" customHeight="1">
      <c r="B299" s="25" t="s">
        <v>292</v>
      </c>
      <c r="C299" t="str">
        <f>VLOOKUP($B299,Google!$B$3:$E$176,Google!C$1,FALSE)</f>
        <v>TZ</v>
      </c>
      <c r="D299" t="str">
        <f>VLOOKUP($B299,Google!$B$3:$E$176,Google!D$1,FALSE)</f>
        <v>TZS</v>
      </c>
      <c r="E299" t="str">
        <f>VLOOKUP($B299,Google!$B$3:$E$176,Google!E$1,FALSE)</f>
        <v>TZS</v>
      </c>
      <c r="F299" t="s">
        <v>69</v>
      </c>
      <c r="G299" s="128">
        <f>VLOOKUP($B299,Google!$B$3:$H$176,Google!F$1,FALSE)</f>
        <v>169000</v>
      </c>
      <c r="H299" s="128">
        <f>VLOOKUP($B299,Google!$B$3:$H$176,Google!H$1,FALSE)</f>
        <v>125900</v>
      </c>
      <c r="I299" s="253">
        <f>+MROUND(G299*0.7,1000)</f>
        <v>118000</v>
      </c>
      <c r="J299" s="253">
        <f>+MROUND(H299*0.7,1000)</f>
        <v>88000</v>
      </c>
      <c r="K299" s="111">
        <f t="shared" si="16"/>
        <v>-0.30177514792899407</v>
      </c>
      <c r="L299" s="111">
        <f t="shared" si="17"/>
        <v>-0.30103256552819702</v>
      </c>
      <c r="N299" s="31" t="str">
        <f>+VLOOKUP(C299,'Country &amp; Code Abbreviation'!$C$3:$D$245,2,FALSE)</f>
        <v>TZA</v>
      </c>
    </row>
    <row r="300" spans="2:14" ht="12.75" customHeight="1">
      <c r="B300" s="25" t="s">
        <v>293</v>
      </c>
      <c r="C300" t="str">
        <f>VLOOKUP($B300,Apple!$B$3:$E$176,Apple!C$1,FALSE)</f>
        <v>TH</v>
      </c>
      <c r="D300" t="str">
        <f>VLOOKUP($B300,Apple!$B$3:$E$176,Apple!D$1,FALSE)</f>
        <v>THB</v>
      </c>
      <c r="E300" t="str">
        <f>VLOOKUP($B300,Apple!$B$3:$E$176,Apple!E$1,FALSE)</f>
        <v>THB</v>
      </c>
      <c r="F300" t="s">
        <v>68</v>
      </c>
      <c r="G300" s="128">
        <f>VLOOKUP($B300,Apple!$B$3:$H$176,Apple!F$1,FALSE)</f>
        <v>2900</v>
      </c>
      <c r="H300" s="128">
        <f>VLOOKUP($B300,Apple!$B$3:$H$176,Apple!H$1,FALSE)</f>
        <v>2100</v>
      </c>
      <c r="I300" s="253">
        <f>+MROUND(G300*0.7,100)</f>
        <v>2000</v>
      </c>
      <c r="J300" s="253">
        <f>+MROUND(H300*0.7,100)</f>
        <v>1500</v>
      </c>
      <c r="K300" s="111">
        <f t="shared" si="16"/>
        <v>-0.31034482758620685</v>
      </c>
      <c r="L300" s="111">
        <f t="shared" si="17"/>
        <v>-0.2857142857142857</v>
      </c>
      <c r="N300" s="31" t="str">
        <f>+VLOOKUP(C300,'Country &amp; Code Abbreviation'!$C$3:$D$245,2,FALSE)</f>
        <v>THA</v>
      </c>
    </row>
    <row r="301" spans="2:14" ht="12.75" customHeight="1">
      <c r="B301" s="25" t="s">
        <v>293</v>
      </c>
      <c r="C301" t="str">
        <f>VLOOKUP($B301,Google!$B$3:$E$176,Google!C$1,FALSE)</f>
        <v>TH</v>
      </c>
      <c r="D301" t="str">
        <f>VLOOKUP($B301,Google!$B$3:$E$176,Google!D$1,FALSE)</f>
        <v>THB</v>
      </c>
      <c r="E301" t="str">
        <f>VLOOKUP($B301,Google!$B$3:$E$176,Google!E$1,FALSE)</f>
        <v>THB</v>
      </c>
      <c r="F301" t="s">
        <v>69</v>
      </c>
      <c r="G301" s="128">
        <f>VLOOKUP($B301,Google!$B$3:$H$176,Google!F$1,FALSE)</f>
        <v>2900</v>
      </c>
      <c r="H301" s="128">
        <f>VLOOKUP($B301,Google!$B$3:$H$176,Google!H$1,FALSE)</f>
        <v>2100</v>
      </c>
      <c r="I301" s="253">
        <f>+MROUND(G301*0.7,100)</f>
        <v>2000</v>
      </c>
      <c r="J301" s="253">
        <f>+MROUND(H301*0.7,100)</f>
        <v>1500</v>
      </c>
      <c r="K301" s="111">
        <f t="shared" si="16"/>
        <v>-0.31034482758620685</v>
      </c>
      <c r="L301" s="111">
        <f t="shared" si="17"/>
        <v>-0.2857142857142857</v>
      </c>
      <c r="N301" s="31" t="str">
        <f>+VLOOKUP(C301,'Country &amp; Code Abbreviation'!$C$3:$D$245,2,FALSE)</f>
        <v>THA</v>
      </c>
    </row>
    <row r="302" spans="2:14" ht="12.75" customHeight="1">
      <c r="B302" s="225" t="s">
        <v>295</v>
      </c>
      <c r="C302" t="str">
        <f>VLOOKUP($B302,Google!$B$3:$E$176,Google!C$1,FALSE)</f>
        <v>TG</v>
      </c>
      <c r="D302" t="str">
        <f>VLOOKUP($B302,Google!$B$3:$E$176,Google!D$1,FALSE)</f>
        <v>XOF</v>
      </c>
      <c r="E302" t="str">
        <f>VLOOKUP($B302,Google!$B$3:$E$176,Google!E$1,FALSE)</f>
        <v>EUR</v>
      </c>
      <c r="F302" t="s">
        <v>69</v>
      </c>
      <c r="G302" s="128">
        <f>VLOOKUP($B302,Google!$B$3:$H$176,Google!F$1,FALSE)</f>
        <v>66.989999999999995</v>
      </c>
      <c r="H302" s="128">
        <f>VLOOKUP($B302,Google!$B$3:$H$176,Google!H$1,FALSE)</f>
        <v>48.99</v>
      </c>
      <c r="I302" s="73">
        <f t="shared" si="19"/>
        <v>46.99</v>
      </c>
      <c r="J302" s="73">
        <f t="shared" si="18"/>
        <v>33.99</v>
      </c>
      <c r="K302" s="111">
        <f t="shared" si="16"/>
        <v>-0.29855202268995362</v>
      </c>
      <c r="L302" s="111">
        <f t="shared" si="17"/>
        <v>-0.30618493570116345</v>
      </c>
      <c r="N302" s="31" t="str">
        <f>+VLOOKUP(C302,'Country &amp; Code Abbreviation'!$C$3:$D$245,2,FALSE)</f>
        <v>TGO</v>
      </c>
    </row>
    <row r="303" spans="2:14" ht="12.75" customHeight="1">
      <c r="B303" s="25" t="s">
        <v>297</v>
      </c>
      <c r="C303" t="str">
        <f>VLOOKUP($B303,Apple!$B$3:$E$176,Apple!C$1,FALSE)</f>
        <v>TO</v>
      </c>
      <c r="D303" t="str">
        <f>VLOOKUP($B303,Apple!$B$3:$E$176,Apple!D$1,FALSE)</f>
        <v>TOP</v>
      </c>
      <c r="E303" t="str">
        <f>VLOOKUP($B303,Apple!$B$3:$E$176,Apple!E$1,FALSE)</f>
        <v>USD</v>
      </c>
      <c r="F303" t="s">
        <v>68</v>
      </c>
      <c r="G303" s="128">
        <f>VLOOKUP($B303,Apple!$B$3:$H$176,Apple!F$1,FALSE)</f>
        <v>79.989999999999995</v>
      </c>
      <c r="H303" s="128">
        <f>VLOOKUP($B303,Apple!$B$3:$H$176,Apple!H$1,FALSE)</f>
        <v>58.99</v>
      </c>
      <c r="I303" s="73">
        <f t="shared" si="19"/>
        <v>55.99</v>
      </c>
      <c r="J303" s="73">
        <f>+MROUND(H303*0.7,10)-0.01</f>
        <v>39.99</v>
      </c>
      <c r="K303" s="111">
        <f t="shared" si="16"/>
        <v>-0.30003750468808599</v>
      </c>
      <c r="L303" s="111">
        <f t="shared" si="17"/>
        <v>-0.32208848957450409</v>
      </c>
      <c r="N303" s="31" t="str">
        <f>+VLOOKUP(C303,'Country &amp; Code Abbreviation'!$C$3:$D$245,2,FALSE)</f>
        <v>TON</v>
      </c>
    </row>
    <row r="304" spans="2:14" ht="12.75" customHeight="1">
      <c r="B304" s="25" t="s">
        <v>297</v>
      </c>
      <c r="C304" t="str">
        <f>VLOOKUP($B304,Google!$B$3:$E$176,Google!C$1,FALSE)</f>
        <v>TO</v>
      </c>
      <c r="D304" t="str">
        <f>VLOOKUP($B304,Google!$B$3:$E$176,Google!D$1,FALSE)</f>
        <v>TOP</v>
      </c>
      <c r="E304" t="str">
        <f>VLOOKUP($B304,Google!$B$3:$E$176,Google!E$1,FALSE)</f>
        <v>USD</v>
      </c>
      <c r="F304" t="s">
        <v>69</v>
      </c>
      <c r="G304" s="128">
        <f>VLOOKUP($B304,Google!$B$3:$H$176,Google!F$1,FALSE)</f>
        <v>79.989999999999995</v>
      </c>
      <c r="H304" s="128">
        <f>VLOOKUP($B304,Google!$B$3:$H$176,Google!H$1,FALSE)</f>
        <v>58.99</v>
      </c>
      <c r="I304" s="73">
        <f t="shared" si="19"/>
        <v>55.99</v>
      </c>
      <c r="J304" s="73">
        <f>+MROUND(H304*0.7,10)-0.01</f>
        <v>39.99</v>
      </c>
      <c r="K304" s="111">
        <f t="shared" si="16"/>
        <v>-0.30003750468808599</v>
      </c>
      <c r="L304" s="111">
        <f t="shared" si="17"/>
        <v>-0.32208848957450409</v>
      </c>
      <c r="N304" s="31" t="str">
        <f>+VLOOKUP(C304,'Country &amp; Code Abbreviation'!$C$3:$D$245,2,FALSE)</f>
        <v>TON</v>
      </c>
    </row>
    <row r="305" spans="2:14" ht="12.75" customHeight="1">
      <c r="B305" s="25" t="s">
        <v>405</v>
      </c>
      <c r="C305" t="str">
        <f>VLOOKUP($B305,Apple!$B$3:$E$176,Apple!C$1,FALSE)</f>
        <v>TT</v>
      </c>
      <c r="D305" t="str">
        <f>VLOOKUP($B305,Apple!$B$3:$E$176,Apple!D$1,FALSE)</f>
        <v>TTD</v>
      </c>
      <c r="E305" t="str">
        <f>VLOOKUP($B305,Apple!$B$3:$E$176,Apple!E$1,FALSE)</f>
        <v>USD</v>
      </c>
      <c r="F305" t="s">
        <v>68</v>
      </c>
      <c r="G305" s="128">
        <f>VLOOKUP($B305,Apple!$B$3:$H$176,Apple!F$1,FALSE)</f>
        <v>101.99</v>
      </c>
      <c r="H305" s="128">
        <f>VLOOKUP($B305,Apple!$B$3:$H$176,Apple!H$1,FALSE)</f>
        <v>71.989999999999995</v>
      </c>
      <c r="I305" s="73">
        <f>+MROUND(G305*0.7,10)-0.01</f>
        <v>69.989999999999995</v>
      </c>
      <c r="J305" s="73">
        <f t="shared" si="18"/>
        <v>49.99</v>
      </c>
      <c r="K305" s="111">
        <f t="shared" si="16"/>
        <v>-0.31375625061280521</v>
      </c>
      <c r="L305" s="111">
        <f t="shared" si="17"/>
        <v>-0.3055979997221836</v>
      </c>
      <c r="N305" s="31" t="str">
        <f>+VLOOKUP(C305,'Country &amp; Code Abbreviation'!$C$3:$D$245,2,FALSE)</f>
        <v>TTO</v>
      </c>
    </row>
    <row r="306" spans="2:14" ht="12.75" customHeight="1">
      <c r="B306" s="25" t="s">
        <v>298</v>
      </c>
      <c r="C306" t="str">
        <f>VLOOKUP($B306,Google!$B$3:$E$176,Google!C$1,FALSE)</f>
        <v>TT</v>
      </c>
      <c r="D306" t="str">
        <f>VLOOKUP($B306,Google!$B$3:$E$176,Google!D$1,FALSE)</f>
        <v>TTD</v>
      </c>
      <c r="E306" t="str">
        <f>VLOOKUP($B306,Google!$B$3:$E$176,Google!E$1,FALSE)</f>
        <v>USD</v>
      </c>
      <c r="F306" t="s">
        <v>69</v>
      </c>
      <c r="G306" s="128">
        <f>VLOOKUP($B306,Google!$B$3:$H$176,Google!F$1,FALSE)</f>
        <v>101.99</v>
      </c>
      <c r="H306" s="128">
        <f>VLOOKUP($B306,Google!$B$3:$H$176,Google!H$1,FALSE)</f>
        <v>71.989999999999995</v>
      </c>
      <c r="I306" s="73">
        <f>+MROUND(G306*0.7,10)-0.01</f>
        <v>69.989999999999995</v>
      </c>
      <c r="J306" s="73">
        <f t="shared" si="18"/>
        <v>49.99</v>
      </c>
      <c r="K306" s="111">
        <f t="shared" si="16"/>
        <v>-0.31375625061280521</v>
      </c>
      <c r="L306" s="111">
        <f t="shared" si="17"/>
        <v>-0.3055979997221836</v>
      </c>
      <c r="N306" s="31" t="str">
        <f>+VLOOKUP(C306,'Country &amp; Code Abbreviation'!$C$3:$D$245,2,FALSE)</f>
        <v>TTO</v>
      </c>
    </row>
    <row r="307" spans="2:14" ht="12.75" customHeight="1">
      <c r="B307" s="25" t="s">
        <v>299</v>
      </c>
      <c r="C307" t="str">
        <f>VLOOKUP($B307,Apple!$B$3:$E$176,Apple!C$1,FALSE)</f>
        <v>TN</v>
      </c>
      <c r="D307" t="str">
        <f>VLOOKUP($B307,Apple!$B$3:$E$176,Apple!D$1,FALSE)</f>
        <v>TND</v>
      </c>
      <c r="E307" t="str">
        <f>VLOOKUP($B307,Apple!$B$3:$E$176,Apple!E$1,FALSE)</f>
        <v>USD</v>
      </c>
      <c r="F307" t="s">
        <v>68</v>
      </c>
      <c r="G307" s="128">
        <f>VLOOKUP($B307,Apple!$B$3:$H$176,Apple!F$1,FALSE)</f>
        <v>69.989999999999995</v>
      </c>
      <c r="H307" s="128">
        <f>VLOOKUP($B307,Apple!$B$3:$H$176,Apple!H$1,FALSE)</f>
        <v>51.99</v>
      </c>
      <c r="I307" s="73">
        <f t="shared" si="19"/>
        <v>48.99</v>
      </c>
      <c r="J307" s="73">
        <f t="shared" si="18"/>
        <v>35.99</v>
      </c>
      <c r="K307" s="111">
        <f t="shared" si="16"/>
        <v>-0.30004286326618079</v>
      </c>
      <c r="L307" s="111">
        <f t="shared" si="17"/>
        <v>-0.30775149067128293</v>
      </c>
      <c r="N307" s="31" t="str">
        <f>+VLOOKUP(C307,'Country &amp; Code Abbreviation'!$C$3:$D$245,2,FALSE)</f>
        <v>TUN</v>
      </c>
    </row>
    <row r="308" spans="2:14" ht="12.75" customHeight="1">
      <c r="B308" s="25" t="s">
        <v>299</v>
      </c>
      <c r="C308" t="str">
        <f>VLOOKUP($B308,Google!$B$3:$E$176,Google!C$1,FALSE)</f>
        <v>TN</v>
      </c>
      <c r="D308" t="str">
        <f>VLOOKUP($B308,Google!$B$3:$E$176,Google!D$1,FALSE)</f>
        <v>TND</v>
      </c>
      <c r="E308" t="str">
        <f>VLOOKUP($B308,Google!$B$3:$E$176,Google!E$1,FALSE)</f>
        <v>USD</v>
      </c>
      <c r="F308" t="s">
        <v>69</v>
      </c>
      <c r="G308" s="128">
        <f>VLOOKUP($B308,Google!$B$3:$H$176,Google!F$1,FALSE)</f>
        <v>69.989999999999995</v>
      </c>
      <c r="H308" s="128">
        <f>VLOOKUP($B308,Google!$B$3:$H$176,Google!H$1,FALSE)</f>
        <v>51.99</v>
      </c>
      <c r="I308" s="73">
        <f t="shared" si="19"/>
        <v>48.99</v>
      </c>
      <c r="J308" s="73">
        <f t="shared" si="18"/>
        <v>35.99</v>
      </c>
      <c r="K308" s="111">
        <f t="shared" si="16"/>
        <v>-0.30004286326618079</v>
      </c>
      <c r="L308" s="111">
        <f t="shared" si="17"/>
        <v>-0.30775149067128293</v>
      </c>
      <c r="N308" s="31" t="str">
        <f>+VLOOKUP(C308,'Country &amp; Code Abbreviation'!$C$3:$D$245,2,FALSE)</f>
        <v>TUN</v>
      </c>
    </row>
    <row r="309" spans="2:14" ht="12.75" customHeight="1">
      <c r="B309" s="226" t="s">
        <v>300</v>
      </c>
      <c r="C309" t="str">
        <f>VLOOKUP($B309,Apple!$B$3:$E$176,Apple!C$1,FALSE)</f>
        <v>TR</v>
      </c>
      <c r="D309" t="str">
        <f>VLOOKUP($B309,Apple!$B$3:$E$176,Apple!D$1,FALSE)</f>
        <v>TRY</v>
      </c>
      <c r="E309" t="str">
        <f>VLOOKUP($B309,Apple!$B$3:$E$176,Apple!E$1,FALSE)</f>
        <v>TRY</v>
      </c>
      <c r="F309" t="s">
        <v>68</v>
      </c>
      <c r="G309" s="128">
        <f>VLOOKUP($B309,Apple!$B$3:$H$176,Apple!F$1,FALSE)</f>
        <v>2349.9899999999998</v>
      </c>
      <c r="H309" s="128">
        <f>VLOOKUP($B309,Apple!$B$3:$H$176,Apple!H$1,FALSE)</f>
        <v>1719.99</v>
      </c>
      <c r="I309" s="73">
        <f>+MROUND(G309*0.7,1)-0.01</f>
        <v>1644.99</v>
      </c>
      <c r="J309" s="252">
        <f>+MROUND(H309*0.7,10)-0.01</f>
        <v>1199.99</v>
      </c>
      <c r="K309" s="111">
        <f t="shared" si="16"/>
        <v>-0.30000127660117692</v>
      </c>
      <c r="L309" s="111">
        <f t="shared" si="17"/>
        <v>-0.3023273391124367</v>
      </c>
      <c r="N309" s="31" t="str">
        <f>+VLOOKUP(C309,'Country &amp; Code Abbreviation'!$C$3:$D$245,2,FALSE)</f>
        <v>TUR</v>
      </c>
    </row>
    <row r="310" spans="2:14" ht="12.75" customHeight="1">
      <c r="B310" s="226" t="s">
        <v>300</v>
      </c>
      <c r="C310" t="str">
        <f>VLOOKUP($B310,Google!$B$3:$E$176,Google!C$1,FALSE)</f>
        <v>TR</v>
      </c>
      <c r="D310" t="str">
        <f>VLOOKUP($B310,Google!$B$3:$E$176,Google!D$1,FALSE)</f>
        <v>TRY</v>
      </c>
      <c r="E310" t="str">
        <f>VLOOKUP($B310,Google!$B$3:$E$176,Google!E$1,FALSE)</f>
        <v>TRY</v>
      </c>
      <c r="F310" t="s">
        <v>69</v>
      </c>
      <c r="G310" s="128">
        <f>VLOOKUP($B310,Google!$B$3:$H$176,Google!F$1,FALSE)</f>
        <v>2349.9899999999998</v>
      </c>
      <c r="H310" s="128">
        <f>VLOOKUP($B310,Google!$B$3:$H$176,Google!H$1,FALSE)</f>
        <v>1719.99</v>
      </c>
      <c r="I310" s="73">
        <f t="shared" si="19"/>
        <v>1644.99</v>
      </c>
      <c r="J310" s="252">
        <f>+MROUND(H310*0.7,10)-0.01</f>
        <v>1199.99</v>
      </c>
      <c r="K310" s="111">
        <f t="shared" si="16"/>
        <v>-0.30000127660117692</v>
      </c>
      <c r="L310" s="111">
        <f t="shared" si="17"/>
        <v>-0.3023273391124367</v>
      </c>
      <c r="N310" s="31" t="str">
        <f>+VLOOKUP(C310,'Country &amp; Code Abbreviation'!$C$3:$D$245,2,FALSE)</f>
        <v>TUR</v>
      </c>
    </row>
    <row r="311" spans="2:14" ht="12.75" customHeight="1">
      <c r="B311" s="25" t="s">
        <v>301</v>
      </c>
      <c r="C311" t="str">
        <f>VLOOKUP($B311,Apple!$B$3:$E$176,Apple!C$1,FALSE)</f>
        <v>TM</v>
      </c>
      <c r="D311" t="str">
        <f>VLOOKUP($B311,Apple!$B$3:$E$176,Apple!D$1,FALSE)</f>
        <v>USD</v>
      </c>
      <c r="E311" t="str">
        <f>VLOOKUP($B311,Apple!$B$3:$E$176,Apple!E$1,FALSE)</f>
        <v>USD</v>
      </c>
      <c r="F311" t="s">
        <v>68</v>
      </c>
      <c r="G311" s="128">
        <f>VLOOKUP($B311,Apple!$B$3:$H$176,Apple!F$1,FALSE)</f>
        <v>89.99</v>
      </c>
      <c r="H311" s="128">
        <f>VLOOKUP($B311,Apple!$B$3:$H$176,Apple!H$1,FALSE)</f>
        <v>65.989999999999995</v>
      </c>
      <c r="I311" s="73">
        <f t="shared" si="19"/>
        <v>62.99</v>
      </c>
      <c r="J311" s="73">
        <f>+MROUND(H311*0.7,5)-0.01</f>
        <v>44.99</v>
      </c>
      <c r="K311" s="111">
        <f t="shared" si="16"/>
        <v>-0.3000333370374485</v>
      </c>
      <c r="L311" s="111">
        <f t="shared" si="17"/>
        <v>-0.31823003485376566</v>
      </c>
      <c r="N311" s="31" t="str">
        <f>+VLOOKUP(C311,'Country &amp; Code Abbreviation'!$C$3:$D$245,2,FALSE)</f>
        <v>TKM</v>
      </c>
    </row>
    <row r="312" spans="2:14" ht="12.75" customHeight="1">
      <c r="B312" s="25" t="s">
        <v>301</v>
      </c>
      <c r="C312" t="str">
        <f>VLOOKUP($B312,Google!$B$3:$E$176,Google!C$1,FALSE)</f>
        <v>TM</v>
      </c>
      <c r="D312" t="str">
        <f>VLOOKUP($B312,Google!$B$3:$E$176,Google!D$1,FALSE)</f>
        <v>USD</v>
      </c>
      <c r="E312" t="str">
        <f>VLOOKUP($B312,Google!$B$3:$E$176,Google!E$1,FALSE)</f>
        <v>USD</v>
      </c>
      <c r="F312" t="s">
        <v>69</v>
      </c>
      <c r="G312" s="128">
        <f>VLOOKUP($B312,Google!$B$3:$H$176,Google!F$1,FALSE)</f>
        <v>89.99</v>
      </c>
      <c r="H312" s="128">
        <f>VLOOKUP($B312,Google!$B$3:$H$176,Google!H$1,FALSE)</f>
        <v>65.989999999999995</v>
      </c>
      <c r="I312" s="73">
        <f t="shared" si="19"/>
        <v>62.99</v>
      </c>
      <c r="J312" s="73">
        <f>+MROUND(H312*0.7,5)-0.01</f>
        <v>44.99</v>
      </c>
      <c r="K312" s="111">
        <f t="shared" si="16"/>
        <v>-0.3000333370374485</v>
      </c>
      <c r="L312" s="111">
        <f t="shared" si="17"/>
        <v>-0.31823003485376566</v>
      </c>
      <c r="N312" s="31" t="str">
        <f>+VLOOKUP(C312,'Country &amp; Code Abbreviation'!$C$3:$D$245,2,FALSE)</f>
        <v>TKM</v>
      </c>
    </row>
    <row r="313" spans="2:14" ht="12.75" customHeight="1">
      <c r="B313" s="25" t="s">
        <v>407</v>
      </c>
      <c r="C313" t="str">
        <f>VLOOKUP($B313,Apple!$B$3:$E$176,Apple!C$1,FALSE)</f>
        <v>TC</v>
      </c>
      <c r="D313" t="str">
        <f>VLOOKUP($B313,Apple!$B$3:$E$176,Apple!D$1,FALSE)</f>
        <v>USD</v>
      </c>
      <c r="E313" t="str">
        <f>VLOOKUP($B313,Apple!$B$3:$E$176,Apple!E$1,FALSE)</f>
        <v>USD</v>
      </c>
      <c r="F313" t="s">
        <v>68</v>
      </c>
      <c r="G313" s="128">
        <f>VLOOKUP($B313,Apple!$B$3:$H$176,Apple!F$1,FALSE)</f>
        <v>102.99</v>
      </c>
      <c r="H313" s="128">
        <f>VLOOKUP($B313,Apple!$B$3:$H$176,Apple!H$1,FALSE)</f>
        <v>71.989999999999995</v>
      </c>
      <c r="I313" s="73">
        <f t="shared" si="19"/>
        <v>71.989999999999995</v>
      </c>
      <c r="J313" s="73">
        <f t="shared" si="18"/>
        <v>49.99</v>
      </c>
      <c r="K313" s="111">
        <f t="shared" si="16"/>
        <v>-0.30100009709680553</v>
      </c>
      <c r="L313" s="111">
        <f t="shared" si="17"/>
        <v>-0.3055979997221836</v>
      </c>
      <c r="N313" s="31" t="str">
        <f>+VLOOKUP(C313,'Country &amp; Code Abbreviation'!$C$3:$D$245,2,FALSE)</f>
        <v>TCA</v>
      </c>
    </row>
    <row r="314" spans="2:14" ht="12.75" customHeight="1">
      <c r="B314" s="25" t="s">
        <v>407</v>
      </c>
      <c r="C314" t="str">
        <f>VLOOKUP($B314,Google!$B$3:$E$176,Google!C$1,FALSE)</f>
        <v>TC</v>
      </c>
      <c r="D314" t="str">
        <f>VLOOKUP($B314,Google!$B$3:$E$176,Google!D$1,FALSE)</f>
        <v>USD</v>
      </c>
      <c r="E314" t="str">
        <f>VLOOKUP($B314,Google!$B$3:$E$176,Google!E$1,FALSE)</f>
        <v>USD</v>
      </c>
      <c r="F314" t="s">
        <v>69</v>
      </c>
      <c r="G314" s="128">
        <f>VLOOKUP($B314,Google!$B$3:$H$176,Google!F$1,FALSE)</f>
        <v>102.99</v>
      </c>
      <c r="H314" s="128">
        <f>VLOOKUP($B314,Google!$B$3:$H$176,Google!H$1,FALSE)</f>
        <v>71.989999999999995</v>
      </c>
      <c r="I314" s="73">
        <f t="shared" si="19"/>
        <v>71.989999999999995</v>
      </c>
      <c r="J314" s="73">
        <f t="shared" si="18"/>
        <v>49.99</v>
      </c>
      <c r="K314" s="111">
        <f t="shared" si="16"/>
        <v>-0.30100009709680553</v>
      </c>
      <c r="L314" s="111">
        <f t="shared" si="17"/>
        <v>-0.3055979997221836</v>
      </c>
      <c r="N314" s="31" t="str">
        <f>+VLOOKUP(C314,'Country &amp; Code Abbreviation'!$C$3:$D$245,2,FALSE)</f>
        <v>TCA</v>
      </c>
    </row>
    <row r="315" spans="2:14" ht="12.75" customHeight="1">
      <c r="B315" s="25" t="s">
        <v>304</v>
      </c>
      <c r="C315" t="str">
        <f>VLOOKUP($B315,Apple!$B$3:$E$176,Apple!C$1,FALSE)</f>
        <v>UG</v>
      </c>
      <c r="D315" t="str">
        <f>VLOOKUP($B315,Apple!$B$3:$E$176,Apple!D$1,FALSE)</f>
        <v>UGX</v>
      </c>
      <c r="E315" t="str">
        <f>VLOOKUP($B315,Apple!$B$3:$E$176,Apple!E$1,FALSE)</f>
        <v>USD</v>
      </c>
      <c r="F315" t="s">
        <v>68</v>
      </c>
      <c r="G315" s="128">
        <f>VLOOKUP($B315,Apple!$B$3:$H$176,Apple!F$1,FALSE)</f>
        <v>72.989999999999995</v>
      </c>
      <c r="H315" s="128">
        <f>VLOOKUP($B315,Apple!$B$3:$H$176,Apple!H$1,FALSE)</f>
        <v>53.99</v>
      </c>
      <c r="I315" s="73">
        <f>+MROUND(G315*0.7,10)-0.01</f>
        <v>49.99</v>
      </c>
      <c r="J315" s="73">
        <f t="shared" si="18"/>
        <v>37.99</v>
      </c>
      <c r="K315" s="111">
        <f t="shared" si="16"/>
        <v>-0.31511165913138783</v>
      </c>
      <c r="L315" s="111">
        <f t="shared" si="17"/>
        <v>-0.2963511761437303</v>
      </c>
      <c r="N315" s="31" t="str">
        <f>+VLOOKUP(C315,'Country &amp; Code Abbreviation'!$C$3:$D$245,2,FALSE)</f>
        <v>UGA</v>
      </c>
    </row>
    <row r="316" spans="2:14" ht="12.75" customHeight="1">
      <c r="B316" s="25" t="s">
        <v>304</v>
      </c>
      <c r="C316" t="str">
        <f>VLOOKUP($B316,Google!$B$3:$E$176,Google!C$1,FALSE)</f>
        <v>UG</v>
      </c>
      <c r="D316" t="str">
        <f>VLOOKUP($B316,Google!$B$3:$E$176,Google!D$1,FALSE)</f>
        <v>UGX</v>
      </c>
      <c r="E316" t="str">
        <f>VLOOKUP($B316,Google!$B$3:$E$176,Google!E$1,FALSE)</f>
        <v>USD</v>
      </c>
      <c r="F316" t="s">
        <v>69</v>
      </c>
      <c r="G316" s="128">
        <f>VLOOKUP($B316,Google!$B$3:$H$176,Google!F$1,FALSE)</f>
        <v>72.989999999999995</v>
      </c>
      <c r="H316" s="128">
        <f>VLOOKUP($B316,Google!$B$3:$H$176,Google!H$1,FALSE)</f>
        <v>53.99</v>
      </c>
      <c r="I316" s="73">
        <f>+MROUND(G316*0.7,10)-0.01</f>
        <v>49.99</v>
      </c>
      <c r="J316" s="73">
        <f t="shared" si="18"/>
        <v>37.99</v>
      </c>
      <c r="K316" s="111">
        <f t="shared" si="16"/>
        <v>-0.31511165913138783</v>
      </c>
      <c r="L316" s="111">
        <f t="shared" si="17"/>
        <v>-0.2963511761437303</v>
      </c>
      <c r="N316" s="31" t="str">
        <f>+VLOOKUP(C316,'Country &amp; Code Abbreviation'!$C$3:$D$245,2,FALSE)</f>
        <v>UGA</v>
      </c>
    </row>
    <row r="317" spans="2:14" ht="12.75" customHeight="1">
      <c r="B317" s="25" t="s">
        <v>306</v>
      </c>
      <c r="C317" t="str">
        <f>VLOOKUP($B317,Apple!$B$3:$E$176,Apple!C$1,FALSE)</f>
        <v>AE</v>
      </c>
      <c r="D317" t="str">
        <f>VLOOKUP($B317,Apple!$B$3:$E$176,Apple!D$1,FALSE)</f>
        <v>AED</v>
      </c>
      <c r="E317" t="str">
        <f>VLOOKUP($B317,Apple!$B$3:$E$176,Apple!E$1,FALSE)</f>
        <v>AED</v>
      </c>
      <c r="F317" t="s">
        <v>68</v>
      </c>
      <c r="G317" s="128">
        <f>VLOOKUP($B317,Apple!$B$3:$H$176,Apple!F$1,FALSE)</f>
        <v>559.99</v>
      </c>
      <c r="H317" s="128">
        <f>VLOOKUP($B317,Apple!$B$3:$H$176,Apple!H$1,FALSE)</f>
        <v>399.99</v>
      </c>
      <c r="I317" s="73">
        <f>+MROUND(G317*0.7,10)-0.01</f>
        <v>389.99</v>
      </c>
      <c r="J317" s="73">
        <f t="shared" si="18"/>
        <v>279.99</v>
      </c>
      <c r="K317" s="111">
        <f t="shared" si="16"/>
        <v>-0.30357684958659981</v>
      </c>
      <c r="L317" s="111">
        <f t="shared" si="17"/>
        <v>-0.30000750018750466</v>
      </c>
      <c r="N317" s="31" t="str">
        <f>+VLOOKUP(C317,'Country &amp; Code Abbreviation'!$C$3:$D$245,2,FALSE)</f>
        <v>ARE</v>
      </c>
    </row>
    <row r="318" spans="2:14" ht="12.75" customHeight="1">
      <c r="B318" s="25" t="s">
        <v>306</v>
      </c>
      <c r="C318" t="str">
        <f>VLOOKUP($B318,Google!$B$3:$E$176,Google!C$1,FALSE)</f>
        <v>AE</v>
      </c>
      <c r="D318" t="str">
        <f>VLOOKUP($B318,Google!$B$3:$E$176,Google!D$1,FALSE)</f>
        <v>AED</v>
      </c>
      <c r="E318" t="str">
        <f>VLOOKUP($B318,Google!$B$3:$E$176,Google!E$1,FALSE)</f>
        <v>AED</v>
      </c>
      <c r="F318" t="s">
        <v>69</v>
      </c>
      <c r="G318" s="128">
        <f>VLOOKUP($B318,Google!$B$3:$H$176,Google!F$1,FALSE)</f>
        <v>559.99</v>
      </c>
      <c r="H318" s="128">
        <f>VLOOKUP($B318,Google!$B$3:$H$176,Google!H$1,FALSE)</f>
        <v>399.99</v>
      </c>
      <c r="I318" s="73">
        <f>+MROUND(G318*0.7,10)-0.01</f>
        <v>389.99</v>
      </c>
      <c r="J318" s="73">
        <f t="shared" si="18"/>
        <v>279.99</v>
      </c>
      <c r="K318" s="111">
        <f t="shared" si="16"/>
        <v>-0.30357684958659981</v>
      </c>
      <c r="L318" s="111">
        <f t="shared" si="17"/>
        <v>-0.30000750018750466</v>
      </c>
      <c r="N318" s="31" t="str">
        <f>+VLOOKUP(C318,'Country &amp; Code Abbreviation'!$C$3:$D$245,2,FALSE)</f>
        <v>ARE</v>
      </c>
    </row>
    <row r="319" spans="2:14" ht="12.75" customHeight="1">
      <c r="B319" s="25" t="s">
        <v>307</v>
      </c>
      <c r="C319" t="str">
        <f>VLOOKUP($B319,Apple!$B$3:$E$176,Apple!C$1,FALSE)</f>
        <v>GB</v>
      </c>
      <c r="D319" t="str">
        <f>VLOOKUP($B319,Apple!$B$3:$E$176,Apple!D$1,FALSE)</f>
        <v>GBP</v>
      </c>
      <c r="E319" t="str">
        <f>VLOOKUP($B319,Apple!$B$3:$E$176,Apple!E$1,FALSE)</f>
        <v>GBP</v>
      </c>
      <c r="F319" t="s">
        <v>68</v>
      </c>
      <c r="G319" s="128">
        <f>VLOOKUP($B319,Apple!$B$3:$H$176,Apple!F$1,FALSE)</f>
        <v>149.99</v>
      </c>
      <c r="H319" s="128">
        <f>VLOOKUP($B319,Apple!$B$3:$H$176,Apple!H$1,FALSE)</f>
        <v>114.99</v>
      </c>
      <c r="I319" s="73">
        <f t="shared" si="19"/>
        <v>104.99</v>
      </c>
      <c r="J319" s="73">
        <f t="shared" si="18"/>
        <v>79.989999999999995</v>
      </c>
      <c r="K319" s="111">
        <f t="shared" si="16"/>
        <v>-0.30002000133342233</v>
      </c>
      <c r="L319" s="111">
        <f t="shared" si="17"/>
        <v>-0.30437429341681888</v>
      </c>
      <c r="N319" s="31" t="str">
        <f>+VLOOKUP(C319,'Country &amp; Code Abbreviation'!$C$3:$D$245,2,FALSE)</f>
        <v>GBR</v>
      </c>
    </row>
    <row r="320" spans="2:14" ht="12.75" customHeight="1">
      <c r="B320" s="227" t="s">
        <v>307</v>
      </c>
      <c r="C320" t="str">
        <f>VLOOKUP($B320,Google!$B$3:$E$176,Google!C$1,FALSE)</f>
        <v>GB</v>
      </c>
      <c r="D320" t="str">
        <f>VLOOKUP($B320,Google!$B$3:$E$176,Google!D$1,FALSE)</f>
        <v>GBP</v>
      </c>
      <c r="E320" t="str">
        <f>VLOOKUP($B320,Google!$B$3:$E$176,Google!E$1,FALSE)</f>
        <v>GBP</v>
      </c>
      <c r="F320" t="s">
        <v>69</v>
      </c>
      <c r="G320" s="128">
        <f>VLOOKUP($B320,Google!$B$3:$H$176,Google!F$1,FALSE)</f>
        <v>149.99</v>
      </c>
      <c r="H320" s="128">
        <f>VLOOKUP($B320,Google!$B$3:$H$176,Google!H$1,FALSE)</f>
        <v>114.99</v>
      </c>
      <c r="I320" s="73">
        <f t="shared" si="19"/>
        <v>104.99</v>
      </c>
      <c r="J320" s="73">
        <f t="shared" si="18"/>
        <v>79.989999999999995</v>
      </c>
      <c r="K320" s="111">
        <f t="shared" si="16"/>
        <v>-0.30002000133342233</v>
      </c>
      <c r="L320" s="111">
        <f t="shared" si="17"/>
        <v>-0.30437429341681888</v>
      </c>
      <c r="N320" s="31" t="str">
        <f>+VLOOKUP(C320,'Country &amp; Code Abbreviation'!$C$3:$D$245,2,FALSE)</f>
        <v>GBR</v>
      </c>
    </row>
    <row r="321" spans="2:14" ht="12.75" customHeight="1">
      <c r="B321" s="25" t="s">
        <v>308</v>
      </c>
      <c r="C321" t="str">
        <f>VLOOKUP($B321,Apple!$B$3:$E$176,Apple!C$1,FALSE)</f>
        <v>UY</v>
      </c>
      <c r="D321" t="str">
        <f>VLOOKUP($B321,Apple!$B$3:$E$176,Apple!D$1,FALSE)</f>
        <v>UYU</v>
      </c>
      <c r="E321" t="str">
        <f>VLOOKUP($B321,Apple!$B$3:$E$176,Apple!E$1,FALSE)</f>
        <v>USD</v>
      </c>
      <c r="F321" t="s">
        <v>68</v>
      </c>
      <c r="G321" s="128">
        <f>VLOOKUP($B321,Apple!$B$3:$H$176,Apple!F$1,FALSE)</f>
        <v>104.99</v>
      </c>
      <c r="H321" s="128">
        <f>VLOOKUP($B321,Apple!$B$3:$H$176,Apple!H$1,FALSE)</f>
        <v>77.989999999999995</v>
      </c>
      <c r="I321" s="73">
        <f t="shared" si="19"/>
        <v>72.989999999999995</v>
      </c>
      <c r="J321" s="73">
        <f t="shared" si="18"/>
        <v>54.99</v>
      </c>
      <c r="K321" s="111">
        <f t="shared" si="16"/>
        <v>-0.30479093246975908</v>
      </c>
      <c r="L321" s="111">
        <f t="shared" si="17"/>
        <v>-0.29490960379535835</v>
      </c>
      <c r="N321" s="31" t="str">
        <f>+VLOOKUP(C321,'Country &amp; Code Abbreviation'!$C$3:$D$245,2,FALSE)</f>
        <v>URY</v>
      </c>
    </row>
    <row r="322" spans="2:14" ht="12.75" customHeight="1">
      <c r="B322" s="25" t="s">
        <v>308</v>
      </c>
      <c r="C322" t="str">
        <f>VLOOKUP($B322,Google!$B$3:$E$176,Google!C$1,FALSE)</f>
        <v>UY</v>
      </c>
      <c r="D322" t="str">
        <f>VLOOKUP($B322,Google!$B$3:$E$176,Google!D$1,FALSE)</f>
        <v>UYU</v>
      </c>
      <c r="E322" t="str">
        <f>VLOOKUP($B322,Google!$B$3:$E$176,Google!E$1,FALSE)</f>
        <v>USD</v>
      </c>
      <c r="F322" t="s">
        <v>69</v>
      </c>
      <c r="G322" s="128">
        <f>VLOOKUP($B322,Google!$B$3:$H$176,Google!F$1,FALSE)</f>
        <v>104.99</v>
      </c>
      <c r="H322" s="128">
        <f>VLOOKUP($B322,Google!$B$3:$H$176,Google!H$1,FALSE)</f>
        <v>77.989999999999995</v>
      </c>
      <c r="I322" s="73">
        <f t="shared" si="19"/>
        <v>72.989999999999995</v>
      </c>
      <c r="J322" s="73">
        <f>+MROUND(H322*0.7,1)-0.01</f>
        <v>54.99</v>
      </c>
      <c r="K322" s="111">
        <f t="shared" si="16"/>
        <v>-0.30479093246975908</v>
      </c>
      <c r="L322" s="111">
        <f t="shared" si="17"/>
        <v>-0.29490960379535835</v>
      </c>
      <c r="N322" s="31" t="str">
        <f>+VLOOKUP(C322,'Country &amp; Code Abbreviation'!$C$3:$D$245,2,FALSE)</f>
        <v>URY</v>
      </c>
    </row>
    <row r="323" spans="2:14" ht="12.75" customHeight="1">
      <c r="B323" s="25" t="s">
        <v>309</v>
      </c>
      <c r="C323" t="str">
        <f>VLOOKUP($B323,Apple!$B$3:$E$176,Apple!C$1,FALSE)</f>
        <v>UZ</v>
      </c>
      <c r="D323" t="str">
        <f>VLOOKUP($B323,Apple!$B$3:$E$176,Apple!D$1,FALSE)</f>
        <v>UZS</v>
      </c>
      <c r="E323" t="str">
        <f>VLOOKUP($B323,Apple!$B$3:$E$176,Apple!E$1,FALSE)</f>
        <v>USD</v>
      </c>
      <c r="F323" t="s">
        <v>68</v>
      </c>
      <c r="G323" s="128">
        <f>VLOOKUP($B323,Apple!$B$3:$H$176,Apple!F$1,FALSE)</f>
        <v>72.989999999999995</v>
      </c>
      <c r="H323" s="128">
        <f>VLOOKUP($B323,Apple!$B$3:$H$176,Apple!H$1,FALSE)</f>
        <v>54.99</v>
      </c>
      <c r="I323" s="73">
        <f>+MROUND(G323*0.7,10)-0.01</f>
        <v>49.99</v>
      </c>
      <c r="J323" s="73">
        <f>+MROUND(H323*0.7,1)-0.01</f>
        <v>37.99</v>
      </c>
      <c r="K323" s="111">
        <f t="shared" si="16"/>
        <v>-0.31511165913138783</v>
      </c>
      <c r="L323" s="111">
        <f t="shared" si="17"/>
        <v>-0.30914711765775593</v>
      </c>
      <c r="N323" s="31" t="str">
        <f>+VLOOKUP(C323,'Country &amp; Code Abbreviation'!$C$3:$D$245,2,FALSE)</f>
        <v>UZB</v>
      </c>
    </row>
    <row r="324" spans="2:14" ht="12.75" customHeight="1">
      <c r="B324" s="25" t="s">
        <v>309</v>
      </c>
      <c r="C324" t="str">
        <f>VLOOKUP($B324,Google!$B$3:$E$176,Google!C$1,FALSE)</f>
        <v>UZ</v>
      </c>
      <c r="D324" t="str">
        <f>VLOOKUP($B324,Google!$B$3:$E$176,Google!D$1,FALSE)</f>
        <v>UZS</v>
      </c>
      <c r="E324" t="str">
        <f>VLOOKUP($B324,Google!$B$3:$E$176,Google!E$1,FALSE)</f>
        <v>USD</v>
      </c>
      <c r="F324" t="s">
        <v>69</v>
      </c>
      <c r="G324" s="128">
        <f>VLOOKUP($B324,Google!$B$3:$H$176,Google!F$1,FALSE)</f>
        <v>72.989999999999995</v>
      </c>
      <c r="H324" s="128">
        <f>VLOOKUP($B324,Google!$B$3:$H$176,Google!H$1,FALSE)</f>
        <v>54.99</v>
      </c>
      <c r="I324" s="73">
        <f>+MROUND(G324*0.7,10)-0.01</f>
        <v>49.99</v>
      </c>
      <c r="J324" s="73">
        <f>+MROUND(H324*0.7,1)-0.01</f>
        <v>37.99</v>
      </c>
      <c r="K324" s="111">
        <f t="shared" si="16"/>
        <v>-0.31511165913138783</v>
      </c>
      <c r="L324" s="111">
        <f t="shared" si="17"/>
        <v>-0.30914711765775593</v>
      </c>
      <c r="N324" s="31" t="str">
        <f>+VLOOKUP(C324,'Country &amp; Code Abbreviation'!$C$3:$D$245,2,FALSE)</f>
        <v>UZB</v>
      </c>
    </row>
    <row r="325" spans="2:14" ht="12.75" customHeight="1">
      <c r="B325" s="25" t="s">
        <v>310</v>
      </c>
      <c r="C325" t="str">
        <f>VLOOKUP($B325,Apple!$B$3:$E$176,Apple!C$1,FALSE)</f>
        <v>VU</v>
      </c>
      <c r="D325" t="str">
        <f>VLOOKUP($B325,Apple!$B$3:$E$176,Apple!D$1,FALSE)</f>
        <v>VUV</v>
      </c>
      <c r="E325" t="str">
        <f>VLOOKUP($B325,Apple!$B$3:$E$176,Apple!E$1,FALSE)</f>
        <v>USD</v>
      </c>
      <c r="F325" t="s">
        <v>68</v>
      </c>
      <c r="G325" s="128">
        <f>VLOOKUP($B325,Apple!$B$3:$H$176,Apple!F$1,FALSE)</f>
        <v>61.99</v>
      </c>
      <c r="H325" s="128">
        <f>VLOOKUP($B325,Apple!$B$3:$H$176,Apple!H$1,FALSE)</f>
        <v>44.99</v>
      </c>
      <c r="I325" s="73">
        <f t="shared" ref="I325:I337" si="22">+MROUND(G325*0.7,1)-0.01</f>
        <v>42.99</v>
      </c>
      <c r="J325" s="73">
        <f>+MROUND(H325*0.7,10)-0.01</f>
        <v>29.99</v>
      </c>
      <c r="K325" s="111">
        <f t="shared" ref="K325:K337" si="23">I325/G325-1</f>
        <v>-0.30650104855621874</v>
      </c>
      <c r="L325" s="111">
        <f t="shared" ref="L325:L337" si="24">J325/H325-1</f>
        <v>-0.33340742387197164</v>
      </c>
      <c r="N325" s="31" t="str">
        <f>+VLOOKUP(C325,'Country &amp; Code Abbreviation'!$C$3:$D$245,2,FALSE)</f>
        <v>VUT</v>
      </c>
    </row>
    <row r="326" spans="2:14" ht="12.75" customHeight="1">
      <c r="B326" s="25" t="s">
        <v>310</v>
      </c>
      <c r="C326" t="str">
        <f>VLOOKUP($B326,Google!$B$3:$E$176,Google!C$1,FALSE)</f>
        <v>VU</v>
      </c>
      <c r="D326" t="str">
        <f>VLOOKUP($B326,Google!$B$3:$E$176,Google!D$1,FALSE)</f>
        <v>VUV</v>
      </c>
      <c r="E326" t="str">
        <f>VLOOKUP($B326,Google!$B$3:$E$176,Google!E$1,FALSE)</f>
        <v>USD</v>
      </c>
      <c r="F326" t="s">
        <v>69</v>
      </c>
      <c r="G326" s="128">
        <f>VLOOKUP($B326,Google!$B$3:$H$176,Google!F$1,FALSE)</f>
        <v>61.99</v>
      </c>
      <c r="H326" s="128">
        <f>VLOOKUP($B326,Google!$B$3:$H$176,Google!H$1,FALSE)</f>
        <v>44.99</v>
      </c>
      <c r="I326" s="73">
        <f t="shared" si="22"/>
        <v>42.99</v>
      </c>
      <c r="J326" s="73">
        <f>+MROUND(H326*0.7,10)-0.01</f>
        <v>29.99</v>
      </c>
      <c r="K326" s="111">
        <f t="shared" si="23"/>
        <v>-0.30650104855621874</v>
      </c>
      <c r="L326" s="111">
        <f t="shared" si="24"/>
        <v>-0.33340742387197164</v>
      </c>
      <c r="N326" s="31" t="str">
        <f>+VLOOKUP(C326,'Country &amp; Code Abbreviation'!$C$3:$D$245,2,FALSE)</f>
        <v>VUT</v>
      </c>
    </row>
    <row r="327" spans="2:14" ht="12.75" customHeight="1">
      <c r="B327" s="25" t="s">
        <v>311</v>
      </c>
      <c r="C327" t="str">
        <f>VLOOKUP($B327,Google!$B$3:$E$176,Google!C$1,FALSE)</f>
        <v>VA</v>
      </c>
      <c r="D327" t="str">
        <f>VLOOKUP($B327,Google!$B$3:$E$176,Google!D$1,FALSE)</f>
        <v>EUR</v>
      </c>
      <c r="E327" t="str">
        <f>VLOOKUP($B327,Google!$B$3:$E$176,Google!E$1,FALSE)</f>
        <v>EUR</v>
      </c>
      <c r="F327" t="s">
        <v>69</v>
      </c>
      <c r="G327" s="128">
        <f>VLOOKUP($B327,Google!$B$3:$H$176,Google!F$1,FALSE)</f>
        <v>129.99</v>
      </c>
      <c r="H327" s="128">
        <f>VLOOKUP($B327,Google!$B$3:$H$176,Google!H$1,FALSE)</f>
        <v>89.99</v>
      </c>
      <c r="I327" s="73">
        <f>+MROUND(G327*0.7,10)-0.01</f>
        <v>89.99</v>
      </c>
      <c r="J327" s="73">
        <f>+MROUND(H327*0.7,1)-0.01</f>
        <v>62.99</v>
      </c>
      <c r="K327" s="111">
        <f t="shared" si="23"/>
        <v>-0.30771597815216567</v>
      </c>
      <c r="L327" s="111">
        <f t="shared" si="24"/>
        <v>-0.3000333370374485</v>
      </c>
      <c r="N327" s="31" t="str">
        <f>+VLOOKUP(C327,'Country &amp; Code Abbreviation'!$C$3:$D$245,2,FALSE)</f>
        <v>VAT</v>
      </c>
    </row>
    <row r="328" spans="2:14" ht="12.75" customHeight="1">
      <c r="B328" s="25" t="s">
        <v>312</v>
      </c>
      <c r="C328" t="str">
        <f>VLOOKUP($B328,Apple!$B$3:$E$176,Apple!C$1,FALSE)</f>
        <v>VE</v>
      </c>
      <c r="D328" t="str">
        <f>VLOOKUP($B328,Apple!$B$3:$E$176,Apple!D$1,FALSE)</f>
        <v>USD</v>
      </c>
      <c r="E328" t="str">
        <f>VLOOKUP($B328,Apple!$B$3:$E$176,Apple!E$1,FALSE)</f>
        <v>USD</v>
      </c>
      <c r="F328" t="s">
        <v>68</v>
      </c>
      <c r="G328" s="128">
        <f>VLOOKUP($B328,Apple!$B$3:$H$176,Apple!F$1,FALSE)</f>
        <v>95.99</v>
      </c>
      <c r="H328" s="128">
        <f>VLOOKUP($B328,Apple!$B$3:$H$176,Apple!H$1,FALSE)</f>
        <v>71.989999999999995</v>
      </c>
      <c r="I328" s="73">
        <f t="shared" si="22"/>
        <v>66.989999999999995</v>
      </c>
      <c r="J328" s="73">
        <f t="shared" ref="J328:J337" si="25">+MROUND(H328*0.7,1)-0.01</f>
        <v>49.99</v>
      </c>
      <c r="K328" s="111">
        <f t="shared" si="23"/>
        <v>-0.30211480362537768</v>
      </c>
      <c r="L328" s="111">
        <f t="shared" si="24"/>
        <v>-0.3055979997221836</v>
      </c>
      <c r="N328" s="31" t="str">
        <f>+VLOOKUP(C328,'Country &amp; Code Abbreviation'!$C$3:$D$245,2,FALSE)</f>
        <v>VEN</v>
      </c>
    </row>
    <row r="329" spans="2:14" ht="12.75" customHeight="1">
      <c r="B329" s="25" t="s">
        <v>312</v>
      </c>
      <c r="C329" t="str">
        <f>VLOOKUP($B329,Google!$B$3:$E$176,Google!C$1,FALSE)</f>
        <v>VE</v>
      </c>
      <c r="D329" t="str">
        <f>VLOOKUP($B329,Google!$B$3:$E$176,Google!D$1,FALSE)</f>
        <v>USD</v>
      </c>
      <c r="E329" t="str">
        <f>VLOOKUP($B329,Google!$B$3:$E$176,Google!E$1,FALSE)</f>
        <v>USD</v>
      </c>
      <c r="F329" t="s">
        <v>69</v>
      </c>
      <c r="G329" s="128">
        <f>VLOOKUP($B329,Google!$B$3:$H$176,Google!F$1,FALSE)</f>
        <v>95.99</v>
      </c>
      <c r="H329" s="128">
        <f>VLOOKUP($B329,Google!$B$3:$H$176,Google!H$1,FALSE)</f>
        <v>71.989999999999995</v>
      </c>
      <c r="I329" s="73">
        <f t="shared" si="22"/>
        <v>66.989999999999995</v>
      </c>
      <c r="J329" s="73">
        <f t="shared" si="25"/>
        <v>49.99</v>
      </c>
      <c r="K329" s="111">
        <f t="shared" si="23"/>
        <v>-0.30211480362537768</v>
      </c>
      <c r="L329" s="111">
        <f t="shared" si="24"/>
        <v>-0.3055979997221836</v>
      </c>
      <c r="N329" s="31" t="str">
        <f>+VLOOKUP(C329,'Country &amp; Code Abbreviation'!$C$3:$D$245,2,FALSE)</f>
        <v>VEN</v>
      </c>
    </row>
    <row r="330" spans="2:14" ht="12.75" customHeight="1">
      <c r="B330" s="25" t="s">
        <v>313</v>
      </c>
      <c r="C330" t="str">
        <f>VLOOKUP($B330,Apple!$B$3:$E$176,Apple!C$1,FALSE)</f>
        <v>VN</v>
      </c>
      <c r="D330" t="str">
        <f>VLOOKUP($B330,Apple!$B$3:$E$176,Apple!D$1,FALSE)</f>
        <v>VND</v>
      </c>
      <c r="E330" t="str">
        <f>VLOOKUP($B330,Apple!$B$3:$E$176,Apple!E$1,FALSE)</f>
        <v>VND</v>
      </c>
      <c r="F330" t="s">
        <v>68</v>
      </c>
      <c r="G330" s="128">
        <f>VLOOKUP($B330,Apple!$B$3:$H$176,Apple!F$1,FALSE)</f>
        <v>1999000</v>
      </c>
      <c r="H330" s="128">
        <f>VLOOKUP($B330,Apple!$B$3:$H$176,Apple!H$1,FALSE)</f>
        <v>1549000</v>
      </c>
      <c r="I330" s="253">
        <f>+MROUND(G330*0.7,1000)-0.01</f>
        <v>1398999.99</v>
      </c>
      <c r="J330" s="253">
        <f>+MROUND(H330*0.7,1000)-0.01</f>
        <v>1083999.99</v>
      </c>
      <c r="K330" s="111">
        <f t="shared" si="23"/>
        <v>-0.30015008004001997</v>
      </c>
      <c r="L330" s="111">
        <f t="shared" si="24"/>
        <v>-0.30019367979341516</v>
      </c>
      <c r="N330" s="31" t="str">
        <f>+VLOOKUP(C330,'Country &amp; Code Abbreviation'!$C$3:$D$245,2,FALSE)</f>
        <v>VNM</v>
      </c>
    </row>
    <row r="331" spans="2:14" ht="12.75" customHeight="1">
      <c r="B331" s="25" t="s">
        <v>313</v>
      </c>
      <c r="C331" t="str">
        <f>VLOOKUP($B331,Google!$B$3:$E$176,Google!C$1,FALSE)</f>
        <v>VN</v>
      </c>
      <c r="D331" t="str">
        <f>VLOOKUP($B331,Google!$B$3:$E$176,Google!D$1,FALSE)</f>
        <v>VND</v>
      </c>
      <c r="E331" t="str">
        <f>VLOOKUP($B331,Google!$B$3:$E$176,Google!E$1,FALSE)</f>
        <v>VND</v>
      </c>
      <c r="F331" t="s">
        <v>69</v>
      </c>
      <c r="G331" s="128">
        <f>VLOOKUP($B331,Google!$B$3:$H$176,Google!F$1,FALSE)</f>
        <v>1999000</v>
      </c>
      <c r="H331" s="128">
        <f>VLOOKUP($B331,Apple!$B$3:$H$176,Apple!H$1,FALSE)</f>
        <v>1549000</v>
      </c>
      <c r="I331" s="253">
        <f>+MROUND(G331*0.7,1000)-0.01</f>
        <v>1398999.99</v>
      </c>
      <c r="J331" s="253">
        <f>+MROUND(H331*0.7,1000)-0.01</f>
        <v>1083999.99</v>
      </c>
      <c r="K331" s="111">
        <f t="shared" si="23"/>
        <v>-0.30015008004001997</v>
      </c>
      <c r="L331" s="111">
        <f t="shared" si="24"/>
        <v>-0.30019367979341516</v>
      </c>
      <c r="N331" s="31" t="str">
        <f>+VLOOKUP(C331,'Country &amp; Code Abbreviation'!$C$3:$D$245,2,FALSE)</f>
        <v>VNM</v>
      </c>
    </row>
    <row r="332" spans="2:14" ht="12.75" customHeight="1">
      <c r="B332" s="25" t="s">
        <v>316</v>
      </c>
      <c r="C332" t="str">
        <f>VLOOKUP($B332,Apple!$B$3:$E$176,Apple!C$1,FALSE)</f>
        <v>YE</v>
      </c>
      <c r="D332" t="str">
        <f>VLOOKUP($B332,Apple!$B$3:$E$176,Apple!D$1,FALSE)</f>
        <v>USD</v>
      </c>
      <c r="E332" t="str">
        <f>VLOOKUP($B332,Apple!$B$3:$E$176,Apple!E$1,FALSE)</f>
        <v>USD</v>
      </c>
      <c r="F332" t="s">
        <v>68</v>
      </c>
      <c r="G332" s="128">
        <f>VLOOKUP($B332,Apple!$B$3:$H$176,Apple!F$1,FALSE)</f>
        <v>77.989999999999995</v>
      </c>
      <c r="H332" s="128">
        <f>VLOOKUP($B332,Apple!$B$3:$H$176,Apple!H$1,FALSE)</f>
        <v>57.99</v>
      </c>
      <c r="I332" s="73">
        <f t="shared" si="22"/>
        <v>54.99</v>
      </c>
      <c r="J332" s="73">
        <f>+MROUND(H332*0.7,10)-0.01</f>
        <v>39.99</v>
      </c>
      <c r="K332" s="111">
        <f t="shared" si="23"/>
        <v>-0.29490960379535835</v>
      </c>
      <c r="L332" s="111">
        <f t="shared" si="24"/>
        <v>-0.31039834454216242</v>
      </c>
      <c r="N332" s="31" t="str">
        <f>+VLOOKUP(C332,'Country &amp; Code Abbreviation'!$C$3:$D$245,2,FALSE)</f>
        <v>YEM</v>
      </c>
    </row>
    <row r="333" spans="2:14" ht="12.75" customHeight="1">
      <c r="B333" s="25" t="s">
        <v>316</v>
      </c>
      <c r="C333" t="str">
        <f>VLOOKUP($B333,Google!$B$3:$E$176,Google!C$1,FALSE)</f>
        <v>YE</v>
      </c>
      <c r="D333" t="str">
        <f>VLOOKUP($B333,Google!$B$3:$E$176,Google!D$1,FALSE)</f>
        <v>USD</v>
      </c>
      <c r="E333" t="str">
        <f>VLOOKUP($B333,Google!$B$3:$E$176,Google!E$1,FALSE)</f>
        <v>USD</v>
      </c>
      <c r="F333" t="s">
        <v>69</v>
      </c>
      <c r="G333" s="128">
        <f>VLOOKUP($B333,Google!$B$3:$H$176,Google!F$1,FALSE)</f>
        <v>77.989999999999995</v>
      </c>
      <c r="H333" s="128">
        <f>VLOOKUP($B333,Google!$B$3:$H$176,Google!H$1,FALSE)</f>
        <v>57.99</v>
      </c>
      <c r="I333" s="73">
        <f t="shared" si="22"/>
        <v>54.99</v>
      </c>
      <c r="J333" s="73">
        <f>+MROUND(H333*0.7,10)-0.01</f>
        <v>39.99</v>
      </c>
      <c r="K333" s="111">
        <f t="shared" si="23"/>
        <v>-0.29490960379535835</v>
      </c>
      <c r="L333" s="111">
        <f t="shared" si="24"/>
        <v>-0.31039834454216242</v>
      </c>
      <c r="N333" s="31" t="str">
        <f>+VLOOKUP(C333,'Country &amp; Code Abbreviation'!$C$3:$D$245,2,FALSE)</f>
        <v>YEM</v>
      </c>
    </row>
    <row r="334" spans="2:14" ht="12.75" customHeight="1">
      <c r="B334" s="25" t="s">
        <v>317</v>
      </c>
      <c r="C334" t="str">
        <f>VLOOKUP($B334,Apple!$B$3:$E$176,Apple!C$1,FALSE)</f>
        <v>ZM</v>
      </c>
      <c r="D334" t="str">
        <f>VLOOKUP($B334,Apple!$B$3:$E$176,Apple!D$1,FALSE)</f>
        <v>ZMW</v>
      </c>
      <c r="E334" t="str">
        <f>VLOOKUP($B334,Apple!$B$3:$E$176,Apple!E$1,FALSE)</f>
        <v>USD</v>
      </c>
      <c r="F334" t="s">
        <v>68</v>
      </c>
      <c r="G334" s="128">
        <f>VLOOKUP($B334,Apple!$B$3:$H$176,Apple!F$1,FALSE)</f>
        <v>79.989999999999995</v>
      </c>
      <c r="H334" s="128">
        <f>VLOOKUP($B334,Apple!$B$3:$H$176,Apple!H$1,FALSE)</f>
        <v>57.99</v>
      </c>
      <c r="I334" s="73">
        <f>+MROUND(G334*0.7,5)-0.01</f>
        <v>54.99</v>
      </c>
      <c r="J334" s="73">
        <f>+MROUND(H334*0.7,5)-0.01</f>
        <v>39.99</v>
      </c>
      <c r="K334" s="111">
        <f t="shared" si="23"/>
        <v>-0.31253906738342285</v>
      </c>
      <c r="L334" s="111">
        <f t="shared" si="24"/>
        <v>-0.31039834454216242</v>
      </c>
      <c r="N334" s="31" t="str">
        <f>+VLOOKUP(C334,'Country &amp; Code Abbreviation'!$C$3:$D$245,2,FALSE)</f>
        <v>ZMB</v>
      </c>
    </row>
    <row r="335" spans="2:14" ht="12.75" customHeight="1">
      <c r="B335" s="25" t="s">
        <v>317</v>
      </c>
      <c r="C335" t="str">
        <f>VLOOKUP($B335,Google!$B$3:$E$176,Google!C$1,FALSE)</f>
        <v>ZM</v>
      </c>
      <c r="D335" t="str">
        <f>VLOOKUP($B335,Google!$B$3:$E$176,Google!D$1,FALSE)</f>
        <v>ZMW</v>
      </c>
      <c r="E335" t="str">
        <f>VLOOKUP($B335,Google!$B$3:$E$176,Google!E$1,FALSE)</f>
        <v>USD</v>
      </c>
      <c r="F335" t="s">
        <v>69</v>
      </c>
      <c r="G335" s="128">
        <f>VLOOKUP($B335,Google!$B$3:$H$176,Google!F$1,FALSE)</f>
        <v>79.989999999999995</v>
      </c>
      <c r="H335" s="128">
        <f>VLOOKUP($B335,Google!$B$3:$H$176,Google!H$1,FALSE)</f>
        <v>57.99</v>
      </c>
      <c r="I335" s="73">
        <f>+MROUND(G335*0.7,5)-0.01</f>
        <v>54.99</v>
      </c>
      <c r="J335" s="73">
        <f>+MROUND(H335*0.7,5)-0.01</f>
        <v>39.99</v>
      </c>
      <c r="K335" s="111">
        <f t="shared" si="23"/>
        <v>-0.31253906738342285</v>
      </c>
      <c r="L335" s="111">
        <f t="shared" si="24"/>
        <v>-0.31039834454216242</v>
      </c>
      <c r="N335" s="31" t="str">
        <f>+VLOOKUP(C335,'Country &amp; Code Abbreviation'!$C$3:$D$245,2,FALSE)</f>
        <v>ZMB</v>
      </c>
    </row>
    <row r="336" spans="2:14" ht="12.75" customHeight="1">
      <c r="B336" s="25" t="s">
        <v>318</v>
      </c>
      <c r="C336" t="str">
        <f>VLOOKUP($B336,Apple!$B$3:$E$176,Apple!C$1,FALSE)</f>
        <v>ZW</v>
      </c>
      <c r="D336" t="str">
        <f>VLOOKUP($B336,Apple!$B$3:$E$176,Apple!D$1,FALSE)</f>
        <v>USD</v>
      </c>
      <c r="E336" t="str">
        <f>VLOOKUP($B336,Apple!$B$3:$E$176,Apple!E$1,FALSE)</f>
        <v>USD</v>
      </c>
      <c r="F336" t="s">
        <v>68</v>
      </c>
      <c r="G336" s="128">
        <f>VLOOKUP($B336,Apple!$B$3:$H$176,Apple!F$1,FALSE)</f>
        <v>71.989999999999995</v>
      </c>
      <c r="H336" s="128">
        <f>VLOOKUP($B336,Apple!$B$3:$H$176,Apple!H$1,FALSE)</f>
        <v>53.99</v>
      </c>
      <c r="I336" s="73">
        <f t="shared" si="22"/>
        <v>49.99</v>
      </c>
      <c r="J336" s="73">
        <f t="shared" si="25"/>
        <v>37.99</v>
      </c>
      <c r="K336" s="111">
        <f t="shared" si="23"/>
        <v>-0.3055979997221836</v>
      </c>
      <c r="L336" s="111">
        <f t="shared" si="24"/>
        <v>-0.2963511761437303</v>
      </c>
      <c r="N336" s="31" t="str">
        <f>+VLOOKUP(C336,'Country &amp; Code Abbreviation'!$C$3:$D$245,2,FALSE)</f>
        <v>ZWE</v>
      </c>
    </row>
    <row r="337" spans="2:14" ht="12.75" customHeight="1">
      <c r="B337" s="25" t="s">
        <v>318</v>
      </c>
      <c r="C337" t="str">
        <f>VLOOKUP($B337,Google!$B$3:$E$176,Google!C$1,FALSE)</f>
        <v>ZW</v>
      </c>
      <c r="D337" t="str">
        <f>VLOOKUP($B337,Google!$B$3:$E$176,Google!D$1,FALSE)</f>
        <v>USD</v>
      </c>
      <c r="E337" t="str">
        <f>VLOOKUP($B337,Google!$B$3:$E$176,Google!E$1,FALSE)</f>
        <v>USD</v>
      </c>
      <c r="F337" t="s">
        <v>69</v>
      </c>
      <c r="G337" s="128">
        <f>VLOOKUP($B337,Google!$B$3:$H$176,Google!F$1,FALSE)</f>
        <v>71.989999999999995</v>
      </c>
      <c r="H337" s="128">
        <f>VLOOKUP($B337,Google!$B$3:$H$176,Google!H$1,FALSE)</f>
        <v>53.99</v>
      </c>
      <c r="I337" s="73">
        <f t="shared" si="22"/>
        <v>49.99</v>
      </c>
      <c r="J337" s="73">
        <f t="shared" si="25"/>
        <v>37.99</v>
      </c>
      <c r="K337" s="111">
        <f t="shared" si="23"/>
        <v>-0.3055979997221836</v>
      </c>
      <c r="L337" s="111">
        <f t="shared" si="24"/>
        <v>-0.2963511761437303</v>
      </c>
      <c r="N337" s="31" t="str">
        <f>+VLOOKUP(C337,'Country &amp; Code Abbreviation'!$C$3:$D$245,2,FALSE)</f>
        <v>ZWE</v>
      </c>
    </row>
  </sheetData>
  <autoFilter ref="B3:N3" xr:uid="{8722683F-AF87-4EC0-B6C0-8655A74D3B21}"/>
  <sortState xmlns:xlrd2="http://schemas.microsoft.com/office/spreadsheetml/2017/richdata2" ref="B4:J337">
    <sortCondition ref="B4:B337"/>
  </sortState>
  <conditionalFormatting sqref="K4:L3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CD22-9C8A-4652-9D32-4AC43B112FD1}">
  <sheetPr>
    <tabColor theme="5" tint="0.79998168889431442"/>
  </sheetPr>
  <dimension ref="B2:G5"/>
  <sheetViews>
    <sheetView workbookViewId="0"/>
  </sheetViews>
  <sheetFormatPr defaultRowHeight="12.5"/>
  <cols>
    <col min="1" max="1" width="1.6328125" customWidth="1"/>
    <col min="2" max="2" width="128.6328125" bestFit="1" customWidth="1"/>
    <col min="3" max="3" width="18.453125" bestFit="1" customWidth="1"/>
    <col min="4" max="4" width="43.6328125" bestFit="1" customWidth="1"/>
    <col min="5" max="5" width="30.36328125" bestFit="1" customWidth="1"/>
    <col min="6" max="6" width="26.36328125" bestFit="1" customWidth="1"/>
    <col min="7" max="7" width="29.6328125" bestFit="1" customWidth="1"/>
  </cols>
  <sheetData>
    <row r="2" spans="2:7" ht="13.5" thickBot="1">
      <c r="B2" s="41" t="s">
        <v>583</v>
      </c>
    </row>
    <row r="3" spans="2:7" ht="13.5" thickBot="1">
      <c r="B3" s="93" t="s">
        <v>584</v>
      </c>
      <c r="C3" s="93" t="s">
        <v>585</v>
      </c>
      <c r="D3" s="93" t="s">
        <v>586</v>
      </c>
      <c r="E3" s="94" t="s">
        <v>587</v>
      </c>
      <c r="F3" s="94" t="s">
        <v>588</v>
      </c>
      <c r="G3" s="94" t="s">
        <v>589</v>
      </c>
    </row>
    <row r="4" spans="2:7" ht="273">
      <c r="B4" s="95" t="s">
        <v>590</v>
      </c>
      <c r="C4" s="96" t="s">
        <v>591</v>
      </c>
      <c r="D4" s="97" t="s">
        <v>592</v>
      </c>
      <c r="E4" s="98" t="s">
        <v>593</v>
      </c>
      <c r="F4" s="97" t="s">
        <v>594</v>
      </c>
      <c r="G4" s="97" t="s">
        <v>595</v>
      </c>
    </row>
    <row r="5" spans="2:7" ht="260">
      <c r="B5" s="95" t="s">
        <v>596</v>
      </c>
      <c r="C5" s="96" t="s">
        <v>597</v>
      </c>
      <c r="D5" s="97" t="s">
        <v>598</v>
      </c>
      <c r="E5" s="98" t="s">
        <v>593</v>
      </c>
      <c r="F5" s="97" t="s">
        <v>599</v>
      </c>
      <c r="G5" s="97" t="s">
        <v>600</v>
      </c>
    </row>
  </sheetData>
  <pageMargins left="0.7" right="0.7" top="0.75" bottom="0.75" header="0.3" footer="0.3"/>
  <headerFooter>
    <oddFooter>&amp;C_x000D_&amp;1#&amp;"Aptos"&amp;10&amp;K000000 NBA - Internal Use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2C23-6C4E-404F-90AF-5866130E6837}">
  <dimension ref="B2:G24"/>
  <sheetViews>
    <sheetView zoomScaleNormal="100" workbookViewId="0"/>
  </sheetViews>
  <sheetFormatPr defaultColWidth="8.6328125" defaultRowHeight="12.5"/>
  <cols>
    <col min="1" max="1" width="1.6328125" customWidth="1"/>
    <col min="2" max="2" width="28.453125" bestFit="1" customWidth="1"/>
    <col min="3" max="3" width="12.6328125" bestFit="1" customWidth="1"/>
    <col min="4" max="4" width="15.36328125" bestFit="1" customWidth="1"/>
    <col min="5" max="5" width="24.453125" bestFit="1" customWidth="1"/>
    <col min="6" max="6" width="21" bestFit="1" customWidth="1"/>
  </cols>
  <sheetData>
    <row r="2" spans="2:7" ht="13">
      <c r="B2" s="41" t="s">
        <v>601</v>
      </c>
    </row>
    <row r="4" spans="2:7" ht="13">
      <c r="B4" s="74" t="s">
        <v>602</v>
      </c>
      <c r="C4" s="75" t="s">
        <v>603</v>
      </c>
      <c r="D4" s="75" t="s">
        <v>604</v>
      </c>
      <c r="E4" s="77" t="s">
        <v>605</v>
      </c>
    </row>
    <row r="5" spans="2:7" ht="13">
      <c r="B5" s="78" t="s">
        <v>606</v>
      </c>
      <c r="C5" s="6" t="s">
        <v>607</v>
      </c>
      <c r="D5" s="6" t="s">
        <v>56</v>
      </c>
      <c r="E5" s="79" t="s">
        <v>55</v>
      </c>
      <c r="G5" s="266"/>
    </row>
    <row r="6" spans="2:7">
      <c r="B6" s="78" t="s">
        <v>606</v>
      </c>
      <c r="C6" s="6" t="s">
        <v>608</v>
      </c>
      <c r="D6" s="6" t="s">
        <v>55</v>
      </c>
      <c r="E6" s="79" t="s">
        <v>609</v>
      </c>
    </row>
    <row r="7" spans="2:7">
      <c r="B7" s="78" t="s">
        <v>610</v>
      </c>
      <c r="C7" s="6" t="s">
        <v>607</v>
      </c>
      <c r="D7" s="6" t="s">
        <v>58</v>
      </c>
      <c r="E7" s="79" t="s">
        <v>56</v>
      </c>
    </row>
    <row r="8" spans="2:7">
      <c r="B8" s="78" t="s">
        <v>610</v>
      </c>
      <c r="C8" s="6" t="s">
        <v>608</v>
      </c>
      <c r="D8" s="6" t="s">
        <v>57</v>
      </c>
      <c r="E8" s="79" t="s">
        <v>55</v>
      </c>
    </row>
    <row r="9" spans="2:7">
      <c r="B9" s="78" t="s">
        <v>611</v>
      </c>
      <c r="C9" s="6" t="s">
        <v>607</v>
      </c>
      <c r="D9" s="6" t="s">
        <v>60</v>
      </c>
      <c r="E9" s="79" t="s">
        <v>59</v>
      </c>
      <c r="F9" s="6"/>
    </row>
    <row r="10" spans="2:7">
      <c r="B10" s="78" t="s">
        <v>611</v>
      </c>
      <c r="C10" s="6" t="s">
        <v>608</v>
      </c>
      <c r="D10" s="6" t="s">
        <v>59</v>
      </c>
      <c r="E10" s="79" t="s">
        <v>57</v>
      </c>
      <c r="F10" s="6"/>
    </row>
    <row r="11" spans="2:7">
      <c r="B11" s="78" t="s">
        <v>612</v>
      </c>
      <c r="C11" s="6" t="s">
        <v>607</v>
      </c>
      <c r="D11" s="6" t="s">
        <v>40</v>
      </c>
      <c r="E11" s="79" t="s">
        <v>39</v>
      </c>
      <c r="F11" s="6"/>
    </row>
    <row r="12" spans="2:7">
      <c r="B12" s="80" t="s">
        <v>612</v>
      </c>
      <c r="C12" s="76" t="s">
        <v>608</v>
      </c>
      <c r="D12" s="76" t="s">
        <v>39</v>
      </c>
      <c r="E12" s="81" t="s">
        <v>57</v>
      </c>
      <c r="F12" s="6"/>
    </row>
    <row r="13" spans="2:7">
      <c r="B13" s="6"/>
      <c r="C13" s="6"/>
      <c r="D13" s="6"/>
      <c r="E13" s="6"/>
    </row>
    <row r="14" spans="2:7">
      <c r="B14" s="6"/>
      <c r="C14" s="6"/>
      <c r="D14" s="6"/>
      <c r="E14" s="6"/>
    </row>
    <row r="15" spans="2:7">
      <c r="B15" s="6"/>
      <c r="C15" s="6"/>
      <c r="D15" s="6"/>
      <c r="E15" s="6"/>
    </row>
    <row r="16" spans="2:7" ht="13">
      <c r="B16" s="74" t="s">
        <v>613</v>
      </c>
      <c r="C16" s="75" t="s">
        <v>603</v>
      </c>
      <c r="D16" s="75" t="s">
        <v>604</v>
      </c>
      <c r="E16" s="77" t="s">
        <v>605</v>
      </c>
    </row>
    <row r="17" spans="2:6">
      <c r="B17" s="78" t="s">
        <v>614</v>
      </c>
      <c r="C17" s="6" t="s">
        <v>615</v>
      </c>
      <c r="D17" s="6" t="s">
        <v>61</v>
      </c>
      <c r="E17" s="79" t="s">
        <v>58</v>
      </c>
      <c r="F17" s="6"/>
    </row>
    <row r="18" spans="2:6">
      <c r="B18" s="80" t="s">
        <v>616</v>
      </c>
      <c r="C18" s="76" t="s">
        <v>615</v>
      </c>
      <c r="D18" s="76" t="s">
        <v>45</v>
      </c>
      <c r="E18" s="81" t="s">
        <v>58</v>
      </c>
      <c r="F18" s="6"/>
    </row>
    <row r="19" spans="2:6">
      <c r="B19" s="6"/>
      <c r="C19" s="6"/>
      <c r="D19" s="6"/>
      <c r="E19" s="6"/>
    </row>
    <row r="20" spans="2:6">
      <c r="B20" s="6"/>
      <c r="C20" s="6"/>
      <c r="D20" s="6"/>
      <c r="E20" s="6"/>
    </row>
    <row r="21" spans="2:6">
      <c r="B21" s="6"/>
      <c r="C21" s="6"/>
      <c r="D21" s="6"/>
      <c r="E21" s="6"/>
    </row>
    <row r="22" spans="2:6">
      <c r="B22" s="6"/>
      <c r="C22" s="6"/>
      <c r="D22" s="6"/>
      <c r="E22" s="6"/>
    </row>
    <row r="23" spans="2:6">
      <c r="B23" s="6"/>
      <c r="C23" s="6"/>
      <c r="D23" s="6"/>
      <c r="E23" s="6"/>
    </row>
    <row r="24" spans="2:6">
      <c r="B24" s="6"/>
      <c r="C24" s="6"/>
      <c r="D24" s="6"/>
      <c r="E24" s="6"/>
    </row>
  </sheetData>
  <pageMargins left="0.7" right="0.7" top="0.75" bottom="0.75" header="0.3" footer="0.3"/>
  <headerFooter>
    <oddFooter>&amp;C_x000D_&amp;1#&amp;"Aptos"&amp;10&amp;K000000 NBA - Internal Use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930C-C68F-43E2-BFF4-780100EC9D4F}">
  <dimension ref="B2:E34"/>
  <sheetViews>
    <sheetView topLeftCell="A9" zoomScaleNormal="100" workbookViewId="0"/>
  </sheetViews>
  <sheetFormatPr defaultColWidth="8.6328125" defaultRowHeight="12.5"/>
  <cols>
    <col min="1" max="1" width="1.6328125" customWidth="1"/>
    <col min="2" max="2" width="31.36328125" bestFit="1" customWidth="1"/>
    <col min="3" max="3" width="20.36328125" bestFit="1" customWidth="1"/>
    <col min="4" max="4" width="12.453125" bestFit="1" customWidth="1"/>
    <col min="5" max="5" width="108.453125" customWidth="1"/>
  </cols>
  <sheetData>
    <row r="2" spans="2:5" ht="13">
      <c r="B2" s="41" t="s">
        <v>617</v>
      </c>
    </row>
    <row r="4" spans="2:5" ht="13">
      <c r="B4" s="74" t="s">
        <v>618</v>
      </c>
      <c r="C4" s="75" t="s">
        <v>619</v>
      </c>
      <c r="D4" s="75" t="s">
        <v>620</v>
      </c>
      <c r="E4" s="77" t="s">
        <v>621</v>
      </c>
    </row>
    <row r="5" spans="2:5" ht="29">
      <c r="B5" s="84" t="s">
        <v>622</v>
      </c>
      <c r="C5" s="82" t="s">
        <v>322</v>
      </c>
      <c r="D5" s="82" t="s">
        <v>623</v>
      </c>
      <c r="E5" s="85" t="s">
        <v>624</v>
      </c>
    </row>
    <row r="6" spans="2:5" ht="29">
      <c r="B6" s="84" t="s">
        <v>625</v>
      </c>
      <c r="C6" s="82" t="s">
        <v>626</v>
      </c>
      <c r="D6" s="82" t="s">
        <v>623</v>
      </c>
      <c r="E6" s="85" t="s">
        <v>624</v>
      </c>
    </row>
    <row r="7" spans="2:5" ht="29">
      <c r="B7" s="84" t="s">
        <v>627</v>
      </c>
      <c r="C7" s="82" t="s">
        <v>38</v>
      </c>
      <c r="D7" s="82" t="s">
        <v>623</v>
      </c>
      <c r="E7" s="85" t="s">
        <v>624</v>
      </c>
    </row>
    <row r="8" spans="2:5" ht="29">
      <c r="B8" s="84" t="s">
        <v>628</v>
      </c>
      <c r="C8" s="82" t="s">
        <v>40</v>
      </c>
      <c r="D8" s="82" t="s">
        <v>623</v>
      </c>
      <c r="E8" s="85" t="s">
        <v>624</v>
      </c>
    </row>
    <row r="9" spans="2:5" ht="29">
      <c r="B9" s="84" t="s">
        <v>622</v>
      </c>
      <c r="C9" s="82" t="s">
        <v>58</v>
      </c>
      <c r="D9" s="82" t="s">
        <v>629</v>
      </c>
      <c r="E9" s="85" t="s">
        <v>624</v>
      </c>
    </row>
    <row r="10" spans="2:5" ht="29">
      <c r="B10" s="84" t="s">
        <v>625</v>
      </c>
      <c r="C10" s="82" t="s">
        <v>56</v>
      </c>
      <c r="D10" s="82" t="s">
        <v>629</v>
      </c>
      <c r="E10" s="85" t="s">
        <v>624</v>
      </c>
    </row>
    <row r="11" spans="2:5" ht="29">
      <c r="B11" s="84" t="s">
        <v>627</v>
      </c>
      <c r="C11" s="82" t="s">
        <v>60</v>
      </c>
      <c r="D11" s="82" t="s">
        <v>629</v>
      </c>
      <c r="E11" s="85" t="s">
        <v>624</v>
      </c>
    </row>
    <row r="12" spans="2:5" ht="25">
      <c r="B12" s="84" t="s">
        <v>630</v>
      </c>
      <c r="C12" s="82" t="s">
        <v>321</v>
      </c>
      <c r="D12" s="82" t="s">
        <v>623</v>
      </c>
      <c r="E12" s="86" t="s">
        <v>631</v>
      </c>
    </row>
    <row r="13" spans="2:5" ht="25">
      <c r="B13" s="84" t="s">
        <v>632</v>
      </c>
      <c r="C13" s="82" t="s">
        <v>319</v>
      </c>
      <c r="D13" s="82" t="s">
        <v>623</v>
      </c>
      <c r="E13" s="114" t="s">
        <v>633</v>
      </c>
    </row>
    <row r="14" spans="2:5" ht="25">
      <c r="B14" s="84" t="s">
        <v>634</v>
      </c>
      <c r="C14" s="82" t="s">
        <v>37</v>
      </c>
      <c r="D14" s="82" t="s">
        <v>623</v>
      </c>
      <c r="E14" s="114" t="s">
        <v>635</v>
      </c>
    </row>
    <row r="15" spans="2:5" ht="25">
      <c r="B15" s="84" t="s">
        <v>636</v>
      </c>
      <c r="C15" s="82" t="s">
        <v>39</v>
      </c>
      <c r="D15" s="82" t="s">
        <v>623</v>
      </c>
      <c r="E15" s="114" t="s">
        <v>637</v>
      </c>
    </row>
    <row r="16" spans="2:5" ht="25">
      <c r="B16" s="84" t="s">
        <v>630</v>
      </c>
      <c r="C16" s="82" t="s">
        <v>57</v>
      </c>
      <c r="D16" s="82" t="s">
        <v>629</v>
      </c>
      <c r="E16" s="114" t="s">
        <v>638</v>
      </c>
    </row>
    <row r="17" spans="2:5" ht="25">
      <c r="B17" s="84" t="s">
        <v>632</v>
      </c>
      <c r="C17" s="82" t="s">
        <v>55</v>
      </c>
      <c r="D17" s="82" t="s">
        <v>629</v>
      </c>
      <c r="E17" s="114" t="s">
        <v>633</v>
      </c>
    </row>
    <row r="18" spans="2:5" ht="25">
      <c r="B18" s="87" t="s">
        <v>634</v>
      </c>
      <c r="C18" s="88" t="s">
        <v>59</v>
      </c>
      <c r="D18" s="88" t="s">
        <v>629</v>
      </c>
      <c r="E18" s="115" t="s">
        <v>635</v>
      </c>
    </row>
    <row r="19" spans="2:5">
      <c r="B19" s="82"/>
    </row>
    <row r="20" spans="2:5">
      <c r="C20" s="82"/>
      <c r="D20" s="82"/>
      <c r="E20" s="83"/>
    </row>
    <row r="21" spans="2:5">
      <c r="B21" s="82"/>
      <c r="C21" s="82"/>
      <c r="D21" s="82"/>
      <c r="E21" s="83"/>
    </row>
    <row r="22" spans="2:5">
      <c r="B22" s="82"/>
      <c r="C22" s="82"/>
      <c r="D22" s="82"/>
      <c r="E22" s="83"/>
    </row>
    <row r="23" spans="2:5">
      <c r="B23" s="82"/>
      <c r="C23" s="82"/>
      <c r="D23" s="82"/>
      <c r="E23" s="83"/>
    </row>
    <row r="24" spans="2:5">
      <c r="B24" s="82"/>
      <c r="C24" s="82"/>
      <c r="D24" s="82"/>
      <c r="E24" s="83"/>
    </row>
    <row r="25" spans="2:5">
      <c r="B25" s="82"/>
      <c r="C25" s="82"/>
      <c r="D25" s="82"/>
    </row>
    <row r="26" spans="2:5">
      <c r="B26" s="82"/>
      <c r="C26" s="82"/>
      <c r="D26" s="82"/>
    </row>
    <row r="27" spans="2:5">
      <c r="B27" s="82"/>
      <c r="C27" s="82"/>
      <c r="D27" s="82"/>
    </row>
    <row r="28" spans="2:5">
      <c r="B28" s="82"/>
      <c r="C28" s="82"/>
      <c r="D28" s="82"/>
    </row>
    <row r="29" spans="2:5">
      <c r="B29" s="82"/>
      <c r="C29" s="82"/>
      <c r="D29" s="82"/>
    </row>
    <row r="30" spans="2:5">
      <c r="B30" s="82"/>
      <c r="C30" s="82"/>
      <c r="D30" s="82"/>
    </row>
    <row r="31" spans="2:5">
      <c r="B31" s="82"/>
      <c r="C31" s="82"/>
      <c r="D31" s="82"/>
    </row>
    <row r="32" spans="2:5">
      <c r="B32" s="82"/>
      <c r="C32" s="82"/>
      <c r="D32" s="82"/>
    </row>
    <row r="33" spans="2:4">
      <c r="B33" s="82"/>
      <c r="C33" s="82"/>
      <c r="D33" s="82"/>
    </row>
    <row r="34" spans="2:4">
      <c r="B34" s="82"/>
      <c r="C34" s="82"/>
      <c r="D34" s="82"/>
    </row>
  </sheetData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4A61-B4FB-4A53-BC0D-3AB2B9742EEA}">
  <sheetPr>
    <tabColor rgb="FFFFFF00"/>
  </sheetPr>
  <dimension ref="B2:L1048499"/>
  <sheetViews>
    <sheetView topLeftCell="A62" zoomScaleNormal="100" workbookViewId="0"/>
  </sheetViews>
  <sheetFormatPr defaultRowHeight="12.5"/>
  <cols>
    <col min="1" max="1" width="1.6328125" customWidth="1"/>
    <col min="2" max="2" width="26.6328125" bestFit="1" customWidth="1"/>
    <col min="3" max="3" width="26.6328125" customWidth="1"/>
    <col min="4" max="4" width="25.6328125" bestFit="1" customWidth="1"/>
    <col min="5" max="5" width="17.453125" bestFit="1" customWidth="1"/>
    <col min="6" max="11" width="8.6328125" bestFit="1" customWidth="1"/>
    <col min="12" max="12" width="14.6328125" bestFit="1" customWidth="1"/>
    <col min="13" max="18" width="8.6328125" bestFit="1" customWidth="1"/>
  </cols>
  <sheetData>
    <row r="2" spans="2:12" ht="13">
      <c r="B2" s="228" t="s">
        <v>31</v>
      </c>
      <c r="C2" s="228" t="s">
        <v>639</v>
      </c>
      <c r="D2" s="228" t="s">
        <v>640</v>
      </c>
      <c r="E2" s="270" t="s">
        <v>641</v>
      </c>
      <c r="L2" s="246" t="s">
        <v>642</v>
      </c>
    </row>
    <row r="3" spans="2:12">
      <c r="B3" s="229" t="s">
        <v>70</v>
      </c>
      <c r="C3" s="274" t="str">
        <f>INDEX('Country &amp; Code Abbreviation'!$C$3:$C$245,MATCH('Post-AR Web Cancel Deflection'!B3,'Country &amp; Code Abbreviation'!$B$3:$B$245,0))</f>
        <v>AF</v>
      </c>
      <c r="D3" s="271" t="s">
        <v>643</v>
      </c>
      <c r="E3" s="271" t="s">
        <v>644</v>
      </c>
      <c r="L3" s="245" t="s">
        <v>645</v>
      </c>
    </row>
    <row r="4" spans="2:12">
      <c r="B4" s="229" t="s">
        <v>71</v>
      </c>
      <c r="C4" s="274" t="str">
        <f>INDEX('Country &amp; Code Abbreviation'!$C$3:$C$245,MATCH('Post-AR Web Cancel Deflection'!B4,'Country &amp; Code Abbreviation'!$B$3:$B$245,0))</f>
        <v>AX</v>
      </c>
      <c r="D4" s="271" t="s">
        <v>643</v>
      </c>
      <c r="E4" s="271" t="s">
        <v>644</v>
      </c>
    </row>
    <row r="5" spans="2:12" ht="13">
      <c r="B5" s="229" t="s">
        <v>73</v>
      </c>
      <c r="C5" s="274" t="str">
        <f>INDEX('Country &amp; Code Abbreviation'!$C$3:$C$245,MATCH('Post-AR Web Cancel Deflection'!B5,'Country &amp; Code Abbreviation'!$B$3:$B$245,0))</f>
        <v>AL</v>
      </c>
      <c r="D5" s="271" t="s">
        <v>643</v>
      </c>
      <c r="E5" s="271" t="s">
        <v>644</v>
      </c>
      <c r="F5" s="264"/>
    </row>
    <row r="6" spans="2:12">
      <c r="B6" s="229" t="s">
        <v>74</v>
      </c>
      <c r="C6" s="274" t="str">
        <f>INDEX('Country &amp; Code Abbreviation'!$C$3:$C$245,MATCH('Post-AR Web Cancel Deflection'!B6,'Country &amp; Code Abbreviation'!$B$3:$B$245,0))</f>
        <v>DZ</v>
      </c>
      <c r="D6" s="271" t="s">
        <v>643</v>
      </c>
      <c r="E6" s="271" t="s">
        <v>644</v>
      </c>
    </row>
    <row r="7" spans="2:12">
      <c r="B7" s="229" t="s">
        <v>75</v>
      </c>
      <c r="C7" s="274" t="str">
        <f>INDEX('Country &amp; Code Abbreviation'!$C$3:$C$245,MATCH('Post-AR Web Cancel Deflection'!B7,'Country &amp; Code Abbreviation'!$B$3:$B$245,0))</f>
        <v>AS</v>
      </c>
      <c r="D7" s="271" t="s">
        <v>643</v>
      </c>
      <c r="E7" s="271" t="s">
        <v>644</v>
      </c>
      <c r="G7" s="200"/>
    </row>
    <row r="8" spans="2:12">
      <c r="B8" s="229" t="s">
        <v>76</v>
      </c>
      <c r="C8" s="274" t="str">
        <f>INDEX('Country &amp; Code Abbreviation'!$C$3:$C$245,MATCH('Post-AR Web Cancel Deflection'!B8,'Country &amp; Code Abbreviation'!$B$3:$B$245,0))</f>
        <v>AD</v>
      </c>
      <c r="D8" s="271" t="s">
        <v>643</v>
      </c>
      <c r="E8" s="271" t="s">
        <v>644</v>
      </c>
      <c r="G8" s="200"/>
    </row>
    <row r="9" spans="2:12">
      <c r="B9" s="229" t="s">
        <v>77</v>
      </c>
      <c r="C9" s="274" t="str">
        <f>INDEX('Country &amp; Code Abbreviation'!$C$3:$C$245,MATCH('Post-AR Web Cancel Deflection'!B9,'Country &amp; Code Abbreviation'!$B$3:$B$245,0))</f>
        <v>AO</v>
      </c>
      <c r="D9" s="271" t="s">
        <v>643</v>
      </c>
      <c r="E9" s="271" t="s">
        <v>644</v>
      </c>
      <c r="G9" s="200"/>
    </row>
    <row r="10" spans="2:12">
      <c r="B10" s="229" t="s">
        <v>78</v>
      </c>
      <c r="C10" s="274" t="str">
        <f>INDEX('Country &amp; Code Abbreviation'!$C$3:$C$245,MATCH('Post-AR Web Cancel Deflection'!B10,'Country &amp; Code Abbreviation'!$B$3:$B$245,0))</f>
        <v>AI</v>
      </c>
      <c r="D10" s="271" t="s">
        <v>643</v>
      </c>
      <c r="E10" s="271" t="s">
        <v>644</v>
      </c>
      <c r="G10" s="200"/>
    </row>
    <row r="11" spans="2:12">
      <c r="B11" s="229" t="s">
        <v>79</v>
      </c>
      <c r="C11" s="274" t="str">
        <f>INDEX('Country &amp; Code Abbreviation'!$C$3:$C$245,MATCH('Post-AR Web Cancel Deflection'!B11,'Country &amp; Code Abbreviation'!$B$3:$B$245,0))</f>
        <v>AQ</v>
      </c>
      <c r="D11" s="271" t="s">
        <v>643</v>
      </c>
      <c r="E11" s="271" t="s">
        <v>644</v>
      </c>
      <c r="G11" s="200"/>
    </row>
    <row r="12" spans="2:12">
      <c r="B12" s="229" t="s">
        <v>80</v>
      </c>
      <c r="C12" s="274" t="str">
        <f>INDEX('Country &amp; Code Abbreviation'!$C$3:$C$245,MATCH('Post-AR Web Cancel Deflection'!B12,'Country &amp; Code Abbreviation'!$B$3:$B$245,0))</f>
        <v>AG</v>
      </c>
      <c r="D12" s="271" t="s">
        <v>643</v>
      </c>
      <c r="E12" s="271" t="s">
        <v>644</v>
      </c>
      <c r="G12" s="200"/>
    </row>
    <row r="13" spans="2:12">
      <c r="B13" s="230" t="s">
        <v>81</v>
      </c>
      <c r="C13" s="274" t="str">
        <f>INDEX('Country &amp; Code Abbreviation'!$C$3:$C$245,MATCH('Post-AR Web Cancel Deflection'!B13,'Country &amp; Code Abbreviation'!$B$3:$B$245,0))</f>
        <v>AR</v>
      </c>
      <c r="D13" s="271" t="s">
        <v>643</v>
      </c>
      <c r="E13" s="271" t="s">
        <v>644</v>
      </c>
      <c r="G13" s="200"/>
    </row>
    <row r="14" spans="2:12">
      <c r="B14" s="229" t="s">
        <v>82</v>
      </c>
      <c r="C14" s="274" t="str">
        <f>INDEX('Country &amp; Code Abbreviation'!$C$3:$C$245,MATCH('Post-AR Web Cancel Deflection'!B14,'Country &amp; Code Abbreviation'!$B$3:$B$245,0))</f>
        <v>AM</v>
      </c>
      <c r="D14" s="271" t="s">
        <v>643</v>
      </c>
      <c r="E14" s="271" t="s">
        <v>644</v>
      </c>
      <c r="G14" s="200"/>
    </row>
    <row r="15" spans="2:12">
      <c r="B15" s="229" t="s">
        <v>83</v>
      </c>
      <c r="C15" s="274" t="str">
        <f>INDEX('Country &amp; Code Abbreviation'!$C$3:$C$245,MATCH('Post-AR Web Cancel Deflection'!B15,'Country &amp; Code Abbreviation'!$B$3:$B$245,0))</f>
        <v>AW</v>
      </c>
      <c r="D15" s="271" t="s">
        <v>643</v>
      </c>
      <c r="E15" s="271" t="s">
        <v>644</v>
      </c>
      <c r="G15" s="200"/>
    </row>
    <row r="16" spans="2:12">
      <c r="B16" s="230" t="s">
        <v>84</v>
      </c>
      <c r="C16" s="274" t="str">
        <f>INDEX('Country &amp; Code Abbreviation'!$C$3:$C$245,MATCH('Post-AR Web Cancel Deflection'!B16,'Country &amp; Code Abbreviation'!$B$3:$B$245,0))</f>
        <v>AU</v>
      </c>
      <c r="D16" s="273" t="s">
        <v>646</v>
      </c>
      <c r="E16" s="271" t="s">
        <v>644</v>
      </c>
      <c r="G16" s="200"/>
    </row>
    <row r="17" spans="2:7">
      <c r="B17" s="230" t="s">
        <v>85</v>
      </c>
      <c r="C17" s="274" t="str">
        <f>INDEX('Country &amp; Code Abbreviation'!$C$3:$C$245,MATCH('Post-AR Web Cancel Deflection'!B17,'Country &amp; Code Abbreviation'!$B$3:$B$245,0))</f>
        <v>AT</v>
      </c>
      <c r="D17" s="273" t="s">
        <v>646</v>
      </c>
      <c r="E17" s="271" t="s">
        <v>644</v>
      </c>
      <c r="G17" s="200"/>
    </row>
    <row r="18" spans="2:7">
      <c r="B18" s="229" t="s">
        <v>86</v>
      </c>
      <c r="C18" s="274" t="str">
        <f>INDEX('Country &amp; Code Abbreviation'!$C$3:$C$245,MATCH('Post-AR Web Cancel Deflection'!B18,'Country &amp; Code Abbreviation'!$B$3:$B$245,0))</f>
        <v>AZ</v>
      </c>
      <c r="D18" s="271" t="s">
        <v>643</v>
      </c>
      <c r="E18" s="271" t="s">
        <v>644</v>
      </c>
      <c r="G18" s="200"/>
    </row>
    <row r="19" spans="2:7">
      <c r="B19" s="229" t="s">
        <v>87</v>
      </c>
      <c r="C19" s="274" t="str">
        <f>INDEX('Country &amp; Code Abbreviation'!$C$3:$C$245,MATCH('Post-AR Web Cancel Deflection'!B19,'Country &amp; Code Abbreviation'!$B$3:$B$245,0))</f>
        <v>BS</v>
      </c>
      <c r="D19" s="273" t="s">
        <v>646</v>
      </c>
      <c r="E19" s="271" t="s">
        <v>644</v>
      </c>
      <c r="G19" s="200"/>
    </row>
    <row r="20" spans="2:7">
      <c r="B20" s="229" t="s">
        <v>88</v>
      </c>
      <c r="C20" s="274" t="str">
        <f>INDEX('Country &amp; Code Abbreviation'!$C$3:$C$245,MATCH('Post-AR Web Cancel Deflection'!B20,'Country &amp; Code Abbreviation'!$B$3:$B$245,0))</f>
        <v>BH</v>
      </c>
      <c r="D20" s="273" t="s">
        <v>646</v>
      </c>
      <c r="E20" s="271" t="s">
        <v>644</v>
      </c>
      <c r="G20" s="200"/>
    </row>
    <row r="21" spans="2:7">
      <c r="B21" s="229" t="s">
        <v>89</v>
      </c>
      <c r="C21" s="274" t="str">
        <f>INDEX('Country &amp; Code Abbreviation'!$C$3:$C$245,MATCH('Post-AR Web Cancel Deflection'!B21,'Country &amp; Code Abbreviation'!$B$3:$B$245,0))</f>
        <v>BD</v>
      </c>
      <c r="D21" s="271" t="s">
        <v>643</v>
      </c>
      <c r="E21" s="271" t="s">
        <v>644</v>
      </c>
      <c r="G21" s="200"/>
    </row>
    <row r="22" spans="2:7">
      <c r="B22" s="229" t="s">
        <v>90</v>
      </c>
      <c r="C22" s="274" t="str">
        <f>INDEX('Country &amp; Code Abbreviation'!$C$3:$C$245,MATCH('Post-AR Web Cancel Deflection'!B22,'Country &amp; Code Abbreviation'!$B$3:$B$245,0))</f>
        <v>BB</v>
      </c>
      <c r="D22" s="273" t="s">
        <v>646</v>
      </c>
      <c r="E22" s="271" t="s">
        <v>644</v>
      </c>
      <c r="G22" s="200"/>
    </row>
    <row r="23" spans="2:7">
      <c r="B23" s="230" t="s">
        <v>92</v>
      </c>
      <c r="C23" s="274" t="str">
        <f>INDEX('Country &amp; Code Abbreviation'!$C$3:$C$245,MATCH('Post-AR Web Cancel Deflection'!B23,'Country &amp; Code Abbreviation'!$B$3:$B$245,0))</f>
        <v>BE</v>
      </c>
      <c r="D23" s="273" t="s">
        <v>646</v>
      </c>
      <c r="E23" s="271" t="s">
        <v>644</v>
      </c>
      <c r="G23" s="200"/>
    </row>
    <row r="24" spans="2:7">
      <c r="B24" s="229" t="s">
        <v>93</v>
      </c>
      <c r="C24" s="274" t="str">
        <f>INDEX('Country &amp; Code Abbreviation'!$C$3:$C$245,MATCH('Post-AR Web Cancel Deflection'!B24,'Country &amp; Code Abbreviation'!$B$3:$B$245,0))</f>
        <v>BZ</v>
      </c>
      <c r="D24" s="273" t="s">
        <v>646</v>
      </c>
      <c r="E24" s="271" t="s">
        <v>644</v>
      </c>
      <c r="G24" s="200"/>
    </row>
    <row r="25" spans="2:7">
      <c r="B25" s="229" t="s">
        <v>94</v>
      </c>
      <c r="C25" s="274" t="str">
        <f>INDEX('Country &amp; Code Abbreviation'!$C$3:$C$245,MATCH('Post-AR Web Cancel Deflection'!B25,'Country &amp; Code Abbreviation'!$B$3:$B$245,0))</f>
        <v>BJ</v>
      </c>
      <c r="D25" s="271" t="s">
        <v>643</v>
      </c>
      <c r="E25" s="271" t="s">
        <v>644</v>
      </c>
      <c r="G25" s="200"/>
    </row>
    <row r="26" spans="2:7">
      <c r="B26" s="229" t="s">
        <v>95</v>
      </c>
      <c r="C26" s="274" t="str">
        <f>INDEX('Country &amp; Code Abbreviation'!$C$3:$C$245,MATCH('Post-AR Web Cancel Deflection'!B26,'Country &amp; Code Abbreviation'!$B$3:$B$245,0))</f>
        <v>BM</v>
      </c>
      <c r="D26" s="271" t="s">
        <v>643</v>
      </c>
      <c r="E26" s="271" t="s">
        <v>644</v>
      </c>
      <c r="G26" s="200"/>
    </row>
    <row r="27" spans="2:7">
      <c r="B27" s="229" t="s">
        <v>97</v>
      </c>
      <c r="C27" s="274" t="str">
        <f>INDEX('Country &amp; Code Abbreviation'!$C$3:$C$245,MATCH('Post-AR Web Cancel Deflection'!B27,'Country &amp; Code Abbreviation'!$B$3:$B$245,0))</f>
        <v>BT</v>
      </c>
      <c r="D27" s="271" t="s">
        <v>643</v>
      </c>
      <c r="E27" s="271" t="s">
        <v>644</v>
      </c>
    </row>
    <row r="28" spans="2:7">
      <c r="B28" s="229" t="s">
        <v>98</v>
      </c>
      <c r="C28" s="274" t="str">
        <f>INDEX('Country &amp; Code Abbreviation'!$C$3:$C$245,MATCH('Post-AR Web Cancel Deflection'!B28,'Country &amp; Code Abbreviation'!$B$3:$B$245,0))</f>
        <v>BO</v>
      </c>
      <c r="D28" s="273" t="s">
        <v>646</v>
      </c>
      <c r="E28" s="271" t="s">
        <v>644</v>
      </c>
    </row>
    <row r="29" spans="2:7">
      <c r="B29" s="229" t="s">
        <v>99</v>
      </c>
      <c r="C29" s="274" t="str">
        <f>INDEX('Country &amp; Code Abbreviation'!$C$3:$C$245,MATCH('Post-AR Web Cancel Deflection'!B29,'Country &amp; Code Abbreviation'!$B$3:$B$245,0))</f>
        <v>BQ</v>
      </c>
      <c r="D29" s="271" t="s">
        <v>643</v>
      </c>
      <c r="E29" s="271" t="s">
        <v>644</v>
      </c>
    </row>
    <row r="30" spans="2:7">
      <c r="B30" s="229" t="s">
        <v>101</v>
      </c>
      <c r="C30" s="274" t="str">
        <f>INDEX('Country &amp; Code Abbreviation'!$C$3:$C$245,MATCH('Post-AR Web Cancel Deflection'!B30,'Country &amp; Code Abbreviation'!$B$3:$B$245,0))</f>
        <v>BA</v>
      </c>
      <c r="D30" s="273" t="s">
        <v>646</v>
      </c>
      <c r="E30" s="271" t="s">
        <v>644</v>
      </c>
      <c r="G30" s="200"/>
    </row>
    <row r="31" spans="2:7">
      <c r="B31" s="229" t="s">
        <v>102</v>
      </c>
      <c r="C31" s="274" t="str">
        <f>INDEX('Country &amp; Code Abbreviation'!$C$3:$C$245,MATCH('Post-AR Web Cancel Deflection'!B31,'Country &amp; Code Abbreviation'!$B$3:$B$245,0))</f>
        <v>BW</v>
      </c>
      <c r="D31" s="271" t="s">
        <v>643</v>
      </c>
      <c r="E31" s="271" t="s">
        <v>644</v>
      </c>
      <c r="G31" s="200"/>
    </row>
    <row r="32" spans="2:7">
      <c r="B32" s="229" t="s">
        <v>103</v>
      </c>
      <c r="C32" s="274" t="str">
        <f>INDEX('Country &amp; Code Abbreviation'!$C$3:$C$245,MATCH('Post-AR Web Cancel Deflection'!B32,'Country &amp; Code Abbreviation'!$B$3:$B$245,0))</f>
        <v>BV</v>
      </c>
      <c r="D32" s="271" t="s">
        <v>643</v>
      </c>
      <c r="E32" s="271" t="s">
        <v>644</v>
      </c>
      <c r="G32" s="200"/>
    </row>
    <row r="33" spans="2:7">
      <c r="B33" s="230" t="s">
        <v>104</v>
      </c>
      <c r="C33" s="274" t="str">
        <f>INDEX('Country &amp; Code Abbreviation'!$C$3:$C$245,MATCH('Post-AR Web Cancel Deflection'!B33,'Country &amp; Code Abbreviation'!$B$3:$B$245,0))</f>
        <v>BR</v>
      </c>
      <c r="D33" s="273" t="s">
        <v>646</v>
      </c>
      <c r="E33" s="271" t="s">
        <v>644</v>
      </c>
      <c r="G33" s="200"/>
    </row>
    <row r="34" spans="2:7">
      <c r="B34" s="229" t="s">
        <v>105</v>
      </c>
      <c r="C34" s="274" t="str">
        <f>INDEX('Country &amp; Code Abbreviation'!$C$3:$C$245,MATCH('Post-AR Web Cancel Deflection'!B34,'Country &amp; Code Abbreviation'!$B$3:$B$245,0))</f>
        <v>IO</v>
      </c>
      <c r="D34" s="271" t="s">
        <v>643</v>
      </c>
      <c r="E34" s="271" t="s">
        <v>644</v>
      </c>
      <c r="G34" s="200"/>
    </row>
    <row r="35" spans="2:7">
      <c r="B35" s="229" t="s">
        <v>106</v>
      </c>
      <c r="C35" s="274" t="str">
        <f>INDEX('Country &amp; Code Abbreviation'!$C$3:$C$245,MATCH('Post-AR Web Cancel Deflection'!B35,'Country &amp; Code Abbreviation'!$B$3:$B$245,0))</f>
        <v>VG</v>
      </c>
      <c r="D35" s="271" t="s">
        <v>643</v>
      </c>
      <c r="E35" s="271" t="s">
        <v>644</v>
      </c>
    </row>
    <row r="36" spans="2:7">
      <c r="B36" s="229" t="s">
        <v>107</v>
      </c>
      <c r="C36" s="274" t="str">
        <f>INDEX('Country &amp; Code Abbreviation'!$C$3:$C$245,MATCH('Post-AR Web Cancel Deflection'!B36,'Country &amp; Code Abbreviation'!$B$3:$B$245,0))</f>
        <v>BN</v>
      </c>
      <c r="D36" s="271" t="s">
        <v>643</v>
      </c>
      <c r="E36" s="271" t="s">
        <v>644</v>
      </c>
    </row>
    <row r="37" spans="2:7">
      <c r="B37" s="229" t="s">
        <v>108</v>
      </c>
      <c r="C37" s="274" t="str">
        <f>INDEX('Country &amp; Code Abbreviation'!$C$3:$C$245,MATCH('Post-AR Web Cancel Deflection'!B37,'Country &amp; Code Abbreviation'!$B$3:$B$245,0))</f>
        <v>BG</v>
      </c>
      <c r="D37" s="273" t="s">
        <v>646</v>
      </c>
      <c r="E37" s="271" t="s">
        <v>644</v>
      </c>
    </row>
    <row r="38" spans="2:7">
      <c r="B38" s="229" t="s">
        <v>109</v>
      </c>
      <c r="C38" s="274" t="str">
        <f>INDEX('Country &amp; Code Abbreviation'!$C$3:$C$245,MATCH('Post-AR Web Cancel Deflection'!B38,'Country &amp; Code Abbreviation'!$B$3:$B$245,0))</f>
        <v>BF</v>
      </c>
      <c r="D38" s="271" t="s">
        <v>643</v>
      </c>
      <c r="E38" s="271" t="s">
        <v>644</v>
      </c>
    </row>
    <row r="39" spans="2:7">
      <c r="B39" s="229" t="s">
        <v>110</v>
      </c>
      <c r="C39" s="274" t="str">
        <f>INDEX('Country &amp; Code Abbreviation'!$C$3:$C$245,MATCH('Post-AR Web Cancel Deflection'!B39,'Country &amp; Code Abbreviation'!$B$3:$B$245,0))</f>
        <v>BI</v>
      </c>
      <c r="D39" s="271" t="s">
        <v>643</v>
      </c>
      <c r="E39" s="271" t="s">
        <v>644</v>
      </c>
    </row>
    <row r="40" spans="2:7">
      <c r="B40" s="229" t="s">
        <v>111</v>
      </c>
      <c r="C40" s="274" t="str">
        <f>INDEX('Country &amp; Code Abbreviation'!$C$3:$C$245,MATCH('Post-AR Web Cancel Deflection'!B40,'Country &amp; Code Abbreviation'!$B$3:$B$245,0))</f>
        <v>KH</v>
      </c>
      <c r="D40" s="273" t="s">
        <v>646</v>
      </c>
      <c r="E40" s="271" t="s">
        <v>644</v>
      </c>
    </row>
    <row r="41" spans="2:7">
      <c r="B41" s="229" t="s">
        <v>112</v>
      </c>
      <c r="C41" s="274" t="str">
        <f>INDEX('Country &amp; Code Abbreviation'!$C$3:$C$245,MATCH('Post-AR Web Cancel Deflection'!B41,'Country &amp; Code Abbreviation'!$B$3:$B$245,0))</f>
        <v>CM</v>
      </c>
      <c r="D41" s="271" t="s">
        <v>643</v>
      </c>
      <c r="E41" s="271" t="s">
        <v>644</v>
      </c>
    </row>
    <row r="42" spans="2:7">
      <c r="B42" s="230" t="s">
        <v>113</v>
      </c>
      <c r="C42" s="274" t="str">
        <f>INDEX('Country &amp; Code Abbreviation'!$C$3:$C$245,MATCH('Post-AR Web Cancel Deflection'!B42,'Country &amp; Code Abbreviation'!$B$3:$B$245,0))</f>
        <v>CA</v>
      </c>
      <c r="D42" s="273" t="s">
        <v>646</v>
      </c>
      <c r="E42" s="271" t="s">
        <v>644</v>
      </c>
    </row>
    <row r="43" spans="2:7">
      <c r="B43" s="229" t="s">
        <v>114</v>
      </c>
      <c r="C43" s="274" t="str">
        <f>INDEX('Country &amp; Code Abbreviation'!$C$3:$C$245,MATCH('Post-AR Web Cancel Deflection'!B43,'Country &amp; Code Abbreviation'!$B$3:$B$245,0))</f>
        <v>CV</v>
      </c>
      <c r="D43" s="271" t="s">
        <v>643</v>
      </c>
      <c r="E43" s="271" t="s">
        <v>644</v>
      </c>
    </row>
    <row r="44" spans="2:7">
      <c r="B44" s="229" t="s">
        <v>115</v>
      </c>
      <c r="C44" s="274" t="str">
        <f>INDEX('Country &amp; Code Abbreviation'!$C$3:$C$245,MATCH('Post-AR Web Cancel Deflection'!B44,'Country &amp; Code Abbreviation'!$B$3:$B$245,0))</f>
        <v>KY</v>
      </c>
      <c r="D44" s="273" t="s">
        <v>646</v>
      </c>
      <c r="E44" s="271" t="s">
        <v>644</v>
      </c>
    </row>
    <row r="45" spans="2:7">
      <c r="B45" s="229" t="s">
        <v>116</v>
      </c>
      <c r="C45" s="274" t="str">
        <f>INDEX('Country &amp; Code Abbreviation'!$C$3:$C$245,MATCH('Post-AR Web Cancel Deflection'!B45,'Country &amp; Code Abbreviation'!$B$3:$B$245,0))</f>
        <v>CF</v>
      </c>
      <c r="D45" s="271" t="s">
        <v>643</v>
      </c>
      <c r="E45" s="271" t="s">
        <v>644</v>
      </c>
    </row>
    <row r="46" spans="2:7">
      <c r="B46" s="229" t="s">
        <v>117</v>
      </c>
      <c r="C46" s="274" t="str">
        <f>INDEX('Country &amp; Code Abbreviation'!$C$3:$C$245,MATCH('Post-AR Web Cancel Deflection'!B46,'Country &amp; Code Abbreviation'!$B$3:$B$245,0))</f>
        <v>TD</v>
      </c>
      <c r="D46" s="271" t="s">
        <v>643</v>
      </c>
      <c r="E46" s="271" t="s">
        <v>644</v>
      </c>
    </row>
    <row r="47" spans="2:7">
      <c r="B47" s="230" t="s">
        <v>118</v>
      </c>
      <c r="C47" s="274" t="str">
        <f>INDEX('Country &amp; Code Abbreviation'!$C$3:$C$245,MATCH('Post-AR Web Cancel Deflection'!B47,'Country &amp; Code Abbreviation'!$B$3:$B$245,0))</f>
        <v>CL</v>
      </c>
      <c r="D47" s="273" t="s">
        <v>646</v>
      </c>
      <c r="E47" s="271" t="s">
        <v>644</v>
      </c>
    </row>
    <row r="48" spans="2:7">
      <c r="B48" s="229" t="s">
        <v>119</v>
      </c>
      <c r="C48" s="274" t="str">
        <f>INDEX('Country &amp; Code Abbreviation'!$C$3:$C$245,MATCH('Post-AR Web Cancel Deflection'!B48,'Country &amp; Code Abbreviation'!$B$3:$B$245,0))</f>
        <v>CX</v>
      </c>
      <c r="D48" s="271" t="s">
        <v>643</v>
      </c>
      <c r="E48" s="271" t="s">
        <v>644</v>
      </c>
    </row>
    <row r="49" spans="2:5">
      <c r="B49" s="229" t="s">
        <v>120</v>
      </c>
      <c r="C49" s="274" t="str">
        <f>INDEX('Country &amp; Code Abbreviation'!$C$3:$C$245,MATCH('Post-AR Web Cancel Deflection'!B49,'Country &amp; Code Abbreviation'!$B$3:$B$245,0))</f>
        <v>CC</v>
      </c>
      <c r="D49" s="271" t="s">
        <v>643</v>
      </c>
      <c r="E49" s="271" t="s">
        <v>644</v>
      </c>
    </row>
    <row r="50" spans="2:5">
      <c r="B50" s="230" t="s">
        <v>121</v>
      </c>
      <c r="C50" s="274" t="str">
        <f>INDEX('Country &amp; Code Abbreviation'!$C$3:$C$245,MATCH('Post-AR Web Cancel Deflection'!B50,'Country &amp; Code Abbreviation'!$B$3:$B$245,0))</f>
        <v>CO</v>
      </c>
      <c r="D50" s="273" t="s">
        <v>646</v>
      </c>
      <c r="E50" s="271" t="s">
        <v>644</v>
      </c>
    </row>
    <row r="51" spans="2:5">
      <c r="B51" s="229" t="s">
        <v>122</v>
      </c>
      <c r="C51" s="274" t="str">
        <f>INDEX('Country &amp; Code Abbreviation'!$C$3:$C$245,MATCH('Post-AR Web Cancel Deflection'!B51,'Country &amp; Code Abbreviation'!$B$3:$B$245,0))</f>
        <v>KM</v>
      </c>
      <c r="D51" s="271" t="s">
        <v>643</v>
      </c>
      <c r="E51" s="271" t="s">
        <v>644</v>
      </c>
    </row>
    <row r="52" spans="2:5">
      <c r="B52" s="229" t="s">
        <v>123</v>
      </c>
      <c r="C52" s="274" t="str">
        <f>INDEX('Country &amp; Code Abbreviation'!$C$3:$C$245,MATCH('Post-AR Web Cancel Deflection'!B52,'Country &amp; Code Abbreviation'!$B$3:$B$245,0))</f>
        <v>CG</v>
      </c>
      <c r="D52" s="271" t="s">
        <v>643</v>
      </c>
      <c r="E52" s="271" t="s">
        <v>644</v>
      </c>
    </row>
    <row r="53" spans="2:5">
      <c r="B53" s="229" t="s">
        <v>124</v>
      </c>
      <c r="C53" s="274" t="str">
        <f>INDEX('Country &amp; Code Abbreviation'!$C$3:$C$245,MATCH('Post-AR Web Cancel Deflection'!B53,'Country &amp; Code Abbreviation'!$B$3:$B$245,0))</f>
        <v>CK</v>
      </c>
      <c r="D53" s="271" t="s">
        <v>643</v>
      </c>
      <c r="E53" s="271" t="s">
        <v>644</v>
      </c>
    </row>
    <row r="54" spans="2:5">
      <c r="B54" s="229" t="s">
        <v>125</v>
      </c>
      <c r="C54" s="274" t="str">
        <f>INDEX('Country &amp; Code Abbreviation'!$C$3:$C$245,MATCH('Post-AR Web Cancel Deflection'!B54,'Country &amp; Code Abbreviation'!$B$3:$B$245,0))</f>
        <v>CR</v>
      </c>
      <c r="D54" s="273" t="s">
        <v>646</v>
      </c>
      <c r="E54" s="271" t="s">
        <v>644</v>
      </c>
    </row>
    <row r="55" spans="2:5">
      <c r="B55" s="229" t="s">
        <v>126</v>
      </c>
      <c r="C55" s="274" t="str">
        <f>INDEX('Country &amp; Code Abbreviation'!$C$3:$C$245,MATCH('Post-AR Web Cancel Deflection'!B55,'Country &amp; Code Abbreviation'!$B$3:$B$245,0))</f>
        <v>CI</v>
      </c>
      <c r="D55" s="273" t="s">
        <v>646</v>
      </c>
      <c r="E55" s="271" t="s">
        <v>644</v>
      </c>
    </row>
    <row r="56" spans="2:5">
      <c r="B56" s="229" t="s">
        <v>127</v>
      </c>
      <c r="C56" s="274" t="str">
        <f>INDEX('Country &amp; Code Abbreviation'!$C$3:$C$245,MATCH('Post-AR Web Cancel Deflection'!B56,'Country &amp; Code Abbreviation'!$B$3:$B$245,0))</f>
        <v>HR</v>
      </c>
      <c r="D56" s="273" t="s">
        <v>646</v>
      </c>
      <c r="E56" s="271" t="s">
        <v>644</v>
      </c>
    </row>
    <row r="57" spans="2:5">
      <c r="B57" s="229" t="s">
        <v>128</v>
      </c>
      <c r="C57" s="274" t="str">
        <f>INDEX('Country &amp; Code Abbreviation'!$C$3:$C$245,MATCH('Post-AR Web Cancel Deflection'!B57,'Country &amp; Code Abbreviation'!$B$3:$B$245,0))</f>
        <v>CW</v>
      </c>
      <c r="D57" s="271" t="s">
        <v>643</v>
      </c>
      <c r="E57" s="271" t="s">
        <v>644</v>
      </c>
    </row>
    <row r="58" spans="2:5">
      <c r="B58" s="229" t="s">
        <v>129</v>
      </c>
      <c r="C58" s="274" t="str">
        <f>INDEX('Country &amp; Code Abbreviation'!$C$3:$C$245,MATCH('Post-AR Web Cancel Deflection'!B58,'Country &amp; Code Abbreviation'!$B$3:$B$245,0))</f>
        <v>CY</v>
      </c>
      <c r="D58" s="273" t="s">
        <v>646</v>
      </c>
      <c r="E58" s="271" t="s">
        <v>644</v>
      </c>
    </row>
    <row r="59" spans="2:5">
      <c r="B59" s="229" t="s">
        <v>130</v>
      </c>
      <c r="C59" s="274" t="str">
        <f>INDEX('Country &amp; Code Abbreviation'!$C$3:$C$245,MATCH('Post-AR Web Cancel Deflection'!B59,'Country &amp; Code Abbreviation'!$B$3:$B$245,0))</f>
        <v>CZ</v>
      </c>
      <c r="D59" s="273" t="s">
        <v>646</v>
      </c>
      <c r="E59" s="271" t="s">
        <v>644</v>
      </c>
    </row>
    <row r="60" spans="2:5">
      <c r="B60" s="229" t="s">
        <v>131</v>
      </c>
      <c r="C60" s="274" t="str">
        <f>INDEX('Country &amp; Code Abbreviation'!$C$3:$C$245,MATCH('Post-AR Web Cancel Deflection'!B60,'Country &amp; Code Abbreviation'!$B$3:$B$245,0))</f>
        <v>CD</v>
      </c>
      <c r="D60" s="271" t="s">
        <v>643</v>
      </c>
      <c r="E60" s="271" t="s">
        <v>644</v>
      </c>
    </row>
    <row r="61" spans="2:5">
      <c r="B61" s="229" t="s">
        <v>132</v>
      </c>
      <c r="C61" s="274" t="str">
        <f>INDEX('Country &amp; Code Abbreviation'!$C$3:$C$245,MATCH('Post-AR Web Cancel Deflection'!B61,'Country &amp; Code Abbreviation'!$B$3:$B$245,0))</f>
        <v>DK</v>
      </c>
      <c r="D61" s="273" t="s">
        <v>646</v>
      </c>
      <c r="E61" s="271" t="s">
        <v>644</v>
      </c>
    </row>
    <row r="62" spans="2:5">
      <c r="B62" s="229" t="s">
        <v>133</v>
      </c>
      <c r="C62" s="274" t="str">
        <f>INDEX('Country &amp; Code Abbreviation'!$C$3:$C$245,MATCH('Post-AR Web Cancel Deflection'!B62,'Country &amp; Code Abbreviation'!$B$3:$B$245,0))</f>
        <v>DJ</v>
      </c>
      <c r="D62" s="271" t="s">
        <v>643</v>
      </c>
      <c r="E62" s="271" t="s">
        <v>644</v>
      </c>
    </row>
    <row r="63" spans="2:5">
      <c r="B63" s="229" t="s">
        <v>134</v>
      </c>
      <c r="C63" s="274" t="str">
        <f>INDEX('Country &amp; Code Abbreviation'!$C$3:$C$245,MATCH('Post-AR Web Cancel Deflection'!B63,'Country &amp; Code Abbreviation'!$B$3:$B$245,0))</f>
        <v>DM</v>
      </c>
      <c r="D63" s="271" t="s">
        <v>643</v>
      </c>
      <c r="E63" s="271" t="s">
        <v>644</v>
      </c>
    </row>
    <row r="64" spans="2:5">
      <c r="B64" s="229" t="s">
        <v>135</v>
      </c>
      <c r="C64" s="274" t="str">
        <f>INDEX('Country &amp; Code Abbreviation'!$C$3:$C$245,MATCH('Post-AR Web Cancel Deflection'!B64,'Country &amp; Code Abbreviation'!$B$3:$B$245,0))</f>
        <v>DO</v>
      </c>
      <c r="D64" s="271" t="s">
        <v>643</v>
      </c>
      <c r="E64" s="271" t="s">
        <v>644</v>
      </c>
    </row>
    <row r="65" spans="2:5">
      <c r="B65" s="229" t="s">
        <v>136</v>
      </c>
      <c r="C65" s="274" t="str">
        <f>INDEX('Country &amp; Code Abbreviation'!$C$3:$C$245,MATCH('Post-AR Web Cancel Deflection'!B65,'Country &amp; Code Abbreviation'!$B$3:$B$245,0))</f>
        <v>EC</v>
      </c>
      <c r="D65" s="273" t="s">
        <v>646</v>
      </c>
      <c r="E65" s="271" t="s">
        <v>644</v>
      </c>
    </row>
    <row r="66" spans="2:5">
      <c r="B66" s="229" t="s">
        <v>137</v>
      </c>
      <c r="C66" s="274" t="str">
        <f>INDEX('Country &amp; Code Abbreviation'!$C$3:$C$245,MATCH('Post-AR Web Cancel Deflection'!B66,'Country &amp; Code Abbreviation'!$B$3:$B$245,0))</f>
        <v>EG</v>
      </c>
      <c r="D66" s="273" t="s">
        <v>646</v>
      </c>
      <c r="E66" s="271" t="s">
        <v>644</v>
      </c>
    </row>
    <row r="67" spans="2:5">
      <c r="B67" s="229" t="s">
        <v>138</v>
      </c>
      <c r="C67" s="274" t="str">
        <f>INDEX('Country &amp; Code Abbreviation'!$C$3:$C$245,MATCH('Post-AR Web Cancel Deflection'!B67,'Country &amp; Code Abbreviation'!$B$3:$B$245,0))</f>
        <v>SV</v>
      </c>
      <c r="D67" s="273" t="s">
        <v>646</v>
      </c>
      <c r="E67" s="271" t="s">
        <v>644</v>
      </c>
    </row>
    <row r="68" spans="2:5">
      <c r="B68" s="229" t="s">
        <v>139</v>
      </c>
      <c r="C68" s="274" t="str">
        <f>INDEX('Country &amp; Code Abbreviation'!$C$3:$C$245,MATCH('Post-AR Web Cancel Deflection'!B68,'Country &amp; Code Abbreviation'!$B$3:$B$245,0))</f>
        <v>GQ</v>
      </c>
      <c r="D68" s="271" t="s">
        <v>643</v>
      </c>
      <c r="E68" s="271" t="s">
        <v>644</v>
      </c>
    </row>
    <row r="69" spans="2:5">
      <c r="B69" s="229" t="s">
        <v>140</v>
      </c>
      <c r="C69" s="274" t="str">
        <f>INDEX('Country &amp; Code Abbreviation'!$C$3:$C$245,MATCH('Post-AR Web Cancel Deflection'!B69,'Country &amp; Code Abbreviation'!$B$3:$B$245,0))</f>
        <v>ER</v>
      </c>
      <c r="D69" s="271" t="s">
        <v>643</v>
      </c>
      <c r="E69" s="271" t="s">
        <v>644</v>
      </c>
    </row>
    <row r="70" spans="2:5">
      <c r="B70" s="229" t="s">
        <v>141</v>
      </c>
      <c r="C70" s="274" t="str">
        <f>INDEX('Country &amp; Code Abbreviation'!$C$3:$C$245,MATCH('Post-AR Web Cancel Deflection'!B70,'Country &amp; Code Abbreviation'!$B$3:$B$245,0))</f>
        <v>EE</v>
      </c>
      <c r="D70" s="273" t="s">
        <v>646</v>
      </c>
      <c r="E70" s="271" t="s">
        <v>644</v>
      </c>
    </row>
    <row r="71" spans="2:5">
      <c r="B71" s="229" t="s">
        <v>142</v>
      </c>
      <c r="C71" s="274" t="str">
        <f>INDEX('Country &amp; Code Abbreviation'!$C$3:$C$245,MATCH('Post-AR Web Cancel Deflection'!B71,'Country &amp; Code Abbreviation'!$B$3:$B$245,0))</f>
        <v>SZ</v>
      </c>
      <c r="D71" s="271" t="s">
        <v>643</v>
      </c>
      <c r="E71" s="271" t="s">
        <v>644</v>
      </c>
    </row>
    <row r="72" spans="2:5">
      <c r="B72" s="229" t="s">
        <v>143</v>
      </c>
      <c r="C72" s="274" t="str">
        <f>INDEX('Country &amp; Code Abbreviation'!$C$3:$C$245,MATCH('Post-AR Web Cancel Deflection'!B72,'Country &amp; Code Abbreviation'!$B$3:$B$245,0))</f>
        <v>ET</v>
      </c>
      <c r="D72" s="271" t="s">
        <v>643</v>
      </c>
      <c r="E72" s="271" t="s">
        <v>644</v>
      </c>
    </row>
    <row r="73" spans="2:5">
      <c r="B73" s="229" t="s">
        <v>144</v>
      </c>
      <c r="C73" s="274" t="str">
        <f>INDEX('Country &amp; Code Abbreviation'!$C$3:$C$245,MATCH('Post-AR Web Cancel Deflection'!B73,'Country &amp; Code Abbreviation'!$B$3:$B$245,0))</f>
        <v>FK</v>
      </c>
      <c r="D73" s="271" t="s">
        <v>643</v>
      </c>
      <c r="E73" s="271" t="s">
        <v>644</v>
      </c>
    </row>
    <row r="74" spans="2:5">
      <c r="B74" s="229" t="s">
        <v>145</v>
      </c>
      <c r="C74" s="274" t="str">
        <f>INDEX('Country &amp; Code Abbreviation'!$C$3:$C$245,MATCH('Post-AR Web Cancel Deflection'!B74,'Country &amp; Code Abbreviation'!$B$3:$B$245,0))</f>
        <v>FO</v>
      </c>
      <c r="D74" s="271" t="s">
        <v>643</v>
      </c>
      <c r="E74" s="271" t="s">
        <v>644</v>
      </c>
    </row>
    <row r="75" spans="2:5">
      <c r="B75" s="229" t="s">
        <v>146</v>
      </c>
      <c r="C75" s="274" t="str">
        <f>INDEX('Country &amp; Code Abbreviation'!$C$3:$C$245,MATCH('Post-AR Web Cancel Deflection'!B75,'Country &amp; Code Abbreviation'!$B$3:$B$245,0))</f>
        <v>FJ</v>
      </c>
      <c r="D75" s="271" t="s">
        <v>643</v>
      </c>
      <c r="E75" s="271" t="s">
        <v>644</v>
      </c>
    </row>
    <row r="76" spans="2:5">
      <c r="B76" s="230" t="s">
        <v>147</v>
      </c>
      <c r="C76" s="274" t="str">
        <f>INDEX('Country &amp; Code Abbreviation'!$C$3:$C$245,MATCH('Post-AR Web Cancel Deflection'!B76,'Country &amp; Code Abbreviation'!$B$3:$B$245,0))</f>
        <v>FI</v>
      </c>
      <c r="D76" s="273" t="s">
        <v>646</v>
      </c>
      <c r="E76" s="271" t="s">
        <v>644</v>
      </c>
    </row>
    <row r="77" spans="2:5">
      <c r="B77" s="230" t="s">
        <v>148</v>
      </c>
      <c r="C77" s="274" t="str">
        <f>INDEX('Country &amp; Code Abbreviation'!$C$3:$C$245,MATCH('Post-AR Web Cancel Deflection'!B77,'Country &amp; Code Abbreviation'!$B$3:$B$245,0))</f>
        <v>FR</v>
      </c>
      <c r="D77" s="273" t="s">
        <v>646</v>
      </c>
      <c r="E77" s="271" t="s">
        <v>644</v>
      </c>
    </row>
    <row r="78" spans="2:5">
      <c r="B78" s="229" t="s">
        <v>149</v>
      </c>
      <c r="C78" s="274" t="str">
        <f>INDEX('Country &amp; Code Abbreviation'!$C$3:$C$245,MATCH('Post-AR Web Cancel Deflection'!B78,'Country &amp; Code Abbreviation'!$B$3:$B$245,0))</f>
        <v>GF</v>
      </c>
      <c r="D78" s="271" t="s">
        <v>643</v>
      </c>
      <c r="E78" s="271" t="s">
        <v>644</v>
      </c>
    </row>
    <row r="79" spans="2:5">
      <c r="B79" s="229" t="s">
        <v>150</v>
      </c>
      <c r="C79" s="274" t="str">
        <f>INDEX('Country &amp; Code Abbreviation'!$C$3:$C$245,MATCH('Post-AR Web Cancel Deflection'!B79,'Country &amp; Code Abbreviation'!$B$3:$B$245,0))</f>
        <v>PF</v>
      </c>
      <c r="D79" s="271" t="s">
        <v>643</v>
      </c>
      <c r="E79" s="271" t="s">
        <v>644</v>
      </c>
    </row>
    <row r="80" spans="2:5">
      <c r="B80" s="229" t="s">
        <v>151</v>
      </c>
      <c r="C80" s="274" t="str">
        <f>INDEX('Country &amp; Code Abbreviation'!$C$3:$C$245,MATCH('Post-AR Web Cancel Deflection'!B80,'Country &amp; Code Abbreviation'!$B$3:$B$245,0))</f>
        <v>TF</v>
      </c>
      <c r="D80" s="271" t="s">
        <v>643</v>
      </c>
      <c r="E80" s="271" t="s">
        <v>644</v>
      </c>
    </row>
    <row r="81" spans="2:5">
      <c r="B81" s="229" t="s">
        <v>152</v>
      </c>
      <c r="C81" s="274" t="str">
        <f>INDEX('Country &amp; Code Abbreviation'!$C$3:$C$245,MATCH('Post-AR Web Cancel Deflection'!B81,'Country &amp; Code Abbreviation'!$B$3:$B$245,0))</f>
        <v>GA</v>
      </c>
      <c r="D81" s="271" t="s">
        <v>643</v>
      </c>
      <c r="E81" s="271" t="s">
        <v>644</v>
      </c>
    </row>
    <row r="82" spans="2:5">
      <c r="B82" s="229" t="s">
        <v>153</v>
      </c>
      <c r="C82" s="274" t="str">
        <f>INDEX('Country &amp; Code Abbreviation'!$C$3:$C$245,MATCH('Post-AR Web Cancel Deflection'!B82,'Country &amp; Code Abbreviation'!$B$3:$B$245,0))</f>
        <v>GM</v>
      </c>
      <c r="D82" s="271" t="s">
        <v>643</v>
      </c>
      <c r="E82" s="271" t="s">
        <v>644</v>
      </c>
    </row>
    <row r="83" spans="2:5">
      <c r="B83" s="229" t="s">
        <v>154</v>
      </c>
      <c r="C83" s="274" t="str">
        <f>INDEX('Country &amp; Code Abbreviation'!$C$3:$C$245,MATCH('Post-AR Web Cancel Deflection'!B83,'Country &amp; Code Abbreviation'!$B$3:$B$245,0))</f>
        <v>GE</v>
      </c>
      <c r="D83" s="273" t="s">
        <v>646</v>
      </c>
      <c r="E83" s="271" t="s">
        <v>644</v>
      </c>
    </row>
    <row r="84" spans="2:5">
      <c r="B84" s="230" t="s">
        <v>155</v>
      </c>
      <c r="C84" s="274" t="str">
        <f>INDEX('Country &amp; Code Abbreviation'!$C$3:$C$245,MATCH('Post-AR Web Cancel Deflection'!B84,'Country &amp; Code Abbreviation'!$B$3:$B$245,0))</f>
        <v>DE</v>
      </c>
      <c r="D84" s="273" t="s">
        <v>646</v>
      </c>
      <c r="E84" s="271" t="s">
        <v>644</v>
      </c>
    </row>
    <row r="85" spans="2:5">
      <c r="B85" s="229" t="s">
        <v>156</v>
      </c>
      <c r="C85" s="274" t="str">
        <f>INDEX('Country &amp; Code Abbreviation'!$C$3:$C$245,MATCH('Post-AR Web Cancel Deflection'!B85,'Country &amp; Code Abbreviation'!$B$3:$B$245,0))</f>
        <v>GH</v>
      </c>
      <c r="D85" s="271" t="s">
        <v>643</v>
      </c>
      <c r="E85" s="271" t="s">
        <v>644</v>
      </c>
    </row>
    <row r="86" spans="2:5">
      <c r="B86" s="229" t="s">
        <v>157</v>
      </c>
      <c r="C86" s="274" t="str">
        <f>INDEX('Country &amp; Code Abbreviation'!$C$3:$C$245,MATCH('Post-AR Web Cancel Deflection'!B86,'Country &amp; Code Abbreviation'!$B$3:$B$245,0))</f>
        <v>GI</v>
      </c>
      <c r="D86" s="271" t="s">
        <v>643</v>
      </c>
      <c r="E86" s="271" t="s">
        <v>644</v>
      </c>
    </row>
    <row r="87" spans="2:5">
      <c r="B87" s="229" t="s">
        <v>158</v>
      </c>
      <c r="C87" s="274" t="str">
        <f>INDEX('Country &amp; Code Abbreviation'!$C$3:$C$245,MATCH('Post-AR Web Cancel Deflection'!B87,'Country &amp; Code Abbreviation'!$B$3:$B$245,0))</f>
        <v>GR</v>
      </c>
      <c r="D87" s="273" t="s">
        <v>646</v>
      </c>
      <c r="E87" s="271" t="s">
        <v>644</v>
      </c>
    </row>
    <row r="88" spans="2:5">
      <c r="B88" s="229" t="s">
        <v>159</v>
      </c>
      <c r="C88" s="274" t="str">
        <f>INDEX('Country &amp; Code Abbreviation'!$C$3:$C$245,MATCH('Post-AR Web Cancel Deflection'!B88,'Country &amp; Code Abbreviation'!$B$3:$B$245,0))</f>
        <v>GL</v>
      </c>
      <c r="D88" s="271" t="s">
        <v>643</v>
      </c>
      <c r="E88" s="271" t="s">
        <v>644</v>
      </c>
    </row>
    <row r="89" spans="2:5">
      <c r="B89" s="229" t="s">
        <v>160</v>
      </c>
      <c r="C89" s="274" t="str">
        <f>INDEX('Country &amp; Code Abbreviation'!$C$3:$C$245,MATCH('Post-AR Web Cancel Deflection'!B89,'Country &amp; Code Abbreviation'!$B$3:$B$245,0))</f>
        <v>GD</v>
      </c>
      <c r="D89" s="271" t="s">
        <v>643</v>
      </c>
      <c r="E89" s="271" t="s">
        <v>644</v>
      </c>
    </row>
    <row r="90" spans="2:5">
      <c r="B90" s="229" t="s">
        <v>161</v>
      </c>
      <c r="C90" s="274" t="str">
        <f>INDEX('Country &amp; Code Abbreviation'!$C$3:$C$245,MATCH('Post-AR Web Cancel Deflection'!B90,'Country &amp; Code Abbreviation'!$B$3:$B$245,0))</f>
        <v>GP</v>
      </c>
      <c r="D90" s="271" t="s">
        <v>643</v>
      </c>
      <c r="E90" s="271" t="s">
        <v>644</v>
      </c>
    </row>
    <row r="91" spans="2:5">
      <c r="B91" s="229" t="s">
        <v>162</v>
      </c>
      <c r="C91" s="274" t="str">
        <f>INDEX('Country &amp; Code Abbreviation'!$C$3:$C$245,MATCH('Post-AR Web Cancel Deflection'!B91,'Country &amp; Code Abbreviation'!$B$3:$B$245,0))</f>
        <v>GT</v>
      </c>
      <c r="D91" s="273" t="s">
        <v>646</v>
      </c>
      <c r="E91" s="271" t="s">
        <v>644</v>
      </c>
    </row>
    <row r="92" spans="2:5">
      <c r="B92" s="229" t="s">
        <v>163</v>
      </c>
      <c r="C92" s="274" t="str">
        <f>INDEX('Country &amp; Code Abbreviation'!$C$3:$C$245,MATCH('Post-AR Web Cancel Deflection'!B92,'Country &amp; Code Abbreviation'!$B$3:$B$245,0))</f>
        <v>GG</v>
      </c>
      <c r="D92" s="271" t="s">
        <v>643</v>
      </c>
      <c r="E92" s="271" t="s">
        <v>644</v>
      </c>
    </row>
    <row r="93" spans="2:5">
      <c r="B93" s="229" t="s">
        <v>164</v>
      </c>
      <c r="C93" s="274" t="str">
        <f>INDEX('Country &amp; Code Abbreviation'!$C$3:$C$245,MATCH('Post-AR Web Cancel Deflection'!B93,'Country &amp; Code Abbreviation'!$B$3:$B$245,0))</f>
        <v>GN</v>
      </c>
      <c r="D93" s="271" t="s">
        <v>643</v>
      </c>
      <c r="E93" s="271" t="s">
        <v>644</v>
      </c>
    </row>
    <row r="94" spans="2:5">
      <c r="B94" s="229" t="s">
        <v>165</v>
      </c>
      <c r="C94" s="274" t="str">
        <f>INDEX('Country &amp; Code Abbreviation'!$C$3:$C$245,MATCH('Post-AR Web Cancel Deflection'!B94,'Country &amp; Code Abbreviation'!$B$3:$B$245,0))</f>
        <v>GW</v>
      </c>
      <c r="D94" s="271" t="s">
        <v>643</v>
      </c>
      <c r="E94" s="271" t="s">
        <v>644</v>
      </c>
    </row>
    <row r="95" spans="2:5">
      <c r="B95" s="229" t="s">
        <v>166</v>
      </c>
      <c r="C95" s="274" t="str">
        <f>INDEX('Country &amp; Code Abbreviation'!$C$3:$C$245,MATCH('Post-AR Web Cancel Deflection'!B95,'Country &amp; Code Abbreviation'!$B$3:$B$245,0))</f>
        <v>GY</v>
      </c>
      <c r="D95" s="273" t="s">
        <v>646</v>
      </c>
      <c r="E95" s="271" t="s">
        <v>644</v>
      </c>
    </row>
    <row r="96" spans="2:5">
      <c r="B96" s="229" t="s">
        <v>167</v>
      </c>
      <c r="C96" s="274" t="str">
        <f>INDEX('Country &amp; Code Abbreviation'!$C$3:$C$245,MATCH('Post-AR Web Cancel Deflection'!B96,'Country &amp; Code Abbreviation'!$B$3:$B$245,0))</f>
        <v>HT</v>
      </c>
      <c r="D96" s="271" t="s">
        <v>643</v>
      </c>
      <c r="E96" s="271" t="s">
        <v>644</v>
      </c>
    </row>
    <row r="97" spans="2:5">
      <c r="B97" s="229" t="s">
        <v>168</v>
      </c>
      <c r="C97" s="274" t="str">
        <f>INDEX('Country &amp; Code Abbreviation'!$C$3:$C$245,MATCH('Post-AR Web Cancel Deflection'!B97,'Country &amp; Code Abbreviation'!$B$3:$B$245,0))</f>
        <v>HM</v>
      </c>
      <c r="D97" s="271" t="s">
        <v>643</v>
      </c>
      <c r="E97" s="271" t="s">
        <v>644</v>
      </c>
    </row>
    <row r="98" spans="2:5">
      <c r="B98" s="229" t="s">
        <v>169</v>
      </c>
      <c r="C98" s="274" t="str">
        <f>INDEX('Country &amp; Code Abbreviation'!$C$3:$C$245,MATCH('Post-AR Web Cancel Deflection'!B98,'Country &amp; Code Abbreviation'!$B$3:$B$245,0))</f>
        <v>HN</v>
      </c>
      <c r="D98" s="273" t="s">
        <v>646</v>
      </c>
      <c r="E98" s="271" t="s">
        <v>644</v>
      </c>
    </row>
    <row r="99" spans="2:5">
      <c r="B99" s="229" t="s">
        <v>170</v>
      </c>
      <c r="C99" s="274" t="str">
        <f>INDEX('Country &amp; Code Abbreviation'!$C$3:$C$245,MATCH('Post-AR Web Cancel Deflection'!B99,'Country &amp; Code Abbreviation'!$B$3:$B$245,0))</f>
        <v>HK</v>
      </c>
      <c r="D99" s="273" t="s">
        <v>646</v>
      </c>
      <c r="E99" s="271" t="s">
        <v>644</v>
      </c>
    </row>
    <row r="100" spans="2:5">
      <c r="B100" s="229" t="s">
        <v>171</v>
      </c>
      <c r="C100" s="274" t="str">
        <f>INDEX('Country &amp; Code Abbreviation'!$C$3:$C$245,MATCH('Post-AR Web Cancel Deflection'!B100,'Country &amp; Code Abbreviation'!$B$3:$B$245,0))</f>
        <v>HU</v>
      </c>
      <c r="D100" s="273" t="s">
        <v>646</v>
      </c>
      <c r="E100" s="271" t="s">
        <v>644</v>
      </c>
    </row>
    <row r="101" spans="2:5">
      <c r="B101" s="229" t="s">
        <v>172</v>
      </c>
      <c r="C101" s="274" t="str">
        <f>INDEX('Country &amp; Code Abbreviation'!$C$3:$C$245,MATCH('Post-AR Web Cancel Deflection'!B101,'Country &amp; Code Abbreviation'!$B$3:$B$245,0))</f>
        <v>IS</v>
      </c>
      <c r="D101" s="273" t="s">
        <v>646</v>
      </c>
      <c r="E101" s="271" t="s">
        <v>644</v>
      </c>
    </row>
    <row r="102" spans="2:5">
      <c r="B102" s="230" t="s">
        <v>173</v>
      </c>
      <c r="C102" s="274" t="str">
        <f>INDEX('Country &amp; Code Abbreviation'!$C$3:$C$245,MATCH('Post-AR Web Cancel Deflection'!B102,'Country &amp; Code Abbreviation'!$B$3:$B$245,0))</f>
        <v>IN</v>
      </c>
      <c r="D102" s="271" t="s">
        <v>643</v>
      </c>
      <c r="E102" s="271" t="s">
        <v>644</v>
      </c>
    </row>
    <row r="103" spans="2:5">
      <c r="B103" s="229" t="s">
        <v>174</v>
      </c>
      <c r="C103" s="274" t="str">
        <f>INDEX('Country &amp; Code Abbreviation'!$C$3:$C$245,MATCH('Post-AR Web Cancel Deflection'!B103,'Country &amp; Code Abbreviation'!$B$3:$B$245,0))</f>
        <v>ID</v>
      </c>
      <c r="D103" s="273" t="s">
        <v>646</v>
      </c>
      <c r="E103" s="271" t="s">
        <v>644</v>
      </c>
    </row>
    <row r="104" spans="2:5">
      <c r="B104" s="229" t="s">
        <v>175</v>
      </c>
      <c r="C104" s="274" t="str">
        <f>INDEX('Country &amp; Code Abbreviation'!$C$3:$C$245,MATCH('Post-AR Web Cancel Deflection'!B104,'Country &amp; Code Abbreviation'!$B$3:$B$245,0))</f>
        <v>IQ</v>
      </c>
      <c r="D104" s="271" t="s">
        <v>643</v>
      </c>
      <c r="E104" s="271" t="s">
        <v>644</v>
      </c>
    </row>
    <row r="105" spans="2:5">
      <c r="B105" s="229" t="s">
        <v>176</v>
      </c>
      <c r="C105" s="274" t="str">
        <f>INDEX('Country &amp; Code Abbreviation'!$C$3:$C$245,MATCH('Post-AR Web Cancel Deflection'!B105,'Country &amp; Code Abbreviation'!$B$3:$B$245,0))</f>
        <v>IE</v>
      </c>
      <c r="D105" s="273" t="s">
        <v>646</v>
      </c>
      <c r="E105" s="271" t="s">
        <v>644</v>
      </c>
    </row>
    <row r="106" spans="2:5">
      <c r="B106" s="229" t="s">
        <v>177</v>
      </c>
      <c r="C106" s="274" t="str">
        <f>INDEX('Country &amp; Code Abbreviation'!$C$3:$C$245,MATCH('Post-AR Web Cancel Deflection'!B106,'Country &amp; Code Abbreviation'!$B$3:$B$245,0))</f>
        <v>IM</v>
      </c>
      <c r="D106" s="271" t="s">
        <v>643</v>
      </c>
      <c r="E106" s="271" t="s">
        <v>644</v>
      </c>
    </row>
    <row r="107" spans="2:5">
      <c r="B107" s="229" t="s">
        <v>178</v>
      </c>
      <c r="C107" s="274" t="str">
        <f>INDEX('Country &amp; Code Abbreviation'!$C$3:$C$245,MATCH('Post-AR Web Cancel Deflection'!B107,'Country &amp; Code Abbreviation'!$B$3:$B$245,0))</f>
        <v>IL</v>
      </c>
      <c r="D107" s="273" t="s">
        <v>646</v>
      </c>
      <c r="E107" s="271" t="s">
        <v>644</v>
      </c>
    </row>
    <row r="108" spans="2:5">
      <c r="B108" s="230" t="s">
        <v>179</v>
      </c>
      <c r="C108" s="274" t="str">
        <f>INDEX('Country &amp; Code Abbreviation'!$C$3:$C$245,MATCH('Post-AR Web Cancel Deflection'!B108,'Country &amp; Code Abbreviation'!$B$3:$B$245,0))</f>
        <v>IT</v>
      </c>
      <c r="D108" s="271" t="s">
        <v>643</v>
      </c>
      <c r="E108" s="271" t="s">
        <v>644</v>
      </c>
    </row>
    <row r="109" spans="2:5">
      <c r="B109" s="229" t="s">
        <v>180</v>
      </c>
      <c r="C109" s="274" t="str">
        <f>INDEX('Country &amp; Code Abbreviation'!$C$3:$C$245,MATCH('Post-AR Web Cancel Deflection'!B109,'Country &amp; Code Abbreviation'!$B$3:$B$245,0))</f>
        <v>JM</v>
      </c>
      <c r="D109" s="271" t="s">
        <v>643</v>
      </c>
      <c r="E109" s="271" t="s">
        <v>644</v>
      </c>
    </row>
    <row r="110" spans="2:5">
      <c r="B110" s="230" t="s">
        <v>181</v>
      </c>
      <c r="C110" s="274" t="str">
        <f>INDEX('Country &amp; Code Abbreviation'!$C$3:$C$245,MATCH('Post-AR Web Cancel Deflection'!B110,'Country &amp; Code Abbreviation'!$B$3:$B$245,0))</f>
        <v>JP</v>
      </c>
      <c r="D110" s="273" t="s">
        <v>646</v>
      </c>
      <c r="E110" s="271" t="s">
        <v>644</v>
      </c>
    </row>
    <row r="111" spans="2:5">
      <c r="B111" s="229" t="s">
        <v>183</v>
      </c>
      <c r="C111" s="274" t="str">
        <f>INDEX('Country &amp; Code Abbreviation'!$C$3:$C$245,MATCH('Post-AR Web Cancel Deflection'!B111,'Country &amp; Code Abbreviation'!$B$3:$B$245,0))</f>
        <v>JE</v>
      </c>
      <c r="D111" s="271" t="s">
        <v>643</v>
      </c>
      <c r="E111" s="271" t="s">
        <v>644</v>
      </c>
    </row>
    <row r="112" spans="2:5">
      <c r="B112" s="229" t="s">
        <v>184</v>
      </c>
      <c r="C112" s="274" t="str">
        <f>INDEX('Country &amp; Code Abbreviation'!$C$3:$C$245,MATCH('Post-AR Web Cancel Deflection'!B112,'Country &amp; Code Abbreviation'!$B$3:$B$245,0))</f>
        <v>JO</v>
      </c>
      <c r="D112" s="271" t="s">
        <v>643</v>
      </c>
      <c r="E112" s="271" t="s">
        <v>644</v>
      </c>
    </row>
    <row r="113" spans="2:5">
      <c r="B113" s="229" t="s">
        <v>185</v>
      </c>
      <c r="C113" s="274" t="str">
        <f>INDEX('Country &amp; Code Abbreviation'!$C$3:$C$245,MATCH('Post-AR Web Cancel Deflection'!B113,'Country &amp; Code Abbreviation'!$B$3:$B$245,0))</f>
        <v>KZ</v>
      </c>
      <c r="D113" s="271" t="s">
        <v>643</v>
      </c>
      <c r="E113" s="271" t="s">
        <v>644</v>
      </c>
    </row>
    <row r="114" spans="2:5">
      <c r="B114" s="229" t="s">
        <v>186</v>
      </c>
      <c r="C114" s="274" t="str">
        <f>INDEX('Country &amp; Code Abbreviation'!$C$3:$C$245,MATCH('Post-AR Web Cancel Deflection'!B114,'Country &amp; Code Abbreviation'!$B$3:$B$245,0))</f>
        <v>KE</v>
      </c>
      <c r="D114" s="271" t="s">
        <v>643</v>
      </c>
      <c r="E114" s="271" t="s">
        <v>644</v>
      </c>
    </row>
    <row r="115" spans="2:5">
      <c r="B115" s="229" t="s">
        <v>187</v>
      </c>
      <c r="C115" s="274" t="str">
        <f>INDEX('Country &amp; Code Abbreviation'!$C$3:$C$245,MATCH('Post-AR Web Cancel Deflection'!B115,'Country &amp; Code Abbreviation'!$B$3:$B$245,0))</f>
        <v>KI</v>
      </c>
      <c r="D115" s="271" t="s">
        <v>643</v>
      </c>
      <c r="E115" s="271" t="s">
        <v>644</v>
      </c>
    </row>
    <row r="116" spans="2:5">
      <c r="B116" s="229" t="s">
        <v>188</v>
      </c>
      <c r="C116" s="274" t="str">
        <f>INDEX('Country &amp; Code Abbreviation'!$C$3:$C$245,MATCH('Post-AR Web Cancel Deflection'!B116,'Country &amp; Code Abbreviation'!$B$3:$B$245,0))</f>
        <v>XK</v>
      </c>
      <c r="D116" s="271" t="s">
        <v>643</v>
      </c>
      <c r="E116" s="271" t="s">
        <v>644</v>
      </c>
    </row>
    <row r="117" spans="2:5">
      <c r="B117" s="229" t="s">
        <v>189</v>
      </c>
      <c r="C117" s="274" t="str">
        <f>INDEX('Country &amp; Code Abbreviation'!$C$3:$C$245,MATCH('Post-AR Web Cancel Deflection'!B117,'Country &amp; Code Abbreviation'!$B$3:$B$245,0))</f>
        <v>KW</v>
      </c>
      <c r="D117" s="273" t="s">
        <v>646</v>
      </c>
      <c r="E117" s="271" t="s">
        <v>644</v>
      </c>
    </row>
    <row r="118" spans="2:5">
      <c r="B118" s="229" t="s">
        <v>190</v>
      </c>
      <c r="C118" s="274" t="str">
        <f>INDEX('Country &amp; Code Abbreviation'!$C$3:$C$245,MATCH('Post-AR Web Cancel Deflection'!B118,'Country &amp; Code Abbreviation'!$B$3:$B$245,0))</f>
        <v>KG</v>
      </c>
      <c r="D118" s="271" t="s">
        <v>643</v>
      </c>
      <c r="E118" s="271" t="s">
        <v>644</v>
      </c>
    </row>
    <row r="119" spans="2:5">
      <c r="B119" s="229" t="s">
        <v>191</v>
      </c>
      <c r="C119" s="274" t="str">
        <f>INDEX('Country &amp; Code Abbreviation'!$C$3:$C$245,MATCH('Post-AR Web Cancel Deflection'!B119,'Country &amp; Code Abbreviation'!$B$3:$B$245,0))</f>
        <v>LA</v>
      </c>
      <c r="D119" s="271" t="s">
        <v>643</v>
      </c>
      <c r="E119" s="271" t="s">
        <v>644</v>
      </c>
    </row>
    <row r="120" spans="2:5">
      <c r="B120" s="229" t="s">
        <v>192</v>
      </c>
      <c r="C120" s="274" t="str">
        <f>INDEX('Country &amp; Code Abbreviation'!$C$3:$C$245,MATCH('Post-AR Web Cancel Deflection'!B120,'Country &amp; Code Abbreviation'!$B$3:$B$245,0))</f>
        <v>LV</v>
      </c>
      <c r="D120" s="273" t="s">
        <v>646</v>
      </c>
      <c r="E120" s="271" t="s">
        <v>644</v>
      </c>
    </row>
    <row r="121" spans="2:5">
      <c r="B121" s="229" t="s">
        <v>193</v>
      </c>
      <c r="C121" s="274" t="str">
        <f>INDEX('Country &amp; Code Abbreviation'!$C$3:$C$245,MATCH('Post-AR Web Cancel Deflection'!B121,'Country &amp; Code Abbreviation'!$B$3:$B$245,0))</f>
        <v>LB</v>
      </c>
      <c r="D121" s="273" t="s">
        <v>646</v>
      </c>
      <c r="E121" s="271" t="s">
        <v>644</v>
      </c>
    </row>
    <row r="122" spans="2:5">
      <c r="B122" s="229" t="s">
        <v>194</v>
      </c>
      <c r="C122" s="274" t="str">
        <f>INDEX('Country &amp; Code Abbreviation'!$C$3:$C$245,MATCH('Post-AR Web Cancel Deflection'!B122,'Country &amp; Code Abbreviation'!$B$3:$B$245,0))</f>
        <v>LS</v>
      </c>
      <c r="D122" s="271" t="s">
        <v>643</v>
      </c>
      <c r="E122" s="271" t="s">
        <v>644</v>
      </c>
    </row>
    <row r="123" spans="2:5">
      <c r="B123" s="229" t="s">
        <v>195</v>
      </c>
      <c r="C123" s="274" t="str">
        <f>INDEX('Country &amp; Code Abbreviation'!$C$3:$C$245,MATCH('Post-AR Web Cancel Deflection'!B123,'Country &amp; Code Abbreviation'!$B$3:$B$245,0))</f>
        <v>LR</v>
      </c>
      <c r="D123" s="271" t="s">
        <v>643</v>
      </c>
      <c r="E123" s="271" t="s">
        <v>644</v>
      </c>
    </row>
    <row r="124" spans="2:5">
      <c r="B124" s="229" t="s">
        <v>196</v>
      </c>
      <c r="C124" s="274" t="str">
        <f>INDEX('Country &amp; Code Abbreviation'!$C$3:$C$245,MATCH('Post-AR Web Cancel Deflection'!B124,'Country &amp; Code Abbreviation'!$B$3:$B$245,0))</f>
        <v>LY</v>
      </c>
      <c r="D124" s="271" t="s">
        <v>643</v>
      </c>
      <c r="E124" s="271" t="s">
        <v>644</v>
      </c>
    </row>
    <row r="125" spans="2:5">
      <c r="B125" s="229" t="s">
        <v>197</v>
      </c>
      <c r="C125" s="274" t="str">
        <f>INDEX('Country &amp; Code Abbreviation'!$C$3:$C$245,MATCH('Post-AR Web Cancel Deflection'!B125,'Country &amp; Code Abbreviation'!$B$3:$B$245,0))</f>
        <v>LI</v>
      </c>
      <c r="D125" s="271" t="s">
        <v>643</v>
      </c>
      <c r="E125" s="271" t="s">
        <v>644</v>
      </c>
    </row>
    <row r="126" spans="2:5">
      <c r="B126" s="229" t="s">
        <v>198</v>
      </c>
      <c r="C126" s="274" t="str">
        <f>INDEX('Country &amp; Code Abbreviation'!$C$3:$C$245,MATCH('Post-AR Web Cancel Deflection'!B126,'Country &amp; Code Abbreviation'!$B$3:$B$245,0))</f>
        <v>LT</v>
      </c>
      <c r="D126" s="273" t="s">
        <v>646</v>
      </c>
      <c r="E126" s="271" t="s">
        <v>644</v>
      </c>
    </row>
    <row r="127" spans="2:5">
      <c r="B127" s="229" t="s">
        <v>199</v>
      </c>
      <c r="C127" s="274" t="str">
        <f>INDEX('Country &amp; Code Abbreviation'!$C$3:$C$245,MATCH('Post-AR Web Cancel Deflection'!B127,'Country &amp; Code Abbreviation'!$B$3:$B$245,0))</f>
        <v>LU</v>
      </c>
      <c r="D127" s="273" t="s">
        <v>646</v>
      </c>
      <c r="E127" s="271" t="s">
        <v>644</v>
      </c>
    </row>
    <row r="128" spans="2:5">
      <c r="B128" s="229" t="s">
        <v>200</v>
      </c>
      <c r="C128" s="274" t="str">
        <f>INDEX('Country &amp; Code Abbreviation'!$C$3:$C$245,MATCH('Post-AR Web Cancel Deflection'!B128,'Country &amp; Code Abbreviation'!$B$3:$B$245,0))</f>
        <v>MO</v>
      </c>
      <c r="D128" s="273" t="s">
        <v>646</v>
      </c>
      <c r="E128" s="271" t="s">
        <v>644</v>
      </c>
    </row>
    <row r="129" spans="2:5">
      <c r="B129" s="229" t="s">
        <v>201</v>
      </c>
      <c r="C129" s="274" t="str">
        <f>INDEX('Country &amp; Code Abbreviation'!$C$3:$C$245,MATCH('Post-AR Web Cancel Deflection'!B129,'Country &amp; Code Abbreviation'!$B$3:$B$245,0))</f>
        <v>MK</v>
      </c>
      <c r="D129" s="273" t="s">
        <v>646</v>
      </c>
      <c r="E129" s="271" t="s">
        <v>644</v>
      </c>
    </row>
    <row r="130" spans="2:5">
      <c r="B130" s="229" t="s">
        <v>202</v>
      </c>
      <c r="C130" s="274" t="str">
        <f>INDEX('Country &amp; Code Abbreviation'!$C$3:$C$245,MATCH('Post-AR Web Cancel Deflection'!B130,'Country &amp; Code Abbreviation'!$B$3:$B$245,0))</f>
        <v>MG</v>
      </c>
      <c r="D130" s="271" t="s">
        <v>643</v>
      </c>
      <c r="E130" s="271" t="s">
        <v>644</v>
      </c>
    </row>
    <row r="131" spans="2:5">
      <c r="B131" s="229" t="s">
        <v>203</v>
      </c>
      <c r="C131" s="274" t="str">
        <f>INDEX('Country &amp; Code Abbreviation'!$C$3:$C$245,MATCH('Post-AR Web Cancel Deflection'!B131,'Country &amp; Code Abbreviation'!$B$3:$B$245,0))</f>
        <v>MW</v>
      </c>
      <c r="D131" s="271" t="s">
        <v>643</v>
      </c>
      <c r="E131" s="271" t="s">
        <v>644</v>
      </c>
    </row>
    <row r="132" spans="2:5">
      <c r="B132" s="229" t="s">
        <v>204</v>
      </c>
      <c r="C132" s="274" t="str">
        <f>INDEX('Country &amp; Code Abbreviation'!$C$3:$C$245,MATCH('Post-AR Web Cancel Deflection'!B132,'Country &amp; Code Abbreviation'!$B$3:$B$245,0))</f>
        <v>MY</v>
      </c>
      <c r="D132" s="273" t="s">
        <v>646</v>
      </c>
      <c r="E132" s="271" t="s">
        <v>644</v>
      </c>
    </row>
    <row r="133" spans="2:5">
      <c r="B133" s="229" t="s">
        <v>205</v>
      </c>
      <c r="C133" s="274" t="str">
        <f>INDEX('Country &amp; Code Abbreviation'!$C$3:$C$245,MATCH('Post-AR Web Cancel Deflection'!B133,'Country &amp; Code Abbreviation'!$B$3:$B$245,0))</f>
        <v>MV</v>
      </c>
      <c r="D133" s="271" t="s">
        <v>643</v>
      </c>
      <c r="E133" s="271" t="s">
        <v>644</v>
      </c>
    </row>
    <row r="134" spans="2:5">
      <c r="B134" s="229" t="s">
        <v>206</v>
      </c>
      <c r="C134" s="274" t="str">
        <f>INDEX('Country &amp; Code Abbreviation'!$C$3:$C$245,MATCH('Post-AR Web Cancel Deflection'!B134,'Country &amp; Code Abbreviation'!$B$3:$B$245,0))</f>
        <v>ML</v>
      </c>
      <c r="D134" s="271" t="s">
        <v>643</v>
      </c>
      <c r="E134" s="271" t="s">
        <v>644</v>
      </c>
    </row>
    <row r="135" spans="2:5">
      <c r="B135" s="229" t="s">
        <v>207</v>
      </c>
      <c r="C135" s="274" t="str">
        <f>INDEX('Country &amp; Code Abbreviation'!$C$3:$C$245,MATCH('Post-AR Web Cancel Deflection'!B135,'Country &amp; Code Abbreviation'!$B$3:$B$245,0))</f>
        <v>MT</v>
      </c>
      <c r="D135" s="271" t="s">
        <v>643</v>
      </c>
      <c r="E135" s="271" t="s">
        <v>644</v>
      </c>
    </row>
    <row r="136" spans="2:5">
      <c r="B136" s="229" t="s">
        <v>208</v>
      </c>
      <c r="C136" s="274" t="str">
        <f>INDEX('Country &amp; Code Abbreviation'!$C$3:$C$245,MATCH('Post-AR Web Cancel Deflection'!B136,'Country &amp; Code Abbreviation'!$B$3:$B$245,0))</f>
        <v>MH</v>
      </c>
      <c r="D136" s="271" t="s">
        <v>643</v>
      </c>
      <c r="E136" s="271" t="s">
        <v>644</v>
      </c>
    </row>
    <row r="137" spans="2:5">
      <c r="B137" s="229" t="s">
        <v>209</v>
      </c>
      <c r="C137" s="274" t="str">
        <f>INDEX('Country &amp; Code Abbreviation'!$C$3:$C$245,MATCH('Post-AR Web Cancel Deflection'!B137,'Country &amp; Code Abbreviation'!$B$3:$B$245,0))</f>
        <v>MQ</v>
      </c>
      <c r="D137" s="271" t="s">
        <v>643</v>
      </c>
      <c r="E137" s="271" t="s">
        <v>644</v>
      </c>
    </row>
    <row r="138" spans="2:5">
      <c r="B138" s="229" t="s">
        <v>210</v>
      </c>
      <c r="C138" s="274" t="str">
        <f>INDEX('Country &amp; Code Abbreviation'!$C$3:$C$245,MATCH('Post-AR Web Cancel Deflection'!B138,'Country &amp; Code Abbreviation'!$B$3:$B$245,0))</f>
        <v>MR</v>
      </c>
      <c r="D138" s="271" t="s">
        <v>643</v>
      </c>
      <c r="E138" s="271" t="s">
        <v>644</v>
      </c>
    </row>
    <row r="139" spans="2:5">
      <c r="B139" s="229" t="s">
        <v>211</v>
      </c>
      <c r="C139" s="274" t="str">
        <f>INDEX('Country &amp; Code Abbreviation'!$C$3:$C$245,MATCH('Post-AR Web Cancel Deflection'!B139,'Country &amp; Code Abbreviation'!$B$3:$B$245,0))</f>
        <v>MU</v>
      </c>
      <c r="D139" s="271" t="s">
        <v>643</v>
      </c>
      <c r="E139" s="271" t="s">
        <v>644</v>
      </c>
    </row>
    <row r="140" spans="2:5">
      <c r="B140" s="229" t="s">
        <v>212</v>
      </c>
      <c r="C140" s="274" t="str">
        <f>INDEX('Country &amp; Code Abbreviation'!$C$3:$C$245,MATCH('Post-AR Web Cancel Deflection'!B140,'Country &amp; Code Abbreviation'!$B$3:$B$245,0))</f>
        <v>YT</v>
      </c>
      <c r="D140" s="271" t="s">
        <v>643</v>
      </c>
      <c r="E140" s="271" t="s">
        <v>644</v>
      </c>
    </row>
    <row r="141" spans="2:5">
      <c r="B141" s="230" t="s">
        <v>213</v>
      </c>
      <c r="C141" s="274" t="str">
        <f>INDEX('Country &amp; Code Abbreviation'!$C$3:$C$245,MATCH('Post-AR Web Cancel Deflection'!B141,'Country &amp; Code Abbreviation'!$B$3:$B$245,0))</f>
        <v>MX</v>
      </c>
      <c r="D141" s="273" t="s">
        <v>646</v>
      </c>
      <c r="E141" s="271" t="s">
        <v>644</v>
      </c>
    </row>
    <row r="142" spans="2:5">
      <c r="B142" s="229" t="s">
        <v>214</v>
      </c>
      <c r="C142" s="274" t="str">
        <f>INDEX('Country &amp; Code Abbreviation'!$C$3:$C$245,MATCH('Post-AR Web Cancel Deflection'!B142,'Country &amp; Code Abbreviation'!$B$3:$B$245,0))</f>
        <v>FM</v>
      </c>
      <c r="D142" s="271" t="s">
        <v>643</v>
      </c>
      <c r="E142" s="271" t="s">
        <v>644</v>
      </c>
    </row>
    <row r="143" spans="2:5">
      <c r="B143" s="229" t="s">
        <v>215</v>
      </c>
      <c r="C143" s="274" t="str">
        <f>INDEX('Country &amp; Code Abbreviation'!$C$3:$C$245,MATCH('Post-AR Web Cancel Deflection'!B143,'Country &amp; Code Abbreviation'!$B$3:$B$245,0))</f>
        <v>MD</v>
      </c>
      <c r="D143" s="271" t="s">
        <v>643</v>
      </c>
      <c r="E143" s="271" t="s">
        <v>644</v>
      </c>
    </row>
    <row r="144" spans="2:5">
      <c r="B144" s="229" t="s">
        <v>216</v>
      </c>
      <c r="C144" s="274" t="str">
        <f>INDEX('Country &amp; Code Abbreviation'!$C$3:$C$245,MATCH('Post-AR Web Cancel Deflection'!B144,'Country &amp; Code Abbreviation'!$B$3:$B$245,0))</f>
        <v>MC</v>
      </c>
      <c r="D144" s="271" t="s">
        <v>643</v>
      </c>
      <c r="E144" s="271" t="s">
        <v>644</v>
      </c>
    </row>
    <row r="145" spans="2:5">
      <c r="B145" s="229" t="s">
        <v>217</v>
      </c>
      <c r="C145" s="274" t="str">
        <f>INDEX('Country &amp; Code Abbreviation'!$C$3:$C$245,MATCH('Post-AR Web Cancel Deflection'!B145,'Country &amp; Code Abbreviation'!$B$3:$B$245,0))</f>
        <v>MN</v>
      </c>
      <c r="D145" s="273" t="s">
        <v>646</v>
      </c>
      <c r="E145" s="271" t="s">
        <v>644</v>
      </c>
    </row>
    <row r="146" spans="2:5">
      <c r="B146" s="229" t="s">
        <v>218</v>
      </c>
      <c r="C146" s="274" t="str">
        <f>INDEX('Country &amp; Code Abbreviation'!$C$3:$C$245,MATCH('Post-AR Web Cancel Deflection'!B146,'Country &amp; Code Abbreviation'!$B$3:$B$245,0))</f>
        <v>ME</v>
      </c>
      <c r="D146" s="271" t="s">
        <v>643</v>
      </c>
      <c r="E146" s="271" t="s">
        <v>644</v>
      </c>
    </row>
    <row r="147" spans="2:5">
      <c r="B147" s="229" t="s">
        <v>219</v>
      </c>
      <c r="C147" s="274" t="str">
        <f>INDEX('Country &amp; Code Abbreviation'!$C$3:$C$245,MATCH('Post-AR Web Cancel Deflection'!B147,'Country &amp; Code Abbreviation'!$B$3:$B$245,0))</f>
        <v>MS</v>
      </c>
      <c r="D147" s="271" t="s">
        <v>643</v>
      </c>
      <c r="E147" s="271" t="s">
        <v>644</v>
      </c>
    </row>
    <row r="148" spans="2:5">
      <c r="B148" s="229" t="s">
        <v>220</v>
      </c>
      <c r="C148" s="274" t="str">
        <f>INDEX('Country &amp; Code Abbreviation'!$C$3:$C$245,MATCH('Post-AR Web Cancel Deflection'!B148,'Country &amp; Code Abbreviation'!$B$3:$B$245,0))</f>
        <v>MA</v>
      </c>
      <c r="D148" s="273" t="s">
        <v>646</v>
      </c>
      <c r="E148" s="271" t="s">
        <v>644</v>
      </c>
    </row>
    <row r="149" spans="2:5">
      <c r="B149" s="229" t="s">
        <v>221</v>
      </c>
      <c r="C149" s="274" t="str">
        <f>INDEX('Country &amp; Code Abbreviation'!$C$3:$C$245,MATCH('Post-AR Web Cancel Deflection'!B149,'Country &amp; Code Abbreviation'!$B$3:$B$245,0))</f>
        <v>MZ</v>
      </c>
      <c r="D149" s="271" t="s">
        <v>643</v>
      </c>
      <c r="E149" s="271" t="s">
        <v>644</v>
      </c>
    </row>
    <row r="150" spans="2:5">
      <c r="B150" s="229" t="s">
        <v>222</v>
      </c>
      <c r="C150" s="274" t="str">
        <f>INDEX('Country &amp; Code Abbreviation'!$C$3:$C$245,MATCH('Post-AR Web Cancel Deflection'!B150,'Country &amp; Code Abbreviation'!$B$3:$B$245,0))</f>
        <v>MM</v>
      </c>
      <c r="D150" s="271" t="s">
        <v>643</v>
      </c>
      <c r="E150" s="271" t="s">
        <v>644</v>
      </c>
    </row>
    <row r="151" spans="2:5">
      <c r="B151" s="229" t="s">
        <v>223</v>
      </c>
      <c r="C151" s="274" t="str">
        <f>INDEX('Country &amp; Code Abbreviation'!$C$3:$C$245,MATCH('Post-AR Web Cancel Deflection'!B151,'Country &amp; Code Abbreviation'!$B$3:$B$245,0))</f>
        <v>NA</v>
      </c>
      <c r="D151" s="271" t="s">
        <v>643</v>
      </c>
      <c r="E151" s="271" t="s">
        <v>644</v>
      </c>
    </row>
    <row r="152" spans="2:5">
      <c r="B152" s="229" t="s">
        <v>224</v>
      </c>
      <c r="C152" s="274" t="str">
        <f>INDEX('Country &amp; Code Abbreviation'!$C$3:$C$245,MATCH('Post-AR Web Cancel Deflection'!B152,'Country &amp; Code Abbreviation'!$B$3:$B$245,0))</f>
        <v>NR</v>
      </c>
      <c r="D152" s="271" t="s">
        <v>643</v>
      </c>
      <c r="E152" s="271" t="s">
        <v>644</v>
      </c>
    </row>
    <row r="153" spans="2:5">
      <c r="B153" s="229" t="s">
        <v>225</v>
      </c>
      <c r="C153" s="274" t="str">
        <f>INDEX('Country &amp; Code Abbreviation'!$C$3:$C$245,MATCH('Post-AR Web Cancel Deflection'!B153,'Country &amp; Code Abbreviation'!$B$3:$B$245,0))</f>
        <v>NP</v>
      </c>
      <c r="D153" s="271" t="s">
        <v>643</v>
      </c>
      <c r="E153" s="271" t="s">
        <v>644</v>
      </c>
    </row>
    <row r="154" spans="2:5">
      <c r="B154" s="230" t="s">
        <v>226</v>
      </c>
      <c r="C154" s="274" t="str">
        <f>INDEX('Country &amp; Code Abbreviation'!$C$3:$C$245,MATCH('Post-AR Web Cancel Deflection'!B154,'Country &amp; Code Abbreviation'!$B$3:$B$245,0))</f>
        <v>NL</v>
      </c>
      <c r="D154" s="273" t="s">
        <v>646</v>
      </c>
      <c r="E154" s="271" t="s">
        <v>644</v>
      </c>
    </row>
    <row r="155" spans="2:5">
      <c r="B155" s="229" t="s">
        <v>228</v>
      </c>
      <c r="C155" s="274" t="str">
        <f>INDEX('Country &amp; Code Abbreviation'!$C$3:$C$245,MATCH('Post-AR Web Cancel Deflection'!B155,'Country &amp; Code Abbreviation'!$B$3:$B$245,0))</f>
        <v>NC</v>
      </c>
      <c r="D155" s="271" t="s">
        <v>643</v>
      </c>
      <c r="E155" s="271" t="s">
        <v>644</v>
      </c>
    </row>
    <row r="156" spans="2:5">
      <c r="B156" s="230" t="s">
        <v>229</v>
      </c>
      <c r="C156" s="274" t="str">
        <f>INDEX('Country &amp; Code Abbreviation'!$C$3:$C$245,MATCH('Post-AR Web Cancel Deflection'!B156,'Country &amp; Code Abbreviation'!$B$3:$B$245,0))</f>
        <v>NZ</v>
      </c>
      <c r="D156" s="273" t="s">
        <v>646</v>
      </c>
      <c r="E156" s="271" t="s">
        <v>644</v>
      </c>
    </row>
    <row r="157" spans="2:5">
      <c r="B157" s="229" t="s">
        <v>230</v>
      </c>
      <c r="C157" s="274" t="str">
        <f>INDEX('Country &amp; Code Abbreviation'!$C$3:$C$245,MATCH('Post-AR Web Cancel Deflection'!B157,'Country &amp; Code Abbreviation'!$B$3:$B$245,0))</f>
        <v>NI</v>
      </c>
      <c r="D157" s="273" t="s">
        <v>646</v>
      </c>
      <c r="E157" s="271" t="s">
        <v>644</v>
      </c>
    </row>
    <row r="158" spans="2:5">
      <c r="B158" s="229" t="s">
        <v>231</v>
      </c>
      <c r="C158" s="274" t="str">
        <f>INDEX('Country &amp; Code Abbreviation'!$C$3:$C$245,MATCH('Post-AR Web Cancel Deflection'!B158,'Country &amp; Code Abbreviation'!$B$3:$B$245,0))</f>
        <v>NE</v>
      </c>
      <c r="D158" s="271" t="s">
        <v>643</v>
      </c>
      <c r="E158" s="271" t="s">
        <v>644</v>
      </c>
    </row>
    <row r="159" spans="2:5">
      <c r="B159" s="230" t="s">
        <v>232</v>
      </c>
      <c r="C159" s="274" t="str">
        <f>INDEX('Country &amp; Code Abbreviation'!$C$3:$C$245,MATCH('Post-AR Web Cancel Deflection'!B159,'Country &amp; Code Abbreviation'!$B$3:$B$245,0))</f>
        <v>NG</v>
      </c>
      <c r="D159" s="271" t="s">
        <v>643</v>
      </c>
      <c r="E159" s="271" t="s">
        <v>644</v>
      </c>
    </row>
    <row r="160" spans="2:5">
      <c r="B160" s="229" t="s">
        <v>233</v>
      </c>
      <c r="C160" s="274" t="str">
        <f>INDEX('Country &amp; Code Abbreviation'!$C$3:$C$245,MATCH('Post-AR Web Cancel Deflection'!B160,'Country &amp; Code Abbreviation'!$B$3:$B$245,0))</f>
        <v>NU</v>
      </c>
      <c r="D160" s="271" t="s">
        <v>643</v>
      </c>
      <c r="E160" s="271" t="s">
        <v>644</v>
      </c>
    </row>
    <row r="161" spans="2:5">
      <c r="B161" s="229" t="s">
        <v>234</v>
      </c>
      <c r="C161" s="274" t="str">
        <f>INDEX('Country &amp; Code Abbreviation'!$C$3:$C$245,MATCH('Post-AR Web Cancel Deflection'!B161,'Country &amp; Code Abbreviation'!$B$3:$B$245,0))</f>
        <v>NF</v>
      </c>
      <c r="D161" s="271" t="s">
        <v>643</v>
      </c>
      <c r="E161" s="271" t="s">
        <v>644</v>
      </c>
    </row>
    <row r="162" spans="2:5">
      <c r="B162" s="229" t="s">
        <v>235</v>
      </c>
      <c r="C162" s="274" t="str">
        <f>INDEX('Country &amp; Code Abbreviation'!$C$3:$C$245,MATCH('Post-AR Web Cancel Deflection'!B162,'Country &amp; Code Abbreviation'!$B$3:$B$245,0))</f>
        <v>MP</v>
      </c>
      <c r="D162" s="271" t="s">
        <v>643</v>
      </c>
      <c r="E162" s="271" t="s">
        <v>644</v>
      </c>
    </row>
    <row r="163" spans="2:5">
      <c r="B163" s="229" t="s">
        <v>237</v>
      </c>
      <c r="C163" s="274" t="str">
        <f>INDEX('Country &amp; Code Abbreviation'!$C$3:$C$245,MATCH('Post-AR Web Cancel Deflection'!B163,'Country &amp; Code Abbreviation'!$B$3:$B$245,0))</f>
        <v>NO</v>
      </c>
      <c r="D163" s="273" t="s">
        <v>646</v>
      </c>
      <c r="E163" s="271" t="s">
        <v>644</v>
      </c>
    </row>
    <row r="164" spans="2:5">
      <c r="B164" s="229" t="s">
        <v>238</v>
      </c>
      <c r="C164" s="274" t="str">
        <f>INDEX('Country &amp; Code Abbreviation'!$C$3:$C$245,MATCH('Post-AR Web Cancel Deflection'!B164,'Country &amp; Code Abbreviation'!$B$3:$B$245,0))</f>
        <v>OM</v>
      </c>
      <c r="D164" s="271" t="s">
        <v>643</v>
      </c>
      <c r="E164" s="271" t="s">
        <v>644</v>
      </c>
    </row>
    <row r="165" spans="2:5">
      <c r="B165" s="229" t="s">
        <v>239</v>
      </c>
      <c r="C165" s="274" t="str">
        <f>INDEX('Country &amp; Code Abbreviation'!$C$3:$C$245,MATCH('Post-AR Web Cancel Deflection'!B165,'Country &amp; Code Abbreviation'!$B$3:$B$245,0))</f>
        <v>PK</v>
      </c>
      <c r="D165" s="271" t="s">
        <v>643</v>
      </c>
      <c r="E165" s="271" t="s">
        <v>644</v>
      </c>
    </row>
    <row r="166" spans="2:5">
      <c r="B166" s="229" t="s">
        <v>240</v>
      </c>
      <c r="C166" s="274" t="str">
        <f>INDEX('Country &amp; Code Abbreviation'!$C$3:$C$245,MATCH('Post-AR Web Cancel Deflection'!B166,'Country &amp; Code Abbreviation'!$B$3:$B$245,0))</f>
        <v>PW</v>
      </c>
      <c r="D166" s="271" t="s">
        <v>643</v>
      </c>
      <c r="E166" s="271" t="s">
        <v>644</v>
      </c>
    </row>
    <row r="167" spans="2:5">
      <c r="B167" s="229" t="s">
        <v>241</v>
      </c>
      <c r="C167" s="274" t="str">
        <f>INDEX('Country &amp; Code Abbreviation'!$C$3:$C$245,MATCH('Post-AR Web Cancel Deflection'!B167,'Country &amp; Code Abbreviation'!$B$3:$B$245,0))</f>
        <v>PS</v>
      </c>
      <c r="D167" s="271" t="s">
        <v>643</v>
      </c>
      <c r="E167" s="271" t="s">
        <v>644</v>
      </c>
    </row>
    <row r="168" spans="2:5">
      <c r="B168" s="229" t="s">
        <v>242</v>
      </c>
      <c r="C168" s="274" t="str">
        <f>INDEX('Country &amp; Code Abbreviation'!$C$3:$C$245,MATCH('Post-AR Web Cancel Deflection'!B168,'Country &amp; Code Abbreviation'!$B$3:$B$245,0))</f>
        <v>PA</v>
      </c>
      <c r="D168" s="273" t="s">
        <v>646</v>
      </c>
      <c r="E168" s="271" t="s">
        <v>644</v>
      </c>
    </row>
    <row r="169" spans="2:5">
      <c r="B169" s="229" t="s">
        <v>243</v>
      </c>
      <c r="C169" s="274" t="str">
        <f>INDEX('Country &amp; Code Abbreviation'!$C$3:$C$245,MATCH('Post-AR Web Cancel Deflection'!B169,'Country &amp; Code Abbreviation'!$B$3:$B$245,0))</f>
        <v>PG</v>
      </c>
      <c r="D169" s="271" t="s">
        <v>643</v>
      </c>
      <c r="E169" s="271" t="s">
        <v>644</v>
      </c>
    </row>
    <row r="170" spans="2:5">
      <c r="B170" s="229" t="s">
        <v>244</v>
      </c>
      <c r="C170" s="274" t="str">
        <f>INDEX('Country &amp; Code Abbreviation'!$C$3:$C$245,MATCH('Post-AR Web Cancel Deflection'!B170,'Country &amp; Code Abbreviation'!$B$3:$B$245,0))</f>
        <v>PY</v>
      </c>
      <c r="D170" s="273" t="s">
        <v>646</v>
      </c>
      <c r="E170" s="271" t="s">
        <v>644</v>
      </c>
    </row>
    <row r="171" spans="2:5">
      <c r="B171" s="229" t="s">
        <v>245</v>
      </c>
      <c r="C171" s="274" t="str">
        <f>INDEX('Country &amp; Code Abbreviation'!$C$3:$C$245,MATCH('Post-AR Web Cancel Deflection'!B171,'Country &amp; Code Abbreviation'!$B$3:$B$245,0))</f>
        <v>PE</v>
      </c>
      <c r="D171" s="273" t="s">
        <v>646</v>
      </c>
      <c r="E171" s="271" t="s">
        <v>644</v>
      </c>
    </row>
    <row r="172" spans="2:5">
      <c r="B172" s="229" t="s">
        <v>246</v>
      </c>
      <c r="C172" s="274" t="str">
        <f>INDEX('Country &amp; Code Abbreviation'!$C$3:$C$245,MATCH('Post-AR Web Cancel Deflection'!B172,'Country &amp; Code Abbreviation'!$B$3:$B$245,0))</f>
        <v>PH</v>
      </c>
      <c r="D172" s="273" t="s">
        <v>646</v>
      </c>
      <c r="E172" s="271" t="s">
        <v>644</v>
      </c>
    </row>
    <row r="173" spans="2:5">
      <c r="B173" s="229" t="s">
        <v>247</v>
      </c>
      <c r="C173" s="274" t="str">
        <f>INDEX('Country &amp; Code Abbreviation'!$C$3:$C$245,MATCH('Post-AR Web Cancel Deflection'!B173,'Country &amp; Code Abbreviation'!$B$3:$B$245,0))</f>
        <v>PN</v>
      </c>
      <c r="D173" s="271" t="s">
        <v>643</v>
      </c>
      <c r="E173" s="271" t="s">
        <v>644</v>
      </c>
    </row>
    <row r="174" spans="2:5">
      <c r="B174" s="230" t="s">
        <v>248</v>
      </c>
      <c r="C174" s="274" t="str">
        <f>INDEX('Country &amp; Code Abbreviation'!$C$3:$C$245,MATCH('Post-AR Web Cancel Deflection'!B174,'Country &amp; Code Abbreviation'!$B$3:$B$245,0))</f>
        <v>PL</v>
      </c>
      <c r="D174" s="273" t="s">
        <v>646</v>
      </c>
      <c r="E174" s="271" t="s">
        <v>644</v>
      </c>
    </row>
    <row r="175" spans="2:5">
      <c r="B175" s="229" t="s">
        <v>249</v>
      </c>
      <c r="C175" s="274" t="str">
        <f>INDEX('Country &amp; Code Abbreviation'!$C$3:$C$245,MATCH('Post-AR Web Cancel Deflection'!B175,'Country &amp; Code Abbreviation'!$B$3:$B$245,0))</f>
        <v>PT</v>
      </c>
      <c r="D175" s="273" t="s">
        <v>646</v>
      </c>
      <c r="E175" s="271" t="s">
        <v>644</v>
      </c>
    </row>
    <row r="176" spans="2:5">
      <c r="B176" s="229" t="s">
        <v>250</v>
      </c>
      <c r="C176" s="274" t="str">
        <f>INDEX('Country &amp; Code Abbreviation'!$C$3:$C$245,MATCH('Post-AR Web Cancel Deflection'!B176,'Country &amp; Code Abbreviation'!$B$3:$B$245,0))</f>
        <v>QA</v>
      </c>
      <c r="D176" s="273" t="s">
        <v>646</v>
      </c>
      <c r="E176" s="271" t="s">
        <v>644</v>
      </c>
    </row>
    <row r="177" spans="2:5">
      <c r="B177" s="229" t="s">
        <v>251</v>
      </c>
      <c r="C177" s="274" t="str">
        <f>INDEX('Country &amp; Code Abbreviation'!$C$3:$C$245,MATCH('Post-AR Web Cancel Deflection'!B177,'Country &amp; Code Abbreviation'!$B$3:$B$245,0))</f>
        <v>RE</v>
      </c>
      <c r="D177" s="271" t="s">
        <v>643</v>
      </c>
      <c r="E177" s="271" t="s">
        <v>644</v>
      </c>
    </row>
    <row r="178" spans="2:5">
      <c r="B178" s="230" t="s">
        <v>252</v>
      </c>
      <c r="C178" s="274" t="str">
        <f>INDEX('Country &amp; Code Abbreviation'!$C$3:$C$245,MATCH('Post-AR Web Cancel Deflection'!B178,'Country &amp; Code Abbreviation'!$B$3:$B$245,0))</f>
        <v>RO</v>
      </c>
      <c r="D178" s="271" t="s">
        <v>643</v>
      </c>
      <c r="E178" s="271" t="s">
        <v>644</v>
      </c>
    </row>
    <row r="179" spans="2:5">
      <c r="B179" s="229" t="s">
        <v>254</v>
      </c>
      <c r="C179" s="274" t="str">
        <f>INDEX('Country &amp; Code Abbreviation'!$C$3:$C$245,MATCH('Post-AR Web Cancel Deflection'!B179,'Country &amp; Code Abbreviation'!$B$3:$B$245,0))</f>
        <v>RW</v>
      </c>
      <c r="D179" s="271" t="s">
        <v>643</v>
      </c>
      <c r="E179" s="271" t="s">
        <v>644</v>
      </c>
    </row>
    <row r="180" spans="2:5">
      <c r="B180" s="229" t="s">
        <v>255</v>
      </c>
      <c r="C180" s="274" t="str">
        <f>INDEX('Country &amp; Code Abbreviation'!$C$3:$C$245,MATCH('Post-AR Web Cancel Deflection'!B180,'Country &amp; Code Abbreviation'!$B$3:$B$245,0))</f>
        <v>MF</v>
      </c>
      <c r="D180" s="271" t="s">
        <v>643</v>
      </c>
      <c r="E180" s="271" t="s">
        <v>644</v>
      </c>
    </row>
    <row r="181" spans="2:5">
      <c r="B181" s="229" t="s">
        <v>256</v>
      </c>
      <c r="C181" s="274" t="str">
        <f>INDEX('Country &amp; Code Abbreviation'!$C$3:$C$245,MATCH('Post-AR Web Cancel Deflection'!B181,'Country &amp; Code Abbreviation'!$B$3:$B$245,0))</f>
        <v>WS</v>
      </c>
      <c r="D181" s="271" t="s">
        <v>643</v>
      </c>
      <c r="E181" s="271" t="s">
        <v>644</v>
      </c>
    </row>
    <row r="182" spans="2:5">
      <c r="B182" s="229" t="s">
        <v>257</v>
      </c>
      <c r="C182" s="274" t="str">
        <f>INDEX('Country &amp; Code Abbreviation'!$C$3:$C$245,MATCH('Post-AR Web Cancel Deflection'!B182,'Country &amp; Code Abbreviation'!$B$3:$B$245,0))</f>
        <v>SM</v>
      </c>
      <c r="D182" s="271" t="s">
        <v>643</v>
      </c>
      <c r="E182" s="271" t="s">
        <v>644</v>
      </c>
    </row>
    <row r="183" spans="2:5">
      <c r="B183" s="229" t="s">
        <v>258</v>
      </c>
      <c r="C183" s="274" t="str">
        <f>INDEX('Country &amp; Code Abbreviation'!$C$3:$C$245,MATCH('Post-AR Web Cancel Deflection'!B183,'Country &amp; Code Abbreviation'!$B$3:$B$245,0))</f>
        <v>ST</v>
      </c>
      <c r="D183" s="271" t="s">
        <v>643</v>
      </c>
      <c r="E183" s="271" t="s">
        <v>644</v>
      </c>
    </row>
    <row r="184" spans="2:5">
      <c r="B184" s="229" t="s">
        <v>259</v>
      </c>
      <c r="C184" s="274" t="str">
        <f>INDEX('Country &amp; Code Abbreviation'!$C$3:$C$245,MATCH('Post-AR Web Cancel Deflection'!B184,'Country &amp; Code Abbreviation'!$B$3:$B$245,0))</f>
        <v>SA</v>
      </c>
      <c r="D184" s="273" t="s">
        <v>646</v>
      </c>
      <c r="E184" s="271" t="s">
        <v>644</v>
      </c>
    </row>
    <row r="185" spans="2:5">
      <c r="B185" s="229" t="s">
        <v>260</v>
      </c>
      <c r="C185" s="274" t="str">
        <f>INDEX('Country &amp; Code Abbreviation'!$C$3:$C$245,MATCH('Post-AR Web Cancel Deflection'!B185,'Country &amp; Code Abbreviation'!$B$3:$B$245,0))</f>
        <v>SN</v>
      </c>
      <c r="D185" s="271" t="s">
        <v>643</v>
      </c>
      <c r="E185" s="271" t="s">
        <v>644</v>
      </c>
    </row>
    <row r="186" spans="2:5">
      <c r="B186" s="229" t="s">
        <v>261</v>
      </c>
      <c r="C186" s="274" t="str">
        <f>INDEX('Country &amp; Code Abbreviation'!$C$3:$C$245,MATCH('Post-AR Web Cancel Deflection'!B186,'Country &amp; Code Abbreviation'!$B$3:$B$245,0))</f>
        <v>RS</v>
      </c>
      <c r="D186" s="271" t="s">
        <v>643</v>
      </c>
      <c r="E186" s="271" t="s">
        <v>644</v>
      </c>
    </row>
    <row r="187" spans="2:5">
      <c r="B187" s="229" t="s">
        <v>262</v>
      </c>
      <c r="C187" s="274" t="str">
        <f>INDEX('Country &amp; Code Abbreviation'!$C$3:$C$245,MATCH('Post-AR Web Cancel Deflection'!B187,'Country &amp; Code Abbreviation'!$B$3:$B$245,0))</f>
        <v>SC</v>
      </c>
      <c r="D187" s="271" t="s">
        <v>643</v>
      </c>
      <c r="E187" s="271" t="s">
        <v>644</v>
      </c>
    </row>
    <row r="188" spans="2:5">
      <c r="B188" s="229" t="s">
        <v>263</v>
      </c>
      <c r="C188" s="274" t="str">
        <f>INDEX('Country &amp; Code Abbreviation'!$C$3:$C$245,MATCH('Post-AR Web Cancel Deflection'!B188,'Country &amp; Code Abbreviation'!$B$3:$B$245,0))</f>
        <v>SL</v>
      </c>
      <c r="D188" s="271" t="s">
        <v>643</v>
      </c>
      <c r="E188" s="271" t="s">
        <v>644</v>
      </c>
    </row>
    <row r="189" spans="2:5">
      <c r="B189" s="229" t="s">
        <v>264</v>
      </c>
      <c r="C189" s="274" t="str">
        <f>INDEX('Country &amp; Code Abbreviation'!$C$3:$C$245,MATCH('Post-AR Web Cancel Deflection'!B189,'Country &amp; Code Abbreviation'!$B$3:$B$245,0))</f>
        <v>SG</v>
      </c>
      <c r="D189" s="273" t="s">
        <v>646</v>
      </c>
      <c r="E189" s="271" t="s">
        <v>644</v>
      </c>
    </row>
    <row r="190" spans="2:5">
      <c r="B190" s="229" t="s">
        <v>265</v>
      </c>
      <c r="C190" s="274" t="str">
        <f>INDEX('Country &amp; Code Abbreviation'!$C$3:$C$245,MATCH('Post-AR Web Cancel Deflection'!B190,'Country &amp; Code Abbreviation'!$B$3:$B$245,0))</f>
        <v>SX</v>
      </c>
      <c r="D190" s="271" t="s">
        <v>643</v>
      </c>
      <c r="E190" s="271" t="s">
        <v>644</v>
      </c>
    </row>
    <row r="191" spans="2:5">
      <c r="B191" s="229" t="s">
        <v>266</v>
      </c>
      <c r="C191" s="274" t="str">
        <f>INDEX('Country &amp; Code Abbreviation'!$C$3:$C$245,MATCH('Post-AR Web Cancel Deflection'!B191,'Country &amp; Code Abbreviation'!$B$3:$B$245,0))</f>
        <v>SK</v>
      </c>
      <c r="D191" s="273" t="s">
        <v>646</v>
      </c>
      <c r="E191" s="271" t="s">
        <v>644</v>
      </c>
    </row>
    <row r="192" spans="2:5">
      <c r="B192" s="229" t="s">
        <v>267</v>
      </c>
      <c r="C192" s="274" t="str">
        <f>INDEX('Country &amp; Code Abbreviation'!$C$3:$C$245,MATCH('Post-AR Web Cancel Deflection'!B192,'Country &amp; Code Abbreviation'!$B$3:$B$245,0))</f>
        <v>SI</v>
      </c>
      <c r="D192" s="273" t="s">
        <v>646</v>
      </c>
      <c r="E192" s="271" t="s">
        <v>644</v>
      </c>
    </row>
    <row r="193" spans="2:5">
      <c r="B193" s="229" t="s">
        <v>268</v>
      </c>
      <c r="C193" s="274" t="str">
        <f>INDEX('Country &amp; Code Abbreviation'!$C$3:$C$245,MATCH('Post-AR Web Cancel Deflection'!B193,'Country &amp; Code Abbreviation'!$B$3:$B$245,0))</f>
        <v>SB</v>
      </c>
      <c r="D193" s="271" t="s">
        <v>643</v>
      </c>
      <c r="E193" s="271" t="s">
        <v>644</v>
      </c>
    </row>
    <row r="194" spans="2:5">
      <c r="B194" s="229" t="s">
        <v>269</v>
      </c>
      <c r="C194" s="274" t="str">
        <f>INDEX('Country &amp; Code Abbreviation'!$C$3:$C$245,MATCH('Post-AR Web Cancel Deflection'!B194,'Country &amp; Code Abbreviation'!$B$3:$B$245,0))</f>
        <v>SO</v>
      </c>
      <c r="D194" s="271" t="s">
        <v>643</v>
      </c>
      <c r="E194" s="271" t="s">
        <v>644</v>
      </c>
    </row>
    <row r="195" spans="2:5">
      <c r="B195" s="229" t="s">
        <v>271</v>
      </c>
      <c r="C195" s="274" t="str">
        <f>INDEX('Country &amp; Code Abbreviation'!$C$3:$C$245,MATCH('Post-AR Web Cancel Deflection'!B195,'Country &amp; Code Abbreviation'!$B$3:$B$245,0))</f>
        <v>ZA</v>
      </c>
      <c r="D195" s="271" t="s">
        <v>643</v>
      </c>
      <c r="E195" s="271" t="s">
        <v>644</v>
      </c>
    </row>
    <row r="196" spans="2:5">
      <c r="B196" s="229" t="s">
        <v>272</v>
      </c>
      <c r="C196" s="274" t="str">
        <f>INDEX('Country &amp; Code Abbreviation'!$C$3:$C$245,MATCH('Post-AR Web Cancel Deflection'!B196,'Country &amp; Code Abbreviation'!$B$3:$B$245,0))</f>
        <v>GS</v>
      </c>
      <c r="D196" s="271" t="s">
        <v>643</v>
      </c>
      <c r="E196" s="271" t="s">
        <v>644</v>
      </c>
    </row>
    <row r="197" spans="2:5">
      <c r="B197" s="229" t="s">
        <v>273</v>
      </c>
      <c r="C197" s="274" t="str">
        <f>INDEX('Country &amp; Code Abbreviation'!$C$3:$C$245,MATCH('Post-AR Web Cancel Deflection'!B197,'Country &amp; Code Abbreviation'!$B$3:$B$245,0))</f>
        <v>KR</v>
      </c>
      <c r="D197" s="273" t="s">
        <v>646</v>
      </c>
      <c r="E197" s="271" t="s">
        <v>644</v>
      </c>
    </row>
    <row r="198" spans="2:5">
      <c r="B198" s="229" t="s">
        <v>274</v>
      </c>
      <c r="C198" s="274" t="str">
        <f>INDEX('Country &amp; Code Abbreviation'!$C$3:$C$245,MATCH('Post-AR Web Cancel Deflection'!B198,'Country &amp; Code Abbreviation'!$B$3:$B$245,0))</f>
        <v>SS</v>
      </c>
      <c r="D198" s="271" t="s">
        <v>643</v>
      </c>
      <c r="E198" s="271" t="s">
        <v>644</v>
      </c>
    </row>
    <row r="199" spans="2:5">
      <c r="B199" s="230" t="s">
        <v>276</v>
      </c>
      <c r="C199" s="274" t="str">
        <f>INDEX('Country &amp; Code Abbreviation'!$C$3:$C$245,MATCH('Post-AR Web Cancel Deflection'!B199,'Country &amp; Code Abbreviation'!$B$3:$B$245,0))</f>
        <v>ES</v>
      </c>
      <c r="D199" s="273" t="s">
        <v>646</v>
      </c>
      <c r="E199" s="271" t="s">
        <v>644</v>
      </c>
    </row>
    <row r="200" spans="2:5">
      <c r="B200" s="229" t="s">
        <v>277</v>
      </c>
      <c r="C200" s="274" t="str">
        <f>INDEX('Country &amp; Code Abbreviation'!$C$3:$C$245,MATCH('Post-AR Web Cancel Deflection'!B200,'Country &amp; Code Abbreviation'!$B$3:$B$245,0))</f>
        <v>LK</v>
      </c>
      <c r="D200" s="273" t="s">
        <v>646</v>
      </c>
      <c r="E200" s="271" t="s">
        <v>644</v>
      </c>
    </row>
    <row r="201" spans="2:5">
      <c r="B201" s="229" t="s">
        <v>278</v>
      </c>
      <c r="C201" s="274" t="str">
        <f>INDEX('Country &amp; Code Abbreviation'!$C$3:$C$245,MATCH('Post-AR Web Cancel Deflection'!B201,'Country &amp; Code Abbreviation'!$B$3:$B$245,0))</f>
        <v>BL</v>
      </c>
      <c r="D201" s="271" t="s">
        <v>643</v>
      </c>
      <c r="E201" s="271" t="s">
        <v>644</v>
      </c>
    </row>
    <row r="202" spans="2:5">
      <c r="B202" s="229" t="s">
        <v>279</v>
      </c>
      <c r="C202" s="274" t="str">
        <f>INDEX('Country &amp; Code Abbreviation'!$C$3:$C$245,MATCH('Post-AR Web Cancel Deflection'!B202,'Country &amp; Code Abbreviation'!$B$3:$B$245,0))</f>
        <v>SH</v>
      </c>
      <c r="D202" s="271" t="s">
        <v>643</v>
      </c>
      <c r="E202" s="271" t="s">
        <v>644</v>
      </c>
    </row>
    <row r="203" spans="2:5">
      <c r="B203" s="229" t="s">
        <v>280</v>
      </c>
      <c r="C203" s="274" t="str">
        <f>INDEX('Country &amp; Code Abbreviation'!$C$3:$C$245,MATCH('Post-AR Web Cancel Deflection'!B203,'Country &amp; Code Abbreviation'!$B$3:$B$245,0))</f>
        <v>KN</v>
      </c>
      <c r="D203" s="271" t="s">
        <v>643</v>
      </c>
      <c r="E203" s="271" t="s">
        <v>644</v>
      </c>
    </row>
    <row r="204" spans="2:5">
      <c r="B204" s="229" t="s">
        <v>281</v>
      </c>
      <c r="C204" s="274" t="str">
        <f>INDEX('Country &amp; Code Abbreviation'!$C$3:$C$245,MATCH('Post-AR Web Cancel Deflection'!B204,'Country &amp; Code Abbreviation'!$B$3:$B$245,0))</f>
        <v>LC</v>
      </c>
      <c r="D204" s="271" t="s">
        <v>643</v>
      </c>
      <c r="E204" s="271" t="s">
        <v>644</v>
      </c>
    </row>
    <row r="205" spans="2:5">
      <c r="B205" s="229" t="s">
        <v>282</v>
      </c>
      <c r="C205" s="274" t="str">
        <f>INDEX('Country &amp; Code Abbreviation'!$C$3:$C$245,MATCH('Post-AR Web Cancel Deflection'!B205,'Country &amp; Code Abbreviation'!$B$3:$B$245,0))</f>
        <v>PM</v>
      </c>
      <c r="D205" s="271" t="s">
        <v>643</v>
      </c>
      <c r="E205" s="271" t="s">
        <v>644</v>
      </c>
    </row>
    <row r="206" spans="2:5">
      <c r="B206" s="229" t="s">
        <v>283</v>
      </c>
      <c r="C206" s="274" t="str">
        <f>INDEX('Country &amp; Code Abbreviation'!$C$3:$C$245,MATCH('Post-AR Web Cancel Deflection'!B206,'Country &amp; Code Abbreviation'!$B$3:$B$245,0))</f>
        <v>VC</v>
      </c>
      <c r="D206" s="271" t="s">
        <v>643</v>
      </c>
      <c r="E206" s="271" t="s">
        <v>644</v>
      </c>
    </row>
    <row r="207" spans="2:5">
      <c r="B207" s="229" t="s">
        <v>284</v>
      </c>
      <c r="C207" s="274" t="str">
        <f>INDEX('Country &amp; Code Abbreviation'!$C$3:$C$245,MATCH('Post-AR Web Cancel Deflection'!B207,'Country &amp; Code Abbreviation'!$B$3:$B$245,0))</f>
        <v>SD</v>
      </c>
      <c r="D207" s="271" t="s">
        <v>643</v>
      </c>
      <c r="E207" s="271" t="s">
        <v>644</v>
      </c>
    </row>
    <row r="208" spans="2:5">
      <c r="B208" s="229" t="s">
        <v>285</v>
      </c>
      <c r="C208" s="274" t="str">
        <f>INDEX('Country &amp; Code Abbreviation'!$C$3:$C$245,MATCH('Post-AR Web Cancel Deflection'!B208,'Country &amp; Code Abbreviation'!$B$3:$B$245,0))</f>
        <v>SR</v>
      </c>
      <c r="D208" s="271" t="s">
        <v>643</v>
      </c>
      <c r="E208" s="271" t="s">
        <v>644</v>
      </c>
    </row>
    <row r="209" spans="2:5">
      <c r="B209" s="229" t="s">
        <v>286</v>
      </c>
      <c r="C209" s="274" t="str">
        <f>INDEX('Country &amp; Code Abbreviation'!$C$3:$C$245,MATCH('Post-AR Web Cancel Deflection'!B209,'Country &amp; Code Abbreviation'!$B$3:$B$245,0))</f>
        <v>SJ</v>
      </c>
      <c r="D209" s="271" t="s">
        <v>643</v>
      </c>
      <c r="E209" s="271" t="s">
        <v>644</v>
      </c>
    </row>
    <row r="210" spans="2:5">
      <c r="B210" s="230" t="s">
        <v>287</v>
      </c>
      <c r="C210" s="274" t="str">
        <f>INDEX('Country &amp; Code Abbreviation'!$C$3:$C$245,MATCH('Post-AR Web Cancel Deflection'!B210,'Country &amp; Code Abbreviation'!$B$3:$B$245,0))</f>
        <v>SE</v>
      </c>
      <c r="D210" s="273" t="s">
        <v>646</v>
      </c>
      <c r="E210" s="271" t="s">
        <v>644</v>
      </c>
    </row>
    <row r="211" spans="2:5">
      <c r="B211" s="229" t="s">
        <v>288</v>
      </c>
      <c r="C211" s="274" t="str">
        <f>INDEX('Country &amp; Code Abbreviation'!$C$3:$C$245,MATCH('Post-AR Web Cancel Deflection'!B211,'Country &amp; Code Abbreviation'!$B$3:$B$245,0))</f>
        <v>CH</v>
      </c>
      <c r="D211" s="273" t="s">
        <v>646</v>
      </c>
      <c r="E211" s="271" t="s">
        <v>644</v>
      </c>
    </row>
    <row r="212" spans="2:5">
      <c r="B212" s="229" t="s">
        <v>290</v>
      </c>
      <c r="C212" s="274" t="str">
        <f>INDEX('Country &amp; Code Abbreviation'!$C$3:$C$245,MATCH('Post-AR Web Cancel Deflection'!B212,'Country &amp; Code Abbreviation'!$B$3:$B$245,0))</f>
        <v>TW</v>
      </c>
      <c r="D212" s="271" t="s">
        <v>643</v>
      </c>
      <c r="E212" s="271" t="s">
        <v>644</v>
      </c>
    </row>
    <row r="213" spans="2:5">
      <c r="B213" s="229" t="s">
        <v>291</v>
      </c>
      <c r="C213" s="274" t="str">
        <f>INDEX('Country &amp; Code Abbreviation'!$C$3:$C$245,MATCH('Post-AR Web Cancel Deflection'!B213,'Country &amp; Code Abbreviation'!$B$3:$B$245,0))</f>
        <v>TJ</v>
      </c>
      <c r="D213" s="271" t="s">
        <v>643</v>
      </c>
      <c r="E213" s="271" t="s">
        <v>644</v>
      </c>
    </row>
    <row r="214" spans="2:5">
      <c r="B214" s="229" t="s">
        <v>292</v>
      </c>
      <c r="C214" s="274" t="str">
        <f>INDEX('Country &amp; Code Abbreviation'!$C$3:$C$245,MATCH('Post-AR Web Cancel Deflection'!B214,'Country &amp; Code Abbreviation'!$B$3:$B$245,0))</f>
        <v>TZ</v>
      </c>
      <c r="D214" s="271" t="s">
        <v>643</v>
      </c>
      <c r="E214" s="271" t="s">
        <v>644</v>
      </c>
    </row>
    <row r="215" spans="2:5">
      <c r="B215" s="229" t="s">
        <v>293</v>
      </c>
      <c r="C215" s="274" t="str">
        <f>INDEX('Country &amp; Code Abbreviation'!$C$3:$C$245,MATCH('Post-AR Web Cancel Deflection'!B215,'Country &amp; Code Abbreviation'!$B$3:$B$245,0))</f>
        <v>TH</v>
      </c>
      <c r="D215" s="273" t="s">
        <v>646</v>
      </c>
      <c r="E215" s="271" t="s">
        <v>644</v>
      </c>
    </row>
    <row r="216" spans="2:5">
      <c r="B216" s="229" t="s">
        <v>294</v>
      </c>
      <c r="C216" s="274" t="str">
        <f>INDEX('Country &amp; Code Abbreviation'!$C$3:$C$245,MATCH('Post-AR Web Cancel Deflection'!B216,'Country &amp; Code Abbreviation'!$B$3:$B$245,0))</f>
        <v>TL</v>
      </c>
      <c r="D216" s="271" t="s">
        <v>643</v>
      </c>
      <c r="E216" s="271" t="s">
        <v>644</v>
      </c>
    </row>
    <row r="217" spans="2:5">
      <c r="B217" s="229" t="s">
        <v>295</v>
      </c>
      <c r="C217" s="274" t="str">
        <f>INDEX('Country &amp; Code Abbreviation'!$C$3:$C$245,MATCH('Post-AR Web Cancel Deflection'!B217,'Country &amp; Code Abbreviation'!$B$3:$B$245,0))</f>
        <v>TG</v>
      </c>
      <c r="D217" s="271" t="s">
        <v>643</v>
      </c>
      <c r="E217" s="271" t="s">
        <v>644</v>
      </c>
    </row>
    <row r="218" spans="2:5">
      <c r="B218" s="229" t="s">
        <v>296</v>
      </c>
      <c r="C218" s="274" t="str">
        <f>INDEX('Country &amp; Code Abbreviation'!$C$3:$C$245,MATCH('Post-AR Web Cancel Deflection'!B218,'Country &amp; Code Abbreviation'!$B$3:$B$245,0))</f>
        <v>TK</v>
      </c>
      <c r="D218" s="271" t="s">
        <v>643</v>
      </c>
      <c r="E218" s="271" t="s">
        <v>644</v>
      </c>
    </row>
    <row r="219" spans="2:5">
      <c r="B219" s="229" t="s">
        <v>297</v>
      </c>
      <c r="C219" s="274" t="str">
        <f>INDEX('Country &amp; Code Abbreviation'!$C$3:$C$245,MATCH('Post-AR Web Cancel Deflection'!B219,'Country &amp; Code Abbreviation'!$B$3:$B$245,0))</f>
        <v>TO</v>
      </c>
      <c r="D219" s="271" t="s">
        <v>643</v>
      </c>
      <c r="E219" s="271" t="s">
        <v>644</v>
      </c>
    </row>
    <row r="220" spans="2:5">
      <c r="B220" s="229" t="s">
        <v>298</v>
      </c>
      <c r="C220" s="274" t="str">
        <f>INDEX('Country &amp; Code Abbreviation'!$C$3:$C$245,MATCH('Post-AR Web Cancel Deflection'!B220,'Country &amp; Code Abbreviation'!$B$3:$B$245,0))</f>
        <v>TT</v>
      </c>
      <c r="D220" s="273" t="s">
        <v>646</v>
      </c>
      <c r="E220" s="271" t="s">
        <v>644</v>
      </c>
    </row>
    <row r="221" spans="2:5">
      <c r="B221" s="229" t="s">
        <v>299</v>
      </c>
      <c r="C221" s="274" t="str">
        <f>INDEX('Country &amp; Code Abbreviation'!$C$3:$C$245,MATCH('Post-AR Web Cancel Deflection'!B221,'Country &amp; Code Abbreviation'!$B$3:$B$245,0))</f>
        <v>TN</v>
      </c>
      <c r="D221" s="271" t="s">
        <v>643</v>
      </c>
      <c r="E221" s="271" t="s">
        <v>644</v>
      </c>
    </row>
    <row r="222" spans="2:5">
      <c r="B222" s="230" t="s">
        <v>300</v>
      </c>
      <c r="C222" s="274" t="str">
        <f>INDEX('Country &amp; Code Abbreviation'!$C$3:$C$245,MATCH('Post-AR Web Cancel Deflection'!B222,'Country &amp; Code Abbreviation'!$B$3:$B$245,0))</f>
        <v>TR</v>
      </c>
      <c r="D222" s="271" t="s">
        <v>643</v>
      </c>
      <c r="E222" s="271" t="s">
        <v>644</v>
      </c>
    </row>
    <row r="223" spans="2:5">
      <c r="B223" s="229" t="s">
        <v>301</v>
      </c>
      <c r="C223" s="274" t="str">
        <f>INDEX('Country &amp; Code Abbreviation'!$C$3:$C$245,MATCH('Post-AR Web Cancel Deflection'!B223,'Country &amp; Code Abbreviation'!$B$3:$B$245,0))</f>
        <v>TM</v>
      </c>
      <c r="D223" s="271" t="s">
        <v>643</v>
      </c>
      <c r="E223" s="271" t="s">
        <v>644</v>
      </c>
    </row>
    <row r="224" spans="2:5">
      <c r="B224" s="229" t="s">
        <v>302</v>
      </c>
      <c r="C224" s="274" t="str">
        <f>INDEX('Country &amp; Code Abbreviation'!$C$3:$C$245,MATCH('Post-AR Web Cancel Deflection'!B224,'Country &amp; Code Abbreviation'!$B$3:$B$245,0))</f>
        <v>TC</v>
      </c>
      <c r="D224" s="271" t="s">
        <v>643</v>
      </c>
      <c r="E224" s="271" t="s">
        <v>644</v>
      </c>
    </row>
    <row r="225" spans="2:5">
      <c r="B225" s="229" t="s">
        <v>303</v>
      </c>
      <c r="C225" s="274" t="str">
        <f>INDEX('Country &amp; Code Abbreviation'!$C$3:$C$245,MATCH('Post-AR Web Cancel Deflection'!B225,'Country &amp; Code Abbreviation'!$B$3:$B$245,0))</f>
        <v>TV</v>
      </c>
      <c r="D225" s="271" t="s">
        <v>643</v>
      </c>
      <c r="E225" s="271" t="s">
        <v>644</v>
      </c>
    </row>
    <row r="226" spans="2:5">
      <c r="B226" s="229" t="s">
        <v>304</v>
      </c>
      <c r="C226" s="274" t="str">
        <f>INDEX('Country &amp; Code Abbreviation'!$C$3:$C$245,MATCH('Post-AR Web Cancel Deflection'!B226,'Country &amp; Code Abbreviation'!$B$3:$B$245,0))</f>
        <v>UG</v>
      </c>
      <c r="D226" s="271" t="s">
        <v>643</v>
      </c>
      <c r="E226" s="271" t="s">
        <v>644</v>
      </c>
    </row>
    <row r="227" spans="2:5">
      <c r="B227" s="229" t="s">
        <v>305</v>
      </c>
      <c r="C227" s="274" t="str">
        <f>INDEX('Country &amp; Code Abbreviation'!$C$3:$C$245,MATCH('Post-AR Web Cancel Deflection'!B227,'Country &amp; Code Abbreviation'!$B$3:$B$245,0))</f>
        <v>UA</v>
      </c>
      <c r="D227" s="273" t="s">
        <v>646</v>
      </c>
      <c r="E227" s="271" t="s">
        <v>644</v>
      </c>
    </row>
    <row r="228" spans="2:5">
      <c r="B228" s="229" t="s">
        <v>306</v>
      </c>
      <c r="C228" s="274" t="str">
        <f>INDEX('Country &amp; Code Abbreviation'!$C$3:$C$245,MATCH('Post-AR Web Cancel Deflection'!B228,'Country &amp; Code Abbreviation'!$B$3:$B$245,0))</f>
        <v>AE</v>
      </c>
      <c r="D228" s="273" t="s">
        <v>646</v>
      </c>
      <c r="E228" s="271" t="s">
        <v>644</v>
      </c>
    </row>
    <row r="229" spans="2:5">
      <c r="B229" s="230" t="s">
        <v>307</v>
      </c>
      <c r="C229" s="274" t="str">
        <f>INDEX('Country &amp; Code Abbreviation'!$C$3:$C$245,MATCH('Post-AR Web Cancel Deflection'!B229,'Country &amp; Code Abbreviation'!$B$3:$B$245,0))</f>
        <v>GB</v>
      </c>
      <c r="D229" s="273" t="s">
        <v>646</v>
      </c>
      <c r="E229" s="271" t="s">
        <v>644</v>
      </c>
    </row>
    <row r="230" spans="2:5">
      <c r="B230" s="230" t="s">
        <v>46</v>
      </c>
      <c r="C230" s="274" t="str">
        <f>INDEX('Country &amp; Code Abbreviation'!$C$3:$C$245,MATCH('Post-AR Web Cancel Deflection'!B230,'Country &amp; Code Abbreviation'!$B$3:$B$245,0))</f>
        <v>US</v>
      </c>
      <c r="D230" s="273" t="s">
        <v>646</v>
      </c>
      <c r="E230" s="271" t="s">
        <v>644</v>
      </c>
    </row>
    <row r="231" spans="2:5">
      <c r="B231" s="229" t="s">
        <v>308</v>
      </c>
      <c r="C231" s="274" t="str">
        <f>INDEX('Country &amp; Code Abbreviation'!$C$3:$C$245,MATCH('Post-AR Web Cancel Deflection'!B231,'Country &amp; Code Abbreviation'!$B$3:$B$245,0))</f>
        <v>UY</v>
      </c>
      <c r="D231" s="273" t="s">
        <v>646</v>
      </c>
      <c r="E231" s="271" t="s">
        <v>644</v>
      </c>
    </row>
    <row r="232" spans="2:5">
      <c r="B232" s="229" t="s">
        <v>309</v>
      </c>
      <c r="C232" s="274" t="str">
        <f>INDEX('Country &amp; Code Abbreviation'!$C$3:$C$245,MATCH('Post-AR Web Cancel Deflection'!B232,'Country &amp; Code Abbreviation'!$B$3:$B$245,0))</f>
        <v>UZ</v>
      </c>
      <c r="D232" s="271" t="s">
        <v>643</v>
      </c>
      <c r="E232" s="271" t="s">
        <v>644</v>
      </c>
    </row>
    <row r="233" spans="2:5">
      <c r="B233" s="229" t="s">
        <v>310</v>
      </c>
      <c r="C233" s="274" t="str">
        <f>INDEX('Country &amp; Code Abbreviation'!$C$3:$C$245,MATCH('Post-AR Web Cancel Deflection'!B233,'Country &amp; Code Abbreviation'!$B$3:$B$245,0))</f>
        <v>VU</v>
      </c>
      <c r="D233" s="271" t="s">
        <v>643</v>
      </c>
      <c r="E233" s="271" t="s">
        <v>644</v>
      </c>
    </row>
    <row r="234" spans="2:5">
      <c r="B234" s="229" t="s">
        <v>311</v>
      </c>
      <c r="C234" s="274" t="str">
        <f>INDEX('Country &amp; Code Abbreviation'!$C$3:$C$245,MATCH('Post-AR Web Cancel Deflection'!B234,'Country &amp; Code Abbreviation'!$B$3:$B$245,0))</f>
        <v>VA</v>
      </c>
      <c r="D234" s="271" t="s">
        <v>643</v>
      </c>
      <c r="E234" s="271" t="s">
        <v>644</v>
      </c>
    </row>
    <row r="235" spans="2:5">
      <c r="B235" s="229" t="s">
        <v>312</v>
      </c>
      <c r="C235" s="274" t="str">
        <f>INDEX('Country &amp; Code Abbreviation'!$C$3:$C$245,MATCH('Post-AR Web Cancel Deflection'!B235,'Country &amp; Code Abbreviation'!$B$3:$B$245,0))</f>
        <v>VE</v>
      </c>
      <c r="D235" s="271" t="s">
        <v>643</v>
      </c>
      <c r="E235" s="271" t="s">
        <v>644</v>
      </c>
    </row>
    <row r="236" spans="2:5">
      <c r="B236" s="229" t="s">
        <v>313</v>
      </c>
      <c r="C236" s="274" t="str">
        <f>INDEX('Country &amp; Code Abbreviation'!$C$3:$C$245,MATCH('Post-AR Web Cancel Deflection'!B236,'Country &amp; Code Abbreviation'!$B$3:$B$245,0))</f>
        <v>VN</v>
      </c>
      <c r="D236" s="273" t="s">
        <v>646</v>
      </c>
      <c r="E236" s="271" t="s">
        <v>644</v>
      </c>
    </row>
    <row r="237" spans="2:5">
      <c r="B237" s="229" t="s">
        <v>314</v>
      </c>
      <c r="C237" s="274" t="str">
        <f>INDEX('Country &amp; Code Abbreviation'!$C$3:$C$245,MATCH('Post-AR Web Cancel Deflection'!B237,'Country &amp; Code Abbreviation'!$B$3:$B$245,0))</f>
        <v>WF</v>
      </c>
      <c r="D237" s="271" t="s">
        <v>643</v>
      </c>
      <c r="E237" s="271" t="s">
        <v>644</v>
      </c>
    </row>
    <row r="238" spans="2:5">
      <c r="B238" s="229" t="s">
        <v>315</v>
      </c>
      <c r="C238" s="274" t="str">
        <f>INDEX('Country &amp; Code Abbreviation'!$C$3:$C$245,MATCH('Post-AR Web Cancel Deflection'!B238,'Country &amp; Code Abbreviation'!$B$3:$B$245,0))</f>
        <v>EH</v>
      </c>
      <c r="D238" s="271" t="s">
        <v>643</v>
      </c>
      <c r="E238" s="271" t="s">
        <v>644</v>
      </c>
    </row>
    <row r="239" spans="2:5">
      <c r="B239" s="229" t="s">
        <v>316</v>
      </c>
      <c r="C239" s="274" t="str">
        <f>INDEX('Country &amp; Code Abbreviation'!$C$3:$C$245,MATCH('Post-AR Web Cancel Deflection'!B239,'Country &amp; Code Abbreviation'!$B$3:$B$245,0))</f>
        <v>YE</v>
      </c>
      <c r="D239" s="271" t="s">
        <v>643</v>
      </c>
      <c r="E239" s="271" t="s">
        <v>644</v>
      </c>
    </row>
    <row r="240" spans="2:5">
      <c r="B240" s="229" t="s">
        <v>317</v>
      </c>
      <c r="C240" s="274" t="str">
        <f>INDEX('Country &amp; Code Abbreviation'!$C$3:$C$245,MATCH('Post-AR Web Cancel Deflection'!B240,'Country &amp; Code Abbreviation'!$B$3:$B$245,0))</f>
        <v>ZM</v>
      </c>
      <c r="D240" s="271" t="s">
        <v>643</v>
      </c>
      <c r="E240" s="271" t="s">
        <v>644</v>
      </c>
    </row>
    <row r="241" spans="2:5">
      <c r="B241" s="229" t="s">
        <v>318</v>
      </c>
      <c r="C241" s="274" t="str">
        <f>INDEX('Country &amp; Code Abbreviation'!$C$3:$C$245,MATCH('Post-AR Web Cancel Deflection'!B241,'Country &amp; Code Abbreviation'!$B$3:$B$245,0))</f>
        <v>ZW</v>
      </c>
      <c r="D241" s="271" t="s">
        <v>643</v>
      </c>
      <c r="E241" s="271" t="s">
        <v>644</v>
      </c>
    </row>
    <row r="1048419" spans="5:5" ht="13">
      <c r="E1048419" s="228"/>
    </row>
    <row r="1048420" spans="5:5">
      <c r="E1048420" s="272"/>
    </row>
    <row r="1048421" spans="5:5">
      <c r="E1048421" s="272"/>
    </row>
    <row r="1048422" spans="5:5">
      <c r="E1048422" s="272"/>
    </row>
    <row r="1048423" spans="5:5">
      <c r="E1048423" s="272"/>
    </row>
    <row r="1048424" spans="5:5">
      <c r="E1048424" s="272"/>
    </row>
    <row r="1048425" spans="5:5">
      <c r="E1048425" s="272"/>
    </row>
    <row r="1048426" spans="5:5">
      <c r="E1048426" s="272"/>
    </row>
    <row r="1048427" spans="5:5">
      <c r="E1048427" s="272"/>
    </row>
    <row r="1048428" spans="5:5">
      <c r="E1048428" s="272"/>
    </row>
    <row r="1048429" spans="5:5">
      <c r="E1048429" s="272"/>
    </row>
    <row r="1048430" spans="5:5">
      <c r="E1048430" s="272"/>
    </row>
    <row r="1048431" spans="5:5">
      <c r="E1048431" s="272"/>
    </row>
    <row r="1048432" spans="5:5">
      <c r="E1048432" s="272"/>
    </row>
    <row r="1048433" spans="5:5">
      <c r="E1048433" s="272"/>
    </row>
    <row r="1048434" spans="5:5">
      <c r="E1048434" s="272"/>
    </row>
    <row r="1048435" spans="5:5">
      <c r="E1048435" s="272"/>
    </row>
    <row r="1048436" spans="5:5">
      <c r="E1048436" s="272"/>
    </row>
    <row r="1048437" spans="5:5">
      <c r="E1048437" s="272"/>
    </row>
    <row r="1048438" spans="5:5">
      <c r="E1048438" s="272"/>
    </row>
    <row r="1048439" spans="5:5">
      <c r="E1048439" s="272"/>
    </row>
    <row r="1048440" spans="5:5">
      <c r="E1048440" s="272"/>
    </row>
    <row r="1048441" spans="5:5">
      <c r="E1048441" s="272"/>
    </row>
    <row r="1048442" spans="5:5">
      <c r="E1048442" s="272"/>
    </row>
    <row r="1048443" spans="5:5">
      <c r="E1048443" s="272"/>
    </row>
    <row r="1048444" spans="5:5">
      <c r="E1048444" s="272"/>
    </row>
    <row r="1048445" spans="5:5">
      <c r="E1048445" s="272"/>
    </row>
    <row r="1048446" spans="5:5">
      <c r="E1048446" s="272"/>
    </row>
    <row r="1048447" spans="5:5">
      <c r="E1048447" s="272"/>
    </row>
    <row r="1048448" spans="5:5">
      <c r="E1048448" s="272"/>
    </row>
    <row r="1048449" spans="5:5">
      <c r="E1048449" s="272"/>
    </row>
    <row r="1048450" spans="5:5">
      <c r="E1048450" s="272"/>
    </row>
    <row r="1048451" spans="5:5">
      <c r="E1048451" s="272"/>
    </row>
    <row r="1048452" spans="5:5">
      <c r="E1048452" s="272"/>
    </row>
    <row r="1048453" spans="5:5">
      <c r="E1048453" s="272"/>
    </row>
    <row r="1048454" spans="5:5">
      <c r="E1048454" s="272"/>
    </row>
    <row r="1048455" spans="5:5">
      <c r="E1048455" s="272"/>
    </row>
    <row r="1048456" spans="5:5">
      <c r="E1048456" s="272"/>
    </row>
    <row r="1048457" spans="5:5">
      <c r="E1048457" s="272"/>
    </row>
    <row r="1048458" spans="5:5">
      <c r="E1048458" s="272"/>
    </row>
    <row r="1048459" spans="5:5">
      <c r="E1048459" s="272"/>
    </row>
    <row r="1048460" spans="5:5">
      <c r="E1048460" s="272"/>
    </row>
    <row r="1048461" spans="5:5">
      <c r="E1048461" s="272"/>
    </row>
    <row r="1048462" spans="5:5">
      <c r="E1048462" s="272"/>
    </row>
    <row r="1048463" spans="5:5">
      <c r="E1048463" s="272"/>
    </row>
    <row r="1048464" spans="5:5">
      <c r="E1048464" s="272"/>
    </row>
    <row r="1048465" spans="5:5">
      <c r="E1048465" s="272"/>
    </row>
    <row r="1048466" spans="5:5">
      <c r="E1048466" s="272"/>
    </row>
    <row r="1048467" spans="5:5">
      <c r="E1048467" s="272"/>
    </row>
    <row r="1048468" spans="5:5">
      <c r="E1048468" s="272"/>
    </row>
    <row r="1048469" spans="5:5">
      <c r="E1048469" s="272"/>
    </row>
    <row r="1048470" spans="5:5">
      <c r="E1048470" s="272"/>
    </row>
    <row r="1048471" spans="5:5">
      <c r="E1048471" s="272"/>
    </row>
    <row r="1048472" spans="5:5">
      <c r="E1048472" s="272"/>
    </row>
    <row r="1048473" spans="5:5">
      <c r="E1048473" s="272"/>
    </row>
    <row r="1048474" spans="5:5">
      <c r="E1048474" s="272"/>
    </row>
    <row r="1048475" spans="5:5">
      <c r="E1048475" s="272"/>
    </row>
    <row r="1048476" spans="5:5">
      <c r="E1048476" s="272"/>
    </row>
    <row r="1048477" spans="5:5">
      <c r="E1048477" s="272"/>
    </row>
    <row r="1048478" spans="5:5">
      <c r="E1048478" s="272"/>
    </row>
    <row r="1048479" spans="5:5">
      <c r="E1048479" s="272"/>
    </row>
    <row r="1048480" spans="5:5">
      <c r="E1048480" s="272"/>
    </row>
    <row r="1048481" spans="5:5">
      <c r="E1048481" s="272"/>
    </row>
    <row r="1048482" spans="5:5">
      <c r="E1048482" s="272"/>
    </row>
    <row r="1048483" spans="5:5">
      <c r="E1048483" s="272"/>
    </row>
    <row r="1048484" spans="5:5">
      <c r="E1048484" s="272"/>
    </row>
    <row r="1048485" spans="5:5">
      <c r="E1048485" s="272"/>
    </row>
    <row r="1048486" spans="5:5">
      <c r="E1048486" s="272"/>
    </row>
    <row r="1048487" spans="5:5">
      <c r="E1048487" s="272"/>
    </row>
    <row r="1048488" spans="5:5">
      <c r="E1048488" s="272"/>
    </row>
    <row r="1048489" spans="5:5">
      <c r="E1048489" s="272"/>
    </row>
    <row r="1048490" spans="5:5">
      <c r="E1048490" s="272"/>
    </row>
    <row r="1048491" spans="5:5">
      <c r="E1048491" s="272"/>
    </row>
    <row r="1048492" spans="5:5">
      <c r="E1048492" s="272"/>
    </row>
    <row r="1048493" spans="5:5">
      <c r="E1048493" s="272"/>
    </row>
    <row r="1048494" spans="5:5">
      <c r="E1048494" s="272"/>
    </row>
    <row r="1048495" spans="5:5">
      <c r="E1048495" s="272"/>
    </row>
    <row r="1048496" spans="5:5">
      <c r="E1048496" s="272"/>
    </row>
    <row r="1048497" spans="5:5">
      <c r="E1048497" s="272"/>
    </row>
    <row r="1048498" spans="5:5">
      <c r="E1048498" s="272"/>
    </row>
    <row r="1048499" spans="5:5">
      <c r="E1048499" s="272"/>
    </row>
  </sheetData>
  <autoFilter ref="B2:E2" xr:uid="{A3474A61-B4FB-4A53-BC0D-3AB2B9742EEA}"/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AD67-5389-4626-B42A-5159A638320F}">
  <sheetPr filterMode="1">
    <tabColor rgb="FFFFFF00"/>
  </sheetPr>
  <dimension ref="B1:K174"/>
  <sheetViews>
    <sheetView topLeftCell="A54" zoomScaleNormal="100" workbookViewId="0"/>
  </sheetViews>
  <sheetFormatPr defaultRowHeight="12.5"/>
  <cols>
    <col min="1" max="1" width="1.6328125" customWidth="1"/>
    <col min="2" max="2" width="28" bestFit="1" customWidth="1"/>
    <col min="3" max="3" width="19.6328125" bestFit="1" customWidth="1"/>
    <col min="4" max="4" width="19.6328125" customWidth="1"/>
    <col min="5" max="5" width="19.54296875" bestFit="1" customWidth="1"/>
    <col min="6" max="6" width="12.36328125" bestFit="1" customWidth="1"/>
    <col min="7" max="7" width="19.6328125" bestFit="1" customWidth="1"/>
    <col min="8" max="8" width="12.36328125" bestFit="1" customWidth="1"/>
    <col min="9" max="9" width="27" bestFit="1" customWidth="1"/>
    <col min="10" max="10" width="15.54296875" customWidth="1"/>
  </cols>
  <sheetData>
    <row r="1" spans="2:11">
      <c r="E1">
        <v>4</v>
      </c>
      <c r="F1">
        <v>5</v>
      </c>
      <c r="G1">
        <v>6</v>
      </c>
      <c r="H1">
        <v>7</v>
      </c>
    </row>
    <row r="2" spans="2:11" s="41" customFormat="1" ht="13">
      <c r="B2" s="278" t="s">
        <v>31</v>
      </c>
      <c r="C2" s="265" t="s">
        <v>361</v>
      </c>
      <c r="D2" s="265" t="s">
        <v>359</v>
      </c>
      <c r="E2" s="168" t="s">
        <v>56</v>
      </c>
      <c r="F2" s="204" t="s">
        <v>57</v>
      </c>
      <c r="G2" s="168" t="s">
        <v>58</v>
      </c>
      <c r="H2" s="204" t="s">
        <v>55</v>
      </c>
      <c r="I2" s="265" t="s">
        <v>647</v>
      </c>
    </row>
    <row r="3" spans="2:11" hidden="1">
      <c r="B3" s="163" t="s">
        <v>70</v>
      </c>
      <c r="C3" s="164" t="s">
        <v>346</v>
      </c>
      <c r="D3" s="275" t="str">
        <f>INDEX('Country &amp; Code Abbreviation'!$D$3:$D$245,MATCH('Cancel Deflection - Apple'!B3,'Country &amp; Code Abbreviation'!$B$3:$B$245,0))</f>
        <v>AFG</v>
      </c>
      <c r="E3" s="238">
        <v>0</v>
      </c>
      <c r="F3" s="237" t="s">
        <v>648</v>
      </c>
      <c r="G3" s="238">
        <v>0</v>
      </c>
      <c r="H3" s="237" t="s">
        <v>648</v>
      </c>
      <c r="I3" s="25" t="s">
        <v>649</v>
      </c>
    </row>
    <row r="4" spans="2:11" hidden="1">
      <c r="B4" s="163" t="s">
        <v>73</v>
      </c>
      <c r="C4" s="164" t="s">
        <v>346</v>
      </c>
      <c r="D4" s="275" t="str">
        <f>INDEX('Country &amp; Code Abbreviation'!$D$3:$D$245,MATCH('Cancel Deflection - Apple'!B4,'Country &amp; Code Abbreviation'!$B$3:$B$245,0))</f>
        <v>ALB</v>
      </c>
      <c r="E4" s="238">
        <v>0</v>
      </c>
      <c r="F4" s="237" t="s">
        <v>648</v>
      </c>
      <c r="G4" s="238">
        <v>0</v>
      </c>
      <c r="H4" s="237" t="s">
        <v>648</v>
      </c>
      <c r="I4" s="25" t="s">
        <v>649</v>
      </c>
    </row>
    <row r="5" spans="2:11" hidden="1">
      <c r="B5" s="163" t="s">
        <v>74</v>
      </c>
      <c r="C5" s="164" t="s">
        <v>346</v>
      </c>
      <c r="D5" s="275" t="str">
        <f>INDEX('Country &amp; Code Abbreviation'!$D$3:$D$245,MATCH('Cancel Deflection - Apple'!B5,'Country &amp; Code Abbreviation'!$B$3:$B$245,0))</f>
        <v>DZA</v>
      </c>
      <c r="E5" s="238">
        <v>0</v>
      </c>
      <c r="F5" s="237" t="s">
        <v>648</v>
      </c>
      <c r="G5" s="238">
        <v>0</v>
      </c>
      <c r="H5" s="237" t="s">
        <v>648</v>
      </c>
      <c r="I5" s="25" t="s">
        <v>649</v>
      </c>
    </row>
    <row r="6" spans="2:11" ht="13" hidden="1">
      <c r="B6" s="163" t="s">
        <v>77</v>
      </c>
      <c r="C6" s="164" t="s">
        <v>346</v>
      </c>
      <c r="D6" s="275" t="str">
        <f>INDEX('Country &amp; Code Abbreviation'!$D$3:$D$245,MATCH('Cancel Deflection - Apple'!B6,'Country &amp; Code Abbreviation'!$B$3:$B$245,0))</f>
        <v>AGO</v>
      </c>
      <c r="E6" s="238">
        <v>0</v>
      </c>
      <c r="F6" s="237" t="s">
        <v>648</v>
      </c>
      <c r="G6" s="238">
        <v>0</v>
      </c>
      <c r="H6" s="237" t="s">
        <v>648</v>
      </c>
      <c r="I6" s="25" t="s">
        <v>649</v>
      </c>
      <c r="K6" s="264"/>
    </row>
    <row r="7" spans="2:11" ht="13" hidden="1">
      <c r="B7" s="163" t="s">
        <v>78</v>
      </c>
      <c r="C7" s="164" t="s">
        <v>346</v>
      </c>
      <c r="D7" s="275" t="str">
        <f>INDEX('Country &amp; Code Abbreviation'!$D$3:$D$245,MATCH('Cancel Deflection - Apple'!B7,'Country &amp; Code Abbreviation'!$B$3:$B$245,0))</f>
        <v>AIA</v>
      </c>
      <c r="E7" s="238">
        <v>0</v>
      </c>
      <c r="F7" s="237" t="s">
        <v>648</v>
      </c>
      <c r="G7" s="238">
        <v>0</v>
      </c>
      <c r="H7" s="237" t="s">
        <v>648</v>
      </c>
      <c r="I7" s="25" t="s">
        <v>649</v>
      </c>
      <c r="K7" s="264"/>
    </row>
    <row r="8" spans="2:11" ht="13" hidden="1">
      <c r="B8" s="163" t="s">
        <v>365</v>
      </c>
      <c r="C8" s="164" t="s">
        <v>346</v>
      </c>
      <c r="D8" s="275" t="str">
        <f>INDEX('Country &amp; Code Abbreviation'!$D$3:$D$245,MATCH('Cancel Deflection - Apple'!B8,'Country &amp; Code Abbreviation'!$B$3:$B$245,0))</f>
        <v>ATG</v>
      </c>
      <c r="E8" s="238">
        <v>0</v>
      </c>
      <c r="F8" s="237" t="s">
        <v>648</v>
      </c>
      <c r="G8" s="238">
        <v>0</v>
      </c>
      <c r="H8" s="237" t="s">
        <v>648</v>
      </c>
      <c r="I8" s="25" t="s">
        <v>649</v>
      </c>
      <c r="K8" s="264"/>
    </row>
    <row r="9" spans="2:11" hidden="1">
      <c r="B9" s="163" t="s">
        <v>81</v>
      </c>
      <c r="C9" s="164" t="s">
        <v>346</v>
      </c>
      <c r="D9" s="275" t="str">
        <f>INDEX('Country &amp; Code Abbreviation'!$D$3:$D$245,MATCH('Cancel Deflection - Apple'!B9,'Country &amp; Code Abbreviation'!$B$3:$B$245,0))</f>
        <v>ARG</v>
      </c>
      <c r="E9" s="238">
        <v>0</v>
      </c>
      <c r="F9" s="237" t="s">
        <v>648</v>
      </c>
      <c r="G9" s="238">
        <v>0</v>
      </c>
      <c r="H9" s="237" t="s">
        <v>648</v>
      </c>
      <c r="I9" s="25" t="s">
        <v>649</v>
      </c>
    </row>
    <row r="10" spans="2:11" ht="13" hidden="1">
      <c r="B10" s="163" t="s">
        <v>82</v>
      </c>
      <c r="C10" s="164" t="s">
        <v>346</v>
      </c>
      <c r="D10" s="275" t="str">
        <f>INDEX('Country &amp; Code Abbreviation'!$D$3:$D$245,MATCH('Cancel Deflection - Apple'!B10,'Country &amp; Code Abbreviation'!$B$3:$B$245,0))</f>
        <v>ARM</v>
      </c>
      <c r="E10" s="238">
        <v>0</v>
      </c>
      <c r="F10" s="237" t="s">
        <v>648</v>
      </c>
      <c r="G10" s="238">
        <v>0</v>
      </c>
      <c r="H10" s="237" t="s">
        <v>648</v>
      </c>
      <c r="I10" s="25" t="s">
        <v>649</v>
      </c>
      <c r="K10" s="264"/>
    </row>
    <row r="11" spans="2:11">
      <c r="B11" s="163" t="s">
        <v>84</v>
      </c>
      <c r="C11" s="164" t="s">
        <v>367</v>
      </c>
      <c r="D11" s="275" t="str">
        <f>INDEX('Country &amp; Code Abbreviation'!$D$3:$D$245,MATCH('Cancel Deflection - Apple'!B11,'Country &amp; Code Abbreviation'!$B$3:$B$245,0))</f>
        <v>AUS</v>
      </c>
      <c r="E11" s="237" t="s">
        <v>648</v>
      </c>
      <c r="F11" s="237" t="s">
        <v>648</v>
      </c>
      <c r="G11" s="237" t="s">
        <v>648</v>
      </c>
      <c r="H11" s="237" t="s">
        <v>648</v>
      </c>
      <c r="I11" s="25" t="s">
        <v>650</v>
      </c>
    </row>
    <row r="12" spans="2:11">
      <c r="B12" s="163" t="s">
        <v>85</v>
      </c>
      <c r="C12" s="164" t="s">
        <v>368</v>
      </c>
      <c r="D12" s="275" t="str">
        <f>INDEX('Country &amp; Code Abbreviation'!$D$3:$D$245,MATCH('Cancel Deflection - Apple'!B12,'Country &amp; Code Abbreviation'!$B$3:$B$245,0))</f>
        <v>AUT</v>
      </c>
      <c r="E12" s="237" t="s">
        <v>648</v>
      </c>
      <c r="F12" s="237" t="s">
        <v>648</v>
      </c>
      <c r="G12" s="237" t="s">
        <v>648</v>
      </c>
      <c r="H12" s="237" t="s">
        <v>648</v>
      </c>
      <c r="I12" s="25" t="s">
        <v>650</v>
      </c>
    </row>
    <row r="13" spans="2:11" hidden="1">
      <c r="B13" s="163" t="s">
        <v>86</v>
      </c>
      <c r="C13" s="164" t="s">
        <v>346</v>
      </c>
      <c r="D13" s="275" t="str">
        <f>INDEX('Country &amp; Code Abbreviation'!$D$3:$D$245,MATCH('Cancel Deflection - Apple'!B13,'Country &amp; Code Abbreviation'!$B$3:$B$245,0))</f>
        <v>AZE</v>
      </c>
      <c r="E13" s="238">
        <v>0</v>
      </c>
      <c r="F13" s="237" t="s">
        <v>648</v>
      </c>
      <c r="G13" s="238">
        <v>0</v>
      </c>
      <c r="H13" s="237" t="s">
        <v>648</v>
      </c>
      <c r="I13" s="25" t="s">
        <v>649</v>
      </c>
    </row>
    <row r="14" spans="2:11">
      <c r="B14" s="163" t="s">
        <v>87</v>
      </c>
      <c r="C14" s="164" t="s">
        <v>346</v>
      </c>
      <c r="D14" s="275" t="str">
        <f>INDEX('Country &amp; Code Abbreviation'!$D$3:$D$245,MATCH('Cancel Deflection - Apple'!B14,'Country &amp; Code Abbreviation'!$B$3:$B$245,0))</f>
        <v>BHS</v>
      </c>
      <c r="E14" s="237" t="s">
        <v>648</v>
      </c>
      <c r="F14" s="237" t="s">
        <v>648</v>
      </c>
      <c r="G14" s="237" t="s">
        <v>648</v>
      </c>
      <c r="H14" s="237" t="s">
        <v>648</v>
      </c>
      <c r="I14" s="25" t="s">
        <v>650</v>
      </c>
    </row>
    <row r="15" spans="2:11">
      <c r="B15" s="163" t="s">
        <v>88</v>
      </c>
      <c r="C15" s="164" t="s">
        <v>346</v>
      </c>
      <c r="D15" s="275" t="str">
        <f>INDEX('Country &amp; Code Abbreviation'!$D$3:$D$245,MATCH('Cancel Deflection - Apple'!B15,'Country &amp; Code Abbreviation'!$B$3:$B$245,0))</f>
        <v>BHR</v>
      </c>
      <c r="E15" s="237" t="s">
        <v>648</v>
      </c>
      <c r="F15" s="237" t="s">
        <v>648</v>
      </c>
      <c r="G15" s="237" t="s">
        <v>648</v>
      </c>
      <c r="H15" s="237" t="s">
        <v>648</v>
      </c>
      <c r="I15" s="25" t="s">
        <v>650</v>
      </c>
    </row>
    <row r="16" spans="2:11">
      <c r="B16" s="163" t="s">
        <v>90</v>
      </c>
      <c r="C16" s="164" t="s">
        <v>346</v>
      </c>
      <c r="D16" s="275" t="str">
        <f>INDEX('Country &amp; Code Abbreviation'!$D$3:$D$245,MATCH('Cancel Deflection - Apple'!B16,'Country &amp; Code Abbreviation'!$B$3:$B$245,0))</f>
        <v>BRB</v>
      </c>
      <c r="E16" s="237" t="s">
        <v>648</v>
      </c>
      <c r="F16" s="237" t="s">
        <v>648</v>
      </c>
      <c r="G16" s="237" t="s">
        <v>648</v>
      </c>
      <c r="H16" s="237" t="s">
        <v>648</v>
      </c>
      <c r="I16" s="25" t="s">
        <v>650</v>
      </c>
    </row>
    <row r="17" spans="2:9">
      <c r="B17" s="163" t="s">
        <v>92</v>
      </c>
      <c r="C17" s="164" t="s">
        <v>368</v>
      </c>
      <c r="D17" s="275" t="str">
        <f>INDEX('Country &amp; Code Abbreviation'!$D$3:$D$245,MATCH('Cancel Deflection - Apple'!B17,'Country &amp; Code Abbreviation'!$B$3:$B$245,0))</f>
        <v>BEL</v>
      </c>
      <c r="E17" s="237" t="s">
        <v>648</v>
      </c>
      <c r="F17" s="237" t="s">
        <v>648</v>
      </c>
      <c r="G17" s="237" t="s">
        <v>648</v>
      </c>
      <c r="H17" s="237" t="s">
        <v>648</v>
      </c>
      <c r="I17" s="25" t="s">
        <v>650</v>
      </c>
    </row>
    <row r="18" spans="2:9">
      <c r="B18" s="163" t="s">
        <v>93</v>
      </c>
      <c r="C18" s="164" t="s">
        <v>346</v>
      </c>
      <c r="D18" s="275" t="str">
        <f>INDEX('Country &amp; Code Abbreviation'!$D$3:$D$245,MATCH('Cancel Deflection - Apple'!B18,'Country &amp; Code Abbreviation'!$B$3:$B$245,0))</f>
        <v>BLZ</v>
      </c>
      <c r="E18" s="237" t="s">
        <v>648</v>
      </c>
      <c r="F18" s="237" t="s">
        <v>648</v>
      </c>
      <c r="G18" s="237" t="s">
        <v>648</v>
      </c>
      <c r="H18" s="237" t="s">
        <v>648</v>
      </c>
      <c r="I18" s="25" t="s">
        <v>650</v>
      </c>
    </row>
    <row r="19" spans="2:9" hidden="1">
      <c r="B19" s="163" t="s">
        <v>94</v>
      </c>
      <c r="C19" s="164" t="s">
        <v>346</v>
      </c>
      <c r="D19" s="275" t="str">
        <f>INDEX('Country &amp; Code Abbreviation'!$D$3:$D$245,MATCH('Cancel Deflection - Apple'!B19,'Country &amp; Code Abbreviation'!$B$3:$B$245,0))</f>
        <v>BEN</v>
      </c>
      <c r="E19" s="238">
        <v>0</v>
      </c>
      <c r="F19" s="237" t="s">
        <v>648</v>
      </c>
      <c r="G19" s="238">
        <v>0</v>
      </c>
      <c r="H19" s="237" t="s">
        <v>648</v>
      </c>
      <c r="I19" s="25" t="s">
        <v>649</v>
      </c>
    </row>
    <row r="20" spans="2:9" hidden="1">
      <c r="B20" s="163" t="s">
        <v>95</v>
      </c>
      <c r="C20" s="164" t="s">
        <v>346</v>
      </c>
      <c r="D20" s="275" t="str">
        <f>INDEX('Country &amp; Code Abbreviation'!$D$3:$D$245,MATCH('Cancel Deflection - Apple'!B20,'Country &amp; Code Abbreviation'!$B$3:$B$245,0))</f>
        <v>BMU</v>
      </c>
      <c r="E20" s="238">
        <v>0</v>
      </c>
      <c r="F20" s="237" t="s">
        <v>648</v>
      </c>
      <c r="G20" s="238">
        <v>0</v>
      </c>
      <c r="H20" s="237" t="s">
        <v>648</v>
      </c>
      <c r="I20" s="25" t="s">
        <v>649</v>
      </c>
    </row>
    <row r="21" spans="2:9" hidden="1">
      <c r="B21" s="163" t="s">
        <v>97</v>
      </c>
      <c r="C21" s="164" t="s">
        <v>346</v>
      </c>
      <c r="D21" s="275" t="str">
        <f>INDEX('Country &amp; Code Abbreviation'!$D$3:$D$245,MATCH('Cancel Deflection - Apple'!B21,'Country &amp; Code Abbreviation'!$B$3:$B$245,0))</f>
        <v>BTN</v>
      </c>
      <c r="E21" s="238">
        <v>0</v>
      </c>
      <c r="F21" s="237" t="s">
        <v>648</v>
      </c>
      <c r="G21" s="238">
        <v>0</v>
      </c>
      <c r="H21" s="237" t="s">
        <v>648</v>
      </c>
      <c r="I21" s="25" t="s">
        <v>649</v>
      </c>
    </row>
    <row r="22" spans="2:9">
      <c r="B22" s="163" t="s">
        <v>98</v>
      </c>
      <c r="C22" s="164" t="s">
        <v>346</v>
      </c>
      <c r="D22" s="275" t="str">
        <f>INDEX('Country &amp; Code Abbreviation'!$D$3:$D$245,MATCH('Cancel Deflection - Apple'!B22,'Country &amp; Code Abbreviation'!$B$3:$B$245,0))</f>
        <v>BOL</v>
      </c>
      <c r="E22" s="237" t="s">
        <v>648</v>
      </c>
      <c r="F22" s="237" t="s">
        <v>648</v>
      </c>
      <c r="G22" s="237" t="s">
        <v>648</v>
      </c>
      <c r="H22" s="237" t="s">
        <v>648</v>
      </c>
      <c r="I22" s="25" t="s">
        <v>650</v>
      </c>
    </row>
    <row r="23" spans="2:9">
      <c r="B23" s="163" t="s">
        <v>101</v>
      </c>
      <c r="C23" s="164" t="s">
        <v>368</v>
      </c>
      <c r="D23" s="275" t="str">
        <f>INDEX('Country &amp; Code Abbreviation'!$D$3:$D$245,MATCH('Cancel Deflection - Apple'!B23,'Country &amp; Code Abbreviation'!$B$3:$B$245,0))</f>
        <v>BIH</v>
      </c>
      <c r="E23" s="237" t="s">
        <v>648</v>
      </c>
      <c r="F23" s="237" t="s">
        <v>648</v>
      </c>
      <c r="G23" s="237" t="s">
        <v>648</v>
      </c>
      <c r="H23" s="237" t="s">
        <v>648</v>
      </c>
      <c r="I23" s="25" t="s">
        <v>650</v>
      </c>
    </row>
    <row r="24" spans="2:9" hidden="1">
      <c r="B24" s="163" t="s">
        <v>102</v>
      </c>
      <c r="C24" s="164" t="s">
        <v>346</v>
      </c>
      <c r="D24" s="275" t="str">
        <f>INDEX('Country &amp; Code Abbreviation'!$D$3:$D$245,MATCH('Cancel Deflection - Apple'!B24,'Country &amp; Code Abbreviation'!$B$3:$B$245,0))</f>
        <v>BWA</v>
      </c>
      <c r="E24" s="238">
        <v>0</v>
      </c>
      <c r="F24" s="237" t="s">
        <v>648</v>
      </c>
      <c r="G24" s="238">
        <v>0</v>
      </c>
      <c r="H24" s="237" t="s">
        <v>648</v>
      </c>
      <c r="I24" s="25" t="s">
        <v>649</v>
      </c>
    </row>
    <row r="25" spans="2:9">
      <c r="B25" s="163" t="s">
        <v>104</v>
      </c>
      <c r="C25" s="164" t="s">
        <v>369</v>
      </c>
      <c r="D25" s="275" t="str">
        <f>INDEX('Country &amp; Code Abbreviation'!$D$3:$D$245,MATCH('Cancel Deflection - Apple'!B25,'Country &amp; Code Abbreviation'!$B$3:$B$245,0))</f>
        <v>BRA</v>
      </c>
      <c r="E25" s="237" t="s">
        <v>648</v>
      </c>
      <c r="F25" s="237" t="s">
        <v>648</v>
      </c>
      <c r="G25" s="237" t="s">
        <v>648</v>
      </c>
      <c r="H25" s="237" t="s">
        <v>648</v>
      </c>
      <c r="I25" s="25" t="s">
        <v>650</v>
      </c>
    </row>
    <row r="26" spans="2:9" hidden="1">
      <c r="B26" s="163" t="s">
        <v>106</v>
      </c>
      <c r="C26" s="164" t="s">
        <v>346</v>
      </c>
      <c r="D26" s="275" t="str">
        <f>INDEX('Country &amp; Code Abbreviation'!$D$3:$D$245,MATCH('Cancel Deflection - Apple'!B26,'Country &amp; Code Abbreviation'!$B$3:$B$245,0))</f>
        <v>VGB</v>
      </c>
      <c r="E26" s="238">
        <v>0</v>
      </c>
      <c r="F26" s="237" t="s">
        <v>648</v>
      </c>
      <c r="G26" s="238">
        <v>0</v>
      </c>
      <c r="H26" s="237" t="s">
        <v>648</v>
      </c>
      <c r="I26" s="25" t="s">
        <v>649</v>
      </c>
    </row>
    <row r="27" spans="2:9" hidden="1">
      <c r="B27" s="163" t="s">
        <v>107</v>
      </c>
      <c r="C27" s="164" t="s">
        <v>346</v>
      </c>
      <c r="D27" s="275" t="str">
        <f>INDEX('Country &amp; Code Abbreviation'!$D$3:$D$245,MATCH('Cancel Deflection - Apple'!B27,'Country &amp; Code Abbreviation'!$B$3:$B$245,0))</f>
        <v>BRN</v>
      </c>
      <c r="E27" s="238">
        <v>0</v>
      </c>
      <c r="F27" s="237" t="s">
        <v>648</v>
      </c>
      <c r="G27" s="238">
        <v>0</v>
      </c>
      <c r="H27" s="237" t="s">
        <v>648</v>
      </c>
      <c r="I27" s="25" t="s">
        <v>649</v>
      </c>
    </row>
    <row r="28" spans="2:9">
      <c r="B28" s="163" t="s">
        <v>108</v>
      </c>
      <c r="C28" s="164" t="s">
        <v>415</v>
      </c>
      <c r="D28" s="275" t="str">
        <f>INDEX('Country &amp; Code Abbreviation'!$D$3:$D$245,MATCH('Cancel Deflection - Apple'!B28,'Country &amp; Code Abbreviation'!$B$3:$B$245,0))</f>
        <v>BGR</v>
      </c>
      <c r="E28" s="237" t="s">
        <v>648</v>
      </c>
      <c r="F28" s="237" t="s">
        <v>648</v>
      </c>
      <c r="G28" s="237" t="s">
        <v>648</v>
      </c>
      <c r="H28" s="237" t="s">
        <v>648</v>
      </c>
      <c r="I28" s="25" t="s">
        <v>650</v>
      </c>
    </row>
    <row r="29" spans="2:9" hidden="1">
      <c r="B29" s="163" t="s">
        <v>109</v>
      </c>
      <c r="C29" s="164" t="s">
        <v>346</v>
      </c>
      <c r="D29" s="275" t="str">
        <f>INDEX('Country &amp; Code Abbreviation'!$D$3:$D$245,MATCH('Cancel Deflection - Apple'!B29,'Country &amp; Code Abbreviation'!$B$3:$B$245,0))</f>
        <v>BFA</v>
      </c>
      <c r="E29" s="238">
        <v>0</v>
      </c>
      <c r="F29" s="237" t="s">
        <v>648</v>
      </c>
      <c r="G29" s="238">
        <v>0</v>
      </c>
      <c r="H29" s="237" t="s">
        <v>648</v>
      </c>
      <c r="I29" s="25" t="s">
        <v>649</v>
      </c>
    </row>
    <row r="30" spans="2:9">
      <c r="B30" s="163" t="s">
        <v>111</v>
      </c>
      <c r="C30" s="164" t="s">
        <v>346</v>
      </c>
      <c r="D30" s="275" t="str">
        <f>INDEX('Country &amp; Code Abbreviation'!$D$3:$D$245,MATCH('Cancel Deflection - Apple'!B30,'Country &amp; Code Abbreviation'!$B$3:$B$245,0))</f>
        <v>KHM</v>
      </c>
      <c r="E30" s="237" t="s">
        <v>648</v>
      </c>
      <c r="F30" s="237" t="s">
        <v>648</v>
      </c>
      <c r="G30" s="237" t="s">
        <v>648</v>
      </c>
      <c r="H30" s="237" t="s">
        <v>648</v>
      </c>
      <c r="I30" s="25" t="s">
        <v>650</v>
      </c>
    </row>
    <row r="31" spans="2:9" hidden="1">
      <c r="B31" s="163" t="s">
        <v>112</v>
      </c>
      <c r="C31" s="164" t="s">
        <v>346</v>
      </c>
      <c r="D31" s="275" t="str">
        <f>INDEX('Country &amp; Code Abbreviation'!$D$3:$D$245,MATCH('Cancel Deflection - Apple'!B31,'Country &amp; Code Abbreviation'!$B$3:$B$245,0))</f>
        <v>CMR</v>
      </c>
      <c r="E31" s="238">
        <v>0</v>
      </c>
      <c r="F31" s="237" t="s">
        <v>648</v>
      </c>
      <c r="G31" s="238">
        <v>0</v>
      </c>
      <c r="H31" s="237" t="s">
        <v>648</v>
      </c>
      <c r="I31" s="25" t="s">
        <v>649</v>
      </c>
    </row>
    <row r="32" spans="2:9">
      <c r="B32" s="163" t="s">
        <v>113</v>
      </c>
      <c r="C32" s="164" t="s">
        <v>370</v>
      </c>
      <c r="D32" s="275" t="str">
        <f>INDEX('Country &amp; Code Abbreviation'!$D$3:$D$245,MATCH('Cancel Deflection - Apple'!B32,'Country &amp; Code Abbreviation'!$B$3:$B$245,0))</f>
        <v>CAN</v>
      </c>
      <c r="E32" s="237" t="s">
        <v>648</v>
      </c>
      <c r="F32" s="237" t="s">
        <v>648</v>
      </c>
      <c r="G32" s="237" t="s">
        <v>648</v>
      </c>
      <c r="H32" s="237" t="s">
        <v>648</v>
      </c>
      <c r="I32" s="25" t="s">
        <v>650</v>
      </c>
    </row>
    <row r="33" spans="2:9" hidden="1">
      <c r="B33" s="163" t="s">
        <v>114</v>
      </c>
      <c r="C33" s="164" t="s">
        <v>346</v>
      </c>
      <c r="D33" s="275" t="str">
        <f>INDEX('Country &amp; Code Abbreviation'!$D$3:$D$245,MATCH('Cancel Deflection - Apple'!B33,'Country &amp; Code Abbreviation'!$B$3:$B$245,0))</f>
        <v>CPV</v>
      </c>
      <c r="E33" s="238">
        <v>0</v>
      </c>
      <c r="F33" s="237" t="s">
        <v>648</v>
      </c>
      <c r="G33" s="238">
        <v>0</v>
      </c>
      <c r="H33" s="237" t="s">
        <v>648</v>
      </c>
      <c r="I33" s="25" t="s">
        <v>649</v>
      </c>
    </row>
    <row r="34" spans="2:9">
      <c r="B34" s="163" t="s">
        <v>115</v>
      </c>
      <c r="C34" s="164" t="s">
        <v>346</v>
      </c>
      <c r="D34" s="275" t="str">
        <f>INDEX('Country &amp; Code Abbreviation'!$D$3:$D$245,MATCH('Cancel Deflection - Apple'!B34,'Country &amp; Code Abbreviation'!$B$3:$B$245,0))</f>
        <v>CYM</v>
      </c>
      <c r="E34" s="237" t="s">
        <v>648</v>
      </c>
      <c r="F34" s="237" t="s">
        <v>648</v>
      </c>
      <c r="G34" s="237" t="s">
        <v>648</v>
      </c>
      <c r="H34" s="237" t="s">
        <v>648</v>
      </c>
      <c r="I34" s="25" t="s">
        <v>650</v>
      </c>
    </row>
    <row r="35" spans="2:9" hidden="1">
      <c r="B35" s="163" t="s">
        <v>117</v>
      </c>
      <c r="C35" s="164" t="s">
        <v>346</v>
      </c>
      <c r="D35" s="275" t="str">
        <f>INDEX('Country &amp; Code Abbreviation'!$D$3:$D$245,MATCH('Cancel Deflection - Apple'!B35,'Country &amp; Code Abbreviation'!$B$3:$B$245,0))</f>
        <v>TCD</v>
      </c>
      <c r="E35" s="238">
        <v>0</v>
      </c>
      <c r="F35" s="237" t="s">
        <v>648</v>
      </c>
      <c r="G35" s="238">
        <v>0</v>
      </c>
      <c r="H35" s="237" t="s">
        <v>648</v>
      </c>
      <c r="I35" s="25" t="s">
        <v>649</v>
      </c>
    </row>
    <row r="36" spans="2:9">
      <c r="B36" s="163" t="s">
        <v>118</v>
      </c>
      <c r="C36" s="164" t="s">
        <v>371</v>
      </c>
      <c r="D36" s="275" t="str">
        <f>INDEX('Country &amp; Code Abbreviation'!$D$3:$D$245,MATCH('Cancel Deflection - Apple'!B36,'Country &amp; Code Abbreviation'!$B$3:$B$245,0))</f>
        <v>CHL</v>
      </c>
      <c r="E36" s="237" t="s">
        <v>648</v>
      </c>
      <c r="F36" s="237" t="s">
        <v>648</v>
      </c>
      <c r="G36" s="237" t="s">
        <v>648</v>
      </c>
      <c r="H36" s="237" t="s">
        <v>648</v>
      </c>
      <c r="I36" s="25" t="s">
        <v>650</v>
      </c>
    </row>
    <row r="37" spans="2:9">
      <c r="B37" s="163" t="s">
        <v>121</v>
      </c>
      <c r="C37" s="164" t="s">
        <v>372</v>
      </c>
      <c r="D37" s="275" t="str">
        <f>INDEX('Country &amp; Code Abbreviation'!$D$3:$D$245,MATCH('Cancel Deflection - Apple'!B37,'Country &amp; Code Abbreviation'!$B$3:$B$245,0))</f>
        <v>COL</v>
      </c>
      <c r="E37" s="237" t="s">
        <v>648</v>
      </c>
      <c r="F37" s="237" t="s">
        <v>648</v>
      </c>
      <c r="G37" s="237" t="s">
        <v>648</v>
      </c>
      <c r="H37" s="237" t="s">
        <v>648</v>
      </c>
      <c r="I37" s="25" t="s">
        <v>650</v>
      </c>
    </row>
    <row r="38" spans="2:9" hidden="1">
      <c r="B38" s="163" t="s">
        <v>123</v>
      </c>
      <c r="C38" s="164" t="s">
        <v>346</v>
      </c>
      <c r="D38" s="275" t="str">
        <f>INDEX('Country &amp; Code Abbreviation'!$D$3:$D$245,MATCH('Cancel Deflection - Apple'!B38,'Country &amp; Code Abbreviation'!$B$3:$B$245,0))</f>
        <v>COG</v>
      </c>
      <c r="E38" s="238">
        <v>0</v>
      </c>
      <c r="F38" s="237" t="s">
        <v>648</v>
      </c>
      <c r="G38" s="238">
        <v>0</v>
      </c>
      <c r="H38" s="237" t="s">
        <v>648</v>
      </c>
      <c r="I38" s="25" t="s">
        <v>649</v>
      </c>
    </row>
    <row r="39" spans="2:9">
      <c r="B39" s="163" t="s">
        <v>125</v>
      </c>
      <c r="C39" s="164" t="s">
        <v>346</v>
      </c>
      <c r="D39" s="275" t="str">
        <f>INDEX('Country &amp; Code Abbreviation'!$D$3:$D$245,MATCH('Cancel Deflection - Apple'!B39,'Country &amp; Code Abbreviation'!$B$3:$B$245,0))</f>
        <v>CRI</v>
      </c>
      <c r="E39" s="237" t="s">
        <v>648</v>
      </c>
      <c r="F39" s="237" t="s">
        <v>648</v>
      </c>
      <c r="G39" s="237" t="s">
        <v>648</v>
      </c>
      <c r="H39" s="237" t="s">
        <v>648</v>
      </c>
      <c r="I39" s="25" t="s">
        <v>650</v>
      </c>
    </row>
    <row r="40" spans="2:9">
      <c r="B40" s="163" t="s">
        <v>126</v>
      </c>
      <c r="C40" s="164" t="s">
        <v>346</v>
      </c>
      <c r="D40" s="275" t="str">
        <f>INDEX('Country &amp; Code Abbreviation'!$D$3:$D$245,MATCH('Cancel Deflection - Apple'!B40,'Country &amp; Code Abbreviation'!$B$3:$B$245,0))</f>
        <v>CIV</v>
      </c>
      <c r="E40" s="237" t="s">
        <v>648</v>
      </c>
      <c r="F40" s="237" t="s">
        <v>648</v>
      </c>
      <c r="G40" s="237" t="s">
        <v>648</v>
      </c>
      <c r="H40" s="237" t="s">
        <v>648</v>
      </c>
      <c r="I40" s="25" t="s">
        <v>650</v>
      </c>
    </row>
    <row r="41" spans="2:9">
      <c r="B41" s="163" t="s">
        <v>127</v>
      </c>
      <c r="C41" s="164" t="s">
        <v>368</v>
      </c>
      <c r="D41" s="275" t="str">
        <f>INDEX('Country &amp; Code Abbreviation'!$D$3:$D$245,MATCH('Cancel Deflection - Apple'!B41,'Country &amp; Code Abbreviation'!$B$3:$B$245,0))</f>
        <v>HRV</v>
      </c>
      <c r="E41" s="237" t="s">
        <v>648</v>
      </c>
      <c r="F41" s="237" t="s">
        <v>648</v>
      </c>
      <c r="G41" s="237" t="s">
        <v>648</v>
      </c>
      <c r="H41" s="237" t="s">
        <v>648</v>
      </c>
      <c r="I41" s="25" t="s">
        <v>650</v>
      </c>
    </row>
    <row r="42" spans="2:9">
      <c r="B42" s="163" t="s">
        <v>129</v>
      </c>
      <c r="C42" s="164" t="s">
        <v>368</v>
      </c>
      <c r="D42" s="275" t="str">
        <f>INDEX('Country &amp; Code Abbreviation'!$D$3:$D$245,MATCH('Cancel Deflection - Apple'!B42,'Country &amp; Code Abbreviation'!$B$3:$B$245,0))</f>
        <v>CYP</v>
      </c>
      <c r="E42" s="237" t="s">
        <v>648</v>
      </c>
      <c r="F42" s="237" t="s">
        <v>648</v>
      </c>
      <c r="G42" s="237" t="s">
        <v>648</v>
      </c>
      <c r="H42" s="237" t="s">
        <v>648</v>
      </c>
      <c r="I42" s="25" t="s">
        <v>650</v>
      </c>
    </row>
    <row r="43" spans="2:9">
      <c r="B43" s="163" t="s">
        <v>130</v>
      </c>
      <c r="C43" s="164" t="s">
        <v>373</v>
      </c>
      <c r="D43" s="275" t="str">
        <f>INDEX('Country &amp; Code Abbreviation'!$D$3:$D$245,MATCH('Cancel Deflection - Apple'!B43,'Country &amp; Code Abbreviation'!$B$3:$B$245,0))</f>
        <v>CZE</v>
      </c>
      <c r="E43" s="237" t="s">
        <v>648</v>
      </c>
      <c r="F43" s="237" t="s">
        <v>648</v>
      </c>
      <c r="G43" s="237" t="s">
        <v>648</v>
      </c>
      <c r="H43" s="237" t="s">
        <v>648</v>
      </c>
      <c r="I43" s="25" t="s">
        <v>650</v>
      </c>
    </row>
    <row r="44" spans="2:9" hidden="1">
      <c r="B44" s="163" t="s">
        <v>131</v>
      </c>
      <c r="C44" s="164" t="s">
        <v>346</v>
      </c>
      <c r="D44" s="275" t="str">
        <f>INDEX('Country &amp; Code Abbreviation'!$D$3:$D$245,MATCH('Cancel Deflection - Apple'!B44,'Country &amp; Code Abbreviation'!$B$3:$B$245,0))</f>
        <v>COD</v>
      </c>
      <c r="E44" s="238">
        <v>0</v>
      </c>
      <c r="F44" s="237" t="s">
        <v>648</v>
      </c>
      <c r="G44" s="238">
        <v>0</v>
      </c>
      <c r="H44" s="237" t="s">
        <v>648</v>
      </c>
      <c r="I44" s="25" t="s">
        <v>649</v>
      </c>
    </row>
    <row r="45" spans="2:9">
      <c r="B45" s="163" t="s">
        <v>132</v>
      </c>
      <c r="C45" s="164" t="s">
        <v>374</v>
      </c>
      <c r="D45" s="275" t="str">
        <f>INDEX('Country &amp; Code Abbreviation'!$D$3:$D$245,MATCH('Cancel Deflection - Apple'!B45,'Country &amp; Code Abbreviation'!$B$3:$B$245,0))</f>
        <v>DNK</v>
      </c>
      <c r="E45" s="237" t="s">
        <v>648</v>
      </c>
      <c r="F45" s="237" t="s">
        <v>648</v>
      </c>
      <c r="G45" s="237" t="s">
        <v>648</v>
      </c>
      <c r="H45" s="237" t="s">
        <v>648</v>
      </c>
      <c r="I45" s="25" t="s">
        <v>650</v>
      </c>
    </row>
    <row r="46" spans="2:9" hidden="1">
      <c r="B46" s="163" t="s">
        <v>134</v>
      </c>
      <c r="C46" s="164" t="s">
        <v>346</v>
      </c>
      <c r="D46" s="275" t="str">
        <f>INDEX('Country &amp; Code Abbreviation'!$D$3:$D$245,MATCH('Cancel Deflection - Apple'!B46,'Country &amp; Code Abbreviation'!$B$3:$B$245,0))</f>
        <v>DMA</v>
      </c>
      <c r="E46" s="238">
        <v>0</v>
      </c>
      <c r="F46" s="237" t="s">
        <v>648</v>
      </c>
      <c r="G46" s="238">
        <v>0</v>
      </c>
      <c r="H46" s="237" t="s">
        <v>648</v>
      </c>
      <c r="I46" s="25" t="s">
        <v>649</v>
      </c>
    </row>
    <row r="47" spans="2:9" hidden="1">
      <c r="B47" s="163" t="s">
        <v>135</v>
      </c>
      <c r="C47" s="164" t="s">
        <v>346</v>
      </c>
      <c r="D47" s="275" t="str">
        <f>INDEX('Country &amp; Code Abbreviation'!$D$3:$D$245,MATCH('Cancel Deflection - Apple'!B47,'Country &amp; Code Abbreviation'!$B$3:$B$245,0))</f>
        <v>DOM</v>
      </c>
      <c r="E47" s="238">
        <v>0</v>
      </c>
      <c r="F47" s="237" t="s">
        <v>648</v>
      </c>
      <c r="G47" s="238">
        <v>0</v>
      </c>
      <c r="H47" s="237" t="s">
        <v>648</v>
      </c>
      <c r="I47" s="25" t="s">
        <v>649</v>
      </c>
    </row>
    <row r="48" spans="2:9">
      <c r="B48" s="163" t="s">
        <v>136</v>
      </c>
      <c r="C48" s="164" t="s">
        <v>346</v>
      </c>
      <c r="D48" s="275" t="str">
        <f>INDEX('Country &amp; Code Abbreviation'!$D$3:$D$245,MATCH('Cancel Deflection - Apple'!B48,'Country &amp; Code Abbreviation'!$B$3:$B$245,0))</f>
        <v>ECU</v>
      </c>
      <c r="E48" s="237" t="s">
        <v>648</v>
      </c>
      <c r="F48" s="237" t="s">
        <v>648</v>
      </c>
      <c r="G48" s="237" t="s">
        <v>648</v>
      </c>
      <c r="H48" s="237" t="s">
        <v>648</v>
      </c>
      <c r="I48" s="25" t="s">
        <v>650</v>
      </c>
    </row>
    <row r="49" spans="2:9">
      <c r="B49" s="163" t="s">
        <v>137</v>
      </c>
      <c r="C49" s="164" t="s">
        <v>375</v>
      </c>
      <c r="D49" s="275" t="str">
        <f>INDEX('Country &amp; Code Abbreviation'!$D$3:$D$245,MATCH('Cancel Deflection - Apple'!B49,'Country &amp; Code Abbreviation'!$B$3:$B$245,0))</f>
        <v>EGY</v>
      </c>
      <c r="E49" s="237" t="s">
        <v>648</v>
      </c>
      <c r="F49" s="237" t="s">
        <v>648</v>
      </c>
      <c r="G49" s="237" t="s">
        <v>648</v>
      </c>
      <c r="H49" s="237" t="s">
        <v>648</v>
      </c>
      <c r="I49" s="25" t="s">
        <v>650</v>
      </c>
    </row>
    <row r="50" spans="2:9">
      <c r="B50" s="163" t="s">
        <v>138</v>
      </c>
      <c r="C50" s="164" t="s">
        <v>346</v>
      </c>
      <c r="D50" s="275" t="str">
        <f>INDEX('Country &amp; Code Abbreviation'!$D$3:$D$245,MATCH('Cancel Deflection - Apple'!B50,'Country &amp; Code Abbreviation'!$B$3:$B$245,0))</f>
        <v>SLV</v>
      </c>
      <c r="E50" s="237" t="s">
        <v>648</v>
      </c>
      <c r="F50" s="237" t="s">
        <v>648</v>
      </c>
      <c r="G50" s="237" t="s">
        <v>648</v>
      </c>
      <c r="H50" s="237" t="s">
        <v>648</v>
      </c>
      <c r="I50" s="25" t="s">
        <v>650</v>
      </c>
    </row>
    <row r="51" spans="2:9">
      <c r="B51" s="163" t="s">
        <v>141</v>
      </c>
      <c r="C51" s="164" t="s">
        <v>368</v>
      </c>
      <c r="D51" s="275" t="str">
        <f>INDEX('Country &amp; Code Abbreviation'!$D$3:$D$245,MATCH('Cancel Deflection - Apple'!B51,'Country &amp; Code Abbreviation'!$B$3:$B$245,0))</f>
        <v>EST</v>
      </c>
      <c r="E51" s="237" t="s">
        <v>648</v>
      </c>
      <c r="F51" s="237" t="s">
        <v>648</v>
      </c>
      <c r="G51" s="237" t="s">
        <v>648</v>
      </c>
      <c r="H51" s="237" t="s">
        <v>648</v>
      </c>
      <c r="I51" s="25" t="s">
        <v>650</v>
      </c>
    </row>
    <row r="52" spans="2:9" hidden="1">
      <c r="B52" s="163" t="s">
        <v>142</v>
      </c>
      <c r="C52" s="164" t="s">
        <v>346</v>
      </c>
      <c r="D52" s="275" t="str">
        <f>INDEX('Country &amp; Code Abbreviation'!$D$3:$D$245,MATCH('Cancel Deflection - Apple'!B52,'Country &amp; Code Abbreviation'!$B$3:$B$245,0))</f>
        <v>SWZ</v>
      </c>
      <c r="E52" s="238">
        <v>0</v>
      </c>
      <c r="F52" s="237" t="s">
        <v>648</v>
      </c>
      <c r="G52" s="238">
        <v>0</v>
      </c>
      <c r="H52" s="237" t="s">
        <v>648</v>
      </c>
      <c r="I52" s="25" t="s">
        <v>649</v>
      </c>
    </row>
    <row r="53" spans="2:9" hidden="1">
      <c r="B53" s="163" t="s">
        <v>146</v>
      </c>
      <c r="C53" s="164" t="s">
        <v>346</v>
      </c>
      <c r="D53" s="275" t="str">
        <f>INDEX('Country &amp; Code Abbreviation'!$D$3:$D$245,MATCH('Cancel Deflection - Apple'!B53,'Country &amp; Code Abbreviation'!$B$3:$B$245,0))</f>
        <v>FJI</v>
      </c>
      <c r="E53" s="238">
        <v>0</v>
      </c>
      <c r="F53" s="237" t="s">
        <v>648</v>
      </c>
      <c r="G53" s="238">
        <v>0</v>
      </c>
      <c r="H53" s="237" t="s">
        <v>648</v>
      </c>
      <c r="I53" s="25" t="s">
        <v>649</v>
      </c>
    </row>
    <row r="54" spans="2:9">
      <c r="B54" s="163" t="s">
        <v>147</v>
      </c>
      <c r="C54" s="164" t="s">
        <v>368</v>
      </c>
      <c r="D54" s="275" t="str">
        <f>INDEX('Country &amp; Code Abbreviation'!$D$3:$D$245,MATCH('Cancel Deflection - Apple'!B54,'Country &amp; Code Abbreviation'!$B$3:$B$245,0))</f>
        <v>FIN</v>
      </c>
      <c r="E54" s="237" t="s">
        <v>648</v>
      </c>
      <c r="F54" s="237" t="s">
        <v>648</v>
      </c>
      <c r="G54" s="237" t="s">
        <v>648</v>
      </c>
      <c r="H54" s="237" t="s">
        <v>648</v>
      </c>
      <c r="I54" s="25" t="s">
        <v>650</v>
      </c>
    </row>
    <row r="55" spans="2:9">
      <c r="B55" s="163" t="s">
        <v>148</v>
      </c>
      <c r="C55" s="164" t="s">
        <v>368</v>
      </c>
      <c r="D55" s="275" t="str">
        <f>INDEX('Country &amp; Code Abbreviation'!$D$3:$D$245,MATCH('Cancel Deflection - Apple'!B55,'Country &amp; Code Abbreviation'!$B$3:$B$245,0))</f>
        <v>FRA</v>
      </c>
      <c r="E55" s="237" t="s">
        <v>648</v>
      </c>
      <c r="F55" s="237" t="s">
        <v>648</v>
      </c>
      <c r="G55" s="237" t="s">
        <v>648</v>
      </c>
      <c r="H55" s="237" t="s">
        <v>648</v>
      </c>
      <c r="I55" s="25" t="s">
        <v>650</v>
      </c>
    </row>
    <row r="56" spans="2:9" hidden="1">
      <c r="B56" s="163" t="s">
        <v>152</v>
      </c>
      <c r="C56" s="164" t="s">
        <v>346</v>
      </c>
      <c r="D56" s="275" t="str">
        <f>INDEX('Country &amp; Code Abbreviation'!$D$3:$D$245,MATCH('Cancel Deflection - Apple'!B56,'Country &amp; Code Abbreviation'!$B$3:$B$245,0))</f>
        <v>GAB</v>
      </c>
      <c r="E56" s="238">
        <v>0</v>
      </c>
      <c r="F56" s="237" t="s">
        <v>648</v>
      </c>
      <c r="G56" s="238">
        <v>0</v>
      </c>
      <c r="H56" s="237" t="s">
        <v>648</v>
      </c>
      <c r="I56" s="25" t="s">
        <v>649</v>
      </c>
    </row>
    <row r="57" spans="2:9" hidden="1">
      <c r="B57" s="163" t="s">
        <v>153</v>
      </c>
      <c r="C57" s="164" t="s">
        <v>346</v>
      </c>
      <c r="D57" s="275" t="str">
        <f>INDEX('Country &amp; Code Abbreviation'!$D$3:$D$245,MATCH('Cancel Deflection - Apple'!B57,'Country &amp; Code Abbreviation'!$B$3:$B$245,0))</f>
        <v>GMB</v>
      </c>
      <c r="E57" s="238">
        <v>0</v>
      </c>
      <c r="F57" s="237" t="s">
        <v>648</v>
      </c>
      <c r="G57" s="238">
        <v>0</v>
      </c>
      <c r="H57" s="237" t="s">
        <v>648</v>
      </c>
      <c r="I57" s="25" t="s">
        <v>649</v>
      </c>
    </row>
    <row r="58" spans="2:9">
      <c r="B58" s="163" t="s">
        <v>154</v>
      </c>
      <c r="C58" s="164" t="s">
        <v>346</v>
      </c>
      <c r="D58" s="275" t="str">
        <f>INDEX('Country &amp; Code Abbreviation'!$D$3:$D$245,MATCH('Cancel Deflection - Apple'!B58,'Country &amp; Code Abbreviation'!$B$3:$B$245,0))</f>
        <v>GEO</v>
      </c>
      <c r="E58" s="237" t="s">
        <v>648</v>
      </c>
      <c r="F58" s="237" t="s">
        <v>648</v>
      </c>
      <c r="G58" s="237" t="s">
        <v>648</v>
      </c>
      <c r="H58" s="237" t="s">
        <v>648</v>
      </c>
      <c r="I58" s="25" t="s">
        <v>650</v>
      </c>
    </row>
    <row r="59" spans="2:9">
      <c r="B59" s="163" t="s">
        <v>155</v>
      </c>
      <c r="C59" s="164" t="s">
        <v>368</v>
      </c>
      <c r="D59" s="275" t="str">
        <f>INDEX('Country &amp; Code Abbreviation'!$D$3:$D$245,MATCH('Cancel Deflection - Apple'!B59,'Country &amp; Code Abbreviation'!$B$3:$B$245,0))</f>
        <v>DEU</v>
      </c>
      <c r="E59" s="237" t="s">
        <v>648</v>
      </c>
      <c r="F59" s="237" t="s">
        <v>648</v>
      </c>
      <c r="G59" s="237" t="s">
        <v>648</v>
      </c>
      <c r="H59" s="237" t="s">
        <v>648</v>
      </c>
      <c r="I59" s="25" t="s">
        <v>650</v>
      </c>
    </row>
    <row r="60" spans="2:9" hidden="1">
      <c r="B60" s="163" t="s">
        <v>156</v>
      </c>
      <c r="C60" s="164" t="s">
        <v>346</v>
      </c>
      <c r="D60" s="275" t="str">
        <f>INDEX('Country &amp; Code Abbreviation'!$D$3:$D$245,MATCH('Cancel Deflection - Apple'!B60,'Country &amp; Code Abbreviation'!$B$3:$B$245,0))</f>
        <v>GHA</v>
      </c>
      <c r="E60" s="238">
        <v>0</v>
      </c>
      <c r="F60" s="237" t="s">
        <v>648</v>
      </c>
      <c r="G60" s="238">
        <v>0</v>
      </c>
      <c r="H60" s="237" t="s">
        <v>648</v>
      </c>
      <c r="I60" s="25" t="s">
        <v>649</v>
      </c>
    </row>
    <row r="61" spans="2:9">
      <c r="B61" s="163" t="s">
        <v>158</v>
      </c>
      <c r="C61" s="164" t="s">
        <v>368</v>
      </c>
      <c r="D61" s="275" t="str">
        <f>INDEX('Country &amp; Code Abbreviation'!$D$3:$D$245,MATCH('Cancel Deflection - Apple'!B61,'Country &amp; Code Abbreviation'!$B$3:$B$245,0))</f>
        <v>GRC</v>
      </c>
      <c r="E61" s="237" t="s">
        <v>648</v>
      </c>
      <c r="F61" s="237" t="s">
        <v>648</v>
      </c>
      <c r="G61" s="237" t="s">
        <v>648</v>
      </c>
      <c r="H61" s="237" t="s">
        <v>648</v>
      </c>
      <c r="I61" s="25" t="s">
        <v>650</v>
      </c>
    </row>
    <row r="62" spans="2:9" hidden="1">
      <c r="B62" s="163" t="s">
        <v>160</v>
      </c>
      <c r="C62" s="164" t="s">
        <v>346</v>
      </c>
      <c r="D62" s="275" t="str">
        <f>INDEX('Country &amp; Code Abbreviation'!$D$3:$D$245,MATCH('Cancel Deflection - Apple'!B62,'Country &amp; Code Abbreviation'!$B$3:$B$245,0))</f>
        <v>GRD</v>
      </c>
      <c r="E62" s="238">
        <v>0</v>
      </c>
      <c r="F62" s="237" t="s">
        <v>648</v>
      </c>
      <c r="G62" s="238">
        <v>0</v>
      </c>
      <c r="H62" s="237" t="s">
        <v>648</v>
      </c>
      <c r="I62" s="25" t="s">
        <v>649</v>
      </c>
    </row>
    <row r="63" spans="2:9">
      <c r="B63" s="163" t="s">
        <v>162</v>
      </c>
      <c r="C63" s="164" t="s">
        <v>346</v>
      </c>
      <c r="D63" s="275" t="str">
        <f>INDEX('Country &amp; Code Abbreviation'!$D$3:$D$245,MATCH('Cancel Deflection - Apple'!B63,'Country &amp; Code Abbreviation'!$B$3:$B$245,0))</f>
        <v>GTM</v>
      </c>
      <c r="E63" s="237" t="s">
        <v>648</v>
      </c>
      <c r="F63" s="237" t="s">
        <v>648</v>
      </c>
      <c r="G63" s="237" t="s">
        <v>648</v>
      </c>
      <c r="H63" s="237" t="s">
        <v>648</v>
      </c>
      <c r="I63" s="25" t="s">
        <v>650</v>
      </c>
    </row>
    <row r="64" spans="2:9" hidden="1">
      <c r="B64" s="163" t="s">
        <v>165</v>
      </c>
      <c r="C64" s="164" t="s">
        <v>346</v>
      </c>
      <c r="D64" s="275" t="str">
        <f>INDEX('Country &amp; Code Abbreviation'!$D$3:$D$245,MATCH('Cancel Deflection - Apple'!B64,'Country &amp; Code Abbreviation'!$B$3:$B$245,0))</f>
        <v>GNB</v>
      </c>
      <c r="E64" s="238">
        <v>0</v>
      </c>
      <c r="F64" s="237" t="s">
        <v>648</v>
      </c>
      <c r="G64" s="238">
        <v>0</v>
      </c>
      <c r="H64" s="237" t="s">
        <v>648</v>
      </c>
      <c r="I64" s="25" t="s">
        <v>649</v>
      </c>
    </row>
    <row r="65" spans="2:9">
      <c r="B65" s="163" t="s">
        <v>166</v>
      </c>
      <c r="C65" s="164" t="s">
        <v>346</v>
      </c>
      <c r="D65" s="275" t="str">
        <f>INDEX('Country &amp; Code Abbreviation'!$D$3:$D$245,MATCH('Cancel Deflection - Apple'!B65,'Country &amp; Code Abbreviation'!$B$3:$B$245,0))</f>
        <v>GUY</v>
      </c>
      <c r="E65" s="237" t="s">
        <v>648</v>
      </c>
      <c r="F65" s="237" t="s">
        <v>648</v>
      </c>
      <c r="G65" s="237" t="s">
        <v>648</v>
      </c>
      <c r="H65" s="237" t="s">
        <v>648</v>
      </c>
      <c r="I65" s="25" t="s">
        <v>650</v>
      </c>
    </row>
    <row r="66" spans="2:9">
      <c r="B66" s="163" t="s">
        <v>169</v>
      </c>
      <c r="C66" s="164" t="s">
        <v>346</v>
      </c>
      <c r="D66" s="275" t="str">
        <f>INDEX('Country &amp; Code Abbreviation'!$D$3:$D$245,MATCH('Cancel Deflection - Apple'!B66,'Country &amp; Code Abbreviation'!$B$3:$B$245,0))</f>
        <v>HND</v>
      </c>
      <c r="E66" s="237" t="s">
        <v>648</v>
      </c>
      <c r="F66" s="237" t="s">
        <v>648</v>
      </c>
      <c r="G66" s="237" t="s">
        <v>648</v>
      </c>
      <c r="H66" s="237" t="s">
        <v>648</v>
      </c>
      <c r="I66" s="25" t="s">
        <v>650</v>
      </c>
    </row>
    <row r="67" spans="2:9">
      <c r="B67" s="163" t="s">
        <v>170</v>
      </c>
      <c r="C67" s="164" t="s">
        <v>376</v>
      </c>
      <c r="D67" s="275" t="str">
        <f>INDEX('Country &amp; Code Abbreviation'!$D$3:$D$245,MATCH('Cancel Deflection - Apple'!B67,'Country &amp; Code Abbreviation'!$B$3:$B$245,0))</f>
        <v>HKG</v>
      </c>
      <c r="E67" s="237" t="s">
        <v>648</v>
      </c>
      <c r="F67" s="237" t="s">
        <v>648</v>
      </c>
      <c r="G67" s="237" t="s">
        <v>648</v>
      </c>
      <c r="H67" s="237" t="s">
        <v>648</v>
      </c>
      <c r="I67" s="25" t="s">
        <v>650</v>
      </c>
    </row>
    <row r="68" spans="2:9">
      <c r="B68" s="163" t="s">
        <v>171</v>
      </c>
      <c r="C68" s="164" t="s">
        <v>377</v>
      </c>
      <c r="D68" s="275" t="str">
        <f>INDEX('Country &amp; Code Abbreviation'!$D$3:$D$245,MATCH('Cancel Deflection - Apple'!B68,'Country &amp; Code Abbreviation'!$B$3:$B$245,0))</f>
        <v>HUN</v>
      </c>
      <c r="E68" s="237" t="s">
        <v>648</v>
      </c>
      <c r="F68" s="237" t="s">
        <v>648</v>
      </c>
      <c r="G68" s="237" t="s">
        <v>648</v>
      </c>
      <c r="H68" s="237" t="s">
        <v>648</v>
      </c>
      <c r="I68" s="25" t="s">
        <v>650</v>
      </c>
    </row>
    <row r="69" spans="2:9">
      <c r="B69" s="163" t="s">
        <v>172</v>
      </c>
      <c r="C69" s="164" t="s">
        <v>346</v>
      </c>
      <c r="D69" s="275" t="str">
        <f>INDEX('Country &amp; Code Abbreviation'!$D$3:$D$245,MATCH('Cancel Deflection - Apple'!B69,'Country &amp; Code Abbreviation'!$B$3:$B$245,0))</f>
        <v>ISL</v>
      </c>
      <c r="E69" s="237" t="s">
        <v>648</v>
      </c>
      <c r="F69" s="237" t="s">
        <v>648</v>
      </c>
      <c r="G69" s="237" t="s">
        <v>648</v>
      </c>
      <c r="H69" s="237" t="s">
        <v>648</v>
      </c>
      <c r="I69" s="25" t="s">
        <v>650</v>
      </c>
    </row>
    <row r="70" spans="2:9" hidden="1">
      <c r="B70" s="163" t="s">
        <v>173</v>
      </c>
      <c r="C70" s="164" t="s">
        <v>378</v>
      </c>
      <c r="D70" s="275" t="str">
        <f>INDEX('Country &amp; Code Abbreviation'!$D$3:$D$245,MATCH('Cancel Deflection - Apple'!B70,'Country &amp; Code Abbreviation'!$B$3:$B$245,0))</f>
        <v>IND</v>
      </c>
      <c r="E70" s="238">
        <v>0</v>
      </c>
      <c r="F70" s="237" t="s">
        <v>648</v>
      </c>
      <c r="G70" s="238">
        <v>0</v>
      </c>
      <c r="H70" s="237" t="s">
        <v>648</v>
      </c>
      <c r="I70" s="25" t="s">
        <v>649</v>
      </c>
    </row>
    <row r="71" spans="2:9">
      <c r="B71" s="163" t="s">
        <v>174</v>
      </c>
      <c r="C71" s="164" t="s">
        <v>379</v>
      </c>
      <c r="D71" s="275" t="str">
        <f>INDEX('Country &amp; Code Abbreviation'!$D$3:$D$245,MATCH('Cancel Deflection - Apple'!B71,'Country &amp; Code Abbreviation'!$B$3:$B$245,0))</f>
        <v>IDN</v>
      </c>
      <c r="E71" s="237" t="s">
        <v>648</v>
      </c>
      <c r="F71" s="237" t="s">
        <v>648</v>
      </c>
      <c r="G71" s="237" t="s">
        <v>648</v>
      </c>
      <c r="H71" s="237" t="s">
        <v>648</v>
      </c>
      <c r="I71" s="25" t="s">
        <v>650</v>
      </c>
    </row>
    <row r="72" spans="2:9" hidden="1">
      <c r="B72" s="163" t="s">
        <v>175</v>
      </c>
      <c r="C72" s="164" t="s">
        <v>346</v>
      </c>
      <c r="D72" s="275" t="str">
        <f>INDEX('Country &amp; Code Abbreviation'!$D$3:$D$245,MATCH('Cancel Deflection - Apple'!B72,'Country &amp; Code Abbreviation'!$B$3:$B$245,0))</f>
        <v>IRQ</v>
      </c>
      <c r="E72" s="238">
        <v>0</v>
      </c>
      <c r="F72" s="237" t="s">
        <v>648</v>
      </c>
      <c r="G72" s="238">
        <v>0</v>
      </c>
      <c r="H72" s="237" t="s">
        <v>648</v>
      </c>
      <c r="I72" s="25" t="s">
        <v>649</v>
      </c>
    </row>
    <row r="73" spans="2:9">
      <c r="B73" s="163" t="s">
        <v>176</v>
      </c>
      <c r="C73" s="164" t="s">
        <v>368</v>
      </c>
      <c r="D73" s="275" t="str">
        <f>INDEX('Country &amp; Code Abbreviation'!$D$3:$D$245,MATCH('Cancel Deflection - Apple'!B73,'Country &amp; Code Abbreviation'!$B$3:$B$245,0))</f>
        <v>IRL</v>
      </c>
      <c r="E73" s="237" t="s">
        <v>648</v>
      </c>
      <c r="F73" s="237" t="s">
        <v>648</v>
      </c>
      <c r="G73" s="237" t="s">
        <v>648</v>
      </c>
      <c r="H73" s="237" t="s">
        <v>648</v>
      </c>
      <c r="I73" s="25" t="s">
        <v>650</v>
      </c>
    </row>
    <row r="74" spans="2:9">
      <c r="B74" s="163" t="s">
        <v>178</v>
      </c>
      <c r="C74" s="164" t="s">
        <v>380</v>
      </c>
      <c r="D74" s="275" t="str">
        <f>INDEX('Country &amp; Code Abbreviation'!$D$3:$D$245,MATCH('Cancel Deflection - Apple'!B74,'Country &amp; Code Abbreviation'!$B$3:$B$245,0))</f>
        <v>ISR</v>
      </c>
      <c r="E74" s="237" t="s">
        <v>648</v>
      </c>
      <c r="F74" s="237" t="s">
        <v>648</v>
      </c>
      <c r="G74" s="237" t="s">
        <v>648</v>
      </c>
      <c r="H74" s="237" t="s">
        <v>648</v>
      </c>
      <c r="I74" s="25" t="s">
        <v>650</v>
      </c>
    </row>
    <row r="75" spans="2:9" hidden="1">
      <c r="B75" s="163" t="s">
        <v>179</v>
      </c>
      <c r="C75" s="164" t="s">
        <v>368</v>
      </c>
      <c r="D75" s="275" t="str">
        <f>INDEX('Country &amp; Code Abbreviation'!$D$3:$D$245,MATCH('Cancel Deflection - Apple'!B75,'Country &amp; Code Abbreviation'!$B$3:$B$245,0))</f>
        <v>ITA</v>
      </c>
      <c r="E75" s="238">
        <v>0</v>
      </c>
      <c r="F75" s="237" t="s">
        <v>648</v>
      </c>
      <c r="G75" s="238">
        <v>0</v>
      </c>
      <c r="H75" s="237" t="s">
        <v>648</v>
      </c>
      <c r="I75" s="25" t="s">
        <v>649</v>
      </c>
    </row>
    <row r="76" spans="2:9" hidden="1">
      <c r="B76" s="163" t="s">
        <v>180</v>
      </c>
      <c r="C76" s="164" t="s">
        <v>346</v>
      </c>
      <c r="D76" s="275" t="str">
        <f>INDEX('Country &amp; Code Abbreviation'!$D$3:$D$245,MATCH('Cancel Deflection - Apple'!B76,'Country &amp; Code Abbreviation'!$B$3:$B$245,0))</f>
        <v>JAM</v>
      </c>
      <c r="E76" s="238">
        <v>0</v>
      </c>
      <c r="F76" s="237" t="s">
        <v>648</v>
      </c>
      <c r="G76" s="238">
        <v>0</v>
      </c>
      <c r="H76" s="237" t="s">
        <v>648</v>
      </c>
      <c r="I76" s="25" t="s">
        <v>649</v>
      </c>
    </row>
    <row r="77" spans="2:9">
      <c r="B77" s="163" t="s">
        <v>181</v>
      </c>
      <c r="C77" s="164" t="s">
        <v>352</v>
      </c>
      <c r="D77" s="275" t="str">
        <f>INDEX('Country &amp; Code Abbreviation'!$D$3:$D$245,MATCH('Cancel Deflection - Apple'!B77,'Country &amp; Code Abbreviation'!$B$3:$B$245,0))</f>
        <v>JPN</v>
      </c>
      <c r="E77" s="237" t="s">
        <v>648</v>
      </c>
      <c r="F77" s="237" t="s">
        <v>648</v>
      </c>
      <c r="G77" s="237" t="s">
        <v>648</v>
      </c>
      <c r="H77" s="237" t="s">
        <v>648</v>
      </c>
      <c r="I77" s="25" t="s">
        <v>650</v>
      </c>
    </row>
    <row r="78" spans="2:9" hidden="1">
      <c r="B78" s="163" t="s">
        <v>184</v>
      </c>
      <c r="C78" s="164" t="s">
        <v>346</v>
      </c>
      <c r="D78" s="275" t="str">
        <f>INDEX('Country &amp; Code Abbreviation'!$D$3:$D$245,MATCH('Cancel Deflection - Apple'!B78,'Country &amp; Code Abbreviation'!$B$3:$B$245,0))</f>
        <v>JOR</v>
      </c>
      <c r="E78" s="238">
        <v>0</v>
      </c>
      <c r="F78" s="237" t="s">
        <v>648</v>
      </c>
      <c r="G78" s="238">
        <v>0</v>
      </c>
      <c r="H78" s="237" t="s">
        <v>648</v>
      </c>
      <c r="I78" s="25" t="s">
        <v>649</v>
      </c>
    </row>
    <row r="79" spans="2:9" hidden="1">
      <c r="B79" s="163" t="s">
        <v>185</v>
      </c>
      <c r="C79" s="164" t="s">
        <v>381</v>
      </c>
      <c r="D79" s="275" t="str">
        <f>INDEX('Country &amp; Code Abbreviation'!$D$3:$D$245,MATCH('Cancel Deflection - Apple'!B79,'Country &amp; Code Abbreviation'!$B$3:$B$245,0))</f>
        <v>KAZ</v>
      </c>
      <c r="E79" s="238">
        <v>0</v>
      </c>
      <c r="F79" s="237" t="s">
        <v>648</v>
      </c>
      <c r="G79" s="238">
        <v>0</v>
      </c>
      <c r="H79" s="237" t="s">
        <v>648</v>
      </c>
      <c r="I79" s="25" t="s">
        <v>649</v>
      </c>
    </row>
    <row r="80" spans="2:9" hidden="1">
      <c r="B80" s="163" t="s">
        <v>186</v>
      </c>
      <c r="C80" s="164" t="s">
        <v>346</v>
      </c>
      <c r="D80" s="275" t="str">
        <f>INDEX('Country &amp; Code Abbreviation'!$D$3:$D$245,MATCH('Cancel Deflection - Apple'!B80,'Country &amp; Code Abbreviation'!$B$3:$B$245,0))</f>
        <v>KEN</v>
      </c>
      <c r="E80" s="238">
        <v>0</v>
      </c>
      <c r="F80" s="237" t="s">
        <v>648</v>
      </c>
      <c r="G80" s="238">
        <v>0</v>
      </c>
      <c r="H80" s="237" t="s">
        <v>648</v>
      </c>
      <c r="I80" s="25" t="s">
        <v>649</v>
      </c>
    </row>
    <row r="81" spans="2:9">
      <c r="B81" s="163" t="s">
        <v>273</v>
      </c>
      <c r="C81" s="164" t="s">
        <v>382</v>
      </c>
      <c r="D81" s="275" t="str">
        <f>INDEX('Country &amp; Code Abbreviation'!$D$3:$D$245,MATCH('Cancel Deflection - Apple'!B81,'Country &amp; Code Abbreviation'!$B$3:$B$245,0))</f>
        <v>KOR</v>
      </c>
      <c r="E81" s="237" t="s">
        <v>648</v>
      </c>
      <c r="F81" s="237" t="s">
        <v>648</v>
      </c>
      <c r="G81" s="237" t="s">
        <v>648</v>
      </c>
      <c r="H81" s="237" t="s">
        <v>648</v>
      </c>
      <c r="I81" s="25" t="s">
        <v>650</v>
      </c>
    </row>
    <row r="82" spans="2:9" hidden="1">
      <c r="B82" s="163" t="s">
        <v>188</v>
      </c>
      <c r="C82" s="164" t="s">
        <v>368</v>
      </c>
      <c r="D82" s="275" t="e">
        <f>INDEX('Country &amp; Code Abbreviation'!$D$3:$D$245,MATCH('Cancel Deflection - Apple'!B82,'Country &amp; Code Abbreviation'!$B$3:$B$245,0))</f>
        <v>#N/A</v>
      </c>
      <c r="E82" s="238">
        <v>0</v>
      </c>
      <c r="F82" s="237" t="s">
        <v>648</v>
      </c>
      <c r="G82" s="238">
        <v>0</v>
      </c>
      <c r="H82" s="237" t="s">
        <v>648</v>
      </c>
      <c r="I82" s="25" t="s">
        <v>649</v>
      </c>
    </row>
    <row r="83" spans="2:9">
      <c r="B83" s="163" t="s">
        <v>189</v>
      </c>
      <c r="C83" s="164" t="s">
        <v>346</v>
      </c>
      <c r="D83" s="275" t="str">
        <f>INDEX('Country &amp; Code Abbreviation'!$D$3:$D$245,MATCH('Cancel Deflection - Apple'!B83,'Country &amp; Code Abbreviation'!$B$3:$B$245,0))</f>
        <v>KWT</v>
      </c>
      <c r="E83" s="237" t="s">
        <v>648</v>
      </c>
      <c r="F83" s="237" t="s">
        <v>648</v>
      </c>
      <c r="G83" s="237" t="s">
        <v>648</v>
      </c>
      <c r="H83" s="237" t="s">
        <v>648</v>
      </c>
      <c r="I83" s="25" t="s">
        <v>650</v>
      </c>
    </row>
    <row r="84" spans="2:9" hidden="1">
      <c r="B84" s="163" t="s">
        <v>190</v>
      </c>
      <c r="C84" s="164" t="s">
        <v>346</v>
      </c>
      <c r="D84" s="275" t="str">
        <f>INDEX('Country &amp; Code Abbreviation'!$D$3:$D$245,MATCH('Cancel Deflection - Apple'!B84,'Country &amp; Code Abbreviation'!$B$3:$B$245,0))</f>
        <v>KGZ</v>
      </c>
      <c r="E84" s="238">
        <v>0</v>
      </c>
      <c r="F84" s="237" t="s">
        <v>648</v>
      </c>
      <c r="G84" s="238">
        <v>0</v>
      </c>
      <c r="H84" s="237" t="s">
        <v>648</v>
      </c>
      <c r="I84" s="25" t="s">
        <v>649</v>
      </c>
    </row>
    <row r="85" spans="2:9" hidden="1">
      <c r="B85" s="163" t="s">
        <v>191</v>
      </c>
      <c r="C85" s="164" t="s">
        <v>346</v>
      </c>
      <c r="D85" s="275" t="str">
        <f>INDEX('Country &amp; Code Abbreviation'!$D$3:$D$245,MATCH('Cancel Deflection - Apple'!B85,'Country &amp; Code Abbreviation'!$B$3:$B$245,0))</f>
        <v>LAO</v>
      </c>
      <c r="E85" s="238">
        <v>0</v>
      </c>
      <c r="F85" s="237" t="s">
        <v>648</v>
      </c>
      <c r="G85" s="238">
        <v>0</v>
      </c>
      <c r="H85" s="237" t="s">
        <v>648</v>
      </c>
      <c r="I85" s="25" t="s">
        <v>649</v>
      </c>
    </row>
    <row r="86" spans="2:9">
      <c r="B86" s="163" t="s">
        <v>192</v>
      </c>
      <c r="C86" s="164" t="s">
        <v>368</v>
      </c>
      <c r="D86" s="275" t="str">
        <f>INDEX('Country &amp; Code Abbreviation'!$D$3:$D$245,MATCH('Cancel Deflection - Apple'!B86,'Country &amp; Code Abbreviation'!$B$3:$B$245,0))</f>
        <v>LVA</v>
      </c>
      <c r="E86" s="237" t="s">
        <v>648</v>
      </c>
      <c r="F86" s="237" t="s">
        <v>648</v>
      </c>
      <c r="G86" s="237" t="s">
        <v>648</v>
      </c>
      <c r="H86" s="237" t="s">
        <v>648</v>
      </c>
      <c r="I86" s="25" t="s">
        <v>650</v>
      </c>
    </row>
    <row r="87" spans="2:9">
      <c r="B87" s="163" t="s">
        <v>193</v>
      </c>
      <c r="C87" s="164" t="s">
        <v>346</v>
      </c>
      <c r="D87" s="275" t="str">
        <f>INDEX('Country &amp; Code Abbreviation'!$D$3:$D$245,MATCH('Cancel Deflection - Apple'!B87,'Country &amp; Code Abbreviation'!$B$3:$B$245,0))</f>
        <v>LBN</v>
      </c>
      <c r="E87" s="237" t="s">
        <v>648</v>
      </c>
      <c r="F87" s="237" t="s">
        <v>648</v>
      </c>
      <c r="G87" s="237" t="s">
        <v>648</v>
      </c>
      <c r="H87" s="237" t="s">
        <v>648</v>
      </c>
      <c r="I87" s="25" t="s">
        <v>650</v>
      </c>
    </row>
    <row r="88" spans="2:9" hidden="1">
      <c r="B88" s="163" t="s">
        <v>195</v>
      </c>
      <c r="C88" s="164" t="s">
        <v>346</v>
      </c>
      <c r="D88" s="275" t="str">
        <f>INDEX('Country &amp; Code Abbreviation'!$D$3:$D$245,MATCH('Cancel Deflection - Apple'!B88,'Country &amp; Code Abbreviation'!$B$3:$B$245,0))</f>
        <v>LBR</v>
      </c>
      <c r="E88" s="238">
        <v>0</v>
      </c>
      <c r="F88" s="237" t="s">
        <v>648</v>
      </c>
      <c r="G88" s="238">
        <v>0</v>
      </c>
      <c r="H88" s="237" t="s">
        <v>648</v>
      </c>
      <c r="I88" s="25" t="s">
        <v>649</v>
      </c>
    </row>
    <row r="89" spans="2:9" hidden="1">
      <c r="B89" s="163" t="s">
        <v>196</v>
      </c>
      <c r="C89" s="164" t="s">
        <v>346</v>
      </c>
      <c r="D89" s="275" t="str">
        <f>INDEX('Country &amp; Code Abbreviation'!$D$3:$D$245,MATCH('Cancel Deflection - Apple'!B89,'Country &amp; Code Abbreviation'!$B$3:$B$245,0))</f>
        <v>LBY</v>
      </c>
      <c r="E89" s="238">
        <v>0</v>
      </c>
      <c r="F89" s="237" t="s">
        <v>648</v>
      </c>
      <c r="G89" s="238">
        <v>0</v>
      </c>
      <c r="H89" s="237" t="s">
        <v>648</v>
      </c>
      <c r="I89" s="25" t="s">
        <v>649</v>
      </c>
    </row>
    <row r="90" spans="2:9">
      <c r="B90" s="163" t="s">
        <v>198</v>
      </c>
      <c r="C90" s="164" t="s">
        <v>368</v>
      </c>
      <c r="D90" s="275" t="str">
        <f>INDEX('Country &amp; Code Abbreviation'!$D$3:$D$245,MATCH('Cancel Deflection - Apple'!B90,'Country &amp; Code Abbreviation'!$B$3:$B$245,0))</f>
        <v>LTU</v>
      </c>
      <c r="E90" s="237" t="s">
        <v>648</v>
      </c>
      <c r="F90" s="237" t="s">
        <v>648</v>
      </c>
      <c r="G90" s="237" t="s">
        <v>648</v>
      </c>
      <c r="H90" s="237" t="s">
        <v>648</v>
      </c>
      <c r="I90" s="25" t="s">
        <v>650</v>
      </c>
    </row>
    <row r="91" spans="2:9">
      <c r="B91" s="163" t="s">
        <v>199</v>
      </c>
      <c r="C91" s="164" t="s">
        <v>368</v>
      </c>
      <c r="D91" s="275" t="str">
        <f>INDEX('Country &amp; Code Abbreviation'!$D$3:$D$245,MATCH('Cancel Deflection - Apple'!B91,'Country &amp; Code Abbreviation'!$B$3:$B$245,0))</f>
        <v>LUX</v>
      </c>
      <c r="E91" s="237" t="s">
        <v>648</v>
      </c>
      <c r="F91" s="237" t="s">
        <v>648</v>
      </c>
      <c r="G91" s="237" t="s">
        <v>648</v>
      </c>
      <c r="H91" s="237" t="s">
        <v>648</v>
      </c>
      <c r="I91" s="25" t="s">
        <v>650</v>
      </c>
    </row>
    <row r="92" spans="2:9">
      <c r="B92" s="163" t="s">
        <v>200</v>
      </c>
      <c r="C92" s="164" t="s">
        <v>346</v>
      </c>
      <c r="D92" s="275" t="str">
        <f>INDEX('Country &amp; Code Abbreviation'!$D$3:$D$245,MATCH('Cancel Deflection - Apple'!B92,'Country &amp; Code Abbreviation'!$B$3:$B$245,0))</f>
        <v>MAC</v>
      </c>
      <c r="E92" s="237" t="s">
        <v>648</v>
      </c>
      <c r="F92" s="237" t="s">
        <v>648</v>
      </c>
      <c r="G92" s="237" t="s">
        <v>648</v>
      </c>
      <c r="H92" s="237" t="s">
        <v>648</v>
      </c>
      <c r="I92" s="25" t="s">
        <v>650</v>
      </c>
    </row>
    <row r="93" spans="2:9">
      <c r="B93" s="163" t="s">
        <v>201</v>
      </c>
      <c r="C93" s="164" t="s">
        <v>346</v>
      </c>
      <c r="D93" s="275" t="str">
        <f>INDEX('Country &amp; Code Abbreviation'!$D$3:$D$245,MATCH('Cancel Deflection - Apple'!B93,'Country &amp; Code Abbreviation'!$B$3:$B$245,0))</f>
        <v>MKD</v>
      </c>
      <c r="E93" s="237" t="s">
        <v>648</v>
      </c>
      <c r="F93" s="237" t="s">
        <v>648</v>
      </c>
      <c r="G93" s="237" t="s">
        <v>648</v>
      </c>
      <c r="H93" s="237" t="s">
        <v>648</v>
      </c>
      <c r="I93" s="25" t="s">
        <v>650</v>
      </c>
    </row>
    <row r="94" spans="2:9" hidden="1">
      <c r="B94" s="163" t="s">
        <v>202</v>
      </c>
      <c r="C94" s="164" t="s">
        <v>346</v>
      </c>
      <c r="D94" s="275" t="str">
        <f>INDEX('Country &amp; Code Abbreviation'!$D$3:$D$245,MATCH('Cancel Deflection - Apple'!B94,'Country &amp; Code Abbreviation'!$B$3:$B$245,0))</f>
        <v>MDG</v>
      </c>
      <c r="E94" s="238">
        <v>0</v>
      </c>
      <c r="F94" s="237" t="s">
        <v>648</v>
      </c>
      <c r="G94" s="238">
        <v>0</v>
      </c>
      <c r="H94" s="237" t="s">
        <v>648</v>
      </c>
      <c r="I94" s="25" t="s">
        <v>649</v>
      </c>
    </row>
    <row r="95" spans="2:9" hidden="1">
      <c r="B95" s="163" t="s">
        <v>203</v>
      </c>
      <c r="C95" s="164" t="s">
        <v>346</v>
      </c>
      <c r="D95" s="275" t="str">
        <f>INDEX('Country &amp; Code Abbreviation'!$D$3:$D$245,MATCH('Cancel Deflection - Apple'!B95,'Country &amp; Code Abbreviation'!$B$3:$B$245,0))</f>
        <v>MWI</v>
      </c>
      <c r="E95" s="238">
        <v>0</v>
      </c>
      <c r="F95" s="237" t="s">
        <v>648</v>
      </c>
      <c r="G95" s="238">
        <v>0</v>
      </c>
      <c r="H95" s="237" t="s">
        <v>648</v>
      </c>
      <c r="I95" s="25" t="s">
        <v>649</v>
      </c>
    </row>
    <row r="96" spans="2:9">
      <c r="B96" s="163" t="s">
        <v>204</v>
      </c>
      <c r="C96" s="164" t="s">
        <v>383</v>
      </c>
      <c r="D96" s="275" t="str">
        <f>INDEX('Country &amp; Code Abbreviation'!$D$3:$D$245,MATCH('Cancel Deflection - Apple'!B96,'Country &amp; Code Abbreviation'!$B$3:$B$245,0))</f>
        <v>MYS</v>
      </c>
      <c r="E96" s="237" t="s">
        <v>648</v>
      </c>
      <c r="F96" s="237" t="s">
        <v>648</v>
      </c>
      <c r="G96" s="237" t="s">
        <v>648</v>
      </c>
      <c r="H96" s="237" t="s">
        <v>648</v>
      </c>
      <c r="I96" s="25" t="s">
        <v>650</v>
      </c>
    </row>
    <row r="97" spans="2:9" hidden="1">
      <c r="B97" s="163" t="s">
        <v>205</v>
      </c>
      <c r="C97" s="164" t="s">
        <v>346</v>
      </c>
      <c r="D97" s="275" t="str">
        <f>INDEX('Country &amp; Code Abbreviation'!$D$3:$D$245,MATCH('Cancel Deflection - Apple'!B97,'Country &amp; Code Abbreviation'!$B$3:$B$245,0))</f>
        <v>MDV</v>
      </c>
      <c r="E97" s="238">
        <v>0</v>
      </c>
      <c r="F97" s="237" t="s">
        <v>648</v>
      </c>
      <c r="G97" s="238">
        <v>0</v>
      </c>
      <c r="H97" s="237" t="s">
        <v>648</v>
      </c>
      <c r="I97" s="25" t="s">
        <v>649</v>
      </c>
    </row>
    <row r="98" spans="2:9" hidden="1">
      <c r="B98" s="163" t="s">
        <v>206</v>
      </c>
      <c r="C98" s="164" t="s">
        <v>346</v>
      </c>
      <c r="D98" s="275" t="str">
        <f>INDEX('Country &amp; Code Abbreviation'!$D$3:$D$245,MATCH('Cancel Deflection - Apple'!B98,'Country &amp; Code Abbreviation'!$B$3:$B$245,0))</f>
        <v>MLI</v>
      </c>
      <c r="E98" s="238">
        <v>0</v>
      </c>
      <c r="F98" s="237" t="s">
        <v>648</v>
      </c>
      <c r="G98" s="238">
        <v>0</v>
      </c>
      <c r="H98" s="237" t="s">
        <v>648</v>
      </c>
      <c r="I98" s="25" t="s">
        <v>649</v>
      </c>
    </row>
    <row r="99" spans="2:9" hidden="1">
      <c r="B99" s="163" t="s">
        <v>207</v>
      </c>
      <c r="C99" s="164" t="s">
        <v>368</v>
      </c>
      <c r="D99" s="275" t="str">
        <f>INDEX('Country &amp; Code Abbreviation'!$D$3:$D$245,MATCH('Cancel Deflection - Apple'!B99,'Country &amp; Code Abbreviation'!$B$3:$B$245,0))</f>
        <v>MLT</v>
      </c>
      <c r="E99" s="238">
        <v>0</v>
      </c>
      <c r="F99" s="237" t="s">
        <v>648</v>
      </c>
      <c r="G99" s="238">
        <v>0</v>
      </c>
      <c r="H99" s="237" t="s">
        <v>648</v>
      </c>
      <c r="I99" s="25" t="s">
        <v>649</v>
      </c>
    </row>
    <row r="100" spans="2:9" hidden="1">
      <c r="B100" s="163" t="s">
        <v>210</v>
      </c>
      <c r="C100" s="164" t="s">
        <v>346</v>
      </c>
      <c r="D100" s="275" t="str">
        <f>INDEX('Country &amp; Code Abbreviation'!$D$3:$D$245,MATCH('Cancel Deflection - Apple'!B100,'Country &amp; Code Abbreviation'!$B$3:$B$245,0))</f>
        <v>MRT</v>
      </c>
      <c r="E100" s="238">
        <v>0</v>
      </c>
      <c r="F100" s="237" t="s">
        <v>648</v>
      </c>
      <c r="G100" s="238">
        <v>0</v>
      </c>
      <c r="H100" s="237" t="s">
        <v>648</v>
      </c>
      <c r="I100" s="25" t="s">
        <v>649</v>
      </c>
    </row>
    <row r="101" spans="2:9" hidden="1">
      <c r="B101" s="163" t="s">
        <v>211</v>
      </c>
      <c r="C101" s="164" t="s">
        <v>346</v>
      </c>
      <c r="D101" s="275" t="str">
        <f>INDEX('Country &amp; Code Abbreviation'!$D$3:$D$245,MATCH('Cancel Deflection - Apple'!B101,'Country &amp; Code Abbreviation'!$B$3:$B$245,0))</f>
        <v>MUS</v>
      </c>
      <c r="E101" s="238">
        <v>0</v>
      </c>
      <c r="F101" s="237" t="s">
        <v>648</v>
      </c>
      <c r="G101" s="238">
        <v>0</v>
      </c>
      <c r="H101" s="237" t="s">
        <v>648</v>
      </c>
      <c r="I101" s="25" t="s">
        <v>649</v>
      </c>
    </row>
    <row r="102" spans="2:9">
      <c r="B102" s="163" t="s">
        <v>213</v>
      </c>
      <c r="C102" s="164" t="s">
        <v>384</v>
      </c>
      <c r="D102" s="275" t="str">
        <f>INDEX('Country &amp; Code Abbreviation'!$D$3:$D$245,MATCH('Cancel Deflection - Apple'!B102,'Country &amp; Code Abbreviation'!$B$3:$B$245,0))</f>
        <v>MEX</v>
      </c>
      <c r="E102" s="237" t="s">
        <v>648</v>
      </c>
      <c r="F102" s="237" t="s">
        <v>648</v>
      </c>
      <c r="G102" s="237" t="s">
        <v>648</v>
      </c>
      <c r="H102" s="237" t="s">
        <v>648</v>
      </c>
      <c r="I102" s="25" t="s">
        <v>650</v>
      </c>
    </row>
    <row r="103" spans="2:9" hidden="1">
      <c r="B103" s="163" t="s">
        <v>214</v>
      </c>
      <c r="C103" s="164" t="s">
        <v>346</v>
      </c>
      <c r="D103" s="275" t="str">
        <f>INDEX('Country &amp; Code Abbreviation'!$D$3:$D$245,MATCH('Cancel Deflection - Apple'!B103,'Country &amp; Code Abbreviation'!$B$3:$B$245,0))</f>
        <v>FSM</v>
      </c>
      <c r="E103" s="238">
        <v>0</v>
      </c>
      <c r="F103" s="237" t="s">
        <v>648</v>
      </c>
      <c r="G103" s="238">
        <v>0</v>
      </c>
      <c r="H103" s="237" t="s">
        <v>648</v>
      </c>
      <c r="I103" s="25" t="s">
        <v>649</v>
      </c>
    </row>
    <row r="104" spans="2:9" hidden="1">
      <c r="B104" s="163" t="s">
        <v>215</v>
      </c>
      <c r="C104" s="164" t="s">
        <v>346</v>
      </c>
      <c r="D104" s="275" t="str">
        <f>INDEX('Country &amp; Code Abbreviation'!$D$3:$D$245,MATCH('Cancel Deflection - Apple'!B104,'Country &amp; Code Abbreviation'!$B$3:$B$245,0))</f>
        <v>MDA</v>
      </c>
      <c r="E104" s="238">
        <v>0</v>
      </c>
      <c r="F104" s="237" t="s">
        <v>648</v>
      </c>
      <c r="G104" s="238">
        <v>0</v>
      </c>
      <c r="H104" s="237" t="s">
        <v>648</v>
      </c>
      <c r="I104" s="25" t="s">
        <v>649</v>
      </c>
    </row>
    <row r="105" spans="2:9">
      <c r="B105" s="163" t="s">
        <v>217</v>
      </c>
      <c r="C105" s="164" t="s">
        <v>346</v>
      </c>
      <c r="D105" s="275" t="str">
        <f>INDEX('Country &amp; Code Abbreviation'!$D$3:$D$245,MATCH('Cancel Deflection - Apple'!B105,'Country &amp; Code Abbreviation'!$B$3:$B$245,0))</f>
        <v>MNG</v>
      </c>
      <c r="E105" s="237" t="s">
        <v>648</v>
      </c>
      <c r="F105" s="237" t="s">
        <v>648</v>
      </c>
      <c r="G105" s="237" t="s">
        <v>648</v>
      </c>
      <c r="H105" s="237" t="s">
        <v>648</v>
      </c>
      <c r="I105" s="25" t="s">
        <v>650</v>
      </c>
    </row>
    <row r="106" spans="2:9" hidden="1">
      <c r="B106" s="163" t="s">
        <v>218</v>
      </c>
      <c r="C106" s="164" t="s">
        <v>368</v>
      </c>
      <c r="D106" s="275" t="str">
        <f>INDEX('Country &amp; Code Abbreviation'!$D$3:$D$245,MATCH('Cancel Deflection - Apple'!B106,'Country &amp; Code Abbreviation'!$B$3:$B$245,0))</f>
        <v>MNE</v>
      </c>
      <c r="E106" s="238">
        <v>0</v>
      </c>
      <c r="F106" s="237" t="s">
        <v>648</v>
      </c>
      <c r="G106" s="238">
        <v>0</v>
      </c>
      <c r="H106" s="237" t="s">
        <v>648</v>
      </c>
      <c r="I106" s="25" t="s">
        <v>649</v>
      </c>
    </row>
    <row r="107" spans="2:9" hidden="1">
      <c r="B107" s="163" t="s">
        <v>219</v>
      </c>
      <c r="C107" s="164" t="s">
        <v>346</v>
      </c>
      <c r="D107" s="275" t="str">
        <f>INDEX('Country &amp; Code Abbreviation'!$D$3:$D$245,MATCH('Cancel Deflection - Apple'!B107,'Country &amp; Code Abbreviation'!$B$3:$B$245,0))</f>
        <v>MSR</v>
      </c>
      <c r="E107" s="238">
        <v>0</v>
      </c>
      <c r="F107" s="237" t="s">
        <v>648</v>
      </c>
      <c r="G107" s="238">
        <v>0</v>
      </c>
      <c r="H107" s="237" t="s">
        <v>648</v>
      </c>
      <c r="I107" s="25" t="s">
        <v>649</v>
      </c>
    </row>
    <row r="108" spans="2:9">
      <c r="B108" s="163" t="s">
        <v>220</v>
      </c>
      <c r="C108" s="164" t="s">
        <v>346</v>
      </c>
      <c r="D108" s="275" t="str">
        <f>INDEX('Country &amp; Code Abbreviation'!$D$3:$D$245,MATCH('Cancel Deflection - Apple'!B108,'Country &amp; Code Abbreviation'!$B$3:$B$245,0))</f>
        <v>MAR</v>
      </c>
      <c r="E108" s="237" t="s">
        <v>648</v>
      </c>
      <c r="F108" s="237" t="s">
        <v>648</v>
      </c>
      <c r="G108" s="237" t="s">
        <v>648</v>
      </c>
      <c r="H108" s="237" t="s">
        <v>648</v>
      </c>
      <c r="I108" s="25" t="s">
        <v>650</v>
      </c>
    </row>
    <row r="109" spans="2:9" hidden="1">
      <c r="B109" s="163" t="s">
        <v>221</v>
      </c>
      <c r="C109" s="164" t="s">
        <v>346</v>
      </c>
      <c r="D109" s="275" t="str">
        <f>INDEX('Country &amp; Code Abbreviation'!$D$3:$D$245,MATCH('Cancel Deflection - Apple'!B109,'Country &amp; Code Abbreviation'!$B$3:$B$245,0))</f>
        <v>MOZ</v>
      </c>
      <c r="E109" s="238">
        <v>0</v>
      </c>
      <c r="F109" s="237" t="s">
        <v>648</v>
      </c>
      <c r="G109" s="238">
        <v>0</v>
      </c>
      <c r="H109" s="237" t="s">
        <v>648</v>
      </c>
      <c r="I109" s="25" t="s">
        <v>649</v>
      </c>
    </row>
    <row r="110" spans="2:9" hidden="1">
      <c r="B110" s="163" t="s">
        <v>222</v>
      </c>
      <c r="C110" s="164" t="s">
        <v>346</v>
      </c>
      <c r="D110" s="275" t="str">
        <f>INDEX('Country &amp; Code Abbreviation'!$D$3:$D$245,MATCH('Cancel Deflection - Apple'!B110,'Country &amp; Code Abbreviation'!$B$3:$B$245,0))</f>
        <v>MMR</v>
      </c>
      <c r="E110" s="238">
        <v>0</v>
      </c>
      <c r="F110" s="237" t="s">
        <v>648</v>
      </c>
      <c r="G110" s="238">
        <v>0</v>
      </c>
      <c r="H110" s="237" t="s">
        <v>648</v>
      </c>
      <c r="I110" s="25" t="s">
        <v>649</v>
      </c>
    </row>
    <row r="111" spans="2:9" hidden="1">
      <c r="B111" s="163" t="s">
        <v>223</v>
      </c>
      <c r="C111" s="164" t="s">
        <v>346</v>
      </c>
      <c r="D111" s="275" t="str">
        <f>INDEX('Country &amp; Code Abbreviation'!$D$3:$D$245,MATCH('Cancel Deflection - Apple'!B111,'Country &amp; Code Abbreviation'!$B$3:$B$245,0))</f>
        <v>NAM</v>
      </c>
      <c r="E111" s="238">
        <v>0</v>
      </c>
      <c r="F111" s="237" t="s">
        <v>648</v>
      </c>
      <c r="G111" s="238">
        <v>0</v>
      </c>
      <c r="H111" s="237" t="s">
        <v>648</v>
      </c>
      <c r="I111" s="25" t="s">
        <v>649</v>
      </c>
    </row>
    <row r="112" spans="2:9" hidden="1">
      <c r="B112" s="163" t="s">
        <v>224</v>
      </c>
      <c r="C112" s="164" t="s">
        <v>346</v>
      </c>
      <c r="D112" s="275" t="str">
        <f>INDEX('Country &amp; Code Abbreviation'!$D$3:$D$245,MATCH('Cancel Deflection - Apple'!B112,'Country &amp; Code Abbreviation'!$B$3:$B$245,0))</f>
        <v>NRU</v>
      </c>
      <c r="E112" s="238">
        <v>0</v>
      </c>
      <c r="F112" s="237" t="s">
        <v>648</v>
      </c>
      <c r="G112" s="238">
        <v>0</v>
      </c>
      <c r="H112" s="237" t="s">
        <v>648</v>
      </c>
      <c r="I112" s="25" t="s">
        <v>649</v>
      </c>
    </row>
    <row r="113" spans="2:9" hidden="1">
      <c r="B113" s="163" t="s">
        <v>225</v>
      </c>
      <c r="C113" s="164" t="s">
        <v>346</v>
      </c>
      <c r="D113" s="275" t="str">
        <f>INDEX('Country &amp; Code Abbreviation'!$D$3:$D$245,MATCH('Cancel Deflection - Apple'!B113,'Country &amp; Code Abbreviation'!$B$3:$B$245,0))</f>
        <v>NPL</v>
      </c>
      <c r="E113" s="238">
        <v>0</v>
      </c>
      <c r="F113" s="237" t="s">
        <v>648</v>
      </c>
      <c r="G113" s="238">
        <v>0</v>
      </c>
      <c r="H113" s="237" t="s">
        <v>648</v>
      </c>
      <c r="I113" s="25" t="s">
        <v>649</v>
      </c>
    </row>
    <row r="114" spans="2:9">
      <c r="B114" s="163" t="s">
        <v>226</v>
      </c>
      <c r="C114" s="164" t="s">
        <v>368</v>
      </c>
      <c r="D114" s="275" t="str">
        <f>INDEX('Country &amp; Code Abbreviation'!$D$3:$D$245,MATCH('Cancel Deflection - Apple'!B114,'Country &amp; Code Abbreviation'!$B$3:$B$245,0))</f>
        <v>NLD</v>
      </c>
      <c r="E114" s="237" t="s">
        <v>648</v>
      </c>
      <c r="F114" s="237" t="s">
        <v>648</v>
      </c>
      <c r="G114" s="237" t="s">
        <v>648</v>
      </c>
      <c r="H114" s="237" t="s">
        <v>648</v>
      </c>
      <c r="I114" s="25" t="s">
        <v>650</v>
      </c>
    </row>
    <row r="115" spans="2:9">
      <c r="B115" s="163" t="s">
        <v>229</v>
      </c>
      <c r="C115" s="164" t="s">
        <v>385</v>
      </c>
      <c r="D115" s="275" t="str">
        <f>INDEX('Country &amp; Code Abbreviation'!$D$3:$D$245,MATCH('Cancel Deflection - Apple'!B115,'Country &amp; Code Abbreviation'!$B$3:$B$245,0))</f>
        <v>NZL</v>
      </c>
      <c r="E115" s="237" t="s">
        <v>648</v>
      </c>
      <c r="F115" s="237" t="s">
        <v>648</v>
      </c>
      <c r="G115" s="237" t="s">
        <v>648</v>
      </c>
      <c r="H115" s="237" t="s">
        <v>648</v>
      </c>
      <c r="I115" s="25" t="s">
        <v>650</v>
      </c>
    </row>
    <row r="116" spans="2:9">
      <c r="B116" s="163" t="s">
        <v>230</v>
      </c>
      <c r="C116" s="164" t="s">
        <v>346</v>
      </c>
      <c r="D116" s="275" t="str">
        <f>INDEX('Country &amp; Code Abbreviation'!$D$3:$D$245,MATCH('Cancel Deflection - Apple'!B116,'Country &amp; Code Abbreviation'!$B$3:$B$245,0))</f>
        <v>NIC</v>
      </c>
      <c r="E116" s="237" t="s">
        <v>648</v>
      </c>
      <c r="F116" s="237" t="s">
        <v>648</v>
      </c>
      <c r="G116" s="237" t="s">
        <v>648</v>
      </c>
      <c r="H116" s="237" t="s">
        <v>648</v>
      </c>
      <c r="I116" s="25" t="s">
        <v>650</v>
      </c>
    </row>
    <row r="117" spans="2:9" hidden="1">
      <c r="B117" s="163" t="s">
        <v>231</v>
      </c>
      <c r="C117" s="164" t="s">
        <v>346</v>
      </c>
      <c r="D117" s="275" t="str">
        <f>INDEX('Country &amp; Code Abbreviation'!$D$3:$D$245,MATCH('Cancel Deflection - Apple'!B117,'Country &amp; Code Abbreviation'!$B$3:$B$245,0))</f>
        <v>NER</v>
      </c>
      <c r="E117" s="238">
        <v>0</v>
      </c>
      <c r="F117" s="237" t="s">
        <v>648</v>
      </c>
      <c r="G117" s="238">
        <v>0</v>
      </c>
      <c r="H117" s="237" t="s">
        <v>648</v>
      </c>
      <c r="I117" s="25" t="s">
        <v>649</v>
      </c>
    </row>
    <row r="118" spans="2:9" hidden="1">
      <c r="B118" s="163" t="s">
        <v>232</v>
      </c>
      <c r="C118" s="164" t="s">
        <v>386</v>
      </c>
      <c r="D118" s="275" t="str">
        <f>INDEX('Country &amp; Code Abbreviation'!$D$3:$D$245,MATCH('Cancel Deflection - Apple'!B118,'Country &amp; Code Abbreviation'!$B$3:$B$245,0))</f>
        <v>NGA</v>
      </c>
      <c r="E118" s="238">
        <v>0</v>
      </c>
      <c r="F118" s="237" t="s">
        <v>648</v>
      </c>
      <c r="G118" s="238">
        <v>0</v>
      </c>
      <c r="H118" s="237" t="s">
        <v>648</v>
      </c>
      <c r="I118" s="25" t="s">
        <v>649</v>
      </c>
    </row>
    <row r="119" spans="2:9">
      <c r="B119" s="163" t="s">
        <v>237</v>
      </c>
      <c r="C119" s="164" t="s">
        <v>387</v>
      </c>
      <c r="D119" s="275" t="str">
        <f>INDEX('Country &amp; Code Abbreviation'!$D$3:$D$245,MATCH('Cancel Deflection - Apple'!B119,'Country &amp; Code Abbreviation'!$B$3:$B$245,0))</f>
        <v>NOR</v>
      </c>
      <c r="E119" s="237" t="s">
        <v>648</v>
      </c>
      <c r="F119" s="237" t="s">
        <v>648</v>
      </c>
      <c r="G119" s="237" t="s">
        <v>648</v>
      </c>
      <c r="H119" s="237" t="s">
        <v>648</v>
      </c>
      <c r="I119" s="25" t="s">
        <v>650</v>
      </c>
    </row>
    <row r="120" spans="2:9" hidden="1">
      <c r="B120" s="163" t="s">
        <v>238</v>
      </c>
      <c r="C120" s="164" t="s">
        <v>346</v>
      </c>
      <c r="D120" s="275" t="str">
        <f>INDEX('Country &amp; Code Abbreviation'!$D$3:$D$245,MATCH('Cancel Deflection - Apple'!B120,'Country &amp; Code Abbreviation'!$B$3:$B$245,0))</f>
        <v>OMN</v>
      </c>
      <c r="E120" s="238">
        <v>0</v>
      </c>
      <c r="F120" s="237" t="s">
        <v>648</v>
      </c>
      <c r="G120" s="238">
        <v>0</v>
      </c>
      <c r="H120" s="237" t="s">
        <v>648</v>
      </c>
      <c r="I120" s="25" t="s">
        <v>649</v>
      </c>
    </row>
    <row r="121" spans="2:9" hidden="1">
      <c r="B121" s="163" t="s">
        <v>239</v>
      </c>
      <c r="C121" s="164" t="s">
        <v>388</v>
      </c>
      <c r="D121" s="275" t="str">
        <f>INDEX('Country &amp; Code Abbreviation'!$D$3:$D$245,MATCH('Cancel Deflection - Apple'!B121,'Country &amp; Code Abbreviation'!$B$3:$B$245,0))</f>
        <v>PAK</v>
      </c>
      <c r="E121" s="238">
        <v>0</v>
      </c>
      <c r="F121" s="237" t="s">
        <v>648</v>
      </c>
      <c r="G121" s="238">
        <v>0</v>
      </c>
      <c r="H121" s="237" t="s">
        <v>648</v>
      </c>
      <c r="I121" s="25" t="s">
        <v>649</v>
      </c>
    </row>
    <row r="122" spans="2:9" hidden="1">
      <c r="B122" s="163" t="s">
        <v>240</v>
      </c>
      <c r="C122" s="164" t="s">
        <v>346</v>
      </c>
      <c r="D122" s="275" t="str">
        <f>INDEX('Country &amp; Code Abbreviation'!$D$3:$D$245,MATCH('Cancel Deflection - Apple'!B122,'Country &amp; Code Abbreviation'!$B$3:$B$245,0))</f>
        <v>PLW</v>
      </c>
      <c r="E122" s="238">
        <v>0</v>
      </c>
      <c r="F122" s="237" t="s">
        <v>648</v>
      </c>
      <c r="G122" s="238">
        <v>0</v>
      </c>
      <c r="H122" s="237" t="s">
        <v>648</v>
      </c>
      <c r="I122" s="25" t="s">
        <v>649</v>
      </c>
    </row>
    <row r="123" spans="2:9">
      <c r="B123" s="163" t="s">
        <v>242</v>
      </c>
      <c r="C123" s="164" t="s">
        <v>346</v>
      </c>
      <c r="D123" s="275" t="str">
        <f>INDEX('Country &amp; Code Abbreviation'!$D$3:$D$245,MATCH('Cancel Deflection - Apple'!B123,'Country &amp; Code Abbreviation'!$B$3:$B$245,0))</f>
        <v>PAN</v>
      </c>
      <c r="E123" s="237" t="s">
        <v>648</v>
      </c>
      <c r="F123" s="237" t="s">
        <v>648</v>
      </c>
      <c r="G123" s="237" t="s">
        <v>648</v>
      </c>
      <c r="H123" s="237" t="s">
        <v>648</v>
      </c>
      <c r="I123" s="25" t="s">
        <v>650</v>
      </c>
    </row>
    <row r="124" spans="2:9" hidden="1">
      <c r="B124" s="163" t="s">
        <v>243</v>
      </c>
      <c r="C124" s="164" t="s">
        <v>346</v>
      </c>
      <c r="D124" s="275" t="str">
        <f>INDEX('Country &amp; Code Abbreviation'!$D$3:$D$245,MATCH('Cancel Deflection - Apple'!B124,'Country &amp; Code Abbreviation'!$B$3:$B$245,0))</f>
        <v>PNG</v>
      </c>
      <c r="E124" s="238">
        <v>0</v>
      </c>
      <c r="F124" s="237" t="s">
        <v>648</v>
      </c>
      <c r="G124" s="238">
        <v>0</v>
      </c>
      <c r="H124" s="237" t="s">
        <v>648</v>
      </c>
      <c r="I124" s="25" t="s">
        <v>649</v>
      </c>
    </row>
    <row r="125" spans="2:9">
      <c r="B125" s="163" t="s">
        <v>244</v>
      </c>
      <c r="C125" s="164" t="s">
        <v>346</v>
      </c>
      <c r="D125" s="275" t="str">
        <f>INDEX('Country &amp; Code Abbreviation'!$D$3:$D$245,MATCH('Cancel Deflection - Apple'!B125,'Country &amp; Code Abbreviation'!$B$3:$B$245,0))</f>
        <v>PRY</v>
      </c>
      <c r="E125" s="237" t="s">
        <v>648</v>
      </c>
      <c r="F125" s="237" t="s">
        <v>648</v>
      </c>
      <c r="G125" s="237" t="s">
        <v>648</v>
      </c>
      <c r="H125" s="237" t="s">
        <v>648</v>
      </c>
      <c r="I125" s="25" t="s">
        <v>650</v>
      </c>
    </row>
    <row r="126" spans="2:9">
      <c r="B126" s="163" t="s">
        <v>245</v>
      </c>
      <c r="C126" s="164" t="s">
        <v>389</v>
      </c>
      <c r="D126" s="275" t="str">
        <f>INDEX('Country &amp; Code Abbreviation'!$D$3:$D$245,MATCH('Cancel Deflection - Apple'!B126,'Country &amp; Code Abbreviation'!$B$3:$B$245,0))</f>
        <v>PER</v>
      </c>
      <c r="E126" s="237" t="s">
        <v>648</v>
      </c>
      <c r="F126" s="237" t="s">
        <v>648</v>
      </c>
      <c r="G126" s="237" t="s">
        <v>648</v>
      </c>
      <c r="H126" s="237" t="s">
        <v>648</v>
      </c>
      <c r="I126" s="25" t="s">
        <v>650</v>
      </c>
    </row>
    <row r="127" spans="2:9">
      <c r="B127" s="163" t="s">
        <v>246</v>
      </c>
      <c r="C127" s="164" t="s">
        <v>390</v>
      </c>
      <c r="D127" s="275" t="str">
        <f>INDEX('Country &amp; Code Abbreviation'!$D$3:$D$245,MATCH('Cancel Deflection - Apple'!B127,'Country &amp; Code Abbreviation'!$B$3:$B$245,0))</f>
        <v>PHL</v>
      </c>
      <c r="E127" s="237" t="s">
        <v>648</v>
      </c>
      <c r="F127" s="237" t="s">
        <v>648</v>
      </c>
      <c r="G127" s="237" t="s">
        <v>648</v>
      </c>
      <c r="H127" s="237" t="s">
        <v>648</v>
      </c>
      <c r="I127" s="25" t="s">
        <v>650</v>
      </c>
    </row>
    <row r="128" spans="2:9">
      <c r="B128" s="163" t="s">
        <v>248</v>
      </c>
      <c r="C128" s="164" t="s">
        <v>391</v>
      </c>
      <c r="D128" s="275" t="str">
        <f>INDEX('Country &amp; Code Abbreviation'!$D$3:$D$245,MATCH('Cancel Deflection - Apple'!B128,'Country &amp; Code Abbreviation'!$B$3:$B$245,0))</f>
        <v>POL</v>
      </c>
      <c r="E128" s="237" t="s">
        <v>648</v>
      </c>
      <c r="F128" s="237" t="s">
        <v>648</v>
      </c>
      <c r="G128" s="237" t="s">
        <v>648</v>
      </c>
      <c r="H128" s="237" t="s">
        <v>648</v>
      </c>
      <c r="I128" s="25" t="s">
        <v>650</v>
      </c>
    </row>
    <row r="129" spans="2:9">
      <c r="B129" s="163" t="s">
        <v>249</v>
      </c>
      <c r="C129" s="164" t="s">
        <v>368</v>
      </c>
      <c r="D129" s="275" t="str">
        <f>INDEX('Country &amp; Code Abbreviation'!$D$3:$D$245,MATCH('Cancel Deflection - Apple'!B129,'Country &amp; Code Abbreviation'!$B$3:$B$245,0))</f>
        <v>PRT</v>
      </c>
      <c r="E129" s="237" t="s">
        <v>648</v>
      </c>
      <c r="F129" s="237" t="s">
        <v>648</v>
      </c>
      <c r="G129" s="237" t="s">
        <v>648</v>
      </c>
      <c r="H129" s="237" t="s">
        <v>648</v>
      </c>
      <c r="I129" s="25" t="s">
        <v>650</v>
      </c>
    </row>
    <row r="130" spans="2:9">
      <c r="B130" s="163" t="s">
        <v>250</v>
      </c>
      <c r="C130" s="164" t="s">
        <v>392</v>
      </c>
      <c r="D130" s="275" t="str">
        <f>INDEX('Country &amp; Code Abbreviation'!$D$3:$D$245,MATCH('Cancel Deflection - Apple'!B130,'Country &amp; Code Abbreviation'!$B$3:$B$245,0))</f>
        <v>QAT</v>
      </c>
      <c r="E130" s="237" t="s">
        <v>648</v>
      </c>
      <c r="F130" s="237" t="s">
        <v>648</v>
      </c>
      <c r="G130" s="237" t="s">
        <v>648</v>
      </c>
      <c r="H130" s="237" t="s">
        <v>648</v>
      </c>
      <c r="I130" s="25" t="s">
        <v>650</v>
      </c>
    </row>
    <row r="131" spans="2:9" hidden="1">
      <c r="B131" s="163" t="s">
        <v>252</v>
      </c>
      <c r="C131" s="164" t="s">
        <v>393</v>
      </c>
      <c r="D131" s="275" t="str">
        <f>INDEX('Country &amp; Code Abbreviation'!$D$3:$D$245,MATCH('Cancel Deflection - Apple'!B131,'Country &amp; Code Abbreviation'!$B$3:$B$245,0))</f>
        <v>ROU</v>
      </c>
      <c r="E131" s="238">
        <v>0</v>
      </c>
      <c r="F131" s="237" t="s">
        <v>648</v>
      </c>
      <c r="G131" s="238">
        <v>0</v>
      </c>
      <c r="H131" s="237" t="s">
        <v>648</v>
      </c>
      <c r="I131" s="25" t="s">
        <v>649</v>
      </c>
    </row>
    <row r="132" spans="2:9" hidden="1">
      <c r="B132" s="163" t="s">
        <v>253</v>
      </c>
      <c r="C132" s="164" t="s">
        <v>394</v>
      </c>
      <c r="D132" s="275" t="str">
        <f>INDEX('Country &amp; Code Abbreviation'!$D$3:$D$245,MATCH('Cancel Deflection - Apple'!B132,'Country &amp; Code Abbreviation'!$B$3:$B$245,0))</f>
        <v>RUS</v>
      </c>
      <c r="E132" s="238">
        <v>0</v>
      </c>
      <c r="F132" s="237" t="s">
        <v>648</v>
      </c>
      <c r="G132" s="238">
        <v>0</v>
      </c>
      <c r="H132" s="237" t="s">
        <v>648</v>
      </c>
      <c r="I132" s="25" t="s">
        <v>649</v>
      </c>
    </row>
    <row r="133" spans="2:9" hidden="1">
      <c r="B133" s="163" t="s">
        <v>254</v>
      </c>
      <c r="C133" s="164" t="s">
        <v>346</v>
      </c>
      <c r="D133" s="275" t="str">
        <f>INDEX('Country &amp; Code Abbreviation'!$D$3:$D$245,MATCH('Cancel Deflection - Apple'!B133,'Country &amp; Code Abbreviation'!$B$3:$B$245,0))</f>
        <v>RWA</v>
      </c>
      <c r="E133" s="238">
        <v>0</v>
      </c>
      <c r="F133" s="237" t="s">
        <v>648</v>
      </c>
      <c r="G133" s="238">
        <v>0</v>
      </c>
      <c r="H133" s="237" t="s">
        <v>648</v>
      </c>
      <c r="I133" s="25" t="s">
        <v>649</v>
      </c>
    </row>
    <row r="134" spans="2:9" hidden="1">
      <c r="B134" s="163" t="s">
        <v>258</v>
      </c>
      <c r="C134" s="164" t="s">
        <v>346</v>
      </c>
      <c r="D134" s="275" t="str">
        <f>INDEX('Country &amp; Code Abbreviation'!$D$3:$D$245,MATCH('Cancel Deflection - Apple'!B134,'Country &amp; Code Abbreviation'!$B$3:$B$245,0))</f>
        <v>STP</v>
      </c>
      <c r="E134" s="238">
        <v>0</v>
      </c>
      <c r="F134" s="237" t="s">
        <v>648</v>
      </c>
      <c r="G134" s="238">
        <v>0</v>
      </c>
      <c r="H134" s="237" t="s">
        <v>648</v>
      </c>
      <c r="I134" s="25" t="s">
        <v>649</v>
      </c>
    </row>
    <row r="135" spans="2:9">
      <c r="B135" s="163" t="s">
        <v>259</v>
      </c>
      <c r="C135" s="164" t="s">
        <v>395</v>
      </c>
      <c r="D135" s="275" t="str">
        <f>INDEX('Country &amp; Code Abbreviation'!$D$3:$D$245,MATCH('Cancel Deflection - Apple'!B135,'Country &amp; Code Abbreviation'!$B$3:$B$245,0))</f>
        <v>SAU</v>
      </c>
      <c r="E135" s="237" t="s">
        <v>648</v>
      </c>
      <c r="F135" s="237" t="s">
        <v>648</v>
      </c>
      <c r="G135" s="237" t="s">
        <v>648</v>
      </c>
      <c r="H135" s="237" t="s">
        <v>648</v>
      </c>
      <c r="I135" s="25" t="s">
        <v>650</v>
      </c>
    </row>
    <row r="136" spans="2:9" hidden="1">
      <c r="B136" s="163" t="s">
        <v>260</v>
      </c>
      <c r="C136" s="164" t="s">
        <v>346</v>
      </c>
      <c r="D136" s="275" t="str">
        <f>INDEX('Country &amp; Code Abbreviation'!$D$3:$D$245,MATCH('Cancel Deflection - Apple'!B136,'Country &amp; Code Abbreviation'!$B$3:$B$245,0))</f>
        <v>SEN</v>
      </c>
      <c r="E136" s="238">
        <v>0</v>
      </c>
      <c r="F136" s="237" t="s">
        <v>648</v>
      </c>
      <c r="G136" s="238">
        <v>0</v>
      </c>
      <c r="H136" s="237" t="s">
        <v>648</v>
      </c>
      <c r="I136" s="25" t="s">
        <v>649</v>
      </c>
    </row>
    <row r="137" spans="2:9" hidden="1">
      <c r="B137" s="163" t="s">
        <v>261</v>
      </c>
      <c r="C137" s="164" t="s">
        <v>368</v>
      </c>
      <c r="D137" s="275" t="str">
        <f>INDEX('Country &amp; Code Abbreviation'!$D$3:$D$245,MATCH('Cancel Deflection - Apple'!B137,'Country &amp; Code Abbreviation'!$B$3:$B$245,0))</f>
        <v>SRB</v>
      </c>
      <c r="E137" s="238">
        <v>0</v>
      </c>
      <c r="F137" s="237" t="s">
        <v>648</v>
      </c>
      <c r="G137" s="238">
        <v>0</v>
      </c>
      <c r="H137" s="237" t="s">
        <v>648</v>
      </c>
      <c r="I137" s="25" t="s">
        <v>649</v>
      </c>
    </row>
    <row r="138" spans="2:9" hidden="1">
      <c r="B138" s="163" t="s">
        <v>262</v>
      </c>
      <c r="C138" s="164" t="s">
        <v>346</v>
      </c>
      <c r="D138" s="275" t="str">
        <f>INDEX('Country &amp; Code Abbreviation'!$D$3:$D$245,MATCH('Cancel Deflection - Apple'!B138,'Country &amp; Code Abbreviation'!$B$3:$B$245,0))</f>
        <v>SYC</v>
      </c>
      <c r="E138" s="238">
        <v>0</v>
      </c>
      <c r="F138" s="237" t="s">
        <v>648</v>
      </c>
      <c r="G138" s="238">
        <v>0</v>
      </c>
      <c r="H138" s="237" t="s">
        <v>648</v>
      </c>
      <c r="I138" s="25" t="s">
        <v>649</v>
      </c>
    </row>
    <row r="139" spans="2:9" hidden="1">
      <c r="B139" s="163" t="s">
        <v>263</v>
      </c>
      <c r="C139" s="164" t="s">
        <v>346</v>
      </c>
      <c r="D139" s="275" t="str">
        <f>INDEX('Country &amp; Code Abbreviation'!$D$3:$D$245,MATCH('Cancel Deflection - Apple'!B139,'Country &amp; Code Abbreviation'!$B$3:$B$245,0))</f>
        <v>SLE</v>
      </c>
      <c r="E139" s="238">
        <v>0</v>
      </c>
      <c r="F139" s="237" t="s">
        <v>648</v>
      </c>
      <c r="G139" s="238">
        <v>0</v>
      </c>
      <c r="H139" s="237" t="s">
        <v>648</v>
      </c>
      <c r="I139" s="25" t="s">
        <v>649</v>
      </c>
    </row>
    <row r="140" spans="2:9">
      <c r="B140" s="163" t="s">
        <v>264</v>
      </c>
      <c r="C140" s="164" t="s">
        <v>396</v>
      </c>
      <c r="D140" s="275" t="str">
        <f>INDEX('Country &amp; Code Abbreviation'!$D$3:$D$245,MATCH('Cancel Deflection - Apple'!B140,'Country &amp; Code Abbreviation'!$B$3:$B$245,0))</f>
        <v>SGP</v>
      </c>
      <c r="E140" s="237" t="s">
        <v>648</v>
      </c>
      <c r="F140" s="237" t="s">
        <v>648</v>
      </c>
      <c r="G140" s="237" t="s">
        <v>648</v>
      </c>
      <c r="H140" s="237" t="s">
        <v>648</v>
      </c>
      <c r="I140" s="25" t="s">
        <v>650</v>
      </c>
    </row>
    <row r="141" spans="2:9">
      <c r="B141" s="163" t="s">
        <v>266</v>
      </c>
      <c r="C141" s="164" t="s">
        <v>368</v>
      </c>
      <c r="D141" s="275" t="str">
        <f>INDEX('Country &amp; Code Abbreviation'!$D$3:$D$245,MATCH('Cancel Deflection - Apple'!B141,'Country &amp; Code Abbreviation'!$B$3:$B$245,0))</f>
        <v>SVK</v>
      </c>
      <c r="E141" s="237" t="s">
        <v>648</v>
      </c>
      <c r="F141" s="237" t="s">
        <v>648</v>
      </c>
      <c r="G141" s="237" t="s">
        <v>648</v>
      </c>
      <c r="H141" s="237" t="s">
        <v>648</v>
      </c>
      <c r="I141" s="25" t="s">
        <v>650</v>
      </c>
    </row>
    <row r="142" spans="2:9">
      <c r="B142" s="163" t="s">
        <v>267</v>
      </c>
      <c r="C142" s="164" t="s">
        <v>368</v>
      </c>
      <c r="D142" s="275" t="str">
        <f>INDEX('Country &amp; Code Abbreviation'!$D$3:$D$245,MATCH('Cancel Deflection - Apple'!B142,'Country &amp; Code Abbreviation'!$B$3:$B$245,0))</f>
        <v>SVN</v>
      </c>
      <c r="E142" s="237" t="s">
        <v>648</v>
      </c>
      <c r="F142" s="237" t="s">
        <v>648</v>
      </c>
      <c r="G142" s="237" t="s">
        <v>648</v>
      </c>
      <c r="H142" s="237" t="s">
        <v>648</v>
      </c>
      <c r="I142" s="25" t="s">
        <v>650</v>
      </c>
    </row>
    <row r="143" spans="2:9" hidden="1">
      <c r="B143" s="163" t="s">
        <v>268</v>
      </c>
      <c r="C143" s="164" t="s">
        <v>346</v>
      </c>
      <c r="D143" s="275" t="str">
        <f>INDEX('Country &amp; Code Abbreviation'!$D$3:$D$245,MATCH('Cancel Deflection - Apple'!B143,'Country &amp; Code Abbreviation'!$B$3:$B$245,0))</f>
        <v>SLB</v>
      </c>
      <c r="E143" s="238">
        <v>0</v>
      </c>
      <c r="F143" s="237" t="s">
        <v>648</v>
      </c>
      <c r="G143" s="238">
        <v>0</v>
      </c>
      <c r="H143" s="237" t="s">
        <v>648</v>
      </c>
      <c r="I143" s="25" t="s">
        <v>649</v>
      </c>
    </row>
    <row r="144" spans="2:9" hidden="1">
      <c r="B144" s="163" t="s">
        <v>271</v>
      </c>
      <c r="C144" s="164" t="s">
        <v>397</v>
      </c>
      <c r="D144" s="275" t="str">
        <f>INDEX('Country &amp; Code Abbreviation'!$D$3:$D$245,MATCH('Cancel Deflection - Apple'!B144,'Country &amp; Code Abbreviation'!$B$3:$B$245,0))</f>
        <v>ZAF</v>
      </c>
      <c r="E144" s="238">
        <v>0</v>
      </c>
      <c r="F144" s="237" t="s">
        <v>648</v>
      </c>
      <c r="G144" s="238">
        <v>0</v>
      </c>
      <c r="H144" s="237" t="s">
        <v>648</v>
      </c>
      <c r="I144" s="25" t="s">
        <v>649</v>
      </c>
    </row>
    <row r="145" spans="2:9">
      <c r="B145" s="163" t="s">
        <v>276</v>
      </c>
      <c r="C145" s="164" t="s">
        <v>368</v>
      </c>
      <c r="D145" s="275" t="str">
        <f>INDEX('Country &amp; Code Abbreviation'!$D$3:$D$245,MATCH('Cancel Deflection - Apple'!B145,'Country &amp; Code Abbreviation'!$B$3:$B$245,0))</f>
        <v>ESP</v>
      </c>
      <c r="E145" s="237" t="s">
        <v>648</v>
      </c>
      <c r="F145" s="237" t="s">
        <v>648</v>
      </c>
      <c r="G145" s="237" t="s">
        <v>648</v>
      </c>
      <c r="H145" s="237" t="s">
        <v>648</v>
      </c>
      <c r="I145" s="25" t="s">
        <v>650</v>
      </c>
    </row>
    <row r="146" spans="2:9">
      <c r="B146" s="163" t="s">
        <v>277</v>
      </c>
      <c r="C146" s="164" t="s">
        <v>346</v>
      </c>
      <c r="D146" s="275" t="str">
        <f>INDEX('Country &amp; Code Abbreviation'!$D$3:$D$245,MATCH('Cancel Deflection - Apple'!B146,'Country &amp; Code Abbreviation'!$B$3:$B$245,0))</f>
        <v>LKA</v>
      </c>
      <c r="E146" s="237" t="s">
        <v>648</v>
      </c>
      <c r="F146" s="237" t="s">
        <v>648</v>
      </c>
      <c r="G146" s="237" t="s">
        <v>648</v>
      </c>
      <c r="H146" s="237" t="s">
        <v>648</v>
      </c>
      <c r="I146" s="25" t="s">
        <v>650</v>
      </c>
    </row>
    <row r="147" spans="2:9" hidden="1">
      <c r="B147" s="163" t="s">
        <v>398</v>
      </c>
      <c r="C147" s="164" t="s">
        <v>346</v>
      </c>
      <c r="D147" s="275" t="str">
        <f>INDEX('Country &amp; Code Abbreviation'!$D$3:$D$245,MATCH('Cancel Deflection - Apple'!B147,'Country &amp; Code Abbreviation'!$B$3:$B$245,0))</f>
        <v>KNA</v>
      </c>
      <c r="E147" s="238">
        <v>0</v>
      </c>
      <c r="F147" s="237" t="s">
        <v>648</v>
      </c>
      <c r="G147" s="238">
        <v>0</v>
      </c>
      <c r="H147" s="237" t="s">
        <v>648</v>
      </c>
      <c r="I147" s="25" t="s">
        <v>649</v>
      </c>
    </row>
    <row r="148" spans="2:9" hidden="1">
      <c r="B148" s="163" t="s">
        <v>281</v>
      </c>
      <c r="C148" s="164" t="s">
        <v>346</v>
      </c>
      <c r="D148" s="275" t="str">
        <f>INDEX('Country &amp; Code Abbreviation'!$D$3:$D$245,MATCH('Cancel Deflection - Apple'!B148,'Country &amp; Code Abbreviation'!$B$3:$B$245,0))</f>
        <v>LCA</v>
      </c>
      <c r="E148" s="238">
        <v>0</v>
      </c>
      <c r="F148" s="237" t="s">
        <v>648</v>
      </c>
      <c r="G148" s="238">
        <v>0</v>
      </c>
      <c r="H148" s="237" t="s">
        <v>648</v>
      </c>
      <c r="I148" s="25" t="s">
        <v>649</v>
      </c>
    </row>
    <row r="149" spans="2:9" hidden="1">
      <c r="B149" s="163" t="s">
        <v>399</v>
      </c>
      <c r="C149" s="164" t="s">
        <v>346</v>
      </c>
      <c r="D149" s="275" t="str">
        <f>INDEX('Country &amp; Code Abbreviation'!$D$3:$D$245,MATCH('Cancel Deflection - Apple'!B149,'Country &amp; Code Abbreviation'!$B$3:$B$245,0))</f>
        <v>VCT</v>
      </c>
      <c r="E149" s="238">
        <v>0</v>
      </c>
      <c r="F149" s="237" t="s">
        <v>648</v>
      </c>
      <c r="G149" s="238">
        <v>0</v>
      </c>
      <c r="H149" s="237" t="s">
        <v>648</v>
      </c>
      <c r="I149" s="25" t="s">
        <v>649</v>
      </c>
    </row>
    <row r="150" spans="2:9" hidden="1">
      <c r="B150" s="163" t="s">
        <v>285</v>
      </c>
      <c r="C150" s="164" t="s">
        <v>346</v>
      </c>
      <c r="D150" s="275" t="str">
        <f>INDEX('Country &amp; Code Abbreviation'!$D$3:$D$245,MATCH('Cancel Deflection - Apple'!B150,'Country &amp; Code Abbreviation'!$B$3:$B$245,0))</f>
        <v>SUR</v>
      </c>
      <c r="E150" s="238">
        <v>0</v>
      </c>
      <c r="F150" s="237" t="s">
        <v>648</v>
      </c>
      <c r="G150" s="238">
        <v>0</v>
      </c>
      <c r="H150" s="237" t="s">
        <v>648</v>
      </c>
      <c r="I150" s="25" t="s">
        <v>649</v>
      </c>
    </row>
    <row r="151" spans="2:9">
      <c r="B151" s="163" t="s">
        <v>287</v>
      </c>
      <c r="C151" s="164" t="s">
        <v>400</v>
      </c>
      <c r="D151" s="275" t="str">
        <f>INDEX('Country &amp; Code Abbreviation'!$D$3:$D$245,MATCH('Cancel Deflection - Apple'!B151,'Country &amp; Code Abbreviation'!$B$3:$B$245,0))</f>
        <v>SWE</v>
      </c>
      <c r="E151" s="237" t="s">
        <v>648</v>
      </c>
      <c r="F151" s="237" t="s">
        <v>648</v>
      </c>
      <c r="G151" s="237" t="s">
        <v>648</v>
      </c>
      <c r="H151" s="237" t="s">
        <v>648</v>
      </c>
      <c r="I151" s="25" t="s">
        <v>650</v>
      </c>
    </row>
    <row r="152" spans="2:9">
      <c r="B152" s="163" t="s">
        <v>288</v>
      </c>
      <c r="C152" s="164" t="s">
        <v>401</v>
      </c>
      <c r="D152" s="275" t="str">
        <f>INDEX('Country &amp; Code Abbreviation'!$D$3:$D$245,MATCH('Cancel Deflection - Apple'!B152,'Country &amp; Code Abbreviation'!$B$3:$B$245,0))</f>
        <v>CHE</v>
      </c>
      <c r="E152" s="237" t="s">
        <v>648</v>
      </c>
      <c r="F152" s="237" t="s">
        <v>648</v>
      </c>
      <c r="G152" s="237" t="s">
        <v>648</v>
      </c>
      <c r="H152" s="237" t="s">
        <v>648</v>
      </c>
      <c r="I152" s="25" t="s">
        <v>650</v>
      </c>
    </row>
    <row r="153" spans="2:9" hidden="1">
      <c r="B153" s="163" t="s">
        <v>290</v>
      </c>
      <c r="C153" s="164" t="s">
        <v>402</v>
      </c>
      <c r="D153" s="275" t="str">
        <f>INDEX('Country &amp; Code Abbreviation'!$D$3:$D$245,MATCH('Cancel Deflection - Apple'!B153,'Country &amp; Code Abbreviation'!$B$3:$B$245,0))</f>
        <v>TWN</v>
      </c>
      <c r="E153" s="238">
        <v>0</v>
      </c>
      <c r="F153" s="237" t="s">
        <v>648</v>
      </c>
      <c r="G153" s="238">
        <v>0</v>
      </c>
      <c r="H153" s="237" t="s">
        <v>648</v>
      </c>
      <c r="I153" s="25" t="s">
        <v>649</v>
      </c>
    </row>
    <row r="154" spans="2:9" hidden="1">
      <c r="B154" s="163" t="s">
        <v>291</v>
      </c>
      <c r="C154" s="164" t="s">
        <v>346</v>
      </c>
      <c r="D154" s="275" t="str">
        <f>INDEX('Country &amp; Code Abbreviation'!$D$3:$D$245,MATCH('Cancel Deflection - Apple'!B154,'Country &amp; Code Abbreviation'!$B$3:$B$245,0))</f>
        <v>TJK</v>
      </c>
      <c r="E154" s="238">
        <v>0</v>
      </c>
      <c r="F154" s="237" t="s">
        <v>648</v>
      </c>
      <c r="G154" s="238">
        <v>0</v>
      </c>
      <c r="H154" s="237" t="s">
        <v>648</v>
      </c>
      <c r="I154" s="25" t="s">
        <v>649</v>
      </c>
    </row>
    <row r="155" spans="2:9" hidden="1">
      <c r="B155" s="163" t="s">
        <v>292</v>
      </c>
      <c r="C155" s="164" t="s">
        <v>403</v>
      </c>
      <c r="D155" s="275" t="str">
        <f>INDEX('Country &amp; Code Abbreviation'!$D$3:$D$245,MATCH('Cancel Deflection - Apple'!B155,'Country &amp; Code Abbreviation'!$B$3:$B$245,0))</f>
        <v>TZA</v>
      </c>
      <c r="E155" s="238">
        <v>0</v>
      </c>
      <c r="F155" s="237" t="s">
        <v>648</v>
      </c>
      <c r="G155" s="238">
        <v>0</v>
      </c>
      <c r="H155" s="237" t="s">
        <v>648</v>
      </c>
      <c r="I155" s="25" t="s">
        <v>649</v>
      </c>
    </row>
    <row r="156" spans="2:9">
      <c r="B156" s="163" t="s">
        <v>293</v>
      </c>
      <c r="C156" s="164" t="s">
        <v>404</v>
      </c>
      <c r="D156" s="275" t="str">
        <f>INDEX('Country &amp; Code Abbreviation'!$D$3:$D$245,MATCH('Cancel Deflection - Apple'!B156,'Country &amp; Code Abbreviation'!$B$3:$B$245,0))</f>
        <v>THA</v>
      </c>
      <c r="E156" s="237" t="s">
        <v>648</v>
      </c>
      <c r="F156" s="237" t="s">
        <v>648</v>
      </c>
      <c r="G156" s="237" t="s">
        <v>648</v>
      </c>
      <c r="H156" s="237" t="s">
        <v>648</v>
      </c>
      <c r="I156" s="25" t="s">
        <v>650</v>
      </c>
    </row>
    <row r="157" spans="2:9" hidden="1">
      <c r="B157" s="163" t="s">
        <v>297</v>
      </c>
      <c r="C157" s="164" t="s">
        <v>346</v>
      </c>
      <c r="D157" s="275" t="str">
        <f>INDEX('Country &amp; Code Abbreviation'!$D$3:$D$245,MATCH('Cancel Deflection - Apple'!B157,'Country &amp; Code Abbreviation'!$B$3:$B$245,0))</f>
        <v>TON</v>
      </c>
      <c r="E157" s="238">
        <v>0</v>
      </c>
      <c r="F157" s="237" t="s">
        <v>648</v>
      </c>
      <c r="G157" s="238">
        <v>0</v>
      </c>
      <c r="H157" s="237" t="s">
        <v>648</v>
      </c>
      <c r="I157" s="25" t="s">
        <v>649</v>
      </c>
    </row>
    <row r="158" spans="2:9">
      <c r="B158" s="163" t="s">
        <v>405</v>
      </c>
      <c r="C158" s="164" t="s">
        <v>346</v>
      </c>
      <c r="D158" s="275" t="str">
        <f>INDEX('Country &amp; Code Abbreviation'!$D$3:$D$245,MATCH('Cancel Deflection - Apple'!B158,'Country &amp; Code Abbreviation'!$B$3:$B$245,0))</f>
        <v>TTO</v>
      </c>
      <c r="E158" s="237" t="s">
        <v>648</v>
      </c>
      <c r="F158" s="237" t="s">
        <v>648</v>
      </c>
      <c r="G158" s="237" t="s">
        <v>648</v>
      </c>
      <c r="H158" s="237" t="s">
        <v>648</v>
      </c>
      <c r="I158" s="25" t="s">
        <v>650</v>
      </c>
    </row>
    <row r="159" spans="2:9" hidden="1">
      <c r="B159" s="163" t="s">
        <v>299</v>
      </c>
      <c r="C159" s="164" t="s">
        <v>346</v>
      </c>
      <c r="D159" s="275" t="str">
        <f>INDEX('Country &amp; Code Abbreviation'!$D$3:$D$245,MATCH('Cancel Deflection - Apple'!B159,'Country &amp; Code Abbreviation'!$B$3:$B$245,0))</f>
        <v>TUN</v>
      </c>
      <c r="E159" s="238">
        <v>0</v>
      </c>
      <c r="F159" s="237" t="s">
        <v>648</v>
      </c>
      <c r="G159" s="238">
        <v>0</v>
      </c>
      <c r="H159" s="237" t="s">
        <v>648</v>
      </c>
      <c r="I159" s="25" t="s">
        <v>649</v>
      </c>
    </row>
    <row r="160" spans="2:9" hidden="1">
      <c r="B160" s="163" t="s">
        <v>300</v>
      </c>
      <c r="C160" s="164" t="s">
        <v>406</v>
      </c>
      <c r="D160" s="275" t="str">
        <f>INDEX('Country &amp; Code Abbreviation'!$D$3:$D$245,MATCH('Cancel Deflection - Apple'!B160,'Country &amp; Code Abbreviation'!$B$3:$B$245,0))</f>
        <v>TUR</v>
      </c>
      <c r="E160" s="238">
        <v>0</v>
      </c>
      <c r="F160" s="237" t="s">
        <v>648</v>
      </c>
      <c r="G160" s="238">
        <v>0</v>
      </c>
      <c r="H160" s="237" t="s">
        <v>648</v>
      </c>
      <c r="I160" s="25" t="s">
        <v>649</v>
      </c>
    </row>
    <row r="161" spans="2:9" hidden="1">
      <c r="B161" s="163" t="s">
        <v>301</v>
      </c>
      <c r="C161" s="164" t="s">
        <v>346</v>
      </c>
      <c r="D161" s="275" t="str">
        <f>INDEX('Country &amp; Code Abbreviation'!$D$3:$D$245,MATCH('Cancel Deflection - Apple'!B161,'Country &amp; Code Abbreviation'!$B$3:$B$245,0))</f>
        <v>TKM</v>
      </c>
      <c r="E161" s="238">
        <v>0</v>
      </c>
      <c r="F161" s="237" t="s">
        <v>648</v>
      </c>
      <c r="G161" s="238">
        <v>0</v>
      </c>
      <c r="H161" s="237" t="s">
        <v>648</v>
      </c>
      <c r="I161" s="25" t="s">
        <v>649</v>
      </c>
    </row>
    <row r="162" spans="2:9" hidden="1">
      <c r="B162" s="163" t="s">
        <v>407</v>
      </c>
      <c r="C162" s="164" t="s">
        <v>346</v>
      </c>
      <c r="D162" s="275" t="str">
        <f>INDEX('Country &amp; Code Abbreviation'!$D$3:$D$245,MATCH('Cancel Deflection - Apple'!B162,'Country &amp; Code Abbreviation'!$B$3:$B$245,0))</f>
        <v>TCA</v>
      </c>
      <c r="E162" s="238">
        <v>0</v>
      </c>
      <c r="F162" s="237" t="s">
        <v>648</v>
      </c>
      <c r="G162" s="238">
        <v>0</v>
      </c>
      <c r="H162" s="237" t="s">
        <v>648</v>
      </c>
      <c r="I162" s="25" t="s">
        <v>649</v>
      </c>
    </row>
    <row r="163" spans="2:9" hidden="1">
      <c r="B163" s="163" t="s">
        <v>304</v>
      </c>
      <c r="C163" s="164" t="s">
        <v>346</v>
      </c>
      <c r="D163" s="275" t="str">
        <f>INDEX('Country &amp; Code Abbreviation'!$D$3:$D$245,MATCH('Cancel Deflection - Apple'!B163,'Country &amp; Code Abbreviation'!$B$3:$B$245,0))</f>
        <v>UGA</v>
      </c>
      <c r="E163" s="238">
        <v>0</v>
      </c>
      <c r="F163" s="237" t="s">
        <v>648</v>
      </c>
      <c r="G163" s="238">
        <v>0</v>
      </c>
      <c r="H163" s="237" t="s">
        <v>648</v>
      </c>
      <c r="I163" s="25" t="s">
        <v>649</v>
      </c>
    </row>
    <row r="164" spans="2:9">
      <c r="B164" s="163" t="s">
        <v>306</v>
      </c>
      <c r="C164" s="164" t="s">
        <v>408</v>
      </c>
      <c r="D164" s="275" t="str">
        <f>INDEX('Country &amp; Code Abbreviation'!$D$3:$D$245,MATCH('Cancel Deflection - Apple'!B164,'Country &amp; Code Abbreviation'!$B$3:$B$245,0))</f>
        <v>ARE</v>
      </c>
      <c r="E164" s="237" t="s">
        <v>648</v>
      </c>
      <c r="F164" s="237" t="s">
        <v>648</v>
      </c>
      <c r="G164" s="237" t="s">
        <v>648</v>
      </c>
      <c r="H164" s="237" t="s">
        <v>648</v>
      </c>
      <c r="I164" s="25" t="s">
        <v>650</v>
      </c>
    </row>
    <row r="165" spans="2:9">
      <c r="B165" s="163" t="s">
        <v>307</v>
      </c>
      <c r="C165" s="164" t="s">
        <v>409</v>
      </c>
      <c r="D165" s="275" t="str">
        <f>INDEX('Country &amp; Code Abbreviation'!$D$3:$D$245,MATCH('Cancel Deflection - Apple'!B165,'Country &amp; Code Abbreviation'!$B$3:$B$245,0))</f>
        <v>GBR</v>
      </c>
      <c r="E165" s="237" t="s">
        <v>648</v>
      </c>
      <c r="F165" s="237" t="s">
        <v>648</v>
      </c>
      <c r="G165" s="237" t="s">
        <v>648</v>
      </c>
      <c r="H165" s="237" t="s">
        <v>648</v>
      </c>
      <c r="I165" s="25" t="s">
        <v>650</v>
      </c>
    </row>
    <row r="166" spans="2:9">
      <c r="B166" s="163" t="s">
        <v>46</v>
      </c>
      <c r="C166" s="164" t="s">
        <v>346</v>
      </c>
      <c r="D166" s="275" t="str">
        <f>INDEX('Country &amp; Code Abbreviation'!$D$3:$D$245,MATCH('Cancel Deflection - Apple'!B166,'Country &amp; Code Abbreviation'!$B$3:$B$245,0))</f>
        <v>USA</v>
      </c>
      <c r="E166" s="237" t="s">
        <v>648</v>
      </c>
      <c r="F166" s="237" t="s">
        <v>648</v>
      </c>
      <c r="G166" s="237" t="s">
        <v>648</v>
      </c>
      <c r="H166" s="237" t="s">
        <v>648</v>
      </c>
      <c r="I166" s="25" t="s">
        <v>650</v>
      </c>
    </row>
    <row r="167" spans="2:9">
      <c r="B167" s="163" t="s">
        <v>308</v>
      </c>
      <c r="C167" s="164" t="s">
        <v>346</v>
      </c>
      <c r="D167" s="275" t="str">
        <f>INDEX('Country &amp; Code Abbreviation'!$D$3:$D$245,MATCH('Cancel Deflection - Apple'!B167,'Country &amp; Code Abbreviation'!$B$3:$B$245,0))</f>
        <v>URY</v>
      </c>
      <c r="E167" s="237" t="s">
        <v>648</v>
      </c>
      <c r="F167" s="237" t="s">
        <v>648</v>
      </c>
      <c r="G167" s="237" t="s">
        <v>648</v>
      </c>
      <c r="H167" s="237" t="s">
        <v>648</v>
      </c>
      <c r="I167" s="25" t="s">
        <v>650</v>
      </c>
    </row>
    <row r="168" spans="2:9" hidden="1">
      <c r="B168" s="163" t="s">
        <v>309</v>
      </c>
      <c r="C168" s="164" t="s">
        <v>346</v>
      </c>
      <c r="D168" s="275" t="str">
        <f>INDEX('Country &amp; Code Abbreviation'!$D$3:$D$245,MATCH('Cancel Deflection - Apple'!B168,'Country &amp; Code Abbreviation'!$B$3:$B$245,0))</f>
        <v>UZB</v>
      </c>
      <c r="E168" s="238">
        <v>0</v>
      </c>
      <c r="F168" s="237" t="s">
        <v>648</v>
      </c>
      <c r="G168" s="238">
        <v>0</v>
      </c>
      <c r="H168" s="237" t="s">
        <v>648</v>
      </c>
      <c r="I168" s="25" t="s">
        <v>649</v>
      </c>
    </row>
    <row r="169" spans="2:9" hidden="1">
      <c r="B169" s="163" t="s">
        <v>310</v>
      </c>
      <c r="C169" s="164" t="s">
        <v>346</v>
      </c>
      <c r="D169" s="275" t="str">
        <f>INDEX('Country &amp; Code Abbreviation'!$D$3:$D$245,MATCH('Cancel Deflection - Apple'!B169,'Country &amp; Code Abbreviation'!$B$3:$B$245,0))</f>
        <v>VUT</v>
      </c>
      <c r="E169" s="238">
        <v>0</v>
      </c>
      <c r="F169" s="237" t="s">
        <v>648</v>
      </c>
      <c r="G169" s="238">
        <v>0</v>
      </c>
      <c r="H169" s="237" t="s">
        <v>648</v>
      </c>
      <c r="I169" s="25" t="s">
        <v>649</v>
      </c>
    </row>
    <row r="170" spans="2:9" hidden="1">
      <c r="B170" s="73" t="s">
        <v>312</v>
      </c>
      <c r="C170" t="s">
        <v>346</v>
      </c>
      <c r="D170" s="275" t="str">
        <f>INDEX('Country &amp; Code Abbreviation'!$D$3:$D$245,MATCH('Cancel Deflection - Apple'!B170,'Country &amp; Code Abbreviation'!$B$3:$B$245,0))</f>
        <v>VEN</v>
      </c>
      <c r="E170" s="238">
        <v>0</v>
      </c>
      <c r="F170" s="237" t="s">
        <v>648</v>
      </c>
      <c r="G170" s="238">
        <v>0</v>
      </c>
      <c r="H170" s="237" t="s">
        <v>648</v>
      </c>
      <c r="I170" s="25" t="s">
        <v>649</v>
      </c>
    </row>
    <row r="171" spans="2:9">
      <c r="B171" s="73" t="s">
        <v>313</v>
      </c>
      <c r="C171" t="s">
        <v>410</v>
      </c>
      <c r="D171" s="275" t="str">
        <f>INDEX('Country &amp; Code Abbreviation'!$D$3:$D$245,MATCH('Cancel Deflection - Apple'!B171,'Country &amp; Code Abbreviation'!$B$3:$B$245,0))</f>
        <v>VNM</v>
      </c>
      <c r="E171" s="237" t="s">
        <v>648</v>
      </c>
      <c r="F171" s="237" t="s">
        <v>648</v>
      </c>
      <c r="G171" s="237" t="s">
        <v>648</v>
      </c>
      <c r="H171" s="237" t="s">
        <v>648</v>
      </c>
      <c r="I171" s="25" t="s">
        <v>650</v>
      </c>
    </row>
    <row r="172" spans="2:9" hidden="1">
      <c r="B172" s="73" t="s">
        <v>316</v>
      </c>
      <c r="C172" t="s">
        <v>346</v>
      </c>
      <c r="D172" s="275" t="str">
        <f>INDEX('Country &amp; Code Abbreviation'!$D$3:$D$245,MATCH('Cancel Deflection - Apple'!B172,'Country &amp; Code Abbreviation'!$B$3:$B$245,0))</f>
        <v>YEM</v>
      </c>
      <c r="E172" s="238">
        <v>0</v>
      </c>
      <c r="F172" s="237" t="s">
        <v>648</v>
      </c>
      <c r="G172" s="238">
        <v>0</v>
      </c>
      <c r="H172" s="237" t="s">
        <v>648</v>
      </c>
      <c r="I172" s="25" t="s">
        <v>649</v>
      </c>
    </row>
    <row r="173" spans="2:9" hidden="1">
      <c r="B173" s="73" t="s">
        <v>317</v>
      </c>
      <c r="C173" t="s">
        <v>346</v>
      </c>
      <c r="D173" s="275" t="str">
        <f>INDEX('Country &amp; Code Abbreviation'!$D$3:$D$245,MATCH('Cancel Deflection - Apple'!B173,'Country &amp; Code Abbreviation'!$B$3:$B$245,0))</f>
        <v>ZMB</v>
      </c>
      <c r="E173" s="238">
        <v>0</v>
      </c>
      <c r="F173" s="237" t="s">
        <v>648</v>
      </c>
      <c r="G173" s="238">
        <v>0</v>
      </c>
      <c r="H173" s="237" t="s">
        <v>648</v>
      </c>
      <c r="I173" s="25" t="s">
        <v>649</v>
      </c>
    </row>
    <row r="174" spans="2:9" hidden="1">
      <c r="B174" s="73" t="s">
        <v>318</v>
      </c>
      <c r="C174" t="s">
        <v>346</v>
      </c>
      <c r="D174" s="275" t="str">
        <f>INDEX('Country &amp; Code Abbreviation'!$D$3:$D$245,MATCH('Cancel Deflection - Apple'!B174,'Country &amp; Code Abbreviation'!$B$3:$B$245,0))</f>
        <v>ZWE</v>
      </c>
      <c r="E174" s="238">
        <v>0</v>
      </c>
      <c r="F174" s="237" t="s">
        <v>648</v>
      </c>
      <c r="G174" s="238">
        <v>0</v>
      </c>
      <c r="H174" s="237" t="s">
        <v>648</v>
      </c>
      <c r="I174" s="25" t="s">
        <v>649</v>
      </c>
    </row>
  </sheetData>
  <autoFilter ref="B2:I174" xr:uid="{CD4AAD67-5389-4626-B42A-5159A638320F}">
    <filterColumn colId="3">
      <filters>
        <filter val="No Save Offer"/>
      </filters>
    </filterColumn>
  </autoFilter>
  <pageMargins left="0.7" right="0.7" top="0.75" bottom="0.75" header="0.3" footer="0.3"/>
  <headerFooter>
    <oddFooter>&amp;C_x000D_&amp;1#&amp;"Aptos"&amp;10&amp;K000000 NBA - Internal Use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4ECD-0D4A-444F-AA71-04226370F9D8}">
  <sheetPr>
    <tabColor rgb="FFFFFF00"/>
  </sheetPr>
  <dimension ref="B1:L179"/>
  <sheetViews>
    <sheetView topLeftCell="A168" zoomScaleNormal="100" workbookViewId="0"/>
  </sheetViews>
  <sheetFormatPr defaultColWidth="8.6328125" defaultRowHeight="12.5" outlineLevelRow="1"/>
  <cols>
    <col min="1" max="1" width="1.6328125" customWidth="1"/>
    <col min="2" max="2" width="27.453125" bestFit="1" customWidth="1"/>
    <col min="3" max="3" width="20" bestFit="1" customWidth="1"/>
    <col min="4" max="4" width="20" customWidth="1"/>
    <col min="5" max="5" width="18.36328125" bestFit="1" customWidth="1"/>
    <col min="6" max="7" width="19.36328125" bestFit="1" customWidth="1"/>
    <col min="8" max="8" width="19.453125" customWidth="1"/>
    <col min="9" max="9" width="29.6328125" customWidth="1"/>
    <col min="10" max="10" width="49.54296875" bestFit="1" customWidth="1"/>
    <col min="11" max="11" width="9.36328125" bestFit="1" customWidth="1"/>
    <col min="12" max="12" width="10.36328125" customWidth="1"/>
  </cols>
  <sheetData>
    <row r="1" spans="2:1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2:12" ht="13">
      <c r="B2" s="119" t="s">
        <v>651</v>
      </c>
      <c r="C2" s="119" t="s">
        <v>652</v>
      </c>
      <c r="D2" s="41"/>
      <c r="J2" s="116" t="s">
        <v>653</v>
      </c>
      <c r="K2" s="116" t="s">
        <v>654</v>
      </c>
      <c r="L2" s="116" t="s">
        <v>655</v>
      </c>
    </row>
    <row r="3" spans="2:12">
      <c r="B3" s="118">
        <v>46296</v>
      </c>
      <c r="C3" s="118">
        <v>46310</v>
      </c>
      <c r="D3" s="236"/>
      <c r="J3" s="117" t="s">
        <v>656</v>
      </c>
      <c r="K3" s="117" t="s">
        <v>657</v>
      </c>
      <c r="L3" s="121" t="s">
        <v>658</v>
      </c>
    </row>
    <row r="4" spans="2:12" ht="13">
      <c r="B4" s="24"/>
      <c r="C4" s="24"/>
      <c r="D4" s="24"/>
      <c r="G4" s="236"/>
      <c r="J4" s="117" t="s">
        <v>659</v>
      </c>
      <c r="K4" s="117" t="s">
        <v>660</v>
      </c>
      <c r="L4" s="121"/>
    </row>
    <row r="5" spans="2:12" ht="13">
      <c r="B5" s="24"/>
      <c r="C5" s="24"/>
      <c r="D5" s="24"/>
      <c r="E5" s="24"/>
      <c r="F5" s="24"/>
      <c r="J5" s="117" t="s">
        <v>661</v>
      </c>
      <c r="K5" s="117" t="s">
        <v>662</v>
      </c>
      <c r="L5" s="122" t="s">
        <v>658</v>
      </c>
    </row>
    <row r="6" spans="2:12" ht="13">
      <c r="B6" s="24"/>
      <c r="C6" s="24"/>
      <c r="D6" s="24"/>
      <c r="E6" s="24"/>
      <c r="F6" s="24"/>
      <c r="L6" s="6"/>
    </row>
    <row r="7" spans="2:12" ht="13">
      <c r="B7" s="24" t="s">
        <v>31</v>
      </c>
      <c r="C7" s="24" t="s">
        <v>361</v>
      </c>
      <c r="D7" s="24" t="s">
        <v>359</v>
      </c>
      <c r="E7" s="24" t="s">
        <v>55</v>
      </c>
      <c r="F7" s="24" t="s">
        <v>56</v>
      </c>
      <c r="G7" s="24" t="s">
        <v>57</v>
      </c>
      <c r="H7" s="24" t="s">
        <v>58</v>
      </c>
      <c r="I7" s="167" t="s">
        <v>647</v>
      </c>
    </row>
    <row r="8" spans="2:12" ht="13">
      <c r="B8" s="73" t="s">
        <v>70</v>
      </c>
      <c r="C8" s="275" t="s">
        <v>346</v>
      </c>
      <c r="D8" s="275" t="str">
        <f>INDEX('Country &amp; Code Abbreviation'!$D$3:$D$245,MATCH('Winback - Apple'!B8,'Country &amp; Code Abbreviation'!$B$3:$B$245,0))</f>
        <v>AFG</v>
      </c>
      <c r="E8" s="240">
        <v>61</v>
      </c>
      <c r="F8" s="240">
        <v>10</v>
      </c>
      <c r="G8" s="240">
        <v>45.49</v>
      </c>
      <c r="H8" s="240">
        <v>7.59</v>
      </c>
      <c r="I8" t="s">
        <v>493</v>
      </c>
      <c r="K8" s="264"/>
    </row>
    <row r="9" spans="2:12" ht="13.4" customHeight="1">
      <c r="B9" s="73" t="s">
        <v>73</v>
      </c>
      <c r="C9" s="275" t="s">
        <v>346</v>
      </c>
      <c r="D9" s="275" t="str">
        <f>INDEX('Country &amp; Code Abbreviation'!$D$3:$D$245,MATCH('Winback - Apple'!B9,'Country &amp; Code Abbreviation'!$B$3:$B$245,0))</f>
        <v>ALB</v>
      </c>
      <c r="E9" s="240">
        <v>89</v>
      </c>
      <c r="F9" s="240">
        <v>14</v>
      </c>
      <c r="G9" s="240">
        <v>66</v>
      </c>
      <c r="H9" s="240">
        <v>11</v>
      </c>
      <c r="I9" t="s">
        <v>493</v>
      </c>
    </row>
    <row r="10" spans="2:12">
      <c r="B10" s="73" t="s">
        <v>74</v>
      </c>
      <c r="C10" s="275" t="s">
        <v>346</v>
      </c>
      <c r="D10" s="275" t="str">
        <f>INDEX('Country &amp; Code Abbreviation'!$D$3:$D$245,MATCH('Winback - Apple'!B10,'Country &amp; Code Abbreviation'!$B$3:$B$245,0))</f>
        <v>DZA</v>
      </c>
      <c r="E10" s="240">
        <v>50.99</v>
      </c>
      <c r="F10" s="240">
        <v>8.49</v>
      </c>
      <c r="G10" s="240">
        <v>38</v>
      </c>
      <c r="H10" s="240">
        <v>5.9</v>
      </c>
      <c r="I10" t="s">
        <v>493</v>
      </c>
    </row>
    <row r="11" spans="2:12">
      <c r="B11" s="73" t="s">
        <v>77</v>
      </c>
      <c r="C11" s="275" t="s">
        <v>346</v>
      </c>
      <c r="D11" s="275" t="str">
        <f>INDEX('Country &amp; Code Abbreviation'!$D$3:$D$245,MATCH('Winback - Apple'!B11,'Country &amp; Code Abbreviation'!$B$3:$B$245,0))</f>
        <v>AGO</v>
      </c>
      <c r="E11" s="240">
        <v>61</v>
      </c>
      <c r="F11" s="240">
        <v>10</v>
      </c>
      <c r="G11" s="240">
        <v>45.49</v>
      </c>
      <c r="H11" s="240">
        <v>7.59</v>
      </c>
      <c r="I11" t="s">
        <v>493</v>
      </c>
    </row>
    <row r="12" spans="2:12">
      <c r="B12" s="73" t="s">
        <v>78</v>
      </c>
      <c r="C12" s="275" t="s">
        <v>346</v>
      </c>
      <c r="D12" s="275" t="str">
        <f>INDEX('Country &amp; Code Abbreviation'!$D$3:$D$245,MATCH('Winback - Apple'!B12,'Country &amp; Code Abbreviation'!$B$3:$B$245,0))</f>
        <v>AIA</v>
      </c>
      <c r="E12" s="240">
        <v>84.99</v>
      </c>
      <c r="F12" s="240">
        <v>14</v>
      </c>
      <c r="G12" s="240">
        <v>62</v>
      </c>
      <c r="H12" s="240">
        <v>10</v>
      </c>
      <c r="I12" t="s">
        <v>493</v>
      </c>
    </row>
    <row r="13" spans="2:12">
      <c r="B13" s="73" t="s">
        <v>365</v>
      </c>
      <c r="C13" s="275" t="s">
        <v>346</v>
      </c>
      <c r="D13" s="275" t="str">
        <f>INDEX('Country &amp; Code Abbreviation'!$D$3:$D$245,MATCH('Winback - Apple'!B13,'Country &amp; Code Abbreviation'!$B$3:$B$245,0))</f>
        <v>ATG</v>
      </c>
      <c r="E13" s="240">
        <v>96</v>
      </c>
      <c r="F13" s="240">
        <v>16</v>
      </c>
      <c r="G13" s="240">
        <v>71</v>
      </c>
      <c r="H13" s="240">
        <v>11.49</v>
      </c>
      <c r="I13" t="s">
        <v>493</v>
      </c>
    </row>
    <row r="14" spans="2:12">
      <c r="B14" s="73" t="s">
        <v>81</v>
      </c>
      <c r="C14" s="275" t="s">
        <v>346</v>
      </c>
      <c r="D14" s="275" t="str">
        <f>INDEX('Country &amp; Code Abbreviation'!$D$3:$D$245,MATCH('Winback - Apple'!B14,'Country &amp; Code Abbreviation'!$B$3:$B$245,0))</f>
        <v>ARG</v>
      </c>
      <c r="E14" s="240">
        <v>67.989999999999995</v>
      </c>
      <c r="F14" s="240">
        <v>11</v>
      </c>
      <c r="G14" s="240">
        <v>50.99</v>
      </c>
      <c r="H14" s="240">
        <v>8.49</v>
      </c>
      <c r="I14" t="s">
        <v>493</v>
      </c>
    </row>
    <row r="15" spans="2:12">
      <c r="B15" s="73" t="s">
        <v>82</v>
      </c>
      <c r="C15" s="275" t="s">
        <v>346</v>
      </c>
      <c r="D15" s="275" t="str">
        <f>INDEX('Country &amp; Code Abbreviation'!$D$3:$D$245,MATCH('Winback - Apple'!B15,'Country &amp; Code Abbreviation'!$B$3:$B$245,0))</f>
        <v>ARM</v>
      </c>
      <c r="E15" s="240">
        <v>118.99</v>
      </c>
      <c r="F15" s="240">
        <v>19.489999999999998</v>
      </c>
      <c r="G15" s="240">
        <v>88</v>
      </c>
      <c r="H15" s="240">
        <v>14</v>
      </c>
      <c r="I15" t="s">
        <v>493</v>
      </c>
    </row>
    <row r="16" spans="2:12" ht="14.5">
      <c r="B16" t="s">
        <v>84</v>
      </c>
      <c r="C16" s="275" t="s">
        <v>367</v>
      </c>
      <c r="D16" s="275" t="str">
        <f>INDEX('Country &amp; Code Abbreviation'!$D$3:$D$245,MATCH('Winback - Apple'!B16,'Country &amp; Code Abbreviation'!$B$3:$B$245,0))</f>
        <v>AUS</v>
      </c>
      <c r="E16" s="239" t="s">
        <v>663</v>
      </c>
      <c r="F16" s="239" t="s">
        <v>663</v>
      </c>
      <c r="G16" s="239" t="s">
        <v>663</v>
      </c>
      <c r="H16" s="239" t="s">
        <v>663</v>
      </c>
      <c r="I16" t="s">
        <v>664</v>
      </c>
    </row>
    <row r="17" spans="2:9" ht="14.5">
      <c r="B17" t="s">
        <v>85</v>
      </c>
      <c r="C17" s="275" t="s">
        <v>368</v>
      </c>
      <c r="D17" s="275" t="str">
        <f>INDEX('Country &amp; Code Abbreviation'!$D$3:$D$245,MATCH('Winback - Apple'!B17,'Country &amp; Code Abbreviation'!$B$3:$B$245,0))</f>
        <v>AUT</v>
      </c>
      <c r="E17" s="239" t="s">
        <v>663</v>
      </c>
      <c r="F17" s="239" t="s">
        <v>663</v>
      </c>
      <c r="G17" s="239" t="s">
        <v>663</v>
      </c>
      <c r="H17" s="239" t="s">
        <v>663</v>
      </c>
      <c r="I17" t="s">
        <v>664</v>
      </c>
    </row>
    <row r="18" spans="2:9">
      <c r="B18" s="73" t="s">
        <v>86</v>
      </c>
      <c r="C18" s="275" t="s">
        <v>346</v>
      </c>
      <c r="D18" s="275" t="str">
        <f>INDEX('Country &amp; Code Abbreviation'!$D$3:$D$245,MATCH('Winback - Apple'!B18,'Country &amp; Code Abbreviation'!$B$3:$B$245,0))</f>
        <v>AZE</v>
      </c>
      <c r="E18" s="240">
        <v>90</v>
      </c>
      <c r="F18" s="240">
        <v>15</v>
      </c>
      <c r="G18" s="240">
        <v>65</v>
      </c>
      <c r="H18" s="240">
        <v>11</v>
      </c>
      <c r="I18" t="s">
        <v>493</v>
      </c>
    </row>
    <row r="19" spans="2:9" ht="14.5">
      <c r="B19" t="s">
        <v>87</v>
      </c>
      <c r="C19" s="275" t="s">
        <v>346</v>
      </c>
      <c r="D19" s="275" t="str">
        <f>INDEX('Country &amp; Code Abbreviation'!$D$3:$D$245,MATCH('Winback - Apple'!B19,'Country &amp; Code Abbreviation'!$B$3:$B$245,0))</f>
        <v>BHS</v>
      </c>
      <c r="E19" s="239" t="s">
        <v>663</v>
      </c>
      <c r="F19" s="239" t="s">
        <v>663</v>
      </c>
      <c r="G19" s="239" t="s">
        <v>663</v>
      </c>
      <c r="H19" s="239" t="s">
        <v>663</v>
      </c>
      <c r="I19" t="s">
        <v>664</v>
      </c>
    </row>
    <row r="20" spans="2:9" ht="14.5">
      <c r="B20" t="s">
        <v>88</v>
      </c>
      <c r="C20" s="275" t="s">
        <v>346</v>
      </c>
      <c r="D20" s="275" t="str">
        <f>INDEX('Country &amp; Code Abbreviation'!$D$3:$D$245,MATCH('Winback - Apple'!B20,'Country &amp; Code Abbreviation'!$B$3:$B$245,0))</f>
        <v>BHR</v>
      </c>
      <c r="E20" s="239" t="s">
        <v>663</v>
      </c>
      <c r="F20" s="239" t="s">
        <v>663</v>
      </c>
      <c r="G20" s="239" t="s">
        <v>663</v>
      </c>
      <c r="H20" s="239" t="s">
        <v>663</v>
      </c>
      <c r="I20" t="s">
        <v>664</v>
      </c>
    </row>
    <row r="21" spans="2:9" ht="14.5">
      <c r="B21" t="s">
        <v>90</v>
      </c>
      <c r="C21" s="275" t="s">
        <v>346</v>
      </c>
      <c r="D21" s="275" t="str">
        <f>INDEX('Country &amp; Code Abbreviation'!$D$3:$D$245,MATCH('Winback - Apple'!B21,'Country &amp; Code Abbreviation'!$B$3:$B$245,0))</f>
        <v>BRB</v>
      </c>
      <c r="E21" s="239" t="s">
        <v>663</v>
      </c>
      <c r="F21" s="239" t="s">
        <v>663</v>
      </c>
      <c r="G21" s="239" t="s">
        <v>663</v>
      </c>
      <c r="H21" s="239" t="s">
        <v>663</v>
      </c>
      <c r="I21" t="s">
        <v>664</v>
      </c>
    </row>
    <row r="22" spans="2:9" hidden="1" outlineLevel="1">
      <c r="B22" s="73" t="s">
        <v>91</v>
      </c>
      <c r="C22" s="275" t="s">
        <v>346</v>
      </c>
      <c r="D22" s="275" t="str">
        <f>INDEX('Country &amp; Code Abbreviation'!$D$3:$D$245,MATCH('Winback - Apple'!B22,'Country &amp; Code Abbreviation'!$B$3:$B$245,0))</f>
        <v>BLR</v>
      </c>
      <c r="E22" s="240">
        <v>0</v>
      </c>
      <c r="F22" s="240">
        <v>0</v>
      </c>
      <c r="G22" s="240">
        <v>0</v>
      </c>
      <c r="H22" s="240">
        <v>0</v>
      </c>
      <c r="I22" t="s">
        <v>493</v>
      </c>
    </row>
    <row r="23" spans="2:9" ht="14.5" collapsed="1">
      <c r="B23" t="s">
        <v>92</v>
      </c>
      <c r="C23" s="275" t="s">
        <v>368</v>
      </c>
      <c r="D23" s="275" t="str">
        <f>INDEX('Country &amp; Code Abbreviation'!$D$3:$D$245,MATCH('Winback - Apple'!B23,'Country &amp; Code Abbreviation'!$B$3:$B$245,0))</f>
        <v>BEL</v>
      </c>
      <c r="E23" s="239" t="s">
        <v>663</v>
      </c>
      <c r="F23" s="239" t="s">
        <v>663</v>
      </c>
      <c r="G23" s="239" t="s">
        <v>663</v>
      </c>
      <c r="H23" s="239" t="s">
        <v>663</v>
      </c>
      <c r="I23" t="s">
        <v>664</v>
      </c>
    </row>
    <row r="24" spans="2:9" ht="14.5">
      <c r="B24" t="s">
        <v>93</v>
      </c>
      <c r="C24" s="275" t="s">
        <v>346</v>
      </c>
      <c r="D24" s="275" t="str">
        <f>INDEX('Country &amp; Code Abbreviation'!$D$3:$D$245,MATCH('Winback - Apple'!B24,'Country &amp; Code Abbreviation'!$B$3:$B$245,0))</f>
        <v>BLZ</v>
      </c>
      <c r="E24" s="239" t="s">
        <v>663</v>
      </c>
      <c r="F24" s="239" t="s">
        <v>663</v>
      </c>
      <c r="G24" s="239" t="s">
        <v>663</v>
      </c>
      <c r="H24" s="239" t="s">
        <v>663</v>
      </c>
      <c r="I24" t="s">
        <v>664</v>
      </c>
    </row>
    <row r="25" spans="2:9">
      <c r="B25" s="73" t="s">
        <v>94</v>
      </c>
      <c r="C25" s="275" t="s">
        <v>346</v>
      </c>
      <c r="D25" s="275" t="str">
        <f>INDEX('Country &amp; Code Abbreviation'!$D$3:$D$245,MATCH('Winback - Apple'!B25,'Country &amp; Code Abbreviation'!$B$3:$B$245,0))</f>
        <v>BEN</v>
      </c>
      <c r="E25" s="240">
        <v>62</v>
      </c>
      <c r="F25" s="240">
        <v>10</v>
      </c>
      <c r="G25" s="240">
        <v>46.49</v>
      </c>
      <c r="H25" s="240">
        <v>7.59</v>
      </c>
      <c r="I25" t="s">
        <v>493</v>
      </c>
    </row>
    <row r="26" spans="2:9">
      <c r="B26" s="73" t="s">
        <v>95</v>
      </c>
      <c r="C26" s="275" t="s">
        <v>346</v>
      </c>
      <c r="D26" s="275" t="str">
        <f>INDEX('Country &amp; Code Abbreviation'!$D$3:$D$245,MATCH('Winback - Apple'!B26,'Country &amp; Code Abbreviation'!$B$3:$B$245,0))</f>
        <v>BMU</v>
      </c>
      <c r="E26" s="240">
        <v>81</v>
      </c>
      <c r="F26" s="240">
        <v>13.49</v>
      </c>
      <c r="G26" s="240">
        <v>61</v>
      </c>
      <c r="H26" s="240">
        <v>10</v>
      </c>
      <c r="I26" t="s">
        <v>493</v>
      </c>
    </row>
    <row r="27" spans="2:9">
      <c r="B27" s="73" t="s">
        <v>97</v>
      </c>
      <c r="C27" s="275" t="s">
        <v>346</v>
      </c>
      <c r="D27" s="275" t="str">
        <f>INDEX('Country &amp; Code Abbreviation'!$D$3:$D$245,MATCH('Winback - Apple'!B27,'Country &amp; Code Abbreviation'!$B$3:$B$245,0))</f>
        <v>BTN</v>
      </c>
      <c r="E27" s="240">
        <v>61</v>
      </c>
      <c r="F27" s="240">
        <v>10</v>
      </c>
      <c r="G27" s="240">
        <v>45.49</v>
      </c>
      <c r="H27" s="240">
        <v>7.59</v>
      </c>
      <c r="I27" t="s">
        <v>493</v>
      </c>
    </row>
    <row r="28" spans="2:9" ht="14.5">
      <c r="B28" t="s">
        <v>98</v>
      </c>
      <c r="C28" s="275" t="s">
        <v>346</v>
      </c>
      <c r="D28" s="275" t="str">
        <f>INDEX('Country &amp; Code Abbreviation'!$D$3:$D$245,MATCH('Winback - Apple'!B28,'Country &amp; Code Abbreviation'!$B$3:$B$245,0))</f>
        <v>BOL</v>
      </c>
      <c r="E28" s="239" t="s">
        <v>663</v>
      </c>
      <c r="F28" s="239" t="s">
        <v>663</v>
      </c>
      <c r="G28" s="239" t="s">
        <v>663</v>
      </c>
      <c r="H28" s="239" t="s">
        <v>663</v>
      </c>
      <c r="I28" t="s">
        <v>664</v>
      </c>
    </row>
    <row r="29" spans="2:9" ht="14.5">
      <c r="B29" t="s">
        <v>101</v>
      </c>
      <c r="C29" s="276" t="s">
        <v>368</v>
      </c>
      <c r="D29" s="275" t="str">
        <f>INDEX('Country &amp; Code Abbreviation'!$D$3:$D$245,MATCH('Winback - Apple'!B29,'Country &amp; Code Abbreviation'!$B$3:$B$245,0))</f>
        <v>BIH</v>
      </c>
      <c r="E29" s="239" t="s">
        <v>663</v>
      </c>
      <c r="F29" s="239" t="s">
        <v>663</v>
      </c>
      <c r="G29" s="239" t="s">
        <v>663</v>
      </c>
      <c r="H29" s="239" t="s">
        <v>663</v>
      </c>
      <c r="I29" t="s">
        <v>664</v>
      </c>
    </row>
    <row r="30" spans="2:9" ht="13.4" customHeight="1">
      <c r="B30" s="73" t="s">
        <v>102</v>
      </c>
      <c r="C30" s="275" t="s">
        <v>346</v>
      </c>
      <c r="D30" s="275" t="str">
        <f>INDEX('Country &amp; Code Abbreviation'!$D$3:$D$245,MATCH('Winback - Apple'!B30,'Country &amp; Code Abbreviation'!$B$3:$B$245,0))</f>
        <v>BWA</v>
      </c>
      <c r="E30" s="240">
        <v>45.49</v>
      </c>
      <c r="F30" s="240">
        <v>7.59</v>
      </c>
      <c r="G30" s="240">
        <v>33.99</v>
      </c>
      <c r="H30" s="240">
        <v>5.09</v>
      </c>
      <c r="I30" t="s">
        <v>493</v>
      </c>
    </row>
    <row r="31" spans="2:9" ht="14.5">
      <c r="B31" t="s">
        <v>104</v>
      </c>
      <c r="C31" s="275" t="s">
        <v>369</v>
      </c>
      <c r="D31" s="275" t="str">
        <f>INDEX('Country &amp; Code Abbreviation'!$D$3:$D$245,MATCH('Winback - Apple'!B31,'Country &amp; Code Abbreviation'!$B$3:$B$245,0))</f>
        <v>BRA</v>
      </c>
      <c r="E31" s="239" t="s">
        <v>663</v>
      </c>
      <c r="F31" s="239" t="s">
        <v>663</v>
      </c>
      <c r="G31" s="239" t="s">
        <v>663</v>
      </c>
      <c r="H31" s="239" t="s">
        <v>663</v>
      </c>
      <c r="I31" t="s">
        <v>664</v>
      </c>
    </row>
    <row r="32" spans="2:9">
      <c r="B32" s="73" t="s">
        <v>106</v>
      </c>
      <c r="C32" s="275" t="s">
        <v>346</v>
      </c>
      <c r="D32" s="275" t="str">
        <f>INDEX('Country &amp; Code Abbreviation'!$D$3:$D$245,MATCH('Winback - Apple'!B32,'Country &amp; Code Abbreviation'!$B$3:$B$245,0))</f>
        <v>VGB</v>
      </c>
      <c r="E32" s="240">
        <v>87</v>
      </c>
      <c r="F32" s="240">
        <v>14</v>
      </c>
      <c r="G32" s="240">
        <v>61</v>
      </c>
      <c r="H32" s="240">
        <v>10</v>
      </c>
      <c r="I32" t="s">
        <v>493</v>
      </c>
    </row>
    <row r="33" spans="2:9" ht="13.4" customHeight="1">
      <c r="B33" s="73" t="s">
        <v>107</v>
      </c>
      <c r="C33" s="275" t="s">
        <v>346</v>
      </c>
      <c r="D33" s="275" t="str">
        <f>INDEX('Country &amp; Code Abbreviation'!$D$3:$D$245,MATCH('Winback - Apple'!B33,'Country &amp; Code Abbreviation'!$B$3:$B$245,0))</f>
        <v>BRN</v>
      </c>
      <c r="E33" s="240">
        <v>67.989999999999995</v>
      </c>
      <c r="F33" s="240">
        <v>11</v>
      </c>
      <c r="G33" s="240">
        <v>49</v>
      </c>
      <c r="H33" s="240">
        <v>8.49</v>
      </c>
      <c r="I33" t="s">
        <v>493</v>
      </c>
    </row>
    <row r="34" spans="2:9" ht="14.5">
      <c r="B34" t="s">
        <v>108</v>
      </c>
      <c r="C34" s="275" t="s">
        <v>415</v>
      </c>
      <c r="D34" s="275" t="str">
        <f>INDEX('Country &amp; Code Abbreviation'!$D$3:$D$245,MATCH('Winback - Apple'!B34,'Country &amp; Code Abbreviation'!$B$3:$B$245,0))</f>
        <v>BGR</v>
      </c>
      <c r="E34" s="239" t="s">
        <v>663</v>
      </c>
      <c r="F34" s="239" t="s">
        <v>663</v>
      </c>
      <c r="G34" s="239" t="s">
        <v>663</v>
      </c>
      <c r="H34" s="239" t="s">
        <v>663</v>
      </c>
      <c r="I34" t="s">
        <v>664</v>
      </c>
    </row>
    <row r="35" spans="2:9">
      <c r="B35" s="73" t="s">
        <v>109</v>
      </c>
      <c r="C35" s="275" t="s">
        <v>346</v>
      </c>
      <c r="D35" s="275" t="str">
        <f>INDEX('Country &amp; Code Abbreviation'!$D$3:$D$245,MATCH('Winback - Apple'!B35,'Country &amp; Code Abbreviation'!$B$3:$B$245,0))</f>
        <v>BFA</v>
      </c>
      <c r="E35" s="240">
        <v>62</v>
      </c>
      <c r="F35" s="240">
        <v>10</v>
      </c>
      <c r="G35" s="240">
        <v>46.49</v>
      </c>
      <c r="H35" s="240">
        <v>7.59</v>
      </c>
      <c r="I35" t="s">
        <v>493</v>
      </c>
    </row>
    <row r="36" spans="2:9" ht="14.5">
      <c r="B36" t="s">
        <v>111</v>
      </c>
      <c r="C36" s="275" t="s">
        <v>346</v>
      </c>
      <c r="D36" s="275" t="str">
        <f>INDEX('Country &amp; Code Abbreviation'!$D$3:$D$245,MATCH('Winback - Apple'!B36,'Country &amp; Code Abbreviation'!$B$3:$B$245,0))</f>
        <v>KHM</v>
      </c>
      <c r="E36" s="239" t="s">
        <v>663</v>
      </c>
      <c r="F36" s="239" t="s">
        <v>663</v>
      </c>
      <c r="G36" s="239" t="s">
        <v>663</v>
      </c>
      <c r="H36" s="239" t="s">
        <v>663</v>
      </c>
      <c r="I36" t="s">
        <v>664</v>
      </c>
    </row>
    <row r="37" spans="2:9">
      <c r="B37" s="73" t="s">
        <v>112</v>
      </c>
      <c r="C37" s="275" t="s">
        <v>346</v>
      </c>
      <c r="D37" s="275" t="str">
        <f>INDEX('Country &amp; Code Abbreviation'!$D$3:$D$245,MATCH('Winback - Apple'!B37,'Country &amp; Code Abbreviation'!$B$3:$B$245,0))</f>
        <v>CMR</v>
      </c>
      <c r="E37" s="240">
        <v>61</v>
      </c>
      <c r="F37" s="240">
        <v>10</v>
      </c>
      <c r="G37" s="240">
        <v>45.49</v>
      </c>
      <c r="H37" s="240">
        <v>7.59</v>
      </c>
      <c r="I37" t="s">
        <v>493</v>
      </c>
    </row>
    <row r="38" spans="2:9" ht="14.5">
      <c r="B38" t="s">
        <v>113</v>
      </c>
      <c r="C38" s="275" t="s">
        <v>370</v>
      </c>
      <c r="D38" s="275" t="str">
        <f>INDEX('Country &amp; Code Abbreviation'!$D$3:$D$245,MATCH('Winback - Apple'!B38,'Country &amp; Code Abbreviation'!$B$3:$B$245,0))</f>
        <v>CAN</v>
      </c>
      <c r="E38" s="239" t="s">
        <v>663</v>
      </c>
      <c r="F38" s="239" t="s">
        <v>663</v>
      </c>
      <c r="G38" s="239" t="s">
        <v>663</v>
      </c>
      <c r="H38" s="239" t="s">
        <v>663</v>
      </c>
      <c r="I38" t="s">
        <v>664</v>
      </c>
    </row>
    <row r="39" spans="2:9">
      <c r="B39" s="73" t="s">
        <v>114</v>
      </c>
      <c r="C39" s="275" t="s">
        <v>346</v>
      </c>
      <c r="D39" s="275" t="str">
        <f>INDEX('Country &amp; Code Abbreviation'!$D$3:$D$245,MATCH('Winback - Apple'!B39,'Country &amp; Code Abbreviation'!$B$3:$B$245,0))</f>
        <v>CPV</v>
      </c>
      <c r="E39" s="240">
        <v>62</v>
      </c>
      <c r="F39" s="240">
        <v>10</v>
      </c>
      <c r="G39" s="240">
        <v>45.49</v>
      </c>
      <c r="H39" s="240">
        <v>7.59</v>
      </c>
      <c r="I39" t="s">
        <v>493</v>
      </c>
    </row>
    <row r="40" spans="2:9" ht="14.5">
      <c r="B40" t="s">
        <v>115</v>
      </c>
      <c r="C40" s="275" t="s">
        <v>346</v>
      </c>
      <c r="D40" s="275" t="str">
        <f>INDEX('Country &amp; Code Abbreviation'!$D$3:$D$245,MATCH('Winback - Apple'!B40,'Country &amp; Code Abbreviation'!$B$3:$B$245,0))</f>
        <v>CYM</v>
      </c>
      <c r="E40" s="239" t="s">
        <v>663</v>
      </c>
      <c r="F40" s="239" t="s">
        <v>663</v>
      </c>
      <c r="G40" s="239" t="s">
        <v>663</v>
      </c>
      <c r="H40" s="239" t="s">
        <v>663</v>
      </c>
      <c r="I40" t="s">
        <v>664</v>
      </c>
    </row>
    <row r="41" spans="2:9" ht="13.4" customHeight="1">
      <c r="B41" s="73" t="s">
        <v>117</v>
      </c>
      <c r="C41" s="275" t="s">
        <v>346</v>
      </c>
      <c r="D41" s="275" t="str">
        <f>INDEX('Country &amp; Code Abbreviation'!$D$3:$D$245,MATCH('Winback - Apple'!B41,'Country &amp; Code Abbreviation'!$B$3:$B$245,0))</f>
        <v>TCD</v>
      </c>
      <c r="E41" s="240">
        <v>62</v>
      </c>
      <c r="F41" s="240">
        <v>10</v>
      </c>
      <c r="G41" s="240">
        <v>45.49</v>
      </c>
      <c r="H41" s="240">
        <v>7.59</v>
      </c>
      <c r="I41" t="s">
        <v>493</v>
      </c>
    </row>
    <row r="42" spans="2:9" ht="14.5">
      <c r="B42" t="s">
        <v>118</v>
      </c>
      <c r="C42" s="275" t="s">
        <v>371</v>
      </c>
      <c r="D42" s="275" t="str">
        <f>INDEX('Country &amp; Code Abbreviation'!$D$3:$D$245,MATCH('Winback - Apple'!B42,'Country &amp; Code Abbreviation'!$B$3:$B$245,0))</f>
        <v>CHL</v>
      </c>
      <c r="E42" s="239" t="s">
        <v>663</v>
      </c>
      <c r="F42" s="239" t="s">
        <v>663</v>
      </c>
      <c r="G42" s="239" t="s">
        <v>663</v>
      </c>
      <c r="H42" s="239" t="s">
        <v>663</v>
      </c>
      <c r="I42" t="s">
        <v>664</v>
      </c>
    </row>
    <row r="43" spans="2:9" ht="14.5">
      <c r="B43" t="s">
        <v>121</v>
      </c>
      <c r="C43" s="275" t="s">
        <v>372</v>
      </c>
      <c r="D43" s="275" t="str">
        <f>INDEX('Country &amp; Code Abbreviation'!$D$3:$D$245,MATCH('Winback - Apple'!B43,'Country &amp; Code Abbreviation'!$B$3:$B$245,0))</f>
        <v>COL</v>
      </c>
      <c r="E43" s="239" t="s">
        <v>663</v>
      </c>
      <c r="F43" s="239" t="s">
        <v>663</v>
      </c>
      <c r="G43" s="239" t="s">
        <v>663</v>
      </c>
      <c r="H43" s="239" t="s">
        <v>663</v>
      </c>
      <c r="I43" t="s">
        <v>664</v>
      </c>
    </row>
    <row r="44" spans="2:9">
      <c r="B44" s="73" t="s">
        <v>123</v>
      </c>
      <c r="C44" s="275" t="s">
        <v>346</v>
      </c>
      <c r="D44" s="275" t="str">
        <f>INDEX('Country &amp; Code Abbreviation'!$D$3:$D$245,MATCH('Winback - Apple'!B44,'Country &amp; Code Abbreviation'!$B$3:$B$245,0))</f>
        <v>COG</v>
      </c>
      <c r="E44" s="240">
        <v>62</v>
      </c>
      <c r="F44" s="240">
        <v>10</v>
      </c>
      <c r="G44" s="240">
        <v>45.49</v>
      </c>
      <c r="H44" s="240">
        <v>7.59</v>
      </c>
      <c r="I44" t="s">
        <v>493</v>
      </c>
    </row>
    <row r="45" spans="2:9" ht="14.5">
      <c r="B45" t="s">
        <v>125</v>
      </c>
      <c r="C45" s="275" t="s">
        <v>346</v>
      </c>
      <c r="D45" s="275" t="str">
        <f>INDEX('Country &amp; Code Abbreviation'!$D$3:$D$245,MATCH('Winback - Apple'!B45,'Country &amp; Code Abbreviation'!$B$3:$B$245,0))</f>
        <v>CRI</v>
      </c>
      <c r="E45" s="239" t="s">
        <v>663</v>
      </c>
      <c r="F45" s="239" t="s">
        <v>663</v>
      </c>
      <c r="G45" s="239" t="s">
        <v>663</v>
      </c>
      <c r="H45" s="239" t="s">
        <v>663</v>
      </c>
      <c r="I45" t="s">
        <v>664</v>
      </c>
    </row>
    <row r="46" spans="2:9" ht="14.5">
      <c r="B46" t="s">
        <v>126</v>
      </c>
      <c r="C46" s="275" t="s">
        <v>346</v>
      </c>
      <c r="D46" s="275" t="str">
        <f>INDEX('Country &amp; Code Abbreviation'!$D$3:$D$245,MATCH('Winback - Apple'!B46,'Country &amp; Code Abbreviation'!$B$3:$B$245,0))</f>
        <v>CIV</v>
      </c>
      <c r="E46" s="239" t="s">
        <v>663</v>
      </c>
      <c r="F46" s="239" t="s">
        <v>663</v>
      </c>
      <c r="G46" s="239" t="s">
        <v>663</v>
      </c>
      <c r="H46" s="239" t="s">
        <v>663</v>
      </c>
      <c r="I46" t="s">
        <v>664</v>
      </c>
    </row>
    <row r="47" spans="2:9" ht="14.5">
      <c r="B47" t="s">
        <v>127</v>
      </c>
      <c r="C47" s="275" t="s">
        <v>368</v>
      </c>
      <c r="D47" s="275" t="str">
        <f>INDEX('Country &amp; Code Abbreviation'!$D$3:$D$245,MATCH('Winback - Apple'!B47,'Country &amp; Code Abbreviation'!$B$3:$B$245,0))</f>
        <v>HRV</v>
      </c>
      <c r="E47" s="239" t="s">
        <v>663</v>
      </c>
      <c r="F47" s="239" t="s">
        <v>663</v>
      </c>
      <c r="G47" s="239" t="s">
        <v>663</v>
      </c>
      <c r="H47" s="239" t="s">
        <v>663</v>
      </c>
      <c r="I47" t="s">
        <v>664</v>
      </c>
    </row>
    <row r="48" spans="2:9" ht="13.4" customHeight="1">
      <c r="B48" t="s">
        <v>129</v>
      </c>
      <c r="C48" s="275" t="s">
        <v>368</v>
      </c>
      <c r="D48" s="275" t="str">
        <f>INDEX('Country &amp; Code Abbreviation'!$D$3:$D$245,MATCH('Winback - Apple'!B48,'Country &amp; Code Abbreviation'!$B$3:$B$245,0))</f>
        <v>CYP</v>
      </c>
      <c r="E48" s="239" t="s">
        <v>663</v>
      </c>
      <c r="F48" s="239" t="s">
        <v>663</v>
      </c>
      <c r="G48" s="239" t="s">
        <v>663</v>
      </c>
      <c r="H48" s="239" t="s">
        <v>663</v>
      </c>
      <c r="I48" t="s">
        <v>664</v>
      </c>
    </row>
    <row r="49" spans="2:9" ht="14.5">
      <c r="B49" t="s">
        <v>130</v>
      </c>
      <c r="C49" s="275" t="s">
        <v>373</v>
      </c>
      <c r="D49" s="275" t="str">
        <f>INDEX('Country &amp; Code Abbreviation'!$D$3:$D$245,MATCH('Winback - Apple'!B49,'Country &amp; Code Abbreviation'!$B$3:$B$245,0))</f>
        <v>CZE</v>
      </c>
      <c r="E49" s="239" t="s">
        <v>663</v>
      </c>
      <c r="F49" s="239" t="s">
        <v>663</v>
      </c>
      <c r="G49" s="239" t="s">
        <v>663</v>
      </c>
      <c r="H49" s="239" t="s">
        <v>663</v>
      </c>
      <c r="I49" t="s">
        <v>664</v>
      </c>
    </row>
    <row r="50" spans="2:9">
      <c r="B50" s="73" t="s">
        <v>131</v>
      </c>
      <c r="C50" s="275" t="s">
        <v>346</v>
      </c>
      <c r="D50" s="275" t="str">
        <f>INDEX('Country &amp; Code Abbreviation'!$D$3:$D$245,MATCH('Winback - Apple'!B50,'Country &amp; Code Abbreviation'!$B$3:$B$245,0))</f>
        <v>COD</v>
      </c>
      <c r="E50" s="240">
        <v>61</v>
      </c>
      <c r="F50" s="240">
        <v>10</v>
      </c>
      <c r="G50" s="240">
        <v>45.49</v>
      </c>
      <c r="H50" s="240">
        <v>7.59</v>
      </c>
      <c r="I50" t="s">
        <v>493</v>
      </c>
    </row>
    <row r="51" spans="2:9" ht="14.5">
      <c r="B51" t="s">
        <v>132</v>
      </c>
      <c r="C51" s="275" t="s">
        <v>374</v>
      </c>
      <c r="D51" s="275" t="str">
        <f>INDEX('Country &amp; Code Abbreviation'!$D$3:$D$245,MATCH('Winback - Apple'!B51,'Country &amp; Code Abbreviation'!$B$3:$B$245,0))</f>
        <v>DNK</v>
      </c>
      <c r="E51" s="239" t="s">
        <v>663</v>
      </c>
      <c r="F51" s="239" t="s">
        <v>663</v>
      </c>
      <c r="G51" s="239" t="s">
        <v>663</v>
      </c>
      <c r="H51" s="239" t="s">
        <v>663</v>
      </c>
      <c r="I51" t="s">
        <v>664</v>
      </c>
    </row>
    <row r="52" spans="2:9">
      <c r="B52" s="73" t="s">
        <v>134</v>
      </c>
      <c r="C52" s="275" t="s">
        <v>346</v>
      </c>
      <c r="D52" s="275" t="str">
        <f>INDEX('Country &amp; Code Abbreviation'!$D$3:$D$245,MATCH('Winback - Apple'!B52,'Country &amp; Code Abbreviation'!$B$3:$B$245,0))</f>
        <v>DMA</v>
      </c>
      <c r="E52" s="240">
        <v>96</v>
      </c>
      <c r="F52" s="240">
        <v>16</v>
      </c>
      <c r="G52" s="240">
        <v>71</v>
      </c>
      <c r="H52" s="240">
        <v>11.49</v>
      </c>
      <c r="I52" t="s">
        <v>493</v>
      </c>
    </row>
    <row r="53" spans="2:9">
      <c r="B53" s="73" t="s">
        <v>135</v>
      </c>
      <c r="C53" s="275" t="s">
        <v>346</v>
      </c>
      <c r="D53" s="275" t="str">
        <f>INDEX('Country &amp; Code Abbreviation'!$D$3:$D$245,MATCH('Winback - Apple'!B53,'Country &amp; Code Abbreviation'!$B$3:$B$245,0))</f>
        <v>DOM</v>
      </c>
      <c r="E53" s="240">
        <v>106.99</v>
      </c>
      <c r="F53" s="240">
        <v>16.989999999999998</v>
      </c>
      <c r="G53" s="240">
        <v>80</v>
      </c>
      <c r="H53" s="240">
        <v>13.49</v>
      </c>
      <c r="I53" t="s">
        <v>493</v>
      </c>
    </row>
    <row r="54" spans="2:9" ht="14.5">
      <c r="B54" t="s">
        <v>136</v>
      </c>
      <c r="C54" s="275" t="s">
        <v>346</v>
      </c>
      <c r="D54" s="275" t="str">
        <f>INDEX('Country &amp; Code Abbreviation'!$D$3:$D$245,MATCH('Winback - Apple'!B54,'Country &amp; Code Abbreviation'!$B$3:$B$245,0))</f>
        <v>ECU</v>
      </c>
      <c r="E54" s="239" t="s">
        <v>663</v>
      </c>
      <c r="F54" s="239" t="s">
        <v>663</v>
      </c>
      <c r="G54" s="239" t="s">
        <v>663</v>
      </c>
      <c r="H54" s="239" t="s">
        <v>663</v>
      </c>
      <c r="I54" t="s">
        <v>664</v>
      </c>
    </row>
    <row r="55" spans="2:9" ht="14.5">
      <c r="B55" t="s">
        <v>137</v>
      </c>
      <c r="C55" s="275" t="s">
        <v>375</v>
      </c>
      <c r="D55" s="275" t="str">
        <f>INDEX('Country &amp; Code Abbreviation'!$D$3:$D$245,MATCH('Winback - Apple'!B55,'Country &amp; Code Abbreviation'!$B$3:$B$245,0))</f>
        <v>EGY</v>
      </c>
      <c r="E55" s="239" t="s">
        <v>663</v>
      </c>
      <c r="F55" s="239" t="s">
        <v>663</v>
      </c>
      <c r="G55" s="239" t="s">
        <v>663</v>
      </c>
      <c r="H55" s="239" t="s">
        <v>663</v>
      </c>
      <c r="I55" t="s">
        <v>664</v>
      </c>
    </row>
    <row r="56" spans="2:9" ht="14.5">
      <c r="B56" t="s">
        <v>138</v>
      </c>
      <c r="C56" s="275" t="s">
        <v>346</v>
      </c>
      <c r="D56" s="275" t="str">
        <f>INDEX('Country &amp; Code Abbreviation'!$D$3:$D$245,MATCH('Winback - Apple'!B56,'Country &amp; Code Abbreviation'!$B$3:$B$245,0))</f>
        <v>SLV</v>
      </c>
      <c r="E56" s="239" t="s">
        <v>663</v>
      </c>
      <c r="F56" s="239" t="s">
        <v>663</v>
      </c>
      <c r="G56" s="239" t="s">
        <v>663</v>
      </c>
      <c r="H56" s="239" t="s">
        <v>663</v>
      </c>
      <c r="I56" t="s">
        <v>664</v>
      </c>
    </row>
    <row r="57" spans="2:9" ht="14.5">
      <c r="B57" t="s">
        <v>141</v>
      </c>
      <c r="C57" s="275" t="s">
        <v>368</v>
      </c>
      <c r="D57" s="275" t="str">
        <f>INDEX('Country &amp; Code Abbreviation'!$D$3:$D$245,MATCH('Winback - Apple'!B57,'Country &amp; Code Abbreviation'!$B$3:$B$245,0))</f>
        <v>EST</v>
      </c>
      <c r="E57" s="239" t="s">
        <v>663</v>
      </c>
      <c r="F57" s="239" t="s">
        <v>663</v>
      </c>
      <c r="G57" s="239" t="s">
        <v>663</v>
      </c>
      <c r="H57" s="239" t="s">
        <v>663</v>
      </c>
      <c r="I57" t="s">
        <v>664</v>
      </c>
    </row>
    <row r="58" spans="2:9">
      <c r="B58" s="73" t="s">
        <v>142</v>
      </c>
      <c r="C58" s="275" t="s">
        <v>346</v>
      </c>
      <c r="D58" s="275" t="str">
        <f>INDEX('Country &amp; Code Abbreviation'!$D$3:$D$245,MATCH('Winback - Apple'!B58,'Country &amp; Code Abbreviation'!$B$3:$B$245,0))</f>
        <v>SWZ</v>
      </c>
      <c r="E58" s="240">
        <v>61</v>
      </c>
      <c r="F58" s="240">
        <v>10</v>
      </c>
      <c r="G58" s="240">
        <v>45</v>
      </c>
      <c r="H58" s="240">
        <v>7.59</v>
      </c>
      <c r="I58" t="s">
        <v>493</v>
      </c>
    </row>
    <row r="59" spans="2:9">
      <c r="B59" s="73" t="s">
        <v>146</v>
      </c>
      <c r="C59" s="275" t="s">
        <v>346</v>
      </c>
      <c r="D59" s="275" t="str">
        <f>INDEX('Country &amp; Code Abbreviation'!$D$3:$D$245,MATCH('Winback - Apple'!B59,'Country &amp; Code Abbreviation'!$B$3:$B$245,0))</f>
        <v>FJI</v>
      </c>
      <c r="E59" s="240">
        <v>69</v>
      </c>
      <c r="F59" s="240">
        <v>11.49</v>
      </c>
      <c r="G59" s="240">
        <v>50.99</v>
      </c>
      <c r="H59" s="240">
        <v>8.49</v>
      </c>
      <c r="I59" t="s">
        <v>493</v>
      </c>
    </row>
    <row r="60" spans="2:9" ht="14.5">
      <c r="B60" t="s">
        <v>147</v>
      </c>
      <c r="C60" s="275" t="s">
        <v>368</v>
      </c>
      <c r="D60" s="275" t="str">
        <f>INDEX('Country &amp; Code Abbreviation'!$D$3:$D$245,MATCH('Winback - Apple'!B60,'Country &amp; Code Abbreviation'!$B$3:$B$245,0))</f>
        <v>FIN</v>
      </c>
      <c r="E60" s="239" t="s">
        <v>663</v>
      </c>
      <c r="F60" s="239" t="s">
        <v>663</v>
      </c>
      <c r="G60" s="239" t="s">
        <v>663</v>
      </c>
      <c r="H60" s="239" t="s">
        <v>663</v>
      </c>
      <c r="I60" t="s">
        <v>664</v>
      </c>
    </row>
    <row r="61" spans="2:9" ht="14.5">
      <c r="B61" t="s">
        <v>148</v>
      </c>
      <c r="C61" s="275" t="s">
        <v>368</v>
      </c>
      <c r="D61" s="275" t="str">
        <f>INDEX('Country &amp; Code Abbreviation'!$D$3:$D$245,MATCH('Winback - Apple'!B61,'Country &amp; Code Abbreviation'!$B$3:$B$245,0))</f>
        <v>FRA</v>
      </c>
      <c r="E61" s="239" t="s">
        <v>663</v>
      </c>
      <c r="F61" s="239" t="s">
        <v>663</v>
      </c>
      <c r="G61" s="239" t="s">
        <v>663</v>
      </c>
      <c r="H61" s="239" t="s">
        <v>663</v>
      </c>
      <c r="I61" t="s">
        <v>664</v>
      </c>
    </row>
    <row r="62" spans="2:9">
      <c r="B62" s="73" t="s">
        <v>152</v>
      </c>
      <c r="C62" s="275" t="s">
        <v>346</v>
      </c>
      <c r="D62" s="275" t="str">
        <f>INDEX('Country &amp; Code Abbreviation'!$D$3:$D$245,MATCH('Winback - Apple'!B62,'Country &amp; Code Abbreviation'!$B$3:$B$245,0))</f>
        <v>GAB</v>
      </c>
      <c r="E62" s="240">
        <v>46.49</v>
      </c>
      <c r="F62" s="240">
        <v>7.59</v>
      </c>
      <c r="G62" s="240">
        <v>35.49</v>
      </c>
      <c r="H62" s="240">
        <v>5.9</v>
      </c>
      <c r="I62" t="s">
        <v>493</v>
      </c>
    </row>
    <row r="63" spans="2:9">
      <c r="B63" s="73" t="s">
        <v>153</v>
      </c>
      <c r="C63" s="275" t="s">
        <v>346</v>
      </c>
      <c r="D63" s="275" t="str">
        <f>INDEX('Country &amp; Code Abbreviation'!$D$3:$D$245,MATCH('Winback - Apple'!B63,'Country &amp; Code Abbreviation'!$B$3:$B$245,0))</f>
        <v>GMB</v>
      </c>
      <c r="E63" s="240">
        <v>63</v>
      </c>
      <c r="F63" s="240">
        <v>11.49</v>
      </c>
      <c r="G63" s="240">
        <v>50.99</v>
      </c>
      <c r="H63" s="240">
        <v>8.49</v>
      </c>
      <c r="I63" t="s">
        <v>493</v>
      </c>
    </row>
    <row r="64" spans="2:9" ht="14.5">
      <c r="B64" t="s">
        <v>154</v>
      </c>
      <c r="C64" s="275" t="s">
        <v>346</v>
      </c>
      <c r="D64" s="275" t="str">
        <f>INDEX('Country &amp; Code Abbreviation'!$D$3:$D$245,MATCH('Winback - Apple'!B64,'Country &amp; Code Abbreviation'!$B$3:$B$245,0))</f>
        <v>GEO</v>
      </c>
      <c r="E64" s="239" t="s">
        <v>663</v>
      </c>
      <c r="F64" s="239" t="s">
        <v>663</v>
      </c>
      <c r="G64" s="239" t="s">
        <v>663</v>
      </c>
      <c r="H64" s="239" t="s">
        <v>663</v>
      </c>
      <c r="I64" t="s">
        <v>664</v>
      </c>
    </row>
    <row r="65" spans="2:9" ht="14.5">
      <c r="B65" t="s">
        <v>155</v>
      </c>
      <c r="C65" s="275" t="s">
        <v>368</v>
      </c>
      <c r="D65" s="275" t="str">
        <f>INDEX('Country &amp; Code Abbreviation'!$D$3:$D$245,MATCH('Winback - Apple'!B65,'Country &amp; Code Abbreviation'!$B$3:$B$245,0))</f>
        <v>DEU</v>
      </c>
      <c r="E65" s="239" t="s">
        <v>663</v>
      </c>
      <c r="F65" s="239" t="s">
        <v>663</v>
      </c>
      <c r="G65" s="239" t="s">
        <v>663</v>
      </c>
      <c r="H65" s="239" t="s">
        <v>663</v>
      </c>
      <c r="I65" t="s">
        <v>664</v>
      </c>
    </row>
    <row r="66" spans="2:9">
      <c r="B66" s="73" t="s">
        <v>156</v>
      </c>
      <c r="C66" s="275" t="s">
        <v>346</v>
      </c>
      <c r="D66" s="275" t="str">
        <f>INDEX('Country &amp; Code Abbreviation'!$D$3:$D$245,MATCH('Winback - Apple'!B66,'Country &amp; Code Abbreviation'!$B$3:$B$245,0))</f>
        <v>GHA</v>
      </c>
      <c r="E66" s="240">
        <v>42.49</v>
      </c>
      <c r="F66" s="240">
        <v>6.79</v>
      </c>
      <c r="G66" s="240">
        <v>29.49</v>
      </c>
      <c r="H66" s="240">
        <v>5.09</v>
      </c>
      <c r="I66" t="s">
        <v>493</v>
      </c>
    </row>
    <row r="67" spans="2:9" ht="14.5">
      <c r="B67" t="s">
        <v>158</v>
      </c>
      <c r="C67" s="275" t="s">
        <v>368</v>
      </c>
      <c r="D67" s="275" t="str">
        <f>INDEX('Country &amp; Code Abbreviation'!$D$3:$D$245,MATCH('Winback - Apple'!B67,'Country &amp; Code Abbreviation'!$B$3:$B$245,0))</f>
        <v>GRC</v>
      </c>
      <c r="E67" s="239" t="s">
        <v>663</v>
      </c>
      <c r="F67" s="239" t="s">
        <v>663</v>
      </c>
      <c r="G67" s="239" t="s">
        <v>663</v>
      </c>
      <c r="H67" s="239" t="s">
        <v>663</v>
      </c>
      <c r="I67" t="s">
        <v>664</v>
      </c>
    </row>
    <row r="68" spans="2:9">
      <c r="B68" s="73" t="s">
        <v>160</v>
      </c>
      <c r="C68" s="275" t="s">
        <v>346</v>
      </c>
      <c r="D68" s="275" t="str">
        <f>INDEX('Country &amp; Code Abbreviation'!$D$3:$D$245,MATCH('Winback - Apple'!B68,'Country &amp; Code Abbreviation'!$B$3:$B$245,0))</f>
        <v>GRD</v>
      </c>
      <c r="E68" s="240">
        <v>96</v>
      </c>
      <c r="F68" s="240">
        <v>16</v>
      </c>
      <c r="G68" s="240">
        <v>71</v>
      </c>
      <c r="H68" s="240">
        <v>11.49</v>
      </c>
      <c r="I68" t="s">
        <v>493</v>
      </c>
    </row>
    <row r="69" spans="2:9" ht="14.5">
      <c r="B69" t="s">
        <v>162</v>
      </c>
      <c r="C69" s="275" t="s">
        <v>346</v>
      </c>
      <c r="D69" s="275" t="str">
        <f>INDEX('Country &amp; Code Abbreviation'!$D$3:$D$245,MATCH('Winback - Apple'!B69,'Country &amp; Code Abbreviation'!$B$3:$B$245,0))</f>
        <v>GTM</v>
      </c>
      <c r="E69" s="239" t="s">
        <v>663</v>
      </c>
      <c r="F69" s="239" t="s">
        <v>663</v>
      </c>
      <c r="G69" s="239" t="s">
        <v>663</v>
      </c>
      <c r="H69" s="239" t="s">
        <v>663</v>
      </c>
      <c r="I69" t="s">
        <v>664</v>
      </c>
    </row>
    <row r="70" spans="2:9">
      <c r="B70" s="73" t="s">
        <v>165</v>
      </c>
      <c r="C70" s="275" t="s">
        <v>346</v>
      </c>
      <c r="D70" s="275" t="str">
        <f>INDEX('Country &amp; Code Abbreviation'!$D$3:$D$245,MATCH('Winback - Apple'!B70,'Country &amp; Code Abbreviation'!$B$3:$B$245,0))</f>
        <v>GNB</v>
      </c>
      <c r="E70" s="240">
        <v>62</v>
      </c>
      <c r="F70" s="240">
        <v>10</v>
      </c>
      <c r="G70" s="240">
        <v>46.49</v>
      </c>
      <c r="H70" s="240">
        <v>7.59</v>
      </c>
      <c r="I70" t="s">
        <v>493</v>
      </c>
    </row>
    <row r="71" spans="2:9" ht="14.5">
      <c r="B71" t="s">
        <v>166</v>
      </c>
      <c r="C71" s="275" t="s">
        <v>346</v>
      </c>
      <c r="D71" s="275" t="str">
        <f>INDEX('Country &amp; Code Abbreviation'!$D$3:$D$245,MATCH('Winback - Apple'!B71,'Country &amp; Code Abbreviation'!$B$3:$B$245,0))</f>
        <v>GUY</v>
      </c>
      <c r="E71" s="239" t="s">
        <v>663</v>
      </c>
      <c r="F71" s="239" t="s">
        <v>663</v>
      </c>
      <c r="G71" s="239" t="s">
        <v>663</v>
      </c>
      <c r="H71" s="239" t="s">
        <v>663</v>
      </c>
      <c r="I71" t="s">
        <v>664</v>
      </c>
    </row>
    <row r="72" spans="2:9" ht="14.5">
      <c r="B72" t="s">
        <v>169</v>
      </c>
      <c r="C72" s="275" t="s">
        <v>346</v>
      </c>
      <c r="D72" s="275" t="str">
        <f>INDEX('Country &amp; Code Abbreviation'!$D$3:$D$245,MATCH('Winback - Apple'!B72,'Country &amp; Code Abbreviation'!$B$3:$B$245,0))</f>
        <v>HND</v>
      </c>
      <c r="E72" s="239" t="s">
        <v>663</v>
      </c>
      <c r="F72" s="239" t="s">
        <v>663</v>
      </c>
      <c r="G72" s="239" t="s">
        <v>663</v>
      </c>
      <c r="H72" s="239" t="s">
        <v>663</v>
      </c>
      <c r="I72" t="s">
        <v>664</v>
      </c>
    </row>
    <row r="73" spans="2:9" ht="14.5">
      <c r="B73" t="s">
        <v>170</v>
      </c>
      <c r="C73" s="275" t="s">
        <v>376</v>
      </c>
      <c r="D73" s="275" t="str">
        <f>INDEX('Country &amp; Code Abbreviation'!$D$3:$D$245,MATCH('Winback - Apple'!B73,'Country &amp; Code Abbreviation'!$B$3:$B$245,0))</f>
        <v>HKG</v>
      </c>
      <c r="E73" s="239" t="s">
        <v>663</v>
      </c>
      <c r="F73" s="239" t="s">
        <v>663</v>
      </c>
      <c r="G73" s="239" t="s">
        <v>663</v>
      </c>
      <c r="H73" s="239" t="s">
        <v>663</v>
      </c>
      <c r="I73" t="s">
        <v>664</v>
      </c>
    </row>
    <row r="74" spans="2:9" ht="14.5">
      <c r="B74" t="s">
        <v>171</v>
      </c>
      <c r="C74" s="275" t="s">
        <v>377</v>
      </c>
      <c r="D74" s="275" t="str">
        <f>INDEX('Country &amp; Code Abbreviation'!$D$3:$D$245,MATCH('Winback - Apple'!B74,'Country &amp; Code Abbreviation'!$B$3:$B$245,0))</f>
        <v>HUN</v>
      </c>
      <c r="E74" s="239" t="s">
        <v>663</v>
      </c>
      <c r="F74" s="239" t="s">
        <v>663</v>
      </c>
      <c r="G74" s="239" t="s">
        <v>663</v>
      </c>
      <c r="H74" s="239" t="s">
        <v>663</v>
      </c>
      <c r="I74" t="s">
        <v>664</v>
      </c>
    </row>
    <row r="75" spans="2:9" ht="14.5">
      <c r="B75" t="s">
        <v>172</v>
      </c>
      <c r="C75" s="275" t="s">
        <v>346</v>
      </c>
      <c r="D75" s="275" t="str">
        <f>INDEX('Country &amp; Code Abbreviation'!$D$3:$D$245,MATCH('Winback - Apple'!B75,'Country &amp; Code Abbreviation'!$B$3:$B$245,0))</f>
        <v>ISL</v>
      </c>
      <c r="E75" s="239" t="s">
        <v>663</v>
      </c>
      <c r="F75" s="239" t="s">
        <v>663</v>
      </c>
      <c r="G75" s="239" t="s">
        <v>663</v>
      </c>
      <c r="H75" s="239" t="s">
        <v>663</v>
      </c>
      <c r="I75" t="s">
        <v>664</v>
      </c>
    </row>
    <row r="76" spans="2:9">
      <c r="B76" s="73" t="s">
        <v>173</v>
      </c>
      <c r="C76" s="275" t="s">
        <v>378</v>
      </c>
      <c r="D76" s="275" t="str">
        <f>INDEX('Country &amp; Code Abbreviation'!$D$3:$D$245,MATCH('Winback - Apple'!B76,'Country &amp; Code Abbreviation'!$B$3:$B$245,0))</f>
        <v>IND</v>
      </c>
      <c r="E76" s="240">
        <v>1750</v>
      </c>
      <c r="F76" s="240">
        <v>279</v>
      </c>
      <c r="G76" s="240">
        <v>1269</v>
      </c>
      <c r="H76" s="240">
        <v>185</v>
      </c>
      <c r="I76" t="s">
        <v>493</v>
      </c>
    </row>
    <row r="77" spans="2:9" ht="14.5">
      <c r="B77" t="s">
        <v>174</v>
      </c>
      <c r="C77" s="275" t="s">
        <v>379</v>
      </c>
      <c r="D77" s="275" t="str">
        <f>INDEX('Country &amp; Code Abbreviation'!$D$3:$D$245,MATCH('Winback - Apple'!B77,'Country &amp; Code Abbreviation'!$B$3:$B$245,0))</f>
        <v>IDN</v>
      </c>
      <c r="E77" s="239" t="s">
        <v>663</v>
      </c>
      <c r="F77" s="239" t="s">
        <v>663</v>
      </c>
      <c r="G77" s="239" t="s">
        <v>663</v>
      </c>
      <c r="H77" s="239" t="s">
        <v>663</v>
      </c>
      <c r="I77" t="s">
        <v>664</v>
      </c>
    </row>
    <row r="78" spans="2:9">
      <c r="B78" s="73" t="s">
        <v>175</v>
      </c>
      <c r="C78" s="275" t="s">
        <v>346</v>
      </c>
      <c r="D78" s="275" t="str">
        <f>INDEX('Country &amp; Code Abbreviation'!$D$3:$D$245,MATCH('Winback - Apple'!B78,'Country &amp; Code Abbreviation'!$B$3:$B$245,0))</f>
        <v>IRQ</v>
      </c>
      <c r="E78" s="240">
        <v>84.99</v>
      </c>
      <c r="F78" s="240">
        <v>14</v>
      </c>
      <c r="G78" s="240">
        <v>63</v>
      </c>
      <c r="H78" s="240">
        <v>11</v>
      </c>
      <c r="I78" t="s">
        <v>493</v>
      </c>
    </row>
    <row r="79" spans="2:9" ht="14.5">
      <c r="B79" t="s">
        <v>176</v>
      </c>
      <c r="C79" s="275" t="s">
        <v>368</v>
      </c>
      <c r="D79" s="275" t="str">
        <f>INDEX('Country &amp; Code Abbreviation'!$D$3:$D$245,MATCH('Winback - Apple'!B79,'Country &amp; Code Abbreviation'!$B$3:$B$245,0))</f>
        <v>IRL</v>
      </c>
      <c r="E79" s="239" t="s">
        <v>663</v>
      </c>
      <c r="F79" s="239" t="s">
        <v>663</v>
      </c>
      <c r="G79" s="239" t="s">
        <v>663</v>
      </c>
      <c r="H79" s="239" t="s">
        <v>663</v>
      </c>
      <c r="I79" t="s">
        <v>664</v>
      </c>
    </row>
    <row r="80" spans="2:9" ht="14.5">
      <c r="B80" t="s">
        <v>178</v>
      </c>
      <c r="C80" s="275" t="s">
        <v>380</v>
      </c>
      <c r="D80" s="275" t="str">
        <f>INDEX('Country &amp; Code Abbreviation'!$D$3:$D$245,MATCH('Winback - Apple'!B80,'Country &amp; Code Abbreviation'!$B$3:$B$245,0))</f>
        <v>ISR</v>
      </c>
      <c r="E80" s="239" t="s">
        <v>663</v>
      </c>
      <c r="F80" s="239" t="s">
        <v>663</v>
      </c>
      <c r="G80" s="239" t="s">
        <v>663</v>
      </c>
      <c r="H80" s="239" t="s">
        <v>663</v>
      </c>
      <c r="I80" t="s">
        <v>664</v>
      </c>
    </row>
    <row r="81" spans="2:9">
      <c r="B81" s="73" t="s">
        <v>179</v>
      </c>
      <c r="C81" s="275" t="s">
        <v>368</v>
      </c>
      <c r="D81" s="275" t="str">
        <f>INDEX('Country &amp; Code Abbreviation'!$D$3:$D$245,MATCH('Winback - Apple'!B81,'Country &amp; Code Abbreviation'!$B$3:$B$245,0))</f>
        <v>ITA</v>
      </c>
      <c r="E81" s="240">
        <v>126.99</v>
      </c>
      <c r="F81" s="240">
        <v>18.489999999999998</v>
      </c>
      <c r="G81" s="240">
        <v>93</v>
      </c>
      <c r="H81" s="240">
        <v>13.49</v>
      </c>
      <c r="I81" t="s">
        <v>493</v>
      </c>
    </row>
    <row r="82" spans="2:9">
      <c r="B82" s="73" t="s">
        <v>180</v>
      </c>
      <c r="C82" s="275" t="s">
        <v>346</v>
      </c>
      <c r="D82" s="275" t="str">
        <f>INDEX('Country &amp; Code Abbreviation'!$D$3:$D$245,MATCH('Winback - Apple'!B82,'Country &amp; Code Abbreviation'!$B$3:$B$245,0))</f>
        <v>JAM</v>
      </c>
      <c r="E82" s="240">
        <v>78</v>
      </c>
      <c r="F82" s="240">
        <v>12.49</v>
      </c>
      <c r="G82" s="240">
        <v>55</v>
      </c>
      <c r="H82" s="240">
        <v>9.2899999999999991</v>
      </c>
      <c r="I82" t="s">
        <v>493</v>
      </c>
    </row>
    <row r="83" spans="2:9" ht="14.5">
      <c r="B83" t="s">
        <v>181</v>
      </c>
      <c r="C83" s="276" t="s">
        <v>352</v>
      </c>
      <c r="D83" s="275" t="str">
        <f>INDEX('Country &amp; Code Abbreviation'!$D$3:$D$245,MATCH('Winback - Apple'!B83,'Country &amp; Code Abbreviation'!$B$3:$B$245,0))</f>
        <v>JPN</v>
      </c>
      <c r="E83" s="239" t="s">
        <v>663</v>
      </c>
      <c r="F83" s="239" t="s">
        <v>663</v>
      </c>
      <c r="G83" s="239" t="s">
        <v>663</v>
      </c>
      <c r="H83" s="239" t="s">
        <v>663</v>
      </c>
      <c r="I83" t="s">
        <v>664</v>
      </c>
    </row>
    <row r="84" spans="2:9">
      <c r="B84" s="73" t="s">
        <v>184</v>
      </c>
      <c r="C84" s="275" t="s">
        <v>346</v>
      </c>
      <c r="D84" s="275" t="str">
        <f>INDEX('Country &amp; Code Abbreviation'!$D$3:$D$245,MATCH('Winback - Apple'!B84,'Country &amp; Code Abbreviation'!$B$3:$B$245,0))</f>
        <v>JOR</v>
      </c>
      <c r="E84" s="240">
        <v>96</v>
      </c>
      <c r="F84" s="240">
        <v>14</v>
      </c>
      <c r="G84" s="240">
        <v>72</v>
      </c>
      <c r="H84" s="240">
        <v>11</v>
      </c>
      <c r="I84" t="s">
        <v>493</v>
      </c>
    </row>
    <row r="85" spans="2:9">
      <c r="B85" s="73" t="s">
        <v>185</v>
      </c>
      <c r="C85" s="275" t="s">
        <v>381</v>
      </c>
      <c r="D85" s="275" t="str">
        <f>INDEX('Country &amp; Code Abbreviation'!$D$3:$D$245,MATCH('Winback - Apple'!B85,'Country &amp; Code Abbreviation'!$B$3:$B$245,0))</f>
        <v>KAZ</v>
      </c>
      <c r="E85" s="240">
        <v>31490</v>
      </c>
      <c r="F85" s="240">
        <v>5190</v>
      </c>
      <c r="G85" s="240">
        <v>23000</v>
      </c>
      <c r="H85" s="240">
        <v>3900</v>
      </c>
      <c r="I85" t="s">
        <v>493</v>
      </c>
    </row>
    <row r="86" spans="2:9">
      <c r="B86" s="73" t="s">
        <v>186</v>
      </c>
      <c r="C86" s="275" t="s">
        <v>346</v>
      </c>
      <c r="D86" s="275" t="str">
        <f>INDEX('Country &amp; Code Abbreviation'!$D$3:$D$245,MATCH('Winback - Apple'!B86,'Country &amp; Code Abbreviation'!$B$3:$B$245,0))</f>
        <v>KEN</v>
      </c>
      <c r="E86" s="240">
        <v>63</v>
      </c>
      <c r="F86" s="240">
        <v>11</v>
      </c>
      <c r="G86" s="240">
        <v>46.49</v>
      </c>
      <c r="H86" s="240">
        <v>7.59</v>
      </c>
      <c r="I86" t="s">
        <v>493</v>
      </c>
    </row>
    <row r="87" spans="2:9" ht="14.5">
      <c r="B87" t="s">
        <v>273</v>
      </c>
      <c r="C87" s="275" t="s">
        <v>382</v>
      </c>
      <c r="D87" s="275" t="str">
        <f>INDEX('Country &amp; Code Abbreviation'!$D$3:$D$245,MATCH('Winback - Apple'!B87,'Country &amp; Code Abbreviation'!$B$3:$B$245,0))</f>
        <v>KOR</v>
      </c>
      <c r="E87" s="239" t="s">
        <v>663</v>
      </c>
      <c r="F87" s="239" t="s">
        <v>663</v>
      </c>
      <c r="G87" s="239" t="s">
        <v>663</v>
      </c>
      <c r="H87" s="239" t="s">
        <v>663</v>
      </c>
      <c r="I87" t="s">
        <v>664</v>
      </c>
    </row>
    <row r="88" spans="2:9">
      <c r="B88" s="73" t="s">
        <v>188</v>
      </c>
      <c r="C88" s="275" t="s">
        <v>368</v>
      </c>
      <c r="D88" s="275" t="e">
        <f>INDEX('Country &amp; Code Abbreviation'!$D$3:$D$245,MATCH('Winback - Apple'!B88,'Country &amp; Code Abbreviation'!$B$3:$B$245,0))</f>
        <v>#N/A</v>
      </c>
      <c r="E88" s="240">
        <v>40.49</v>
      </c>
      <c r="F88" s="240">
        <v>6.79</v>
      </c>
      <c r="G88" s="240">
        <v>30.49</v>
      </c>
      <c r="H88" s="240">
        <v>5.09</v>
      </c>
      <c r="I88" t="s">
        <v>493</v>
      </c>
    </row>
    <row r="89" spans="2:9" ht="14.5">
      <c r="B89" t="s">
        <v>189</v>
      </c>
      <c r="C89" s="275" t="s">
        <v>346</v>
      </c>
      <c r="D89" s="275" t="str">
        <f>INDEX('Country &amp; Code Abbreviation'!$D$3:$D$245,MATCH('Winback - Apple'!B89,'Country &amp; Code Abbreviation'!$B$3:$B$245,0))</f>
        <v>KWT</v>
      </c>
      <c r="E89" s="239" t="s">
        <v>663</v>
      </c>
      <c r="F89" s="239" t="s">
        <v>663</v>
      </c>
      <c r="G89" s="239" t="s">
        <v>663</v>
      </c>
      <c r="H89" s="239" t="s">
        <v>663</v>
      </c>
      <c r="I89" t="s">
        <v>664</v>
      </c>
    </row>
    <row r="90" spans="2:9">
      <c r="B90" s="73" t="s">
        <v>190</v>
      </c>
      <c r="C90" s="275" t="s">
        <v>346</v>
      </c>
      <c r="D90" s="275" t="str">
        <f>INDEX('Country &amp; Code Abbreviation'!$D$3:$D$245,MATCH('Winback - Apple'!B90,'Country &amp; Code Abbreviation'!$B$3:$B$245,0))</f>
        <v>KGZ</v>
      </c>
      <c r="E90" s="240">
        <v>82</v>
      </c>
      <c r="F90" s="240">
        <v>13.49</v>
      </c>
      <c r="G90" s="240">
        <v>61</v>
      </c>
      <c r="H90" s="240">
        <v>10</v>
      </c>
      <c r="I90" t="s">
        <v>493</v>
      </c>
    </row>
    <row r="91" spans="2:9">
      <c r="B91" s="73" t="s">
        <v>191</v>
      </c>
      <c r="C91" s="275" t="s">
        <v>346</v>
      </c>
      <c r="D91" s="275" t="str">
        <f>INDEX('Country &amp; Code Abbreviation'!$D$3:$D$245,MATCH('Winback - Apple'!B91,'Country &amp; Code Abbreviation'!$B$3:$B$245,0))</f>
        <v>LAO</v>
      </c>
      <c r="E91" s="240">
        <v>50.99</v>
      </c>
      <c r="F91" s="240">
        <v>8.49</v>
      </c>
      <c r="G91" s="240">
        <v>38</v>
      </c>
      <c r="H91" s="240">
        <v>5.9</v>
      </c>
      <c r="I91" t="s">
        <v>493</v>
      </c>
    </row>
    <row r="92" spans="2:9" ht="14.5">
      <c r="B92" t="s">
        <v>192</v>
      </c>
      <c r="C92" s="275" t="s">
        <v>368</v>
      </c>
      <c r="D92" s="275" t="str">
        <f>INDEX('Country &amp; Code Abbreviation'!$D$3:$D$245,MATCH('Winback - Apple'!B92,'Country &amp; Code Abbreviation'!$B$3:$B$245,0))</f>
        <v>LVA</v>
      </c>
      <c r="E92" s="239" t="s">
        <v>663</v>
      </c>
      <c r="F92" s="239" t="s">
        <v>663</v>
      </c>
      <c r="G92" s="239" t="s">
        <v>663</v>
      </c>
      <c r="H92" s="239" t="s">
        <v>663</v>
      </c>
      <c r="I92" t="s">
        <v>664</v>
      </c>
    </row>
    <row r="93" spans="2:9" ht="14.5">
      <c r="B93" t="s">
        <v>193</v>
      </c>
      <c r="C93" s="275" t="s">
        <v>346</v>
      </c>
      <c r="D93" s="275" t="str">
        <f>INDEX('Country &amp; Code Abbreviation'!$D$3:$D$245,MATCH('Winback - Apple'!B93,'Country &amp; Code Abbreviation'!$B$3:$B$245,0))</f>
        <v>LBN</v>
      </c>
      <c r="E93" s="239" t="s">
        <v>663</v>
      </c>
      <c r="F93" s="239" t="s">
        <v>663</v>
      </c>
      <c r="G93" s="239" t="s">
        <v>663</v>
      </c>
      <c r="H93" s="239" t="s">
        <v>663</v>
      </c>
      <c r="I93" t="s">
        <v>664</v>
      </c>
    </row>
    <row r="94" spans="2:9">
      <c r="B94" s="73" t="s">
        <v>195</v>
      </c>
      <c r="C94" s="275" t="s">
        <v>346</v>
      </c>
      <c r="D94" s="275" t="str">
        <f>INDEX('Country &amp; Code Abbreviation'!$D$3:$D$245,MATCH('Winback - Apple'!B94,'Country &amp; Code Abbreviation'!$B$3:$B$245,0))</f>
        <v>LBR</v>
      </c>
      <c r="E94" s="240">
        <v>61</v>
      </c>
      <c r="F94" s="240">
        <v>10</v>
      </c>
      <c r="G94" s="240">
        <v>45.49</v>
      </c>
      <c r="H94" s="240">
        <v>7.59</v>
      </c>
      <c r="I94" t="s">
        <v>493</v>
      </c>
    </row>
    <row r="95" spans="2:9">
      <c r="B95" s="73" t="s">
        <v>196</v>
      </c>
      <c r="C95" s="275" t="s">
        <v>346</v>
      </c>
      <c r="D95" s="275" t="str">
        <f>INDEX('Country &amp; Code Abbreviation'!$D$3:$D$245,MATCH('Winback - Apple'!B95,'Country &amp; Code Abbreviation'!$B$3:$B$245,0))</f>
        <v>LBY</v>
      </c>
      <c r="E95" s="240">
        <v>67.989999999999995</v>
      </c>
      <c r="F95" s="240">
        <v>11.49</v>
      </c>
      <c r="G95" s="240">
        <v>50.99</v>
      </c>
      <c r="H95" s="240">
        <v>8.49</v>
      </c>
      <c r="I95" t="s">
        <v>493</v>
      </c>
    </row>
    <row r="96" spans="2:9" ht="14.5">
      <c r="B96" t="s">
        <v>198</v>
      </c>
      <c r="C96" s="275" t="s">
        <v>368</v>
      </c>
      <c r="D96" s="275" t="str">
        <f>INDEX('Country &amp; Code Abbreviation'!$D$3:$D$245,MATCH('Winback - Apple'!B96,'Country &amp; Code Abbreviation'!$B$3:$B$245,0))</f>
        <v>LTU</v>
      </c>
      <c r="E96" s="239" t="s">
        <v>663</v>
      </c>
      <c r="F96" s="239" t="s">
        <v>663</v>
      </c>
      <c r="G96" s="239" t="s">
        <v>663</v>
      </c>
      <c r="H96" s="239" t="s">
        <v>663</v>
      </c>
      <c r="I96" t="s">
        <v>664</v>
      </c>
    </row>
    <row r="97" spans="2:9" ht="14.5">
      <c r="B97" t="s">
        <v>199</v>
      </c>
      <c r="C97" s="275" t="s">
        <v>368</v>
      </c>
      <c r="D97" s="275" t="str">
        <f>INDEX('Country &amp; Code Abbreviation'!$D$3:$D$245,MATCH('Winback - Apple'!B97,'Country &amp; Code Abbreviation'!$B$3:$B$245,0))</f>
        <v>LUX</v>
      </c>
      <c r="E97" s="239" t="s">
        <v>663</v>
      </c>
      <c r="F97" s="239" t="s">
        <v>663</v>
      </c>
      <c r="G97" s="239" t="s">
        <v>663</v>
      </c>
      <c r="H97" s="239" t="s">
        <v>663</v>
      </c>
      <c r="I97" t="s">
        <v>664</v>
      </c>
    </row>
    <row r="98" spans="2:9" ht="14.5">
      <c r="B98" t="s">
        <v>200</v>
      </c>
      <c r="C98" s="275" t="s">
        <v>346</v>
      </c>
      <c r="D98" s="275" t="str">
        <f>INDEX('Country &amp; Code Abbreviation'!$D$3:$D$245,MATCH('Winback - Apple'!B98,'Country &amp; Code Abbreviation'!$B$3:$B$245,0))</f>
        <v>MAC</v>
      </c>
      <c r="E98" s="239" t="s">
        <v>663</v>
      </c>
      <c r="F98" s="239" t="s">
        <v>663</v>
      </c>
      <c r="G98" s="239" t="s">
        <v>663</v>
      </c>
      <c r="H98" s="239" t="s">
        <v>663</v>
      </c>
      <c r="I98" t="s">
        <v>664</v>
      </c>
    </row>
    <row r="99" spans="2:9" ht="14.5">
      <c r="B99" t="s">
        <v>201</v>
      </c>
      <c r="C99" s="275" t="s">
        <v>346</v>
      </c>
      <c r="D99" s="275" t="str">
        <f>INDEX('Country &amp; Code Abbreviation'!$D$3:$D$245,MATCH('Winback - Apple'!B99,'Country &amp; Code Abbreviation'!$B$3:$B$245,0))</f>
        <v>MKD</v>
      </c>
      <c r="E99" s="239" t="s">
        <v>663</v>
      </c>
      <c r="F99" s="239" t="s">
        <v>663</v>
      </c>
      <c r="G99" s="239" t="s">
        <v>663</v>
      </c>
      <c r="H99" s="239" t="s">
        <v>663</v>
      </c>
      <c r="I99" t="s">
        <v>664</v>
      </c>
    </row>
    <row r="100" spans="2:9">
      <c r="B100" s="73" t="s">
        <v>202</v>
      </c>
      <c r="C100" s="275" t="s">
        <v>346</v>
      </c>
      <c r="D100" s="275" t="str">
        <f>INDEX('Country &amp; Code Abbreviation'!$D$3:$D$245,MATCH('Winback - Apple'!B100,'Country &amp; Code Abbreviation'!$B$3:$B$245,0))</f>
        <v>MDG</v>
      </c>
      <c r="E100" s="240">
        <v>61</v>
      </c>
      <c r="F100" s="240">
        <v>10</v>
      </c>
      <c r="G100" s="240">
        <v>45.49</v>
      </c>
      <c r="H100" s="240">
        <v>7.59</v>
      </c>
      <c r="I100" t="s">
        <v>493</v>
      </c>
    </row>
    <row r="101" spans="2:9">
      <c r="B101" s="73" t="s">
        <v>203</v>
      </c>
      <c r="C101" s="275" t="s">
        <v>346</v>
      </c>
      <c r="D101" s="275" t="str">
        <f>INDEX('Country &amp; Code Abbreviation'!$D$3:$D$245,MATCH('Winback - Apple'!B101,'Country &amp; Code Abbreviation'!$B$3:$B$245,0))</f>
        <v>MWI</v>
      </c>
      <c r="E101" s="240">
        <v>28.49</v>
      </c>
      <c r="F101" s="240">
        <v>5.09</v>
      </c>
      <c r="G101" s="240">
        <v>21</v>
      </c>
      <c r="H101" s="240">
        <v>3.39</v>
      </c>
      <c r="I101" t="s">
        <v>493</v>
      </c>
    </row>
    <row r="102" spans="2:9" ht="14.5">
      <c r="B102" t="s">
        <v>204</v>
      </c>
      <c r="C102" s="275" t="s">
        <v>383</v>
      </c>
      <c r="D102" s="275" t="str">
        <f>INDEX('Country &amp; Code Abbreviation'!$D$3:$D$245,MATCH('Winback - Apple'!B102,'Country &amp; Code Abbreviation'!$B$3:$B$245,0))</f>
        <v>MYS</v>
      </c>
      <c r="E102" s="239" t="s">
        <v>663</v>
      </c>
      <c r="F102" s="239" t="s">
        <v>663</v>
      </c>
      <c r="G102" s="239" t="s">
        <v>663</v>
      </c>
      <c r="H102" s="239" t="s">
        <v>663</v>
      </c>
      <c r="I102" t="s">
        <v>664</v>
      </c>
    </row>
    <row r="103" spans="2:9">
      <c r="B103" s="73" t="s">
        <v>205</v>
      </c>
      <c r="C103" s="275" t="s">
        <v>346</v>
      </c>
      <c r="D103" s="275" t="str">
        <f>INDEX('Country &amp; Code Abbreviation'!$D$3:$D$245,MATCH('Winback - Apple'!B103,'Country &amp; Code Abbreviation'!$B$3:$B$245,0))</f>
        <v>MDV</v>
      </c>
      <c r="E103" s="240">
        <v>60</v>
      </c>
      <c r="F103" s="240">
        <v>10</v>
      </c>
      <c r="G103" s="240">
        <v>45</v>
      </c>
      <c r="H103" s="240">
        <v>7.59</v>
      </c>
      <c r="I103" t="s">
        <v>493</v>
      </c>
    </row>
    <row r="104" spans="2:9">
      <c r="B104" s="73" t="s">
        <v>206</v>
      </c>
      <c r="C104" s="275" t="s">
        <v>346</v>
      </c>
      <c r="D104" s="275" t="str">
        <f>INDEX('Country &amp; Code Abbreviation'!$D$3:$D$245,MATCH('Winback - Apple'!B104,'Country &amp; Code Abbreviation'!$B$3:$B$245,0))</f>
        <v>MLI</v>
      </c>
      <c r="E104" s="240">
        <v>62</v>
      </c>
      <c r="F104" s="240">
        <v>10</v>
      </c>
      <c r="G104" s="240">
        <v>46.49</v>
      </c>
      <c r="H104" s="240">
        <v>7.59</v>
      </c>
      <c r="I104" t="s">
        <v>493</v>
      </c>
    </row>
    <row r="105" spans="2:9">
      <c r="B105" s="73" t="s">
        <v>207</v>
      </c>
      <c r="C105" s="275" t="s">
        <v>368</v>
      </c>
      <c r="D105" s="275" t="str">
        <f>INDEX('Country &amp; Code Abbreviation'!$D$3:$D$245,MATCH('Winback - Apple'!B105,'Country &amp; Code Abbreviation'!$B$3:$B$245,0))</f>
        <v>MLT</v>
      </c>
      <c r="E105" s="240">
        <v>109.99</v>
      </c>
      <c r="F105" s="240">
        <v>18.489999999999998</v>
      </c>
      <c r="G105" s="240">
        <v>84.99</v>
      </c>
      <c r="H105" s="240">
        <v>14</v>
      </c>
      <c r="I105" t="s">
        <v>493</v>
      </c>
    </row>
    <row r="106" spans="2:9">
      <c r="B106" s="73" t="s">
        <v>210</v>
      </c>
      <c r="C106" s="275" t="s">
        <v>346</v>
      </c>
      <c r="D106" s="275" t="str">
        <f>INDEX('Country &amp; Code Abbreviation'!$D$3:$D$245,MATCH('Winback - Apple'!B106,'Country &amp; Code Abbreviation'!$B$3:$B$245,0))</f>
        <v>MRT</v>
      </c>
      <c r="E106" s="240">
        <v>61</v>
      </c>
      <c r="F106" s="240">
        <v>10</v>
      </c>
      <c r="G106" s="240">
        <v>45.49</v>
      </c>
      <c r="H106" s="240">
        <v>7.59</v>
      </c>
      <c r="I106" t="s">
        <v>493</v>
      </c>
    </row>
    <row r="107" spans="2:9">
      <c r="B107" s="73" t="s">
        <v>211</v>
      </c>
      <c r="C107" s="275" t="s">
        <v>346</v>
      </c>
      <c r="D107" s="275" t="str">
        <f>INDEX('Country &amp; Code Abbreviation'!$D$3:$D$245,MATCH('Winback - Apple'!B107,'Country &amp; Code Abbreviation'!$B$3:$B$245,0))</f>
        <v>MUS</v>
      </c>
      <c r="E107" s="240">
        <v>50.99</v>
      </c>
      <c r="F107" s="240">
        <v>8.49</v>
      </c>
      <c r="G107" s="240">
        <v>37</v>
      </c>
      <c r="H107" s="240">
        <v>5.9</v>
      </c>
      <c r="I107" t="s">
        <v>493</v>
      </c>
    </row>
    <row r="108" spans="2:9" ht="14.5">
      <c r="B108" t="s">
        <v>213</v>
      </c>
      <c r="C108" s="275" t="s">
        <v>384</v>
      </c>
      <c r="D108" s="275" t="str">
        <f>INDEX('Country &amp; Code Abbreviation'!$D$3:$D$245,MATCH('Winback - Apple'!B108,'Country &amp; Code Abbreviation'!$B$3:$B$245,0))</f>
        <v>MEX</v>
      </c>
      <c r="E108" s="239" t="s">
        <v>663</v>
      </c>
      <c r="F108" s="239" t="s">
        <v>663</v>
      </c>
      <c r="G108" s="239" t="s">
        <v>663</v>
      </c>
      <c r="H108" s="239" t="s">
        <v>663</v>
      </c>
      <c r="I108" t="s">
        <v>664</v>
      </c>
    </row>
    <row r="109" spans="2:9">
      <c r="B109" s="73" t="s">
        <v>214</v>
      </c>
      <c r="C109" s="275" t="s">
        <v>346</v>
      </c>
      <c r="D109" s="275" t="str">
        <f>INDEX('Country &amp; Code Abbreviation'!$D$3:$D$245,MATCH('Winback - Apple'!B109,'Country &amp; Code Abbreviation'!$B$3:$B$245,0))</f>
        <v>FSM</v>
      </c>
      <c r="E109" s="240">
        <v>109.99</v>
      </c>
      <c r="F109" s="240">
        <v>16</v>
      </c>
      <c r="G109" s="240">
        <v>71</v>
      </c>
      <c r="H109" s="240">
        <v>11.49</v>
      </c>
      <c r="I109" t="s">
        <v>493</v>
      </c>
    </row>
    <row r="110" spans="2:9">
      <c r="B110" s="73" t="s">
        <v>215</v>
      </c>
      <c r="C110" s="275" t="s">
        <v>346</v>
      </c>
      <c r="D110" s="275" t="str">
        <f>INDEX('Country &amp; Code Abbreviation'!$D$3:$D$245,MATCH('Winback - Apple'!B110,'Country &amp; Code Abbreviation'!$B$3:$B$245,0))</f>
        <v>MDA</v>
      </c>
      <c r="E110" s="240">
        <v>72</v>
      </c>
      <c r="F110" s="240">
        <v>11.49</v>
      </c>
      <c r="G110" s="240">
        <v>53</v>
      </c>
      <c r="H110" s="240">
        <v>8.49</v>
      </c>
      <c r="I110" t="s">
        <v>493</v>
      </c>
    </row>
    <row r="111" spans="2:9" ht="14.5">
      <c r="B111" t="s">
        <v>217</v>
      </c>
      <c r="C111" s="275" t="s">
        <v>346</v>
      </c>
      <c r="D111" s="275" t="str">
        <f>INDEX('Country &amp; Code Abbreviation'!$D$3:$D$245,MATCH('Winback - Apple'!B111,'Country &amp; Code Abbreviation'!$B$3:$B$245,0))</f>
        <v>MNG</v>
      </c>
      <c r="E111" s="239" t="s">
        <v>663</v>
      </c>
      <c r="F111" s="239" t="s">
        <v>663</v>
      </c>
      <c r="G111" s="239" t="s">
        <v>663</v>
      </c>
      <c r="H111" s="239" t="s">
        <v>663</v>
      </c>
      <c r="I111" t="s">
        <v>664</v>
      </c>
    </row>
    <row r="112" spans="2:9">
      <c r="B112" s="73" t="s">
        <v>218</v>
      </c>
      <c r="C112" s="275" t="s">
        <v>368</v>
      </c>
      <c r="D112" s="275" t="str">
        <f>INDEX('Country &amp; Code Abbreviation'!$D$3:$D$245,MATCH('Winback - Apple'!B112,'Country &amp; Code Abbreviation'!$B$3:$B$245,0))</f>
        <v>MNE</v>
      </c>
      <c r="E112" s="240">
        <v>67.989999999999995</v>
      </c>
      <c r="F112" s="240">
        <v>11</v>
      </c>
      <c r="G112" s="240">
        <v>50.99</v>
      </c>
      <c r="H112" s="240">
        <v>8.49</v>
      </c>
      <c r="I112" t="s">
        <v>493</v>
      </c>
    </row>
    <row r="113" spans="2:9">
      <c r="B113" s="73" t="s">
        <v>219</v>
      </c>
      <c r="C113" s="275" t="s">
        <v>346</v>
      </c>
      <c r="D113" s="275" t="str">
        <f>INDEX('Country &amp; Code Abbreviation'!$D$3:$D$245,MATCH('Winback - Apple'!B113,'Country &amp; Code Abbreviation'!$B$3:$B$245,0))</f>
        <v>MSR</v>
      </c>
      <c r="E113" s="240">
        <v>84.99</v>
      </c>
      <c r="F113" s="240">
        <v>14</v>
      </c>
      <c r="G113" s="240">
        <v>62</v>
      </c>
      <c r="H113" s="240">
        <v>10</v>
      </c>
      <c r="I113" t="s">
        <v>493</v>
      </c>
    </row>
    <row r="114" spans="2:9" ht="14.5">
      <c r="B114" t="s">
        <v>220</v>
      </c>
      <c r="C114" s="275" t="s">
        <v>346</v>
      </c>
      <c r="D114" s="275" t="str">
        <f>INDEX('Country &amp; Code Abbreviation'!$D$3:$D$245,MATCH('Winback - Apple'!B114,'Country &amp; Code Abbreviation'!$B$3:$B$245,0))</f>
        <v>MAR</v>
      </c>
      <c r="E114" s="239" t="s">
        <v>663</v>
      </c>
      <c r="F114" s="239" t="s">
        <v>663</v>
      </c>
      <c r="G114" s="239" t="s">
        <v>663</v>
      </c>
      <c r="H114" s="239" t="s">
        <v>663</v>
      </c>
      <c r="I114" t="s">
        <v>664</v>
      </c>
    </row>
    <row r="115" spans="2:9">
      <c r="B115" s="73" t="s">
        <v>221</v>
      </c>
      <c r="C115" s="275" t="s">
        <v>346</v>
      </c>
      <c r="D115" s="275" t="str">
        <f>INDEX('Country &amp; Code Abbreviation'!$D$3:$D$245,MATCH('Winback - Apple'!B115,'Country &amp; Code Abbreviation'!$B$3:$B$245,0))</f>
        <v>MOZ</v>
      </c>
      <c r="E115" s="240">
        <v>61</v>
      </c>
      <c r="F115" s="240">
        <v>10</v>
      </c>
      <c r="G115" s="240">
        <v>45.49</v>
      </c>
      <c r="H115" s="240">
        <v>7.59</v>
      </c>
      <c r="I115" t="s">
        <v>493</v>
      </c>
    </row>
    <row r="116" spans="2:9">
      <c r="B116" s="73" t="s">
        <v>222</v>
      </c>
      <c r="C116" s="275" t="s">
        <v>346</v>
      </c>
      <c r="D116" s="275" t="str">
        <f>INDEX('Country &amp; Code Abbreviation'!$D$3:$D$245,MATCH('Winback - Apple'!B116,'Country &amp; Code Abbreviation'!$B$3:$B$245,0))</f>
        <v>MMR</v>
      </c>
      <c r="E116" s="240">
        <v>55</v>
      </c>
      <c r="F116" s="240">
        <v>9.2899999999999991</v>
      </c>
      <c r="G116" s="240">
        <v>42.49</v>
      </c>
      <c r="H116" s="240">
        <v>6.79</v>
      </c>
      <c r="I116" t="s">
        <v>493</v>
      </c>
    </row>
    <row r="117" spans="2:9">
      <c r="B117" s="73" t="s">
        <v>223</v>
      </c>
      <c r="C117" s="275" t="s">
        <v>346</v>
      </c>
      <c r="D117" s="275" t="str">
        <f>INDEX('Country &amp; Code Abbreviation'!$D$3:$D$245,MATCH('Winback - Apple'!B117,'Country &amp; Code Abbreviation'!$B$3:$B$245,0))</f>
        <v>NAM</v>
      </c>
      <c r="E117" s="240">
        <v>45</v>
      </c>
      <c r="F117" s="240">
        <v>7.59</v>
      </c>
      <c r="G117" s="240">
        <v>33</v>
      </c>
      <c r="H117" s="240">
        <v>5.09</v>
      </c>
      <c r="I117" t="s">
        <v>493</v>
      </c>
    </row>
    <row r="118" spans="2:9">
      <c r="B118" s="73" t="s">
        <v>224</v>
      </c>
      <c r="C118" s="275" t="s">
        <v>346</v>
      </c>
      <c r="D118" s="275" t="str">
        <f>INDEX('Country &amp; Code Abbreviation'!$D$3:$D$245,MATCH('Winback - Apple'!B118,'Country &amp; Code Abbreviation'!$B$3:$B$245,0))</f>
        <v>NRU</v>
      </c>
      <c r="E118" s="240">
        <v>63</v>
      </c>
      <c r="F118" s="240">
        <v>10</v>
      </c>
      <c r="G118" s="240">
        <v>45</v>
      </c>
      <c r="H118" s="240">
        <v>7.59</v>
      </c>
      <c r="I118" t="s">
        <v>493</v>
      </c>
    </row>
    <row r="119" spans="2:9">
      <c r="B119" s="73" t="s">
        <v>225</v>
      </c>
      <c r="C119" s="275" t="s">
        <v>346</v>
      </c>
      <c r="D119" s="275" t="str">
        <f>INDEX('Country &amp; Code Abbreviation'!$D$3:$D$245,MATCH('Winback - Apple'!B119,'Country &amp; Code Abbreviation'!$B$3:$B$245,0))</f>
        <v>NPL</v>
      </c>
      <c r="E119" s="240">
        <v>67</v>
      </c>
      <c r="F119" s="240">
        <v>11</v>
      </c>
      <c r="G119" s="240">
        <v>49</v>
      </c>
      <c r="H119" s="240">
        <v>7.59</v>
      </c>
      <c r="I119" t="s">
        <v>493</v>
      </c>
    </row>
    <row r="120" spans="2:9" ht="14.5">
      <c r="B120" t="s">
        <v>226</v>
      </c>
      <c r="C120" s="275" t="s">
        <v>368</v>
      </c>
      <c r="D120" s="275" t="str">
        <f>INDEX('Country &amp; Code Abbreviation'!$D$3:$D$245,MATCH('Winback - Apple'!B120,'Country &amp; Code Abbreviation'!$B$3:$B$245,0))</f>
        <v>NLD</v>
      </c>
      <c r="E120" s="239" t="s">
        <v>663</v>
      </c>
      <c r="F120" s="239" t="s">
        <v>663</v>
      </c>
      <c r="G120" s="239" t="s">
        <v>663</v>
      </c>
      <c r="H120" s="239" t="s">
        <v>663</v>
      </c>
      <c r="I120" t="s">
        <v>664</v>
      </c>
    </row>
    <row r="121" spans="2:9" ht="14.5">
      <c r="B121" t="s">
        <v>229</v>
      </c>
      <c r="C121" s="275" t="s">
        <v>385</v>
      </c>
      <c r="D121" s="275" t="str">
        <f>INDEX('Country &amp; Code Abbreviation'!$D$3:$D$245,MATCH('Winback - Apple'!B121,'Country &amp; Code Abbreviation'!$B$3:$B$245,0))</f>
        <v>NZL</v>
      </c>
      <c r="E121" s="239" t="s">
        <v>663</v>
      </c>
      <c r="F121" s="239" t="s">
        <v>663</v>
      </c>
      <c r="G121" s="239" t="s">
        <v>663</v>
      </c>
      <c r="H121" s="239" t="s">
        <v>663</v>
      </c>
      <c r="I121" t="s">
        <v>664</v>
      </c>
    </row>
    <row r="122" spans="2:9" ht="14.5">
      <c r="B122" t="s">
        <v>230</v>
      </c>
      <c r="C122" s="275" t="s">
        <v>346</v>
      </c>
      <c r="D122" s="275" t="str">
        <f>INDEX('Country &amp; Code Abbreviation'!$D$3:$D$245,MATCH('Winback - Apple'!B122,'Country &amp; Code Abbreviation'!$B$3:$B$245,0))</f>
        <v>NIC</v>
      </c>
      <c r="E122" s="239" t="s">
        <v>663</v>
      </c>
      <c r="F122" s="239" t="s">
        <v>663</v>
      </c>
      <c r="G122" s="239" t="s">
        <v>663</v>
      </c>
      <c r="H122" s="239" t="s">
        <v>663</v>
      </c>
      <c r="I122" t="s">
        <v>664</v>
      </c>
    </row>
    <row r="123" spans="2:9">
      <c r="B123" s="73" t="s">
        <v>231</v>
      </c>
      <c r="C123" s="275" t="s">
        <v>346</v>
      </c>
      <c r="D123" s="275" t="str">
        <f>INDEX('Country &amp; Code Abbreviation'!$D$3:$D$245,MATCH('Winback - Apple'!B123,'Country &amp; Code Abbreviation'!$B$3:$B$245,0))</f>
        <v>NER</v>
      </c>
      <c r="E123" s="240">
        <v>62</v>
      </c>
      <c r="F123" s="240">
        <v>10</v>
      </c>
      <c r="G123" s="240">
        <v>46.49</v>
      </c>
      <c r="H123" s="240">
        <v>7.59</v>
      </c>
      <c r="I123" t="s">
        <v>493</v>
      </c>
    </row>
    <row r="124" spans="2:9">
      <c r="B124" s="73" t="s">
        <v>232</v>
      </c>
      <c r="C124" s="275" t="s">
        <v>386</v>
      </c>
      <c r="D124" s="275" t="str">
        <f>INDEX('Country &amp; Code Abbreviation'!$D$3:$D$245,MATCH('Winback - Apple'!B124,'Country &amp; Code Abbreviation'!$B$3:$B$245,0))</f>
        <v>NGA</v>
      </c>
      <c r="E124" s="240">
        <v>41500</v>
      </c>
      <c r="F124" s="240">
        <v>6900</v>
      </c>
      <c r="G124" s="240">
        <v>31000</v>
      </c>
      <c r="H124" s="240">
        <v>5100</v>
      </c>
      <c r="I124" t="s">
        <v>493</v>
      </c>
    </row>
    <row r="125" spans="2:9" ht="14.5">
      <c r="B125" t="s">
        <v>237</v>
      </c>
      <c r="C125" s="275" t="s">
        <v>387</v>
      </c>
      <c r="D125" s="275" t="str">
        <f>INDEX('Country &amp; Code Abbreviation'!$D$3:$D$245,MATCH('Winback - Apple'!B125,'Country &amp; Code Abbreviation'!$B$3:$B$245,0))</f>
        <v>NOR</v>
      </c>
      <c r="E125" s="239" t="s">
        <v>663</v>
      </c>
      <c r="F125" s="239" t="s">
        <v>663</v>
      </c>
      <c r="G125" s="239" t="s">
        <v>663</v>
      </c>
      <c r="H125" s="239" t="s">
        <v>663</v>
      </c>
      <c r="I125" t="s">
        <v>664</v>
      </c>
    </row>
    <row r="126" spans="2:9">
      <c r="B126" s="73" t="s">
        <v>238</v>
      </c>
      <c r="C126" s="275" t="s">
        <v>346</v>
      </c>
      <c r="D126" s="275" t="str">
        <f>INDEX('Country &amp; Code Abbreviation'!$D$3:$D$245,MATCH('Winback - Apple'!B126,'Country &amp; Code Abbreviation'!$B$3:$B$245,0))</f>
        <v>OMN</v>
      </c>
      <c r="E126" s="240">
        <v>66</v>
      </c>
      <c r="F126" s="240">
        <v>11</v>
      </c>
      <c r="G126" s="240">
        <v>52</v>
      </c>
      <c r="H126" s="240">
        <v>8.49</v>
      </c>
      <c r="I126" t="s">
        <v>493</v>
      </c>
    </row>
    <row r="127" spans="2:9">
      <c r="B127" s="73" t="s">
        <v>239</v>
      </c>
      <c r="C127" s="275" t="s">
        <v>388</v>
      </c>
      <c r="D127" s="275" t="str">
        <f>INDEX('Country &amp; Code Abbreviation'!$D$3:$D$245,MATCH('Winback - Apple'!B127,'Country &amp; Code Abbreviation'!$B$3:$B$245,0))</f>
        <v>PAK</v>
      </c>
      <c r="E127" s="240">
        <v>10300</v>
      </c>
      <c r="F127" s="240">
        <v>1700</v>
      </c>
      <c r="G127" s="240">
        <v>7600</v>
      </c>
      <c r="H127" s="240">
        <v>1250</v>
      </c>
      <c r="I127" t="s">
        <v>493</v>
      </c>
    </row>
    <row r="128" spans="2:9">
      <c r="B128" s="73" t="s">
        <v>240</v>
      </c>
      <c r="C128" s="275" t="s">
        <v>346</v>
      </c>
      <c r="D128" s="275" t="str">
        <f>INDEX('Country &amp; Code Abbreviation'!$D$3:$D$245,MATCH('Winback - Apple'!B128,'Country &amp; Code Abbreviation'!$B$3:$B$245,0))</f>
        <v>PLW</v>
      </c>
      <c r="E128" s="240">
        <v>109.99</v>
      </c>
      <c r="F128" s="240">
        <v>16</v>
      </c>
      <c r="G128" s="240">
        <v>71</v>
      </c>
      <c r="H128" s="240">
        <v>11.49</v>
      </c>
      <c r="I128" t="s">
        <v>493</v>
      </c>
    </row>
    <row r="129" spans="2:9" ht="14.5">
      <c r="B129" t="s">
        <v>242</v>
      </c>
      <c r="C129" s="275" t="s">
        <v>346</v>
      </c>
      <c r="D129" s="275" t="str">
        <f>INDEX('Country &amp; Code Abbreviation'!$D$3:$D$245,MATCH('Winback - Apple'!B129,'Country &amp; Code Abbreviation'!$B$3:$B$245,0))</f>
        <v>PAN</v>
      </c>
      <c r="E129" s="239" t="s">
        <v>663</v>
      </c>
      <c r="F129" s="239" t="s">
        <v>663</v>
      </c>
      <c r="G129" s="239" t="s">
        <v>663</v>
      </c>
      <c r="H129" s="239" t="s">
        <v>663</v>
      </c>
      <c r="I129" t="s">
        <v>664</v>
      </c>
    </row>
    <row r="130" spans="2:9">
      <c r="B130" s="73" t="s">
        <v>243</v>
      </c>
      <c r="C130" s="275" t="s">
        <v>346</v>
      </c>
      <c r="D130" s="275" t="str">
        <f>INDEX('Country &amp; Code Abbreviation'!$D$3:$D$245,MATCH('Winback - Apple'!B130,'Country &amp; Code Abbreviation'!$B$3:$B$245,0))</f>
        <v>PNG</v>
      </c>
      <c r="E130" s="240">
        <v>57</v>
      </c>
      <c r="F130" s="240">
        <v>9.2899999999999991</v>
      </c>
      <c r="G130" s="240">
        <v>43</v>
      </c>
      <c r="H130" s="240">
        <v>6.79</v>
      </c>
      <c r="I130" t="s">
        <v>493</v>
      </c>
    </row>
    <row r="131" spans="2:9" ht="14.5">
      <c r="B131" t="s">
        <v>244</v>
      </c>
      <c r="C131" s="275" t="s">
        <v>346</v>
      </c>
      <c r="D131" s="275" t="str">
        <f>INDEX('Country &amp; Code Abbreviation'!$D$3:$D$245,MATCH('Winback - Apple'!B131,'Country &amp; Code Abbreviation'!$B$3:$B$245,0))</f>
        <v>PRY</v>
      </c>
      <c r="E131" s="239" t="s">
        <v>663</v>
      </c>
      <c r="F131" s="239" t="s">
        <v>663</v>
      </c>
      <c r="G131" s="239" t="s">
        <v>663</v>
      </c>
      <c r="H131" s="239" t="s">
        <v>663</v>
      </c>
      <c r="I131" t="s">
        <v>664</v>
      </c>
    </row>
    <row r="132" spans="2:9" ht="14.5">
      <c r="B132" t="s">
        <v>245</v>
      </c>
      <c r="C132" s="275" t="s">
        <v>389</v>
      </c>
      <c r="D132" s="275" t="str">
        <f>INDEX('Country &amp; Code Abbreviation'!$D$3:$D$245,MATCH('Winback - Apple'!B132,'Country &amp; Code Abbreviation'!$B$3:$B$245,0))</f>
        <v>PER</v>
      </c>
      <c r="E132" s="239" t="s">
        <v>663</v>
      </c>
      <c r="F132" s="239" t="s">
        <v>663</v>
      </c>
      <c r="G132" s="239" t="s">
        <v>663</v>
      </c>
      <c r="H132" s="239" t="s">
        <v>663</v>
      </c>
      <c r="I132" t="s">
        <v>664</v>
      </c>
    </row>
    <row r="133" spans="2:9" ht="14.5">
      <c r="B133" t="s">
        <v>246</v>
      </c>
      <c r="C133" s="275" t="s">
        <v>390</v>
      </c>
      <c r="D133" s="275" t="str">
        <f>INDEX('Country &amp; Code Abbreviation'!$D$3:$D$245,MATCH('Winback - Apple'!B133,'Country &amp; Code Abbreviation'!$B$3:$B$245,0))</f>
        <v>PHL</v>
      </c>
      <c r="E133" s="239" t="s">
        <v>663</v>
      </c>
      <c r="F133" s="239" t="s">
        <v>663</v>
      </c>
      <c r="G133" s="239" t="s">
        <v>663</v>
      </c>
      <c r="H133" s="239" t="s">
        <v>663</v>
      </c>
      <c r="I133" t="s">
        <v>664</v>
      </c>
    </row>
    <row r="134" spans="2:9" ht="14.5">
      <c r="B134" t="s">
        <v>248</v>
      </c>
      <c r="C134" s="275" t="s">
        <v>391</v>
      </c>
      <c r="D134" s="275" t="str">
        <f>INDEX('Country &amp; Code Abbreviation'!$D$3:$D$245,MATCH('Winback - Apple'!B134,'Country &amp; Code Abbreviation'!$B$3:$B$245,0))</f>
        <v>POL</v>
      </c>
      <c r="E134" s="239" t="s">
        <v>663</v>
      </c>
      <c r="F134" s="239" t="s">
        <v>663</v>
      </c>
      <c r="G134" s="239" t="s">
        <v>663</v>
      </c>
      <c r="H134" s="239" t="s">
        <v>663</v>
      </c>
      <c r="I134" t="s">
        <v>664</v>
      </c>
    </row>
    <row r="135" spans="2:9" ht="14.5">
      <c r="B135" t="s">
        <v>249</v>
      </c>
      <c r="C135" s="275" t="s">
        <v>368</v>
      </c>
      <c r="D135" s="275" t="str">
        <f>INDEX('Country &amp; Code Abbreviation'!$D$3:$D$245,MATCH('Winback - Apple'!B135,'Country &amp; Code Abbreviation'!$B$3:$B$245,0))</f>
        <v>PRT</v>
      </c>
      <c r="E135" s="239" t="s">
        <v>663</v>
      </c>
      <c r="F135" s="239" t="s">
        <v>663</v>
      </c>
      <c r="G135" s="239" t="s">
        <v>663</v>
      </c>
      <c r="H135" s="239" t="s">
        <v>663</v>
      </c>
      <c r="I135" t="s">
        <v>664</v>
      </c>
    </row>
    <row r="136" spans="2:9" ht="14.5" hidden="1" outlineLevel="1">
      <c r="B136" t="s">
        <v>250</v>
      </c>
      <c r="C136" s="275" t="s">
        <v>392</v>
      </c>
      <c r="D136" s="275" t="str">
        <f>INDEX('Country &amp; Code Abbreviation'!$D$3:$D$245,MATCH('Winback - Apple'!B136,'Country &amp; Code Abbreviation'!$B$3:$B$245,0))</f>
        <v>QAT</v>
      </c>
      <c r="E136" s="239" t="s">
        <v>663</v>
      </c>
      <c r="F136" s="239" t="s">
        <v>663</v>
      </c>
      <c r="G136" s="239" t="s">
        <v>663</v>
      </c>
      <c r="H136" s="239" t="s">
        <v>663</v>
      </c>
      <c r="I136" t="s">
        <v>664</v>
      </c>
    </row>
    <row r="137" spans="2:9" collapsed="1">
      <c r="B137" s="73" t="s">
        <v>252</v>
      </c>
      <c r="C137" s="275" t="s">
        <v>393</v>
      </c>
      <c r="D137" s="275" t="str">
        <f>INDEX('Country &amp; Code Abbreviation'!$D$3:$D$245,MATCH('Winback - Apple'!B137,'Country &amp; Code Abbreviation'!$B$3:$B$245,0))</f>
        <v>ROU</v>
      </c>
      <c r="E137" s="240">
        <v>524.99</v>
      </c>
      <c r="F137" s="240">
        <v>79</v>
      </c>
      <c r="G137" s="240">
        <v>374.99</v>
      </c>
      <c r="H137" s="240">
        <v>56</v>
      </c>
      <c r="I137" t="s">
        <v>493</v>
      </c>
    </row>
    <row r="138" spans="2:9">
      <c r="B138" s="73" t="s">
        <v>254</v>
      </c>
      <c r="C138" s="275" t="s">
        <v>346</v>
      </c>
      <c r="D138" s="275" t="str">
        <f>INDEX('Country &amp; Code Abbreviation'!$D$3:$D$245,MATCH('Winback - Apple'!B138,'Country &amp; Code Abbreviation'!$B$3:$B$245,0))</f>
        <v>RWA</v>
      </c>
      <c r="E138" s="240">
        <v>67</v>
      </c>
      <c r="F138" s="240">
        <v>11</v>
      </c>
      <c r="G138" s="240">
        <v>50</v>
      </c>
      <c r="H138" s="240">
        <v>8.49</v>
      </c>
      <c r="I138" t="s">
        <v>493</v>
      </c>
    </row>
    <row r="139" spans="2:9">
      <c r="B139" s="73" t="s">
        <v>258</v>
      </c>
      <c r="C139" s="275" t="s">
        <v>346</v>
      </c>
      <c r="D139" s="275" t="str">
        <f>INDEX('Country &amp; Code Abbreviation'!$D$3:$D$245,MATCH('Winback - Apple'!B139,'Country &amp; Code Abbreviation'!$B$3:$B$245,0))</f>
        <v>STP</v>
      </c>
      <c r="E139" s="240">
        <v>66</v>
      </c>
      <c r="F139" s="240">
        <v>11</v>
      </c>
      <c r="G139" s="240">
        <v>50.99</v>
      </c>
      <c r="H139" s="240">
        <v>8.49</v>
      </c>
      <c r="I139" t="s">
        <v>493</v>
      </c>
    </row>
    <row r="140" spans="2:9" ht="13.4" customHeight="1">
      <c r="B140" t="s">
        <v>259</v>
      </c>
      <c r="C140" s="275" t="s">
        <v>395</v>
      </c>
      <c r="D140" s="275" t="str">
        <f>INDEX('Country &amp; Code Abbreviation'!$D$3:$D$245,MATCH('Winback - Apple'!B140,'Country &amp; Code Abbreviation'!$B$3:$B$245,0))</f>
        <v>SAU</v>
      </c>
      <c r="E140" s="239" t="s">
        <v>663</v>
      </c>
      <c r="F140" s="239" t="s">
        <v>663</v>
      </c>
      <c r="G140" s="239" t="s">
        <v>663</v>
      </c>
      <c r="H140" s="239" t="s">
        <v>663</v>
      </c>
      <c r="I140" t="s">
        <v>664</v>
      </c>
    </row>
    <row r="141" spans="2:9">
      <c r="B141" s="73" t="s">
        <v>260</v>
      </c>
      <c r="C141" s="275" t="s">
        <v>346</v>
      </c>
      <c r="D141" s="275" t="str">
        <f>INDEX('Country &amp; Code Abbreviation'!$D$3:$D$245,MATCH('Winback - Apple'!B141,'Country &amp; Code Abbreviation'!$B$3:$B$245,0))</f>
        <v>SEN</v>
      </c>
      <c r="E141" s="240">
        <v>62</v>
      </c>
      <c r="F141" s="240">
        <v>10</v>
      </c>
      <c r="G141" s="240">
        <v>45.49</v>
      </c>
      <c r="H141" s="240">
        <v>7.59</v>
      </c>
      <c r="I141" t="s">
        <v>493</v>
      </c>
    </row>
    <row r="142" spans="2:9">
      <c r="B142" s="73" t="s">
        <v>261</v>
      </c>
      <c r="C142" s="277" t="s">
        <v>368</v>
      </c>
      <c r="D142" s="275" t="str">
        <f>INDEX('Country &amp; Code Abbreviation'!$D$3:$D$245,MATCH('Winback - Apple'!B142,'Country &amp; Code Abbreviation'!$B$3:$B$245,0))</f>
        <v>SRB</v>
      </c>
      <c r="E142" s="240">
        <v>74</v>
      </c>
      <c r="F142" s="240">
        <v>11.49</v>
      </c>
      <c r="G142" s="240">
        <v>54</v>
      </c>
      <c r="H142" s="240">
        <v>8.49</v>
      </c>
      <c r="I142" t="s">
        <v>493</v>
      </c>
    </row>
    <row r="143" spans="2:9">
      <c r="B143" s="73" t="s">
        <v>262</v>
      </c>
      <c r="C143" s="275" t="s">
        <v>346</v>
      </c>
      <c r="D143" s="275" t="str">
        <f>INDEX('Country &amp; Code Abbreviation'!$D$3:$D$245,MATCH('Winback - Apple'!B143,'Country &amp; Code Abbreviation'!$B$3:$B$245,0))</f>
        <v>SYC</v>
      </c>
      <c r="E143" s="240">
        <v>49</v>
      </c>
      <c r="F143" s="240">
        <v>8.49</v>
      </c>
      <c r="G143" s="240">
        <v>36.49</v>
      </c>
      <c r="H143" s="240">
        <v>5.9</v>
      </c>
      <c r="I143" t="s">
        <v>493</v>
      </c>
    </row>
    <row r="144" spans="2:9">
      <c r="B144" s="73" t="s">
        <v>263</v>
      </c>
      <c r="C144" s="275" t="s">
        <v>346</v>
      </c>
      <c r="D144" s="275" t="str">
        <f>INDEX('Country &amp; Code Abbreviation'!$D$3:$D$245,MATCH('Winback - Apple'!B144,'Country &amp; Code Abbreviation'!$B$3:$B$245,0))</f>
        <v>SLE</v>
      </c>
      <c r="E144" s="240">
        <v>50.99</v>
      </c>
      <c r="F144" s="240">
        <v>8.49</v>
      </c>
      <c r="G144" s="240">
        <v>38</v>
      </c>
      <c r="H144" s="240">
        <v>5.9</v>
      </c>
      <c r="I144" t="s">
        <v>493</v>
      </c>
    </row>
    <row r="145" spans="2:9" ht="14.5">
      <c r="B145" t="s">
        <v>264</v>
      </c>
      <c r="C145" s="275" t="s">
        <v>396</v>
      </c>
      <c r="D145" s="275" t="str">
        <f>INDEX('Country &amp; Code Abbreviation'!$D$3:$D$245,MATCH('Winback - Apple'!B145,'Country &amp; Code Abbreviation'!$B$3:$B$245,0))</f>
        <v>SGP</v>
      </c>
      <c r="E145" s="239" t="s">
        <v>663</v>
      </c>
      <c r="F145" s="239" t="s">
        <v>663</v>
      </c>
      <c r="G145" s="239" t="s">
        <v>663</v>
      </c>
      <c r="H145" s="239" t="s">
        <v>663</v>
      </c>
      <c r="I145" t="s">
        <v>664</v>
      </c>
    </row>
    <row r="146" spans="2:9" ht="14.5">
      <c r="B146" t="s">
        <v>266</v>
      </c>
      <c r="C146" s="275" t="s">
        <v>368</v>
      </c>
      <c r="D146" s="275" t="str">
        <f>INDEX('Country &amp; Code Abbreviation'!$D$3:$D$245,MATCH('Winback - Apple'!B146,'Country &amp; Code Abbreviation'!$B$3:$B$245,0))</f>
        <v>SVK</v>
      </c>
      <c r="E146" s="239" t="s">
        <v>663</v>
      </c>
      <c r="F146" s="239" t="s">
        <v>663</v>
      </c>
      <c r="G146" s="239" t="s">
        <v>663</v>
      </c>
      <c r="H146" s="239" t="s">
        <v>663</v>
      </c>
      <c r="I146" t="s">
        <v>664</v>
      </c>
    </row>
    <row r="147" spans="2:9" ht="14.5">
      <c r="B147" t="s">
        <v>267</v>
      </c>
      <c r="C147" s="275" t="s">
        <v>368</v>
      </c>
      <c r="D147" s="275" t="str">
        <f>INDEX('Country &amp; Code Abbreviation'!$D$3:$D$245,MATCH('Winback - Apple'!B147,'Country &amp; Code Abbreviation'!$B$3:$B$245,0))</f>
        <v>SVN</v>
      </c>
      <c r="E147" s="239" t="s">
        <v>663</v>
      </c>
      <c r="F147" s="239" t="s">
        <v>663</v>
      </c>
      <c r="G147" s="239" t="s">
        <v>663</v>
      </c>
      <c r="H147" s="239" t="s">
        <v>663</v>
      </c>
      <c r="I147" t="s">
        <v>664</v>
      </c>
    </row>
    <row r="148" spans="2:9">
      <c r="B148" s="73" t="s">
        <v>268</v>
      </c>
      <c r="C148" s="275" t="s">
        <v>346</v>
      </c>
      <c r="D148" s="275" t="str">
        <f>INDEX('Country &amp; Code Abbreviation'!$D$3:$D$245,MATCH('Winback - Apple'!B148,'Country &amp; Code Abbreviation'!$B$3:$B$245,0))</f>
        <v>SLB</v>
      </c>
      <c r="E148" s="240">
        <v>59</v>
      </c>
      <c r="F148" s="240">
        <v>9.2899999999999991</v>
      </c>
      <c r="G148" s="240">
        <v>44</v>
      </c>
      <c r="H148" s="240">
        <v>6.79</v>
      </c>
      <c r="I148" t="s">
        <v>493</v>
      </c>
    </row>
    <row r="149" spans="2:9">
      <c r="B149" s="73" t="s">
        <v>271</v>
      </c>
      <c r="C149" s="275" t="s">
        <v>397</v>
      </c>
      <c r="D149" s="275" t="str">
        <f>INDEX('Country &amp; Code Abbreviation'!$D$3:$D$245,MATCH('Winback - Apple'!B149,'Country &amp; Code Abbreviation'!$B$3:$B$245,0))</f>
        <v>ZAF</v>
      </c>
      <c r="E149" s="240">
        <v>959.99</v>
      </c>
      <c r="F149" s="240">
        <v>159.99</v>
      </c>
      <c r="G149" s="240">
        <v>709.99</v>
      </c>
      <c r="H149" s="240">
        <v>114.99</v>
      </c>
      <c r="I149" t="s">
        <v>493</v>
      </c>
    </row>
    <row r="150" spans="2:9" ht="14.5">
      <c r="B150" t="s">
        <v>276</v>
      </c>
      <c r="C150" s="275" t="s">
        <v>368</v>
      </c>
      <c r="D150" s="275" t="str">
        <f>INDEX('Country &amp; Code Abbreviation'!$D$3:$D$245,MATCH('Winback - Apple'!B150,'Country &amp; Code Abbreviation'!$B$3:$B$245,0))</f>
        <v>ESP</v>
      </c>
      <c r="E150" s="239" t="s">
        <v>663</v>
      </c>
      <c r="F150" s="239" t="s">
        <v>663</v>
      </c>
      <c r="G150" s="239" t="s">
        <v>663</v>
      </c>
      <c r="H150" s="239" t="s">
        <v>663</v>
      </c>
      <c r="I150" t="s">
        <v>664</v>
      </c>
    </row>
    <row r="151" spans="2:9" ht="14.5">
      <c r="B151" t="s">
        <v>277</v>
      </c>
      <c r="C151" s="275" t="s">
        <v>346</v>
      </c>
      <c r="D151" s="275" t="str">
        <f>INDEX('Country &amp; Code Abbreviation'!$D$3:$D$245,MATCH('Winback - Apple'!B151,'Country &amp; Code Abbreviation'!$B$3:$B$245,0))</f>
        <v>LKA</v>
      </c>
      <c r="E151" s="239" t="s">
        <v>663</v>
      </c>
      <c r="F151" s="239" t="s">
        <v>663</v>
      </c>
      <c r="G151" s="239" t="s">
        <v>663</v>
      </c>
      <c r="H151" s="239" t="s">
        <v>663</v>
      </c>
      <c r="I151" t="s">
        <v>664</v>
      </c>
    </row>
    <row r="152" spans="2:9">
      <c r="B152" s="73" t="s">
        <v>398</v>
      </c>
      <c r="C152" s="275" t="s">
        <v>346</v>
      </c>
      <c r="D152" s="275" t="str">
        <f>INDEX('Country &amp; Code Abbreviation'!$D$3:$D$245,MATCH('Winback - Apple'!B152,'Country &amp; Code Abbreviation'!$B$3:$B$245,0))</f>
        <v>KNA</v>
      </c>
      <c r="E152" s="240">
        <v>84.99</v>
      </c>
      <c r="F152" s="240">
        <v>14</v>
      </c>
      <c r="G152" s="240">
        <v>62</v>
      </c>
      <c r="H152" s="240">
        <v>10</v>
      </c>
      <c r="I152" t="s">
        <v>493</v>
      </c>
    </row>
    <row r="153" spans="2:9">
      <c r="B153" s="73" t="s">
        <v>281</v>
      </c>
      <c r="C153" s="275" t="s">
        <v>346</v>
      </c>
      <c r="D153" s="275" t="str">
        <f>INDEX('Country &amp; Code Abbreviation'!$D$3:$D$245,MATCH('Winback - Apple'!B153,'Country &amp; Code Abbreviation'!$B$3:$B$245,0))</f>
        <v>LCA</v>
      </c>
      <c r="E153" s="240">
        <v>75</v>
      </c>
      <c r="F153" s="240">
        <v>12.49</v>
      </c>
      <c r="G153" s="240">
        <v>56.9</v>
      </c>
      <c r="H153" s="240">
        <v>9.2899999999999991</v>
      </c>
      <c r="I153" t="s">
        <v>493</v>
      </c>
    </row>
    <row r="154" spans="2:9">
      <c r="B154" s="73" t="s">
        <v>399</v>
      </c>
      <c r="C154" s="275" t="s">
        <v>346</v>
      </c>
      <c r="D154" s="275" t="str">
        <f>INDEX('Country &amp; Code Abbreviation'!$D$3:$D$245,MATCH('Winback - Apple'!B154,'Country &amp; Code Abbreviation'!$B$3:$B$245,0))</f>
        <v>VCT</v>
      </c>
      <c r="E154" s="240">
        <v>76</v>
      </c>
      <c r="F154" s="240">
        <v>12.49</v>
      </c>
      <c r="G154" s="240">
        <v>56.9</v>
      </c>
      <c r="H154" s="240">
        <v>9.2899999999999991</v>
      </c>
      <c r="I154" t="s">
        <v>493</v>
      </c>
    </row>
    <row r="155" spans="2:9">
      <c r="B155" s="73" t="s">
        <v>285</v>
      </c>
      <c r="C155" s="275" t="s">
        <v>346</v>
      </c>
      <c r="D155" s="275" t="str">
        <f>INDEX('Country &amp; Code Abbreviation'!$D$3:$D$245,MATCH('Winback - Apple'!B155,'Country &amp; Code Abbreviation'!$B$3:$B$245,0))</f>
        <v>SUR</v>
      </c>
      <c r="E155" s="240">
        <v>59</v>
      </c>
      <c r="F155" s="240">
        <v>8.49</v>
      </c>
      <c r="G155" s="240">
        <v>53</v>
      </c>
      <c r="H155" s="240">
        <v>7.59</v>
      </c>
      <c r="I155" t="s">
        <v>493</v>
      </c>
    </row>
    <row r="156" spans="2:9" ht="14.5">
      <c r="B156" t="s">
        <v>287</v>
      </c>
      <c r="C156" s="275" t="s">
        <v>400</v>
      </c>
      <c r="D156" s="275" t="str">
        <f>INDEX('Country &amp; Code Abbreviation'!$D$3:$D$245,MATCH('Winback - Apple'!B156,'Country &amp; Code Abbreviation'!$B$3:$B$245,0))</f>
        <v>SWE</v>
      </c>
      <c r="E156" s="239" t="s">
        <v>663</v>
      </c>
      <c r="F156" s="239" t="s">
        <v>663</v>
      </c>
      <c r="G156" s="239" t="s">
        <v>663</v>
      </c>
      <c r="H156" s="239" t="s">
        <v>663</v>
      </c>
      <c r="I156" t="s">
        <v>664</v>
      </c>
    </row>
    <row r="157" spans="2:9" ht="14.5">
      <c r="B157" t="s">
        <v>288</v>
      </c>
      <c r="C157" s="275" t="s">
        <v>401</v>
      </c>
      <c r="D157" s="275" t="str">
        <f>INDEX('Country &amp; Code Abbreviation'!$D$3:$D$245,MATCH('Winback - Apple'!B157,'Country &amp; Code Abbreviation'!$B$3:$B$245,0))</f>
        <v>CHE</v>
      </c>
      <c r="E157" s="239" t="s">
        <v>663</v>
      </c>
      <c r="F157" s="239" t="s">
        <v>663</v>
      </c>
      <c r="G157" s="239" t="s">
        <v>663</v>
      </c>
      <c r="H157" s="239" t="s">
        <v>663</v>
      </c>
      <c r="I157" t="s">
        <v>664</v>
      </c>
    </row>
    <row r="158" spans="2:9">
      <c r="B158" s="73" t="s">
        <v>290</v>
      </c>
      <c r="C158" s="275" t="s">
        <v>402</v>
      </c>
      <c r="D158" s="275" t="str">
        <f>INDEX('Country &amp; Code Abbreviation'!$D$3:$D$245,MATCH('Winback - Apple'!B158,'Country &amp; Code Abbreviation'!$B$3:$B$245,0))</f>
        <v>TWN</v>
      </c>
      <c r="E158" s="240">
        <v>3050</v>
      </c>
      <c r="F158" s="240">
        <v>455</v>
      </c>
      <c r="G158" s="240">
        <v>2290</v>
      </c>
      <c r="H158" s="240">
        <v>330</v>
      </c>
      <c r="I158" t="s">
        <v>493</v>
      </c>
    </row>
    <row r="159" spans="2:9">
      <c r="B159" s="73" t="s">
        <v>291</v>
      </c>
      <c r="C159" s="275" t="s">
        <v>346</v>
      </c>
      <c r="D159" s="275" t="str">
        <f>INDEX('Country &amp; Code Abbreviation'!$D$3:$D$245,MATCH('Winback - Apple'!B159,'Country &amp; Code Abbreviation'!$B$3:$B$245,0))</f>
        <v>TJK</v>
      </c>
      <c r="E159" s="240">
        <v>61</v>
      </c>
      <c r="F159" s="240">
        <v>10</v>
      </c>
      <c r="G159" s="240">
        <v>45.49</v>
      </c>
      <c r="H159" s="240">
        <v>7.59</v>
      </c>
      <c r="I159" t="s">
        <v>493</v>
      </c>
    </row>
    <row r="160" spans="2:9">
      <c r="B160" s="73" t="s">
        <v>292</v>
      </c>
      <c r="C160" s="275" t="s">
        <v>403</v>
      </c>
      <c r="D160" s="275" t="str">
        <f>INDEX('Country &amp; Code Abbreviation'!$D$3:$D$245,MATCH('Winback - Apple'!B160,'Country &amp; Code Abbreviation'!$B$3:$B$245,0))</f>
        <v>TZA</v>
      </c>
      <c r="E160" s="240">
        <v>142900</v>
      </c>
      <c r="F160" s="240">
        <v>23500</v>
      </c>
      <c r="G160" s="240">
        <v>106900</v>
      </c>
      <c r="H160" s="240">
        <v>17500</v>
      </c>
      <c r="I160" t="s">
        <v>493</v>
      </c>
    </row>
    <row r="161" spans="2:9" ht="14.5">
      <c r="B161" t="s">
        <v>293</v>
      </c>
      <c r="C161" s="275" t="s">
        <v>404</v>
      </c>
      <c r="D161" s="275" t="str">
        <f>INDEX('Country &amp; Code Abbreviation'!$D$3:$D$245,MATCH('Winback - Apple'!B161,'Country &amp; Code Abbreviation'!$B$3:$B$245,0))</f>
        <v>THA</v>
      </c>
      <c r="E161" s="239" t="s">
        <v>663</v>
      </c>
      <c r="F161" s="239" t="s">
        <v>663</v>
      </c>
      <c r="G161" s="239" t="s">
        <v>663</v>
      </c>
      <c r="H161" s="239" t="s">
        <v>663</v>
      </c>
      <c r="I161" t="s">
        <v>664</v>
      </c>
    </row>
    <row r="162" spans="2:9">
      <c r="B162" s="73" t="s">
        <v>297</v>
      </c>
      <c r="C162" s="275" t="s">
        <v>346</v>
      </c>
      <c r="D162" s="275" t="str">
        <f>INDEX('Country &amp; Code Abbreviation'!$D$3:$D$245,MATCH('Winback - Apple'!B162,'Country &amp; Code Abbreviation'!$B$3:$B$245,0))</f>
        <v>TON</v>
      </c>
      <c r="E162" s="240">
        <v>67.989999999999995</v>
      </c>
      <c r="F162" s="240">
        <v>11</v>
      </c>
      <c r="G162" s="240">
        <v>50</v>
      </c>
      <c r="H162" s="240">
        <v>8.49</v>
      </c>
      <c r="I162" t="s">
        <v>493</v>
      </c>
    </row>
    <row r="163" spans="2:9" ht="14.5">
      <c r="B163" t="s">
        <v>405</v>
      </c>
      <c r="C163" s="275" t="s">
        <v>346</v>
      </c>
      <c r="D163" s="275" t="str">
        <f>INDEX('Country &amp; Code Abbreviation'!$D$3:$D$245,MATCH('Winback - Apple'!B163,'Country &amp; Code Abbreviation'!$B$3:$B$245,0))</f>
        <v>TTO</v>
      </c>
      <c r="E163" s="239" t="s">
        <v>663</v>
      </c>
      <c r="F163" s="239" t="s">
        <v>663</v>
      </c>
      <c r="G163" s="239" t="s">
        <v>663</v>
      </c>
      <c r="H163" s="239" t="s">
        <v>663</v>
      </c>
      <c r="I163" t="s">
        <v>664</v>
      </c>
    </row>
    <row r="164" spans="2:9">
      <c r="B164" s="73" t="s">
        <v>299</v>
      </c>
      <c r="C164" s="275" t="s">
        <v>346</v>
      </c>
      <c r="D164" s="275" t="str">
        <f>INDEX('Country &amp; Code Abbreviation'!$D$3:$D$245,MATCH('Winback - Apple'!B164,'Country &amp; Code Abbreviation'!$B$3:$B$245,0))</f>
        <v>TUN</v>
      </c>
      <c r="E164" s="240">
        <v>59</v>
      </c>
      <c r="F164" s="240">
        <v>10</v>
      </c>
      <c r="G164" s="240">
        <v>44</v>
      </c>
      <c r="H164" s="240">
        <v>7.59</v>
      </c>
      <c r="I164" t="s">
        <v>493</v>
      </c>
    </row>
    <row r="165" spans="2:9" hidden="1" outlineLevel="1">
      <c r="B165" s="73" t="s">
        <v>300</v>
      </c>
      <c r="C165" s="275" t="s">
        <v>406</v>
      </c>
      <c r="D165" s="275" t="str">
        <f>INDEX('Country &amp; Code Abbreviation'!$D$3:$D$245,MATCH('Winback - Apple'!B165,'Country &amp; Code Abbreviation'!$B$3:$B$245,0))</f>
        <v>TUR</v>
      </c>
      <c r="E165" s="240">
        <v>1989.99</v>
      </c>
      <c r="F165" s="240">
        <v>300</v>
      </c>
      <c r="G165" s="240">
        <v>1459.99</v>
      </c>
      <c r="H165" s="240">
        <v>224.99</v>
      </c>
      <c r="I165" t="s">
        <v>493</v>
      </c>
    </row>
    <row r="166" spans="2:9" collapsed="1">
      <c r="B166" s="73" t="s">
        <v>301</v>
      </c>
      <c r="C166" s="275" t="s">
        <v>346</v>
      </c>
      <c r="D166" s="275" t="str">
        <f>INDEX('Country &amp; Code Abbreviation'!$D$3:$D$245,MATCH('Winback - Apple'!B166,'Country &amp; Code Abbreviation'!$B$3:$B$245,0))</f>
        <v>TKM</v>
      </c>
      <c r="E166" s="240">
        <v>76</v>
      </c>
      <c r="F166" s="240">
        <v>12.49</v>
      </c>
      <c r="G166" s="240">
        <v>56</v>
      </c>
      <c r="H166" s="240">
        <v>9.2899999999999991</v>
      </c>
      <c r="I166" t="s">
        <v>493</v>
      </c>
    </row>
    <row r="167" spans="2:9">
      <c r="B167" s="73" t="s">
        <v>407</v>
      </c>
      <c r="C167" s="275" t="s">
        <v>346</v>
      </c>
      <c r="D167" s="275" t="str">
        <f>INDEX('Country &amp; Code Abbreviation'!$D$3:$D$245,MATCH('Winback - Apple'!B167,'Country &amp; Code Abbreviation'!$B$3:$B$245,0))</f>
        <v>TCA</v>
      </c>
      <c r="E167" s="240">
        <v>87</v>
      </c>
      <c r="F167" s="240">
        <v>14</v>
      </c>
      <c r="G167" s="240">
        <v>61</v>
      </c>
      <c r="H167" s="240">
        <v>10</v>
      </c>
      <c r="I167" t="s">
        <v>493</v>
      </c>
    </row>
    <row r="168" spans="2:9">
      <c r="B168" s="73" t="s">
        <v>304</v>
      </c>
      <c r="C168" s="275" t="s">
        <v>346</v>
      </c>
      <c r="D168" s="275" t="str">
        <f>INDEX('Country &amp; Code Abbreviation'!$D$3:$D$245,MATCH('Winback - Apple'!B168,'Country &amp; Code Abbreviation'!$B$3:$B$245,0))</f>
        <v>UGA</v>
      </c>
      <c r="E168" s="240">
        <v>62</v>
      </c>
      <c r="F168" s="240">
        <v>10</v>
      </c>
      <c r="G168" s="240">
        <v>45.49</v>
      </c>
      <c r="H168" s="240">
        <v>7.59</v>
      </c>
      <c r="I168" t="s">
        <v>493</v>
      </c>
    </row>
    <row r="169" spans="2:9" ht="14.5">
      <c r="B169" t="s">
        <v>306</v>
      </c>
      <c r="C169" s="275" t="s">
        <v>408</v>
      </c>
      <c r="D169" s="275" t="str">
        <f>INDEX('Country &amp; Code Abbreviation'!$D$3:$D$245,MATCH('Winback - Apple'!B169,'Country &amp; Code Abbreviation'!$B$3:$B$245,0))</f>
        <v>ARE</v>
      </c>
      <c r="E169" s="239" t="s">
        <v>663</v>
      </c>
      <c r="F169" s="239" t="s">
        <v>663</v>
      </c>
      <c r="G169" s="239" t="s">
        <v>663</v>
      </c>
      <c r="H169" s="239" t="s">
        <v>663</v>
      </c>
      <c r="I169" t="s">
        <v>664</v>
      </c>
    </row>
    <row r="170" spans="2:9" ht="14.5">
      <c r="B170" t="s">
        <v>307</v>
      </c>
      <c r="C170" s="275" t="s">
        <v>409</v>
      </c>
      <c r="D170" s="275" t="str">
        <f>INDEX('Country &amp; Code Abbreviation'!$D$3:$D$245,MATCH('Winback - Apple'!B170,'Country &amp; Code Abbreviation'!$B$3:$B$245,0))</f>
        <v>GBR</v>
      </c>
      <c r="E170" s="239" t="s">
        <v>663</v>
      </c>
      <c r="F170" s="239" t="s">
        <v>663</v>
      </c>
      <c r="G170" s="239" t="s">
        <v>663</v>
      </c>
      <c r="H170" s="239" t="s">
        <v>663</v>
      </c>
      <c r="I170" t="s">
        <v>664</v>
      </c>
    </row>
    <row r="171" spans="2:9" ht="14.5">
      <c r="B171" t="s">
        <v>46</v>
      </c>
      <c r="C171" s="275" t="s">
        <v>346</v>
      </c>
      <c r="D171" s="275" t="str">
        <f>INDEX('Country &amp; Code Abbreviation'!$D$3:$D$245,MATCH('Winback - Apple'!B171,'Country &amp; Code Abbreviation'!$B$3:$B$245,0))</f>
        <v>USA</v>
      </c>
      <c r="E171" s="239" t="s">
        <v>663</v>
      </c>
      <c r="F171" s="239" t="s">
        <v>663</v>
      </c>
      <c r="G171" s="239" t="s">
        <v>663</v>
      </c>
      <c r="H171" s="239" t="s">
        <v>663</v>
      </c>
      <c r="I171" t="s">
        <v>664</v>
      </c>
    </row>
    <row r="172" spans="2:9" ht="14.5">
      <c r="B172" t="s">
        <v>308</v>
      </c>
      <c r="C172" s="275" t="s">
        <v>346</v>
      </c>
      <c r="D172" s="275" t="str">
        <f>INDEX('Country &amp; Code Abbreviation'!$D$3:$D$245,MATCH('Winback - Apple'!B172,'Country &amp; Code Abbreviation'!$B$3:$B$245,0))</f>
        <v>URY</v>
      </c>
      <c r="E172" s="239" t="s">
        <v>663</v>
      </c>
      <c r="F172" s="239" t="s">
        <v>663</v>
      </c>
      <c r="G172" s="239" t="s">
        <v>663</v>
      </c>
      <c r="H172" s="239" t="s">
        <v>663</v>
      </c>
      <c r="I172" t="s">
        <v>664</v>
      </c>
    </row>
    <row r="173" spans="2:9">
      <c r="B173" s="73" t="s">
        <v>309</v>
      </c>
      <c r="C173" s="275" t="s">
        <v>346</v>
      </c>
      <c r="D173" s="275" t="str">
        <f>INDEX('Country &amp; Code Abbreviation'!$D$3:$D$245,MATCH('Winback - Apple'!B173,'Country &amp; Code Abbreviation'!$B$3:$B$245,0))</f>
        <v>UZB</v>
      </c>
      <c r="E173" s="240">
        <v>62</v>
      </c>
      <c r="F173" s="240">
        <v>10</v>
      </c>
      <c r="G173" s="240">
        <v>46.49</v>
      </c>
      <c r="H173" s="240">
        <v>7.59</v>
      </c>
      <c r="I173" t="s">
        <v>493</v>
      </c>
    </row>
    <row r="174" spans="2:9">
      <c r="B174" s="73" t="s">
        <v>310</v>
      </c>
      <c r="C174" s="275" t="s">
        <v>346</v>
      </c>
      <c r="D174" s="275" t="str">
        <f>INDEX('Country &amp; Code Abbreviation'!$D$3:$D$245,MATCH('Winback - Apple'!B174,'Country &amp; Code Abbreviation'!$B$3:$B$245,0))</f>
        <v>VUT</v>
      </c>
      <c r="E174" s="240">
        <v>52</v>
      </c>
      <c r="F174" s="240">
        <v>9.2899999999999991</v>
      </c>
      <c r="G174" s="240">
        <v>38</v>
      </c>
      <c r="H174" s="240">
        <v>6.79</v>
      </c>
      <c r="I174" t="s">
        <v>493</v>
      </c>
    </row>
    <row r="175" spans="2:9">
      <c r="B175" s="73" t="s">
        <v>312</v>
      </c>
      <c r="C175" s="275" t="s">
        <v>346</v>
      </c>
      <c r="D175" s="275" t="str">
        <f>INDEX('Country &amp; Code Abbreviation'!$D$3:$D$245,MATCH('Winback - Apple'!B175,'Country &amp; Code Abbreviation'!$B$3:$B$245,0))</f>
        <v>VEN</v>
      </c>
      <c r="E175" s="240">
        <v>81</v>
      </c>
      <c r="F175" s="240">
        <v>13.49</v>
      </c>
      <c r="G175" s="240">
        <v>61</v>
      </c>
      <c r="H175" s="240">
        <v>10</v>
      </c>
      <c r="I175" t="s">
        <v>493</v>
      </c>
    </row>
    <row r="176" spans="2:9" ht="14.5">
      <c r="B176" t="s">
        <v>313</v>
      </c>
      <c r="C176" s="275" t="s">
        <v>410</v>
      </c>
      <c r="D176" s="275" t="str">
        <f>INDEX('Country &amp; Code Abbreviation'!$D$3:$D$245,MATCH('Winback - Apple'!B176,'Country &amp; Code Abbreviation'!$B$3:$B$245,0))</f>
        <v>VNM</v>
      </c>
      <c r="E176" s="239" t="s">
        <v>663</v>
      </c>
      <c r="F176" s="239" t="s">
        <v>663</v>
      </c>
      <c r="G176" s="239" t="s">
        <v>663</v>
      </c>
      <c r="H176" s="239" t="s">
        <v>663</v>
      </c>
      <c r="I176" t="s">
        <v>664</v>
      </c>
    </row>
    <row r="177" spans="2:9">
      <c r="B177" s="73" t="s">
        <v>316</v>
      </c>
      <c r="C177" s="275" t="s">
        <v>346</v>
      </c>
      <c r="D177" s="275" t="str">
        <f>INDEX('Country &amp; Code Abbreviation'!$D$3:$D$245,MATCH('Winback - Apple'!B177,'Country &amp; Code Abbreviation'!$B$3:$B$245,0))</f>
        <v>YEM</v>
      </c>
      <c r="E177" s="240">
        <v>66</v>
      </c>
      <c r="F177" s="240">
        <v>11</v>
      </c>
      <c r="G177" s="240">
        <v>49</v>
      </c>
      <c r="H177" s="240">
        <v>8.49</v>
      </c>
      <c r="I177" t="s">
        <v>493</v>
      </c>
    </row>
    <row r="178" spans="2:9">
      <c r="B178" s="73" t="s">
        <v>317</v>
      </c>
      <c r="C178" s="275" t="s">
        <v>346</v>
      </c>
      <c r="D178" s="275" t="str">
        <f>INDEX('Country &amp; Code Abbreviation'!$D$3:$D$245,MATCH('Winback - Apple'!B178,'Country &amp; Code Abbreviation'!$B$3:$B$245,0))</f>
        <v>ZMB</v>
      </c>
      <c r="E178" s="240">
        <v>67.989999999999995</v>
      </c>
      <c r="F178" s="240">
        <v>11</v>
      </c>
      <c r="G178" s="240">
        <v>49</v>
      </c>
      <c r="H178" s="240">
        <v>8.49</v>
      </c>
      <c r="I178" t="s">
        <v>493</v>
      </c>
    </row>
    <row r="179" spans="2:9">
      <c r="B179" s="73" t="s">
        <v>318</v>
      </c>
      <c r="C179" s="275" t="s">
        <v>346</v>
      </c>
      <c r="D179" s="275" t="str">
        <f>INDEX('Country &amp; Code Abbreviation'!$D$3:$D$245,MATCH('Winback - Apple'!B179,'Country &amp; Code Abbreviation'!$B$3:$B$245,0))</f>
        <v>ZWE</v>
      </c>
      <c r="E179" s="240">
        <v>61</v>
      </c>
      <c r="F179" s="240">
        <v>10</v>
      </c>
      <c r="G179" s="240">
        <v>45.49</v>
      </c>
      <c r="H179" s="240">
        <v>7.59</v>
      </c>
      <c r="I179" t="s">
        <v>493</v>
      </c>
    </row>
  </sheetData>
  <autoFilter ref="B7:I179" xr:uid="{7A8C4ECD-0D4A-444F-AA71-04226370F9D8}"/>
  <conditionalFormatting sqref="E16:H17">
    <cfRule type="containsText" dxfId="7" priority="3" operator="containsText" text="PRICECHANGE">
      <formula>NOT(ISERROR(SEARCH("PRICECHANGE",E16)))</formula>
    </cfRule>
    <cfRule type="containsText" dxfId="6" priority="4" operator="containsText" text="same">
      <formula>NOT(ISERROR(SEARCH("same",E16)))</formula>
    </cfRule>
  </conditionalFormatting>
  <conditionalFormatting sqref="E19:H21 E23:H24 E28:H29 E31:H31 E34:H34 E36:H36 E38:H38 E40:H40 E42:H43 E45:H49 E51:H51 E54:H57 E60:H61 E64:H65 E67:H67 E69:H69 E71:H75 E77:H77 E79:H80 E83:H83 E87:H87 E89:H89 E92:H93 E96:H99 E102:H102 E108:H108 E111:H111 E114:H114 E120:H122 E125:H125 E129:H129 E131:H136 E140:H140 E145:H147 E150:H151 E156:H157 E161:H161 E163:H163 E169:H172 E176:H176">
    <cfRule type="containsText" dxfId="5" priority="1" operator="containsText" text="PRICECHANGE">
      <formula>NOT(ISERROR(SEARCH("PRICECHANGE",E19)))</formula>
    </cfRule>
    <cfRule type="containsText" dxfId="4" priority="2" operator="containsText" text="same">
      <formula>NOT(ISERROR(SEARCH("same",E19)))</formula>
    </cfRule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A248-7CE8-43B9-8B33-6ECEA9EB1C71}">
  <sheetPr>
    <tabColor rgb="FFFFFF00"/>
  </sheetPr>
  <dimension ref="B2:L180"/>
  <sheetViews>
    <sheetView topLeftCell="A88" zoomScaleNormal="100" workbookViewId="0"/>
  </sheetViews>
  <sheetFormatPr defaultRowHeight="12.5"/>
  <cols>
    <col min="1" max="1" width="1.6328125" customWidth="1"/>
    <col min="2" max="2" width="31.36328125" bestFit="1" customWidth="1"/>
    <col min="3" max="3" width="20.36328125" bestFit="1" customWidth="1"/>
    <col min="4" max="7" width="15.36328125" customWidth="1"/>
    <col min="8" max="8" width="38.453125" customWidth="1"/>
    <col min="10" max="10" width="48.36328125" bestFit="1" customWidth="1"/>
  </cols>
  <sheetData>
    <row r="2" spans="2:12" ht="13">
      <c r="B2" s="119" t="s">
        <v>651</v>
      </c>
      <c r="C2" s="119" t="s">
        <v>652</v>
      </c>
      <c r="J2" s="120" t="s">
        <v>665</v>
      </c>
    </row>
    <row r="3" spans="2:12" ht="13">
      <c r="B3" s="118">
        <v>46296</v>
      </c>
      <c r="C3" s="118">
        <v>46310</v>
      </c>
      <c r="J3" s="116" t="s">
        <v>653</v>
      </c>
      <c r="K3" s="116" t="s">
        <v>654</v>
      </c>
      <c r="L3" s="116" t="s">
        <v>655</v>
      </c>
    </row>
    <row r="4" spans="2:12">
      <c r="J4" s="117" t="s">
        <v>656</v>
      </c>
      <c r="K4" s="117"/>
      <c r="L4" s="121" t="s">
        <v>658</v>
      </c>
    </row>
    <row r="5" spans="2:12">
      <c r="J5" s="117" t="s">
        <v>659</v>
      </c>
      <c r="K5" s="117"/>
      <c r="L5" s="121" t="s">
        <v>658</v>
      </c>
    </row>
    <row r="6" spans="2:12">
      <c r="J6" s="117" t="s">
        <v>661</v>
      </c>
      <c r="K6" s="117"/>
      <c r="L6" s="122" t="s">
        <v>658</v>
      </c>
    </row>
    <row r="7" spans="2:12" ht="13">
      <c r="B7" s="89"/>
    </row>
    <row r="8" spans="2:12" ht="13">
      <c r="B8" s="231" t="s">
        <v>31</v>
      </c>
      <c r="C8" s="231" t="s">
        <v>411</v>
      </c>
      <c r="D8" s="231" t="s">
        <v>55</v>
      </c>
      <c r="E8" s="231" t="s">
        <v>56</v>
      </c>
      <c r="F8" s="231" t="s">
        <v>57</v>
      </c>
      <c r="G8" s="231" t="s">
        <v>58</v>
      </c>
      <c r="H8" s="167" t="s">
        <v>666</v>
      </c>
    </row>
    <row r="9" spans="2:12" ht="14.5">
      <c r="B9" s="235" t="s">
        <v>73</v>
      </c>
      <c r="C9" s="232" t="s">
        <v>346</v>
      </c>
      <c r="D9" s="241" t="s">
        <v>667</v>
      </c>
      <c r="E9" s="241" t="s">
        <v>667</v>
      </c>
      <c r="F9" s="241" t="s">
        <v>667</v>
      </c>
      <c r="G9" s="241" t="s">
        <v>667</v>
      </c>
      <c r="H9" s="6" t="s">
        <v>493</v>
      </c>
      <c r="J9" s="264"/>
    </row>
    <row r="10" spans="2:12" ht="14.5">
      <c r="B10" s="235" t="s">
        <v>74</v>
      </c>
      <c r="C10" s="232" t="s">
        <v>412</v>
      </c>
      <c r="D10" s="241" t="s">
        <v>667</v>
      </c>
      <c r="E10" s="241" t="s">
        <v>667</v>
      </c>
      <c r="F10" s="241" t="s">
        <v>667</v>
      </c>
      <c r="G10" s="241" t="s">
        <v>667</v>
      </c>
      <c r="H10" s="6" t="s">
        <v>493</v>
      </c>
    </row>
    <row r="11" spans="2:12" ht="14.5">
      <c r="B11" s="235" t="s">
        <v>77</v>
      </c>
      <c r="C11" s="232" t="s">
        <v>346</v>
      </c>
      <c r="D11" s="241" t="s">
        <v>667</v>
      </c>
      <c r="E11" s="241" t="s">
        <v>667</v>
      </c>
      <c r="F11" s="241" t="s">
        <v>667</v>
      </c>
      <c r="G11" s="241" t="s">
        <v>667</v>
      </c>
      <c r="H11" s="6" t="s">
        <v>493</v>
      </c>
    </row>
    <row r="12" spans="2:12" ht="14.5">
      <c r="B12" s="235" t="s">
        <v>80</v>
      </c>
      <c r="C12" s="232" t="s">
        <v>346</v>
      </c>
      <c r="D12" s="241" t="s">
        <v>667</v>
      </c>
      <c r="E12" s="241" t="s">
        <v>667</v>
      </c>
      <c r="F12" s="241" t="s">
        <v>667</v>
      </c>
      <c r="G12" s="241" t="s">
        <v>667</v>
      </c>
      <c r="H12" s="6" t="s">
        <v>493</v>
      </c>
    </row>
    <row r="13" spans="2:12" ht="14.5">
      <c r="B13" s="235" t="s">
        <v>81</v>
      </c>
      <c r="C13" s="232" t="s">
        <v>346</v>
      </c>
      <c r="D13" s="241" t="s">
        <v>667</v>
      </c>
      <c r="E13" s="241" t="s">
        <v>667</v>
      </c>
      <c r="F13" s="241" t="s">
        <v>667</v>
      </c>
      <c r="G13" s="241" t="s">
        <v>667</v>
      </c>
      <c r="H13" s="6" t="s">
        <v>493</v>
      </c>
    </row>
    <row r="14" spans="2:12" ht="14.5">
      <c r="B14" s="235" t="s">
        <v>82</v>
      </c>
      <c r="C14" s="232" t="s">
        <v>346</v>
      </c>
      <c r="D14" s="241" t="s">
        <v>667</v>
      </c>
      <c r="E14" s="241" t="s">
        <v>667</v>
      </c>
      <c r="F14" s="241" t="s">
        <v>667</v>
      </c>
      <c r="G14" s="241" t="s">
        <v>667</v>
      </c>
      <c r="H14" s="6" t="s">
        <v>493</v>
      </c>
    </row>
    <row r="15" spans="2:12" ht="14.5">
      <c r="B15" s="235" t="s">
        <v>83</v>
      </c>
      <c r="C15" s="232" t="s">
        <v>346</v>
      </c>
      <c r="D15" s="241" t="s">
        <v>667</v>
      </c>
      <c r="E15" s="241" t="s">
        <v>667</v>
      </c>
      <c r="F15" s="241" t="s">
        <v>667</v>
      </c>
      <c r="G15" s="241" t="s">
        <v>667</v>
      </c>
      <c r="H15" s="6" t="s">
        <v>493</v>
      </c>
    </row>
    <row r="16" spans="2:12" ht="14.5">
      <c r="B16" s="60" t="s">
        <v>84</v>
      </c>
      <c r="C16" s="232" t="s">
        <v>367</v>
      </c>
      <c r="D16" s="244" t="s">
        <v>663</v>
      </c>
      <c r="E16" s="244" t="s">
        <v>663</v>
      </c>
      <c r="F16" s="244" t="s">
        <v>663</v>
      </c>
      <c r="G16" s="244" t="s">
        <v>663</v>
      </c>
      <c r="H16" s="6" t="s">
        <v>664</v>
      </c>
    </row>
    <row r="17" spans="2:8" ht="14.5">
      <c r="B17" s="60" t="s">
        <v>85</v>
      </c>
      <c r="C17" s="232" t="s">
        <v>368</v>
      </c>
      <c r="D17" s="244" t="s">
        <v>663</v>
      </c>
      <c r="E17" s="244" t="s">
        <v>663</v>
      </c>
      <c r="F17" s="244" t="s">
        <v>663</v>
      </c>
      <c r="G17" s="244" t="s">
        <v>663</v>
      </c>
      <c r="H17" s="6" t="s">
        <v>664</v>
      </c>
    </row>
    <row r="18" spans="2:8" ht="14.5">
      <c r="B18" s="235" t="s">
        <v>86</v>
      </c>
      <c r="C18" s="232" t="s">
        <v>346</v>
      </c>
      <c r="D18" s="241" t="s">
        <v>667</v>
      </c>
      <c r="E18" s="241" t="s">
        <v>667</v>
      </c>
      <c r="F18" s="241" t="s">
        <v>667</v>
      </c>
      <c r="G18" s="241" t="s">
        <v>667</v>
      </c>
      <c r="H18" s="6" t="s">
        <v>493</v>
      </c>
    </row>
    <row r="19" spans="2:8" ht="14.5">
      <c r="B19" s="60" t="s">
        <v>87</v>
      </c>
      <c r="C19" s="232" t="s">
        <v>346</v>
      </c>
      <c r="D19" s="244" t="s">
        <v>663</v>
      </c>
      <c r="E19" s="244" t="s">
        <v>663</v>
      </c>
      <c r="F19" s="244" t="s">
        <v>663</v>
      </c>
      <c r="G19" s="244" t="s">
        <v>663</v>
      </c>
      <c r="H19" s="6" t="s">
        <v>664</v>
      </c>
    </row>
    <row r="20" spans="2:8" ht="14.5">
      <c r="B20" s="60" t="s">
        <v>88</v>
      </c>
      <c r="C20" s="232" t="s">
        <v>346</v>
      </c>
      <c r="D20" s="244" t="s">
        <v>663</v>
      </c>
      <c r="E20" s="244" t="s">
        <v>663</v>
      </c>
      <c r="F20" s="244" t="s">
        <v>663</v>
      </c>
      <c r="G20" s="244" t="s">
        <v>663</v>
      </c>
      <c r="H20" s="6" t="s">
        <v>664</v>
      </c>
    </row>
    <row r="21" spans="2:8" ht="14.5">
      <c r="B21" s="235" t="s">
        <v>89</v>
      </c>
      <c r="C21" s="232" t="s">
        <v>413</v>
      </c>
      <c r="D21" s="241" t="s">
        <v>667</v>
      </c>
      <c r="E21" s="241" t="s">
        <v>667</v>
      </c>
      <c r="F21" s="241" t="s">
        <v>667</v>
      </c>
      <c r="G21" s="241" t="s">
        <v>667</v>
      </c>
      <c r="H21" s="6" t="s">
        <v>493</v>
      </c>
    </row>
    <row r="22" spans="2:8" ht="14.5">
      <c r="B22" s="235" t="s">
        <v>91</v>
      </c>
      <c r="C22" s="232" t="s">
        <v>346</v>
      </c>
      <c r="D22" s="241" t="s">
        <v>667</v>
      </c>
      <c r="E22" s="241" t="s">
        <v>667</v>
      </c>
      <c r="F22" s="241" t="s">
        <v>667</v>
      </c>
      <c r="G22" s="241" t="s">
        <v>667</v>
      </c>
      <c r="H22" s="6" t="s">
        <v>493</v>
      </c>
    </row>
    <row r="23" spans="2:8" ht="14.5">
      <c r="B23" s="60" t="s">
        <v>92</v>
      </c>
      <c r="C23" s="232" t="s">
        <v>368</v>
      </c>
      <c r="D23" s="244" t="s">
        <v>663</v>
      </c>
      <c r="E23" s="244" t="s">
        <v>663</v>
      </c>
      <c r="F23" s="244" t="s">
        <v>663</v>
      </c>
      <c r="G23" s="244" t="s">
        <v>663</v>
      </c>
      <c r="H23" s="6" t="s">
        <v>664</v>
      </c>
    </row>
    <row r="24" spans="2:8" ht="14.5">
      <c r="B24" s="60" t="s">
        <v>93</v>
      </c>
      <c r="C24" s="232" t="s">
        <v>346</v>
      </c>
      <c r="D24" s="244" t="s">
        <v>663</v>
      </c>
      <c r="E24" s="244" t="s">
        <v>663</v>
      </c>
      <c r="F24" s="244" t="s">
        <v>663</v>
      </c>
      <c r="G24" s="244" t="s">
        <v>663</v>
      </c>
      <c r="H24" s="6" t="s">
        <v>664</v>
      </c>
    </row>
    <row r="25" spans="2:8" ht="14.5">
      <c r="B25" s="235" t="s">
        <v>94</v>
      </c>
      <c r="C25" s="233" t="s">
        <v>368</v>
      </c>
      <c r="D25" s="241" t="s">
        <v>667</v>
      </c>
      <c r="E25" s="241" t="s">
        <v>667</v>
      </c>
      <c r="F25" s="241" t="s">
        <v>667</v>
      </c>
      <c r="G25" s="241" t="s">
        <v>667</v>
      </c>
      <c r="H25" s="6" t="s">
        <v>493</v>
      </c>
    </row>
    <row r="26" spans="2:8" ht="14.5">
      <c r="B26" s="235" t="s">
        <v>95</v>
      </c>
      <c r="C26" s="232" t="s">
        <v>346</v>
      </c>
      <c r="D26" s="241" t="s">
        <v>667</v>
      </c>
      <c r="E26" s="241" t="s">
        <v>667</v>
      </c>
      <c r="F26" s="241" t="s">
        <v>667</v>
      </c>
      <c r="G26" s="241" t="s">
        <v>667</v>
      </c>
      <c r="H26" s="6" t="s">
        <v>493</v>
      </c>
    </row>
    <row r="27" spans="2:8" ht="14.5">
      <c r="B27" s="60" t="s">
        <v>98</v>
      </c>
      <c r="C27" s="232" t="s">
        <v>414</v>
      </c>
      <c r="D27" s="244" t="s">
        <v>663</v>
      </c>
      <c r="E27" s="244" t="s">
        <v>663</v>
      </c>
      <c r="F27" s="244" t="s">
        <v>663</v>
      </c>
      <c r="G27" s="244" t="s">
        <v>663</v>
      </c>
      <c r="H27" s="6" t="s">
        <v>664</v>
      </c>
    </row>
    <row r="28" spans="2:8" ht="14.5">
      <c r="B28" s="60" t="s">
        <v>101</v>
      </c>
      <c r="C28" s="232" t="s">
        <v>346</v>
      </c>
      <c r="D28" s="244" t="s">
        <v>663</v>
      </c>
      <c r="E28" s="244" t="s">
        <v>663</v>
      </c>
      <c r="F28" s="244" t="s">
        <v>663</v>
      </c>
      <c r="G28" s="244" t="s">
        <v>663</v>
      </c>
      <c r="H28" s="6" t="s">
        <v>664</v>
      </c>
    </row>
    <row r="29" spans="2:8" ht="14.5">
      <c r="B29" s="235" t="s">
        <v>102</v>
      </c>
      <c r="C29" s="232" t="s">
        <v>346</v>
      </c>
      <c r="D29" s="241" t="s">
        <v>667</v>
      </c>
      <c r="E29" s="241" t="s">
        <v>667</v>
      </c>
      <c r="F29" s="241" t="s">
        <v>667</v>
      </c>
      <c r="G29" s="241" t="s">
        <v>667</v>
      </c>
      <c r="H29" s="6" t="s">
        <v>493</v>
      </c>
    </row>
    <row r="30" spans="2:8" ht="14.5">
      <c r="B30" s="60" t="s">
        <v>104</v>
      </c>
      <c r="C30" s="232" t="s">
        <v>369</v>
      </c>
      <c r="D30" s="244" t="s">
        <v>663</v>
      </c>
      <c r="E30" s="244" t="s">
        <v>663</v>
      </c>
      <c r="F30" s="244" t="s">
        <v>663</v>
      </c>
      <c r="G30" s="244" t="s">
        <v>663</v>
      </c>
      <c r="H30" s="6" t="s">
        <v>664</v>
      </c>
    </row>
    <row r="31" spans="2:8" ht="14.5">
      <c r="B31" s="235" t="s">
        <v>106</v>
      </c>
      <c r="C31" s="232" t="s">
        <v>346</v>
      </c>
      <c r="D31" s="241" t="s">
        <v>667</v>
      </c>
      <c r="E31" s="241" t="s">
        <v>667</v>
      </c>
      <c r="F31" s="241" t="s">
        <v>667</v>
      </c>
      <c r="G31" s="241" t="s">
        <v>667</v>
      </c>
      <c r="H31" s="6" t="s">
        <v>493</v>
      </c>
    </row>
    <row r="32" spans="2:8" ht="14.5">
      <c r="B32" s="60" t="s">
        <v>108</v>
      </c>
      <c r="C32" s="232" t="s">
        <v>415</v>
      </c>
      <c r="D32" s="244" t="s">
        <v>663</v>
      </c>
      <c r="E32" s="244" t="s">
        <v>663</v>
      </c>
      <c r="F32" s="244" t="s">
        <v>663</v>
      </c>
      <c r="G32" s="244" t="s">
        <v>663</v>
      </c>
      <c r="H32" s="6" t="s">
        <v>664</v>
      </c>
    </row>
    <row r="33" spans="2:8" ht="14.5">
      <c r="B33" s="235" t="s">
        <v>109</v>
      </c>
      <c r="C33" s="233" t="s">
        <v>368</v>
      </c>
      <c r="D33" s="241" t="s">
        <v>667</v>
      </c>
      <c r="E33" s="241" t="s">
        <v>667</v>
      </c>
      <c r="F33" s="241" t="s">
        <v>667</v>
      </c>
      <c r="G33" s="241" t="s">
        <v>667</v>
      </c>
      <c r="H33" s="6" t="s">
        <v>493</v>
      </c>
    </row>
    <row r="34" spans="2:8" ht="14.5">
      <c r="B34" s="60" t="s">
        <v>111</v>
      </c>
      <c r="C34" s="232" t="s">
        <v>346</v>
      </c>
      <c r="D34" s="244" t="s">
        <v>663</v>
      </c>
      <c r="E34" s="244" t="s">
        <v>663</v>
      </c>
      <c r="F34" s="244" t="s">
        <v>663</v>
      </c>
      <c r="G34" s="244" t="s">
        <v>663</v>
      </c>
      <c r="H34" s="6" t="s">
        <v>664</v>
      </c>
    </row>
    <row r="35" spans="2:8" ht="14.5">
      <c r="B35" s="235" t="s">
        <v>112</v>
      </c>
      <c r="C35" s="232" t="s">
        <v>416</v>
      </c>
      <c r="D35" s="241" t="s">
        <v>667</v>
      </c>
      <c r="E35" s="241" t="s">
        <v>667</v>
      </c>
      <c r="F35" s="241" t="s">
        <v>667</v>
      </c>
      <c r="G35" s="241" t="s">
        <v>667</v>
      </c>
      <c r="H35" s="6" t="s">
        <v>493</v>
      </c>
    </row>
    <row r="36" spans="2:8" ht="14.5">
      <c r="B36" s="60" t="s">
        <v>113</v>
      </c>
      <c r="C36" s="232" t="s">
        <v>370</v>
      </c>
      <c r="D36" s="244" t="s">
        <v>663</v>
      </c>
      <c r="E36" s="244" t="s">
        <v>663</v>
      </c>
      <c r="F36" s="244" t="s">
        <v>663</v>
      </c>
      <c r="G36" s="244" t="s">
        <v>663</v>
      </c>
      <c r="H36" s="6" t="s">
        <v>664</v>
      </c>
    </row>
    <row r="37" spans="2:8" ht="14.5">
      <c r="B37" s="235" t="s">
        <v>114</v>
      </c>
      <c r="C37" s="232" t="s">
        <v>346</v>
      </c>
      <c r="D37" s="241" t="s">
        <v>667</v>
      </c>
      <c r="E37" s="241" t="s">
        <v>667</v>
      </c>
      <c r="F37" s="241" t="s">
        <v>667</v>
      </c>
      <c r="G37" s="241" t="s">
        <v>667</v>
      </c>
      <c r="H37" s="6" t="s">
        <v>493</v>
      </c>
    </row>
    <row r="38" spans="2:8" ht="14.5">
      <c r="B38" s="60" t="s">
        <v>115</v>
      </c>
      <c r="C38" s="232" t="s">
        <v>346</v>
      </c>
      <c r="D38" s="244" t="s">
        <v>663</v>
      </c>
      <c r="E38" s="244" t="s">
        <v>663</v>
      </c>
      <c r="F38" s="244" t="s">
        <v>663</v>
      </c>
      <c r="G38" s="244" t="s">
        <v>663</v>
      </c>
      <c r="H38" s="6" t="s">
        <v>664</v>
      </c>
    </row>
    <row r="39" spans="2:8" ht="14.5">
      <c r="B39" s="235" t="s">
        <v>116</v>
      </c>
      <c r="C39" s="233" t="s">
        <v>368</v>
      </c>
      <c r="D39" s="241" t="s">
        <v>667</v>
      </c>
      <c r="E39" s="241" t="s">
        <v>667</v>
      </c>
      <c r="F39" s="241" t="s">
        <v>667</v>
      </c>
      <c r="G39" s="241" t="s">
        <v>667</v>
      </c>
      <c r="H39" s="6" t="s">
        <v>493</v>
      </c>
    </row>
    <row r="40" spans="2:8" ht="14.5">
      <c r="B40" s="235" t="s">
        <v>117</v>
      </c>
      <c r="C40" s="232" t="s">
        <v>346</v>
      </c>
      <c r="D40" s="241" t="s">
        <v>667</v>
      </c>
      <c r="E40" s="241" t="s">
        <v>667</v>
      </c>
      <c r="F40" s="241" t="s">
        <v>667</v>
      </c>
      <c r="G40" s="241" t="s">
        <v>667</v>
      </c>
      <c r="H40" s="6" t="s">
        <v>493</v>
      </c>
    </row>
    <row r="41" spans="2:8" ht="14.5">
      <c r="B41" s="60" t="s">
        <v>118</v>
      </c>
      <c r="C41" s="232" t="s">
        <v>371</v>
      </c>
      <c r="D41" s="244" t="s">
        <v>663</v>
      </c>
      <c r="E41" s="244" t="s">
        <v>663</v>
      </c>
      <c r="F41" s="244" t="s">
        <v>663</v>
      </c>
      <c r="G41" s="244" t="s">
        <v>663</v>
      </c>
      <c r="H41" s="6" t="s">
        <v>664</v>
      </c>
    </row>
    <row r="42" spans="2:8" ht="14.5">
      <c r="B42" s="60" t="s">
        <v>121</v>
      </c>
      <c r="C42" s="232" t="s">
        <v>372</v>
      </c>
      <c r="D42" s="244" t="s">
        <v>663</v>
      </c>
      <c r="E42" s="244" t="s">
        <v>663</v>
      </c>
      <c r="F42" s="244" t="s">
        <v>663</v>
      </c>
      <c r="G42" s="244" t="s">
        <v>663</v>
      </c>
      <c r="H42" s="6" t="s">
        <v>664</v>
      </c>
    </row>
    <row r="43" spans="2:8" ht="14.5">
      <c r="B43" s="235" t="s">
        <v>122</v>
      </c>
      <c r="C43" s="232" t="s">
        <v>346</v>
      </c>
      <c r="D43" s="241" t="s">
        <v>667</v>
      </c>
      <c r="E43" s="241" t="s">
        <v>667</v>
      </c>
      <c r="F43" s="241" t="s">
        <v>667</v>
      </c>
      <c r="G43" s="241" t="s">
        <v>667</v>
      </c>
      <c r="H43" s="6" t="s">
        <v>493</v>
      </c>
    </row>
    <row r="44" spans="2:8" ht="14.5">
      <c r="B44" s="235" t="s">
        <v>123</v>
      </c>
      <c r="C44" s="232" t="s">
        <v>346</v>
      </c>
      <c r="D44" s="241" t="s">
        <v>667</v>
      </c>
      <c r="E44" s="241" t="s">
        <v>667</v>
      </c>
      <c r="F44" s="241" t="s">
        <v>667</v>
      </c>
      <c r="G44" s="241" t="s">
        <v>667</v>
      </c>
      <c r="H44" s="6" t="s">
        <v>493</v>
      </c>
    </row>
    <row r="45" spans="2:8" ht="14.5">
      <c r="B45" s="60" t="s">
        <v>125</v>
      </c>
      <c r="C45" s="232" t="s">
        <v>417</v>
      </c>
      <c r="D45" s="244" t="s">
        <v>663</v>
      </c>
      <c r="E45" s="244" t="s">
        <v>663</v>
      </c>
      <c r="F45" s="244" t="s">
        <v>663</v>
      </c>
      <c r="G45" s="244" t="s">
        <v>663</v>
      </c>
      <c r="H45" s="6" t="s">
        <v>664</v>
      </c>
    </row>
    <row r="46" spans="2:8" ht="14.5">
      <c r="B46" s="60" t="s">
        <v>126</v>
      </c>
      <c r="C46" s="232" t="s">
        <v>418</v>
      </c>
      <c r="D46" s="244" t="s">
        <v>663</v>
      </c>
      <c r="E46" s="244" t="s">
        <v>663</v>
      </c>
      <c r="F46" s="244" t="s">
        <v>663</v>
      </c>
      <c r="G46" s="244" t="s">
        <v>663</v>
      </c>
      <c r="H46" s="6" t="s">
        <v>664</v>
      </c>
    </row>
    <row r="47" spans="2:8" ht="14.5">
      <c r="B47" s="60" t="s">
        <v>127</v>
      </c>
      <c r="C47" s="232" t="s">
        <v>368</v>
      </c>
      <c r="D47" s="244" t="s">
        <v>663</v>
      </c>
      <c r="E47" s="244" t="s">
        <v>663</v>
      </c>
      <c r="F47" s="244" t="s">
        <v>663</v>
      </c>
      <c r="G47" s="244" t="s">
        <v>663</v>
      </c>
      <c r="H47" s="6" t="s">
        <v>664</v>
      </c>
    </row>
    <row r="48" spans="2:8" ht="14.5">
      <c r="B48" s="60" t="s">
        <v>129</v>
      </c>
      <c r="C48" s="232" t="s">
        <v>368</v>
      </c>
      <c r="D48" s="244" t="s">
        <v>663</v>
      </c>
      <c r="E48" s="244" t="s">
        <v>663</v>
      </c>
      <c r="F48" s="244" t="s">
        <v>663</v>
      </c>
      <c r="G48" s="244" t="s">
        <v>663</v>
      </c>
      <c r="H48" s="6" t="s">
        <v>664</v>
      </c>
    </row>
    <row r="49" spans="2:8" ht="14.5">
      <c r="B49" s="60" t="s">
        <v>130</v>
      </c>
      <c r="C49" s="232" t="s">
        <v>373</v>
      </c>
      <c r="D49" s="244" t="s">
        <v>663</v>
      </c>
      <c r="E49" s="244" t="s">
        <v>663</v>
      </c>
      <c r="F49" s="244" t="s">
        <v>663</v>
      </c>
      <c r="G49" s="244" t="s">
        <v>663</v>
      </c>
      <c r="H49" s="6" t="s">
        <v>664</v>
      </c>
    </row>
    <row r="50" spans="2:8" ht="14.5">
      <c r="B50" s="235" t="s">
        <v>131</v>
      </c>
      <c r="C50" s="232" t="s">
        <v>346</v>
      </c>
      <c r="D50" s="241" t="s">
        <v>667</v>
      </c>
      <c r="E50" s="241" t="s">
        <v>667</v>
      </c>
      <c r="F50" s="241" t="s">
        <v>667</v>
      </c>
      <c r="G50" s="241" t="s">
        <v>667</v>
      </c>
      <c r="H50" s="6" t="s">
        <v>493</v>
      </c>
    </row>
    <row r="51" spans="2:8" ht="14.5">
      <c r="B51" s="60" t="s">
        <v>132</v>
      </c>
      <c r="C51" s="232" t="s">
        <v>374</v>
      </c>
      <c r="D51" s="244" t="s">
        <v>663</v>
      </c>
      <c r="E51" s="244" t="s">
        <v>663</v>
      </c>
      <c r="F51" s="244" t="s">
        <v>663</v>
      </c>
      <c r="G51" s="244" t="s">
        <v>663</v>
      </c>
      <c r="H51" s="6" t="s">
        <v>664</v>
      </c>
    </row>
    <row r="52" spans="2:8" ht="14.5">
      <c r="B52" s="235" t="s">
        <v>133</v>
      </c>
      <c r="C52" s="232" t="s">
        <v>346</v>
      </c>
      <c r="D52" s="241" t="s">
        <v>667</v>
      </c>
      <c r="E52" s="241" t="s">
        <v>667</v>
      </c>
      <c r="F52" s="241" t="s">
        <v>667</v>
      </c>
      <c r="G52" s="241" t="s">
        <v>667</v>
      </c>
      <c r="H52" s="6" t="s">
        <v>493</v>
      </c>
    </row>
    <row r="53" spans="2:8" ht="14.5">
      <c r="B53" s="235" t="s">
        <v>134</v>
      </c>
      <c r="C53" s="232" t="s">
        <v>346</v>
      </c>
      <c r="D53" s="241" t="s">
        <v>667</v>
      </c>
      <c r="E53" s="241" t="s">
        <v>667</v>
      </c>
      <c r="F53" s="241" t="s">
        <v>667</v>
      </c>
      <c r="G53" s="241" t="s">
        <v>667</v>
      </c>
      <c r="H53" s="6" t="s">
        <v>493</v>
      </c>
    </row>
    <row r="54" spans="2:8" ht="14.5">
      <c r="B54" s="235" t="s">
        <v>135</v>
      </c>
      <c r="C54" s="232" t="s">
        <v>346</v>
      </c>
      <c r="D54" s="241" t="s">
        <v>667</v>
      </c>
      <c r="E54" s="241" t="s">
        <v>667</v>
      </c>
      <c r="F54" s="241" t="s">
        <v>667</v>
      </c>
      <c r="G54" s="241" t="s">
        <v>667</v>
      </c>
      <c r="H54" s="6" t="s">
        <v>493</v>
      </c>
    </row>
    <row r="55" spans="2:8" ht="14.5">
      <c r="B55" s="60" t="s">
        <v>136</v>
      </c>
      <c r="C55" s="232" t="s">
        <v>346</v>
      </c>
      <c r="D55" s="244" t="s">
        <v>663</v>
      </c>
      <c r="E55" s="244" t="s">
        <v>663</v>
      </c>
      <c r="F55" s="244" t="s">
        <v>663</v>
      </c>
      <c r="G55" s="244" t="s">
        <v>663</v>
      </c>
      <c r="H55" s="6" t="s">
        <v>664</v>
      </c>
    </row>
    <row r="56" spans="2:8" ht="14.5">
      <c r="B56" s="60" t="s">
        <v>137</v>
      </c>
      <c r="C56" s="232" t="s">
        <v>375</v>
      </c>
      <c r="D56" s="244" t="s">
        <v>663</v>
      </c>
      <c r="E56" s="244" t="s">
        <v>663</v>
      </c>
      <c r="F56" s="244" t="s">
        <v>663</v>
      </c>
      <c r="G56" s="244" t="s">
        <v>663</v>
      </c>
      <c r="H56" s="6" t="s">
        <v>664</v>
      </c>
    </row>
    <row r="57" spans="2:8" ht="14.5">
      <c r="B57" s="60" t="s">
        <v>138</v>
      </c>
      <c r="C57" s="232" t="s">
        <v>346</v>
      </c>
      <c r="D57" s="244" t="s">
        <v>663</v>
      </c>
      <c r="E57" s="244" t="s">
        <v>663</v>
      </c>
      <c r="F57" s="244" t="s">
        <v>663</v>
      </c>
      <c r="G57" s="244" t="s">
        <v>663</v>
      </c>
      <c r="H57" s="6" t="s">
        <v>664</v>
      </c>
    </row>
    <row r="58" spans="2:8" ht="14.5">
      <c r="B58" s="235" t="s">
        <v>140</v>
      </c>
      <c r="C58" s="232" t="s">
        <v>346</v>
      </c>
      <c r="D58" s="241" t="s">
        <v>667</v>
      </c>
      <c r="E58" s="241" t="s">
        <v>667</v>
      </c>
      <c r="F58" s="241" t="s">
        <v>667</v>
      </c>
      <c r="G58" s="241" t="s">
        <v>667</v>
      </c>
      <c r="H58" s="6" t="s">
        <v>493</v>
      </c>
    </row>
    <row r="59" spans="2:8" ht="14.5">
      <c r="B59" s="60" t="s">
        <v>141</v>
      </c>
      <c r="C59" s="232" t="s">
        <v>368</v>
      </c>
      <c r="D59" s="244" t="s">
        <v>663</v>
      </c>
      <c r="E59" s="244" t="s">
        <v>663</v>
      </c>
      <c r="F59" s="244" t="s">
        <v>663</v>
      </c>
      <c r="G59" s="244" t="s">
        <v>663</v>
      </c>
      <c r="H59" s="6" t="s">
        <v>664</v>
      </c>
    </row>
    <row r="60" spans="2:8" ht="14.5">
      <c r="B60" s="235" t="s">
        <v>146</v>
      </c>
      <c r="C60" s="232" t="s">
        <v>346</v>
      </c>
      <c r="D60" s="241" t="s">
        <v>667</v>
      </c>
      <c r="E60" s="241" t="s">
        <v>667</v>
      </c>
      <c r="F60" s="241" t="s">
        <v>667</v>
      </c>
      <c r="G60" s="241" t="s">
        <v>667</v>
      </c>
      <c r="H60" s="6" t="s">
        <v>493</v>
      </c>
    </row>
    <row r="61" spans="2:8" ht="14.5">
      <c r="B61" s="60" t="s">
        <v>147</v>
      </c>
      <c r="C61" s="232" t="s">
        <v>368</v>
      </c>
      <c r="D61" s="244" t="s">
        <v>663</v>
      </c>
      <c r="E61" s="244" t="s">
        <v>663</v>
      </c>
      <c r="F61" s="244" t="s">
        <v>663</v>
      </c>
      <c r="G61" s="244" t="s">
        <v>663</v>
      </c>
      <c r="H61" s="6" t="s">
        <v>664</v>
      </c>
    </row>
    <row r="62" spans="2:8" ht="14.5">
      <c r="B62" s="60" t="s">
        <v>148</v>
      </c>
      <c r="C62" s="232" t="s">
        <v>368</v>
      </c>
      <c r="D62" s="244" t="s">
        <v>663</v>
      </c>
      <c r="E62" s="244" t="s">
        <v>663</v>
      </c>
      <c r="F62" s="244" t="s">
        <v>663</v>
      </c>
      <c r="G62" s="244" t="s">
        <v>663</v>
      </c>
      <c r="H62" s="6" t="s">
        <v>664</v>
      </c>
    </row>
    <row r="63" spans="2:8" ht="14.5">
      <c r="B63" s="235" t="s">
        <v>152</v>
      </c>
      <c r="C63" s="233" t="s">
        <v>368</v>
      </c>
      <c r="D63" s="241" t="s">
        <v>667</v>
      </c>
      <c r="E63" s="241" t="s">
        <v>667</v>
      </c>
      <c r="F63" s="241" t="s">
        <v>667</v>
      </c>
      <c r="G63" s="241" t="s">
        <v>667</v>
      </c>
      <c r="H63" s="6" t="s">
        <v>493</v>
      </c>
    </row>
    <row r="64" spans="2:8" ht="14.5">
      <c r="B64" s="235" t="s">
        <v>153</v>
      </c>
      <c r="C64" s="232" t="s">
        <v>346</v>
      </c>
      <c r="D64" s="241" t="s">
        <v>667</v>
      </c>
      <c r="E64" s="241" t="s">
        <v>667</v>
      </c>
      <c r="F64" s="241" t="s">
        <v>667</v>
      </c>
      <c r="G64" s="241" t="s">
        <v>667</v>
      </c>
      <c r="H64" s="6" t="s">
        <v>493</v>
      </c>
    </row>
    <row r="65" spans="2:8" ht="14.5">
      <c r="B65" s="60" t="s">
        <v>154</v>
      </c>
      <c r="C65" s="232" t="s">
        <v>419</v>
      </c>
      <c r="D65" s="244" t="s">
        <v>663</v>
      </c>
      <c r="E65" s="244" t="s">
        <v>663</v>
      </c>
      <c r="F65" s="244" t="s">
        <v>663</v>
      </c>
      <c r="G65" s="244" t="s">
        <v>663</v>
      </c>
      <c r="H65" s="6" t="s">
        <v>664</v>
      </c>
    </row>
    <row r="66" spans="2:8" ht="14.5">
      <c r="B66" s="60" t="s">
        <v>155</v>
      </c>
      <c r="C66" s="232" t="s">
        <v>368</v>
      </c>
      <c r="D66" s="244" t="s">
        <v>663</v>
      </c>
      <c r="E66" s="244" t="s">
        <v>663</v>
      </c>
      <c r="F66" s="244" t="s">
        <v>663</v>
      </c>
      <c r="G66" s="244" t="s">
        <v>663</v>
      </c>
      <c r="H66" s="6" t="s">
        <v>664</v>
      </c>
    </row>
    <row r="67" spans="2:8" ht="14.5">
      <c r="B67" s="235" t="s">
        <v>156</v>
      </c>
      <c r="C67" s="232" t="s">
        <v>420</v>
      </c>
      <c r="D67" s="241" t="s">
        <v>667</v>
      </c>
      <c r="E67" s="241" t="s">
        <v>667</v>
      </c>
      <c r="F67" s="241" t="s">
        <v>667</v>
      </c>
      <c r="G67" s="241" t="s">
        <v>667</v>
      </c>
      <c r="H67" s="6" t="s">
        <v>493</v>
      </c>
    </row>
    <row r="68" spans="2:8" ht="14.5">
      <c r="B68" s="235" t="s">
        <v>157</v>
      </c>
      <c r="C68" s="233" t="s">
        <v>409</v>
      </c>
      <c r="D68" s="241" t="s">
        <v>667</v>
      </c>
      <c r="E68" s="241" t="s">
        <v>667</v>
      </c>
      <c r="F68" s="241" t="s">
        <v>667</v>
      </c>
      <c r="G68" s="241" t="s">
        <v>667</v>
      </c>
      <c r="H68" s="6" t="s">
        <v>493</v>
      </c>
    </row>
    <row r="69" spans="2:8" ht="14.5">
      <c r="B69" s="60" t="s">
        <v>158</v>
      </c>
      <c r="C69" s="232" t="s">
        <v>368</v>
      </c>
      <c r="D69" s="244" t="s">
        <v>663</v>
      </c>
      <c r="E69" s="244" t="s">
        <v>663</v>
      </c>
      <c r="F69" s="244" t="s">
        <v>663</v>
      </c>
      <c r="G69" s="244" t="s">
        <v>663</v>
      </c>
      <c r="H69" s="6" t="s">
        <v>664</v>
      </c>
    </row>
    <row r="70" spans="2:8" ht="14.5">
      <c r="B70" s="235" t="s">
        <v>160</v>
      </c>
      <c r="C70" s="232" t="s">
        <v>346</v>
      </c>
      <c r="D70" s="241" t="s">
        <v>667</v>
      </c>
      <c r="E70" s="241" t="s">
        <v>667</v>
      </c>
      <c r="F70" s="241" t="s">
        <v>667</v>
      </c>
      <c r="G70" s="241" t="s">
        <v>667</v>
      </c>
      <c r="H70" s="6" t="s">
        <v>493</v>
      </c>
    </row>
    <row r="71" spans="2:8" ht="14.5">
      <c r="B71" s="60" t="s">
        <v>162</v>
      </c>
      <c r="C71" s="232" t="s">
        <v>346</v>
      </c>
      <c r="D71" s="244" t="s">
        <v>663</v>
      </c>
      <c r="E71" s="244" t="s">
        <v>663</v>
      </c>
      <c r="F71" s="244" t="s">
        <v>663</v>
      </c>
      <c r="G71" s="244" t="s">
        <v>663</v>
      </c>
      <c r="H71" s="6" t="s">
        <v>664</v>
      </c>
    </row>
    <row r="72" spans="2:8" ht="14.5">
      <c r="B72" s="235" t="s">
        <v>164</v>
      </c>
      <c r="C72" s="232" t="s">
        <v>346</v>
      </c>
      <c r="D72" s="241" t="s">
        <v>667</v>
      </c>
      <c r="E72" s="241" t="s">
        <v>667</v>
      </c>
      <c r="F72" s="241" t="s">
        <v>667</v>
      </c>
      <c r="G72" s="241" t="s">
        <v>667</v>
      </c>
      <c r="H72" s="6" t="s">
        <v>493</v>
      </c>
    </row>
    <row r="73" spans="2:8" ht="14.5">
      <c r="B73" s="235" t="s">
        <v>165</v>
      </c>
      <c r="C73" s="233" t="s">
        <v>368</v>
      </c>
      <c r="D73" s="241" t="s">
        <v>667</v>
      </c>
      <c r="E73" s="241" t="s">
        <v>667</v>
      </c>
      <c r="F73" s="241" t="s">
        <v>667</v>
      </c>
      <c r="G73" s="241" t="s">
        <v>667</v>
      </c>
      <c r="H73" s="6" t="s">
        <v>493</v>
      </c>
    </row>
    <row r="74" spans="2:8" ht="14.5">
      <c r="B74" s="235" t="s">
        <v>167</v>
      </c>
      <c r="C74" s="232" t="s">
        <v>346</v>
      </c>
      <c r="D74" s="241" t="s">
        <v>667</v>
      </c>
      <c r="E74" s="241" t="s">
        <v>667</v>
      </c>
      <c r="F74" s="241" t="s">
        <v>667</v>
      </c>
      <c r="G74" s="241" t="s">
        <v>667</v>
      </c>
      <c r="H74" s="6" t="s">
        <v>493</v>
      </c>
    </row>
    <row r="75" spans="2:8" ht="14.5">
      <c r="B75" s="60" t="s">
        <v>169</v>
      </c>
      <c r="C75" s="232" t="s">
        <v>346</v>
      </c>
      <c r="D75" s="244" t="s">
        <v>663</v>
      </c>
      <c r="E75" s="244" t="s">
        <v>663</v>
      </c>
      <c r="F75" s="244" t="s">
        <v>663</v>
      </c>
      <c r="G75" s="244" t="s">
        <v>663</v>
      </c>
      <c r="H75" s="6" t="s">
        <v>664</v>
      </c>
    </row>
    <row r="76" spans="2:8" ht="14.5">
      <c r="B76" s="60" t="s">
        <v>170</v>
      </c>
      <c r="C76" s="232" t="s">
        <v>376</v>
      </c>
      <c r="D76" s="244" t="s">
        <v>663</v>
      </c>
      <c r="E76" s="244" t="s">
        <v>663</v>
      </c>
      <c r="F76" s="244" t="s">
        <v>663</v>
      </c>
      <c r="G76" s="244" t="s">
        <v>663</v>
      </c>
      <c r="H76" s="6" t="s">
        <v>664</v>
      </c>
    </row>
    <row r="77" spans="2:8" ht="14.5">
      <c r="B77" s="60" t="s">
        <v>171</v>
      </c>
      <c r="C77" s="232" t="s">
        <v>377</v>
      </c>
      <c r="D77" s="244" t="s">
        <v>663</v>
      </c>
      <c r="E77" s="244" t="s">
        <v>663</v>
      </c>
      <c r="F77" s="244" t="s">
        <v>663</v>
      </c>
      <c r="G77" s="244" t="s">
        <v>663</v>
      </c>
      <c r="H77" s="6" t="s">
        <v>664</v>
      </c>
    </row>
    <row r="78" spans="2:8" ht="14.5">
      <c r="B78" s="60" t="s">
        <v>172</v>
      </c>
      <c r="C78" s="233" t="s">
        <v>368</v>
      </c>
      <c r="D78" s="244" t="s">
        <v>663</v>
      </c>
      <c r="E78" s="244" t="s">
        <v>663</v>
      </c>
      <c r="F78" s="244" t="s">
        <v>663</v>
      </c>
      <c r="G78" s="244" t="s">
        <v>663</v>
      </c>
      <c r="H78" s="6" t="s">
        <v>664</v>
      </c>
    </row>
    <row r="79" spans="2:8" ht="14.5">
      <c r="B79" s="235" t="s">
        <v>173</v>
      </c>
      <c r="C79" s="232" t="s">
        <v>378</v>
      </c>
      <c r="D79" s="241" t="s">
        <v>667</v>
      </c>
      <c r="E79" s="241" t="s">
        <v>667</v>
      </c>
      <c r="F79" s="241" t="s">
        <v>667</v>
      </c>
      <c r="G79" s="241" t="s">
        <v>667</v>
      </c>
      <c r="H79" s="6" t="s">
        <v>493</v>
      </c>
    </row>
    <row r="80" spans="2:8" ht="14.5">
      <c r="B80" s="60" t="s">
        <v>174</v>
      </c>
      <c r="C80" s="232" t="s">
        <v>379</v>
      </c>
      <c r="D80" s="244" t="s">
        <v>663</v>
      </c>
      <c r="E80" s="244" t="s">
        <v>663</v>
      </c>
      <c r="F80" s="244" t="s">
        <v>663</v>
      </c>
      <c r="G80" s="244" t="s">
        <v>663</v>
      </c>
      <c r="H80" s="6" t="s">
        <v>664</v>
      </c>
    </row>
    <row r="81" spans="2:8" ht="14.5">
      <c r="B81" s="235" t="s">
        <v>175</v>
      </c>
      <c r="C81" s="232" t="s">
        <v>421</v>
      </c>
      <c r="D81" s="241" t="s">
        <v>667</v>
      </c>
      <c r="E81" s="241" t="s">
        <v>667</v>
      </c>
      <c r="F81" s="241" t="s">
        <v>667</v>
      </c>
      <c r="G81" s="241" t="s">
        <v>667</v>
      </c>
      <c r="H81" s="6" t="s">
        <v>493</v>
      </c>
    </row>
    <row r="82" spans="2:8" ht="14.5">
      <c r="B82" s="60" t="s">
        <v>176</v>
      </c>
      <c r="C82" s="232" t="s">
        <v>368</v>
      </c>
      <c r="D82" s="244" t="s">
        <v>663</v>
      </c>
      <c r="E82" s="244" t="s">
        <v>663</v>
      </c>
      <c r="F82" s="244" t="s">
        <v>663</v>
      </c>
      <c r="G82" s="244" t="s">
        <v>663</v>
      </c>
      <c r="H82" s="6" t="s">
        <v>664</v>
      </c>
    </row>
    <row r="83" spans="2:8" ht="14.5">
      <c r="B83" s="60" t="s">
        <v>178</v>
      </c>
      <c r="C83" s="232" t="s">
        <v>380</v>
      </c>
      <c r="D83" s="244" t="s">
        <v>663</v>
      </c>
      <c r="E83" s="244" t="s">
        <v>663</v>
      </c>
      <c r="F83" s="244" t="s">
        <v>663</v>
      </c>
      <c r="G83" s="244" t="s">
        <v>663</v>
      </c>
      <c r="H83" s="6" t="s">
        <v>664</v>
      </c>
    </row>
    <row r="84" spans="2:8" ht="14.5">
      <c r="B84" s="235" t="s">
        <v>179</v>
      </c>
      <c r="C84" s="232" t="s">
        <v>368</v>
      </c>
      <c r="D84" s="241" t="s">
        <v>667</v>
      </c>
      <c r="E84" s="241" t="s">
        <v>667</v>
      </c>
      <c r="F84" s="241" t="s">
        <v>667</v>
      </c>
      <c r="G84" s="241" t="s">
        <v>667</v>
      </c>
      <c r="H84" s="6" t="s">
        <v>493</v>
      </c>
    </row>
    <row r="85" spans="2:8" ht="14.5">
      <c r="B85" s="235" t="s">
        <v>180</v>
      </c>
      <c r="C85" s="232" t="s">
        <v>346</v>
      </c>
      <c r="D85" s="241" t="s">
        <v>667</v>
      </c>
      <c r="E85" s="241" t="s">
        <v>667</v>
      </c>
      <c r="F85" s="241" t="s">
        <v>667</v>
      </c>
      <c r="G85" s="241" t="s">
        <v>667</v>
      </c>
      <c r="H85" s="6" t="s">
        <v>493</v>
      </c>
    </row>
    <row r="86" spans="2:8" ht="14.5">
      <c r="B86" s="60" t="s">
        <v>181</v>
      </c>
      <c r="C86" s="232" t="s">
        <v>352</v>
      </c>
      <c r="D86" s="244" t="s">
        <v>663</v>
      </c>
      <c r="E86" s="244" t="s">
        <v>663</v>
      </c>
      <c r="F86" s="244" t="s">
        <v>663</v>
      </c>
      <c r="G86" s="244" t="s">
        <v>663</v>
      </c>
      <c r="H86" s="6" t="s">
        <v>664</v>
      </c>
    </row>
    <row r="87" spans="2:8" ht="14.5">
      <c r="B87" s="235" t="s">
        <v>184</v>
      </c>
      <c r="C87" s="232" t="s">
        <v>422</v>
      </c>
      <c r="D87" s="241" t="s">
        <v>667</v>
      </c>
      <c r="E87" s="241" t="s">
        <v>667</v>
      </c>
      <c r="F87" s="241" t="s">
        <v>667</v>
      </c>
      <c r="G87" s="241" t="s">
        <v>667</v>
      </c>
      <c r="H87" s="6" t="s">
        <v>493</v>
      </c>
    </row>
    <row r="88" spans="2:8" ht="14.5">
      <c r="B88" s="235" t="s">
        <v>185</v>
      </c>
      <c r="C88" s="232" t="s">
        <v>381</v>
      </c>
      <c r="D88" s="241" t="s">
        <v>667</v>
      </c>
      <c r="E88" s="241" t="s">
        <v>667</v>
      </c>
      <c r="F88" s="241" t="s">
        <v>667</v>
      </c>
      <c r="G88" s="241" t="s">
        <v>667</v>
      </c>
      <c r="H88" s="6" t="s">
        <v>493</v>
      </c>
    </row>
    <row r="89" spans="2:8" ht="14.5">
      <c r="B89" s="235" t="s">
        <v>186</v>
      </c>
      <c r="C89" s="232" t="s">
        <v>423</v>
      </c>
      <c r="D89" s="241" t="s">
        <v>667</v>
      </c>
      <c r="E89" s="241" t="s">
        <v>667</v>
      </c>
      <c r="F89" s="241" t="s">
        <v>667</v>
      </c>
      <c r="G89" s="241" t="s">
        <v>667</v>
      </c>
      <c r="H89" s="6" t="s">
        <v>493</v>
      </c>
    </row>
    <row r="90" spans="2:8" ht="14.5">
      <c r="B90" s="60" t="s">
        <v>189</v>
      </c>
      <c r="C90" s="232" t="s">
        <v>346</v>
      </c>
      <c r="D90" s="244" t="s">
        <v>663</v>
      </c>
      <c r="E90" s="244" t="s">
        <v>663</v>
      </c>
      <c r="F90" s="244" t="s">
        <v>663</v>
      </c>
      <c r="G90" s="244" t="s">
        <v>663</v>
      </c>
      <c r="H90" s="6" t="s">
        <v>664</v>
      </c>
    </row>
    <row r="91" spans="2:8" ht="14.5">
      <c r="B91" s="235" t="s">
        <v>190</v>
      </c>
      <c r="C91" s="232" t="s">
        <v>346</v>
      </c>
      <c r="D91" s="241" t="s">
        <v>667</v>
      </c>
      <c r="E91" s="241" t="s">
        <v>667</v>
      </c>
      <c r="F91" s="241" t="s">
        <v>667</v>
      </c>
      <c r="G91" s="241" t="s">
        <v>667</v>
      </c>
      <c r="H91" s="6" t="s">
        <v>493</v>
      </c>
    </row>
    <row r="92" spans="2:8" ht="14.5">
      <c r="B92" s="235" t="s">
        <v>191</v>
      </c>
      <c r="C92" s="232" t="s">
        <v>346</v>
      </c>
      <c r="D92" s="241" t="s">
        <v>667</v>
      </c>
      <c r="E92" s="241" t="s">
        <v>667</v>
      </c>
      <c r="F92" s="241" t="s">
        <v>667</v>
      </c>
      <c r="G92" s="241" t="s">
        <v>667</v>
      </c>
      <c r="H92" s="6" t="s">
        <v>493</v>
      </c>
    </row>
    <row r="93" spans="2:8" ht="14.5">
      <c r="B93" s="60" t="s">
        <v>192</v>
      </c>
      <c r="C93" s="232" t="s">
        <v>368</v>
      </c>
      <c r="D93" s="244" t="s">
        <v>663</v>
      </c>
      <c r="E93" s="244" t="s">
        <v>663</v>
      </c>
      <c r="F93" s="244" t="s">
        <v>663</v>
      </c>
      <c r="G93" s="244" t="s">
        <v>663</v>
      </c>
      <c r="H93" s="6" t="s">
        <v>664</v>
      </c>
    </row>
    <row r="94" spans="2:8" ht="14.5">
      <c r="B94" s="60" t="s">
        <v>193</v>
      </c>
      <c r="C94" s="232" t="s">
        <v>346</v>
      </c>
      <c r="D94" s="244" t="s">
        <v>663</v>
      </c>
      <c r="E94" s="244" t="s">
        <v>663</v>
      </c>
      <c r="F94" s="244" t="s">
        <v>663</v>
      </c>
      <c r="G94" s="244" t="s">
        <v>663</v>
      </c>
      <c r="H94" s="6" t="s">
        <v>664</v>
      </c>
    </row>
    <row r="95" spans="2:8" ht="14.5">
      <c r="B95" s="235" t="s">
        <v>195</v>
      </c>
      <c r="C95" s="232" t="s">
        <v>346</v>
      </c>
      <c r="D95" s="241" t="s">
        <v>667</v>
      </c>
      <c r="E95" s="241" t="s">
        <v>667</v>
      </c>
      <c r="F95" s="241" t="s">
        <v>667</v>
      </c>
      <c r="G95" s="241" t="s">
        <v>667</v>
      </c>
      <c r="H95" s="6" t="s">
        <v>493</v>
      </c>
    </row>
    <row r="96" spans="2:8" ht="14.5">
      <c r="B96" s="235" t="s">
        <v>196</v>
      </c>
      <c r="C96" s="232" t="s">
        <v>346</v>
      </c>
      <c r="D96" s="241" t="s">
        <v>667</v>
      </c>
      <c r="E96" s="241" t="s">
        <v>667</v>
      </c>
      <c r="F96" s="241" t="s">
        <v>667</v>
      </c>
      <c r="G96" s="241" t="s">
        <v>667</v>
      </c>
      <c r="H96" s="6" t="s">
        <v>493</v>
      </c>
    </row>
    <row r="97" spans="2:8" ht="14.5">
      <c r="B97" s="235" t="s">
        <v>197</v>
      </c>
      <c r="C97" s="232" t="s">
        <v>401</v>
      </c>
      <c r="D97" s="241" t="s">
        <v>667</v>
      </c>
      <c r="E97" s="241" t="s">
        <v>667</v>
      </c>
      <c r="F97" s="241" t="s">
        <v>667</v>
      </c>
      <c r="G97" s="241" t="s">
        <v>667</v>
      </c>
      <c r="H97" s="6" t="s">
        <v>493</v>
      </c>
    </row>
    <row r="98" spans="2:8" ht="14.5">
      <c r="B98" s="60" t="s">
        <v>198</v>
      </c>
      <c r="C98" s="232" t="s">
        <v>368</v>
      </c>
      <c r="D98" s="244" t="s">
        <v>663</v>
      </c>
      <c r="E98" s="244" t="s">
        <v>663</v>
      </c>
      <c r="F98" s="244" t="s">
        <v>663</v>
      </c>
      <c r="G98" s="244" t="s">
        <v>663</v>
      </c>
      <c r="H98" s="6" t="s">
        <v>664</v>
      </c>
    </row>
    <row r="99" spans="2:8" ht="14.5">
      <c r="B99" s="60" t="s">
        <v>199</v>
      </c>
      <c r="C99" s="232" t="s">
        <v>368</v>
      </c>
      <c r="D99" s="244" t="s">
        <v>663</v>
      </c>
      <c r="E99" s="244" t="s">
        <v>663</v>
      </c>
      <c r="F99" s="244" t="s">
        <v>663</v>
      </c>
      <c r="G99" s="244" t="s">
        <v>663</v>
      </c>
      <c r="H99" s="6" t="s">
        <v>664</v>
      </c>
    </row>
    <row r="100" spans="2:8" ht="14.5">
      <c r="B100" s="60" t="s">
        <v>200</v>
      </c>
      <c r="C100" s="232" t="s">
        <v>424</v>
      </c>
      <c r="D100" s="244" t="s">
        <v>663</v>
      </c>
      <c r="E100" s="244" t="s">
        <v>663</v>
      </c>
      <c r="F100" s="244" t="s">
        <v>663</v>
      </c>
      <c r="G100" s="244" t="s">
        <v>663</v>
      </c>
      <c r="H100" s="6" t="s">
        <v>664</v>
      </c>
    </row>
    <row r="101" spans="2:8" ht="14.5">
      <c r="B101" s="60" t="s">
        <v>204</v>
      </c>
      <c r="C101" s="232" t="s">
        <v>383</v>
      </c>
      <c r="D101" s="244" t="s">
        <v>663</v>
      </c>
      <c r="E101" s="244" t="s">
        <v>663</v>
      </c>
      <c r="F101" s="244" t="s">
        <v>663</v>
      </c>
      <c r="G101" s="244" t="s">
        <v>663</v>
      </c>
      <c r="H101" s="6" t="s">
        <v>664</v>
      </c>
    </row>
    <row r="102" spans="2:8" ht="14.5">
      <c r="B102" s="235" t="s">
        <v>205</v>
      </c>
      <c r="C102" s="232" t="s">
        <v>346</v>
      </c>
      <c r="D102" s="241" t="s">
        <v>667</v>
      </c>
      <c r="E102" s="241" t="s">
        <v>667</v>
      </c>
      <c r="F102" s="241" t="s">
        <v>667</v>
      </c>
      <c r="G102" s="241" t="s">
        <v>667</v>
      </c>
      <c r="H102" s="6" t="s">
        <v>493</v>
      </c>
    </row>
    <row r="103" spans="2:8" ht="14.5">
      <c r="B103" s="235" t="s">
        <v>206</v>
      </c>
      <c r="C103" s="233" t="s">
        <v>368</v>
      </c>
      <c r="D103" s="241" t="s">
        <v>667</v>
      </c>
      <c r="E103" s="241" t="s">
        <v>667</v>
      </c>
      <c r="F103" s="241" t="s">
        <v>667</v>
      </c>
      <c r="G103" s="241" t="s">
        <v>667</v>
      </c>
      <c r="H103" s="6" t="s">
        <v>493</v>
      </c>
    </row>
    <row r="104" spans="2:8" ht="14.5">
      <c r="B104" s="235" t="s">
        <v>207</v>
      </c>
      <c r="C104" s="232" t="s">
        <v>368</v>
      </c>
      <c r="D104" s="241" t="s">
        <v>667</v>
      </c>
      <c r="E104" s="241" t="s">
        <v>667</v>
      </c>
      <c r="F104" s="241" t="s">
        <v>667</v>
      </c>
      <c r="G104" s="241" t="s">
        <v>667</v>
      </c>
      <c r="H104" s="6" t="s">
        <v>493</v>
      </c>
    </row>
    <row r="105" spans="2:8" ht="14.5">
      <c r="B105" s="235" t="s">
        <v>211</v>
      </c>
      <c r="C105" s="232" t="s">
        <v>346</v>
      </c>
      <c r="D105" s="241" t="s">
        <v>667</v>
      </c>
      <c r="E105" s="241" t="s">
        <v>667</v>
      </c>
      <c r="F105" s="241" t="s">
        <v>667</v>
      </c>
      <c r="G105" s="241" t="s">
        <v>667</v>
      </c>
      <c r="H105" s="6" t="s">
        <v>493</v>
      </c>
    </row>
    <row r="106" spans="2:8" ht="14.5">
      <c r="B106" s="60" t="s">
        <v>213</v>
      </c>
      <c r="C106" s="232" t="s">
        <v>384</v>
      </c>
      <c r="D106" s="244" t="s">
        <v>663</v>
      </c>
      <c r="E106" s="244" t="s">
        <v>663</v>
      </c>
      <c r="F106" s="244" t="s">
        <v>663</v>
      </c>
      <c r="G106" s="244" t="s">
        <v>663</v>
      </c>
      <c r="H106" s="6" t="s">
        <v>664</v>
      </c>
    </row>
    <row r="107" spans="2:8" ht="14.5">
      <c r="B107" s="235" t="s">
        <v>214</v>
      </c>
      <c r="C107" s="232" t="s">
        <v>346</v>
      </c>
      <c r="D107" s="241" t="s">
        <v>667</v>
      </c>
      <c r="E107" s="241" t="s">
        <v>667</v>
      </c>
      <c r="F107" s="241" t="s">
        <v>667</v>
      </c>
      <c r="G107" s="241" t="s">
        <v>667</v>
      </c>
      <c r="H107" s="6" t="s">
        <v>493</v>
      </c>
    </row>
    <row r="108" spans="2:8" ht="14.5">
      <c r="B108" s="235" t="s">
        <v>215</v>
      </c>
      <c r="C108" s="232" t="s">
        <v>346</v>
      </c>
      <c r="D108" s="241" t="s">
        <v>667</v>
      </c>
      <c r="E108" s="241" t="s">
        <v>667</v>
      </c>
      <c r="F108" s="241" t="s">
        <v>667</v>
      </c>
      <c r="G108" s="241" t="s">
        <v>667</v>
      </c>
      <c r="H108" s="6" t="s">
        <v>493</v>
      </c>
    </row>
    <row r="109" spans="2:8" ht="14.5">
      <c r="B109" s="235" t="s">
        <v>216</v>
      </c>
      <c r="C109" s="232" t="s">
        <v>368</v>
      </c>
      <c r="D109" s="241" t="s">
        <v>667</v>
      </c>
      <c r="E109" s="241" t="s">
        <v>667</v>
      </c>
      <c r="F109" s="241" t="s">
        <v>667</v>
      </c>
      <c r="G109" s="241" t="s">
        <v>667</v>
      </c>
      <c r="H109" s="6" t="s">
        <v>493</v>
      </c>
    </row>
    <row r="110" spans="2:8" ht="14.5">
      <c r="B110" s="60" t="s">
        <v>220</v>
      </c>
      <c r="C110" s="232" t="s">
        <v>425</v>
      </c>
      <c r="D110" s="244" t="s">
        <v>663</v>
      </c>
      <c r="E110" s="244" t="s">
        <v>663</v>
      </c>
      <c r="F110" s="244" t="s">
        <v>663</v>
      </c>
      <c r="G110" s="244" t="s">
        <v>663</v>
      </c>
      <c r="H110" s="6" t="s">
        <v>664</v>
      </c>
    </row>
    <row r="111" spans="2:8" ht="14.5">
      <c r="B111" s="235" t="s">
        <v>221</v>
      </c>
      <c r="C111" s="232" t="s">
        <v>346</v>
      </c>
      <c r="D111" s="241" t="s">
        <v>667</v>
      </c>
      <c r="E111" s="241" t="s">
        <v>667</v>
      </c>
      <c r="F111" s="241" t="s">
        <v>667</v>
      </c>
      <c r="G111" s="241" t="s">
        <v>667</v>
      </c>
      <c r="H111" s="6" t="s">
        <v>493</v>
      </c>
    </row>
    <row r="112" spans="2:8" ht="14.5">
      <c r="B112" s="235" t="s">
        <v>222</v>
      </c>
      <c r="C112" s="232" t="s">
        <v>426</v>
      </c>
      <c r="D112" s="241" t="s">
        <v>667</v>
      </c>
      <c r="E112" s="241" t="s">
        <v>667</v>
      </c>
      <c r="F112" s="241" t="s">
        <v>667</v>
      </c>
      <c r="G112" s="241" t="s">
        <v>667</v>
      </c>
      <c r="H112" s="6" t="s">
        <v>493</v>
      </c>
    </row>
    <row r="113" spans="2:8" ht="14.5">
      <c r="B113" s="235" t="s">
        <v>223</v>
      </c>
      <c r="C113" s="232" t="s">
        <v>346</v>
      </c>
      <c r="D113" s="241" t="s">
        <v>667</v>
      </c>
      <c r="E113" s="241" t="s">
        <v>667</v>
      </c>
      <c r="F113" s="241" t="s">
        <v>667</v>
      </c>
      <c r="G113" s="241" t="s">
        <v>667</v>
      </c>
      <c r="H113" s="6" t="s">
        <v>493</v>
      </c>
    </row>
    <row r="114" spans="2:8" ht="14.5">
      <c r="B114" s="235" t="s">
        <v>225</v>
      </c>
      <c r="C114" s="232" t="s">
        <v>346</v>
      </c>
      <c r="D114" s="241" t="s">
        <v>667</v>
      </c>
      <c r="E114" s="241" t="s">
        <v>667</v>
      </c>
      <c r="F114" s="241" t="s">
        <v>667</v>
      </c>
      <c r="G114" s="241" t="s">
        <v>667</v>
      </c>
      <c r="H114" s="6" t="s">
        <v>493</v>
      </c>
    </row>
    <row r="115" spans="2:8" ht="14.5">
      <c r="B115" s="60" t="s">
        <v>226</v>
      </c>
      <c r="C115" s="232" t="s">
        <v>368</v>
      </c>
      <c r="D115" s="244" t="s">
        <v>663</v>
      </c>
      <c r="E115" s="244" t="s">
        <v>663</v>
      </c>
      <c r="F115" s="244" t="s">
        <v>663</v>
      </c>
      <c r="G115" s="244" t="s">
        <v>663</v>
      </c>
      <c r="H115" s="6" t="s">
        <v>664</v>
      </c>
    </row>
    <row r="116" spans="2:8" ht="14.5">
      <c r="B116" s="60" t="s">
        <v>229</v>
      </c>
      <c r="C116" s="232" t="s">
        <v>385</v>
      </c>
      <c r="D116" s="244" t="s">
        <v>663</v>
      </c>
      <c r="E116" s="244" t="s">
        <v>663</v>
      </c>
      <c r="F116" s="244" t="s">
        <v>663</v>
      </c>
      <c r="G116" s="244" t="s">
        <v>663</v>
      </c>
      <c r="H116" s="6" t="s">
        <v>664</v>
      </c>
    </row>
    <row r="117" spans="2:8" ht="14.5">
      <c r="B117" s="60" t="s">
        <v>230</v>
      </c>
      <c r="C117" s="232" t="s">
        <v>346</v>
      </c>
      <c r="D117" s="244" t="s">
        <v>663</v>
      </c>
      <c r="E117" s="244" t="s">
        <v>663</v>
      </c>
      <c r="F117" s="244" t="s">
        <v>663</v>
      </c>
      <c r="G117" s="244" t="s">
        <v>663</v>
      </c>
      <c r="H117" s="6" t="s">
        <v>664</v>
      </c>
    </row>
    <row r="118" spans="2:8" ht="14.5">
      <c r="B118" s="235" t="s">
        <v>231</v>
      </c>
      <c r="C118" s="233" t="s">
        <v>368</v>
      </c>
      <c r="D118" s="241" t="s">
        <v>667</v>
      </c>
      <c r="E118" s="241" t="s">
        <v>667</v>
      </c>
      <c r="F118" s="241" t="s">
        <v>667</v>
      </c>
      <c r="G118" s="241" t="s">
        <v>667</v>
      </c>
      <c r="H118" s="6" t="s">
        <v>493</v>
      </c>
    </row>
    <row r="119" spans="2:8" ht="14.5">
      <c r="B119" s="235" t="s">
        <v>232</v>
      </c>
      <c r="C119" s="232" t="s">
        <v>386</v>
      </c>
      <c r="D119" s="241" t="s">
        <v>667</v>
      </c>
      <c r="E119" s="241" t="s">
        <v>667</v>
      </c>
      <c r="F119" s="241" t="s">
        <v>667</v>
      </c>
      <c r="G119" s="241" t="s">
        <v>667</v>
      </c>
      <c r="H119" s="6" t="s">
        <v>493</v>
      </c>
    </row>
    <row r="120" spans="2:8" ht="14.5">
      <c r="B120" s="60" t="s">
        <v>201</v>
      </c>
      <c r="C120" s="232" t="s">
        <v>346</v>
      </c>
      <c r="D120" s="244" t="s">
        <v>663</v>
      </c>
      <c r="E120" s="244" t="s">
        <v>663</v>
      </c>
      <c r="F120" s="244" t="s">
        <v>663</v>
      </c>
      <c r="G120" s="244" t="s">
        <v>663</v>
      </c>
      <c r="H120" s="6" t="s">
        <v>664</v>
      </c>
    </row>
    <row r="121" spans="2:8" ht="14.5">
      <c r="B121" s="60" t="s">
        <v>237</v>
      </c>
      <c r="C121" s="232" t="s">
        <v>387</v>
      </c>
      <c r="D121" s="244" t="s">
        <v>663</v>
      </c>
      <c r="E121" s="244" t="s">
        <v>663</v>
      </c>
      <c r="F121" s="244" t="s">
        <v>663</v>
      </c>
      <c r="G121" s="244" t="s">
        <v>663</v>
      </c>
      <c r="H121" s="6" t="s">
        <v>664</v>
      </c>
    </row>
    <row r="122" spans="2:8" ht="14.5">
      <c r="B122" s="235" t="s">
        <v>238</v>
      </c>
      <c r="C122" s="232" t="s">
        <v>346</v>
      </c>
      <c r="D122" s="241" t="s">
        <v>667</v>
      </c>
      <c r="E122" s="241" t="s">
        <v>667</v>
      </c>
      <c r="F122" s="241" t="s">
        <v>667</v>
      </c>
      <c r="G122" s="241" t="s">
        <v>667</v>
      </c>
      <c r="H122" s="6" t="s">
        <v>493</v>
      </c>
    </row>
    <row r="123" spans="2:8" ht="14.5">
      <c r="B123" s="235" t="s">
        <v>239</v>
      </c>
      <c r="C123" s="232" t="s">
        <v>388</v>
      </c>
      <c r="D123" s="241" t="s">
        <v>667</v>
      </c>
      <c r="E123" s="241" t="s">
        <v>667</v>
      </c>
      <c r="F123" s="241" t="s">
        <v>667</v>
      </c>
      <c r="G123" s="241" t="s">
        <v>667</v>
      </c>
      <c r="H123" s="6" t="s">
        <v>493</v>
      </c>
    </row>
    <row r="124" spans="2:8" ht="14.5">
      <c r="B124" s="60" t="s">
        <v>242</v>
      </c>
      <c r="C124" s="232" t="s">
        <v>346</v>
      </c>
      <c r="D124" s="244" t="s">
        <v>663</v>
      </c>
      <c r="E124" s="244" t="s">
        <v>663</v>
      </c>
      <c r="F124" s="244" t="s">
        <v>663</v>
      </c>
      <c r="G124" s="244" t="s">
        <v>663</v>
      </c>
      <c r="H124" s="6" t="s">
        <v>664</v>
      </c>
    </row>
    <row r="125" spans="2:8" ht="14.5">
      <c r="B125" s="235" t="s">
        <v>243</v>
      </c>
      <c r="C125" s="232" t="s">
        <v>346</v>
      </c>
      <c r="D125" s="241" t="s">
        <v>667</v>
      </c>
      <c r="E125" s="241" t="s">
        <v>667</v>
      </c>
      <c r="F125" s="241" t="s">
        <v>667</v>
      </c>
      <c r="G125" s="241" t="s">
        <v>667</v>
      </c>
      <c r="H125" s="6" t="s">
        <v>493</v>
      </c>
    </row>
    <row r="126" spans="2:8" ht="14.5">
      <c r="B126" s="60" t="s">
        <v>244</v>
      </c>
      <c r="C126" s="232" t="s">
        <v>427</v>
      </c>
      <c r="D126" s="244" t="s">
        <v>663</v>
      </c>
      <c r="E126" s="244" t="s">
        <v>663</v>
      </c>
      <c r="F126" s="244" t="s">
        <v>663</v>
      </c>
      <c r="G126" s="244" t="s">
        <v>663</v>
      </c>
      <c r="H126" s="6" t="s">
        <v>664</v>
      </c>
    </row>
    <row r="127" spans="2:8" ht="14.5">
      <c r="B127" s="60" t="s">
        <v>245</v>
      </c>
      <c r="C127" s="232" t="s">
        <v>389</v>
      </c>
      <c r="D127" s="244" t="s">
        <v>663</v>
      </c>
      <c r="E127" s="244" t="s">
        <v>663</v>
      </c>
      <c r="F127" s="244" t="s">
        <v>663</v>
      </c>
      <c r="G127" s="244" t="s">
        <v>663</v>
      </c>
      <c r="H127" s="6" t="s">
        <v>664</v>
      </c>
    </row>
    <row r="128" spans="2:8" ht="14.5">
      <c r="B128" s="60" t="s">
        <v>246</v>
      </c>
      <c r="C128" s="232" t="s">
        <v>390</v>
      </c>
      <c r="D128" s="244" t="s">
        <v>663</v>
      </c>
      <c r="E128" s="244" t="s">
        <v>663</v>
      </c>
      <c r="F128" s="244" t="s">
        <v>663</v>
      </c>
      <c r="G128" s="244" t="s">
        <v>663</v>
      </c>
      <c r="H128" s="6" t="s">
        <v>664</v>
      </c>
    </row>
    <row r="129" spans="2:8" ht="14.5">
      <c r="B129" s="60" t="s">
        <v>248</v>
      </c>
      <c r="C129" s="232" t="s">
        <v>391</v>
      </c>
      <c r="D129" s="244" t="s">
        <v>663</v>
      </c>
      <c r="E129" s="244" t="s">
        <v>663</v>
      </c>
      <c r="F129" s="244" t="s">
        <v>663</v>
      </c>
      <c r="G129" s="244" t="s">
        <v>663</v>
      </c>
      <c r="H129" s="6" t="s">
        <v>664</v>
      </c>
    </row>
    <row r="130" spans="2:8" ht="14.5">
      <c r="B130" s="60" t="s">
        <v>249</v>
      </c>
      <c r="C130" s="232" t="s">
        <v>368</v>
      </c>
      <c r="D130" s="244" t="s">
        <v>663</v>
      </c>
      <c r="E130" s="244" t="s">
        <v>663</v>
      </c>
      <c r="F130" s="244" t="s">
        <v>663</v>
      </c>
      <c r="G130" s="244" t="s">
        <v>663</v>
      </c>
      <c r="H130" s="6" t="s">
        <v>664</v>
      </c>
    </row>
    <row r="131" spans="2:8" ht="14.5">
      <c r="B131" s="60" t="s">
        <v>250</v>
      </c>
      <c r="C131" s="232" t="s">
        <v>392</v>
      </c>
      <c r="D131" s="244" t="s">
        <v>663</v>
      </c>
      <c r="E131" s="244" t="s">
        <v>663</v>
      </c>
      <c r="F131" s="244" t="s">
        <v>663</v>
      </c>
      <c r="G131" s="244" t="s">
        <v>663</v>
      </c>
      <c r="H131" s="6" t="s">
        <v>664</v>
      </c>
    </row>
    <row r="132" spans="2:8" ht="14.5">
      <c r="B132" s="235" t="s">
        <v>252</v>
      </c>
      <c r="C132" s="232" t="s">
        <v>393</v>
      </c>
      <c r="D132" s="241" t="s">
        <v>667</v>
      </c>
      <c r="E132" s="241" t="s">
        <v>667</v>
      </c>
      <c r="F132" s="241" t="s">
        <v>667</v>
      </c>
      <c r="G132" s="241" t="s">
        <v>667</v>
      </c>
      <c r="H132" s="6" t="s">
        <v>493</v>
      </c>
    </row>
    <row r="133" spans="2:8" ht="14.5">
      <c r="B133" s="235" t="s">
        <v>253</v>
      </c>
      <c r="C133" s="234" t="s">
        <v>394</v>
      </c>
      <c r="D133" s="241" t="s">
        <v>667</v>
      </c>
      <c r="E133" s="241" t="s">
        <v>667</v>
      </c>
      <c r="F133" s="241" t="s">
        <v>667</v>
      </c>
      <c r="G133" s="241" t="s">
        <v>667</v>
      </c>
      <c r="H133" s="6" t="s">
        <v>493</v>
      </c>
    </row>
    <row r="134" spans="2:8" ht="14.5">
      <c r="B134" s="235" t="s">
        <v>254</v>
      </c>
      <c r="C134" s="232" t="s">
        <v>346</v>
      </c>
      <c r="D134" s="241" t="s">
        <v>667</v>
      </c>
      <c r="E134" s="241" t="s">
        <v>667</v>
      </c>
      <c r="F134" s="241" t="s">
        <v>667</v>
      </c>
      <c r="G134" s="241" t="s">
        <v>667</v>
      </c>
      <c r="H134" s="6" t="s">
        <v>493</v>
      </c>
    </row>
    <row r="135" spans="2:8" ht="14.5">
      <c r="B135" s="235" t="s">
        <v>256</v>
      </c>
      <c r="C135" s="232" t="s">
        <v>346</v>
      </c>
      <c r="D135" s="241" t="s">
        <v>667</v>
      </c>
      <c r="E135" s="241" t="s">
        <v>667</v>
      </c>
      <c r="F135" s="241" t="s">
        <v>667</v>
      </c>
      <c r="G135" s="241" t="s">
        <v>667</v>
      </c>
      <c r="H135" s="6" t="s">
        <v>493</v>
      </c>
    </row>
    <row r="136" spans="2:8" ht="14.5">
      <c r="B136" s="235" t="s">
        <v>257</v>
      </c>
      <c r="C136" s="232" t="s">
        <v>368</v>
      </c>
      <c r="D136" s="241" t="s">
        <v>667</v>
      </c>
      <c r="E136" s="241" t="s">
        <v>667</v>
      </c>
      <c r="F136" s="241" t="s">
        <v>667</v>
      </c>
      <c r="G136" s="241" t="s">
        <v>667</v>
      </c>
      <c r="H136" s="6" t="s">
        <v>493</v>
      </c>
    </row>
    <row r="137" spans="2:8" ht="14.5">
      <c r="B137" s="60" t="s">
        <v>259</v>
      </c>
      <c r="C137" s="232" t="s">
        <v>395</v>
      </c>
      <c r="D137" s="244" t="s">
        <v>663</v>
      </c>
      <c r="E137" s="244" t="s">
        <v>663</v>
      </c>
      <c r="F137" s="244" t="s">
        <v>663</v>
      </c>
      <c r="G137" s="244" t="s">
        <v>663</v>
      </c>
      <c r="H137" s="6" t="s">
        <v>664</v>
      </c>
    </row>
    <row r="138" spans="2:8" ht="14.5">
      <c r="B138" s="235" t="s">
        <v>260</v>
      </c>
      <c r="C138" s="232" t="s">
        <v>418</v>
      </c>
      <c r="D138" s="241" t="s">
        <v>667</v>
      </c>
      <c r="E138" s="241" t="s">
        <v>667</v>
      </c>
      <c r="F138" s="241" t="s">
        <v>667</v>
      </c>
      <c r="G138" s="241" t="s">
        <v>667</v>
      </c>
      <c r="H138" s="6" t="s">
        <v>493</v>
      </c>
    </row>
    <row r="139" spans="2:8" ht="14.5">
      <c r="B139" s="235" t="s">
        <v>261</v>
      </c>
      <c r="C139" s="232" t="s">
        <v>428</v>
      </c>
      <c r="D139" s="241" t="s">
        <v>667</v>
      </c>
      <c r="E139" s="241" t="s">
        <v>667</v>
      </c>
      <c r="F139" s="241" t="s">
        <v>667</v>
      </c>
      <c r="G139" s="241" t="s">
        <v>667</v>
      </c>
      <c r="H139" s="6" t="s">
        <v>493</v>
      </c>
    </row>
    <row r="140" spans="2:8" ht="14.5">
      <c r="B140" s="235" t="s">
        <v>262</v>
      </c>
      <c r="C140" s="232" t="s">
        <v>346</v>
      </c>
      <c r="D140" s="241" t="s">
        <v>667</v>
      </c>
      <c r="E140" s="241" t="s">
        <v>667</v>
      </c>
      <c r="F140" s="241" t="s">
        <v>667</v>
      </c>
      <c r="G140" s="241" t="s">
        <v>667</v>
      </c>
      <c r="H140" s="6" t="s">
        <v>493</v>
      </c>
    </row>
    <row r="141" spans="2:8" ht="14.5">
      <c r="B141" s="235" t="s">
        <v>263</v>
      </c>
      <c r="C141" s="232" t="s">
        <v>346</v>
      </c>
      <c r="D141" s="241" t="s">
        <v>667</v>
      </c>
      <c r="E141" s="241" t="s">
        <v>667</v>
      </c>
      <c r="F141" s="241" t="s">
        <v>667</v>
      </c>
      <c r="G141" s="241" t="s">
        <v>667</v>
      </c>
      <c r="H141" s="6" t="s">
        <v>493</v>
      </c>
    </row>
    <row r="142" spans="2:8" ht="14.5">
      <c r="B142" s="60" t="s">
        <v>264</v>
      </c>
      <c r="C142" s="232" t="s">
        <v>396</v>
      </c>
      <c r="D142" s="244" t="s">
        <v>663</v>
      </c>
      <c r="E142" s="244" t="s">
        <v>663</v>
      </c>
      <c r="F142" s="244" t="s">
        <v>663</v>
      </c>
      <c r="G142" s="244" t="s">
        <v>663</v>
      </c>
      <c r="H142" s="6" t="s">
        <v>664</v>
      </c>
    </row>
    <row r="143" spans="2:8" ht="14.5">
      <c r="B143" s="60" t="s">
        <v>266</v>
      </c>
      <c r="C143" s="232" t="s">
        <v>368</v>
      </c>
      <c r="D143" s="244" t="s">
        <v>663</v>
      </c>
      <c r="E143" s="244" t="s">
        <v>663</v>
      </c>
      <c r="F143" s="244" t="s">
        <v>663</v>
      </c>
      <c r="G143" s="244" t="s">
        <v>663</v>
      </c>
      <c r="H143" s="6" t="s">
        <v>664</v>
      </c>
    </row>
    <row r="144" spans="2:8" ht="14.5">
      <c r="B144" s="60" t="s">
        <v>267</v>
      </c>
      <c r="C144" s="232" t="s">
        <v>368</v>
      </c>
      <c r="D144" s="244" t="s">
        <v>663</v>
      </c>
      <c r="E144" s="244" t="s">
        <v>663</v>
      </c>
      <c r="F144" s="244" t="s">
        <v>663</v>
      </c>
      <c r="G144" s="244" t="s">
        <v>663</v>
      </c>
      <c r="H144" s="6" t="s">
        <v>664</v>
      </c>
    </row>
    <row r="145" spans="2:8" ht="14.5">
      <c r="B145" s="235" t="s">
        <v>268</v>
      </c>
      <c r="C145" s="232" t="s">
        <v>346</v>
      </c>
      <c r="D145" s="241" t="s">
        <v>667</v>
      </c>
      <c r="E145" s="241" t="s">
        <v>667</v>
      </c>
      <c r="F145" s="241" t="s">
        <v>667</v>
      </c>
      <c r="G145" s="241" t="s">
        <v>667</v>
      </c>
      <c r="H145" s="6" t="s">
        <v>493</v>
      </c>
    </row>
    <row r="146" spans="2:8" ht="14.5">
      <c r="B146" s="235" t="s">
        <v>269</v>
      </c>
      <c r="C146" s="232" t="s">
        <v>346</v>
      </c>
      <c r="D146" s="241" t="s">
        <v>667</v>
      </c>
      <c r="E146" s="241" t="s">
        <v>667</v>
      </c>
      <c r="F146" s="241" t="s">
        <v>667</v>
      </c>
      <c r="G146" s="241" t="s">
        <v>667</v>
      </c>
      <c r="H146" s="6" t="s">
        <v>493</v>
      </c>
    </row>
    <row r="147" spans="2:8" ht="14.5">
      <c r="B147" s="235" t="s">
        <v>271</v>
      </c>
      <c r="C147" s="232" t="s">
        <v>397</v>
      </c>
      <c r="D147" s="241" t="s">
        <v>667</v>
      </c>
      <c r="E147" s="241" t="s">
        <v>667</v>
      </c>
      <c r="F147" s="241" t="s">
        <v>667</v>
      </c>
      <c r="G147" s="241" t="s">
        <v>667</v>
      </c>
      <c r="H147" s="6" t="s">
        <v>493</v>
      </c>
    </row>
    <row r="148" spans="2:8" ht="14.5">
      <c r="B148" s="60" t="s">
        <v>273</v>
      </c>
      <c r="C148" s="232" t="s">
        <v>382</v>
      </c>
      <c r="D148" s="244" t="s">
        <v>663</v>
      </c>
      <c r="E148" s="244" t="s">
        <v>663</v>
      </c>
      <c r="F148" s="244" t="s">
        <v>663</v>
      </c>
      <c r="G148" s="244" t="s">
        <v>663</v>
      </c>
      <c r="H148" s="6" t="s">
        <v>664</v>
      </c>
    </row>
    <row r="149" spans="2:8" ht="14.5">
      <c r="B149" s="60" t="s">
        <v>276</v>
      </c>
      <c r="C149" s="232" t="s">
        <v>368</v>
      </c>
      <c r="D149" s="244" t="s">
        <v>663</v>
      </c>
      <c r="E149" s="244" t="s">
        <v>663</v>
      </c>
      <c r="F149" s="244" t="s">
        <v>663</v>
      </c>
      <c r="G149" s="244" t="s">
        <v>663</v>
      </c>
      <c r="H149" s="6" t="s">
        <v>664</v>
      </c>
    </row>
    <row r="150" spans="2:8" ht="14.5">
      <c r="B150" s="60" t="s">
        <v>277</v>
      </c>
      <c r="C150" s="232" t="s">
        <v>429</v>
      </c>
      <c r="D150" s="244" t="s">
        <v>663</v>
      </c>
      <c r="E150" s="244" t="s">
        <v>663</v>
      </c>
      <c r="F150" s="244" t="s">
        <v>663</v>
      </c>
      <c r="G150" s="244" t="s">
        <v>663</v>
      </c>
      <c r="H150" s="6" t="s">
        <v>664</v>
      </c>
    </row>
    <row r="151" spans="2:8" ht="14.5">
      <c r="B151" s="235" t="s">
        <v>280</v>
      </c>
      <c r="C151" s="232" t="s">
        <v>346</v>
      </c>
      <c r="D151" s="241" t="s">
        <v>667</v>
      </c>
      <c r="E151" s="241" t="s">
        <v>667</v>
      </c>
      <c r="F151" s="241" t="s">
        <v>667</v>
      </c>
      <c r="G151" s="241" t="s">
        <v>667</v>
      </c>
      <c r="H151" s="6" t="s">
        <v>493</v>
      </c>
    </row>
    <row r="152" spans="2:8" ht="14.5">
      <c r="B152" s="235" t="s">
        <v>281</v>
      </c>
      <c r="C152" s="232" t="s">
        <v>346</v>
      </c>
      <c r="D152" s="241" t="s">
        <v>667</v>
      </c>
      <c r="E152" s="241" t="s">
        <v>667</v>
      </c>
      <c r="F152" s="241" t="s">
        <v>667</v>
      </c>
      <c r="G152" s="241" t="s">
        <v>667</v>
      </c>
      <c r="H152" s="6" t="s">
        <v>493</v>
      </c>
    </row>
    <row r="153" spans="2:8" ht="14.5">
      <c r="B153" s="235" t="s">
        <v>285</v>
      </c>
      <c r="C153" s="232" t="s">
        <v>346</v>
      </c>
      <c r="D153" s="241" t="s">
        <v>667</v>
      </c>
      <c r="E153" s="241" t="s">
        <v>667</v>
      </c>
      <c r="F153" s="241" t="s">
        <v>667</v>
      </c>
      <c r="G153" s="241" t="s">
        <v>667</v>
      </c>
      <c r="H153" s="6" t="s">
        <v>493</v>
      </c>
    </row>
    <row r="154" spans="2:8" ht="14.5">
      <c r="B154" s="60" t="s">
        <v>287</v>
      </c>
      <c r="C154" s="232" t="s">
        <v>400</v>
      </c>
      <c r="D154" s="244" t="s">
        <v>663</v>
      </c>
      <c r="E154" s="244" t="s">
        <v>663</v>
      </c>
      <c r="F154" s="244" t="s">
        <v>663</v>
      </c>
      <c r="G154" s="244" t="s">
        <v>663</v>
      </c>
      <c r="H154" s="6" t="s">
        <v>664</v>
      </c>
    </row>
    <row r="155" spans="2:8" ht="14.5">
      <c r="B155" s="60" t="s">
        <v>288</v>
      </c>
      <c r="C155" s="232" t="s">
        <v>401</v>
      </c>
      <c r="D155" s="244" t="s">
        <v>663</v>
      </c>
      <c r="E155" s="244" t="s">
        <v>663</v>
      </c>
      <c r="F155" s="244" t="s">
        <v>663</v>
      </c>
      <c r="G155" s="244" t="s">
        <v>663</v>
      </c>
      <c r="H155" s="6" t="s">
        <v>664</v>
      </c>
    </row>
    <row r="156" spans="2:8" ht="14.5">
      <c r="B156" s="235" t="s">
        <v>290</v>
      </c>
      <c r="C156" s="232" t="s">
        <v>402</v>
      </c>
      <c r="D156" s="241" t="s">
        <v>667</v>
      </c>
      <c r="E156" s="241" t="s">
        <v>667</v>
      </c>
      <c r="F156" s="241" t="s">
        <v>667</v>
      </c>
      <c r="G156" s="241" t="s">
        <v>667</v>
      </c>
      <c r="H156" s="6" t="s">
        <v>493</v>
      </c>
    </row>
    <row r="157" spans="2:8" ht="14.5">
      <c r="B157" s="235" t="s">
        <v>291</v>
      </c>
      <c r="C157" s="232" t="s">
        <v>346</v>
      </c>
      <c r="D157" s="241" t="s">
        <v>667</v>
      </c>
      <c r="E157" s="241" t="s">
        <v>667</v>
      </c>
      <c r="F157" s="241" t="s">
        <v>667</v>
      </c>
      <c r="G157" s="241" t="s">
        <v>667</v>
      </c>
      <c r="H157" s="6" t="s">
        <v>493</v>
      </c>
    </row>
    <row r="158" spans="2:8" ht="14.5">
      <c r="B158" s="235" t="s">
        <v>292</v>
      </c>
      <c r="C158" s="232" t="s">
        <v>403</v>
      </c>
      <c r="D158" s="241" t="s">
        <v>667</v>
      </c>
      <c r="E158" s="241" t="s">
        <v>667</v>
      </c>
      <c r="F158" s="241" t="s">
        <v>667</v>
      </c>
      <c r="G158" s="241" t="s">
        <v>667</v>
      </c>
      <c r="H158" s="6" t="s">
        <v>493</v>
      </c>
    </row>
    <row r="159" spans="2:8" ht="14.5">
      <c r="B159" s="60" t="s">
        <v>293</v>
      </c>
      <c r="C159" s="232" t="s">
        <v>404</v>
      </c>
      <c r="D159" s="244" t="s">
        <v>663</v>
      </c>
      <c r="E159" s="244" t="s">
        <v>663</v>
      </c>
      <c r="F159" s="244" t="s">
        <v>663</v>
      </c>
      <c r="G159" s="244" t="s">
        <v>663</v>
      </c>
      <c r="H159" s="6" t="s">
        <v>664</v>
      </c>
    </row>
    <row r="160" spans="2:8" ht="14.5">
      <c r="B160" s="235" t="s">
        <v>295</v>
      </c>
      <c r="C160" s="233" t="s">
        <v>368</v>
      </c>
      <c r="D160" s="241" t="s">
        <v>667</v>
      </c>
      <c r="E160" s="241" t="s">
        <v>667</v>
      </c>
      <c r="F160" s="241" t="s">
        <v>667</v>
      </c>
      <c r="G160" s="241" t="s">
        <v>667</v>
      </c>
      <c r="H160" s="6" t="s">
        <v>493</v>
      </c>
    </row>
    <row r="161" spans="2:8" ht="14.5">
      <c r="B161" s="235" t="s">
        <v>297</v>
      </c>
      <c r="C161" s="232" t="s">
        <v>346</v>
      </c>
      <c r="D161" s="241" t="s">
        <v>667</v>
      </c>
      <c r="E161" s="241" t="s">
        <v>667</v>
      </c>
      <c r="F161" s="241" t="s">
        <v>667</v>
      </c>
      <c r="G161" s="241" t="s">
        <v>667</v>
      </c>
      <c r="H161" s="6" t="s">
        <v>493</v>
      </c>
    </row>
    <row r="162" spans="2:8" ht="14.5">
      <c r="B162" s="60" t="s">
        <v>298</v>
      </c>
      <c r="C162" s="232" t="s">
        <v>346</v>
      </c>
      <c r="D162" s="244" t="s">
        <v>663</v>
      </c>
      <c r="E162" s="244" t="s">
        <v>663</v>
      </c>
      <c r="F162" s="244" t="s">
        <v>663</v>
      </c>
      <c r="G162" s="244" t="s">
        <v>663</v>
      </c>
      <c r="H162" s="6" t="s">
        <v>664</v>
      </c>
    </row>
    <row r="163" spans="2:8" ht="14.5">
      <c r="B163" s="235" t="s">
        <v>299</v>
      </c>
      <c r="C163" s="232" t="s">
        <v>346</v>
      </c>
      <c r="D163" s="241" t="s">
        <v>667</v>
      </c>
      <c r="E163" s="241" t="s">
        <v>667</v>
      </c>
      <c r="F163" s="241" t="s">
        <v>667</v>
      </c>
      <c r="G163" s="241" t="s">
        <v>667</v>
      </c>
      <c r="H163" s="6" t="s">
        <v>493</v>
      </c>
    </row>
    <row r="164" spans="2:8" ht="14.5">
      <c r="B164" s="235" t="s">
        <v>300</v>
      </c>
      <c r="C164" s="232" t="s">
        <v>406</v>
      </c>
      <c r="D164" s="241" t="s">
        <v>667</v>
      </c>
      <c r="E164" s="241" t="s">
        <v>667</v>
      </c>
      <c r="F164" s="241" t="s">
        <v>667</v>
      </c>
      <c r="G164" s="241" t="s">
        <v>667</v>
      </c>
      <c r="H164" s="6" t="s">
        <v>493</v>
      </c>
    </row>
    <row r="165" spans="2:8" ht="14.5">
      <c r="B165" s="235" t="s">
        <v>301</v>
      </c>
      <c r="C165" s="232" t="s">
        <v>346</v>
      </c>
      <c r="D165" s="241" t="s">
        <v>667</v>
      </c>
      <c r="E165" s="241" t="s">
        <v>667</v>
      </c>
      <c r="F165" s="241" t="s">
        <v>667</v>
      </c>
      <c r="G165" s="241" t="s">
        <v>667</v>
      </c>
      <c r="H165" s="6" t="s">
        <v>493</v>
      </c>
    </row>
    <row r="166" spans="2:8" ht="14.5">
      <c r="B166" s="235" t="s">
        <v>407</v>
      </c>
      <c r="C166" s="232" t="s">
        <v>346</v>
      </c>
      <c r="D166" s="241" t="s">
        <v>667</v>
      </c>
      <c r="E166" s="241" t="s">
        <v>667</v>
      </c>
      <c r="F166" s="241" t="s">
        <v>667</v>
      </c>
      <c r="G166" s="241" t="s">
        <v>667</v>
      </c>
      <c r="H166" s="6" t="s">
        <v>493</v>
      </c>
    </row>
    <row r="167" spans="2:8" ht="14.5">
      <c r="B167" s="235" t="s">
        <v>304</v>
      </c>
      <c r="C167" s="232" t="s">
        <v>346</v>
      </c>
      <c r="D167" s="241" t="s">
        <v>667</v>
      </c>
      <c r="E167" s="241" t="s">
        <v>667</v>
      </c>
      <c r="F167" s="241" t="s">
        <v>667</v>
      </c>
      <c r="G167" s="241" t="s">
        <v>667</v>
      </c>
      <c r="H167" s="6" t="s">
        <v>493</v>
      </c>
    </row>
    <row r="168" spans="2:8" ht="14.5">
      <c r="B168" s="60" t="s">
        <v>305</v>
      </c>
      <c r="C168" s="232" t="s">
        <v>430</v>
      </c>
      <c r="D168" s="242"/>
      <c r="E168" s="242"/>
      <c r="F168" s="242"/>
      <c r="G168" s="242"/>
      <c r="H168" s="6" t="s">
        <v>664</v>
      </c>
    </row>
    <row r="169" spans="2:8" ht="14.5">
      <c r="B169" s="60" t="s">
        <v>306</v>
      </c>
      <c r="C169" s="232" t="s">
        <v>408</v>
      </c>
      <c r="D169" s="242">
        <v>559.99</v>
      </c>
      <c r="E169" s="242">
        <v>86.99</v>
      </c>
      <c r="F169" s="242">
        <v>399.99</v>
      </c>
      <c r="G169" s="242">
        <v>61.99</v>
      </c>
      <c r="H169" s="6" t="s">
        <v>664</v>
      </c>
    </row>
    <row r="170" spans="2:8" ht="14.5">
      <c r="B170" s="60" t="s">
        <v>307</v>
      </c>
      <c r="C170" s="232" t="s">
        <v>409</v>
      </c>
      <c r="D170" s="242">
        <v>149.99</v>
      </c>
      <c r="E170" s="243">
        <v>22.99</v>
      </c>
      <c r="F170" s="242">
        <v>114.99</v>
      </c>
      <c r="G170" s="243">
        <v>16.989999999999998</v>
      </c>
      <c r="H170" s="6" t="s">
        <v>664</v>
      </c>
    </row>
    <row r="171" spans="2:8" ht="14.5">
      <c r="B171" s="60" t="s">
        <v>46</v>
      </c>
      <c r="C171" s="232" t="s">
        <v>346</v>
      </c>
      <c r="D171" s="242">
        <v>159.99</v>
      </c>
      <c r="E171" s="242">
        <v>24.99</v>
      </c>
      <c r="F171" s="242">
        <v>109.99</v>
      </c>
      <c r="G171" s="242">
        <v>16.989999999999998</v>
      </c>
      <c r="H171" s="6" t="s">
        <v>664</v>
      </c>
    </row>
    <row r="172" spans="2:8" ht="14.5">
      <c r="B172" s="60" t="s">
        <v>308</v>
      </c>
      <c r="C172" s="232" t="s">
        <v>346</v>
      </c>
      <c r="D172" s="242">
        <v>104.99</v>
      </c>
      <c r="E172" s="242">
        <v>17.989999999999998</v>
      </c>
      <c r="F172" s="242">
        <v>77.989999999999995</v>
      </c>
      <c r="G172" s="242">
        <v>12.99</v>
      </c>
      <c r="H172" s="6" t="s">
        <v>664</v>
      </c>
    </row>
    <row r="173" spans="2:8" ht="14.5">
      <c r="B173" s="235" t="s">
        <v>309</v>
      </c>
      <c r="C173" s="232" t="s">
        <v>346</v>
      </c>
      <c r="D173" s="241" t="s">
        <v>667</v>
      </c>
      <c r="E173" s="241" t="s">
        <v>667</v>
      </c>
      <c r="F173" s="241" t="s">
        <v>667</v>
      </c>
      <c r="G173" s="241" t="s">
        <v>667</v>
      </c>
      <c r="H173" s="6" t="s">
        <v>493</v>
      </c>
    </row>
    <row r="174" spans="2:8" ht="14.5">
      <c r="B174" s="235" t="s">
        <v>310</v>
      </c>
      <c r="C174" s="232" t="s">
        <v>346</v>
      </c>
      <c r="D174" s="241" t="s">
        <v>667</v>
      </c>
      <c r="E174" s="241" t="s">
        <v>667</v>
      </c>
      <c r="F174" s="241" t="s">
        <v>667</v>
      </c>
      <c r="G174" s="241" t="s">
        <v>667</v>
      </c>
      <c r="H174" s="6" t="s">
        <v>493</v>
      </c>
    </row>
    <row r="175" spans="2:8" ht="14.5">
      <c r="B175" s="235" t="s">
        <v>311</v>
      </c>
      <c r="C175" s="232" t="s">
        <v>368</v>
      </c>
      <c r="D175" s="241" t="s">
        <v>667</v>
      </c>
      <c r="E175" s="241" t="s">
        <v>667</v>
      </c>
      <c r="F175" s="241" t="s">
        <v>667</v>
      </c>
      <c r="G175" s="241" t="s">
        <v>667</v>
      </c>
      <c r="H175" s="6" t="s">
        <v>493</v>
      </c>
    </row>
    <row r="176" spans="2:8" ht="14.5">
      <c r="B176" s="235" t="s">
        <v>312</v>
      </c>
      <c r="C176" s="232" t="s">
        <v>346</v>
      </c>
      <c r="D176" s="241" t="s">
        <v>667</v>
      </c>
      <c r="E176" s="241" t="s">
        <v>667</v>
      </c>
      <c r="F176" s="241" t="s">
        <v>667</v>
      </c>
      <c r="G176" s="241" t="s">
        <v>667</v>
      </c>
      <c r="H176" s="6" t="s">
        <v>493</v>
      </c>
    </row>
    <row r="177" spans="2:8" ht="14.5">
      <c r="B177" s="60" t="s">
        <v>313</v>
      </c>
      <c r="C177" s="232" t="s">
        <v>410</v>
      </c>
      <c r="D177" s="242">
        <v>1999000</v>
      </c>
      <c r="E177" s="242">
        <v>309000</v>
      </c>
      <c r="F177" s="242">
        <v>1549000</v>
      </c>
      <c r="G177" s="242">
        <v>220000</v>
      </c>
      <c r="H177" s="6" t="s">
        <v>664</v>
      </c>
    </row>
    <row r="178" spans="2:8" ht="14.5">
      <c r="B178" s="235" t="s">
        <v>316</v>
      </c>
      <c r="C178" s="232" t="s">
        <v>346</v>
      </c>
      <c r="D178" s="241" t="s">
        <v>667</v>
      </c>
      <c r="E178" s="241" t="s">
        <v>667</v>
      </c>
      <c r="F178" s="241" t="s">
        <v>667</v>
      </c>
      <c r="G178" s="241" t="s">
        <v>667</v>
      </c>
      <c r="H178" s="6" t="s">
        <v>493</v>
      </c>
    </row>
    <row r="179" spans="2:8" ht="14.5">
      <c r="B179" s="235" t="s">
        <v>317</v>
      </c>
      <c r="C179" s="232" t="s">
        <v>346</v>
      </c>
      <c r="D179" s="241" t="s">
        <v>667</v>
      </c>
      <c r="E179" s="241" t="s">
        <v>667</v>
      </c>
      <c r="F179" s="241" t="s">
        <v>667</v>
      </c>
      <c r="G179" s="241" t="s">
        <v>667</v>
      </c>
      <c r="H179" s="6" t="s">
        <v>493</v>
      </c>
    </row>
    <row r="180" spans="2:8" ht="14.5">
      <c r="B180" s="235" t="s">
        <v>318</v>
      </c>
      <c r="C180" s="232" t="s">
        <v>346</v>
      </c>
      <c r="D180" s="241" t="s">
        <v>667</v>
      </c>
      <c r="E180" s="241" t="s">
        <v>667</v>
      </c>
      <c r="F180" s="241" t="s">
        <v>667</v>
      </c>
      <c r="G180" s="241" t="s">
        <v>667</v>
      </c>
      <c r="H180" s="6" t="s">
        <v>493</v>
      </c>
    </row>
  </sheetData>
  <autoFilter ref="B8:H180" xr:uid="{4AF2A248-7CE8-43B9-8B33-6ECEA9EB1C71}"/>
  <conditionalFormatting sqref="B9:B34 B36:B180">
    <cfRule type="duplicateValues" dxfId="3" priority="2"/>
  </conditionalFormatting>
  <conditionalFormatting sqref="B35">
    <cfRule type="duplicateValues" dxfId="2" priority="1"/>
  </conditionalFormatting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D122-FE74-491B-AFFB-5EA655DF9D56}">
  <sheetPr>
    <tabColor rgb="FFFF0000"/>
  </sheetPr>
  <dimension ref="B1:F216"/>
  <sheetViews>
    <sheetView workbookViewId="0"/>
  </sheetViews>
  <sheetFormatPr defaultColWidth="8.6328125" defaultRowHeight="12.5"/>
  <cols>
    <col min="2" max="2" width="53.36328125" customWidth="1"/>
    <col min="3" max="3" width="14.36328125" bestFit="1" customWidth="1"/>
    <col min="5" max="5" width="53.36328125" customWidth="1"/>
    <col min="6" max="6" width="14.36328125" bestFit="1" customWidth="1"/>
  </cols>
  <sheetData>
    <row r="1" spans="2:6" ht="13" thickBot="1"/>
    <row r="2" spans="2:6" ht="13.5" thickBot="1">
      <c r="B2" s="42" t="s">
        <v>668</v>
      </c>
      <c r="C2" s="42" t="s">
        <v>669</v>
      </c>
      <c r="E2" s="42" t="s">
        <v>670</v>
      </c>
      <c r="F2" s="42" t="s">
        <v>669</v>
      </c>
    </row>
    <row r="3" spans="2:6" ht="13" thickBot="1">
      <c r="B3" s="44" t="s">
        <v>46</v>
      </c>
      <c r="C3" s="44" t="str">
        <f>+VLOOKUP(B3,'Country &amp; Code Abbreviation'!$B$3:$C$245,2,FALSE)</f>
        <v>US</v>
      </c>
      <c r="E3" s="124" t="s">
        <v>70</v>
      </c>
      <c r="F3" s="124" t="str">
        <f>+VLOOKUP(E3,'Country &amp; Code Abbreviation'!$B$3:$C$245,2,FALSE)</f>
        <v>AF</v>
      </c>
    </row>
    <row r="4" spans="2:6" ht="13" thickBot="1">
      <c r="B4" s="44" t="s">
        <v>81</v>
      </c>
      <c r="C4" s="44" t="str">
        <f>+VLOOKUP(B4,'Country &amp; Code Abbreviation'!$B$3:$C$245,2,FALSE)</f>
        <v>AR</v>
      </c>
      <c r="E4" s="124" t="s">
        <v>71</v>
      </c>
      <c r="F4" s="124" t="str">
        <f>+VLOOKUP(E4,'Country &amp; Code Abbreviation'!$B$3:$C$245,2,FALSE)</f>
        <v>AX</v>
      </c>
    </row>
    <row r="5" spans="2:6" ht="13" thickBot="1">
      <c r="B5" s="44" t="s">
        <v>84</v>
      </c>
      <c r="C5" s="44" t="str">
        <f>+VLOOKUP(B5,'Country &amp; Code Abbreviation'!$B$3:$C$245,2,FALSE)</f>
        <v>AU</v>
      </c>
      <c r="E5" s="124" t="s">
        <v>73</v>
      </c>
      <c r="F5" s="124" t="str">
        <f>+VLOOKUP(E5,'Country &amp; Code Abbreviation'!$B$3:$C$245,2,FALSE)</f>
        <v>AL</v>
      </c>
    </row>
    <row r="6" spans="2:6" ht="13" thickBot="1">
      <c r="B6" s="44" t="s">
        <v>92</v>
      </c>
      <c r="C6" s="44" t="str">
        <f>+VLOOKUP(B6,'Country &amp; Code Abbreviation'!$B$3:$C$245,2,FALSE)</f>
        <v>BE</v>
      </c>
      <c r="E6" s="124" t="s">
        <v>74</v>
      </c>
      <c r="F6" s="124" t="str">
        <f>+VLOOKUP(E6,'Country &amp; Code Abbreviation'!$B$3:$C$245,2,FALSE)</f>
        <v>DZ</v>
      </c>
    </row>
    <row r="7" spans="2:6" ht="13" thickBot="1">
      <c r="B7" s="44" t="s">
        <v>104</v>
      </c>
      <c r="C7" s="44" t="str">
        <f>+VLOOKUP(B7,'Country &amp; Code Abbreviation'!$B$3:$C$245,2,FALSE)</f>
        <v>BR</v>
      </c>
      <c r="E7" s="124" t="s">
        <v>75</v>
      </c>
      <c r="F7" s="124" t="str">
        <f>+VLOOKUP(E7,'Country &amp; Code Abbreviation'!$B$3:$C$245,2,FALSE)</f>
        <v>AS</v>
      </c>
    </row>
    <row r="8" spans="2:6" ht="13" thickBot="1">
      <c r="B8" s="44" t="s">
        <v>121</v>
      </c>
      <c r="C8" s="44" t="str">
        <f>+VLOOKUP(B8,'Country &amp; Code Abbreviation'!$B$3:$C$245,2,FALSE)</f>
        <v>CO</v>
      </c>
      <c r="E8" s="124" t="s">
        <v>76</v>
      </c>
      <c r="F8" s="124" t="str">
        <f>+VLOOKUP(E8,'Country &amp; Code Abbreviation'!$B$3:$C$245,2,FALSE)</f>
        <v>AD</v>
      </c>
    </row>
    <row r="9" spans="2:6" ht="13" thickBot="1">
      <c r="B9" s="44" t="s">
        <v>132</v>
      </c>
      <c r="C9" s="44" t="str">
        <f>+VLOOKUP(B9,'Country &amp; Code Abbreviation'!$B$3:$C$245,2,FALSE)</f>
        <v>DK</v>
      </c>
      <c r="E9" s="124" t="s">
        <v>77</v>
      </c>
      <c r="F9" s="124" t="str">
        <f>+VLOOKUP(E9,'Country &amp; Code Abbreviation'!$B$3:$C$245,2,FALSE)</f>
        <v>AO</v>
      </c>
    </row>
    <row r="10" spans="2:6" ht="13" thickBot="1">
      <c r="B10" s="44" t="s">
        <v>135</v>
      </c>
      <c r="C10" s="44" t="str">
        <f>+VLOOKUP(B10,'Country &amp; Code Abbreviation'!$B$3:$C$245,2,FALSE)</f>
        <v>DO</v>
      </c>
      <c r="E10" s="124" t="s">
        <v>78</v>
      </c>
      <c r="F10" s="124" t="str">
        <f>+VLOOKUP(E10,'Country &amp; Code Abbreviation'!$B$3:$C$245,2,FALSE)</f>
        <v>AI</v>
      </c>
    </row>
    <row r="11" spans="2:6" ht="13" thickBot="1">
      <c r="B11" s="44" t="s">
        <v>147</v>
      </c>
      <c r="C11" s="44" t="str">
        <f>+VLOOKUP(B11,'Country &amp; Code Abbreviation'!$B$3:$C$245,2,FALSE)</f>
        <v>FI</v>
      </c>
      <c r="E11" s="124" t="s">
        <v>79</v>
      </c>
      <c r="F11" s="124" t="str">
        <f>+VLOOKUP(E11,'Country &amp; Code Abbreviation'!$B$3:$C$245,2,FALSE)</f>
        <v>AQ</v>
      </c>
    </row>
    <row r="12" spans="2:6" ht="13" thickBot="1">
      <c r="B12" s="44" t="s">
        <v>148</v>
      </c>
      <c r="C12" s="44" t="str">
        <f>+VLOOKUP(B12,'Country &amp; Code Abbreviation'!$B$3:$C$245,2,FALSE)</f>
        <v>FR</v>
      </c>
      <c r="E12" s="124" t="s">
        <v>80</v>
      </c>
      <c r="F12" s="124" t="str">
        <f>+VLOOKUP(E12,'Country &amp; Code Abbreviation'!$B$3:$C$245,2,FALSE)</f>
        <v>AG</v>
      </c>
    </row>
    <row r="13" spans="2:6" ht="13" thickBot="1">
      <c r="B13" s="44" t="s">
        <v>155</v>
      </c>
      <c r="C13" s="44" t="str">
        <f>+VLOOKUP(B13,'Country &amp; Code Abbreviation'!$B$3:$C$245,2,FALSE)</f>
        <v>DE</v>
      </c>
      <c r="E13" s="124" t="s">
        <v>82</v>
      </c>
      <c r="F13" s="124" t="str">
        <f>+VLOOKUP(E13,'Country &amp; Code Abbreviation'!$B$3:$C$245,2,FALSE)</f>
        <v>AM</v>
      </c>
    </row>
    <row r="14" spans="2:6" ht="13" thickBot="1">
      <c r="B14" s="44" t="s">
        <v>179</v>
      </c>
      <c r="C14" s="44" t="str">
        <f>+VLOOKUP(B14,'Country &amp; Code Abbreviation'!$B$3:$C$245,2,FALSE)</f>
        <v>IT</v>
      </c>
      <c r="E14" s="124" t="s">
        <v>83</v>
      </c>
      <c r="F14" s="124" t="str">
        <f>+VLOOKUP(E14,'Country &amp; Code Abbreviation'!$B$3:$C$245,2,FALSE)</f>
        <v>AW</v>
      </c>
    </row>
    <row r="15" spans="2:6" ht="13" thickBot="1">
      <c r="B15" s="44" t="s">
        <v>213</v>
      </c>
      <c r="C15" s="44" t="str">
        <f>+VLOOKUP(B15,'Country &amp; Code Abbreviation'!$B$3:$C$245,2,FALSE)</f>
        <v>MX</v>
      </c>
      <c r="E15" s="124" t="s">
        <v>85</v>
      </c>
      <c r="F15" s="124" t="str">
        <f>+VLOOKUP(E15,'Country &amp; Code Abbreviation'!$B$3:$C$245,2,FALSE)</f>
        <v>AT</v>
      </c>
    </row>
    <row r="16" spans="2:6" ht="13" thickBot="1">
      <c r="B16" s="44" t="s">
        <v>226</v>
      </c>
      <c r="C16" s="44" t="str">
        <f>+VLOOKUP(B16,'Country &amp; Code Abbreviation'!$B$3:$C$245,2,FALSE)</f>
        <v>NL</v>
      </c>
      <c r="E16" s="124" t="s">
        <v>86</v>
      </c>
      <c r="F16" s="124" t="str">
        <f>+VLOOKUP(E16,'Country &amp; Code Abbreviation'!$B$3:$C$245,2,FALSE)</f>
        <v>AZ</v>
      </c>
    </row>
    <row r="17" spans="2:6" ht="13" thickBot="1">
      <c r="B17" s="44" t="s">
        <v>229</v>
      </c>
      <c r="C17" s="44" t="str">
        <f>+VLOOKUP(B17,'Country &amp; Code Abbreviation'!$B$3:$C$245,2,FALSE)</f>
        <v>NZ</v>
      </c>
      <c r="E17" s="124" t="s">
        <v>87</v>
      </c>
      <c r="F17" s="124" t="str">
        <f>+VLOOKUP(E17,'Country &amp; Code Abbreviation'!$B$3:$C$245,2,FALSE)</f>
        <v>BS</v>
      </c>
    </row>
    <row r="18" spans="2:6" ht="13" thickBot="1">
      <c r="B18" s="44" t="s">
        <v>237</v>
      </c>
      <c r="C18" s="44" t="str">
        <f>+VLOOKUP(B18,'Country &amp; Code Abbreviation'!$B$3:$C$245,2,FALSE)</f>
        <v>NO</v>
      </c>
      <c r="E18" s="124" t="s">
        <v>88</v>
      </c>
      <c r="F18" s="124" t="str">
        <f>+VLOOKUP(E18,'Country &amp; Code Abbreviation'!$B$3:$C$245,2,FALSE)</f>
        <v>BH</v>
      </c>
    </row>
    <row r="19" spans="2:6" ht="13" thickBot="1">
      <c r="B19" s="44" t="s">
        <v>242</v>
      </c>
      <c r="C19" s="44" t="str">
        <f>+VLOOKUP(B19,'Country &amp; Code Abbreviation'!$B$3:$C$245,2,FALSE)</f>
        <v>PA</v>
      </c>
      <c r="E19" s="124" t="s">
        <v>89</v>
      </c>
      <c r="F19" s="124" t="str">
        <f>+VLOOKUP(E19,'Country &amp; Code Abbreviation'!$B$3:$C$245,2,FALSE)</f>
        <v>BD</v>
      </c>
    </row>
    <row r="20" spans="2:6" ht="13" thickBot="1">
      <c r="B20" s="44" t="s">
        <v>246</v>
      </c>
      <c r="C20" s="44" t="str">
        <f>+VLOOKUP(B20,'Country &amp; Code Abbreviation'!$B$3:$C$245,2,FALSE)</f>
        <v>PH</v>
      </c>
      <c r="E20" s="124" t="s">
        <v>90</v>
      </c>
      <c r="F20" s="124" t="str">
        <f>+VLOOKUP(E20,'Country &amp; Code Abbreviation'!$B$3:$C$245,2,FALSE)</f>
        <v>BB</v>
      </c>
    </row>
    <row r="21" spans="2:6" ht="13" thickBot="1">
      <c r="B21" s="44" t="s">
        <v>259</v>
      </c>
      <c r="C21" s="44" t="str">
        <f>+VLOOKUP(B21,'Country &amp; Code Abbreviation'!$B$3:$C$245,2,FALSE)</f>
        <v>SA</v>
      </c>
      <c r="E21" s="124" t="s">
        <v>93</v>
      </c>
      <c r="F21" s="124" t="str">
        <f>+VLOOKUP(E21,'Country &amp; Code Abbreviation'!$B$3:$C$245,2,FALSE)</f>
        <v>BZ</v>
      </c>
    </row>
    <row r="22" spans="2:6" ht="13" thickBot="1">
      <c r="B22" s="44" t="s">
        <v>276</v>
      </c>
      <c r="C22" s="44" t="str">
        <f>+VLOOKUP(B22,'Country &amp; Code Abbreviation'!$B$3:$C$245,2,FALSE)</f>
        <v>ES</v>
      </c>
      <c r="E22" s="124" t="s">
        <v>94</v>
      </c>
      <c r="F22" s="124" t="str">
        <f>+VLOOKUP(E22,'Country &amp; Code Abbreviation'!$B$3:$C$245,2,FALSE)</f>
        <v>BJ</v>
      </c>
    </row>
    <row r="23" spans="2:6" ht="13" thickBot="1">
      <c r="B23" s="44" t="s">
        <v>288</v>
      </c>
      <c r="C23" s="44" t="str">
        <f>+VLOOKUP(B23,'Country &amp; Code Abbreviation'!$B$3:$C$245,2,FALSE)</f>
        <v>CH</v>
      </c>
      <c r="E23" s="124" t="s">
        <v>95</v>
      </c>
      <c r="F23" s="124" t="str">
        <f>+VLOOKUP(E23,'Country &amp; Code Abbreviation'!$B$3:$C$245,2,FALSE)</f>
        <v>BM</v>
      </c>
    </row>
    <row r="24" spans="2:6" ht="13" thickBot="1">
      <c r="B24" s="44" t="s">
        <v>306</v>
      </c>
      <c r="C24" s="44" t="str">
        <f>+VLOOKUP(B24,'Country &amp; Code Abbreviation'!$B$3:$C$245,2,FALSE)</f>
        <v>AE</v>
      </c>
      <c r="E24" s="124" t="s">
        <v>97</v>
      </c>
      <c r="F24" s="124" t="str">
        <f>+VLOOKUP(E24,'Country &amp; Code Abbreviation'!$B$3:$C$245,2,FALSE)</f>
        <v>BT</v>
      </c>
    </row>
    <row r="25" spans="2:6" ht="13" thickBot="1">
      <c r="B25" s="44" t="s">
        <v>307</v>
      </c>
      <c r="C25" s="44" t="str">
        <f>+VLOOKUP(B25,'Country &amp; Code Abbreviation'!$B$3:$C$245,2,FALSE)</f>
        <v>GB</v>
      </c>
      <c r="E25" s="124" t="s">
        <v>98</v>
      </c>
      <c r="F25" s="124" t="str">
        <f>+VLOOKUP(E25,'Country &amp; Code Abbreviation'!$B$3:$C$245,2,FALSE)</f>
        <v>BO</v>
      </c>
    </row>
    <row r="26" spans="2:6" ht="13" thickBot="1">
      <c r="E26" s="125" t="s">
        <v>99</v>
      </c>
      <c r="F26" s="125" t="str">
        <f>+VLOOKUP(E26,'Country &amp; Code Abbreviation'!$B$3:$C$245,2,FALSE)</f>
        <v>BQ</v>
      </c>
    </row>
    <row r="27" spans="2:6" ht="13" thickBot="1">
      <c r="E27" s="124" t="s">
        <v>101</v>
      </c>
      <c r="F27" s="124" t="str">
        <f>+VLOOKUP(E27,'Country &amp; Code Abbreviation'!$B$3:$C$245,2,FALSE)</f>
        <v>BA</v>
      </c>
    </row>
    <row r="28" spans="2:6" ht="13" thickBot="1">
      <c r="E28" s="124" t="s">
        <v>102</v>
      </c>
      <c r="F28" s="124" t="str">
        <f>+VLOOKUP(E28,'Country &amp; Code Abbreviation'!$B$3:$C$245,2,FALSE)</f>
        <v>BW</v>
      </c>
    </row>
    <row r="29" spans="2:6" ht="13" thickBot="1">
      <c r="E29" s="124" t="s">
        <v>103</v>
      </c>
      <c r="F29" s="124" t="str">
        <f>+VLOOKUP(E29,'Country &amp; Code Abbreviation'!$B$3:$C$245,2,FALSE)</f>
        <v>BV</v>
      </c>
    </row>
    <row r="30" spans="2:6" ht="13" thickBot="1">
      <c r="E30" s="124" t="s">
        <v>105</v>
      </c>
      <c r="F30" s="124" t="str">
        <f>+VLOOKUP(E30,'Country &amp; Code Abbreviation'!$B$3:$C$245,2,FALSE)</f>
        <v>IO</v>
      </c>
    </row>
    <row r="31" spans="2:6" ht="13" thickBot="1">
      <c r="E31" s="124" t="s">
        <v>106</v>
      </c>
      <c r="F31" s="124" t="str">
        <f>+VLOOKUP(E31,'Country &amp; Code Abbreviation'!$B$3:$C$245,2,FALSE)</f>
        <v>VG</v>
      </c>
    </row>
    <row r="32" spans="2:6" ht="13" thickBot="1">
      <c r="E32" s="124" t="s">
        <v>107</v>
      </c>
      <c r="F32" s="124" t="str">
        <f>+VLOOKUP(E32,'Country &amp; Code Abbreviation'!$B$3:$C$245,2,FALSE)</f>
        <v>BN</v>
      </c>
    </row>
    <row r="33" spans="5:6" ht="13" thickBot="1">
      <c r="E33" s="124" t="s">
        <v>108</v>
      </c>
      <c r="F33" s="124" t="str">
        <f>+VLOOKUP(E33,'Country &amp; Code Abbreviation'!$B$3:$C$245,2,FALSE)</f>
        <v>BG</v>
      </c>
    </row>
    <row r="34" spans="5:6" ht="13" thickBot="1">
      <c r="E34" s="124" t="s">
        <v>109</v>
      </c>
      <c r="F34" s="124" t="str">
        <f>+VLOOKUP(E34,'Country &amp; Code Abbreviation'!$B$3:$C$245,2,FALSE)</f>
        <v>BF</v>
      </c>
    </row>
    <row r="35" spans="5:6" ht="13" thickBot="1">
      <c r="E35" s="124" t="s">
        <v>110</v>
      </c>
      <c r="F35" s="124" t="str">
        <f>+VLOOKUP(E35,'Country &amp; Code Abbreviation'!$B$3:$C$245,2,FALSE)</f>
        <v>BI</v>
      </c>
    </row>
    <row r="36" spans="5:6" ht="13" thickBot="1">
      <c r="E36" s="124" t="s">
        <v>111</v>
      </c>
      <c r="F36" s="124" t="str">
        <f>+VLOOKUP(E36,'Country &amp; Code Abbreviation'!$B$3:$C$245,2,FALSE)</f>
        <v>KH</v>
      </c>
    </row>
    <row r="37" spans="5:6" ht="13" thickBot="1">
      <c r="E37" s="124" t="s">
        <v>112</v>
      </c>
      <c r="F37" s="124" t="str">
        <f>+VLOOKUP(E37,'Country &amp; Code Abbreviation'!$B$3:$C$245,2,FALSE)</f>
        <v>CM</v>
      </c>
    </row>
    <row r="38" spans="5:6" ht="13" thickBot="1">
      <c r="E38" s="124" t="s">
        <v>113</v>
      </c>
      <c r="F38" s="124" t="str">
        <f>+VLOOKUP(E38,'Country &amp; Code Abbreviation'!$B$3:$C$245,2,FALSE)</f>
        <v>CA</v>
      </c>
    </row>
    <row r="39" spans="5:6" ht="13" thickBot="1">
      <c r="E39" s="124" t="s">
        <v>114</v>
      </c>
      <c r="F39" s="124" t="str">
        <f>+VLOOKUP(E39,'Country &amp; Code Abbreviation'!$B$3:$C$245,2,FALSE)</f>
        <v>CV</v>
      </c>
    </row>
    <row r="40" spans="5:6" ht="13" thickBot="1">
      <c r="E40" s="124" t="s">
        <v>115</v>
      </c>
      <c r="F40" s="124" t="str">
        <f>+VLOOKUP(E40,'Country &amp; Code Abbreviation'!$B$3:$C$245,2,FALSE)</f>
        <v>KY</v>
      </c>
    </row>
    <row r="41" spans="5:6" ht="13" thickBot="1">
      <c r="E41" s="124" t="s">
        <v>116</v>
      </c>
      <c r="F41" s="124" t="str">
        <f>+VLOOKUP(E41,'Country &amp; Code Abbreviation'!$B$3:$C$245,2,FALSE)</f>
        <v>CF</v>
      </c>
    </row>
    <row r="42" spans="5:6" ht="13" thickBot="1">
      <c r="E42" s="124" t="s">
        <v>117</v>
      </c>
      <c r="F42" s="124" t="str">
        <f>+VLOOKUP(E42,'Country &amp; Code Abbreviation'!$B$3:$C$245,2,FALSE)</f>
        <v>TD</v>
      </c>
    </row>
    <row r="43" spans="5:6" ht="13" thickBot="1">
      <c r="E43" s="124" t="s">
        <v>118</v>
      </c>
      <c r="F43" s="124" t="str">
        <f>+VLOOKUP(E43,'Country &amp; Code Abbreviation'!$B$3:$C$245,2,FALSE)</f>
        <v>CL</v>
      </c>
    </row>
    <row r="44" spans="5:6" ht="13" thickBot="1">
      <c r="E44" s="124" t="s">
        <v>119</v>
      </c>
      <c r="F44" s="124" t="str">
        <f>+VLOOKUP(E44,'Country &amp; Code Abbreviation'!$B$3:$C$245,2,FALSE)</f>
        <v>CX</v>
      </c>
    </row>
    <row r="45" spans="5:6" ht="13" thickBot="1">
      <c r="E45" s="124" t="s">
        <v>120</v>
      </c>
      <c r="F45" s="124" t="str">
        <f>+VLOOKUP(E45,'Country &amp; Code Abbreviation'!$B$3:$C$245,2,FALSE)</f>
        <v>CC</v>
      </c>
    </row>
    <row r="46" spans="5:6" ht="13" thickBot="1">
      <c r="E46" s="124" t="s">
        <v>122</v>
      </c>
      <c r="F46" s="124" t="str">
        <f>+VLOOKUP(E46,'Country &amp; Code Abbreviation'!$B$3:$C$245,2,FALSE)</f>
        <v>KM</v>
      </c>
    </row>
    <row r="47" spans="5:6" ht="13" thickBot="1">
      <c r="E47" s="124" t="s">
        <v>123</v>
      </c>
      <c r="F47" s="124" t="str">
        <f>+VLOOKUP(E47,'Country &amp; Code Abbreviation'!$B$3:$C$245,2,FALSE)</f>
        <v>CG</v>
      </c>
    </row>
    <row r="48" spans="5:6" ht="13" thickBot="1">
      <c r="E48" s="124" t="s">
        <v>124</v>
      </c>
      <c r="F48" s="124" t="str">
        <f>+VLOOKUP(E48,'Country &amp; Code Abbreviation'!$B$3:$C$245,2,FALSE)</f>
        <v>CK</v>
      </c>
    </row>
    <row r="49" spans="5:6" ht="13" thickBot="1">
      <c r="E49" s="124" t="s">
        <v>125</v>
      </c>
      <c r="F49" s="124" t="str">
        <f>+VLOOKUP(E49,'Country &amp; Code Abbreviation'!$B$3:$C$245,2,FALSE)</f>
        <v>CR</v>
      </c>
    </row>
    <row r="50" spans="5:6" ht="13" thickBot="1">
      <c r="E50" s="125" t="s">
        <v>126</v>
      </c>
      <c r="F50" s="125" t="str">
        <f>+VLOOKUP(E50,'Country &amp; Code Abbreviation'!$B$3:$C$245,2,FALSE)</f>
        <v>CI</v>
      </c>
    </row>
    <row r="51" spans="5:6" ht="13" thickBot="1">
      <c r="E51" s="124" t="s">
        <v>127</v>
      </c>
      <c r="F51" s="124" t="str">
        <f>+VLOOKUP(E51,'Country &amp; Code Abbreviation'!$B$3:$C$245,2,FALSE)</f>
        <v>HR</v>
      </c>
    </row>
    <row r="52" spans="5:6" ht="13" thickBot="1">
      <c r="E52" s="124" t="s">
        <v>128</v>
      </c>
      <c r="F52" s="124" t="str">
        <f>+VLOOKUP(E52,'Country &amp; Code Abbreviation'!$B$3:$C$245,2,FALSE)</f>
        <v>CW</v>
      </c>
    </row>
    <row r="53" spans="5:6" ht="13" thickBot="1">
      <c r="E53" s="124" t="s">
        <v>129</v>
      </c>
      <c r="F53" s="124" t="str">
        <f>+VLOOKUP(E53,'Country &amp; Code Abbreviation'!$B$3:$C$245,2,FALSE)</f>
        <v>CY</v>
      </c>
    </row>
    <row r="54" spans="5:6" ht="13" thickBot="1">
      <c r="E54" s="124" t="s">
        <v>130</v>
      </c>
      <c r="F54" s="124" t="str">
        <f>+VLOOKUP(E54,'Country &amp; Code Abbreviation'!$B$3:$C$245,2,FALSE)</f>
        <v>CZ</v>
      </c>
    </row>
    <row r="55" spans="5:6" ht="13" thickBot="1">
      <c r="E55" s="124" t="s">
        <v>131</v>
      </c>
      <c r="F55" s="124" t="str">
        <f>+VLOOKUP(E55,'Country &amp; Code Abbreviation'!$B$3:$C$245,2,FALSE)</f>
        <v>CD</v>
      </c>
    </row>
    <row r="56" spans="5:6" ht="13" thickBot="1">
      <c r="E56" s="124" t="s">
        <v>133</v>
      </c>
      <c r="F56" s="124" t="str">
        <f>+VLOOKUP(E56,'Country &amp; Code Abbreviation'!$B$3:$C$245,2,FALSE)</f>
        <v>DJ</v>
      </c>
    </row>
    <row r="57" spans="5:6" ht="13" thickBot="1">
      <c r="E57" s="124" t="s">
        <v>134</v>
      </c>
      <c r="F57" s="124" t="str">
        <f>+VLOOKUP(E57,'Country &amp; Code Abbreviation'!$B$3:$C$245,2,FALSE)</f>
        <v>DM</v>
      </c>
    </row>
    <row r="58" spans="5:6" ht="13" thickBot="1">
      <c r="E58" s="124" t="s">
        <v>136</v>
      </c>
      <c r="F58" s="124" t="str">
        <f>+VLOOKUP(E58,'Country &amp; Code Abbreviation'!$B$3:$C$245,2,FALSE)</f>
        <v>EC</v>
      </c>
    </row>
    <row r="59" spans="5:6" ht="13" thickBot="1">
      <c r="E59" s="124" t="s">
        <v>137</v>
      </c>
      <c r="F59" s="124" t="str">
        <f>+VLOOKUP(E59,'Country &amp; Code Abbreviation'!$B$3:$C$245,2,FALSE)</f>
        <v>EG</v>
      </c>
    </row>
    <row r="60" spans="5:6" ht="13" thickBot="1">
      <c r="E60" s="124" t="s">
        <v>138</v>
      </c>
      <c r="F60" s="124" t="str">
        <f>+VLOOKUP(E60,'Country &amp; Code Abbreviation'!$B$3:$C$245,2,FALSE)</f>
        <v>SV</v>
      </c>
    </row>
    <row r="61" spans="5:6" ht="13" thickBot="1">
      <c r="E61" s="124" t="s">
        <v>139</v>
      </c>
      <c r="F61" s="124" t="str">
        <f>+VLOOKUP(E61,'Country &amp; Code Abbreviation'!$B$3:$C$245,2,FALSE)</f>
        <v>GQ</v>
      </c>
    </row>
    <row r="62" spans="5:6" ht="13" thickBot="1">
      <c r="E62" s="124" t="s">
        <v>140</v>
      </c>
      <c r="F62" s="124" t="str">
        <f>+VLOOKUP(E62,'Country &amp; Code Abbreviation'!$B$3:$C$245,2,FALSE)</f>
        <v>ER</v>
      </c>
    </row>
    <row r="63" spans="5:6" ht="13" thickBot="1">
      <c r="E63" s="124" t="s">
        <v>141</v>
      </c>
      <c r="F63" s="124" t="str">
        <f>+VLOOKUP(E63,'Country &amp; Code Abbreviation'!$B$3:$C$245,2,FALSE)</f>
        <v>EE</v>
      </c>
    </row>
    <row r="64" spans="5:6" ht="13" thickBot="1">
      <c r="E64" s="124" t="s">
        <v>142</v>
      </c>
      <c r="F64" s="124" t="str">
        <f>+VLOOKUP(E64,'Country &amp; Code Abbreviation'!$B$3:$C$245,2,FALSE)</f>
        <v>SZ</v>
      </c>
    </row>
    <row r="65" spans="5:6" ht="13" thickBot="1">
      <c r="E65" s="124" t="s">
        <v>143</v>
      </c>
      <c r="F65" s="124" t="str">
        <f>+VLOOKUP(E65,'Country &amp; Code Abbreviation'!$B$3:$C$245,2,FALSE)</f>
        <v>ET</v>
      </c>
    </row>
    <row r="66" spans="5:6" ht="13" thickBot="1">
      <c r="E66" s="124" t="s">
        <v>144</v>
      </c>
      <c r="F66" s="124" t="str">
        <f>+VLOOKUP(E66,'Country &amp; Code Abbreviation'!$B$3:$C$245,2,FALSE)</f>
        <v>FK</v>
      </c>
    </row>
    <row r="67" spans="5:6" ht="13" thickBot="1">
      <c r="E67" s="124" t="s">
        <v>145</v>
      </c>
      <c r="F67" s="124" t="str">
        <f>+VLOOKUP(E67,'Country &amp; Code Abbreviation'!$B$3:$C$245,2,FALSE)</f>
        <v>FO</v>
      </c>
    </row>
    <row r="68" spans="5:6" ht="13" thickBot="1">
      <c r="E68" s="124" t="s">
        <v>146</v>
      </c>
      <c r="F68" s="124" t="str">
        <f>+VLOOKUP(E68,'Country &amp; Code Abbreviation'!$B$3:$C$245,2,FALSE)</f>
        <v>FJ</v>
      </c>
    </row>
    <row r="69" spans="5:6" ht="13" thickBot="1">
      <c r="E69" s="124" t="s">
        <v>149</v>
      </c>
      <c r="F69" s="124" t="str">
        <f>+VLOOKUP(E69,'Country &amp; Code Abbreviation'!$B$3:$C$245,2,FALSE)</f>
        <v>GF</v>
      </c>
    </row>
    <row r="70" spans="5:6" ht="13" thickBot="1">
      <c r="E70" s="124" t="s">
        <v>150</v>
      </c>
      <c r="F70" s="124" t="str">
        <f>+VLOOKUP(E70,'Country &amp; Code Abbreviation'!$B$3:$C$245,2,FALSE)</f>
        <v>PF</v>
      </c>
    </row>
    <row r="71" spans="5:6" ht="13" thickBot="1">
      <c r="E71" s="124" t="s">
        <v>151</v>
      </c>
      <c r="F71" s="124" t="str">
        <f>+VLOOKUP(E71,'Country &amp; Code Abbreviation'!$B$3:$C$245,2,FALSE)</f>
        <v>TF</v>
      </c>
    </row>
    <row r="72" spans="5:6" ht="13" thickBot="1">
      <c r="E72" s="124" t="s">
        <v>152</v>
      </c>
      <c r="F72" s="124" t="str">
        <f>+VLOOKUP(E72,'Country &amp; Code Abbreviation'!$B$3:$C$245,2,FALSE)</f>
        <v>GA</v>
      </c>
    </row>
    <row r="73" spans="5:6" ht="13" thickBot="1">
      <c r="E73" s="124" t="s">
        <v>153</v>
      </c>
      <c r="F73" s="124" t="str">
        <f>+VLOOKUP(E73,'Country &amp; Code Abbreviation'!$B$3:$C$245,2,FALSE)</f>
        <v>GM</v>
      </c>
    </row>
    <row r="74" spans="5:6" ht="13" thickBot="1">
      <c r="E74" s="125" t="s">
        <v>154</v>
      </c>
      <c r="F74" s="125" t="str">
        <f>+VLOOKUP(E74,'Country &amp; Code Abbreviation'!$B$3:$C$245,2,FALSE)</f>
        <v>GE</v>
      </c>
    </row>
    <row r="75" spans="5:6" ht="13" thickBot="1">
      <c r="E75" s="124" t="s">
        <v>156</v>
      </c>
      <c r="F75" s="124" t="str">
        <f>+VLOOKUP(E75,'Country &amp; Code Abbreviation'!$B$3:$C$245,2,FALSE)</f>
        <v>GH</v>
      </c>
    </row>
    <row r="76" spans="5:6" ht="13" thickBot="1">
      <c r="E76" s="124" t="s">
        <v>157</v>
      </c>
      <c r="F76" s="124" t="str">
        <f>+VLOOKUP(E76,'Country &amp; Code Abbreviation'!$B$3:$C$245,2,FALSE)</f>
        <v>GI</v>
      </c>
    </row>
    <row r="77" spans="5:6" ht="13" thickBot="1">
      <c r="E77" s="124" t="s">
        <v>158</v>
      </c>
      <c r="F77" s="124" t="str">
        <f>+VLOOKUP(E77,'Country &amp; Code Abbreviation'!$B$3:$C$245,2,FALSE)</f>
        <v>GR</v>
      </c>
    </row>
    <row r="78" spans="5:6" ht="13" thickBot="1">
      <c r="E78" s="124" t="s">
        <v>159</v>
      </c>
      <c r="F78" s="124" t="str">
        <f>+VLOOKUP(E78,'Country &amp; Code Abbreviation'!$B$3:$C$245,2,FALSE)</f>
        <v>GL</v>
      </c>
    </row>
    <row r="79" spans="5:6" ht="13" thickBot="1">
      <c r="E79" s="124" t="s">
        <v>160</v>
      </c>
      <c r="F79" s="124" t="str">
        <f>+VLOOKUP(E79,'Country &amp; Code Abbreviation'!$B$3:$C$245,2,FALSE)</f>
        <v>GD</v>
      </c>
    </row>
    <row r="80" spans="5:6" ht="13" thickBot="1">
      <c r="E80" s="124" t="s">
        <v>161</v>
      </c>
      <c r="F80" s="124" t="str">
        <f>+VLOOKUP(E80,'Country &amp; Code Abbreviation'!$B$3:$C$245,2,FALSE)</f>
        <v>GP</v>
      </c>
    </row>
    <row r="81" spans="5:6" ht="13" thickBot="1">
      <c r="E81" s="124" t="s">
        <v>162</v>
      </c>
      <c r="F81" s="124" t="str">
        <f>+VLOOKUP(E81,'Country &amp; Code Abbreviation'!$B$3:$C$245,2,FALSE)</f>
        <v>GT</v>
      </c>
    </row>
    <row r="82" spans="5:6" ht="13" thickBot="1">
      <c r="E82" s="124" t="s">
        <v>163</v>
      </c>
      <c r="F82" s="124" t="str">
        <f>+VLOOKUP(E82,'Country &amp; Code Abbreviation'!$B$3:$C$245,2,FALSE)</f>
        <v>GG</v>
      </c>
    </row>
    <row r="83" spans="5:6" ht="13" thickBot="1">
      <c r="E83" s="124" t="s">
        <v>164</v>
      </c>
      <c r="F83" s="124" t="str">
        <f>+VLOOKUP(E83,'Country &amp; Code Abbreviation'!$B$3:$C$245,2,FALSE)</f>
        <v>GN</v>
      </c>
    </row>
    <row r="84" spans="5:6" ht="13" thickBot="1">
      <c r="E84" s="124" t="s">
        <v>165</v>
      </c>
      <c r="F84" s="124" t="str">
        <f>+VLOOKUP(E84,'Country &amp; Code Abbreviation'!$B$3:$C$245,2,FALSE)</f>
        <v>GW</v>
      </c>
    </row>
    <row r="85" spans="5:6" ht="13" thickBot="1">
      <c r="E85" s="124" t="s">
        <v>166</v>
      </c>
      <c r="F85" s="124" t="str">
        <f>+VLOOKUP(E85,'Country &amp; Code Abbreviation'!$B$3:$C$245,2,FALSE)</f>
        <v>GY</v>
      </c>
    </row>
    <row r="86" spans="5:6" ht="13" thickBot="1">
      <c r="E86" s="124" t="s">
        <v>167</v>
      </c>
      <c r="F86" s="124" t="str">
        <f>+VLOOKUP(E86,'Country &amp; Code Abbreviation'!$B$3:$C$245,2,FALSE)</f>
        <v>HT</v>
      </c>
    </row>
    <row r="87" spans="5:6" ht="13" thickBot="1">
      <c r="E87" s="124" t="s">
        <v>168</v>
      </c>
      <c r="F87" s="124" t="str">
        <f>+VLOOKUP(E87,'Country &amp; Code Abbreviation'!$B$3:$C$245,2,FALSE)</f>
        <v>HM</v>
      </c>
    </row>
    <row r="88" spans="5:6" ht="13" thickBot="1">
      <c r="E88" s="124" t="s">
        <v>169</v>
      </c>
      <c r="F88" s="124" t="str">
        <f>+VLOOKUP(E88,'Country &amp; Code Abbreviation'!$B$3:$C$245,2,FALSE)</f>
        <v>HN</v>
      </c>
    </row>
    <row r="89" spans="5:6" ht="13" thickBot="1">
      <c r="E89" s="124" t="s">
        <v>170</v>
      </c>
      <c r="F89" s="124" t="str">
        <f>+VLOOKUP(E89,'Country &amp; Code Abbreviation'!$B$3:$C$245,2,FALSE)</f>
        <v>HK</v>
      </c>
    </row>
    <row r="90" spans="5:6" ht="13" thickBot="1">
      <c r="E90" s="124" t="s">
        <v>171</v>
      </c>
      <c r="F90" s="124" t="str">
        <f>+VLOOKUP(E90,'Country &amp; Code Abbreviation'!$B$3:$C$245,2,FALSE)</f>
        <v>HU</v>
      </c>
    </row>
    <row r="91" spans="5:6" ht="13" thickBot="1">
      <c r="E91" s="124" t="s">
        <v>172</v>
      </c>
      <c r="F91" s="124" t="str">
        <f>+VLOOKUP(E91,'Country &amp; Code Abbreviation'!$B$3:$C$245,2,FALSE)</f>
        <v>IS</v>
      </c>
    </row>
    <row r="92" spans="5:6" ht="13" thickBot="1">
      <c r="E92" s="124" t="s">
        <v>173</v>
      </c>
      <c r="F92" s="124" t="str">
        <f>+VLOOKUP(E92,'Country &amp; Code Abbreviation'!$B$3:$C$245,2,FALSE)</f>
        <v>IN</v>
      </c>
    </row>
    <row r="93" spans="5:6" ht="13" thickBot="1">
      <c r="E93" s="124" t="s">
        <v>174</v>
      </c>
      <c r="F93" s="124" t="str">
        <f>+VLOOKUP(E93,'Country &amp; Code Abbreviation'!$B$3:$C$245,2,FALSE)</f>
        <v>ID</v>
      </c>
    </row>
    <row r="94" spans="5:6" ht="13" thickBot="1">
      <c r="E94" s="124" t="s">
        <v>175</v>
      </c>
      <c r="F94" s="124" t="str">
        <f>+VLOOKUP(E94,'Country &amp; Code Abbreviation'!$B$3:$C$245,2,FALSE)</f>
        <v>IQ</v>
      </c>
    </row>
    <row r="95" spans="5:6" ht="13" thickBot="1">
      <c r="E95" s="124" t="s">
        <v>176</v>
      </c>
      <c r="F95" s="124" t="str">
        <f>+VLOOKUP(E95,'Country &amp; Code Abbreviation'!$B$3:$C$245,2,FALSE)</f>
        <v>IE</v>
      </c>
    </row>
    <row r="96" spans="5:6" ht="13" thickBot="1">
      <c r="E96" s="124" t="s">
        <v>177</v>
      </c>
      <c r="F96" s="124" t="str">
        <f>+VLOOKUP(E96,'Country &amp; Code Abbreviation'!$B$3:$C$245,2,FALSE)</f>
        <v>IM</v>
      </c>
    </row>
    <row r="97" spans="5:6" ht="13" thickBot="1">
      <c r="E97" s="124" t="s">
        <v>178</v>
      </c>
      <c r="F97" s="124" t="str">
        <f>+VLOOKUP(E97,'Country &amp; Code Abbreviation'!$B$3:$C$245,2,FALSE)</f>
        <v>IL</v>
      </c>
    </row>
    <row r="98" spans="5:6" ht="13" thickBot="1">
      <c r="E98" s="125" t="s">
        <v>180</v>
      </c>
      <c r="F98" s="125" t="str">
        <f>+VLOOKUP(E98,'Country &amp; Code Abbreviation'!$B$3:$C$245,2,FALSE)</f>
        <v>JM</v>
      </c>
    </row>
    <row r="99" spans="5:6" ht="13" thickBot="1">
      <c r="E99" s="124" t="s">
        <v>183</v>
      </c>
      <c r="F99" s="124" t="str">
        <f>+VLOOKUP(E99,'Country &amp; Code Abbreviation'!$B$3:$C$245,2,FALSE)</f>
        <v>JE</v>
      </c>
    </row>
    <row r="100" spans="5:6" ht="13" thickBot="1">
      <c r="E100" s="124" t="s">
        <v>184</v>
      </c>
      <c r="F100" s="124" t="str">
        <f>+VLOOKUP(E100,'Country &amp; Code Abbreviation'!$B$3:$C$245,2,FALSE)</f>
        <v>JO</v>
      </c>
    </row>
    <row r="101" spans="5:6" ht="13" thickBot="1">
      <c r="E101" s="124" t="s">
        <v>185</v>
      </c>
      <c r="F101" s="124" t="str">
        <f>+VLOOKUP(E101,'Country &amp; Code Abbreviation'!$B$3:$C$245,2,FALSE)</f>
        <v>KZ</v>
      </c>
    </row>
    <row r="102" spans="5:6" ht="13" thickBot="1">
      <c r="E102" s="124" t="s">
        <v>186</v>
      </c>
      <c r="F102" s="124" t="str">
        <f>+VLOOKUP(E102,'Country &amp; Code Abbreviation'!$B$3:$C$245,2,FALSE)</f>
        <v>KE</v>
      </c>
    </row>
    <row r="103" spans="5:6" ht="13" thickBot="1">
      <c r="E103" s="124" t="s">
        <v>187</v>
      </c>
      <c r="F103" s="124" t="str">
        <f>+VLOOKUP(E103,'Country &amp; Code Abbreviation'!$B$3:$C$245,2,FALSE)</f>
        <v>KI</v>
      </c>
    </row>
    <row r="104" spans="5:6" ht="13" thickBot="1">
      <c r="E104" s="124" t="s">
        <v>188</v>
      </c>
      <c r="F104" s="124" t="str">
        <f>+VLOOKUP(E104,'Country &amp; Code Abbreviation'!$B$3:$C$245,2,FALSE)</f>
        <v>XK</v>
      </c>
    </row>
    <row r="105" spans="5:6" ht="13" thickBot="1">
      <c r="E105" s="124" t="s">
        <v>189</v>
      </c>
      <c r="F105" s="124" t="str">
        <f>+VLOOKUP(E105,'Country &amp; Code Abbreviation'!$B$3:$C$245,2,FALSE)</f>
        <v>KW</v>
      </c>
    </row>
    <row r="106" spans="5:6" ht="13" thickBot="1">
      <c r="E106" s="124" t="s">
        <v>190</v>
      </c>
      <c r="F106" s="124" t="str">
        <f>+VLOOKUP(E106,'Country &amp; Code Abbreviation'!$B$3:$C$245,2,FALSE)</f>
        <v>KG</v>
      </c>
    </row>
    <row r="107" spans="5:6" ht="13" thickBot="1">
      <c r="E107" s="124" t="s">
        <v>191</v>
      </c>
      <c r="F107" s="124" t="str">
        <f>+VLOOKUP(E107,'Country &amp; Code Abbreviation'!$B$3:$C$245,2,FALSE)</f>
        <v>LA</v>
      </c>
    </row>
    <row r="108" spans="5:6" ht="13" thickBot="1">
      <c r="E108" s="124" t="s">
        <v>192</v>
      </c>
      <c r="F108" s="124" t="str">
        <f>+VLOOKUP(E108,'Country &amp; Code Abbreviation'!$B$3:$C$245,2,FALSE)</f>
        <v>LV</v>
      </c>
    </row>
    <row r="109" spans="5:6" ht="13" thickBot="1">
      <c r="E109" s="124" t="s">
        <v>193</v>
      </c>
      <c r="F109" s="124" t="str">
        <f>+VLOOKUP(E109,'Country &amp; Code Abbreviation'!$B$3:$C$245,2,FALSE)</f>
        <v>LB</v>
      </c>
    </row>
    <row r="110" spans="5:6" ht="13" thickBot="1">
      <c r="E110" s="124" t="s">
        <v>194</v>
      </c>
      <c r="F110" s="124" t="str">
        <f>+VLOOKUP(E110,'Country &amp; Code Abbreviation'!$B$3:$C$245,2,FALSE)</f>
        <v>LS</v>
      </c>
    </row>
    <row r="111" spans="5:6" ht="13" thickBot="1">
      <c r="E111" s="124" t="s">
        <v>195</v>
      </c>
      <c r="F111" s="124" t="str">
        <f>+VLOOKUP(E111,'Country &amp; Code Abbreviation'!$B$3:$C$245,2,FALSE)</f>
        <v>LR</v>
      </c>
    </row>
    <row r="112" spans="5:6" ht="13" thickBot="1">
      <c r="E112" s="124" t="s">
        <v>196</v>
      </c>
      <c r="F112" s="124" t="str">
        <f>+VLOOKUP(E112,'Country &amp; Code Abbreviation'!$B$3:$C$245,2,FALSE)</f>
        <v>LY</v>
      </c>
    </row>
    <row r="113" spans="5:6" ht="13" thickBot="1">
      <c r="E113" s="124" t="s">
        <v>197</v>
      </c>
      <c r="F113" s="124" t="str">
        <f>+VLOOKUP(E113,'Country &amp; Code Abbreviation'!$B$3:$C$245,2,FALSE)</f>
        <v>LI</v>
      </c>
    </row>
    <row r="114" spans="5:6" ht="13" thickBot="1">
      <c r="E114" s="124" t="s">
        <v>198</v>
      </c>
      <c r="F114" s="124" t="str">
        <f>+VLOOKUP(E114,'Country &amp; Code Abbreviation'!$B$3:$C$245,2,FALSE)</f>
        <v>LT</v>
      </c>
    </row>
    <row r="115" spans="5:6" ht="13" thickBot="1">
      <c r="E115" s="124" t="s">
        <v>199</v>
      </c>
      <c r="F115" s="124" t="str">
        <f>+VLOOKUP(E115,'Country &amp; Code Abbreviation'!$B$3:$C$245,2,FALSE)</f>
        <v>LU</v>
      </c>
    </row>
    <row r="116" spans="5:6" ht="13" thickBot="1">
      <c r="E116" s="124" t="s">
        <v>200</v>
      </c>
      <c r="F116" s="124" t="str">
        <f>+VLOOKUP(E116,'Country &amp; Code Abbreviation'!$B$3:$C$245,2,FALSE)</f>
        <v>MO</v>
      </c>
    </row>
    <row r="117" spans="5:6" ht="13" thickBot="1">
      <c r="E117" s="124" t="s">
        <v>201</v>
      </c>
      <c r="F117" s="124" t="str">
        <f>+VLOOKUP(E117,'Country &amp; Code Abbreviation'!$B$3:$C$245,2,FALSE)</f>
        <v>MK</v>
      </c>
    </row>
    <row r="118" spans="5:6" ht="13" thickBot="1">
      <c r="E118" s="124" t="s">
        <v>202</v>
      </c>
      <c r="F118" s="124" t="str">
        <f>+VLOOKUP(E118,'Country &amp; Code Abbreviation'!$B$3:$C$245,2,FALSE)</f>
        <v>MG</v>
      </c>
    </row>
    <row r="119" spans="5:6" ht="13" thickBot="1">
      <c r="E119" s="124" t="s">
        <v>203</v>
      </c>
      <c r="F119" s="124" t="str">
        <f>+VLOOKUP(E119,'Country &amp; Code Abbreviation'!$B$3:$C$245,2,FALSE)</f>
        <v>MW</v>
      </c>
    </row>
    <row r="120" spans="5:6" ht="13" thickBot="1">
      <c r="E120" s="124" t="s">
        <v>204</v>
      </c>
      <c r="F120" s="124" t="str">
        <f>+VLOOKUP(E120,'Country &amp; Code Abbreviation'!$B$3:$C$245,2,FALSE)</f>
        <v>MY</v>
      </c>
    </row>
    <row r="121" spans="5:6" ht="13" thickBot="1">
      <c r="E121" s="124" t="s">
        <v>205</v>
      </c>
      <c r="F121" s="124" t="str">
        <f>+VLOOKUP(E121,'Country &amp; Code Abbreviation'!$B$3:$C$245,2,FALSE)</f>
        <v>MV</v>
      </c>
    </row>
    <row r="122" spans="5:6" ht="13" thickBot="1">
      <c r="E122" s="125" t="s">
        <v>206</v>
      </c>
      <c r="F122" s="125" t="str">
        <f>+VLOOKUP(E122,'Country &amp; Code Abbreviation'!$B$3:$C$245,2,FALSE)</f>
        <v>ML</v>
      </c>
    </row>
    <row r="123" spans="5:6" ht="13" thickBot="1">
      <c r="E123" s="124" t="s">
        <v>207</v>
      </c>
      <c r="F123" s="124" t="str">
        <f>+VLOOKUP(E123,'Country &amp; Code Abbreviation'!$B$3:$C$245,2,FALSE)</f>
        <v>MT</v>
      </c>
    </row>
    <row r="124" spans="5:6" ht="13" thickBot="1">
      <c r="E124" s="124" t="s">
        <v>208</v>
      </c>
      <c r="F124" s="124" t="str">
        <f>+VLOOKUP(E124,'Country &amp; Code Abbreviation'!$B$3:$C$245,2,FALSE)</f>
        <v>MH</v>
      </c>
    </row>
    <row r="125" spans="5:6" ht="13" thickBot="1">
      <c r="E125" s="124" t="s">
        <v>209</v>
      </c>
      <c r="F125" s="124" t="str">
        <f>+VLOOKUP(E125,'Country &amp; Code Abbreviation'!$B$3:$C$245,2,FALSE)</f>
        <v>MQ</v>
      </c>
    </row>
    <row r="126" spans="5:6" ht="13" thickBot="1">
      <c r="E126" s="124" t="s">
        <v>210</v>
      </c>
      <c r="F126" s="124" t="str">
        <f>+VLOOKUP(E126,'Country &amp; Code Abbreviation'!$B$3:$C$245,2,FALSE)</f>
        <v>MR</v>
      </c>
    </row>
    <row r="127" spans="5:6" ht="13" thickBot="1">
      <c r="E127" s="124" t="s">
        <v>211</v>
      </c>
      <c r="F127" s="124" t="str">
        <f>+VLOOKUP(E127,'Country &amp; Code Abbreviation'!$B$3:$C$245,2,FALSE)</f>
        <v>MU</v>
      </c>
    </row>
    <row r="128" spans="5:6" ht="13" thickBot="1">
      <c r="E128" s="124" t="s">
        <v>212</v>
      </c>
      <c r="F128" s="124" t="str">
        <f>+VLOOKUP(E128,'Country &amp; Code Abbreviation'!$B$3:$C$245,2,FALSE)</f>
        <v>YT</v>
      </c>
    </row>
    <row r="129" spans="5:6" ht="13" thickBot="1">
      <c r="E129" s="124" t="s">
        <v>214</v>
      </c>
      <c r="F129" s="124" t="str">
        <f>+VLOOKUP(E129,'Country &amp; Code Abbreviation'!$B$3:$C$245,2,FALSE)</f>
        <v>FM</v>
      </c>
    </row>
    <row r="130" spans="5:6" ht="13" thickBot="1">
      <c r="E130" s="124" t="s">
        <v>215</v>
      </c>
      <c r="F130" s="124" t="str">
        <f>+VLOOKUP(E130,'Country &amp; Code Abbreviation'!$B$3:$C$245,2,FALSE)</f>
        <v>MD</v>
      </c>
    </row>
    <row r="131" spans="5:6" ht="13" thickBot="1">
      <c r="E131" s="124" t="s">
        <v>216</v>
      </c>
      <c r="F131" s="124" t="str">
        <f>+VLOOKUP(E131,'Country &amp; Code Abbreviation'!$B$3:$C$245,2,FALSE)</f>
        <v>MC</v>
      </c>
    </row>
    <row r="132" spans="5:6" ht="13" thickBot="1">
      <c r="E132" s="124" t="s">
        <v>217</v>
      </c>
      <c r="F132" s="124" t="str">
        <f>+VLOOKUP(E132,'Country &amp; Code Abbreviation'!$B$3:$C$245,2,FALSE)</f>
        <v>MN</v>
      </c>
    </row>
    <row r="133" spans="5:6" ht="13" thickBot="1">
      <c r="E133" s="124" t="s">
        <v>218</v>
      </c>
      <c r="F133" s="124" t="str">
        <f>+VLOOKUP(E133,'Country &amp; Code Abbreviation'!$B$3:$C$245,2,FALSE)</f>
        <v>ME</v>
      </c>
    </row>
    <row r="134" spans="5:6" ht="13" thickBot="1">
      <c r="E134" s="124" t="s">
        <v>219</v>
      </c>
      <c r="F134" s="124" t="str">
        <f>+VLOOKUP(E134,'Country &amp; Code Abbreviation'!$B$3:$C$245,2,FALSE)</f>
        <v>MS</v>
      </c>
    </row>
    <row r="135" spans="5:6" ht="13" thickBot="1">
      <c r="E135" s="124" t="s">
        <v>220</v>
      </c>
      <c r="F135" s="124" t="str">
        <f>+VLOOKUP(E135,'Country &amp; Code Abbreviation'!$B$3:$C$245,2,FALSE)</f>
        <v>MA</v>
      </c>
    </row>
    <row r="136" spans="5:6" ht="13" thickBot="1">
      <c r="E136" s="124" t="s">
        <v>221</v>
      </c>
      <c r="F136" s="124" t="str">
        <f>+VLOOKUP(E136,'Country &amp; Code Abbreviation'!$B$3:$C$245,2,FALSE)</f>
        <v>MZ</v>
      </c>
    </row>
    <row r="137" spans="5:6" ht="13" thickBot="1">
      <c r="E137" s="124" t="s">
        <v>222</v>
      </c>
      <c r="F137" s="124" t="str">
        <f>+VLOOKUP(E137,'Country &amp; Code Abbreviation'!$B$3:$C$245,2,FALSE)</f>
        <v>MM</v>
      </c>
    </row>
    <row r="138" spans="5:6" ht="13" thickBot="1">
      <c r="E138" s="124" t="s">
        <v>223</v>
      </c>
      <c r="F138" s="124" t="str">
        <f>+VLOOKUP(E138,'Country &amp; Code Abbreviation'!$B$3:$C$245,2,FALSE)</f>
        <v>NA</v>
      </c>
    </row>
    <row r="139" spans="5:6" ht="13" thickBot="1">
      <c r="E139" s="124" t="s">
        <v>224</v>
      </c>
      <c r="F139" s="124" t="str">
        <f>+VLOOKUP(E139,'Country &amp; Code Abbreviation'!$B$3:$C$245,2,FALSE)</f>
        <v>NR</v>
      </c>
    </row>
    <row r="140" spans="5:6" ht="13" thickBot="1">
      <c r="E140" s="124" t="s">
        <v>225</v>
      </c>
      <c r="F140" s="124" t="str">
        <f>+VLOOKUP(E140,'Country &amp; Code Abbreviation'!$B$3:$C$245,2,FALSE)</f>
        <v>NP</v>
      </c>
    </row>
    <row r="141" spans="5:6" ht="13" thickBot="1">
      <c r="E141" s="124" t="s">
        <v>228</v>
      </c>
      <c r="F141" s="124" t="str">
        <f>+VLOOKUP(E141,'Country &amp; Code Abbreviation'!$B$3:$C$245,2,FALSE)</f>
        <v>NC</v>
      </c>
    </row>
    <row r="142" spans="5:6" ht="13" thickBot="1">
      <c r="E142" s="124" t="s">
        <v>230</v>
      </c>
      <c r="F142" s="124" t="str">
        <f>+VLOOKUP(E142,'Country &amp; Code Abbreviation'!$B$3:$C$245,2,FALSE)</f>
        <v>NI</v>
      </c>
    </row>
    <row r="143" spans="5:6" ht="13" thickBot="1">
      <c r="E143" s="124" t="s">
        <v>231</v>
      </c>
      <c r="F143" s="124" t="str">
        <f>+VLOOKUP(E143,'Country &amp; Code Abbreviation'!$B$3:$C$245,2,FALSE)</f>
        <v>NE</v>
      </c>
    </row>
    <row r="144" spans="5:6" ht="13" thickBot="1">
      <c r="E144" s="124" t="s">
        <v>232</v>
      </c>
      <c r="F144" s="124" t="str">
        <f>+VLOOKUP(E144,'Country &amp; Code Abbreviation'!$B$3:$C$245,2,FALSE)</f>
        <v>NG</v>
      </c>
    </row>
    <row r="145" spans="5:6" ht="13" thickBot="1">
      <c r="E145" s="124" t="s">
        <v>233</v>
      </c>
      <c r="F145" s="124" t="str">
        <f>+VLOOKUP(E145,'Country &amp; Code Abbreviation'!$B$3:$C$245,2,FALSE)</f>
        <v>NU</v>
      </c>
    </row>
    <row r="146" spans="5:6" ht="13" thickBot="1">
      <c r="E146" s="125" t="s">
        <v>234</v>
      </c>
      <c r="F146" s="125" t="str">
        <f>+VLOOKUP(E146,'Country &amp; Code Abbreviation'!$B$3:$C$245,2,FALSE)</f>
        <v>NF</v>
      </c>
    </row>
    <row r="147" spans="5:6" ht="13" thickBot="1">
      <c r="E147" s="124" t="s">
        <v>235</v>
      </c>
      <c r="F147" s="124" t="str">
        <f>+VLOOKUP(E147,'Country &amp; Code Abbreviation'!$B$3:$C$245,2,FALSE)</f>
        <v>MP</v>
      </c>
    </row>
    <row r="148" spans="5:6" ht="13" thickBot="1">
      <c r="E148" s="124" t="s">
        <v>238</v>
      </c>
      <c r="F148" s="124" t="str">
        <f>+VLOOKUP(E148,'Country &amp; Code Abbreviation'!$B$3:$C$245,2,FALSE)</f>
        <v>OM</v>
      </c>
    </row>
    <row r="149" spans="5:6" ht="13" thickBot="1">
      <c r="E149" s="124" t="s">
        <v>239</v>
      </c>
      <c r="F149" s="124" t="str">
        <f>+VLOOKUP(E149,'Country &amp; Code Abbreviation'!$B$3:$C$245,2,FALSE)</f>
        <v>PK</v>
      </c>
    </row>
    <row r="150" spans="5:6" ht="13" thickBot="1">
      <c r="E150" s="124" t="s">
        <v>240</v>
      </c>
      <c r="F150" s="124" t="str">
        <f>+VLOOKUP(E150,'Country &amp; Code Abbreviation'!$B$3:$C$245,2,FALSE)</f>
        <v>PW</v>
      </c>
    </row>
    <row r="151" spans="5:6" ht="13" thickBot="1">
      <c r="E151" s="124" t="s">
        <v>241</v>
      </c>
      <c r="F151" s="124" t="str">
        <f>+VLOOKUP(E151,'Country &amp; Code Abbreviation'!$B$3:$C$245,2,FALSE)</f>
        <v>PS</v>
      </c>
    </row>
    <row r="152" spans="5:6" ht="13" thickBot="1">
      <c r="E152" s="124" t="s">
        <v>243</v>
      </c>
      <c r="F152" s="124" t="str">
        <f>+VLOOKUP(E152,'Country &amp; Code Abbreviation'!$B$3:$C$245,2,FALSE)</f>
        <v>PG</v>
      </c>
    </row>
    <row r="153" spans="5:6" ht="13" thickBot="1">
      <c r="E153" s="124" t="s">
        <v>244</v>
      </c>
      <c r="F153" s="124" t="str">
        <f>+VLOOKUP(E153,'Country &amp; Code Abbreviation'!$B$3:$C$245,2,FALSE)</f>
        <v>PY</v>
      </c>
    </row>
    <row r="154" spans="5:6" ht="13" thickBot="1">
      <c r="E154" s="124" t="s">
        <v>245</v>
      </c>
      <c r="F154" s="124" t="str">
        <f>+VLOOKUP(E154,'Country &amp; Code Abbreviation'!$B$3:$C$245,2,FALSE)</f>
        <v>PE</v>
      </c>
    </row>
    <row r="155" spans="5:6" ht="13" thickBot="1">
      <c r="E155" s="124" t="s">
        <v>247</v>
      </c>
      <c r="F155" s="124" t="str">
        <f>+VLOOKUP(E155,'Country &amp; Code Abbreviation'!$B$3:$C$245,2,FALSE)</f>
        <v>PN</v>
      </c>
    </row>
    <row r="156" spans="5:6" ht="13" thickBot="1">
      <c r="E156" s="124" t="s">
        <v>248</v>
      </c>
      <c r="F156" s="124" t="str">
        <f>+VLOOKUP(E156,'Country &amp; Code Abbreviation'!$B$3:$C$245,2,FALSE)</f>
        <v>PL</v>
      </c>
    </row>
    <row r="157" spans="5:6" ht="13" thickBot="1">
      <c r="E157" s="124" t="s">
        <v>249</v>
      </c>
      <c r="F157" s="124" t="str">
        <f>+VLOOKUP(E157,'Country &amp; Code Abbreviation'!$B$3:$C$245,2,FALSE)</f>
        <v>PT</v>
      </c>
    </row>
    <row r="158" spans="5:6" ht="13" thickBot="1">
      <c r="E158" s="124" t="s">
        <v>250</v>
      </c>
      <c r="F158" s="124" t="str">
        <f>+VLOOKUP(E158,'Country &amp; Code Abbreviation'!$B$3:$C$245,2,FALSE)</f>
        <v>QA</v>
      </c>
    </row>
    <row r="159" spans="5:6" ht="13" thickBot="1">
      <c r="E159" s="124" t="s">
        <v>251</v>
      </c>
      <c r="F159" s="124" t="str">
        <f>+VLOOKUP(E159,'Country &amp; Code Abbreviation'!$B$3:$C$245,2,FALSE)</f>
        <v>RE</v>
      </c>
    </row>
    <row r="160" spans="5:6" ht="13" thickBot="1">
      <c r="E160" s="124" t="s">
        <v>252</v>
      </c>
      <c r="F160" s="124" t="str">
        <f>+VLOOKUP(E160,'Country &amp; Code Abbreviation'!$B$3:$C$245,2,FALSE)</f>
        <v>RO</v>
      </c>
    </row>
    <row r="161" spans="5:6" ht="13" thickBot="1">
      <c r="E161" s="124" t="s">
        <v>254</v>
      </c>
      <c r="F161" s="124" t="str">
        <f>+VLOOKUP(E161,'Country &amp; Code Abbreviation'!$B$3:$C$245,2,FALSE)</f>
        <v>RW</v>
      </c>
    </row>
    <row r="162" spans="5:6" ht="13" thickBot="1">
      <c r="E162" s="124" t="s">
        <v>255</v>
      </c>
      <c r="F162" s="124" t="str">
        <f>+VLOOKUP(E162,'Country &amp; Code Abbreviation'!$B$3:$C$245,2,FALSE)</f>
        <v>MF</v>
      </c>
    </row>
    <row r="163" spans="5:6" ht="13" thickBot="1">
      <c r="E163" s="124" t="s">
        <v>256</v>
      </c>
      <c r="F163" s="124" t="str">
        <f>+VLOOKUP(E163,'Country &amp; Code Abbreviation'!$B$3:$C$245,2,FALSE)</f>
        <v>WS</v>
      </c>
    </row>
    <row r="164" spans="5:6" ht="13" thickBot="1">
      <c r="E164" s="124" t="s">
        <v>257</v>
      </c>
      <c r="F164" s="124" t="str">
        <f>+VLOOKUP(E164,'Country &amp; Code Abbreviation'!$B$3:$C$245,2,FALSE)</f>
        <v>SM</v>
      </c>
    </row>
    <row r="165" spans="5:6" ht="13" thickBot="1">
      <c r="E165" s="124" t="s">
        <v>258</v>
      </c>
      <c r="F165" s="124" t="str">
        <f>+VLOOKUP(E165,'Country &amp; Code Abbreviation'!$B$3:$C$245,2,FALSE)</f>
        <v>ST</v>
      </c>
    </row>
    <row r="166" spans="5:6" ht="13" thickBot="1">
      <c r="E166" s="124" t="s">
        <v>260</v>
      </c>
      <c r="F166" s="124" t="str">
        <f>+VLOOKUP(E166,'Country &amp; Code Abbreviation'!$B$3:$C$245,2,FALSE)</f>
        <v>SN</v>
      </c>
    </row>
    <row r="167" spans="5:6" ht="13" thickBot="1">
      <c r="E167" s="124" t="s">
        <v>261</v>
      </c>
      <c r="F167" s="124" t="str">
        <f>+VLOOKUP(E167,'Country &amp; Code Abbreviation'!$B$3:$C$245,2,FALSE)</f>
        <v>RS</v>
      </c>
    </row>
    <row r="168" spans="5:6" ht="13" thickBot="1">
      <c r="E168" s="124" t="s">
        <v>262</v>
      </c>
      <c r="F168" s="124" t="str">
        <f>+VLOOKUP(E168,'Country &amp; Code Abbreviation'!$B$3:$C$245,2,FALSE)</f>
        <v>SC</v>
      </c>
    </row>
    <row r="169" spans="5:6" ht="13" thickBot="1">
      <c r="E169" s="124" t="s">
        <v>263</v>
      </c>
      <c r="F169" s="124" t="str">
        <f>+VLOOKUP(E169,'Country &amp; Code Abbreviation'!$B$3:$C$245,2,FALSE)</f>
        <v>SL</v>
      </c>
    </row>
    <row r="170" spans="5:6" ht="13" thickBot="1">
      <c r="E170" s="125" t="s">
        <v>264</v>
      </c>
      <c r="F170" s="125" t="str">
        <f>+VLOOKUP(E170,'Country &amp; Code Abbreviation'!$B$3:$C$245,2,FALSE)</f>
        <v>SG</v>
      </c>
    </row>
    <row r="171" spans="5:6" ht="13" thickBot="1">
      <c r="E171" s="124" t="s">
        <v>265</v>
      </c>
      <c r="F171" s="124" t="str">
        <f>+VLOOKUP(E171,'Country &amp; Code Abbreviation'!$B$3:$C$245,2,FALSE)</f>
        <v>SX</v>
      </c>
    </row>
    <row r="172" spans="5:6" ht="13" thickBot="1">
      <c r="E172" s="124" t="s">
        <v>266</v>
      </c>
      <c r="F172" s="124" t="str">
        <f>+VLOOKUP(E172,'Country &amp; Code Abbreviation'!$B$3:$C$245,2,FALSE)</f>
        <v>SK</v>
      </c>
    </row>
    <row r="173" spans="5:6" ht="13" thickBot="1">
      <c r="E173" s="124" t="s">
        <v>267</v>
      </c>
      <c r="F173" s="124" t="str">
        <f>+VLOOKUP(E173,'Country &amp; Code Abbreviation'!$B$3:$C$245,2,FALSE)</f>
        <v>SI</v>
      </c>
    </row>
    <row r="174" spans="5:6" ht="13" thickBot="1">
      <c r="E174" s="124" t="s">
        <v>268</v>
      </c>
      <c r="F174" s="124" t="str">
        <f>+VLOOKUP(E174,'Country &amp; Code Abbreviation'!$B$3:$C$245,2,FALSE)</f>
        <v>SB</v>
      </c>
    </row>
    <row r="175" spans="5:6" ht="13" thickBot="1">
      <c r="E175" s="124" t="s">
        <v>269</v>
      </c>
      <c r="F175" s="124" t="str">
        <f>+VLOOKUP(E175,'Country &amp; Code Abbreviation'!$B$3:$C$245,2,FALSE)</f>
        <v>SO</v>
      </c>
    </row>
    <row r="176" spans="5:6" ht="13" thickBot="1">
      <c r="E176" s="124" t="s">
        <v>271</v>
      </c>
      <c r="F176" s="124" t="str">
        <f>+VLOOKUP(E176,'Country &amp; Code Abbreviation'!$B$3:$C$245,2,FALSE)</f>
        <v>ZA</v>
      </c>
    </row>
    <row r="177" spans="5:6" ht="13" thickBot="1">
      <c r="E177" s="124" t="s">
        <v>272</v>
      </c>
      <c r="F177" s="124" t="str">
        <f>+VLOOKUP(E177,'Country &amp; Code Abbreviation'!$B$3:$C$245,2,FALSE)</f>
        <v>GS</v>
      </c>
    </row>
    <row r="178" spans="5:6" ht="13" thickBot="1">
      <c r="E178" s="124" t="s">
        <v>273</v>
      </c>
      <c r="F178" s="124" t="str">
        <f>+VLOOKUP(E178,'Country &amp; Code Abbreviation'!$B$3:$C$245,2,FALSE)</f>
        <v>KR</v>
      </c>
    </row>
    <row r="179" spans="5:6" ht="13" thickBot="1">
      <c r="E179" s="124" t="s">
        <v>274</v>
      </c>
      <c r="F179" s="124" t="str">
        <f>+VLOOKUP(E179,'Country &amp; Code Abbreviation'!$B$3:$C$245,2,FALSE)</f>
        <v>SS</v>
      </c>
    </row>
    <row r="180" spans="5:6" ht="13" thickBot="1">
      <c r="E180" s="124" t="s">
        <v>277</v>
      </c>
      <c r="F180" s="124" t="str">
        <f>+VLOOKUP(E180,'Country &amp; Code Abbreviation'!$B$3:$C$245,2,FALSE)</f>
        <v>LK</v>
      </c>
    </row>
    <row r="181" spans="5:6" ht="13" thickBot="1">
      <c r="E181" s="124" t="s">
        <v>278</v>
      </c>
      <c r="F181" s="124" t="str">
        <f>+VLOOKUP(E181,'Country &amp; Code Abbreviation'!$B$3:$C$245,2,FALSE)</f>
        <v>BL</v>
      </c>
    </row>
    <row r="182" spans="5:6" ht="13" thickBot="1">
      <c r="E182" s="124" t="s">
        <v>279</v>
      </c>
      <c r="F182" s="124" t="str">
        <f>+VLOOKUP(E182,'Country &amp; Code Abbreviation'!$B$3:$C$245,2,FALSE)</f>
        <v>SH</v>
      </c>
    </row>
    <row r="183" spans="5:6" ht="13" thickBot="1">
      <c r="E183" s="124" t="s">
        <v>280</v>
      </c>
      <c r="F183" s="124" t="str">
        <f>+VLOOKUP(E183,'Country &amp; Code Abbreviation'!$B$3:$C$245,2,FALSE)</f>
        <v>KN</v>
      </c>
    </row>
    <row r="184" spans="5:6" ht="13" thickBot="1">
      <c r="E184" s="124" t="s">
        <v>281</v>
      </c>
      <c r="F184" s="124" t="str">
        <f>+VLOOKUP(E184,'Country &amp; Code Abbreviation'!$B$3:$C$245,2,FALSE)</f>
        <v>LC</v>
      </c>
    </row>
    <row r="185" spans="5:6" ht="13" thickBot="1">
      <c r="E185" s="124" t="s">
        <v>282</v>
      </c>
      <c r="F185" s="124" t="str">
        <f>+VLOOKUP(E185,'Country &amp; Code Abbreviation'!$B$3:$C$245,2,FALSE)</f>
        <v>PM</v>
      </c>
    </row>
    <row r="186" spans="5:6" ht="13" thickBot="1">
      <c r="E186" s="124" t="s">
        <v>283</v>
      </c>
      <c r="F186" s="124" t="str">
        <f>+VLOOKUP(E186,'Country &amp; Code Abbreviation'!$B$3:$C$245,2,FALSE)</f>
        <v>VC</v>
      </c>
    </row>
    <row r="187" spans="5:6" ht="13" thickBot="1">
      <c r="E187" s="124" t="s">
        <v>284</v>
      </c>
      <c r="F187" s="124" t="str">
        <f>+VLOOKUP(E187,'Country &amp; Code Abbreviation'!$B$3:$C$245,2,FALSE)</f>
        <v>SD</v>
      </c>
    </row>
    <row r="188" spans="5:6" ht="13" thickBot="1">
      <c r="E188" s="124" t="s">
        <v>285</v>
      </c>
      <c r="F188" s="124" t="str">
        <f>+VLOOKUP(E188,'Country &amp; Code Abbreviation'!$B$3:$C$245,2,FALSE)</f>
        <v>SR</v>
      </c>
    </row>
    <row r="189" spans="5:6" ht="13" thickBot="1">
      <c r="E189" s="124" t="s">
        <v>286</v>
      </c>
      <c r="F189" s="124" t="str">
        <f>+VLOOKUP(E189,'Country &amp; Code Abbreviation'!$B$3:$C$245,2,FALSE)</f>
        <v>SJ</v>
      </c>
    </row>
    <row r="190" spans="5:6" ht="13" thickBot="1">
      <c r="E190" s="124" t="s">
        <v>287</v>
      </c>
      <c r="F190" s="124" t="str">
        <f>+VLOOKUP(E190,'Country &amp; Code Abbreviation'!$B$3:$C$245,2,FALSE)</f>
        <v>SE</v>
      </c>
    </row>
    <row r="191" spans="5:6" ht="13" thickBot="1">
      <c r="E191" s="124" t="s">
        <v>290</v>
      </c>
      <c r="F191" s="124" t="str">
        <f>+VLOOKUP(E191,'Country &amp; Code Abbreviation'!$B$3:$C$245,2,FALSE)</f>
        <v>TW</v>
      </c>
    </row>
    <row r="192" spans="5:6" ht="13" thickBot="1">
      <c r="E192" s="124" t="s">
        <v>291</v>
      </c>
      <c r="F192" s="124" t="str">
        <f>+VLOOKUP(E192,'Country &amp; Code Abbreviation'!$B$3:$C$245,2,FALSE)</f>
        <v>TJ</v>
      </c>
    </row>
    <row r="193" spans="5:6" ht="13" thickBot="1">
      <c r="E193" s="124" t="s">
        <v>292</v>
      </c>
      <c r="F193" s="124" t="str">
        <f>+VLOOKUP(E193,'Country &amp; Code Abbreviation'!$B$3:$C$245,2,FALSE)</f>
        <v>TZ</v>
      </c>
    </row>
    <row r="194" spans="5:6" ht="13" thickBot="1">
      <c r="E194" s="125" t="s">
        <v>293</v>
      </c>
      <c r="F194" s="125" t="str">
        <f>+VLOOKUP(E194,'Country &amp; Code Abbreviation'!$B$3:$C$245,2,FALSE)</f>
        <v>TH</v>
      </c>
    </row>
    <row r="195" spans="5:6" ht="13" thickBot="1">
      <c r="E195" s="124" t="s">
        <v>294</v>
      </c>
      <c r="F195" s="124" t="str">
        <f>+VLOOKUP(E195,'Country &amp; Code Abbreviation'!$B$3:$C$245,2,FALSE)</f>
        <v>TL</v>
      </c>
    </row>
    <row r="196" spans="5:6" ht="13" thickBot="1">
      <c r="E196" s="124" t="s">
        <v>295</v>
      </c>
      <c r="F196" s="124" t="str">
        <f>+VLOOKUP(E196,'Country &amp; Code Abbreviation'!$B$3:$C$245,2,FALSE)</f>
        <v>TG</v>
      </c>
    </row>
    <row r="197" spans="5:6" ht="13" thickBot="1">
      <c r="E197" s="124" t="s">
        <v>296</v>
      </c>
      <c r="F197" s="124" t="str">
        <f>+VLOOKUP(E197,'Country &amp; Code Abbreviation'!$B$3:$C$245,2,FALSE)</f>
        <v>TK</v>
      </c>
    </row>
    <row r="198" spans="5:6" ht="13" thickBot="1">
      <c r="E198" s="124" t="s">
        <v>297</v>
      </c>
      <c r="F198" s="124" t="str">
        <f>+VLOOKUP(E198,'Country &amp; Code Abbreviation'!$B$3:$C$245,2,FALSE)</f>
        <v>TO</v>
      </c>
    </row>
    <row r="199" spans="5:6" ht="13" thickBot="1">
      <c r="E199" s="124" t="s">
        <v>298</v>
      </c>
      <c r="F199" s="124" t="str">
        <f>+VLOOKUP(E199,'Country &amp; Code Abbreviation'!$B$3:$C$245,2,FALSE)</f>
        <v>TT</v>
      </c>
    </row>
    <row r="200" spans="5:6" ht="13" thickBot="1">
      <c r="E200" s="124" t="s">
        <v>299</v>
      </c>
      <c r="F200" s="124" t="str">
        <f>+VLOOKUP(E200,'Country &amp; Code Abbreviation'!$B$3:$C$245,2,FALSE)</f>
        <v>TN</v>
      </c>
    </row>
    <row r="201" spans="5:6" ht="13" thickBot="1">
      <c r="E201" s="124" t="s">
        <v>300</v>
      </c>
      <c r="F201" s="124" t="str">
        <f>+VLOOKUP(E201,'Country &amp; Code Abbreviation'!$B$3:$C$245,2,FALSE)</f>
        <v>TR</v>
      </c>
    </row>
    <row r="202" spans="5:6" ht="13" thickBot="1">
      <c r="E202" s="124" t="s">
        <v>301</v>
      </c>
      <c r="F202" s="124" t="str">
        <f>+VLOOKUP(E202,'Country &amp; Code Abbreviation'!$B$3:$C$245,2,FALSE)</f>
        <v>TM</v>
      </c>
    </row>
    <row r="203" spans="5:6" ht="13" thickBot="1">
      <c r="E203" s="124" t="s">
        <v>302</v>
      </c>
      <c r="F203" s="124" t="str">
        <f>+VLOOKUP(E203,'Country &amp; Code Abbreviation'!$B$3:$C$245,2,FALSE)</f>
        <v>TC</v>
      </c>
    </row>
    <row r="204" spans="5:6" ht="13" thickBot="1">
      <c r="E204" s="124" t="s">
        <v>303</v>
      </c>
      <c r="F204" s="124" t="str">
        <f>+VLOOKUP(E204,'Country &amp; Code Abbreviation'!$B$3:$C$245,2,FALSE)</f>
        <v>TV</v>
      </c>
    </row>
    <row r="205" spans="5:6" ht="13" thickBot="1">
      <c r="E205" s="124" t="s">
        <v>304</v>
      </c>
      <c r="F205" s="124" t="str">
        <f>+VLOOKUP(E205,'Country &amp; Code Abbreviation'!$B$3:$C$245,2,FALSE)</f>
        <v>UG</v>
      </c>
    </row>
    <row r="206" spans="5:6" ht="13" thickBot="1">
      <c r="E206" s="124" t="s">
        <v>308</v>
      </c>
      <c r="F206" s="124" t="str">
        <f>+VLOOKUP(E206,'Country &amp; Code Abbreviation'!$B$3:$C$245,2,FALSE)</f>
        <v>UY</v>
      </c>
    </row>
    <row r="207" spans="5:6" ht="13" thickBot="1">
      <c r="E207" s="124" t="s">
        <v>309</v>
      </c>
      <c r="F207" s="124" t="str">
        <f>+VLOOKUP(E207,'Country &amp; Code Abbreviation'!$B$3:$C$245,2,FALSE)</f>
        <v>UZ</v>
      </c>
    </row>
    <row r="208" spans="5:6" ht="13" thickBot="1">
      <c r="E208" s="124" t="s">
        <v>310</v>
      </c>
      <c r="F208" s="124" t="str">
        <f>+VLOOKUP(E208,'Country &amp; Code Abbreviation'!$B$3:$C$245,2,FALSE)</f>
        <v>VU</v>
      </c>
    </row>
    <row r="209" spans="5:6" ht="13" thickBot="1">
      <c r="E209" s="124" t="s">
        <v>311</v>
      </c>
      <c r="F209" s="124" t="str">
        <f>+VLOOKUP(E209,'Country &amp; Code Abbreviation'!$B$3:$C$245,2,FALSE)</f>
        <v>VA</v>
      </c>
    </row>
    <row r="210" spans="5:6" ht="13" thickBot="1">
      <c r="E210" s="124" t="s">
        <v>312</v>
      </c>
      <c r="F210" s="124" t="str">
        <f>+VLOOKUP(E210,'Country &amp; Code Abbreviation'!$B$3:$C$245,2,FALSE)</f>
        <v>VE</v>
      </c>
    </row>
    <row r="211" spans="5:6" ht="13" thickBot="1">
      <c r="E211" s="124" t="s">
        <v>313</v>
      </c>
      <c r="F211" s="124" t="str">
        <f>+VLOOKUP(E211,'Country &amp; Code Abbreviation'!$B$3:$C$245,2,FALSE)</f>
        <v>VN</v>
      </c>
    </row>
    <row r="212" spans="5:6" ht="13" thickBot="1">
      <c r="E212" s="124" t="s">
        <v>314</v>
      </c>
      <c r="F212" s="124" t="str">
        <f>+VLOOKUP(E212,'Country &amp; Code Abbreviation'!$B$3:$C$245,2,FALSE)</f>
        <v>WF</v>
      </c>
    </row>
    <row r="213" spans="5:6" ht="13" thickBot="1">
      <c r="E213" s="124" t="s">
        <v>315</v>
      </c>
      <c r="F213" s="124" t="str">
        <f>+VLOOKUP(E213,'Country &amp; Code Abbreviation'!$B$3:$C$245,2,FALSE)</f>
        <v>EH</v>
      </c>
    </row>
    <row r="214" spans="5:6" ht="13" thickBot="1">
      <c r="E214" s="124" t="s">
        <v>316</v>
      </c>
      <c r="F214" s="124" t="str">
        <f>+VLOOKUP(E214,'Country &amp; Code Abbreviation'!$B$3:$C$245,2,FALSE)</f>
        <v>YE</v>
      </c>
    </row>
    <row r="215" spans="5:6" ht="13" thickBot="1">
      <c r="E215" s="124" t="s">
        <v>317</v>
      </c>
      <c r="F215" s="124" t="str">
        <f>+VLOOKUP(E215,'Country &amp; Code Abbreviation'!$B$3:$C$245,2,FALSE)</f>
        <v>ZM</v>
      </c>
    </row>
    <row r="216" spans="5:6" ht="13" thickBot="1">
      <c r="E216" s="124" t="s">
        <v>318</v>
      </c>
      <c r="F216" s="124" t="str">
        <f>+VLOOKUP(E216,'Country &amp; Code Abbreviation'!$B$3:$C$245,2,FALSE)</f>
        <v>ZW</v>
      </c>
    </row>
  </sheetData>
  <conditionalFormatting sqref="B220:E1048576 E27:E49 E51:E73 E75:E97 E99:E121 E123:E145 E147:E169 E171:E193 E195:E216 B26:D219 B3:E25">
    <cfRule type="duplicateValues" dxfId="1" priority="6"/>
  </conditionalFormatting>
  <conditionalFormatting sqref="F3:F25 F27:F49 F51:F73 F75:F97 F99:F121 F123:F145 F147:F169 F171:F193 F195:F216">
    <cfRule type="duplicateValues" dxfId="0" priority="1"/>
  </conditionalFormatting>
  <pageMargins left="0.7" right="0.7" top="0.75" bottom="0.75" header="0.3" footer="0.3"/>
  <headerFooter>
    <oddFooter>&amp;C_x000D_&amp;1#&amp;"Aptos"&amp;10&amp;K000000 NBA - Internal Use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1196-44BD-4E5F-AAA0-BFAD99BF45F2}">
  <dimension ref="B1:C14"/>
  <sheetViews>
    <sheetView tabSelected="1" zoomScaleNormal="100" workbookViewId="0">
      <selection activeCell="C16" sqref="C16"/>
    </sheetView>
  </sheetViews>
  <sheetFormatPr defaultColWidth="8.6328125" defaultRowHeight="12.5"/>
  <cols>
    <col min="1" max="1" width="1.6328125" customWidth="1"/>
    <col min="2" max="2" width="26.453125" bestFit="1" customWidth="1"/>
    <col min="3" max="3" width="96.453125" bestFit="1" customWidth="1"/>
  </cols>
  <sheetData>
    <row r="1" spans="2:3" ht="13" thickBot="1"/>
    <row r="2" spans="2:3" ht="13.5" thickBot="1">
      <c r="B2" s="42" t="s">
        <v>444</v>
      </c>
      <c r="C2" s="43" t="s">
        <v>671</v>
      </c>
    </row>
    <row r="3" spans="2:3" ht="13" thickBot="1">
      <c r="B3" s="44" t="s">
        <v>91</v>
      </c>
      <c r="C3" s="45" t="s">
        <v>672</v>
      </c>
    </row>
    <row r="4" spans="2:3" ht="13" thickBot="1">
      <c r="B4" s="44" t="s">
        <v>673</v>
      </c>
      <c r="C4" s="46" t="s">
        <v>674</v>
      </c>
    </row>
    <row r="5" spans="2:3" ht="13" thickBot="1">
      <c r="B5" s="44" t="s">
        <v>675</v>
      </c>
      <c r="C5" s="45" t="s">
        <v>676</v>
      </c>
    </row>
    <row r="6" spans="2:3" ht="13" thickBot="1">
      <c r="B6" s="44" t="s">
        <v>677</v>
      </c>
      <c r="C6" s="45" t="s">
        <v>676</v>
      </c>
    </row>
    <row r="7" spans="2:3" ht="13" thickBot="1">
      <c r="B7" s="44" t="s">
        <v>181</v>
      </c>
      <c r="C7" s="46" t="s">
        <v>678</v>
      </c>
    </row>
    <row r="8" spans="2:3" ht="13" thickBot="1">
      <c r="B8" s="44" t="s">
        <v>236</v>
      </c>
      <c r="C8" s="45" t="s">
        <v>676</v>
      </c>
    </row>
    <row r="9" spans="2:3" ht="13" thickBot="1">
      <c r="B9" s="44" t="s">
        <v>253</v>
      </c>
      <c r="C9" s="45" t="s">
        <v>679</v>
      </c>
    </row>
    <row r="10" spans="2:3" ht="13" thickBot="1">
      <c r="B10" s="44" t="s">
        <v>289</v>
      </c>
      <c r="C10" s="45" t="s">
        <v>676</v>
      </c>
    </row>
    <row r="11" spans="2:3" ht="13" thickBot="1">
      <c r="B11" s="44" t="s">
        <v>305</v>
      </c>
      <c r="C11" s="45" t="s">
        <v>680</v>
      </c>
    </row>
    <row r="13" spans="2:3">
      <c r="B13" t="s">
        <v>681</v>
      </c>
    </row>
    <row r="14" spans="2:3">
      <c r="B14" s="171" t="s">
        <v>682</v>
      </c>
    </row>
  </sheetData>
  <pageMargins left="0.7" right="0.7" top="0.75" bottom="0.75" header="0.3" footer="0.3"/>
  <pageSetup orientation="portrait" r:id="rId1"/>
  <headerFooter>
    <oddFooter>&amp;C_x000D_&amp;1#&amp;"Aptos"&amp;10&amp;K000000 NBA - Internal Use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B8FE-FD0B-43BB-AD2B-59A05FC898D0}">
  <sheetPr>
    <tabColor rgb="FF0070C0"/>
    <pageSetUpPr fitToPage="1"/>
  </sheetPr>
  <dimension ref="A1:N254"/>
  <sheetViews>
    <sheetView zoomScale="85" zoomScaleNormal="85" zoomScaleSheetLayoutView="85" zoomScalePageLayoutView="85" workbookViewId="0">
      <pane ySplit="1" topLeftCell="A2" activePane="bottomLeft" state="frozen"/>
      <selection activeCell="H32" sqref="H32"/>
      <selection pane="bottomLeft" activeCell="H32" sqref="H32"/>
    </sheetView>
  </sheetViews>
  <sheetFormatPr defaultColWidth="18.36328125" defaultRowHeight="14.5"/>
  <cols>
    <col min="1" max="1" width="32.453125" style="64" bestFit="1" customWidth="1"/>
    <col min="2" max="2" width="17.453125" style="64" customWidth="1"/>
    <col min="3" max="3" width="13.36328125" style="64" customWidth="1"/>
    <col min="4" max="4" width="15.6328125" style="64" customWidth="1"/>
    <col min="5" max="5" width="14.6328125" style="64" customWidth="1"/>
    <col min="6" max="6" width="27.453125" style="64" bestFit="1" customWidth="1"/>
    <col min="7" max="7" width="21" style="63" customWidth="1"/>
    <col min="8" max="10" width="18.36328125" style="64" customWidth="1"/>
    <col min="11" max="11" width="15" style="64" customWidth="1"/>
    <col min="12" max="12" width="18.36328125" style="64"/>
    <col min="13" max="13" width="48.36328125" style="64" customWidth="1"/>
    <col min="14" max="16384" width="18.36328125" style="60"/>
  </cols>
  <sheetData>
    <row r="1" spans="1:13" s="54" customFormat="1" ht="44.25" customHeight="1">
      <c r="A1" s="48" t="s">
        <v>31</v>
      </c>
      <c r="B1" s="48" t="s">
        <v>683</v>
      </c>
      <c r="C1" s="49" t="s">
        <v>32</v>
      </c>
      <c r="D1" s="50" t="s">
        <v>684</v>
      </c>
      <c r="E1" s="50" t="s">
        <v>685</v>
      </c>
      <c r="F1" s="51" t="s">
        <v>686</v>
      </c>
      <c r="G1" s="52" t="s">
        <v>687</v>
      </c>
      <c r="H1" s="51" t="s">
        <v>688</v>
      </c>
      <c r="I1" s="52" t="s">
        <v>689</v>
      </c>
      <c r="J1" s="49" t="s">
        <v>690</v>
      </c>
      <c r="K1" s="52" t="s">
        <v>691</v>
      </c>
      <c r="L1" s="49" t="s">
        <v>692</v>
      </c>
      <c r="M1" s="53" t="s">
        <v>693</v>
      </c>
    </row>
    <row r="2" spans="1:13" ht="29">
      <c r="A2" s="55" t="s">
        <v>694</v>
      </c>
      <c r="B2" s="55" t="s">
        <v>695</v>
      </c>
      <c r="C2" s="55" t="s">
        <v>182</v>
      </c>
      <c r="D2" s="56" t="s">
        <v>696</v>
      </c>
      <c r="E2" s="56" t="s">
        <v>696</v>
      </c>
      <c r="F2" s="57" t="s">
        <v>696</v>
      </c>
      <c r="G2" s="57" t="s">
        <v>697</v>
      </c>
      <c r="H2" s="56" t="s">
        <v>697</v>
      </c>
      <c r="I2" s="57" t="s">
        <v>696</v>
      </c>
      <c r="J2" s="56" t="s">
        <v>697</v>
      </c>
      <c r="K2" s="56" t="s">
        <v>697</v>
      </c>
      <c r="L2" s="58"/>
      <c r="M2" s="59" t="s">
        <v>698</v>
      </c>
    </row>
    <row r="3" spans="1:13">
      <c r="A3" s="55" t="s">
        <v>699</v>
      </c>
      <c r="B3" s="55" t="s">
        <v>700</v>
      </c>
      <c r="C3" s="55" t="s">
        <v>100</v>
      </c>
      <c r="D3" s="56" t="s">
        <v>696</v>
      </c>
      <c r="E3" s="56" t="s">
        <v>696</v>
      </c>
      <c r="F3" s="57" t="s">
        <v>697</v>
      </c>
      <c r="G3" s="57" t="s">
        <v>696</v>
      </c>
      <c r="H3" s="56" t="s">
        <v>697</v>
      </c>
      <c r="I3" s="57" t="s">
        <v>696</v>
      </c>
      <c r="J3" s="56" t="s">
        <v>697</v>
      </c>
      <c r="K3" s="56" t="s">
        <v>697</v>
      </c>
      <c r="L3" s="58"/>
      <c r="M3" s="56"/>
    </row>
    <row r="4" spans="1:13">
      <c r="A4" s="55" t="s">
        <v>701</v>
      </c>
      <c r="B4" s="55" t="s">
        <v>702</v>
      </c>
      <c r="C4" s="55" t="s">
        <v>100</v>
      </c>
      <c r="D4" s="56" t="s">
        <v>696</v>
      </c>
      <c r="E4" s="56" t="s">
        <v>696</v>
      </c>
      <c r="F4" s="57" t="s">
        <v>696</v>
      </c>
      <c r="G4" s="57" t="s">
        <v>696</v>
      </c>
      <c r="H4" s="56" t="s">
        <v>697</v>
      </c>
      <c r="I4" s="57" t="s">
        <v>696</v>
      </c>
      <c r="J4" s="56" t="s">
        <v>697</v>
      </c>
      <c r="K4" s="56" t="s">
        <v>697</v>
      </c>
      <c r="L4" s="56" t="s">
        <v>696</v>
      </c>
      <c r="M4" s="56"/>
    </row>
    <row r="5" spans="1:13">
      <c r="A5" s="61" t="s">
        <v>703</v>
      </c>
      <c r="B5" s="55" t="s">
        <v>704</v>
      </c>
      <c r="C5" s="55" t="s">
        <v>270</v>
      </c>
      <c r="D5" s="56" t="s">
        <v>696</v>
      </c>
      <c r="E5" s="56" t="s">
        <v>696</v>
      </c>
      <c r="F5" s="57" t="s">
        <v>696</v>
      </c>
      <c r="G5" s="57" t="s">
        <v>696</v>
      </c>
      <c r="H5" s="56" t="s">
        <v>697</v>
      </c>
      <c r="I5" s="57" t="s">
        <v>696</v>
      </c>
      <c r="J5" s="56" t="s">
        <v>697</v>
      </c>
      <c r="K5" s="56" t="s">
        <v>697</v>
      </c>
      <c r="L5" s="56" t="s">
        <v>696</v>
      </c>
      <c r="M5" s="56"/>
    </row>
    <row r="6" spans="1:13">
      <c r="A6" s="55" t="s">
        <v>705</v>
      </c>
      <c r="B6" s="55" t="s">
        <v>706</v>
      </c>
      <c r="C6" s="55" t="s">
        <v>182</v>
      </c>
      <c r="D6" s="56" t="s">
        <v>696</v>
      </c>
      <c r="E6" s="56" t="s">
        <v>696</v>
      </c>
      <c r="F6" s="57" t="s">
        <v>697</v>
      </c>
      <c r="G6" s="57" t="s">
        <v>696</v>
      </c>
      <c r="H6" s="56" t="s">
        <v>697</v>
      </c>
      <c r="I6" s="57" t="s">
        <v>697</v>
      </c>
      <c r="J6" s="56" t="s">
        <v>697</v>
      </c>
      <c r="K6" s="56" t="s">
        <v>697</v>
      </c>
      <c r="L6" s="58"/>
      <c r="M6" s="56"/>
    </row>
    <row r="7" spans="1:13">
      <c r="A7" s="55" t="s">
        <v>707</v>
      </c>
      <c r="B7" s="55" t="s">
        <v>708</v>
      </c>
      <c r="C7" s="55" t="s">
        <v>100</v>
      </c>
      <c r="D7" s="56" t="s">
        <v>696</v>
      </c>
      <c r="E7" s="56" t="s">
        <v>696</v>
      </c>
      <c r="F7" s="57" t="s">
        <v>697</v>
      </c>
      <c r="G7" s="57" t="s">
        <v>697</v>
      </c>
      <c r="H7" s="56" t="s">
        <v>697</v>
      </c>
      <c r="I7" s="57" t="s">
        <v>696</v>
      </c>
      <c r="J7" s="56" t="s">
        <v>697</v>
      </c>
      <c r="K7" s="56" t="s">
        <v>697</v>
      </c>
      <c r="L7" s="58"/>
      <c r="M7" s="56"/>
    </row>
    <row r="8" spans="1:13">
      <c r="A8" s="61" t="s">
        <v>709</v>
      </c>
      <c r="B8" s="55" t="s">
        <v>710</v>
      </c>
      <c r="C8" s="55" t="s">
        <v>270</v>
      </c>
      <c r="D8" s="56" t="s">
        <v>696</v>
      </c>
      <c r="E8" s="56" t="s">
        <v>696</v>
      </c>
      <c r="F8" s="57" t="s">
        <v>696</v>
      </c>
      <c r="G8" s="57" t="s">
        <v>696</v>
      </c>
      <c r="H8" s="56" t="s">
        <v>697</v>
      </c>
      <c r="I8" s="57" t="s">
        <v>696</v>
      </c>
      <c r="J8" s="56" t="s">
        <v>697</v>
      </c>
      <c r="K8" s="56" t="s">
        <v>697</v>
      </c>
      <c r="L8" s="56" t="s">
        <v>696</v>
      </c>
      <c r="M8" s="56"/>
    </row>
    <row r="9" spans="1:13">
      <c r="A9" s="55" t="s">
        <v>711</v>
      </c>
      <c r="B9" s="55" t="s">
        <v>712</v>
      </c>
      <c r="C9" s="55" t="s">
        <v>96</v>
      </c>
      <c r="D9" s="56" t="s">
        <v>696</v>
      </c>
      <c r="E9" s="56" t="s">
        <v>696</v>
      </c>
      <c r="F9" s="57" t="s">
        <v>696</v>
      </c>
      <c r="G9" s="57" t="s">
        <v>697</v>
      </c>
      <c r="H9" s="56" t="s">
        <v>697</v>
      </c>
      <c r="I9" s="57" t="s">
        <v>696</v>
      </c>
      <c r="J9" s="56" t="s">
        <v>697</v>
      </c>
      <c r="K9" s="56" t="s">
        <v>697</v>
      </c>
      <c r="L9" s="58"/>
      <c r="M9" s="56"/>
    </row>
    <row r="10" spans="1:13">
      <c r="A10" s="55" t="s">
        <v>713</v>
      </c>
      <c r="B10" s="55" t="s">
        <v>714</v>
      </c>
      <c r="C10" s="55" t="s">
        <v>100</v>
      </c>
      <c r="D10" s="56" t="s">
        <v>696</v>
      </c>
      <c r="E10" s="56" t="s">
        <v>696</v>
      </c>
      <c r="F10" s="57" t="s">
        <v>697</v>
      </c>
      <c r="G10" s="57" t="s">
        <v>697</v>
      </c>
      <c r="H10" s="56" t="s">
        <v>697</v>
      </c>
      <c r="I10" s="57" t="s">
        <v>697</v>
      </c>
      <c r="J10" s="56" t="s">
        <v>697</v>
      </c>
      <c r="K10" s="56" t="s">
        <v>697</v>
      </c>
      <c r="L10" s="58"/>
      <c r="M10" s="56"/>
    </row>
    <row r="11" spans="1:13">
      <c r="A11" s="55" t="s">
        <v>715</v>
      </c>
      <c r="B11" s="55" t="s">
        <v>716</v>
      </c>
      <c r="C11" s="55" t="s">
        <v>96</v>
      </c>
      <c r="D11" s="56" t="s">
        <v>696</v>
      </c>
      <c r="E11" s="56" t="s">
        <v>696</v>
      </c>
      <c r="F11" s="57" t="s">
        <v>696</v>
      </c>
      <c r="G11" s="57" t="s">
        <v>696</v>
      </c>
      <c r="H11" s="56" t="s">
        <v>697</v>
      </c>
      <c r="I11" s="57" t="s">
        <v>696</v>
      </c>
      <c r="J11" s="56" t="s">
        <v>697</v>
      </c>
      <c r="K11" s="56" t="s">
        <v>697</v>
      </c>
      <c r="L11" s="58"/>
      <c r="M11" s="56"/>
    </row>
    <row r="12" spans="1:13">
      <c r="A12" s="55" t="s">
        <v>717</v>
      </c>
      <c r="B12" s="55" t="s">
        <v>718</v>
      </c>
      <c r="C12" s="55" t="s">
        <v>96</v>
      </c>
      <c r="D12" s="56" t="s">
        <v>696</v>
      </c>
      <c r="E12" s="56" t="s">
        <v>696</v>
      </c>
      <c r="F12" s="57" t="s">
        <v>696</v>
      </c>
      <c r="G12" s="57" t="s">
        <v>696</v>
      </c>
      <c r="H12" s="56" t="s">
        <v>696</v>
      </c>
      <c r="I12" s="57" t="s">
        <v>696</v>
      </c>
      <c r="J12" s="56" t="s">
        <v>696</v>
      </c>
      <c r="K12" s="56" t="s">
        <v>696</v>
      </c>
      <c r="L12" s="56" t="s">
        <v>696</v>
      </c>
      <c r="M12" s="56"/>
    </row>
    <row r="13" spans="1:13">
      <c r="A13" s="55" t="s">
        <v>719</v>
      </c>
      <c r="B13" s="55" t="s">
        <v>720</v>
      </c>
      <c r="C13" s="55" t="s">
        <v>100</v>
      </c>
      <c r="D13" s="56" t="s">
        <v>696</v>
      </c>
      <c r="E13" s="56" t="s">
        <v>696</v>
      </c>
      <c r="F13" s="57" t="s">
        <v>696</v>
      </c>
      <c r="G13" s="57" t="s">
        <v>696</v>
      </c>
      <c r="H13" s="56" t="s">
        <v>697</v>
      </c>
      <c r="I13" s="57" t="s">
        <v>696</v>
      </c>
      <c r="J13" s="56" t="s">
        <v>697</v>
      </c>
      <c r="K13" s="56" t="s">
        <v>697</v>
      </c>
      <c r="L13" s="56" t="s">
        <v>696</v>
      </c>
      <c r="M13" s="56"/>
    </row>
    <row r="14" spans="1:13">
      <c r="A14" s="55" t="s">
        <v>721</v>
      </c>
      <c r="B14" s="55" t="s">
        <v>722</v>
      </c>
      <c r="C14" s="55" t="s">
        <v>96</v>
      </c>
      <c r="D14" s="56" t="s">
        <v>696</v>
      </c>
      <c r="E14" s="56" t="s">
        <v>696</v>
      </c>
      <c r="F14" s="57" t="s">
        <v>697</v>
      </c>
      <c r="G14" s="57" t="s">
        <v>696</v>
      </c>
      <c r="H14" s="56" t="s">
        <v>697</v>
      </c>
      <c r="I14" s="57" t="s">
        <v>696</v>
      </c>
      <c r="J14" s="56" t="s">
        <v>697</v>
      </c>
      <c r="K14" s="56" t="s">
        <v>697</v>
      </c>
      <c r="L14" s="58"/>
      <c r="M14" s="56"/>
    </row>
    <row r="15" spans="1:13">
      <c r="A15" s="55" t="s">
        <v>723</v>
      </c>
      <c r="B15" s="55" t="s">
        <v>724</v>
      </c>
      <c r="C15" s="55" t="s">
        <v>182</v>
      </c>
      <c r="D15" s="56" t="s">
        <v>696</v>
      </c>
      <c r="E15" s="56" t="s">
        <v>696</v>
      </c>
      <c r="F15" s="57" t="s">
        <v>696</v>
      </c>
      <c r="G15" s="57" t="s">
        <v>696</v>
      </c>
      <c r="H15" s="56" t="s">
        <v>696</v>
      </c>
      <c r="I15" s="57" t="s">
        <v>696</v>
      </c>
      <c r="J15" s="56" t="s">
        <v>696</v>
      </c>
      <c r="K15" s="56" t="s">
        <v>696</v>
      </c>
      <c r="L15" s="56" t="s">
        <v>696</v>
      </c>
      <c r="M15" s="56"/>
    </row>
    <row r="16" spans="1:13">
      <c r="A16" s="55" t="s">
        <v>725</v>
      </c>
      <c r="B16" s="55" t="s">
        <v>726</v>
      </c>
      <c r="C16" s="55" t="s">
        <v>100</v>
      </c>
      <c r="D16" s="56" t="s">
        <v>696</v>
      </c>
      <c r="E16" s="56" t="s">
        <v>696</v>
      </c>
      <c r="F16" s="57" t="s">
        <v>696</v>
      </c>
      <c r="G16" s="57" t="s">
        <v>696</v>
      </c>
      <c r="H16" s="56" t="s">
        <v>696</v>
      </c>
      <c r="I16" s="57" t="s">
        <v>696</v>
      </c>
      <c r="J16" s="56" t="s">
        <v>696</v>
      </c>
      <c r="K16" s="56" t="s">
        <v>697</v>
      </c>
      <c r="L16" s="56" t="s">
        <v>696</v>
      </c>
      <c r="M16" s="56"/>
    </row>
    <row r="17" spans="1:14">
      <c r="A17" s="61" t="s">
        <v>727</v>
      </c>
      <c r="B17" s="55" t="s">
        <v>728</v>
      </c>
      <c r="C17" s="55" t="s">
        <v>275</v>
      </c>
      <c r="D17" s="56" t="s">
        <v>696</v>
      </c>
      <c r="E17" s="56" t="s">
        <v>696</v>
      </c>
      <c r="F17" s="57" t="s">
        <v>696</v>
      </c>
      <c r="G17" s="57" t="s">
        <v>696</v>
      </c>
      <c r="H17" s="56" t="s">
        <v>697</v>
      </c>
      <c r="I17" s="57" t="s">
        <v>696</v>
      </c>
      <c r="J17" s="56" t="s">
        <v>697</v>
      </c>
      <c r="K17" s="56" t="s">
        <v>697</v>
      </c>
      <c r="L17" s="56" t="s">
        <v>696</v>
      </c>
      <c r="M17" s="56"/>
    </row>
    <row r="18" spans="1:14">
      <c r="A18" s="55" t="s">
        <v>729</v>
      </c>
      <c r="B18" s="55" t="s">
        <v>730</v>
      </c>
      <c r="C18" s="55" t="s">
        <v>96</v>
      </c>
      <c r="D18" s="56" t="s">
        <v>696</v>
      </c>
      <c r="E18" s="56" t="s">
        <v>696</v>
      </c>
      <c r="F18" s="57" t="s">
        <v>696</v>
      </c>
      <c r="G18" s="57" t="s">
        <v>696</v>
      </c>
      <c r="H18" s="56" t="s">
        <v>697</v>
      </c>
      <c r="I18" s="57" t="s">
        <v>696</v>
      </c>
      <c r="J18" s="56" t="s">
        <v>697</v>
      </c>
      <c r="K18" s="56" t="s">
        <v>697</v>
      </c>
      <c r="L18" s="58"/>
      <c r="M18" s="56"/>
    </row>
    <row r="19" spans="1:14">
      <c r="A19" s="61" t="s">
        <v>731</v>
      </c>
      <c r="B19" s="55" t="s">
        <v>732</v>
      </c>
      <c r="C19" s="55" t="s">
        <v>275</v>
      </c>
      <c r="D19" s="56" t="s">
        <v>696</v>
      </c>
      <c r="E19" s="56" t="s">
        <v>696</v>
      </c>
      <c r="F19" s="57" t="s">
        <v>696</v>
      </c>
      <c r="G19" s="57" t="s">
        <v>696</v>
      </c>
      <c r="H19" s="56" t="s">
        <v>697</v>
      </c>
      <c r="I19" s="57" t="s">
        <v>696</v>
      </c>
      <c r="J19" s="56" t="s">
        <v>696</v>
      </c>
      <c r="K19" s="56" t="s">
        <v>697</v>
      </c>
      <c r="L19" s="56" t="s">
        <v>696</v>
      </c>
      <c r="M19" s="56"/>
    </row>
    <row r="20" spans="1:14">
      <c r="A20" s="55" t="s">
        <v>733</v>
      </c>
      <c r="B20" s="55" t="s">
        <v>734</v>
      </c>
      <c r="C20" s="55" t="s">
        <v>182</v>
      </c>
      <c r="D20" s="56" t="s">
        <v>696</v>
      </c>
      <c r="E20" s="56" t="s">
        <v>696</v>
      </c>
      <c r="F20" s="57" t="s">
        <v>697</v>
      </c>
      <c r="G20" s="57" t="s">
        <v>696</v>
      </c>
      <c r="H20" s="56" t="s">
        <v>697</v>
      </c>
      <c r="I20" s="57" t="s">
        <v>696</v>
      </c>
      <c r="J20" s="56" t="s">
        <v>697</v>
      </c>
      <c r="K20" s="56" t="s">
        <v>697</v>
      </c>
      <c r="L20" s="58"/>
      <c r="M20" s="56"/>
    </row>
    <row r="21" spans="1:14">
      <c r="A21" s="55" t="s">
        <v>735</v>
      </c>
      <c r="B21" s="55" t="s">
        <v>736</v>
      </c>
      <c r="C21" s="55" t="s">
        <v>96</v>
      </c>
      <c r="D21" s="56" t="s">
        <v>696</v>
      </c>
      <c r="E21" s="56" t="s">
        <v>696</v>
      </c>
      <c r="F21" s="57" t="s">
        <v>696</v>
      </c>
      <c r="G21" s="57" t="s">
        <v>697</v>
      </c>
      <c r="H21" s="56" t="s">
        <v>697</v>
      </c>
      <c r="I21" s="57" t="s">
        <v>696</v>
      </c>
      <c r="J21" s="56" t="s">
        <v>697</v>
      </c>
      <c r="K21" s="56" t="s">
        <v>697</v>
      </c>
      <c r="L21" s="56" t="s">
        <v>696</v>
      </c>
      <c r="M21" s="56"/>
    </row>
    <row r="22" spans="1:14">
      <c r="A22" s="55" t="s">
        <v>737</v>
      </c>
      <c r="B22" s="55" t="s">
        <v>738</v>
      </c>
      <c r="C22" s="55" t="s">
        <v>100</v>
      </c>
      <c r="D22" s="56" t="s">
        <v>697</v>
      </c>
      <c r="E22" s="56" t="s">
        <v>697</v>
      </c>
      <c r="F22" s="57" t="s">
        <v>697</v>
      </c>
      <c r="G22" s="57" t="s">
        <v>697</v>
      </c>
      <c r="H22" s="56" t="s">
        <v>697</v>
      </c>
      <c r="I22" s="57" t="s">
        <v>697</v>
      </c>
      <c r="J22" s="56" t="s">
        <v>697</v>
      </c>
      <c r="K22" s="56" t="s">
        <v>697</v>
      </c>
      <c r="L22" s="56" t="s">
        <v>697</v>
      </c>
      <c r="M22" s="56"/>
      <c r="N22" s="62"/>
    </row>
    <row r="23" spans="1:14">
      <c r="A23" s="55" t="s">
        <v>739</v>
      </c>
      <c r="B23" s="55" t="s">
        <v>740</v>
      </c>
      <c r="C23" s="55" t="s">
        <v>100</v>
      </c>
      <c r="D23" s="56" t="s">
        <v>696</v>
      </c>
      <c r="E23" s="56" t="s">
        <v>696</v>
      </c>
      <c r="F23" s="57" t="s">
        <v>696</v>
      </c>
      <c r="G23" s="57" t="s">
        <v>696</v>
      </c>
      <c r="H23" s="56" t="s">
        <v>696</v>
      </c>
      <c r="I23" s="57" t="s">
        <v>696</v>
      </c>
      <c r="J23" s="56" t="s">
        <v>696</v>
      </c>
      <c r="K23" s="56" t="s">
        <v>697</v>
      </c>
      <c r="L23" s="56" t="s">
        <v>696</v>
      </c>
      <c r="M23" s="56"/>
    </row>
    <row r="24" spans="1:14">
      <c r="A24" s="55" t="s">
        <v>741</v>
      </c>
      <c r="B24" s="55" t="s">
        <v>742</v>
      </c>
      <c r="C24" s="55" t="s">
        <v>96</v>
      </c>
      <c r="D24" s="56" t="s">
        <v>696</v>
      </c>
      <c r="E24" s="56" t="s">
        <v>696</v>
      </c>
      <c r="F24" s="57" t="s">
        <v>696</v>
      </c>
      <c r="G24" s="57" t="s">
        <v>696</v>
      </c>
      <c r="H24" s="56" t="s">
        <v>697</v>
      </c>
      <c r="I24" s="57" t="s">
        <v>696</v>
      </c>
      <c r="J24" s="56" t="s">
        <v>697</v>
      </c>
      <c r="K24" s="56" t="s">
        <v>697</v>
      </c>
      <c r="L24" s="58"/>
      <c r="M24" s="56"/>
    </row>
    <row r="25" spans="1:14">
      <c r="A25" s="61" t="s">
        <v>743</v>
      </c>
      <c r="B25" s="55" t="s">
        <v>744</v>
      </c>
      <c r="C25" s="55" t="s">
        <v>270</v>
      </c>
      <c r="D25" s="56" t="s">
        <v>696</v>
      </c>
      <c r="E25" s="56" t="s">
        <v>696</v>
      </c>
      <c r="F25" s="57" t="s">
        <v>696</v>
      </c>
      <c r="G25" s="57" t="s">
        <v>696</v>
      </c>
      <c r="H25" s="56" t="s">
        <v>697</v>
      </c>
      <c r="I25" s="57" t="s">
        <v>696</v>
      </c>
      <c r="J25" s="56" t="s">
        <v>697</v>
      </c>
      <c r="K25" s="56" t="s">
        <v>697</v>
      </c>
      <c r="L25" s="56" t="s">
        <v>696</v>
      </c>
      <c r="M25" s="56"/>
    </row>
    <row r="26" spans="1:14">
      <c r="A26" s="61" t="s">
        <v>745</v>
      </c>
      <c r="B26" s="55" t="s">
        <v>746</v>
      </c>
      <c r="C26" s="55" t="s">
        <v>96</v>
      </c>
      <c r="D26" s="56" t="s">
        <v>696</v>
      </c>
      <c r="E26" s="56" t="s">
        <v>696</v>
      </c>
      <c r="F26" s="57" t="s">
        <v>696</v>
      </c>
      <c r="G26" s="57" t="s">
        <v>696</v>
      </c>
      <c r="H26" s="56" t="s">
        <v>697</v>
      </c>
      <c r="I26" s="57" t="s">
        <v>696</v>
      </c>
      <c r="J26" s="56" t="s">
        <v>697</v>
      </c>
      <c r="K26" s="56" t="s">
        <v>697</v>
      </c>
      <c r="L26" s="58"/>
      <c r="M26" s="56"/>
    </row>
    <row r="27" spans="1:14">
      <c r="A27" s="55" t="s">
        <v>747</v>
      </c>
      <c r="B27" s="55" t="s">
        <v>748</v>
      </c>
      <c r="C27" s="55" t="s">
        <v>182</v>
      </c>
      <c r="D27" s="56" t="s">
        <v>696</v>
      </c>
      <c r="E27" s="56" t="s">
        <v>696</v>
      </c>
      <c r="F27" s="57" t="s">
        <v>696</v>
      </c>
      <c r="G27" s="57" t="s">
        <v>697</v>
      </c>
      <c r="H27" s="56" t="s">
        <v>697</v>
      </c>
      <c r="I27" s="57" t="s">
        <v>696</v>
      </c>
      <c r="J27" s="56" t="s">
        <v>697</v>
      </c>
      <c r="K27" s="56" t="s">
        <v>697</v>
      </c>
      <c r="L27" s="58"/>
      <c r="M27" s="56"/>
    </row>
    <row r="28" spans="1:14">
      <c r="A28" s="55" t="s">
        <v>749</v>
      </c>
      <c r="B28" s="55" t="s">
        <v>750</v>
      </c>
      <c r="C28" s="55" t="s">
        <v>96</v>
      </c>
      <c r="D28" s="56" t="s">
        <v>696</v>
      </c>
      <c r="E28" s="56" t="s">
        <v>696</v>
      </c>
      <c r="F28" s="57" t="s">
        <v>696</v>
      </c>
      <c r="G28" s="57" t="s">
        <v>696</v>
      </c>
      <c r="H28" s="56" t="s">
        <v>697</v>
      </c>
      <c r="I28" s="57" t="s">
        <v>696</v>
      </c>
      <c r="J28" s="56" t="s">
        <v>696</v>
      </c>
      <c r="K28" s="56" t="s">
        <v>697</v>
      </c>
      <c r="L28" s="56" t="s">
        <v>696</v>
      </c>
      <c r="M28" s="56"/>
    </row>
    <row r="29" spans="1:14">
      <c r="A29" s="55" t="s">
        <v>99</v>
      </c>
      <c r="B29" s="55"/>
      <c r="C29" s="55" t="s">
        <v>96</v>
      </c>
      <c r="D29" s="56" t="s">
        <v>696</v>
      </c>
      <c r="E29" s="56" t="s">
        <v>696</v>
      </c>
      <c r="F29" s="57" t="s">
        <v>697</v>
      </c>
      <c r="G29" s="57" t="s">
        <v>697</v>
      </c>
      <c r="H29" s="57" t="s">
        <v>697</v>
      </c>
      <c r="I29" s="57" t="s">
        <v>697</v>
      </c>
      <c r="J29" s="57" t="s">
        <v>697</v>
      </c>
      <c r="K29" s="57" t="s">
        <v>697</v>
      </c>
      <c r="L29" s="57" t="s">
        <v>697</v>
      </c>
      <c r="M29" s="60"/>
    </row>
    <row r="30" spans="1:14">
      <c r="A30" s="55" t="s">
        <v>751</v>
      </c>
      <c r="B30" s="55" t="s">
        <v>752</v>
      </c>
      <c r="C30" s="55" t="s">
        <v>100</v>
      </c>
      <c r="D30" s="56" t="s">
        <v>696</v>
      </c>
      <c r="E30" s="56" t="s">
        <v>697</v>
      </c>
      <c r="F30" s="57" t="s">
        <v>696</v>
      </c>
      <c r="G30" s="57" t="s">
        <v>696</v>
      </c>
      <c r="H30" s="56" t="s">
        <v>697</v>
      </c>
      <c r="I30" s="57" t="s">
        <v>696</v>
      </c>
      <c r="J30" s="56" t="s">
        <v>697</v>
      </c>
      <c r="K30" s="56" t="s">
        <v>697</v>
      </c>
      <c r="L30" s="56" t="s">
        <v>696</v>
      </c>
      <c r="M30" s="56"/>
    </row>
    <row r="31" spans="1:14">
      <c r="A31" s="61" t="s">
        <v>753</v>
      </c>
      <c r="B31" s="55" t="s">
        <v>754</v>
      </c>
      <c r="C31" s="55" t="s">
        <v>270</v>
      </c>
      <c r="D31" s="56" t="s">
        <v>696</v>
      </c>
      <c r="E31" s="56" t="s">
        <v>696</v>
      </c>
      <c r="F31" s="57" t="s">
        <v>696</v>
      </c>
      <c r="G31" s="57" t="s">
        <v>696</v>
      </c>
      <c r="H31" s="56" t="s">
        <v>697</v>
      </c>
      <c r="I31" s="57" t="s">
        <v>696</v>
      </c>
      <c r="J31" s="56" t="s">
        <v>697</v>
      </c>
      <c r="K31" s="56" t="s">
        <v>697</v>
      </c>
      <c r="L31" s="56" t="s">
        <v>696</v>
      </c>
      <c r="M31" s="56"/>
    </row>
    <row r="32" spans="1:14">
      <c r="A32" s="55" t="s">
        <v>755</v>
      </c>
      <c r="B32" s="55" t="s">
        <v>756</v>
      </c>
      <c r="C32" s="55" t="s">
        <v>100</v>
      </c>
      <c r="D32" s="56" t="s">
        <v>696</v>
      </c>
      <c r="E32" s="56" t="s">
        <v>696</v>
      </c>
      <c r="F32" s="57" t="s">
        <v>697</v>
      </c>
      <c r="G32" s="57" t="s">
        <v>697</v>
      </c>
      <c r="H32" s="56" t="s">
        <v>697</v>
      </c>
      <c r="I32" s="57" t="s">
        <v>697</v>
      </c>
      <c r="J32" s="56" t="s">
        <v>697</v>
      </c>
      <c r="K32" s="56" t="s">
        <v>697</v>
      </c>
      <c r="L32" s="58"/>
      <c r="M32" s="56"/>
    </row>
    <row r="33" spans="1:13">
      <c r="A33" s="55" t="s">
        <v>757</v>
      </c>
      <c r="B33" s="55" t="s">
        <v>758</v>
      </c>
      <c r="C33" s="55" t="s">
        <v>96</v>
      </c>
      <c r="D33" s="56" t="s">
        <v>696</v>
      </c>
      <c r="E33" s="56" t="s">
        <v>696</v>
      </c>
      <c r="F33" s="57" t="s">
        <v>696</v>
      </c>
      <c r="G33" s="57" t="s">
        <v>696</v>
      </c>
      <c r="H33" s="56" t="s">
        <v>696</v>
      </c>
      <c r="I33" s="57" t="s">
        <v>696</v>
      </c>
      <c r="J33" s="56" t="s">
        <v>696</v>
      </c>
      <c r="K33" s="56" t="s">
        <v>696</v>
      </c>
      <c r="L33" s="56" t="s">
        <v>696</v>
      </c>
      <c r="M33" s="56"/>
    </row>
    <row r="34" spans="1:13">
      <c r="A34" s="55" t="s">
        <v>759</v>
      </c>
      <c r="B34" s="55" t="s">
        <v>760</v>
      </c>
      <c r="C34" s="55" t="s">
        <v>100</v>
      </c>
      <c r="D34" s="56" t="s">
        <v>696</v>
      </c>
      <c r="E34" s="56" t="s">
        <v>696</v>
      </c>
      <c r="F34" s="57" t="s">
        <v>697</v>
      </c>
      <c r="G34" s="57" t="s">
        <v>697</v>
      </c>
      <c r="H34" s="56" t="s">
        <v>697</v>
      </c>
      <c r="I34" s="57" t="s">
        <v>696</v>
      </c>
      <c r="J34" s="56" t="s">
        <v>697</v>
      </c>
      <c r="K34" s="56" t="s">
        <v>697</v>
      </c>
      <c r="L34" s="58"/>
      <c r="M34" s="56"/>
    </row>
    <row r="35" spans="1:13">
      <c r="A35" s="55" t="s">
        <v>761</v>
      </c>
      <c r="B35" s="55" t="s">
        <v>762</v>
      </c>
      <c r="C35" s="55" t="s">
        <v>100</v>
      </c>
      <c r="D35" s="56" t="s">
        <v>696</v>
      </c>
      <c r="E35" s="56" t="s">
        <v>696</v>
      </c>
      <c r="F35" s="57" t="s">
        <v>696</v>
      </c>
      <c r="G35" s="57" t="s">
        <v>696</v>
      </c>
      <c r="H35" s="56" t="s">
        <v>697</v>
      </c>
      <c r="I35" s="57" t="s">
        <v>697</v>
      </c>
      <c r="J35" s="56" t="s">
        <v>697</v>
      </c>
      <c r="K35" s="56" t="s">
        <v>697</v>
      </c>
      <c r="L35" s="58"/>
      <c r="M35" s="56"/>
    </row>
    <row r="36" spans="1:13">
      <c r="A36" s="55" t="s">
        <v>763</v>
      </c>
      <c r="B36" s="55" t="s">
        <v>764</v>
      </c>
      <c r="C36" s="55" t="s">
        <v>100</v>
      </c>
      <c r="D36" s="56" t="s">
        <v>696</v>
      </c>
      <c r="E36" s="56" t="s">
        <v>696</v>
      </c>
      <c r="F36" s="57" t="s">
        <v>696</v>
      </c>
      <c r="G36" s="57" t="s">
        <v>697</v>
      </c>
      <c r="H36" s="56" t="s">
        <v>697</v>
      </c>
      <c r="I36" s="57" t="s">
        <v>696</v>
      </c>
      <c r="J36" s="56" t="s">
        <v>697</v>
      </c>
      <c r="K36" s="56" t="s">
        <v>697</v>
      </c>
      <c r="L36" s="58"/>
      <c r="M36" s="56"/>
    </row>
    <row r="37" spans="1:13">
      <c r="A37" s="55" t="s">
        <v>765</v>
      </c>
      <c r="B37" s="55" t="s">
        <v>766</v>
      </c>
      <c r="C37" s="55" t="s">
        <v>100</v>
      </c>
      <c r="D37" s="56" t="s">
        <v>696</v>
      </c>
      <c r="E37" s="56" t="s">
        <v>696</v>
      </c>
      <c r="F37" s="57" t="s">
        <v>696</v>
      </c>
      <c r="G37" s="57" t="s">
        <v>696</v>
      </c>
      <c r="H37" s="56" t="s">
        <v>697</v>
      </c>
      <c r="I37" s="57" t="s">
        <v>696</v>
      </c>
      <c r="J37" s="56" t="s">
        <v>696</v>
      </c>
      <c r="K37" s="56" t="s">
        <v>697</v>
      </c>
      <c r="L37" s="56" t="s">
        <v>696</v>
      </c>
      <c r="M37" s="56"/>
    </row>
    <row r="38" spans="1:13">
      <c r="A38" s="61" t="s">
        <v>767</v>
      </c>
      <c r="B38" s="55" t="s">
        <v>768</v>
      </c>
      <c r="C38" s="55" t="s">
        <v>270</v>
      </c>
      <c r="D38" s="56" t="s">
        <v>696</v>
      </c>
      <c r="E38" s="56" t="s">
        <v>696</v>
      </c>
      <c r="F38" s="57" t="s">
        <v>696</v>
      </c>
      <c r="G38" s="57" t="s">
        <v>696</v>
      </c>
      <c r="H38" s="56" t="s">
        <v>697</v>
      </c>
      <c r="I38" s="57" t="s">
        <v>696</v>
      </c>
      <c r="J38" s="56" t="s">
        <v>697</v>
      </c>
      <c r="K38" s="56" t="s">
        <v>697</v>
      </c>
      <c r="L38" s="56" t="s">
        <v>696</v>
      </c>
      <c r="M38" s="56"/>
    </row>
    <row r="39" spans="1:13">
      <c r="A39" s="61" t="s">
        <v>769</v>
      </c>
      <c r="B39" s="55" t="s">
        <v>770</v>
      </c>
      <c r="C39" s="55" t="s">
        <v>270</v>
      </c>
      <c r="D39" s="56" t="s">
        <v>696</v>
      </c>
      <c r="E39" s="56" t="s">
        <v>696</v>
      </c>
      <c r="F39" s="57" t="s">
        <v>697</v>
      </c>
      <c r="G39" s="57" t="s">
        <v>697</v>
      </c>
      <c r="H39" s="56" t="s">
        <v>697</v>
      </c>
      <c r="I39" s="57" t="s">
        <v>696</v>
      </c>
      <c r="J39" s="56" t="s">
        <v>697</v>
      </c>
      <c r="K39" s="56" t="s">
        <v>697</v>
      </c>
      <c r="L39" s="58"/>
      <c r="M39" s="56"/>
    </row>
    <row r="40" spans="1:13">
      <c r="A40" s="55" t="s">
        <v>771</v>
      </c>
      <c r="B40" s="55" t="s">
        <v>772</v>
      </c>
      <c r="C40" s="55" t="s">
        <v>182</v>
      </c>
      <c r="D40" s="56" t="s">
        <v>696</v>
      </c>
      <c r="E40" s="56" t="s">
        <v>696</v>
      </c>
      <c r="F40" s="57" t="s">
        <v>696</v>
      </c>
      <c r="G40" s="57" t="s">
        <v>696</v>
      </c>
      <c r="H40" s="56" t="s">
        <v>697</v>
      </c>
      <c r="I40" s="57" t="s">
        <v>696</v>
      </c>
      <c r="J40" s="56" t="s">
        <v>697</v>
      </c>
      <c r="K40" s="56" t="s">
        <v>697</v>
      </c>
      <c r="L40" s="56" t="s">
        <v>696</v>
      </c>
      <c r="M40" s="56"/>
    </row>
    <row r="41" spans="1:13">
      <c r="A41" s="61" t="s">
        <v>773</v>
      </c>
      <c r="B41" s="55" t="s">
        <v>774</v>
      </c>
      <c r="C41" s="55" t="s">
        <v>270</v>
      </c>
      <c r="D41" s="56" t="s">
        <v>696</v>
      </c>
      <c r="E41" s="56" t="s">
        <v>696</v>
      </c>
      <c r="F41" s="57" t="s">
        <v>696</v>
      </c>
      <c r="G41" s="57" t="s">
        <v>696</v>
      </c>
      <c r="H41" s="56" t="s">
        <v>697</v>
      </c>
      <c r="I41" s="57" t="s">
        <v>696</v>
      </c>
      <c r="J41" s="56" t="s">
        <v>697</v>
      </c>
      <c r="K41" s="56" t="s">
        <v>697</v>
      </c>
      <c r="L41" s="56" t="s">
        <v>696</v>
      </c>
      <c r="M41" s="56"/>
    </row>
    <row r="42" spans="1:13">
      <c r="A42" s="61" t="s">
        <v>775</v>
      </c>
      <c r="B42" s="55" t="s">
        <v>776</v>
      </c>
      <c r="C42" s="55" t="s">
        <v>113</v>
      </c>
      <c r="D42" s="56" t="s">
        <v>696</v>
      </c>
      <c r="E42" s="56" t="s">
        <v>777</v>
      </c>
      <c r="F42" s="57" t="s">
        <v>696</v>
      </c>
      <c r="G42" s="57" t="s">
        <v>696</v>
      </c>
      <c r="H42" s="56" t="s">
        <v>696</v>
      </c>
      <c r="I42" s="57" t="s">
        <v>696</v>
      </c>
      <c r="J42" s="56" t="s">
        <v>696</v>
      </c>
      <c r="K42" s="56" t="s">
        <v>696</v>
      </c>
      <c r="L42" s="58"/>
      <c r="M42" s="56"/>
    </row>
    <row r="43" spans="1:13">
      <c r="A43" s="61" t="s">
        <v>778</v>
      </c>
      <c r="B43" s="55" t="s">
        <v>779</v>
      </c>
      <c r="C43" s="55" t="s">
        <v>270</v>
      </c>
      <c r="D43" s="56" t="s">
        <v>696</v>
      </c>
      <c r="E43" s="56" t="s">
        <v>696</v>
      </c>
      <c r="F43" s="57" t="s">
        <v>696</v>
      </c>
      <c r="G43" s="57" t="s">
        <v>696</v>
      </c>
      <c r="H43" s="56" t="s">
        <v>697</v>
      </c>
      <c r="I43" s="57" t="s">
        <v>696</v>
      </c>
      <c r="J43" s="56" t="s">
        <v>697</v>
      </c>
      <c r="K43" s="56" t="s">
        <v>697</v>
      </c>
      <c r="L43" s="58"/>
      <c r="M43" s="56"/>
    </row>
    <row r="44" spans="1:13">
      <c r="A44" s="55" t="s">
        <v>780</v>
      </c>
      <c r="B44" s="55" t="s">
        <v>781</v>
      </c>
      <c r="C44" s="55" t="s">
        <v>96</v>
      </c>
      <c r="D44" s="56" t="s">
        <v>696</v>
      </c>
      <c r="E44" s="56" t="s">
        <v>696</v>
      </c>
      <c r="F44" s="57" t="s">
        <v>696</v>
      </c>
      <c r="G44" s="57" t="s">
        <v>696</v>
      </c>
      <c r="H44" s="56" t="s">
        <v>697</v>
      </c>
      <c r="I44" s="57" t="s">
        <v>696</v>
      </c>
      <c r="J44" s="56" t="s">
        <v>697</v>
      </c>
      <c r="K44" s="56" t="s">
        <v>697</v>
      </c>
      <c r="L44" s="58"/>
      <c r="M44" s="56"/>
    </row>
    <row r="45" spans="1:13">
      <c r="A45" s="61" t="s">
        <v>782</v>
      </c>
      <c r="B45" s="55" t="s">
        <v>783</v>
      </c>
      <c r="C45" s="55" t="s">
        <v>270</v>
      </c>
      <c r="D45" s="56" t="s">
        <v>696</v>
      </c>
      <c r="E45" s="56" t="s">
        <v>696</v>
      </c>
      <c r="F45" s="57" t="s">
        <v>697</v>
      </c>
      <c r="G45" s="57" t="s">
        <v>697</v>
      </c>
      <c r="H45" s="56" t="s">
        <v>697</v>
      </c>
      <c r="I45" s="57" t="s">
        <v>696</v>
      </c>
      <c r="J45" s="56" t="s">
        <v>697</v>
      </c>
      <c r="K45" s="56" t="s">
        <v>697</v>
      </c>
      <c r="L45" s="58"/>
      <c r="M45" s="56"/>
    </row>
    <row r="46" spans="1:13">
      <c r="A46" s="61" t="s">
        <v>784</v>
      </c>
      <c r="B46" s="55" t="s">
        <v>785</v>
      </c>
      <c r="C46" s="55" t="s">
        <v>270</v>
      </c>
      <c r="D46" s="56" t="s">
        <v>696</v>
      </c>
      <c r="E46" s="56" t="s">
        <v>696</v>
      </c>
      <c r="F46" s="57" t="s">
        <v>696</v>
      </c>
      <c r="G46" s="57" t="s">
        <v>696</v>
      </c>
      <c r="H46" s="56" t="s">
        <v>697</v>
      </c>
      <c r="I46" s="57" t="s">
        <v>696</v>
      </c>
      <c r="J46" s="56" t="s">
        <v>697</v>
      </c>
      <c r="K46" s="56" t="s">
        <v>697</v>
      </c>
      <c r="L46" s="56" t="s">
        <v>696</v>
      </c>
      <c r="M46" s="56"/>
    </row>
    <row r="47" spans="1:13">
      <c r="A47" s="55" t="s">
        <v>786</v>
      </c>
      <c r="B47" s="55" t="s">
        <v>787</v>
      </c>
      <c r="C47" s="55" t="s">
        <v>96</v>
      </c>
      <c r="D47" s="56" t="s">
        <v>696</v>
      </c>
      <c r="E47" s="56" t="s">
        <v>696</v>
      </c>
      <c r="F47" s="57" t="s">
        <v>696</v>
      </c>
      <c r="G47" s="57" t="s">
        <v>696</v>
      </c>
      <c r="H47" s="56" t="s">
        <v>696</v>
      </c>
      <c r="I47" s="57" t="s">
        <v>696</v>
      </c>
      <c r="J47" s="56" t="s">
        <v>696</v>
      </c>
      <c r="K47" s="56" t="s">
        <v>696</v>
      </c>
      <c r="L47" s="56" t="s">
        <v>696</v>
      </c>
      <c r="M47" s="56"/>
    </row>
    <row r="48" spans="1:13">
      <c r="A48" s="55" t="s">
        <v>788</v>
      </c>
      <c r="B48" s="55" t="s">
        <v>789</v>
      </c>
      <c r="C48" s="55" t="s">
        <v>351</v>
      </c>
      <c r="D48" s="56" t="s">
        <v>696</v>
      </c>
      <c r="E48" s="56" t="s">
        <v>696</v>
      </c>
      <c r="F48" s="57" t="s">
        <v>697</v>
      </c>
      <c r="G48" s="57" t="s">
        <v>697</v>
      </c>
      <c r="H48" s="56" t="s">
        <v>697</v>
      </c>
      <c r="I48" s="57" t="s">
        <v>697</v>
      </c>
      <c r="J48" s="56" t="s">
        <v>697</v>
      </c>
      <c r="K48" s="56" t="s">
        <v>697</v>
      </c>
      <c r="L48" s="56" t="s">
        <v>697</v>
      </c>
      <c r="M48" s="56"/>
    </row>
    <row r="49" spans="1:13">
      <c r="A49" s="55" t="s">
        <v>790</v>
      </c>
      <c r="B49" s="55" t="s">
        <v>791</v>
      </c>
      <c r="C49" s="55" t="s">
        <v>182</v>
      </c>
      <c r="D49" s="56" t="s">
        <v>696</v>
      </c>
      <c r="E49" s="56" t="s">
        <v>696</v>
      </c>
      <c r="F49" s="57" t="s">
        <v>697</v>
      </c>
      <c r="G49" s="57" t="s">
        <v>697</v>
      </c>
      <c r="H49" s="56" t="s">
        <v>697</v>
      </c>
      <c r="I49" s="57" t="s">
        <v>696</v>
      </c>
      <c r="J49" s="56" t="s">
        <v>697</v>
      </c>
      <c r="K49" s="56" t="s">
        <v>697</v>
      </c>
      <c r="L49" s="58"/>
      <c r="M49" s="56"/>
    </row>
    <row r="50" spans="1:13">
      <c r="A50" s="55" t="s">
        <v>792</v>
      </c>
      <c r="B50" s="55" t="s">
        <v>793</v>
      </c>
      <c r="C50" s="55" t="s">
        <v>182</v>
      </c>
      <c r="D50" s="56" t="s">
        <v>696</v>
      </c>
      <c r="E50" s="56" t="s">
        <v>696</v>
      </c>
      <c r="F50" s="57" t="s">
        <v>697</v>
      </c>
      <c r="G50" s="57" t="s">
        <v>697</v>
      </c>
      <c r="H50" s="56" t="s">
        <v>697</v>
      </c>
      <c r="I50" s="57" t="s">
        <v>696</v>
      </c>
      <c r="J50" s="56" t="s">
        <v>697</v>
      </c>
      <c r="K50" s="56" t="s">
        <v>697</v>
      </c>
      <c r="L50" s="58"/>
      <c r="M50" s="56"/>
    </row>
    <row r="51" spans="1:13">
      <c r="A51" s="55" t="s">
        <v>794</v>
      </c>
      <c r="B51" s="55" t="s">
        <v>795</v>
      </c>
      <c r="C51" s="55" t="s">
        <v>96</v>
      </c>
      <c r="D51" s="56" t="s">
        <v>696</v>
      </c>
      <c r="E51" s="56" t="s">
        <v>696</v>
      </c>
      <c r="F51" s="57" t="s">
        <v>696</v>
      </c>
      <c r="G51" s="57" t="s">
        <v>696</v>
      </c>
      <c r="H51" s="56" t="s">
        <v>696</v>
      </c>
      <c r="I51" s="57" t="s">
        <v>696</v>
      </c>
      <c r="J51" s="56" t="s">
        <v>696</v>
      </c>
      <c r="K51" s="56" t="s">
        <v>696</v>
      </c>
      <c r="L51" s="58"/>
      <c r="M51" s="56"/>
    </row>
    <row r="52" spans="1:13">
      <c r="A52" s="61" t="s">
        <v>796</v>
      </c>
      <c r="B52" s="55" t="s">
        <v>797</v>
      </c>
      <c r="C52" s="55" t="s">
        <v>270</v>
      </c>
      <c r="D52" s="56" t="s">
        <v>696</v>
      </c>
      <c r="E52" s="56" t="s">
        <v>696</v>
      </c>
      <c r="F52" s="57" t="s">
        <v>697</v>
      </c>
      <c r="G52" s="57" t="s">
        <v>696</v>
      </c>
      <c r="H52" s="56" t="s">
        <v>697</v>
      </c>
      <c r="I52" s="57" t="s">
        <v>696</v>
      </c>
      <c r="J52" s="56" t="s">
        <v>697</v>
      </c>
      <c r="K52" s="56" t="s">
        <v>697</v>
      </c>
      <c r="L52" s="58"/>
      <c r="M52" s="56"/>
    </row>
    <row r="53" spans="1:13">
      <c r="A53" s="61" t="s">
        <v>798</v>
      </c>
      <c r="B53" s="55" t="s">
        <v>799</v>
      </c>
      <c r="C53" s="55" t="s">
        <v>270</v>
      </c>
      <c r="D53" s="56" t="s">
        <v>696</v>
      </c>
      <c r="E53" s="56" t="s">
        <v>696</v>
      </c>
      <c r="F53" s="56" t="s">
        <v>697</v>
      </c>
      <c r="G53" s="56" t="s">
        <v>697</v>
      </c>
      <c r="H53" s="56" t="s">
        <v>697</v>
      </c>
      <c r="I53" s="56" t="s">
        <v>697</v>
      </c>
      <c r="J53" s="56" t="s">
        <v>697</v>
      </c>
      <c r="K53" s="56" t="s">
        <v>697</v>
      </c>
      <c r="L53" s="56" t="s">
        <v>697</v>
      </c>
      <c r="M53" s="56"/>
    </row>
    <row r="54" spans="1:13">
      <c r="A54" s="55" t="s">
        <v>800</v>
      </c>
      <c r="B54" s="55" t="s">
        <v>801</v>
      </c>
      <c r="C54" s="55" t="s">
        <v>182</v>
      </c>
      <c r="D54" s="56" t="s">
        <v>696</v>
      </c>
      <c r="E54" s="56" t="s">
        <v>696</v>
      </c>
      <c r="F54" s="57" t="s">
        <v>697</v>
      </c>
      <c r="G54" s="57" t="s">
        <v>697</v>
      </c>
      <c r="H54" s="56" t="s">
        <v>697</v>
      </c>
      <c r="I54" s="57" t="s">
        <v>696</v>
      </c>
      <c r="J54" s="56" t="s">
        <v>697</v>
      </c>
      <c r="K54" s="56" t="s">
        <v>697</v>
      </c>
      <c r="L54" s="58"/>
      <c r="M54" s="56"/>
    </row>
    <row r="55" spans="1:13">
      <c r="A55" s="55" t="s">
        <v>802</v>
      </c>
      <c r="B55" s="55" t="s">
        <v>803</v>
      </c>
      <c r="C55" s="55" t="s">
        <v>96</v>
      </c>
      <c r="D55" s="56" t="s">
        <v>696</v>
      </c>
      <c r="E55" s="56" t="s">
        <v>696</v>
      </c>
      <c r="F55" s="57" t="s">
        <v>696</v>
      </c>
      <c r="G55" s="57" t="s">
        <v>696</v>
      </c>
      <c r="H55" s="56" t="s">
        <v>697</v>
      </c>
      <c r="I55" s="57" t="s">
        <v>696</v>
      </c>
      <c r="J55" s="56" t="s">
        <v>696</v>
      </c>
      <c r="K55" s="56" t="s">
        <v>696</v>
      </c>
      <c r="L55" s="56" t="s">
        <v>696</v>
      </c>
      <c r="M55" s="56"/>
    </row>
    <row r="56" spans="1:13">
      <c r="A56" s="61" t="s">
        <v>804</v>
      </c>
      <c r="B56" s="55" t="s">
        <v>805</v>
      </c>
      <c r="C56" s="55" t="s">
        <v>270</v>
      </c>
      <c r="D56" s="56" t="s">
        <v>696</v>
      </c>
      <c r="E56" s="56" t="s">
        <v>696</v>
      </c>
      <c r="F56" s="57" t="s">
        <v>696</v>
      </c>
      <c r="G56" s="57" t="s">
        <v>696</v>
      </c>
      <c r="H56" s="56" t="s">
        <v>697</v>
      </c>
      <c r="I56" s="57" t="s">
        <v>696</v>
      </c>
      <c r="J56" s="56" t="s">
        <v>697</v>
      </c>
      <c r="K56" s="56" t="s">
        <v>697</v>
      </c>
      <c r="L56" s="58"/>
      <c r="M56" s="56"/>
    </row>
    <row r="57" spans="1:13">
      <c r="A57" s="55" t="s">
        <v>806</v>
      </c>
      <c r="B57" s="55" t="s">
        <v>807</v>
      </c>
      <c r="C57" s="55" t="s">
        <v>100</v>
      </c>
      <c r="D57" s="56" t="s">
        <v>696</v>
      </c>
      <c r="E57" s="56" t="s">
        <v>696</v>
      </c>
      <c r="F57" s="57" t="s">
        <v>696</v>
      </c>
      <c r="G57" s="57" t="s">
        <v>696</v>
      </c>
      <c r="H57" s="56" t="s">
        <v>697</v>
      </c>
      <c r="I57" s="57" t="s">
        <v>696</v>
      </c>
      <c r="J57" s="56" t="s">
        <v>696</v>
      </c>
      <c r="K57" s="56" t="s">
        <v>697</v>
      </c>
      <c r="L57" s="56" t="s">
        <v>696</v>
      </c>
      <c r="M57" s="56"/>
    </row>
    <row r="58" spans="1:13">
      <c r="A58" s="55" t="s">
        <v>808</v>
      </c>
      <c r="B58" s="55" t="s">
        <v>809</v>
      </c>
      <c r="C58" s="55" t="s">
        <v>96</v>
      </c>
      <c r="D58" s="56" t="s">
        <v>696</v>
      </c>
      <c r="E58" s="56" t="s">
        <v>696</v>
      </c>
      <c r="F58" s="57" t="s">
        <v>697</v>
      </c>
      <c r="G58" s="57" t="s">
        <v>697</v>
      </c>
      <c r="H58" s="56" t="s">
        <v>697</v>
      </c>
      <c r="I58" s="57" t="s">
        <v>697</v>
      </c>
      <c r="J58" s="56" t="s">
        <v>697</v>
      </c>
      <c r="K58" s="56" t="s">
        <v>697</v>
      </c>
      <c r="L58" s="56" t="s">
        <v>697</v>
      </c>
      <c r="M58" s="56"/>
    </row>
    <row r="59" spans="1:13">
      <c r="A59" s="55" t="s">
        <v>810</v>
      </c>
      <c r="B59" s="55" t="s">
        <v>811</v>
      </c>
      <c r="C59" s="55" t="s">
        <v>96</v>
      </c>
      <c r="D59" s="56" t="s">
        <v>696</v>
      </c>
      <c r="E59" s="56" t="s">
        <v>696</v>
      </c>
      <c r="F59" s="57" t="s">
        <v>697</v>
      </c>
      <c r="G59" s="57" t="s">
        <v>696</v>
      </c>
      <c r="H59" s="56" t="s">
        <v>697</v>
      </c>
      <c r="I59" s="57" t="s">
        <v>697</v>
      </c>
      <c r="J59" s="56" t="s">
        <v>697</v>
      </c>
      <c r="K59" s="56" t="s">
        <v>697</v>
      </c>
      <c r="L59" s="56" t="s">
        <v>696</v>
      </c>
      <c r="M59" s="56"/>
    </row>
    <row r="60" spans="1:13">
      <c r="A60" s="55" t="s">
        <v>812</v>
      </c>
      <c r="B60" s="55" t="s">
        <v>813</v>
      </c>
      <c r="C60" s="55" t="s">
        <v>100</v>
      </c>
      <c r="D60" s="56" t="s">
        <v>696</v>
      </c>
      <c r="E60" s="56" t="s">
        <v>696</v>
      </c>
      <c r="F60" s="57" t="s">
        <v>696</v>
      </c>
      <c r="G60" s="57" t="s">
        <v>696</v>
      </c>
      <c r="H60" s="56" t="s">
        <v>697</v>
      </c>
      <c r="I60" s="57" t="s">
        <v>696</v>
      </c>
      <c r="J60" s="56" t="s">
        <v>696</v>
      </c>
      <c r="K60" s="56" t="s">
        <v>697</v>
      </c>
      <c r="L60" s="58"/>
      <c r="M60" s="56"/>
    </row>
    <row r="61" spans="1:13">
      <c r="A61" s="55" t="s">
        <v>814</v>
      </c>
      <c r="B61" s="55" t="s">
        <v>815</v>
      </c>
      <c r="C61" s="55" t="s">
        <v>100</v>
      </c>
      <c r="D61" s="56" t="s">
        <v>696</v>
      </c>
      <c r="E61" s="56" t="s">
        <v>696</v>
      </c>
      <c r="F61" s="57" t="s">
        <v>696</v>
      </c>
      <c r="G61" s="57" t="s">
        <v>696</v>
      </c>
      <c r="H61" s="56" t="s">
        <v>696</v>
      </c>
      <c r="I61" s="57" t="s">
        <v>696</v>
      </c>
      <c r="J61" s="56" t="s">
        <v>696</v>
      </c>
      <c r="K61" s="56" t="s">
        <v>697</v>
      </c>
      <c r="L61" s="56" t="s">
        <v>696</v>
      </c>
      <c r="M61" s="56"/>
    </row>
    <row r="62" spans="1:13">
      <c r="A62" s="55" t="s">
        <v>816</v>
      </c>
      <c r="B62" s="55" t="s">
        <v>817</v>
      </c>
      <c r="C62" s="55" t="s">
        <v>100</v>
      </c>
      <c r="D62" s="56" t="s">
        <v>696</v>
      </c>
      <c r="E62" s="56" t="s">
        <v>696</v>
      </c>
      <c r="F62" s="57" t="s">
        <v>696</v>
      </c>
      <c r="G62" s="57" t="s">
        <v>696</v>
      </c>
      <c r="H62" s="56" t="s">
        <v>696</v>
      </c>
      <c r="I62" s="57" t="s">
        <v>696</v>
      </c>
      <c r="J62" s="56" t="s">
        <v>696</v>
      </c>
      <c r="K62" s="56" t="s">
        <v>697</v>
      </c>
      <c r="L62" s="56" t="s">
        <v>696</v>
      </c>
      <c r="M62" s="56"/>
    </row>
    <row r="63" spans="1:13">
      <c r="A63" s="61" t="s">
        <v>818</v>
      </c>
      <c r="B63" s="55" t="s">
        <v>819</v>
      </c>
      <c r="C63" s="55" t="s">
        <v>270</v>
      </c>
      <c r="D63" s="56" t="s">
        <v>696</v>
      </c>
      <c r="E63" s="56" t="s">
        <v>696</v>
      </c>
      <c r="F63" s="57" t="s">
        <v>696</v>
      </c>
      <c r="G63" s="57" t="s">
        <v>696</v>
      </c>
      <c r="H63" s="56" t="s">
        <v>697</v>
      </c>
      <c r="I63" s="57" t="s">
        <v>696</v>
      </c>
      <c r="J63" s="56" t="s">
        <v>697</v>
      </c>
      <c r="K63" s="56" t="s">
        <v>697</v>
      </c>
      <c r="L63" s="56" t="s">
        <v>696</v>
      </c>
      <c r="M63" s="56"/>
    </row>
    <row r="64" spans="1:13">
      <c r="A64" s="55" t="s">
        <v>820</v>
      </c>
      <c r="B64" s="55" t="s">
        <v>821</v>
      </c>
      <c r="C64" s="55" t="s">
        <v>96</v>
      </c>
      <c r="D64" s="56" t="s">
        <v>696</v>
      </c>
      <c r="E64" s="56" t="s">
        <v>696</v>
      </c>
      <c r="F64" s="57" t="s">
        <v>697</v>
      </c>
      <c r="G64" s="57" t="s">
        <v>696</v>
      </c>
      <c r="H64" s="56" t="s">
        <v>697</v>
      </c>
      <c r="I64" s="57" t="s">
        <v>696</v>
      </c>
      <c r="J64" s="56" t="s">
        <v>697</v>
      </c>
      <c r="K64" s="56" t="s">
        <v>697</v>
      </c>
      <c r="L64" s="56"/>
      <c r="M64" s="56"/>
    </row>
    <row r="65" spans="1:13">
      <c r="A65" s="55" t="s">
        <v>822</v>
      </c>
      <c r="B65" s="55" t="s">
        <v>823</v>
      </c>
      <c r="C65" s="55" t="s">
        <v>96</v>
      </c>
      <c r="D65" s="56" t="s">
        <v>696</v>
      </c>
      <c r="E65" s="56" t="s">
        <v>696</v>
      </c>
      <c r="F65" s="57" t="s">
        <v>696</v>
      </c>
      <c r="G65" s="57" t="s">
        <v>696</v>
      </c>
      <c r="H65" s="56" t="s">
        <v>697</v>
      </c>
      <c r="I65" s="57" t="s">
        <v>696</v>
      </c>
      <c r="J65" s="56" t="s">
        <v>697</v>
      </c>
      <c r="K65" s="56" t="s">
        <v>697</v>
      </c>
      <c r="L65" s="56" t="s">
        <v>696</v>
      </c>
      <c r="M65" s="56"/>
    </row>
    <row r="66" spans="1:13">
      <c r="A66" s="55" t="s">
        <v>824</v>
      </c>
      <c r="B66" s="55" t="s">
        <v>825</v>
      </c>
      <c r="C66" s="55" t="s">
        <v>96</v>
      </c>
      <c r="D66" s="56" t="s">
        <v>696</v>
      </c>
      <c r="E66" s="56" t="s">
        <v>696</v>
      </c>
      <c r="F66" s="57" t="s">
        <v>696</v>
      </c>
      <c r="G66" s="57" t="s">
        <v>696</v>
      </c>
      <c r="H66" s="56" t="s">
        <v>697</v>
      </c>
      <c r="I66" s="57" t="s">
        <v>696</v>
      </c>
      <c r="J66" s="56" t="s">
        <v>696</v>
      </c>
      <c r="K66" s="56" t="s">
        <v>697</v>
      </c>
      <c r="L66" s="56" t="s">
        <v>696</v>
      </c>
      <c r="M66" s="56"/>
    </row>
    <row r="67" spans="1:13">
      <c r="A67" s="61" t="s">
        <v>826</v>
      </c>
      <c r="B67" s="55" t="s">
        <v>827</v>
      </c>
      <c r="C67" s="55" t="s">
        <v>270</v>
      </c>
      <c r="D67" s="56" t="s">
        <v>696</v>
      </c>
      <c r="E67" s="56" t="s">
        <v>696</v>
      </c>
      <c r="F67" s="57" t="s">
        <v>696</v>
      </c>
      <c r="G67" s="57" t="s">
        <v>696</v>
      </c>
      <c r="H67" s="56" t="s">
        <v>697</v>
      </c>
      <c r="I67" s="57" t="s">
        <v>696</v>
      </c>
      <c r="J67" s="56" t="s">
        <v>697</v>
      </c>
      <c r="K67" s="56" t="s">
        <v>697</v>
      </c>
      <c r="L67" s="56" t="s">
        <v>696</v>
      </c>
      <c r="M67" s="56"/>
    </row>
    <row r="68" spans="1:13">
      <c r="A68" s="55" t="s">
        <v>828</v>
      </c>
      <c r="B68" s="55" t="s">
        <v>829</v>
      </c>
      <c r="C68" s="55" t="s">
        <v>96</v>
      </c>
      <c r="D68" s="56" t="s">
        <v>696</v>
      </c>
      <c r="E68" s="56" t="s">
        <v>696</v>
      </c>
      <c r="F68" s="57" t="s">
        <v>696</v>
      </c>
      <c r="G68" s="57" t="s">
        <v>696</v>
      </c>
      <c r="H68" s="56" t="s">
        <v>697</v>
      </c>
      <c r="I68" s="57" t="s">
        <v>696</v>
      </c>
      <c r="J68" s="56" t="s">
        <v>696</v>
      </c>
      <c r="K68" s="56" t="s">
        <v>696</v>
      </c>
      <c r="L68" s="56" t="s">
        <v>696</v>
      </c>
      <c r="M68" s="56"/>
    </row>
    <row r="69" spans="1:13">
      <c r="A69" s="61" t="s">
        <v>830</v>
      </c>
      <c r="B69" s="55" t="s">
        <v>831</v>
      </c>
      <c r="C69" s="55" t="s">
        <v>270</v>
      </c>
      <c r="D69" s="56" t="s">
        <v>696</v>
      </c>
      <c r="E69" s="56" t="s">
        <v>696</v>
      </c>
      <c r="F69" s="57" t="s">
        <v>697</v>
      </c>
      <c r="G69" s="57" t="s">
        <v>697</v>
      </c>
      <c r="H69" s="56" t="s">
        <v>697</v>
      </c>
      <c r="I69" s="57" t="s">
        <v>696</v>
      </c>
      <c r="J69" s="56" t="s">
        <v>697</v>
      </c>
      <c r="K69" s="56" t="s">
        <v>697</v>
      </c>
      <c r="L69" s="56"/>
      <c r="M69" s="56"/>
    </row>
    <row r="70" spans="1:13">
      <c r="A70" s="61" t="s">
        <v>832</v>
      </c>
      <c r="B70" s="55" t="s">
        <v>833</v>
      </c>
      <c r="C70" s="55" t="s">
        <v>270</v>
      </c>
      <c r="D70" s="56" t="s">
        <v>696</v>
      </c>
      <c r="E70" s="56" t="s">
        <v>696</v>
      </c>
      <c r="F70" s="57" t="s">
        <v>697</v>
      </c>
      <c r="G70" s="57" t="s">
        <v>696</v>
      </c>
      <c r="H70" s="56" t="s">
        <v>697</v>
      </c>
      <c r="I70" s="57" t="s">
        <v>696</v>
      </c>
      <c r="J70" s="56" t="s">
        <v>697</v>
      </c>
      <c r="K70" s="56" t="s">
        <v>697</v>
      </c>
      <c r="L70" s="56" t="s">
        <v>697</v>
      </c>
      <c r="M70" s="56"/>
    </row>
    <row r="71" spans="1:13">
      <c r="A71" s="55" t="s">
        <v>834</v>
      </c>
      <c r="B71" s="55" t="s">
        <v>835</v>
      </c>
      <c r="C71" s="55" t="s">
        <v>100</v>
      </c>
      <c r="D71" s="56" t="s">
        <v>696</v>
      </c>
      <c r="E71" s="56" t="s">
        <v>696</v>
      </c>
      <c r="F71" s="57" t="s">
        <v>696</v>
      </c>
      <c r="G71" s="57" t="s">
        <v>696</v>
      </c>
      <c r="H71" s="56" t="s">
        <v>697</v>
      </c>
      <c r="I71" s="57" t="s">
        <v>696</v>
      </c>
      <c r="J71" s="56" t="s">
        <v>697</v>
      </c>
      <c r="K71" s="56" t="s">
        <v>697</v>
      </c>
      <c r="L71" s="56" t="s">
        <v>696</v>
      </c>
      <c r="M71" s="56"/>
    </row>
    <row r="72" spans="1:13">
      <c r="A72" s="55" t="s">
        <v>836</v>
      </c>
      <c r="B72" s="61" t="s">
        <v>837</v>
      </c>
      <c r="C72" s="55" t="s">
        <v>270</v>
      </c>
      <c r="D72" s="56" t="s">
        <v>696</v>
      </c>
      <c r="E72" s="56" t="s">
        <v>696</v>
      </c>
      <c r="F72" s="57" t="s">
        <v>696</v>
      </c>
      <c r="G72" s="57" t="s">
        <v>697</v>
      </c>
      <c r="H72" s="56" t="s">
        <v>697</v>
      </c>
      <c r="I72" s="57" t="s">
        <v>696</v>
      </c>
      <c r="J72" s="56" t="s">
        <v>697</v>
      </c>
      <c r="K72" s="56" t="s">
        <v>697</v>
      </c>
      <c r="L72" s="56" t="s">
        <v>696</v>
      </c>
      <c r="M72" s="56"/>
    </row>
    <row r="73" spans="1:13">
      <c r="A73" s="61" t="s">
        <v>838</v>
      </c>
      <c r="B73" s="55" t="s">
        <v>839</v>
      </c>
      <c r="C73" s="55" t="s">
        <v>270</v>
      </c>
      <c r="D73" s="56" t="s">
        <v>696</v>
      </c>
      <c r="E73" s="56" t="s">
        <v>696</v>
      </c>
      <c r="F73" s="57" t="s">
        <v>697</v>
      </c>
      <c r="G73" s="57" t="s">
        <v>697</v>
      </c>
      <c r="H73" s="56" t="s">
        <v>697</v>
      </c>
      <c r="I73" s="57" t="s">
        <v>696</v>
      </c>
      <c r="J73" s="56" t="s">
        <v>697</v>
      </c>
      <c r="K73" s="56" t="s">
        <v>697</v>
      </c>
      <c r="L73" s="56"/>
      <c r="M73" s="56"/>
    </row>
    <row r="74" spans="1:13">
      <c r="A74" s="55" t="s">
        <v>840</v>
      </c>
      <c r="B74" s="55" t="s">
        <v>841</v>
      </c>
      <c r="C74" s="55" t="s">
        <v>100</v>
      </c>
      <c r="D74" s="56" t="s">
        <v>696</v>
      </c>
      <c r="E74" s="56" t="s">
        <v>696</v>
      </c>
      <c r="F74" s="57" t="s">
        <v>697</v>
      </c>
      <c r="G74" s="57" t="s">
        <v>697</v>
      </c>
      <c r="H74" s="56" t="s">
        <v>697</v>
      </c>
      <c r="I74" s="57" t="s">
        <v>696</v>
      </c>
      <c r="J74" s="56" t="s">
        <v>697</v>
      </c>
      <c r="K74" s="56" t="s">
        <v>697</v>
      </c>
      <c r="L74" s="56"/>
      <c r="M74" s="56"/>
    </row>
    <row r="75" spans="1:13">
      <c r="A75" s="55" t="s">
        <v>842</v>
      </c>
      <c r="B75" s="55" t="s">
        <v>843</v>
      </c>
      <c r="C75" s="55" t="s">
        <v>100</v>
      </c>
      <c r="D75" s="56" t="s">
        <v>696</v>
      </c>
      <c r="E75" s="56" t="s">
        <v>696</v>
      </c>
      <c r="F75" s="57" t="s">
        <v>697</v>
      </c>
      <c r="G75" s="57" t="s">
        <v>696</v>
      </c>
      <c r="H75" s="56" t="s">
        <v>697</v>
      </c>
      <c r="I75" s="57" t="s">
        <v>696</v>
      </c>
      <c r="J75" s="56" t="s">
        <v>697</v>
      </c>
      <c r="K75" s="56" t="s">
        <v>697</v>
      </c>
      <c r="L75" s="56" t="s">
        <v>696</v>
      </c>
      <c r="M75" s="56"/>
    </row>
    <row r="76" spans="1:13">
      <c r="A76" s="55" t="s">
        <v>844</v>
      </c>
      <c r="B76" s="55" t="s">
        <v>845</v>
      </c>
      <c r="C76" s="55" t="s">
        <v>182</v>
      </c>
      <c r="D76" s="56" t="s">
        <v>696</v>
      </c>
      <c r="E76" s="56" t="s">
        <v>696</v>
      </c>
      <c r="F76" s="57" t="s">
        <v>696</v>
      </c>
      <c r="G76" s="57" t="s">
        <v>696</v>
      </c>
      <c r="H76" s="56" t="s">
        <v>697</v>
      </c>
      <c r="I76" s="57" t="s">
        <v>696</v>
      </c>
      <c r="J76" s="56" t="s">
        <v>697</v>
      </c>
      <c r="K76" s="56" t="s">
        <v>697</v>
      </c>
      <c r="L76" s="56" t="s">
        <v>696</v>
      </c>
      <c r="M76" s="56"/>
    </row>
    <row r="77" spans="1:13">
      <c r="A77" s="55" t="s">
        <v>846</v>
      </c>
      <c r="B77" s="55" t="s">
        <v>847</v>
      </c>
      <c r="C77" s="55" t="s">
        <v>100</v>
      </c>
      <c r="D77" s="56" t="s">
        <v>696</v>
      </c>
      <c r="E77" s="56" t="s">
        <v>696</v>
      </c>
      <c r="F77" s="57" t="s">
        <v>696</v>
      </c>
      <c r="G77" s="57" t="s">
        <v>696</v>
      </c>
      <c r="H77" s="56" t="s">
        <v>696</v>
      </c>
      <c r="I77" s="57" t="s">
        <v>696</v>
      </c>
      <c r="J77" s="56" t="s">
        <v>696</v>
      </c>
      <c r="K77" s="56" t="s">
        <v>697</v>
      </c>
      <c r="L77" s="56" t="s">
        <v>696</v>
      </c>
      <c r="M77" s="56"/>
    </row>
    <row r="78" spans="1:13" ht="14.15" customHeight="1">
      <c r="A78" s="61" t="s">
        <v>848</v>
      </c>
      <c r="B78" s="55" t="s">
        <v>849</v>
      </c>
      <c r="C78" s="55" t="s">
        <v>100</v>
      </c>
      <c r="D78" s="56" t="s">
        <v>696</v>
      </c>
      <c r="E78" s="56" t="s">
        <v>696</v>
      </c>
      <c r="F78" s="57" t="s">
        <v>696</v>
      </c>
      <c r="G78" s="57" t="s">
        <v>696</v>
      </c>
      <c r="H78" s="56" t="s">
        <v>696</v>
      </c>
      <c r="I78" s="57" t="s">
        <v>696</v>
      </c>
      <c r="J78" s="56" t="s">
        <v>696</v>
      </c>
      <c r="K78" s="56" t="s">
        <v>696</v>
      </c>
      <c r="L78" s="56"/>
      <c r="M78" s="56"/>
    </row>
    <row r="79" spans="1:13">
      <c r="A79" s="55" t="s">
        <v>850</v>
      </c>
      <c r="B79" s="55" t="s">
        <v>851</v>
      </c>
      <c r="C79" s="55" t="s">
        <v>96</v>
      </c>
      <c r="D79" s="56" t="s">
        <v>696</v>
      </c>
      <c r="E79" s="56" t="s">
        <v>696</v>
      </c>
      <c r="F79" s="57" t="s">
        <v>697</v>
      </c>
      <c r="G79" s="57" t="s">
        <v>696</v>
      </c>
      <c r="H79" s="56" t="s">
        <v>697</v>
      </c>
      <c r="I79" s="57" t="s">
        <v>696</v>
      </c>
      <c r="J79" s="56" t="s">
        <v>697</v>
      </c>
      <c r="K79" s="56" t="s">
        <v>697</v>
      </c>
      <c r="L79" s="56"/>
      <c r="M79" s="56"/>
    </row>
    <row r="80" spans="1:13">
      <c r="A80" s="55" t="s">
        <v>852</v>
      </c>
      <c r="B80" s="55" t="s">
        <v>853</v>
      </c>
      <c r="C80" s="55" t="s">
        <v>182</v>
      </c>
      <c r="D80" s="56" t="s">
        <v>696</v>
      </c>
      <c r="E80" s="56" t="s">
        <v>696</v>
      </c>
      <c r="F80" s="57" t="s">
        <v>697</v>
      </c>
      <c r="G80" s="57" t="s">
        <v>696</v>
      </c>
      <c r="H80" s="56" t="s">
        <v>697</v>
      </c>
      <c r="I80" s="57" t="s">
        <v>696</v>
      </c>
      <c r="J80" s="56" t="s">
        <v>697</v>
      </c>
      <c r="K80" s="56" t="s">
        <v>697</v>
      </c>
      <c r="L80" s="56"/>
      <c r="M80" s="56"/>
    </row>
    <row r="81" spans="1:13">
      <c r="A81" s="55" t="s">
        <v>854</v>
      </c>
      <c r="B81" s="55" t="s">
        <v>855</v>
      </c>
      <c r="C81" s="55" t="s">
        <v>100</v>
      </c>
      <c r="D81" s="56" t="s">
        <v>696</v>
      </c>
      <c r="E81" s="56" t="s">
        <v>696</v>
      </c>
      <c r="F81" s="57" t="s">
        <v>697</v>
      </c>
      <c r="G81" s="57" t="s">
        <v>697</v>
      </c>
      <c r="H81" s="56" t="s">
        <v>697</v>
      </c>
      <c r="I81" s="57" t="s">
        <v>697</v>
      </c>
      <c r="J81" s="56" t="s">
        <v>697</v>
      </c>
      <c r="K81" s="56" t="s">
        <v>697</v>
      </c>
      <c r="L81" s="56" t="s">
        <v>696</v>
      </c>
      <c r="M81" s="56"/>
    </row>
    <row r="82" spans="1:13">
      <c r="A82" s="61" t="s">
        <v>856</v>
      </c>
      <c r="B82" s="55" t="s">
        <v>857</v>
      </c>
      <c r="C82" s="55" t="s">
        <v>270</v>
      </c>
      <c r="D82" s="56" t="s">
        <v>696</v>
      </c>
      <c r="E82" s="56" t="s">
        <v>696</v>
      </c>
      <c r="F82" s="57" t="s">
        <v>696</v>
      </c>
      <c r="G82" s="57" t="s">
        <v>696</v>
      </c>
      <c r="H82" s="56" t="s">
        <v>697</v>
      </c>
      <c r="I82" s="57" t="s">
        <v>696</v>
      </c>
      <c r="J82" s="56" t="s">
        <v>697</v>
      </c>
      <c r="K82" s="56" t="s">
        <v>697</v>
      </c>
      <c r="L82" s="56"/>
      <c r="M82" s="56"/>
    </row>
    <row r="83" spans="1:13">
      <c r="A83" s="61" t="s">
        <v>858</v>
      </c>
      <c r="B83" s="55" t="s">
        <v>859</v>
      </c>
      <c r="C83" s="55" t="s">
        <v>270</v>
      </c>
      <c r="D83" s="56" t="s">
        <v>696</v>
      </c>
      <c r="E83" s="56" t="s">
        <v>696</v>
      </c>
      <c r="F83" s="57" t="s">
        <v>696</v>
      </c>
      <c r="G83" s="57" t="s">
        <v>696</v>
      </c>
      <c r="H83" s="56" t="s">
        <v>697</v>
      </c>
      <c r="I83" s="57" t="s">
        <v>696</v>
      </c>
      <c r="J83" s="56" t="s">
        <v>697</v>
      </c>
      <c r="K83" s="56" t="s">
        <v>697</v>
      </c>
      <c r="L83" s="56" t="s">
        <v>696</v>
      </c>
      <c r="M83" s="56"/>
    </row>
    <row r="84" spans="1:13">
      <c r="A84" s="61" t="s">
        <v>860</v>
      </c>
      <c r="B84" s="55" t="s">
        <v>861</v>
      </c>
      <c r="C84" s="55" t="s">
        <v>275</v>
      </c>
      <c r="D84" s="56" t="s">
        <v>696</v>
      </c>
      <c r="E84" s="56" t="s">
        <v>696</v>
      </c>
      <c r="F84" s="57" t="s">
        <v>696</v>
      </c>
      <c r="G84" s="57" t="s">
        <v>696</v>
      </c>
      <c r="H84" s="56" t="s">
        <v>697</v>
      </c>
      <c r="I84" s="57" t="s">
        <v>696</v>
      </c>
      <c r="J84" s="56" t="s">
        <v>697</v>
      </c>
      <c r="K84" s="56" t="s">
        <v>697</v>
      </c>
      <c r="L84" s="56" t="s">
        <v>696</v>
      </c>
      <c r="M84" s="56"/>
    </row>
    <row r="85" spans="1:13">
      <c r="A85" s="55" t="s">
        <v>862</v>
      </c>
      <c r="B85" s="55" t="s">
        <v>863</v>
      </c>
      <c r="C85" s="55" t="s">
        <v>100</v>
      </c>
      <c r="D85" s="56" t="s">
        <v>696</v>
      </c>
      <c r="E85" s="56" t="s">
        <v>696</v>
      </c>
      <c r="F85" s="57" t="s">
        <v>696</v>
      </c>
      <c r="G85" s="57" t="s">
        <v>696</v>
      </c>
      <c r="H85" s="56" t="s">
        <v>696</v>
      </c>
      <c r="I85" s="57" t="s">
        <v>696</v>
      </c>
      <c r="J85" s="56" t="s">
        <v>696</v>
      </c>
      <c r="K85" s="56" t="s">
        <v>696</v>
      </c>
      <c r="L85" s="56" t="s">
        <v>696</v>
      </c>
      <c r="M85" s="56"/>
    </row>
    <row r="86" spans="1:13">
      <c r="A86" s="61" t="s">
        <v>864</v>
      </c>
      <c r="B86" s="55" t="s">
        <v>865</v>
      </c>
      <c r="C86" s="55" t="s">
        <v>270</v>
      </c>
      <c r="D86" s="56" t="s">
        <v>696</v>
      </c>
      <c r="E86" s="56" t="s">
        <v>696</v>
      </c>
      <c r="F86" s="57" t="s">
        <v>696</v>
      </c>
      <c r="G86" s="57" t="s">
        <v>696</v>
      </c>
      <c r="H86" s="56" t="s">
        <v>697</v>
      </c>
      <c r="I86" s="57" t="s">
        <v>696</v>
      </c>
      <c r="J86" s="56" t="s">
        <v>697</v>
      </c>
      <c r="K86" s="56" t="s">
        <v>697</v>
      </c>
      <c r="L86" s="56"/>
      <c r="M86" s="56"/>
    </row>
    <row r="87" spans="1:13">
      <c r="A87" s="55" t="s">
        <v>866</v>
      </c>
      <c r="B87" s="55" t="s">
        <v>867</v>
      </c>
      <c r="C87" s="55" t="s">
        <v>100</v>
      </c>
      <c r="D87" s="56" t="s">
        <v>696</v>
      </c>
      <c r="E87" s="56" t="s">
        <v>696</v>
      </c>
      <c r="F87" s="57" t="s">
        <v>697</v>
      </c>
      <c r="G87" s="57" t="s">
        <v>696</v>
      </c>
      <c r="H87" s="56" t="s">
        <v>697</v>
      </c>
      <c r="I87" s="57" t="s">
        <v>696</v>
      </c>
      <c r="J87" s="56" t="s">
        <v>697</v>
      </c>
      <c r="K87" s="56" t="s">
        <v>697</v>
      </c>
      <c r="L87" s="56" t="s">
        <v>696</v>
      </c>
      <c r="M87" s="56"/>
    </row>
    <row r="88" spans="1:13">
      <c r="A88" s="55" t="s">
        <v>868</v>
      </c>
      <c r="B88" s="55" t="s">
        <v>869</v>
      </c>
      <c r="C88" s="55" t="s">
        <v>100</v>
      </c>
      <c r="D88" s="56" t="s">
        <v>696</v>
      </c>
      <c r="E88" s="56" t="s">
        <v>696</v>
      </c>
      <c r="F88" s="57" t="s">
        <v>696</v>
      </c>
      <c r="G88" s="57" t="s">
        <v>696</v>
      </c>
      <c r="H88" s="56" t="s">
        <v>696</v>
      </c>
      <c r="I88" s="57" t="s">
        <v>696</v>
      </c>
      <c r="J88" s="56" t="s">
        <v>696</v>
      </c>
      <c r="K88" s="56" t="s">
        <v>697</v>
      </c>
      <c r="L88" s="56"/>
      <c r="M88" s="56"/>
    </row>
    <row r="89" spans="1:13">
      <c r="A89" s="55" t="s">
        <v>870</v>
      </c>
      <c r="B89" s="55" t="s">
        <v>871</v>
      </c>
      <c r="C89" s="55" t="s">
        <v>100</v>
      </c>
      <c r="D89" s="56" t="s">
        <v>696</v>
      </c>
      <c r="E89" s="56" t="s">
        <v>696</v>
      </c>
      <c r="F89" s="57" t="s">
        <v>697</v>
      </c>
      <c r="G89" s="57" t="s">
        <v>696</v>
      </c>
      <c r="H89" s="56" t="s">
        <v>697</v>
      </c>
      <c r="I89" s="57" t="s">
        <v>696</v>
      </c>
      <c r="J89" s="56" t="s">
        <v>697</v>
      </c>
      <c r="K89" s="56" t="s">
        <v>697</v>
      </c>
      <c r="L89" s="56"/>
      <c r="M89" s="56"/>
    </row>
    <row r="90" spans="1:13" ht="13.5" customHeight="1">
      <c r="A90" s="55" t="s">
        <v>872</v>
      </c>
      <c r="B90" s="55" t="s">
        <v>873</v>
      </c>
      <c r="C90" s="55" t="s">
        <v>96</v>
      </c>
      <c r="D90" s="56" t="s">
        <v>696</v>
      </c>
      <c r="E90" s="56" t="s">
        <v>696</v>
      </c>
      <c r="F90" s="57" t="s">
        <v>696</v>
      </c>
      <c r="G90" s="57" t="s">
        <v>696</v>
      </c>
      <c r="H90" s="56" t="s">
        <v>697</v>
      </c>
      <c r="I90" s="57" t="s">
        <v>696</v>
      </c>
      <c r="J90" s="56" t="s">
        <v>697</v>
      </c>
      <c r="K90" s="56" t="s">
        <v>697</v>
      </c>
      <c r="L90" s="56"/>
      <c r="M90" s="56"/>
    </row>
    <row r="91" spans="1:13" ht="14.15" customHeight="1">
      <c r="A91" s="55" t="s">
        <v>874</v>
      </c>
      <c r="B91" s="55" t="s">
        <v>875</v>
      </c>
      <c r="C91" s="55" t="s">
        <v>96</v>
      </c>
      <c r="D91" s="56" t="s">
        <v>696</v>
      </c>
      <c r="E91" s="56" t="s">
        <v>696</v>
      </c>
      <c r="F91" s="57" t="s">
        <v>697</v>
      </c>
      <c r="G91" s="57" t="s">
        <v>696</v>
      </c>
      <c r="H91" s="56" t="s">
        <v>697</v>
      </c>
      <c r="I91" s="57" t="s">
        <v>696</v>
      </c>
      <c r="J91" s="56" t="s">
        <v>697</v>
      </c>
      <c r="K91" s="56" t="s">
        <v>697</v>
      </c>
      <c r="L91" s="56"/>
      <c r="M91" s="56"/>
    </row>
    <row r="92" spans="1:13">
      <c r="A92" s="61" t="s">
        <v>876</v>
      </c>
      <c r="B92" s="55" t="s">
        <v>877</v>
      </c>
      <c r="C92" s="55" t="s">
        <v>47</v>
      </c>
      <c r="D92" s="56" t="s">
        <v>696</v>
      </c>
      <c r="E92" s="56" t="s">
        <v>878</v>
      </c>
      <c r="F92" s="57" t="s">
        <v>697</v>
      </c>
      <c r="G92" s="57" t="s">
        <v>696</v>
      </c>
      <c r="H92" s="56" t="s">
        <v>697</v>
      </c>
      <c r="I92" s="57" t="s">
        <v>697</v>
      </c>
      <c r="J92" s="56" t="s">
        <v>697</v>
      </c>
      <c r="K92" s="56" t="s">
        <v>697</v>
      </c>
      <c r="L92" s="56" t="s">
        <v>696</v>
      </c>
      <c r="M92" s="56"/>
    </row>
    <row r="93" spans="1:13" ht="15" customHeight="1">
      <c r="A93" s="55" t="s">
        <v>879</v>
      </c>
      <c r="B93" s="55" t="s">
        <v>880</v>
      </c>
      <c r="C93" s="55" t="s">
        <v>96</v>
      </c>
      <c r="D93" s="56" t="s">
        <v>696</v>
      </c>
      <c r="E93" s="56" t="s">
        <v>696</v>
      </c>
      <c r="F93" s="57" t="s">
        <v>696</v>
      </c>
      <c r="G93" s="57" t="s">
        <v>696</v>
      </c>
      <c r="H93" s="56" t="s">
        <v>697</v>
      </c>
      <c r="I93" s="57" t="s">
        <v>696</v>
      </c>
      <c r="J93" s="56" t="s">
        <v>696</v>
      </c>
      <c r="K93" s="56" t="s">
        <v>696</v>
      </c>
      <c r="L93" s="56"/>
      <c r="M93" s="56"/>
    </row>
    <row r="94" spans="1:13">
      <c r="A94" s="55" t="s">
        <v>881</v>
      </c>
      <c r="B94" s="55" t="s">
        <v>882</v>
      </c>
      <c r="C94" s="55" t="s">
        <v>100</v>
      </c>
      <c r="D94" s="56" t="s">
        <v>696</v>
      </c>
      <c r="E94" s="56" t="s">
        <v>696</v>
      </c>
      <c r="F94" s="57" t="s">
        <v>697</v>
      </c>
      <c r="G94" s="57" t="s">
        <v>697</v>
      </c>
      <c r="H94" s="56" t="s">
        <v>697</v>
      </c>
      <c r="I94" s="57" t="s">
        <v>696</v>
      </c>
      <c r="J94" s="56" t="s">
        <v>697</v>
      </c>
      <c r="K94" s="56" t="s">
        <v>697</v>
      </c>
      <c r="L94" s="56" t="s">
        <v>696</v>
      </c>
      <c r="M94" s="56"/>
    </row>
    <row r="95" spans="1:13">
      <c r="A95" s="61" t="s">
        <v>883</v>
      </c>
      <c r="B95" s="55" t="s">
        <v>884</v>
      </c>
      <c r="C95" s="55" t="s">
        <v>270</v>
      </c>
      <c r="D95" s="56" t="s">
        <v>696</v>
      </c>
      <c r="E95" s="56" t="s">
        <v>696</v>
      </c>
      <c r="F95" s="57" t="s">
        <v>697</v>
      </c>
      <c r="G95" s="57" t="s">
        <v>696</v>
      </c>
      <c r="H95" s="56" t="s">
        <v>697</v>
      </c>
      <c r="I95" s="57" t="s">
        <v>696</v>
      </c>
      <c r="J95" s="56" t="s">
        <v>697</v>
      </c>
      <c r="K95" s="56" t="s">
        <v>697</v>
      </c>
      <c r="L95" s="56"/>
      <c r="M95" s="56"/>
    </row>
    <row r="96" spans="1:13">
      <c r="A96" s="61" t="s">
        <v>885</v>
      </c>
      <c r="B96" s="55" t="s">
        <v>886</v>
      </c>
      <c r="C96" s="55" t="s">
        <v>270</v>
      </c>
      <c r="D96" s="56" t="s">
        <v>696</v>
      </c>
      <c r="E96" s="56" t="s">
        <v>696</v>
      </c>
      <c r="F96" s="57" t="s">
        <v>696</v>
      </c>
      <c r="G96" s="57" t="s">
        <v>696</v>
      </c>
      <c r="H96" s="56" t="s">
        <v>697</v>
      </c>
      <c r="I96" s="57" t="s">
        <v>696</v>
      </c>
      <c r="J96" s="56" t="s">
        <v>697</v>
      </c>
      <c r="K96" s="56" t="s">
        <v>697</v>
      </c>
      <c r="L96" s="56"/>
      <c r="M96" s="56"/>
    </row>
    <row r="97" spans="1:13">
      <c r="A97" s="55" t="s">
        <v>887</v>
      </c>
      <c r="B97" s="55" t="s">
        <v>888</v>
      </c>
      <c r="C97" s="55" t="s">
        <v>96</v>
      </c>
      <c r="D97" s="56" t="s">
        <v>696</v>
      </c>
      <c r="E97" s="56" t="s">
        <v>696</v>
      </c>
      <c r="F97" s="57" t="s">
        <v>696</v>
      </c>
      <c r="G97" s="57" t="s">
        <v>697</v>
      </c>
      <c r="H97" s="56" t="s">
        <v>697</v>
      </c>
      <c r="I97" s="57" t="s">
        <v>696</v>
      </c>
      <c r="J97" s="56" t="s">
        <v>697</v>
      </c>
      <c r="K97" s="56" t="s">
        <v>697</v>
      </c>
      <c r="L97" s="56"/>
      <c r="M97" s="56"/>
    </row>
    <row r="98" spans="1:13">
      <c r="A98" s="55" t="s">
        <v>889</v>
      </c>
      <c r="B98" s="55" t="s">
        <v>364</v>
      </c>
      <c r="C98" s="55" t="s">
        <v>96</v>
      </c>
      <c r="D98" s="56" t="s">
        <v>696</v>
      </c>
      <c r="E98" s="56" t="s">
        <v>696</v>
      </c>
      <c r="F98" s="57" t="s">
        <v>697</v>
      </c>
      <c r="G98" s="57" t="s">
        <v>696</v>
      </c>
      <c r="H98" s="56" t="s">
        <v>697</v>
      </c>
      <c r="I98" s="57" t="s">
        <v>696</v>
      </c>
      <c r="J98" s="56" t="s">
        <v>697</v>
      </c>
      <c r="K98" s="56" t="s">
        <v>697</v>
      </c>
      <c r="L98" s="56"/>
      <c r="M98" s="56"/>
    </row>
    <row r="99" spans="1:13">
      <c r="A99" s="55" t="s">
        <v>890</v>
      </c>
      <c r="B99" s="55" t="s">
        <v>891</v>
      </c>
      <c r="C99" s="55" t="s">
        <v>100</v>
      </c>
      <c r="D99" s="56" t="s">
        <v>696</v>
      </c>
      <c r="E99" s="56" t="s">
        <v>696</v>
      </c>
      <c r="F99" s="57" t="s">
        <v>697</v>
      </c>
      <c r="G99" s="57" t="s">
        <v>697</v>
      </c>
      <c r="H99" s="56" t="s">
        <v>697</v>
      </c>
      <c r="I99" s="57" t="s">
        <v>697</v>
      </c>
      <c r="J99" s="56" t="s">
        <v>697</v>
      </c>
      <c r="K99" s="56" t="s">
        <v>697</v>
      </c>
      <c r="L99" s="56" t="s">
        <v>696</v>
      </c>
      <c r="M99" s="56"/>
    </row>
    <row r="100" spans="1:13">
      <c r="A100" s="55" t="s">
        <v>892</v>
      </c>
      <c r="B100" s="55" t="s">
        <v>893</v>
      </c>
      <c r="C100" s="55" t="s">
        <v>96</v>
      </c>
      <c r="D100" s="56" t="s">
        <v>696</v>
      </c>
      <c r="E100" s="56" t="s">
        <v>696</v>
      </c>
      <c r="F100" s="57" t="s">
        <v>696</v>
      </c>
      <c r="G100" s="57" t="s">
        <v>696</v>
      </c>
      <c r="H100" s="56" t="s">
        <v>697</v>
      </c>
      <c r="I100" s="57" t="s">
        <v>696</v>
      </c>
      <c r="J100" s="56" t="s">
        <v>696</v>
      </c>
      <c r="K100" s="56" t="s">
        <v>696</v>
      </c>
      <c r="L100" s="56"/>
      <c r="M100" s="56"/>
    </row>
    <row r="101" spans="1:13">
      <c r="A101" s="61" t="s">
        <v>894</v>
      </c>
      <c r="B101" s="55" t="s">
        <v>895</v>
      </c>
      <c r="C101" s="55" t="s">
        <v>351</v>
      </c>
      <c r="D101" s="56" t="s">
        <v>696</v>
      </c>
      <c r="E101" s="56" t="s">
        <v>696</v>
      </c>
      <c r="F101" s="57" t="s">
        <v>696</v>
      </c>
      <c r="G101" s="57" t="s">
        <v>696</v>
      </c>
      <c r="H101" s="56" t="s">
        <v>696</v>
      </c>
      <c r="I101" s="57" t="s">
        <v>696</v>
      </c>
      <c r="J101" s="56" t="s">
        <v>696</v>
      </c>
      <c r="K101" s="56" t="s">
        <v>697</v>
      </c>
      <c r="L101" s="56" t="s">
        <v>696</v>
      </c>
      <c r="M101" s="56"/>
    </row>
    <row r="102" spans="1:13">
      <c r="A102" s="55" t="s">
        <v>896</v>
      </c>
      <c r="B102" s="55" t="s">
        <v>897</v>
      </c>
      <c r="C102" s="55" t="s">
        <v>100</v>
      </c>
      <c r="D102" s="56" t="s">
        <v>696</v>
      </c>
      <c r="E102" s="56" t="s">
        <v>696</v>
      </c>
      <c r="F102" s="57" t="s">
        <v>696</v>
      </c>
      <c r="G102" s="57" t="s">
        <v>696</v>
      </c>
      <c r="H102" s="56" t="s">
        <v>696</v>
      </c>
      <c r="I102" s="57" t="s">
        <v>696</v>
      </c>
      <c r="J102" s="56" t="s">
        <v>696</v>
      </c>
      <c r="K102" s="56" t="s">
        <v>697</v>
      </c>
      <c r="L102" s="56"/>
      <c r="M102" s="56"/>
    </row>
    <row r="103" spans="1:13">
      <c r="A103" s="55" t="s">
        <v>898</v>
      </c>
      <c r="B103" s="55" t="s">
        <v>899</v>
      </c>
      <c r="C103" s="55" t="s">
        <v>100</v>
      </c>
      <c r="D103" s="56" t="s">
        <v>696</v>
      </c>
      <c r="E103" s="56" t="s">
        <v>696</v>
      </c>
      <c r="F103" s="57" t="s">
        <v>696</v>
      </c>
      <c r="G103" s="57" t="s">
        <v>696</v>
      </c>
      <c r="H103" s="56" t="s">
        <v>697</v>
      </c>
      <c r="I103" s="57" t="s">
        <v>696</v>
      </c>
      <c r="J103" s="56" t="s">
        <v>696</v>
      </c>
      <c r="K103" s="56" t="s">
        <v>697</v>
      </c>
      <c r="L103" s="56" t="s">
        <v>696</v>
      </c>
      <c r="M103" s="56"/>
    </row>
    <row r="104" spans="1:13">
      <c r="A104" s="55" t="s">
        <v>900</v>
      </c>
      <c r="B104" s="55" t="s">
        <v>901</v>
      </c>
      <c r="C104" s="55" t="s">
        <v>173</v>
      </c>
      <c r="D104" s="56" t="s">
        <v>696</v>
      </c>
      <c r="E104" s="56" t="s">
        <v>696</v>
      </c>
      <c r="F104" s="57" t="s">
        <v>696</v>
      </c>
      <c r="G104" s="57" t="s">
        <v>696</v>
      </c>
      <c r="H104" s="56" t="s">
        <v>696</v>
      </c>
      <c r="I104" s="57" t="s">
        <v>696</v>
      </c>
      <c r="J104" s="56" t="s">
        <v>696</v>
      </c>
      <c r="K104" s="56" t="s">
        <v>697</v>
      </c>
      <c r="L104" s="56" t="s">
        <v>696</v>
      </c>
      <c r="M104" s="56"/>
    </row>
    <row r="105" spans="1:13">
      <c r="A105" s="55" t="s">
        <v>902</v>
      </c>
      <c r="B105" s="55" t="s">
        <v>903</v>
      </c>
      <c r="C105" s="55" t="s">
        <v>182</v>
      </c>
      <c r="D105" s="56" t="s">
        <v>696</v>
      </c>
      <c r="E105" s="56" t="s">
        <v>696</v>
      </c>
      <c r="F105" s="57" t="s">
        <v>696</v>
      </c>
      <c r="G105" s="57" t="s">
        <v>696</v>
      </c>
      <c r="H105" s="56" t="s">
        <v>696</v>
      </c>
      <c r="I105" s="57" t="s">
        <v>696</v>
      </c>
      <c r="J105" s="56" t="s">
        <v>696</v>
      </c>
      <c r="K105" s="56" t="s">
        <v>697</v>
      </c>
      <c r="L105" s="56" t="s">
        <v>697</v>
      </c>
      <c r="M105" s="56"/>
    </row>
    <row r="106" spans="1:13">
      <c r="A106" s="61" t="s">
        <v>904</v>
      </c>
      <c r="B106" s="55" t="s">
        <v>905</v>
      </c>
      <c r="C106" s="55" t="s">
        <v>275</v>
      </c>
      <c r="D106" s="56" t="s">
        <v>696</v>
      </c>
      <c r="E106" s="56" t="s">
        <v>696</v>
      </c>
      <c r="F106" s="57" t="s">
        <v>697</v>
      </c>
      <c r="G106" s="57" t="s">
        <v>697</v>
      </c>
      <c r="H106" s="56" t="s">
        <v>697</v>
      </c>
      <c r="I106" s="57" t="s">
        <v>697</v>
      </c>
      <c r="J106" s="56" t="s">
        <v>697</v>
      </c>
      <c r="K106" s="56" t="s">
        <v>697</v>
      </c>
      <c r="L106" s="56" t="s">
        <v>697</v>
      </c>
      <c r="M106" s="56"/>
    </row>
    <row r="107" spans="1:13">
      <c r="A107" s="61" t="s">
        <v>906</v>
      </c>
      <c r="B107" s="55" t="s">
        <v>907</v>
      </c>
      <c r="C107" s="55" t="s">
        <v>275</v>
      </c>
      <c r="D107" s="56" t="s">
        <v>908</v>
      </c>
      <c r="E107" s="56" t="s">
        <v>696</v>
      </c>
      <c r="F107" s="56" t="s">
        <v>696</v>
      </c>
      <c r="G107" s="56" t="s">
        <v>696</v>
      </c>
      <c r="H107" s="56" t="s">
        <v>697</v>
      </c>
      <c r="I107" s="56" t="s">
        <v>697</v>
      </c>
      <c r="J107" s="56" t="s">
        <v>697</v>
      </c>
      <c r="K107" s="56" t="s">
        <v>697</v>
      </c>
      <c r="L107" s="56" t="s">
        <v>697</v>
      </c>
      <c r="M107" s="56"/>
    </row>
    <row r="108" spans="1:13">
      <c r="A108" s="55" t="s">
        <v>909</v>
      </c>
      <c r="B108" s="55" t="s">
        <v>910</v>
      </c>
      <c r="C108" s="55" t="s">
        <v>100</v>
      </c>
      <c r="D108" s="56" t="s">
        <v>696</v>
      </c>
      <c r="E108" s="56" t="s">
        <v>696</v>
      </c>
      <c r="F108" s="57" t="s">
        <v>696</v>
      </c>
      <c r="G108" s="57" t="s">
        <v>696</v>
      </c>
      <c r="H108" s="56" t="s">
        <v>696</v>
      </c>
      <c r="I108" s="57" t="s">
        <v>696</v>
      </c>
      <c r="J108" s="56" t="s">
        <v>696</v>
      </c>
      <c r="K108" s="56" t="s">
        <v>696</v>
      </c>
      <c r="L108" s="56"/>
      <c r="M108" s="56"/>
    </row>
    <row r="109" spans="1:13">
      <c r="A109" s="55" t="s">
        <v>911</v>
      </c>
      <c r="B109" s="55" t="s">
        <v>912</v>
      </c>
      <c r="C109" s="55" t="s">
        <v>100</v>
      </c>
      <c r="D109" s="56" t="s">
        <v>696</v>
      </c>
      <c r="E109" s="56" t="s">
        <v>696</v>
      </c>
      <c r="F109" s="57" t="s">
        <v>697</v>
      </c>
      <c r="G109" s="57" t="s">
        <v>697</v>
      </c>
      <c r="H109" s="56" t="s">
        <v>697</v>
      </c>
      <c r="I109" s="57" t="s">
        <v>696</v>
      </c>
      <c r="J109" s="56" t="s">
        <v>697</v>
      </c>
      <c r="K109" s="56" t="s">
        <v>697</v>
      </c>
      <c r="L109" s="56" t="s">
        <v>696</v>
      </c>
      <c r="M109" s="56"/>
    </row>
    <row r="110" spans="1:13">
      <c r="A110" s="61" t="s">
        <v>913</v>
      </c>
      <c r="B110" s="55" t="s">
        <v>914</v>
      </c>
      <c r="C110" s="55" t="s">
        <v>275</v>
      </c>
      <c r="D110" s="56" t="s">
        <v>696</v>
      </c>
      <c r="E110" s="56" t="s">
        <v>696</v>
      </c>
      <c r="F110" s="57" t="s">
        <v>696</v>
      </c>
      <c r="G110" s="57" t="s">
        <v>696</v>
      </c>
      <c r="H110" s="56" t="s">
        <v>696</v>
      </c>
      <c r="I110" s="57" t="s">
        <v>696</v>
      </c>
      <c r="J110" s="56" t="s">
        <v>696</v>
      </c>
      <c r="K110" s="56" t="s">
        <v>697</v>
      </c>
      <c r="L110" s="56" t="s">
        <v>696</v>
      </c>
      <c r="M110" s="56"/>
    </row>
    <row r="111" spans="1:13">
      <c r="A111" s="55" t="s">
        <v>915</v>
      </c>
      <c r="B111" s="55" t="s">
        <v>916</v>
      </c>
      <c r="C111" s="55" t="s">
        <v>100</v>
      </c>
      <c r="D111" s="56" t="s">
        <v>696</v>
      </c>
      <c r="E111" s="56" t="s">
        <v>697</v>
      </c>
      <c r="F111" s="57" t="s">
        <v>696</v>
      </c>
      <c r="G111" s="57" t="s">
        <v>696</v>
      </c>
      <c r="H111" s="56" t="s">
        <v>696</v>
      </c>
      <c r="I111" s="57" t="s">
        <v>696</v>
      </c>
      <c r="J111" s="56" t="s">
        <v>696</v>
      </c>
      <c r="K111" s="56" t="s">
        <v>697</v>
      </c>
      <c r="L111" s="56" t="s">
        <v>696</v>
      </c>
      <c r="M111" s="56"/>
    </row>
    <row r="112" spans="1:13">
      <c r="A112" s="55" t="s">
        <v>917</v>
      </c>
      <c r="B112" s="55" t="s">
        <v>918</v>
      </c>
      <c r="C112" s="55" t="s">
        <v>96</v>
      </c>
      <c r="D112" s="56" t="s">
        <v>696</v>
      </c>
      <c r="E112" s="56" t="s">
        <v>696</v>
      </c>
      <c r="F112" s="57" t="s">
        <v>696</v>
      </c>
      <c r="G112" s="57" t="s">
        <v>696</v>
      </c>
      <c r="H112" s="56" t="s">
        <v>697</v>
      </c>
      <c r="I112" s="57" t="s">
        <v>696</v>
      </c>
      <c r="J112" s="56" t="s">
        <v>697</v>
      </c>
      <c r="K112" s="56" t="s">
        <v>697</v>
      </c>
      <c r="L112" s="56" t="s">
        <v>697</v>
      </c>
      <c r="M112" s="56"/>
    </row>
    <row r="113" spans="1:13">
      <c r="A113" s="55" t="s">
        <v>919</v>
      </c>
      <c r="B113" s="55" t="s">
        <v>353</v>
      </c>
      <c r="C113" s="55" t="s">
        <v>182</v>
      </c>
      <c r="D113" s="56" t="s">
        <v>696</v>
      </c>
      <c r="E113" s="56" t="s">
        <v>696</v>
      </c>
      <c r="F113" s="57" t="s">
        <v>697</v>
      </c>
      <c r="G113" s="57" t="s">
        <v>697</v>
      </c>
      <c r="H113" s="56" t="s">
        <v>697</v>
      </c>
      <c r="I113" s="57" t="s">
        <v>697</v>
      </c>
      <c r="J113" s="56" t="s">
        <v>697</v>
      </c>
      <c r="K113" s="56" t="s">
        <v>697</v>
      </c>
      <c r="L113" s="56"/>
      <c r="M113" s="56"/>
    </row>
    <row r="114" spans="1:13">
      <c r="A114" s="55" t="s">
        <v>920</v>
      </c>
      <c r="B114" s="55" t="s">
        <v>921</v>
      </c>
      <c r="C114" s="55" t="s">
        <v>100</v>
      </c>
      <c r="D114" s="56" t="s">
        <v>696</v>
      </c>
      <c r="E114" s="56" t="s">
        <v>696</v>
      </c>
      <c r="F114" s="57" t="s">
        <v>697</v>
      </c>
      <c r="G114" s="57" t="s">
        <v>697</v>
      </c>
      <c r="H114" s="56" t="s">
        <v>697</v>
      </c>
      <c r="I114" s="57" t="s">
        <v>696</v>
      </c>
      <c r="J114" s="56" t="s">
        <v>697</v>
      </c>
      <c r="K114" s="56" t="s">
        <v>697</v>
      </c>
      <c r="L114" s="56" t="s">
        <v>696</v>
      </c>
      <c r="M114" s="56"/>
    </row>
    <row r="115" spans="1:13">
      <c r="A115" s="61" t="s">
        <v>922</v>
      </c>
      <c r="B115" s="55" t="s">
        <v>923</v>
      </c>
      <c r="C115" s="55" t="s">
        <v>275</v>
      </c>
      <c r="D115" s="56" t="s">
        <v>696</v>
      </c>
      <c r="E115" s="56" t="s">
        <v>696</v>
      </c>
      <c r="F115" s="57" t="s">
        <v>696</v>
      </c>
      <c r="G115" s="57" t="s">
        <v>696</v>
      </c>
      <c r="H115" s="56" t="s">
        <v>697</v>
      </c>
      <c r="I115" s="57" t="s">
        <v>696</v>
      </c>
      <c r="J115" s="56" t="s">
        <v>697</v>
      </c>
      <c r="K115" s="56" t="s">
        <v>697</v>
      </c>
      <c r="L115" s="56" t="s">
        <v>696</v>
      </c>
      <c r="M115" s="56"/>
    </row>
    <row r="116" spans="1:13">
      <c r="A116" s="55" t="s">
        <v>924</v>
      </c>
      <c r="B116" s="55" t="s">
        <v>925</v>
      </c>
      <c r="C116" s="55" t="s">
        <v>100</v>
      </c>
      <c r="D116" s="56" t="s">
        <v>696</v>
      </c>
      <c r="E116" s="56" t="s">
        <v>696</v>
      </c>
      <c r="F116" s="57" t="s">
        <v>696</v>
      </c>
      <c r="G116" s="57" t="s">
        <v>696</v>
      </c>
      <c r="H116" s="56" t="s">
        <v>697</v>
      </c>
      <c r="I116" s="57" t="s">
        <v>696</v>
      </c>
      <c r="J116" s="56" t="s">
        <v>697</v>
      </c>
      <c r="K116" s="56" t="s">
        <v>697</v>
      </c>
      <c r="L116" s="56" t="s">
        <v>696</v>
      </c>
      <c r="M116" s="56"/>
    </row>
    <row r="117" spans="1:13">
      <c r="A117" s="61" t="s">
        <v>926</v>
      </c>
      <c r="B117" s="55" t="s">
        <v>927</v>
      </c>
      <c r="C117" s="55" t="s">
        <v>270</v>
      </c>
      <c r="D117" s="56" t="s">
        <v>696</v>
      </c>
      <c r="E117" s="56" t="s">
        <v>696</v>
      </c>
      <c r="F117" s="57" t="s">
        <v>696</v>
      </c>
      <c r="G117" s="57" t="s">
        <v>696</v>
      </c>
      <c r="H117" s="56" t="s">
        <v>697</v>
      </c>
      <c r="I117" s="57" t="s">
        <v>696</v>
      </c>
      <c r="J117" s="56" t="s">
        <v>697</v>
      </c>
      <c r="K117" s="56" t="s">
        <v>697</v>
      </c>
      <c r="L117" s="56"/>
      <c r="M117" s="56"/>
    </row>
    <row r="118" spans="1:13">
      <c r="A118" s="61" t="s">
        <v>928</v>
      </c>
      <c r="B118" s="55" t="s">
        <v>929</v>
      </c>
      <c r="C118" s="55" t="s">
        <v>270</v>
      </c>
      <c r="D118" s="56" t="s">
        <v>696</v>
      </c>
      <c r="E118" s="56" t="s">
        <v>696</v>
      </c>
      <c r="F118" s="57" t="s">
        <v>697</v>
      </c>
      <c r="G118" s="57" t="s">
        <v>697</v>
      </c>
      <c r="H118" s="56" t="s">
        <v>697</v>
      </c>
      <c r="I118" s="57" t="s">
        <v>696</v>
      </c>
      <c r="J118" s="56" t="s">
        <v>697</v>
      </c>
      <c r="K118" s="56" t="s">
        <v>697</v>
      </c>
      <c r="L118" s="56" t="s">
        <v>696</v>
      </c>
      <c r="M118" s="56"/>
    </row>
    <row r="119" spans="1:13">
      <c r="A119" s="63" t="s">
        <v>930</v>
      </c>
      <c r="B119" s="63" t="s">
        <v>931</v>
      </c>
      <c r="C119" s="63" t="s">
        <v>100</v>
      </c>
      <c r="D119" s="56" t="s">
        <v>696</v>
      </c>
      <c r="E119" s="56" t="s">
        <v>696</v>
      </c>
      <c r="F119" s="57" t="s">
        <v>696</v>
      </c>
      <c r="G119" s="57" t="s">
        <v>697</v>
      </c>
      <c r="H119" s="56" t="s">
        <v>697</v>
      </c>
      <c r="I119" s="57" t="s">
        <v>697</v>
      </c>
      <c r="J119" s="56" t="s">
        <v>697</v>
      </c>
      <c r="K119" s="56" t="s">
        <v>697</v>
      </c>
      <c r="L119" s="56" t="s">
        <v>696</v>
      </c>
      <c r="M119" s="56"/>
    </row>
    <row r="120" spans="1:13">
      <c r="A120" s="61" t="s">
        <v>932</v>
      </c>
      <c r="B120" s="55" t="s">
        <v>933</v>
      </c>
      <c r="C120" s="55" t="s">
        <v>275</v>
      </c>
      <c r="D120" s="56" t="s">
        <v>696</v>
      </c>
      <c r="E120" s="56" t="s">
        <v>696</v>
      </c>
      <c r="F120" s="57" t="s">
        <v>696</v>
      </c>
      <c r="G120" s="57" t="s">
        <v>696</v>
      </c>
      <c r="H120" s="56" t="s">
        <v>697</v>
      </c>
      <c r="I120" s="57" t="s">
        <v>696</v>
      </c>
      <c r="J120" s="56" t="s">
        <v>696</v>
      </c>
      <c r="K120" s="56" t="s">
        <v>697</v>
      </c>
      <c r="L120" s="56"/>
      <c r="M120" s="56"/>
    </row>
    <row r="121" spans="1:13">
      <c r="A121" s="55" t="s">
        <v>934</v>
      </c>
      <c r="B121" s="55" t="s">
        <v>935</v>
      </c>
      <c r="C121" s="55" t="s">
        <v>182</v>
      </c>
      <c r="D121" s="56" t="s">
        <v>696</v>
      </c>
      <c r="E121" s="56" t="s">
        <v>696</v>
      </c>
      <c r="F121" s="57" t="s">
        <v>696</v>
      </c>
      <c r="G121" s="57" t="s">
        <v>696</v>
      </c>
      <c r="H121" s="56" t="s">
        <v>697</v>
      </c>
      <c r="I121" s="57" t="s">
        <v>696</v>
      </c>
      <c r="J121" s="56" t="s">
        <v>697</v>
      </c>
      <c r="K121" s="56" t="s">
        <v>697</v>
      </c>
      <c r="L121" s="56" t="s">
        <v>696</v>
      </c>
      <c r="M121" s="56"/>
    </row>
    <row r="122" spans="1:13">
      <c r="A122" s="55" t="s">
        <v>936</v>
      </c>
      <c r="B122" s="55" t="s">
        <v>937</v>
      </c>
      <c r="C122" s="55" t="s">
        <v>182</v>
      </c>
      <c r="D122" s="56" t="s">
        <v>696</v>
      </c>
      <c r="E122" s="56" t="s">
        <v>696</v>
      </c>
      <c r="F122" s="57" t="s">
        <v>696</v>
      </c>
      <c r="G122" s="57" t="s">
        <v>696</v>
      </c>
      <c r="H122" s="56" t="s">
        <v>697</v>
      </c>
      <c r="I122" s="57" t="s">
        <v>696</v>
      </c>
      <c r="J122" s="56" t="s">
        <v>697</v>
      </c>
      <c r="K122" s="56" t="s">
        <v>697</v>
      </c>
      <c r="L122" s="56" t="s">
        <v>696</v>
      </c>
      <c r="M122" s="56"/>
    </row>
    <row r="123" spans="1:13">
      <c r="A123" s="55" t="s">
        <v>938</v>
      </c>
      <c r="B123" s="55" t="s">
        <v>939</v>
      </c>
      <c r="C123" s="55" t="s">
        <v>100</v>
      </c>
      <c r="D123" s="56" t="s">
        <v>696</v>
      </c>
      <c r="E123" s="56" t="s">
        <v>696</v>
      </c>
      <c r="F123" s="57" t="s">
        <v>696</v>
      </c>
      <c r="G123" s="57" t="s">
        <v>696</v>
      </c>
      <c r="H123" s="56" t="s">
        <v>697</v>
      </c>
      <c r="I123" s="57" t="s">
        <v>696</v>
      </c>
      <c r="J123" s="56" t="s">
        <v>697</v>
      </c>
      <c r="K123" s="56" t="s">
        <v>697</v>
      </c>
      <c r="L123" s="56"/>
      <c r="M123" s="56"/>
    </row>
    <row r="124" spans="1:13">
      <c r="A124" s="61" t="s">
        <v>940</v>
      </c>
      <c r="B124" s="55" t="s">
        <v>941</v>
      </c>
      <c r="C124" s="55" t="s">
        <v>275</v>
      </c>
      <c r="D124" s="56" t="s">
        <v>696</v>
      </c>
      <c r="E124" s="56" t="s">
        <v>696</v>
      </c>
      <c r="F124" s="57" t="s">
        <v>696</v>
      </c>
      <c r="G124" s="57" t="s">
        <v>696</v>
      </c>
      <c r="H124" s="56" t="s">
        <v>697</v>
      </c>
      <c r="I124" s="57" t="s">
        <v>696</v>
      </c>
      <c r="J124" s="56" t="s">
        <v>696</v>
      </c>
      <c r="K124" s="56" t="s">
        <v>697</v>
      </c>
      <c r="L124" s="56"/>
      <c r="M124" s="56"/>
    </row>
    <row r="125" spans="1:13">
      <c r="A125" s="61" t="s">
        <v>942</v>
      </c>
      <c r="B125" s="55" t="s">
        <v>943</v>
      </c>
      <c r="C125" s="55" t="s">
        <v>270</v>
      </c>
      <c r="D125" s="56" t="s">
        <v>696</v>
      </c>
      <c r="E125" s="56" t="s">
        <v>696</v>
      </c>
      <c r="F125" s="57" t="s">
        <v>697</v>
      </c>
      <c r="G125" s="57" t="s">
        <v>697</v>
      </c>
      <c r="H125" s="56" t="s">
        <v>697</v>
      </c>
      <c r="I125" s="57" t="s">
        <v>696</v>
      </c>
      <c r="J125" s="56" t="s">
        <v>697</v>
      </c>
      <c r="K125" s="56" t="s">
        <v>697</v>
      </c>
      <c r="L125" s="56" t="s">
        <v>697</v>
      </c>
      <c r="M125" s="56"/>
    </row>
    <row r="126" spans="1:13">
      <c r="A126" s="61" t="s">
        <v>944</v>
      </c>
      <c r="B126" s="55" t="s">
        <v>945</v>
      </c>
      <c r="C126" s="55" t="s">
        <v>270</v>
      </c>
      <c r="D126" s="56" t="s">
        <v>696</v>
      </c>
      <c r="E126" s="56" t="s">
        <v>696</v>
      </c>
      <c r="F126" s="57" t="s">
        <v>696</v>
      </c>
      <c r="G126" s="57" t="s">
        <v>696</v>
      </c>
      <c r="H126" s="56" t="s">
        <v>697</v>
      </c>
      <c r="I126" s="57" t="s">
        <v>696</v>
      </c>
      <c r="J126" s="56" t="s">
        <v>697</v>
      </c>
      <c r="K126" s="56" t="s">
        <v>697</v>
      </c>
      <c r="L126" s="56"/>
      <c r="M126" s="56"/>
    </row>
    <row r="127" spans="1:13">
      <c r="A127" s="61" t="s">
        <v>946</v>
      </c>
      <c r="B127" s="55" t="s">
        <v>947</v>
      </c>
      <c r="C127" s="55" t="s">
        <v>270</v>
      </c>
      <c r="D127" s="56" t="s">
        <v>696</v>
      </c>
      <c r="E127" s="56" t="s">
        <v>696</v>
      </c>
      <c r="F127" s="56" t="s">
        <v>697</v>
      </c>
      <c r="G127" s="56" t="s">
        <v>697</v>
      </c>
      <c r="H127" s="56" t="s">
        <v>697</v>
      </c>
      <c r="I127" s="56" t="s">
        <v>697</v>
      </c>
      <c r="J127" s="56" t="s">
        <v>697</v>
      </c>
      <c r="K127" s="56" t="s">
        <v>697</v>
      </c>
      <c r="L127" s="56" t="s">
        <v>697</v>
      </c>
      <c r="M127" s="56"/>
    </row>
    <row r="128" spans="1:13">
      <c r="A128" s="55" t="s">
        <v>948</v>
      </c>
      <c r="B128" s="55" t="s">
        <v>949</v>
      </c>
      <c r="C128" s="55" t="s">
        <v>100</v>
      </c>
      <c r="D128" s="56" t="s">
        <v>696</v>
      </c>
      <c r="E128" s="56" t="s">
        <v>696</v>
      </c>
      <c r="F128" s="57" t="s">
        <v>697</v>
      </c>
      <c r="G128" s="57" t="s">
        <v>696</v>
      </c>
      <c r="H128" s="56" t="s">
        <v>697</v>
      </c>
      <c r="I128" s="57" t="s">
        <v>696</v>
      </c>
      <c r="J128" s="56" t="s">
        <v>697</v>
      </c>
      <c r="K128" s="56" t="s">
        <v>697</v>
      </c>
      <c r="L128" s="56" t="s">
        <v>696</v>
      </c>
      <c r="M128" s="56"/>
    </row>
    <row r="129" spans="1:13">
      <c r="A129" s="55" t="s">
        <v>950</v>
      </c>
      <c r="B129" s="55" t="s">
        <v>951</v>
      </c>
      <c r="C129" s="55" t="s">
        <v>100</v>
      </c>
      <c r="D129" s="56" t="s">
        <v>696</v>
      </c>
      <c r="E129" s="56" t="s">
        <v>696</v>
      </c>
      <c r="F129" s="57" t="s">
        <v>696</v>
      </c>
      <c r="G129" s="57" t="s">
        <v>696</v>
      </c>
      <c r="H129" s="56" t="s">
        <v>697</v>
      </c>
      <c r="I129" s="57" t="s">
        <v>696</v>
      </c>
      <c r="J129" s="56" t="s">
        <v>697</v>
      </c>
      <c r="K129" s="56" t="s">
        <v>697</v>
      </c>
      <c r="L129" s="56"/>
      <c r="M129" s="56"/>
    </row>
    <row r="130" spans="1:13">
      <c r="A130" s="55" t="s">
        <v>952</v>
      </c>
      <c r="B130" s="55" t="s">
        <v>953</v>
      </c>
      <c r="C130" s="55" t="s">
        <v>100</v>
      </c>
      <c r="D130" s="56" t="s">
        <v>696</v>
      </c>
      <c r="E130" s="56" t="s">
        <v>696</v>
      </c>
      <c r="F130" s="57" t="s">
        <v>696</v>
      </c>
      <c r="G130" s="57" t="s">
        <v>696</v>
      </c>
      <c r="H130" s="56" t="s">
        <v>697</v>
      </c>
      <c r="I130" s="57" t="s">
        <v>696</v>
      </c>
      <c r="J130" s="56" t="s">
        <v>696</v>
      </c>
      <c r="K130" s="56" t="s">
        <v>697</v>
      </c>
      <c r="L130" s="56" t="s">
        <v>696</v>
      </c>
      <c r="M130" s="56"/>
    </row>
    <row r="131" spans="1:13">
      <c r="A131" s="55" t="s">
        <v>954</v>
      </c>
      <c r="B131" s="55" t="s">
        <v>955</v>
      </c>
      <c r="C131" s="55" t="s">
        <v>351</v>
      </c>
      <c r="D131" s="56" t="s">
        <v>696</v>
      </c>
      <c r="E131" s="56" t="s">
        <v>696</v>
      </c>
      <c r="F131" s="57" t="s">
        <v>696</v>
      </c>
      <c r="G131" s="57" t="s">
        <v>696</v>
      </c>
      <c r="H131" s="56" t="s">
        <v>697</v>
      </c>
      <c r="I131" s="57" t="s">
        <v>696</v>
      </c>
      <c r="J131" s="56" t="s">
        <v>697</v>
      </c>
      <c r="K131" s="56" t="s">
        <v>697</v>
      </c>
      <c r="L131" s="56" t="s">
        <v>696</v>
      </c>
      <c r="M131" s="56"/>
    </row>
    <row r="132" spans="1:13">
      <c r="A132" s="55" t="s">
        <v>956</v>
      </c>
      <c r="B132" s="55" t="s">
        <v>957</v>
      </c>
      <c r="C132" s="55" t="s">
        <v>100</v>
      </c>
      <c r="D132" s="56" t="s">
        <v>696</v>
      </c>
      <c r="E132" s="56" t="s">
        <v>696</v>
      </c>
      <c r="F132" s="57" t="s">
        <v>696</v>
      </c>
      <c r="G132" s="57" t="s">
        <v>696</v>
      </c>
      <c r="H132" s="56" t="s">
        <v>697</v>
      </c>
      <c r="I132" s="57" t="s">
        <v>696</v>
      </c>
      <c r="J132" s="56" t="s">
        <v>697</v>
      </c>
      <c r="K132" s="56" t="s">
        <v>697</v>
      </c>
      <c r="L132" s="56" t="s">
        <v>696</v>
      </c>
      <c r="M132" s="56"/>
    </row>
    <row r="133" spans="1:13">
      <c r="A133" s="61" t="s">
        <v>958</v>
      </c>
      <c r="B133" s="55" t="s">
        <v>959</v>
      </c>
      <c r="C133" s="55" t="s">
        <v>270</v>
      </c>
      <c r="D133" s="56" t="s">
        <v>696</v>
      </c>
      <c r="E133" s="56" t="s">
        <v>696</v>
      </c>
      <c r="F133" s="57" t="s">
        <v>696</v>
      </c>
      <c r="G133" s="57" t="s">
        <v>697</v>
      </c>
      <c r="H133" s="56" t="s">
        <v>697</v>
      </c>
      <c r="I133" s="57" t="s">
        <v>696</v>
      </c>
      <c r="J133" s="56" t="s">
        <v>697</v>
      </c>
      <c r="K133" s="56" t="s">
        <v>697</v>
      </c>
      <c r="L133" s="56" t="s">
        <v>696</v>
      </c>
      <c r="M133" s="56"/>
    </row>
    <row r="134" spans="1:13">
      <c r="A134" s="61" t="s">
        <v>960</v>
      </c>
      <c r="B134" s="55" t="s">
        <v>961</v>
      </c>
      <c r="C134" s="55" t="s">
        <v>270</v>
      </c>
      <c r="D134" s="56" t="s">
        <v>696</v>
      </c>
      <c r="E134" s="56" t="s">
        <v>696</v>
      </c>
      <c r="F134" s="57" t="s">
        <v>696</v>
      </c>
      <c r="G134" s="57" t="s">
        <v>697</v>
      </c>
      <c r="H134" s="56" t="s">
        <v>697</v>
      </c>
      <c r="I134" s="57" t="s">
        <v>696</v>
      </c>
      <c r="J134" s="56" t="s">
        <v>697</v>
      </c>
      <c r="K134" s="56" t="s">
        <v>697</v>
      </c>
      <c r="L134" s="56" t="s">
        <v>696</v>
      </c>
      <c r="M134" s="56"/>
    </row>
    <row r="135" spans="1:13">
      <c r="A135" s="55" t="s">
        <v>962</v>
      </c>
      <c r="B135" s="55" t="s">
        <v>963</v>
      </c>
      <c r="C135" s="55" t="s">
        <v>182</v>
      </c>
      <c r="D135" s="56" t="s">
        <v>696</v>
      </c>
      <c r="E135" s="56" t="s">
        <v>696</v>
      </c>
      <c r="F135" s="57" t="s">
        <v>696</v>
      </c>
      <c r="G135" s="57" t="s">
        <v>696</v>
      </c>
      <c r="H135" s="56" t="s">
        <v>696</v>
      </c>
      <c r="I135" s="57" t="s">
        <v>696</v>
      </c>
      <c r="J135" s="56" t="s">
        <v>696</v>
      </c>
      <c r="K135" s="56" t="s">
        <v>697</v>
      </c>
      <c r="L135" s="56" t="s">
        <v>696</v>
      </c>
      <c r="M135" s="56"/>
    </row>
    <row r="136" spans="1:13">
      <c r="A136" s="55" t="s">
        <v>964</v>
      </c>
      <c r="B136" s="55" t="s">
        <v>965</v>
      </c>
      <c r="C136" s="55" t="s">
        <v>182</v>
      </c>
      <c r="D136" s="56" t="s">
        <v>696</v>
      </c>
      <c r="E136" s="56" t="s">
        <v>696</v>
      </c>
      <c r="F136" s="57" t="s">
        <v>696</v>
      </c>
      <c r="G136" s="57" t="s">
        <v>696</v>
      </c>
      <c r="H136" s="56" t="s">
        <v>697</v>
      </c>
      <c r="I136" s="57" t="s">
        <v>696</v>
      </c>
      <c r="J136" s="56" t="s">
        <v>697</v>
      </c>
      <c r="K136" s="56" t="s">
        <v>697</v>
      </c>
      <c r="L136" s="56"/>
      <c r="M136" s="56"/>
    </row>
    <row r="137" spans="1:13">
      <c r="A137" s="61" t="s">
        <v>966</v>
      </c>
      <c r="B137" s="55" t="s">
        <v>967</v>
      </c>
      <c r="C137" s="55" t="s">
        <v>270</v>
      </c>
      <c r="D137" s="56" t="s">
        <v>696</v>
      </c>
      <c r="E137" s="56" t="s">
        <v>696</v>
      </c>
      <c r="F137" s="57" t="s">
        <v>696</v>
      </c>
      <c r="G137" s="57" t="s">
        <v>696</v>
      </c>
      <c r="H137" s="56" t="s">
        <v>697</v>
      </c>
      <c r="I137" s="57" t="s">
        <v>696</v>
      </c>
      <c r="J137" s="56" t="s">
        <v>697</v>
      </c>
      <c r="K137" s="56" t="s">
        <v>697</v>
      </c>
      <c r="L137" s="56"/>
      <c r="M137" s="56"/>
    </row>
    <row r="138" spans="1:13">
      <c r="A138" s="55" t="s">
        <v>968</v>
      </c>
      <c r="B138" s="55" t="s">
        <v>969</v>
      </c>
      <c r="C138" s="55" t="s">
        <v>100</v>
      </c>
      <c r="D138" s="56" t="s">
        <v>696</v>
      </c>
      <c r="E138" s="56" t="s">
        <v>696</v>
      </c>
      <c r="F138" s="57" t="s">
        <v>696</v>
      </c>
      <c r="G138" s="57" t="s">
        <v>696</v>
      </c>
      <c r="H138" s="56" t="s">
        <v>697</v>
      </c>
      <c r="I138" s="57" t="s">
        <v>696</v>
      </c>
      <c r="J138" s="56" t="s">
        <v>696</v>
      </c>
      <c r="K138" s="56" t="s">
        <v>697</v>
      </c>
      <c r="L138" s="56"/>
      <c r="M138" s="56"/>
    </row>
    <row r="139" spans="1:13">
      <c r="A139" s="55" t="s">
        <v>970</v>
      </c>
      <c r="B139" s="55" t="s">
        <v>971</v>
      </c>
      <c r="C139" s="55" t="s">
        <v>182</v>
      </c>
      <c r="D139" s="56" t="s">
        <v>696</v>
      </c>
      <c r="E139" s="56" t="s">
        <v>696</v>
      </c>
      <c r="F139" s="57" t="s">
        <v>697</v>
      </c>
      <c r="G139" s="57" t="s">
        <v>696</v>
      </c>
      <c r="H139" s="56" t="s">
        <v>697</v>
      </c>
      <c r="I139" s="57" t="s">
        <v>696</v>
      </c>
      <c r="J139" s="56" t="s">
        <v>697</v>
      </c>
      <c r="K139" s="56" t="s">
        <v>697</v>
      </c>
      <c r="L139" s="56" t="s">
        <v>696</v>
      </c>
      <c r="M139" s="56"/>
    </row>
    <row r="140" spans="1:13">
      <c r="A140" s="55" t="s">
        <v>972</v>
      </c>
      <c r="B140" s="55" t="s">
        <v>973</v>
      </c>
      <c r="C140" s="55" t="s">
        <v>96</v>
      </c>
      <c r="D140" s="56" t="s">
        <v>696</v>
      </c>
      <c r="E140" s="56" t="s">
        <v>696</v>
      </c>
      <c r="F140" s="57" t="s">
        <v>697</v>
      </c>
      <c r="G140" s="57" t="s">
        <v>696</v>
      </c>
      <c r="H140" s="56" t="s">
        <v>697</v>
      </c>
      <c r="I140" s="57" t="s">
        <v>696</v>
      </c>
      <c r="J140" s="56" t="s">
        <v>697</v>
      </c>
      <c r="K140" s="56" t="s">
        <v>697</v>
      </c>
      <c r="L140" s="56" t="s">
        <v>696</v>
      </c>
      <c r="M140" s="56"/>
    </row>
    <row r="141" spans="1:13">
      <c r="A141" s="61" t="s">
        <v>974</v>
      </c>
      <c r="B141" s="55" t="s">
        <v>975</v>
      </c>
      <c r="C141" s="55" t="s">
        <v>270</v>
      </c>
      <c r="D141" s="56" t="s">
        <v>696</v>
      </c>
      <c r="E141" s="56" t="s">
        <v>696</v>
      </c>
      <c r="F141" s="57" t="s">
        <v>696</v>
      </c>
      <c r="G141" s="57" t="s">
        <v>697</v>
      </c>
      <c r="H141" s="56" t="s">
        <v>697</v>
      </c>
      <c r="I141" s="57" t="s">
        <v>696</v>
      </c>
      <c r="J141" s="56" t="s">
        <v>697</v>
      </c>
      <c r="K141" s="56" t="s">
        <v>697</v>
      </c>
      <c r="L141" s="56" t="s">
        <v>696</v>
      </c>
      <c r="M141" s="56"/>
    </row>
    <row r="142" spans="1:13">
      <c r="A142" s="61" t="s">
        <v>976</v>
      </c>
      <c r="B142" s="55" t="s">
        <v>977</v>
      </c>
      <c r="C142" s="55" t="s">
        <v>270</v>
      </c>
      <c r="D142" s="56" t="s">
        <v>696</v>
      </c>
      <c r="E142" s="56" t="s">
        <v>696</v>
      </c>
      <c r="F142" s="57" t="s">
        <v>696</v>
      </c>
      <c r="G142" s="57" t="s">
        <v>696</v>
      </c>
      <c r="H142" s="56" t="s">
        <v>697</v>
      </c>
      <c r="I142" s="57" t="s">
        <v>696</v>
      </c>
      <c r="J142" s="56" t="s">
        <v>697</v>
      </c>
      <c r="K142" s="56" t="s">
        <v>697</v>
      </c>
      <c r="L142" s="56" t="s">
        <v>696</v>
      </c>
      <c r="M142" s="56"/>
    </row>
    <row r="143" spans="1:13">
      <c r="A143" s="61" t="s">
        <v>978</v>
      </c>
      <c r="B143" s="55" t="s">
        <v>979</v>
      </c>
      <c r="C143" s="55" t="s">
        <v>270</v>
      </c>
      <c r="D143" s="56" t="s">
        <v>696</v>
      </c>
      <c r="E143" s="56" t="s">
        <v>696</v>
      </c>
      <c r="F143" s="57" t="s">
        <v>697</v>
      </c>
      <c r="G143" s="57" t="s">
        <v>696</v>
      </c>
      <c r="H143" s="56" t="s">
        <v>697</v>
      </c>
      <c r="I143" s="57" t="s">
        <v>696</v>
      </c>
      <c r="J143" s="56" t="s">
        <v>697</v>
      </c>
      <c r="K143" s="56" t="s">
        <v>697</v>
      </c>
      <c r="L143" s="56"/>
      <c r="M143" s="56"/>
    </row>
    <row r="144" spans="1:13">
      <c r="A144" s="55" t="s">
        <v>980</v>
      </c>
      <c r="B144" s="55" t="s">
        <v>981</v>
      </c>
      <c r="C144" s="55" t="s">
        <v>96</v>
      </c>
      <c r="D144" s="56" t="s">
        <v>696</v>
      </c>
      <c r="E144" s="56" t="s">
        <v>696</v>
      </c>
      <c r="F144" s="57" t="s">
        <v>696</v>
      </c>
      <c r="G144" s="57" t="s">
        <v>696</v>
      </c>
      <c r="H144" s="56" t="s">
        <v>696</v>
      </c>
      <c r="I144" s="57" t="s">
        <v>696</v>
      </c>
      <c r="J144" s="56" t="s">
        <v>696</v>
      </c>
      <c r="K144" s="56" t="s">
        <v>696</v>
      </c>
      <c r="L144" s="56" t="s">
        <v>696</v>
      </c>
      <c r="M144" s="56"/>
    </row>
    <row r="145" spans="1:13">
      <c r="A145" s="55" t="s">
        <v>982</v>
      </c>
      <c r="B145" s="55" t="s">
        <v>983</v>
      </c>
      <c r="C145" s="55" t="s">
        <v>182</v>
      </c>
      <c r="D145" s="56" t="s">
        <v>696</v>
      </c>
      <c r="E145" s="56" t="s">
        <v>696</v>
      </c>
      <c r="F145" s="57" t="s">
        <v>696</v>
      </c>
      <c r="G145" s="57" t="s">
        <v>696</v>
      </c>
      <c r="H145" s="56" t="s">
        <v>697</v>
      </c>
      <c r="I145" s="57" t="s">
        <v>696</v>
      </c>
      <c r="J145" s="56" t="s">
        <v>697</v>
      </c>
      <c r="K145" s="56" t="s">
        <v>697</v>
      </c>
      <c r="L145" s="56"/>
      <c r="M145" s="56"/>
    </row>
    <row r="146" spans="1:13">
      <c r="A146" s="55" t="s">
        <v>984</v>
      </c>
      <c r="B146" s="55" t="s">
        <v>985</v>
      </c>
      <c r="C146" s="55" t="s">
        <v>100</v>
      </c>
      <c r="D146" s="56" t="s">
        <v>696</v>
      </c>
      <c r="E146" s="56" t="s">
        <v>696</v>
      </c>
      <c r="F146" s="57" t="s">
        <v>696</v>
      </c>
      <c r="G146" s="57" t="s">
        <v>696</v>
      </c>
      <c r="H146" s="56" t="s">
        <v>697</v>
      </c>
      <c r="I146" s="57" t="s">
        <v>696</v>
      </c>
      <c r="J146" s="56" t="s">
        <v>697</v>
      </c>
      <c r="K146" s="56" t="s">
        <v>697</v>
      </c>
      <c r="L146" s="56" t="s">
        <v>696</v>
      </c>
      <c r="M146" s="56"/>
    </row>
    <row r="147" spans="1:13">
      <c r="A147" s="55" t="s">
        <v>986</v>
      </c>
      <c r="B147" s="55" t="s">
        <v>987</v>
      </c>
      <c r="C147" s="55" t="s">
        <v>100</v>
      </c>
      <c r="D147" s="56" t="s">
        <v>696</v>
      </c>
      <c r="E147" s="56" t="s">
        <v>696</v>
      </c>
      <c r="F147" s="57" t="s">
        <v>697</v>
      </c>
      <c r="G147" s="57" t="s">
        <v>696</v>
      </c>
      <c r="H147" s="56" t="s">
        <v>697</v>
      </c>
      <c r="I147" s="57" t="s">
        <v>696</v>
      </c>
      <c r="J147" s="56" t="s">
        <v>697</v>
      </c>
      <c r="K147" s="56" t="s">
        <v>697</v>
      </c>
      <c r="L147" s="56"/>
      <c r="M147" s="56"/>
    </row>
    <row r="148" spans="1:13">
      <c r="A148" s="55" t="s">
        <v>988</v>
      </c>
      <c r="B148" s="55" t="s">
        <v>989</v>
      </c>
      <c r="C148" s="55" t="s">
        <v>182</v>
      </c>
      <c r="D148" s="56" t="s">
        <v>696</v>
      </c>
      <c r="E148" s="56" t="s">
        <v>696</v>
      </c>
      <c r="F148" s="57" t="s">
        <v>696</v>
      </c>
      <c r="G148" s="57" t="s">
        <v>697</v>
      </c>
      <c r="H148" s="56" t="s">
        <v>697</v>
      </c>
      <c r="I148" s="57" t="s">
        <v>696</v>
      </c>
      <c r="J148" s="56" t="s">
        <v>697</v>
      </c>
      <c r="K148" s="56" t="s">
        <v>697</v>
      </c>
      <c r="L148" s="56"/>
      <c r="M148" s="56"/>
    </row>
    <row r="149" spans="1:13">
      <c r="A149" s="55" t="s">
        <v>990</v>
      </c>
      <c r="B149" s="55" t="s">
        <v>991</v>
      </c>
      <c r="C149" s="55" t="s">
        <v>100</v>
      </c>
      <c r="D149" s="56" t="s">
        <v>696</v>
      </c>
      <c r="E149" s="56" t="s">
        <v>696</v>
      </c>
      <c r="F149" s="57" t="s">
        <v>696</v>
      </c>
      <c r="G149" s="57" t="s">
        <v>697</v>
      </c>
      <c r="H149" s="56" t="s">
        <v>697</v>
      </c>
      <c r="I149" s="57" t="s">
        <v>696</v>
      </c>
      <c r="J149" s="56" t="s">
        <v>697</v>
      </c>
      <c r="K149" s="56" t="s">
        <v>697</v>
      </c>
      <c r="L149" s="56" t="s">
        <v>696</v>
      </c>
      <c r="M149" s="56"/>
    </row>
    <row r="150" spans="1:13">
      <c r="A150" s="55" t="s">
        <v>992</v>
      </c>
      <c r="B150" s="55" t="s">
        <v>993</v>
      </c>
      <c r="C150" s="55" t="s">
        <v>96</v>
      </c>
      <c r="D150" s="56" t="s">
        <v>696</v>
      </c>
      <c r="E150" s="56" t="s">
        <v>696</v>
      </c>
      <c r="F150" s="57" t="s">
        <v>696</v>
      </c>
      <c r="G150" s="57" t="s">
        <v>697</v>
      </c>
      <c r="H150" s="56" t="s">
        <v>697</v>
      </c>
      <c r="I150" s="57" t="s">
        <v>696</v>
      </c>
      <c r="J150" s="56" t="s">
        <v>697</v>
      </c>
      <c r="K150" s="56" t="s">
        <v>697</v>
      </c>
      <c r="L150" s="56" t="s">
        <v>696</v>
      </c>
      <c r="M150" s="56"/>
    </row>
    <row r="151" spans="1:13">
      <c r="A151" s="61" t="s">
        <v>994</v>
      </c>
      <c r="B151" s="55" t="s">
        <v>995</v>
      </c>
      <c r="C151" s="55" t="s">
        <v>270</v>
      </c>
      <c r="D151" s="56" t="s">
        <v>696</v>
      </c>
      <c r="E151" s="56" t="s">
        <v>696</v>
      </c>
      <c r="F151" s="57" t="s">
        <v>696</v>
      </c>
      <c r="G151" s="57" t="s">
        <v>696</v>
      </c>
      <c r="H151" s="56" t="s">
        <v>697</v>
      </c>
      <c r="I151" s="57" t="s">
        <v>696</v>
      </c>
      <c r="J151" s="56" t="s">
        <v>697</v>
      </c>
      <c r="K151" s="56" t="s">
        <v>697</v>
      </c>
      <c r="L151" s="56" t="s">
        <v>696</v>
      </c>
      <c r="M151" s="56"/>
    </row>
    <row r="152" spans="1:13">
      <c r="A152" s="61" t="s">
        <v>996</v>
      </c>
      <c r="B152" s="55" t="s">
        <v>997</v>
      </c>
      <c r="C152" s="55" t="s">
        <v>270</v>
      </c>
      <c r="D152" s="56" t="s">
        <v>696</v>
      </c>
      <c r="E152" s="56" t="s">
        <v>696</v>
      </c>
      <c r="F152" s="57" t="s">
        <v>696</v>
      </c>
      <c r="G152" s="57" t="s">
        <v>696</v>
      </c>
      <c r="H152" s="56" t="s">
        <v>697</v>
      </c>
      <c r="I152" s="57" t="s">
        <v>696</v>
      </c>
      <c r="J152" s="56" t="s">
        <v>697</v>
      </c>
      <c r="K152" s="56" t="s">
        <v>697</v>
      </c>
      <c r="L152" s="56" t="s">
        <v>696</v>
      </c>
      <c r="M152" s="56"/>
    </row>
    <row r="153" spans="1:13">
      <c r="A153" s="55" t="s">
        <v>998</v>
      </c>
      <c r="B153" s="55" t="s">
        <v>999</v>
      </c>
      <c r="C153" s="55" t="s">
        <v>182</v>
      </c>
      <c r="D153" s="56" t="s">
        <v>697</v>
      </c>
      <c r="E153" s="56" t="s">
        <v>696</v>
      </c>
      <c r="F153" s="57" t="s">
        <v>696</v>
      </c>
      <c r="G153" s="57" t="s">
        <v>696</v>
      </c>
      <c r="H153" s="56" t="s">
        <v>697</v>
      </c>
      <c r="I153" s="57" t="s">
        <v>696</v>
      </c>
      <c r="J153" s="56" t="s">
        <v>697</v>
      </c>
      <c r="K153" s="56" t="s">
        <v>697</v>
      </c>
      <c r="L153" s="56"/>
      <c r="M153" s="56"/>
    </row>
    <row r="154" spans="1:13">
      <c r="A154" s="55" t="s">
        <v>1000</v>
      </c>
      <c r="B154" s="55" t="s">
        <v>1001</v>
      </c>
      <c r="C154" s="55" t="s">
        <v>270</v>
      </c>
      <c r="D154" s="56" t="s">
        <v>696</v>
      </c>
      <c r="E154" s="56" t="s">
        <v>696</v>
      </c>
      <c r="F154" s="57" t="s">
        <v>696</v>
      </c>
      <c r="G154" s="57" t="s">
        <v>696</v>
      </c>
      <c r="H154" s="56" t="s">
        <v>697</v>
      </c>
      <c r="I154" s="57" t="s">
        <v>696</v>
      </c>
      <c r="J154" s="56" t="s">
        <v>697</v>
      </c>
      <c r="K154" s="56" t="s">
        <v>697</v>
      </c>
      <c r="L154" s="56" t="s">
        <v>696</v>
      </c>
      <c r="M154" s="56"/>
    </row>
    <row r="155" spans="1:13">
      <c r="A155" s="55" t="s">
        <v>1002</v>
      </c>
      <c r="B155" s="55" t="s">
        <v>1003</v>
      </c>
      <c r="C155" s="55" t="s">
        <v>182</v>
      </c>
      <c r="D155" s="56" t="s">
        <v>696</v>
      </c>
      <c r="E155" s="56" t="s">
        <v>696</v>
      </c>
      <c r="F155" s="57" t="s">
        <v>696</v>
      </c>
      <c r="G155" s="57" t="s">
        <v>697</v>
      </c>
      <c r="H155" s="56" t="s">
        <v>697</v>
      </c>
      <c r="I155" s="57" t="s">
        <v>696</v>
      </c>
      <c r="J155" s="56" t="s">
        <v>697</v>
      </c>
      <c r="K155" s="56" t="s">
        <v>697</v>
      </c>
      <c r="L155" s="56" t="s">
        <v>696</v>
      </c>
      <c r="M155" s="56"/>
    </row>
    <row r="156" spans="1:13">
      <c r="A156" s="55" t="s">
        <v>1004</v>
      </c>
      <c r="B156" s="55" t="s">
        <v>1005</v>
      </c>
      <c r="C156" s="55" t="s">
        <v>182</v>
      </c>
      <c r="D156" s="56" t="s">
        <v>696</v>
      </c>
      <c r="E156" s="56" t="s">
        <v>696</v>
      </c>
      <c r="F156" s="57" t="s">
        <v>696</v>
      </c>
      <c r="G156" s="57" t="s">
        <v>696</v>
      </c>
      <c r="H156" s="56" t="s">
        <v>697</v>
      </c>
      <c r="I156" s="57" t="s">
        <v>696</v>
      </c>
      <c r="J156" s="56" t="s">
        <v>697</v>
      </c>
      <c r="K156" s="56" t="s">
        <v>697</v>
      </c>
      <c r="L156" s="56"/>
      <c r="M156" s="56"/>
    </row>
    <row r="157" spans="1:13">
      <c r="A157" s="55" t="s">
        <v>1006</v>
      </c>
      <c r="B157" s="55" t="s">
        <v>1007</v>
      </c>
      <c r="C157" s="55" t="s">
        <v>100</v>
      </c>
      <c r="D157" s="56" t="s">
        <v>696</v>
      </c>
      <c r="E157" s="56" t="s">
        <v>696</v>
      </c>
      <c r="F157" s="57" t="s">
        <v>696</v>
      </c>
      <c r="G157" s="57" t="s">
        <v>696</v>
      </c>
      <c r="H157" s="56" t="s">
        <v>696</v>
      </c>
      <c r="I157" s="57" t="s">
        <v>696</v>
      </c>
      <c r="J157" s="56" t="s">
        <v>696</v>
      </c>
      <c r="K157" s="56" t="s">
        <v>697</v>
      </c>
      <c r="L157" s="56"/>
      <c r="M157" s="56"/>
    </row>
    <row r="158" spans="1:13">
      <c r="A158" s="55" t="s">
        <v>1008</v>
      </c>
      <c r="B158" s="55" t="s">
        <v>1009</v>
      </c>
      <c r="C158" s="55" t="s">
        <v>182</v>
      </c>
      <c r="D158" s="56" t="s">
        <v>696</v>
      </c>
      <c r="E158" s="56" t="s">
        <v>696</v>
      </c>
      <c r="F158" s="57" t="s">
        <v>697</v>
      </c>
      <c r="G158" s="57" t="s">
        <v>696</v>
      </c>
      <c r="H158" s="56" t="s">
        <v>697</v>
      </c>
      <c r="I158" s="57" t="s">
        <v>696</v>
      </c>
      <c r="J158" s="56" t="s">
        <v>697</v>
      </c>
      <c r="K158" s="56" t="s">
        <v>697</v>
      </c>
      <c r="L158" s="56" t="s">
        <v>696</v>
      </c>
      <c r="M158" s="56"/>
    </row>
    <row r="159" spans="1:13">
      <c r="A159" s="55" t="s">
        <v>1010</v>
      </c>
      <c r="B159" s="55" t="s">
        <v>485</v>
      </c>
      <c r="C159" s="55" t="s">
        <v>182</v>
      </c>
      <c r="D159" s="56" t="s">
        <v>696</v>
      </c>
      <c r="E159" s="56" t="s">
        <v>696</v>
      </c>
      <c r="F159" s="57" t="s">
        <v>696</v>
      </c>
      <c r="G159" s="57" t="s">
        <v>696</v>
      </c>
      <c r="H159" s="56" t="s">
        <v>696</v>
      </c>
      <c r="I159" s="57" t="s">
        <v>696</v>
      </c>
      <c r="J159" s="56" t="s">
        <v>696</v>
      </c>
      <c r="K159" s="56" t="s">
        <v>697</v>
      </c>
      <c r="L159" s="56" t="s">
        <v>696</v>
      </c>
      <c r="M159" s="56"/>
    </row>
    <row r="160" spans="1:13">
      <c r="A160" s="55" t="s">
        <v>1011</v>
      </c>
      <c r="B160" s="55" t="s">
        <v>1012</v>
      </c>
      <c r="C160" s="55" t="s">
        <v>96</v>
      </c>
      <c r="D160" s="56" t="s">
        <v>696</v>
      </c>
      <c r="E160" s="56" t="s">
        <v>696</v>
      </c>
      <c r="F160" s="56" t="s">
        <v>696</v>
      </c>
      <c r="G160" s="56" t="s">
        <v>696</v>
      </c>
      <c r="H160" s="56" t="s">
        <v>697</v>
      </c>
      <c r="I160" s="56" t="s">
        <v>697</v>
      </c>
      <c r="J160" s="56" t="s">
        <v>697</v>
      </c>
      <c r="K160" s="56" t="s">
        <v>697</v>
      </c>
      <c r="L160" s="56" t="s">
        <v>697</v>
      </c>
      <c r="M160" s="56"/>
    </row>
    <row r="161" spans="1:13">
      <c r="A161" s="64" t="s">
        <v>1013</v>
      </c>
      <c r="B161" s="55" t="s">
        <v>1014</v>
      </c>
      <c r="C161" s="55" t="s">
        <v>270</v>
      </c>
      <c r="D161" s="56" t="s">
        <v>696</v>
      </c>
      <c r="E161" s="56" t="s">
        <v>696</v>
      </c>
      <c r="F161" s="57" t="s">
        <v>696</v>
      </c>
      <c r="G161" s="57" t="s">
        <v>696</v>
      </c>
      <c r="H161" s="56" t="s">
        <v>697</v>
      </c>
      <c r="I161" s="57" t="s">
        <v>696</v>
      </c>
      <c r="J161" s="56" t="s">
        <v>697</v>
      </c>
      <c r="K161" s="56" t="s">
        <v>697</v>
      </c>
      <c r="L161" s="56"/>
      <c r="M161" s="56"/>
    </row>
    <row r="162" spans="1:13">
      <c r="A162" s="55" t="s">
        <v>1015</v>
      </c>
      <c r="B162" s="55" t="s">
        <v>1016</v>
      </c>
      <c r="C162" s="55" t="s">
        <v>270</v>
      </c>
      <c r="D162" s="56" t="s">
        <v>696</v>
      </c>
      <c r="E162" s="56" t="s">
        <v>696</v>
      </c>
      <c r="F162" s="57" t="s">
        <v>696</v>
      </c>
      <c r="G162" s="57" t="s">
        <v>696</v>
      </c>
      <c r="H162" s="56" t="s">
        <v>697</v>
      </c>
      <c r="I162" s="57" t="s">
        <v>696</v>
      </c>
      <c r="J162" s="56" t="s">
        <v>697</v>
      </c>
      <c r="K162" s="56" t="s">
        <v>697</v>
      </c>
      <c r="L162" s="56"/>
      <c r="M162" s="56"/>
    </row>
    <row r="163" spans="1:13">
      <c r="A163" s="55" t="s">
        <v>1017</v>
      </c>
      <c r="B163" s="55" t="s">
        <v>1018</v>
      </c>
      <c r="C163" s="55" t="s">
        <v>270</v>
      </c>
      <c r="D163" s="56" t="s">
        <v>696</v>
      </c>
      <c r="E163" s="56" t="s">
        <v>696</v>
      </c>
      <c r="F163" s="57" t="s">
        <v>697</v>
      </c>
      <c r="G163" s="57" t="s">
        <v>697</v>
      </c>
      <c r="H163" s="56" t="s">
        <v>697</v>
      </c>
      <c r="I163" s="57" t="s">
        <v>696</v>
      </c>
      <c r="J163" s="56" t="s">
        <v>697</v>
      </c>
      <c r="K163" s="56" t="s">
        <v>697</v>
      </c>
      <c r="L163" s="56" t="s">
        <v>697</v>
      </c>
      <c r="M163" s="56"/>
    </row>
    <row r="164" spans="1:13">
      <c r="A164" s="55" t="s">
        <v>1019</v>
      </c>
      <c r="B164" s="55" t="s">
        <v>1020</v>
      </c>
      <c r="C164" s="55" t="s">
        <v>182</v>
      </c>
      <c r="D164" s="56" t="s">
        <v>696</v>
      </c>
      <c r="E164" s="56" t="s">
        <v>696</v>
      </c>
      <c r="F164" s="57" t="s">
        <v>697</v>
      </c>
      <c r="G164" s="57" t="s">
        <v>697</v>
      </c>
      <c r="H164" s="56" t="s">
        <v>697</v>
      </c>
      <c r="I164" s="57" t="s">
        <v>696</v>
      </c>
      <c r="J164" s="56" t="s">
        <v>697</v>
      </c>
      <c r="K164" s="56" t="s">
        <v>697</v>
      </c>
      <c r="L164" s="56"/>
      <c r="M164" s="56"/>
    </row>
    <row r="165" spans="1:13">
      <c r="A165" s="55" t="s">
        <v>1021</v>
      </c>
      <c r="B165" s="55" t="s">
        <v>1022</v>
      </c>
      <c r="C165" s="55" t="s">
        <v>182</v>
      </c>
      <c r="D165" s="56" t="s">
        <v>696</v>
      </c>
      <c r="E165" s="56" t="s">
        <v>696</v>
      </c>
      <c r="F165" s="57" t="s">
        <v>697</v>
      </c>
      <c r="G165" s="57" t="s">
        <v>697</v>
      </c>
      <c r="H165" s="56" t="s">
        <v>697</v>
      </c>
      <c r="I165" s="57" t="s">
        <v>697</v>
      </c>
      <c r="J165" s="56" t="s">
        <v>697</v>
      </c>
      <c r="K165" s="56" t="s">
        <v>697</v>
      </c>
      <c r="L165" s="56" t="s">
        <v>696</v>
      </c>
      <c r="M165" s="56"/>
    </row>
    <row r="166" spans="1:13">
      <c r="A166" s="55" t="s">
        <v>1023</v>
      </c>
      <c r="B166" s="55" t="s">
        <v>1024</v>
      </c>
      <c r="C166" s="55" t="s">
        <v>100</v>
      </c>
      <c r="D166" s="56" t="s">
        <v>696</v>
      </c>
      <c r="E166" s="56" t="s">
        <v>696</v>
      </c>
      <c r="F166" s="57" t="s">
        <v>697</v>
      </c>
      <c r="G166" s="57" t="s">
        <v>696</v>
      </c>
      <c r="H166" s="56" t="s">
        <v>697</v>
      </c>
      <c r="I166" s="57" t="s">
        <v>697</v>
      </c>
      <c r="J166" s="56" t="s">
        <v>697</v>
      </c>
      <c r="K166" s="56" t="s">
        <v>697</v>
      </c>
      <c r="L166" s="56" t="s">
        <v>696</v>
      </c>
      <c r="M166" s="56"/>
    </row>
    <row r="167" spans="1:13">
      <c r="A167" s="55" t="s">
        <v>1025</v>
      </c>
      <c r="B167" s="55" t="s">
        <v>1026</v>
      </c>
      <c r="C167" s="55" t="s">
        <v>100</v>
      </c>
      <c r="D167" s="56" t="s">
        <v>696</v>
      </c>
      <c r="E167" s="56" t="s">
        <v>696</v>
      </c>
      <c r="F167" s="57" t="s">
        <v>696</v>
      </c>
      <c r="G167" s="57" t="s">
        <v>696</v>
      </c>
      <c r="H167" s="56" t="s">
        <v>696</v>
      </c>
      <c r="I167" s="57" t="s">
        <v>696</v>
      </c>
      <c r="J167" s="56" t="s">
        <v>696</v>
      </c>
      <c r="K167" s="56" t="s">
        <v>697</v>
      </c>
      <c r="L167" s="56" t="s">
        <v>696</v>
      </c>
      <c r="M167" s="56"/>
    </row>
    <row r="168" spans="1:13">
      <c r="A168" s="61" t="s">
        <v>1027</v>
      </c>
      <c r="B168" s="55" t="s">
        <v>1028</v>
      </c>
      <c r="C168" s="55" t="s">
        <v>275</v>
      </c>
      <c r="D168" s="56" t="s">
        <v>696</v>
      </c>
      <c r="E168" s="56" t="s">
        <v>696</v>
      </c>
      <c r="F168" s="57" t="s">
        <v>696</v>
      </c>
      <c r="G168" s="57" t="s">
        <v>696</v>
      </c>
      <c r="H168" s="56" t="s">
        <v>697</v>
      </c>
      <c r="I168" s="57" t="s">
        <v>696</v>
      </c>
      <c r="J168" s="56" t="s">
        <v>696</v>
      </c>
      <c r="K168" s="56" t="s">
        <v>697</v>
      </c>
      <c r="L168" s="56"/>
      <c r="M168" s="56"/>
    </row>
    <row r="169" spans="1:13">
      <c r="A169" s="55" t="s">
        <v>1029</v>
      </c>
      <c r="B169" s="55" t="s">
        <v>1030</v>
      </c>
      <c r="C169" s="55" t="s">
        <v>182</v>
      </c>
      <c r="D169" s="56" t="s">
        <v>696</v>
      </c>
      <c r="E169" s="56" t="s">
        <v>696</v>
      </c>
      <c r="F169" s="57" t="s">
        <v>696</v>
      </c>
      <c r="G169" s="57" t="s">
        <v>696</v>
      </c>
      <c r="H169" s="56" t="s">
        <v>697</v>
      </c>
      <c r="I169" s="57" t="s">
        <v>696</v>
      </c>
      <c r="J169" s="56" t="s">
        <v>697</v>
      </c>
      <c r="K169" s="56" t="s">
        <v>697</v>
      </c>
      <c r="L169" s="56" t="s">
        <v>696</v>
      </c>
      <c r="M169" s="56"/>
    </row>
    <row r="170" spans="1:13">
      <c r="A170" s="55" t="s">
        <v>1031</v>
      </c>
      <c r="B170" s="55" t="s">
        <v>1032</v>
      </c>
      <c r="C170" s="55" t="s">
        <v>100</v>
      </c>
      <c r="D170" s="56" t="s">
        <v>696</v>
      </c>
      <c r="E170" s="56" t="s">
        <v>696</v>
      </c>
      <c r="F170" s="57" t="s">
        <v>696</v>
      </c>
      <c r="G170" s="57" t="s">
        <v>696</v>
      </c>
      <c r="H170" s="56" t="s">
        <v>697</v>
      </c>
      <c r="I170" s="57" t="s">
        <v>696</v>
      </c>
      <c r="J170" s="56" t="s">
        <v>697</v>
      </c>
      <c r="K170" s="56" t="s">
        <v>697</v>
      </c>
      <c r="L170" s="56" t="s">
        <v>696</v>
      </c>
      <c r="M170" s="56"/>
    </row>
    <row r="171" spans="1:13">
      <c r="A171" s="55" t="s">
        <v>1033</v>
      </c>
      <c r="B171" s="55" t="s">
        <v>1034</v>
      </c>
      <c r="C171" s="55" t="s">
        <v>100</v>
      </c>
      <c r="D171" s="56" t="s">
        <v>696</v>
      </c>
      <c r="E171" s="56" t="s">
        <v>696</v>
      </c>
      <c r="F171" s="57" t="s">
        <v>697</v>
      </c>
      <c r="G171" s="57" t="s">
        <v>697</v>
      </c>
      <c r="H171" s="56" t="s">
        <v>697</v>
      </c>
      <c r="I171" s="57" t="s">
        <v>696</v>
      </c>
      <c r="J171" s="56" t="s">
        <v>697</v>
      </c>
      <c r="K171" s="56" t="s">
        <v>697</v>
      </c>
      <c r="L171" s="56"/>
      <c r="M171" s="56"/>
    </row>
    <row r="172" spans="1:13">
      <c r="A172" s="55" t="s">
        <v>1035</v>
      </c>
      <c r="B172" s="55" t="s">
        <v>1036</v>
      </c>
      <c r="C172" s="55" t="s">
        <v>96</v>
      </c>
      <c r="D172" s="56" t="s">
        <v>696</v>
      </c>
      <c r="E172" s="56" t="s">
        <v>696</v>
      </c>
      <c r="F172" s="57" t="s">
        <v>696</v>
      </c>
      <c r="G172" s="57" t="s">
        <v>696</v>
      </c>
      <c r="H172" s="56" t="s">
        <v>697</v>
      </c>
      <c r="I172" s="57" t="s">
        <v>696</v>
      </c>
      <c r="J172" s="56" t="s">
        <v>696</v>
      </c>
      <c r="K172" s="56" t="s">
        <v>696</v>
      </c>
      <c r="L172" s="56" t="s">
        <v>696</v>
      </c>
      <c r="M172" s="56"/>
    </row>
    <row r="173" spans="1:13">
      <c r="A173" s="61" t="s">
        <v>1037</v>
      </c>
      <c r="B173" s="55" t="s">
        <v>1038</v>
      </c>
      <c r="C173" s="55" t="s">
        <v>182</v>
      </c>
      <c r="D173" s="56" t="s">
        <v>696</v>
      </c>
      <c r="E173" s="56" t="s">
        <v>696</v>
      </c>
      <c r="F173" s="57" t="s">
        <v>696</v>
      </c>
      <c r="G173" s="57" t="s">
        <v>696</v>
      </c>
      <c r="H173" s="56" t="s">
        <v>697</v>
      </c>
      <c r="I173" s="57" t="s">
        <v>696</v>
      </c>
      <c r="J173" s="56" t="s">
        <v>697</v>
      </c>
      <c r="K173" s="56" t="s">
        <v>697</v>
      </c>
      <c r="L173" s="56" t="s">
        <v>696</v>
      </c>
      <c r="M173" s="56"/>
    </row>
    <row r="174" spans="1:13">
      <c r="A174" s="61" t="s">
        <v>1039</v>
      </c>
      <c r="B174" s="55" t="s">
        <v>1040</v>
      </c>
      <c r="C174" s="55" t="s">
        <v>96</v>
      </c>
      <c r="D174" s="56" t="s">
        <v>696</v>
      </c>
      <c r="E174" s="56" t="s">
        <v>696</v>
      </c>
      <c r="F174" s="57" t="s">
        <v>696</v>
      </c>
      <c r="G174" s="57" t="s">
        <v>696</v>
      </c>
      <c r="H174" s="56" t="s">
        <v>697</v>
      </c>
      <c r="I174" s="57" t="s">
        <v>696</v>
      </c>
      <c r="J174" s="56" t="s">
        <v>696</v>
      </c>
      <c r="K174" s="56" t="s">
        <v>697</v>
      </c>
      <c r="L174" s="56" t="s">
        <v>696</v>
      </c>
      <c r="M174" s="56"/>
    </row>
    <row r="175" spans="1:13">
      <c r="A175" s="61" t="s">
        <v>1041</v>
      </c>
      <c r="B175" s="55" t="s">
        <v>1042</v>
      </c>
      <c r="C175" s="55" t="s">
        <v>96</v>
      </c>
      <c r="D175" s="56" t="s">
        <v>696</v>
      </c>
      <c r="E175" s="56" t="s">
        <v>696</v>
      </c>
      <c r="F175" s="57" t="s">
        <v>696</v>
      </c>
      <c r="G175" s="57" t="s">
        <v>696</v>
      </c>
      <c r="H175" s="56" t="s">
        <v>697</v>
      </c>
      <c r="I175" s="57" t="s">
        <v>696</v>
      </c>
      <c r="J175" s="56" t="s">
        <v>696</v>
      </c>
      <c r="K175" s="56" t="s">
        <v>696</v>
      </c>
      <c r="L175" s="56"/>
      <c r="M175" s="56"/>
    </row>
    <row r="176" spans="1:13">
      <c r="A176" s="61" t="s">
        <v>1043</v>
      </c>
      <c r="B176" s="55" t="s">
        <v>1044</v>
      </c>
      <c r="C176" s="55" t="s">
        <v>182</v>
      </c>
      <c r="D176" s="56" t="s">
        <v>696</v>
      </c>
      <c r="E176" s="56" t="s">
        <v>696</v>
      </c>
      <c r="F176" s="57" t="s">
        <v>696</v>
      </c>
      <c r="G176" s="57" t="s">
        <v>696</v>
      </c>
      <c r="H176" s="56" t="s">
        <v>696</v>
      </c>
      <c r="I176" s="57" t="s">
        <v>696</v>
      </c>
      <c r="J176" s="56" t="s">
        <v>697</v>
      </c>
      <c r="K176" s="56" t="s">
        <v>697</v>
      </c>
      <c r="L176" s="56" t="s">
        <v>696</v>
      </c>
      <c r="M176" s="56"/>
    </row>
    <row r="177" spans="1:13" ht="15" customHeight="1">
      <c r="A177" s="61" t="s">
        <v>1045</v>
      </c>
      <c r="B177" s="55" t="s">
        <v>1046</v>
      </c>
      <c r="C177" s="55" t="s">
        <v>182</v>
      </c>
      <c r="D177" s="56" t="s">
        <v>696</v>
      </c>
      <c r="E177" s="56" t="s">
        <v>696</v>
      </c>
      <c r="F177" s="57" t="s">
        <v>697</v>
      </c>
      <c r="G177" s="57" t="s">
        <v>697</v>
      </c>
      <c r="H177" s="56" t="s">
        <v>697</v>
      </c>
      <c r="I177" s="57" t="s">
        <v>696</v>
      </c>
      <c r="J177" s="56" t="s">
        <v>697</v>
      </c>
      <c r="K177" s="56" t="s">
        <v>697</v>
      </c>
      <c r="L177" s="56" t="s">
        <v>696</v>
      </c>
      <c r="M177" s="56"/>
    </row>
    <row r="178" spans="1:13">
      <c r="A178" s="61" t="s">
        <v>1047</v>
      </c>
      <c r="B178" s="55" t="s">
        <v>1048</v>
      </c>
      <c r="C178" s="55" t="s">
        <v>100</v>
      </c>
      <c r="D178" s="56" t="s">
        <v>696</v>
      </c>
      <c r="E178" s="56" t="s">
        <v>696</v>
      </c>
      <c r="F178" s="57" t="s">
        <v>696</v>
      </c>
      <c r="G178" s="57" t="s">
        <v>696</v>
      </c>
      <c r="H178" s="56" t="s">
        <v>696</v>
      </c>
      <c r="I178" s="57" t="s">
        <v>696</v>
      </c>
      <c r="J178" s="56" t="s">
        <v>696</v>
      </c>
      <c r="K178" s="56" t="s">
        <v>697</v>
      </c>
      <c r="L178" s="56"/>
      <c r="M178" s="56"/>
    </row>
    <row r="179" spans="1:13">
      <c r="A179" s="61" t="s">
        <v>1049</v>
      </c>
      <c r="B179" s="55" t="s">
        <v>1050</v>
      </c>
      <c r="C179" s="55" t="s">
        <v>100</v>
      </c>
      <c r="D179" s="56" t="s">
        <v>696</v>
      </c>
      <c r="E179" s="56" t="s">
        <v>696</v>
      </c>
      <c r="F179" s="57" t="s">
        <v>696</v>
      </c>
      <c r="G179" s="57" t="s">
        <v>696</v>
      </c>
      <c r="H179" s="56" t="s">
        <v>696</v>
      </c>
      <c r="I179" s="57" t="s">
        <v>696</v>
      </c>
      <c r="J179" s="56" t="s">
        <v>696</v>
      </c>
      <c r="K179" s="56" t="s">
        <v>697</v>
      </c>
      <c r="L179" s="56" t="s">
        <v>696</v>
      </c>
      <c r="M179" s="56"/>
    </row>
    <row r="180" spans="1:13" ht="15" customHeight="1">
      <c r="A180" s="61" t="s">
        <v>1051</v>
      </c>
      <c r="B180" s="55" t="s">
        <v>1052</v>
      </c>
      <c r="C180" s="55" t="s">
        <v>47</v>
      </c>
      <c r="D180" s="56" t="s">
        <v>696</v>
      </c>
      <c r="E180" s="56" t="s">
        <v>878</v>
      </c>
      <c r="F180" s="57" t="s">
        <v>697</v>
      </c>
      <c r="G180" s="57" t="s">
        <v>696</v>
      </c>
      <c r="H180" s="56" t="s">
        <v>697</v>
      </c>
      <c r="I180" s="57" t="s">
        <v>697</v>
      </c>
      <c r="J180" s="56" t="s">
        <v>697</v>
      </c>
      <c r="K180" s="56" t="s">
        <v>697</v>
      </c>
      <c r="L180" s="56" t="s">
        <v>696</v>
      </c>
      <c r="M180" s="56"/>
    </row>
    <row r="181" spans="1:13">
      <c r="A181" s="61" t="s">
        <v>1053</v>
      </c>
      <c r="B181" s="55" t="s">
        <v>1054</v>
      </c>
      <c r="C181" s="55" t="s">
        <v>275</v>
      </c>
      <c r="D181" s="56" t="s">
        <v>696</v>
      </c>
      <c r="E181" s="56" t="s">
        <v>696</v>
      </c>
      <c r="F181" s="57" t="s">
        <v>696</v>
      </c>
      <c r="G181" s="57" t="s">
        <v>696</v>
      </c>
      <c r="H181" s="56" t="s">
        <v>697</v>
      </c>
      <c r="I181" s="57" t="s">
        <v>696</v>
      </c>
      <c r="J181" s="56" t="s">
        <v>696</v>
      </c>
      <c r="K181" s="56" t="s">
        <v>697</v>
      </c>
      <c r="L181" s="56" t="s">
        <v>696</v>
      </c>
      <c r="M181" s="56"/>
    </row>
    <row r="182" spans="1:13">
      <c r="A182" s="61" t="s">
        <v>1055</v>
      </c>
      <c r="B182" s="55" t="s">
        <v>1056</v>
      </c>
      <c r="C182" s="55" t="s">
        <v>100</v>
      </c>
      <c r="D182" s="56" t="s">
        <v>696</v>
      </c>
      <c r="E182" s="56" t="s">
        <v>696</v>
      </c>
      <c r="F182" s="57" t="s">
        <v>697</v>
      </c>
      <c r="G182" s="57" t="s">
        <v>696</v>
      </c>
      <c r="H182" s="56" t="s">
        <v>697</v>
      </c>
      <c r="I182" s="57" t="s">
        <v>696</v>
      </c>
      <c r="J182" s="56" t="s">
        <v>697</v>
      </c>
      <c r="K182" s="56" t="s">
        <v>697</v>
      </c>
      <c r="L182" s="56" t="s">
        <v>697</v>
      </c>
      <c r="M182" s="56"/>
    </row>
    <row r="183" spans="1:13" ht="14.25" customHeight="1">
      <c r="A183" s="61" t="s">
        <v>1057</v>
      </c>
      <c r="B183" s="55" t="s">
        <v>1058</v>
      </c>
      <c r="C183" s="55" t="s">
        <v>100</v>
      </c>
      <c r="D183" s="56" t="s">
        <v>696</v>
      </c>
      <c r="E183" s="56" t="s">
        <v>696</v>
      </c>
      <c r="F183" s="57" t="s">
        <v>696</v>
      </c>
      <c r="G183" s="57" t="s">
        <v>696</v>
      </c>
      <c r="H183" s="56" t="s">
        <v>697</v>
      </c>
      <c r="I183" s="57" t="s">
        <v>696</v>
      </c>
      <c r="J183" s="56" t="s">
        <v>696</v>
      </c>
      <c r="K183" s="56" t="s">
        <v>697</v>
      </c>
      <c r="L183" s="56" t="s">
        <v>696</v>
      </c>
      <c r="M183" s="56"/>
    </row>
    <row r="184" spans="1:13">
      <c r="A184" s="55" t="s">
        <v>1059</v>
      </c>
      <c r="B184" s="55" t="s">
        <v>1060</v>
      </c>
      <c r="C184" s="55" t="s">
        <v>100</v>
      </c>
      <c r="D184" s="56" t="s">
        <v>697</v>
      </c>
      <c r="E184" s="56" t="s">
        <v>697</v>
      </c>
      <c r="F184" s="57" t="s">
        <v>697</v>
      </c>
      <c r="G184" s="57" t="s">
        <v>697</v>
      </c>
      <c r="H184" s="56" t="s">
        <v>697</v>
      </c>
      <c r="I184" s="57" t="s">
        <v>697</v>
      </c>
      <c r="J184" s="56" t="s">
        <v>697</v>
      </c>
      <c r="K184" s="56" t="s">
        <v>697</v>
      </c>
      <c r="L184" s="56"/>
      <c r="M184" s="56"/>
    </row>
    <row r="185" spans="1:13">
      <c r="A185" s="55" t="s">
        <v>1061</v>
      </c>
      <c r="B185" s="55" t="s">
        <v>1062</v>
      </c>
      <c r="C185" s="55" t="s">
        <v>270</v>
      </c>
      <c r="D185" s="56" t="s">
        <v>696</v>
      </c>
      <c r="E185" s="56" t="s">
        <v>696</v>
      </c>
      <c r="F185" s="57" t="s">
        <v>696</v>
      </c>
      <c r="G185" s="57" t="s">
        <v>696</v>
      </c>
      <c r="H185" s="56" t="s">
        <v>697</v>
      </c>
      <c r="I185" s="57" t="s">
        <v>696</v>
      </c>
      <c r="J185" s="56" t="s">
        <v>697</v>
      </c>
      <c r="K185" s="56" t="s">
        <v>697</v>
      </c>
      <c r="L185" s="56"/>
      <c r="M185" s="56"/>
    </row>
    <row r="186" spans="1:13">
      <c r="A186" s="55" t="s">
        <v>1063</v>
      </c>
      <c r="B186" s="55" t="s">
        <v>1064</v>
      </c>
      <c r="C186" s="55" t="s">
        <v>96</v>
      </c>
      <c r="D186" s="56" t="s">
        <v>696</v>
      </c>
      <c r="E186" s="56" t="s">
        <v>696</v>
      </c>
      <c r="F186" s="57" t="s">
        <v>697</v>
      </c>
      <c r="G186" s="57" t="s">
        <v>696</v>
      </c>
      <c r="H186" s="56" t="s">
        <v>697</v>
      </c>
      <c r="I186" s="57" t="s">
        <v>696</v>
      </c>
      <c r="J186" s="56" t="s">
        <v>697</v>
      </c>
      <c r="K186" s="56" t="s">
        <v>697</v>
      </c>
      <c r="L186" s="56"/>
      <c r="M186" s="56"/>
    </row>
    <row r="187" spans="1:13">
      <c r="A187" s="55" t="s">
        <v>1065</v>
      </c>
      <c r="B187" s="55" t="s">
        <v>1066</v>
      </c>
      <c r="C187" s="55" t="s">
        <v>182</v>
      </c>
      <c r="D187" s="56" t="s">
        <v>696</v>
      </c>
      <c r="E187" s="56" t="s">
        <v>696</v>
      </c>
      <c r="F187" s="57" t="s">
        <v>697</v>
      </c>
      <c r="G187" s="57" t="s">
        <v>696</v>
      </c>
      <c r="H187" s="56" t="s">
        <v>697</v>
      </c>
      <c r="I187" s="57" t="s">
        <v>696</v>
      </c>
      <c r="J187" s="56" t="s">
        <v>697</v>
      </c>
      <c r="K187" s="56" t="s">
        <v>697</v>
      </c>
      <c r="L187" s="56"/>
      <c r="M187" s="56"/>
    </row>
    <row r="188" spans="1:13">
      <c r="A188" s="55" t="s">
        <v>1067</v>
      </c>
      <c r="B188" s="55" t="s">
        <v>1068</v>
      </c>
      <c r="C188" s="55" t="s">
        <v>100</v>
      </c>
      <c r="D188" s="56" t="s">
        <v>696</v>
      </c>
      <c r="E188" s="56" t="s">
        <v>696</v>
      </c>
      <c r="F188" s="57" t="s">
        <v>697</v>
      </c>
      <c r="G188" s="57" t="s">
        <v>696</v>
      </c>
      <c r="H188" s="56" t="s">
        <v>697</v>
      </c>
      <c r="I188" s="57" t="s">
        <v>696</v>
      </c>
      <c r="J188" s="56" t="s">
        <v>697</v>
      </c>
      <c r="K188" s="56" t="s">
        <v>697</v>
      </c>
      <c r="L188" s="56"/>
      <c r="M188" s="56"/>
    </row>
    <row r="189" spans="1:13">
      <c r="A189" s="55" t="s">
        <v>1069</v>
      </c>
      <c r="B189" s="55" t="s">
        <v>1070</v>
      </c>
      <c r="C189" s="55" t="s">
        <v>270</v>
      </c>
      <c r="D189" s="56" t="s">
        <v>696</v>
      </c>
      <c r="E189" s="56" t="s">
        <v>696</v>
      </c>
      <c r="F189" s="57" t="s">
        <v>696</v>
      </c>
      <c r="G189" s="57" t="s">
        <v>697</v>
      </c>
      <c r="H189" s="56" t="s">
        <v>697</v>
      </c>
      <c r="I189" s="57" t="s">
        <v>696</v>
      </c>
      <c r="J189" s="56" t="s">
        <v>697</v>
      </c>
      <c r="K189" s="56" t="s">
        <v>697</v>
      </c>
      <c r="L189" s="56" t="s">
        <v>696</v>
      </c>
      <c r="M189" s="56"/>
    </row>
    <row r="190" spans="1:13">
      <c r="A190" s="61" t="s">
        <v>1071</v>
      </c>
      <c r="B190" s="55" t="s">
        <v>477</v>
      </c>
      <c r="C190" s="55" t="s">
        <v>275</v>
      </c>
      <c r="D190" s="56" t="s">
        <v>696</v>
      </c>
      <c r="E190" s="56" t="s">
        <v>696</v>
      </c>
      <c r="F190" s="57" t="s">
        <v>696</v>
      </c>
      <c r="G190" s="57" t="s">
        <v>696</v>
      </c>
      <c r="H190" s="56" t="s">
        <v>696</v>
      </c>
      <c r="I190" s="57" t="s">
        <v>696</v>
      </c>
      <c r="J190" s="56" t="s">
        <v>696</v>
      </c>
      <c r="K190" s="56" t="s">
        <v>697</v>
      </c>
      <c r="L190" s="56" t="s">
        <v>696</v>
      </c>
      <c r="M190" s="56"/>
    </row>
    <row r="191" spans="1:13">
      <c r="A191" s="55" t="s">
        <v>1072</v>
      </c>
      <c r="B191" s="55" t="s">
        <v>1073</v>
      </c>
      <c r="C191" s="55" t="s">
        <v>270</v>
      </c>
      <c r="D191" s="56" t="s">
        <v>696</v>
      </c>
      <c r="E191" s="56" t="s">
        <v>696</v>
      </c>
      <c r="F191" s="57" t="s">
        <v>696</v>
      </c>
      <c r="G191" s="57" t="s">
        <v>696</v>
      </c>
      <c r="H191" s="56" t="s">
        <v>697</v>
      </c>
      <c r="I191" s="57" t="s">
        <v>696</v>
      </c>
      <c r="J191" s="56" t="s">
        <v>697</v>
      </c>
      <c r="K191" s="56" t="s">
        <v>697</v>
      </c>
      <c r="L191" s="56"/>
      <c r="M191" s="56"/>
    </row>
    <row r="192" spans="1:13">
      <c r="A192" s="55" t="s">
        <v>1074</v>
      </c>
      <c r="B192" s="55" t="s">
        <v>1075</v>
      </c>
      <c r="C192" s="55" t="s">
        <v>100</v>
      </c>
      <c r="D192" s="56" t="s">
        <v>696</v>
      </c>
      <c r="E192" s="56" t="s">
        <v>696</v>
      </c>
      <c r="F192" s="57" t="s">
        <v>696</v>
      </c>
      <c r="G192" s="57" t="s">
        <v>696</v>
      </c>
      <c r="H192" s="56" t="s">
        <v>697</v>
      </c>
      <c r="I192" s="57" t="s">
        <v>696</v>
      </c>
      <c r="J192" s="56" t="s">
        <v>697</v>
      </c>
      <c r="K192" s="56" t="s">
        <v>697</v>
      </c>
      <c r="L192" s="56" t="s">
        <v>696</v>
      </c>
      <c r="M192" s="56"/>
    </row>
    <row r="193" spans="1:13">
      <c r="A193" s="55" t="s">
        <v>1076</v>
      </c>
      <c r="B193" s="55" t="s">
        <v>1077</v>
      </c>
      <c r="C193" s="55" t="s">
        <v>270</v>
      </c>
      <c r="D193" s="56" t="s">
        <v>696</v>
      </c>
      <c r="E193" s="56" t="s">
        <v>696</v>
      </c>
      <c r="F193" s="57" t="s">
        <v>696</v>
      </c>
      <c r="G193" s="57" t="s">
        <v>696</v>
      </c>
      <c r="H193" s="56" t="s">
        <v>697</v>
      </c>
      <c r="I193" s="57" t="s">
        <v>696</v>
      </c>
      <c r="J193" s="56" t="s">
        <v>697</v>
      </c>
      <c r="K193" s="56" t="s">
        <v>697</v>
      </c>
      <c r="L193" s="56" t="s">
        <v>696</v>
      </c>
      <c r="M193" s="56"/>
    </row>
    <row r="194" spans="1:13">
      <c r="A194" s="55" t="s">
        <v>1078</v>
      </c>
      <c r="B194" s="55" t="s">
        <v>1079</v>
      </c>
      <c r="C194" s="55" t="s">
        <v>270</v>
      </c>
      <c r="D194" s="56" t="s">
        <v>696</v>
      </c>
      <c r="E194" s="56" t="s">
        <v>696</v>
      </c>
      <c r="F194" s="57" t="s">
        <v>696</v>
      </c>
      <c r="G194" s="57" t="s">
        <v>696</v>
      </c>
      <c r="H194" s="56" t="s">
        <v>697</v>
      </c>
      <c r="I194" s="57" t="s">
        <v>696</v>
      </c>
      <c r="J194" s="56" t="s">
        <v>697</v>
      </c>
      <c r="K194" s="56" t="s">
        <v>697</v>
      </c>
      <c r="L194" s="56" t="s">
        <v>696</v>
      </c>
      <c r="M194" s="56"/>
    </row>
    <row r="195" spans="1:13">
      <c r="A195" s="64" t="s">
        <v>1080</v>
      </c>
      <c r="B195" s="55" t="s">
        <v>1081</v>
      </c>
      <c r="C195" s="55" t="s">
        <v>182</v>
      </c>
      <c r="D195" s="56" t="s">
        <v>696</v>
      </c>
      <c r="E195" s="56" t="s">
        <v>696</v>
      </c>
      <c r="F195" s="57" t="s">
        <v>696</v>
      </c>
      <c r="G195" s="57" t="s">
        <v>696</v>
      </c>
      <c r="H195" s="56" t="s">
        <v>696</v>
      </c>
      <c r="I195" s="57" t="s">
        <v>696</v>
      </c>
      <c r="J195" s="56" t="s">
        <v>696</v>
      </c>
      <c r="K195" s="56" t="s">
        <v>697</v>
      </c>
      <c r="L195" s="56" t="s">
        <v>696</v>
      </c>
      <c r="M195" s="56"/>
    </row>
    <row r="196" spans="1:13">
      <c r="A196" s="55" t="s">
        <v>1082</v>
      </c>
      <c r="B196" s="55" t="s">
        <v>1083</v>
      </c>
      <c r="C196" s="55" t="s">
        <v>100</v>
      </c>
      <c r="D196" s="56" t="s">
        <v>696</v>
      </c>
      <c r="E196" s="56" t="s">
        <v>696</v>
      </c>
      <c r="F196" s="57" t="s">
        <v>696</v>
      </c>
      <c r="G196" s="57" t="s">
        <v>696</v>
      </c>
      <c r="H196" s="56" t="s">
        <v>696</v>
      </c>
      <c r="I196" s="57" t="s">
        <v>696</v>
      </c>
      <c r="J196" s="56" t="s">
        <v>696</v>
      </c>
      <c r="K196" s="56" t="s">
        <v>697</v>
      </c>
      <c r="L196" s="56"/>
      <c r="M196" s="56"/>
    </row>
    <row r="197" spans="1:13">
      <c r="A197" s="55" t="s">
        <v>1084</v>
      </c>
      <c r="B197" s="55" t="s">
        <v>1085</v>
      </c>
      <c r="C197" s="55" t="s">
        <v>100</v>
      </c>
      <c r="D197" s="56" t="s">
        <v>696</v>
      </c>
      <c r="E197" s="56" t="s">
        <v>696</v>
      </c>
      <c r="F197" s="57" t="s">
        <v>696</v>
      </c>
      <c r="G197" s="57" t="s">
        <v>696</v>
      </c>
      <c r="H197" s="56" t="s">
        <v>697</v>
      </c>
      <c r="I197" s="57" t="s">
        <v>696</v>
      </c>
      <c r="J197" s="56" t="s">
        <v>696</v>
      </c>
      <c r="K197" s="56" t="s">
        <v>697</v>
      </c>
      <c r="L197" s="56" t="s">
        <v>697</v>
      </c>
      <c r="M197" s="56"/>
    </row>
    <row r="198" spans="1:13">
      <c r="A198" s="55" t="s">
        <v>1086</v>
      </c>
      <c r="B198" s="55" t="s">
        <v>1087</v>
      </c>
      <c r="C198" s="55" t="s">
        <v>182</v>
      </c>
      <c r="D198" s="56" t="s">
        <v>696</v>
      </c>
      <c r="E198" s="56" t="s">
        <v>696</v>
      </c>
      <c r="F198" s="57" t="s">
        <v>696</v>
      </c>
      <c r="G198" s="57" t="s">
        <v>696</v>
      </c>
      <c r="H198" s="56" t="s">
        <v>697</v>
      </c>
      <c r="I198" s="57" t="s">
        <v>696</v>
      </c>
      <c r="J198" s="56" t="s">
        <v>697</v>
      </c>
      <c r="K198" s="56" t="s">
        <v>697</v>
      </c>
      <c r="L198" s="56" t="s">
        <v>696</v>
      </c>
      <c r="M198" s="56"/>
    </row>
    <row r="199" spans="1:13">
      <c r="A199" s="55" t="s">
        <v>1088</v>
      </c>
      <c r="B199" s="55" t="s">
        <v>1089</v>
      </c>
      <c r="C199" s="55" t="s">
        <v>270</v>
      </c>
      <c r="D199" s="56" t="s">
        <v>696</v>
      </c>
      <c r="E199" s="56" t="s">
        <v>696</v>
      </c>
      <c r="F199" s="56" t="s">
        <v>697</v>
      </c>
      <c r="G199" s="56" t="s">
        <v>696</v>
      </c>
      <c r="H199" s="56" t="s">
        <v>697</v>
      </c>
      <c r="I199" s="56" t="s">
        <v>697</v>
      </c>
      <c r="J199" s="56" t="s">
        <v>697</v>
      </c>
      <c r="K199" s="56" t="s">
        <v>697</v>
      </c>
      <c r="L199" s="56" t="s">
        <v>697</v>
      </c>
      <c r="M199" s="56"/>
    </row>
    <row r="200" spans="1:13">
      <c r="A200" s="55" t="s">
        <v>1090</v>
      </c>
      <c r="B200" s="55" t="s">
        <v>1091</v>
      </c>
      <c r="C200" s="55" t="s">
        <v>270</v>
      </c>
      <c r="D200" s="56" t="s">
        <v>696</v>
      </c>
      <c r="E200" s="56" t="s">
        <v>696</v>
      </c>
      <c r="F200" s="56" t="s">
        <v>696</v>
      </c>
      <c r="G200" s="56" t="s">
        <v>696</v>
      </c>
      <c r="H200" s="56" t="s">
        <v>696</v>
      </c>
      <c r="I200" s="57" t="s">
        <v>696</v>
      </c>
      <c r="J200" s="56" t="s">
        <v>696</v>
      </c>
      <c r="K200" s="56" t="s">
        <v>697</v>
      </c>
      <c r="L200" s="56"/>
      <c r="M200" s="56"/>
    </row>
    <row r="201" spans="1:13">
      <c r="A201" s="64" t="s">
        <v>1092</v>
      </c>
      <c r="B201" s="55" t="s">
        <v>1093</v>
      </c>
      <c r="C201" s="55" t="s">
        <v>100</v>
      </c>
      <c r="D201" s="56" t="s">
        <v>696</v>
      </c>
      <c r="E201" s="56" t="s">
        <v>696</v>
      </c>
      <c r="F201" s="56" t="s">
        <v>697</v>
      </c>
      <c r="G201" s="56" t="s">
        <v>697</v>
      </c>
      <c r="H201" s="56" t="s">
        <v>697</v>
      </c>
      <c r="I201" s="57" t="s">
        <v>697</v>
      </c>
      <c r="J201" s="56" t="s">
        <v>697</v>
      </c>
      <c r="K201" s="56" t="s">
        <v>697</v>
      </c>
      <c r="L201" s="56" t="s">
        <v>696</v>
      </c>
      <c r="M201" s="56"/>
    </row>
    <row r="202" spans="1:13">
      <c r="A202" s="55" t="s">
        <v>1094</v>
      </c>
      <c r="B202" s="55" t="s">
        <v>1095</v>
      </c>
      <c r="C202" s="55" t="s">
        <v>182</v>
      </c>
      <c r="D202" s="56" t="s">
        <v>696</v>
      </c>
      <c r="E202" s="56" t="s">
        <v>696</v>
      </c>
      <c r="F202" s="56" t="s">
        <v>696</v>
      </c>
      <c r="G202" s="56" t="s">
        <v>696</v>
      </c>
      <c r="H202" s="56" t="s">
        <v>696</v>
      </c>
      <c r="I202" s="57" t="s">
        <v>696</v>
      </c>
      <c r="J202" s="56" t="s">
        <v>696</v>
      </c>
      <c r="K202" s="56" t="s">
        <v>697</v>
      </c>
      <c r="L202" s="56" t="s">
        <v>696</v>
      </c>
      <c r="M202" s="56"/>
    </row>
    <row r="203" spans="1:13">
      <c r="A203" s="64" t="s">
        <v>1096</v>
      </c>
      <c r="B203" s="64" t="s">
        <v>1097</v>
      </c>
      <c r="C203" s="64" t="s">
        <v>270</v>
      </c>
      <c r="D203" s="56" t="s">
        <v>696</v>
      </c>
      <c r="E203" s="56" t="s">
        <v>696</v>
      </c>
      <c r="F203" s="56" t="s">
        <v>697</v>
      </c>
      <c r="G203" s="56" t="s">
        <v>697</v>
      </c>
      <c r="H203" s="56" t="s">
        <v>697</v>
      </c>
      <c r="I203" s="57" t="s">
        <v>697</v>
      </c>
      <c r="J203" s="56" t="s">
        <v>697</v>
      </c>
      <c r="K203" s="56" t="s">
        <v>697</v>
      </c>
      <c r="L203" s="56"/>
      <c r="M203" s="56"/>
    </row>
    <row r="204" spans="1:13">
      <c r="A204" s="55" t="s">
        <v>1098</v>
      </c>
      <c r="B204" s="55" t="s">
        <v>1099</v>
      </c>
      <c r="C204" s="55" t="s">
        <v>100</v>
      </c>
      <c r="D204" s="56" t="s">
        <v>696</v>
      </c>
      <c r="E204" s="56" t="s">
        <v>696</v>
      </c>
      <c r="F204" s="56" t="s">
        <v>696</v>
      </c>
      <c r="G204" s="56" t="s">
        <v>696</v>
      </c>
      <c r="H204" s="56" t="s">
        <v>696</v>
      </c>
      <c r="I204" s="57" t="s">
        <v>696</v>
      </c>
      <c r="J204" s="56" t="s">
        <v>696</v>
      </c>
      <c r="K204" s="56" t="s">
        <v>697</v>
      </c>
      <c r="L204" s="56"/>
      <c r="M204" s="56"/>
    </row>
    <row r="205" spans="1:13">
      <c r="A205" s="55" t="s">
        <v>1100</v>
      </c>
      <c r="B205" s="55" t="s">
        <v>1101</v>
      </c>
      <c r="C205" s="55" t="s">
        <v>182</v>
      </c>
      <c r="D205" s="56" t="s">
        <v>696</v>
      </c>
      <c r="E205" s="56" t="s">
        <v>696</v>
      </c>
      <c r="F205" s="56" t="s">
        <v>696</v>
      </c>
      <c r="G205" s="56" t="s">
        <v>696</v>
      </c>
      <c r="H205" s="56" t="s">
        <v>697</v>
      </c>
      <c r="I205" s="57" t="s">
        <v>696</v>
      </c>
      <c r="J205" s="56" t="s">
        <v>697</v>
      </c>
      <c r="K205" s="56" t="s">
        <v>697</v>
      </c>
      <c r="L205" s="56"/>
      <c r="M205" s="56"/>
    </row>
    <row r="206" spans="1:13">
      <c r="A206" s="64" t="s">
        <v>1102</v>
      </c>
      <c r="B206" s="64" t="s">
        <v>1103</v>
      </c>
      <c r="C206" s="64" t="s">
        <v>100</v>
      </c>
      <c r="D206" s="56" t="s">
        <v>696</v>
      </c>
      <c r="E206" s="56" t="s">
        <v>696</v>
      </c>
      <c r="F206" s="56" t="s">
        <v>697</v>
      </c>
      <c r="G206" s="56" t="s">
        <v>696</v>
      </c>
      <c r="H206" s="57" t="s">
        <v>697</v>
      </c>
      <c r="I206" s="57" t="s">
        <v>697</v>
      </c>
      <c r="J206" s="57" t="s">
        <v>697</v>
      </c>
      <c r="K206" s="57" t="s">
        <v>697</v>
      </c>
      <c r="L206" s="57" t="s">
        <v>697</v>
      </c>
    </row>
    <row r="207" spans="1:13">
      <c r="A207" s="55" t="s">
        <v>1104</v>
      </c>
      <c r="B207" s="55" t="s">
        <v>1105</v>
      </c>
      <c r="C207" s="55" t="s">
        <v>270</v>
      </c>
      <c r="D207" s="56" t="s">
        <v>696</v>
      </c>
      <c r="E207" s="56" t="s">
        <v>696</v>
      </c>
      <c r="F207" s="56" t="s">
        <v>697</v>
      </c>
      <c r="G207" s="56" t="s">
        <v>697</v>
      </c>
      <c r="H207" s="56" t="s">
        <v>697</v>
      </c>
      <c r="I207" s="57" t="s">
        <v>696</v>
      </c>
      <c r="J207" s="56" t="s">
        <v>697</v>
      </c>
      <c r="K207" s="56" t="s">
        <v>697</v>
      </c>
      <c r="L207" s="56"/>
      <c r="M207" s="56"/>
    </row>
    <row r="208" spans="1:13">
      <c r="A208" s="55" t="s">
        <v>1106</v>
      </c>
      <c r="B208" s="55" t="s">
        <v>1107</v>
      </c>
      <c r="C208" s="55" t="s">
        <v>96</v>
      </c>
      <c r="D208" s="56" t="s">
        <v>696</v>
      </c>
      <c r="E208" s="56" t="s">
        <v>696</v>
      </c>
      <c r="F208" s="56" t="s">
        <v>696</v>
      </c>
      <c r="G208" s="56" t="s">
        <v>696</v>
      </c>
      <c r="H208" s="56" t="s">
        <v>697</v>
      </c>
      <c r="I208" s="57" t="s">
        <v>696</v>
      </c>
      <c r="J208" s="56" t="s">
        <v>697</v>
      </c>
      <c r="K208" s="56" t="s">
        <v>697</v>
      </c>
      <c r="L208" s="56"/>
      <c r="M208" s="56"/>
    </row>
    <row r="209" spans="1:13">
      <c r="A209" s="55" t="s">
        <v>1108</v>
      </c>
      <c r="B209" s="55" t="s">
        <v>1109</v>
      </c>
      <c r="C209" s="55" t="s">
        <v>96</v>
      </c>
      <c r="D209" s="56" t="s">
        <v>696</v>
      </c>
      <c r="E209" s="56" t="s">
        <v>696</v>
      </c>
      <c r="F209" s="56" t="s">
        <v>696</v>
      </c>
      <c r="G209" s="56" t="s">
        <v>696</v>
      </c>
      <c r="H209" s="56" t="s">
        <v>697</v>
      </c>
      <c r="I209" s="57" t="s">
        <v>696</v>
      </c>
      <c r="J209" s="56" t="s">
        <v>697</v>
      </c>
      <c r="K209" s="56" t="s">
        <v>697</v>
      </c>
      <c r="L209" s="56" t="s">
        <v>697</v>
      </c>
      <c r="M209" s="56"/>
    </row>
    <row r="210" spans="1:13">
      <c r="A210" s="55" t="s">
        <v>1110</v>
      </c>
      <c r="B210" s="55" t="s">
        <v>1111</v>
      </c>
      <c r="C210" s="55" t="s">
        <v>100</v>
      </c>
      <c r="D210" s="56" t="s">
        <v>696</v>
      </c>
      <c r="E210" s="56" t="s">
        <v>696</v>
      </c>
      <c r="F210" s="56" t="s">
        <v>697</v>
      </c>
      <c r="G210" s="56" t="s">
        <v>696</v>
      </c>
      <c r="H210" s="56" t="s">
        <v>697</v>
      </c>
      <c r="I210" s="57" t="s">
        <v>696</v>
      </c>
      <c r="J210" s="56" t="s">
        <v>697</v>
      </c>
      <c r="K210" s="56" t="s">
        <v>697</v>
      </c>
      <c r="L210" s="56"/>
      <c r="M210" s="56"/>
    </row>
    <row r="211" spans="1:13">
      <c r="A211" s="55" t="s">
        <v>1112</v>
      </c>
      <c r="B211" s="55" t="s">
        <v>1113</v>
      </c>
      <c r="C211" s="55" t="s">
        <v>96</v>
      </c>
      <c r="D211" s="56" t="s">
        <v>696</v>
      </c>
      <c r="E211" s="56" t="s">
        <v>696</v>
      </c>
      <c r="F211" s="56" t="s">
        <v>696</v>
      </c>
      <c r="G211" s="56" t="s">
        <v>697</v>
      </c>
      <c r="H211" s="56" t="s">
        <v>697</v>
      </c>
      <c r="I211" s="57" t="s">
        <v>696</v>
      </c>
      <c r="J211" s="56" t="s">
        <v>697</v>
      </c>
      <c r="K211" s="56" t="s">
        <v>697</v>
      </c>
      <c r="L211" s="56"/>
      <c r="M211" s="56"/>
    </row>
    <row r="212" spans="1:13">
      <c r="A212" s="55" t="s">
        <v>1114</v>
      </c>
      <c r="B212" s="55" t="s">
        <v>1115</v>
      </c>
      <c r="C212" s="55" t="s">
        <v>270</v>
      </c>
      <c r="D212" s="56" t="s">
        <v>696</v>
      </c>
      <c r="E212" s="56" t="s">
        <v>696</v>
      </c>
      <c r="F212" s="56" t="s">
        <v>697</v>
      </c>
      <c r="G212" s="56" t="s">
        <v>697</v>
      </c>
      <c r="H212" s="56" t="s">
        <v>697</v>
      </c>
      <c r="I212" s="57" t="s">
        <v>697</v>
      </c>
      <c r="J212" s="56" t="s">
        <v>697</v>
      </c>
      <c r="K212" s="56" t="s">
        <v>697</v>
      </c>
      <c r="L212" s="56" t="s">
        <v>697</v>
      </c>
      <c r="M212" s="56"/>
    </row>
    <row r="213" spans="1:13">
      <c r="A213" s="55" t="s">
        <v>1116</v>
      </c>
      <c r="B213" s="55" t="s">
        <v>1117</v>
      </c>
      <c r="C213" s="55" t="s">
        <v>96</v>
      </c>
      <c r="D213" s="56" t="s">
        <v>696</v>
      </c>
      <c r="E213" s="56" t="s">
        <v>696</v>
      </c>
      <c r="F213" s="56" t="s">
        <v>696</v>
      </c>
      <c r="G213" s="56" t="s">
        <v>696</v>
      </c>
      <c r="H213" s="56" t="s">
        <v>697</v>
      </c>
      <c r="I213" s="57" t="s">
        <v>696</v>
      </c>
      <c r="J213" s="56" t="s">
        <v>697</v>
      </c>
      <c r="K213" s="56" t="s">
        <v>697</v>
      </c>
      <c r="L213" s="56" t="s">
        <v>696</v>
      </c>
      <c r="M213" s="56"/>
    </row>
    <row r="214" spans="1:13">
      <c r="A214" s="55" t="s">
        <v>1118</v>
      </c>
      <c r="B214" s="55" t="s">
        <v>1119</v>
      </c>
      <c r="C214" s="55" t="s">
        <v>100</v>
      </c>
      <c r="D214" s="56" t="s">
        <v>696</v>
      </c>
      <c r="E214" s="56" t="s">
        <v>696</v>
      </c>
      <c r="F214" s="56" t="s">
        <v>697</v>
      </c>
      <c r="G214" s="56" t="s">
        <v>697</v>
      </c>
      <c r="H214" s="56" t="s">
        <v>697</v>
      </c>
      <c r="I214" s="57" t="s">
        <v>696</v>
      </c>
      <c r="J214" s="56" t="s">
        <v>697</v>
      </c>
      <c r="K214" s="56" t="s">
        <v>697</v>
      </c>
      <c r="L214" s="56" t="s">
        <v>696</v>
      </c>
      <c r="M214" s="56"/>
    </row>
    <row r="215" spans="1:13">
      <c r="A215" s="55" t="s">
        <v>1120</v>
      </c>
      <c r="B215" s="55" t="s">
        <v>1121</v>
      </c>
      <c r="C215" s="55" t="s">
        <v>100</v>
      </c>
      <c r="D215" s="56" t="s">
        <v>696</v>
      </c>
      <c r="E215" s="56" t="s">
        <v>696</v>
      </c>
      <c r="F215" s="56" t="s">
        <v>696</v>
      </c>
      <c r="G215" s="56" t="s">
        <v>696</v>
      </c>
      <c r="H215" s="56" t="s">
        <v>696</v>
      </c>
      <c r="I215" s="57" t="s">
        <v>696</v>
      </c>
      <c r="J215" s="56" t="s">
        <v>696</v>
      </c>
      <c r="K215" s="56" t="s">
        <v>697</v>
      </c>
      <c r="L215" s="56" t="s">
        <v>697</v>
      </c>
      <c r="M215" s="56"/>
    </row>
    <row r="216" spans="1:13">
      <c r="A216" s="55" t="s">
        <v>1122</v>
      </c>
      <c r="B216" s="55" t="s">
        <v>1123</v>
      </c>
      <c r="C216" s="55" t="s">
        <v>100</v>
      </c>
      <c r="D216" s="56" t="s">
        <v>696</v>
      </c>
      <c r="E216" s="56" t="s">
        <v>696</v>
      </c>
      <c r="F216" s="56" t="s">
        <v>696</v>
      </c>
      <c r="G216" s="56" t="s">
        <v>696</v>
      </c>
      <c r="H216" s="56" t="s">
        <v>696</v>
      </c>
      <c r="I216" s="57" t="s">
        <v>696</v>
      </c>
      <c r="J216" s="56" t="s">
        <v>696</v>
      </c>
      <c r="K216" s="56" t="s">
        <v>697</v>
      </c>
      <c r="L216" s="56"/>
      <c r="M216" s="56"/>
    </row>
    <row r="217" spans="1:13">
      <c r="A217" s="55" t="s">
        <v>1124</v>
      </c>
      <c r="B217" s="55" t="s">
        <v>1125</v>
      </c>
      <c r="C217" s="55" t="s">
        <v>275</v>
      </c>
      <c r="D217" s="56" t="s">
        <v>696</v>
      </c>
      <c r="E217" s="56" t="s">
        <v>696</v>
      </c>
      <c r="F217" s="56" t="s">
        <v>697</v>
      </c>
      <c r="G217" s="56" t="s">
        <v>697</v>
      </c>
      <c r="H217" s="56" t="s">
        <v>697</v>
      </c>
      <c r="I217" s="57" t="s">
        <v>697</v>
      </c>
      <c r="J217" s="56" t="s">
        <v>697</v>
      </c>
      <c r="K217" s="56" t="s">
        <v>697</v>
      </c>
      <c r="L217" s="56" t="s">
        <v>696</v>
      </c>
      <c r="M217" s="56"/>
    </row>
    <row r="218" spans="1:13">
      <c r="A218" s="101" t="s">
        <v>1126</v>
      </c>
      <c r="B218" s="55" t="s">
        <v>1127</v>
      </c>
      <c r="C218" s="55" t="s">
        <v>351</v>
      </c>
      <c r="D218" s="56" t="s">
        <v>696</v>
      </c>
      <c r="E218" s="56" t="s">
        <v>696</v>
      </c>
      <c r="F218" s="56" t="s">
        <v>696</v>
      </c>
      <c r="G218" s="56" t="s">
        <v>696</v>
      </c>
      <c r="H218" s="56" t="s">
        <v>696</v>
      </c>
      <c r="I218" s="57" t="s">
        <v>696</v>
      </c>
      <c r="J218" s="56" t="s">
        <v>696</v>
      </c>
      <c r="K218" s="56" t="s">
        <v>697</v>
      </c>
      <c r="L218" s="56" t="s">
        <v>696</v>
      </c>
      <c r="M218" s="56"/>
    </row>
    <row r="219" spans="1:13">
      <c r="A219" s="55" t="s">
        <v>1128</v>
      </c>
      <c r="B219" s="55" t="s">
        <v>1129</v>
      </c>
      <c r="C219" s="55" t="s">
        <v>182</v>
      </c>
      <c r="D219" s="56" t="s">
        <v>696</v>
      </c>
      <c r="E219" s="56" t="s">
        <v>696</v>
      </c>
      <c r="F219" s="56" t="s">
        <v>696</v>
      </c>
      <c r="G219" s="56" t="s">
        <v>696</v>
      </c>
      <c r="H219" s="56" t="s">
        <v>697</v>
      </c>
      <c r="I219" s="57" t="s">
        <v>696</v>
      </c>
      <c r="J219" s="56" t="s">
        <v>697</v>
      </c>
      <c r="K219" s="56" t="s">
        <v>697</v>
      </c>
      <c r="L219" s="56" t="s">
        <v>696</v>
      </c>
      <c r="M219" s="56"/>
    </row>
    <row r="220" spans="1:13">
      <c r="A220" s="55" t="s">
        <v>1130</v>
      </c>
      <c r="B220" s="55" t="s">
        <v>1131</v>
      </c>
      <c r="C220" s="55" t="s">
        <v>100</v>
      </c>
      <c r="D220" s="56" t="s">
        <v>696</v>
      </c>
      <c r="E220" s="56" t="s">
        <v>696</v>
      </c>
      <c r="F220" s="56" t="s">
        <v>696</v>
      </c>
      <c r="G220" s="56" t="s">
        <v>696</v>
      </c>
      <c r="H220" s="56" t="s">
        <v>697</v>
      </c>
      <c r="I220" s="57" t="s">
        <v>696</v>
      </c>
      <c r="J220" s="56" t="s">
        <v>697</v>
      </c>
      <c r="K220" s="56" t="s">
        <v>697</v>
      </c>
      <c r="L220" s="56"/>
      <c r="M220" s="56"/>
    </row>
    <row r="221" spans="1:13">
      <c r="A221" s="55" t="s">
        <v>1132</v>
      </c>
      <c r="B221" s="55" t="s">
        <v>1133</v>
      </c>
      <c r="C221" s="55" t="s">
        <v>182</v>
      </c>
      <c r="D221" s="56" t="s">
        <v>696</v>
      </c>
      <c r="E221" s="56" t="s">
        <v>696</v>
      </c>
      <c r="F221" s="56" t="s">
        <v>696</v>
      </c>
      <c r="G221" s="56" t="s">
        <v>696</v>
      </c>
      <c r="H221" s="56" t="s">
        <v>696</v>
      </c>
      <c r="I221" s="57" t="s">
        <v>696</v>
      </c>
      <c r="J221" s="56" t="s">
        <v>696</v>
      </c>
      <c r="K221" s="56" t="s">
        <v>697</v>
      </c>
      <c r="L221" s="56"/>
      <c r="M221" s="56"/>
    </row>
    <row r="222" spans="1:13">
      <c r="A222" s="55" t="s">
        <v>1134</v>
      </c>
      <c r="B222" s="55" t="s">
        <v>1135</v>
      </c>
      <c r="C222" s="55" t="s">
        <v>182</v>
      </c>
      <c r="D222" s="56" t="s">
        <v>696</v>
      </c>
      <c r="E222" s="56" t="s">
        <v>696</v>
      </c>
      <c r="F222" s="56" t="s">
        <v>697</v>
      </c>
      <c r="G222" s="56" t="s">
        <v>697</v>
      </c>
      <c r="H222" s="56" t="s">
        <v>697</v>
      </c>
      <c r="I222" s="57" t="s">
        <v>696</v>
      </c>
      <c r="J222" s="56" t="s">
        <v>697</v>
      </c>
      <c r="K222" s="56" t="s">
        <v>697</v>
      </c>
      <c r="L222" s="56"/>
      <c r="M222" s="56"/>
    </row>
    <row r="223" spans="1:13">
      <c r="A223" s="55" t="s">
        <v>1136</v>
      </c>
      <c r="B223" s="55" t="s">
        <v>1137</v>
      </c>
      <c r="C223" s="55" t="s">
        <v>270</v>
      </c>
      <c r="D223" s="56" t="s">
        <v>696</v>
      </c>
      <c r="E223" s="56" t="s">
        <v>696</v>
      </c>
      <c r="F223" s="56" t="s">
        <v>697</v>
      </c>
      <c r="G223" s="56" t="s">
        <v>696</v>
      </c>
      <c r="H223" s="56" t="s">
        <v>697</v>
      </c>
      <c r="I223" s="57" t="s">
        <v>696</v>
      </c>
      <c r="J223" s="56" t="s">
        <v>697</v>
      </c>
      <c r="K223" s="56" t="s">
        <v>697</v>
      </c>
      <c r="L223" s="56"/>
      <c r="M223" s="56"/>
    </row>
    <row r="224" spans="1:13">
      <c r="A224" s="55" t="s">
        <v>1138</v>
      </c>
      <c r="B224" s="55" t="s">
        <v>1139</v>
      </c>
      <c r="C224" s="55" t="s">
        <v>182</v>
      </c>
      <c r="D224" s="56" t="s">
        <v>696</v>
      </c>
      <c r="E224" s="56" t="s">
        <v>696</v>
      </c>
      <c r="F224" s="56" t="s">
        <v>697</v>
      </c>
      <c r="G224" s="56" t="s">
        <v>697</v>
      </c>
      <c r="H224" s="56" t="s">
        <v>697</v>
      </c>
      <c r="I224" s="57" t="s">
        <v>696</v>
      </c>
      <c r="J224" s="56" t="s">
        <v>697</v>
      </c>
      <c r="K224" s="56" t="s">
        <v>697</v>
      </c>
      <c r="L224" s="56" t="s">
        <v>696</v>
      </c>
      <c r="M224" s="56"/>
    </row>
    <row r="225" spans="1:13">
      <c r="A225" s="55" t="s">
        <v>1140</v>
      </c>
      <c r="B225" s="55" t="s">
        <v>1141</v>
      </c>
      <c r="C225" s="55" t="s">
        <v>182</v>
      </c>
      <c r="D225" s="56" t="s">
        <v>696</v>
      </c>
      <c r="E225" s="56" t="s">
        <v>696</v>
      </c>
      <c r="F225" s="56" t="s">
        <v>696</v>
      </c>
      <c r="G225" s="56" t="s">
        <v>696</v>
      </c>
      <c r="H225" s="56" t="s">
        <v>697</v>
      </c>
      <c r="I225" s="57" t="s">
        <v>696</v>
      </c>
      <c r="J225" s="56" t="s">
        <v>697</v>
      </c>
      <c r="K225" s="56" t="s">
        <v>697</v>
      </c>
      <c r="L225" s="56" t="s">
        <v>696</v>
      </c>
      <c r="M225" s="56"/>
    </row>
    <row r="226" spans="1:13">
      <c r="A226" s="55" t="s">
        <v>1142</v>
      </c>
      <c r="B226" s="55" t="s">
        <v>1143</v>
      </c>
      <c r="C226" s="55" t="s">
        <v>96</v>
      </c>
      <c r="D226" s="56" t="s">
        <v>696</v>
      </c>
      <c r="E226" s="56" t="s">
        <v>696</v>
      </c>
      <c r="F226" s="56" t="s">
        <v>696</v>
      </c>
      <c r="G226" s="56" t="s">
        <v>696</v>
      </c>
      <c r="H226" s="56" t="s">
        <v>697</v>
      </c>
      <c r="I226" s="57" t="s">
        <v>696</v>
      </c>
      <c r="J226" s="56" t="s">
        <v>697</v>
      </c>
      <c r="K226" s="56" t="s">
        <v>697</v>
      </c>
      <c r="L226" s="56" t="s">
        <v>696</v>
      </c>
      <c r="M226" s="56"/>
    </row>
    <row r="227" spans="1:13">
      <c r="A227" s="55" t="s">
        <v>1144</v>
      </c>
      <c r="B227" s="55" t="s">
        <v>1145</v>
      </c>
      <c r="C227" s="55" t="s">
        <v>270</v>
      </c>
      <c r="D227" s="56" t="s">
        <v>696</v>
      </c>
      <c r="E227" s="56" t="s">
        <v>696</v>
      </c>
      <c r="F227" s="56" t="s">
        <v>696</v>
      </c>
      <c r="G227" s="56" t="s">
        <v>696</v>
      </c>
      <c r="H227" s="56" t="s">
        <v>697</v>
      </c>
      <c r="I227" s="57" t="s">
        <v>696</v>
      </c>
      <c r="J227" s="56" t="s">
        <v>697</v>
      </c>
      <c r="K227" s="56" t="s">
        <v>697</v>
      </c>
      <c r="L227" s="56" t="s">
        <v>696</v>
      </c>
      <c r="M227" s="56"/>
    </row>
    <row r="228" spans="1:13">
      <c r="A228" s="55" t="s">
        <v>1146</v>
      </c>
      <c r="B228" s="55" t="s">
        <v>1147</v>
      </c>
      <c r="C228" s="55" t="s">
        <v>100</v>
      </c>
      <c r="D228" s="56" t="s">
        <v>696</v>
      </c>
      <c r="E228" s="56" t="s">
        <v>696</v>
      </c>
      <c r="F228" s="56" t="s">
        <v>696</v>
      </c>
      <c r="G228" s="56" t="s">
        <v>696</v>
      </c>
      <c r="H228" s="56" t="s">
        <v>696</v>
      </c>
      <c r="I228" s="57" t="s">
        <v>696</v>
      </c>
      <c r="J228" s="56" t="s">
        <v>696</v>
      </c>
      <c r="K228" s="56" t="s">
        <v>697</v>
      </c>
      <c r="L228" s="56"/>
      <c r="M228" s="56"/>
    </row>
    <row r="229" spans="1:13">
      <c r="A229" s="55" t="s">
        <v>1148</v>
      </c>
      <c r="B229" s="55" t="s">
        <v>1149</v>
      </c>
      <c r="C229" s="55" t="s">
        <v>182</v>
      </c>
      <c r="D229" s="56" t="s">
        <v>696</v>
      </c>
      <c r="E229" s="56" t="s">
        <v>696</v>
      </c>
      <c r="F229" s="56" t="s">
        <v>696</v>
      </c>
      <c r="G229" s="56" t="s">
        <v>696</v>
      </c>
      <c r="H229" s="56" t="s">
        <v>697</v>
      </c>
      <c r="I229" s="57" t="s">
        <v>696</v>
      </c>
      <c r="J229" s="56" t="s">
        <v>697</v>
      </c>
      <c r="K229" s="56" t="s">
        <v>697</v>
      </c>
      <c r="L229" s="56"/>
      <c r="M229" s="56"/>
    </row>
    <row r="230" spans="1:13">
      <c r="A230" s="55" t="s">
        <v>1150</v>
      </c>
      <c r="B230" s="55" t="s">
        <v>1151</v>
      </c>
      <c r="C230" s="55" t="s">
        <v>96</v>
      </c>
      <c r="D230" s="56" t="s">
        <v>696</v>
      </c>
      <c r="E230" s="56" t="s">
        <v>696</v>
      </c>
      <c r="F230" s="56" t="s">
        <v>696</v>
      </c>
      <c r="G230" s="56" t="s">
        <v>696</v>
      </c>
      <c r="H230" s="56" t="s">
        <v>697</v>
      </c>
      <c r="I230" s="57" t="s">
        <v>696</v>
      </c>
      <c r="J230" s="56" t="s">
        <v>697</v>
      </c>
      <c r="K230" s="56" t="s">
        <v>697</v>
      </c>
      <c r="L230" s="56"/>
      <c r="M230" s="56"/>
    </row>
    <row r="231" spans="1:13">
      <c r="A231" s="55" t="s">
        <v>1152</v>
      </c>
      <c r="B231" s="55" t="s">
        <v>1153</v>
      </c>
      <c r="C231" s="55" t="s">
        <v>182</v>
      </c>
      <c r="D231" s="56" t="s">
        <v>696</v>
      </c>
      <c r="E231" s="56" t="s">
        <v>696</v>
      </c>
      <c r="F231" s="56" t="s">
        <v>697</v>
      </c>
      <c r="G231" s="56" t="s">
        <v>697</v>
      </c>
      <c r="H231" s="56" t="s">
        <v>697</v>
      </c>
      <c r="I231" s="57" t="s">
        <v>696</v>
      </c>
      <c r="J231" s="56" t="s">
        <v>697</v>
      </c>
      <c r="K231" s="56" t="s">
        <v>697</v>
      </c>
      <c r="L231" s="56"/>
      <c r="M231" s="56"/>
    </row>
    <row r="232" spans="1:13">
      <c r="A232" s="55" t="s">
        <v>1154</v>
      </c>
      <c r="B232" s="55" t="s">
        <v>1155</v>
      </c>
      <c r="C232" s="55" t="s">
        <v>47</v>
      </c>
      <c r="D232" s="56" t="s">
        <v>696</v>
      </c>
      <c r="E232" s="56" t="s">
        <v>878</v>
      </c>
      <c r="F232" s="56" t="s">
        <v>697</v>
      </c>
      <c r="G232" s="56" t="s">
        <v>697</v>
      </c>
      <c r="H232" s="56" t="s">
        <v>697</v>
      </c>
      <c r="I232" s="57" t="s">
        <v>697</v>
      </c>
      <c r="J232" s="56" t="s">
        <v>697</v>
      </c>
      <c r="K232" s="56" t="s">
        <v>697</v>
      </c>
      <c r="L232" s="56" t="s">
        <v>696</v>
      </c>
      <c r="M232" s="56"/>
    </row>
    <row r="233" spans="1:13">
      <c r="A233" s="55" t="s">
        <v>1156</v>
      </c>
      <c r="B233" s="55" t="s">
        <v>1157</v>
      </c>
      <c r="C233" s="55" t="s">
        <v>47</v>
      </c>
      <c r="D233" s="56" t="s">
        <v>696</v>
      </c>
      <c r="E233" s="56" t="s">
        <v>878</v>
      </c>
      <c r="F233" s="56" t="s">
        <v>697</v>
      </c>
      <c r="G233" s="56" t="s">
        <v>696</v>
      </c>
      <c r="H233" s="56" t="s">
        <v>697</v>
      </c>
      <c r="I233" s="57" t="s">
        <v>696</v>
      </c>
      <c r="J233" s="56" t="s">
        <v>697</v>
      </c>
      <c r="K233" s="56" t="s">
        <v>697</v>
      </c>
      <c r="L233" s="56" t="s">
        <v>696</v>
      </c>
      <c r="M233" s="56"/>
    </row>
    <row r="234" spans="1:13">
      <c r="A234" s="55" t="s">
        <v>1158</v>
      </c>
      <c r="B234" s="55" t="s">
        <v>1159</v>
      </c>
      <c r="C234" s="55" t="s">
        <v>270</v>
      </c>
      <c r="D234" s="56" t="s">
        <v>696</v>
      </c>
      <c r="E234" s="56" t="s">
        <v>696</v>
      </c>
      <c r="F234" s="56" t="s">
        <v>696</v>
      </c>
      <c r="G234" s="56" t="s">
        <v>696</v>
      </c>
      <c r="H234" s="56" t="s">
        <v>697</v>
      </c>
      <c r="I234" s="57" t="s">
        <v>696</v>
      </c>
      <c r="J234" s="56" t="s">
        <v>697</v>
      </c>
      <c r="K234" s="56" t="s">
        <v>697</v>
      </c>
      <c r="L234" s="56" t="s">
        <v>696</v>
      </c>
      <c r="M234" s="56"/>
    </row>
    <row r="235" spans="1:13" ht="14.15" customHeight="1">
      <c r="A235" s="55" t="s">
        <v>1160</v>
      </c>
      <c r="B235" s="55" t="s">
        <v>1161</v>
      </c>
      <c r="C235" s="55" t="s">
        <v>100</v>
      </c>
      <c r="D235" s="56" t="s">
        <v>696</v>
      </c>
      <c r="E235" s="56" t="s">
        <v>696</v>
      </c>
      <c r="F235" s="56" t="s">
        <v>696</v>
      </c>
      <c r="G235" s="56" t="s">
        <v>696</v>
      </c>
      <c r="H235" s="56" t="s">
        <v>697</v>
      </c>
      <c r="I235" s="57" t="s">
        <v>696</v>
      </c>
      <c r="J235" s="56" t="s">
        <v>696</v>
      </c>
      <c r="K235" s="56" t="s">
        <v>697</v>
      </c>
      <c r="L235" s="56" t="s">
        <v>696</v>
      </c>
      <c r="M235" s="56"/>
    </row>
    <row r="236" spans="1:13">
      <c r="A236" s="55" t="s">
        <v>1162</v>
      </c>
      <c r="B236" s="55" t="s">
        <v>1163</v>
      </c>
      <c r="C236" s="55" t="s">
        <v>275</v>
      </c>
      <c r="D236" s="56" t="s">
        <v>696</v>
      </c>
      <c r="E236" s="56" t="s">
        <v>696</v>
      </c>
      <c r="F236" s="56" t="s">
        <v>696</v>
      </c>
      <c r="G236" s="56" t="s">
        <v>696</v>
      </c>
      <c r="H236" s="56" t="s">
        <v>696</v>
      </c>
      <c r="I236" s="57" t="s">
        <v>696</v>
      </c>
      <c r="J236" s="56" t="s">
        <v>696</v>
      </c>
      <c r="K236" s="56" t="s">
        <v>697</v>
      </c>
      <c r="L236" s="56"/>
      <c r="M236" s="56"/>
    </row>
    <row r="237" spans="1:13">
      <c r="A237" s="55" t="s">
        <v>1164</v>
      </c>
      <c r="B237" s="55" t="s">
        <v>1165</v>
      </c>
      <c r="C237" s="55" t="s">
        <v>100</v>
      </c>
      <c r="D237" s="56" t="s">
        <v>696</v>
      </c>
      <c r="E237" s="56" t="s">
        <v>696</v>
      </c>
      <c r="F237" s="56" t="s">
        <v>696</v>
      </c>
      <c r="G237" s="56" t="s">
        <v>696</v>
      </c>
      <c r="H237" s="56" t="s">
        <v>696</v>
      </c>
      <c r="I237" s="57" t="s">
        <v>696</v>
      </c>
      <c r="J237" s="56" t="s">
        <v>696</v>
      </c>
      <c r="K237" s="56" t="s">
        <v>696</v>
      </c>
      <c r="L237" s="56" t="s">
        <v>696</v>
      </c>
      <c r="M237" s="56"/>
    </row>
    <row r="238" spans="1:13">
      <c r="A238" s="55" t="s">
        <v>1166</v>
      </c>
      <c r="B238" s="55" t="s">
        <v>1167</v>
      </c>
      <c r="C238" s="55" t="s">
        <v>47</v>
      </c>
      <c r="D238" s="56" t="s">
        <v>696</v>
      </c>
      <c r="E238" s="56" t="s">
        <v>878</v>
      </c>
      <c r="F238" s="56" t="s">
        <v>696</v>
      </c>
      <c r="G238" s="56" t="s">
        <v>696</v>
      </c>
      <c r="H238" s="56" t="s">
        <v>696</v>
      </c>
      <c r="I238" s="57" t="s">
        <v>696</v>
      </c>
      <c r="J238" s="56" t="s">
        <v>696</v>
      </c>
      <c r="K238" s="56" t="s">
        <v>696</v>
      </c>
      <c r="L238" s="56" t="s">
        <v>696</v>
      </c>
      <c r="M238" s="56"/>
    </row>
    <row r="239" spans="1:13">
      <c r="A239" s="64" t="s">
        <v>1168</v>
      </c>
      <c r="B239" s="55" t="s">
        <v>1169</v>
      </c>
      <c r="C239" s="55" t="s">
        <v>96</v>
      </c>
      <c r="D239" s="56" t="s">
        <v>696</v>
      </c>
      <c r="E239" s="56" t="s">
        <v>696</v>
      </c>
      <c r="F239" s="56" t="s">
        <v>696</v>
      </c>
      <c r="G239" s="56" t="s">
        <v>696</v>
      </c>
      <c r="H239" s="56" t="s">
        <v>697</v>
      </c>
      <c r="I239" s="57" t="s">
        <v>696</v>
      </c>
      <c r="J239" s="56" t="s">
        <v>696</v>
      </c>
      <c r="K239" s="56" t="s">
        <v>697</v>
      </c>
      <c r="L239" s="56"/>
      <c r="M239" s="56"/>
    </row>
    <row r="240" spans="1:13">
      <c r="A240" s="64" t="s">
        <v>1170</v>
      </c>
      <c r="B240" s="55" t="s">
        <v>1171</v>
      </c>
      <c r="C240" s="55" t="s">
        <v>182</v>
      </c>
      <c r="D240" s="56" t="s">
        <v>696</v>
      </c>
      <c r="E240" s="56" t="s">
        <v>696</v>
      </c>
      <c r="F240" s="56" t="s">
        <v>696</v>
      </c>
      <c r="G240" s="56" t="s">
        <v>696</v>
      </c>
      <c r="H240" s="56" t="s">
        <v>697</v>
      </c>
      <c r="I240" s="57" t="s">
        <v>696</v>
      </c>
      <c r="J240" s="56" t="s">
        <v>697</v>
      </c>
      <c r="K240" s="56" t="s">
        <v>697</v>
      </c>
      <c r="L240" s="56"/>
      <c r="M240" s="56"/>
    </row>
    <row r="241" spans="1:13">
      <c r="A241" s="64" t="s">
        <v>1172</v>
      </c>
      <c r="B241" s="55" t="s">
        <v>1173</v>
      </c>
      <c r="C241" s="55" t="s">
        <v>182</v>
      </c>
      <c r="D241" s="56" t="s">
        <v>696</v>
      </c>
      <c r="E241" s="56" t="s">
        <v>696</v>
      </c>
      <c r="F241" s="56" t="s">
        <v>696</v>
      </c>
      <c r="G241" s="56" t="s">
        <v>696</v>
      </c>
      <c r="H241" s="56" t="s">
        <v>697</v>
      </c>
      <c r="I241" s="57" t="s">
        <v>696</v>
      </c>
      <c r="J241" s="56" t="s">
        <v>697</v>
      </c>
      <c r="K241" s="56" t="s">
        <v>697</v>
      </c>
      <c r="L241" s="56" t="s">
        <v>696</v>
      </c>
      <c r="M241" s="56"/>
    </row>
    <row r="242" spans="1:13">
      <c r="A242" s="64" t="s">
        <v>1174</v>
      </c>
      <c r="B242" s="55" t="s">
        <v>1175</v>
      </c>
      <c r="C242" s="55" t="s">
        <v>100</v>
      </c>
      <c r="D242" s="56" t="s">
        <v>696</v>
      </c>
      <c r="E242" s="56" t="s">
        <v>696</v>
      </c>
      <c r="F242" s="56" t="s">
        <v>697</v>
      </c>
      <c r="G242" s="56" t="s">
        <v>696</v>
      </c>
      <c r="H242" s="56" t="s">
        <v>697</v>
      </c>
      <c r="I242" s="57" t="s">
        <v>696</v>
      </c>
      <c r="J242" s="56" t="s">
        <v>697</v>
      </c>
      <c r="K242" s="56" t="s">
        <v>697</v>
      </c>
      <c r="L242" s="56"/>
      <c r="M242" s="56"/>
    </row>
    <row r="243" spans="1:13">
      <c r="A243" s="64" t="s">
        <v>1176</v>
      </c>
      <c r="B243" s="55" t="s">
        <v>1177</v>
      </c>
      <c r="C243" s="55" t="s">
        <v>96</v>
      </c>
      <c r="D243" s="56" t="s">
        <v>696</v>
      </c>
      <c r="E243" s="56" t="s">
        <v>696</v>
      </c>
      <c r="F243" s="56" t="s">
        <v>696</v>
      </c>
      <c r="G243" s="56" t="s">
        <v>696</v>
      </c>
      <c r="H243" s="56" t="s">
        <v>697</v>
      </c>
      <c r="I243" s="56" t="s">
        <v>697</v>
      </c>
      <c r="J243" s="56" t="s">
        <v>697</v>
      </c>
      <c r="K243" s="56" t="s">
        <v>697</v>
      </c>
      <c r="L243" s="56" t="s">
        <v>697</v>
      </c>
      <c r="M243" s="56"/>
    </row>
    <row r="244" spans="1:13">
      <c r="A244" s="64" t="s">
        <v>1178</v>
      </c>
      <c r="B244" s="64" t="s">
        <v>1179</v>
      </c>
      <c r="C244" s="64" t="s">
        <v>182</v>
      </c>
      <c r="D244" s="56" t="s">
        <v>696</v>
      </c>
      <c r="E244" s="56" t="s">
        <v>696</v>
      </c>
      <c r="F244" s="56" t="s">
        <v>696</v>
      </c>
      <c r="G244" s="56" t="s">
        <v>696</v>
      </c>
      <c r="H244" s="56" t="s">
        <v>696</v>
      </c>
      <c r="I244" s="57" t="s">
        <v>696</v>
      </c>
      <c r="J244" s="56" t="s">
        <v>697</v>
      </c>
      <c r="K244" s="56" t="s">
        <v>697</v>
      </c>
      <c r="L244" s="56"/>
      <c r="M244" s="56"/>
    </row>
    <row r="245" spans="1:13">
      <c r="A245" s="64" t="s">
        <v>1180</v>
      </c>
      <c r="B245" s="64" t="s">
        <v>1181</v>
      </c>
      <c r="C245" s="64" t="s">
        <v>182</v>
      </c>
      <c r="D245" s="56" t="s">
        <v>696</v>
      </c>
      <c r="E245" s="56" t="s">
        <v>696</v>
      </c>
      <c r="F245" s="56" t="s">
        <v>697</v>
      </c>
      <c r="G245" s="56" t="s">
        <v>696</v>
      </c>
      <c r="H245" s="56" t="s">
        <v>697</v>
      </c>
      <c r="I245" s="57" t="s">
        <v>696</v>
      </c>
      <c r="J245" s="56" t="s">
        <v>697</v>
      </c>
      <c r="K245" s="56" t="s">
        <v>697</v>
      </c>
      <c r="L245" s="56" t="s">
        <v>696</v>
      </c>
      <c r="M245" s="56"/>
    </row>
    <row r="246" spans="1:13">
      <c r="A246" s="64" t="s">
        <v>1182</v>
      </c>
      <c r="B246" s="64" t="s">
        <v>1183</v>
      </c>
      <c r="C246" s="64" t="s">
        <v>270</v>
      </c>
      <c r="D246" s="56" t="s">
        <v>696</v>
      </c>
      <c r="E246" s="56" t="s">
        <v>696</v>
      </c>
      <c r="F246" s="56" t="s">
        <v>697</v>
      </c>
      <c r="G246" s="56" t="s">
        <v>697</v>
      </c>
      <c r="H246" s="56" t="s">
        <v>697</v>
      </c>
      <c r="I246" s="57" t="s">
        <v>696</v>
      </c>
      <c r="J246" s="56" t="s">
        <v>697</v>
      </c>
      <c r="K246" s="56" t="s">
        <v>697</v>
      </c>
      <c r="L246" s="56" t="s">
        <v>696</v>
      </c>
      <c r="M246" s="56"/>
    </row>
    <row r="247" spans="1:13">
      <c r="A247" s="64" t="s">
        <v>1184</v>
      </c>
      <c r="B247" s="64" t="s">
        <v>1185</v>
      </c>
      <c r="C247" s="64" t="s">
        <v>275</v>
      </c>
      <c r="D247" s="56" t="s">
        <v>696</v>
      </c>
      <c r="E247" s="56" t="s">
        <v>696</v>
      </c>
      <c r="F247" s="56" t="s">
        <v>696</v>
      </c>
      <c r="G247" s="56" t="s">
        <v>696</v>
      </c>
      <c r="H247" s="56" t="s">
        <v>697</v>
      </c>
      <c r="I247" s="57" t="s">
        <v>696</v>
      </c>
      <c r="J247" s="56" t="s">
        <v>697</v>
      </c>
      <c r="K247" s="56" t="s">
        <v>697</v>
      </c>
      <c r="L247" s="56"/>
      <c r="M247" s="56"/>
    </row>
    <row r="248" spans="1:13">
      <c r="A248" s="64" t="s">
        <v>1186</v>
      </c>
      <c r="B248" s="64" t="s">
        <v>1187</v>
      </c>
      <c r="C248" s="64" t="s">
        <v>270</v>
      </c>
      <c r="D248" s="56" t="s">
        <v>696</v>
      </c>
      <c r="E248" s="56" t="s">
        <v>696</v>
      </c>
      <c r="F248" s="56" t="s">
        <v>696</v>
      </c>
      <c r="G248" s="56" t="s">
        <v>696</v>
      </c>
      <c r="H248" s="56" t="s">
        <v>697</v>
      </c>
      <c r="I248" s="57" t="s">
        <v>696</v>
      </c>
      <c r="J248" s="56" t="s">
        <v>697</v>
      </c>
      <c r="K248" s="56" t="s">
        <v>697</v>
      </c>
      <c r="L248" s="56" t="s">
        <v>697</v>
      </c>
    </row>
    <row r="249" spans="1:13">
      <c r="A249" s="64" t="s">
        <v>1188</v>
      </c>
      <c r="B249" s="64" t="s">
        <v>1189</v>
      </c>
      <c r="C249" s="64" t="s">
        <v>270</v>
      </c>
      <c r="D249" s="56" t="s">
        <v>696</v>
      </c>
      <c r="E249" s="56" t="s">
        <v>696</v>
      </c>
      <c r="F249" s="56" t="s">
        <v>697</v>
      </c>
      <c r="G249" s="56" t="s">
        <v>697</v>
      </c>
      <c r="H249" s="56" t="s">
        <v>697</v>
      </c>
      <c r="I249" s="56" t="s">
        <v>697</v>
      </c>
      <c r="J249" s="56" t="s">
        <v>697</v>
      </c>
      <c r="K249" s="56" t="s">
        <v>697</v>
      </c>
      <c r="L249" s="56" t="s">
        <v>697</v>
      </c>
    </row>
    <row r="250" spans="1:13">
      <c r="G250" s="64"/>
    </row>
    <row r="251" spans="1:13">
      <c r="G251" s="64"/>
    </row>
    <row r="252" spans="1:13">
      <c r="G252" s="64"/>
    </row>
    <row r="253" spans="1:13">
      <c r="G253" s="64"/>
    </row>
    <row r="254" spans="1:13">
      <c r="G254" s="64"/>
    </row>
  </sheetData>
  <autoFilter ref="A1:M249" xr:uid="{00000000-0001-0000-0000-000000000000}"/>
  <hyperlinks>
    <hyperlink ref="B218" r:id="rId1" display="TL" xr:uid="{B9325B57-1610-43A8-B555-B5A3CB068BCB}"/>
    <hyperlink ref="M2" r:id="rId2" xr:uid="{FB0F4C97-33B0-4BE8-A77B-5F7DD6D2BBEF}"/>
  </hyperlinks>
  <pageMargins left="0.5" right="0.5" top="0.5" bottom="0.5" header="0.25" footer="0.25"/>
  <pageSetup scale="33" fitToHeight="3" orientation="portrait" r:id="rId3"/>
  <headerFooter>
    <oddFooter>&amp;C_x000D_&amp;1#&amp;"Aptos"&amp;10&amp;K000000 NBA - Internal Use</oddFooter>
  </headerFooter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5D58-6EC5-4E0C-9C60-A775392B7CA8}">
  <sheetPr filterMode="1">
    <tabColor rgb="FF0070C0"/>
  </sheetPr>
  <dimension ref="A1:M250"/>
  <sheetViews>
    <sheetView zoomScale="90" zoomScaleNormal="90" workbookViewId="0">
      <pane ySplit="1" topLeftCell="A22" activePane="bottomLeft" state="frozen"/>
      <selection activeCell="H32" sqref="H32"/>
      <selection pane="bottomLeft" activeCell="H32" sqref="H32"/>
    </sheetView>
  </sheetViews>
  <sheetFormatPr defaultColWidth="8.6328125" defaultRowHeight="14.5"/>
  <cols>
    <col min="1" max="1" width="32.453125" style="60" bestFit="1" customWidth="1"/>
    <col min="2" max="2" width="19.453125" style="60" customWidth="1"/>
    <col min="3" max="3" width="13.36328125" style="60" customWidth="1"/>
    <col min="4" max="4" width="25.6328125" style="60" customWidth="1"/>
    <col min="5" max="5" width="28.36328125" style="68" customWidth="1"/>
    <col min="6" max="6" width="21" style="68" customWidth="1"/>
    <col min="7" max="7" width="18.36328125" style="69" customWidth="1"/>
    <col min="8" max="8" width="17.36328125" style="60" customWidth="1"/>
    <col min="9" max="9" width="17" style="60" customWidth="1"/>
    <col min="10" max="10" width="15" style="69" customWidth="1"/>
    <col min="11" max="11" width="13.453125" style="60" bestFit="1" customWidth="1"/>
    <col min="12" max="12" width="15.453125" style="60" bestFit="1" customWidth="1"/>
    <col min="13" max="16384" width="8.6328125" style="60"/>
  </cols>
  <sheetData>
    <row r="1" spans="1:12" ht="43.5">
      <c r="A1" s="50" t="s">
        <v>31</v>
      </c>
      <c r="B1" s="50" t="s">
        <v>683</v>
      </c>
      <c r="C1" s="51" t="s">
        <v>32</v>
      </c>
      <c r="D1" s="50" t="s">
        <v>1190</v>
      </c>
      <c r="E1" s="51" t="s">
        <v>686</v>
      </c>
      <c r="F1" s="52" t="s">
        <v>687</v>
      </c>
      <c r="G1" s="51" t="s">
        <v>688</v>
      </c>
      <c r="H1" s="52" t="s">
        <v>689</v>
      </c>
      <c r="I1" s="51" t="s">
        <v>690</v>
      </c>
      <c r="J1" s="52" t="s">
        <v>691</v>
      </c>
      <c r="K1" s="49" t="s">
        <v>692</v>
      </c>
      <c r="L1" s="53" t="s">
        <v>693</v>
      </c>
    </row>
    <row r="2" spans="1:12" hidden="1">
      <c r="A2" s="55" t="s">
        <v>694</v>
      </c>
      <c r="B2" s="55" t="s">
        <v>695</v>
      </c>
      <c r="C2" s="55" t="s">
        <v>182</v>
      </c>
      <c r="D2" s="56" t="s">
        <v>696</v>
      </c>
      <c r="E2" s="57" t="s">
        <v>696</v>
      </c>
      <c r="F2" s="57" t="s">
        <v>697</v>
      </c>
      <c r="G2" s="56" t="s">
        <v>697</v>
      </c>
      <c r="H2" s="56" t="s">
        <v>697</v>
      </c>
      <c r="I2" s="56" t="s">
        <v>697</v>
      </c>
      <c r="J2" s="56" t="s">
        <v>697</v>
      </c>
      <c r="K2" s="56" t="s">
        <v>697</v>
      </c>
      <c r="L2" s="56" t="s">
        <v>697</v>
      </c>
    </row>
    <row r="3" spans="1:12" hidden="1">
      <c r="A3" s="55" t="s">
        <v>699</v>
      </c>
      <c r="B3" s="55" t="s">
        <v>700</v>
      </c>
      <c r="C3" s="55" t="s">
        <v>100</v>
      </c>
      <c r="D3" s="56" t="s">
        <v>696</v>
      </c>
      <c r="E3" s="57" t="s">
        <v>697</v>
      </c>
      <c r="F3" s="57" t="s">
        <v>696</v>
      </c>
      <c r="G3" s="56" t="s">
        <v>697</v>
      </c>
      <c r="H3" s="56" t="s">
        <v>697</v>
      </c>
      <c r="I3" s="56" t="s">
        <v>697</v>
      </c>
      <c r="J3" s="56" t="s">
        <v>697</v>
      </c>
      <c r="K3" s="56" t="s">
        <v>697</v>
      </c>
      <c r="L3" s="56" t="s">
        <v>697</v>
      </c>
    </row>
    <row r="4" spans="1:12" hidden="1">
      <c r="A4" s="55" t="s">
        <v>701</v>
      </c>
      <c r="B4" s="55" t="s">
        <v>702</v>
      </c>
      <c r="C4" s="55" t="s">
        <v>100</v>
      </c>
      <c r="D4" s="56" t="s">
        <v>696</v>
      </c>
      <c r="E4" s="57" t="s">
        <v>696</v>
      </c>
      <c r="F4" s="57" t="s">
        <v>696</v>
      </c>
      <c r="G4" s="56" t="s">
        <v>697</v>
      </c>
      <c r="H4" s="56" t="s">
        <v>697</v>
      </c>
      <c r="I4" s="56" t="s">
        <v>697</v>
      </c>
      <c r="J4" s="56" t="s">
        <v>697</v>
      </c>
      <c r="K4" s="56" t="s">
        <v>697</v>
      </c>
      <c r="L4" s="56" t="s">
        <v>697</v>
      </c>
    </row>
    <row r="5" spans="1:12" hidden="1">
      <c r="A5" s="55" t="s">
        <v>703</v>
      </c>
      <c r="B5" s="55" t="s">
        <v>704</v>
      </c>
      <c r="C5" s="55" t="s">
        <v>270</v>
      </c>
      <c r="D5" s="56" t="s">
        <v>696</v>
      </c>
      <c r="E5" s="57" t="s">
        <v>696</v>
      </c>
      <c r="F5" s="57" t="s">
        <v>696</v>
      </c>
      <c r="G5" s="56" t="s">
        <v>697</v>
      </c>
      <c r="H5" s="56" t="s">
        <v>697</v>
      </c>
      <c r="I5" s="56" t="s">
        <v>697</v>
      </c>
      <c r="J5" s="56" t="s">
        <v>697</v>
      </c>
      <c r="K5" s="56" t="s">
        <v>697</v>
      </c>
      <c r="L5" s="56" t="s">
        <v>697</v>
      </c>
    </row>
    <row r="6" spans="1:12" hidden="1">
      <c r="A6" s="55" t="s">
        <v>705</v>
      </c>
      <c r="B6" s="55" t="s">
        <v>706</v>
      </c>
      <c r="C6" s="55" t="s">
        <v>182</v>
      </c>
      <c r="D6" s="56" t="s">
        <v>696</v>
      </c>
      <c r="E6" s="57" t="s">
        <v>697</v>
      </c>
      <c r="F6" s="57" t="s">
        <v>696</v>
      </c>
      <c r="G6" s="56" t="s">
        <v>697</v>
      </c>
      <c r="H6" s="56" t="s">
        <v>697</v>
      </c>
      <c r="I6" s="56" t="s">
        <v>697</v>
      </c>
      <c r="J6" s="56" t="s">
        <v>697</v>
      </c>
      <c r="K6" s="56" t="s">
        <v>697</v>
      </c>
      <c r="L6" s="56" t="s">
        <v>697</v>
      </c>
    </row>
    <row r="7" spans="1:12" hidden="1">
      <c r="A7" s="55" t="s">
        <v>707</v>
      </c>
      <c r="B7" s="55" t="s">
        <v>708</v>
      </c>
      <c r="C7" s="55" t="s">
        <v>100</v>
      </c>
      <c r="D7" s="56" t="s">
        <v>696</v>
      </c>
      <c r="E7" s="57" t="s">
        <v>697</v>
      </c>
      <c r="F7" s="57" t="s">
        <v>697</v>
      </c>
      <c r="G7" s="56" t="s">
        <v>697</v>
      </c>
      <c r="H7" s="56" t="s">
        <v>697</v>
      </c>
      <c r="I7" s="56" t="s">
        <v>697</v>
      </c>
      <c r="J7" s="56" t="s">
        <v>697</v>
      </c>
      <c r="K7" s="56" t="s">
        <v>697</v>
      </c>
      <c r="L7" s="56" t="s">
        <v>697</v>
      </c>
    </row>
    <row r="8" spans="1:12" hidden="1">
      <c r="A8" s="55" t="s">
        <v>709</v>
      </c>
      <c r="B8" s="55" t="s">
        <v>710</v>
      </c>
      <c r="C8" s="55" t="s">
        <v>270</v>
      </c>
      <c r="D8" s="56" t="s">
        <v>696</v>
      </c>
      <c r="E8" s="57" t="s">
        <v>696</v>
      </c>
      <c r="F8" s="57" t="s">
        <v>696</v>
      </c>
      <c r="G8" s="56" t="s">
        <v>697</v>
      </c>
      <c r="H8" s="56" t="s">
        <v>697</v>
      </c>
      <c r="I8" s="56" t="s">
        <v>697</v>
      </c>
      <c r="J8" s="56" t="s">
        <v>697</v>
      </c>
      <c r="K8" s="56" t="s">
        <v>697</v>
      </c>
      <c r="L8" s="56" t="s">
        <v>697</v>
      </c>
    </row>
    <row r="9" spans="1:12" hidden="1">
      <c r="A9" s="55" t="s">
        <v>711</v>
      </c>
      <c r="B9" s="55" t="s">
        <v>712</v>
      </c>
      <c r="C9" s="55" t="s">
        <v>96</v>
      </c>
      <c r="D9" s="56" t="s">
        <v>696</v>
      </c>
      <c r="E9" s="57" t="s">
        <v>696</v>
      </c>
      <c r="F9" s="57" t="s">
        <v>697</v>
      </c>
      <c r="G9" s="56" t="s">
        <v>697</v>
      </c>
      <c r="H9" s="56" t="s">
        <v>697</v>
      </c>
      <c r="I9" s="56" t="s">
        <v>697</v>
      </c>
      <c r="J9" s="56" t="s">
        <v>697</v>
      </c>
      <c r="K9" s="56" t="s">
        <v>697</v>
      </c>
      <c r="L9" s="56" t="s">
        <v>697</v>
      </c>
    </row>
    <row r="10" spans="1:12" hidden="1">
      <c r="A10" s="55" t="s">
        <v>713</v>
      </c>
      <c r="B10" s="55" t="s">
        <v>714</v>
      </c>
      <c r="C10" s="55" t="s">
        <v>100</v>
      </c>
      <c r="D10" s="56" t="s">
        <v>696</v>
      </c>
      <c r="E10" s="57" t="s">
        <v>697</v>
      </c>
      <c r="F10" s="57" t="s">
        <v>697</v>
      </c>
      <c r="G10" s="56" t="s">
        <v>697</v>
      </c>
      <c r="H10" s="56" t="s">
        <v>697</v>
      </c>
      <c r="I10" s="56" t="s">
        <v>697</v>
      </c>
      <c r="J10" s="56" t="s">
        <v>697</v>
      </c>
      <c r="K10" s="56" t="s">
        <v>697</v>
      </c>
      <c r="L10" s="56" t="s">
        <v>697</v>
      </c>
    </row>
    <row r="11" spans="1:12" hidden="1">
      <c r="A11" s="55" t="s">
        <v>715</v>
      </c>
      <c r="B11" s="55" t="s">
        <v>716</v>
      </c>
      <c r="C11" s="55" t="s">
        <v>96</v>
      </c>
      <c r="D11" s="56" t="s">
        <v>696</v>
      </c>
      <c r="E11" s="57" t="s">
        <v>696</v>
      </c>
      <c r="F11" s="57" t="s">
        <v>696</v>
      </c>
      <c r="G11" s="56" t="s">
        <v>697</v>
      </c>
      <c r="H11" s="56" t="s">
        <v>697</v>
      </c>
      <c r="I11" s="56" t="s">
        <v>697</v>
      </c>
      <c r="J11" s="56" t="s">
        <v>697</v>
      </c>
      <c r="K11" s="56" t="s">
        <v>697</v>
      </c>
      <c r="L11" s="56" t="s">
        <v>697</v>
      </c>
    </row>
    <row r="12" spans="1:12" hidden="1">
      <c r="A12" s="55" t="s">
        <v>717</v>
      </c>
      <c r="B12" s="55" t="s">
        <v>718</v>
      </c>
      <c r="C12" s="55" t="s">
        <v>96</v>
      </c>
      <c r="D12" s="56" t="s">
        <v>696</v>
      </c>
      <c r="E12" s="57" t="s">
        <v>696</v>
      </c>
      <c r="F12" s="57" t="s">
        <v>696</v>
      </c>
      <c r="G12" s="56" t="s">
        <v>697</v>
      </c>
      <c r="H12" s="56" t="s">
        <v>697</v>
      </c>
      <c r="I12" s="56" t="s">
        <v>697</v>
      </c>
      <c r="J12" s="56" t="s">
        <v>697</v>
      </c>
      <c r="K12" s="56" t="s">
        <v>697</v>
      </c>
      <c r="L12" s="56" t="s">
        <v>697</v>
      </c>
    </row>
    <row r="13" spans="1:12" hidden="1">
      <c r="A13" s="55" t="s">
        <v>719</v>
      </c>
      <c r="B13" s="55" t="s">
        <v>720</v>
      </c>
      <c r="C13" s="55" t="s">
        <v>100</v>
      </c>
      <c r="D13" s="56" t="s">
        <v>696</v>
      </c>
      <c r="E13" s="57" t="s">
        <v>696</v>
      </c>
      <c r="F13" s="57" t="s">
        <v>696</v>
      </c>
      <c r="G13" s="56" t="s">
        <v>697</v>
      </c>
      <c r="H13" s="56" t="s">
        <v>697</v>
      </c>
      <c r="I13" s="56" t="s">
        <v>697</v>
      </c>
      <c r="J13" s="56" t="s">
        <v>697</v>
      </c>
      <c r="K13" s="56" t="s">
        <v>697</v>
      </c>
      <c r="L13" s="56" t="s">
        <v>697</v>
      </c>
    </row>
    <row r="14" spans="1:12" hidden="1">
      <c r="A14" s="55" t="s">
        <v>721</v>
      </c>
      <c r="B14" s="55" t="s">
        <v>722</v>
      </c>
      <c r="C14" s="55" t="s">
        <v>96</v>
      </c>
      <c r="D14" s="56" t="s">
        <v>696</v>
      </c>
      <c r="E14" s="57" t="s">
        <v>697</v>
      </c>
      <c r="F14" s="57" t="s">
        <v>696</v>
      </c>
      <c r="G14" s="56" t="s">
        <v>697</v>
      </c>
      <c r="H14" s="56" t="s">
        <v>697</v>
      </c>
      <c r="I14" s="56" t="s">
        <v>697</v>
      </c>
      <c r="J14" s="56" t="s">
        <v>697</v>
      </c>
      <c r="K14" s="56" t="s">
        <v>697</v>
      </c>
      <c r="L14" s="56" t="s">
        <v>697</v>
      </c>
    </row>
    <row r="15" spans="1:12" hidden="1">
      <c r="A15" s="55" t="s">
        <v>723</v>
      </c>
      <c r="B15" s="55" t="s">
        <v>724</v>
      </c>
      <c r="C15" s="55" t="s">
        <v>182</v>
      </c>
      <c r="D15" s="56" t="s">
        <v>696</v>
      </c>
      <c r="E15" s="57" t="s">
        <v>696</v>
      </c>
      <c r="F15" s="57" t="s">
        <v>696</v>
      </c>
      <c r="G15" s="56" t="s">
        <v>697</v>
      </c>
      <c r="H15" s="56" t="s">
        <v>696</v>
      </c>
      <c r="I15" s="56" t="s">
        <v>697</v>
      </c>
      <c r="J15" s="56" t="s">
        <v>697</v>
      </c>
      <c r="K15" s="56" t="s">
        <v>697</v>
      </c>
      <c r="L15" s="56" t="s">
        <v>697</v>
      </c>
    </row>
    <row r="16" spans="1:12" hidden="1">
      <c r="A16" s="55" t="s">
        <v>725</v>
      </c>
      <c r="B16" s="55" t="s">
        <v>726</v>
      </c>
      <c r="C16" s="55" t="s">
        <v>100</v>
      </c>
      <c r="D16" s="56" t="s">
        <v>696</v>
      </c>
      <c r="E16" s="57" t="s">
        <v>696</v>
      </c>
      <c r="F16" s="57" t="s">
        <v>696</v>
      </c>
      <c r="G16" s="56" t="s">
        <v>697</v>
      </c>
      <c r="H16" s="56" t="s">
        <v>697</v>
      </c>
      <c r="I16" s="56" t="s">
        <v>697</v>
      </c>
      <c r="J16" s="56" t="s">
        <v>697</v>
      </c>
      <c r="K16" s="56" t="s">
        <v>697</v>
      </c>
      <c r="L16" s="56" t="s">
        <v>697</v>
      </c>
    </row>
    <row r="17" spans="1:12" hidden="1">
      <c r="A17" s="55" t="s">
        <v>727</v>
      </c>
      <c r="B17" s="55" t="s">
        <v>728</v>
      </c>
      <c r="C17" s="55" t="s">
        <v>275</v>
      </c>
      <c r="D17" s="56" t="s">
        <v>696</v>
      </c>
      <c r="E17" s="57" t="s">
        <v>696</v>
      </c>
      <c r="F17" s="57" t="s">
        <v>696</v>
      </c>
      <c r="G17" s="56" t="s">
        <v>697</v>
      </c>
      <c r="H17" s="56" t="s">
        <v>697</v>
      </c>
      <c r="I17" s="56" t="s">
        <v>697</v>
      </c>
      <c r="J17" s="56" t="s">
        <v>697</v>
      </c>
      <c r="K17" s="56" t="s">
        <v>697</v>
      </c>
      <c r="L17" s="56" t="s">
        <v>697</v>
      </c>
    </row>
    <row r="18" spans="1:12" hidden="1">
      <c r="A18" s="55" t="s">
        <v>729</v>
      </c>
      <c r="B18" s="55" t="s">
        <v>730</v>
      </c>
      <c r="C18" s="55" t="s">
        <v>96</v>
      </c>
      <c r="D18" s="56" t="s">
        <v>696</v>
      </c>
      <c r="E18" s="57" t="s">
        <v>696</v>
      </c>
      <c r="F18" s="57" t="s">
        <v>696</v>
      </c>
      <c r="G18" s="56" t="s">
        <v>697</v>
      </c>
      <c r="H18" s="56" t="s">
        <v>697</v>
      </c>
      <c r="I18" s="56" t="s">
        <v>697</v>
      </c>
      <c r="J18" s="56" t="s">
        <v>697</v>
      </c>
      <c r="K18" s="56" t="s">
        <v>697</v>
      </c>
      <c r="L18" s="56" t="s">
        <v>697</v>
      </c>
    </row>
    <row r="19" spans="1:12" hidden="1">
      <c r="A19" s="55" t="s">
        <v>731</v>
      </c>
      <c r="B19" s="55" t="s">
        <v>732</v>
      </c>
      <c r="C19" s="55" t="s">
        <v>275</v>
      </c>
      <c r="D19" s="56" t="s">
        <v>696</v>
      </c>
      <c r="E19" s="57" t="s">
        <v>696</v>
      </c>
      <c r="F19" s="57" t="s">
        <v>696</v>
      </c>
      <c r="G19" s="56" t="s">
        <v>697</v>
      </c>
      <c r="H19" s="56" t="s">
        <v>697</v>
      </c>
      <c r="I19" s="56" t="s">
        <v>697</v>
      </c>
      <c r="J19" s="56" t="s">
        <v>697</v>
      </c>
      <c r="K19" s="56" t="s">
        <v>697</v>
      </c>
      <c r="L19" s="56" t="s">
        <v>697</v>
      </c>
    </row>
    <row r="20" spans="1:12" hidden="1">
      <c r="A20" s="55" t="s">
        <v>733</v>
      </c>
      <c r="B20" s="55" t="s">
        <v>734</v>
      </c>
      <c r="C20" s="55" t="s">
        <v>182</v>
      </c>
      <c r="D20" s="56" t="s">
        <v>696</v>
      </c>
      <c r="E20" s="57" t="s">
        <v>697</v>
      </c>
      <c r="F20" s="57" t="s">
        <v>696</v>
      </c>
      <c r="G20" s="56" t="s">
        <v>697</v>
      </c>
      <c r="H20" s="56" t="s">
        <v>697</v>
      </c>
      <c r="I20" s="56" t="s">
        <v>697</v>
      </c>
      <c r="J20" s="56" t="s">
        <v>697</v>
      </c>
      <c r="K20" s="56" t="s">
        <v>697</v>
      </c>
      <c r="L20" s="56" t="s">
        <v>697</v>
      </c>
    </row>
    <row r="21" spans="1:12" hidden="1">
      <c r="A21" s="55" t="s">
        <v>735</v>
      </c>
      <c r="B21" s="55" t="s">
        <v>736</v>
      </c>
      <c r="C21" s="55" t="s">
        <v>96</v>
      </c>
      <c r="D21" s="56" t="s">
        <v>696</v>
      </c>
      <c r="E21" s="57" t="s">
        <v>696</v>
      </c>
      <c r="F21" s="57" t="s">
        <v>697</v>
      </c>
      <c r="G21" s="56" t="s">
        <v>697</v>
      </c>
      <c r="H21" s="56" t="s">
        <v>697</v>
      </c>
      <c r="I21" s="56" t="s">
        <v>697</v>
      </c>
      <c r="J21" s="56" t="s">
        <v>697</v>
      </c>
      <c r="K21" s="56" t="s">
        <v>697</v>
      </c>
      <c r="L21" s="56" t="s">
        <v>697</v>
      </c>
    </row>
    <row r="22" spans="1:12">
      <c r="A22" s="55" t="s">
        <v>737</v>
      </c>
      <c r="B22" s="55" t="s">
        <v>738</v>
      </c>
      <c r="C22" s="55" t="s">
        <v>100</v>
      </c>
      <c r="D22" s="56" t="s">
        <v>697</v>
      </c>
      <c r="E22" s="57" t="s">
        <v>697</v>
      </c>
      <c r="F22" s="57" t="s">
        <v>697</v>
      </c>
      <c r="G22" s="56" t="s">
        <v>697</v>
      </c>
      <c r="H22" s="56" t="s">
        <v>697</v>
      </c>
      <c r="I22" s="56" t="s">
        <v>697</v>
      </c>
      <c r="J22" s="56" t="s">
        <v>697</v>
      </c>
      <c r="K22" s="56" t="s">
        <v>697</v>
      </c>
      <c r="L22" s="56" t="s">
        <v>697</v>
      </c>
    </row>
    <row r="23" spans="1:12" hidden="1">
      <c r="A23" s="55" t="s">
        <v>739</v>
      </c>
      <c r="B23" s="55" t="s">
        <v>740</v>
      </c>
      <c r="C23" s="55" t="s">
        <v>100</v>
      </c>
      <c r="D23" s="56" t="s">
        <v>696</v>
      </c>
      <c r="E23" s="57" t="s">
        <v>696</v>
      </c>
      <c r="F23" s="57" t="s">
        <v>696</v>
      </c>
      <c r="G23" s="56" t="s">
        <v>697</v>
      </c>
      <c r="H23" s="56" t="s">
        <v>697</v>
      </c>
      <c r="I23" s="56" t="s">
        <v>697</v>
      </c>
      <c r="J23" s="56" t="s">
        <v>697</v>
      </c>
      <c r="K23" s="56" t="s">
        <v>697</v>
      </c>
      <c r="L23" s="56" t="s">
        <v>697</v>
      </c>
    </row>
    <row r="24" spans="1:12" hidden="1">
      <c r="A24" s="55" t="s">
        <v>741</v>
      </c>
      <c r="B24" s="55" t="s">
        <v>742</v>
      </c>
      <c r="C24" s="55" t="s">
        <v>96</v>
      </c>
      <c r="D24" s="56" t="s">
        <v>696</v>
      </c>
      <c r="E24" s="57" t="s">
        <v>696</v>
      </c>
      <c r="F24" s="57" t="s">
        <v>696</v>
      </c>
      <c r="G24" s="56" t="s">
        <v>697</v>
      </c>
      <c r="H24" s="56" t="s">
        <v>697</v>
      </c>
      <c r="I24" s="56" t="s">
        <v>697</v>
      </c>
      <c r="J24" s="56" t="s">
        <v>697</v>
      </c>
      <c r="K24" s="56" t="s">
        <v>697</v>
      </c>
      <c r="L24" s="56" t="s">
        <v>697</v>
      </c>
    </row>
    <row r="25" spans="1:12" hidden="1">
      <c r="A25" s="55" t="s">
        <v>743</v>
      </c>
      <c r="B25" s="55" t="s">
        <v>744</v>
      </c>
      <c r="C25" s="55" t="s">
        <v>270</v>
      </c>
      <c r="D25" s="56" t="s">
        <v>696</v>
      </c>
      <c r="E25" s="57" t="s">
        <v>696</v>
      </c>
      <c r="F25" s="57" t="s">
        <v>696</v>
      </c>
      <c r="G25" s="56" t="s">
        <v>697</v>
      </c>
      <c r="H25" s="56" t="s">
        <v>697</v>
      </c>
      <c r="I25" s="56" t="s">
        <v>697</v>
      </c>
      <c r="J25" s="56" t="s">
        <v>697</v>
      </c>
      <c r="K25" s="56" t="s">
        <v>697</v>
      </c>
      <c r="L25" s="56" t="s">
        <v>697</v>
      </c>
    </row>
    <row r="26" spans="1:12" hidden="1">
      <c r="A26" s="55" t="s">
        <v>745</v>
      </c>
      <c r="B26" s="55" t="s">
        <v>746</v>
      </c>
      <c r="C26" s="55" t="s">
        <v>96</v>
      </c>
      <c r="D26" s="56" t="s">
        <v>696</v>
      </c>
      <c r="E26" s="57" t="s">
        <v>696</v>
      </c>
      <c r="F26" s="57" t="s">
        <v>696</v>
      </c>
      <c r="G26" s="56" t="s">
        <v>697</v>
      </c>
      <c r="H26" s="56" t="s">
        <v>697</v>
      </c>
      <c r="I26" s="56" t="s">
        <v>697</v>
      </c>
      <c r="J26" s="56" t="s">
        <v>697</v>
      </c>
      <c r="K26" s="56" t="s">
        <v>697</v>
      </c>
      <c r="L26" s="56" t="s">
        <v>697</v>
      </c>
    </row>
    <row r="27" spans="1:12" hidden="1">
      <c r="A27" s="55" t="s">
        <v>747</v>
      </c>
      <c r="B27" s="55" t="s">
        <v>748</v>
      </c>
      <c r="C27" s="55" t="s">
        <v>182</v>
      </c>
      <c r="D27" s="56" t="s">
        <v>696</v>
      </c>
      <c r="E27" s="57" t="s">
        <v>696</v>
      </c>
      <c r="F27" s="57" t="s">
        <v>697</v>
      </c>
      <c r="G27" s="56" t="s">
        <v>697</v>
      </c>
      <c r="H27" s="56" t="s">
        <v>697</v>
      </c>
      <c r="I27" s="56" t="s">
        <v>697</v>
      </c>
      <c r="J27" s="56" t="s">
        <v>697</v>
      </c>
      <c r="K27" s="56" t="s">
        <v>697</v>
      </c>
      <c r="L27" s="56" t="s">
        <v>697</v>
      </c>
    </row>
    <row r="28" spans="1:12" hidden="1">
      <c r="A28" s="55" t="s">
        <v>749</v>
      </c>
      <c r="B28" s="55" t="s">
        <v>750</v>
      </c>
      <c r="C28" s="55" t="s">
        <v>96</v>
      </c>
      <c r="D28" s="56" t="s">
        <v>696</v>
      </c>
      <c r="E28" s="57" t="s">
        <v>696</v>
      </c>
      <c r="F28" s="57" t="s">
        <v>696</v>
      </c>
      <c r="G28" s="56" t="s">
        <v>697</v>
      </c>
      <c r="H28" s="56" t="s">
        <v>697</v>
      </c>
      <c r="I28" s="56" t="s">
        <v>697</v>
      </c>
      <c r="J28" s="56" t="s">
        <v>697</v>
      </c>
      <c r="K28" s="56" t="s">
        <v>697</v>
      </c>
      <c r="L28" s="56" t="s">
        <v>697</v>
      </c>
    </row>
    <row r="29" spans="1:12" hidden="1">
      <c r="A29" s="55" t="s">
        <v>99</v>
      </c>
      <c r="B29" s="55"/>
      <c r="C29" s="55" t="s">
        <v>96</v>
      </c>
      <c r="D29" s="56" t="s">
        <v>696</v>
      </c>
      <c r="E29" s="57" t="s">
        <v>697</v>
      </c>
      <c r="F29" s="57" t="s">
        <v>697</v>
      </c>
      <c r="G29" s="57" t="s">
        <v>697</v>
      </c>
      <c r="H29" s="57" t="s">
        <v>697</v>
      </c>
      <c r="I29" s="57" t="s">
        <v>697</v>
      </c>
      <c r="J29" s="57" t="s">
        <v>697</v>
      </c>
      <c r="K29" s="57" t="s">
        <v>697</v>
      </c>
      <c r="L29" s="57" t="s">
        <v>697</v>
      </c>
    </row>
    <row r="30" spans="1:12" hidden="1">
      <c r="A30" s="55" t="s">
        <v>751</v>
      </c>
      <c r="B30" s="55" t="s">
        <v>752</v>
      </c>
      <c r="C30" s="55" t="s">
        <v>100</v>
      </c>
      <c r="D30" s="56" t="s">
        <v>696</v>
      </c>
      <c r="E30" s="57" t="s">
        <v>696</v>
      </c>
      <c r="F30" s="57" t="s">
        <v>696</v>
      </c>
      <c r="G30" s="56" t="s">
        <v>697</v>
      </c>
      <c r="H30" s="56" t="s">
        <v>697</v>
      </c>
      <c r="I30" s="56" t="s">
        <v>697</v>
      </c>
      <c r="J30" s="56" t="s">
        <v>697</v>
      </c>
      <c r="K30" s="56" t="s">
        <v>697</v>
      </c>
      <c r="L30" s="56" t="s">
        <v>697</v>
      </c>
    </row>
    <row r="31" spans="1:12" hidden="1">
      <c r="A31" s="55" t="s">
        <v>753</v>
      </c>
      <c r="B31" s="55" t="s">
        <v>754</v>
      </c>
      <c r="C31" s="55" t="s">
        <v>270</v>
      </c>
      <c r="D31" s="56" t="s">
        <v>696</v>
      </c>
      <c r="E31" s="57" t="s">
        <v>696</v>
      </c>
      <c r="F31" s="57" t="s">
        <v>696</v>
      </c>
      <c r="G31" s="56" t="s">
        <v>697</v>
      </c>
      <c r="H31" s="56" t="s">
        <v>697</v>
      </c>
      <c r="I31" s="56" t="s">
        <v>697</v>
      </c>
      <c r="J31" s="56" t="s">
        <v>697</v>
      </c>
      <c r="K31" s="56" t="s">
        <v>697</v>
      </c>
      <c r="L31" s="56" t="s">
        <v>697</v>
      </c>
    </row>
    <row r="32" spans="1:12" hidden="1">
      <c r="A32" s="55" t="s">
        <v>755</v>
      </c>
      <c r="B32" s="55" t="s">
        <v>756</v>
      </c>
      <c r="C32" s="55" t="s">
        <v>100</v>
      </c>
      <c r="D32" s="56" t="s">
        <v>696</v>
      </c>
      <c r="E32" s="57" t="s">
        <v>697</v>
      </c>
      <c r="F32" s="57" t="s">
        <v>697</v>
      </c>
      <c r="G32" s="56" t="s">
        <v>697</v>
      </c>
      <c r="H32" s="56" t="s">
        <v>697</v>
      </c>
      <c r="I32" s="56" t="s">
        <v>697</v>
      </c>
      <c r="J32" s="56" t="s">
        <v>697</v>
      </c>
      <c r="K32" s="56" t="s">
        <v>697</v>
      </c>
      <c r="L32" s="56" t="s">
        <v>697</v>
      </c>
    </row>
    <row r="33" spans="1:12" hidden="1">
      <c r="A33" s="55" t="s">
        <v>757</v>
      </c>
      <c r="B33" s="55" t="s">
        <v>758</v>
      </c>
      <c r="C33" s="55" t="s">
        <v>96</v>
      </c>
      <c r="D33" s="56" t="s">
        <v>696</v>
      </c>
      <c r="E33" s="57" t="s">
        <v>696</v>
      </c>
      <c r="F33" s="57" t="s">
        <v>696</v>
      </c>
      <c r="G33" s="56" t="s">
        <v>697</v>
      </c>
      <c r="H33" s="56" t="s">
        <v>696</v>
      </c>
      <c r="I33" s="56" t="s">
        <v>697</v>
      </c>
      <c r="J33" s="56" t="s">
        <v>696</v>
      </c>
      <c r="K33" s="56" t="s">
        <v>697</v>
      </c>
      <c r="L33" s="56" t="s">
        <v>697</v>
      </c>
    </row>
    <row r="34" spans="1:12" hidden="1">
      <c r="A34" s="55" t="s">
        <v>759</v>
      </c>
      <c r="B34" s="55" t="s">
        <v>760</v>
      </c>
      <c r="C34" s="55" t="s">
        <v>100</v>
      </c>
      <c r="D34" s="56" t="s">
        <v>696</v>
      </c>
      <c r="E34" s="57" t="s">
        <v>697</v>
      </c>
      <c r="F34" s="57" t="s">
        <v>697</v>
      </c>
      <c r="G34" s="56" t="s">
        <v>697</v>
      </c>
      <c r="H34" s="56" t="s">
        <v>697</v>
      </c>
      <c r="I34" s="56" t="s">
        <v>697</v>
      </c>
      <c r="J34" s="56" t="s">
        <v>697</v>
      </c>
      <c r="K34" s="56" t="s">
        <v>697</v>
      </c>
      <c r="L34" s="56" t="s">
        <v>697</v>
      </c>
    </row>
    <row r="35" spans="1:12" hidden="1">
      <c r="A35" s="55" t="s">
        <v>761</v>
      </c>
      <c r="B35" s="55" t="s">
        <v>762</v>
      </c>
      <c r="C35" s="55" t="s">
        <v>100</v>
      </c>
      <c r="D35" s="56" t="s">
        <v>696</v>
      </c>
      <c r="E35" s="57" t="s">
        <v>696</v>
      </c>
      <c r="F35" s="57" t="s">
        <v>696</v>
      </c>
      <c r="G35" s="56" t="s">
        <v>697</v>
      </c>
      <c r="H35" s="56" t="s">
        <v>697</v>
      </c>
      <c r="I35" s="56" t="s">
        <v>697</v>
      </c>
      <c r="J35" s="56" t="s">
        <v>697</v>
      </c>
      <c r="K35" s="56" t="s">
        <v>697</v>
      </c>
      <c r="L35" s="56" t="s">
        <v>697</v>
      </c>
    </row>
    <row r="36" spans="1:12" hidden="1">
      <c r="A36" s="55" t="s">
        <v>763</v>
      </c>
      <c r="B36" s="55" t="s">
        <v>764</v>
      </c>
      <c r="C36" s="55" t="s">
        <v>100</v>
      </c>
      <c r="D36" s="56" t="s">
        <v>696</v>
      </c>
      <c r="E36" s="57" t="s">
        <v>696</v>
      </c>
      <c r="F36" s="57" t="s">
        <v>697</v>
      </c>
      <c r="G36" s="56" t="s">
        <v>697</v>
      </c>
      <c r="H36" s="56" t="s">
        <v>697</v>
      </c>
      <c r="I36" s="56" t="s">
        <v>697</v>
      </c>
      <c r="J36" s="56" t="s">
        <v>697</v>
      </c>
      <c r="K36" s="56" t="s">
        <v>697</v>
      </c>
      <c r="L36" s="56" t="s">
        <v>697</v>
      </c>
    </row>
    <row r="37" spans="1:12" hidden="1">
      <c r="A37" s="55" t="s">
        <v>765</v>
      </c>
      <c r="B37" s="55" t="s">
        <v>766</v>
      </c>
      <c r="C37" s="55" t="s">
        <v>100</v>
      </c>
      <c r="D37" s="56" t="s">
        <v>696</v>
      </c>
      <c r="E37" s="57" t="s">
        <v>696</v>
      </c>
      <c r="F37" s="57" t="s">
        <v>696</v>
      </c>
      <c r="G37" s="56" t="s">
        <v>697</v>
      </c>
      <c r="H37" s="56" t="s">
        <v>697</v>
      </c>
      <c r="I37" s="56" t="s">
        <v>697</v>
      </c>
      <c r="J37" s="56" t="s">
        <v>697</v>
      </c>
      <c r="K37" s="56" t="s">
        <v>697</v>
      </c>
      <c r="L37" s="56" t="s">
        <v>697</v>
      </c>
    </row>
    <row r="38" spans="1:12" hidden="1">
      <c r="A38" s="55" t="s">
        <v>767</v>
      </c>
      <c r="B38" s="55" t="s">
        <v>768</v>
      </c>
      <c r="C38" s="55" t="s">
        <v>270</v>
      </c>
      <c r="D38" s="56" t="s">
        <v>696</v>
      </c>
      <c r="E38" s="57" t="s">
        <v>696</v>
      </c>
      <c r="F38" s="57" t="s">
        <v>696</v>
      </c>
      <c r="G38" s="56" t="s">
        <v>697</v>
      </c>
      <c r="H38" s="56" t="s">
        <v>697</v>
      </c>
      <c r="I38" s="56" t="s">
        <v>697</v>
      </c>
      <c r="J38" s="56" t="s">
        <v>697</v>
      </c>
      <c r="K38" s="56" t="s">
        <v>697</v>
      </c>
      <c r="L38" s="56" t="s">
        <v>697</v>
      </c>
    </row>
    <row r="39" spans="1:12" hidden="1">
      <c r="A39" s="55" t="s">
        <v>769</v>
      </c>
      <c r="B39" s="55" t="s">
        <v>770</v>
      </c>
      <c r="C39" s="55" t="s">
        <v>270</v>
      </c>
      <c r="D39" s="56" t="s">
        <v>696</v>
      </c>
      <c r="E39" s="57" t="s">
        <v>697</v>
      </c>
      <c r="F39" s="57" t="s">
        <v>697</v>
      </c>
      <c r="G39" s="56" t="s">
        <v>697</v>
      </c>
      <c r="H39" s="56" t="s">
        <v>697</v>
      </c>
      <c r="I39" s="56" t="s">
        <v>697</v>
      </c>
      <c r="J39" s="56" t="s">
        <v>697</v>
      </c>
      <c r="K39" s="56" t="s">
        <v>697</v>
      </c>
      <c r="L39" s="56" t="s">
        <v>697</v>
      </c>
    </row>
    <row r="40" spans="1:12" hidden="1">
      <c r="A40" s="55" t="s">
        <v>771</v>
      </c>
      <c r="B40" s="55" t="s">
        <v>772</v>
      </c>
      <c r="C40" s="55" t="s">
        <v>182</v>
      </c>
      <c r="D40" s="56" t="s">
        <v>696</v>
      </c>
      <c r="E40" s="57" t="s">
        <v>696</v>
      </c>
      <c r="F40" s="57" t="s">
        <v>696</v>
      </c>
      <c r="G40" s="56" t="s">
        <v>697</v>
      </c>
      <c r="H40" s="56" t="s">
        <v>697</v>
      </c>
      <c r="I40" s="56" t="s">
        <v>697</v>
      </c>
      <c r="J40" s="56" t="s">
        <v>697</v>
      </c>
      <c r="K40" s="56" t="s">
        <v>697</v>
      </c>
      <c r="L40" s="56" t="s">
        <v>697</v>
      </c>
    </row>
    <row r="41" spans="1:12" hidden="1">
      <c r="A41" s="55" t="s">
        <v>773</v>
      </c>
      <c r="B41" s="55" t="s">
        <v>774</v>
      </c>
      <c r="C41" s="55" t="s">
        <v>270</v>
      </c>
      <c r="D41" s="56" t="s">
        <v>696</v>
      </c>
      <c r="E41" s="57" t="s">
        <v>696</v>
      </c>
      <c r="F41" s="57" t="s">
        <v>696</v>
      </c>
      <c r="G41" s="56" t="s">
        <v>697</v>
      </c>
      <c r="H41" s="56" t="s">
        <v>697</v>
      </c>
      <c r="I41" s="56" t="s">
        <v>697</v>
      </c>
      <c r="J41" s="56" t="s">
        <v>697</v>
      </c>
      <c r="K41" s="56" t="s">
        <v>697</v>
      </c>
      <c r="L41" s="56" t="s">
        <v>697</v>
      </c>
    </row>
    <row r="42" spans="1:12" hidden="1">
      <c r="A42" s="55" t="s">
        <v>775</v>
      </c>
      <c r="B42" s="55" t="s">
        <v>776</v>
      </c>
      <c r="C42" s="55" t="s">
        <v>113</v>
      </c>
      <c r="D42" s="56" t="s">
        <v>696</v>
      </c>
      <c r="E42" s="57" t="s">
        <v>696</v>
      </c>
      <c r="F42" s="57" t="s">
        <v>696</v>
      </c>
      <c r="G42" s="56" t="s">
        <v>697</v>
      </c>
      <c r="H42" s="56" t="s">
        <v>696</v>
      </c>
      <c r="I42" s="56" t="s">
        <v>697</v>
      </c>
      <c r="J42" s="56" t="s">
        <v>696</v>
      </c>
      <c r="K42" s="56" t="s">
        <v>697</v>
      </c>
      <c r="L42" s="56" t="s">
        <v>697</v>
      </c>
    </row>
    <row r="43" spans="1:12" hidden="1">
      <c r="A43" s="55" t="s">
        <v>778</v>
      </c>
      <c r="B43" s="55" t="s">
        <v>779</v>
      </c>
      <c r="C43" s="55" t="s">
        <v>270</v>
      </c>
      <c r="D43" s="56" t="s">
        <v>696</v>
      </c>
      <c r="E43" s="57" t="s">
        <v>696</v>
      </c>
      <c r="F43" s="57" t="s">
        <v>696</v>
      </c>
      <c r="G43" s="56" t="s">
        <v>697</v>
      </c>
      <c r="H43" s="56" t="s">
        <v>697</v>
      </c>
      <c r="I43" s="56" t="s">
        <v>697</v>
      </c>
      <c r="J43" s="56" t="s">
        <v>697</v>
      </c>
      <c r="K43" s="56" t="s">
        <v>697</v>
      </c>
      <c r="L43" s="56" t="s">
        <v>697</v>
      </c>
    </row>
    <row r="44" spans="1:12" hidden="1">
      <c r="A44" s="55" t="s">
        <v>780</v>
      </c>
      <c r="B44" s="55" t="s">
        <v>781</v>
      </c>
      <c r="C44" s="55" t="s">
        <v>96</v>
      </c>
      <c r="D44" s="56" t="s">
        <v>696</v>
      </c>
      <c r="E44" s="57" t="s">
        <v>696</v>
      </c>
      <c r="F44" s="57" t="s">
        <v>696</v>
      </c>
      <c r="G44" s="56" t="s">
        <v>697</v>
      </c>
      <c r="H44" s="56" t="s">
        <v>697</v>
      </c>
      <c r="I44" s="56" t="s">
        <v>697</v>
      </c>
      <c r="J44" s="56" t="s">
        <v>697</v>
      </c>
      <c r="K44" s="56" t="s">
        <v>697</v>
      </c>
      <c r="L44" s="56" t="s">
        <v>697</v>
      </c>
    </row>
    <row r="45" spans="1:12" hidden="1">
      <c r="A45" s="55" t="s">
        <v>782</v>
      </c>
      <c r="B45" s="55" t="s">
        <v>783</v>
      </c>
      <c r="C45" s="55" t="s">
        <v>270</v>
      </c>
      <c r="D45" s="56" t="s">
        <v>696</v>
      </c>
      <c r="E45" s="57" t="s">
        <v>697</v>
      </c>
      <c r="F45" s="57" t="s">
        <v>697</v>
      </c>
      <c r="G45" s="56" t="s">
        <v>697</v>
      </c>
      <c r="H45" s="56" t="s">
        <v>697</v>
      </c>
      <c r="I45" s="56" t="s">
        <v>697</v>
      </c>
      <c r="J45" s="56" t="s">
        <v>697</v>
      </c>
      <c r="K45" s="56" t="s">
        <v>697</v>
      </c>
      <c r="L45" s="56" t="s">
        <v>697</v>
      </c>
    </row>
    <row r="46" spans="1:12" hidden="1">
      <c r="A46" s="55" t="s">
        <v>784</v>
      </c>
      <c r="B46" s="55" t="s">
        <v>785</v>
      </c>
      <c r="C46" s="55" t="s">
        <v>270</v>
      </c>
      <c r="D46" s="56" t="s">
        <v>696</v>
      </c>
      <c r="E46" s="57" t="s">
        <v>696</v>
      </c>
      <c r="F46" s="57" t="s">
        <v>696</v>
      </c>
      <c r="G46" s="56" t="s">
        <v>697</v>
      </c>
      <c r="H46" s="56" t="s">
        <v>697</v>
      </c>
      <c r="I46" s="56" t="s">
        <v>697</v>
      </c>
      <c r="J46" s="56" t="s">
        <v>697</v>
      </c>
      <c r="K46" s="56" t="s">
        <v>697</v>
      </c>
      <c r="L46" s="56" t="s">
        <v>697</v>
      </c>
    </row>
    <row r="47" spans="1:12" hidden="1">
      <c r="A47" s="55" t="s">
        <v>786</v>
      </c>
      <c r="B47" s="55" t="s">
        <v>787</v>
      </c>
      <c r="C47" s="55" t="s">
        <v>96</v>
      </c>
      <c r="D47" s="56" t="s">
        <v>696</v>
      </c>
      <c r="E47" s="57" t="s">
        <v>696</v>
      </c>
      <c r="F47" s="57" t="s">
        <v>696</v>
      </c>
      <c r="G47" s="56" t="s">
        <v>697</v>
      </c>
      <c r="H47" s="56" t="s">
        <v>697</v>
      </c>
      <c r="I47" s="56" t="s">
        <v>697</v>
      </c>
      <c r="J47" s="56" t="s">
        <v>697</v>
      </c>
      <c r="K47" s="56" t="s">
        <v>697</v>
      </c>
      <c r="L47" s="56" t="s">
        <v>697</v>
      </c>
    </row>
    <row r="48" spans="1:12">
      <c r="A48" s="55" t="s">
        <v>788</v>
      </c>
      <c r="B48" s="55" t="s">
        <v>789</v>
      </c>
      <c r="C48" s="55" t="s">
        <v>351</v>
      </c>
      <c r="D48" s="56" t="s">
        <v>697</v>
      </c>
      <c r="E48" s="57" t="s">
        <v>697</v>
      </c>
      <c r="F48" s="57" t="s">
        <v>697</v>
      </c>
      <c r="G48" s="56" t="s">
        <v>697</v>
      </c>
      <c r="H48" s="56" t="s">
        <v>697</v>
      </c>
      <c r="I48" s="56" t="s">
        <v>697</v>
      </c>
      <c r="J48" s="56" t="s">
        <v>697</v>
      </c>
      <c r="K48" s="56" t="s">
        <v>697</v>
      </c>
      <c r="L48" s="56" t="s">
        <v>697</v>
      </c>
    </row>
    <row r="49" spans="1:12" hidden="1">
      <c r="A49" s="55" t="s">
        <v>790</v>
      </c>
      <c r="B49" s="55" t="s">
        <v>791</v>
      </c>
      <c r="C49" s="55" t="s">
        <v>182</v>
      </c>
      <c r="D49" s="56" t="s">
        <v>696</v>
      </c>
      <c r="E49" s="57" t="s">
        <v>697</v>
      </c>
      <c r="F49" s="57" t="s">
        <v>697</v>
      </c>
      <c r="G49" s="56" t="s">
        <v>697</v>
      </c>
      <c r="H49" s="56" t="s">
        <v>697</v>
      </c>
      <c r="I49" s="56" t="s">
        <v>697</v>
      </c>
      <c r="J49" s="56" t="s">
        <v>697</v>
      </c>
      <c r="K49" s="56" t="s">
        <v>697</v>
      </c>
      <c r="L49" s="56" t="s">
        <v>697</v>
      </c>
    </row>
    <row r="50" spans="1:12" hidden="1">
      <c r="A50" s="55" t="s">
        <v>792</v>
      </c>
      <c r="B50" s="55" t="s">
        <v>793</v>
      </c>
      <c r="C50" s="55" t="s">
        <v>182</v>
      </c>
      <c r="D50" s="56" t="s">
        <v>696</v>
      </c>
      <c r="E50" s="57" t="s">
        <v>697</v>
      </c>
      <c r="F50" s="57" t="s">
        <v>697</v>
      </c>
      <c r="G50" s="56" t="s">
        <v>697</v>
      </c>
      <c r="H50" s="56" t="s">
        <v>697</v>
      </c>
      <c r="I50" s="56" t="s">
        <v>697</v>
      </c>
      <c r="J50" s="56" t="s">
        <v>697</v>
      </c>
      <c r="K50" s="56" t="s">
        <v>697</v>
      </c>
      <c r="L50" s="56" t="s">
        <v>697</v>
      </c>
    </row>
    <row r="51" spans="1:12" hidden="1">
      <c r="A51" s="55" t="s">
        <v>794</v>
      </c>
      <c r="B51" s="55" t="s">
        <v>795</v>
      </c>
      <c r="C51" s="55" t="s">
        <v>96</v>
      </c>
      <c r="D51" s="56" t="s">
        <v>696</v>
      </c>
      <c r="E51" s="57" t="s">
        <v>696</v>
      </c>
      <c r="F51" s="57" t="s">
        <v>696</v>
      </c>
      <c r="G51" s="56" t="s">
        <v>697</v>
      </c>
      <c r="H51" s="56" t="s">
        <v>697</v>
      </c>
      <c r="I51" s="56" t="s">
        <v>697</v>
      </c>
      <c r="J51" s="56" t="s">
        <v>697</v>
      </c>
      <c r="K51" s="56" t="s">
        <v>697</v>
      </c>
      <c r="L51" s="56" t="s">
        <v>697</v>
      </c>
    </row>
    <row r="52" spans="1:12" hidden="1">
      <c r="A52" s="55" t="s">
        <v>796</v>
      </c>
      <c r="B52" s="55" t="s">
        <v>797</v>
      </c>
      <c r="C52" s="55" t="s">
        <v>270</v>
      </c>
      <c r="D52" s="56" t="s">
        <v>696</v>
      </c>
      <c r="E52" s="57" t="s">
        <v>697</v>
      </c>
      <c r="F52" s="57" t="s">
        <v>696</v>
      </c>
      <c r="G52" s="56" t="s">
        <v>697</v>
      </c>
      <c r="H52" s="56" t="s">
        <v>697</v>
      </c>
      <c r="I52" s="56" t="s">
        <v>697</v>
      </c>
      <c r="J52" s="56" t="s">
        <v>697</v>
      </c>
      <c r="K52" s="56" t="s">
        <v>697</v>
      </c>
      <c r="L52" s="56" t="s">
        <v>697</v>
      </c>
    </row>
    <row r="53" spans="1:12">
      <c r="A53" s="55" t="s">
        <v>798</v>
      </c>
      <c r="B53" s="55" t="s">
        <v>799</v>
      </c>
      <c r="C53" s="55" t="s">
        <v>270</v>
      </c>
      <c r="D53" s="56" t="s">
        <v>696</v>
      </c>
      <c r="E53" s="56" t="s">
        <v>696</v>
      </c>
      <c r="F53" s="56" t="s">
        <v>696</v>
      </c>
      <c r="G53" s="56" t="s">
        <v>696</v>
      </c>
      <c r="H53" s="56" t="s">
        <v>696</v>
      </c>
      <c r="I53" s="56" t="s">
        <v>696</v>
      </c>
      <c r="J53" s="56" t="s">
        <v>696</v>
      </c>
      <c r="K53" s="56" t="s">
        <v>696</v>
      </c>
      <c r="L53" s="56" t="s">
        <v>696</v>
      </c>
    </row>
    <row r="54" spans="1:12" hidden="1">
      <c r="A54" s="55" t="s">
        <v>800</v>
      </c>
      <c r="B54" s="55" t="s">
        <v>801</v>
      </c>
      <c r="C54" s="55" t="s">
        <v>182</v>
      </c>
      <c r="D54" s="56" t="s">
        <v>696</v>
      </c>
      <c r="E54" s="57" t="s">
        <v>697</v>
      </c>
      <c r="F54" s="57" t="s">
        <v>697</v>
      </c>
      <c r="G54" s="56" t="s">
        <v>697</v>
      </c>
      <c r="H54" s="56" t="s">
        <v>697</v>
      </c>
      <c r="I54" s="56" t="s">
        <v>697</v>
      </c>
      <c r="J54" s="56" t="s">
        <v>697</v>
      </c>
      <c r="K54" s="56" t="s">
        <v>697</v>
      </c>
      <c r="L54" s="56" t="s">
        <v>697</v>
      </c>
    </row>
    <row r="55" spans="1:12" hidden="1">
      <c r="A55" s="55" t="s">
        <v>802</v>
      </c>
      <c r="B55" s="55" t="s">
        <v>803</v>
      </c>
      <c r="C55" s="55" t="s">
        <v>96</v>
      </c>
      <c r="D55" s="56" t="s">
        <v>696</v>
      </c>
      <c r="E55" s="57" t="s">
        <v>696</v>
      </c>
      <c r="F55" s="57" t="s">
        <v>696</v>
      </c>
      <c r="G55" s="56" t="s">
        <v>697</v>
      </c>
      <c r="H55" s="56" t="s">
        <v>697</v>
      </c>
      <c r="I55" s="56" t="s">
        <v>697</v>
      </c>
      <c r="J55" s="56" t="s">
        <v>697</v>
      </c>
      <c r="K55" s="56" t="s">
        <v>697</v>
      </c>
      <c r="L55" s="56" t="s">
        <v>697</v>
      </c>
    </row>
    <row r="56" spans="1:12" hidden="1">
      <c r="A56" s="55" t="s">
        <v>804</v>
      </c>
      <c r="B56" s="55" t="s">
        <v>805</v>
      </c>
      <c r="C56" s="55" t="s">
        <v>270</v>
      </c>
      <c r="D56" s="56" t="s">
        <v>696</v>
      </c>
      <c r="E56" s="57" t="s">
        <v>696</v>
      </c>
      <c r="F56" s="57" t="s">
        <v>696</v>
      </c>
      <c r="G56" s="56" t="s">
        <v>697</v>
      </c>
      <c r="H56" s="56" t="s">
        <v>697</v>
      </c>
      <c r="I56" s="56" t="s">
        <v>697</v>
      </c>
      <c r="J56" s="56" t="s">
        <v>697</v>
      </c>
      <c r="K56" s="56" t="s">
        <v>697</v>
      </c>
      <c r="L56" s="56" t="s">
        <v>697</v>
      </c>
    </row>
    <row r="57" spans="1:12" hidden="1">
      <c r="A57" s="55" t="s">
        <v>806</v>
      </c>
      <c r="B57" s="55" t="s">
        <v>807</v>
      </c>
      <c r="C57" s="55" t="s">
        <v>100</v>
      </c>
      <c r="D57" s="56" t="s">
        <v>696</v>
      </c>
      <c r="E57" s="57" t="s">
        <v>696</v>
      </c>
      <c r="F57" s="57" t="s">
        <v>696</v>
      </c>
      <c r="G57" s="56" t="s">
        <v>697</v>
      </c>
      <c r="H57" s="56" t="s">
        <v>697</v>
      </c>
      <c r="I57" s="56" t="s">
        <v>697</v>
      </c>
      <c r="J57" s="56" t="s">
        <v>697</v>
      </c>
      <c r="K57" s="56" t="s">
        <v>697</v>
      </c>
      <c r="L57" s="56" t="s">
        <v>697</v>
      </c>
    </row>
    <row r="58" spans="1:12">
      <c r="A58" s="55" t="s">
        <v>808</v>
      </c>
      <c r="B58" s="55" t="s">
        <v>809</v>
      </c>
      <c r="C58" s="55" t="s">
        <v>96</v>
      </c>
      <c r="D58" s="56" t="s">
        <v>697</v>
      </c>
      <c r="E58" s="56" t="s">
        <v>697</v>
      </c>
      <c r="F58" s="56" t="s">
        <v>697</v>
      </c>
      <c r="G58" s="56" t="s">
        <v>697</v>
      </c>
      <c r="H58" s="56" t="s">
        <v>697</v>
      </c>
      <c r="I58" s="56" t="s">
        <v>697</v>
      </c>
      <c r="J58" s="56" t="s">
        <v>697</v>
      </c>
      <c r="K58" s="56" t="s">
        <v>697</v>
      </c>
      <c r="L58" s="56" t="s">
        <v>697</v>
      </c>
    </row>
    <row r="59" spans="1:12" hidden="1">
      <c r="A59" s="55" t="s">
        <v>810</v>
      </c>
      <c r="B59" s="55" t="s">
        <v>811</v>
      </c>
      <c r="C59" s="55" t="s">
        <v>96</v>
      </c>
      <c r="D59" s="56" t="s">
        <v>696</v>
      </c>
      <c r="E59" s="57" t="s">
        <v>697</v>
      </c>
      <c r="F59" s="57" t="s">
        <v>696</v>
      </c>
      <c r="G59" s="56" t="s">
        <v>697</v>
      </c>
      <c r="H59" s="56" t="s">
        <v>697</v>
      </c>
      <c r="I59" s="56" t="s">
        <v>697</v>
      </c>
      <c r="J59" s="56" t="s">
        <v>697</v>
      </c>
      <c r="K59" s="56" t="s">
        <v>697</v>
      </c>
      <c r="L59" s="56" t="s">
        <v>697</v>
      </c>
    </row>
    <row r="60" spans="1:12" hidden="1">
      <c r="A60" s="55" t="s">
        <v>812</v>
      </c>
      <c r="B60" s="55" t="s">
        <v>813</v>
      </c>
      <c r="C60" s="55" t="s">
        <v>100</v>
      </c>
      <c r="D60" s="56" t="s">
        <v>696</v>
      </c>
      <c r="E60" s="57" t="s">
        <v>696</v>
      </c>
      <c r="F60" s="57" t="s">
        <v>696</v>
      </c>
      <c r="G60" s="56" t="s">
        <v>697</v>
      </c>
      <c r="H60" s="56" t="s">
        <v>697</v>
      </c>
      <c r="I60" s="56" t="s">
        <v>697</v>
      </c>
      <c r="J60" s="56" t="s">
        <v>697</v>
      </c>
      <c r="K60" s="56" t="s">
        <v>697</v>
      </c>
      <c r="L60" s="56" t="s">
        <v>697</v>
      </c>
    </row>
    <row r="61" spans="1:12" hidden="1">
      <c r="A61" s="55" t="s">
        <v>814</v>
      </c>
      <c r="B61" s="55" t="s">
        <v>815</v>
      </c>
      <c r="C61" s="55" t="s">
        <v>100</v>
      </c>
      <c r="D61" s="56" t="s">
        <v>696</v>
      </c>
      <c r="E61" s="57" t="s">
        <v>696</v>
      </c>
      <c r="F61" s="57" t="s">
        <v>696</v>
      </c>
      <c r="G61" s="56" t="s">
        <v>697</v>
      </c>
      <c r="H61" s="56" t="s">
        <v>697</v>
      </c>
      <c r="I61" s="56" t="s">
        <v>697</v>
      </c>
      <c r="J61" s="56" t="s">
        <v>697</v>
      </c>
      <c r="K61" s="56" t="s">
        <v>697</v>
      </c>
      <c r="L61" s="56" t="s">
        <v>697</v>
      </c>
    </row>
    <row r="62" spans="1:12" hidden="1">
      <c r="A62" s="55" t="s">
        <v>816</v>
      </c>
      <c r="B62" s="55" t="s">
        <v>817</v>
      </c>
      <c r="C62" s="55" t="s">
        <v>100</v>
      </c>
      <c r="D62" s="56" t="s">
        <v>696</v>
      </c>
      <c r="E62" s="57" t="s">
        <v>696</v>
      </c>
      <c r="F62" s="57" t="s">
        <v>696</v>
      </c>
      <c r="G62" s="56" t="s">
        <v>697</v>
      </c>
      <c r="H62" s="56" t="s">
        <v>697</v>
      </c>
      <c r="I62" s="56" t="s">
        <v>697</v>
      </c>
      <c r="J62" s="56" t="s">
        <v>697</v>
      </c>
      <c r="K62" s="56" t="s">
        <v>697</v>
      </c>
      <c r="L62" s="56" t="s">
        <v>697</v>
      </c>
    </row>
    <row r="63" spans="1:12" hidden="1">
      <c r="A63" s="55" t="s">
        <v>818</v>
      </c>
      <c r="B63" s="55" t="s">
        <v>819</v>
      </c>
      <c r="C63" s="55" t="s">
        <v>270</v>
      </c>
      <c r="D63" s="56" t="s">
        <v>696</v>
      </c>
      <c r="E63" s="57" t="s">
        <v>696</v>
      </c>
      <c r="F63" s="57" t="s">
        <v>696</v>
      </c>
      <c r="G63" s="56" t="s">
        <v>697</v>
      </c>
      <c r="H63" s="56" t="s">
        <v>697</v>
      </c>
      <c r="I63" s="56" t="s">
        <v>697</v>
      </c>
      <c r="J63" s="56" t="s">
        <v>697</v>
      </c>
      <c r="K63" s="56" t="s">
        <v>697</v>
      </c>
      <c r="L63" s="56" t="s">
        <v>697</v>
      </c>
    </row>
    <row r="64" spans="1:12" hidden="1">
      <c r="A64" s="55" t="s">
        <v>820</v>
      </c>
      <c r="B64" s="55" t="s">
        <v>821</v>
      </c>
      <c r="C64" s="55" t="s">
        <v>96</v>
      </c>
      <c r="D64" s="56" t="s">
        <v>696</v>
      </c>
      <c r="E64" s="57" t="s">
        <v>697</v>
      </c>
      <c r="F64" s="57" t="s">
        <v>696</v>
      </c>
      <c r="G64" s="56" t="s">
        <v>697</v>
      </c>
      <c r="H64" s="56" t="s">
        <v>697</v>
      </c>
      <c r="I64" s="56" t="s">
        <v>697</v>
      </c>
      <c r="J64" s="56" t="s">
        <v>697</v>
      </c>
      <c r="K64" s="56" t="s">
        <v>697</v>
      </c>
      <c r="L64" s="56" t="s">
        <v>697</v>
      </c>
    </row>
    <row r="65" spans="1:12" hidden="1">
      <c r="A65" s="55" t="s">
        <v>822</v>
      </c>
      <c r="B65" s="55" t="s">
        <v>823</v>
      </c>
      <c r="C65" s="55" t="s">
        <v>96</v>
      </c>
      <c r="D65" s="56" t="s">
        <v>696</v>
      </c>
      <c r="E65" s="57" t="s">
        <v>696</v>
      </c>
      <c r="F65" s="57" t="s">
        <v>696</v>
      </c>
      <c r="G65" s="56" t="s">
        <v>697</v>
      </c>
      <c r="H65" s="56" t="s">
        <v>697</v>
      </c>
      <c r="I65" s="56" t="s">
        <v>697</v>
      </c>
      <c r="J65" s="56" t="s">
        <v>697</v>
      </c>
      <c r="K65" s="56" t="s">
        <v>697</v>
      </c>
      <c r="L65" s="56" t="s">
        <v>697</v>
      </c>
    </row>
    <row r="66" spans="1:12" hidden="1">
      <c r="A66" s="55" t="s">
        <v>824</v>
      </c>
      <c r="B66" s="55" t="s">
        <v>825</v>
      </c>
      <c r="C66" s="55" t="s">
        <v>96</v>
      </c>
      <c r="D66" s="56" t="s">
        <v>696</v>
      </c>
      <c r="E66" s="57" t="s">
        <v>696</v>
      </c>
      <c r="F66" s="57" t="s">
        <v>696</v>
      </c>
      <c r="G66" s="56" t="s">
        <v>697</v>
      </c>
      <c r="H66" s="56" t="s">
        <v>697</v>
      </c>
      <c r="I66" s="56" t="s">
        <v>697</v>
      </c>
      <c r="J66" s="56" t="s">
        <v>697</v>
      </c>
      <c r="K66" s="56" t="s">
        <v>697</v>
      </c>
      <c r="L66" s="56" t="s">
        <v>697</v>
      </c>
    </row>
    <row r="67" spans="1:12" hidden="1">
      <c r="A67" s="55" t="s">
        <v>826</v>
      </c>
      <c r="B67" s="55" t="s">
        <v>827</v>
      </c>
      <c r="C67" s="55" t="s">
        <v>270</v>
      </c>
      <c r="D67" s="56" t="s">
        <v>696</v>
      </c>
      <c r="E67" s="57" t="s">
        <v>696</v>
      </c>
      <c r="F67" s="57" t="s">
        <v>696</v>
      </c>
      <c r="G67" s="56" t="s">
        <v>697</v>
      </c>
      <c r="H67" s="56" t="s">
        <v>697</v>
      </c>
      <c r="I67" s="56" t="s">
        <v>697</v>
      </c>
      <c r="J67" s="56" t="s">
        <v>697</v>
      </c>
      <c r="K67" s="56" t="s">
        <v>697</v>
      </c>
      <c r="L67" s="56" t="s">
        <v>697</v>
      </c>
    </row>
    <row r="68" spans="1:12" hidden="1">
      <c r="A68" s="55" t="s">
        <v>828</v>
      </c>
      <c r="B68" s="55" t="s">
        <v>829</v>
      </c>
      <c r="C68" s="55" t="s">
        <v>96</v>
      </c>
      <c r="D68" s="56" t="s">
        <v>696</v>
      </c>
      <c r="E68" s="57" t="s">
        <v>696</v>
      </c>
      <c r="F68" s="57" t="s">
        <v>696</v>
      </c>
      <c r="G68" s="56" t="s">
        <v>697</v>
      </c>
      <c r="H68" s="56" t="s">
        <v>697</v>
      </c>
      <c r="I68" s="56" t="s">
        <v>697</v>
      </c>
      <c r="J68" s="56" t="s">
        <v>697</v>
      </c>
      <c r="K68" s="56" t="s">
        <v>697</v>
      </c>
      <c r="L68" s="56" t="s">
        <v>697</v>
      </c>
    </row>
    <row r="69" spans="1:12" hidden="1">
      <c r="A69" s="55" t="s">
        <v>830</v>
      </c>
      <c r="B69" s="55" t="s">
        <v>831</v>
      </c>
      <c r="C69" s="55" t="s">
        <v>270</v>
      </c>
      <c r="D69" s="56" t="s">
        <v>696</v>
      </c>
      <c r="E69" s="57" t="s">
        <v>697</v>
      </c>
      <c r="F69" s="57" t="s">
        <v>697</v>
      </c>
      <c r="G69" s="56" t="s">
        <v>697</v>
      </c>
      <c r="H69" s="56" t="s">
        <v>697</v>
      </c>
      <c r="I69" s="56" t="s">
        <v>697</v>
      </c>
      <c r="J69" s="56" t="s">
        <v>697</v>
      </c>
      <c r="K69" s="56" t="s">
        <v>697</v>
      </c>
      <c r="L69" s="56" t="s">
        <v>697</v>
      </c>
    </row>
    <row r="70" spans="1:12" hidden="1">
      <c r="A70" s="55" t="s">
        <v>832</v>
      </c>
      <c r="B70" s="55" t="s">
        <v>833</v>
      </c>
      <c r="C70" s="55" t="s">
        <v>270</v>
      </c>
      <c r="D70" s="56" t="s">
        <v>696</v>
      </c>
      <c r="E70" s="57" t="s">
        <v>697</v>
      </c>
      <c r="F70" s="57" t="s">
        <v>696</v>
      </c>
      <c r="G70" s="56" t="s">
        <v>697</v>
      </c>
      <c r="H70" s="56" t="s">
        <v>697</v>
      </c>
      <c r="I70" s="56" t="s">
        <v>697</v>
      </c>
      <c r="J70" s="56" t="s">
        <v>697</v>
      </c>
      <c r="K70" s="56" t="s">
        <v>697</v>
      </c>
      <c r="L70" s="56" t="s">
        <v>697</v>
      </c>
    </row>
    <row r="71" spans="1:12" hidden="1">
      <c r="A71" s="55" t="s">
        <v>834</v>
      </c>
      <c r="B71" s="55" t="s">
        <v>835</v>
      </c>
      <c r="C71" s="55" t="s">
        <v>100</v>
      </c>
      <c r="D71" s="56" t="s">
        <v>696</v>
      </c>
      <c r="E71" s="57" t="s">
        <v>696</v>
      </c>
      <c r="F71" s="57" t="s">
        <v>696</v>
      </c>
      <c r="G71" s="56" t="s">
        <v>697</v>
      </c>
      <c r="H71" s="56" t="s">
        <v>697</v>
      </c>
      <c r="I71" s="56" t="s">
        <v>697</v>
      </c>
      <c r="J71" s="56" t="s">
        <v>697</v>
      </c>
      <c r="K71" s="56" t="s">
        <v>697</v>
      </c>
      <c r="L71" s="56" t="s">
        <v>697</v>
      </c>
    </row>
    <row r="72" spans="1:12" hidden="1">
      <c r="A72" s="55" t="s">
        <v>836</v>
      </c>
      <c r="B72" s="61" t="s">
        <v>837</v>
      </c>
      <c r="C72" s="55" t="s">
        <v>270</v>
      </c>
      <c r="D72" s="56" t="s">
        <v>696</v>
      </c>
      <c r="E72" s="57" t="s">
        <v>696</v>
      </c>
      <c r="F72" s="57" t="s">
        <v>697</v>
      </c>
      <c r="G72" s="56" t="s">
        <v>697</v>
      </c>
      <c r="H72" s="56" t="s">
        <v>697</v>
      </c>
      <c r="I72" s="56" t="s">
        <v>697</v>
      </c>
      <c r="J72" s="56" t="s">
        <v>697</v>
      </c>
      <c r="K72" s="56" t="s">
        <v>697</v>
      </c>
      <c r="L72" s="56" t="s">
        <v>697</v>
      </c>
    </row>
    <row r="73" spans="1:12" hidden="1">
      <c r="A73" s="55" t="s">
        <v>838</v>
      </c>
      <c r="B73" s="55" t="s">
        <v>839</v>
      </c>
      <c r="C73" s="55" t="s">
        <v>270</v>
      </c>
      <c r="D73" s="56" t="s">
        <v>696</v>
      </c>
      <c r="E73" s="57" t="s">
        <v>697</v>
      </c>
      <c r="F73" s="57" t="s">
        <v>697</v>
      </c>
      <c r="G73" s="56" t="s">
        <v>697</v>
      </c>
      <c r="H73" s="56" t="s">
        <v>697</v>
      </c>
      <c r="I73" s="56" t="s">
        <v>697</v>
      </c>
      <c r="J73" s="56" t="s">
        <v>697</v>
      </c>
      <c r="K73" s="56" t="s">
        <v>697</v>
      </c>
      <c r="L73" s="56" t="s">
        <v>697</v>
      </c>
    </row>
    <row r="74" spans="1:12" hidden="1">
      <c r="A74" s="55" t="s">
        <v>840</v>
      </c>
      <c r="B74" s="55" t="s">
        <v>841</v>
      </c>
      <c r="C74" s="55" t="s">
        <v>100</v>
      </c>
      <c r="D74" s="56" t="s">
        <v>696</v>
      </c>
      <c r="E74" s="57" t="s">
        <v>697</v>
      </c>
      <c r="F74" s="57" t="s">
        <v>697</v>
      </c>
      <c r="G74" s="56" t="s">
        <v>697</v>
      </c>
      <c r="H74" s="56" t="s">
        <v>697</v>
      </c>
      <c r="I74" s="56" t="s">
        <v>697</v>
      </c>
      <c r="J74" s="56" t="s">
        <v>697</v>
      </c>
      <c r="K74" s="56" t="s">
        <v>697</v>
      </c>
      <c r="L74" s="56" t="s">
        <v>697</v>
      </c>
    </row>
    <row r="75" spans="1:12" hidden="1">
      <c r="A75" s="55" t="s">
        <v>842</v>
      </c>
      <c r="B75" s="55" t="s">
        <v>843</v>
      </c>
      <c r="C75" s="55" t="s">
        <v>100</v>
      </c>
      <c r="D75" s="56" t="s">
        <v>696</v>
      </c>
      <c r="E75" s="57" t="s">
        <v>697</v>
      </c>
      <c r="F75" s="57" t="s">
        <v>696</v>
      </c>
      <c r="G75" s="56" t="s">
        <v>697</v>
      </c>
      <c r="H75" s="56" t="s">
        <v>697</v>
      </c>
      <c r="I75" s="56" t="s">
        <v>697</v>
      </c>
      <c r="J75" s="56" t="s">
        <v>697</v>
      </c>
      <c r="K75" s="56" t="s">
        <v>697</v>
      </c>
      <c r="L75" s="56" t="s">
        <v>697</v>
      </c>
    </row>
    <row r="76" spans="1:12" hidden="1">
      <c r="A76" s="55" t="s">
        <v>844</v>
      </c>
      <c r="B76" s="55" t="s">
        <v>845</v>
      </c>
      <c r="C76" s="55" t="s">
        <v>182</v>
      </c>
      <c r="D76" s="56" t="s">
        <v>696</v>
      </c>
      <c r="E76" s="57" t="s">
        <v>696</v>
      </c>
      <c r="F76" s="57" t="s">
        <v>696</v>
      </c>
      <c r="G76" s="56" t="s">
        <v>697</v>
      </c>
      <c r="H76" s="56" t="s">
        <v>697</v>
      </c>
      <c r="I76" s="56" t="s">
        <v>697</v>
      </c>
      <c r="J76" s="56" t="s">
        <v>697</v>
      </c>
      <c r="K76" s="56" t="s">
        <v>697</v>
      </c>
      <c r="L76" s="56" t="s">
        <v>697</v>
      </c>
    </row>
    <row r="77" spans="1:12" hidden="1">
      <c r="A77" s="55" t="s">
        <v>846</v>
      </c>
      <c r="B77" s="55" t="s">
        <v>847</v>
      </c>
      <c r="C77" s="55" t="s">
        <v>100</v>
      </c>
      <c r="D77" s="56" t="s">
        <v>696</v>
      </c>
      <c r="E77" s="57" t="s">
        <v>696</v>
      </c>
      <c r="F77" s="57" t="s">
        <v>696</v>
      </c>
      <c r="G77" s="56" t="s">
        <v>697</v>
      </c>
      <c r="H77" s="56" t="s">
        <v>697</v>
      </c>
      <c r="I77" s="56" t="s">
        <v>697</v>
      </c>
      <c r="J77" s="56" t="s">
        <v>697</v>
      </c>
      <c r="K77" s="56" t="s">
        <v>697</v>
      </c>
      <c r="L77" s="56" t="s">
        <v>697</v>
      </c>
    </row>
    <row r="78" spans="1:12" hidden="1">
      <c r="A78" s="55" t="s">
        <v>848</v>
      </c>
      <c r="B78" s="55" t="s">
        <v>849</v>
      </c>
      <c r="C78" s="55" t="s">
        <v>100</v>
      </c>
      <c r="D78" s="56" t="s">
        <v>696</v>
      </c>
      <c r="E78" s="57" t="s">
        <v>696</v>
      </c>
      <c r="F78" s="57" t="s">
        <v>696</v>
      </c>
      <c r="G78" s="56" t="s">
        <v>697</v>
      </c>
      <c r="H78" s="56" t="s">
        <v>696</v>
      </c>
      <c r="I78" s="56" t="s">
        <v>697</v>
      </c>
      <c r="J78" s="56" t="s">
        <v>697</v>
      </c>
      <c r="K78" s="56" t="s">
        <v>697</v>
      </c>
      <c r="L78" s="56" t="s">
        <v>697</v>
      </c>
    </row>
    <row r="79" spans="1:12" hidden="1">
      <c r="A79" s="55" t="s">
        <v>850</v>
      </c>
      <c r="B79" s="55" t="s">
        <v>851</v>
      </c>
      <c r="C79" s="55" t="s">
        <v>96</v>
      </c>
      <c r="D79" s="56" t="s">
        <v>696</v>
      </c>
      <c r="E79" s="57" t="s">
        <v>697</v>
      </c>
      <c r="F79" s="57" t="s">
        <v>696</v>
      </c>
      <c r="G79" s="56" t="s">
        <v>697</v>
      </c>
      <c r="H79" s="56" t="s">
        <v>697</v>
      </c>
      <c r="I79" s="56" t="s">
        <v>697</v>
      </c>
      <c r="J79" s="56" t="s">
        <v>697</v>
      </c>
      <c r="K79" s="56" t="s">
        <v>697</v>
      </c>
      <c r="L79" s="56" t="s">
        <v>697</v>
      </c>
    </row>
    <row r="80" spans="1:12" hidden="1">
      <c r="A80" s="55" t="s">
        <v>852</v>
      </c>
      <c r="B80" s="55" t="s">
        <v>853</v>
      </c>
      <c r="C80" s="55" t="s">
        <v>182</v>
      </c>
      <c r="D80" s="56" t="s">
        <v>696</v>
      </c>
      <c r="E80" s="57" t="s">
        <v>697</v>
      </c>
      <c r="F80" s="57" t="s">
        <v>696</v>
      </c>
      <c r="G80" s="56" t="s">
        <v>697</v>
      </c>
      <c r="H80" s="56" t="s">
        <v>697</v>
      </c>
      <c r="I80" s="56" t="s">
        <v>697</v>
      </c>
      <c r="J80" s="56" t="s">
        <v>697</v>
      </c>
      <c r="K80" s="56" t="s">
        <v>697</v>
      </c>
      <c r="L80" s="56" t="s">
        <v>697</v>
      </c>
    </row>
    <row r="81" spans="1:12" hidden="1">
      <c r="A81" s="55" t="s">
        <v>854</v>
      </c>
      <c r="B81" s="55" t="s">
        <v>855</v>
      </c>
      <c r="C81" s="55" t="s">
        <v>100</v>
      </c>
      <c r="D81" s="56" t="s">
        <v>696</v>
      </c>
      <c r="E81" s="57" t="s">
        <v>697</v>
      </c>
      <c r="F81" s="57" t="s">
        <v>697</v>
      </c>
      <c r="G81" s="56" t="s">
        <v>697</v>
      </c>
      <c r="H81" s="56" t="s">
        <v>697</v>
      </c>
      <c r="I81" s="56" t="s">
        <v>697</v>
      </c>
      <c r="J81" s="56" t="s">
        <v>697</v>
      </c>
      <c r="K81" s="56" t="s">
        <v>697</v>
      </c>
      <c r="L81" s="56" t="s">
        <v>697</v>
      </c>
    </row>
    <row r="82" spans="1:12" hidden="1">
      <c r="A82" s="55" t="s">
        <v>856</v>
      </c>
      <c r="B82" s="55" t="s">
        <v>857</v>
      </c>
      <c r="C82" s="55" t="s">
        <v>270</v>
      </c>
      <c r="D82" s="56" t="s">
        <v>696</v>
      </c>
      <c r="E82" s="57" t="s">
        <v>696</v>
      </c>
      <c r="F82" s="57" t="s">
        <v>696</v>
      </c>
      <c r="G82" s="56" t="s">
        <v>697</v>
      </c>
      <c r="H82" s="56" t="s">
        <v>697</v>
      </c>
      <c r="I82" s="56" t="s">
        <v>697</v>
      </c>
      <c r="J82" s="56" t="s">
        <v>697</v>
      </c>
      <c r="K82" s="56" t="s">
        <v>697</v>
      </c>
      <c r="L82" s="56" t="s">
        <v>697</v>
      </c>
    </row>
    <row r="83" spans="1:12" hidden="1">
      <c r="A83" s="55" t="s">
        <v>858</v>
      </c>
      <c r="B83" s="55" t="s">
        <v>859</v>
      </c>
      <c r="C83" s="55" t="s">
        <v>270</v>
      </c>
      <c r="D83" s="56" t="s">
        <v>696</v>
      </c>
      <c r="E83" s="57" t="s">
        <v>696</v>
      </c>
      <c r="F83" s="57" t="s">
        <v>696</v>
      </c>
      <c r="G83" s="56" t="s">
        <v>697</v>
      </c>
      <c r="H83" s="56" t="s">
        <v>697</v>
      </c>
      <c r="I83" s="56" t="s">
        <v>697</v>
      </c>
      <c r="J83" s="56" t="s">
        <v>697</v>
      </c>
      <c r="K83" s="56" t="s">
        <v>697</v>
      </c>
      <c r="L83" s="56" t="s">
        <v>697</v>
      </c>
    </row>
    <row r="84" spans="1:12" ht="15" hidden="1" customHeight="1">
      <c r="A84" s="55" t="s">
        <v>860</v>
      </c>
      <c r="B84" s="55" t="s">
        <v>861</v>
      </c>
      <c r="C84" s="55" t="s">
        <v>275</v>
      </c>
      <c r="D84" s="56" t="s">
        <v>696</v>
      </c>
      <c r="E84" s="57" t="s">
        <v>696</v>
      </c>
      <c r="F84" s="57" t="s">
        <v>696</v>
      </c>
      <c r="G84" s="56" t="s">
        <v>697</v>
      </c>
      <c r="H84" s="56" t="s">
        <v>697</v>
      </c>
      <c r="I84" s="56" t="s">
        <v>697</v>
      </c>
      <c r="J84" s="56" t="s">
        <v>697</v>
      </c>
      <c r="K84" s="56" t="s">
        <v>697</v>
      </c>
      <c r="L84" s="56" t="s">
        <v>697</v>
      </c>
    </row>
    <row r="85" spans="1:12" hidden="1">
      <c r="A85" s="55" t="s">
        <v>862</v>
      </c>
      <c r="B85" s="55" t="s">
        <v>863</v>
      </c>
      <c r="C85" s="55" t="s">
        <v>100</v>
      </c>
      <c r="D85" s="56" t="s">
        <v>696</v>
      </c>
      <c r="E85" s="57" t="s">
        <v>696</v>
      </c>
      <c r="F85" s="57" t="s">
        <v>696</v>
      </c>
      <c r="G85" s="56" t="s">
        <v>697</v>
      </c>
      <c r="H85" s="56" t="s">
        <v>696</v>
      </c>
      <c r="I85" s="56" t="s">
        <v>697</v>
      </c>
      <c r="J85" s="56" t="s">
        <v>696</v>
      </c>
      <c r="K85" s="56" t="s">
        <v>697</v>
      </c>
      <c r="L85" s="56" t="s">
        <v>697</v>
      </c>
    </row>
    <row r="86" spans="1:12" hidden="1">
      <c r="A86" s="55" t="s">
        <v>864</v>
      </c>
      <c r="B86" s="55" t="s">
        <v>865</v>
      </c>
      <c r="C86" s="55" t="s">
        <v>270</v>
      </c>
      <c r="D86" s="56" t="s">
        <v>696</v>
      </c>
      <c r="E86" s="57" t="s">
        <v>696</v>
      </c>
      <c r="F86" s="57" t="s">
        <v>696</v>
      </c>
      <c r="G86" s="56" t="s">
        <v>697</v>
      </c>
      <c r="H86" s="56" t="s">
        <v>697</v>
      </c>
      <c r="I86" s="56" t="s">
        <v>697</v>
      </c>
      <c r="J86" s="56" t="s">
        <v>697</v>
      </c>
      <c r="K86" s="56" t="s">
        <v>697</v>
      </c>
      <c r="L86" s="56" t="s">
        <v>697</v>
      </c>
    </row>
    <row r="87" spans="1:12" hidden="1">
      <c r="A87" s="55" t="s">
        <v>866</v>
      </c>
      <c r="B87" s="55" t="s">
        <v>867</v>
      </c>
      <c r="C87" s="55" t="s">
        <v>100</v>
      </c>
      <c r="D87" s="56" t="s">
        <v>696</v>
      </c>
      <c r="E87" s="57" t="s">
        <v>697</v>
      </c>
      <c r="F87" s="57" t="s">
        <v>696</v>
      </c>
      <c r="G87" s="56" t="s">
        <v>697</v>
      </c>
      <c r="H87" s="56" t="s">
        <v>697</v>
      </c>
      <c r="I87" s="56" t="s">
        <v>697</v>
      </c>
      <c r="J87" s="56" t="s">
        <v>697</v>
      </c>
      <c r="K87" s="56" t="s">
        <v>697</v>
      </c>
      <c r="L87" s="56" t="s">
        <v>697</v>
      </c>
    </row>
    <row r="88" spans="1:12" hidden="1">
      <c r="A88" s="55" t="s">
        <v>868</v>
      </c>
      <c r="B88" s="55" t="s">
        <v>869</v>
      </c>
      <c r="C88" s="55" t="s">
        <v>100</v>
      </c>
      <c r="D88" s="56" t="s">
        <v>696</v>
      </c>
      <c r="E88" s="57" t="s">
        <v>696</v>
      </c>
      <c r="F88" s="57" t="s">
        <v>696</v>
      </c>
      <c r="G88" s="56" t="s">
        <v>697</v>
      </c>
      <c r="H88" s="56" t="s">
        <v>697</v>
      </c>
      <c r="I88" s="56" t="s">
        <v>697</v>
      </c>
      <c r="J88" s="56" t="s">
        <v>697</v>
      </c>
      <c r="K88" s="56" t="s">
        <v>697</v>
      </c>
      <c r="L88" s="56" t="s">
        <v>697</v>
      </c>
    </row>
    <row r="89" spans="1:12" hidden="1">
      <c r="A89" s="55" t="s">
        <v>870</v>
      </c>
      <c r="B89" s="55" t="s">
        <v>871</v>
      </c>
      <c r="C89" s="55" t="s">
        <v>100</v>
      </c>
      <c r="D89" s="56" t="s">
        <v>696</v>
      </c>
      <c r="E89" s="57" t="s">
        <v>697</v>
      </c>
      <c r="F89" s="57" t="s">
        <v>696</v>
      </c>
      <c r="G89" s="56" t="s">
        <v>697</v>
      </c>
      <c r="H89" s="56" t="s">
        <v>697</v>
      </c>
      <c r="I89" s="56" t="s">
        <v>697</v>
      </c>
      <c r="J89" s="56" t="s">
        <v>697</v>
      </c>
      <c r="K89" s="56" t="s">
        <v>697</v>
      </c>
      <c r="L89" s="56" t="s">
        <v>697</v>
      </c>
    </row>
    <row r="90" spans="1:12" hidden="1">
      <c r="A90" s="55" t="s">
        <v>872</v>
      </c>
      <c r="B90" s="55" t="s">
        <v>873</v>
      </c>
      <c r="C90" s="55" t="s">
        <v>96</v>
      </c>
      <c r="D90" s="56" t="s">
        <v>696</v>
      </c>
      <c r="E90" s="57" t="s">
        <v>696</v>
      </c>
      <c r="F90" s="57" t="s">
        <v>696</v>
      </c>
      <c r="G90" s="56" t="s">
        <v>697</v>
      </c>
      <c r="H90" s="56" t="s">
        <v>697</v>
      </c>
      <c r="I90" s="56" t="s">
        <v>697</v>
      </c>
      <c r="J90" s="56" t="s">
        <v>697</v>
      </c>
      <c r="K90" s="56" t="s">
        <v>697</v>
      </c>
      <c r="L90" s="56" t="s">
        <v>697</v>
      </c>
    </row>
    <row r="91" spans="1:12" hidden="1">
      <c r="A91" s="55" t="s">
        <v>874</v>
      </c>
      <c r="B91" s="55" t="s">
        <v>875</v>
      </c>
      <c r="C91" s="55" t="s">
        <v>96</v>
      </c>
      <c r="D91" s="56" t="s">
        <v>696</v>
      </c>
      <c r="E91" s="57" t="s">
        <v>697</v>
      </c>
      <c r="F91" s="57" t="s">
        <v>696</v>
      </c>
      <c r="G91" s="56" t="s">
        <v>697</v>
      </c>
      <c r="H91" s="56" t="s">
        <v>697</v>
      </c>
      <c r="I91" s="56" t="s">
        <v>697</v>
      </c>
      <c r="J91" s="56" t="s">
        <v>697</v>
      </c>
      <c r="K91" s="56" t="s">
        <v>697</v>
      </c>
      <c r="L91" s="56" t="s">
        <v>697</v>
      </c>
    </row>
    <row r="92" spans="1:12" hidden="1">
      <c r="A92" s="55" t="s">
        <v>876</v>
      </c>
      <c r="B92" s="55" t="s">
        <v>877</v>
      </c>
      <c r="C92" s="55" t="s">
        <v>182</v>
      </c>
      <c r="D92" s="56" t="s">
        <v>696</v>
      </c>
      <c r="E92" s="57" t="s">
        <v>697</v>
      </c>
      <c r="F92" s="57" t="s">
        <v>696</v>
      </c>
      <c r="G92" s="56" t="s">
        <v>697</v>
      </c>
      <c r="H92" s="56" t="s">
        <v>697</v>
      </c>
      <c r="I92" s="56" t="s">
        <v>697</v>
      </c>
      <c r="J92" s="56" t="s">
        <v>697</v>
      </c>
      <c r="K92" s="56" t="s">
        <v>697</v>
      </c>
      <c r="L92" s="56" t="s">
        <v>697</v>
      </c>
    </row>
    <row r="93" spans="1:12" hidden="1">
      <c r="A93" s="55" t="s">
        <v>879</v>
      </c>
      <c r="B93" s="55" t="s">
        <v>880</v>
      </c>
      <c r="C93" s="55" t="s">
        <v>96</v>
      </c>
      <c r="D93" s="56" t="s">
        <v>696</v>
      </c>
      <c r="E93" s="57" t="s">
        <v>696</v>
      </c>
      <c r="F93" s="57" t="s">
        <v>696</v>
      </c>
      <c r="G93" s="56" t="s">
        <v>697</v>
      </c>
      <c r="H93" s="56" t="s">
        <v>697</v>
      </c>
      <c r="I93" s="56" t="s">
        <v>697</v>
      </c>
      <c r="J93" s="56" t="s">
        <v>697</v>
      </c>
      <c r="K93" s="56" t="s">
        <v>697</v>
      </c>
      <c r="L93" s="56" t="s">
        <v>697</v>
      </c>
    </row>
    <row r="94" spans="1:12" hidden="1">
      <c r="A94" s="55" t="s">
        <v>881</v>
      </c>
      <c r="B94" s="55" t="s">
        <v>882</v>
      </c>
      <c r="C94" s="55" t="s">
        <v>100</v>
      </c>
      <c r="D94" s="56" t="s">
        <v>696</v>
      </c>
      <c r="E94" s="57" t="s">
        <v>697</v>
      </c>
      <c r="F94" s="57" t="s">
        <v>697</v>
      </c>
      <c r="G94" s="56" t="s">
        <v>697</v>
      </c>
      <c r="H94" s="56" t="s">
        <v>697</v>
      </c>
      <c r="I94" s="56" t="s">
        <v>697</v>
      </c>
      <c r="J94" s="56" t="s">
        <v>697</v>
      </c>
      <c r="K94" s="56" t="s">
        <v>697</v>
      </c>
      <c r="L94" s="56" t="s">
        <v>697</v>
      </c>
    </row>
    <row r="95" spans="1:12" hidden="1">
      <c r="A95" s="55" t="s">
        <v>883</v>
      </c>
      <c r="B95" s="55" t="s">
        <v>884</v>
      </c>
      <c r="C95" s="55" t="s">
        <v>270</v>
      </c>
      <c r="D95" s="56" t="s">
        <v>696</v>
      </c>
      <c r="E95" s="57" t="s">
        <v>697</v>
      </c>
      <c r="F95" s="57" t="s">
        <v>696</v>
      </c>
      <c r="G95" s="56" t="s">
        <v>697</v>
      </c>
      <c r="H95" s="56" t="s">
        <v>697</v>
      </c>
      <c r="I95" s="56" t="s">
        <v>697</v>
      </c>
      <c r="J95" s="56" t="s">
        <v>697</v>
      </c>
      <c r="K95" s="56" t="s">
        <v>697</v>
      </c>
      <c r="L95" s="56" t="s">
        <v>697</v>
      </c>
    </row>
    <row r="96" spans="1:12" hidden="1">
      <c r="A96" s="55" t="s">
        <v>885</v>
      </c>
      <c r="B96" s="55" t="s">
        <v>886</v>
      </c>
      <c r="C96" s="55" t="s">
        <v>270</v>
      </c>
      <c r="D96" s="56" t="s">
        <v>696</v>
      </c>
      <c r="E96" s="57" t="s">
        <v>696</v>
      </c>
      <c r="F96" s="57" t="s">
        <v>696</v>
      </c>
      <c r="G96" s="56" t="s">
        <v>697</v>
      </c>
      <c r="H96" s="56" t="s">
        <v>697</v>
      </c>
      <c r="I96" s="56" t="s">
        <v>697</v>
      </c>
      <c r="J96" s="56" t="s">
        <v>697</v>
      </c>
      <c r="K96" s="56" t="s">
        <v>697</v>
      </c>
      <c r="L96" s="56" t="s">
        <v>697</v>
      </c>
    </row>
    <row r="97" spans="1:12" hidden="1">
      <c r="A97" s="55" t="s">
        <v>887</v>
      </c>
      <c r="B97" s="55" t="s">
        <v>888</v>
      </c>
      <c r="C97" s="55" t="s">
        <v>96</v>
      </c>
      <c r="D97" s="56" t="s">
        <v>696</v>
      </c>
      <c r="E97" s="57" t="s">
        <v>696</v>
      </c>
      <c r="F97" s="57" t="s">
        <v>697</v>
      </c>
      <c r="G97" s="56" t="s">
        <v>697</v>
      </c>
      <c r="H97" s="56" t="s">
        <v>697</v>
      </c>
      <c r="I97" s="56" t="s">
        <v>697</v>
      </c>
      <c r="J97" s="56" t="s">
        <v>697</v>
      </c>
      <c r="K97" s="56" t="s">
        <v>697</v>
      </c>
      <c r="L97" s="56" t="s">
        <v>697</v>
      </c>
    </row>
    <row r="98" spans="1:12" hidden="1">
      <c r="A98" s="55" t="s">
        <v>889</v>
      </c>
      <c r="B98" s="55" t="s">
        <v>364</v>
      </c>
      <c r="C98" s="55" t="s">
        <v>96</v>
      </c>
      <c r="D98" s="56" t="s">
        <v>696</v>
      </c>
      <c r="E98" s="57" t="s">
        <v>697</v>
      </c>
      <c r="F98" s="57" t="s">
        <v>696</v>
      </c>
      <c r="G98" s="56" t="s">
        <v>697</v>
      </c>
      <c r="H98" s="56" t="s">
        <v>697</v>
      </c>
      <c r="I98" s="56" t="s">
        <v>697</v>
      </c>
      <c r="J98" s="56" t="s">
        <v>697</v>
      </c>
      <c r="K98" s="56" t="s">
        <v>697</v>
      </c>
      <c r="L98" s="56" t="s">
        <v>697</v>
      </c>
    </row>
    <row r="99" spans="1:12" hidden="1">
      <c r="A99" s="55" t="s">
        <v>890</v>
      </c>
      <c r="B99" s="55" t="s">
        <v>891</v>
      </c>
      <c r="C99" s="55" t="s">
        <v>100</v>
      </c>
      <c r="D99" s="56" t="s">
        <v>696</v>
      </c>
      <c r="E99" s="57" t="s">
        <v>697</v>
      </c>
      <c r="F99" s="57" t="s">
        <v>697</v>
      </c>
      <c r="G99" s="56" t="s">
        <v>697</v>
      </c>
      <c r="H99" s="56" t="s">
        <v>697</v>
      </c>
      <c r="I99" s="56" t="s">
        <v>697</v>
      </c>
      <c r="J99" s="56" t="s">
        <v>697</v>
      </c>
      <c r="K99" s="56" t="s">
        <v>697</v>
      </c>
      <c r="L99" s="56" t="s">
        <v>697</v>
      </c>
    </row>
    <row r="100" spans="1:12" hidden="1">
      <c r="A100" s="55" t="s">
        <v>892</v>
      </c>
      <c r="B100" s="55" t="s">
        <v>893</v>
      </c>
      <c r="C100" s="55" t="s">
        <v>96</v>
      </c>
      <c r="D100" s="56" t="s">
        <v>696</v>
      </c>
      <c r="E100" s="57" t="s">
        <v>696</v>
      </c>
      <c r="F100" s="57" t="s">
        <v>696</v>
      </c>
      <c r="G100" s="56" t="s">
        <v>697</v>
      </c>
      <c r="H100" s="56" t="s">
        <v>697</v>
      </c>
      <c r="I100" s="56" t="s">
        <v>697</v>
      </c>
      <c r="J100" s="56" t="s">
        <v>697</v>
      </c>
      <c r="K100" s="56" t="s">
        <v>697</v>
      </c>
      <c r="L100" s="56" t="s">
        <v>697</v>
      </c>
    </row>
    <row r="101" spans="1:12" hidden="1">
      <c r="A101" s="55" t="s">
        <v>894</v>
      </c>
      <c r="B101" s="55" t="s">
        <v>895</v>
      </c>
      <c r="C101" s="55" t="s">
        <v>351</v>
      </c>
      <c r="D101" s="56" t="s">
        <v>696</v>
      </c>
      <c r="E101" s="57" t="s">
        <v>696</v>
      </c>
      <c r="F101" s="57" t="s">
        <v>696</v>
      </c>
      <c r="G101" s="56" t="s">
        <v>697</v>
      </c>
      <c r="H101" s="56" t="s">
        <v>697</v>
      </c>
      <c r="I101" s="56" t="s">
        <v>697</v>
      </c>
      <c r="J101" s="56" t="s">
        <v>697</v>
      </c>
      <c r="K101" s="56" t="s">
        <v>697</v>
      </c>
      <c r="L101" s="56" t="s">
        <v>697</v>
      </c>
    </row>
    <row r="102" spans="1:12" hidden="1">
      <c r="A102" s="55" t="s">
        <v>896</v>
      </c>
      <c r="B102" s="55" t="s">
        <v>897</v>
      </c>
      <c r="C102" s="55" t="s">
        <v>100</v>
      </c>
      <c r="D102" s="56" t="s">
        <v>696</v>
      </c>
      <c r="E102" s="57" t="s">
        <v>696</v>
      </c>
      <c r="F102" s="57" t="s">
        <v>696</v>
      </c>
      <c r="G102" s="56" t="s">
        <v>697</v>
      </c>
      <c r="H102" s="56" t="s">
        <v>697</v>
      </c>
      <c r="I102" s="56" t="s">
        <v>697</v>
      </c>
      <c r="J102" s="56" t="s">
        <v>697</v>
      </c>
      <c r="K102" s="56" t="s">
        <v>697</v>
      </c>
      <c r="L102" s="56" t="s">
        <v>697</v>
      </c>
    </row>
    <row r="103" spans="1:12" hidden="1">
      <c r="A103" s="55" t="s">
        <v>898</v>
      </c>
      <c r="B103" s="55" t="s">
        <v>899</v>
      </c>
      <c r="C103" s="55" t="s">
        <v>100</v>
      </c>
      <c r="D103" s="56" t="s">
        <v>696</v>
      </c>
      <c r="E103" s="57" t="s">
        <v>696</v>
      </c>
      <c r="F103" s="57" t="s">
        <v>696</v>
      </c>
      <c r="G103" s="56" t="s">
        <v>697</v>
      </c>
      <c r="H103" s="56" t="s">
        <v>697</v>
      </c>
      <c r="I103" s="56" t="s">
        <v>697</v>
      </c>
      <c r="J103" s="56" t="s">
        <v>697</v>
      </c>
      <c r="K103" s="56" t="s">
        <v>697</v>
      </c>
      <c r="L103" s="56" t="s">
        <v>697</v>
      </c>
    </row>
    <row r="104" spans="1:12" hidden="1">
      <c r="A104" s="55" t="s">
        <v>900</v>
      </c>
      <c r="B104" s="55" t="s">
        <v>901</v>
      </c>
      <c r="C104" s="55" t="s">
        <v>173</v>
      </c>
      <c r="D104" s="56" t="s">
        <v>696</v>
      </c>
      <c r="E104" s="57" t="s">
        <v>696</v>
      </c>
      <c r="F104" s="57" t="s">
        <v>696</v>
      </c>
      <c r="G104" s="56" t="s">
        <v>697</v>
      </c>
      <c r="H104" s="56" t="s">
        <v>696</v>
      </c>
      <c r="I104" s="56" t="s">
        <v>697</v>
      </c>
      <c r="J104" s="56" t="s">
        <v>697</v>
      </c>
      <c r="K104" s="56" t="s">
        <v>697</v>
      </c>
      <c r="L104" s="56" t="s">
        <v>697</v>
      </c>
    </row>
    <row r="105" spans="1:12" hidden="1">
      <c r="A105" s="55" t="s">
        <v>902</v>
      </c>
      <c r="B105" s="55" t="s">
        <v>903</v>
      </c>
      <c r="C105" s="55" t="s">
        <v>182</v>
      </c>
      <c r="D105" s="56" t="s">
        <v>696</v>
      </c>
      <c r="E105" s="57" t="s">
        <v>696</v>
      </c>
      <c r="F105" s="57" t="s">
        <v>696</v>
      </c>
      <c r="G105" s="56" t="s">
        <v>697</v>
      </c>
      <c r="H105" s="56" t="s">
        <v>697</v>
      </c>
      <c r="I105" s="56" t="s">
        <v>697</v>
      </c>
      <c r="J105" s="56" t="s">
        <v>697</v>
      </c>
      <c r="K105" s="56" t="s">
        <v>697</v>
      </c>
      <c r="L105" s="56" t="s">
        <v>697</v>
      </c>
    </row>
    <row r="106" spans="1:12">
      <c r="A106" s="55" t="s">
        <v>904</v>
      </c>
      <c r="B106" s="55" t="s">
        <v>905</v>
      </c>
      <c r="C106" s="55" t="s">
        <v>275</v>
      </c>
      <c r="D106" s="56" t="s">
        <v>697</v>
      </c>
      <c r="E106" s="56" t="s">
        <v>697</v>
      </c>
      <c r="F106" s="56" t="s">
        <v>697</v>
      </c>
      <c r="G106" s="56" t="s">
        <v>697</v>
      </c>
      <c r="H106" s="56" t="s">
        <v>697</v>
      </c>
      <c r="I106" s="56" t="s">
        <v>697</v>
      </c>
      <c r="J106" s="56" t="s">
        <v>697</v>
      </c>
      <c r="K106" s="56" t="s">
        <v>697</v>
      </c>
      <c r="L106" s="56" t="s">
        <v>697</v>
      </c>
    </row>
    <row r="107" spans="1:12">
      <c r="A107" s="55" t="s">
        <v>906</v>
      </c>
      <c r="B107" s="55" t="s">
        <v>907</v>
      </c>
      <c r="C107" s="55" t="s">
        <v>275</v>
      </c>
      <c r="D107" s="56" t="s">
        <v>696</v>
      </c>
      <c r="E107" s="56" t="s">
        <v>696</v>
      </c>
      <c r="F107" s="56" t="s">
        <v>696</v>
      </c>
      <c r="G107" s="56" t="s">
        <v>696</v>
      </c>
      <c r="H107" s="56" t="s">
        <v>696</v>
      </c>
      <c r="I107" s="56" t="s">
        <v>696</v>
      </c>
      <c r="J107" s="56" t="s">
        <v>696</v>
      </c>
      <c r="K107" s="56" t="s">
        <v>696</v>
      </c>
      <c r="L107" s="56" t="s">
        <v>696</v>
      </c>
    </row>
    <row r="108" spans="1:12" hidden="1">
      <c r="A108" s="55" t="s">
        <v>909</v>
      </c>
      <c r="B108" s="55" t="s">
        <v>910</v>
      </c>
      <c r="C108" s="55" t="s">
        <v>100</v>
      </c>
      <c r="D108" s="56" t="s">
        <v>696</v>
      </c>
      <c r="E108" s="57" t="s">
        <v>696</v>
      </c>
      <c r="F108" s="57" t="s">
        <v>696</v>
      </c>
      <c r="G108" s="56" t="s">
        <v>697</v>
      </c>
      <c r="H108" s="56" t="s">
        <v>697</v>
      </c>
      <c r="I108" s="56" t="s">
        <v>697</v>
      </c>
      <c r="J108" s="56" t="s">
        <v>697</v>
      </c>
      <c r="K108" s="56" t="s">
        <v>697</v>
      </c>
      <c r="L108" s="56" t="s">
        <v>697</v>
      </c>
    </row>
    <row r="109" spans="1:12" hidden="1">
      <c r="A109" s="55" t="s">
        <v>911</v>
      </c>
      <c r="B109" s="55" t="s">
        <v>912</v>
      </c>
      <c r="C109" s="55" t="s">
        <v>100</v>
      </c>
      <c r="D109" s="56" t="s">
        <v>696</v>
      </c>
      <c r="E109" s="57" t="s">
        <v>697</v>
      </c>
      <c r="F109" s="57" t="s">
        <v>697</v>
      </c>
      <c r="G109" s="56" t="s">
        <v>697</v>
      </c>
      <c r="H109" s="56" t="s">
        <v>697</v>
      </c>
      <c r="I109" s="56" t="s">
        <v>697</v>
      </c>
      <c r="J109" s="56" t="s">
        <v>697</v>
      </c>
      <c r="K109" s="56" t="s">
        <v>697</v>
      </c>
      <c r="L109" s="56" t="s">
        <v>697</v>
      </c>
    </row>
    <row r="110" spans="1:12" hidden="1">
      <c r="A110" s="55" t="s">
        <v>913</v>
      </c>
      <c r="B110" s="55" t="s">
        <v>914</v>
      </c>
      <c r="C110" s="55" t="s">
        <v>275</v>
      </c>
      <c r="D110" s="56" t="s">
        <v>696</v>
      </c>
      <c r="E110" s="57" t="s">
        <v>696</v>
      </c>
      <c r="F110" s="57" t="s">
        <v>696</v>
      </c>
      <c r="G110" s="56" t="s">
        <v>697</v>
      </c>
      <c r="H110" s="56" t="s">
        <v>697</v>
      </c>
      <c r="I110" s="56" t="s">
        <v>697</v>
      </c>
      <c r="J110" s="56" t="s">
        <v>697</v>
      </c>
      <c r="K110" s="56" t="s">
        <v>697</v>
      </c>
      <c r="L110" s="56" t="s">
        <v>697</v>
      </c>
    </row>
    <row r="111" spans="1:12" hidden="1">
      <c r="A111" s="55" t="s">
        <v>915</v>
      </c>
      <c r="B111" s="55" t="s">
        <v>916</v>
      </c>
      <c r="C111" s="55" t="s">
        <v>100</v>
      </c>
      <c r="D111" s="56" t="s">
        <v>696</v>
      </c>
      <c r="E111" s="57" t="s">
        <v>696</v>
      </c>
      <c r="F111" s="57" t="s">
        <v>696</v>
      </c>
      <c r="G111" s="56" t="s">
        <v>697</v>
      </c>
      <c r="H111" s="56" t="s">
        <v>696</v>
      </c>
      <c r="I111" s="56" t="s">
        <v>697</v>
      </c>
      <c r="J111" s="56" t="s">
        <v>697</v>
      </c>
      <c r="K111" s="56" t="s">
        <v>697</v>
      </c>
      <c r="L111" s="56" t="s">
        <v>697</v>
      </c>
    </row>
    <row r="112" spans="1:12" hidden="1">
      <c r="A112" s="55" t="s">
        <v>917</v>
      </c>
      <c r="B112" s="55" t="s">
        <v>918</v>
      </c>
      <c r="C112" s="55" t="s">
        <v>96</v>
      </c>
      <c r="D112" s="56" t="s">
        <v>696</v>
      </c>
      <c r="E112" s="57" t="s">
        <v>696</v>
      </c>
      <c r="F112" s="57" t="s">
        <v>696</v>
      </c>
      <c r="G112" s="56" t="s">
        <v>697</v>
      </c>
      <c r="H112" s="56" t="s">
        <v>697</v>
      </c>
      <c r="I112" s="56" t="s">
        <v>697</v>
      </c>
      <c r="J112" s="56" t="s">
        <v>697</v>
      </c>
      <c r="K112" s="56" t="s">
        <v>697</v>
      </c>
      <c r="L112" s="56" t="s">
        <v>697</v>
      </c>
    </row>
    <row r="113" spans="1:12">
      <c r="A113" s="55" t="s">
        <v>919</v>
      </c>
      <c r="B113" s="55" t="s">
        <v>353</v>
      </c>
      <c r="C113" s="55" t="s">
        <v>182</v>
      </c>
      <c r="D113" s="56" t="s">
        <v>697</v>
      </c>
      <c r="E113" s="56" t="s">
        <v>697</v>
      </c>
      <c r="F113" s="56" t="s">
        <v>697</v>
      </c>
      <c r="G113" s="56" t="s">
        <v>697</v>
      </c>
      <c r="H113" s="56" t="s">
        <v>697</v>
      </c>
      <c r="I113" s="56" t="s">
        <v>697</v>
      </c>
      <c r="J113" s="56" t="s">
        <v>697</v>
      </c>
      <c r="K113" s="56" t="s">
        <v>697</v>
      </c>
      <c r="L113" s="56" t="s">
        <v>697</v>
      </c>
    </row>
    <row r="114" spans="1:12" hidden="1">
      <c r="A114" s="55" t="s">
        <v>920</v>
      </c>
      <c r="B114" s="55" t="s">
        <v>921</v>
      </c>
      <c r="C114" s="55" t="s">
        <v>100</v>
      </c>
      <c r="D114" s="56" t="s">
        <v>696</v>
      </c>
      <c r="E114" s="57" t="s">
        <v>697</v>
      </c>
      <c r="F114" s="57" t="s">
        <v>697</v>
      </c>
      <c r="G114" s="56" t="s">
        <v>697</v>
      </c>
      <c r="H114" s="56" t="s">
        <v>697</v>
      </c>
      <c r="I114" s="56" t="s">
        <v>697</v>
      </c>
      <c r="J114" s="56" t="s">
        <v>697</v>
      </c>
      <c r="K114" s="56" t="s">
        <v>697</v>
      </c>
      <c r="L114" s="56" t="s">
        <v>697</v>
      </c>
    </row>
    <row r="115" spans="1:12" hidden="1">
      <c r="A115" s="55" t="s">
        <v>922</v>
      </c>
      <c r="B115" s="55" t="s">
        <v>923</v>
      </c>
      <c r="C115" s="55" t="s">
        <v>275</v>
      </c>
      <c r="D115" s="56" t="s">
        <v>696</v>
      </c>
      <c r="E115" s="57" t="s">
        <v>696</v>
      </c>
      <c r="F115" s="57" t="s">
        <v>696</v>
      </c>
      <c r="G115" s="56" t="s">
        <v>697</v>
      </c>
      <c r="H115" s="56" t="s">
        <v>697</v>
      </c>
      <c r="I115" s="56" t="s">
        <v>697</v>
      </c>
      <c r="J115" s="56" t="s">
        <v>697</v>
      </c>
      <c r="K115" s="56" t="s">
        <v>697</v>
      </c>
      <c r="L115" s="56" t="s">
        <v>697</v>
      </c>
    </row>
    <row r="116" spans="1:12" hidden="1">
      <c r="A116" s="55" t="s">
        <v>924</v>
      </c>
      <c r="B116" s="55" t="s">
        <v>925</v>
      </c>
      <c r="C116" s="55" t="s">
        <v>100</v>
      </c>
      <c r="D116" s="56" t="s">
        <v>696</v>
      </c>
      <c r="E116" s="57" t="s">
        <v>696</v>
      </c>
      <c r="F116" s="57" t="s">
        <v>696</v>
      </c>
      <c r="G116" s="56" t="s">
        <v>697</v>
      </c>
      <c r="H116" s="56" t="s">
        <v>697</v>
      </c>
      <c r="I116" s="56" t="s">
        <v>697</v>
      </c>
      <c r="J116" s="56" t="s">
        <v>697</v>
      </c>
      <c r="K116" s="56" t="s">
        <v>697</v>
      </c>
      <c r="L116" s="56" t="s">
        <v>697</v>
      </c>
    </row>
    <row r="117" spans="1:12" hidden="1">
      <c r="A117" s="55" t="s">
        <v>926</v>
      </c>
      <c r="B117" s="55" t="s">
        <v>927</v>
      </c>
      <c r="C117" s="55" t="s">
        <v>270</v>
      </c>
      <c r="D117" s="56" t="s">
        <v>696</v>
      </c>
      <c r="E117" s="57" t="s">
        <v>696</v>
      </c>
      <c r="F117" s="57" t="s">
        <v>696</v>
      </c>
      <c r="G117" s="56" t="s">
        <v>697</v>
      </c>
      <c r="H117" s="56" t="s">
        <v>697</v>
      </c>
      <c r="I117" s="56" t="s">
        <v>697</v>
      </c>
      <c r="J117" s="56" t="s">
        <v>697</v>
      </c>
      <c r="K117" s="56" t="s">
        <v>697</v>
      </c>
      <c r="L117" s="56" t="s">
        <v>697</v>
      </c>
    </row>
    <row r="118" spans="1:12" hidden="1">
      <c r="A118" s="55" t="s">
        <v>928</v>
      </c>
      <c r="B118" s="55" t="s">
        <v>929</v>
      </c>
      <c r="C118" s="55" t="s">
        <v>270</v>
      </c>
      <c r="D118" s="56" t="s">
        <v>696</v>
      </c>
      <c r="E118" s="57" t="s">
        <v>697</v>
      </c>
      <c r="F118" s="57" t="s">
        <v>697</v>
      </c>
      <c r="G118" s="56" t="s">
        <v>697</v>
      </c>
      <c r="H118" s="56" t="s">
        <v>697</v>
      </c>
      <c r="I118" s="56" t="s">
        <v>697</v>
      </c>
      <c r="J118" s="56" t="s">
        <v>697</v>
      </c>
      <c r="K118" s="56" t="s">
        <v>697</v>
      </c>
      <c r="L118" s="56" t="s">
        <v>697</v>
      </c>
    </row>
    <row r="119" spans="1:12" hidden="1">
      <c r="A119" s="55" t="s">
        <v>930</v>
      </c>
      <c r="B119" s="65" t="s">
        <v>931</v>
      </c>
      <c r="C119" s="55" t="s">
        <v>100</v>
      </c>
      <c r="D119" s="56" t="s">
        <v>696</v>
      </c>
      <c r="E119" s="57" t="s">
        <v>697</v>
      </c>
      <c r="F119" s="57" t="s">
        <v>697</v>
      </c>
      <c r="G119" s="56" t="s">
        <v>697</v>
      </c>
      <c r="H119" s="56" t="s">
        <v>697</v>
      </c>
      <c r="I119" s="56" t="s">
        <v>697</v>
      </c>
      <c r="J119" s="56" t="s">
        <v>697</v>
      </c>
      <c r="K119" s="56" t="s">
        <v>697</v>
      </c>
      <c r="L119" s="56" t="s">
        <v>697</v>
      </c>
    </row>
    <row r="120" spans="1:12" hidden="1">
      <c r="A120" s="55" t="s">
        <v>932</v>
      </c>
      <c r="B120" s="55" t="s">
        <v>933</v>
      </c>
      <c r="C120" s="55" t="s">
        <v>275</v>
      </c>
      <c r="D120" s="56" t="s">
        <v>696</v>
      </c>
      <c r="E120" s="57" t="s">
        <v>696</v>
      </c>
      <c r="F120" s="57" t="s">
        <v>696</v>
      </c>
      <c r="G120" s="56" t="s">
        <v>697</v>
      </c>
      <c r="H120" s="56" t="s">
        <v>697</v>
      </c>
      <c r="I120" s="56" t="s">
        <v>697</v>
      </c>
      <c r="J120" s="56" t="s">
        <v>697</v>
      </c>
      <c r="K120" s="56" t="s">
        <v>697</v>
      </c>
      <c r="L120" s="56" t="s">
        <v>697</v>
      </c>
    </row>
    <row r="121" spans="1:12" hidden="1">
      <c r="A121" s="55" t="s">
        <v>934</v>
      </c>
      <c r="B121" s="55" t="s">
        <v>935</v>
      </c>
      <c r="C121" s="55" t="s">
        <v>182</v>
      </c>
      <c r="D121" s="56" t="s">
        <v>696</v>
      </c>
      <c r="E121" s="57" t="s">
        <v>696</v>
      </c>
      <c r="F121" s="57" t="s">
        <v>696</v>
      </c>
      <c r="G121" s="56" t="s">
        <v>697</v>
      </c>
      <c r="H121" s="56" t="s">
        <v>697</v>
      </c>
      <c r="I121" s="56" t="s">
        <v>697</v>
      </c>
      <c r="J121" s="56" t="s">
        <v>697</v>
      </c>
      <c r="K121" s="56" t="s">
        <v>697</v>
      </c>
      <c r="L121" s="56" t="s">
        <v>697</v>
      </c>
    </row>
    <row r="122" spans="1:12" hidden="1">
      <c r="A122" s="55" t="s">
        <v>936</v>
      </c>
      <c r="B122" s="55" t="s">
        <v>937</v>
      </c>
      <c r="C122" s="55" t="s">
        <v>182</v>
      </c>
      <c r="D122" s="56" t="s">
        <v>696</v>
      </c>
      <c r="E122" s="57" t="s">
        <v>696</v>
      </c>
      <c r="F122" s="57" t="s">
        <v>696</v>
      </c>
      <c r="G122" s="56" t="s">
        <v>697</v>
      </c>
      <c r="H122" s="56" t="s">
        <v>697</v>
      </c>
      <c r="I122" s="56" t="s">
        <v>697</v>
      </c>
      <c r="J122" s="56" t="s">
        <v>697</v>
      </c>
      <c r="K122" s="56" t="s">
        <v>697</v>
      </c>
      <c r="L122" s="56" t="s">
        <v>697</v>
      </c>
    </row>
    <row r="123" spans="1:12" hidden="1">
      <c r="A123" s="55" t="s">
        <v>938</v>
      </c>
      <c r="B123" s="55" t="s">
        <v>939</v>
      </c>
      <c r="C123" s="55" t="s">
        <v>100</v>
      </c>
      <c r="D123" s="56" t="s">
        <v>696</v>
      </c>
      <c r="E123" s="57" t="s">
        <v>696</v>
      </c>
      <c r="F123" s="57" t="s">
        <v>696</v>
      </c>
      <c r="G123" s="56" t="s">
        <v>697</v>
      </c>
      <c r="H123" s="56" t="s">
        <v>697</v>
      </c>
      <c r="I123" s="56" t="s">
        <v>697</v>
      </c>
      <c r="J123" s="56" t="s">
        <v>697</v>
      </c>
      <c r="K123" s="56" t="s">
        <v>697</v>
      </c>
      <c r="L123" s="56" t="s">
        <v>697</v>
      </c>
    </row>
    <row r="124" spans="1:12" hidden="1">
      <c r="A124" s="55" t="s">
        <v>940</v>
      </c>
      <c r="B124" s="55" t="s">
        <v>941</v>
      </c>
      <c r="C124" s="55" t="s">
        <v>275</v>
      </c>
      <c r="D124" s="56" t="s">
        <v>696</v>
      </c>
      <c r="E124" s="57" t="s">
        <v>696</v>
      </c>
      <c r="F124" s="57" t="s">
        <v>696</v>
      </c>
      <c r="G124" s="56" t="s">
        <v>697</v>
      </c>
      <c r="H124" s="56" t="s">
        <v>697</v>
      </c>
      <c r="I124" s="56" t="s">
        <v>697</v>
      </c>
      <c r="J124" s="56" t="s">
        <v>697</v>
      </c>
      <c r="K124" s="56" t="s">
        <v>697</v>
      </c>
      <c r="L124" s="56" t="s">
        <v>697</v>
      </c>
    </row>
    <row r="125" spans="1:12" hidden="1">
      <c r="A125" s="55" t="s">
        <v>942</v>
      </c>
      <c r="B125" s="55" t="s">
        <v>943</v>
      </c>
      <c r="C125" s="55" t="s">
        <v>270</v>
      </c>
      <c r="D125" s="56" t="s">
        <v>696</v>
      </c>
      <c r="E125" s="57" t="s">
        <v>697</v>
      </c>
      <c r="F125" s="57" t="s">
        <v>697</v>
      </c>
      <c r="G125" s="56" t="s">
        <v>697</v>
      </c>
      <c r="H125" s="56" t="s">
        <v>697</v>
      </c>
      <c r="I125" s="56" t="s">
        <v>697</v>
      </c>
      <c r="J125" s="56" t="s">
        <v>697</v>
      </c>
      <c r="K125" s="56" t="s">
        <v>697</v>
      </c>
      <c r="L125" s="56" t="s">
        <v>697</v>
      </c>
    </row>
    <row r="126" spans="1:12" hidden="1">
      <c r="A126" s="55" t="s">
        <v>944</v>
      </c>
      <c r="B126" s="55" t="s">
        <v>945</v>
      </c>
      <c r="C126" s="55" t="s">
        <v>270</v>
      </c>
      <c r="D126" s="56" t="s">
        <v>696</v>
      </c>
      <c r="E126" s="57" t="s">
        <v>696</v>
      </c>
      <c r="F126" s="57" t="s">
        <v>696</v>
      </c>
      <c r="G126" s="56" t="s">
        <v>697</v>
      </c>
      <c r="H126" s="56" t="s">
        <v>697</v>
      </c>
      <c r="I126" s="56" t="s">
        <v>697</v>
      </c>
      <c r="J126" s="56" t="s">
        <v>697</v>
      </c>
      <c r="K126" s="56" t="s">
        <v>697</v>
      </c>
      <c r="L126" s="56" t="s">
        <v>697</v>
      </c>
    </row>
    <row r="127" spans="1:12">
      <c r="A127" s="55" t="s">
        <v>946</v>
      </c>
      <c r="B127" s="55" t="s">
        <v>947</v>
      </c>
      <c r="C127" s="55" t="s">
        <v>270</v>
      </c>
      <c r="D127" s="56" t="s">
        <v>696</v>
      </c>
      <c r="E127" s="56" t="s">
        <v>696</v>
      </c>
      <c r="F127" s="56" t="s">
        <v>696</v>
      </c>
      <c r="G127" s="56" t="s">
        <v>696</v>
      </c>
      <c r="H127" s="56" t="s">
        <v>696</v>
      </c>
      <c r="I127" s="56" t="s">
        <v>696</v>
      </c>
      <c r="J127" s="56" t="s">
        <v>696</v>
      </c>
      <c r="K127" s="56" t="s">
        <v>696</v>
      </c>
      <c r="L127" s="56" t="s">
        <v>696</v>
      </c>
    </row>
    <row r="128" spans="1:12" hidden="1">
      <c r="A128" s="55" t="s">
        <v>948</v>
      </c>
      <c r="B128" s="55" t="s">
        <v>949</v>
      </c>
      <c r="C128" s="55" t="s">
        <v>100</v>
      </c>
      <c r="D128" s="56" t="s">
        <v>696</v>
      </c>
      <c r="E128" s="57" t="s">
        <v>697</v>
      </c>
      <c r="F128" s="57" t="s">
        <v>696</v>
      </c>
      <c r="G128" s="56" t="s">
        <v>697</v>
      </c>
      <c r="H128" s="56" t="s">
        <v>697</v>
      </c>
      <c r="I128" s="56" t="s">
        <v>697</v>
      </c>
      <c r="J128" s="56" t="s">
        <v>697</v>
      </c>
      <c r="K128" s="56" t="s">
        <v>697</v>
      </c>
      <c r="L128" s="56" t="s">
        <v>697</v>
      </c>
    </row>
    <row r="129" spans="1:12" hidden="1">
      <c r="A129" s="55" t="s">
        <v>950</v>
      </c>
      <c r="B129" s="55" t="s">
        <v>951</v>
      </c>
      <c r="C129" s="55" t="s">
        <v>100</v>
      </c>
      <c r="D129" s="56" t="s">
        <v>696</v>
      </c>
      <c r="E129" s="57" t="s">
        <v>696</v>
      </c>
      <c r="F129" s="57" t="s">
        <v>696</v>
      </c>
      <c r="G129" s="56" t="s">
        <v>697</v>
      </c>
      <c r="H129" s="56" t="s">
        <v>697</v>
      </c>
      <c r="I129" s="56" t="s">
        <v>697</v>
      </c>
      <c r="J129" s="56" t="s">
        <v>697</v>
      </c>
      <c r="K129" s="56" t="s">
        <v>697</v>
      </c>
      <c r="L129" s="56" t="s">
        <v>697</v>
      </c>
    </row>
    <row r="130" spans="1:12" hidden="1">
      <c r="A130" s="55" t="s">
        <v>952</v>
      </c>
      <c r="B130" s="55" t="s">
        <v>953</v>
      </c>
      <c r="C130" s="55" t="s">
        <v>100</v>
      </c>
      <c r="D130" s="56" t="s">
        <v>696</v>
      </c>
      <c r="E130" s="57" t="s">
        <v>696</v>
      </c>
      <c r="F130" s="57" t="s">
        <v>696</v>
      </c>
      <c r="G130" s="56" t="s">
        <v>697</v>
      </c>
      <c r="H130" s="56" t="s">
        <v>697</v>
      </c>
      <c r="I130" s="56" t="s">
        <v>697</v>
      </c>
      <c r="J130" s="56" t="s">
        <v>697</v>
      </c>
      <c r="K130" s="56" t="s">
        <v>697</v>
      </c>
      <c r="L130" s="56" t="s">
        <v>697</v>
      </c>
    </row>
    <row r="131" spans="1:12" hidden="1">
      <c r="A131" s="55" t="s">
        <v>954</v>
      </c>
      <c r="B131" s="55" t="s">
        <v>955</v>
      </c>
      <c r="C131" s="55" t="s">
        <v>351</v>
      </c>
      <c r="D131" s="56" t="s">
        <v>696</v>
      </c>
      <c r="E131" s="57" t="s">
        <v>696</v>
      </c>
      <c r="F131" s="57" t="s">
        <v>696</v>
      </c>
      <c r="G131" s="56" t="s">
        <v>697</v>
      </c>
      <c r="H131" s="56" t="s">
        <v>697</v>
      </c>
      <c r="I131" s="56" t="s">
        <v>697</v>
      </c>
      <c r="J131" s="56" t="s">
        <v>697</v>
      </c>
      <c r="K131" s="56" t="s">
        <v>697</v>
      </c>
      <c r="L131" s="56" t="s">
        <v>697</v>
      </c>
    </row>
    <row r="132" spans="1:12" hidden="1">
      <c r="A132" s="55" t="s">
        <v>956</v>
      </c>
      <c r="B132" s="55" t="s">
        <v>957</v>
      </c>
      <c r="C132" s="55" t="s">
        <v>100</v>
      </c>
      <c r="D132" s="56" t="s">
        <v>696</v>
      </c>
      <c r="E132" s="57" t="s">
        <v>696</v>
      </c>
      <c r="F132" s="57" t="s">
        <v>696</v>
      </c>
      <c r="G132" s="56" t="s">
        <v>697</v>
      </c>
      <c r="H132" s="56" t="s">
        <v>697</v>
      </c>
      <c r="I132" s="56" t="s">
        <v>697</v>
      </c>
      <c r="J132" s="56" t="s">
        <v>697</v>
      </c>
      <c r="K132" s="56" t="s">
        <v>697</v>
      </c>
      <c r="L132" s="56" t="s">
        <v>697</v>
      </c>
    </row>
    <row r="133" spans="1:12" hidden="1">
      <c r="A133" s="55" t="s">
        <v>958</v>
      </c>
      <c r="B133" s="55" t="s">
        <v>959</v>
      </c>
      <c r="C133" s="55" t="s">
        <v>270</v>
      </c>
      <c r="D133" s="56" t="s">
        <v>696</v>
      </c>
      <c r="E133" s="57" t="s">
        <v>696</v>
      </c>
      <c r="F133" s="57" t="s">
        <v>697</v>
      </c>
      <c r="G133" s="56" t="s">
        <v>697</v>
      </c>
      <c r="H133" s="56" t="s">
        <v>697</v>
      </c>
      <c r="I133" s="56" t="s">
        <v>697</v>
      </c>
      <c r="J133" s="56" t="s">
        <v>697</v>
      </c>
      <c r="K133" s="56" t="s">
        <v>697</v>
      </c>
      <c r="L133" s="56" t="s">
        <v>697</v>
      </c>
    </row>
    <row r="134" spans="1:12" hidden="1">
      <c r="A134" s="55" t="s">
        <v>960</v>
      </c>
      <c r="B134" s="55" t="s">
        <v>961</v>
      </c>
      <c r="C134" s="55" t="s">
        <v>270</v>
      </c>
      <c r="D134" s="56" t="s">
        <v>696</v>
      </c>
      <c r="E134" s="57" t="s">
        <v>696</v>
      </c>
      <c r="F134" s="57" t="s">
        <v>697</v>
      </c>
      <c r="G134" s="56" t="s">
        <v>697</v>
      </c>
      <c r="H134" s="56" t="s">
        <v>697</v>
      </c>
      <c r="I134" s="56" t="s">
        <v>697</v>
      </c>
      <c r="J134" s="56" t="s">
        <v>697</v>
      </c>
      <c r="K134" s="56" t="s">
        <v>697</v>
      </c>
      <c r="L134" s="56" t="s">
        <v>697</v>
      </c>
    </row>
    <row r="135" spans="1:12" hidden="1">
      <c r="A135" s="55" t="s">
        <v>962</v>
      </c>
      <c r="B135" s="55" t="s">
        <v>963</v>
      </c>
      <c r="C135" s="55" t="s">
        <v>182</v>
      </c>
      <c r="D135" s="56" t="s">
        <v>696</v>
      </c>
      <c r="E135" s="57" t="s">
        <v>696</v>
      </c>
      <c r="F135" s="57" t="s">
        <v>696</v>
      </c>
      <c r="G135" s="56" t="s">
        <v>697</v>
      </c>
      <c r="H135" s="56" t="s">
        <v>697</v>
      </c>
      <c r="I135" s="56" t="s">
        <v>697</v>
      </c>
      <c r="J135" s="56" t="s">
        <v>697</v>
      </c>
      <c r="K135" s="56" t="s">
        <v>697</v>
      </c>
      <c r="L135" s="56" t="s">
        <v>697</v>
      </c>
    </row>
    <row r="136" spans="1:12" hidden="1">
      <c r="A136" s="55" t="s">
        <v>964</v>
      </c>
      <c r="B136" s="55" t="s">
        <v>965</v>
      </c>
      <c r="C136" s="55" t="s">
        <v>182</v>
      </c>
      <c r="D136" s="56" t="s">
        <v>696</v>
      </c>
      <c r="E136" s="57" t="s">
        <v>696</v>
      </c>
      <c r="F136" s="57" t="s">
        <v>696</v>
      </c>
      <c r="G136" s="56" t="s">
        <v>697</v>
      </c>
      <c r="H136" s="56" t="s">
        <v>697</v>
      </c>
      <c r="I136" s="56" t="s">
        <v>697</v>
      </c>
      <c r="J136" s="56" t="s">
        <v>697</v>
      </c>
      <c r="K136" s="56" t="s">
        <v>697</v>
      </c>
      <c r="L136" s="56" t="s">
        <v>697</v>
      </c>
    </row>
    <row r="137" spans="1:12" hidden="1">
      <c r="A137" s="55" t="s">
        <v>966</v>
      </c>
      <c r="B137" s="55" t="s">
        <v>967</v>
      </c>
      <c r="C137" s="55" t="s">
        <v>270</v>
      </c>
      <c r="D137" s="56" t="s">
        <v>696</v>
      </c>
      <c r="E137" s="57" t="s">
        <v>696</v>
      </c>
      <c r="F137" s="57" t="s">
        <v>696</v>
      </c>
      <c r="G137" s="56" t="s">
        <v>697</v>
      </c>
      <c r="H137" s="56" t="s">
        <v>697</v>
      </c>
      <c r="I137" s="56" t="s">
        <v>697</v>
      </c>
      <c r="J137" s="56" t="s">
        <v>697</v>
      </c>
      <c r="K137" s="56" t="s">
        <v>697</v>
      </c>
      <c r="L137" s="56" t="s">
        <v>697</v>
      </c>
    </row>
    <row r="138" spans="1:12" hidden="1">
      <c r="A138" s="55" t="s">
        <v>968</v>
      </c>
      <c r="B138" s="55" t="s">
        <v>969</v>
      </c>
      <c r="C138" s="55" t="s">
        <v>100</v>
      </c>
      <c r="D138" s="56" t="s">
        <v>696</v>
      </c>
      <c r="E138" s="57" t="s">
        <v>696</v>
      </c>
      <c r="F138" s="57" t="s">
        <v>696</v>
      </c>
      <c r="G138" s="56" t="s">
        <v>697</v>
      </c>
      <c r="H138" s="56" t="s">
        <v>697</v>
      </c>
      <c r="I138" s="56" t="s">
        <v>697</v>
      </c>
      <c r="J138" s="56" t="s">
        <v>697</v>
      </c>
      <c r="K138" s="56" t="s">
        <v>697</v>
      </c>
      <c r="L138" s="56" t="s">
        <v>697</v>
      </c>
    </row>
    <row r="139" spans="1:12" hidden="1">
      <c r="A139" s="55" t="s">
        <v>970</v>
      </c>
      <c r="B139" s="55" t="s">
        <v>971</v>
      </c>
      <c r="C139" s="55" t="s">
        <v>182</v>
      </c>
      <c r="D139" s="56" t="s">
        <v>696</v>
      </c>
      <c r="E139" s="57" t="s">
        <v>697</v>
      </c>
      <c r="F139" s="57" t="s">
        <v>696</v>
      </c>
      <c r="G139" s="56" t="s">
        <v>697</v>
      </c>
      <c r="H139" s="56" t="s">
        <v>697</v>
      </c>
      <c r="I139" s="56" t="s">
        <v>697</v>
      </c>
      <c r="J139" s="56" t="s">
        <v>697</v>
      </c>
      <c r="K139" s="56" t="s">
        <v>697</v>
      </c>
      <c r="L139" s="56" t="s">
        <v>697</v>
      </c>
    </row>
    <row r="140" spans="1:12" hidden="1">
      <c r="A140" s="55" t="s">
        <v>972</v>
      </c>
      <c r="B140" s="55" t="s">
        <v>973</v>
      </c>
      <c r="C140" s="55" t="s">
        <v>96</v>
      </c>
      <c r="D140" s="56" t="s">
        <v>696</v>
      </c>
      <c r="E140" s="57" t="s">
        <v>697</v>
      </c>
      <c r="F140" s="57" t="s">
        <v>696</v>
      </c>
      <c r="G140" s="56" t="s">
        <v>697</v>
      </c>
      <c r="H140" s="56" t="s">
        <v>697</v>
      </c>
      <c r="I140" s="56" t="s">
        <v>697</v>
      </c>
      <c r="J140" s="56" t="s">
        <v>697</v>
      </c>
      <c r="K140" s="56" t="s">
        <v>697</v>
      </c>
      <c r="L140" s="56" t="s">
        <v>697</v>
      </c>
    </row>
    <row r="141" spans="1:12" hidden="1">
      <c r="A141" s="55" t="s">
        <v>974</v>
      </c>
      <c r="B141" s="55" t="s">
        <v>975</v>
      </c>
      <c r="C141" s="55" t="s">
        <v>270</v>
      </c>
      <c r="D141" s="56" t="s">
        <v>696</v>
      </c>
      <c r="E141" s="57" t="s">
        <v>696</v>
      </c>
      <c r="F141" s="57" t="s">
        <v>697</v>
      </c>
      <c r="G141" s="56" t="s">
        <v>697</v>
      </c>
      <c r="H141" s="56" t="s">
        <v>697</v>
      </c>
      <c r="I141" s="56" t="s">
        <v>697</v>
      </c>
      <c r="J141" s="56" t="s">
        <v>697</v>
      </c>
      <c r="K141" s="56" t="s">
        <v>697</v>
      </c>
      <c r="L141" s="56" t="s">
        <v>697</v>
      </c>
    </row>
    <row r="142" spans="1:12" hidden="1">
      <c r="A142" s="55" t="s">
        <v>976</v>
      </c>
      <c r="B142" s="55" t="s">
        <v>977</v>
      </c>
      <c r="C142" s="55" t="s">
        <v>270</v>
      </c>
      <c r="D142" s="56" t="s">
        <v>696</v>
      </c>
      <c r="E142" s="57" t="s">
        <v>696</v>
      </c>
      <c r="F142" s="57" t="s">
        <v>696</v>
      </c>
      <c r="G142" s="56" t="s">
        <v>697</v>
      </c>
      <c r="H142" s="56" t="s">
        <v>697</v>
      </c>
      <c r="I142" s="56" t="s">
        <v>697</v>
      </c>
      <c r="J142" s="56" t="s">
        <v>697</v>
      </c>
      <c r="K142" s="56" t="s">
        <v>697</v>
      </c>
      <c r="L142" s="56" t="s">
        <v>697</v>
      </c>
    </row>
    <row r="143" spans="1:12" hidden="1">
      <c r="A143" s="55" t="s">
        <v>978</v>
      </c>
      <c r="B143" s="55" t="s">
        <v>979</v>
      </c>
      <c r="C143" s="55" t="s">
        <v>270</v>
      </c>
      <c r="D143" s="56" t="s">
        <v>696</v>
      </c>
      <c r="E143" s="57" t="s">
        <v>697</v>
      </c>
      <c r="F143" s="57" t="s">
        <v>696</v>
      </c>
      <c r="G143" s="56" t="s">
        <v>697</v>
      </c>
      <c r="H143" s="56" t="s">
        <v>697</v>
      </c>
      <c r="I143" s="56" t="s">
        <v>697</v>
      </c>
      <c r="J143" s="56" t="s">
        <v>697</v>
      </c>
      <c r="K143" s="56" t="s">
        <v>697</v>
      </c>
      <c r="L143" s="56" t="s">
        <v>697</v>
      </c>
    </row>
    <row r="144" spans="1:12" hidden="1">
      <c r="A144" s="55" t="s">
        <v>980</v>
      </c>
      <c r="B144" s="55" t="s">
        <v>981</v>
      </c>
      <c r="C144" s="55" t="s">
        <v>96</v>
      </c>
      <c r="D144" s="56" t="s">
        <v>696</v>
      </c>
      <c r="E144" s="57" t="s">
        <v>696</v>
      </c>
      <c r="F144" s="57" t="s">
        <v>696</v>
      </c>
      <c r="G144" s="56" t="s">
        <v>697</v>
      </c>
      <c r="H144" s="56" t="s">
        <v>696</v>
      </c>
      <c r="I144" s="56" t="s">
        <v>697</v>
      </c>
      <c r="J144" s="56" t="s">
        <v>696</v>
      </c>
      <c r="K144" s="56" t="s">
        <v>697</v>
      </c>
      <c r="L144" s="56" t="s">
        <v>697</v>
      </c>
    </row>
    <row r="145" spans="1:12" hidden="1">
      <c r="A145" s="55" t="s">
        <v>982</v>
      </c>
      <c r="B145" s="55" t="s">
        <v>983</v>
      </c>
      <c r="C145" s="55" t="s">
        <v>182</v>
      </c>
      <c r="D145" s="56" t="s">
        <v>696</v>
      </c>
      <c r="E145" s="57" t="s">
        <v>696</v>
      </c>
      <c r="F145" s="57" t="s">
        <v>696</v>
      </c>
      <c r="G145" s="56" t="s">
        <v>697</v>
      </c>
      <c r="H145" s="56" t="s">
        <v>697</v>
      </c>
      <c r="I145" s="56" t="s">
        <v>697</v>
      </c>
      <c r="J145" s="56" t="s">
        <v>697</v>
      </c>
      <c r="K145" s="56" t="s">
        <v>697</v>
      </c>
      <c r="L145" s="56" t="s">
        <v>697</v>
      </c>
    </row>
    <row r="146" spans="1:12" hidden="1">
      <c r="A146" s="55" t="s">
        <v>984</v>
      </c>
      <c r="B146" s="55" t="s">
        <v>985</v>
      </c>
      <c r="C146" s="55" t="s">
        <v>100</v>
      </c>
      <c r="D146" s="56" t="s">
        <v>696</v>
      </c>
      <c r="E146" s="57" t="s">
        <v>696</v>
      </c>
      <c r="F146" s="57" t="s">
        <v>696</v>
      </c>
      <c r="G146" s="56" t="s">
        <v>697</v>
      </c>
      <c r="H146" s="56" t="s">
        <v>697</v>
      </c>
      <c r="I146" s="56" t="s">
        <v>697</v>
      </c>
      <c r="J146" s="56" t="s">
        <v>697</v>
      </c>
      <c r="K146" s="56" t="s">
        <v>697</v>
      </c>
      <c r="L146" s="56" t="s">
        <v>697</v>
      </c>
    </row>
    <row r="147" spans="1:12" hidden="1">
      <c r="A147" s="55" t="s">
        <v>986</v>
      </c>
      <c r="B147" s="55" t="s">
        <v>987</v>
      </c>
      <c r="C147" s="55" t="s">
        <v>100</v>
      </c>
      <c r="D147" s="56" t="s">
        <v>696</v>
      </c>
      <c r="E147" s="57" t="s">
        <v>697</v>
      </c>
      <c r="F147" s="57" t="s">
        <v>696</v>
      </c>
      <c r="G147" s="56" t="s">
        <v>697</v>
      </c>
      <c r="H147" s="56" t="s">
        <v>697</v>
      </c>
      <c r="I147" s="56" t="s">
        <v>697</v>
      </c>
      <c r="J147" s="56" t="s">
        <v>697</v>
      </c>
      <c r="K147" s="56" t="s">
        <v>697</v>
      </c>
      <c r="L147" s="56" t="s">
        <v>697</v>
      </c>
    </row>
    <row r="148" spans="1:12" hidden="1">
      <c r="A148" s="55" t="s">
        <v>988</v>
      </c>
      <c r="B148" s="55" t="s">
        <v>989</v>
      </c>
      <c r="C148" s="55" t="s">
        <v>182</v>
      </c>
      <c r="D148" s="56" t="s">
        <v>696</v>
      </c>
      <c r="E148" s="57" t="s">
        <v>696</v>
      </c>
      <c r="F148" s="57" t="s">
        <v>697</v>
      </c>
      <c r="G148" s="56" t="s">
        <v>697</v>
      </c>
      <c r="H148" s="56" t="s">
        <v>697</v>
      </c>
      <c r="I148" s="56" t="s">
        <v>697</v>
      </c>
      <c r="J148" s="56" t="s">
        <v>697</v>
      </c>
      <c r="K148" s="56" t="s">
        <v>697</v>
      </c>
      <c r="L148" s="56" t="s">
        <v>697</v>
      </c>
    </row>
    <row r="149" spans="1:12" hidden="1">
      <c r="A149" s="55" t="s">
        <v>990</v>
      </c>
      <c r="B149" s="55" t="s">
        <v>991</v>
      </c>
      <c r="C149" s="55" t="s">
        <v>100</v>
      </c>
      <c r="D149" s="56" t="s">
        <v>696</v>
      </c>
      <c r="E149" s="57" t="s">
        <v>696</v>
      </c>
      <c r="F149" s="57" t="s">
        <v>697</v>
      </c>
      <c r="G149" s="56" t="s">
        <v>697</v>
      </c>
      <c r="H149" s="56" t="s">
        <v>697</v>
      </c>
      <c r="I149" s="56" t="s">
        <v>697</v>
      </c>
      <c r="J149" s="56" t="s">
        <v>697</v>
      </c>
      <c r="K149" s="56" t="s">
        <v>697</v>
      </c>
      <c r="L149" s="56" t="s">
        <v>697</v>
      </c>
    </row>
    <row r="150" spans="1:12" hidden="1">
      <c r="A150" s="55" t="s">
        <v>992</v>
      </c>
      <c r="B150" s="55" t="s">
        <v>993</v>
      </c>
      <c r="C150" s="55" t="s">
        <v>96</v>
      </c>
      <c r="D150" s="56" t="s">
        <v>696</v>
      </c>
      <c r="E150" s="57" t="s">
        <v>696</v>
      </c>
      <c r="F150" s="57" t="s">
        <v>697</v>
      </c>
      <c r="G150" s="56" t="s">
        <v>697</v>
      </c>
      <c r="H150" s="56" t="s">
        <v>697</v>
      </c>
      <c r="I150" s="56" t="s">
        <v>697</v>
      </c>
      <c r="J150" s="56" t="s">
        <v>697</v>
      </c>
      <c r="K150" s="56" t="s">
        <v>697</v>
      </c>
      <c r="L150" s="56" t="s">
        <v>697</v>
      </c>
    </row>
    <row r="151" spans="1:12" hidden="1">
      <c r="A151" s="55" t="s">
        <v>994</v>
      </c>
      <c r="B151" s="55" t="s">
        <v>995</v>
      </c>
      <c r="C151" s="55" t="s">
        <v>270</v>
      </c>
      <c r="D151" s="56" t="s">
        <v>696</v>
      </c>
      <c r="E151" s="57" t="s">
        <v>696</v>
      </c>
      <c r="F151" s="57" t="s">
        <v>696</v>
      </c>
      <c r="G151" s="56" t="s">
        <v>697</v>
      </c>
      <c r="H151" s="56" t="s">
        <v>697</v>
      </c>
      <c r="I151" s="56" t="s">
        <v>697</v>
      </c>
      <c r="J151" s="56" t="s">
        <v>697</v>
      </c>
      <c r="K151" s="56" t="s">
        <v>697</v>
      </c>
      <c r="L151" s="56" t="s">
        <v>697</v>
      </c>
    </row>
    <row r="152" spans="1:12" hidden="1">
      <c r="A152" s="55" t="s">
        <v>996</v>
      </c>
      <c r="B152" s="55" t="s">
        <v>997</v>
      </c>
      <c r="C152" s="55" t="s">
        <v>270</v>
      </c>
      <c r="D152" s="56" t="s">
        <v>696</v>
      </c>
      <c r="E152" s="57" t="s">
        <v>696</v>
      </c>
      <c r="F152" s="57" t="s">
        <v>696</v>
      </c>
      <c r="G152" s="56" t="s">
        <v>697</v>
      </c>
      <c r="H152" s="56" t="s">
        <v>697</v>
      </c>
      <c r="I152" s="56" t="s">
        <v>697</v>
      </c>
      <c r="J152" s="56" t="s">
        <v>697</v>
      </c>
      <c r="K152" s="56" t="s">
        <v>697</v>
      </c>
      <c r="L152" s="56" t="s">
        <v>697</v>
      </c>
    </row>
    <row r="153" spans="1:12">
      <c r="A153" s="55" t="s">
        <v>998</v>
      </c>
      <c r="B153" s="55" t="s">
        <v>999</v>
      </c>
      <c r="C153" s="55" t="s">
        <v>182</v>
      </c>
      <c r="D153" s="56" t="s">
        <v>697</v>
      </c>
      <c r="E153" s="56" t="s">
        <v>696</v>
      </c>
      <c r="F153" s="56" t="s">
        <v>696</v>
      </c>
      <c r="G153" s="56" t="s">
        <v>697</v>
      </c>
      <c r="H153" s="56" t="s">
        <v>697</v>
      </c>
      <c r="I153" s="56" t="s">
        <v>697</v>
      </c>
      <c r="J153" s="56" t="s">
        <v>697</v>
      </c>
      <c r="K153" s="56" t="s">
        <v>697</v>
      </c>
      <c r="L153" s="56" t="s">
        <v>697</v>
      </c>
    </row>
    <row r="154" spans="1:12" hidden="1">
      <c r="A154" s="55" t="s">
        <v>1000</v>
      </c>
      <c r="B154" s="55" t="s">
        <v>1001</v>
      </c>
      <c r="C154" s="55" t="s">
        <v>270</v>
      </c>
      <c r="D154" s="56" t="s">
        <v>696</v>
      </c>
      <c r="E154" s="57" t="s">
        <v>696</v>
      </c>
      <c r="F154" s="57" t="s">
        <v>696</v>
      </c>
      <c r="G154" s="56" t="s">
        <v>697</v>
      </c>
      <c r="H154" s="56" t="s">
        <v>697</v>
      </c>
      <c r="I154" s="56" t="s">
        <v>697</v>
      </c>
      <c r="J154" s="56" t="s">
        <v>697</v>
      </c>
      <c r="K154" s="56" t="s">
        <v>697</v>
      </c>
      <c r="L154" s="56" t="s">
        <v>697</v>
      </c>
    </row>
    <row r="155" spans="1:12" hidden="1">
      <c r="A155" s="55" t="s">
        <v>1002</v>
      </c>
      <c r="B155" s="55" t="s">
        <v>1003</v>
      </c>
      <c r="C155" s="55" t="s">
        <v>182</v>
      </c>
      <c r="D155" s="56" t="s">
        <v>696</v>
      </c>
      <c r="E155" s="57" t="s">
        <v>696</v>
      </c>
      <c r="F155" s="57" t="s">
        <v>697</v>
      </c>
      <c r="G155" s="56" t="s">
        <v>697</v>
      </c>
      <c r="H155" s="56" t="s">
        <v>697</v>
      </c>
      <c r="I155" s="56" t="s">
        <v>697</v>
      </c>
      <c r="J155" s="56" t="s">
        <v>697</v>
      </c>
      <c r="K155" s="56" t="s">
        <v>697</v>
      </c>
      <c r="L155" s="56" t="s">
        <v>697</v>
      </c>
    </row>
    <row r="156" spans="1:12" hidden="1">
      <c r="A156" s="55" t="s">
        <v>1004</v>
      </c>
      <c r="B156" s="55" t="s">
        <v>1005</v>
      </c>
      <c r="C156" s="55" t="s">
        <v>182</v>
      </c>
      <c r="D156" s="56" t="s">
        <v>696</v>
      </c>
      <c r="E156" s="57" t="s">
        <v>696</v>
      </c>
      <c r="F156" s="57" t="s">
        <v>696</v>
      </c>
      <c r="G156" s="56" t="s">
        <v>697</v>
      </c>
      <c r="H156" s="56" t="s">
        <v>697</v>
      </c>
      <c r="I156" s="56" t="s">
        <v>697</v>
      </c>
      <c r="J156" s="56" t="s">
        <v>697</v>
      </c>
      <c r="K156" s="56" t="s">
        <v>697</v>
      </c>
      <c r="L156" s="56" t="s">
        <v>697</v>
      </c>
    </row>
    <row r="157" spans="1:12" hidden="1">
      <c r="A157" s="55" t="s">
        <v>1006</v>
      </c>
      <c r="B157" s="55" t="s">
        <v>1007</v>
      </c>
      <c r="C157" s="55" t="s">
        <v>100</v>
      </c>
      <c r="D157" s="56" t="s">
        <v>696</v>
      </c>
      <c r="E157" s="57" t="s">
        <v>696</v>
      </c>
      <c r="F157" s="57" t="s">
        <v>696</v>
      </c>
      <c r="G157" s="56" t="s">
        <v>697</v>
      </c>
      <c r="H157" s="56" t="s">
        <v>697</v>
      </c>
      <c r="I157" s="56" t="s">
        <v>697</v>
      </c>
      <c r="J157" s="56" t="s">
        <v>697</v>
      </c>
      <c r="K157" s="56" t="s">
        <v>697</v>
      </c>
      <c r="L157" s="56" t="s">
        <v>697</v>
      </c>
    </row>
    <row r="158" spans="1:12" hidden="1">
      <c r="A158" s="55" t="s">
        <v>1008</v>
      </c>
      <c r="B158" s="55" t="s">
        <v>1009</v>
      </c>
      <c r="C158" s="55" t="s">
        <v>182</v>
      </c>
      <c r="D158" s="56" t="s">
        <v>696</v>
      </c>
      <c r="E158" s="57" t="s">
        <v>697</v>
      </c>
      <c r="F158" s="57" t="s">
        <v>696</v>
      </c>
      <c r="G158" s="56" t="s">
        <v>697</v>
      </c>
      <c r="H158" s="56" t="s">
        <v>697</v>
      </c>
      <c r="I158" s="56" t="s">
        <v>697</v>
      </c>
      <c r="J158" s="56" t="s">
        <v>697</v>
      </c>
      <c r="K158" s="56" t="s">
        <v>697</v>
      </c>
      <c r="L158" s="56" t="s">
        <v>697</v>
      </c>
    </row>
    <row r="159" spans="1:12" hidden="1">
      <c r="A159" s="55" t="s">
        <v>1010</v>
      </c>
      <c r="B159" s="55" t="s">
        <v>485</v>
      </c>
      <c r="C159" s="55" t="s">
        <v>182</v>
      </c>
      <c r="D159" s="56" t="s">
        <v>696</v>
      </c>
      <c r="E159" s="57" t="s">
        <v>696</v>
      </c>
      <c r="F159" s="57" t="s">
        <v>696</v>
      </c>
      <c r="G159" s="56" t="s">
        <v>697</v>
      </c>
      <c r="H159" s="56" t="s">
        <v>697</v>
      </c>
      <c r="I159" s="56" t="s">
        <v>697</v>
      </c>
      <c r="J159" s="56" t="s">
        <v>697</v>
      </c>
      <c r="K159" s="56" t="s">
        <v>697</v>
      </c>
      <c r="L159" s="56" t="s">
        <v>697</v>
      </c>
    </row>
    <row r="160" spans="1:12">
      <c r="A160" s="55" t="s">
        <v>1011</v>
      </c>
      <c r="B160" s="55" t="s">
        <v>1012</v>
      </c>
      <c r="C160" s="55" t="s">
        <v>96</v>
      </c>
      <c r="D160" s="56" t="s">
        <v>696</v>
      </c>
      <c r="E160" s="56" t="s">
        <v>696</v>
      </c>
      <c r="F160" s="56" t="s">
        <v>696</v>
      </c>
      <c r="G160" s="56" t="s">
        <v>696</v>
      </c>
      <c r="H160" s="56" t="s">
        <v>696</v>
      </c>
      <c r="I160" s="56" t="s">
        <v>696</v>
      </c>
      <c r="J160" s="56" t="s">
        <v>696</v>
      </c>
      <c r="K160" s="56" t="s">
        <v>696</v>
      </c>
      <c r="L160" s="56" t="s">
        <v>696</v>
      </c>
    </row>
    <row r="161" spans="1:12" hidden="1">
      <c r="A161" s="64" t="s">
        <v>1013</v>
      </c>
      <c r="B161" s="55" t="s">
        <v>1014</v>
      </c>
      <c r="C161" s="55" t="s">
        <v>270</v>
      </c>
      <c r="D161" s="56" t="s">
        <v>696</v>
      </c>
      <c r="E161" s="57" t="s">
        <v>696</v>
      </c>
      <c r="F161" s="57" t="s">
        <v>696</v>
      </c>
      <c r="G161" s="56" t="s">
        <v>697</v>
      </c>
      <c r="H161" s="56" t="s">
        <v>697</v>
      </c>
      <c r="I161" s="56" t="s">
        <v>697</v>
      </c>
      <c r="J161" s="56" t="s">
        <v>697</v>
      </c>
      <c r="K161" s="56" t="s">
        <v>697</v>
      </c>
      <c r="L161" s="56" t="s">
        <v>697</v>
      </c>
    </row>
    <row r="162" spans="1:12" hidden="1">
      <c r="A162" s="55" t="s">
        <v>1015</v>
      </c>
      <c r="B162" s="55" t="s">
        <v>1016</v>
      </c>
      <c r="C162" s="55" t="s">
        <v>270</v>
      </c>
      <c r="D162" s="56" t="s">
        <v>696</v>
      </c>
      <c r="E162" s="57" t="s">
        <v>696</v>
      </c>
      <c r="F162" s="57" t="s">
        <v>696</v>
      </c>
      <c r="G162" s="56" t="s">
        <v>697</v>
      </c>
      <c r="H162" s="56" t="s">
        <v>697</v>
      </c>
      <c r="I162" s="56" t="s">
        <v>697</v>
      </c>
      <c r="J162" s="56" t="s">
        <v>697</v>
      </c>
      <c r="K162" s="56" t="s">
        <v>697</v>
      </c>
      <c r="L162" s="56" t="s">
        <v>697</v>
      </c>
    </row>
    <row r="163" spans="1:12" hidden="1">
      <c r="A163" s="55" t="s">
        <v>1017</v>
      </c>
      <c r="B163" s="55" t="s">
        <v>1018</v>
      </c>
      <c r="C163" s="55" t="s">
        <v>270</v>
      </c>
      <c r="D163" s="56" t="s">
        <v>696</v>
      </c>
      <c r="E163" s="57" t="s">
        <v>697</v>
      </c>
      <c r="F163" s="57" t="s">
        <v>697</v>
      </c>
      <c r="G163" s="56" t="s">
        <v>697</v>
      </c>
      <c r="H163" s="56" t="s">
        <v>697</v>
      </c>
      <c r="I163" s="56" t="s">
        <v>697</v>
      </c>
      <c r="J163" s="56" t="s">
        <v>697</v>
      </c>
      <c r="K163" s="56" t="s">
        <v>697</v>
      </c>
      <c r="L163" s="56" t="s">
        <v>697</v>
      </c>
    </row>
    <row r="164" spans="1:12" hidden="1">
      <c r="A164" s="55" t="s">
        <v>1019</v>
      </c>
      <c r="B164" s="55" t="s">
        <v>1020</v>
      </c>
      <c r="C164" s="55" t="s">
        <v>182</v>
      </c>
      <c r="D164" s="56" t="s">
        <v>696</v>
      </c>
      <c r="E164" s="57" t="s">
        <v>697</v>
      </c>
      <c r="F164" s="57" t="s">
        <v>697</v>
      </c>
      <c r="G164" s="56" t="s">
        <v>697</v>
      </c>
      <c r="H164" s="56" t="s">
        <v>697</v>
      </c>
      <c r="I164" s="56" t="s">
        <v>697</v>
      </c>
      <c r="J164" s="56" t="s">
        <v>697</v>
      </c>
      <c r="K164" s="56" t="s">
        <v>697</v>
      </c>
      <c r="L164" s="56" t="s">
        <v>697</v>
      </c>
    </row>
    <row r="165" spans="1:12">
      <c r="A165" s="55" t="s">
        <v>1021</v>
      </c>
      <c r="B165" s="55" t="s">
        <v>1022</v>
      </c>
      <c r="C165" s="55" t="s">
        <v>182</v>
      </c>
      <c r="D165" s="56" t="s">
        <v>697</v>
      </c>
      <c r="E165" s="56" t="s">
        <v>697</v>
      </c>
      <c r="F165" s="56" t="s">
        <v>697</v>
      </c>
      <c r="G165" s="56" t="s">
        <v>697</v>
      </c>
      <c r="H165" s="56" t="s">
        <v>697</v>
      </c>
      <c r="I165" s="56" t="s">
        <v>697</v>
      </c>
      <c r="J165" s="56" t="s">
        <v>697</v>
      </c>
      <c r="K165" s="56" t="s">
        <v>697</v>
      </c>
      <c r="L165" s="56" t="s">
        <v>697</v>
      </c>
    </row>
    <row r="166" spans="1:12" hidden="1">
      <c r="A166" s="55" t="s">
        <v>1023</v>
      </c>
      <c r="B166" s="55" t="s">
        <v>1024</v>
      </c>
      <c r="C166" s="55" t="s">
        <v>100</v>
      </c>
      <c r="D166" s="56" t="s">
        <v>696</v>
      </c>
      <c r="E166" s="57" t="s">
        <v>697</v>
      </c>
      <c r="F166" s="57" t="s">
        <v>696</v>
      </c>
      <c r="G166" s="56" t="s">
        <v>697</v>
      </c>
      <c r="H166" s="56" t="s">
        <v>697</v>
      </c>
      <c r="I166" s="56" t="s">
        <v>697</v>
      </c>
      <c r="J166" s="56" t="s">
        <v>697</v>
      </c>
      <c r="K166" s="56" t="s">
        <v>697</v>
      </c>
      <c r="L166" s="56" t="s">
        <v>697</v>
      </c>
    </row>
    <row r="167" spans="1:12" hidden="1">
      <c r="A167" s="55" t="s">
        <v>1025</v>
      </c>
      <c r="B167" s="55" t="s">
        <v>1026</v>
      </c>
      <c r="C167" s="55" t="s">
        <v>100</v>
      </c>
      <c r="D167" s="56" t="s">
        <v>696</v>
      </c>
      <c r="E167" s="57" t="s">
        <v>696</v>
      </c>
      <c r="F167" s="57" t="s">
        <v>696</v>
      </c>
      <c r="G167" s="56" t="s">
        <v>697</v>
      </c>
      <c r="H167" s="56" t="s">
        <v>697</v>
      </c>
      <c r="I167" s="56" t="s">
        <v>697</v>
      </c>
      <c r="J167" s="56" t="s">
        <v>697</v>
      </c>
      <c r="K167" s="56" t="s">
        <v>697</v>
      </c>
      <c r="L167" s="56" t="s">
        <v>697</v>
      </c>
    </row>
    <row r="168" spans="1:12" hidden="1">
      <c r="A168" s="55" t="s">
        <v>1027</v>
      </c>
      <c r="B168" s="55" t="s">
        <v>1028</v>
      </c>
      <c r="C168" s="55" t="s">
        <v>275</v>
      </c>
      <c r="D168" s="56" t="s">
        <v>696</v>
      </c>
      <c r="E168" s="57" t="s">
        <v>696</v>
      </c>
      <c r="F168" s="57" t="s">
        <v>696</v>
      </c>
      <c r="G168" s="56" t="s">
        <v>697</v>
      </c>
      <c r="H168" s="56" t="s">
        <v>697</v>
      </c>
      <c r="I168" s="56" t="s">
        <v>697</v>
      </c>
      <c r="J168" s="56" t="s">
        <v>697</v>
      </c>
      <c r="K168" s="56" t="s">
        <v>697</v>
      </c>
      <c r="L168" s="56" t="s">
        <v>697</v>
      </c>
    </row>
    <row r="169" spans="1:12" hidden="1">
      <c r="A169" s="55" t="s">
        <v>1029</v>
      </c>
      <c r="B169" s="55" t="s">
        <v>1030</v>
      </c>
      <c r="C169" s="55" t="s">
        <v>182</v>
      </c>
      <c r="D169" s="56" t="s">
        <v>696</v>
      </c>
      <c r="E169" s="57" t="s">
        <v>696</v>
      </c>
      <c r="F169" s="57" t="s">
        <v>696</v>
      </c>
      <c r="G169" s="56" t="s">
        <v>697</v>
      </c>
      <c r="H169" s="56" t="s">
        <v>697</v>
      </c>
      <c r="I169" s="56" t="s">
        <v>697</v>
      </c>
      <c r="J169" s="56" t="s">
        <v>697</v>
      </c>
      <c r="K169" s="56" t="s">
        <v>697</v>
      </c>
      <c r="L169" s="56" t="s">
        <v>697</v>
      </c>
    </row>
    <row r="170" spans="1:12" hidden="1">
      <c r="A170" s="55" t="s">
        <v>1031</v>
      </c>
      <c r="B170" s="55" t="s">
        <v>1032</v>
      </c>
      <c r="C170" s="55" t="s">
        <v>100</v>
      </c>
      <c r="D170" s="56" t="s">
        <v>696</v>
      </c>
      <c r="E170" s="57" t="s">
        <v>696</v>
      </c>
      <c r="F170" s="57" t="s">
        <v>696</v>
      </c>
      <c r="G170" s="56" t="s">
        <v>697</v>
      </c>
      <c r="H170" s="56" t="s">
        <v>697</v>
      </c>
      <c r="I170" s="56" t="s">
        <v>697</v>
      </c>
      <c r="J170" s="56" t="s">
        <v>697</v>
      </c>
      <c r="K170" s="56" t="s">
        <v>697</v>
      </c>
      <c r="L170" s="56" t="s">
        <v>697</v>
      </c>
    </row>
    <row r="171" spans="1:12" hidden="1">
      <c r="A171" s="55" t="s">
        <v>1033</v>
      </c>
      <c r="B171" s="55" t="s">
        <v>1034</v>
      </c>
      <c r="C171" s="55" t="s">
        <v>100</v>
      </c>
      <c r="D171" s="56" t="s">
        <v>696</v>
      </c>
      <c r="E171" s="57" t="s">
        <v>697</v>
      </c>
      <c r="F171" s="57" t="s">
        <v>697</v>
      </c>
      <c r="G171" s="56" t="s">
        <v>697</v>
      </c>
      <c r="H171" s="56" t="s">
        <v>697</v>
      </c>
      <c r="I171" s="56" t="s">
        <v>697</v>
      </c>
      <c r="J171" s="56" t="s">
        <v>697</v>
      </c>
      <c r="K171" s="56" t="s">
        <v>697</v>
      </c>
      <c r="L171" s="56" t="s">
        <v>697</v>
      </c>
    </row>
    <row r="172" spans="1:12" hidden="1">
      <c r="A172" s="55" t="s">
        <v>1035</v>
      </c>
      <c r="B172" s="55" t="s">
        <v>1036</v>
      </c>
      <c r="C172" s="55" t="s">
        <v>96</v>
      </c>
      <c r="D172" s="56" t="s">
        <v>696</v>
      </c>
      <c r="E172" s="57" t="s">
        <v>696</v>
      </c>
      <c r="F172" s="57" t="s">
        <v>696</v>
      </c>
      <c r="G172" s="56" t="s">
        <v>697</v>
      </c>
      <c r="H172" s="56" t="s">
        <v>697</v>
      </c>
      <c r="I172" s="56" t="s">
        <v>697</v>
      </c>
      <c r="J172" s="56" t="s">
        <v>697</v>
      </c>
      <c r="K172" s="56" t="s">
        <v>697</v>
      </c>
      <c r="L172" s="56" t="s">
        <v>697</v>
      </c>
    </row>
    <row r="173" spans="1:12" hidden="1">
      <c r="A173" s="55" t="s">
        <v>1037</v>
      </c>
      <c r="B173" s="55" t="s">
        <v>1038</v>
      </c>
      <c r="C173" s="55" t="s">
        <v>182</v>
      </c>
      <c r="D173" s="56" t="s">
        <v>696</v>
      </c>
      <c r="E173" s="57" t="s">
        <v>696</v>
      </c>
      <c r="F173" s="57" t="s">
        <v>696</v>
      </c>
      <c r="G173" s="56" t="s">
        <v>697</v>
      </c>
      <c r="H173" s="56" t="s">
        <v>697</v>
      </c>
      <c r="I173" s="56" t="s">
        <v>697</v>
      </c>
      <c r="J173" s="56" t="s">
        <v>697</v>
      </c>
      <c r="K173" s="56" t="s">
        <v>697</v>
      </c>
      <c r="L173" s="56" t="s">
        <v>697</v>
      </c>
    </row>
    <row r="174" spans="1:12" hidden="1">
      <c r="A174" s="55" t="s">
        <v>1039</v>
      </c>
      <c r="B174" s="55" t="s">
        <v>1040</v>
      </c>
      <c r="C174" s="55" t="s">
        <v>96</v>
      </c>
      <c r="D174" s="56" t="s">
        <v>696</v>
      </c>
      <c r="E174" s="57" t="s">
        <v>696</v>
      </c>
      <c r="F174" s="57" t="s">
        <v>696</v>
      </c>
      <c r="G174" s="56" t="s">
        <v>697</v>
      </c>
      <c r="H174" s="56" t="s">
        <v>697</v>
      </c>
      <c r="I174" s="56" t="s">
        <v>697</v>
      </c>
      <c r="J174" s="56" t="s">
        <v>697</v>
      </c>
      <c r="K174" s="56" t="s">
        <v>697</v>
      </c>
      <c r="L174" s="56" t="s">
        <v>697</v>
      </c>
    </row>
    <row r="175" spans="1:12" hidden="1">
      <c r="A175" s="55" t="s">
        <v>1041</v>
      </c>
      <c r="B175" s="55" t="s">
        <v>1042</v>
      </c>
      <c r="C175" s="55" t="s">
        <v>96</v>
      </c>
      <c r="D175" s="56" t="s">
        <v>696</v>
      </c>
      <c r="E175" s="57" t="s">
        <v>696</v>
      </c>
      <c r="F175" s="57" t="s">
        <v>696</v>
      </c>
      <c r="G175" s="56" t="s">
        <v>697</v>
      </c>
      <c r="H175" s="56" t="s">
        <v>697</v>
      </c>
      <c r="I175" s="56" t="s">
        <v>697</v>
      </c>
      <c r="J175" s="56" t="s">
        <v>697</v>
      </c>
      <c r="K175" s="56" t="s">
        <v>697</v>
      </c>
      <c r="L175" s="56" t="s">
        <v>697</v>
      </c>
    </row>
    <row r="176" spans="1:12" hidden="1">
      <c r="A176" s="55" t="s">
        <v>1043</v>
      </c>
      <c r="B176" s="55" t="s">
        <v>1044</v>
      </c>
      <c r="C176" s="55" t="s">
        <v>182</v>
      </c>
      <c r="D176" s="56" t="s">
        <v>696</v>
      </c>
      <c r="E176" s="57" t="s">
        <v>696</v>
      </c>
      <c r="F176" s="57" t="s">
        <v>696</v>
      </c>
      <c r="G176" s="56" t="s">
        <v>697</v>
      </c>
      <c r="H176" s="56" t="s">
        <v>697</v>
      </c>
      <c r="I176" s="56" t="s">
        <v>697</v>
      </c>
      <c r="J176" s="56" t="s">
        <v>697</v>
      </c>
      <c r="K176" s="56" t="s">
        <v>697</v>
      </c>
      <c r="L176" s="56" t="s">
        <v>697</v>
      </c>
    </row>
    <row r="177" spans="1:12" hidden="1">
      <c r="A177" s="55" t="s">
        <v>1045</v>
      </c>
      <c r="B177" s="55" t="s">
        <v>1046</v>
      </c>
      <c r="C177" s="55" t="s">
        <v>182</v>
      </c>
      <c r="D177" s="56" t="s">
        <v>696</v>
      </c>
      <c r="E177" s="57" t="s">
        <v>697</v>
      </c>
      <c r="F177" s="57" t="s">
        <v>697</v>
      </c>
      <c r="G177" s="56" t="s">
        <v>697</v>
      </c>
      <c r="H177" s="56" t="s">
        <v>697</v>
      </c>
      <c r="I177" s="56" t="s">
        <v>697</v>
      </c>
      <c r="J177" s="56" t="s">
        <v>697</v>
      </c>
      <c r="K177" s="56" t="s">
        <v>697</v>
      </c>
      <c r="L177" s="56" t="s">
        <v>697</v>
      </c>
    </row>
    <row r="178" spans="1:12" hidden="1">
      <c r="A178" s="55" t="s">
        <v>1047</v>
      </c>
      <c r="B178" s="55" t="s">
        <v>1048</v>
      </c>
      <c r="C178" s="55" t="s">
        <v>100</v>
      </c>
      <c r="D178" s="56" t="s">
        <v>696</v>
      </c>
      <c r="E178" s="57" t="s">
        <v>696</v>
      </c>
      <c r="F178" s="57" t="s">
        <v>696</v>
      </c>
      <c r="G178" s="56" t="s">
        <v>697</v>
      </c>
      <c r="H178" s="56" t="s">
        <v>697</v>
      </c>
      <c r="I178" s="56" t="s">
        <v>697</v>
      </c>
      <c r="J178" s="56" t="s">
        <v>697</v>
      </c>
      <c r="K178" s="56" t="s">
        <v>697</v>
      </c>
      <c r="L178" s="56" t="s">
        <v>697</v>
      </c>
    </row>
    <row r="179" spans="1:12" hidden="1">
      <c r="A179" s="55" t="s">
        <v>1049</v>
      </c>
      <c r="B179" s="55" t="s">
        <v>1050</v>
      </c>
      <c r="C179" s="55" t="s">
        <v>100</v>
      </c>
      <c r="D179" s="56" t="s">
        <v>696</v>
      </c>
      <c r="E179" s="57" t="s">
        <v>696</v>
      </c>
      <c r="F179" s="57" t="s">
        <v>696</v>
      </c>
      <c r="G179" s="56" t="s">
        <v>697</v>
      </c>
      <c r="H179" s="56" t="s">
        <v>697</v>
      </c>
      <c r="I179" s="56" t="s">
        <v>697</v>
      </c>
      <c r="J179" s="56" t="s">
        <v>697</v>
      </c>
      <c r="K179" s="56" t="s">
        <v>697</v>
      </c>
      <c r="L179" s="56" t="s">
        <v>697</v>
      </c>
    </row>
    <row r="180" spans="1:12" hidden="1">
      <c r="A180" s="55" t="s">
        <v>1051</v>
      </c>
      <c r="B180" s="55" t="s">
        <v>1052</v>
      </c>
      <c r="C180" s="55" t="s">
        <v>96</v>
      </c>
      <c r="D180" s="56" t="s">
        <v>696</v>
      </c>
      <c r="E180" s="57" t="s">
        <v>697</v>
      </c>
      <c r="F180" s="57" t="s">
        <v>696</v>
      </c>
      <c r="G180" s="56" t="s">
        <v>697</v>
      </c>
      <c r="H180" s="56" t="s">
        <v>697</v>
      </c>
      <c r="I180" s="56" t="s">
        <v>697</v>
      </c>
      <c r="J180" s="56" t="s">
        <v>697</v>
      </c>
      <c r="K180" s="56" t="s">
        <v>697</v>
      </c>
      <c r="L180" s="56" t="s">
        <v>697</v>
      </c>
    </row>
    <row r="181" spans="1:12" hidden="1">
      <c r="A181" s="55" t="s">
        <v>1053</v>
      </c>
      <c r="B181" s="55" t="s">
        <v>1054</v>
      </c>
      <c r="C181" s="55" t="s">
        <v>275</v>
      </c>
      <c r="D181" s="56" t="s">
        <v>696</v>
      </c>
      <c r="E181" s="57" t="s">
        <v>696</v>
      </c>
      <c r="F181" s="57" t="s">
        <v>696</v>
      </c>
      <c r="G181" s="56" t="s">
        <v>697</v>
      </c>
      <c r="H181" s="56" t="s">
        <v>697</v>
      </c>
      <c r="I181" s="56" t="s">
        <v>697</v>
      </c>
      <c r="J181" s="56" t="s">
        <v>697</v>
      </c>
      <c r="K181" s="56" t="s">
        <v>697</v>
      </c>
      <c r="L181" s="56" t="s">
        <v>697</v>
      </c>
    </row>
    <row r="182" spans="1:12" hidden="1">
      <c r="A182" s="55" t="s">
        <v>1055</v>
      </c>
      <c r="B182" s="55" t="s">
        <v>1056</v>
      </c>
      <c r="C182" s="55" t="s">
        <v>100</v>
      </c>
      <c r="D182" s="56" t="s">
        <v>696</v>
      </c>
      <c r="E182" s="57" t="s">
        <v>697</v>
      </c>
      <c r="F182" s="57" t="s">
        <v>696</v>
      </c>
      <c r="G182" s="56" t="s">
        <v>697</v>
      </c>
      <c r="H182" s="56" t="s">
        <v>697</v>
      </c>
      <c r="I182" s="56" t="s">
        <v>697</v>
      </c>
      <c r="J182" s="56" t="s">
        <v>697</v>
      </c>
      <c r="K182" s="56" t="s">
        <v>697</v>
      </c>
      <c r="L182" s="56" t="s">
        <v>697</v>
      </c>
    </row>
    <row r="183" spans="1:12" hidden="1">
      <c r="A183" s="55" t="s">
        <v>1057</v>
      </c>
      <c r="B183" s="55" t="s">
        <v>1058</v>
      </c>
      <c r="C183" s="55" t="s">
        <v>100</v>
      </c>
      <c r="D183" s="56" t="s">
        <v>696</v>
      </c>
      <c r="E183" s="57" t="s">
        <v>696</v>
      </c>
      <c r="F183" s="57" t="s">
        <v>696</v>
      </c>
      <c r="G183" s="56" t="s">
        <v>697</v>
      </c>
      <c r="H183" s="56" t="s">
        <v>697</v>
      </c>
      <c r="I183" s="56" t="s">
        <v>697</v>
      </c>
      <c r="J183" s="56" t="s">
        <v>697</v>
      </c>
      <c r="K183" s="56" t="s">
        <v>697</v>
      </c>
      <c r="L183" s="56" t="s">
        <v>697</v>
      </c>
    </row>
    <row r="184" spans="1:12">
      <c r="A184" s="55" t="s">
        <v>1059</v>
      </c>
      <c r="B184" s="55" t="s">
        <v>1060</v>
      </c>
      <c r="C184" s="55" t="s">
        <v>100</v>
      </c>
      <c r="D184" s="56" t="s">
        <v>697</v>
      </c>
      <c r="E184" s="56" t="s">
        <v>697</v>
      </c>
      <c r="F184" s="56" t="s">
        <v>697</v>
      </c>
      <c r="G184" s="56" t="s">
        <v>697</v>
      </c>
      <c r="H184" s="56" t="s">
        <v>697</v>
      </c>
      <c r="I184" s="56" t="s">
        <v>697</v>
      </c>
      <c r="J184" s="56" t="s">
        <v>697</v>
      </c>
      <c r="K184" s="56" t="s">
        <v>697</v>
      </c>
      <c r="L184" s="56" t="s">
        <v>697</v>
      </c>
    </row>
    <row r="185" spans="1:12" hidden="1">
      <c r="A185" s="55" t="s">
        <v>1061</v>
      </c>
      <c r="B185" s="55" t="s">
        <v>1062</v>
      </c>
      <c r="C185" s="55" t="s">
        <v>270</v>
      </c>
      <c r="D185" s="56" t="s">
        <v>696</v>
      </c>
      <c r="E185" s="57" t="s">
        <v>696</v>
      </c>
      <c r="F185" s="57" t="s">
        <v>696</v>
      </c>
      <c r="G185" s="56" t="s">
        <v>697</v>
      </c>
      <c r="H185" s="56" t="s">
        <v>697</v>
      </c>
      <c r="I185" s="56" t="s">
        <v>697</v>
      </c>
      <c r="J185" s="56" t="s">
        <v>697</v>
      </c>
      <c r="K185" s="56" t="s">
        <v>697</v>
      </c>
      <c r="L185" s="56" t="s">
        <v>697</v>
      </c>
    </row>
    <row r="186" spans="1:12" hidden="1">
      <c r="A186" s="55" t="s">
        <v>1063</v>
      </c>
      <c r="B186" s="55" t="s">
        <v>1064</v>
      </c>
      <c r="C186" s="55" t="s">
        <v>96</v>
      </c>
      <c r="D186" s="56" t="s">
        <v>696</v>
      </c>
      <c r="E186" s="57" t="s">
        <v>697</v>
      </c>
      <c r="F186" s="57" t="s">
        <v>696</v>
      </c>
      <c r="G186" s="56" t="s">
        <v>697</v>
      </c>
      <c r="H186" s="56" t="s">
        <v>697</v>
      </c>
      <c r="I186" s="56" t="s">
        <v>697</v>
      </c>
      <c r="J186" s="56" t="s">
        <v>697</v>
      </c>
      <c r="K186" s="56" t="s">
        <v>697</v>
      </c>
      <c r="L186" s="56" t="s">
        <v>697</v>
      </c>
    </row>
    <row r="187" spans="1:12" hidden="1">
      <c r="A187" s="55" t="s">
        <v>1065</v>
      </c>
      <c r="B187" s="55" t="s">
        <v>1066</v>
      </c>
      <c r="C187" s="55" t="s">
        <v>182</v>
      </c>
      <c r="D187" s="56" t="s">
        <v>696</v>
      </c>
      <c r="E187" s="57" t="s">
        <v>697</v>
      </c>
      <c r="F187" s="57" t="s">
        <v>696</v>
      </c>
      <c r="G187" s="56" t="s">
        <v>697</v>
      </c>
      <c r="H187" s="56" t="s">
        <v>697</v>
      </c>
      <c r="I187" s="56" t="s">
        <v>697</v>
      </c>
      <c r="J187" s="56" t="s">
        <v>697</v>
      </c>
      <c r="K187" s="56" t="s">
        <v>697</v>
      </c>
      <c r="L187" s="56" t="s">
        <v>697</v>
      </c>
    </row>
    <row r="188" spans="1:12" hidden="1">
      <c r="A188" s="55" t="s">
        <v>1067</v>
      </c>
      <c r="B188" s="55" t="s">
        <v>1068</v>
      </c>
      <c r="C188" s="55" t="s">
        <v>100</v>
      </c>
      <c r="D188" s="56" t="s">
        <v>696</v>
      </c>
      <c r="E188" s="57" t="s">
        <v>697</v>
      </c>
      <c r="F188" s="57" t="s">
        <v>696</v>
      </c>
      <c r="G188" s="56" t="s">
        <v>697</v>
      </c>
      <c r="H188" s="56" t="s">
        <v>697</v>
      </c>
      <c r="I188" s="56" t="s">
        <v>697</v>
      </c>
      <c r="J188" s="56" t="s">
        <v>697</v>
      </c>
      <c r="K188" s="56" t="s">
        <v>697</v>
      </c>
      <c r="L188" s="56" t="s">
        <v>697</v>
      </c>
    </row>
    <row r="189" spans="1:12" hidden="1">
      <c r="A189" s="55" t="s">
        <v>1069</v>
      </c>
      <c r="B189" s="55" t="s">
        <v>1070</v>
      </c>
      <c r="C189" s="55" t="s">
        <v>270</v>
      </c>
      <c r="D189" s="56" t="s">
        <v>696</v>
      </c>
      <c r="E189" s="57" t="s">
        <v>696</v>
      </c>
      <c r="F189" s="57" t="s">
        <v>697</v>
      </c>
      <c r="G189" s="56" t="s">
        <v>697</v>
      </c>
      <c r="H189" s="56" t="s">
        <v>697</v>
      </c>
      <c r="I189" s="56" t="s">
        <v>697</v>
      </c>
      <c r="J189" s="56" t="s">
        <v>697</v>
      </c>
      <c r="K189" s="56" t="s">
        <v>697</v>
      </c>
      <c r="L189" s="56" t="s">
        <v>697</v>
      </c>
    </row>
    <row r="190" spans="1:12" hidden="1">
      <c r="A190" s="55" t="s">
        <v>1071</v>
      </c>
      <c r="B190" s="55" t="s">
        <v>477</v>
      </c>
      <c r="C190" s="55" t="s">
        <v>275</v>
      </c>
      <c r="D190" s="56" t="s">
        <v>696</v>
      </c>
      <c r="E190" s="57" t="s">
        <v>696</v>
      </c>
      <c r="F190" s="57" t="s">
        <v>696</v>
      </c>
      <c r="G190" s="56" t="s">
        <v>697</v>
      </c>
      <c r="H190" s="56" t="s">
        <v>697</v>
      </c>
      <c r="I190" s="56" t="s">
        <v>697</v>
      </c>
      <c r="J190" s="56" t="s">
        <v>697</v>
      </c>
      <c r="K190" s="56" t="s">
        <v>697</v>
      </c>
      <c r="L190" s="56" t="s">
        <v>697</v>
      </c>
    </row>
    <row r="191" spans="1:12" hidden="1">
      <c r="A191" s="55" t="s">
        <v>1072</v>
      </c>
      <c r="B191" s="55" t="s">
        <v>1073</v>
      </c>
      <c r="C191" s="55" t="s">
        <v>270</v>
      </c>
      <c r="D191" s="56" t="s">
        <v>696</v>
      </c>
      <c r="E191" s="57" t="s">
        <v>696</v>
      </c>
      <c r="F191" s="57" t="s">
        <v>696</v>
      </c>
      <c r="G191" s="56" t="s">
        <v>697</v>
      </c>
      <c r="H191" s="56" t="s">
        <v>697</v>
      </c>
      <c r="I191" s="56" t="s">
        <v>697</v>
      </c>
      <c r="J191" s="56" t="s">
        <v>697</v>
      </c>
      <c r="K191" s="56" t="s">
        <v>697</v>
      </c>
      <c r="L191" s="56" t="s">
        <v>697</v>
      </c>
    </row>
    <row r="192" spans="1:12" hidden="1">
      <c r="A192" s="55" t="s">
        <v>1074</v>
      </c>
      <c r="B192" s="55" t="s">
        <v>1075</v>
      </c>
      <c r="C192" s="55" t="s">
        <v>100</v>
      </c>
      <c r="D192" s="56" t="s">
        <v>696</v>
      </c>
      <c r="E192" s="57" t="s">
        <v>696</v>
      </c>
      <c r="F192" s="57" t="s">
        <v>696</v>
      </c>
      <c r="G192" s="56" t="s">
        <v>697</v>
      </c>
      <c r="H192" s="56" t="s">
        <v>697</v>
      </c>
      <c r="I192" s="56" t="s">
        <v>697</v>
      </c>
      <c r="J192" s="56" t="s">
        <v>697</v>
      </c>
      <c r="K192" s="56" t="s">
        <v>697</v>
      </c>
      <c r="L192" s="56" t="s">
        <v>697</v>
      </c>
    </row>
    <row r="193" spans="1:13" hidden="1">
      <c r="A193" s="55" t="s">
        <v>1076</v>
      </c>
      <c r="B193" s="55" t="s">
        <v>1077</v>
      </c>
      <c r="C193" s="55" t="s">
        <v>270</v>
      </c>
      <c r="D193" s="56" t="s">
        <v>696</v>
      </c>
      <c r="E193" s="57" t="s">
        <v>696</v>
      </c>
      <c r="F193" s="57" t="s">
        <v>696</v>
      </c>
      <c r="G193" s="56" t="s">
        <v>697</v>
      </c>
      <c r="H193" s="56" t="s">
        <v>697</v>
      </c>
      <c r="I193" s="56" t="s">
        <v>697</v>
      </c>
      <c r="J193" s="56" t="s">
        <v>697</v>
      </c>
      <c r="K193" s="56" t="s">
        <v>697</v>
      </c>
      <c r="L193" s="56" t="s">
        <v>697</v>
      </c>
    </row>
    <row r="194" spans="1:13" hidden="1">
      <c r="A194" s="55" t="s">
        <v>1078</v>
      </c>
      <c r="B194" s="55" t="s">
        <v>1079</v>
      </c>
      <c r="C194" s="55" t="s">
        <v>270</v>
      </c>
      <c r="D194" s="56" t="s">
        <v>696</v>
      </c>
      <c r="E194" s="57" t="s">
        <v>696</v>
      </c>
      <c r="F194" s="57" t="s">
        <v>696</v>
      </c>
      <c r="G194" s="56" t="s">
        <v>697</v>
      </c>
      <c r="H194" s="56" t="s">
        <v>697</v>
      </c>
      <c r="I194" s="56" t="s">
        <v>697</v>
      </c>
      <c r="J194" s="56" t="s">
        <v>697</v>
      </c>
      <c r="K194" s="56" t="s">
        <v>697</v>
      </c>
      <c r="L194" s="56" t="s">
        <v>697</v>
      </c>
    </row>
    <row r="195" spans="1:13" hidden="1">
      <c r="A195" s="64" t="s">
        <v>1080</v>
      </c>
      <c r="B195" s="55" t="s">
        <v>1081</v>
      </c>
      <c r="C195" s="55" t="s">
        <v>182</v>
      </c>
      <c r="D195" s="56" t="s">
        <v>696</v>
      </c>
      <c r="E195" s="57" t="s">
        <v>696</v>
      </c>
      <c r="F195" s="57" t="s">
        <v>696</v>
      </c>
      <c r="G195" s="56" t="s">
        <v>697</v>
      </c>
      <c r="H195" s="56" t="s">
        <v>697</v>
      </c>
      <c r="I195" s="56" t="s">
        <v>697</v>
      </c>
      <c r="J195" s="56" t="s">
        <v>697</v>
      </c>
      <c r="K195" s="56" t="s">
        <v>697</v>
      </c>
      <c r="L195" s="56" t="s">
        <v>697</v>
      </c>
    </row>
    <row r="196" spans="1:13" hidden="1">
      <c r="A196" s="55" t="s">
        <v>1082</v>
      </c>
      <c r="B196" s="55" t="s">
        <v>1083</v>
      </c>
      <c r="C196" s="55" t="s">
        <v>100</v>
      </c>
      <c r="D196" s="56" t="s">
        <v>696</v>
      </c>
      <c r="E196" s="57" t="s">
        <v>696</v>
      </c>
      <c r="F196" s="57" t="s">
        <v>696</v>
      </c>
      <c r="G196" s="56" t="s">
        <v>697</v>
      </c>
      <c r="H196" s="56" t="s">
        <v>697</v>
      </c>
      <c r="I196" s="56" t="s">
        <v>697</v>
      </c>
      <c r="J196" s="56" t="s">
        <v>697</v>
      </c>
      <c r="K196" s="56" t="s">
        <v>697</v>
      </c>
      <c r="L196" s="56" t="s">
        <v>697</v>
      </c>
    </row>
    <row r="197" spans="1:13" hidden="1">
      <c r="A197" s="55" t="s">
        <v>1084</v>
      </c>
      <c r="B197" s="55" t="s">
        <v>1085</v>
      </c>
      <c r="C197" s="55" t="s">
        <v>100</v>
      </c>
      <c r="D197" s="56" t="s">
        <v>696</v>
      </c>
      <c r="E197" s="57" t="s">
        <v>696</v>
      </c>
      <c r="F197" s="57" t="s">
        <v>696</v>
      </c>
      <c r="G197" s="56" t="s">
        <v>697</v>
      </c>
      <c r="H197" s="56" t="s">
        <v>697</v>
      </c>
      <c r="I197" s="56" t="s">
        <v>697</v>
      </c>
      <c r="J197" s="56" t="s">
        <v>697</v>
      </c>
      <c r="K197" s="56" t="s">
        <v>697</v>
      </c>
      <c r="L197" s="56" t="s">
        <v>697</v>
      </c>
    </row>
    <row r="198" spans="1:13" hidden="1">
      <c r="A198" s="55" t="s">
        <v>1086</v>
      </c>
      <c r="B198" s="55" t="s">
        <v>1087</v>
      </c>
      <c r="C198" s="55" t="s">
        <v>182</v>
      </c>
      <c r="D198" s="56" t="s">
        <v>696</v>
      </c>
      <c r="E198" s="57" t="s">
        <v>696</v>
      </c>
      <c r="F198" s="57" t="s">
        <v>696</v>
      </c>
      <c r="G198" s="56" t="s">
        <v>697</v>
      </c>
      <c r="H198" s="56" t="s">
        <v>697</v>
      </c>
      <c r="I198" s="56" t="s">
        <v>697</v>
      </c>
      <c r="J198" s="56" t="s">
        <v>697</v>
      </c>
      <c r="K198" s="56" t="s">
        <v>697</v>
      </c>
      <c r="L198" s="56" t="s">
        <v>697</v>
      </c>
    </row>
    <row r="199" spans="1:13">
      <c r="A199" s="55" t="s">
        <v>1088</v>
      </c>
      <c r="B199" s="55" t="s">
        <v>1089</v>
      </c>
      <c r="C199" s="55" t="s">
        <v>270</v>
      </c>
      <c r="D199" s="56" t="s">
        <v>696</v>
      </c>
      <c r="E199" s="56" t="s">
        <v>697</v>
      </c>
      <c r="F199" s="56" t="s">
        <v>696</v>
      </c>
      <c r="G199" s="56" t="s">
        <v>696</v>
      </c>
      <c r="H199" s="56" t="s">
        <v>696</v>
      </c>
      <c r="I199" s="56" t="s">
        <v>696</v>
      </c>
      <c r="J199" s="56" t="s">
        <v>696</v>
      </c>
      <c r="K199" s="56" t="s">
        <v>696</v>
      </c>
      <c r="L199" s="56" t="s">
        <v>696</v>
      </c>
    </row>
    <row r="200" spans="1:13" hidden="1">
      <c r="A200" s="55" t="s">
        <v>1090</v>
      </c>
      <c r="B200" s="55" t="s">
        <v>1091</v>
      </c>
      <c r="C200" s="55" t="s">
        <v>270</v>
      </c>
      <c r="D200" s="56" t="s">
        <v>696</v>
      </c>
      <c r="E200" s="57" t="s">
        <v>696</v>
      </c>
      <c r="F200" s="57" t="s">
        <v>696</v>
      </c>
      <c r="G200" s="56" t="s">
        <v>697</v>
      </c>
      <c r="H200" s="56" t="s">
        <v>697</v>
      </c>
      <c r="I200" s="56" t="s">
        <v>697</v>
      </c>
      <c r="J200" s="56" t="s">
        <v>697</v>
      </c>
      <c r="K200" s="56" t="s">
        <v>697</v>
      </c>
      <c r="L200" s="56" t="s">
        <v>697</v>
      </c>
    </row>
    <row r="201" spans="1:13" hidden="1">
      <c r="A201" s="64" t="s">
        <v>1092</v>
      </c>
      <c r="B201" s="55" t="s">
        <v>1093</v>
      </c>
      <c r="C201" s="55" t="s">
        <v>100</v>
      </c>
      <c r="D201" s="56" t="s">
        <v>696</v>
      </c>
      <c r="E201" s="57" t="s">
        <v>697</v>
      </c>
      <c r="F201" s="57" t="s">
        <v>697</v>
      </c>
      <c r="G201" s="56" t="s">
        <v>697</v>
      </c>
      <c r="H201" s="56" t="s">
        <v>697</v>
      </c>
      <c r="I201" s="56" t="s">
        <v>697</v>
      </c>
      <c r="J201" s="56" t="s">
        <v>697</v>
      </c>
      <c r="K201" s="56" t="s">
        <v>697</v>
      </c>
      <c r="L201" s="56" t="s">
        <v>697</v>
      </c>
    </row>
    <row r="202" spans="1:13" hidden="1">
      <c r="A202" s="55" t="s">
        <v>1094</v>
      </c>
      <c r="B202" s="55" t="s">
        <v>1095</v>
      </c>
      <c r="C202" s="55" t="s">
        <v>182</v>
      </c>
      <c r="D202" s="56" t="s">
        <v>696</v>
      </c>
      <c r="E202" s="57" t="s">
        <v>696</v>
      </c>
      <c r="F202" s="57" t="s">
        <v>696</v>
      </c>
      <c r="G202" s="56" t="s">
        <v>697</v>
      </c>
      <c r="H202" s="56" t="s">
        <v>697</v>
      </c>
      <c r="I202" s="56" t="s">
        <v>697</v>
      </c>
      <c r="J202" s="56" t="s">
        <v>697</v>
      </c>
      <c r="K202" s="56" t="s">
        <v>697</v>
      </c>
      <c r="L202" s="56" t="s">
        <v>697</v>
      </c>
    </row>
    <row r="203" spans="1:13" hidden="1">
      <c r="A203" s="65" t="s">
        <v>1096</v>
      </c>
      <c r="B203" s="65" t="s">
        <v>1097</v>
      </c>
      <c r="C203" s="55" t="s">
        <v>270</v>
      </c>
      <c r="D203" s="56" t="s">
        <v>696</v>
      </c>
      <c r="E203" s="57" t="s">
        <v>697</v>
      </c>
      <c r="F203" s="57" t="s">
        <v>697</v>
      </c>
      <c r="G203" s="56" t="s">
        <v>697</v>
      </c>
      <c r="H203" s="56" t="s">
        <v>697</v>
      </c>
      <c r="I203" s="56" t="s">
        <v>697</v>
      </c>
      <c r="J203" s="56" t="s">
        <v>697</v>
      </c>
      <c r="K203" s="56" t="s">
        <v>697</v>
      </c>
      <c r="L203" s="56" t="s">
        <v>697</v>
      </c>
    </row>
    <row r="204" spans="1:13" hidden="1">
      <c r="A204" s="55" t="s">
        <v>1098</v>
      </c>
      <c r="B204" s="55" t="s">
        <v>1099</v>
      </c>
      <c r="C204" s="55" t="s">
        <v>100</v>
      </c>
      <c r="D204" s="56" t="s">
        <v>696</v>
      </c>
      <c r="E204" s="57" t="s">
        <v>696</v>
      </c>
      <c r="F204" s="57" t="s">
        <v>696</v>
      </c>
      <c r="G204" s="56" t="s">
        <v>697</v>
      </c>
      <c r="H204" s="56" t="s">
        <v>696</v>
      </c>
      <c r="I204" s="56" t="s">
        <v>697</v>
      </c>
      <c r="J204" s="56" t="s">
        <v>697</v>
      </c>
      <c r="K204" s="56" t="s">
        <v>697</v>
      </c>
      <c r="L204" s="56" t="s">
        <v>697</v>
      </c>
    </row>
    <row r="205" spans="1:13" hidden="1">
      <c r="A205" s="55" t="s">
        <v>1100</v>
      </c>
      <c r="B205" s="55" t="s">
        <v>1101</v>
      </c>
      <c r="C205" s="55" t="s">
        <v>182</v>
      </c>
      <c r="D205" s="56" t="s">
        <v>696</v>
      </c>
      <c r="E205" s="57" t="s">
        <v>696</v>
      </c>
      <c r="F205" s="57" t="s">
        <v>696</v>
      </c>
      <c r="G205" s="56" t="s">
        <v>697</v>
      </c>
      <c r="H205" s="56" t="s">
        <v>697</v>
      </c>
      <c r="I205" s="56" t="s">
        <v>697</v>
      </c>
      <c r="J205" s="56" t="s">
        <v>697</v>
      </c>
      <c r="K205" s="56" t="s">
        <v>697</v>
      </c>
      <c r="L205" s="56" t="s">
        <v>697</v>
      </c>
    </row>
    <row r="206" spans="1:13" hidden="1">
      <c r="A206" s="63" t="s">
        <v>1102</v>
      </c>
      <c r="B206" s="63" t="s">
        <v>1103</v>
      </c>
      <c r="C206" s="63" t="s">
        <v>100</v>
      </c>
      <c r="D206" s="56" t="s">
        <v>696</v>
      </c>
      <c r="E206" s="56" t="s">
        <v>697</v>
      </c>
      <c r="F206" s="57" t="s">
        <v>697</v>
      </c>
      <c r="G206" s="57" t="s">
        <v>697</v>
      </c>
      <c r="H206" s="57" t="s">
        <v>697</v>
      </c>
      <c r="I206" s="57" t="s">
        <v>697</v>
      </c>
      <c r="J206" s="57" t="s">
        <v>697</v>
      </c>
      <c r="K206" s="57" t="s">
        <v>697</v>
      </c>
      <c r="L206" s="57" t="s">
        <v>697</v>
      </c>
      <c r="M206" s="64"/>
    </row>
    <row r="207" spans="1:13" hidden="1">
      <c r="A207" s="55" t="s">
        <v>1104</v>
      </c>
      <c r="B207" s="55" t="s">
        <v>1105</v>
      </c>
      <c r="C207" s="55" t="s">
        <v>270</v>
      </c>
      <c r="D207" s="56" t="s">
        <v>696</v>
      </c>
      <c r="E207" s="57" t="s">
        <v>697</v>
      </c>
      <c r="F207" s="57" t="s">
        <v>697</v>
      </c>
      <c r="G207" s="56" t="s">
        <v>697</v>
      </c>
      <c r="H207" s="56" t="s">
        <v>697</v>
      </c>
      <c r="I207" s="56" t="s">
        <v>697</v>
      </c>
      <c r="J207" s="56" t="s">
        <v>697</v>
      </c>
      <c r="K207" s="56" t="s">
        <v>697</v>
      </c>
      <c r="L207" s="56" t="s">
        <v>697</v>
      </c>
    </row>
    <row r="208" spans="1:13" hidden="1">
      <c r="A208" s="55" t="s">
        <v>1106</v>
      </c>
      <c r="B208" s="55" t="s">
        <v>1107</v>
      </c>
      <c r="C208" s="55" t="s">
        <v>96</v>
      </c>
      <c r="D208" s="56" t="s">
        <v>696</v>
      </c>
      <c r="E208" s="57" t="s">
        <v>696</v>
      </c>
      <c r="F208" s="57" t="s">
        <v>696</v>
      </c>
      <c r="G208" s="56" t="s">
        <v>697</v>
      </c>
      <c r="H208" s="56" t="s">
        <v>697</v>
      </c>
      <c r="I208" s="56" t="s">
        <v>697</v>
      </c>
      <c r="J208" s="56" t="s">
        <v>697</v>
      </c>
      <c r="K208" s="56" t="s">
        <v>697</v>
      </c>
      <c r="L208" s="56" t="s">
        <v>697</v>
      </c>
    </row>
    <row r="209" spans="1:12" hidden="1">
      <c r="A209" s="55" t="s">
        <v>1108</v>
      </c>
      <c r="B209" s="55" t="s">
        <v>1109</v>
      </c>
      <c r="C209" s="55" t="s">
        <v>96</v>
      </c>
      <c r="D209" s="56" t="s">
        <v>696</v>
      </c>
      <c r="E209" s="57" t="s">
        <v>696</v>
      </c>
      <c r="F209" s="57" t="s">
        <v>696</v>
      </c>
      <c r="G209" s="56" t="s">
        <v>697</v>
      </c>
      <c r="H209" s="56" t="s">
        <v>697</v>
      </c>
      <c r="I209" s="56" t="s">
        <v>697</v>
      </c>
      <c r="J209" s="56" t="s">
        <v>697</v>
      </c>
      <c r="K209" s="56" t="s">
        <v>697</v>
      </c>
      <c r="L209" s="56" t="s">
        <v>697</v>
      </c>
    </row>
    <row r="210" spans="1:12" hidden="1">
      <c r="A210" s="55" t="s">
        <v>1110</v>
      </c>
      <c r="B210" s="55" t="s">
        <v>1111</v>
      </c>
      <c r="C210" s="55" t="s">
        <v>100</v>
      </c>
      <c r="D210" s="56" t="s">
        <v>696</v>
      </c>
      <c r="E210" s="57" t="s">
        <v>697</v>
      </c>
      <c r="F210" s="57" t="s">
        <v>696</v>
      </c>
      <c r="G210" s="56" t="s">
        <v>697</v>
      </c>
      <c r="H210" s="56" t="s">
        <v>697</v>
      </c>
      <c r="I210" s="56" t="s">
        <v>697</v>
      </c>
      <c r="J210" s="56" t="s">
        <v>697</v>
      </c>
      <c r="K210" s="56" t="s">
        <v>697</v>
      </c>
      <c r="L210" s="56" t="s">
        <v>697</v>
      </c>
    </row>
    <row r="211" spans="1:12" hidden="1">
      <c r="A211" s="55" t="s">
        <v>1112</v>
      </c>
      <c r="B211" s="55" t="s">
        <v>1113</v>
      </c>
      <c r="C211" s="55" t="s">
        <v>96</v>
      </c>
      <c r="D211" s="56" t="s">
        <v>696</v>
      </c>
      <c r="E211" s="57" t="s">
        <v>696</v>
      </c>
      <c r="F211" s="57" t="s">
        <v>697</v>
      </c>
      <c r="G211" s="56" t="s">
        <v>697</v>
      </c>
      <c r="H211" s="56" t="s">
        <v>697</v>
      </c>
      <c r="I211" s="56" t="s">
        <v>697</v>
      </c>
      <c r="J211" s="56" t="s">
        <v>697</v>
      </c>
      <c r="K211" s="56" t="s">
        <v>697</v>
      </c>
      <c r="L211" s="56" t="s">
        <v>697</v>
      </c>
    </row>
    <row r="212" spans="1:12">
      <c r="A212" s="55" t="s">
        <v>1114</v>
      </c>
      <c r="B212" s="55" t="s">
        <v>1115</v>
      </c>
      <c r="C212" s="55" t="s">
        <v>270</v>
      </c>
      <c r="D212" s="56" t="s">
        <v>696</v>
      </c>
      <c r="E212" s="56" t="s">
        <v>697</v>
      </c>
      <c r="F212" s="56" t="s">
        <v>697</v>
      </c>
      <c r="G212" s="56" t="s">
        <v>696</v>
      </c>
      <c r="H212" s="56" t="s">
        <v>696</v>
      </c>
      <c r="I212" s="56" t="s">
        <v>696</v>
      </c>
      <c r="J212" s="56" t="s">
        <v>696</v>
      </c>
      <c r="K212" s="56" t="s">
        <v>696</v>
      </c>
      <c r="L212" s="56" t="s">
        <v>696</v>
      </c>
    </row>
    <row r="213" spans="1:12" hidden="1">
      <c r="A213" s="55" t="s">
        <v>1116</v>
      </c>
      <c r="B213" s="55" t="s">
        <v>1117</v>
      </c>
      <c r="C213" s="55" t="s">
        <v>96</v>
      </c>
      <c r="D213" s="56" t="s">
        <v>696</v>
      </c>
      <c r="E213" s="57" t="s">
        <v>696</v>
      </c>
      <c r="F213" s="57" t="s">
        <v>696</v>
      </c>
      <c r="G213" s="56" t="s">
        <v>697</v>
      </c>
      <c r="H213" s="56" t="s">
        <v>697</v>
      </c>
      <c r="I213" s="56" t="s">
        <v>697</v>
      </c>
      <c r="J213" s="56" t="s">
        <v>697</v>
      </c>
      <c r="K213" s="56" t="s">
        <v>697</v>
      </c>
      <c r="L213" s="56" t="s">
        <v>697</v>
      </c>
    </row>
    <row r="214" spans="1:12" hidden="1">
      <c r="A214" s="55" t="s">
        <v>1118</v>
      </c>
      <c r="B214" s="55" t="s">
        <v>1119</v>
      </c>
      <c r="C214" s="55" t="s">
        <v>100</v>
      </c>
      <c r="D214" s="56" t="s">
        <v>696</v>
      </c>
      <c r="E214" s="57" t="s">
        <v>697</v>
      </c>
      <c r="F214" s="57" t="s">
        <v>697</v>
      </c>
      <c r="G214" s="56" t="s">
        <v>697</v>
      </c>
      <c r="H214" s="56" t="s">
        <v>697</v>
      </c>
      <c r="I214" s="56" t="s">
        <v>697</v>
      </c>
      <c r="J214" s="56" t="s">
        <v>697</v>
      </c>
      <c r="K214" s="56" t="s">
        <v>697</v>
      </c>
      <c r="L214" s="56" t="s">
        <v>697</v>
      </c>
    </row>
    <row r="215" spans="1:12" hidden="1">
      <c r="A215" s="55" t="s">
        <v>1120</v>
      </c>
      <c r="B215" s="55" t="s">
        <v>1121</v>
      </c>
      <c r="C215" s="55" t="s">
        <v>100</v>
      </c>
      <c r="D215" s="56" t="s">
        <v>696</v>
      </c>
      <c r="E215" s="57" t="s">
        <v>696</v>
      </c>
      <c r="F215" s="57" t="s">
        <v>696</v>
      </c>
      <c r="G215" s="56" t="s">
        <v>697</v>
      </c>
      <c r="H215" s="56" t="s">
        <v>697</v>
      </c>
      <c r="I215" s="56" t="s">
        <v>697</v>
      </c>
      <c r="J215" s="56" t="s">
        <v>697</v>
      </c>
      <c r="K215" s="56" t="s">
        <v>697</v>
      </c>
      <c r="L215" s="56" t="s">
        <v>697</v>
      </c>
    </row>
    <row r="216" spans="1:12" hidden="1">
      <c r="A216" s="55" t="s">
        <v>1122</v>
      </c>
      <c r="B216" s="55" t="s">
        <v>1123</v>
      </c>
      <c r="C216" s="55" t="s">
        <v>100</v>
      </c>
      <c r="D216" s="56" t="s">
        <v>696</v>
      </c>
      <c r="E216" s="57" t="s">
        <v>696</v>
      </c>
      <c r="F216" s="57" t="s">
        <v>696</v>
      </c>
      <c r="G216" s="56" t="s">
        <v>697</v>
      </c>
      <c r="H216" s="56" t="s">
        <v>697</v>
      </c>
      <c r="I216" s="56" t="s">
        <v>697</v>
      </c>
      <c r="J216" s="56" t="s">
        <v>697</v>
      </c>
      <c r="K216" s="56" t="s">
        <v>697</v>
      </c>
      <c r="L216" s="56" t="s">
        <v>697</v>
      </c>
    </row>
    <row r="217" spans="1:12">
      <c r="A217" s="55" t="s">
        <v>1124</v>
      </c>
      <c r="B217" s="55" t="s">
        <v>1125</v>
      </c>
      <c r="C217" s="55" t="s">
        <v>275</v>
      </c>
      <c r="D217" s="56" t="s">
        <v>697</v>
      </c>
      <c r="E217" s="56" t="s">
        <v>697</v>
      </c>
      <c r="F217" s="56" t="s">
        <v>697</v>
      </c>
      <c r="G217" s="56" t="s">
        <v>697</v>
      </c>
      <c r="H217" s="56" t="s">
        <v>697</v>
      </c>
      <c r="I217" s="56" t="s">
        <v>697</v>
      </c>
      <c r="J217" s="56" t="s">
        <v>697</v>
      </c>
      <c r="K217" s="56" t="s">
        <v>697</v>
      </c>
      <c r="L217" s="56" t="s">
        <v>697</v>
      </c>
    </row>
    <row r="218" spans="1:12" hidden="1">
      <c r="A218" s="55" t="s">
        <v>1126</v>
      </c>
      <c r="B218" s="55" t="s">
        <v>1127</v>
      </c>
      <c r="C218" s="55" t="s">
        <v>351</v>
      </c>
      <c r="D218" s="56" t="s">
        <v>696</v>
      </c>
      <c r="E218" s="57" t="s">
        <v>696</v>
      </c>
      <c r="F218" s="57" t="s">
        <v>696</v>
      </c>
      <c r="G218" s="56" t="s">
        <v>697</v>
      </c>
      <c r="H218" s="56" t="s">
        <v>697</v>
      </c>
      <c r="I218" s="56" t="s">
        <v>697</v>
      </c>
      <c r="J218" s="56" t="s">
        <v>697</v>
      </c>
      <c r="K218" s="56" t="s">
        <v>697</v>
      </c>
      <c r="L218" s="56" t="s">
        <v>697</v>
      </c>
    </row>
    <row r="219" spans="1:12" hidden="1">
      <c r="A219" s="55" t="s">
        <v>1128</v>
      </c>
      <c r="B219" s="55" t="s">
        <v>1129</v>
      </c>
      <c r="C219" s="55" t="s">
        <v>182</v>
      </c>
      <c r="D219" s="56" t="s">
        <v>696</v>
      </c>
      <c r="E219" s="57" t="s">
        <v>696</v>
      </c>
      <c r="F219" s="57" t="s">
        <v>696</v>
      </c>
      <c r="G219" s="56" t="s">
        <v>697</v>
      </c>
      <c r="H219" s="56" t="s">
        <v>697</v>
      </c>
      <c r="I219" s="56" t="s">
        <v>697</v>
      </c>
      <c r="J219" s="56" t="s">
        <v>697</v>
      </c>
      <c r="K219" s="56" t="s">
        <v>697</v>
      </c>
      <c r="L219" s="56" t="s">
        <v>697</v>
      </c>
    </row>
    <row r="220" spans="1:12" hidden="1">
      <c r="A220" s="55" t="s">
        <v>1130</v>
      </c>
      <c r="B220" s="55" t="s">
        <v>1131</v>
      </c>
      <c r="C220" s="55" t="s">
        <v>100</v>
      </c>
      <c r="D220" s="56" t="s">
        <v>696</v>
      </c>
      <c r="E220" s="57" t="s">
        <v>696</v>
      </c>
      <c r="F220" s="57" t="s">
        <v>696</v>
      </c>
      <c r="G220" s="56" t="s">
        <v>697</v>
      </c>
      <c r="H220" s="56" t="s">
        <v>697</v>
      </c>
      <c r="I220" s="56" t="s">
        <v>697</v>
      </c>
      <c r="J220" s="56" t="s">
        <v>697</v>
      </c>
      <c r="K220" s="56" t="s">
        <v>697</v>
      </c>
      <c r="L220" s="56" t="s">
        <v>697</v>
      </c>
    </row>
    <row r="221" spans="1:12" hidden="1">
      <c r="A221" s="55" t="s">
        <v>1132</v>
      </c>
      <c r="B221" s="55" t="s">
        <v>1133</v>
      </c>
      <c r="C221" s="55" t="s">
        <v>182</v>
      </c>
      <c r="D221" s="56" t="s">
        <v>696</v>
      </c>
      <c r="E221" s="57" t="s">
        <v>696</v>
      </c>
      <c r="F221" s="57" t="s">
        <v>696</v>
      </c>
      <c r="G221" s="56" t="s">
        <v>697</v>
      </c>
      <c r="H221" s="56" t="s">
        <v>697</v>
      </c>
      <c r="I221" s="56" t="s">
        <v>697</v>
      </c>
      <c r="J221" s="56" t="s">
        <v>697</v>
      </c>
      <c r="K221" s="56" t="s">
        <v>697</v>
      </c>
      <c r="L221" s="56" t="s">
        <v>697</v>
      </c>
    </row>
    <row r="222" spans="1:12" hidden="1">
      <c r="A222" s="55" t="s">
        <v>1134</v>
      </c>
      <c r="B222" s="55" t="s">
        <v>1135</v>
      </c>
      <c r="C222" s="55" t="s">
        <v>182</v>
      </c>
      <c r="D222" s="56" t="s">
        <v>696</v>
      </c>
      <c r="E222" s="57" t="s">
        <v>697</v>
      </c>
      <c r="F222" s="57" t="s">
        <v>697</v>
      </c>
      <c r="G222" s="56" t="s">
        <v>697</v>
      </c>
      <c r="H222" s="56" t="s">
        <v>697</v>
      </c>
      <c r="I222" s="56" t="s">
        <v>697</v>
      </c>
      <c r="J222" s="56" t="s">
        <v>697</v>
      </c>
      <c r="K222" s="56" t="s">
        <v>697</v>
      </c>
      <c r="L222" s="56" t="s">
        <v>697</v>
      </c>
    </row>
    <row r="223" spans="1:12" hidden="1">
      <c r="A223" s="55" t="s">
        <v>1136</v>
      </c>
      <c r="B223" s="55" t="s">
        <v>1137</v>
      </c>
      <c r="C223" s="55" t="s">
        <v>270</v>
      </c>
      <c r="D223" s="56" t="s">
        <v>696</v>
      </c>
      <c r="E223" s="57" t="s">
        <v>697</v>
      </c>
      <c r="F223" s="57" t="s">
        <v>696</v>
      </c>
      <c r="G223" s="56" t="s">
        <v>697</v>
      </c>
      <c r="H223" s="56" t="s">
        <v>697</v>
      </c>
      <c r="I223" s="56" t="s">
        <v>697</v>
      </c>
      <c r="J223" s="56" t="s">
        <v>697</v>
      </c>
      <c r="K223" s="56" t="s">
        <v>697</v>
      </c>
      <c r="L223" s="56" t="s">
        <v>697</v>
      </c>
    </row>
    <row r="224" spans="1:12" hidden="1">
      <c r="A224" s="55" t="s">
        <v>1138</v>
      </c>
      <c r="B224" s="55" t="s">
        <v>1139</v>
      </c>
      <c r="C224" s="55" t="s">
        <v>182</v>
      </c>
      <c r="D224" s="56" t="s">
        <v>696</v>
      </c>
      <c r="E224" s="57" t="s">
        <v>697</v>
      </c>
      <c r="F224" s="57" t="s">
        <v>697</v>
      </c>
      <c r="G224" s="56" t="s">
        <v>697</v>
      </c>
      <c r="H224" s="56" t="s">
        <v>697</v>
      </c>
      <c r="I224" s="56" t="s">
        <v>697</v>
      </c>
      <c r="J224" s="56" t="s">
        <v>697</v>
      </c>
      <c r="K224" s="56" t="s">
        <v>697</v>
      </c>
      <c r="L224" s="56" t="s">
        <v>697</v>
      </c>
    </row>
    <row r="225" spans="1:12" hidden="1">
      <c r="A225" s="55" t="s">
        <v>1140</v>
      </c>
      <c r="B225" s="55" t="s">
        <v>1141</v>
      </c>
      <c r="C225" s="55" t="s">
        <v>182</v>
      </c>
      <c r="D225" s="56" t="s">
        <v>696</v>
      </c>
      <c r="E225" s="57" t="s">
        <v>696</v>
      </c>
      <c r="F225" s="57" t="s">
        <v>696</v>
      </c>
      <c r="G225" s="56" t="s">
        <v>697</v>
      </c>
      <c r="H225" s="56" t="s">
        <v>697</v>
      </c>
      <c r="I225" s="56" t="s">
        <v>697</v>
      </c>
      <c r="J225" s="56" t="s">
        <v>697</v>
      </c>
      <c r="K225" s="56" t="s">
        <v>697</v>
      </c>
      <c r="L225" s="56" t="s">
        <v>697</v>
      </c>
    </row>
    <row r="226" spans="1:12" hidden="1">
      <c r="A226" s="55" t="s">
        <v>1142</v>
      </c>
      <c r="B226" s="55" t="s">
        <v>1143</v>
      </c>
      <c r="C226" s="55" t="s">
        <v>96</v>
      </c>
      <c r="D226" s="56" t="s">
        <v>696</v>
      </c>
      <c r="E226" s="57" t="s">
        <v>696</v>
      </c>
      <c r="F226" s="57" t="s">
        <v>696</v>
      </c>
      <c r="G226" s="56" t="s">
        <v>697</v>
      </c>
      <c r="H226" s="56" t="s">
        <v>697</v>
      </c>
      <c r="I226" s="56" t="s">
        <v>697</v>
      </c>
      <c r="J226" s="56" t="s">
        <v>697</v>
      </c>
      <c r="K226" s="56" t="s">
        <v>697</v>
      </c>
      <c r="L226" s="56" t="s">
        <v>697</v>
      </c>
    </row>
    <row r="227" spans="1:12" hidden="1">
      <c r="A227" s="55" t="s">
        <v>1144</v>
      </c>
      <c r="B227" s="55" t="s">
        <v>1145</v>
      </c>
      <c r="C227" s="55" t="s">
        <v>270</v>
      </c>
      <c r="D227" s="56" t="s">
        <v>696</v>
      </c>
      <c r="E227" s="57" t="s">
        <v>696</v>
      </c>
      <c r="F227" s="57" t="s">
        <v>696</v>
      </c>
      <c r="G227" s="56" t="s">
        <v>697</v>
      </c>
      <c r="H227" s="56" t="s">
        <v>697</v>
      </c>
      <c r="I227" s="56" t="s">
        <v>697</v>
      </c>
      <c r="J227" s="56" t="s">
        <v>697</v>
      </c>
      <c r="K227" s="56" t="s">
        <v>697</v>
      </c>
      <c r="L227" s="56" t="s">
        <v>697</v>
      </c>
    </row>
    <row r="228" spans="1:12" hidden="1">
      <c r="A228" s="55" t="s">
        <v>1146</v>
      </c>
      <c r="B228" s="55" t="s">
        <v>1147</v>
      </c>
      <c r="C228" s="55" t="s">
        <v>100</v>
      </c>
      <c r="D228" s="56" t="s">
        <v>696</v>
      </c>
      <c r="E228" s="57" t="s">
        <v>696</v>
      </c>
      <c r="F228" s="57" t="s">
        <v>696</v>
      </c>
      <c r="G228" s="56" t="s">
        <v>697</v>
      </c>
      <c r="H228" s="56" t="s">
        <v>697</v>
      </c>
      <c r="I228" s="56" t="s">
        <v>697</v>
      </c>
      <c r="J228" s="56" t="s">
        <v>697</v>
      </c>
      <c r="K228" s="56" t="s">
        <v>697</v>
      </c>
      <c r="L228" s="56" t="s">
        <v>697</v>
      </c>
    </row>
    <row r="229" spans="1:12" hidden="1">
      <c r="A229" s="55" t="s">
        <v>1148</v>
      </c>
      <c r="B229" s="55" t="s">
        <v>1149</v>
      </c>
      <c r="C229" s="55" t="s">
        <v>182</v>
      </c>
      <c r="D229" s="56" t="s">
        <v>696</v>
      </c>
      <c r="E229" s="57" t="s">
        <v>696</v>
      </c>
      <c r="F229" s="57" t="s">
        <v>696</v>
      </c>
      <c r="G229" s="56" t="s">
        <v>697</v>
      </c>
      <c r="H229" s="56" t="s">
        <v>697</v>
      </c>
      <c r="I229" s="56" t="s">
        <v>697</v>
      </c>
      <c r="J229" s="56" t="s">
        <v>697</v>
      </c>
      <c r="K229" s="56" t="s">
        <v>697</v>
      </c>
      <c r="L229" s="56" t="s">
        <v>697</v>
      </c>
    </row>
    <row r="230" spans="1:12" hidden="1">
      <c r="A230" s="55" t="s">
        <v>1150</v>
      </c>
      <c r="B230" s="55" t="s">
        <v>1151</v>
      </c>
      <c r="C230" s="55" t="s">
        <v>96</v>
      </c>
      <c r="D230" s="56" t="s">
        <v>696</v>
      </c>
      <c r="E230" s="57" t="s">
        <v>696</v>
      </c>
      <c r="F230" s="57" t="s">
        <v>696</v>
      </c>
      <c r="G230" s="56" t="s">
        <v>697</v>
      </c>
      <c r="H230" s="56" t="s">
        <v>697</v>
      </c>
      <c r="I230" s="56" t="s">
        <v>697</v>
      </c>
      <c r="J230" s="56" t="s">
        <v>697</v>
      </c>
      <c r="K230" s="56" t="s">
        <v>697</v>
      </c>
      <c r="L230" s="56" t="s">
        <v>697</v>
      </c>
    </row>
    <row r="231" spans="1:12" hidden="1">
      <c r="A231" s="55" t="s">
        <v>1152</v>
      </c>
      <c r="B231" s="55" t="s">
        <v>1153</v>
      </c>
      <c r="C231" s="55" t="s">
        <v>182</v>
      </c>
      <c r="D231" s="56" t="s">
        <v>696</v>
      </c>
      <c r="E231" s="57" t="s">
        <v>697</v>
      </c>
      <c r="F231" s="57" t="s">
        <v>697</v>
      </c>
      <c r="G231" s="56" t="s">
        <v>697</v>
      </c>
      <c r="H231" s="56" t="s">
        <v>697</v>
      </c>
      <c r="I231" s="56" t="s">
        <v>697</v>
      </c>
      <c r="J231" s="56" t="s">
        <v>697</v>
      </c>
      <c r="K231" s="56" t="s">
        <v>697</v>
      </c>
      <c r="L231" s="56" t="s">
        <v>697</v>
      </c>
    </row>
    <row r="232" spans="1:12" hidden="1">
      <c r="A232" s="55" t="s">
        <v>1154</v>
      </c>
      <c r="B232" s="55" t="s">
        <v>1155</v>
      </c>
      <c r="C232" s="55" t="s">
        <v>47</v>
      </c>
      <c r="D232" s="56" t="s">
        <v>696</v>
      </c>
      <c r="E232" s="57" t="s">
        <v>697</v>
      </c>
      <c r="F232" s="57" t="s">
        <v>697</v>
      </c>
      <c r="G232" s="56" t="s">
        <v>697</v>
      </c>
      <c r="H232" s="56" t="s">
        <v>697</v>
      </c>
      <c r="I232" s="56" t="s">
        <v>697</v>
      </c>
      <c r="J232" s="56" t="s">
        <v>697</v>
      </c>
      <c r="K232" s="56" t="s">
        <v>697</v>
      </c>
      <c r="L232" s="56" t="s">
        <v>697</v>
      </c>
    </row>
    <row r="233" spans="1:12" hidden="1">
      <c r="A233" s="55" t="s">
        <v>1156</v>
      </c>
      <c r="B233" s="55" t="s">
        <v>1157</v>
      </c>
      <c r="C233" s="55" t="s">
        <v>47</v>
      </c>
      <c r="D233" s="56" t="s">
        <v>696</v>
      </c>
      <c r="E233" s="57" t="s">
        <v>697</v>
      </c>
      <c r="F233" s="57" t="s">
        <v>696</v>
      </c>
      <c r="G233" s="56" t="s">
        <v>697</v>
      </c>
      <c r="H233" s="56" t="s">
        <v>697</v>
      </c>
      <c r="I233" s="56" t="s">
        <v>697</v>
      </c>
      <c r="J233" s="56" t="s">
        <v>697</v>
      </c>
      <c r="K233" s="56" t="s">
        <v>697</v>
      </c>
      <c r="L233" s="56" t="s">
        <v>697</v>
      </c>
    </row>
    <row r="234" spans="1:12" hidden="1">
      <c r="A234" s="55" t="s">
        <v>1158</v>
      </c>
      <c r="B234" s="55" t="s">
        <v>1159</v>
      </c>
      <c r="C234" s="55" t="s">
        <v>270</v>
      </c>
      <c r="D234" s="56" t="s">
        <v>696</v>
      </c>
      <c r="E234" s="57" t="s">
        <v>696</v>
      </c>
      <c r="F234" s="57" t="s">
        <v>696</v>
      </c>
      <c r="G234" s="56" t="s">
        <v>697</v>
      </c>
      <c r="H234" s="56" t="s">
        <v>697</v>
      </c>
      <c r="I234" s="56" t="s">
        <v>697</v>
      </c>
      <c r="J234" s="56" t="s">
        <v>697</v>
      </c>
      <c r="K234" s="56" t="s">
        <v>697</v>
      </c>
      <c r="L234" s="56" t="s">
        <v>697</v>
      </c>
    </row>
    <row r="235" spans="1:12" hidden="1">
      <c r="A235" s="55" t="s">
        <v>1160</v>
      </c>
      <c r="B235" s="55" t="s">
        <v>1161</v>
      </c>
      <c r="C235" s="55" t="s">
        <v>100</v>
      </c>
      <c r="D235" s="56" t="s">
        <v>696</v>
      </c>
      <c r="E235" s="57" t="s">
        <v>696</v>
      </c>
      <c r="F235" s="57" t="s">
        <v>696</v>
      </c>
      <c r="G235" s="56" t="s">
        <v>697</v>
      </c>
      <c r="H235" s="56" t="s">
        <v>697</v>
      </c>
      <c r="I235" s="56" t="s">
        <v>697</v>
      </c>
      <c r="J235" s="56" t="s">
        <v>697</v>
      </c>
      <c r="K235" s="56" t="s">
        <v>697</v>
      </c>
      <c r="L235" s="56" t="s">
        <v>697</v>
      </c>
    </row>
    <row r="236" spans="1:12" ht="15" hidden="1" customHeight="1">
      <c r="A236" s="55" t="s">
        <v>1162</v>
      </c>
      <c r="B236" s="55" t="s">
        <v>1163</v>
      </c>
      <c r="C236" s="55" t="s">
        <v>275</v>
      </c>
      <c r="D236" s="56" t="s">
        <v>696</v>
      </c>
      <c r="E236" s="57" t="s">
        <v>696</v>
      </c>
      <c r="F236" s="57" t="s">
        <v>696</v>
      </c>
      <c r="G236" s="56" t="s">
        <v>697</v>
      </c>
      <c r="H236" s="56" t="s">
        <v>697</v>
      </c>
      <c r="I236" s="56" t="s">
        <v>697</v>
      </c>
      <c r="J236" s="56" t="s">
        <v>697</v>
      </c>
      <c r="K236" s="56" t="s">
        <v>697</v>
      </c>
      <c r="L236" s="56" t="s">
        <v>697</v>
      </c>
    </row>
    <row r="237" spans="1:12" hidden="1">
      <c r="A237" s="55" t="s">
        <v>1164</v>
      </c>
      <c r="B237" s="55" t="s">
        <v>1165</v>
      </c>
      <c r="C237" s="55" t="s">
        <v>100</v>
      </c>
      <c r="D237" s="56" t="s">
        <v>696</v>
      </c>
      <c r="E237" s="57" t="s">
        <v>696</v>
      </c>
      <c r="F237" s="57" t="s">
        <v>696</v>
      </c>
      <c r="G237" s="56" t="s">
        <v>697</v>
      </c>
      <c r="H237" s="56" t="s">
        <v>696</v>
      </c>
      <c r="I237" s="56" t="s">
        <v>697</v>
      </c>
      <c r="J237" s="56" t="s">
        <v>696</v>
      </c>
      <c r="K237" s="56" t="s">
        <v>697</v>
      </c>
      <c r="L237" s="56" t="s">
        <v>697</v>
      </c>
    </row>
    <row r="238" spans="1:12" hidden="1">
      <c r="A238" s="55" t="s">
        <v>1166</v>
      </c>
      <c r="B238" s="55" t="s">
        <v>1167</v>
      </c>
      <c r="C238" s="55" t="s">
        <v>47</v>
      </c>
      <c r="D238" s="56" t="s">
        <v>696</v>
      </c>
      <c r="E238" s="57" t="s">
        <v>696</v>
      </c>
      <c r="F238" s="57" t="s">
        <v>696</v>
      </c>
      <c r="G238" s="56" t="s">
        <v>697</v>
      </c>
      <c r="H238" s="56" t="s">
        <v>696</v>
      </c>
      <c r="I238" s="56" t="s">
        <v>697</v>
      </c>
      <c r="J238" s="56" t="s">
        <v>696</v>
      </c>
      <c r="K238" s="56" t="s">
        <v>697</v>
      </c>
      <c r="L238" s="56" t="s">
        <v>697</v>
      </c>
    </row>
    <row r="239" spans="1:12" hidden="1">
      <c r="A239" s="64" t="s">
        <v>1168</v>
      </c>
      <c r="B239" s="55" t="s">
        <v>1169</v>
      </c>
      <c r="C239" s="55" t="s">
        <v>96</v>
      </c>
      <c r="D239" s="56" t="s">
        <v>696</v>
      </c>
      <c r="E239" s="57" t="s">
        <v>696</v>
      </c>
      <c r="F239" s="57" t="s">
        <v>696</v>
      </c>
      <c r="G239" s="56" t="s">
        <v>697</v>
      </c>
      <c r="H239" s="56" t="s">
        <v>697</v>
      </c>
      <c r="I239" s="56" t="s">
        <v>697</v>
      </c>
      <c r="J239" s="56" t="s">
        <v>697</v>
      </c>
      <c r="K239" s="56" t="s">
        <v>697</v>
      </c>
      <c r="L239" s="56" t="s">
        <v>697</v>
      </c>
    </row>
    <row r="240" spans="1:12" hidden="1">
      <c r="A240" s="64" t="s">
        <v>1170</v>
      </c>
      <c r="B240" s="55" t="s">
        <v>1171</v>
      </c>
      <c r="C240" s="55" t="s">
        <v>182</v>
      </c>
      <c r="D240" s="56" t="s">
        <v>696</v>
      </c>
      <c r="E240" s="57" t="s">
        <v>696</v>
      </c>
      <c r="F240" s="57" t="s">
        <v>696</v>
      </c>
      <c r="G240" s="56" t="s">
        <v>697</v>
      </c>
      <c r="H240" s="56" t="s">
        <v>697</v>
      </c>
      <c r="I240" s="56" t="s">
        <v>697</v>
      </c>
      <c r="J240" s="56" t="s">
        <v>697</v>
      </c>
      <c r="K240" s="56" t="s">
        <v>697</v>
      </c>
      <c r="L240" s="56" t="s">
        <v>697</v>
      </c>
    </row>
    <row r="241" spans="1:12" hidden="1">
      <c r="A241" s="64" t="s">
        <v>1172</v>
      </c>
      <c r="B241" s="55" t="s">
        <v>1173</v>
      </c>
      <c r="C241" s="55" t="s">
        <v>182</v>
      </c>
      <c r="D241" s="56" t="s">
        <v>696</v>
      </c>
      <c r="E241" s="57" t="s">
        <v>696</v>
      </c>
      <c r="F241" s="57" t="s">
        <v>696</v>
      </c>
      <c r="G241" s="56" t="s">
        <v>697</v>
      </c>
      <c r="H241" s="56" t="s">
        <v>697</v>
      </c>
      <c r="I241" s="56" t="s">
        <v>697</v>
      </c>
      <c r="J241" s="56" t="s">
        <v>697</v>
      </c>
      <c r="K241" s="56" t="s">
        <v>697</v>
      </c>
      <c r="L241" s="56" t="s">
        <v>697</v>
      </c>
    </row>
    <row r="242" spans="1:12" hidden="1">
      <c r="A242" s="64" t="s">
        <v>1174</v>
      </c>
      <c r="B242" s="55" t="s">
        <v>1175</v>
      </c>
      <c r="C242" s="55" t="s">
        <v>100</v>
      </c>
      <c r="D242" s="56" t="s">
        <v>696</v>
      </c>
      <c r="E242" s="57" t="s">
        <v>697</v>
      </c>
      <c r="F242" s="57" t="s">
        <v>696</v>
      </c>
      <c r="G242" s="56" t="s">
        <v>697</v>
      </c>
      <c r="H242" s="56" t="s">
        <v>697</v>
      </c>
      <c r="I242" s="56" t="s">
        <v>697</v>
      </c>
      <c r="J242" s="56" t="s">
        <v>697</v>
      </c>
      <c r="K242" s="56" t="s">
        <v>697</v>
      </c>
      <c r="L242" s="56" t="s">
        <v>697</v>
      </c>
    </row>
    <row r="243" spans="1:12">
      <c r="A243" s="64" t="s">
        <v>1176</v>
      </c>
      <c r="B243" s="64" t="s">
        <v>1177</v>
      </c>
      <c r="C243" s="64" t="s">
        <v>96</v>
      </c>
      <c r="D243" s="56" t="s">
        <v>696</v>
      </c>
      <c r="E243" s="56" t="s">
        <v>696</v>
      </c>
      <c r="F243" s="56" t="s">
        <v>696</v>
      </c>
      <c r="G243" s="56" t="s">
        <v>696</v>
      </c>
      <c r="H243" s="56" t="s">
        <v>696</v>
      </c>
      <c r="I243" s="56" t="s">
        <v>696</v>
      </c>
      <c r="J243" s="56" t="s">
        <v>696</v>
      </c>
      <c r="K243" s="56" t="s">
        <v>696</v>
      </c>
      <c r="L243" s="56" t="s">
        <v>696</v>
      </c>
    </row>
    <row r="244" spans="1:12" hidden="1">
      <c r="A244" s="64" t="s">
        <v>1178</v>
      </c>
      <c r="B244" s="64" t="s">
        <v>1179</v>
      </c>
      <c r="C244" s="64" t="s">
        <v>182</v>
      </c>
      <c r="D244" s="56" t="s">
        <v>696</v>
      </c>
      <c r="E244" s="57" t="s">
        <v>696</v>
      </c>
      <c r="F244" s="57" t="s">
        <v>696</v>
      </c>
      <c r="G244" s="56" t="s">
        <v>697</v>
      </c>
      <c r="H244" s="56" t="s">
        <v>697</v>
      </c>
      <c r="I244" s="56" t="s">
        <v>697</v>
      </c>
      <c r="J244" s="56" t="s">
        <v>697</v>
      </c>
      <c r="K244" s="56" t="s">
        <v>697</v>
      </c>
      <c r="L244" s="56" t="s">
        <v>697</v>
      </c>
    </row>
    <row r="245" spans="1:12" hidden="1">
      <c r="A245" s="64" t="s">
        <v>1180</v>
      </c>
      <c r="B245" s="64" t="s">
        <v>1181</v>
      </c>
      <c r="C245" s="64" t="s">
        <v>182</v>
      </c>
      <c r="D245" s="56" t="s">
        <v>696</v>
      </c>
      <c r="E245" s="57" t="s">
        <v>697</v>
      </c>
      <c r="F245" s="57" t="s">
        <v>696</v>
      </c>
      <c r="G245" s="56" t="s">
        <v>697</v>
      </c>
      <c r="H245" s="56" t="s">
        <v>697</v>
      </c>
      <c r="I245" s="56" t="s">
        <v>697</v>
      </c>
      <c r="J245" s="56" t="s">
        <v>697</v>
      </c>
      <c r="K245" s="56" t="s">
        <v>697</v>
      </c>
      <c r="L245" s="56" t="s">
        <v>697</v>
      </c>
    </row>
    <row r="246" spans="1:12" hidden="1">
      <c r="A246" s="64" t="s">
        <v>1182</v>
      </c>
      <c r="B246" s="64" t="s">
        <v>1183</v>
      </c>
      <c r="C246" s="64" t="s">
        <v>270</v>
      </c>
      <c r="D246" s="56" t="s">
        <v>696</v>
      </c>
      <c r="E246" s="57" t="s">
        <v>697</v>
      </c>
      <c r="F246" s="57" t="s">
        <v>697</v>
      </c>
      <c r="G246" s="56" t="s">
        <v>697</v>
      </c>
      <c r="H246" s="56" t="s">
        <v>697</v>
      </c>
      <c r="I246" s="56" t="s">
        <v>697</v>
      </c>
      <c r="J246" s="56" t="s">
        <v>697</v>
      </c>
      <c r="K246" s="56" t="s">
        <v>697</v>
      </c>
      <c r="L246" s="56" t="s">
        <v>697</v>
      </c>
    </row>
    <row r="247" spans="1:12" hidden="1">
      <c r="A247" s="64" t="s">
        <v>1184</v>
      </c>
      <c r="B247" s="64" t="s">
        <v>1185</v>
      </c>
      <c r="C247" s="64" t="s">
        <v>275</v>
      </c>
      <c r="D247" s="56" t="s">
        <v>696</v>
      </c>
      <c r="E247" s="57" t="s">
        <v>696</v>
      </c>
      <c r="F247" s="57" t="s">
        <v>696</v>
      </c>
      <c r="G247" s="56" t="s">
        <v>697</v>
      </c>
      <c r="H247" s="56" t="s">
        <v>697</v>
      </c>
      <c r="I247" s="56" t="s">
        <v>697</v>
      </c>
      <c r="J247" s="56" t="s">
        <v>697</v>
      </c>
      <c r="K247" s="56" t="s">
        <v>697</v>
      </c>
      <c r="L247" s="56" t="s">
        <v>697</v>
      </c>
    </row>
    <row r="248" spans="1:12" hidden="1">
      <c r="A248" s="64" t="s">
        <v>1186</v>
      </c>
      <c r="B248" s="64" t="s">
        <v>1187</v>
      </c>
      <c r="C248" s="64" t="s">
        <v>270</v>
      </c>
      <c r="D248" s="56" t="s">
        <v>696</v>
      </c>
      <c r="E248" s="57" t="s">
        <v>696</v>
      </c>
      <c r="F248" s="57" t="s">
        <v>696</v>
      </c>
      <c r="G248" s="56" t="s">
        <v>697</v>
      </c>
      <c r="H248" s="56" t="s">
        <v>697</v>
      </c>
      <c r="I248" s="56" t="s">
        <v>697</v>
      </c>
      <c r="J248" s="56" t="s">
        <v>697</v>
      </c>
      <c r="K248" s="56" t="s">
        <v>697</v>
      </c>
      <c r="L248" s="56" t="s">
        <v>697</v>
      </c>
    </row>
    <row r="249" spans="1:12">
      <c r="A249" s="64" t="s">
        <v>1188</v>
      </c>
      <c r="B249" s="64" t="s">
        <v>1189</v>
      </c>
      <c r="C249" s="64" t="s">
        <v>270</v>
      </c>
      <c r="D249" s="56" t="s">
        <v>696</v>
      </c>
      <c r="E249" s="56" t="s">
        <v>696</v>
      </c>
      <c r="F249" s="56" t="s">
        <v>696</v>
      </c>
      <c r="G249" s="56" t="s">
        <v>696</v>
      </c>
      <c r="H249" s="56" t="s">
        <v>696</v>
      </c>
      <c r="I249" s="56" t="s">
        <v>696</v>
      </c>
      <c r="J249" s="56" t="s">
        <v>696</v>
      </c>
      <c r="K249" s="56" t="s">
        <v>696</v>
      </c>
      <c r="L249" s="56" t="s">
        <v>696</v>
      </c>
    </row>
    <row r="250" spans="1:12">
      <c r="E250" s="66"/>
      <c r="F250" s="66"/>
      <c r="G250" s="67"/>
      <c r="J250" s="67"/>
    </row>
  </sheetData>
  <autoFilter ref="A1:L249" xr:uid="{7073C69D-ADEA-407F-8B47-70C2D8D9A0DC}">
    <filterColumn colId="0">
      <filters>
        <filter val="BELARUS"/>
        <filter val="CHINA"/>
        <filter val="CONGO, Democratic Republic of"/>
        <filter val="CUBA"/>
        <filter val="IRAN"/>
        <filter val="IRAQ"/>
        <filter val="JAPAN"/>
        <filter val="LIBYA"/>
        <filter val="MYANMAR"/>
        <filter val="NICARAGUA"/>
        <filter val="NORTH KOREA"/>
        <filter val="RUSSIA"/>
        <filter val="SOMALIA"/>
        <filter val="SUDAN"/>
        <filter val="SYRIA"/>
        <filter val="VENEZUELA"/>
        <filter val="ZIMBABWE"/>
      </filters>
    </filterColumn>
  </autoFilter>
  <hyperlinks>
    <hyperlink ref="B218" r:id="rId1" display="TL" xr:uid="{FF0AC6FC-74F2-408D-82D7-456C747BF5C8}"/>
  </hyperlinks>
  <pageMargins left="0.7" right="0.7" top="0.75" bottom="0.75" header="0.3" footer="0.3"/>
  <pageSetup orientation="portrait" horizontalDpi="360" verticalDpi="360" r:id="rId2"/>
  <headerFooter>
    <oddFooter>&amp;C_x000D_&amp;1#&amp;"Aptos"&amp;10&amp;K000000 NBA - Internal Use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95F9-DA35-4E4E-85CF-04A9A925893D}">
  <dimension ref="B2:J251"/>
  <sheetViews>
    <sheetView workbookViewId="0"/>
  </sheetViews>
  <sheetFormatPr defaultColWidth="8.6328125" defaultRowHeight="12.5" outlineLevelCol="1"/>
  <cols>
    <col min="1" max="1" width="1.6328125" customWidth="1"/>
    <col min="2" max="2" width="27.453125" bestFit="1" customWidth="1"/>
    <col min="3" max="3" width="13.453125" bestFit="1" customWidth="1"/>
    <col min="4" max="4" width="18.36328125" bestFit="1" customWidth="1"/>
    <col min="6" max="9" width="0" hidden="1" customWidth="1" outlineLevel="1"/>
    <col min="10" max="10" width="8.6328125" collapsed="1"/>
  </cols>
  <sheetData>
    <row r="2" spans="2:9" ht="13.5" thickBot="1">
      <c r="B2" s="24" t="s">
        <v>31</v>
      </c>
      <c r="C2" s="24" t="s">
        <v>359</v>
      </c>
      <c r="D2" s="41" t="s">
        <v>363</v>
      </c>
    </row>
    <row r="3" spans="2:9" ht="16" thickBot="1">
      <c r="B3" t="s">
        <v>70</v>
      </c>
      <c r="C3" s="7" t="s">
        <v>695</v>
      </c>
      <c r="D3" s="7" t="str">
        <f t="shared" ref="D3:D66" si="0">+VLOOKUP(C3,$F$3:$G$251,2,FALSE)</f>
        <v>AFG</v>
      </c>
      <c r="F3" s="269" t="s">
        <v>695</v>
      </c>
      <c r="G3" s="269" t="s">
        <v>1191</v>
      </c>
      <c r="H3" s="269">
        <v>4</v>
      </c>
      <c r="I3" s="269" t="s">
        <v>70</v>
      </c>
    </row>
    <row r="4" spans="2:9" ht="16" thickBot="1">
      <c r="B4" t="s">
        <v>71</v>
      </c>
      <c r="C4" s="7" t="s">
        <v>700</v>
      </c>
      <c r="D4" s="7" t="str">
        <f t="shared" si="0"/>
        <v>ALA</v>
      </c>
      <c r="F4" s="269" t="s">
        <v>702</v>
      </c>
      <c r="G4" s="269" t="s">
        <v>1192</v>
      </c>
      <c r="H4" s="269">
        <v>8</v>
      </c>
      <c r="I4" s="269" t="s">
        <v>73</v>
      </c>
    </row>
    <row r="5" spans="2:9" ht="16" thickBot="1">
      <c r="B5" t="s">
        <v>73</v>
      </c>
      <c r="C5" s="7" t="s">
        <v>702</v>
      </c>
      <c r="D5" s="7" t="str">
        <f t="shared" si="0"/>
        <v>ALB</v>
      </c>
      <c r="F5" s="269" t="s">
        <v>704</v>
      </c>
      <c r="G5" s="269" t="s">
        <v>1193</v>
      </c>
      <c r="H5" s="269">
        <v>12</v>
      </c>
      <c r="I5" s="269" t="s">
        <v>74</v>
      </c>
    </row>
    <row r="6" spans="2:9" ht="16" thickBot="1">
      <c r="B6" t="s">
        <v>74</v>
      </c>
      <c r="C6" s="7" t="s">
        <v>704</v>
      </c>
      <c r="D6" s="7" t="str">
        <f t="shared" si="0"/>
        <v>DZA</v>
      </c>
      <c r="F6" s="269" t="s">
        <v>706</v>
      </c>
      <c r="G6" s="269" t="s">
        <v>1194</v>
      </c>
      <c r="H6" s="269">
        <v>16</v>
      </c>
      <c r="I6" s="269" t="s">
        <v>75</v>
      </c>
    </row>
    <row r="7" spans="2:9" ht="16" thickBot="1">
      <c r="B7" t="s">
        <v>75</v>
      </c>
      <c r="C7" s="7" t="s">
        <v>706</v>
      </c>
      <c r="D7" s="7" t="str">
        <f t="shared" si="0"/>
        <v>ASM</v>
      </c>
      <c r="F7" s="269" t="s">
        <v>708</v>
      </c>
      <c r="G7" s="269" t="s">
        <v>1195</v>
      </c>
      <c r="H7" s="269">
        <v>20</v>
      </c>
      <c r="I7" s="269" t="s">
        <v>76</v>
      </c>
    </row>
    <row r="8" spans="2:9" ht="16" thickBot="1">
      <c r="B8" t="s">
        <v>76</v>
      </c>
      <c r="C8" s="7" t="s">
        <v>708</v>
      </c>
      <c r="D8" s="7" t="str">
        <f t="shared" si="0"/>
        <v>AND</v>
      </c>
      <c r="F8" s="269" t="s">
        <v>710</v>
      </c>
      <c r="G8" s="269" t="s">
        <v>1196</v>
      </c>
      <c r="H8" s="269">
        <v>24</v>
      </c>
      <c r="I8" s="269" t="s">
        <v>77</v>
      </c>
    </row>
    <row r="9" spans="2:9" ht="16" thickBot="1">
      <c r="B9" t="s">
        <v>77</v>
      </c>
      <c r="C9" s="7" t="s">
        <v>710</v>
      </c>
      <c r="D9" s="7" t="str">
        <f t="shared" si="0"/>
        <v>AGO</v>
      </c>
      <c r="F9" s="269" t="s">
        <v>712</v>
      </c>
      <c r="G9" s="269" t="s">
        <v>1197</v>
      </c>
      <c r="H9" s="269">
        <v>660</v>
      </c>
      <c r="I9" s="269" t="s">
        <v>78</v>
      </c>
    </row>
    <row r="10" spans="2:9" ht="16" thickBot="1">
      <c r="B10" t="s">
        <v>78</v>
      </c>
      <c r="C10" s="7" t="s">
        <v>712</v>
      </c>
      <c r="D10" s="7" t="str">
        <f t="shared" si="0"/>
        <v>AIA</v>
      </c>
      <c r="F10" s="269" t="s">
        <v>714</v>
      </c>
      <c r="G10" s="269" t="s">
        <v>1198</v>
      </c>
      <c r="H10" s="269">
        <v>10</v>
      </c>
      <c r="I10" s="269" t="s">
        <v>79</v>
      </c>
    </row>
    <row r="11" spans="2:9" ht="16" thickBot="1">
      <c r="B11" t="s">
        <v>79</v>
      </c>
      <c r="C11" s="7" t="s">
        <v>714</v>
      </c>
      <c r="D11" s="7" t="str">
        <f t="shared" si="0"/>
        <v>ATA</v>
      </c>
      <c r="F11" s="269" t="s">
        <v>716</v>
      </c>
      <c r="G11" s="269" t="s">
        <v>1199</v>
      </c>
      <c r="H11" s="269">
        <v>28</v>
      </c>
      <c r="I11" s="269" t="s">
        <v>365</v>
      </c>
    </row>
    <row r="12" spans="2:9" ht="16" thickBot="1">
      <c r="B12" t="s">
        <v>80</v>
      </c>
      <c r="C12" s="7" t="s">
        <v>716</v>
      </c>
      <c r="D12" s="7" t="str">
        <f t="shared" si="0"/>
        <v>ATG</v>
      </c>
      <c r="F12" s="269" t="s">
        <v>718</v>
      </c>
      <c r="G12" s="269" t="s">
        <v>1200</v>
      </c>
      <c r="H12" s="269">
        <v>32</v>
      </c>
      <c r="I12" s="269" t="s">
        <v>81</v>
      </c>
    </row>
    <row r="13" spans="2:9" ht="16" thickBot="1">
      <c r="B13" t="s">
        <v>81</v>
      </c>
      <c r="C13" s="7" t="s">
        <v>718</v>
      </c>
      <c r="D13" s="7" t="str">
        <f t="shared" si="0"/>
        <v>ARG</v>
      </c>
      <c r="F13" s="269" t="s">
        <v>720</v>
      </c>
      <c r="G13" s="269" t="s">
        <v>1201</v>
      </c>
      <c r="H13" s="269">
        <v>51</v>
      </c>
      <c r="I13" s="269" t="s">
        <v>82</v>
      </c>
    </row>
    <row r="14" spans="2:9" ht="16" thickBot="1">
      <c r="B14" t="s">
        <v>82</v>
      </c>
      <c r="C14" s="7" t="s">
        <v>720</v>
      </c>
      <c r="D14" s="7" t="str">
        <f t="shared" si="0"/>
        <v>ARM</v>
      </c>
      <c r="F14" s="269" t="s">
        <v>722</v>
      </c>
      <c r="G14" s="269" t="s">
        <v>1202</v>
      </c>
      <c r="H14" s="269">
        <v>533</v>
      </c>
      <c r="I14" s="269" t="s">
        <v>83</v>
      </c>
    </row>
    <row r="15" spans="2:9" ht="16" thickBot="1">
      <c r="B15" t="s">
        <v>83</v>
      </c>
      <c r="C15" s="7" t="s">
        <v>722</v>
      </c>
      <c r="D15" s="7" t="str">
        <f t="shared" si="0"/>
        <v>ABW</v>
      </c>
      <c r="F15" s="269" t="s">
        <v>724</v>
      </c>
      <c r="G15" s="269" t="s">
        <v>1203</v>
      </c>
      <c r="H15" s="269">
        <v>36</v>
      </c>
      <c r="I15" s="269" t="s">
        <v>84</v>
      </c>
    </row>
    <row r="16" spans="2:9" ht="16" thickBot="1">
      <c r="B16" t="s">
        <v>84</v>
      </c>
      <c r="C16" s="7" t="s">
        <v>724</v>
      </c>
      <c r="D16" s="7" t="str">
        <f t="shared" si="0"/>
        <v>AUS</v>
      </c>
      <c r="F16" s="269" t="s">
        <v>726</v>
      </c>
      <c r="G16" s="269" t="s">
        <v>1204</v>
      </c>
      <c r="H16" s="269">
        <v>40</v>
      </c>
      <c r="I16" s="269" t="s">
        <v>85</v>
      </c>
    </row>
    <row r="17" spans="2:9" ht="16" thickBot="1">
      <c r="B17" t="s">
        <v>85</v>
      </c>
      <c r="C17" s="7" t="s">
        <v>726</v>
      </c>
      <c r="D17" s="7" t="str">
        <f t="shared" si="0"/>
        <v>AUT</v>
      </c>
      <c r="F17" s="269" t="s">
        <v>728</v>
      </c>
      <c r="G17" s="269" t="s">
        <v>1205</v>
      </c>
      <c r="H17" s="269">
        <v>31</v>
      </c>
      <c r="I17" s="269" t="s">
        <v>86</v>
      </c>
    </row>
    <row r="18" spans="2:9" ht="16" thickBot="1">
      <c r="B18" t="s">
        <v>86</v>
      </c>
      <c r="C18" s="7" t="s">
        <v>728</v>
      </c>
      <c r="D18" s="7" t="str">
        <f t="shared" si="0"/>
        <v>AZE</v>
      </c>
      <c r="F18" s="269" t="s">
        <v>730</v>
      </c>
      <c r="G18" s="269" t="s">
        <v>1206</v>
      </c>
      <c r="H18" s="269">
        <v>44</v>
      </c>
      <c r="I18" s="269" t="s">
        <v>1207</v>
      </c>
    </row>
    <row r="19" spans="2:9" ht="16" thickBot="1">
      <c r="B19" t="s">
        <v>87</v>
      </c>
      <c r="C19" s="7" t="s">
        <v>730</v>
      </c>
      <c r="D19" s="7" t="str">
        <f t="shared" si="0"/>
        <v>BHS</v>
      </c>
      <c r="F19" s="269" t="s">
        <v>732</v>
      </c>
      <c r="G19" s="269" t="s">
        <v>1208</v>
      </c>
      <c r="H19" s="269">
        <v>48</v>
      </c>
      <c r="I19" s="269" t="s">
        <v>88</v>
      </c>
    </row>
    <row r="20" spans="2:9" ht="16" thickBot="1">
      <c r="B20" t="s">
        <v>88</v>
      </c>
      <c r="C20" s="7" t="s">
        <v>732</v>
      </c>
      <c r="D20" s="7" t="str">
        <f t="shared" si="0"/>
        <v>BHR</v>
      </c>
      <c r="F20" s="269" t="s">
        <v>734</v>
      </c>
      <c r="G20" s="269" t="s">
        <v>1209</v>
      </c>
      <c r="H20" s="269">
        <v>50</v>
      </c>
      <c r="I20" s="269" t="s">
        <v>89</v>
      </c>
    </row>
    <row r="21" spans="2:9" ht="16" thickBot="1">
      <c r="B21" t="s">
        <v>89</v>
      </c>
      <c r="C21" s="7" t="s">
        <v>734</v>
      </c>
      <c r="D21" s="7" t="str">
        <f t="shared" si="0"/>
        <v>BGD</v>
      </c>
      <c r="F21" s="269" t="s">
        <v>736</v>
      </c>
      <c r="G21" s="269" t="s">
        <v>1210</v>
      </c>
      <c r="H21" s="269">
        <v>52</v>
      </c>
      <c r="I21" s="269" t="s">
        <v>90</v>
      </c>
    </row>
    <row r="22" spans="2:9" ht="16" thickBot="1">
      <c r="B22" t="s">
        <v>90</v>
      </c>
      <c r="C22" s="7" t="s">
        <v>736</v>
      </c>
      <c r="D22" s="7" t="str">
        <f t="shared" si="0"/>
        <v>BRB</v>
      </c>
      <c r="F22" s="269" t="s">
        <v>738</v>
      </c>
      <c r="G22" s="269" t="s">
        <v>1211</v>
      </c>
      <c r="H22" s="269">
        <v>112</v>
      </c>
      <c r="I22" s="269" t="s">
        <v>91</v>
      </c>
    </row>
    <row r="23" spans="2:9" ht="16" thickBot="1">
      <c r="B23" t="s">
        <v>91</v>
      </c>
      <c r="C23" s="7" t="s">
        <v>738</v>
      </c>
      <c r="D23" s="7" t="str">
        <f t="shared" si="0"/>
        <v>BLR</v>
      </c>
      <c r="F23" s="269" t="s">
        <v>740</v>
      </c>
      <c r="G23" s="269" t="s">
        <v>1212</v>
      </c>
      <c r="H23" s="269">
        <v>56</v>
      </c>
      <c r="I23" s="269" t="s">
        <v>92</v>
      </c>
    </row>
    <row r="24" spans="2:9" ht="16" thickBot="1">
      <c r="B24" t="s">
        <v>92</v>
      </c>
      <c r="C24" s="7" t="s">
        <v>740</v>
      </c>
      <c r="D24" s="7" t="str">
        <f t="shared" si="0"/>
        <v>BEL</v>
      </c>
      <c r="F24" s="269" t="s">
        <v>742</v>
      </c>
      <c r="G24" s="269" t="s">
        <v>1213</v>
      </c>
      <c r="H24" s="269">
        <v>84</v>
      </c>
      <c r="I24" s="269" t="s">
        <v>93</v>
      </c>
    </row>
    <row r="25" spans="2:9" ht="16" thickBot="1">
      <c r="B25" t="s">
        <v>93</v>
      </c>
      <c r="C25" s="7" t="s">
        <v>742</v>
      </c>
      <c r="D25" s="7" t="str">
        <f t="shared" si="0"/>
        <v>BLZ</v>
      </c>
      <c r="F25" s="269" t="s">
        <v>744</v>
      </c>
      <c r="G25" s="269" t="s">
        <v>1214</v>
      </c>
      <c r="H25" s="269">
        <v>204</v>
      </c>
      <c r="I25" s="269" t="s">
        <v>94</v>
      </c>
    </row>
    <row r="26" spans="2:9" ht="16" thickBot="1">
      <c r="B26" t="s">
        <v>94</v>
      </c>
      <c r="C26" s="7" t="s">
        <v>744</v>
      </c>
      <c r="D26" s="7" t="str">
        <f t="shared" si="0"/>
        <v>BEN</v>
      </c>
      <c r="F26" s="269" t="s">
        <v>746</v>
      </c>
      <c r="G26" s="269" t="s">
        <v>1215</v>
      </c>
      <c r="H26" s="269">
        <v>60</v>
      </c>
      <c r="I26" s="269" t="s">
        <v>95</v>
      </c>
    </row>
    <row r="27" spans="2:9" ht="16" thickBot="1">
      <c r="B27" t="s">
        <v>95</v>
      </c>
      <c r="C27" s="7" t="s">
        <v>746</v>
      </c>
      <c r="D27" s="7" t="str">
        <f t="shared" si="0"/>
        <v>BMU</v>
      </c>
      <c r="F27" s="269" t="s">
        <v>748</v>
      </c>
      <c r="G27" s="269" t="s">
        <v>1216</v>
      </c>
      <c r="H27" s="269">
        <v>64</v>
      </c>
      <c r="I27" s="269" t="s">
        <v>97</v>
      </c>
    </row>
    <row r="28" spans="2:9" ht="16" thickBot="1">
      <c r="B28" t="s">
        <v>97</v>
      </c>
      <c r="C28" s="7" t="s">
        <v>748</v>
      </c>
      <c r="D28" s="7" t="str">
        <f t="shared" si="0"/>
        <v>BTN</v>
      </c>
      <c r="F28" s="269" t="s">
        <v>750</v>
      </c>
      <c r="G28" s="269" t="s">
        <v>1217</v>
      </c>
      <c r="H28" s="269">
        <v>68</v>
      </c>
      <c r="I28" s="269" t="s">
        <v>1218</v>
      </c>
    </row>
    <row r="29" spans="2:9" ht="16" thickBot="1">
      <c r="B29" t="s">
        <v>98</v>
      </c>
      <c r="C29" s="7" t="s">
        <v>750</v>
      </c>
      <c r="D29" s="7" t="str">
        <f t="shared" si="0"/>
        <v>BOL</v>
      </c>
      <c r="F29" s="269" t="s">
        <v>1219</v>
      </c>
      <c r="G29" s="269" t="s">
        <v>1220</v>
      </c>
      <c r="H29" s="269">
        <v>535</v>
      </c>
      <c r="I29" s="269" t="s">
        <v>1221</v>
      </c>
    </row>
    <row r="30" spans="2:9" ht="16" thickBot="1">
      <c r="B30" t="s">
        <v>99</v>
      </c>
      <c r="C30" s="7" t="s">
        <v>1219</v>
      </c>
      <c r="D30" s="7" t="str">
        <f t="shared" si="0"/>
        <v>BES</v>
      </c>
      <c r="F30" s="269" t="s">
        <v>752</v>
      </c>
      <c r="G30" s="269" t="s">
        <v>1222</v>
      </c>
      <c r="H30" s="269">
        <v>70</v>
      </c>
      <c r="I30" s="269" t="s">
        <v>1223</v>
      </c>
    </row>
    <row r="31" spans="2:9" ht="16" thickBot="1">
      <c r="B31" t="s">
        <v>101</v>
      </c>
      <c r="C31" s="7" t="s">
        <v>752</v>
      </c>
      <c r="D31" s="7" t="str">
        <f t="shared" si="0"/>
        <v>BIH</v>
      </c>
      <c r="F31" s="269" t="s">
        <v>754</v>
      </c>
      <c r="G31" s="269" t="s">
        <v>1224</v>
      </c>
      <c r="H31" s="269">
        <v>72</v>
      </c>
      <c r="I31" s="269" t="s">
        <v>102</v>
      </c>
    </row>
    <row r="32" spans="2:9" ht="16" thickBot="1">
      <c r="B32" t="s">
        <v>102</v>
      </c>
      <c r="C32" s="7" t="s">
        <v>754</v>
      </c>
      <c r="D32" s="7" t="str">
        <f t="shared" si="0"/>
        <v>BWA</v>
      </c>
      <c r="F32" s="269" t="s">
        <v>756</v>
      </c>
      <c r="G32" s="269" t="s">
        <v>1225</v>
      </c>
      <c r="H32" s="269">
        <v>74</v>
      </c>
      <c r="I32" s="269" t="s">
        <v>103</v>
      </c>
    </row>
    <row r="33" spans="2:9" ht="16" thickBot="1">
      <c r="B33" t="s">
        <v>103</v>
      </c>
      <c r="C33" s="7" t="s">
        <v>756</v>
      </c>
      <c r="D33" s="7" t="str">
        <f t="shared" si="0"/>
        <v>BVT</v>
      </c>
      <c r="F33" s="269" t="s">
        <v>758</v>
      </c>
      <c r="G33" s="269" t="s">
        <v>1226</v>
      </c>
      <c r="H33" s="269">
        <v>76</v>
      </c>
      <c r="I33" s="269" t="s">
        <v>104</v>
      </c>
    </row>
    <row r="34" spans="2:9" ht="16" thickBot="1">
      <c r="B34" t="s">
        <v>104</v>
      </c>
      <c r="C34" s="7" t="s">
        <v>758</v>
      </c>
      <c r="D34" s="7" t="str">
        <f t="shared" si="0"/>
        <v>BRA</v>
      </c>
      <c r="F34" s="269" t="s">
        <v>760</v>
      </c>
      <c r="G34" s="269" t="s">
        <v>1227</v>
      </c>
      <c r="H34" s="269">
        <v>86</v>
      </c>
      <c r="I34" s="269" t="s">
        <v>1228</v>
      </c>
    </row>
    <row r="35" spans="2:9" ht="16" thickBot="1">
      <c r="B35" t="s">
        <v>105</v>
      </c>
      <c r="C35" s="7" t="s">
        <v>760</v>
      </c>
      <c r="D35" s="7" t="str">
        <f t="shared" si="0"/>
        <v>IOT</v>
      </c>
      <c r="F35" s="269" t="s">
        <v>764</v>
      </c>
      <c r="G35" s="269" t="s">
        <v>1229</v>
      </c>
      <c r="H35" s="269">
        <v>96</v>
      </c>
      <c r="I35" s="269" t="s">
        <v>1230</v>
      </c>
    </row>
    <row r="36" spans="2:9" ht="16" thickBot="1">
      <c r="B36" t="s">
        <v>106</v>
      </c>
      <c r="C36" s="7" t="s">
        <v>762</v>
      </c>
      <c r="D36" s="7" t="str">
        <f t="shared" si="0"/>
        <v>VGB</v>
      </c>
      <c r="F36" s="269" t="s">
        <v>766</v>
      </c>
      <c r="G36" s="269" t="s">
        <v>1231</v>
      </c>
      <c r="H36" s="269">
        <v>100</v>
      </c>
      <c r="I36" s="269" t="s">
        <v>108</v>
      </c>
    </row>
    <row r="37" spans="2:9" ht="16" thickBot="1">
      <c r="B37" t="s">
        <v>107</v>
      </c>
      <c r="C37" s="7" t="s">
        <v>764</v>
      </c>
      <c r="D37" s="7" t="str">
        <f t="shared" si="0"/>
        <v>BRN</v>
      </c>
      <c r="F37" s="269" t="s">
        <v>768</v>
      </c>
      <c r="G37" s="269" t="s">
        <v>1232</v>
      </c>
      <c r="H37" s="269">
        <v>854</v>
      </c>
      <c r="I37" s="269" t="s">
        <v>109</v>
      </c>
    </row>
    <row r="38" spans="2:9" ht="16" thickBot="1">
      <c r="B38" t="s">
        <v>108</v>
      </c>
      <c r="C38" s="7" t="s">
        <v>766</v>
      </c>
      <c r="D38" s="7" t="str">
        <f t="shared" si="0"/>
        <v>BGR</v>
      </c>
      <c r="F38" s="269" t="s">
        <v>770</v>
      </c>
      <c r="G38" s="269" t="s">
        <v>1233</v>
      </c>
      <c r="H38" s="269">
        <v>108</v>
      </c>
      <c r="I38" s="269" t="s">
        <v>110</v>
      </c>
    </row>
    <row r="39" spans="2:9" ht="16" thickBot="1">
      <c r="B39" t="s">
        <v>109</v>
      </c>
      <c r="C39" s="7" t="s">
        <v>768</v>
      </c>
      <c r="D39" s="7" t="str">
        <f t="shared" si="0"/>
        <v>BFA</v>
      </c>
      <c r="F39" s="269" t="s">
        <v>779</v>
      </c>
      <c r="G39" s="269" t="s">
        <v>1234</v>
      </c>
      <c r="H39" s="269">
        <v>132</v>
      </c>
      <c r="I39" s="269" t="s">
        <v>1235</v>
      </c>
    </row>
    <row r="40" spans="2:9" ht="16" thickBot="1">
      <c r="B40" t="s">
        <v>110</v>
      </c>
      <c r="C40" s="7" t="s">
        <v>770</v>
      </c>
      <c r="D40" s="7" t="str">
        <f t="shared" si="0"/>
        <v>BDI</v>
      </c>
      <c r="F40" s="269" t="s">
        <v>772</v>
      </c>
      <c r="G40" s="269" t="s">
        <v>1236</v>
      </c>
      <c r="H40" s="269">
        <v>116</v>
      </c>
      <c r="I40" s="269" t="s">
        <v>111</v>
      </c>
    </row>
    <row r="41" spans="2:9" ht="16" thickBot="1">
      <c r="B41" t="s">
        <v>111</v>
      </c>
      <c r="C41" s="7" t="s">
        <v>772</v>
      </c>
      <c r="D41" s="7" t="str">
        <f t="shared" si="0"/>
        <v>KHM</v>
      </c>
      <c r="F41" s="269" t="s">
        <v>774</v>
      </c>
      <c r="G41" s="269" t="s">
        <v>1237</v>
      </c>
      <c r="H41" s="269">
        <v>120</v>
      </c>
      <c r="I41" s="269" t="s">
        <v>112</v>
      </c>
    </row>
    <row r="42" spans="2:9" ht="16" thickBot="1">
      <c r="B42" t="s">
        <v>112</v>
      </c>
      <c r="C42" s="7" t="s">
        <v>774</v>
      </c>
      <c r="D42" s="7" t="str">
        <f t="shared" si="0"/>
        <v>CMR</v>
      </c>
      <c r="F42" s="269" t="s">
        <v>776</v>
      </c>
      <c r="G42" s="269" t="s">
        <v>1238</v>
      </c>
      <c r="H42" s="269">
        <v>124</v>
      </c>
      <c r="I42" s="269" t="s">
        <v>113</v>
      </c>
    </row>
    <row r="43" spans="2:9" ht="16" thickBot="1">
      <c r="B43" t="s">
        <v>113</v>
      </c>
      <c r="C43" s="7" t="s">
        <v>776</v>
      </c>
      <c r="D43" s="7" t="str">
        <f t="shared" si="0"/>
        <v>CAN</v>
      </c>
      <c r="F43" s="269" t="s">
        <v>781</v>
      </c>
      <c r="G43" s="269" t="s">
        <v>1239</v>
      </c>
      <c r="H43" s="269">
        <v>136</v>
      </c>
      <c r="I43" s="269" t="s">
        <v>1240</v>
      </c>
    </row>
    <row r="44" spans="2:9" ht="16" thickBot="1">
      <c r="B44" t="s">
        <v>114</v>
      </c>
      <c r="C44" s="7" t="s">
        <v>779</v>
      </c>
      <c r="D44" s="7" t="str">
        <f t="shared" si="0"/>
        <v>CPV</v>
      </c>
      <c r="F44" s="269" t="s">
        <v>783</v>
      </c>
      <c r="G44" s="269" t="s">
        <v>1241</v>
      </c>
      <c r="H44" s="269">
        <v>140</v>
      </c>
      <c r="I44" s="269" t="s">
        <v>1242</v>
      </c>
    </row>
    <row r="45" spans="2:9" ht="16" thickBot="1">
      <c r="B45" t="s">
        <v>115</v>
      </c>
      <c r="C45" s="7" t="s">
        <v>781</v>
      </c>
      <c r="D45" s="7" t="str">
        <f t="shared" si="0"/>
        <v>CYM</v>
      </c>
      <c r="F45" s="269" t="s">
        <v>785</v>
      </c>
      <c r="G45" s="269" t="s">
        <v>1243</v>
      </c>
      <c r="H45" s="269">
        <v>148</v>
      </c>
      <c r="I45" s="269" t="s">
        <v>117</v>
      </c>
    </row>
    <row r="46" spans="2:9" ht="16" thickBot="1">
      <c r="B46" t="s">
        <v>116</v>
      </c>
      <c r="C46" s="7" t="s">
        <v>783</v>
      </c>
      <c r="D46" s="7" t="str">
        <f t="shared" si="0"/>
        <v>CAF</v>
      </c>
      <c r="F46" s="269" t="s">
        <v>787</v>
      </c>
      <c r="G46" s="269" t="s">
        <v>1244</v>
      </c>
      <c r="H46" s="269">
        <v>152</v>
      </c>
      <c r="I46" s="269" t="s">
        <v>118</v>
      </c>
    </row>
    <row r="47" spans="2:9" ht="16" thickBot="1">
      <c r="B47" t="s">
        <v>117</v>
      </c>
      <c r="C47" s="7" t="s">
        <v>785</v>
      </c>
      <c r="D47" s="7" t="str">
        <f t="shared" si="0"/>
        <v>TCD</v>
      </c>
      <c r="F47" s="269" t="s">
        <v>789</v>
      </c>
      <c r="G47" s="269" t="s">
        <v>1245</v>
      </c>
      <c r="H47" s="269">
        <v>156</v>
      </c>
      <c r="I47" s="269" t="s">
        <v>673</v>
      </c>
    </row>
    <row r="48" spans="2:9" ht="16" thickBot="1">
      <c r="B48" t="s">
        <v>118</v>
      </c>
      <c r="C48" s="7" t="s">
        <v>787</v>
      </c>
      <c r="D48" s="7" t="str">
        <f t="shared" si="0"/>
        <v>CHL</v>
      </c>
      <c r="F48" s="269" t="s">
        <v>791</v>
      </c>
      <c r="G48" s="269" t="s">
        <v>1246</v>
      </c>
      <c r="H48" s="269">
        <v>162</v>
      </c>
      <c r="I48" s="269" t="s">
        <v>119</v>
      </c>
    </row>
    <row r="49" spans="2:9" ht="16" thickBot="1">
      <c r="B49" t="s">
        <v>119</v>
      </c>
      <c r="C49" s="7" t="s">
        <v>791</v>
      </c>
      <c r="D49" s="7" t="str">
        <f t="shared" si="0"/>
        <v>CXR</v>
      </c>
      <c r="F49" s="269" t="s">
        <v>793</v>
      </c>
      <c r="G49" s="269" t="s">
        <v>1247</v>
      </c>
      <c r="H49" s="269">
        <v>166</v>
      </c>
      <c r="I49" s="269" t="s">
        <v>1248</v>
      </c>
    </row>
    <row r="50" spans="2:9" ht="16" thickBot="1">
      <c r="B50" t="s">
        <v>120</v>
      </c>
      <c r="C50" s="7" t="s">
        <v>793</v>
      </c>
      <c r="D50" s="7" t="str">
        <f t="shared" si="0"/>
        <v>CCK</v>
      </c>
      <c r="F50" s="269" t="s">
        <v>795</v>
      </c>
      <c r="G50" s="269" t="s">
        <v>1249</v>
      </c>
      <c r="H50" s="269">
        <v>170</v>
      </c>
      <c r="I50" s="269" t="s">
        <v>121</v>
      </c>
    </row>
    <row r="51" spans="2:9" ht="16" thickBot="1">
      <c r="B51" t="s">
        <v>121</v>
      </c>
      <c r="C51" s="7" t="s">
        <v>795</v>
      </c>
      <c r="D51" s="7" t="str">
        <f t="shared" si="0"/>
        <v>COL</v>
      </c>
      <c r="F51" s="269" t="s">
        <v>797</v>
      </c>
      <c r="G51" s="269" t="s">
        <v>1250</v>
      </c>
      <c r="H51" s="269">
        <v>174</v>
      </c>
      <c r="I51" s="269" t="s">
        <v>1251</v>
      </c>
    </row>
    <row r="52" spans="2:9" ht="16" thickBot="1">
      <c r="B52" t="s">
        <v>122</v>
      </c>
      <c r="C52" s="7" t="s">
        <v>797</v>
      </c>
      <c r="D52" s="7" t="str">
        <f t="shared" si="0"/>
        <v>COM</v>
      </c>
      <c r="F52" s="269" t="s">
        <v>799</v>
      </c>
      <c r="G52" s="269" t="s">
        <v>1252</v>
      </c>
      <c r="H52" s="269">
        <v>180</v>
      </c>
      <c r="I52" s="269" t="s">
        <v>1253</v>
      </c>
    </row>
    <row r="53" spans="2:9" ht="16" thickBot="1">
      <c r="B53" t="s">
        <v>123</v>
      </c>
      <c r="C53" s="7" t="s">
        <v>1254</v>
      </c>
      <c r="D53" s="7" t="str">
        <f t="shared" si="0"/>
        <v>COG</v>
      </c>
      <c r="F53" s="269" t="s">
        <v>1254</v>
      </c>
      <c r="G53" s="269" t="s">
        <v>1255</v>
      </c>
      <c r="H53" s="269">
        <v>178</v>
      </c>
      <c r="I53" s="269" t="s">
        <v>1256</v>
      </c>
    </row>
    <row r="54" spans="2:9" ht="16" thickBot="1">
      <c r="B54" t="s">
        <v>124</v>
      </c>
      <c r="C54" s="7" t="s">
        <v>801</v>
      </c>
      <c r="D54" s="7" t="str">
        <f t="shared" si="0"/>
        <v>COK</v>
      </c>
      <c r="F54" s="269" t="s">
        <v>801</v>
      </c>
      <c r="G54" s="269" t="s">
        <v>1257</v>
      </c>
      <c r="H54" s="269">
        <v>184</v>
      </c>
      <c r="I54" s="269" t="s">
        <v>1258</v>
      </c>
    </row>
    <row r="55" spans="2:9" ht="16" thickBot="1">
      <c r="B55" t="s">
        <v>125</v>
      </c>
      <c r="C55" s="7" t="s">
        <v>803</v>
      </c>
      <c r="D55" s="7" t="str">
        <f t="shared" si="0"/>
        <v>CRI</v>
      </c>
      <c r="F55" s="269" t="s">
        <v>803</v>
      </c>
      <c r="G55" s="269" t="s">
        <v>1259</v>
      </c>
      <c r="H55" s="269">
        <v>188</v>
      </c>
      <c r="I55" s="269" t="s">
        <v>125</v>
      </c>
    </row>
    <row r="56" spans="2:9" ht="16" thickBot="1">
      <c r="B56" t="s">
        <v>126</v>
      </c>
      <c r="C56" s="7" t="s">
        <v>805</v>
      </c>
      <c r="D56" s="7" t="str">
        <f t="shared" si="0"/>
        <v>CIV</v>
      </c>
      <c r="F56" s="269" t="s">
        <v>807</v>
      </c>
      <c r="G56" s="269" t="s">
        <v>1260</v>
      </c>
      <c r="H56" s="269">
        <v>191</v>
      </c>
      <c r="I56" s="269" t="s">
        <v>127</v>
      </c>
    </row>
    <row r="57" spans="2:9" ht="16" thickBot="1">
      <c r="B57" t="s">
        <v>127</v>
      </c>
      <c r="C57" s="7" t="s">
        <v>807</v>
      </c>
      <c r="D57" s="7" t="str">
        <f t="shared" si="0"/>
        <v>HRV</v>
      </c>
      <c r="F57" s="269" t="s">
        <v>809</v>
      </c>
      <c r="G57" s="269" t="s">
        <v>1261</v>
      </c>
      <c r="H57" s="269">
        <v>192</v>
      </c>
      <c r="I57" s="269" t="s">
        <v>675</v>
      </c>
    </row>
    <row r="58" spans="2:9" ht="16" thickBot="1">
      <c r="B58" t="s">
        <v>128</v>
      </c>
      <c r="C58" s="7" t="s">
        <v>811</v>
      </c>
      <c r="D58" s="7" t="str">
        <f t="shared" si="0"/>
        <v>CUW</v>
      </c>
      <c r="F58" s="269" t="s">
        <v>811</v>
      </c>
      <c r="G58" s="269" t="s">
        <v>1262</v>
      </c>
      <c r="H58" s="269">
        <v>531</v>
      </c>
      <c r="I58" s="269" t="s">
        <v>1263</v>
      </c>
    </row>
    <row r="59" spans="2:9" ht="16" thickBot="1">
      <c r="B59" t="s">
        <v>129</v>
      </c>
      <c r="C59" s="7" t="s">
        <v>813</v>
      </c>
      <c r="D59" s="7" t="str">
        <f t="shared" si="0"/>
        <v>CYP</v>
      </c>
      <c r="F59" s="269" t="s">
        <v>813</v>
      </c>
      <c r="G59" s="269" t="s">
        <v>1264</v>
      </c>
      <c r="H59" s="269">
        <v>196</v>
      </c>
      <c r="I59" s="269" t="s">
        <v>129</v>
      </c>
    </row>
    <row r="60" spans="2:9" ht="16" thickBot="1">
      <c r="B60" t="s">
        <v>130</v>
      </c>
      <c r="C60" s="7" t="s">
        <v>815</v>
      </c>
      <c r="D60" s="7" t="str">
        <f t="shared" si="0"/>
        <v>CZE</v>
      </c>
      <c r="F60" s="269" t="s">
        <v>815</v>
      </c>
      <c r="G60" s="269" t="s">
        <v>1265</v>
      </c>
      <c r="H60" s="269">
        <v>203</v>
      </c>
      <c r="I60" s="269" t="s">
        <v>1266</v>
      </c>
    </row>
    <row r="61" spans="2:9" ht="16" thickBot="1">
      <c r="B61" t="s">
        <v>131</v>
      </c>
      <c r="C61" s="7" t="s">
        <v>799</v>
      </c>
      <c r="D61" s="7" t="str">
        <f t="shared" si="0"/>
        <v>COD</v>
      </c>
      <c r="F61" s="269" t="s">
        <v>805</v>
      </c>
      <c r="G61" s="269" t="s">
        <v>1267</v>
      </c>
      <c r="H61" s="269">
        <v>384</v>
      </c>
      <c r="I61" s="269" t="s">
        <v>1268</v>
      </c>
    </row>
    <row r="62" spans="2:9" ht="16" thickBot="1">
      <c r="B62" t="s">
        <v>132</v>
      </c>
      <c r="C62" s="7" t="s">
        <v>817</v>
      </c>
      <c r="D62" s="7" t="str">
        <f t="shared" si="0"/>
        <v>DNK</v>
      </c>
      <c r="F62" s="269" t="s">
        <v>817</v>
      </c>
      <c r="G62" s="269" t="s">
        <v>1269</v>
      </c>
      <c r="H62" s="269">
        <v>208</v>
      </c>
      <c r="I62" s="269" t="s">
        <v>132</v>
      </c>
    </row>
    <row r="63" spans="2:9" ht="16" thickBot="1">
      <c r="B63" t="s">
        <v>133</v>
      </c>
      <c r="C63" s="7" t="s">
        <v>819</v>
      </c>
      <c r="D63" s="7" t="str">
        <f t="shared" si="0"/>
        <v>DJI</v>
      </c>
      <c r="F63" s="269" t="s">
        <v>819</v>
      </c>
      <c r="G63" s="269" t="s">
        <v>1270</v>
      </c>
      <c r="H63" s="269">
        <v>262</v>
      </c>
      <c r="I63" s="269" t="s">
        <v>133</v>
      </c>
    </row>
    <row r="64" spans="2:9" ht="16" thickBot="1">
      <c r="B64" t="s">
        <v>134</v>
      </c>
      <c r="C64" s="7" t="s">
        <v>821</v>
      </c>
      <c r="D64" s="7" t="str">
        <f t="shared" si="0"/>
        <v>DMA</v>
      </c>
      <c r="F64" s="269" t="s">
        <v>821</v>
      </c>
      <c r="G64" s="269" t="s">
        <v>1271</v>
      </c>
      <c r="H64" s="269">
        <v>212</v>
      </c>
      <c r="I64" s="269" t="s">
        <v>134</v>
      </c>
    </row>
    <row r="65" spans="2:9" ht="16" thickBot="1">
      <c r="B65" t="s">
        <v>135</v>
      </c>
      <c r="C65" s="7" t="s">
        <v>823</v>
      </c>
      <c r="D65" s="7" t="str">
        <f t="shared" si="0"/>
        <v>DOM</v>
      </c>
      <c r="F65" s="269" t="s">
        <v>823</v>
      </c>
      <c r="G65" s="269" t="s">
        <v>1272</v>
      </c>
      <c r="H65" s="269">
        <v>214</v>
      </c>
      <c r="I65" s="269" t="s">
        <v>1273</v>
      </c>
    </row>
    <row r="66" spans="2:9" ht="16" thickBot="1">
      <c r="B66" t="s">
        <v>136</v>
      </c>
      <c r="C66" s="7" t="s">
        <v>825</v>
      </c>
      <c r="D66" s="7" t="str">
        <f t="shared" si="0"/>
        <v>ECU</v>
      </c>
      <c r="F66" s="269" t="s">
        <v>825</v>
      </c>
      <c r="G66" s="269" t="s">
        <v>1274</v>
      </c>
      <c r="H66" s="269">
        <v>218</v>
      </c>
      <c r="I66" s="269" t="s">
        <v>136</v>
      </c>
    </row>
    <row r="67" spans="2:9" ht="16" thickBot="1">
      <c r="B67" t="s">
        <v>137</v>
      </c>
      <c r="C67" s="7" t="s">
        <v>827</v>
      </c>
      <c r="D67" s="7" t="str">
        <f t="shared" ref="D67:D130" si="1">+VLOOKUP(C67,$F$3:$G$251,2,FALSE)</f>
        <v>EGY</v>
      </c>
      <c r="F67" s="269" t="s">
        <v>827</v>
      </c>
      <c r="G67" s="269" t="s">
        <v>1275</v>
      </c>
      <c r="H67" s="269">
        <v>818</v>
      </c>
      <c r="I67" s="269" t="s">
        <v>137</v>
      </c>
    </row>
    <row r="68" spans="2:9" ht="16" thickBot="1">
      <c r="B68" t="s">
        <v>138</v>
      </c>
      <c r="C68" s="7" t="s">
        <v>829</v>
      </c>
      <c r="D68" s="7" t="str">
        <f t="shared" si="1"/>
        <v>SLV</v>
      </c>
      <c r="F68" s="269" t="s">
        <v>829</v>
      </c>
      <c r="G68" s="269" t="s">
        <v>1276</v>
      </c>
      <c r="H68" s="269">
        <v>222</v>
      </c>
      <c r="I68" s="269" t="s">
        <v>138</v>
      </c>
    </row>
    <row r="69" spans="2:9" ht="16" thickBot="1">
      <c r="B69" t="s">
        <v>139</v>
      </c>
      <c r="C69" s="7" t="s">
        <v>831</v>
      </c>
      <c r="D69" s="7" t="str">
        <f t="shared" si="1"/>
        <v>GNQ</v>
      </c>
      <c r="F69" s="269" t="s">
        <v>831</v>
      </c>
      <c r="G69" s="269" t="s">
        <v>1277</v>
      </c>
      <c r="H69" s="269">
        <v>226</v>
      </c>
      <c r="I69" s="269" t="s">
        <v>139</v>
      </c>
    </row>
    <row r="70" spans="2:9" ht="16" thickBot="1">
      <c r="B70" t="s">
        <v>140</v>
      </c>
      <c r="C70" s="7" t="s">
        <v>833</v>
      </c>
      <c r="D70" s="7" t="str">
        <f t="shared" si="1"/>
        <v>ERI</v>
      </c>
      <c r="F70" s="269" t="s">
        <v>833</v>
      </c>
      <c r="G70" s="269" t="s">
        <v>1278</v>
      </c>
      <c r="H70" s="269">
        <v>232</v>
      </c>
      <c r="I70" s="269" t="s">
        <v>140</v>
      </c>
    </row>
    <row r="71" spans="2:9" ht="16" thickBot="1">
      <c r="B71" t="s">
        <v>141</v>
      </c>
      <c r="C71" s="7" t="s">
        <v>835</v>
      </c>
      <c r="D71" s="7" t="str">
        <f t="shared" si="1"/>
        <v>EST</v>
      </c>
      <c r="F71" s="269" t="s">
        <v>835</v>
      </c>
      <c r="G71" s="269" t="s">
        <v>1279</v>
      </c>
      <c r="H71" s="269">
        <v>233</v>
      </c>
      <c r="I71" s="269" t="s">
        <v>141</v>
      </c>
    </row>
    <row r="72" spans="2:9" ht="16" thickBot="1">
      <c r="B72" t="s">
        <v>142</v>
      </c>
      <c r="C72" s="7" t="s">
        <v>837</v>
      </c>
      <c r="D72" s="7" t="str">
        <f t="shared" si="1"/>
        <v>SWZ</v>
      </c>
      <c r="F72" s="269" t="s">
        <v>837</v>
      </c>
      <c r="G72" s="269" t="s">
        <v>1280</v>
      </c>
      <c r="H72" s="269">
        <v>748</v>
      </c>
      <c r="I72" s="269" t="s">
        <v>1281</v>
      </c>
    </row>
    <row r="73" spans="2:9" ht="16" thickBot="1">
      <c r="B73" t="s">
        <v>143</v>
      </c>
      <c r="C73" s="7" t="s">
        <v>839</v>
      </c>
      <c r="D73" s="7" t="str">
        <f t="shared" si="1"/>
        <v>ETH</v>
      </c>
      <c r="F73" s="269" t="s">
        <v>839</v>
      </c>
      <c r="G73" s="269" t="s">
        <v>1282</v>
      </c>
      <c r="H73" s="269">
        <v>231</v>
      </c>
      <c r="I73" s="269" t="s">
        <v>143</v>
      </c>
    </row>
    <row r="74" spans="2:9" ht="16" thickBot="1">
      <c r="B74" t="s">
        <v>144</v>
      </c>
      <c r="C74" s="7" t="s">
        <v>841</v>
      </c>
      <c r="D74" s="7" t="str">
        <f t="shared" si="1"/>
        <v>FLK</v>
      </c>
      <c r="F74" s="269" t="s">
        <v>841</v>
      </c>
      <c r="G74" s="269" t="s">
        <v>1283</v>
      </c>
      <c r="H74" s="269">
        <v>238</v>
      </c>
      <c r="I74" s="269" t="s">
        <v>1284</v>
      </c>
    </row>
    <row r="75" spans="2:9" ht="16" thickBot="1">
      <c r="B75" t="s">
        <v>145</v>
      </c>
      <c r="C75" s="7" t="s">
        <v>843</v>
      </c>
      <c r="D75" s="7" t="str">
        <f t="shared" si="1"/>
        <v>FRO</v>
      </c>
      <c r="F75" s="269" t="s">
        <v>843</v>
      </c>
      <c r="G75" s="269" t="s">
        <v>1285</v>
      </c>
      <c r="H75" s="269">
        <v>234</v>
      </c>
      <c r="I75" s="269" t="s">
        <v>1286</v>
      </c>
    </row>
    <row r="76" spans="2:9" ht="16" thickBot="1">
      <c r="B76" t="s">
        <v>146</v>
      </c>
      <c r="C76" s="7" t="s">
        <v>845</v>
      </c>
      <c r="D76" s="7" t="str">
        <f t="shared" si="1"/>
        <v>FJI</v>
      </c>
      <c r="F76" s="269" t="s">
        <v>845</v>
      </c>
      <c r="G76" s="269" t="s">
        <v>1287</v>
      </c>
      <c r="H76" s="269">
        <v>242</v>
      </c>
      <c r="I76" s="269" t="s">
        <v>146</v>
      </c>
    </row>
    <row r="77" spans="2:9" ht="16" thickBot="1">
      <c r="B77" t="s">
        <v>147</v>
      </c>
      <c r="C77" s="7" t="s">
        <v>847</v>
      </c>
      <c r="D77" s="7" t="str">
        <f t="shared" si="1"/>
        <v>FIN</v>
      </c>
      <c r="F77" s="269" t="s">
        <v>847</v>
      </c>
      <c r="G77" s="269" t="s">
        <v>1288</v>
      </c>
      <c r="H77" s="269">
        <v>246</v>
      </c>
      <c r="I77" s="269" t="s">
        <v>147</v>
      </c>
    </row>
    <row r="78" spans="2:9" ht="16" thickBot="1">
      <c r="B78" t="s">
        <v>148</v>
      </c>
      <c r="C78" s="7" t="s">
        <v>849</v>
      </c>
      <c r="D78" s="7" t="str">
        <f t="shared" si="1"/>
        <v>FRA</v>
      </c>
      <c r="F78" s="269" t="s">
        <v>849</v>
      </c>
      <c r="G78" s="269" t="s">
        <v>1289</v>
      </c>
      <c r="H78" s="269">
        <v>250</v>
      </c>
      <c r="I78" s="269" t="s">
        <v>148</v>
      </c>
    </row>
    <row r="79" spans="2:9" ht="16" thickBot="1">
      <c r="B79" t="s">
        <v>149</v>
      </c>
      <c r="C79" s="7" t="s">
        <v>851</v>
      </c>
      <c r="D79" s="7" t="str">
        <f t="shared" si="1"/>
        <v>GUF</v>
      </c>
      <c r="F79" s="269" t="s">
        <v>851</v>
      </c>
      <c r="G79" s="269" t="s">
        <v>1290</v>
      </c>
      <c r="H79" s="269">
        <v>254</v>
      </c>
      <c r="I79" s="269" t="s">
        <v>149</v>
      </c>
    </row>
    <row r="80" spans="2:9" ht="16" thickBot="1">
      <c r="B80" t="s">
        <v>150</v>
      </c>
      <c r="C80" s="7" t="s">
        <v>853</v>
      </c>
      <c r="D80" s="7" t="str">
        <f t="shared" si="1"/>
        <v>PYF</v>
      </c>
      <c r="F80" s="269" t="s">
        <v>853</v>
      </c>
      <c r="G80" s="269" t="s">
        <v>1291</v>
      </c>
      <c r="H80" s="269">
        <v>258</v>
      </c>
      <c r="I80" s="269" t="s">
        <v>150</v>
      </c>
    </row>
    <row r="81" spans="2:9" ht="16" thickBot="1">
      <c r="B81" t="s">
        <v>151</v>
      </c>
      <c r="C81" s="7" t="s">
        <v>855</v>
      </c>
      <c r="D81" s="7" t="str">
        <f t="shared" si="1"/>
        <v>ATF</v>
      </c>
      <c r="F81" s="269" t="s">
        <v>855</v>
      </c>
      <c r="G81" s="269" t="s">
        <v>1292</v>
      </c>
      <c r="H81" s="269">
        <v>260</v>
      </c>
      <c r="I81" s="269" t="s">
        <v>1293</v>
      </c>
    </row>
    <row r="82" spans="2:9" ht="16" thickBot="1">
      <c r="B82" t="s">
        <v>152</v>
      </c>
      <c r="C82" s="7" t="s">
        <v>857</v>
      </c>
      <c r="D82" s="7" t="str">
        <f t="shared" si="1"/>
        <v>GAB</v>
      </c>
      <c r="F82" s="269" t="s">
        <v>857</v>
      </c>
      <c r="G82" s="269" t="s">
        <v>1294</v>
      </c>
      <c r="H82" s="269">
        <v>266</v>
      </c>
      <c r="I82" s="269" t="s">
        <v>152</v>
      </c>
    </row>
    <row r="83" spans="2:9" ht="16" thickBot="1">
      <c r="B83" t="s">
        <v>153</v>
      </c>
      <c r="C83" s="7" t="s">
        <v>859</v>
      </c>
      <c r="D83" s="7" t="str">
        <f t="shared" si="1"/>
        <v>GMB</v>
      </c>
      <c r="F83" s="269" t="s">
        <v>859</v>
      </c>
      <c r="G83" s="269" t="s">
        <v>1295</v>
      </c>
      <c r="H83" s="269">
        <v>270</v>
      </c>
      <c r="I83" s="269" t="s">
        <v>1296</v>
      </c>
    </row>
    <row r="84" spans="2:9" ht="16" thickBot="1">
      <c r="B84" t="s">
        <v>154</v>
      </c>
      <c r="C84" s="7" t="s">
        <v>861</v>
      </c>
      <c r="D84" s="7" t="str">
        <f t="shared" si="1"/>
        <v>GEO</v>
      </c>
      <c r="F84" s="269" t="s">
        <v>861</v>
      </c>
      <c r="G84" s="269" t="s">
        <v>1297</v>
      </c>
      <c r="H84" s="269">
        <v>268</v>
      </c>
      <c r="I84" s="269" t="s">
        <v>154</v>
      </c>
    </row>
    <row r="85" spans="2:9" ht="16" thickBot="1">
      <c r="B85" t="s">
        <v>155</v>
      </c>
      <c r="C85" s="7" t="s">
        <v>863</v>
      </c>
      <c r="D85" s="7" t="str">
        <f t="shared" si="1"/>
        <v>DEU</v>
      </c>
      <c r="F85" s="269" t="s">
        <v>863</v>
      </c>
      <c r="G85" s="269" t="s">
        <v>1298</v>
      </c>
      <c r="H85" s="269">
        <v>276</v>
      </c>
      <c r="I85" s="269" t="s">
        <v>155</v>
      </c>
    </row>
    <row r="86" spans="2:9" ht="16" thickBot="1">
      <c r="B86" t="s">
        <v>156</v>
      </c>
      <c r="C86" s="7" t="s">
        <v>865</v>
      </c>
      <c r="D86" s="7" t="str">
        <f t="shared" si="1"/>
        <v>GHA</v>
      </c>
      <c r="F86" s="269" t="s">
        <v>865</v>
      </c>
      <c r="G86" s="269" t="s">
        <v>1299</v>
      </c>
      <c r="H86" s="269">
        <v>288</v>
      </c>
      <c r="I86" s="269" t="s">
        <v>156</v>
      </c>
    </row>
    <row r="87" spans="2:9" ht="16" thickBot="1">
      <c r="B87" t="s">
        <v>157</v>
      </c>
      <c r="C87" s="7" t="s">
        <v>867</v>
      </c>
      <c r="D87" s="7" t="str">
        <f t="shared" si="1"/>
        <v>GIB</v>
      </c>
      <c r="F87" s="269" t="s">
        <v>867</v>
      </c>
      <c r="G87" s="269" t="s">
        <v>1300</v>
      </c>
      <c r="H87" s="269">
        <v>292</v>
      </c>
      <c r="I87" s="269" t="s">
        <v>157</v>
      </c>
    </row>
    <row r="88" spans="2:9" ht="16" thickBot="1">
      <c r="B88" t="s">
        <v>158</v>
      </c>
      <c r="C88" s="7" t="s">
        <v>869</v>
      </c>
      <c r="D88" s="7" t="str">
        <f t="shared" si="1"/>
        <v>GRC</v>
      </c>
      <c r="F88" s="269" t="s">
        <v>869</v>
      </c>
      <c r="G88" s="269" t="s">
        <v>1301</v>
      </c>
      <c r="H88" s="269">
        <v>300</v>
      </c>
      <c r="I88" s="269" t="s">
        <v>158</v>
      </c>
    </row>
    <row r="89" spans="2:9" ht="16" thickBot="1">
      <c r="B89" t="s">
        <v>159</v>
      </c>
      <c r="C89" s="7" t="s">
        <v>871</v>
      </c>
      <c r="D89" s="7" t="str">
        <f t="shared" si="1"/>
        <v>GRL</v>
      </c>
      <c r="F89" s="269" t="s">
        <v>871</v>
      </c>
      <c r="G89" s="269" t="s">
        <v>1302</v>
      </c>
      <c r="H89" s="269">
        <v>304</v>
      </c>
      <c r="I89" s="269" t="s">
        <v>159</v>
      </c>
    </row>
    <row r="90" spans="2:9" ht="16" thickBot="1">
      <c r="B90" t="s">
        <v>160</v>
      </c>
      <c r="C90" s="7" t="s">
        <v>873</v>
      </c>
      <c r="D90" s="7" t="str">
        <f t="shared" si="1"/>
        <v>GRD</v>
      </c>
      <c r="F90" s="269" t="s">
        <v>873</v>
      </c>
      <c r="G90" s="269" t="s">
        <v>1303</v>
      </c>
      <c r="H90" s="269">
        <v>308</v>
      </c>
      <c r="I90" s="269" t="s">
        <v>160</v>
      </c>
    </row>
    <row r="91" spans="2:9" ht="16" thickBot="1">
      <c r="B91" t="s">
        <v>161</v>
      </c>
      <c r="C91" s="7" t="s">
        <v>875</v>
      </c>
      <c r="D91" s="7" t="str">
        <f t="shared" si="1"/>
        <v>GLP</v>
      </c>
      <c r="F91" s="269" t="s">
        <v>875</v>
      </c>
      <c r="G91" s="269" t="s">
        <v>1304</v>
      </c>
      <c r="H91" s="269">
        <v>312</v>
      </c>
      <c r="I91" s="269" t="s">
        <v>161</v>
      </c>
    </row>
    <row r="92" spans="2:9" ht="16" thickBot="1">
      <c r="B92" t="s">
        <v>162</v>
      </c>
      <c r="C92" s="7" t="s">
        <v>880</v>
      </c>
      <c r="D92" s="7" t="str">
        <f t="shared" si="1"/>
        <v>GTM</v>
      </c>
      <c r="F92" s="269" t="s">
        <v>877</v>
      </c>
      <c r="G92" s="269" t="s">
        <v>1305</v>
      </c>
      <c r="H92" s="269">
        <v>316</v>
      </c>
      <c r="I92" s="269" t="s">
        <v>51</v>
      </c>
    </row>
    <row r="93" spans="2:9" ht="16" thickBot="1">
      <c r="B93" t="s">
        <v>163</v>
      </c>
      <c r="C93" s="7" t="s">
        <v>882</v>
      </c>
      <c r="D93" s="7" t="str">
        <f t="shared" si="1"/>
        <v>GGY</v>
      </c>
      <c r="F93" s="269" t="s">
        <v>880</v>
      </c>
      <c r="G93" s="269" t="s">
        <v>1306</v>
      </c>
      <c r="H93" s="269">
        <v>320</v>
      </c>
      <c r="I93" s="269" t="s">
        <v>162</v>
      </c>
    </row>
    <row r="94" spans="2:9" ht="16" thickBot="1">
      <c r="B94" t="s">
        <v>164</v>
      </c>
      <c r="C94" s="7" t="s">
        <v>884</v>
      </c>
      <c r="D94" s="7" t="str">
        <f t="shared" si="1"/>
        <v>GIN</v>
      </c>
      <c r="F94" s="269" t="s">
        <v>882</v>
      </c>
      <c r="G94" s="269" t="s">
        <v>1307</v>
      </c>
      <c r="H94" s="269">
        <v>831</v>
      </c>
      <c r="I94" s="269" t="s">
        <v>163</v>
      </c>
    </row>
    <row r="95" spans="2:9" ht="16" thickBot="1">
      <c r="B95" t="s">
        <v>165</v>
      </c>
      <c r="C95" s="7" t="s">
        <v>886</v>
      </c>
      <c r="D95" s="7" t="str">
        <f t="shared" si="1"/>
        <v>GNB</v>
      </c>
      <c r="F95" s="269" t="s">
        <v>884</v>
      </c>
      <c r="G95" s="269" t="s">
        <v>1308</v>
      </c>
      <c r="H95" s="269">
        <v>324</v>
      </c>
      <c r="I95" s="269" t="s">
        <v>164</v>
      </c>
    </row>
    <row r="96" spans="2:9" ht="16" thickBot="1">
      <c r="B96" t="s">
        <v>166</v>
      </c>
      <c r="C96" s="7" t="s">
        <v>888</v>
      </c>
      <c r="D96" s="7" t="str">
        <f t="shared" si="1"/>
        <v>GUY</v>
      </c>
      <c r="F96" s="269" t="s">
        <v>886</v>
      </c>
      <c r="G96" s="269" t="s">
        <v>1309</v>
      </c>
      <c r="H96" s="269">
        <v>624</v>
      </c>
      <c r="I96" s="269" t="s">
        <v>165</v>
      </c>
    </row>
    <row r="97" spans="2:9" ht="16" thickBot="1">
      <c r="B97" t="s">
        <v>167</v>
      </c>
      <c r="C97" s="7" t="s">
        <v>364</v>
      </c>
      <c r="D97" s="7" t="str">
        <f t="shared" si="1"/>
        <v>HTI</v>
      </c>
      <c r="F97" s="269" t="s">
        <v>888</v>
      </c>
      <c r="G97" s="269" t="s">
        <v>1310</v>
      </c>
      <c r="H97" s="269">
        <v>328</v>
      </c>
      <c r="I97" s="269" t="s">
        <v>166</v>
      </c>
    </row>
    <row r="98" spans="2:9" ht="16" thickBot="1">
      <c r="B98" t="s">
        <v>168</v>
      </c>
      <c r="C98" s="7" t="s">
        <v>891</v>
      </c>
      <c r="D98" s="7" t="str">
        <f t="shared" si="1"/>
        <v>HMD</v>
      </c>
      <c r="F98" s="269" t="s">
        <v>364</v>
      </c>
      <c r="G98" s="269" t="s">
        <v>1311</v>
      </c>
      <c r="H98" s="269">
        <v>332</v>
      </c>
      <c r="I98" s="269" t="s">
        <v>167</v>
      </c>
    </row>
    <row r="99" spans="2:9" ht="16" thickBot="1">
      <c r="B99" t="s">
        <v>169</v>
      </c>
      <c r="C99" s="7" t="s">
        <v>893</v>
      </c>
      <c r="D99" s="7" t="str">
        <f t="shared" si="1"/>
        <v>HND</v>
      </c>
      <c r="F99" s="269" t="s">
        <v>891</v>
      </c>
      <c r="G99" s="269" t="s">
        <v>1312</v>
      </c>
      <c r="H99" s="269">
        <v>334</v>
      </c>
      <c r="I99" s="269" t="s">
        <v>1313</v>
      </c>
    </row>
    <row r="100" spans="2:9" ht="16" thickBot="1">
      <c r="B100" t="s">
        <v>170</v>
      </c>
      <c r="C100" s="7" t="s">
        <v>895</v>
      </c>
      <c r="D100" s="7" t="str">
        <f t="shared" si="1"/>
        <v>HKG</v>
      </c>
      <c r="F100" s="269" t="s">
        <v>1175</v>
      </c>
      <c r="G100" s="269" t="s">
        <v>1314</v>
      </c>
      <c r="H100" s="269">
        <v>336</v>
      </c>
      <c r="I100" s="269" t="s">
        <v>1315</v>
      </c>
    </row>
    <row r="101" spans="2:9" ht="16" thickBot="1">
      <c r="B101" t="s">
        <v>171</v>
      </c>
      <c r="C101" s="7" t="s">
        <v>897</v>
      </c>
      <c r="D101" s="7" t="str">
        <f t="shared" si="1"/>
        <v>HUN</v>
      </c>
      <c r="F101" s="269" t="s">
        <v>893</v>
      </c>
      <c r="G101" s="269" t="s">
        <v>1316</v>
      </c>
      <c r="H101" s="269">
        <v>340</v>
      </c>
      <c r="I101" s="269" t="s">
        <v>169</v>
      </c>
    </row>
    <row r="102" spans="2:9" ht="16" thickBot="1">
      <c r="B102" t="s">
        <v>172</v>
      </c>
      <c r="C102" s="7" t="s">
        <v>899</v>
      </c>
      <c r="D102" s="7" t="str">
        <f t="shared" si="1"/>
        <v>ISL</v>
      </c>
      <c r="F102" s="269" t="s">
        <v>895</v>
      </c>
      <c r="G102" s="269" t="s">
        <v>1317</v>
      </c>
      <c r="H102" s="269">
        <v>344</v>
      </c>
      <c r="I102" s="269" t="s">
        <v>170</v>
      </c>
    </row>
    <row r="103" spans="2:9" ht="16" thickBot="1">
      <c r="B103" t="s">
        <v>173</v>
      </c>
      <c r="C103" s="7" t="s">
        <v>901</v>
      </c>
      <c r="D103" s="7" t="str">
        <f t="shared" si="1"/>
        <v>IND</v>
      </c>
      <c r="F103" s="269" t="s">
        <v>897</v>
      </c>
      <c r="G103" s="269" t="s">
        <v>1318</v>
      </c>
      <c r="H103" s="269">
        <v>348</v>
      </c>
      <c r="I103" s="269" t="s">
        <v>171</v>
      </c>
    </row>
    <row r="104" spans="2:9" ht="16" thickBot="1">
      <c r="B104" t="s">
        <v>174</v>
      </c>
      <c r="C104" s="7" t="s">
        <v>903</v>
      </c>
      <c r="D104" s="7" t="str">
        <f t="shared" si="1"/>
        <v>IDN</v>
      </c>
      <c r="F104" s="269" t="s">
        <v>899</v>
      </c>
      <c r="G104" s="269" t="s">
        <v>1319</v>
      </c>
      <c r="H104" s="269">
        <v>352</v>
      </c>
      <c r="I104" s="269" t="s">
        <v>172</v>
      </c>
    </row>
    <row r="105" spans="2:9" ht="16" thickBot="1">
      <c r="B105" t="s">
        <v>175</v>
      </c>
      <c r="C105" s="7" t="s">
        <v>907</v>
      </c>
      <c r="D105" s="7" t="str">
        <f t="shared" si="1"/>
        <v>IRQ</v>
      </c>
      <c r="F105" s="269" t="s">
        <v>901</v>
      </c>
      <c r="G105" s="269" t="s">
        <v>1320</v>
      </c>
      <c r="H105" s="269">
        <v>356</v>
      </c>
      <c r="I105" s="269" t="s">
        <v>173</v>
      </c>
    </row>
    <row r="106" spans="2:9" ht="16" thickBot="1">
      <c r="B106" t="s">
        <v>176</v>
      </c>
      <c r="C106" s="7" t="s">
        <v>910</v>
      </c>
      <c r="D106" s="7" t="str">
        <f t="shared" si="1"/>
        <v>IRL</v>
      </c>
      <c r="F106" s="269" t="s">
        <v>903</v>
      </c>
      <c r="G106" s="269" t="s">
        <v>1321</v>
      </c>
      <c r="H106" s="269">
        <v>360</v>
      </c>
      <c r="I106" s="269" t="s">
        <v>174</v>
      </c>
    </row>
    <row r="107" spans="2:9" ht="16" thickBot="1">
      <c r="B107" t="s">
        <v>177</v>
      </c>
      <c r="C107" s="7" t="s">
        <v>912</v>
      </c>
      <c r="D107" s="7" t="str">
        <f t="shared" si="1"/>
        <v>IMN</v>
      </c>
      <c r="F107" s="269" t="s">
        <v>905</v>
      </c>
      <c r="G107" s="269" t="s">
        <v>1322</v>
      </c>
      <c r="H107" s="269">
        <v>364</v>
      </c>
      <c r="I107" s="269" t="s">
        <v>1323</v>
      </c>
    </row>
    <row r="108" spans="2:9" ht="16" thickBot="1">
      <c r="B108" t="s">
        <v>178</v>
      </c>
      <c r="C108" s="7" t="s">
        <v>914</v>
      </c>
      <c r="D108" s="7" t="str">
        <f t="shared" si="1"/>
        <v>ISR</v>
      </c>
      <c r="F108" s="269" t="s">
        <v>907</v>
      </c>
      <c r="G108" s="269" t="s">
        <v>1324</v>
      </c>
      <c r="H108" s="269">
        <v>368</v>
      </c>
      <c r="I108" s="269" t="s">
        <v>175</v>
      </c>
    </row>
    <row r="109" spans="2:9" ht="16" thickBot="1">
      <c r="B109" t="s">
        <v>179</v>
      </c>
      <c r="C109" s="7" t="s">
        <v>916</v>
      </c>
      <c r="D109" s="7" t="str">
        <f t="shared" si="1"/>
        <v>ITA</v>
      </c>
      <c r="F109" s="269" t="s">
        <v>910</v>
      </c>
      <c r="G109" s="269" t="s">
        <v>1325</v>
      </c>
      <c r="H109" s="269">
        <v>372</v>
      </c>
      <c r="I109" s="269" t="s">
        <v>176</v>
      </c>
    </row>
    <row r="110" spans="2:9" ht="16" thickBot="1">
      <c r="B110" t="s">
        <v>180</v>
      </c>
      <c r="C110" s="7" t="s">
        <v>918</v>
      </c>
      <c r="D110" s="7" t="str">
        <f t="shared" si="1"/>
        <v>JAM</v>
      </c>
      <c r="F110" s="269" t="s">
        <v>912</v>
      </c>
      <c r="G110" s="269" t="s">
        <v>1326</v>
      </c>
      <c r="H110" s="269">
        <v>833</v>
      </c>
      <c r="I110" s="269" t="s">
        <v>436</v>
      </c>
    </row>
    <row r="111" spans="2:9" ht="16" thickBot="1">
      <c r="B111" t="s">
        <v>181</v>
      </c>
      <c r="C111" s="7" t="s">
        <v>353</v>
      </c>
      <c r="D111" s="7" t="str">
        <f t="shared" si="1"/>
        <v>JPN</v>
      </c>
      <c r="F111" s="269" t="s">
        <v>914</v>
      </c>
      <c r="G111" s="269" t="s">
        <v>1327</v>
      </c>
      <c r="H111" s="269">
        <v>376</v>
      </c>
      <c r="I111" s="269" t="s">
        <v>178</v>
      </c>
    </row>
    <row r="112" spans="2:9" ht="16" thickBot="1">
      <c r="B112" t="s">
        <v>183</v>
      </c>
      <c r="C112" s="7" t="s">
        <v>921</v>
      </c>
      <c r="D112" s="7" t="str">
        <f t="shared" si="1"/>
        <v>JEY</v>
      </c>
      <c r="F112" s="269" t="s">
        <v>916</v>
      </c>
      <c r="G112" s="269" t="s">
        <v>1328</v>
      </c>
      <c r="H112" s="269">
        <v>380</v>
      </c>
      <c r="I112" s="269" t="s">
        <v>179</v>
      </c>
    </row>
    <row r="113" spans="2:9" ht="16" thickBot="1">
      <c r="B113" t="s">
        <v>184</v>
      </c>
      <c r="C113" s="7" t="s">
        <v>923</v>
      </c>
      <c r="D113" s="7" t="str">
        <f t="shared" si="1"/>
        <v>JOR</v>
      </c>
      <c r="F113" s="269" t="s">
        <v>918</v>
      </c>
      <c r="G113" s="269" t="s">
        <v>1329</v>
      </c>
      <c r="H113" s="269">
        <v>388</v>
      </c>
      <c r="I113" s="269" t="s">
        <v>180</v>
      </c>
    </row>
    <row r="114" spans="2:9" ht="16" thickBot="1">
      <c r="B114" t="s">
        <v>185</v>
      </c>
      <c r="C114" s="7" t="s">
        <v>925</v>
      </c>
      <c r="D114" s="7" t="str">
        <f t="shared" si="1"/>
        <v>KAZ</v>
      </c>
      <c r="F114" s="269" t="s">
        <v>353</v>
      </c>
      <c r="G114" s="269" t="s">
        <v>1330</v>
      </c>
      <c r="H114" s="269">
        <v>392</v>
      </c>
      <c r="I114" s="269" t="s">
        <v>181</v>
      </c>
    </row>
    <row r="115" spans="2:9" ht="16" thickBot="1">
      <c r="B115" t="s">
        <v>186</v>
      </c>
      <c r="C115" s="7" t="s">
        <v>927</v>
      </c>
      <c r="D115" s="7" t="str">
        <f t="shared" si="1"/>
        <v>KEN</v>
      </c>
      <c r="F115" s="269" t="s">
        <v>921</v>
      </c>
      <c r="G115" s="269" t="s">
        <v>1331</v>
      </c>
      <c r="H115" s="269">
        <v>832</v>
      </c>
      <c r="I115" s="269" t="s">
        <v>183</v>
      </c>
    </row>
    <row r="116" spans="2:9" ht="16" thickBot="1">
      <c r="B116" t="s">
        <v>187</v>
      </c>
      <c r="C116" s="7" t="s">
        <v>929</v>
      </c>
      <c r="D116" s="7" t="str">
        <f t="shared" si="1"/>
        <v>KIR</v>
      </c>
      <c r="F116" s="269" t="s">
        <v>923</v>
      </c>
      <c r="G116" s="269" t="s">
        <v>1332</v>
      </c>
      <c r="H116" s="269">
        <v>400</v>
      </c>
      <c r="I116" s="269" t="s">
        <v>184</v>
      </c>
    </row>
    <row r="117" spans="2:9" ht="16" thickBot="1">
      <c r="B117" t="s">
        <v>188</v>
      </c>
      <c r="C117" s="7" t="s">
        <v>931</v>
      </c>
      <c r="D117" s="7" t="e">
        <f t="shared" si="1"/>
        <v>#N/A</v>
      </c>
      <c r="F117" s="269" t="s">
        <v>925</v>
      </c>
      <c r="G117" s="269" t="s">
        <v>1333</v>
      </c>
      <c r="H117" s="269">
        <v>398</v>
      </c>
      <c r="I117" s="269" t="s">
        <v>185</v>
      </c>
    </row>
    <row r="118" spans="2:9" ht="16" thickBot="1">
      <c r="B118" t="s">
        <v>189</v>
      </c>
      <c r="C118" s="7" t="s">
        <v>933</v>
      </c>
      <c r="D118" s="7" t="str">
        <f t="shared" si="1"/>
        <v>KWT</v>
      </c>
      <c r="F118" s="269" t="s">
        <v>927</v>
      </c>
      <c r="G118" s="269" t="s">
        <v>1334</v>
      </c>
      <c r="H118" s="269">
        <v>404</v>
      </c>
      <c r="I118" s="269" t="s">
        <v>186</v>
      </c>
    </row>
    <row r="119" spans="2:9" ht="16" thickBot="1">
      <c r="B119" t="s">
        <v>190</v>
      </c>
      <c r="C119" s="7" t="s">
        <v>935</v>
      </c>
      <c r="D119" s="7" t="str">
        <f t="shared" si="1"/>
        <v>KGZ</v>
      </c>
      <c r="F119" s="269" t="s">
        <v>929</v>
      </c>
      <c r="G119" s="269" t="s">
        <v>1335</v>
      </c>
      <c r="H119" s="269">
        <v>296</v>
      </c>
      <c r="I119" s="269" t="s">
        <v>187</v>
      </c>
    </row>
    <row r="120" spans="2:9" ht="16" thickBot="1">
      <c r="B120" t="s">
        <v>191</v>
      </c>
      <c r="C120" s="7" t="s">
        <v>937</v>
      </c>
      <c r="D120" s="7" t="str">
        <f t="shared" si="1"/>
        <v>LAO</v>
      </c>
      <c r="F120" s="269" t="s">
        <v>1022</v>
      </c>
      <c r="G120" s="269" t="s">
        <v>1336</v>
      </c>
      <c r="H120" s="269">
        <v>408</v>
      </c>
      <c r="I120" s="269" t="s">
        <v>1337</v>
      </c>
    </row>
    <row r="121" spans="2:9" ht="16" thickBot="1">
      <c r="B121" t="s">
        <v>192</v>
      </c>
      <c r="C121" s="7" t="s">
        <v>939</v>
      </c>
      <c r="D121" s="7" t="str">
        <f t="shared" si="1"/>
        <v>LVA</v>
      </c>
      <c r="F121" s="269" t="s">
        <v>1095</v>
      </c>
      <c r="G121" s="269" t="s">
        <v>1338</v>
      </c>
      <c r="H121" s="269">
        <v>410</v>
      </c>
      <c r="I121" s="269" t="s">
        <v>1339</v>
      </c>
    </row>
    <row r="122" spans="2:9" ht="16" thickBot="1">
      <c r="B122" t="s">
        <v>193</v>
      </c>
      <c r="C122" s="7" t="s">
        <v>941</v>
      </c>
      <c r="D122" s="7" t="str">
        <f t="shared" si="1"/>
        <v>LBN</v>
      </c>
      <c r="F122" s="269" t="s">
        <v>933</v>
      </c>
      <c r="G122" s="269" t="s">
        <v>1340</v>
      </c>
      <c r="H122" s="269">
        <v>414</v>
      </c>
      <c r="I122" s="269" t="s">
        <v>189</v>
      </c>
    </row>
    <row r="123" spans="2:9" ht="16" thickBot="1">
      <c r="B123" t="s">
        <v>194</v>
      </c>
      <c r="C123" s="7" t="s">
        <v>943</v>
      </c>
      <c r="D123" s="7" t="str">
        <f t="shared" si="1"/>
        <v>LSO</v>
      </c>
      <c r="F123" s="269" t="s">
        <v>935</v>
      </c>
      <c r="G123" s="269" t="s">
        <v>1341</v>
      </c>
      <c r="H123" s="269">
        <v>417</v>
      </c>
      <c r="I123" s="269" t="s">
        <v>190</v>
      </c>
    </row>
    <row r="124" spans="2:9" ht="16" thickBot="1">
      <c r="B124" t="s">
        <v>195</v>
      </c>
      <c r="C124" s="7" t="s">
        <v>945</v>
      </c>
      <c r="D124" s="7" t="str">
        <f t="shared" si="1"/>
        <v>LBR</v>
      </c>
      <c r="F124" s="269" t="s">
        <v>937</v>
      </c>
      <c r="G124" s="269" t="s">
        <v>1342</v>
      </c>
      <c r="H124" s="269">
        <v>418</v>
      </c>
      <c r="I124" s="269" t="s">
        <v>1343</v>
      </c>
    </row>
    <row r="125" spans="2:9" ht="16" thickBot="1">
      <c r="B125" t="s">
        <v>196</v>
      </c>
      <c r="C125" s="7" t="s">
        <v>947</v>
      </c>
      <c r="D125" s="7" t="str">
        <f t="shared" si="1"/>
        <v>LBY</v>
      </c>
      <c r="F125" s="269" t="s">
        <v>939</v>
      </c>
      <c r="G125" s="269" t="s">
        <v>1344</v>
      </c>
      <c r="H125" s="269">
        <v>428</v>
      </c>
      <c r="I125" s="269" t="s">
        <v>192</v>
      </c>
    </row>
    <row r="126" spans="2:9" ht="16" thickBot="1">
      <c r="B126" t="s">
        <v>197</v>
      </c>
      <c r="C126" s="7" t="s">
        <v>949</v>
      </c>
      <c r="D126" s="7" t="str">
        <f t="shared" si="1"/>
        <v>LIE</v>
      </c>
      <c r="F126" s="269" t="s">
        <v>941</v>
      </c>
      <c r="G126" s="269" t="s">
        <v>1345</v>
      </c>
      <c r="H126" s="269">
        <v>422</v>
      </c>
      <c r="I126" s="269" t="s">
        <v>193</v>
      </c>
    </row>
    <row r="127" spans="2:9" ht="16" thickBot="1">
      <c r="B127" t="s">
        <v>198</v>
      </c>
      <c r="C127" s="7" t="s">
        <v>951</v>
      </c>
      <c r="D127" s="7" t="str">
        <f t="shared" si="1"/>
        <v>LTU</v>
      </c>
      <c r="F127" s="269" t="s">
        <v>943</v>
      </c>
      <c r="G127" s="269" t="s">
        <v>1346</v>
      </c>
      <c r="H127" s="269">
        <v>426</v>
      </c>
      <c r="I127" s="269" t="s">
        <v>194</v>
      </c>
    </row>
    <row r="128" spans="2:9" ht="16" thickBot="1">
      <c r="B128" t="s">
        <v>199</v>
      </c>
      <c r="C128" s="7" t="s">
        <v>953</v>
      </c>
      <c r="D128" s="7" t="str">
        <f t="shared" si="1"/>
        <v>LUX</v>
      </c>
      <c r="F128" s="269" t="s">
        <v>945</v>
      </c>
      <c r="G128" s="269" t="s">
        <v>1347</v>
      </c>
      <c r="H128" s="269">
        <v>430</v>
      </c>
      <c r="I128" s="269" t="s">
        <v>195</v>
      </c>
    </row>
    <row r="129" spans="2:9" ht="16" thickBot="1">
      <c r="B129" t="s">
        <v>200</v>
      </c>
      <c r="C129" s="7" t="s">
        <v>955</v>
      </c>
      <c r="D129" s="7" t="str">
        <f t="shared" si="1"/>
        <v>MAC</v>
      </c>
      <c r="F129" s="269" t="s">
        <v>947</v>
      </c>
      <c r="G129" s="269" t="s">
        <v>1348</v>
      </c>
      <c r="H129" s="269">
        <v>434</v>
      </c>
      <c r="I129" s="269" t="s">
        <v>196</v>
      </c>
    </row>
    <row r="130" spans="2:9" ht="16" thickBot="1">
      <c r="B130" t="s">
        <v>201</v>
      </c>
      <c r="C130" s="7" t="s">
        <v>957</v>
      </c>
      <c r="D130" s="7" t="str">
        <f t="shared" si="1"/>
        <v>MKD</v>
      </c>
      <c r="F130" s="269" t="s">
        <v>949</v>
      </c>
      <c r="G130" s="269" t="s">
        <v>1349</v>
      </c>
      <c r="H130" s="269">
        <v>438</v>
      </c>
      <c r="I130" s="269" t="s">
        <v>197</v>
      </c>
    </row>
    <row r="131" spans="2:9" ht="16" thickBot="1">
      <c r="B131" t="s">
        <v>202</v>
      </c>
      <c r="C131" s="7" t="s">
        <v>959</v>
      </c>
      <c r="D131" s="7" t="str">
        <f t="shared" ref="D131:D194" si="2">+VLOOKUP(C131,$F$3:$G$251,2,FALSE)</f>
        <v>MDG</v>
      </c>
      <c r="F131" s="269" t="s">
        <v>951</v>
      </c>
      <c r="G131" s="269" t="s">
        <v>1350</v>
      </c>
      <c r="H131" s="269">
        <v>440</v>
      </c>
      <c r="I131" s="269" t="s">
        <v>198</v>
      </c>
    </row>
    <row r="132" spans="2:9" ht="16" thickBot="1">
      <c r="B132" t="s">
        <v>203</v>
      </c>
      <c r="C132" s="7" t="s">
        <v>961</v>
      </c>
      <c r="D132" s="7" t="str">
        <f t="shared" si="2"/>
        <v>MWI</v>
      </c>
      <c r="F132" s="269" t="s">
        <v>953</v>
      </c>
      <c r="G132" s="269" t="s">
        <v>1351</v>
      </c>
      <c r="H132" s="269">
        <v>442</v>
      </c>
      <c r="I132" s="269" t="s">
        <v>199</v>
      </c>
    </row>
    <row r="133" spans="2:9" ht="16" thickBot="1">
      <c r="B133" t="s">
        <v>204</v>
      </c>
      <c r="C133" s="7" t="s">
        <v>963</v>
      </c>
      <c r="D133" s="7" t="str">
        <f t="shared" si="2"/>
        <v>MYS</v>
      </c>
      <c r="F133" s="269" t="s">
        <v>955</v>
      </c>
      <c r="G133" s="269" t="s">
        <v>1352</v>
      </c>
      <c r="H133" s="269">
        <v>446</v>
      </c>
      <c r="I133" s="269" t="s">
        <v>200</v>
      </c>
    </row>
    <row r="134" spans="2:9" ht="16" thickBot="1">
      <c r="B134" t="s">
        <v>205</v>
      </c>
      <c r="C134" s="7" t="s">
        <v>965</v>
      </c>
      <c r="D134" s="7" t="str">
        <f t="shared" si="2"/>
        <v>MDV</v>
      </c>
      <c r="F134" s="269" t="s">
        <v>959</v>
      </c>
      <c r="G134" s="269" t="s">
        <v>1353</v>
      </c>
      <c r="H134" s="269">
        <v>450</v>
      </c>
      <c r="I134" s="269" t="s">
        <v>202</v>
      </c>
    </row>
    <row r="135" spans="2:9" ht="16" thickBot="1">
      <c r="B135" t="s">
        <v>206</v>
      </c>
      <c r="C135" s="7" t="s">
        <v>967</v>
      </c>
      <c r="D135" s="7" t="str">
        <f t="shared" si="2"/>
        <v>MLI</v>
      </c>
      <c r="F135" s="269" t="s">
        <v>961</v>
      </c>
      <c r="G135" s="269" t="s">
        <v>1354</v>
      </c>
      <c r="H135" s="269">
        <v>454</v>
      </c>
      <c r="I135" s="269" t="s">
        <v>203</v>
      </c>
    </row>
    <row r="136" spans="2:9" ht="16" thickBot="1">
      <c r="B136" t="s">
        <v>207</v>
      </c>
      <c r="C136" s="7" t="s">
        <v>969</v>
      </c>
      <c r="D136" s="7" t="str">
        <f t="shared" si="2"/>
        <v>MLT</v>
      </c>
      <c r="F136" s="269" t="s">
        <v>963</v>
      </c>
      <c r="G136" s="269" t="s">
        <v>1355</v>
      </c>
      <c r="H136" s="269">
        <v>458</v>
      </c>
      <c r="I136" s="269" t="s">
        <v>204</v>
      </c>
    </row>
    <row r="137" spans="2:9" ht="16" thickBot="1">
      <c r="B137" t="s">
        <v>208</v>
      </c>
      <c r="C137" s="7" t="s">
        <v>971</v>
      </c>
      <c r="D137" s="7" t="str">
        <f t="shared" si="2"/>
        <v>MHL</v>
      </c>
      <c r="F137" s="269" t="s">
        <v>965</v>
      </c>
      <c r="G137" s="269" t="s">
        <v>1356</v>
      </c>
      <c r="H137" s="269">
        <v>462</v>
      </c>
      <c r="I137" s="269" t="s">
        <v>205</v>
      </c>
    </row>
    <row r="138" spans="2:9" ht="16" thickBot="1">
      <c r="B138" t="s">
        <v>209</v>
      </c>
      <c r="C138" s="7" t="s">
        <v>973</v>
      </c>
      <c r="D138" s="7" t="str">
        <f t="shared" si="2"/>
        <v>MTQ</v>
      </c>
      <c r="F138" s="269" t="s">
        <v>967</v>
      </c>
      <c r="G138" s="269" t="s">
        <v>1357</v>
      </c>
      <c r="H138" s="269">
        <v>466</v>
      </c>
      <c r="I138" s="269" t="s">
        <v>206</v>
      </c>
    </row>
    <row r="139" spans="2:9" ht="16" thickBot="1">
      <c r="B139" t="s">
        <v>210</v>
      </c>
      <c r="C139" s="7" t="s">
        <v>975</v>
      </c>
      <c r="D139" s="7" t="str">
        <f t="shared" si="2"/>
        <v>MRT</v>
      </c>
      <c r="F139" s="269" t="s">
        <v>969</v>
      </c>
      <c r="G139" s="269" t="s">
        <v>1358</v>
      </c>
      <c r="H139" s="269">
        <v>470</v>
      </c>
      <c r="I139" s="269" t="s">
        <v>207</v>
      </c>
    </row>
    <row r="140" spans="2:9" ht="16" thickBot="1">
      <c r="B140" t="s">
        <v>211</v>
      </c>
      <c r="C140" s="7" t="s">
        <v>977</v>
      </c>
      <c r="D140" s="7" t="str">
        <f t="shared" si="2"/>
        <v>MUS</v>
      </c>
      <c r="F140" s="269" t="s">
        <v>971</v>
      </c>
      <c r="G140" s="269" t="s">
        <v>1359</v>
      </c>
      <c r="H140" s="269">
        <v>584</v>
      </c>
      <c r="I140" s="269" t="s">
        <v>1360</v>
      </c>
    </row>
    <row r="141" spans="2:9" ht="16" thickBot="1">
      <c r="B141" t="s">
        <v>212</v>
      </c>
      <c r="C141" s="7" t="s">
        <v>979</v>
      </c>
      <c r="D141" s="7" t="str">
        <f t="shared" si="2"/>
        <v>MYT</v>
      </c>
      <c r="F141" s="269" t="s">
        <v>973</v>
      </c>
      <c r="G141" s="269" t="s">
        <v>1361</v>
      </c>
      <c r="H141" s="269">
        <v>474</v>
      </c>
      <c r="I141" s="269" t="s">
        <v>209</v>
      </c>
    </row>
    <row r="142" spans="2:9" ht="16" thickBot="1">
      <c r="B142" t="s">
        <v>213</v>
      </c>
      <c r="C142" s="7" t="s">
        <v>981</v>
      </c>
      <c r="D142" s="7" t="str">
        <f t="shared" si="2"/>
        <v>MEX</v>
      </c>
      <c r="F142" s="269" t="s">
        <v>975</v>
      </c>
      <c r="G142" s="269" t="s">
        <v>1362</v>
      </c>
      <c r="H142" s="269">
        <v>478</v>
      </c>
      <c r="I142" s="269" t="s">
        <v>210</v>
      </c>
    </row>
    <row r="143" spans="2:9" ht="16" thickBot="1">
      <c r="B143" t="s">
        <v>214</v>
      </c>
      <c r="C143" s="7" t="s">
        <v>983</v>
      </c>
      <c r="D143" s="7" t="str">
        <f t="shared" si="2"/>
        <v>FSM</v>
      </c>
      <c r="F143" s="269" t="s">
        <v>977</v>
      </c>
      <c r="G143" s="269" t="s">
        <v>1363</v>
      </c>
      <c r="H143" s="269">
        <v>480</v>
      </c>
      <c r="I143" s="269" t="s">
        <v>211</v>
      </c>
    </row>
    <row r="144" spans="2:9" ht="16" thickBot="1">
      <c r="B144" t="s">
        <v>215</v>
      </c>
      <c r="C144" s="7" t="s">
        <v>985</v>
      </c>
      <c r="D144" s="7" t="str">
        <f t="shared" si="2"/>
        <v>MDA</v>
      </c>
      <c r="F144" s="269" t="s">
        <v>979</v>
      </c>
      <c r="G144" s="269" t="s">
        <v>1364</v>
      </c>
      <c r="H144" s="269">
        <v>175</v>
      </c>
      <c r="I144" s="269" t="s">
        <v>212</v>
      </c>
    </row>
    <row r="145" spans="2:9" ht="16" thickBot="1">
      <c r="B145" t="s">
        <v>216</v>
      </c>
      <c r="C145" s="7" t="s">
        <v>987</v>
      </c>
      <c r="D145" s="7" t="str">
        <f t="shared" si="2"/>
        <v>MCO</v>
      </c>
      <c r="F145" s="269" t="s">
        <v>981</v>
      </c>
      <c r="G145" s="269" t="s">
        <v>1365</v>
      </c>
      <c r="H145" s="269">
        <v>484</v>
      </c>
      <c r="I145" s="269" t="s">
        <v>213</v>
      </c>
    </row>
    <row r="146" spans="2:9" ht="16" thickBot="1">
      <c r="B146" t="s">
        <v>217</v>
      </c>
      <c r="C146" s="7" t="s">
        <v>989</v>
      </c>
      <c r="D146" s="7" t="str">
        <f t="shared" si="2"/>
        <v>MNG</v>
      </c>
      <c r="F146" s="269" t="s">
        <v>983</v>
      </c>
      <c r="G146" s="269" t="s">
        <v>1366</v>
      </c>
      <c r="H146" s="269">
        <v>583</v>
      </c>
      <c r="I146" s="269" t="s">
        <v>1367</v>
      </c>
    </row>
    <row r="147" spans="2:9" ht="16" thickBot="1">
      <c r="B147" t="s">
        <v>218</v>
      </c>
      <c r="C147" s="7" t="s">
        <v>991</v>
      </c>
      <c r="D147" s="7" t="str">
        <f t="shared" si="2"/>
        <v>MNE</v>
      </c>
      <c r="F147" s="269" t="s">
        <v>985</v>
      </c>
      <c r="G147" s="269" t="s">
        <v>1368</v>
      </c>
      <c r="H147" s="269">
        <v>498</v>
      </c>
      <c r="I147" s="269" t="s">
        <v>1369</v>
      </c>
    </row>
    <row r="148" spans="2:9" ht="16" thickBot="1">
      <c r="B148" t="s">
        <v>219</v>
      </c>
      <c r="C148" s="7" t="s">
        <v>993</v>
      </c>
      <c r="D148" s="7" t="str">
        <f t="shared" si="2"/>
        <v>MSR</v>
      </c>
      <c r="F148" s="269" t="s">
        <v>987</v>
      </c>
      <c r="G148" s="269" t="s">
        <v>1370</v>
      </c>
      <c r="H148" s="269">
        <v>492</v>
      </c>
      <c r="I148" s="269" t="s">
        <v>216</v>
      </c>
    </row>
    <row r="149" spans="2:9" ht="16" thickBot="1">
      <c r="B149" t="s">
        <v>220</v>
      </c>
      <c r="C149" s="7" t="s">
        <v>995</v>
      </c>
      <c r="D149" s="7" t="str">
        <f t="shared" si="2"/>
        <v>MAR</v>
      </c>
      <c r="F149" s="269" t="s">
        <v>989</v>
      </c>
      <c r="G149" s="269" t="s">
        <v>1371</v>
      </c>
      <c r="H149" s="269">
        <v>496</v>
      </c>
      <c r="I149" s="269" t="s">
        <v>217</v>
      </c>
    </row>
    <row r="150" spans="2:9" ht="16" thickBot="1">
      <c r="B150" t="s">
        <v>221</v>
      </c>
      <c r="C150" s="7" t="s">
        <v>997</v>
      </c>
      <c r="D150" s="7" t="str">
        <f t="shared" si="2"/>
        <v>MOZ</v>
      </c>
      <c r="F150" s="269" t="s">
        <v>991</v>
      </c>
      <c r="G150" s="269" t="s">
        <v>1372</v>
      </c>
      <c r="H150" s="269">
        <v>499</v>
      </c>
      <c r="I150" s="269" t="s">
        <v>218</v>
      </c>
    </row>
    <row r="151" spans="2:9" ht="16" thickBot="1">
      <c r="B151" t="s">
        <v>222</v>
      </c>
      <c r="C151" s="7" t="s">
        <v>999</v>
      </c>
      <c r="D151" s="7" t="str">
        <f t="shared" si="2"/>
        <v>MMR</v>
      </c>
      <c r="F151" s="269" t="s">
        <v>993</v>
      </c>
      <c r="G151" s="269" t="s">
        <v>1373</v>
      </c>
      <c r="H151" s="269">
        <v>500</v>
      </c>
      <c r="I151" s="269" t="s">
        <v>219</v>
      </c>
    </row>
    <row r="152" spans="2:9" ht="16" thickBot="1">
      <c r="B152" t="s">
        <v>223</v>
      </c>
      <c r="C152" s="7" t="s">
        <v>1001</v>
      </c>
      <c r="D152" s="7" t="str">
        <f t="shared" si="2"/>
        <v>NAM</v>
      </c>
      <c r="F152" s="269" t="s">
        <v>995</v>
      </c>
      <c r="G152" s="269" t="s">
        <v>1374</v>
      </c>
      <c r="H152" s="269">
        <v>504</v>
      </c>
      <c r="I152" s="269" t="s">
        <v>220</v>
      </c>
    </row>
    <row r="153" spans="2:9" ht="16" thickBot="1">
      <c r="B153" t="s">
        <v>224</v>
      </c>
      <c r="C153" s="7" t="s">
        <v>1003</v>
      </c>
      <c r="D153" s="7" t="str">
        <f t="shared" si="2"/>
        <v>NRU</v>
      </c>
      <c r="F153" s="269" t="s">
        <v>997</v>
      </c>
      <c r="G153" s="269" t="s">
        <v>1375</v>
      </c>
      <c r="H153" s="269">
        <v>508</v>
      </c>
      <c r="I153" s="269" t="s">
        <v>221</v>
      </c>
    </row>
    <row r="154" spans="2:9" ht="16" thickBot="1">
      <c r="B154" t="s">
        <v>225</v>
      </c>
      <c r="C154" s="7" t="s">
        <v>1005</v>
      </c>
      <c r="D154" s="7" t="str">
        <f t="shared" si="2"/>
        <v>NPL</v>
      </c>
      <c r="F154" s="269" t="s">
        <v>999</v>
      </c>
      <c r="G154" s="269" t="s">
        <v>1376</v>
      </c>
      <c r="H154" s="269">
        <v>104</v>
      </c>
      <c r="I154" s="269" t="s">
        <v>222</v>
      </c>
    </row>
    <row r="155" spans="2:9" ht="16" thickBot="1">
      <c r="B155" t="s">
        <v>226</v>
      </c>
      <c r="C155" s="7" t="s">
        <v>1007</v>
      </c>
      <c r="D155" s="7" t="str">
        <f t="shared" si="2"/>
        <v>NLD</v>
      </c>
      <c r="F155" s="269" t="s">
        <v>1001</v>
      </c>
      <c r="G155" s="269" t="s">
        <v>1377</v>
      </c>
      <c r="H155" s="269">
        <v>516</v>
      </c>
      <c r="I155" s="269" t="s">
        <v>223</v>
      </c>
    </row>
    <row r="156" spans="2:9" ht="16" thickBot="1">
      <c r="B156" t="s">
        <v>227</v>
      </c>
      <c r="C156" s="7" t="s">
        <v>1378</v>
      </c>
      <c r="D156" s="7" t="e">
        <f t="shared" si="2"/>
        <v>#N/A</v>
      </c>
      <c r="F156" s="269" t="s">
        <v>1003</v>
      </c>
      <c r="G156" s="269" t="s">
        <v>1379</v>
      </c>
      <c r="H156" s="269">
        <v>520</v>
      </c>
      <c r="I156" s="269" t="s">
        <v>224</v>
      </c>
    </row>
    <row r="157" spans="2:9" ht="16" thickBot="1">
      <c r="B157" t="s">
        <v>228</v>
      </c>
      <c r="C157" s="7" t="s">
        <v>1009</v>
      </c>
      <c r="D157" s="7" t="str">
        <f t="shared" si="2"/>
        <v>NCL</v>
      </c>
      <c r="F157" s="269" t="s">
        <v>1005</v>
      </c>
      <c r="G157" s="269" t="s">
        <v>1380</v>
      </c>
      <c r="H157" s="269">
        <v>524</v>
      </c>
      <c r="I157" s="269" t="s">
        <v>225</v>
      </c>
    </row>
    <row r="158" spans="2:9" ht="16" thickBot="1">
      <c r="B158" t="s">
        <v>229</v>
      </c>
      <c r="C158" s="7" t="s">
        <v>485</v>
      </c>
      <c r="D158" s="7" t="str">
        <f t="shared" si="2"/>
        <v>NZL</v>
      </c>
      <c r="F158" s="269" t="s">
        <v>1007</v>
      </c>
      <c r="G158" s="269" t="s">
        <v>1381</v>
      </c>
      <c r="H158" s="269">
        <v>528</v>
      </c>
      <c r="I158" s="269" t="s">
        <v>1382</v>
      </c>
    </row>
    <row r="159" spans="2:9" ht="16" thickBot="1">
      <c r="B159" t="s">
        <v>230</v>
      </c>
      <c r="C159" s="7" t="s">
        <v>1012</v>
      </c>
      <c r="D159" s="7" t="str">
        <f t="shared" si="2"/>
        <v>NIC</v>
      </c>
      <c r="F159" s="269" t="s">
        <v>1009</v>
      </c>
      <c r="G159" s="269" t="s">
        <v>1383</v>
      </c>
      <c r="H159" s="269">
        <v>540</v>
      </c>
      <c r="I159" s="269" t="s">
        <v>228</v>
      </c>
    </row>
    <row r="160" spans="2:9" ht="16" thickBot="1">
      <c r="B160" t="s">
        <v>231</v>
      </c>
      <c r="C160" s="7" t="s">
        <v>1014</v>
      </c>
      <c r="D160" s="7" t="str">
        <f t="shared" si="2"/>
        <v>NER</v>
      </c>
      <c r="F160" s="269" t="s">
        <v>485</v>
      </c>
      <c r="G160" s="269" t="s">
        <v>1384</v>
      </c>
      <c r="H160" s="269">
        <v>554</v>
      </c>
      <c r="I160" s="269" t="s">
        <v>229</v>
      </c>
    </row>
    <row r="161" spans="2:9" ht="16" thickBot="1">
      <c r="B161" t="s">
        <v>232</v>
      </c>
      <c r="C161" s="7" t="s">
        <v>1016</v>
      </c>
      <c r="D161" s="7" t="str">
        <f t="shared" si="2"/>
        <v>NGA</v>
      </c>
      <c r="F161" s="269" t="s">
        <v>1012</v>
      </c>
      <c r="G161" s="269" t="s">
        <v>1385</v>
      </c>
      <c r="H161" s="269">
        <v>558</v>
      </c>
      <c r="I161" s="269" t="s">
        <v>230</v>
      </c>
    </row>
    <row r="162" spans="2:9" ht="16" thickBot="1">
      <c r="B162" t="s">
        <v>233</v>
      </c>
      <c r="C162" s="7" t="s">
        <v>1018</v>
      </c>
      <c r="D162" s="7" t="str">
        <f t="shared" si="2"/>
        <v>NIU</v>
      </c>
      <c r="F162" s="269" t="s">
        <v>1014</v>
      </c>
      <c r="G162" s="269" t="s">
        <v>1386</v>
      </c>
      <c r="H162" s="269">
        <v>562</v>
      </c>
      <c r="I162" s="269" t="s">
        <v>1387</v>
      </c>
    </row>
    <row r="163" spans="2:9" ht="16" thickBot="1">
      <c r="B163" t="s">
        <v>234</v>
      </c>
      <c r="C163" s="7" t="s">
        <v>1020</v>
      </c>
      <c r="D163" s="7" t="str">
        <f t="shared" si="2"/>
        <v>NFK</v>
      </c>
      <c r="F163" s="269" t="s">
        <v>1016</v>
      </c>
      <c r="G163" s="269" t="s">
        <v>1388</v>
      </c>
      <c r="H163" s="269">
        <v>566</v>
      </c>
      <c r="I163" s="269" t="s">
        <v>232</v>
      </c>
    </row>
    <row r="164" spans="2:9" ht="16" thickBot="1">
      <c r="B164" t="s">
        <v>235</v>
      </c>
      <c r="C164" s="7" t="s">
        <v>1024</v>
      </c>
      <c r="D164" s="7" t="str">
        <f t="shared" si="2"/>
        <v>MNP</v>
      </c>
      <c r="F164" s="269" t="s">
        <v>1018</v>
      </c>
      <c r="G164" s="269" t="s">
        <v>1389</v>
      </c>
      <c r="H164" s="269">
        <v>570</v>
      </c>
      <c r="I164" s="269" t="s">
        <v>233</v>
      </c>
    </row>
    <row r="165" spans="2:9" ht="16" thickBot="1">
      <c r="B165" t="s">
        <v>237</v>
      </c>
      <c r="C165" s="7" t="s">
        <v>1026</v>
      </c>
      <c r="D165" s="7" t="str">
        <f t="shared" si="2"/>
        <v>NOR</v>
      </c>
      <c r="F165" s="269" t="s">
        <v>1020</v>
      </c>
      <c r="G165" s="269" t="s">
        <v>1390</v>
      </c>
      <c r="H165" s="269">
        <v>574</v>
      </c>
      <c r="I165" s="269" t="s">
        <v>234</v>
      </c>
    </row>
    <row r="166" spans="2:9" ht="16" thickBot="1">
      <c r="B166" t="s">
        <v>238</v>
      </c>
      <c r="C166" s="7" t="s">
        <v>1028</v>
      </c>
      <c r="D166" s="7" t="str">
        <f t="shared" si="2"/>
        <v>OMN</v>
      </c>
      <c r="F166" s="269" t="s">
        <v>1024</v>
      </c>
      <c r="G166" s="269" t="s">
        <v>1391</v>
      </c>
      <c r="H166" s="269">
        <v>580</v>
      </c>
      <c r="I166" s="269" t="s">
        <v>1392</v>
      </c>
    </row>
    <row r="167" spans="2:9" ht="16" thickBot="1">
      <c r="B167" t="s">
        <v>239</v>
      </c>
      <c r="C167" s="7" t="s">
        <v>1030</v>
      </c>
      <c r="D167" s="7" t="str">
        <f t="shared" si="2"/>
        <v>PAK</v>
      </c>
      <c r="F167" s="269" t="s">
        <v>1026</v>
      </c>
      <c r="G167" s="269" t="s">
        <v>1393</v>
      </c>
      <c r="H167" s="269">
        <v>578</v>
      </c>
      <c r="I167" s="269" t="s">
        <v>237</v>
      </c>
    </row>
    <row r="168" spans="2:9" ht="16" thickBot="1">
      <c r="B168" t="s">
        <v>240</v>
      </c>
      <c r="C168" s="7" t="s">
        <v>1032</v>
      </c>
      <c r="D168" s="7" t="str">
        <f t="shared" si="2"/>
        <v>PLW</v>
      </c>
      <c r="F168" s="269" t="s">
        <v>1028</v>
      </c>
      <c r="G168" s="269" t="s">
        <v>1394</v>
      </c>
      <c r="H168" s="269">
        <v>512</v>
      </c>
      <c r="I168" s="269" t="s">
        <v>238</v>
      </c>
    </row>
    <row r="169" spans="2:9" ht="16" thickBot="1">
      <c r="B169" t="s">
        <v>241</v>
      </c>
      <c r="C169" s="7" t="s">
        <v>1034</v>
      </c>
      <c r="D169" s="7" t="str">
        <f t="shared" si="2"/>
        <v>PSE</v>
      </c>
      <c r="F169" s="269" t="s">
        <v>1030</v>
      </c>
      <c r="G169" s="269" t="s">
        <v>1395</v>
      </c>
      <c r="H169" s="269">
        <v>586</v>
      </c>
      <c r="I169" s="269" t="s">
        <v>239</v>
      </c>
    </row>
    <row r="170" spans="2:9" ht="16" thickBot="1">
      <c r="B170" t="s">
        <v>242</v>
      </c>
      <c r="C170" s="7" t="s">
        <v>1036</v>
      </c>
      <c r="D170" s="7" t="str">
        <f t="shared" si="2"/>
        <v>PAN</v>
      </c>
      <c r="F170" s="269" t="s">
        <v>1032</v>
      </c>
      <c r="G170" s="269" t="s">
        <v>1396</v>
      </c>
      <c r="H170" s="269">
        <v>585</v>
      </c>
      <c r="I170" s="269" t="s">
        <v>240</v>
      </c>
    </row>
    <row r="171" spans="2:9" ht="16" thickBot="1">
      <c r="B171" t="s">
        <v>243</v>
      </c>
      <c r="C171" s="7" t="s">
        <v>1038</v>
      </c>
      <c r="D171" s="7" t="str">
        <f t="shared" si="2"/>
        <v>PNG</v>
      </c>
      <c r="F171" s="269" t="s">
        <v>1034</v>
      </c>
      <c r="G171" s="269" t="s">
        <v>1397</v>
      </c>
      <c r="H171" s="269">
        <v>275</v>
      </c>
      <c r="I171" s="269" t="s">
        <v>1398</v>
      </c>
    </row>
    <row r="172" spans="2:9" ht="16" thickBot="1">
      <c r="B172" t="s">
        <v>244</v>
      </c>
      <c r="C172" s="7" t="s">
        <v>1040</v>
      </c>
      <c r="D172" s="7" t="str">
        <f t="shared" si="2"/>
        <v>PRY</v>
      </c>
      <c r="F172" s="269" t="s">
        <v>1036</v>
      </c>
      <c r="G172" s="269" t="s">
        <v>1399</v>
      </c>
      <c r="H172" s="269">
        <v>591</v>
      </c>
      <c r="I172" s="269" t="s">
        <v>242</v>
      </c>
    </row>
    <row r="173" spans="2:9" ht="16" thickBot="1">
      <c r="B173" t="s">
        <v>245</v>
      </c>
      <c r="C173" s="7" t="s">
        <v>1042</v>
      </c>
      <c r="D173" s="7" t="str">
        <f t="shared" si="2"/>
        <v>PER</v>
      </c>
      <c r="F173" s="269" t="s">
        <v>1038</v>
      </c>
      <c r="G173" s="269" t="s">
        <v>1400</v>
      </c>
      <c r="H173" s="269">
        <v>598</v>
      </c>
      <c r="I173" s="269" t="s">
        <v>243</v>
      </c>
    </row>
    <row r="174" spans="2:9" ht="16" thickBot="1">
      <c r="B174" t="s">
        <v>246</v>
      </c>
      <c r="C174" s="7" t="s">
        <v>1044</v>
      </c>
      <c r="D174" s="7" t="str">
        <f t="shared" si="2"/>
        <v>PHL</v>
      </c>
      <c r="F174" s="269" t="s">
        <v>1040</v>
      </c>
      <c r="G174" s="269" t="s">
        <v>1401</v>
      </c>
      <c r="H174" s="269">
        <v>600</v>
      </c>
      <c r="I174" s="269" t="s">
        <v>244</v>
      </c>
    </row>
    <row r="175" spans="2:9" ht="16" thickBot="1">
      <c r="B175" t="s">
        <v>247</v>
      </c>
      <c r="C175" s="7" t="s">
        <v>1046</v>
      </c>
      <c r="D175" s="7" t="str">
        <f t="shared" si="2"/>
        <v>PCN</v>
      </c>
      <c r="F175" s="269" t="s">
        <v>1042</v>
      </c>
      <c r="G175" s="269" t="s">
        <v>1402</v>
      </c>
      <c r="H175" s="269">
        <v>604</v>
      </c>
      <c r="I175" s="269" t="s">
        <v>245</v>
      </c>
    </row>
    <row r="176" spans="2:9" ht="16" thickBot="1">
      <c r="B176" t="s">
        <v>248</v>
      </c>
      <c r="C176" s="7" t="s">
        <v>1048</v>
      </c>
      <c r="D176" s="7" t="str">
        <f t="shared" si="2"/>
        <v>POL</v>
      </c>
      <c r="F176" s="269" t="s">
        <v>1044</v>
      </c>
      <c r="G176" s="269" t="s">
        <v>1403</v>
      </c>
      <c r="H176" s="269">
        <v>608</v>
      </c>
      <c r="I176" s="269" t="s">
        <v>1404</v>
      </c>
    </row>
    <row r="177" spans="2:9" ht="16" thickBot="1">
      <c r="B177" t="s">
        <v>249</v>
      </c>
      <c r="C177" s="7" t="s">
        <v>1050</v>
      </c>
      <c r="D177" s="7" t="str">
        <f t="shared" si="2"/>
        <v>PRT</v>
      </c>
      <c r="F177" s="269" t="s">
        <v>1046</v>
      </c>
      <c r="G177" s="269" t="s">
        <v>1405</v>
      </c>
      <c r="H177" s="269">
        <v>612</v>
      </c>
      <c r="I177" s="269" t="s">
        <v>1406</v>
      </c>
    </row>
    <row r="178" spans="2:9" ht="16" thickBot="1">
      <c r="B178" t="s">
        <v>250</v>
      </c>
      <c r="C178" s="7" t="s">
        <v>1054</v>
      </c>
      <c r="D178" s="7" t="str">
        <f t="shared" si="2"/>
        <v>QAT</v>
      </c>
      <c r="F178" s="269" t="s">
        <v>1048</v>
      </c>
      <c r="G178" s="269" t="s">
        <v>1407</v>
      </c>
      <c r="H178" s="269">
        <v>616</v>
      </c>
      <c r="I178" s="269" t="s">
        <v>248</v>
      </c>
    </row>
    <row r="179" spans="2:9" ht="16" thickBot="1">
      <c r="B179" t="s">
        <v>251</v>
      </c>
      <c r="C179" s="7" t="s">
        <v>1056</v>
      </c>
      <c r="D179" s="7" t="str">
        <f t="shared" si="2"/>
        <v>REU</v>
      </c>
      <c r="F179" s="269" t="s">
        <v>1050</v>
      </c>
      <c r="G179" s="269" t="s">
        <v>1408</v>
      </c>
      <c r="H179" s="269">
        <v>620</v>
      </c>
      <c r="I179" s="269" t="s">
        <v>249</v>
      </c>
    </row>
    <row r="180" spans="2:9" ht="16" thickBot="1">
      <c r="B180" t="s">
        <v>252</v>
      </c>
      <c r="C180" s="7" t="s">
        <v>1058</v>
      </c>
      <c r="D180" s="7" t="str">
        <f t="shared" si="2"/>
        <v>ROU</v>
      </c>
      <c r="F180" s="269" t="s">
        <v>1052</v>
      </c>
      <c r="G180" s="269" t="s">
        <v>1409</v>
      </c>
      <c r="H180" s="269">
        <v>630</v>
      </c>
      <c r="I180" s="269" t="s">
        <v>52</v>
      </c>
    </row>
    <row r="181" spans="2:9" ht="16" thickBot="1">
      <c r="B181" t="s">
        <v>253</v>
      </c>
      <c r="C181" s="7" t="s">
        <v>1060</v>
      </c>
      <c r="D181" s="7" t="str">
        <f t="shared" si="2"/>
        <v>RUS</v>
      </c>
      <c r="F181" s="269" t="s">
        <v>1054</v>
      </c>
      <c r="G181" s="269" t="s">
        <v>1410</v>
      </c>
      <c r="H181" s="269">
        <v>634</v>
      </c>
      <c r="I181" s="269" t="s">
        <v>250</v>
      </c>
    </row>
    <row r="182" spans="2:9" ht="16" thickBot="1">
      <c r="B182" t="s">
        <v>254</v>
      </c>
      <c r="C182" s="7" t="s">
        <v>1062</v>
      </c>
      <c r="D182" s="7" t="str">
        <f t="shared" si="2"/>
        <v>RWA</v>
      </c>
      <c r="F182" s="269" t="s">
        <v>957</v>
      </c>
      <c r="G182" s="269" t="s">
        <v>549</v>
      </c>
      <c r="H182" s="269">
        <v>807</v>
      </c>
      <c r="I182" s="269" t="s">
        <v>1411</v>
      </c>
    </row>
    <row r="183" spans="2:9" ht="16" thickBot="1">
      <c r="B183" t="s">
        <v>255</v>
      </c>
      <c r="C183" s="7" t="s">
        <v>1064</v>
      </c>
      <c r="D183" s="7" t="str">
        <f t="shared" si="2"/>
        <v>MAF</v>
      </c>
      <c r="F183" s="269" t="s">
        <v>1058</v>
      </c>
      <c r="G183" s="269" t="s">
        <v>1412</v>
      </c>
      <c r="H183" s="269">
        <v>642</v>
      </c>
      <c r="I183" s="269" t="s">
        <v>252</v>
      </c>
    </row>
    <row r="184" spans="2:9" ht="16" thickBot="1">
      <c r="B184" t="s">
        <v>256</v>
      </c>
      <c r="C184" s="7" t="s">
        <v>1066</v>
      </c>
      <c r="D184" s="7" t="str">
        <f t="shared" si="2"/>
        <v>WSM</v>
      </c>
      <c r="F184" s="269" t="s">
        <v>1060</v>
      </c>
      <c r="G184" s="269" t="s">
        <v>1413</v>
      </c>
      <c r="H184" s="269">
        <v>643</v>
      </c>
      <c r="I184" s="269" t="s">
        <v>1414</v>
      </c>
    </row>
    <row r="185" spans="2:9" ht="16" thickBot="1">
      <c r="B185" t="s">
        <v>257</v>
      </c>
      <c r="C185" s="7" t="s">
        <v>1068</v>
      </c>
      <c r="D185" s="7" t="str">
        <f t="shared" si="2"/>
        <v>SMR</v>
      </c>
      <c r="F185" s="269" t="s">
        <v>1062</v>
      </c>
      <c r="G185" s="269" t="s">
        <v>1415</v>
      </c>
      <c r="H185" s="269">
        <v>646</v>
      </c>
      <c r="I185" s="269" t="s">
        <v>254</v>
      </c>
    </row>
    <row r="186" spans="2:9" ht="16" thickBot="1">
      <c r="B186" t="s">
        <v>258</v>
      </c>
      <c r="C186" s="7" t="s">
        <v>1070</v>
      </c>
      <c r="D186" s="7" t="str">
        <f t="shared" si="2"/>
        <v>STP</v>
      </c>
      <c r="F186" s="269" t="s">
        <v>1056</v>
      </c>
      <c r="G186" s="269" t="s">
        <v>1416</v>
      </c>
      <c r="H186" s="269">
        <v>638</v>
      </c>
      <c r="I186" s="269" t="s">
        <v>1417</v>
      </c>
    </row>
    <row r="187" spans="2:9" ht="16" thickBot="1">
      <c r="B187" t="s">
        <v>259</v>
      </c>
      <c r="C187" s="7" t="s">
        <v>477</v>
      </c>
      <c r="D187" s="7" t="str">
        <f t="shared" si="2"/>
        <v>SAU</v>
      </c>
      <c r="F187" s="269" t="s">
        <v>1103</v>
      </c>
      <c r="G187" s="269" t="s">
        <v>1418</v>
      </c>
      <c r="H187" s="269">
        <v>652</v>
      </c>
      <c r="I187" s="269" t="s">
        <v>1419</v>
      </c>
    </row>
    <row r="188" spans="2:9" ht="16" thickBot="1">
      <c r="B188" t="s">
        <v>260</v>
      </c>
      <c r="C188" s="7" t="s">
        <v>1073</v>
      </c>
      <c r="D188" s="7" t="str">
        <f t="shared" si="2"/>
        <v>SEN</v>
      </c>
      <c r="F188" s="269" t="s">
        <v>1105</v>
      </c>
      <c r="G188" s="269" t="s">
        <v>1420</v>
      </c>
      <c r="H188" s="269">
        <v>654</v>
      </c>
      <c r="I188" s="269" t="s">
        <v>1421</v>
      </c>
    </row>
    <row r="189" spans="2:9" ht="16" thickBot="1">
      <c r="B189" t="s">
        <v>261</v>
      </c>
      <c r="C189" s="7" t="s">
        <v>1075</v>
      </c>
      <c r="D189" s="7" t="str">
        <f t="shared" si="2"/>
        <v>SRB</v>
      </c>
      <c r="F189" s="269" t="s">
        <v>1107</v>
      </c>
      <c r="G189" s="269" t="s">
        <v>1422</v>
      </c>
      <c r="H189" s="269">
        <v>659</v>
      </c>
      <c r="I189" s="269" t="s">
        <v>1423</v>
      </c>
    </row>
    <row r="190" spans="2:9" ht="16" thickBot="1">
      <c r="B190" t="s">
        <v>262</v>
      </c>
      <c r="C190" s="7" t="s">
        <v>1077</v>
      </c>
      <c r="D190" s="7" t="str">
        <f t="shared" si="2"/>
        <v>SYC</v>
      </c>
      <c r="F190" s="269" t="s">
        <v>1109</v>
      </c>
      <c r="G190" s="269" t="s">
        <v>1424</v>
      </c>
      <c r="H190" s="269">
        <v>662</v>
      </c>
      <c r="I190" s="269" t="s">
        <v>1425</v>
      </c>
    </row>
    <row r="191" spans="2:9" ht="16" thickBot="1">
      <c r="B191" t="s">
        <v>263</v>
      </c>
      <c r="C191" s="7" t="s">
        <v>1079</v>
      </c>
      <c r="D191" s="7" t="str">
        <f t="shared" si="2"/>
        <v>SLE</v>
      </c>
      <c r="F191" s="269" t="s">
        <v>1064</v>
      </c>
      <c r="G191" s="269" t="s">
        <v>1426</v>
      </c>
      <c r="H191" s="269">
        <v>663</v>
      </c>
      <c r="I191" s="269" t="s">
        <v>1427</v>
      </c>
    </row>
    <row r="192" spans="2:9" ht="16" thickBot="1">
      <c r="B192" t="s">
        <v>264</v>
      </c>
      <c r="C192" s="7" t="s">
        <v>1081</v>
      </c>
      <c r="D192" s="7" t="str">
        <f t="shared" si="2"/>
        <v>SGP</v>
      </c>
      <c r="F192" s="269" t="s">
        <v>1111</v>
      </c>
      <c r="G192" s="269" t="s">
        <v>1428</v>
      </c>
      <c r="H192" s="269">
        <v>666</v>
      </c>
      <c r="I192" s="269" t="s">
        <v>1429</v>
      </c>
    </row>
    <row r="193" spans="2:9" ht="16" thickBot="1">
      <c r="B193" s="20" t="s">
        <v>265</v>
      </c>
      <c r="C193" s="7" t="s">
        <v>1430</v>
      </c>
      <c r="D193" s="7" t="str">
        <f t="shared" si="2"/>
        <v>SXM</v>
      </c>
      <c r="F193" s="269" t="s">
        <v>1113</v>
      </c>
      <c r="G193" s="269" t="s">
        <v>1431</v>
      </c>
      <c r="H193" s="269">
        <v>670</v>
      </c>
      <c r="I193" s="269" t="s">
        <v>1432</v>
      </c>
    </row>
    <row r="194" spans="2:9" ht="16" thickBot="1">
      <c r="B194" t="s">
        <v>266</v>
      </c>
      <c r="C194" s="7" t="s">
        <v>1083</v>
      </c>
      <c r="D194" s="7" t="str">
        <f t="shared" si="2"/>
        <v>SVK</v>
      </c>
      <c r="F194" s="269" t="s">
        <v>1066</v>
      </c>
      <c r="G194" s="269" t="s">
        <v>1433</v>
      </c>
      <c r="H194" s="269">
        <v>882</v>
      </c>
      <c r="I194" s="269" t="s">
        <v>256</v>
      </c>
    </row>
    <row r="195" spans="2:9" ht="16" thickBot="1">
      <c r="B195" t="s">
        <v>267</v>
      </c>
      <c r="C195" s="7" t="s">
        <v>1085</v>
      </c>
      <c r="D195" s="7" t="str">
        <f t="shared" ref="D195:D245" si="3">+VLOOKUP(C195,$F$3:$G$251,2,FALSE)</f>
        <v>SVN</v>
      </c>
      <c r="F195" s="269" t="s">
        <v>1068</v>
      </c>
      <c r="G195" s="269" t="s">
        <v>1434</v>
      </c>
      <c r="H195" s="269">
        <v>674</v>
      </c>
      <c r="I195" s="269" t="s">
        <v>257</v>
      </c>
    </row>
    <row r="196" spans="2:9" ht="16" thickBot="1">
      <c r="B196" t="s">
        <v>268</v>
      </c>
      <c r="C196" s="7" t="s">
        <v>1087</v>
      </c>
      <c r="D196" s="7" t="str">
        <f t="shared" si="3"/>
        <v>SLB</v>
      </c>
      <c r="F196" s="269" t="s">
        <v>1070</v>
      </c>
      <c r="G196" s="269" t="s">
        <v>1435</v>
      </c>
      <c r="H196" s="269">
        <v>678</v>
      </c>
      <c r="I196" s="269" t="s">
        <v>1436</v>
      </c>
    </row>
    <row r="197" spans="2:9" ht="16" thickBot="1">
      <c r="B197" t="s">
        <v>269</v>
      </c>
      <c r="C197" s="7" t="s">
        <v>1089</v>
      </c>
      <c r="D197" s="7" t="str">
        <f t="shared" si="3"/>
        <v>SOM</v>
      </c>
      <c r="F197" s="269" t="s">
        <v>477</v>
      </c>
      <c r="G197" s="269" t="s">
        <v>1437</v>
      </c>
      <c r="H197" s="269">
        <v>682</v>
      </c>
      <c r="I197" s="269" t="s">
        <v>259</v>
      </c>
    </row>
    <row r="198" spans="2:9" ht="16" thickBot="1">
      <c r="B198" t="s">
        <v>271</v>
      </c>
      <c r="C198" s="7" t="s">
        <v>1091</v>
      </c>
      <c r="D198" s="7" t="str">
        <f t="shared" si="3"/>
        <v>ZAF</v>
      </c>
      <c r="F198" s="269" t="s">
        <v>1073</v>
      </c>
      <c r="G198" s="269" t="s">
        <v>1438</v>
      </c>
      <c r="H198" s="269">
        <v>686</v>
      </c>
      <c r="I198" s="269" t="s">
        <v>260</v>
      </c>
    </row>
    <row r="199" spans="2:9" ht="16" thickBot="1">
      <c r="B199" t="s">
        <v>272</v>
      </c>
      <c r="C199" s="7" t="s">
        <v>1093</v>
      </c>
      <c r="D199" s="7" t="str">
        <f t="shared" si="3"/>
        <v>SGS</v>
      </c>
      <c r="F199" s="269" t="s">
        <v>1075</v>
      </c>
      <c r="G199" s="269" t="s">
        <v>1439</v>
      </c>
      <c r="H199" s="269">
        <v>688</v>
      </c>
      <c r="I199" s="269" t="s">
        <v>261</v>
      </c>
    </row>
    <row r="200" spans="2:9" ht="16" thickBot="1">
      <c r="B200" t="s">
        <v>273</v>
      </c>
      <c r="C200" s="7" t="s">
        <v>1095</v>
      </c>
      <c r="D200" s="7" t="str">
        <f t="shared" si="3"/>
        <v>KOR</v>
      </c>
      <c r="F200" s="269" t="s">
        <v>1077</v>
      </c>
      <c r="G200" s="269" t="s">
        <v>1440</v>
      </c>
      <c r="H200" s="269">
        <v>690</v>
      </c>
      <c r="I200" s="269" t="s">
        <v>262</v>
      </c>
    </row>
    <row r="201" spans="2:9" ht="16" thickBot="1">
      <c r="B201" t="s">
        <v>274</v>
      </c>
      <c r="C201" s="7" t="s">
        <v>1097</v>
      </c>
      <c r="D201" s="7" t="str">
        <f t="shared" si="3"/>
        <v>SSD</v>
      </c>
      <c r="F201" s="269" t="s">
        <v>1079</v>
      </c>
      <c r="G201" s="269" t="s">
        <v>1441</v>
      </c>
      <c r="H201" s="269">
        <v>694</v>
      </c>
      <c r="I201" s="269" t="s">
        <v>263</v>
      </c>
    </row>
    <row r="202" spans="2:9" ht="16" thickBot="1">
      <c r="B202" t="s">
        <v>276</v>
      </c>
      <c r="C202" s="7" t="s">
        <v>1099</v>
      </c>
      <c r="D202" s="7" t="str">
        <f t="shared" si="3"/>
        <v>ESP</v>
      </c>
      <c r="F202" s="269" t="s">
        <v>1081</v>
      </c>
      <c r="G202" s="269" t="s">
        <v>1442</v>
      </c>
      <c r="H202" s="269">
        <v>702</v>
      </c>
      <c r="I202" s="269" t="s">
        <v>264</v>
      </c>
    </row>
    <row r="203" spans="2:9" ht="16" thickBot="1">
      <c r="B203" t="s">
        <v>277</v>
      </c>
      <c r="C203" s="7" t="s">
        <v>1101</v>
      </c>
      <c r="D203" s="7" t="str">
        <f t="shared" si="3"/>
        <v>LKA</v>
      </c>
      <c r="F203" s="269" t="s">
        <v>1430</v>
      </c>
      <c r="G203" s="269" t="s">
        <v>1443</v>
      </c>
      <c r="H203" s="269">
        <v>534</v>
      </c>
      <c r="I203" s="269" t="s">
        <v>1444</v>
      </c>
    </row>
    <row r="204" spans="2:9" ht="16" thickBot="1">
      <c r="B204" t="s">
        <v>278</v>
      </c>
      <c r="C204" s="7" t="s">
        <v>1103</v>
      </c>
      <c r="D204" s="7" t="str">
        <f t="shared" si="3"/>
        <v>BLM</v>
      </c>
      <c r="F204" s="269" t="s">
        <v>1083</v>
      </c>
      <c r="G204" s="269" t="s">
        <v>1445</v>
      </c>
      <c r="H204" s="269">
        <v>703</v>
      </c>
      <c r="I204" s="269" t="s">
        <v>266</v>
      </c>
    </row>
    <row r="205" spans="2:9" ht="16" thickBot="1">
      <c r="B205" t="s">
        <v>279</v>
      </c>
      <c r="C205" s="7" t="s">
        <v>1105</v>
      </c>
      <c r="D205" s="7" t="str">
        <f t="shared" si="3"/>
        <v>SHN</v>
      </c>
      <c r="F205" s="269" t="s">
        <v>1085</v>
      </c>
      <c r="G205" s="269" t="s">
        <v>1446</v>
      </c>
      <c r="H205" s="269">
        <v>705</v>
      </c>
      <c r="I205" s="269" t="s">
        <v>267</v>
      </c>
    </row>
    <row r="206" spans="2:9" ht="16" thickBot="1">
      <c r="B206" t="s">
        <v>280</v>
      </c>
      <c r="C206" s="7" t="s">
        <v>1107</v>
      </c>
      <c r="D206" s="7" t="str">
        <f t="shared" si="3"/>
        <v>KNA</v>
      </c>
      <c r="F206" s="269" t="s">
        <v>1087</v>
      </c>
      <c r="G206" s="269" t="s">
        <v>1447</v>
      </c>
      <c r="H206" s="269">
        <v>90</v>
      </c>
      <c r="I206" s="269" t="s">
        <v>268</v>
      </c>
    </row>
    <row r="207" spans="2:9" ht="16" thickBot="1">
      <c r="B207" t="s">
        <v>281</v>
      </c>
      <c r="C207" s="7" t="s">
        <v>1109</v>
      </c>
      <c r="D207" s="7" t="str">
        <f t="shared" si="3"/>
        <v>LCA</v>
      </c>
      <c r="F207" s="269" t="s">
        <v>1089</v>
      </c>
      <c r="G207" s="269" t="s">
        <v>1448</v>
      </c>
      <c r="H207" s="269">
        <v>706</v>
      </c>
      <c r="I207" s="269" t="s">
        <v>269</v>
      </c>
    </row>
    <row r="208" spans="2:9" ht="16" thickBot="1">
      <c r="B208" t="s">
        <v>282</v>
      </c>
      <c r="C208" s="7" t="s">
        <v>1111</v>
      </c>
      <c r="D208" s="7" t="str">
        <f t="shared" si="3"/>
        <v>SPM</v>
      </c>
      <c r="F208" s="269" t="s">
        <v>1091</v>
      </c>
      <c r="G208" s="269" t="s">
        <v>1449</v>
      </c>
      <c r="H208" s="269">
        <v>710</v>
      </c>
      <c r="I208" s="269" t="s">
        <v>271</v>
      </c>
    </row>
    <row r="209" spans="2:9" ht="16" thickBot="1">
      <c r="B209" t="s">
        <v>283</v>
      </c>
      <c r="C209" s="7" t="s">
        <v>1113</v>
      </c>
      <c r="D209" s="7" t="str">
        <f t="shared" si="3"/>
        <v>VCT</v>
      </c>
      <c r="F209" s="269" t="s">
        <v>1093</v>
      </c>
      <c r="G209" s="269" t="s">
        <v>1450</v>
      </c>
      <c r="H209" s="269">
        <v>239</v>
      </c>
      <c r="I209" s="269" t="s">
        <v>1451</v>
      </c>
    </row>
    <row r="210" spans="2:9" ht="16" thickBot="1">
      <c r="B210" t="s">
        <v>284</v>
      </c>
      <c r="C210" s="7" t="s">
        <v>1115</v>
      </c>
      <c r="D210" s="7" t="str">
        <f t="shared" si="3"/>
        <v>SDN</v>
      </c>
      <c r="F210" s="269" t="s">
        <v>1097</v>
      </c>
      <c r="G210" s="269" t="s">
        <v>1452</v>
      </c>
      <c r="H210" s="269">
        <v>728</v>
      </c>
      <c r="I210" s="269" t="s">
        <v>274</v>
      </c>
    </row>
    <row r="211" spans="2:9" ht="16" thickBot="1">
      <c r="B211" t="s">
        <v>285</v>
      </c>
      <c r="C211" s="7" t="s">
        <v>1117</v>
      </c>
      <c r="D211" s="7" t="str">
        <f t="shared" si="3"/>
        <v>SUR</v>
      </c>
      <c r="F211" s="269" t="s">
        <v>1099</v>
      </c>
      <c r="G211" s="269" t="s">
        <v>1453</v>
      </c>
      <c r="H211" s="269">
        <v>724</v>
      </c>
      <c r="I211" s="269" t="s">
        <v>276</v>
      </c>
    </row>
    <row r="212" spans="2:9" ht="16" thickBot="1">
      <c r="B212" t="s">
        <v>286</v>
      </c>
      <c r="C212" s="7" t="s">
        <v>1119</v>
      </c>
      <c r="D212" s="7" t="str">
        <f t="shared" si="3"/>
        <v>SJM</v>
      </c>
      <c r="F212" s="269" t="s">
        <v>1101</v>
      </c>
      <c r="G212" s="269" t="s">
        <v>1454</v>
      </c>
      <c r="H212" s="269">
        <v>144</v>
      </c>
      <c r="I212" s="269" t="s">
        <v>277</v>
      </c>
    </row>
    <row r="213" spans="2:9" ht="16" thickBot="1">
      <c r="B213" t="s">
        <v>287</v>
      </c>
      <c r="C213" s="7" t="s">
        <v>1121</v>
      </c>
      <c r="D213" s="7" t="str">
        <f t="shared" si="3"/>
        <v>SWE</v>
      </c>
      <c r="F213" s="269" t="s">
        <v>1115</v>
      </c>
      <c r="G213" s="269" t="s">
        <v>1455</v>
      </c>
      <c r="H213" s="269">
        <v>729</v>
      </c>
      <c r="I213" s="269" t="s">
        <v>1456</v>
      </c>
    </row>
    <row r="214" spans="2:9" ht="16" thickBot="1">
      <c r="B214" t="s">
        <v>288</v>
      </c>
      <c r="C214" s="7" t="s">
        <v>1123</v>
      </c>
      <c r="D214" s="7" t="str">
        <f t="shared" si="3"/>
        <v>CHE</v>
      </c>
      <c r="F214" s="269" t="s">
        <v>1117</v>
      </c>
      <c r="G214" s="269" t="s">
        <v>1457</v>
      </c>
      <c r="H214" s="269">
        <v>740</v>
      </c>
      <c r="I214" s="269" t="s">
        <v>285</v>
      </c>
    </row>
    <row r="215" spans="2:9" ht="16" thickBot="1">
      <c r="B215" t="s">
        <v>290</v>
      </c>
      <c r="C215" s="7" t="s">
        <v>1127</v>
      </c>
      <c r="D215" s="7" t="str">
        <f t="shared" si="3"/>
        <v>TWN</v>
      </c>
      <c r="F215" s="269" t="s">
        <v>1119</v>
      </c>
      <c r="G215" s="269" t="s">
        <v>1458</v>
      </c>
      <c r="H215" s="269">
        <v>744</v>
      </c>
      <c r="I215" s="269" t="s">
        <v>1459</v>
      </c>
    </row>
    <row r="216" spans="2:9" ht="16" thickBot="1">
      <c r="B216" t="s">
        <v>291</v>
      </c>
      <c r="C216" s="7" t="s">
        <v>1129</v>
      </c>
      <c r="D216" s="7" t="str">
        <f t="shared" si="3"/>
        <v>TJK</v>
      </c>
      <c r="F216" s="269" t="s">
        <v>1121</v>
      </c>
      <c r="G216" s="269" t="s">
        <v>1460</v>
      </c>
      <c r="H216" s="269">
        <v>752</v>
      </c>
      <c r="I216" s="269" t="s">
        <v>287</v>
      </c>
    </row>
    <row r="217" spans="2:9" ht="16" thickBot="1">
      <c r="B217" t="s">
        <v>292</v>
      </c>
      <c r="C217" s="7" t="s">
        <v>1131</v>
      </c>
      <c r="D217" s="7" t="str">
        <f t="shared" si="3"/>
        <v>TZA</v>
      </c>
      <c r="F217" s="269" t="s">
        <v>1123</v>
      </c>
      <c r="G217" s="269" t="s">
        <v>1461</v>
      </c>
      <c r="H217" s="269">
        <v>756</v>
      </c>
      <c r="I217" s="269" t="s">
        <v>288</v>
      </c>
    </row>
    <row r="218" spans="2:9" ht="16" thickBot="1">
      <c r="B218" t="s">
        <v>293</v>
      </c>
      <c r="C218" s="7" t="s">
        <v>1133</v>
      </c>
      <c r="D218" s="7" t="str">
        <f t="shared" si="3"/>
        <v>THA</v>
      </c>
      <c r="F218" s="269" t="s">
        <v>1125</v>
      </c>
      <c r="G218" s="269" t="s">
        <v>1462</v>
      </c>
      <c r="H218" s="269">
        <v>760</v>
      </c>
      <c r="I218" s="269" t="s">
        <v>1463</v>
      </c>
    </row>
    <row r="219" spans="2:9" ht="16" thickBot="1">
      <c r="B219" t="s">
        <v>294</v>
      </c>
      <c r="C219" s="7" t="s">
        <v>1135</v>
      </c>
      <c r="D219" s="7" t="str">
        <f t="shared" si="3"/>
        <v>TLS</v>
      </c>
      <c r="F219" s="269" t="s">
        <v>1127</v>
      </c>
      <c r="G219" s="269" t="s">
        <v>1464</v>
      </c>
      <c r="H219" s="269">
        <v>158</v>
      </c>
      <c r="I219" s="269" t="s">
        <v>1465</v>
      </c>
    </row>
    <row r="220" spans="2:9" ht="16" thickBot="1">
      <c r="B220" t="s">
        <v>295</v>
      </c>
      <c r="C220" s="7" t="s">
        <v>1137</v>
      </c>
      <c r="D220" s="7" t="str">
        <f t="shared" si="3"/>
        <v>TGO</v>
      </c>
      <c r="F220" s="269" t="s">
        <v>1129</v>
      </c>
      <c r="G220" s="269" t="s">
        <v>1466</v>
      </c>
      <c r="H220" s="269">
        <v>762</v>
      </c>
      <c r="I220" s="269" t="s">
        <v>291</v>
      </c>
    </row>
    <row r="221" spans="2:9" ht="16" thickBot="1">
      <c r="B221" t="s">
        <v>296</v>
      </c>
      <c r="C221" s="7" t="s">
        <v>1139</v>
      </c>
      <c r="D221" s="7" t="str">
        <f t="shared" si="3"/>
        <v>TKL</v>
      </c>
      <c r="F221" s="269" t="s">
        <v>1131</v>
      </c>
      <c r="G221" s="269" t="s">
        <v>1467</v>
      </c>
      <c r="H221" s="269">
        <v>834</v>
      </c>
      <c r="I221" s="269" t="s">
        <v>1468</v>
      </c>
    </row>
    <row r="222" spans="2:9" ht="16" thickBot="1">
      <c r="B222" t="s">
        <v>297</v>
      </c>
      <c r="C222" s="7" t="s">
        <v>1141</v>
      </c>
      <c r="D222" s="7" t="str">
        <f t="shared" si="3"/>
        <v>TON</v>
      </c>
      <c r="F222" s="269" t="s">
        <v>1133</v>
      </c>
      <c r="G222" s="269" t="s">
        <v>1469</v>
      </c>
      <c r="H222" s="269">
        <v>764</v>
      </c>
      <c r="I222" s="269" t="s">
        <v>293</v>
      </c>
    </row>
    <row r="223" spans="2:9" ht="16" thickBot="1">
      <c r="B223" t="s">
        <v>298</v>
      </c>
      <c r="C223" s="7" t="s">
        <v>1143</v>
      </c>
      <c r="D223" s="7" t="str">
        <f t="shared" si="3"/>
        <v>TTO</v>
      </c>
      <c r="F223" s="269" t="s">
        <v>1135</v>
      </c>
      <c r="G223" s="269" t="s">
        <v>1470</v>
      </c>
      <c r="H223" s="269">
        <v>626</v>
      </c>
      <c r="I223" s="269" t="s">
        <v>294</v>
      </c>
    </row>
    <row r="224" spans="2:9" ht="16" thickBot="1">
      <c r="B224" t="s">
        <v>299</v>
      </c>
      <c r="C224" s="7" t="s">
        <v>1145</v>
      </c>
      <c r="D224" s="7" t="str">
        <f t="shared" si="3"/>
        <v>TUN</v>
      </c>
      <c r="F224" s="269" t="s">
        <v>1137</v>
      </c>
      <c r="G224" s="269" t="s">
        <v>1471</v>
      </c>
      <c r="H224" s="269">
        <v>768</v>
      </c>
      <c r="I224" s="269" t="s">
        <v>295</v>
      </c>
    </row>
    <row r="225" spans="2:9" ht="16" thickBot="1">
      <c r="B225" t="s">
        <v>300</v>
      </c>
      <c r="C225" s="7" t="s">
        <v>1147</v>
      </c>
      <c r="D225" s="7" t="str">
        <f t="shared" si="3"/>
        <v>TUR</v>
      </c>
      <c r="F225" s="269" t="s">
        <v>1139</v>
      </c>
      <c r="G225" s="269" t="s">
        <v>1472</v>
      </c>
      <c r="H225" s="269">
        <v>772</v>
      </c>
      <c r="I225" s="269" t="s">
        <v>296</v>
      </c>
    </row>
    <row r="226" spans="2:9" ht="16" thickBot="1">
      <c r="B226" t="s">
        <v>301</v>
      </c>
      <c r="C226" s="7" t="s">
        <v>1149</v>
      </c>
      <c r="D226" s="7" t="str">
        <f t="shared" si="3"/>
        <v>TKM</v>
      </c>
      <c r="F226" s="269" t="s">
        <v>1141</v>
      </c>
      <c r="G226" s="269" t="s">
        <v>1473</v>
      </c>
      <c r="H226" s="269">
        <v>776</v>
      </c>
      <c r="I226" s="269" t="s">
        <v>297</v>
      </c>
    </row>
    <row r="227" spans="2:9" ht="16" thickBot="1">
      <c r="B227" t="s">
        <v>302</v>
      </c>
      <c r="C227" s="7" t="s">
        <v>1151</v>
      </c>
      <c r="D227" s="7" t="str">
        <f t="shared" si="3"/>
        <v>TCA</v>
      </c>
      <c r="F227" s="269" t="s">
        <v>1143</v>
      </c>
      <c r="G227" s="269" t="s">
        <v>1474</v>
      </c>
      <c r="H227" s="269">
        <v>780</v>
      </c>
      <c r="I227" s="269" t="s">
        <v>405</v>
      </c>
    </row>
    <row r="228" spans="2:9" ht="16" thickBot="1">
      <c r="B228" t="s">
        <v>303</v>
      </c>
      <c r="C228" s="7" t="s">
        <v>1153</v>
      </c>
      <c r="D228" s="7" t="str">
        <f t="shared" si="3"/>
        <v>TUV</v>
      </c>
      <c r="F228" s="269" t="s">
        <v>1145</v>
      </c>
      <c r="G228" s="269" t="s">
        <v>1475</v>
      </c>
      <c r="H228" s="269">
        <v>788</v>
      </c>
      <c r="I228" s="269" t="s">
        <v>299</v>
      </c>
    </row>
    <row r="229" spans="2:9" ht="16" thickBot="1">
      <c r="B229" t="s">
        <v>304</v>
      </c>
      <c r="C229" s="7" t="s">
        <v>1159</v>
      </c>
      <c r="D229" s="7" t="str">
        <f t="shared" si="3"/>
        <v>UGA</v>
      </c>
      <c r="F229" s="269" t="s">
        <v>1147</v>
      </c>
      <c r="G229" s="269" t="s">
        <v>1476</v>
      </c>
      <c r="H229" s="269">
        <v>792</v>
      </c>
      <c r="I229" s="269" t="s">
        <v>300</v>
      </c>
    </row>
    <row r="230" spans="2:9" ht="16" thickBot="1">
      <c r="B230" t="s">
        <v>305</v>
      </c>
      <c r="C230" s="7" t="s">
        <v>1161</v>
      </c>
      <c r="D230" s="7" t="str">
        <f t="shared" si="3"/>
        <v>UKR</v>
      </c>
      <c r="F230" s="269" t="s">
        <v>1149</v>
      </c>
      <c r="G230" s="269" t="s">
        <v>1477</v>
      </c>
      <c r="H230" s="269">
        <v>795</v>
      </c>
      <c r="I230" s="269" t="s">
        <v>301</v>
      </c>
    </row>
    <row r="231" spans="2:9" ht="16" thickBot="1">
      <c r="B231" t="s">
        <v>306</v>
      </c>
      <c r="C231" s="7" t="s">
        <v>1163</v>
      </c>
      <c r="D231" s="7" t="str">
        <f t="shared" si="3"/>
        <v>ARE</v>
      </c>
      <c r="F231" s="269" t="s">
        <v>1151</v>
      </c>
      <c r="G231" s="269" t="s">
        <v>1478</v>
      </c>
      <c r="H231" s="269">
        <v>796</v>
      </c>
      <c r="I231" s="269" t="s">
        <v>1479</v>
      </c>
    </row>
    <row r="232" spans="2:9" ht="16" thickBot="1">
      <c r="B232" t="s">
        <v>307</v>
      </c>
      <c r="C232" s="7" t="s">
        <v>1165</v>
      </c>
      <c r="D232" s="7" t="str">
        <f t="shared" si="3"/>
        <v>GBR</v>
      </c>
      <c r="F232" s="269" t="s">
        <v>1153</v>
      </c>
      <c r="G232" s="269" t="s">
        <v>1480</v>
      </c>
      <c r="H232" s="269">
        <v>798</v>
      </c>
      <c r="I232" s="269" t="s">
        <v>303</v>
      </c>
    </row>
    <row r="233" spans="2:9" ht="16" thickBot="1">
      <c r="B233" t="s">
        <v>46</v>
      </c>
      <c r="C233" s="7" t="s">
        <v>1167</v>
      </c>
      <c r="D233" s="7" t="str">
        <f t="shared" si="3"/>
        <v>USA</v>
      </c>
      <c r="F233" s="269" t="s">
        <v>1159</v>
      </c>
      <c r="G233" s="269" t="s">
        <v>1481</v>
      </c>
      <c r="H233" s="269">
        <v>800</v>
      </c>
      <c r="I233" s="269" t="s">
        <v>304</v>
      </c>
    </row>
    <row r="234" spans="2:9" ht="16" thickBot="1">
      <c r="B234" t="s">
        <v>308</v>
      </c>
      <c r="C234" s="7" t="s">
        <v>1169</v>
      </c>
      <c r="D234" s="7" t="str">
        <f t="shared" si="3"/>
        <v>URY</v>
      </c>
      <c r="F234" s="269" t="s">
        <v>1161</v>
      </c>
      <c r="G234" s="269" t="s">
        <v>1482</v>
      </c>
      <c r="H234" s="269">
        <v>804</v>
      </c>
      <c r="I234" s="269" t="s">
        <v>305</v>
      </c>
    </row>
    <row r="235" spans="2:9" ht="16" thickBot="1">
      <c r="B235" s="25" t="s">
        <v>54</v>
      </c>
      <c r="C235" s="7" t="s">
        <v>1155</v>
      </c>
      <c r="D235" s="7" t="str">
        <f t="shared" si="3"/>
        <v>UMI</v>
      </c>
      <c r="F235" s="269" t="s">
        <v>1163</v>
      </c>
      <c r="G235" s="269" t="s">
        <v>1483</v>
      </c>
      <c r="H235" s="269">
        <v>784</v>
      </c>
      <c r="I235" s="269" t="s">
        <v>1484</v>
      </c>
    </row>
    <row r="236" spans="2:9" ht="16" thickBot="1">
      <c r="B236" t="s">
        <v>309</v>
      </c>
      <c r="C236" s="7" t="s">
        <v>1171</v>
      </c>
      <c r="D236" s="7" t="str">
        <f t="shared" si="3"/>
        <v>UZB</v>
      </c>
      <c r="F236" s="269" t="s">
        <v>1165</v>
      </c>
      <c r="G236" s="269" t="s">
        <v>1485</v>
      </c>
      <c r="H236" s="269">
        <v>826</v>
      </c>
      <c r="I236" s="269" t="s">
        <v>1486</v>
      </c>
    </row>
    <row r="237" spans="2:9" ht="16" thickBot="1">
      <c r="B237" t="s">
        <v>310</v>
      </c>
      <c r="C237" s="7" t="s">
        <v>1173</v>
      </c>
      <c r="D237" s="7" t="str">
        <f t="shared" si="3"/>
        <v>VUT</v>
      </c>
      <c r="F237" s="269" t="s">
        <v>1155</v>
      </c>
      <c r="G237" s="269" t="s">
        <v>1487</v>
      </c>
      <c r="H237" s="269">
        <v>581</v>
      </c>
      <c r="I237" s="269" t="s">
        <v>1488</v>
      </c>
    </row>
    <row r="238" spans="2:9" ht="16" thickBot="1">
      <c r="B238" t="s">
        <v>311</v>
      </c>
      <c r="C238" s="7" t="s">
        <v>1175</v>
      </c>
      <c r="D238" s="7" t="str">
        <f t="shared" si="3"/>
        <v>VAT</v>
      </c>
      <c r="F238" s="269" t="s">
        <v>1167</v>
      </c>
      <c r="G238" s="269" t="s">
        <v>1489</v>
      </c>
      <c r="H238" s="269">
        <v>840</v>
      </c>
      <c r="I238" s="269" t="s">
        <v>1490</v>
      </c>
    </row>
    <row r="239" spans="2:9" ht="16" thickBot="1">
      <c r="B239" t="s">
        <v>312</v>
      </c>
      <c r="C239" s="7" t="s">
        <v>1177</v>
      </c>
      <c r="D239" s="7" t="str">
        <f t="shared" si="3"/>
        <v>VEN</v>
      </c>
      <c r="F239" s="269" t="s">
        <v>1169</v>
      </c>
      <c r="G239" s="269" t="s">
        <v>1491</v>
      </c>
      <c r="H239" s="269">
        <v>858</v>
      </c>
      <c r="I239" s="269" t="s">
        <v>308</v>
      </c>
    </row>
    <row r="240" spans="2:9" ht="16" thickBot="1">
      <c r="B240" t="s">
        <v>313</v>
      </c>
      <c r="C240" s="7" t="s">
        <v>1179</v>
      </c>
      <c r="D240" s="7" t="str">
        <f t="shared" si="3"/>
        <v>VNM</v>
      </c>
      <c r="F240" s="269" t="s">
        <v>1171</v>
      </c>
      <c r="G240" s="269" t="s">
        <v>1492</v>
      </c>
      <c r="H240" s="269">
        <v>860</v>
      </c>
      <c r="I240" s="269" t="s">
        <v>309</v>
      </c>
    </row>
    <row r="241" spans="2:9" ht="16" thickBot="1">
      <c r="B241" t="s">
        <v>314</v>
      </c>
      <c r="C241" s="7" t="s">
        <v>1181</v>
      </c>
      <c r="D241" s="7" t="str">
        <f t="shared" si="3"/>
        <v>WLF</v>
      </c>
      <c r="F241" s="269" t="s">
        <v>1173</v>
      </c>
      <c r="G241" s="269" t="s">
        <v>1493</v>
      </c>
      <c r="H241" s="269">
        <v>548</v>
      </c>
      <c r="I241" s="269" t="s">
        <v>310</v>
      </c>
    </row>
    <row r="242" spans="2:9" ht="16" thickBot="1">
      <c r="B242" t="s">
        <v>315</v>
      </c>
      <c r="C242" s="7" t="s">
        <v>1183</v>
      </c>
      <c r="D242" s="7" t="str">
        <f t="shared" si="3"/>
        <v>ESH</v>
      </c>
      <c r="F242" s="269" t="s">
        <v>1177</v>
      </c>
      <c r="G242" s="269" t="s">
        <v>1494</v>
      </c>
      <c r="H242" s="269">
        <v>862</v>
      </c>
      <c r="I242" s="269" t="s">
        <v>1495</v>
      </c>
    </row>
    <row r="243" spans="2:9" ht="16" thickBot="1">
      <c r="B243" t="s">
        <v>316</v>
      </c>
      <c r="C243" s="7" t="s">
        <v>1185</v>
      </c>
      <c r="D243" s="7" t="str">
        <f t="shared" si="3"/>
        <v>YEM</v>
      </c>
      <c r="F243" s="269" t="s">
        <v>1179</v>
      </c>
      <c r="G243" s="269" t="s">
        <v>1496</v>
      </c>
      <c r="H243" s="269">
        <v>704</v>
      </c>
      <c r="I243" s="269" t="s">
        <v>1497</v>
      </c>
    </row>
    <row r="244" spans="2:9" ht="16" thickBot="1">
      <c r="B244" t="s">
        <v>317</v>
      </c>
      <c r="C244" s="7" t="s">
        <v>1187</v>
      </c>
      <c r="D244" s="7" t="str">
        <f t="shared" si="3"/>
        <v>ZMB</v>
      </c>
      <c r="F244" s="269" t="s">
        <v>762</v>
      </c>
      <c r="G244" s="269" t="s">
        <v>1498</v>
      </c>
      <c r="H244" s="269">
        <v>92</v>
      </c>
      <c r="I244" s="269" t="s">
        <v>1499</v>
      </c>
    </row>
    <row r="245" spans="2:9" ht="16" thickBot="1">
      <c r="B245" t="s">
        <v>318</v>
      </c>
      <c r="C245" s="7" t="s">
        <v>1189</v>
      </c>
      <c r="D245" s="7" t="str">
        <f t="shared" si="3"/>
        <v>ZWE</v>
      </c>
      <c r="F245" s="269" t="s">
        <v>1157</v>
      </c>
      <c r="G245" s="269" t="s">
        <v>1500</v>
      </c>
      <c r="H245" s="269">
        <v>850</v>
      </c>
      <c r="I245" s="269" t="s">
        <v>1501</v>
      </c>
    </row>
    <row r="246" spans="2:9" ht="16" thickBot="1">
      <c r="F246" s="269" t="s">
        <v>1181</v>
      </c>
      <c r="G246" s="269" t="s">
        <v>1502</v>
      </c>
      <c r="H246" s="269">
        <v>876</v>
      </c>
      <c r="I246" s="269" t="s">
        <v>1503</v>
      </c>
    </row>
    <row r="247" spans="2:9" ht="16" thickBot="1">
      <c r="F247" s="269" t="s">
        <v>1183</v>
      </c>
      <c r="G247" s="269" t="s">
        <v>1504</v>
      </c>
      <c r="H247" s="269">
        <v>732</v>
      </c>
      <c r="I247" s="269" t="s">
        <v>315</v>
      </c>
    </row>
    <row r="248" spans="2:9" ht="16" thickBot="1">
      <c r="F248" s="269" t="s">
        <v>1185</v>
      </c>
      <c r="G248" s="269" t="s">
        <v>1505</v>
      </c>
      <c r="H248" s="269">
        <v>887</v>
      </c>
      <c r="I248" s="269" t="s">
        <v>316</v>
      </c>
    </row>
    <row r="249" spans="2:9" ht="16" thickBot="1">
      <c r="F249" s="269" t="s">
        <v>1187</v>
      </c>
      <c r="G249" s="269" t="s">
        <v>1506</v>
      </c>
      <c r="H249" s="269">
        <v>894</v>
      </c>
      <c r="I249" s="269" t="s">
        <v>317</v>
      </c>
    </row>
    <row r="250" spans="2:9" ht="16" thickBot="1">
      <c r="F250" s="269" t="s">
        <v>1189</v>
      </c>
      <c r="G250" s="269" t="s">
        <v>1507</v>
      </c>
      <c r="H250" s="269">
        <v>716</v>
      </c>
      <c r="I250" s="269" t="s">
        <v>318</v>
      </c>
    </row>
    <row r="251" spans="2:9" ht="16" thickBot="1">
      <c r="F251" s="269" t="s">
        <v>700</v>
      </c>
      <c r="G251" s="269" t="s">
        <v>1508</v>
      </c>
      <c r="H251" s="269">
        <v>248</v>
      </c>
      <c r="I251" s="269" t="s">
        <v>1509</v>
      </c>
    </row>
  </sheetData>
  <pageMargins left="0.7" right="0.7" top="0.75" bottom="0.75" header="0.3" footer="0.3"/>
  <headerFooter>
    <oddFooter>&amp;C_x000D_&amp;1#&amp;"Aptos"&amp;10&amp;K000000 NBA - Internal Use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F3B3-5C15-4A2C-85E8-EA5DDEB05895}">
  <sheetPr>
    <tabColor rgb="FFFFFF00"/>
  </sheetPr>
  <dimension ref="B2:G16"/>
  <sheetViews>
    <sheetView workbookViewId="0">
      <selection activeCell="F3" sqref="F3:F16"/>
    </sheetView>
  </sheetViews>
  <sheetFormatPr defaultColWidth="8.6328125" defaultRowHeight="12.5"/>
  <cols>
    <col min="1" max="1" width="1.6328125" customWidth="1"/>
    <col min="2" max="2" width="21.36328125" bestFit="1" customWidth="1"/>
    <col min="3" max="3" width="17.6328125" bestFit="1" customWidth="1"/>
    <col min="4" max="4" width="18.36328125" bestFit="1" customWidth="1"/>
    <col min="5" max="5" width="27.36328125" bestFit="1" customWidth="1"/>
    <col min="6" max="6" width="12.36328125" customWidth="1"/>
    <col min="7" max="7" width="8.36328125" bestFit="1" customWidth="1"/>
  </cols>
  <sheetData>
    <row r="2" spans="2:7" ht="13">
      <c r="B2" s="24" t="s">
        <v>31</v>
      </c>
      <c r="C2" s="24" t="s">
        <v>359</v>
      </c>
      <c r="D2" s="24" t="s">
        <v>360</v>
      </c>
      <c r="E2" s="24" t="s">
        <v>1510</v>
      </c>
      <c r="F2" s="24" t="s">
        <v>464</v>
      </c>
      <c r="G2" s="24" t="s">
        <v>1511</v>
      </c>
    </row>
    <row r="3" spans="2:7">
      <c r="B3" s="47" t="s">
        <v>101</v>
      </c>
      <c r="C3" s="31" t="str">
        <f>+VLOOKUP($B3,Apple!$B$3:$E$176,Apple!C$1,FALSE)</f>
        <v>BA</v>
      </c>
      <c r="D3" s="31" t="str">
        <f>+VLOOKUP($B3,Apple!$B$3:$E$176,Apple!D$1,FALSE)</f>
        <v>BAM</v>
      </c>
      <c r="E3" s="31" t="str">
        <f>+VLOOKUP($B3,Apple!$B$3:$E$176,Apple!E$1,FALSE)</f>
        <v>EUR</v>
      </c>
      <c r="F3" s="162">
        <v>0.5112951</v>
      </c>
      <c r="G3" s="6" t="s">
        <v>68</v>
      </c>
    </row>
    <row r="4" spans="2:7">
      <c r="B4" s="47" t="s">
        <v>261</v>
      </c>
      <c r="C4" s="31" t="str">
        <f>+VLOOKUP($B4,Apple!$B$3:$E$176,Apple!C$1,FALSE)</f>
        <v>RS</v>
      </c>
      <c r="D4" s="31" t="str">
        <f>+VLOOKUP($B4,Apple!$B$3:$E$176,Apple!D$1,FALSE)</f>
        <v>RSD</v>
      </c>
      <c r="E4" s="31" t="str">
        <f>+VLOOKUP($B4,Apple!$B$3:$E$176,Apple!E$1,FALSE)</f>
        <v>EUR</v>
      </c>
      <c r="F4" s="162">
        <v>8.5207549999999996E-3</v>
      </c>
      <c r="G4" s="6" t="s">
        <v>68</v>
      </c>
    </row>
    <row r="5" spans="2:7">
      <c r="B5" s="47" t="s">
        <v>94</v>
      </c>
      <c r="C5" s="31" t="str">
        <f>+VLOOKUP($B5,Google!$B$3:$E$174,2,FALSE)</f>
        <v>BJ</v>
      </c>
      <c r="D5" s="31" t="str">
        <f>+VLOOKUP($B5,Google!$B$3:$E$174,3,FALSE)</f>
        <v>XOF</v>
      </c>
      <c r="E5" s="31" t="str">
        <f>+VLOOKUP($B5,Google!$B$3:$E$174,4,FALSE)</f>
        <v>EUR</v>
      </c>
      <c r="F5" s="162">
        <v>1.5244903E-3</v>
      </c>
      <c r="G5" s="6" t="s">
        <v>69</v>
      </c>
    </row>
    <row r="6" spans="2:7">
      <c r="B6" s="47" t="s">
        <v>116</v>
      </c>
      <c r="C6" s="31" t="str">
        <f>+VLOOKUP($B6,Google!$B$3:$E$174,2,FALSE)</f>
        <v>CF</v>
      </c>
      <c r="D6" s="31" t="str">
        <f>+VLOOKUP($B6,Google!$B$3:$E$174,3,FALSE)</f>
        <v>XAF</v>
      </c>
      <c r="E6" s="31" t="str">
        <f>+VLOOKUP($B6,Google!$B$3:$E$174,4,FALSE)</f>
        <v>EUR</v>
      </c>
      <c r="F6" s="162">
        <v>1.5244903E-3</v>
      </c>
      <c r="G6" s="6" t="s">
        <v>69</v>
      </c>
    </row>
    <row r="7" spans="2:7">
      <c r="B7" s="47" t="s">
        <v>157</v>
      </c>
      <c r="C7" s="31" t="str">
        <f>+VLOOKUP($B7,Google!$B$3:$E$174,2,FALSE)</f>
        <v>GI</v>
      </c>
      <c r="D7" s="31" t="str">
        <f>+VLOOKUP($B7,Google!$B$3:$E$174,3,FALSE)</f>
        <v>GIP</v>
      </c>
      <c r="E7" s="31" t="str">
        <f>+VLOOKUP($B7,Google!$B$3:$E$174,4,FALSE)</f>
        <v>GBP</v>
      </c>
      <c r="F7" s="162">
        <v>0.99839029999999995</v>
      </c>
      <c r="G7" s="6" t="s">
        <v>69</v>
      </c>
    </row>
    <row r="8" spans="2:7">
      <c r="B8" s="47" t="s">
        <v>172</v>
      </c>
      <c r="C8" s="31" t="str">
        <f>+VLOOKUP($B8,Google!$B$3:$E$174,2,FALSE)</f>
        <v>IS</v>
      </c>
      <c r="D8" s="31" t="str">
        <f>+VLOOKUP($B8,Google!$B$3:$E$174,3,FALSE)</f>
        <v>ISK</v>
      </c>
      <c r="E8" s="31" t="str">
        <f>+VLOOKUP($B8,Google!$B$3:$E$174,4,FALSE)</f>
        <v>EUR</v>
      </c>
      <c r="F8" s="162">
        <v>6.9442894000000003E-3</v>
      </c>
      <c r="G8" s="6" t="s">
        <v>69</v>
      </c>
    </row>
    <row r="9" spans="2:7">
      <c r="B9" s="47" t="s">
        <v>89</v>
      </c>
      <c r="C9" s="31" t="str">
        <f>+VLOOKUP($B9,Samsung!$B$9:$E$174,2,FALSE)</f>
        <v>BD</v>
      </c>
      <c r="D9" s="31" t="str">
        <f>+VLOOKUP($B9,Samsung!$B$9:$E$174,3,FALSE)</f>
        <v>BDT</v>
      </c>
      <c r="E9" s="31" t="str">
        <f>+VLOOKUP($B9,Samsung!$B$9:$E$174,4,FALSE)</f>
        <v>USD</v>
      </c>
      <c r="F9" s="162">
        <v>8.1135900000000004E-3</v>
      </c>
      <c r="G9" s="6" t="s">
        <v>1512</v>
      </c>
    </row>
    <row r="10" spans="2:7">
      <c r="B10" t="s">
        <v>436</v>
      </c>
      <c r="C10" s="31" t="str">
        <f>+VLOOKUP($B10,Samsung!$B$9:$E$174,2,FALSE)</f>
        <v>IM</v>
      </c>
      <c r="D10" s="31" t="str">
        <f>+VLOOKUP($B10,Samsung!$B$9:$E$174,3,FALSE)</f>
        <v>USD</v>
      </c>
      <c r="E10" s="31" t="str">
        <f>+VLOOKUP($B10,Samsung!$B$9:$E$174,4,FALSE)</f>
        <v>GBP</v>
      </c>
      <c r="F10" s="162">
        <v>0.74869909999999995</v>
      </c>
      <c r="G10" s="6" t="s">
        <v>1512</v>
      </c>
    </row>
    <row r="11" spans="2:7">
      <c r="B11" t="s">
        <v>183</v>
      </c>
      <c r="C11" s="31" t="str">
        <f>+VLOOKUP($B11,Samsung!$B$9:$E$174,2,FALSE)</f>
        <v>JE</v>
      </c>
      <c r="D11" s="31" t="str">
        <f>+VLOOKUP($B11,Samsung!$B$9:$E$174,3,FALSE)</f>
        <v>USD</v>
      </c>
      <c r="E11" s="31" t="str">
        <f>+VLOOKUP($B11,Samsung!$B$9:$E$174,4,FALSE)</f>
        <v>GBP</v>
      </c>
      <c r="F11" s="162">
        <v>0.74869909999999995</v>
      </c>
      <c r="G11" s="6" t="s">
        <v>1512</v>
      </c>
    </row>
    <row r="12" spans="2:7">
      <c r="B12" t="s">
        <v>193</v>
      </c>
      <c r="C12" s="31" t="str">
        <f>+VLOOKUP($B12,Samsung!$B$9:$E$174,2,FALSE)</f>
        <v>LB</v>
      </c>
      <c r="D12" s="31" t="str">
        <f>+VLOOKUP($B12,Samsung!$B$9:$E$174,3,FALSE)</f>
        <v>USD</v>
      </c>
      <c r="E12" s="31" t="str">
        <f>+VLOOKUP($B12,Samsung!$B$9:$E$174,4,FALSE)</f>
        <v>LBP</v>
      </c>
      <c r="F12" s="162">
        <v>89550</v>
      </c>
      <c r="G12" s="6" t="s">
        <v>1512</v>
      </c>
    </row>
    <row r="13" spans="2:7">
      <c r="B13" t="s">
        <v>196</v>
      </c>
      <c r="C13" s="31" t="str">
        <f>+VLOOKUP($B13,Samsung!$B$9:$E$174,2,FALSE)</f>
        <v>LY</v>
      </c>
      <c r="D13" s="31" t="str">
        <f>+VLOOKUP($B13,Samsung!$B$9:$E$174,3,FALSE)</f>
        <v>USD</v>
      </c>
      <c r="E13" s="31" t="str">
        <f>+VLOOKUP($B13,Samsung!$B$9:$E$174,4,FALSE)</f>
        <v>LYD</v>
      </c>
      <c r="F13" s="162">
        <v>6.4148483000000001</v>
      </c>
      <c r="G13" s="6" t="s">
        <v>1512</v>
      </c>
    </row>
    <row r="14" spans="2:7">
      <c r="B14" t="s">
        <v>218</v>
      </c>
      <c r="C14" s="31" t="str">
        <f>+VLOOKUP($B14,Samsung!$B$9:$E$174,2,FALSE)</f>
        <v>ME</v>
      </c>
      <c r="D14" s="31" t="str">
        <f>+VLOOKUP($B14,Samsung!$B$9:$E$174,3,FALSE)</f>
        <v>EUR</v>
      </c>
      <c r="E14" s="31" t="str">
        <f>+VLOOKUP($B14,Samsung!$B$9:$E$174,4,FALSE)</f>
        <v>USD</v>
      </c>
      <c r="F14" s="162">
        <v>1.14175</v>
      </c>
      <c r="G14" s="6" t="s">
        <v>1512</v>
      </c>
    </row>
    <row r="15" spans="2:7">
      <c r="B15" t="s">
        <v>239</v>
      </c>
      <c r="C15" s="31" t="str">
        <f>+VLOOKUP($B15,Samsung!$B$9:$E$174,2,FALSE)</f>
        <v>PK</v>
      </c>
      <c r="D15" s="31" t="str">
        <f>+VLOOKUP($B15,Samsung!$B$9:$E$174,3,FALSE)</f>
        <v>PKR</v>
      </c>
      <c r="E15" s="31" t="str">
        <f>+VLOOKUP($B15,Samsung!$B$9:$E$174,4,FALSE)</f>
        <v>USD</v>
      </c>
      <c r="F15" s="162">
        <v>3.5967989999999999E-3</v>
      </c>
      <c r="G15" s="6" t="s">
        <v>1512</v>
      </c>
    </row>
    <row r="16" spans="2:7">
      <c r="B16" t="s">
        <v>252</v>
      </c>
      <c r="C16" s="31" t="str">
        <f>+VLOOKUP($B16,Samsung!$B$9:$E$174,2,FALSE)</f>
        <v>RO</v>
      </c>
      <c r="D16" s="31" t="str">
        <f>+VLOOKUP($B16,Samsung!$B$9:$E$174,3,FALSE)</f>
        <v>RON</v>
      </c>
      <c r="E16" s="31" t="str">
        <f>+VLOOKUP($B16,Samsung!$B$9:$E$174,4,FALSE)</f>
        <v>EUR</v>
      </c>
      <c r="F16" s="162">
        <v>0.19123329999999999</v>
      </c>
      <c r="G16" s="6" t="s">
        <v>1512</v>
      </c>
    </row>
  </sheetData>
  <autoFilter ref="B2:F2" xr:uid="{00000000-0001-0000-1300-000000000000}"/>
  <pageMargins left="0.7" right="0.7" top="0.75" bottom="0.75" header="0.3" footer="0.3"/>
  <pageSetup orientation="portrait" r:id="rId1"/>
  <headerFooter>
    <oddFooter>&amp;C_x000D_&amp;1#&amp;"Aptos"&amp;10&amp;K000000 NBA - Internal Use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FdsFormulaCache xmlns="urn:fdsformulacache" version="2" timestamp="1786992196"><![CDATA[{"^P_EXCH_RATE(ZMW,USD,0)":0.05736511,"^P_EXCH_RATE(YER,USD,0)":0.003996004,"^P_EXCH_RATE(MAD,USD,0)":0.10032606,"^P_EXCH_RATE(XPF,USD,0)":0.009184061,"^P_EXCH_RATE(VND,USD,0)":4.252424E-05,"^P_EXCH_RATE(USD,USD,0)":1.0,"^P_EXCH_RATE(PKR,USD,0)":0.0035533446,"^P_EXCH_RATE(VUV,USD,0)":0.008457732,"^P_EXCH_RATE(UZS,USD,0)":8.70908E-05,"^P_EXCH_RATE(UYU,USD,0)":0.026441036,"^P_EXCH_RATE(GBP,USD,0)":1.2743499,"^P_EXCH_RATE(AED,USD,0)":0.2722533,"^P_EXCH_RATE(UAH,USD,0)":0.027080346,"^P_EXCH_RATE(UGX,USD,0)":0.00027159153,"^P_EXCH_RATE(AUD,USD,0)":0.67614996,"^P_EXCH_RATE(TRY,USD,0)":0.040906068,"^P_EXCH_RATE(TND,USD,0)":0.3249074,"^P_EXCH_RATE(TTD,USD,0)":0.14774323,"^P_EXCH_RATE(TOP,USD,0)":0.4253,"^P_EXCH_RATE(NZD,USD,0)":0.61955,"^P_EXCH_RATE(XOF,USD,0)":0.0016707651,"^P_EXCH_RATE(THB,USD,0)":0.02853067,"^P_EXCH_RATE(TZS,USD,0)":0.00041701418,"^P_EXCH_RATE(TWD,USD,0)":0.032300785,"^P_EXCH_RATE(CHF,USD,0)":1.1148894,"^P_EXCH_RATE(SEK,USD,0)":0.093483284,"^P_EXCH_RATE(NOK,USD,0)":0.094226725,"^P_EXCH_RATE(SRD,USD,0)":0.026092289,"^P_EXCH_RATE(XCD,USD,0)":0.37037036,"^P_EXCH_RATE(SHP,USD,0)":1.2789,"^P_EXCH_RATE(LKR,USD,0)":0.0032583904,"^P_EXCH_RATE(KRW,USD,0)":0.00077220076,"^P_EXCH_RATE(ZAR,USD,0)":0.054178517,"^P_EXCH_RATE(SBD,USD,0)":0.120249994,"^P_EXCH_RATE(ANG,USD,0)":0.55865926,"^P_EXCH_RATE(SGD,USD,0)":0.7443245,"^P_EXCH_RATE(SLL,USD,0)":5.4200544E-05,"^P_EXCH_RATE(SCR,USD,0)":0.07188142,"^P_EXCH_RATE(RSD,USD,0)":0.0093449205,"^P_EXCH_RATE(SAR,USD,0)":0.26659557,"^P_EXCH_RATE(WST,USD,0)":0.368,"^P_EXCH_RATE(RWF,USD,0)":0.0008665511,"^P_EXCH_RATE(RUB,USD,0)":0.011880011,"^P_EXCH_RATE(RON,USD,0)":0.22070426,"^P_EXCH_RATE(QAR,USD,0)":0.27472526,"^P_EXCH_RATE(PLN,USD,0)":0.24736555,"^P_EXCH_RATE(PHP,USD,0)":0.017975911,"^P_EXCH_RATE(PEN,USD,0)":0.27515614,"^P_EXCH_RATE(PYG,USD,0)":0.00013731247,"^P_EXCH_RATE(PGK,USD,0)":0.28153947,"^P_EXCH_RATE(ILS,USD,0)":0.27544037,"^P_EXCH_RATE(RON,EUR,0)":0.19752075,"^P_EXCH_RATE(OMR,USD,0)":2.5974026,"^P_EXCH_RATE(NGN,USD,0)":0.0013651877,"^P_EXCH_RATE(NIO,USD,0)":0.027359782,"^P_EXCH_RATE(NPR,USD,0)":0.007626369,"^P_EXCH_RATE(NAD,USD,0)":0.054178517,"^P_EXCH_RATE(MMK,USD,0)":0.00047757395,"^P_EXCH_RATE(MNT,USD,0)":0.00028901733,"^P_EXCH_RATE(MDL,USD,0)":0.0555093,"^P_EXCH_RATE(MXN,USD,0)":0.05818182,"^P_EXCH_RATE(MUR,USD,0)":0.0220022,"^P_EXCH_RATE(MVR,USD,0)":0.064892925,"^P_EXCH_RATE(MYR,USD,0)":0.21500753,"^P_EXCH_RATE(MWK,USD,0)":0.000949271,"^P_EXCH_RATE(MKD,USD,0)":0.017806267,"^P_EXCH_RATE(MOP,USD,0)":0.12398487,"^P_EXCH_RATE(LBP,USD,0)":6.662114E-05,"^P_EXCH_RATE(LAK,USD,0)":5.3720625E-05,"^P_EXCH_RATE(KGS,USD,0)":0.011454754,"^P_EXCH_RATE(KWD,USD,0)":3.2546787,"^P_EXCH_RATE(KES,USD,0)":0.007119972,"^P_EXCH_RATE(KZT,USD,0)":0.002236386,"^P_EXCH_RATE(JOD,USD,0)":1.4089469,"^P_EXCH_RATE(JMD,USD,0)":0.0064782533,"^P_EXCH_RATE(IDR,USD,0)":6.69344E-05,"^P_EXCH_RATE(INR,USD,0)":0.01220219,"^P_EXCH_RATE(ISK,USD,0)":0.007360518,"^P_EXCH_RATE(HUF,USD,0)":0.002966236,"^P_EXCH_RATE(HKD,USD,0)":0.12770414,"^P_EXCH_RATE(HNL,USD,0)":0.040469445,"^P_EXCH_RATE(HTG,USD,0)":0.0072568255,"^P_EXCH_RATE(GYD,USD,0)":0.004720059,"^P_EXCH_RATE(GNF,USD,0)":0.00011554015,"^P_EXCH_RATE(GTQ,USD,0)":0.12755753,"^P_EXCH_RATE(DKK,USD,0)":0.14712915,"^P_EXCH_RATE(GIP,USD,0)":1.2789,"^P_EXCH_RATE(GHS,USD,0)":0.08810572,"^P_EXCH_RATE(GEL,USD,0)":0.38066235,"^P_EXCH_RATE(GMD,USD,0)":0.016792612,"^P_EXCH_RATE(XAF,USD,0)":0.0016707651,"^P_EXCH_RATE(FJD,USD,0)":0.4486719,"^P_EXCH_RATE(FKP,USD,0)":1.2789,"^P_EXCH_RATE(ETB,USD,0)":0.018249873,"^P_EXCH_RATE(SZL,USD,0)":0.054178517,"^P_EXCH_RATE(EGP,USD,0)":0.03236246,"^P_EXCH_RATE(DOP,USD,0)":0.018214935,"^P_EXCH_RATE(DJF,USD,0)":0.005619562,"^P_EXCH_RATE(CZK,USD,0)":0.046301227,"^P_EXCH_RATE(CRC,USD,0)":0.0018389283,"^P_EXCH_RATE(KMF,USD,0)":0.0022276868,"^P_EXCH_RATE(COP,USD,0)":0.00024220612,"^P_EXCH_RATE(CLP,USD,0)":0.001243348,"^P_EXCH_RATE(CVE,USD,0)":0.009974263,"^P_EXCH_RATE(CAD,USD,0)":0.75938797,"^P_EXCH_RATE(KHR,USD,0)":0.0002427953,"^P_EXCH_RATE(BGN,USD,0)":0.56038105,"^P_EXCH_RATE(BND,USD,0)":0.7443245,"^P_EXCH_RATE(BRL,USD,0)":0.20940654,"^P_EXCH_RATE(BWP,USD,0)":0.07495,"^P_EXCH_RATE(BAM,USD,0)":0.60596883,"^P_EXCH_RATE(BOB,USD,0)":0.1447178,"^P_EXCH_RATE(BMD,USD,0)":1.0,"^P_EXCH_RATE(BZD,USD,0)":0.5,"^P_EXCH_RATE(BYN,USD,0)":0.4,"^P_EXCH_RATE(BBD,USD,0)":0.5,"^P_EXCH_RATE(EUR,USD,0)":1.1852,"^P_EXCH_RATE(BHD,USD,0)":2.65252,"^P_EXCH_RATE(BSD,USD,0)":1.0,"^P_EXCH_RATE(AZN,USD,0)":0.58823526,"^P_EXCH_RATE(AWG,USD,0)":0.55865926,"^P_EXCH_RATE(AMD,USD,0)":0.0025935916,"^P_EXCH_RATE(ARS,USD,0)":0.003970095,"^P_EXCH_RATE(DZD,USD,0)":0.0073877885,"^P_EXCH_RATE(ALL,USD,0)":0.0102348905,"^P_EXCH_RATE(BDT,USD,0)":0.008213553,"^P_EXCH_RATE(USD,GBP,0)":0.73225206,"^P_EXCH_RATE(ISK,EUR,0)":0.0069822865,"^P_EXCH_RATE(USD,IQD,0)":1309.1194,"^P_EXCH_RATE(USD,LYD,0)":5.405732,"^P_EXCH_RATE(USD,LBP,0)":89550.0,"^P_EXCH_RATE(BAM,EUR,0)":0.5112798,"^P_EXCH_RATE(SOS,USD,0)":0.0017511774,"^P_EXCH_RATE(USD,USD,45483)":1.0,"^P_EXCH_RATE(ZMW,USD,45483)":0.039543822,"^P_EXCH_RATE(MAD,USD,45483)":0.10159865,"^P_EXCH_RATE(XPF,USD,45483)":0.009070517,"^P_EXCH_RATE(VND,USD,45483)":3.9342973E-05,"^P_EXCH_RATE(EUR,USD,45483)":1.0824,"^P_EXCH_RATE(VUV,USD,45483)":0.008403714,"^P_EXCH_RATE(UZS,USD,45483)":7.915851E-05,"^P_EXCH_RATE(UYU,USD,45483)":0.02504069,"^P_EXCH_RATE(GBP,USD,45483)":1.28295,"^P_EXCH_RATE(AED,USD,45483)":0.272257,"^P_EXCH_RATE(UAH,USD,45483)":0.024539877,"^P_EXCH_RATE(UGX,USD,45483)":0.00026990555,"^P_EXCH_RATE(AUD,USD,45483)":0.67429996,"^P_EXCH_RATE(TRY,USD,45483)":0.030416401,"^P_EXCH_RATE(TND,USD,45483)":0.32065156,"^P_EXCH_RATE(TTD,USD,45483)":0.14787868,"^P_EXCH_RATE(TOP,USD,45483)":0.42369998,"^P_EXCH_RATE(NZD,USD,45483)":0.60815,"^P_EXCH_RATE(XOF,USD,45483)":0.0016501081,"^P_EXCH_RATE(THB,USD,45483)":0.027472526,"^P_EXCH_RATE(TZS,USD,45483)":0.00037664783,"^P_EXCH_RATE(TWD,USD,45483)":0.030672964,"^P_EXCH_RATE(,USD,45483)":null,"^P_EXCH_RATE(CHF,USD,45483)":1.1117905,"^P_EXCH_RATE(SEK,USD,45483)":0.09482493,"^P_EXCH_RATE(NOK,USD,45483)":0.09332668,"^P_EXCH_RATE(SRD,USD,45483)":0.033236947,"^P_EXCH_RATE(XCD,USD,45483)":0.37037036,"^P_EXCH_RATE(SHP,USD,45483)":1.2808499,"^P_EXCH_RATE(LKR,USD,45483)":0.0032927229,"^P_EXCH_RATE(KRW,USD,45483)":0.00072217814,"^P_EXCH_RATE(ZAR,USD,45483)":0.05518383,"^P_EXCH_RATE(SOS,USD,45483)":0.0017503689,"^P_EXCH_RATE(SBD,USD,45483)":0.1184,"^P_EXCH_RATE(ANG,USD,45483)":0.55865926,"^P_EXCH_RATE(SGD,USD,45483)":0.74128985,"^P_EXCH_RATE(SLL,USD,45483)":4.43459E-05,"^P_EXCH_RATE(SCR,USD,45483)":0.06754338,"^P_EXCH_RATE(RSD,USD,45483)":0.009249411,"^P_EXCH_RATE(SAR,USD,45483)":0.2666169,"^P_EXCH_RATE(WST,USD,45483)":0.3659,"^P_EXCH_RATE(RWF,USD,45483)":0.0007642339,"^P_EXCH_RATE(RUB,USD,45483)":0.011299435,"^P_EXCH_RATE(RON,USD,45483)":0.21765628,"^P_EXCH_RATE(QAR,USD,45483)":0.27464983,"^P_EXCH_RATE(PLN,USD,45483)":0.25415868,"^P_EXCH_RATE(PHP,USD,45483)":0.017138842,"^P_EXCH_RATE(PEN,USD,45483)":0.26425666,"^P_EXCH_RATE(PYG,USD,45483)":0.00013249552,"^P_EXCH_RATE(PGK,USD,45483)":0.2592823,"^P_EXCH_RATE(ILS,USD,45483)":0.2732091,"^P_EXCH_RATE(PKR,USD,45483)":0.00359002,"^P_EXCH_RATE(OMR,USD,45483)":2.5970652,"^P_EXCH_RATE(NGN,USD,45483)":0.00064935064,"^P_EXCH_RATE(NIO,USD,45483)":0.027304277,"^P_EXCH_RATE(NPR,USD,45483)":0.007482283,"^P_EXCH_RATE(NAD,USD,45483)":0.05518383,"^P_EXCH_RATE(MMK,USD,45483)":0.00047718838,"^P_EXCH_RATE(MNT,USD,45483)":0.00029403117,"^P_EXCH_RATE(MDL,USD,45483)":0.056465276,"^P_EXCH_RATE(MXN,USD,45483)":0.056044385,"^P_EXCH_RATE(MUR,USD,45483)":0.0213858,"^P_EXCH_RATE(MVR,USD,45483)":0.064892925,"^P_EXCH_RATE(MYR,USD,45483)":0.21274333,"^P_EXCH_RATE(MWK,USD,45483)":0.00057669793,"^P_EXCH_RATE(MKD,USD,45483)":0.017566975,"^P_EXCH_RATE(MOP,USD,45483)":0.12429618,"^P_EXCH_RATE(LBP,USD,45483)":1.1166946E-05,"^P_EXCH_RATE(LAK,USD,45483)":4.5141835E-05,"^P_EXCH_RATE(KGS,USD,45483)":0.0116974255,"^P_EXCH_RATE(KWD,USD,45483)":3.2674398,"^P_EXCH_RATE(KES,USD,45483)":0.007782101,"^P_EXCH_RATE(KZT,USD,45483)":0.0020935393,"^P_EXCH_RATE(JOD,USD,45483)":1.4115322,"^P_EXCH_RATE(JMD,USD,45483)":0.0063742986,"^P_EXCH_RATE(IDR,USD,45483)":6.157636E-05,"^P_EXCH_RATE(INR,USD,45483)":0.011971654,"^P_EXCH_RATE(ISK,USD,45483)":0.007259528,"^P_EXCH_RATE(HUF,USD,45483)":0.0027522722,"^P_EXCH_RATE(HKD,USD,45483)":0.12802458,"^P_EXCH_RATE(HNL,USD,45483)":0.040305596,"^P_EXCH_RATE(HTG,USD,45483)":0.007582346,"^P_EXCH_RATE(GYD,USD,45483)":0.0047841105,"^P_EXCH_RATE(GNF,USD,45483)":0.00011634672,"^P_EXCH_RATE(GTQ,USD,45483)":0.12892745,"^P_EXCH_RATE(DKK,USD,45483)":0.14510208,"^P_EXCH_RATE(GIP,USD,45483)":1.2808499,"^P_EXCH_RATE(GHS,USD,45483)":0.06497726,"^P_EXCH_RATE(GEL,USD,45483)":0.3652301,"^P_EXCH_RATE(GMD,USD,45483)":0.014760148,"^P_EXCH_RATE(XAF,USD,45483)":0.0016501081,"^P_EXCH_RATE(FJD,USD,45483)":0.44377384,"^P_EXCH_RATE(FKP,USD,45483)":1.2808499,"^P_EXCH_RATE(ETB,USD,45483)":0.017325167,"^P_EXCH_RATE(SZL,USD,45483)":0.05518383,"^P_EXCH_RATE(EGP,USD,45483)":0.020833334,"^P_EXCH_RATE(DOP,USD,45483)":0.0169348,"^P_EXCH_RATE(DJF,USD,45483)":0.0055966526,"^P_EXCH_RATE(CZK,USD,45483)":0.042699005,"^P_EXCH_RATE(CRC,USD,45483)":0.0018953214,"^P_EXCH_RATE(KMF,USD,45483)":0.002200144,"^P_EXCH_RATE(COP,USD,45483)":0.00025126198,"^P_EXCH_RATE(CLP,USD,45483)":0.0010876423,"^P_EXCH_RATE(CVE,USD,45483)":0.009799173,"^P_EXCH_RATE(CAD,USD,45483)":0.7342413,"^P_EXCH_RATE(KHR,USD,45483)":0.00024360951,"^P_EXCH_RATE(BGN,USD,45483)":0.55357194,"^P_EXCH_RATE(BND,USD,45483)":0.74128985,"^P_EXCH_RATE(BRL,USD,45483)":0.18519546,"^P_EXCH_RATE(BWP,USD,45483)":0.07385,"^P_EXCH_RATE(BAM,USD,45483)":0.55341876,"^P_EXCH_RATE(BOB,USD,45483)":0.1447178,"^P_EXCH_RATE(BMD,USD,45483)":1.0,"^P_EXCH_RATE(BZD,USD,45483)":0.5,"^P_EXCH_RATE(BYN,USD,45483)":0.3058104,"^P_EXCH_RATE(BBD,USD,45483)":0.5,"^P_EXCH_RATE(BDT,USD,45483)":0.008510638,"^P_EXCH_RATE(BHD,USD,45483)":2.6528718,"^P_EXCH_RATE(BSD,USD,45483)":1.0,"^P_EXCH_RATE(AZN,USD,45483)":0.58823526,"^P_EXCH_RATE(AWG,USD,45483)":0.55865926,"^P_EXCH_RATE(AMD,USD,45483)":0.002581318,"^P_EXCH_RATE(ARS,USD,45483)":0.0010878382,"^P_EXCH_RATE(DZD,USD,45483)":0.007440122,"^P_EXCH_RATE(ALL,USD,45483)":0.010793308,"^P_EXCH_RATE(USD,EUR,45483)":0.9238729,"^P_EXCH_RATE(USD,GBP,7/10/2024)":0.7794536,"^P_EXCH_RATE(USD,EUR,7/10/2024)":0.9238729,"^P_EXCH_RATE(YER,USD,45483)":0.0039936104,"^P_EXCH_RATE(USD,USD,45844)":1.0,"^P_EXCH_RATE(ZMW,USD,45844)":0.04127967,"^P_EXCH_RATE(YER,USD,45844)":0.004127967,"^P_EXCH_RATE(MAD,USD,45844)":0.11130775,"^P_EXCH_RATE(XPF,USD,45844)":0.009870382,"^P_EXCH_RATE(VND,USD,45844)":3.8212424E-05,"^P_EXCH_RATE(EUR,USD,45844)":1.17785,"^P_EXCH_RATE(VUV,USD,45844)":0.008422826,"^P_EXCH_RATE(UZS,USD,45844)":7.932271E-05,"^P_EXCH_RATE(UYU,USD,45844)":0.024912806,"^P_EXCH_RATE(GBP,USD,45844)":1.36425,"^P_EXCH_RATE(AED,USD,45844)":0.2722422,"^P_EXCH_RATE(UAH,USD,45844)":0.023963576,"^P_EXCH_RATE(UGX,USD,45844)":0.0002787845,"^P_EXCH_RATE(AUD,USD,45844)":0.65494996,"^P_EXCH_RATE(TRY,USD,45844)":0.025111748,"^P_EXCH_RATE(TND,USD,45844)":0.34894878,"^P_EXCH_RATE(TTD,USD,45844)":0.1485884,"^P_EXCH_RATE(TOP,USD,45844)":0.42090002,"^P_EXCH_RATE(NZD,USD,45844)":0.60535,"^P_EXCH_RATE(XOF,USD,45844)":0.0017956208,"^P_EXCH_RATE(THB,USD,45844)":0.030897573,"^P_EXCH_RATE(TZS,USD,45844)":0.00037807183,"^P_EXCH_RATE(TWD,USD,45844)":0.034631435,"^P_EXCH_RATE(0,USD,45844)":null,"^P_EXCH_RATE(CHF,USD,45844)":1.26016,"^P_EXCH_RATE(SEK,USD,45844)":0.10462385,"^P_EXCH_RATE(NOK,USD,45844)":0.09931719,"^P_EXCH_RATE(SRD,USD,45844)":0.02685429,"^P_EXCH_RATE(XCD,USD,45844)":0.37037036,"^P_EXCH_RATE(SHP,USD,45844)":1.3658,"^P_EXCH_RATE(LKR,USD,45844)":0.0033330556,"^P_EXCH_RATE(KRW,USD,45844)":0.0007344031,"^P_EXCH_RATE(ZAR,USD,45844)":0.056777857,"^P_EXCH_RATE(SOS,USD,45844)":0.0017502179,"^P_EXCH_RATE(SBD,USD,45844)":0.11970001,"^P_EXCH_RATE(ANG,USD,45844)":0.55865926,"^P_EXCH_RATE(SGD,USD,45844)":0.78455985,"^P_EXCH_RATE(SLL,USD,45844)":4.454343E-05,"^P_EXCH_RATE(SCR,USD,45844)":0.06758469,"^P_EXCH_RATE(RSD,USD,45844)":0.010051766,"^P_EXCH_RATE(SAR,USD,45844)":0.26663822,"^P_EXCH_RATE(WST,USD,45844)":0.36389998,"^P_EXCH_RATE(RWF,USD,45844)":0.00069565215,"^P_EXCH_RATE(RUB,USD,45844)":0.012698413,"^P_EXCH_RATE(RON,USD,45844)":0.23281533,"^P_EXCH_RATE(QAR,USD,45844)":0.27464983,"^P_EXCH_RATE(PLN,USD,45844)":0.27761585,"^P_EXCH_RATE(PHP,USD,45844)":0.017728925,"^P_EXCH_RATE(PEN,USD,45844)":0.28208745,"^P_EXCH_RATE(PYG,USD,45844)":0.00012924071,"^P_EXCH_RATE(PGK,USD,45844)":0.24210145,"^P_EXCH_RATE(ILS,USD,45844)":0.29859212,"^P_EXCH_RATE(PKR,USD,45844)":0.0035226773,"^P_EXCH_RATE(OMR,USD,45844)":2.5970652,"^P_EXCH_RATE(NGN,USD,45844)":0.00065457023,"^P_EXCH_RATE(NIO,USD,45844)":0.027304277,"^P_EXCH_RATE(NPR,USD,45844)":0.0073192506,"^P_EXCH_RATE(NAD,USD,45844)":0.056777857,"^P_EXCH_RATE(MMK,USD,45844)":0.000476566,"^P_EXCH_RATE(MNT,USD,45844)":0.00027866795,"^P_EXCH_RATE(MDL,USD,45844)":0.0593648,"^P_EXCH_RATE(MXN,USD,45844)":0.05364807,"^P_EXCH_RATE(MUR,USD,45844)":0.02224694,"^P_EXCH_RATE(MVR,USD,45844)":0.064850844,"^P_EXCH_RATE(MYR,USD,45844)":0.23691067,"^P_EXCH_RATE(MWK,USD,45844)":0.0005766996,"^P_EXCH_RATE(MKD,USD,45844)":0.019122288,"^P_EXCH_RATE(MOP,USD,45844)":0.123682015,"^P_EXCH_RATE(LAK,USD,45844)":4.6629768E-05,"^P_EXCH_RATE(KGS,USD,45844)":0.011435106,"^P_EXCH_RATE(KWD,USD,45844)":3.2749302,"^P_EXCH_RATE(KES,USD,45844)":0.0077399383,"^P_EXCH_RATE(KZT,USD,45844)":0.0019249463,"^P_EXCH_RATE(JOD,USD,45844)":1.4103378,"^P_EXCH_RATE(JPY,USD,45844)":0.006919218,"^P_EXCH_RATE(JMD,USD,45844)":0.0062648794,"^P_EXCH_RATE(IDR,USD,45844)":6.1785606E-05,"^P_EXCH_RATE(INR,USD,45844)":0.011710802,"^P_EXCH_RATE(ISK,USD,45844)":0.008270957,"^P_EXCH_RATE(HUF,USD,45844)":0.002954226,"^P_EXCH_RATE(HKD,USD,45844)":0.12739259,"^P_EXCH_RATE(HNL,USD,45844)":0.03815243,"^P_EXCH_RATE(HTG,USD,45844)":0.0076451376,"^P_EXCH_RATE(GYD,USD,45844)":0.0047858995,"^P_EXCH_RATE(GNF,USD,45844)":0.00011551346,"^P_EXCH_RATE(GTQ,USD,45844)":0.13026771,"^P_EXCH_RATE(DKK,USD,45844)":0.1578507,"^P_EXCH_RATE(GIP,USD,45844)":1.3658,"^P_EXCH_RATE(GHS,USD,45844)":0.096618354,"^P_EXCH_RATE(GEL,USD,45844)":0.368053,"^P_EXCH_RATE(GMD,USD,45844)":0.013986014,"^P_EXCH_RATE(XAF,USD,45844)":0.0017956208,"^P_EXCH_RATE(FJD,USD,45844)":0.44297767,"^P_EXCH_RATE(FKP,USD,45844)":1.3658,"^P_EXCH_RATE(ETB,USD,45844)":0.007206688,"^P_EXCH_RATE(SZL,USD,45844)":0.056777857,"^P_EXCH_RATE(EGP,USD,45844)":0.020259319,"^P_EXCH_RATE(DOP,USD,45844)":0.01671123,"^P_EXCH_RATE(DJF,USD,45844)":0.0056037423,"^P_EXCH_RATE(CZK,USD,45844)":0.04781989,"^P_EXCH_RATE(CRC,USD,45844)":0.0019816696,"^P_EXCH_RATE(KMF,USD,45844)":0.0023941607,"^P_EXCH_RATE(COP,USD,45844)":0.00025006878,"^P_EXCH_RATE(CLP,USD,45844)":0.0010746275,"^P_EXCH_RATE(CVE,USD,45844)":0.01067949,"^P_EXCH_RATE(CAD,USD,45844)":0.7347539,"^P_EXCH_RATE(KHR,USD,45844)":0.00024926086,"^P_EXCH_RATE(BGN,USD,45844)":0.6024278,"^P_EXCH_RATE(BND,USD,45844)":0.78455985,"^P_EXCH_RATE(BRL,USD,45844)":0.18495399,"^P_EXCH_RATE(BWP,USD,45844)":0.075399995,"^P_EXCH_RATE(BAM,USD,45844)":0.6022282,"^P_EXCH_RATE(BOB,USD,45844)":0.1447178,"^P_EXCH_RATE(BMD,USD,45844)":1.0,"^P_EXCH_RATE(BZD,USD,45844)":0.5,"^P_EXCH_RATE(BYN,USD,45844)":0.3053435,"^P_EXCH_RATE(BBD,USD,45844)":0.5,"^P_EXCH_RATE(BDT,USD,45844)":0.008138352,"^P_EXCH_RATE(BHD,USD,45844)":2.65252,"^P_EXCH_RATE(BSD,USD,45844)":1.0,"^P_EXCH_RATE(AZN,USD,45844)":0.58823526,"^P_EXCH_RATE(AWG,USD,45844)":0.55865926,"^P_EXCH_RATE(AMD,USD,45844)":0.002603061,"^P_EXCH_RATE(ARS,USD,45844)":0.0008092217,"^P_EXCH_RATE(DZD,USD,45844)":0.007729525,"^P_EXCH_RATE(ALL,USD,45844)":0.012021398,"^P_EXCH_RATE(EUR,USD,7/06/2025)":1.17785,"^P_EXCH_RATE(RON,EUR,7/06/2025)":0.19766127,"^\"P_EXCH_RATE(\"&F3&\",USD,\"&'[2025.02.13 FY25 RTTP PRICING SHEET V3 - VALUES.XLSX]INT WEB'!$AK$2&\")\"":"#NUM","^P_EXCH_RATE(EUR,BAM,45483)":1.9558426,"^P_EXCH_RATE(EUR,BAM,7/6/2025)":1.95582,"^P_EXCH_RATE(EUR,RSD,7/6/2025)":117.17841,"^P_EXCH_RATE(USD,EUR,7/06/2025)":0.8490045,"^P_EXCH_RATE(USD,USD,7/06/2025)":1.0,"^P_EXCH_RATE(PKR,USD,7/06/2025)":0.0035226773,"^P_EXCH_RATE(D3,EUR,7/06/2025)":"#NUM","^P_EXCH_RATE(USD,LYD,7/06/2025)":5.3864403,"^P_EXCH_RATE(USD,LBP,7/06/2025)":89600.0,"^P_EXCH_RATE(USD,GBP,7/06/2025)":0.7330035,"^P_EXCH_RATE(BDT,USD,7/06/2025)":0.008138352,"^P_EXCH_RATE(ISK,EUR,7/06/2025)":0.0070220795,"^P_EXCH_RATE(GIP,GBP,7/06/2025)":1.0011362,"^P_EXCH_RATE(XAF,EUR,7/06/2025)":0.0015244902,"^P_EXCH_RATE(XOF,EUR,7/06/2025)":0.0015244902,"^P_EXCH_RATE(RSD,EUR,7/06/2025)":0.008533996,"^P_EXCH_RATE(BAM,EUR,7/06/2025)":0.5112945,"^P_EXCH_RATE(GIP,GBP,0)":0.99893826,"^P_EXCH_RATE(XAF,EUR,0)":0.0015244902,"^P_EXCH_RATE(XOF,EUR,0)":0.0015244902,"^P_EXCH_RATE(RSD,EUR,0)":0.00853469,"^P_EXCH_RATE(BAM,EUR,7/6/2025)":0.5112945,"^P_EXCH_RATE(RON,EUR,7/6/2025)":0.19766127,"^P_EXCH_RATE(PKR,USD,7/6/2025)":0.0035226773,"^P_EXCH_RATE(EUR,USD,7/6/2025)":1.17785,"^P_EXCH_RATE(USD,LYD,7/6/2025)":5.3864403,"^P_EXCH_RATE(USD,LBP,7/6/2025)":89600.0,"^P_EXCH_RATE(USD,GBP,7/6/2025)":0.7330035,"^P_EXCH_RATE(BDT,USD,7/6/2025)":0.008138352,"^P_EXCH_RATE(ISK,EUR,7/6/2025)":0.0070220795,"^P_EXCH_RATE(GIP,GBP,7/6/2025)":1.0011362,"^P_EXCH_RATE(XAF,EUR,7/6/2025)":0.0015244902,"^P_EXCH_RATE(XOF,EUR,7/6/2025)":0.0015244902,"^P_EXCH_RATE(RSD,EUR,7/6/2025)":0.008533996,"^P_EXCH_RATE(USD,USD,46162)":1.0,"^P_EXCH_RATE(ZMW,USD,46162)":0.052840162,"^P_EXCH_RATE(YER,USD,46162)":0.004190237,"^P_EXCH_RATE(MAD,USD,46162)":0.10809409,"^P_EXCH_RATE(XPF,USD,46162)":0.009737563,"^P_EXCH_RATE(VND,USD,46162)":3.791541E-05,"^P_EXCH_RATE(EUR,USD,46162)":1.162,"^P_EXCH_RATE(VUV,USD,46162)":0.008495816,"^P_EXCH_RATE(UZS,USD,46162)":8.2807645E-05,"^P_EXCH_RATE(UYU,USD,46162)":0.024804665,"^P_EXCH_RATE(GBP,USD,46162)":1.34355,"^P_EXCH_RATE(AED,USD,46162)":0.27227184,"^P_EXCH_RATE(UAH,USD,46162)":0.022601577,"^P_EXCH_RATE(UGX,USD,46162)":0.00026490065,"^P_EXCH_RATE(AUD,USD,46162)":0.71545,"^P_EXCH_RATE(TRY,USD,46162)":0.021931145,"^P_EXCH_RATE(TND,USD,46162)":0.34432298,"^P_EXCH_RATE(TTD,USD,46162)":0.14838557,"^P_EXCH_RATE(TOP,USD,46162)":0.4215,"^P_EXCH_RATE(NZD,USD,46162)":0.58705,"^P_EXCH_RATE(XOF,USD,46162)":0.0017714575,"^P_EXCH_RATE(THB,USD,46162)":0.030590396,"^P_EXCH_RATE(TZS,USD,46162)":0.00038314177,"^P_EXCH_RATE(TWD,USD,46162)":0.031573627,"^P_EXCH_RATE(0,USD,46162)":null,"^P_EXCH_RATE(CHF,USD,46162)":1.2704059,"^P_EXCH_RATE(SEK,USD,46162)":0.107044026,"^P_EXCH_RATE(NOK,USD,46162)":0.10794765,"^P_EXCH_RATE(SRD,USD,46162)":0.026795642,"^P_EXCH_RATE(XCD,USD,46162)":0.37037036,"^P_EXCH_RATE(SHP,USD,46162)":1.3384,"^P_EXCH_RATE(LKR,USD,46162)":0.0029411765,"^P_EXCH_RATE(KRW,USD,46162)":0.0006636361,"^P_EXCH_RATE(ZAR,USD,46162)":0.06072586,"^P_EXCH_RATE(SOS,USD,46162)":0.0017492911,"^P_EXCH_RATE(SBD,USD,46162)":0.124299996,"^P_EXCH_RATE(ANG,USD,46162)":0.55865926,"^P_EXCH_RATE(SGD,USD,46162)":0.7823502,"^P_EXCH_RATE(SLL,USD,46162)":4.0650408E-05,"^P_EXCH_RATE(SCR,USD,46162)":0.0675085,"^P_EXCH_RATE(RSD,USD,46162)":0.009895112,"^P_EXCH_RATE(SAR,USD,46162)":0.266489,"^P_EXCH_RATE(WST,USD,46162)":0.3673,"^P_EXCH_RATE(RWF,USD,46162)":0.00068399456,"^P_EXCH_RATE(RUB,USD,46162)":0.014035088,"^P_EXCH_RATE(RON,USD,46162)":0.22190171,"^P_EXCH_RATE(QAR,USD,46162)":0.27464983,"^P_EXCH_RATE(PLN,USD,46162)":0.27362028,"^P_EXCH_RATE(PHP,USD,46162)":0.016198266,"^P_EXCH_RATE(PEN,USD,46162)":0.29255164,"^P_EXCH_RATE(PYG,USD,46162)":0.00016230631,"^P_EXCH_RATE(PGK,USD,46162)":0.22935516,"^P_EXCH_RATE(ILS,USD,46162)":0.34454244,"^P_EXCH_RATE(PKR,USD,46162)":0.0035893754,"^P_EXCH_RATE(OMR,USD,46162)":2.5974026,"^P_EXCH_RATE(NGN,USD,46162)":0.0007285391,"^P_EXCH_RATE(NIO,USD,46162)":0.027304277,"^P_EXCH_RATE(NPR,USD,46162)":0.006454778,"^P_EXCH_RATE(NAD,USD,46162)":0.06072586,"^P_EXCH_RATE(MMK,USD,46162)":0.00047630572,"^P_EXCH_RATE(MNT,USD,46162)":0.0002793296,"^P_EXCH_RATE(MDL,USD,46162)":0.05790388,"^P_EXCH_RATE(MXN,USD,46162)":0.05783021,"^P_EXCH_RATE(MUR,USD,46162)":0.021092597,"^P_EXCH_RATE(MVR,USD,46162)":0.064850844,"^P_EXCH_RATE(MYR,USD,46162)":0.25188917,"^P_EXCH_RATE(MWK,USD,46162)":0.00057570526,"^P_EXCH_RATE(MKD,USD,46162)":0.01887861,"^P_EXCH_RATE(MOP,USD,46162)":0.123944916,"^P_EXCH_RATE(LAK,USD,46162)":4.581381E-05,"^P_EXCH_RATE(KGS,USD,46162)":0.011435106,"^P_EXCH_RATE(KWD,USD,46162)":3.2341528,"^P_EXCH_RATE(KES,USD,46162)":0.0077220076,"^P_EXCH_RATE(KZT,USD,46162)":0.0021153947,"^P_EXCH_RATE(JOD,USD,46162)":1.4104372,"^P_EXCH_RATE(JPY,USD,46162)":0.006295841,"^P_EXCH_RATE(JMD,USD,46162)":0.0063492064,"^P_EXCH_RATE(IDR,USD,46162)":5.6802044E-05,"^P_EXCH_RATE(INR,USD,46162)":0.010327645,"^P_EXCH_RATE(ISK,USD,46162)":0.0081034,"^P_EXCH_RATE(HUF,USD,46162)":0.0032306942,"^P_EXCH_RATE(HKD,USD,46162)":0.12766337,"^P_EXCH_RATE(HNL,USD,46162)":0.037509378,"^P_EXCH_RATE(HTG,USD,46162)":0.007660704,"^P_EXCH_RATE(GYD,USD,46162)":0.0047876947,"^P_EXCH_RATE(GNF,USD,46162)":0.00011392766,"^P_EXCH_RATE(GTQ,USD,46162)":0.13118023,"^P_EXCH_RATE(DKK,USD,46162)":0.15549801,"^P_EXCH_RATE(GIP,USD,46162)":1.3384,"^P_EXCH_RATE(GHS,USD,46162)":0.08661758,"^P_EXCH_RATE(GEL,USD,46162)":0.3748126,"^P_EXCH_RATE(GMD,USD,46162)":0.013605442,"^P_EXCH_RATE(XAF,USD,46162)":0.0017714575,"^P_EXCH_RATE(FJD,USD,46162)":0.44854113,"^P_EXCH_RATE(FKP,USD,46162)":1.3384,"^P_EXCH_RATE(ETB,USD,46162)":0.006347191,"^P_EXCH_RATE(SZL,USD,46162)":0.06072586,"^P_EXCH_RATE(EGP,USD,46162)":0.018726591,"^P_EXCH_RATE(DOP,USD,46162)":0.016992355,"^P_EXCH_RATE(DJF,USD,46162)":0.0056023444,"^P_EXCH_RATE(CZK,USD,46162)":0.04781406,"^P_EXCH_RATE(CRC,USD,46162)":0.002202643,"^P_EXCH_RATE(KMF,USD,46162)":0.0023619435,"^P_EXCH_RATE(COP,USD,46162)":0.00026804622,"^P_EXCH_RATE(CLP,USD,46162)":0.001112607,"^P_EXCH_RATE(CVE,USD,46162)":0.010513747,"^P_EXCH_RATE(CAD,USD,46162)":0.7277755,"^P_EXCH_RATE(KHR,USD,46162)":0.00024853763,"^P_EXCH_RATE(BGN,USD,46162)":0.59412116,"^P_EXCH_RATE(BND,USD,46162)":0.7823502,"^P_EXCH_RATE(BRL,USD,46162)":0.1994038,"^P_EXCH_RATE(BWP,USD,46162)":0.0705,"^P_EXCH_RATE(BAM,USD,46162)":0.5941241,"^P_EXCH_RATE(BOB,USD,46162)":0.1447178,"^P_EXCH_RATE(BMD,USD,46162)":1.0,"^P_EXCH_RATE(BZD,USD,46162)":0.5,"^P_EXCH_RATE(BYN,USD,46162)":0.36764705,"^P_EXCH_RATE(BBD,USD,46162)":0.5,"^P_EXCH_RATE(BDT,USD,46162)":0.008130081,"^P_EXCH_RATE(BHD,USD,46162)":2.651465,"^P_EXCH_RATE(BSD,USD,46162)":1.0,"^P_EXCH_RATE(AZN,USD,46162)":0.5873715,"^P_EXCH_RATE(AWG,USD,46162)":0.55865926,"^P_EXCH_RATE(AMD,USD,46162)":0.0027128812,"^P_EXCH_RATE(ARS,USD,46162)":0.0007146032,"^P_EXCH_RATE(DZD,USD,46162)":0.007522049,"^P_EXCH_RATE(ALL,USD,46162)":0.012191405,"^P_EXCH_RATE(USD,USD,46209)":1.0,"^P_EXCH_RATE(ZMW,USD,46209)":0.054274086,"^P_EXCH_RATE(YER,USD,46209)":0.0041911146,"^P_EXCH_RATE(MAD,USD,46209)":0.10669569,"^P_EXCH_RATE(XPF,USD,46209)":0.009567867,"^P_EXCH_RATE(VND,USD,46209)":3.8022812E-05,"^P_EXCH_RATE(EUR,USD,46209)":1.14175,"^P_EXCH_RATE(VUV,USD,46209)":0.008399479,"^P_EXCH_RATE(UZS,USD,46209)":8.304234E-05,"^P_EXCH_RATE(UYU,USD,46209)":0.024847807,"^P_EXCH_RATE(GBP,USD,46209)":1.33565,"^P_EXCH_RATE(AED,USD,46209)":0.27227926,"^P_EXCH_RATE(UAH,USD,46209)":0.022437599,"^P_EXCH_RATE(UGX,USD,46209)":0.0002739726,"^P_EXCH_RATE(AUD,USD,46209)":0.69375,"^P_EXCH_RATE(TRY,USD,46209)":0.021357367,"^P_EXCH_RATE(TND,USD,46209)":0.3388165,"^P_EXCH_RATE(TTD,USD,46209)":0.14819863,"^P_EXCH_RATE(TOP,USD,46209)":0.4172,"^P_EXCH_RATE(NZD,USD,46209)":0.56845,"^P_EXCH_RATE(XOF,USD,46209)":0.0017405867,"^P_EXCH_RATE(THB,USD,46209)":0.029987255,"^P_EXCH_RATE(TZS,USD,46209)":0.00038037277,"^P_EXCH_RATE(TWD,USD,46209)":0.031196868,"^P_EXCH_RATE(0,USD,46209)":null,"^P_EXCH_RATE(CHF,USD,46209)":1.2398487,"^P_EXCH_RATE(SEK,USD,46209)":0.10351485,"^P_EXCH_RATE(NOK,USD,46209)":0.1016534,"^P_EXCH_RATE(SRD,USD,46209)":0.026635416,"^P_EXCH_RATE(XCD,USD,46209)":0.37037036,"^P_EXCH_RATE(SHP,USD,46209)":1.3335,"^P_EXCH_RATE(LKR,USD,46209)":0.00298552,"^P_EXCH_RATE(KRW,USD,46209)":0.00065280544,"^P_EXCH_RATE(ZAR,USD,46209)":0.061533917,"^P_EXCH_RATE(SOS,USD,46209)":0.001748073,"^P_EXCH_RATE(SBD,USD,46209)":0.1234,"^P_EXCH_RATE(ANG,USD,46209)":0.55865926,"^P_EXCH_RATE(SGD,USD,46209)":0.7730066,"^P_EXCH_RATE(SLL,USD,46209)":4.0983607E-05,"^P_EXCH_RATE(SCR,USD,46209)":0.06791287,"^P_EXCH_RATE(RSD,USD,46209)":0.009728572,"^P_EXCH_RATE(SAR,USD,46209)":0.2662974,"^P_EXCH_RATE(WST,USD,46209)":0.36290002,"^P_EXCH_RATE(RWF,USD,46209)":0.00068236096,"^P_EXCH_RATE(RUB,USD,46209)":0.012965964,"^P_EXCH_RATE(RON,USD,46209)":0.21834062,"^P_EXCH_RATE(QAR,USD,46209)":0.27464983,"^P_EXCH_RATE(PLN,USD,46209)":0.26604944,"^P_EXCH_RATE(PHP,USD,46209)":0.016261484,"^P_EXCH_RATE(PEN,USD,46209)":0.29391882,"^P_EXCH_RATE(PYG,USD,46209)":0.00016484784,"^P_EXCH_RATE(PGK,USD,46209)":0.22758307,"^P_EXCH_RATE(ILS,USD,46209)":0.33361688,"^P_EXCH_RATE(PKR,USD,46209)":0.003596799,"^P_EXCH_RATE(OMR,USD,46209)":2.5974026,"^P_EXCH_RATE(NGN,USD,46209)":0.0007300203,"^P_EXCH_RATE(NIO,USD,46209)":0.027304277,"^P_EXCH_RATE(NPR,USD,46209)":0.0065515344,"^P_EXCH_RATE(NAD,USD,46209)":0.061533917,"^P_EXCH_RATE(MMK,USD,46209)":0.00047586425,"^P_EXCH_RATE(MNT,USD,46209)":0.0002791347,"^P_EXCH_RATE(MDL,USD,46209)":0.05711022,"^P_EXCH_RATE(MXN,USD,46209)":0.057286236,"^P_EXCH_RATE(MUR,USD,46209)":0.021244954,"^P_EXCH_RATE(MVR,USD,46209)":0.064850844,"^P_EXCH_RATE(MYR,USD,46209)":0.24479803,"^P_EXCH_RATE(MWK,USD,46209)":0.00057803467,"^P_EXCH_RATE(MKD,USD,46209)":0.018551156,"^P_EXCH_RATE(MOP,USD,46209)":0.123791486,"^P_EXCH_RATE(LAK,USD,46209)":4.4494198E-05,"^P_EXCH_RATE(KGS,USD,46209)":0.011435106,"^P_EXCH_RATE(KWD,USD,46209)":3.2216494,"^P_EXCH_RATE(KES,USD,46209)":0.007736944,"^P_EXCH_RATE(KZT,USD,46209)":0.0021157528,"^P_EXCH_RATE(JOD,USD,46209)":1.4104372,"^P_EXCH_RATE(JPY,USD,46209)":0.0061585833,"^P_EXCH_RATE(JMD,USD,46209)":0.006316321,"^P_EXCH_RATE(IDR,USD,46209)":5.5586435E-05,"^P_EXCH_RATE(INR,USD,46209)":0.010482455,"^P_EXCH_RATE(ISK,USD,46209)":0.007928642,"^P_EXCH_RATE(HUF,USD,46209)":0.0032271054,"^P_EXCH_RATE(HKD,USD,46209)":0.12750548,"^P_EXCH_RATE(HNL,USD,46209)":0.037355248,"^P_EXCH_RATE(HTG,USD,46209)":0.007661814,"^P_EXCH_RATE(GYD,USD,46209)":0.00478317,"^P_EXCH_RATE(GNF,USD,46209)":0.00011392766,"^P_EXCH_RATE(GTQ,USD,46209)":0.13116646,"^P_EXCH_RATE(DKK,USD,46209)":0.15274872,"^P_EXCH_RATE(GIP,USD,46209)":1.3335,"^P_EXCH_RATE(GHS,USD,46209)":0.0877193,"^P_EXCH_RATE(GEL,USD,46209)":0.37979493,"^P_EXCH_RATE(GMD,USD,46209)":0.013605442,"^P_EXCH_RATE(XAF,USD,46209)":0.0017405867,"^P_EXCH_RATE(FJD,USD,46209)":0.44274235,"^P_EXCH_RATE(FKP,USD,46209)":1.3335,"^P_EXCH_RATE(ETB,USD,46209)":0.0061946358,"^P_EXCH_RATE(SZL,USD,46209)":0.061533917,"^P_EXCH_RATE(EGP,USD,46209)":0.020491803,"^P_EXCH_RATE(DOP,USD,46209)":0.016894747,"^P_EXCH_RATE(DJF,USD,46209)":0.0056001176,"^P_EXCH_RATE(CZK,USD,46209)":0.047255963,"^P_EXCH_RATE(CRC,USD,46209)":0.0022055581,"^P_EXCH_RATE(KMF,USD,46209)":0.0023207823,"^P_EXCH_RATE(COP,USD,46209)":0.00029839078,"^P_EXCH_RATE(CLP,USD,46209)":0.001079424,"^P_EXCH_RATE(CVE,USD,46209)":0.010356478,"^P_EXCH_RATE(CAD,USD,46209)":0.70303714,"^P_EXCH_RATE(KHR,USD,46209)":0.00024915455,"^P_EXCH_RATE(BGN,USD,46209)":0.58376753,"^P_EXCH_RATE(BND,USD,46209)":0.7730066,"^P_EXCH_RATE(BRL,USD,46209)":0.19347599,"^P_EXCH_RATE(BWP,USD,46209)":0.071,"^P_EXCH_RATE(BAM,USD,46209)":0.58377117,"^P_EXCH_RATE(BOB,USD,46209)":0.1447178,"^P_EXCH_RATE(BMD,USD,46209)":1.0,"^P_EXCH_RATE(BZD,USD,46209)":0.5,"^P_EXCH_RATE(BYN,USD,46209)":0.34619445,"^P_EXCH_RATE(BBD,USD,46209)":0.5,"^P_EXCH_RATE(BDT,USD,46209)":0.00811359,"^P_EXCH_RATE(BHD,USD,46209)":2.65252,"^P_EXCH_RATE(BSD,USD,46209)":1.0,"^P_EXCH_RATE(AZN,USD,46209)":0.58823526,"^P_EXCH_RATE(AWG,USD,46209)":0.55865926,"^P_EXCH_RATE(AMD,USD,46209)":0.0027159413,"^P_EXCH_RATE(ARS,USD,46209)":0.0006706856,"^P_EXCH_RATE(DZD,USD,46209)":0.007511675,"^P_EXCH_RATE(ALL,USD,46209)":0.012172114,"^P_EXCH_RATE(RON,EUR,7/6/2026)":0.1912333,"^P_EXCH_RATE(PKR,USD,7/6/2026)":0.003596799,"^P_EXCH_RATE(EUR,USD,7/6/2026)":1.14175,"^P_EXCH_RATE(USD,LYD,7/6/2026)":6.4148483,"^P_EXCH_RATE(USD,LBP,7/6/2026)":89550.0,"^P_EXCH_RATE(USD,GBP,7/6/2026)":0.7486991,"^P_EXCH_RATE(BDT,USD,7/6/2026)":0.00811359,"^P_EXCH_RATE(ISK,EUR,7/6/2026)":0.0069442894,"^P_EXCH_RATE(GIP,GBP,7/6/2026)":0.9983903,"^P_EXCH_RATE(XAF,EUR,7/6/2026)":0.0015244903,"^P_EXCH_RATE(XOF,EUR,7/6/2026)":0.0015244903,"^P_EXCH_RATE(RSD,EUR,7/6/2026)":0.008520755,"^P_EXCH_RATE(BAM,EUR,7/6/2026)":0.5112951}]]></FdsFormulaCache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9FF2178761594698A2071E5C4087E3" ma:contentTypeVersion="19" ma:contentTypeDescription="Create a new document." ma:contentTypeScope="" ma:versionID="31e0e0cd18ba633cc05c9cb2c036efd5">
  <xsd:schema xmlns:xsd="http://www.w3.org/2001/XMLSchema" xmlns:xs="http://www.w3.org/2001/XMLSchema" xmlns:p="http://schemas.microsoft.com/office/2006/metadata/properties" xmlns:ns2="08935b5c-fdea-4e63-b8ca-fd0ce74e7a0a" xmlns:ns3="a6644048-9433-44ae-b1ce-8d9c31e9876c" targetNamespace="http://schemas.microsoft.com/office/2006/metadata/properties" ma:root="true" ma:fieldsID="76aba90dac2d50643e480eac8c0bd3f2" ns2:_="" ns3:_="">
    <xsd:import namespace="08935b5c-fdea-4e63-b8ca-fd0ce74e7a0a"/>
    <xsd:import namespace="a6644048-9433-44ae-b1ce-8d9c31e9876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35b5c-fdea-4e63-b8ca-fd0ce74e7a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609a3b4-c6f2-42a3-b42d-5143d30fb415}" ma:internalName="TaxCatchAll" ma:showField="CatchAllData" ma:web="08935b5c-fdea-4e63-b8ca-fd0ce74e7a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44048-9433-44ae-b1ce-8d9c31e98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5ddd586-69a8-4ddd-a0c2-04a61756b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644048-9433-44ae-b1ce-8d9c31e9876c">
      <Terms xmlns="http://schemas.microsoft.com/office/infopath/2007/PartnerControls"/>
    </lcf76f155ced4ddcb4097134ff3c332f>
    <TaxCatchAll xmlns="08935b5c-fdea-4e63-b8ca-fd0ce74e7a0a" xsi:nil="true"/>
    <SharedWithUsers xmlns="08935b5c-fdea-4e63-b8ca-fd0ce74e7a0a">
      <UserInfo>
        <DisplayName>Brenner, Matt</DisplayName>
        <AccountId>2326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25B6081-DA96-4CAE-AB20-0A3393307CF3}">
  <ds:schemaRefs>
    <ds:schemaRef ds:uri="urn:fdsformulacache"/>
  </ds:schemaRefs>
</ds:datastoreItem>
</file>

<file path=customXml/itemProps2.xml><?xml version="1.0" encoding="utf-8"?>
<ds:datastoreItem xmlns:ds="http://schemas.openxmlformats.org/officeDocument/2006/customXml" ds:itemID="{54F4C72C-1CC2-4368-BC23-ECD4BC6A7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35b5c-fdea-4e63-b8ca-fd0ce74e7a0a"/>
    <ds:schemaRef ds:uri="a6644048-9433-44ae-b1ce-8d9c31e987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901AF0-B999-4D6B-A776-2A66DF4DFF2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78B8A0-D390-4EAE-BDE2-F1D762775D54}">
  <ds:schemaRefs>
    <ds:schemaRef ds:uri="http://schemas.microsoft.com/office/2006/metadata/properties"/>
    <ds:schemaRef ds:uri="http://schemas.microsoft.com/office/infopath/2007/PartnerControls"/>
    <ds:schemaRef ds:uri="a6644048-9433-44ae-b1ce-8d9c31e9876c"/>
    <ds:schemaRef ds:uri="08935b5c-fdea-4e63-b8ca-fd0ce74e7a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</vt:i4>
      </vt:variant>
    </vt:vector>
  </HeadingPairs>
  <TitlesOfParts>
    <vt:vector size="34" baseType="lpstr">
      <vt:lpstr>Version-Level Changes</vt:lpstr>
      <vt:lpstr>SKU &amp; Platform Availability -&gt;</vt:lpstr>
      <vt:lpstr>DOM</vt:lpstr>
      <vt:lpstr>INT</vt:lpstr>
      <vt:lpstr>Pricing by Platform -&gt;</vt:lpstr>
      <vt:lpstr>DOM Web</vt:lpstr>
      <vt:lpstr>INT Web</vt:lpstr>
      <vt:lpstr>Student Plan Web</vt:lpstr>
      <vt:lpstr>Gifting Web</vt:lpstr>
      <vt:lpstr>Apple</vt:lpstr>
      <vt:lpstr>Google</vt:lpstr>
      <vt:lpstr>AMZN Fire TV</vt:lpstr>
      <vt:lpstr>Roku</vt:lpstr>
      <vt:lpstr>Samsung</vt:lpstr>
      <vt:lpstr>Internal Only -&gt;</vt:lpstr>
      <vt:lpstr>Country-Level Tactics</vt:lpstr>
      <vt:lpstr>INT Tax</vt:lpstr>
      <vt:lpstr>Addt'l Payment Methods</vt:lpstr>
      <vt:lpstr>Intro Offer Details</vt:lpstr>
      <vt:lpstr>Web FT Deflection</vt:lpstr>
      <vt:lpstr>Web Upsell Mapping</vt:lpstr>
      <vt:lpstr>Pre-AR Web Cancel Deflection</vt:lpstr>
      <vt:lpstr>Post-AR Web Cancel Deflection</vt:lpstr>
      <vt:lpstr>Cancel Deflection - Apple</vt:lpstr>
      <vt:lpstr>Winback - Apple</vt:lpstr>
      <vt:lpstr>Winback - Google</vt:lpstr>
      <vt:lpstr>Markets w &amp; wo Commercials</vt:lpstr>
      <vt:lpstr>Markets Not Selling LP</vt:lpstr>
      <vt:lpstr>Platform Avail by Country</vt:lpstr>
      <vt:lpstr>Platform Sales Avail by Country</vt:lpstr>
      <vt:lpstr>Country &amp; Code Abbreviation</vt:lpstr>
      <vt:lpstr>FX Rates</vt:lpstr>
      <vt:lpstr>'FX Rates'!_FilterDatabase</vt:lpstr>
      <vt:lpstr>'Platform Avail by Country'!Print_Titles</vt:lpstr>
    </vt:vector>
  </TitlesOfParts>
  <Manager/>
  <Company>NBA Properties,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Hwang, Sara</dc:creator>
  <cp:keywords/>
  <dc:description/>
  <cp:lastModifiedBy>Tucker, Elle</cp:lastModifiedBy>
  <cp:revision/>
  <dcterms:created xsi:type="dcterms:W3CDTF">2023-04-26T15:01:54Z</dcterms:created>
  <dcterms:modified xsi:type="dcterms:W3CDTF">2026-08-31T16:58:19Z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0x010100499FF2178761594698A2071E5C4087E3</vt:lpwstr>
  </property>
  <property fmtid="{D5CDD505-2E9C-101B-9397-08002B2CF9AE}" pid="3" name="MediaServiceImageTags">
    <vt:lpwstr/>
  </property>
  <property fmtid="{D5CDD505-2E9C-101B-9397-08002B2CF9AE}" pid="4" name="=fdsSearchOrder">
    <vt:i4>0</vt:i4>
  </property>
  <property fmtid="{D5CDD505-2E9C-101B-9397-08002B2CF9AE}" pid="5" name="MSIP_Label_c061149a-83d0-4755-aa63-c4a424533b9c_Enabled">
    <vt:lpwstr>true</vt:lpwstr>
  </property>
  <property fmtid="{D5CDD505-2E9C-101B-9397-08002B2CF9AE}" pid="6" name="MSIP_Label_c061149a-83d0-4755-aa63-c4a424533b9c_SetDate">
    <vt:lpwstr>2026-07-08T13:48:38Z</vt:lpwstr>
  </property>
  <property fmtid="{D5CDD505-2E9C-101B-9397-08002B2CF9AE}" pid="7" name="MSIP_Label_c061149a-83d0-4755-aa63-c4a424533b9c_Method">
    <vt:lpwstr>Standard</vt:lpwstr>
  </property>
  <property fmtid="{D5CDD505-2E9C-101B-9397-08002B2CF9AE}" pid="8" name="MSIP_Label_c061149a-83d0-4755-aa63-c4a424533b9c_Name">
    <vt:lpwstr>Internal Use</vt:lpwstr>
  </property>
  <property fmtid="{D5CDD505-2E9C-101B-9397-08002B2CF9AE}" pid="9" name="MSIP_Label_c061149a-83d0-4755-aa63-c4a424533b9c_SiteId">
    <vt:lpwstr>e898ff4a-4b69-45ee-a3ae-1cd6f239feb2</vt:lpwstr>
  </property>
  <property fmtid="{D5CDD505-2E9C-101B-9397-08002B2CF9AE}" pid="10" name="MSIP_Label_c061149a-83d0-4755-aa63-c4a424533b9c_ActionId">
    <vt:lpwstr>934cea45-a827-4f03-9e54-05e20230fc1d</vt:lpwstr>
  </property>
  <property fmtid="{D5CDD505-2E9C-101B-9397-08002B2CF9AE}" pid="11" name="MSIP_Label_c061149a-83d0-4755-aa63-c4a424533b9c_ContentBits">
    <vt:lpwstr>0</vt:lpwstr>
  </property>
  <property fmtid="{D5CDD505-2E9C-101B-9397-08002B2CF9AE}" pid="12" name="MSIP_Label_c061149a-83d0-4755-aa63-c4a424533b9c_Tag">
    <vt:lpwstr>10, 3, 0, 2</vt:lpwstr>
  </property>
</Properties>
</file>